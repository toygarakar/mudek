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4" codeName="{3D1A710C-6663-3D7B-7F91-EC182F24A4B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Müdek-Rapor-Aracı\"/>
    </mc:Choice>
  </mc:AlternateContent>
  <xr:revisionPtr revIDLastSave="0" documentId="13_ncr:1_{42AD6F91-7017-4E67-98DD-A3DF5C0F043C}" xr6:coauthVersionLast="36" xr6:coauthVersionMax="36" xr10:uidLastSave="{00000000-0000-0000-0000-000000000000}"/>
  <bookViews>
    <workbookView xWindow="0" yWindow="0" windowWidth="28800" windowHeight="12345" tabRatio="832" xr2:uid="{00000000-000D-0000-FFFF-FFFF00000000}"/>
  </bookViews>
  <sheets>
    <sheet name="Anasayfa" sheetId="1" r:id="rId1"/>
    <sheet name="1.vize" sheetId="2" r:id="rId2"/>
    <sheet name="2.vize" sheetId="3" r:id="rId3"/>
    <sheet name="ödev" sheetId="10" r:id="rId4"/>
    <sheet name="proje" sheetId="11" r:id="rId5"/>
    <sheet name="final" sheetId="4" r:id="rId6"/>
    <sheet name="bütünleme" sheetId="5" r:id="rId7"/>
    <sheet name="Hesap" sheetId="6" state="hidden" r:id="rId8"/>
    <sheet name="RAPOR" sheetId="9" r:id="rId9"/>
    <sheet name="TEST_istatistik" sheetId="12" r:id="rId10"/>
    <sheet name="ÖÇ" sheetId="8" state="hidden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606" i="6" l="1"/>
  <c r="DD606" i="6"/>
  <c r="DC606" i="6"/>
  <c r="DB606" i="6"/>
  <c r="DA606" i="6"/>
  <c r="CZ606" i="6"/>
  <c r="CY606" i="6"/>
  <c r="CX606" i="6"/>
  <c r="CV606" i="6"/>
  <c r="CU606" i="6"/>
  <c r="CT606" i="6"/>
  <c r="CS606" i="6"/>
  <c r="CR606" i="6"/>
  <c r="CQ606" i="6"/>
  <c r="CP606" i="6"/>
  <c r="CO606" i="6"/>
  <c r="CN606" i="6"/>
  <c r="CM606" i="6"/>
  <c r="CL606" i="6"/>
  <c r="CK606" i="6"/>
  <c r="CJ606" i="6"/>
  <c r="CI606" i="6"/>
  <c r="CH606" i="6"/>
  <c r="CG606" i="6"/>
  <c r="CF606" i="6"/>
  <c r="CE606" i="6"/>
  <c r="CD606" i="6"/>
  <c r="CC606" i="6"/>
  <c r="CB606" i="6"/>
  <c r="CA606" i="6"/>
  <c r="BZ606" i="6"/>
  <c r="BY606" i="6"/>
  <c r="BX606" i="6"/>
  <c r="BW606" i="6"/>
  <c r="BV606" i="6"/>
  <c r="BU606" i="6"/>
  <c r="BT606" i="6"/>
  <c r="BS606" i="6"/>
  <c r="BR606" i="6"/>
  <c r="BQ606" i="6"/>
  <c r="BP606" i="6"/>
  <c r="BO606" i="6"/>
  <c r="BN606" i="6"/>
  <c r="BM606" i="6"/>
  <c r="BL606" i="6"/>
  <c r="BK606" i="6"/>
  <c r="BJ606" i="6"/>
  <c r="BI606" i="6"/>
  <c r="BH606" i="6"/>
  <c r="BG606" i="6"/>
  <c r="BF606" i="6"/>
  <c r="BE606" i="6"/>
  <c r="BD606" i="6"/>
  <c r="BC606" i="6"/>
  <c r="BB606" i="6"/>
  <c r="BA606" i="6"/>
  <c r="AZ606" i="6"/>
  <c r="AY606" i="6"/>
  <c r="AX606" i="6"/>
  <c r="AW606" i="6"/>
  <c r="AV606" i="6"/>
  <c r="AU606" i="6"/>
  <c r="AT606" i="6"/>
  <c r="AS606" i="6"/>
  <c r="AR606" i="6"/>
  <c r="AQ606" i="6"/>
  <c r="AP606" i="6"/>
  <c r="AO606" i="6"/>
  <c r="AN606" i="6"/>
  <c r="AM606" i="6"/>
  <c r="AL606" i="6"/>
  <c r="AK606" i="6"/>
  <c r="AJ606" i="6"/>
  <c r="AI606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B606" i="6"/>
  <c r="A606" i="6"/>
  <c r="DE605" i="6"/>
  <c r="DD605" i="6"/>
  <c r="DC605" i="6"/>
  <c r="DB605" i="6"/>
  <c r="DA605" i="6"/>
  <c r="CZ605" i="6"/>
  <c r="CY605" i="6"/>
  <c r="CX605" i="6"/>
  <c r="CV605" i="6"/>
  <c r="CU605" i="6"/>
  <c r="CT605" i="6"/>
  <c r="CS605" i="6"/>
  <c r="CR605" i="6"/>
  <c r="CQ605" i="6"/>
  <c r="CP605" i="6"/>
  <c r="CO605" i="6"/>
  <c r="CN605" i="6"/>
  <c r="CM605" i="6"/>
  <c r="CL605" i="6"/>
  <c r="CK605" i="6"/>
  <c r="CJ605" i="6"/>
  <c r="CI605" i="6"/>
  <c r="CH605" i="6"/>
  <c r="CG605" i="6"/>
  <c r="CF605" i="6"/>
  <c r="CE605" i="6"/>
  <c r="CD605" i="6"/>
  <c r="CC605" i="6"/>
  <c r="CB605" i="6"/>
  <c r="CA605" i="6"/>
  <c r="BZ605" i="6"/>
  <c r="BY605" i="6"/>
  <c r="BX605" i="6"/>
  <c r="BW605" i="6"/>
  <c r="BV605" i="6"/>
  <c r="BU605" i="6"/>
  <c r="BT605" i="6"/>
  <c r="BS605" i="6"/>
  <c r="BR605" i="6"/>
  <c r="BQ605" i="6"/>
  <c r="BP605" i="6"/>
  <c r="BO605" i="6"/>
  <c r="BN605" i="6"/>
  <c r="BM605" i="6"/>
  <c r="BL605" i="6"/>
  <c r="BK605" i="6"/>
  <c r="BJ605" i="6"/>
  <c r="BI605" i="6"/>
  <c r="BH605" i="6"/>
  <c r="BG605" i="6"/>
  <c r="BF605" i="6"/>
  <c r="BE605" i="6"/>
  <c r="BD605" i="6"/>
  <c r="BC605" i="6"/>
  <c r="BB605" i="6"/>
  <c r="BA605" i="6"/>
  <c r="AZ605" i="6"/>
  <c r="AY605" i="6"/>
  <c r="AX605" i="6"/>
  <c r="AW605" i="6"/>
  <c r="AV605" i="6"/>
  <c r="AU605" i="6"/>
  <c r="AT605" i="6"/>
  <c r="AS605" i="6"/>
  <c r="AR605" i="6"/>
  <c r="AQ605" i="6"/>
  <c r="AP605" i="6"/>
  <c r="AO605" i="6"/>
  <c r="AN605" i="6"/>
  <c r="AM605" i="6"/>
  <c r="AL605" i="6"/>
  <c r="AK605" i="6"/>
  <c r="AJ605" i="6"/>
  <c r="AI605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B605" i="6"/>
  <c r="A605" i="6"/>
  <c r="DE604" i="6"/>
  <c r="DD604" i="6"/>
  <c r="DC604" i="6"/>
  <c r="DB604" i="6"/>
  <c r="DA604" i="6"/>
  <c r="CZ604" i="6"/>
  <c r="CY604" i="6"/>
  <c r="CX604" i="6"/>
  <c r="CV604" i="6"/>
  <c r="CU604" i="6"/>
  <c r="CT604" i="6"/>
  <c r="CS604" i="6"/>
  <c r="CR604" i="6"/>
  <c r="CQ604" i="6"/>
  <c r="CP604" i="6"/>
  <c r="CO604" i="6"/>
  <c r="CN604" i="6"/>
  <c r="CM604" i="6"/>
  <c r="CL604" i="6"/>
  <c r="CK604" i="6"/>
  <c r="CJ604" i="6"/>
  <c r="CI604" i="6"/>
  <c r="CH604" i="6"/>
  <c r="CG604" i="6"/>
  <c r="CF604" i="6"/>
  <c r="CE604" i="6"/>
  <c r="CD604" i="6"/>
  <c r="CC604" i="6"/>
  <c r="CB604" i="6"/>
  <c r="CA604" i="6"/>
  <c r="BZ604" i="6"/>
  <c r="BY604" i="6"/>
  <c r="BX604" i="6"/>
  <c r="BW604" i="6"/>
  <c r="BV604" i="6"/>
  <c r="BU604" i="6"/>
  <c r="BT604" i="6"/>
  <c r="BS604" i="6"/>
  <c r="BR604" i="6"/>
  <c r="BQ604" i="6"/>
  <c r="BP604" i="6"/>
  <c r="BO604" i="6"/>
  <c r="BN604" i="6"/>
  <c r="BM604" i="6"/>
  <c r="BL604" i="6"/>
  <c r="BK604" i="6"/>
  <c r="BJ604" i="6"/>
  <c r="BI604" i="6"/>
  <c r="BH604" i="6"/>
  <c r="BG604" i="6"/>
  <c r="BF604" i="6"/>
  <c r="BE604" i="6"/>
  <c r="BD604" i="6"/>
  <c r="BC604" i="6"/>
  <c r="BB604" i="6"/>
  <c r="BA604" i="6"/>
  <c r="AZ604" i="6"/>
  <c r="AY604" i="6"/>
  <c r="AX604" i="6"/>
  <c r="AW604" i="6"/>
  <c r="AV604" i="6"/>
  <c r="AU604" i="6"/>
  <c r="AT604" i="6"/>
  <c r="AS604" i="6"/>
  <c r="AR604" i="6"/>
  <c r="AQ604" i="6"/>
  <c r="AP604" i="6"/>
  <c r="AO604" i="6"/>
  <c r="AN604" i="6"/>
  <c r="AM604" i="6"/>
  <c r="AL604" i="6"/>
  <c r="AK604" i="6"/>
  <c r="AJ604" i="6"/>
  <c r="AI604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B604" i="6"/>
  <c r="A604" i="6"/>
  <c r="DE603" i="6"/>
  <c r="DD603" i="6"/>
  <c r="DC603" i="6"/>
  <c r="DB603" i="6"/>
  <c r="DA603" i="6"/>
  <c r="CZ603" i="6"/>
  <c r="CY603" i="6"/>
  <c r="CX603" i="6"/>
  <c r="CV603" i="6"/>
  <c r="CU603" i="6"/>
  <c r="CT603" i="6"/>
  <c r="CS603" i="6"/>
  <c r="CR603" i="6"/>
  <c r="CQ603" i="6"/>
  <c r="CP603" i="6"/>
  <c r="CO603" i="6"/>
  <c r="CN603" i="6"/>
  <c r="CM603" i="6"/>
  <c r="CL603" i="6"/>
  <c r="CK603" i="6"/>
  <c r="CJ603" i="6"/>
  <c r="CI603" i="6"/>
  <c r="CH603" i="6"/>
  <c r="CG603" i="6"/>
  <c r="CF603" i="6"/>
  <c r="CE603" i="6"/>
  <c r="CD603" i="6"/>
  <c r="CC603" i="6"/>
  <c r="CB603" i="6"/>
  <c r="CA603" i="6"/>
  <c r="BZ603" i="6"/>
  <c r="BY603" i="6"/>
  <c r="BX603" i="6"/>
  <c r="BW603" i="6"/>
  <c r="BV603" i="6"/>
  <c r="BU603" i="6"/>
  <c r="BT603" i="6"/>
  <c r="BS603" i="6"/>
  <c r="BR603" i="6"/>
  <c r="BQ603" i="6"/>
  <c r="BP603" i="6"/>
  <c r="BO603" i="6"/>
  <c r="BN603" i="6"/>
  <c r="BM603" i="6"/>
  <c r="BL603" i="6"/>
  <c r="BK603" i="6"/>
  <c r="BJ603" i="6"/>
  <c r="BI603" i="6"/>
  <c r="BH603" i="6"/>
  <c r="BG603" i="6"/>
  <c r="BF603" i="6"/>
  <c r="BE603" i="6"/>
  <c r="BD603" i="6"/>
  <c r="BC603" i="6"/>
  <c r="BB603" i="6"/>
  <c r="BA603" i="6"/>
  <c r="AZ603" i="6"/>
  <c r="AY603" i="6"/>
  <c r="AX603" i="6"/>
  <c r="AW603" i="6"/>
  <c r="AV603" i="6"/>
  <c r="AU603" i="6"/>
  <c r="AT603" i="6"/>
  <c r="AS603" i="6"/>
  <c r="AR603" i="6"/>
  <c r="AQ603" i="6"/>
  <c r="AP603" i="6"/>
  <c r="AO603" i="6"/>
  <c r="AN603" i="6"/>
  <c r="AM603" i="6"/>
  <c r="AL603" i="6"/>
  <c r="AK603" i="6"/>
  <c r="AJ603" i="6"/>
  <c r="AI603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B603" i="6"/>
  <c r="A603" i="6"/>
  <c r="DE602" i="6"/>
  <c r="DD602" i="6"/>
  <c r="DC602" i="6"/>
  <c r="DB602" i="6"/>
  <c r="DA602" i="6"/>
  <c r="CZ602" i="6"/>
  <c r="CY602" i="6"/>
  <c r="CX602" i="6"/>
  <c r="CV602" i="6"/>
  <c r="CU602" i="6"/>
  <c r="CT602" i="6"/>
  <c r="CS602" i="6"/>
  <c r="CR602" i="6"/>
  <c r="CQ602" i="6"/>
  <c r="CP602" i="6"/>
  <c r="CO602" i="6"/>
  <c r="CN602" i="6"/>
  <c r="CM602" i="6"/>
  <c r="CL602" i="6"/>
  <c r="CK602" i="6"/>
  <c r="CJ602" i="6"/>
  <c r="CI602" i="6"/>
  <c r="CH602" i="6"/>
  <c r="CG602" i="6"/>
  <c r="CF602" i="6"/>
  <c r="CE602" i="6"/>
  <c r="CD602" i="6"/>
  <c r="CC602" i="6"/>
  <c r="CB602" i="6"/>
  <c r="CA602" i="6"/>
  <c r="BZ602" i="6"/>
  <c r="BY602" i="6"/>
  <c r="BX602" i="6"/>
  <c r="BW602" i="6"/>
  <c r="BV602" i="6"/>
  <c r="BU602" i="6"/>
  <c r="BT602" i="6"/>
  <c r="BS602" i="6"/>
  <c r="BR602" i="6"/>
  <c r="BQ602" i="6"/>
  <c r="BP602" i="6"/>
  <c r="BO602" i="6"/>
  <c r="BN602" i="6"/>
  <c r="BM602" i="6"/>
  <c r="BL602" i="6"/>
  <c r="BK602" i="6"/>
  <c r="BJ602" i="6"/>
  <c r="BI602" i="6"/>
  <c r="BH602" i="6"/>
  <c r="BG602" i="6"/>
  <c r="BF602" i="6"/>
  <c r="BE602" i="6"/>
  <c r="BD602" i="6"/>
  <c r="BC602" i="6"/>
  <c r="BB602" i="6"/>
  <c r="BA602" i="6"/>
  <c r="AZ602" i="6"/>
  <c r="AY602" i="6"/>
  <c r="AX602" i="6"/>
  <c r="AW602" i="6"/>
  <c r="AV602" i="6"/>
  <c r="AU602" i="6"/>
  <c r="AT602" i="6"/>
  <c r="AS602" i="6"/>
  <c r="AR602" i="6"/>
  <c r="AQ602" i="6"/>
  <c r="AP602" i="6"/>
  <c r="AO602" i="6"/>
  <c r="AN602" i="6"/>
  <c r="AM602" i="6"/>
  <c r="AL602" i="6"/>
  <c r="AK602" i="6"/>
  <c r="AJ602" i="6"/>
  <c r="AI602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B602" i="6"/>
  <c r="A602" i="6"/>
  <c r="DE601" i="6"/>
  <c r="DD601" i="6"/>
  <c r="DC601" i="6"/>
  <c r="DB601" i="6"/>
  <c r="DA601" i="6"/>
  <c r="CZ601" i="6"/>
  <c r="CY601" i="6"/>
  <c r="CX601" i="6"/>
  <c r="CV601" i="6"/>
  <c r="CU601" i="6"/>
  <c r="CT601" i="6"/>
  <c r="CS601" i="6"/>
  <c r="CR601" i="6"/>
  <c r="CQ601" i="6"/>
  <c r="CP601" i="6"/>
  <c r="CO601" i="6"/>
  <c r="CN601" i="6"/>
  <c r="CM601" i="6"/>
  <c r="CL601" i="6"/>
  <c r="CK601" i="6"/>
  <c r="CJ601" i="6"/>
  <c r="CI601" i="6"/>
  <c r="CH601" i="6"/>
  <c r="CG601" i="6"/>
  <c r="CF601" i="6"/>
  <c r="CE601" i="6"/>
  <c r="CD601" i="6"/>
  <c r="CC601" i="6"/>
  <c r="CB601" i="6"/>
  <c r="CA601" i="6"/>
  <c r="BZ601" i="6"/>
  <c r="BY601" i="6"/>
  <c r="BX601" i="6"/>
  <c r="BW601" i="6"/>
  <c r="BV601" i="6"/>
  <c r="BU601" i="6"/>
  <c r="BT601" i="6"/>
  <c r="BS601" i="6"/>
  <c r="BR601" i="6"/>
  <c r="BQ601" i="6"/>
  <c r="BP601" i="6"/>
  <c r="BO601" i="6"/>
  <c r="BN601" i="6"/>
  <c r="BM601" i="6"/>
  <c r="BL601" i="6"/>
  <c r="BK601" i="6"/>
  <c r="BJ601" i="6"/>
  <c r="BI601" i="6"/>
  <c r="BH601" i="6"/>
  <c r="BG601" i="6"/>
  <c r="BF601" i="6"/>
  <c r="BE601" i="6"/>
  <c r="BD601" i="6"/>
  <c r="BC601" i="6"/>
  <c r="BB601" i="6"/>
  <c r="BA601" i="6"/>
  <c r="AZ601" i="6"/>
  <c r="AY601" i="6"/>
  <c r="AX601" i="6"/>
  <c r="AW601" i="6"/>
  <c r="AV601" i="6"/>
  <c r="AU601" i="6"/>
  <c r="AT601" i="6"/>
  <c r="AS601" i="6"/>
  <c r="AR601" i="6"/>
  <c r="AQ601" i="6"/>
  <c r="AP601" i="6"/>
  <c r="AO601" i="6"/>
  <c r="AN601" i="6"/>
  <c r="AM601" i="6"/>
  <c r="AL601" i="6"/>
  <c r="AK601" i="6"/>
  <c r="AJ601" i="6"/>
  <c r="AI601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DE600" i="6"/>
  <c r="DD600" i="6"/>
  <c r="DC600" i="6"/>
  <c r="DB600" i="6"/>
  <c r="DA600" i="6"/>
  <c r="CZ600" i="6"/>
  <c r="CY600" i="6"/>
  <c r="CX600" i="6"/>
  <c r="CV600" i="6"/>
  <c r="CU600" i="6"/>
  <c r="CT600" i="6"/>
  <c r="CS600" i="6"/>
  <c r="CR600" i="6"/>
  <c r="CQ600" i="6"/>
  <c r="CP600" i="6"/>
  <c r="CO600" i="6"/>
  <c r="CN600" i="6"/>
  <c r="CM600" i="6"/>
  <c r="CL600" i="6"/>
  <c r="CK600" i="6"/>
  <c r="CJ600" i="6"/>
  <c r="CI600" i="6"/>
  <c r="CH600" i="6"/>
  <c r="CG600" i="6"/>
  <c r="CF600" i="6"/>
  <c r="CE600" i="6"/>
  <c r="CD600" i="6"/>
  <c r="CC600" i="6"/>
  <c r="CB600" i="6"/>
  <c r="CA600" i="6"/>
  <c r="BZ600" i="6"/>
  <c r="BY600" i="6"/>
  <c r="BX600" i="6"/>
  <c r="BW600" i="6"/>
  <c r="BV600" i="6"/>
  <c r="BU600" i="6"/>
  <c r="BT600" i="6"/>
  <c r="BS600" i="6"/>
  <c r="BR600" i="6"/>
  <c r="BQ600" i="6"/>
  <c r="BP600" i="6"/>
  <c r="BO600" i="6"/>
  <c r="BN600" i="6"/>
  <c r="BM600" i="6"/>
  <c r="BL600" i="6"/>
  <c r="BK600" i="6"/>
  <c r="BJ600" i="6"/>
  <c r="BI600" i="6"/>
  <c r="BH600" i="6"/>
  <c r="BG600" i="6"/>
  <c r="BF600" i="6"/>
  <c r="BE600" i="6"/>
  <c r="BD600" i="6"/>
  <c r="BC600" i="6"/>
  <c r="BB600" i="6"/>
  <c r="BA600" i="6"/>
  <c r="AZ600" i="6"/>
  <c r="AY600" i="6"/>
  <c r="AX600" i="6"/>
  <c r="AW600" i="6"/>
  <c r="AV600" i="6"/>
  <c r="AU600" i="6"/>
  <c r="AT600" i="6"/>
  <c r="AS600" i="6"/>
  <c r="AR600" i="6"/>
  <c r="AQ600" i="6"/>
  <c r="AP600" i="6"/>
  <c r="AO600" i="6"/>
  <c r="AN600" i="6"/>
  <c r="AM600" i="6"/>
  <c r="AL600" i="6"/>
  <c r="AK600" i="6"/>
  <c r="AJ600" i="6"/>
  <c r="AI600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B600" i="6"/>
  <c r="A600" i="6"/>
  <c r="DE599" i="6"/>
  <c r="DD599" i="6"/>
  <c r="DC599" i="6"/>
  <c r="DB599" i="6"/>
  <c r="DA599" i="6"/>
  <c r="CZ599" i="6"/>
  <c r="CY599" i="6"/>
  <c r="CX599" i="6"/>
  <c r="CV599" i="6"/>
  <c r="CU599" i="6"/>
  <c r="CT599" i="6"/>
  <c r="CS599" i="6"/>
  <c r="CR599" i="6"/>
  <c r="CQ599" i="6"/>
  <c r="CP599" i="6"/>
  <c r="CO599" i="6"/>
  <c r="CN599" i="6"/>
  <c r="CM599" i="6"/>
  <c r="CL599" i="6"/>
  <c r="CK599" i="6"/>
  <c r="CJ599" i="6"/>
  <c r="CI599" i="6"/>
  <c r="CH599" i="6"/>
  <c r="CG599" i="6"/>
  <c r="CF599" i="6"/>
  <c r="CE599" i="6"/>
  <c r="CD599" i="6"/>
  <c r="CC599" i="6"/>
  <c r="CB599" i="6"/>
  <c r="CA599" i="6"/>
  <c r="BZ599" i="6"/>
  <c r="BY599" i="6"/>
  <c r="BX599" i="6"/>
  <c r="BW599" i="6"/>
  <c r="BV599" i="6"/>
  <c r="BU599" i="6"/>
  <c r="BT599" i="6"/>
  <c r="BS599" i="6"/>
  <c r="BR599" i="6"/>
  <c r="BQ599" i="6"/>
  <c r="BP599" i="6"/>
  <c r="BO599" i="6"/>
  <c r="BN599" i="6"/>
  <c r="BM599" i="6"/>
  <c r="BL599" i="6"/>
  <c r="BK599" i="6"/>
  <c r="BJ599" i="6"/>
  <c r="BI599" i="6"/>
  <c r="BH599" i="6"/>
  <c r="BG599" i="6"/>
  <c r="BF599" i="6"/>
  <c r="BE599" i="6"/>
  <c r="BD599" i="6"/>
  <c r="BC599" i="6"/>
  <c r="BB599" i="6"/>
  <c r="BA599" i="6"/>
  <c r="AZ599" i="6"/>
  <c r="AY599" i="6"/>
  <c r="AX599" i="6"/>
  <c r="AW599" i="6"/>
  <c r="AV599" i="6"/>
  <c r="AU599" i="6"/>
  <c r="AT599" i="6"/>
  <c r="AS599" i="6"/>
  <c r="AR599" i="6"/>
  <c r="AQ599" i="6"/>
  <c r="AP599" i="6"/>
  <c r="AO599" i="6"/>
  <c r="AN599" i="6"/>
  <c r="AM599" i="6"/>
  <c r="AL599" i="6"/>
  <c r="AK599" i="6"/>
  <c r="AJ599" i="6"/>
  <c r="AI599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DE598" i="6"/>
  <c r="DD598" i="6"/>
  <c r="DC598" i="6"/>
  <c r="DB598" i="6"/>
  <c r="DA598" i="6"/>
  <c r="CZ598" i="6"/>
  <c r="CY598" i="6"/>
  <c r="CX598" i="6"/>
  <c r="CV598" i="6"/>
  <c r="CU598" i="6"/>
  <c r="CT598" i="6"/>
  <c r="CS598" i="6"/>
  <c r="CR598" i="6"/>
  <c r="CQ598" i="6"/>
  <c r="CP598" i="6"/>
  <c r="CO598" i="6"/>
  <c r="CN598" i="6"/>
  <c r="CM598" i="6"/>
  <c r="CL598" i="6"/>
  <c r="CK598" i="6"/>
  <c r="CJ598" i="6"/>
  <c r="CI598" i="6"/>
  <c r="CH598" i="6"/>
  <c r="CG598" i="6"/>
  <c r="CF598" i="6"/>
  <c r="CE598" i="6"/>
  <c r="CD598" i="6"/>
  <c r="CC598" i="6"/>
  <c r="CB598" i="6"/>
  <c r="CA598" i="6"/>
  <c r="BZ598" i="6"/>
  <c r="BY598" i="6"/>
  <c r="BX598" i="6"/>
  <c r="BW598" i="6"/>
  <c r="BV598" i="6"/>
  <c r="BU598" i="6"/>
  <c r="BT598" i="6"/>
  <c r="BS598" i="6"/>
  <c r="BR598" i="6"/>
  <c r="BQ598" i="6"/>
  <c r="BP598" i="6"/>
  <c r="BO598" i="6"/>
  <c r="BN598" i="6"/>
  <c r="BM598" i="6"/>
  <c r="BL598" i="6"/>
  <c r="BK598" i="6"/>
  <c r="BJ598" i="6"/>
  <c r="BI598" i="6"/>
  <c r="BH598" i="6"/>
  <c r="BG598" i="6"/>
  <c r="BF598" i="6"/>
  <c r="BE598" i="6"/>
  <c r="BD598" i="6"/>
  <c r="BC598" i="6"/>
  <c r="BB598" i="6"/>
  <c r="BA598" i="6"/>
  <c r="AZ598" i="6"/>
  <c r="AY598" i="6"/>
  <c r="AX598" i="6"/>
  <c r="AW598" i="6"/>
  <c r="AV598" i="6"/>
  <c r="AU598" i="6"/>
  <c r="AT598" i="6"/>
  <c r="AS598" i="6"/>
  <c r="AR598" i="6"/>
  <c r="AQ598" i="6"/>
  <c r="AP598" i="6"/>
  <c r="AO598" i="6"/>
  <c r="AN598" i="6"/>
  <c r="AM598" i="6"/>
  <c r="AL598" i="6"/>
  <c r="AK598" i="6"/>
  <c r="AJ598" i="6"/>
  <c r="AI598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B598" i="6"/>
  <c r="A598" i="6"/>
  <c r="DE597" i="6"/>
  <c r="DD597" i="6"/>
  <c r="DC597" i="6"/>
  <c r="DB597" i="6"/>
  <c r="DA597" i="6"/>
  <c r="CZ597" i="6"/>
  <c r="CY597" i="6"/>
  <c r="CX597" i="6"/>
  <c r="CV597" i="6"/>
  <c r="CU597" i="6"/>
  <c r="CT597" i="6"/>
  <c r="CS597" i="6"/>
  <c r="CR597" i="6"/>
  <c r="CQ597" i="6"/>
  <c r="CP597" i="6"/>
  <c r="CO597" i="6"/>
  <c r="CN597" i="6"/>
  <c r="CM597" i="6"/>
  <c r="CL597" i="6"/>
  <c r="CK597" i="6"/>
  <c r="CJ597" i="6"/>
  <c r="CI597" i="6"/>
  <c r="CH597" i="6"/>
  <c r="CG597" i="6"/>
  <c r="CF597" i="6"/>
  <c r="CE597" i="6"/>
  <c r="CD597" i="6"/>
  <c r="CC597" i="6"/>
  <c r="CB597" i="6"/>
  <c r="CA597" i="6"/>
  <c r="BZ597" i="6"/>
  <c r="BY597" i="6"/>
  <c r="BX597" i="6"/>
  <c r="BW597" i="6"/>
  <c r="BV597" i="6"/>
  <c r="BU597" i="6"/>
  <c r="BT597" i="6"/>
  <c r="BS597" i="6"/>
  <c r="BR597" i="6"/>
  <c r="BQ597" i="6"/>
  <c r="BP597" i="6"/>
  <c r="BO597" i="6"/>
  <c r="BN597" i="6"/>
  <c r="BM597" i="6"/>
  <c r="BL597" i="6"/>
  <c r="BK597" i="6"/>
  <c r="BJ597" i="6"/>
  <c r="BI597" i="6"/>
  <c r="BH597" i="6"/>
  <c r="BG597" i="6"/>
  <c r="BF597" i="6"/>
  <c r="BE597" i="6"/>
  <c r="BD597" i="6"/>
  <c r="BC597" i="6"/>
  <c r="BB597" i="6"/>
  <c r="BA597" i="6"/>
  <c r="AZ597" i="6"/>
  <c r="AY597" i="6"/>
  <c r="AX597" i="6"/>
  <c r="AW597" i="6"/>
  <c r="AV597" i="6"/>
  <c r="AU597" i="6"/>
  <c r="AT597" i="6"/>
  <c r="AS597" i="6"/>
  <c r="AR597" i="6"/>
  <c r="AQ597" i="6"/>
  <c r="AP597" i="6"/>
  <c r="AO597" i="6"/>
  <c r="AN597" i="6"/>
  <c r="AM597" i="6"/>
  <c r="AL597" i="6"/>
  <c r="AK597" i="6"/>
  <c r="AJ597" i="6"/>
  <c r="AI597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B597" i="6"/>
  <c r="A597" i="6"/>
  <c r="DE596" i="6"/>
  <c r="DD596" i="6"/>
  <c r="DC596" i="6"/>
  <c r="DB596" i="6"/>
  <c r="DA596" i="6"/>
  <c r="CZ596" i="6"/>
  <c r="CY596" i="6"/>
  <c r="CX596" i="6"/>
  <c r="CV596" i="6"/>
  <c r="CU596" i="6"/>
  <c r="CT596" i="6"/>
  <c r="CS596" i="6"/>
  <c r="CR596" i="6"/>
  <c r="CQ596" i="6"/>
  <c r="CP596" i="6"/>
  <c r="CO596" i="6"/>
  <c r="CN596" i="6"/>
  <c r="CM596" i="6"/>
  <c r="CL596" i="6"/>
  <c r="CK596" i="6"/>
  <c r="CJ596" i="6"/>
  <c r="CI596" i="6"/>
  <c r="CH596" i="6"/>
  <c r="CG596" i="6"/>
  <c r="CF596" i="6"/>
  <c r="CE596" i="6"/>
  <c r="CD596" i="6"/>
  <c r="CC596" i="6"/>
  <c r="CB596" i="6"/>
  <c r="CA596" i="6"/>
  <c r="BZ596" i="6"/>
  <c r="BY596" i="6"/>
  <c r="BX596" i="6"/>
  <c r="BW596" i="6"/>
  <c r="BV596" i="6"/>
  <c r="BU596" i="6"/>
  <c r="BT596" i="6"/>
  <c r="BS596" i="6"/>
  <c r="BR596" i="6"/>
  <c r="BQ596" i="6"/>
  <c r="BP596" i="6"/>
  <c r="BO596" i="6"/>
  <c r="BN596" i="6"/>
  <c r="BM596" i="6"/>
  <c r="BL596" i="6"/>
  <c r="BK596" i="6"/>
  <c r="BJ596" i="6"/>
  <c r="BI596" i="6"/>
  <c r="BH596" i="6"/>
  <c r="BG596" i="6"/>
  <c r="BF596" i="6"/>
  <c r="BE596" i="6"/>
  <c r="BD596" i="6"/>
  <c r="BC596" i="6"/>
  <c r="BB596" i="6"/>
  <c r="BA596" i="6"/>
  <c r="AZ596" i="6"/>
  <c r="AY596" i="6"/>
  <c r="AX596" i="6"/>
  <c r="AW596" i="6"/>
  <c r="AV596" i="6"/>
  <c r="AU596" i="6"/>
  <c r="AT596" i="6"/>
  <c r="AS596" i="6"/>
  <c r="AR596" i="6"/>
  <c r="AQ596" i="6"/>
  <c r="AP596" i="6"/>
  <c r="AO596" i="6"/>
  <c r="AN596" i="6"/>
  <c r="AM596" i="6"/>
  <c r="AL596" i="6"/>
  <c r="AK596" i="6"/>
  <c r="AJ596" i="6"/>
  <c r="AI596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B596" i="6"/>
  <c r="A596" i="6"/>
  <c r="DE595" i="6"/>
  <c r="DD595" i="6"/>
  <c r="DC595" i="6"/>
  <c r="DB595" i="6"/>
  <c r="DA595" i="6"/>
  <c r="CZ595" i="6"/>
  <c r="CY595" i="6"/>
  <c r="CX595" i="6"/>
  <c r="CV595" i="6"/>
  <c r="CU595" i="6"/>
  <c r="CT595" i="6"/>
  <c r="CS595" i="6"/>
  <c r="CR595" i="6"/>
  <c r="CQ595" i="6"/>
  <c r="CP595" i="6"/>
  <c r="CO595" i="6"/>
  <c r="CN595" i="6"/>
  <c r="CM595" i="6"/>
  <c r="CL595" i="6"/>
  <c r="CK595" i="6"/>
  <c r="CJ595" i="6"/>
  <c r="CI595" i="6"/>
  <c r="CH595" i="6"/>
  <c r="CG595" i="6"/>
  <c r="CF595" i="6"/>
  <c r="CE595" i="6"/>
  <c r="CD595" i="6"/>
  <c r="CC595" i="6"/>
  <c r="CB595" i="6"/>
  <c r="CA595" i="6"/>
  <c r="BZ595" i="6"/>
  <c r="BY595" i="6"/>
  <c r="BX595" i="6"/>
  <c r="BW595" i="6"/>
  <c r="BV595" i="6"/>
  <c r="BU595" i="6"/>
  <c r="BT595" i="6"/>
  <c r="BS595" i="6"/>
  <c r="BR595" i="6"/>
  <c r="BQ595" i="6"/>
  <c r="BP595" i="6"/>
  <c r="BO595" i="6"/>
  <c r="BN595" i="6"/>
  <c r="BM595" i="6"/>
  <c r="BL595" i="6"/>
  <c r="BK595" i="6"/>
  <c r="BJ595" i="6"/>
  <c r="BI595" i="6"/>
  <c r="BH595" i="6"/>
  <c r="BG595" i="6"/>
  <c r="BF595" i="6"/>
  <c r="BE595" i="6"/>
  <c r="BD595" i="6"/>
  <c r="BC595" i="6"/>
  <c r="BB595" i="6"/>
  <c r="BA595" i="6"/>
  <c r="AZ595" i="6"/>
  <c r="AY595" i="6"/>
  <c r="AX595" i="6"/>
  <c r="AW595" i="6"/>
  <c r="AV595" i="6"/>
  <c r="AU595" i="6"/>
  <c r="AT595" i="6"/>
  <c r="AS595" i="6"/>
  <c r="AR595" i="6"/>
  <c r="AQ595" i="6"/>
  <c r="AP595" i="6"/>
  <c r="AO595" i="6"/>
  <c r="AN595" i="6"/>
  <c r="AM595" i="6"/>
  <c r="AL595" i="6"/>
  <c r="AK595" i="6"/>
  <c r="AJ595" i="6"/>
  <c r="AI595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B595" i="6"/>
  <c r="A595" i="6"/>
  <c r="DE594" i="6"/>
  <c r="DD594" i="6"/>
  <c r="DC594" i="6"/>
  <c r="DB594" i="6"/>
  <c r="DA594" i="6"/>
  <c r="CZ594" i="6"/>
  <c r="CY594" i="6"/>
  <c r="CX594" i="6"/>
  <c r="CV594" i="6"/>
  <c r="CU594" i="6"/>
  <c r="CT594" i="6"/>
  <c r="CS594" i="6"/>
  <c r="CR594" i="6"/>
  <c r="CQ594" i="6"/>
  <c r="CP594" i="6"/>
  <c r="CO594" i="6"/>
  <c r="CN594" i="6"/>
  <c r="CM594" i="6"/>
  <c r="CL594" i="6"/>
  <c r="CK594" i="6"/>
  <c r="CJ594" i="6"/>
  <c r="CI594" i="6"/>
  <c r="CH594" i="6"/>
  <c r="CG594" i="6"/>
  <c r="CF594" i="6"/>
  <c r="CE594" i="6"/>
  <c r="CD594" i="6"/>
  <c r="CC594" i="6"/>
  <c r="CB594" i="6"/>
  <c r="CA594" i="6"/>
  <c r="BZ594" i="6"/>
  <c r="BY594" i="6"/>
  <c r="BX594" i="6"/>
  <c r="BW594" i="6"/>
  <c r="BV594" i="6"/>
  <c r="BU594" i="6"/>
  <c r="BT594" i="6"/>
  <c r="BS594" i="6"/>
  <c r="BR594" i="6"/>
  <c r="BQ594" i="6"/>
  <c r="BP594" i="6"/>
  <c r="BO594" i="6"/>
  <c r="BN594" i="6"/>
  <c r="BM594" i="6"/>
  <c r="BL594" i="6"/>
  <c r="BK594" i="6"/>
  <c r="BJ594" i="6"/>
  <c r="BI594" i="6"/>
  <c r="BH594" i="6"/>
  <c r="BG594" i="6"/>
  <c r="BF594" i="6"/>
  <c r="BE594" i="6"/>
  <c r="BD594" i="6"/>
  <c r="BC594" i="6"/>
  <c r="BB594" i="6"/>
  <c r="BA594" i="6"/>
  <c r="AZ594" i="6"/>
  <c r="AY594" i="6"/>
  <c r="AX594" i="6"/>
  <c r="AW594" i="6"/>
  <c r="AV594" i="6"/>
  <c r="AU594" i="6"/>
  <c r="AT594" i="6"/>
  <c r="AS594" i="6"/>
  <c r="AR594" i="6"/>
  <c r="AQ594" i="6"/>
  <c r="AP594" i="6"/>
  <c r="AO594" i="6"/>
  <c r="AN594" i="6"/>
  <c r="AM594" i="6"/>
  <c r="AL594" i="6"/>
  <c r="AK594" i="6"/>
  <c r="AJ594" i="6"/>
  <c r="AI594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B594" i="6"/>
  <c r="A594" i="6"/>
  <c r="DE593" i="6"/>
  <c r="DD593" i="6"/>
  <c r="DC593" i="6"/>
  <c r="DB593" i="6"/>
  <c r="DA593" i="6"/>
  <c r="CZ593" i="6"/>
  <c r="CY593" i="6"/>
  <c r="CX593" i="6"/>
  <c r="CV593" i="6"/>
  <c r="CU593" i="6"/>
  <c r="CT593" i="6"/>
  <c r="CS593" i="6"/>
  <c r="CR593" i="6"/>
  <c r="CQ593" i="6"/>
  <c r="CP593" i="6"/>
  <c r="CO593" i="6"/>
  <c r="CN593" i="6"/>
  <c r="CM593" i="6"/>
  <c r="CL593" i="6"/>
  <c r="CK593" i="6"/>
  <c r="CJ593" i="6"/>
  <c r="CI593" i="6"/>
  <c r="CH593" i="6"/>
  <c r="CG593" i="6"/>
  <c r="CF593" i="6"/>
  <c r="CE593" i="6"/>
  <c r="CD593" i="6"/>
  <c r="CC593" i="6"/>
  <c r="CB593" i="6"/>
  <c r="CA593" i="6"/>
  <c r="BZ593" i="6"/>
  <c r="BY593" i="6"/>
  <c r="BX593" i="6"/>
  <c r="BW593" i="6"/>
  <c r="BV593" i="6"/>
  <c r="BU593" i="6"/>
  <c r="BT593" i="6"/>
  <c r="BS593" i="6"/>
  <c r="BR593" i="6"/>
  <c r="BQ593" i="6"/>
  <c r="BP593" i="6"/>
  <c r="BO593" i="6"/>
  <c r="BN593" i="6"/>
  <c r="BM593" i="6"/>
  <c r="BL593" i="6"/>
  <c r="BK593" i="6"/>
  <c r="BJ593" i="6"/>
  <c r="BI593" i="6"/>
  <c r="BH593" i="6"/>
  <c r="BG593" i="6"/>
  <c r="BF593" i="6"/>
  <c r="BE593" i="6"/>
  <c r="BD593" i="6"/>
  <c r="BC593" i="6"/>
  <c r="BB593" i="6"/>
  <c r="BA593" i="6"/>
  <c r="AZ593" i="6"/>
  <c r="AY593" i="6"/>
  <c r="AX593" i="6"/>
  <c r="AW593" i="6"/>
  <c r="AV593" i="6"/>
  <c r="AU593" i="6"/>
  <c r="AT593" i="6"/>
  <c r="AS593" i="6"/>
  <c r="AR593" i="6"/>
  <c r="AQ593" i="6"/>
  <c r="AP593" i="6"/>
  <c r="AO593" i="6"/>
  <c r="AN593" i="6"/>
  <c r="AM593" i="6"/>
  <c r="AL593" i="6"/>
  <c r="AK593" i="6"/>
  <c r="AJ593" i="6"/>
  <c r="AI593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DE592" i="6"/>
  <c r="DD592" i="6"/>
  <c r="DC592" i="6"/>
  <c r="DB592" i="6"/>
  <c r="DA592" i="6"/>
  <c r="CZ592" i="6"/>
  <c r="CY592" i="6"/>
  <c r="CX592" i="6"/>
  <c r="CV592" i="6"/>
  <c r="CU592" i="6"/>
  <c r="CT592" i="6"/>
  <c r="CS592" i="6"/>
  <c r="CR592" i="6"/>
  <c r="CQ592" i="6"/>
  <c r="CP592" i="6"/>
  <c r="CO592" i="6"/>
  <c r="CN592" i="6"/>
  <c r="CM592" i="6"/>
  <c r="CL592" i="6"/>
  <c r="CK592" i="6"/>
  <c r="CJ592" i="6"/>
  <c r="CI592" i="6"/>
  <c r="CH592" i="6"/>
  <c r="CG592" i="6"/>
  <c r="CF592" i="6"/>
  <c r="CE592" i="6"/>
  <c r="CD592" i="6"/>
  <c r="CC592" i="6"/>
  <c r="CB592" i="6"/>
  <c r="CA592" i="6"/>
  <c r="BZ592" i="6"/>
  <c r="BY592" i="6"/>
  <c r="BX592" i="6"/>
  <c r="BW592" i="6"/>
  <c r="BV592" i="6"/>
  <c r="BU592" i="6"/>
  <c r="BT592" i="6"/>
  <c r="BS592" i="6"/>
  <c r="BR592" i="6"/>
  <c r="BQ592" i="6"/>
  <c r="BP592" i="6"/>
  <c r="BO592" i="6"/>
  <c r="BN592" i="6"/>
  <c r="BM592" i="6"/>
  <c r="BL592" i="6"/>
  <c r="BK592" i="6"/>
  <c r="BJ592" i="6"/>
  <c r="BI592" i="6"/>
  <c r="BH592" i="6"/>
  <c r="BG592" i="6"/>
  <c r="BF592" i="6"/>
  <c r="BE592" i="6"/>
  <c r="BD592" i="6"/>
  <c r="BC592" i="6"/>
  <c r="BB592" i="6"/>
  <c r="BA592" i="6"/>
  <c r="AZ592" i="6"/>
  <c r="AY592" i="6"/>
  <c r="AX592" i="6"/>
  <c r="AW592" i="6"/>
  <c r="AV592" i="6"/>
  <c r="AU592" i="6"/>
  <c r="AT592" i="6"/>
  <c r="AS592" i="6"/>
  <c r="AR592" i="6"/>
  <c r="AQ592" i="6"/>
  <c r="AP592" i="6"/>
  <c r="AO592" i="6"/>
  <c r="AN592" i="6"/>
  <c r="AM592" i="6"/>
  <c r="AL592" i="6"/>
  <c r="AK592" i="6"/>
  <c r="AJ592" i="6"/>
  <c r="AI592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B592" i="6"/>
  <c r="A592" i="6"/>
  <c r="DE591" i="6"/>
  <c r="DD591" i="6"/>
  <c r="DC591" i="6"/>
  <c r="DB591" i="6"/>
  <c r="DA591" i="6"/>
  <c r="CZ591" i="6"/>
  <c r="CY591" i="6"/>
  <c r="CX591" i="6"/>
  <c r="CV591" i="6"/>
  <c r="CU591" i="6"/>
  <c r="CT591" i="6"/>
  <c r="CS591" i="6"/>
  <c r="CR591" i="6"/>
  <c r="CQ591" i="6"/>
  <c r="CP591" i="6"/>
  <c r="CO591" i="6"/>
  <c r="CN591" i="6"/>
  <c r="CM591" i="6"/>
  <c r="CL591" i="6"/>
  <c r="CK591" i="6"/>
  <c r="CJ591" i="6"/>
  <c r="CI591" i="6"/>
  <c r="CH591" i="6"/>
  <c r="CG591" i="6"/>
  <c r="CF591" i="6"/>
  <c r="CE591" i="6"/>
  <c r="CD591" i="6"/>
  <c r="CC591" i="6"/>
  <c r="CB591" i="6"/>
  <c r="CA591" i="6"/>
  <c r="BZ591" i="6"/>
  <c r="BY591" i="6"/>
  <c r="BX591" i="6"/>
  <c r="BW591" i="6"/>
  <c r="BV591" i="6"/>
  <c r="BU591" i="6"/>
  <c r="BT591" i="6"/>
  <c r="BS591" i="6"/>
  <c r="BR591" i="6"/>
  <c r="BQ591" i="6"/>
  <c r="BP591" i="6"/>
  <c r="BO591" i="6"/>
  <c r="BN591" i="6"/>
  <c r="BM591" i="6"/>
  <c r="BL591" i="6"/>
  <c r="BK591" i="6"/>
  <c r="BJ591" i="6"/>
  <c r="BI591" i="6"/>
  <c r="BH591" i="6"/>
  <c r="BG591" i="6"/>
  <c r="BF591" i="6"/>
  <c r="BE591" i="6"/>
  <c r="BD591" i="6"/>
  <c r="BC591" i="6"/>
  <c r="BB591" i="6"/>
  <c r="BA591" i="6"/>
  <c r="AZ591" i="6"/>
  <c r="AY591" i="6"/>
  <c r="AX591" i="6"/>
  <c r="AW591" i="6"/>
  <c r="AV591" i="6"/>
  <c r="AU591" i="6"/>
  <c r="AT591" i="6"/>
  <c r="AS591" i="6"/>
  <c r="AR591" i="6"/>
  <c r="AQ591" i="6"/>
  <c r="AP591" i="6"/>
  <c r="AO591" i="6"/>
  <c r="AN591" i="6"/>
  <c r="AM591" i="6"/>
  <c r="AL591" i="6"/>
  <c r="AK591" i="6"/>
  <c r="AJ591" i="6"/>
  <c r="AI591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DE590" i="6"/>
  <c r="DD590" i="6"/>
  <c r="DC590" i="6"/>
  <c r="DB590" i="6"/>
  <c r="DA590" i="6"/>
  <c r="CZ590" i="6"/>
  <c r="CY590" i="6"/>
  <c r="CX590" i="6"/>
  <c r="CV590" i="6"/>
  <c r="CU590" i="6"/>
  <c r="CT590" i="6"/>
  <c r="CS590" i="6"/>
  <c r="CR590" i="6"/>
  <c r="CQ590" i="6"/>
  <c r="CP590" i="6"/>
  <c r="CO590" i="6"/>
  <c r="CN590" i="6"/>
  <c r="CM590" i="6"/>
  <c r="CL590" i="6"/>
  <c r="CK590" i="6"/>
  <c r="CJ590" i="6"/>
  <c r="CI590" i="6"/>
  <c r="CH590" i="6"/>
  <c r="CG590" i="6"/>
  <c r="CF590" i="6"/>
  <c r="CE590" i="6"/>
  <c r="CD590" i="6"/>
  <c r="CC590" i="6"/>
  <c r="CB590" i="6"/>
  <c r="CA590" i="6"/>
  <c r="BZ590" i="6"/>
  <c r="BY590" i="6"/>
  <c r="BX590" i="6"/>
  <c r="BW590" i="6"/>
  <c r="BV590" i="6"/>
  <c r="BU590" i="6"/>
  <c r="BT590" i="6"/>
  <c r="BS590" i="6"/>
  <c r="BR590" i="6"/>
  <c r="BQ590" i="6"/>
  <c r="BP590" i="6"/>
  <c r="BO590" i="6"/>
  <c r="BN590" i="6"/>
  <c r="BM590" i="6"/>
  <c r="BL590" i="6"/>
  <c r="BK590" i="6"/>
  <c r="BJ590" i="6"/>
  <c r="BI590" i="6"/>
  <c r="BH590" i="6"/>
  <c r="BG590" i="6"/>
  <c r="BF590" i="6"/>
  <c r="BE590" i="6"/>
  <c r="BD590" i="6"/>
  <c r="BC590" i="6"/>
  <c r="BB590" i="6"/>
  <c r="BA590" i="6"/>
  <c r="AZ590" i="6"/>
  <c r="AY590" i="6"/>
  <c r="AX590" i="6"/>
  <c r="AW590" i="6"/>
  <c r="AV590" i="6"/>
  <c r="AU590" i="6"/>
  <c r="AT590" i="6"/>
  <c r="AS590" i="6"/>
  <c r="AR590" i="6"/>
  <c r="AQ590" i="6"/>
  <c r="AP590" i="6"/>
  <c r="AO590" i="6"/>
  <c r="AN590" i="6"/>
  <c r="AM590" i="6"/>
  <c r="AL590" i="6"/>
  <c r="AK590" i="6"/>
  <c r="AJ590" i="6"/>
  <c r="AI590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B590" i="6"/>
  <c r="A590" i="6"/>
  <c r="DE589" i="6"/>
  <c r="DD589" i="6"/>
  <c r="DC589" i="6"/>
  <c r="DB589" i="6"/>
  <c r="DA589" i="6"/>
  <c r="CZ589" i="6"/>
  <c r="CY589" i="6"/>
  <c r="CX589" i="6"/>
  <c r="CV589" i="6"/>
  <c r="CU589" i="6"/>
  <c r="CT589" i="6"/>
  <c r="CS589" i="6"/>
  <c r="CR589" i="6"/>
  <c r="CQ589" i="6"/>
  <c r="CP589" i="6"/>
  <c r="CO589" i="6"/>
  <c r="CN589" i="6"/>
  <c r="CM589" i="6"/>
  <c r="CL589" i="6"/>
  <c r="CK589" i="6"/>
  <c r="CJ589" i="6"/>
  <c r="CI589" i="6"/>
  <c r="CH589" i="6"/>
  <c r="CG589" i="6"/>
  <c r="CF589" i="6"/>
  <c r="CE589" i="6"/>
  <c r="CD589" i="6"/>
  <c r="CC589" i="6"/>
  <c r="CB589" i="6"/>
  <c r="CA589" i="6"/>
  <c r="BZ589" i="6"/>
  <c r="BY589" i="6"/>
  <c r="BX589" i="6"/>
  <c r="BW589" i="6"/>
  <c r="BV589" i="6"/>
  <c r="BU589" i="6"/>
  <c r="BT589" i="6"/>
  <c r="BS589" i="6"/>
  <c r="BR589" i="6"/>
  <c r="BQ589" i="6"/>
  <c r="BP589" i="6"/>
  <c r="BO589" i="6"/>
  <c r="BN589" i="6"/>
  <c r="BM589" i="6"/>
  <c r="BL589" i="6"/>
  <c r="BK589" i="6"/>
  <c r="BJ589" i="6"/>
  <c r="BI589" i="6"/>
  <c r="BH589" i="6"/>
  <c r="BG589" i="6"/>
  <c r="BF589" i="6"/>
  <c r="BE589" i="6"/>
  <c r="BD589" i="6"/>
  <c r="BC589" i="6"/>
  <c r="BB589" i="6"/>
  <c r="BA589" i="6"/>
  <c r="AZ589" i="6"/>
  <c r="AY589" i="6"/>
  <c r="AX589" i="6"/>
  <c r="AW589" i="6"/>
  <c r="AV589" i="6"/>
  <c r="AU589" i="6"/>
  <c r="AT589" i="6"/>
  <c r="AS589" i="6"/>
  <c r="AR589" i="6"/>
  <c r="AQ589" i="6"/>
  <c r="AP589" i="6"/>
  <c r="AO589" i="6"/>
  <c r="AN589" i="6"/>
  <c r="AM589" i="6"/>
  <c r="AL589" i="6"/>
  <c r="AK589" i="6"/>
  <c r="AJ589" i="6"/>
  <c r="AI589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B589" i="6"/>
  <c r="A589" i="6"/>
  <c r="DE588" i="6"/>
  <c r="DD588" i="6"/>
  <c r="DC588" i="6"/>
  <c r="DB588" i="6"/>
  <c r="DA588" i="6"/>
  <c r="CZ588" i="6"/>
  <c r="CY588" i="6"/>
  <c r="CX588" i="6"/>
  <c r="CV588" i="6"/>
  <c r="CU588" i="6"/>
  <c r="CT588" i="6"/>
  <c r="CS588" i="6"/>
  <c r="CR588" i="6"/>
  <c r="CQ588" i="6"/>
  <c r="CP588" i="6"/>
  <c r="CO588" i="6"/>
  <c r="CN588" i="6"/>
  <c r="CM588" i="6"/>
  <c r="CL588" i="6"/>
  <c r="CK588" i="6"/>
  <c r="CJ588" i="6"/>
  <c r="CI588" i="6"/>
  <c r="CH588" i="6"/>
  <c r="CG588" i="6"/>
  <c r="CF588" i="6"/>
  <c r="CE588" i="6"/>
  <c r="CD588" i="6"/>
  <c r="CC588" i="6"/>
  <c r="CB588" i="6"/>
  <c r="CA588" i="6"/>
  <c r="BZ588" i="6"/>
  <c r="BY588" i="6"/>
  <c r="BX588" i="6"/>
  <c r="BW588" i="6"/>
  <c r="BV588" i="6"/>
  <c r="BU588" i="6"/>
  <c r="BT588" i="6"/>
  <c r="BS588" i="6"/>
  <c r="BR588" i="6"/>
  <c r="BQ588" i="6"/>
  <c r="BP588" i="6"/>
  <c r="BO588" i="6"/>
  <c r="BN588" i="6"/>
  <c r="BM588" i="6"/>
  <c r="BL588" i="6"/>
  <c r="BK588" i="6"/>
  <c r="BJ588" i="6"/>
  <c r="BI588" i="6"/>
  <c r="BH588" i="6"/>
  <c r="BG588" i="6"/>
  <c r="BF588" i="6"/>
  <c r="BE588" i="6"/>
  <c r="BD588" i="6"/>
  <c r="BC588" i="6"/>
  <c r="BB588" i="6"/>
  <c r="BA588" i="6"/>
  <c r="AZ588" i="6"/>
  <c r="AY588" i="6"/>
  <c r="AX588" i="6"/>
  <c r="AW588" i="6"/>
  <c r="AV588" i="6"/>
  <c r="AU588" i="6"/>
  <c r="AT588" i="6"/>
  <c r="AS588" i="6"/>
  <c r="AR588" i="6"/>
  <c r="AQ588" i="6"/>
  <c r="AP588" i="6"/>
  <c r="AO588" i="6"/>
  <c r="AN588" i="6"/>
  <c r="AM588" i="6"/>
  <c r="AL588" i="6"/>
  <c r="AK588" i="6"/>
  <c r="AJ588" i="6"/>
  <c r="AI588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B588" i="6"/>
  <c r="A588" i="6"/>
  <c r="DE587" i="6"/>
  <c r="DD587" i="6"/>
  <c r="DC587" i="6"/>
  <c r="DB587" i="6"/>
  <c r="DA587" i="6"/>
  <c r="CZ587" i="6"/>
  <c r="CY587" i="6"/>
  <c r="CX587" i="6"/>
  <c r="CV587" i="6"/>
  <c r="CU587" i="6"/>
  <c r="CT587" i="6"/>
  <c r="CS587" i="6"/>
  <c r="CR587" i="6"/>
  <c r="CQ587" i="6"/>
  <c r="CP587" i="6"/>
  <c r="CO587" i="6"/>
  <c r="CN587" i="6"/>
  <c r="CM587" i="6"/>
  <c r="CL587" i="6"/>
  <c r="CK587" i="6"/>
  <c r="CJ587" i="6"/>
  <c r="CI587" i="6"/>
  <c r="CH587" i="6"/>
  <c r="CG587" i="6"/>
  <c r="CF587" i="6"/>
  <c r="CE587" i="6"/>
  <c r="CD587" i="6"/>
  <c r="CC587" i="6"/>
  <c r="CB587" i="6"/>
  <c r="CA587" i="6"/>
  <c r="BZ587" i="6"/>
  <c r="BY587" i="6"/>
  <c r="BX587" i="6"/>
  <c r="BW587" i="6"/>
  <c r="BV587" i="6"/>
  <c r="BU587" i="6"/>
  <c r="BT587" i="6"/>
  <c r="BS587" i="6"/>
  <c r="BR587" i="6"/>
  <c r="BQ587" i="6"/>
  <c r="BP587" i="6"/>
  <c r="BO587" i="6"/>
  <c r="BN587" i="6"/>
  <c r="BM587" i="6"/>
  <c r="BL587" i="6"/>
  <c r="BK587" i="6"/>
  <c r="BJ587" i="6"/>
  <c r="BI587" i="6"/>
  <c r="BH587" i="6"/>
  <c r="BG587" i="6"/>
  <c r="BF587" i="6"/>
  <c r="BE587" i="6"/>
  <c r="BD587" i="6"/>
  <c r="BC587" i="6"/>
  <c r="BB587" i="6"/>
  <c r="BA587" i="6"/>
  <c r="AZ587" i="6"/>
  <c r="AY587" i="6"/>
  <c r="AX587" i="6"/>
  <c r="AW587" i="6"/>
  <c r="AV587" i="6"/>
  <c r="AU587" i="6"/>
  <c r="AT587" i="6"/>
  <c r="AS587" i="6"/>
  <c r="AR587" i="6"/>
  <c r="AQ587" i="6"/>
  <c r="AP587" i="6"/>
  <c r="AO587" i="6"/>
  <c r="AN587" i="6"/>
  <c r="AM587" i="6"/>
  <c r="AL587" i="6"/>
  <c r="AK587" i="6"/>
  <c r="AJ587" i="6"/>
  <c r="AI587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B587" i="6"/>
  <c r="A587" i="6"/>
  <c r="DE586" i="6"/>
  <c r="DD586" i="6"/>
  <c r="DC586" i="6"/>
  <c r="DB586" i="6"/>
  <c r="DA586" i="6"/>
  <c r="CZ586" i="6"/>
  <c r="CY586" i="6"/>
  <c r="CX586" i="6"/>
  <c r="CV586" i="6"/>
  <c r="CU586" i="6"/>
  <c r="CT586" i="6"/>
  <c r="CS586" i="6"/>
  <c r="CR586" i="6"/>
  <c r="CQ586" i="6"/>
  <c r="CP586" i="6"/>
  <c r="CO586" i="6"/>
  <c r="CN586" i="6"/>
  <c r="CM586" i="6"/>
  <c r="CL586" i="6"/>
  <c r="CK586" i="6"/>
  <c r="CJ586" i="6"/>
  <c r="CI586" i="6"/>
  <c r="CH586" i="6"/>
  <c r="CG586" i="6"/>
  <c r="CF586" i="6"/>
  <c r="CE586" i="6"/>
  <c r="CD586" i="6"/>
  <c r="CC586" i="6"/>
  <c r="CB586" i="6"/>
  <c r="CA586" i="6"/>
  <c r="BZ586" i="6"/>
  <c r="BY586" i="6"/>
  <c r="BX586" i="6"/>
  <c r="BW586" i="6"/>
  <c r="BV586" i="6"/>
  <c r="BU586" i="6"/>
  <c r="BT586" i="6"/>
  <c r="BS586" i="6"/>
  <c r="BR586" i="6"/>
  <c r="BQ586" i="6"/>
  <c r="BP586" i="6"/>
  <c r="BO586" i="6"/>
  <c r="BN586" i="6"/>
  <c r="BM586" i="6"/>
  <c r="BL586" i="6"/>
  <c r="BK586" i="6"/>
  <c r="BJ586" i="6"/>
  <c r="BI586" i="6"/>
  <c r="BH586" i="6"/>
  <c r="BG586" i="6"/>
  <c r="BF586" i="6"/>
  <c r="BE586" i="6"/>
  <c r="BD586" i="6"/>
  <c r="BC586" i="6"/>
  <c r="BB586" i="6"/>
  <c r="BA586" i="6"/>
  <c r="AZ586" i="6"/>
  <c r="AY586" i="6"/>
  <c r="AX586" i="6"/>
  <c r="AW586" i="6"/>
  <c r="AV586" i="6"/>
  <c r="AU586" i="6"/>
  <c r="AT586" i="6"/>
  <c r="AS586" i="6"/>
  <c r="AR586" i="6"/>
  <c r="AQ586" i="6"/>
  <c r="AP586" i="6"/>
  <c r="AO586" i="6"/>
  <c r="AN586" i="6"/>
  <c r="AM586" i="6"/>
  <c r="AL586" i="6"/>
  <c r="AK586" i="6"/>
  <c r="AJ586" i="6"/>
  <c r="AI586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B586" i="6"/>
  <c r="A586" i="6"/>
  <c r="DE585" i="6"/>
  <c r="DD585" i="6"/>
  <c r="DC585" i="6"/>
  <c r="DB585" i="6"/>
  <c r="DA585" i="6"/>
  <c r="CZ585" i="6"/>
  <c r="CY585" i="6"/>
  <c r="CX585" i="6"/>
  <c r="CV585" i="6"/>
  <c r="CU585" i="6"/>
  <c r="CT585" i="6"/>
  <c r="CS585" i="6"/>
  <c r="CR585" i="6"/>
  <c r="CQ585" i="6"/>
  <c r="CP585" i="6"/>
  <c r="CO585" i="6"/>
  <c r="CN585" i="6"/>
  <c r="CM585" i="6"/>
  <c r="CL585" i="6"/>
  <c r="CK585" i="6"/>
  <c r="CJ585" i="6"/>
  <c r="CI585" i="6"/>
  <c r="CH585" i="6"/>
  <c r="CG585" i="6"/>
  <c r="CF585" i="6"/>
  <c r="CE585" i="6"/>
  <c r="CD585" i="6"/>
  <c r="CC585" i="6"/>
  <c r="CB585" i="6"/>
  <c r="CA585" i="6"/>
  <c r="BZ585" i="6"/>
  <c r="BY585" i="6"/>
  <c r="BX585" i="6"/>
  <c r="BW585" i="6"/>
  <c r="BV585" i="6"/>
  <c r="BU585" i="6"/>
  <c r="BT585" i="6"/>
  <c r="BS585" i="6"/>
  <c r="BR585" i="6"/>
  <c r="BQ585" i="6"/>
  <c r="BP585" i="6"/>
  <c r="BO585" i="6"/>
  <c r="BN585" i="6"/>
  <c r="BM585" i="6"/>
  <c r="BL585" i="6"/>
  <c r="BK585" i="6"/>
  <c r="BJ585" i="6"/>
  <c r="BI585" i="6"/>
  <c r="BH585" i="6"/>
  <c r="BG585" i="6"/>
  <c r="BF585" i="6"/>
  <c r="BE585" i="6"/>
  <c r="BD585" i="6"/>
  <c r="BC585" i="6"/>
  <c r="BB585" i="6"/>
  <c r="BA585" i="6"/>
  <c r="AZ585" i="6"/>
  <c r="AY585" i="6"/>
  <c r="AX585" i="6"/>
  <c r="AW585" i="6"/>
  <c r="AV585" i="6"/>
  <c r="AU585" i="6"/>
  <c r="AT585" i="6"/>
  <c r="AS585" i="6"/>
  <c r="AR585" i="6"/>
  <c r="AQ585" i="6"/>
  <c r="AP585" i="6"/>
  <c r="AO585" i="6"/>
  <c r="AN585" i="6"/>
  <c r="AM585" i="6"/>
  <c r="AL585" i="6"/>
  <c r="AK585" i="6"/>
  <c r="AJ585" i="6"/>
  <c r="AI585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B585" i="6"/>
  <c r="A585" i="6"/>
  <c r="DE584" i="6"/>
  <c r="DD584" i="6"/>
  <c r="DC584" i="6"/>
  <c r="DB584" i="6"/>
  <c r="DA584" i="6"/>
  <c r="CZ584" i="6"/>
  <c r="CY584" i="6"/>
  <c r="CX584" i="6"/>
  <c r="CV584" i="6"/>
  <c r="CU584" i="6"/>
  <c r="CT584" i="6"/>
  <c r="CS584" i="6"/>
  <c r="CR584" i="6"/>
  <c r="CQ584" i="6"/>
  <c r="CP584" i="6"/>
  <c r="CO584" i="6"/>
  <c r="CN584" i="6"/>
  <c r="CM584" i="6"/>
  <c r="CL584" i="6"/>
  <c r="CK584" i="6"/>
  <c r="CJ584" i="6"/>
  <c r="CI584" i="6"/>
  <c r="CH584" i="6"/>
  <c r="CG584" i="6"/>
  <c r="CF584" i="6"/>
  <c r="CE584" i="6"/>
  <c r="CD584" i="6"/>
  <c r="CC584" i="6"/>
  <c r="CB584" i="6"/>
  <c r="CA584" i="6"/>
  <c r="BZ584" i="6"/>
  <c r="BY584" i="6"/>
  <c r="BX584" i="6"/>
  <c r="BW584" i="6"/>
  <c r="BV584" i="6"/>
  <c r="BU584" i="6"/>
  <c r="BT584" i="6"/>
  <c r="BS584" i="6"/>
  <c r="BR584" i="6"/>
  <c r="BQ584" i="6"/>
  <c r="BP584" i="6"/>
  <c r="BO584" i="6"/>
  <c r="BN584" i="6"/>
  <c r="BM584" i="6"/>
  <c r="BL584" i="6"/>
  <c r="BK584" i="6"/>
  <c r="BJ584" i="6"/>
  <c r="BI584" i="6"/>
  <c r="BH584" i="6"/>
  <c r="BG584" i="6"/>
  <c r="BF584" i="6"/>
  <c r="BE584" i="6"/>
  <c r="BD584" i="6"/>
  <c r="BC584" i="6"/>
  <c r="BB584" i="6"/>
  <c r="BA584" i="6"/>
  <c r="AZ584" i="6"/>
  <c r="AY584" i="6"/>
  <c r="AX584" i="6"/>
  <c r="AW584" i="6"/>
  <c r="AV584" i="6"/>
  <c r="AU584" i="6"/>
  <c r="AT584" i="6"/>
  <c r="AS584" i="6"/>
  <c r="AR584" i="6"/>
  <c r="AQ584" i="6"/>
  <c r="AP584" i="6"/>
  <c r="AO584" i="6"/>
  <c r="AN584" i="6"/>
  <c r="AM584" i="6"/>
  <c r="AL584" i="6"/>
  <c r="AK584" i="6"/>
  <c r="AJ584" i="6"/>
  <c r="AI584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B584" i="6"/>
  <c r="A584" i="6"/>
  <c r="DE583" i="6"/>
  <c r="DD583" i="6"/>
  <c r="DC583" i="6"/>
  <c r="DB583" i="6"/>
  <c r="DA583" i="6"/>
  <c r="CZ583" i="6"/>
  <c r="CY583" i="6"/>
  <c r="CX583" i="6"/>
  <c r="CV583" i="6"/>
  <c r="CU583" i="6"/>
  <c r="CT583" i="6"/>
  <c r="CS583" i="6"/>
  <c r="CR583" i="6"/>
  <c r="CQ583" i="6"/>
  <c r="CP583" i="6"/>
  <c r="CO583" i="6"/>
  <c r="CN583" i="6"/>
  <c r="CM583" i="6"/>
  <c r="CL583" i="6"/>
  <c r="CK583" i="6"/>
  <c r="CJ583" i="6"/>
  <c r="CI583" i="6"/>
  <c r="CH583" i="6"/>
  <c r="CG583" i="6"/>
  <c r="CF583" i="6"/>
  <c r="CE583" i="6"/>
  <c r="CD583" i="6"/>
  <c r="CC583" i="6"/>
  <c r="CB583" i="6"/>
  <c r="CA583" i="6"/>
  <c r="BZ583" i="6"/>
  <c r="BY583" i="6"/>
  <c r="BX583" i="6"/>
  <c r="BW583" i="6"/>
  <c r="BV583" i="6"/>
  <c r="BU583" i="6"/>
  <c r="BT583" i="6"/>
  <c r="BS583" i="6"/>
  <c r="BR583" i="6"/>
  <c r="BQ583" i="6"/>
  <c r="BP583" i="6"/>
  <c r="BO583" i="6"/>
  <c r="BN583" i="6"/>
  <c r="BM583" i="6"/>
  <c r="BL583" i="6"/>
  <c r="BK583" i="6"/>
  <c r="BJ583" i="6"/>
  <c r="BI583" i="6"/>
  <c r="BH583" i="6"/>
  <c r="BG583" i="6"/>
  <c r="BF583" i="6"/>
  <c r="BE583" i="6"/>
  <c r="BD583" i="6"/>
  <c r="BC583" i="6"/>
  <c r="BB583" i="6"/>
  <c r="BA583" i="6"/>
  <c r="AZ583" i="6"/>
  <c r="AY583" i="6"/>
  <c r="AX583" i="6"/>
  <c r="AW583" i="6"/>
  <c r="AV583" i="6"/>
  <c r="AU583" i="6"/>
  <c r="AT583" i="6"/>
  <c r="AS583" i="6"/>
  <c r="AR583" i="6"/>
  <c r="AQ583" i="6"/>
  <c r="AP583" i="6"/>
  <c r="AO583" i="6"/>
  <c r="AN583" i="6"/>
  <c r="AM583" i="6"/>
  <c r="AL583" i="6"/>
  <c r="AK583" i="6"/>
  <c r="AJ583" i="6"/>
  <c r="AI583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DE582" i="6"/>
  <c r="DD582" i="6"/>
  <c r="DC582" i="6"/>
  <c r="DB582" i="6"/>
  <c r="DA582" i="6"/>
  <c r="CZ582" i="6"/>
  <c r="CY582" i="6"/>
  <c r="CX582" i="6"/>
  <c r="CV582" i="6"/>
  <c r="CU582" i="6"/>
  <c r="CT582" i="6"/>
  <c r="CS582" i="6"/>
  <c r="CR582" i="6"/>
  <c r="CQ582" i="6"/>
  <c r="CP582" i="6"/>
  <c r="CO582" i="6"/>
  <c r="CN582" i="6"/>
  <c r="CM582" i="6"/>
  <c r="CL582" i="6"/>
  <c r="CK582" i="6"/>
  <c r="CJ582" i="6"/>
  <c r="CI582" i="6"/>
  <c r="CH582" i="6"/>
  <c r="CG582" i="6"/>
  <c r="CF582" i="6"/>
  <c r="CE582" i="6"/>
  <c r="CD582" i="6"/>
  <c r="CC582" i="6"/>
  <c r="CB582" i="6"/>
  <c r="CA582" i="6"/>
  <c r="BZ582" i="6"/>
  <c r="BY582" i="6"/>
  <c r="BX582" i="6"/>
  <c r="BW582" i="6"/>
  <c r="BV582" i="6"/>
  <c r="BU582" i="6"/>
  <c r="BT582" i="6"/>
  <c r="BS582" i="6"/>
  <c r="BR582" i="6"/>
  <c r="BQ582" i="6"/>
  <c r="BP582" i="6"/>
  <c r="BO582" i="6"/>
  <c r="BN582" i="6"/>
  <c r="BM582" i="6"/>
  <c r="BL582" i="6"/>
  <c r="BK582" i="6"/>
  <c r="BJ582" i="6"/>
  <c r="BI582" i="6"/>
  <c r="BH582" i="6"/>
  <c r="BG582" i="6"/>
  <c r="BF582" i="6"/>
  <c r="BE582" i="6"/>
  <c r="BD582" i="6"/>
  <c r="BC582" i="6"/>
  <c r="BB582" i="6"/>
  <c r="BA582" i="6"/>
  <c r="AZ582" i="6"/>
  <c r="AY582" i="6"/>
  <c r="AX582" i="6"/>
  <c r="AW582" i="6"/>
  <c r="AV582" i="6"/>
  <c r="AU582" i="6"/>
  <c r="AT582" i="6"/>
  <c r="AS582" i="6"/>
  <c r="AR582" i="6"/>
  <c r="AQ582" i="6"/>
  <c r="AP582" i="6"/>
  <c r="AO582" i="6"/>
  <c r="AN582" i="6"/>
  <c r="AM582" i="6"/>
  <c r="AL582" i="6"/>
  <c r="AK582" i="6"/>
  <c r="AJ582" i="6"/>
  <c r="AI582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B582" i="6"/>
  <c r="A582" i="6"/>
  <c r="DE581" i="6"/>
  <c r="DD581" i="6"/>
  <c r="DC581" i="6"/>
  <c r="DB581" i="6"/>
  <c r="DA581" i="6"/>
  <c r="CZ581" i="6"/>
  <c r="CY581" i="6"/>
  <c r="CX581" i="6"/>
  <c r="CV581" i="6"/>
  <c r="CU581" i="6"/>
  <c r="CT581" i="6"/>
  <c r="CS581" i="6"/>
  <c r="CR581" i="6"/>
  <c r="CQ581" i="6"/>
  <c r="CP581" i="6"/>
  <c r="CO581" i="6"/>
  <c r="CN581" i="6"/>
  <c r="CM581" i="6"/>
  <c r="CL581" i="6"/>
  <c r="CK581" i="6"/>
  <c r="CJ581" i="6"/>
  <c r="CI581" i="6"/>
  <c r="CH581" i="6"/>
  <c r="CG581" i="6"/>
  <c r="CF581" i="6"/>
  <c r="CE581" i="6"/>
  <c r="CD581" i="6"/>
  <c r="CC581" i="6"/>
  <c r="CB581" i="6"/>
  <c r="CA581" i="6"/>
  <c r="BZ581" i="6"/>
  <c r="BY581" i="6"/>
  <c r="BX581" i="6"/>
  <c r="BW581" i="6"/>
  <c r="BV581" i="6"/>
  <c r="BU581" i="6"/>
  <c r="BT581" i="6"/>
  <c r="BS581" i="6"/>
  <c r="BR581" i="6"/>
  <c r="BQ581" i="6"/>
  <c r="BP581" i="6"/>
  <c r="BO581" i="6"/>
  <c r="BN581" i="6"/>
  <c r="BM581" i="6"/>
  <c r="BL581" i="6"/>
  <c r="BK581" i="6"/>
  <c r="BJ581" i="6"/>
  <c r="BI581" i="6"/>
  <c r="BH581" i="6"/>
  <c r="BG581" i="6"/>
  <c r="BF581" i="6"/>
  <c r="BE581" i="6"/>
  <c r="BD581" i="6"/>
  <c r="BC581" i="6"/>
  <c r="BB581" i="6"/>
  <c r="BA581" i="6"/>
  <c r="AZ581" i="6"/>
  <c r="AY581" i="6"/>
  <c r="AX581" i="6"/>
  <c r="AW581" i="6"/>
  <c r="AV581" i="6"/>
  <c r="AU581" i="6"/>
  <c r="AT581" i="6"/>
  <c r="AS581" i="6"/>
  <c r="AR581" i="6"/>
  <c r="AQ581" i="6"/>
  <c r="AP581" i="6"/>
  <c r="AO581" i="6"/>
  <c r="AN581" i="6"/>
  <c r="AM581" i="6"/>
  <c r="AL581" i="6"/>
  <c r="AK581" i="6"/>
  <c r="AJ581" i="6"/>
  <c r="AI581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DE580" i="6"/>
  <c r="DD580" i="6"/>
  <c r="DC580" i="6"/>
  <c r="DB580" i="6"/>
  <c r="DA580" i="6"/>
  <c r="CZ580" i="6"/>
  <c r="CY580" i="6"/>
  <c r="CX580" i="6"/>
  <c r="CV580" i="6"/>
  <c r="CU580" i="6"/>
  <c r="CT580" i="6"/>
  <c r="CS580" i="6"/>
  <c r="CR580" i="6"/>
  <c r="CQ580" i="6"/>
  <c r="CP580" i="6"/>
  <c r="CO580" i="6"/>
  <c r="CN580" i="6"/>
  <c r="CM580" i="6"/>
  <c r="CL580" i="6"/>
  <c r="CK580" i="6"/>
  <c r="CJ580" i="6"/>
  <c r="CI580" i="6"/>
  <c r="CH580" i="6"/>
  <c r="CG580" i="6"/>
  <c r="CF580" i="6"/>
  <c r="CE580" i="6"/>
  <c r="CD580" i="6"/>
  <c r="CC580" i="6"/>
  <c r="CB580" i="6"/>
  <c r="CA580" i="6"/>
  <c r="BZ580" i="6"/>
  <c r="BY580" i="6"/>
  <c r="BX580" i="6"/>
  <c r="BW580" i="6"/>
  <c r="BV580" i="6"/>
  <c r="BU580" i="6"/>
  <c r="BT580" i="6"/>
  <c r="BS580" i="6"/>
  <c r="BR580" i="6"/>
  <c r="BQ580" i="6"/>
  <c r="BP580" i="6"/>
  <c r="BO580" i="6"/>
  <c r="BN580" i="6"/>
  <c r="BM580" i="6"/>
  <c r="BL580" i="6"/>
  <c r="BK580" i="6"/>
  <c r="BJ580" i="6"/>
  <c r="BI580" i="6"/>
  <c r="BH580" i="6"/>
  <c r="BG580" i="6"/>
  <c r="BF580" i="6"/>
  <c r="BE580" i="6"/>
  <c r="BD580" i="6"/>
  <c r="BC580" i="6"/>
  <c r="BB580" i="6"/>
  <c r="BA580" i="6"/>
  <c r="AZ580" i="6"/>
  <c r="AY580" i="6"/>
  <c r="AX580" i="6"/>
  <c r="AW580" i="6"/>
  <c r="AV580" i="6"/>
  <c r="AU580" i="6"/>
  <c r="AT580" i="6"/>
  <c r="AS580" i="6"/>
  <c r="AR580" i="6"/>
  <c r="AQ580" i="6"/>
  <c r="AP580" i="6"/>
  <c r="AO580" i="6"/>
  <c r="AN580" i="6"/>
  <c r="AM580" i="6"/>
  <c r="AL580" i="6"/>
  <c r="AK580" i="6"/>
  <c r="AJ580" i="6"/>
  <c r="AI580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B580" i="6"/>
  <c r="A580" i="6"/>
  <c r="DE579" i="6"/>
  <c r="DD579" i="6"/>
  <c r="DC579" i="6"/>
  <c r="DB579" i="6"/>
  <c r="DA579" i="6"/>
  <c r="CZ579" i="6"/>
  <c r="CY579" i="6"/>
  <c r="CX579" i="6"/>
  <c r="CV579" i="6"/>
  <c r="CU579" i="6"/>
  <c r="CT579" i="6"/>
  <c r="CS579" i="6"/>
  <c r="CR579" i="6"/>
  <c r="CQ579" i="6"/>
  <c r="CP579" i="6"/>
  <c r="CO579" i="6"/>
  <c r="CN579" i="6"/>
  <c r="CM579" i="6"/>
  <c r="CL579" i="6"/>
  <c r="CK579" i="6"/>
  <c r="CJ579" i="6"/>
  <c r="CI579" i="6"/>
  <c r="CH579" i="6"/>
  <c r="CG579" i="6"/>
  <c r="CF579" i="6"/>
  <c r="CE579" i="6"/>
  <c r="CD579" i="6"/>
  <c r="CC579" i="6"/>
  <c r="CB579" i="6"/>
  <c r="CA579" i="6"/>
  <c r="BZ579" i="6"/>
  <c r="BY579" i="6"/>
  <c r="BX579" i="6"/>
  <c r="BW579" i="6"/>
  <c r="BV579" i="6"/>
  <c r="BU579" i="6"/>
  <c r="BT579" i="6"/>
  <c r="BS579" i="6"/>
  <c r="BR579" i="6"/>
  <c r="BQ579" i="6"/>
  <c r="BP579" i="6"/>
  <c r="BO579" i="6"/>
  <c r="BN579" i="6"/>
  <c r="BM579" i="6"/>
  <c r="BL579" i="6"/>
  <c r="BK579" i="6"/>
  <c r="BJ579" i="6"/>
  <c r="BI579" i="6"/>
  <c r="BH579" i="6"/>
  <c r="BG579" i="6"/>
  <c r="BF579" i="6"/>
  <c r="BE579" i="6"/>
  <c r="BD579" i="6"/>
  <c r="BC579" i="6"/>
  <c r="BB579" i="6"/>
  <c r="BA579" i="6"/>
  <c r="AZ579" i="6"/>
  <c r="AY579" i="6"/>
  <c r="AX579" i="6"/>
  <c r="AW579" i="6"/>
  <c r="AV579" i="6"/>
  <c r="AU579" i="6"/>
  <c r="AT579" i="6"/>
  <c r="AS579" i="6"/>
  <c r="AR579" i="6"/>
  <c r="AQ579" i="6"/>
  <c r="AP579" i="6"/>
  <c r="AO579" i="6"/>
  <c r="AN579" i="6"/>
  <c r="AM579" i="6"/>
  <c r="AL579" i="6"/>
  <c r="AK579" i="6"/>
  <c r="AJ579" i="6"/>
  <c r="AI579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B579" i="6"/>
  <c r="A579" i="6"/>
  <c r="DE578" i="6"/>
  <c r="DD578" i="6"/>
  <c r="DC578" i="6"/>
  <c r="DB578" i="6"/>
  <c r="DA578" i="6"/>
  <c r="CZ578" i="6"/>
  <c r="CY578" i="6"/>
  <c r="CX578" i="6"/>
  <c r="CV578" i="6"/>
  <c r="CU578" i="6"/>
  <c r="CT578" i="6"/>
  <c r="CS578" i="6"/>
  <c r="CR578" i="6"/>
  <c r="CQ578" i="6"/>
  <c r="CP578" i="6"/>
  <c r="CO578" i="6"/>
  <c r="CN578" i="6"/>
  <c r="CM578" i="6"/>
  <c r="CL578" i="6"/>
  <c r="CK578" i="6"/>
  <c r="CJ578" i="6"/>
  <c r="CI578" i="6"/>
  <c r="CH578" i="6"/>
  <c r="CG578" i="6"/>
  <c r="CF578" i="6"/>
  <c r="CE578" i="6"/>
  <c r="CD578" i="6"/>
  <c r="CC578" i="6"/>
  <c r="CB578" i="6"/>
  <c r="CA578" i="6"/>
  <c r="BZ578" i="6"/>
  <c r="BY578" i="6"/>
  <c r="BX578" i="6"/>
  <c r="BW578" i="6"/>
  <c r="BV578" i="6"/>
  <c r="BU578" i="6"/>
  <c r="BT578" i="6"/>
  <c r="BS578" i="6"/>
  <c r="BR578" i="6"/>
  <c r="BQ578" i="6"/>
  <c r="BP578" i="6"/>
  <c r="BO578" i="6"/>
  <c r="BN578" i="6"/>
  <c r="BM578" i="6"/>
  <c r="BL578" i="6"/>
  <c r="BK578" i="6"/>
  <c r="BJ578" i="6"/>
  <c r="BI578" i="6"/>
  <c r="BH578" i="6"/>
  <c r="BG578" i="6"/>
  <c r="BF578" i="6"/>
  <c r="BE578" i="6"/>
  <c r="BD578" i="6"/>
  <c r="BC578" i="6"/>
  <c r="BB578" i="6"/>
  <c r="BA578" i="6"/>
  <c r="AZ578" i="6"/>
  <c r="AY578" i="6"/>
  <c r="AX578" i="6"/>
  <c r="AW578" i="6"/>
  <c r="AV578" i="6"/>
  <c r="AU578" i="6"/>
  <c r="AT578" i="6"/>
  <c r="AS578" i="6"/>
  <c r="AR578" i="6"/>
  <c r="AQ578" i="6"/>
  <c r="AP578" i="6"/>
  <c r="AO578" i="6"/>
  <c r="AN578" i="6"/>
  <c r="AM578" i="6"/>
  <c r="AL578" i="6"/>
  <c r="AK578" i="6"/>
  <c r="AJ578" i="6"/>
  <c r="AI578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B578" i="6"/>
  <c r="A578" i="6"/>
  <c r="DE577" i="6"/>
  <c r="DD577" i="6"/>
  <c r="DC577" i="6"/>
  <c r="DB577" i="6"/>
  <c r="DA577" i="6"/>
  <c r="CZ577" i="6"/>
  <c r="CY577" i="6"/>
  <c r="CX577" i="6"/>
  <c r="CV577" i="6"/>
  <c r="CU577" i="6"/>
  <c r="CT577" i="6"/>
  <c r="CS577" i="6"/>
  <c r="CR577" i="6"/>
  <c r="CQ577" i="6"/>
  <c r="CP577" i="6"/>
  <c r="CO577" i="6"/>
  <c r="CN577" i="6"/>
  <c r="CM577" i="6"/>
  <c r="CL577" i="6"/>
  <c r="CK577" i="6"/>
  <c r="CJ577" i="6"/>
  <c r="CI577" i="6"/>
  <c r="CH577" i="6"/>
  <c r="CG577" i="6"/>
  <c r="CF577" i="6"/>
  <c r="CE577" i="6"/>
  <c r="CD577" i="6"/>
  <c r="CC577" i="6"/>
  <c r="CB577" i="6"/>
  <c r="CA577" i="6"/>
  <c r="BZ577" i="6"/>
  <c r="BY577" i="6"/>
  <c r="BX577" i="6"/>
  <c r="BW577" i="6"/>
  <c r="BV577" i="6"/>
  <c r="BU577" i="6"/>
  <c r="BT577" i="6"/>
  <c r="BS577" i="6"/>
  <c r="BR577" i="6"/>
  <c r="BQ577" i="6"/>
  <c r="BP577" i="6"/>
  <c r="BO577" i="6"/>
  <c r="BN577" i="6"/>
  <c r="BM577" i="6"/>
  <c r="BL577" i="6"/>
  <c r="BK577" i="6"/>
  <c r="BJ577" i="6"/>
  <c r="BI577" i="6"/>
  <c r="BH577" i="6"/>
  <c r="BG577" i="6"/>
  <c r="BF577" i="6"/>
  <c r="BE577" i="6"/>
  <c r="BD577" i="6"/>
  <c r="BC577" i="6"/>
  <c r="BB577" i="6"/>
  <c r="BA577" i="6"/>
  <c r="AZ577" i="6"/>
  <c r="AY577" i="6"/>
  <c r="AX577" i="6"/>
  <c r="AW577" i="6"/>
  <c r="AV577" i="6"/>
  <c r="AU577" i="6"/>
  <c r="AT577" i="6"/>
  <c r="AS577" i="6"/>
  <c r="AR577" i="6"/>
  <c r="AQ577" i="6"/>
  <c r="AP577" i="6"/>
  <c r="AO577" i="6"/>
  <c r="AN577" i="6"/>
  <c r="AM577" i="6"/>
  <c r="AL577" i="6"/>
  <c r="AK577" i="6"/>
  <c r="AJ577" i="6"/>
  <c r="AI577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B577" i="6"/>
  <c r="A577" i="6"/>
  <c r="DE576" i="6"/>
  <c r="DD576" i="6"/>
  <c r="DC576" i="6"/>
  <c r="DB576" i="6"/>
  <c r="DA576" i="6"/>
  <c r="CZ576" i="6"/>
  <c r="CY576" i="6"/>
  <c r="CX576" i="6"/>
  <c r="CV576" i="6"/>
  <c r="CU576" i="6"/>
  <c r="CT576" i="6"/>
  <c r="CS576" i="6"/>
  <c r="CR576" i="6"/>
  <c r="CQ576" i="6"/>
  <c r="CP576" i="6"/>
  <c r="CO576" i="6"/>
  <c r="CN576" i="6"/>
  <c r="CM576" i="6"/>
  <c r="CL576" i="6"/>
  <c r="CK576" i="6"/>
  <c r="CJ576" i="6"/>
  <c r="CI576" i="6"/>
  <c r="CH576" i="6"/>
  <c r="CG576" i="6"/>
  <c r="CF576" i="6"/>
  <c r="CE576" i="6"/>
  <c r="CD576" i="6"/>
  <c r="CC576" i="6"/>
  <c r="CB576" i="6"/>
  <c r="CA576" i="6"/>
  <c r="BZ576" i="6"/>
  <c r="BY576" i="6"/>
  <c r="BX576" i="6"/>
  <c r="BW576" i="6"/>
  <c r="BV576" i="6"/>
  <c r="BU576" i="6"/>
  <c r="BT576" i="6"/>
  <c r="BS576" i="6"/>
  <c r="BR576" i="6"/>
  <c r="BQ576" i="6"/>
  <c r="BP576" i="6"/>
  <c r="BO576" i="6"/>
  <c r="BN576" i="6"/>
  <c r="BM576" i="6"/>
  <c r="BL576" i="6"/>
  <c r="BK576" i="6"/>
  <c r="BJ576" i="6"/>
  <c r="BI576" i="6"/>
  <c r="BH576" i="6"/>
  <c r="BG576" i="6"/>
  <c r="BF576" i="6"/>
  <c r="BE576" i="6"/>
  <c r="BD576" i="6"/>
  <c r="BC576" i="6"/>
  <c r="BB576" i="6"/>
  <c r="BA576" i="6"/>
  <c r="AZ576" i="6"/>
  <c r="AY576" i="6"/>
  <c r="AX576" i="6"/>
  <c r="AW576" i="6"/>
  <c r="AV576" i="6"/>
  <c r="AU576" i="6"/>
  <c r="AT576" i="6"/>
  <c r="AS576" i="6"/>
  <c r="AR576" i="6"/>
  <c r="AQ576" i="6"/>
  <c r="AP576" i="6"/>
  <c r="AO576" i="6"/>
  <c r="AN576" i="6"/>
  <c r="AM576" i="6"/>
  <c r="AL576" i="6"/>
  <c r="AK576" i="6"/>
  <c r="AJ576" i="6"/>
  <c r="AI576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B576" i="6"/>
  <c r="A576" i="6"/>
  <c r="DE575" i="6"/>
  <c r="DD575" i="6"/>
  <c r="DC575" i="6"/>
  <c r="DB575" i="6"/>
  <c r="DA575" i="6"/>
  <c r="CZ575" i="6"/>
  <c r="CY575" i="6"/>
  <c r="CX575" i="6"/>
  <c r="CV575" i="6"/>
  <c r="CU575" i="6"/>
  <c r="CT575" i="6"/>
  <c r="CS575" i="6"/>
  <c r="CR575" i="6"/>
  <c r="CQ575" i="6"/>
  <c r="CP575" i="6"/>
  <c r="CO575" i="6"/>
  <c r="CN575" i="6"/>
  <c r="CM575" i="6"/>
  <c r="CL575" i="6"/>
  <c r="CK575" i="6"/>
  <c r="CJ575" i="6"/>
  <c r="CI575" i="6"/>
  <c r="CH575" i="6"/>
  <c r="CG575" i="6"/>
  <c r="CF575" i="6"/>
  <c r="CE575" i="6"/>
  <c r="CD575" i="6"/>
  <c r="CC575" i="6"/>
  <c r="CB575" i="6"/>
  <c r="CA575" i="6"/>
  <c r="BZ575" i="6"/>
  <c r="BY575" i="6"/>
  <c r="BX575" i="6"/>
  <c r="BW575" i="6"/>
  <c r="BV575" i="6"/>
  <c r="BU575" i="6"/>
  <c r="BT575" i="6"/>
  <c r="BS575" i="6"/>
  <c r="BR575" i="6"/>
  <c r="BQ575" i="6"/>
  <c r="BP575" i="6"/>
  <c r="BO575" i="6"/>
  <c r="BN575" i="6"/>
  <c r="BM575" i="6"/>
  <c r="BL575" i="6"/>
  <c r="BK575" i="6"/>
  <c r="BJ575" i="6"/>
  <c r="BI575" i="6"/>
  <c r="BH575" i="6"/>
  <c r="BG575" i="6"/>
  <c r="BF575" i="6"/>
  <c r="BE575" i="6"/>
  <c r="BD575" i="6"/>
  <c r="BC575" i="6"/>
  <c r="BB575" i="6"/>
  <c r="BA575" i="6"/>
  <c r="AZ575" i="6"/>
  <c r="AY575" i="6"/>
  <c r="AX575" i="6"/>
  <c r="AW575" i="6"/>
  <c r="AV575" i="6"/>
  <c r="AU575" i="6"/>
  <c r="AT575" i="6"/>
  <c r="AS575" i="6"/>
  <c r="AR575" i="6"/>
  <c r="AQ575" i="6"/>
  <c r="AP575" i="6"/>
  <c r="AO575" i="6"/>
  <c r="AN575" i="6"/>
  <c r="AM575" i="6"/>
  <c r="AL575" i="6"/>
  <c r="AK575" i="6"/>
  <c r="AJ575" i="6"/>
  <c r="AI575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B575" i="6"/>
  <c r="A575" i="6"/>
  <c r="DE574" i="6"/>
  <c r="DD574" i="6"/>
  <c r="DC574" i="6"/>
  <c r="DB574" i="6"/>
  <c r="DA574" i="6"/>
  <c r="CZ574" i="6"/>
  <c r="CY574" i="6"/>
  <c r="CX574" i="6"/>
  <c r="CV574" i="6"/>
  <c r="CU574" i="6"/>
  <c r="CT574" i="6"/>
  <c r="CS574" i="6"/>
  <c r="CR574" i="6"/>
  <c r="CQ574" i="6"/>
  <c r="CP574" i="6"/>
  <c r="CO574" i="6"/>
  <c r="CN574" i="6"/>
  <c r="CM574" i="6"/>
  <c r="CL574" i="6"/>
  <c r="CK574" i="6"/>
  <c r="CJ574" i="6"/>
  <c r="CI574" i="6"/>
  <c r="CH574" i="6"/>
  <c r="CG574" i="6"/>
  <c r="CF574" i="6"/>
  <c r="CE574" i="6"/>
  <c r="CD574" i="6"/>
  <c r="CC574" i="6"/>
  <c r="CB574" i="6"/>
  <c r="CA574" i="6"/>
  <c r="BZ574" i="6"/>
  <c r="BY574" i="6"/>
  <c r="BX574" i="6"/>
  <c r="BW574" i="6"/>
  <c r="BV574" i="6"/>
  <c r="BU574" i="6"/>
  <c r="BT574" i="6"/>
  <c r="BS574" i="6"/>
  <c r="BR574" i="6"/>
  <c r="BQ574" i="6"/>
  <c r="BP574" i="6"/>
  <c r="BO574" i="6"/>
  <c r="BN574" i="6"/>
  <c r="BM574" i="6"/>
  <c r="BL574" i="6"/>
  <c r="BK574" i="6"/>
  <c r="BJ574" i="6"/>
  <c r="BI574" i="6"/>
  <c r="BH574" i="6"/>
  <c r="BG574" i="6"/>
  <c r="BF574" i="6"/>
  <c r="BE574" i="6"/>
  <c r="BD574" i="6"/>
  <c r="BC574" i="6"/>
  <c r="BB574" i="6"/>
  <c r="BA574" i="6"/>
  <c r="AZ574" i="6"/>
  <c r="AY574" i="6"/>
  <c r="AX574" i="6"/>
  <c r="AW574" i="6"/>
  <c r="AV574" i="6"/>
  <c r="AU574" i="6"/>
  <c r="AT574" i="6"/>
  <c r="AS574" i="6"/>
  <c r="AR574" i="6"/>
  <c r="AQ574" i="6"/>
  <c r="AP574" i="6"/>
  <c r="AO574" i="6"/>
  <c r="AN574" i="6"/>
  <c r="AM574" i="6"/>
  <c r="AL574" i="6"/>
  <c r="AK574" i="6"/>
  <c r="AJ574" i="6"/>
  <c r="AI574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B574" i="6"/>
  <c r="A574" i="6"/>
  <c r="DE573" i="6"/>
  <c r="DD573" i="6"/>
  <c r="DC573" i="6"/>
  <c r="DB573" i="6"/>
  <c r="DA573" i="6"/>
  <c r="CZ573" i="6"/>
  <c r="CY573" i="6"/>
  <c r="CX573" i="6"/>
  <c r="CV573" i="6"/>
  <c r="CU573" i="6"/>
  <c r="CT573" i="6"/>
  <c r="CS573" i="6"/>
  <c r="CR573" i="6"/>
  <c r="CQ573" i="6"/>
  <c r="CP573" i="6"/>
  <c r="CO573" i="6"/>
  <c r="CN573" i="6"/>
  <c r="CM573" i="6"/>
  <c r="CL573" i="6"/>
  <c r="CK573" i="6"/>
  <c r="CJ573" i="6"/>
  <c r="CI573" i="6"/>
  <c r="CH573" i="6"/>
  <c r="CG573" i="6"/>
  <c r="CF573" i="6"/>
  <c r="CE573" i="6"/>
  <c r="CD573" i="6"/>
  <c r="CC573" i="6"/>
  <c r="CB573" i="6"/>
  <c r="CA573" i="6"/>
  <c r="BZ573" i="6"/>
  <c r="BY573" i="6"/>
  <c r="BX573" i="6"/>
  <c r="BW573" i="6"/>
  <c r="BV573" i="6"/>
  <c r="BU573" i="6"/>
  <c r="BT573" i="6"/>
  <c r="BS573" i="6"/>
  <c r="BR573" i="6"/>
  <c r="BQ573" i="6"/>
  <c r="BP573" i="6"/>
  <c r="BO573" i="6"/>
  <c r="BN573" i="6"/>
  <c r="BM573" i="6"/>
  <c r="BL573" i="6"/>
  <c r="BK573" i="6"/>
  <c r="BJ573" i="6"/>
  <c r="BI573" i="6"/>
  <c r="BH573" i="6"/>
  <c r="BG573" i="6"/>
  <c r="BF573" i="6"/>
  <c r="BE573" i="6"/>
  <c r="BD573" i="6"/>
  <c r="BC573" i="6"/>
  <c r="BB573" i="6"/>
  <c r="BA573" i="6"/>
  <c r="AZ573" i="6"/>
  <c r="AY573" i="6"/>
  <c r="AX573" i="6"/>
  <c r="AW573" i="6"/>
  <c r="AV573" i="6"/>
  <c r="AU573" i="6"/>
  <c r="AT573" i="6"/>
  <c r="AS573" i="6"/>
  <c r="AR573" i="6"/>
  <c r="AQ573" i="6"/>
  <c r="AP573" i="6"/>
  <c r="AO573" i="6"/>
  <c r="AN573" i="6"/>
  <c r="AM573" i="6"/>
  <c r="AL573" i="6"/>
  <c r="AK573" i="6"/>
  <c r="AJ573" i="6"/>
  <c r="AI573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B573" i="6"/>
  <c r="A573" i="6"/>
  <c r="DE572" i="6"/>
  <c r="DD572" i="6"/>
  <c r="DC572" i="6"/>
  <c r="DB572" i="6"/>
  <c r="DA572" i="6"/>
  <c r="CZ572" i="6"/>
  <c r="CY572" i="6"/>
  <c r="CX572" i="6"/>
  <c r="CV572" i="6"/>
  <c r="CU572" i="6"/>
  <c r="CT572" i="6"/>
  <c r="CS572" i="6"/>
  <c r="CR572" i="6"/>
  <c r="CQ572" i="6"/>
  <c r="CP572" i="6"/>
  <c r="CO572" i="6"/>
  <c r="CN572" i="6"/>
  <c r="CM572" i="6"/>
  <c r="CL572" i="6"/>
  <c r="CK572" i="6"/>
  <c r="CJ572" i="6"/>
  <c r="CI572" i="6"/>
  <c r="CH572" i="6"/>
  <c r="CG572" i="6"/>
  <c r="CF572" i="6"/>
  <c r="CE572" i="6"/>
  <c r="CD572" i="6"/>
  <c r="CC572" i="6"/>
  <c r="CB572" i="6"/>
  <c r="CA572" i="6"/>
  <c r="BZ572" i="6"/>
  <c r="BY572" i="6"/>
  <c r="BX572" i="6"/>
  <c r="BW572" i="6"/>
  <c r="BV572" i="6"/>
  <c r="BU572" i="6"/>
  <c r="BT572" i="6"/>
  <c r="BS572" i="6"/>
  <c r="BR572" i="6"/>
  <c r="BQ572" i="6"/>
  <c r="BP572" i="6"/>
  <c r="BO572" i="6"/>
  <c r="BN572" i="6"/>
  <c r="BM572" i="6"/>
  <c r="BL572" i="6"/>
  <c r="BK572" i="6"/>
  <c r="BJ572" i="6"/>
  <c r="BI572" i="6"/>
  <c r="BH572" i="6"/>
  <c r="BG572" i="6"/>
  <c r="BF572" i="6"/>
  <c r="BE572" i="6"/>
  <c r="BD572" i="6"/>
  <c r="BC572" i="6"/>
  <c r="BB572" i="6"/>
  <c r="BA572" i="6"/>
  <c r="AZ572" i="6"/>
  <c r="AY572" i="6"/>
  <c r="AX572" i="6"/>
  <c r="AW572" i="6"/>
  <c r="AV572" i="6"/>
  <c r="AU572" i="6"/>
  <c r="AT572" i="6"/>
  <c r="AS572" i="6"/>
  <c r="AR572" i="6"/>
  <c r="AQ572" i="6"/>
  <c r="AP572" i="6"/>
  <c r="AO572" i="6"/>
  <c r="AN572" i="6"/>
  <c r="AM572" i="6"/>
  <c r="AL572" i="6"/>
  <c r="AK572" i="6"/>
  <c r="AJ572" i="6"/>
  <c r="AI572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B572" i="6"/>
  <c r="A572" i="6"/>
  <c r="DE571" i="6"/>
  <c r="DD571" i="6"/>
  <c r="DC571" i="6"/>
  <c r="DB571" i="6"/>
  <c r="DA571" i="6"/>
  <c r="CZ571" i="6"/>
  <c r="CY571" i="6"/>
  <c r="CX571" i="6"/>
  <c r="CV571" i="6"/>
  <c r="CU571" i="6"/>
  <c r="CT571" i="6"/>
  <c r="CS571" i="6"/>
  <c r="CR571" i="6"/>
  <c r="CQ571" i="6"/>
  <c r="CP571" i="6"/>
  <c r="CO571" i="6"/>
  <c r="CN571" i="6"/>
  <c r="CM571" i="6"/>
  <c r="CL571" i="6"/>
  <c r="CK571" i="6"/>
  <c r="CJ571" i="6"/>
  <c r="CI571" i="6"/>
  <c r="CH571" i="6"/>
  <c r="CG571" i="6"/>
  <c r="CF571" i="6"/>
  <c r="CE571" i="6"/>
  <c r="CD571" i="6"/>
  <c r="CC571" i="6"/>
  <c r="CB571" i="6"/>
  <c r="CA571" i="6"/>
  <c r="BZ571" i="6"/>
  <c r="BY571" i="6"/>
  <c r="BX571" i="6"/>
  <c r="BW571" i="6"/>
  <c r="BV571" i="6"/>
  <c r="BU571" i="6"/>
  <c r="BT571" i="6"/>
  <c r="BS571" i="6"/>
  <c r="BR571" i="6"/>
  <c r="BQ571" i="6"/>
  <c r="BP571" i="6"/>
  <c r="BO571" i="6"/>
  <c r="BN571" i="6"/>
  <c r="BM571" i="6"/>
  <c r="BL571" i="6"/>
  <c r="BK571" i="6"/>
  <c r="BJ571" i="6"/>
  <c r="BI571" i="6"/>
  <c r="BH571" i="6"/>
  <c r="BG571" i="6"/>
  <c r="BF571" i="6"/>
  <c r="BE571" i="6"/>
  <c r="BD571" i="6"/>
  <c r="BC571" i="6"/>
  <c r="BB571" i="6"/>
  <c r="BA571" i="6"/>
  <c r="AZ571" i="6"/>
  <c r="AY571" i="6"/>
  <c r="AX571" i="6"/>
  <c r="AW571" i="6"/>
  <c r="AV571" i="6"/>
  <c r="AU571" i="6"/>
  <c r="AT571" i="6"/>
  <c r="AS571" i="6"/>
  <c r="AR571" i="6"/>
  <c r="AQ571" i="6"/>
  <c r="AP571" i="6"/>
  <c r="AO571" i="6"/>
  <c r="AN571" i="6"/>
  <c r="AM571" i="6"/>
  <c r="AL571" i="6"/>
  <c r="AK571" i="6"/>
  <c r="AJ571" i="6"/>
  <c r="AI571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B571" i="6"/>
  <c r="A571" i="6"/>
  <c r="DE570" i="6"/>
  <c r="DD570" i="6"/>
  <c r="DC570" i="6"/>
  <c r="DB570" i="6"/>
  <c r="DA570" i="6"/>
  <c r="CZ570" i="6"/>
  <c r="CY570" i="6"/>
  <c r="CX570" i="6"/>
  <c r="CV570" i="6"/>
  <c r="CU570" i="6"/>
  <c r="CT570" i="6"/>
  <c r="CS570" i="6"/>
  <c r="CR570" i="6"/>
  <c r="CQ570" i="6"/>
  <c r="CP570" i="6"/>
  <c r="CO570" i="6"/>
  <c r="CN570" i="6"/>
  <c r="CM570" i="6"/>
  <c r="CL570" i="6"/>
  <c r="CK570" i="6"/>
  <c r="CJ570" i="6"/>
  <c r="CI570" i="6"/>
  <c r="CH570" i="6"/>
  <c r="CG570" i="6"/>
  <c r="CF570" i="6"/>
  <c r="CE570" i="6"/>
  <c r="CD570" i="6"/>
  <c r="CC570" i="6"/>
  <c r="CB570" i="6"/>
  <c r="CA570" i="6"/>
  <c r="BZ570" i="6"/>
  <c r="BY570" i="6"/>
  <c r="BX570" i="6"/>
  <c r="BW570" i="6"/>
  <c r="BV570" i="6"/>
  <c r="BU570" i="6"/>
  <c r="BT570" i="6"/>
  <c r="BS570" i="6"/>
  <c r="BR570" i="6"/>
  <c r="BQ570" i="6"/>
  <c r="BP570" i="6"/>
  <c r="BO570" i="6"/>
  <c r="BN570" i="6"/>
  <c r="BM570" i="6"/>
  <c r="BL570" i="6"/>
  <c r="BK570" i="6"/>
  <c r="BJ570" i="6"/>
  <c r="BI570" i="6"/>
  <c r="BH570" i="6"/>
  <c r="BG570" i="6"/>
  <c r="BF570" i="6"/>
  <c r="BE570" i="6"/>
  <c r="BD570" i="6"/>
  <c r="BC570" i="6"/>
  <c r="BB570" i="6"/>
  <c r="BA570" i="6"/>
  <c r="AZ570" i="6"/>
  <c r="AY570" i="6"/>
  <c r="AX570" i="6"/>
  <c r="AW570" i="6"/>
  <c r="AV570" i="6"/>
  <c r="AU570" i="6"/>
  <c r="AT570" i="6"/>
  <c r="AS570" i="6"/>
  <c r="AR570" i="6"/>
  <c r="AQ570" i="6"/>
  <c r="AP570" i="6"/>
  <c r="AO570" i="6"/>
  <c r="AN570" i="6"/>
  <c r="AM570" i="6"/>
  <c r="AL570" i="6"/>
  <c r="AK570" i="6"/>
  <c r="AJ570" i="6"/>
  <c r="AI570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B570" i="6"/>
  <c r="A570" i="6"/>
  <c r="DE569" i="6"/>
  <c r="DD569" i="6"/>
  <c r="DC569" i="6"/>
  <c r="DB569" i="6"/>
  <c r="DA569" i="6"/>
  <c r="CZ569" i="6"/>
  <c r="CY569" i="6"/>
  <c r="CX569" i="6"/>
  <c r="CV569" i="6"/>
  <c r="CU569" i="6"/>
  <c r="CT569" i="6"/>
  <c r="CS569" i="6"/>
  <c r="CR569" i="6"/>
  <c r="CQ569" i="6"/>
  <c r="CP569" i="6"/>
  <c r="CO569" i="6"/>
  <c r="CN569" i="6"/>
  <c r="CM569" i="6"/>
  <c r="CL569" i="6"/>
  <c r="CK569" i="6"/>
  <c r="CJ569" i="6"/>
  <c r="CI569" i="6"/>
  <c r="CH569" i="6"/>
  <c r="CG569" i="6"/>
  <c r="CF569" i="6"/>
  <c r="CE569" i="6"/>
  <c r="CD569" i="6"/>
  <c r="CC569" i="6"/>
  <c r="CB569" i="6"/>
  <c r="CA569" i="6"/>
  <c r="BZ569" i="6"/>
  <c r="BY569" i="6"/>
  <c r="BX569" i="6"/>
  <c r="BW569" i="6"/>
  <c r="BV569" i="6"/>
  <c r="BU569" i="6"/>
  <c r="BT569" i="6"/>
  <c r="BS569" i="6"/>
  <c r="BR569" i="6"/>
  <c r="BQ569" i="6"/>
  <c r="BP569" i="6"/>
  <c r="BO569" i="6"/>
  <c r="BN569" i="6"/>
  <c r="BM569" i="6"/>
  <c r="BL569" i="6"/>
  <c r="BK569" i="6"/>
  <c r="BJ569" i="6"/>
  <c r="BI569" i="6"/>
  <c r="BH569" i="6"/>
  <c r="BG569" i="6"/>
  <c r="BF569" i="6"/>
  <c r="BE569" i="6"/>
  <c r="BD569" i="6"/>
  <c r="BC569" i="6"/>
  <c r="BB569" i="6"/>
  <c r="BA569" i="6"/>
  <c r="AZ569" i="6"/>
  <c r="AY569" i="6"/>
  <c r="AX569" i="6"/>
  <c r="AW569" i="6"/>
  <c r="AV569" i="6"/>
  <c r="AU569" i="6"/>
  <c r="AT569" i="6"/>
  <c r="AS569" i="6"/>
  <c r="AR569" i="6"/>
  <c r="AQ569" i="6"/>
  <c r="AP569" i="6"/>
  <c r="AO569" i="6"/>
  <c r="AN569" i="6"/>
  <c r="AM569" i="6"/>
  <c r="AL569" i="6"/>
  <c r="AK569" i="6"/>
  <c r="AJ569" i="6"/>
  <c r="AI569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B569" i="6"/>
  <c r="A569" i="6"/>
  <c r="DE568" i="6"/>
  <c r="DD568" i="6"/>
  <c r="DC568" i="6"/>
  <c r="DB568" i="6"/>
  <c r="DA568" i="6"/>
  <c r="CZ568" i="6"/>
  <c r="CY568" i="6"/>
  <c r="CX568" i="6"/>
  <c r="CV568" i="6"/>
  <c r="CU568" i="6"/>
  <c r="CT568" i="6"/>
  <c r="CS568" i="6"/>
  <c r="CR568" i="6"/>
  <c r="CQ568" i="6"/>
  <c r="CP568" i="6"/>
  <c r="CO568" i="6"/>
  <c r="CN568" i="6"/>
  <c r="CM568" i="6"/>
  <c r="CL568" i="6"/>
  <c r="CK568" i="6"/>
  <c r="CJ568" i="6"/>
  <c r="CI568" i="6"/>
  <c r="CH568" i="6"/>
  <c r="CG568" i="6"/>
  <c r="CF568" i="6"/>
  <c r="CE568" i="6"/>
  <c r="CD568" i="6"/>
  <c r="CC568" i="6"/>
  <c r="CB568" i="6"/>
  <c r="CA568" i="6"/>
  <c r="BZ568" i="6"/>
  <c r="BY568" i="6"/>
  <c r="BX568" i="6"/>
  <c r="BW568" i="6"/>
  <c r="BV568" i="6"/>
  <c r="BU568" i="6"/>
  <c r="BT568" i="6"/>
  <c r="BS568" i="6"/>
  <c r="BR568" i="6"/>
  <c r="BQ568" i="6"/>
  <c r="BP568" i="6"/>
  <c r="BO568" i="6"/>
  <c r="BN568" i="6"/>
  <c r="BM568" i="6"/>
  <c r="BL568" i="6"/>
  <c r="BK568" i="6"/>
  <c r="BJ568" i="6"/>
  <c r="BI568" i="6"/>
  <c r="BH568" i="6"/>
  <c r="BG568" i="6"/>
  <c r="BF568" i="6"/>
  <c r="BE568" i="6"/>
  <c r="BD568" i="6"/>
  <c r="BC568" i="6"/>
  <c r="BB568" i="6"/>
  <c r="BA568" i="6"/>
  <c r="AZ568" i="6"/>
  <c r="AY568" i="6"/>
  <c r="AX568" i="6"/>
  <c r="AW568" i="6"/>
  <c r="AV568" i="6"/>
  <c r="AU568" i="6"/>
  <c r="AT568" i="6"/>
  <c r="AS568" i="6"/>
  <c r="AR568" i="6"/>
  <c r="AQ568" i="6"/>
  <c r="AP568" i="6"/>
  <c r="AO568" i="6"/>
  <c r="AN568" i="6"/>
  <c r="AM568" i="6"/>
  <c r="AL568" i="6"/>
  <c r="AK568" i="6"/>
  <c r="AJ568" i="6"/>
  <c r="AI568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B568" i="6"/>
  <c r="A568" i="6"/>
  <c r="DE567" i="6"/>
  <c r="DD567" i="6"/>
  <c r="DC567" i="6"/>
  <c r="DB567" i="6"/>
  <c r="DA567" i="6"/>
  <c r="CZ567" i="6"/>
  <c r="CY567" i="6"/>
  <c r="CX567" i="6"/>
  <c r="CV567" i="6"/>
  <c r="CU567" i="6"/>
  <c r="CT567" i="6"/>
  <c r="CS567" i="6"/>
  <c r="CR567" i="6"/>
  <c r="CQ567" i="6"/>
  <c r="CP567" i="6"/>
  <c r="CO567" i="6"/>
  <c r="CN567" i="6"/>
  <c r="CM567" i="6"/>
  <c r="CL567" i="6"/>
  <c r="CK567" i="6"/>
  <c r="CJ567" i="6"/>
  <c r="CI567" i="6"/>
  <c r="CH567" i="6"/>
  <c r="CG567" i="6"/>
  <c r="CF567" i="6"/>
  <c r="CE567" i="6"/>
  <c r="CD567" i="6"/>
  <c r="CC567" i="6"/>
  <c r="CB567" i="6"/>
  <c r="CA567" i="6"/>
  <c r="BZ567" i="6"/>
  <c r="BY567" i="6"/>
  <c r="BX567" i="6"/>
  <c r="BW567" i="6"/>
  <c r="BV567" i="6"/>
  <c r="BU567" i="6"/>
  <c r="BT567" i="6"/>
  <c r="BS567" i="6"/>
  <c r="BR567" i="6"/>
  <c r="BQ567" i="6"/>
  <c r="BP567" i="6"/>
  <c r="BO567" i="6"/>
  <c r="BN567" i="6"/>
  <c r="BM567" i="6"/>
  <c r="BL567" i="6"/>
  <c r="BK567" i="6"/>
  <c r="BJ567" i="6"/>
  <c r="BI567" i="6"/>
  <c r="BH567" i="6"/>
  <c r="BG567" i="6"/>
  <c r="BF567" i="6"/>
  <c r="BE567" i="6"/>
  <c r="BD567" i="6"/>
  <c r="BC567" i="6"/>
  <c r="BB567" i="6"/>
  <c r="BA567" i="6"/>
  <c r="AZ567" i="6"/>
  <c r="AY567" i="6"/>
  <c r="AX567" i="6"/>
  <c r="AW567" i="6"/>
  <c r="AV567" i="6"/>
  <c r="AU567" i="6"/>
  <c r="AT567" i="6"/>
  <c r="AS567" i="6"/>
  <c r="AR567" i="6"/>
  <c r="AQ567" i="6"/>
  <c r="AP567" i="6"/>
  <c r="AO567" i="6"/>
  <c r="AN567" i="6"/>
  <c r="AM567" i="6"/>
  <c r="AL567" i="6"/>
  <c r="AK567" i="6"/>
  <c r="AJ567" i="6"/>
  <c r="AI567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B567" i="6"/>
  <c r="A567" i="6"/>
  <c r="DE566" i="6"/>
  <c r="DD566" i="6"/>
  <c r="DC566" i="6"/>
  <c r="DB566" i="6"/>
  <c r="DA566" i="6"/>
  <c r="CZ566" i="6"/>
  <c r="CY566" i="6"/>
  <c r="CX566" i="6"/>
  <c r="CV566" i="6"/>
  <c r="CU566" i="6"/>
  <c r="CT566" i="6"/>
  <c r="CS566" i="6"/>
  <c r="CR566" i="6"/>
  <c r="CQ566" i="6"/>
  <c r="CP566" i="6"/>
  <c r="CO566" i="6"/>
  <c r="CN566" i="6"/>
  <c r="CM566" i="6"/>
  <c r="CL566" i="6"/>
  <c r="CK566" i="6"/>
  <c r="CJ566" i="6"/>
  <c r="CI566" i="6"/>
  <c r="CH566" i="6"/>
  <c r="CG566" i="6"/>
  <c r="CF566" i="6"/>
  <c r="CE566" i="6"/>
  <c r="CD566" i="6"/>
  <c r="CC566" i="6"/>
  <c r="CB566" i="6"/>
  <c r="CA566" i="6"/>
  <c r="BZ566" i="6"/>
  <c r="BY566" i="6"/>
  <c r="BX566" i="6"/>
  <c r="BW566" i="6"/>
  <c r="BV566" i="6"/>
  <c r="BU566" i="6"/>
  <c r="BT566" i="6"/>
  <c r="BS566" i="6"/>
  <c r="BR566" i="6"/>
  <c r="BQ566" i="6"/>
  <c r="BP566" i="6"/>
  <c r="BO566" i="6"/>
  <c r="BN566" i="6"/>
  <c r="BM566" i="6"/>
  <c r="BL566" i="6"/>
  <c r="BK566" i="6"/>
  <c r="BJ566" i="6"/>
  <c r="BI566" i="6"/>
  <c r="BH566" i="6"/>
  <c r="BG566" i="6"/>
  <c r="BF566" i="6"/>
  <c r="BE566" i="6"/>
  <c r="BD566" i="6"/>
  <c r="BC566" i="6"/>
  <c r="BB566" i="6"/>
  <c r="BA566" i="6"/>
  <c r="AZ566" i="6"/>
  <c r="AY566" i="6"/>
  <c r="AX566" i="6"/>
  <c r="AW566" i="6"/>
  <c r="AV566" i="6"/>
  <c r="AU566" i="6"/>
  <c r="AT566" i="6"/>
  <c r="AS566" i="6"/>
  <c r="AR566" i="6"/>
  <c r="AQ566" i="6"/>
  <c r="AP566" i="6"/>
  <c r="AO566" i="6"/>
  <c r="AN566" i="6"/>
  <c r="AM566" i="6"/>
  <c r="AL566" i="6"/>
  <c r="AK566" i="6"/>
  <c r="AJ566" i="6"/>
  <c r="AI566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B566" i="6"/>
  <c r="A566" i="6"/>
  <c r="DE565" i="6"/>
  <c r="DD565" i="6"/>
  <c r="DC565" i="6"/>
  <c r="DB565" i="6"/>
  <c r="DA565" i="6"/>
  <c r="CZ565" i="6"/>
  <c r="CY565" i="6"/>
  <c r="CX565" i="6"/>
  <c r="CV565" i="6"/>
  <c r="CU565" i="6"/>
  <c r="CT565" i="6"/>
  <c r="CS565" i="6"/>
  <c r="CR565" i="6"/>
  <c r="CQ565" i="6"/>
  <c r="CP565" i="6"/>
  <c r="CO565" i="6"/>
  <c r="CN565" i="6"/>
  <c r="CM565" i="6"/>
  <c r="CL565" i="6"/>
  <c r="CK565" i="6"/>
  <c r="CJ565" i="6"/>
  <c r="CI565" i="6"/>
  <c r="CH565" i="6"/>
  <c r="CG565" i="6"/>
  <c r="CF565" i="6"/>
  <c r="CE565" i="6"/>
  <c r="CD565" i="6"/>
  <c r="CC565" i="6"/>
  <c r="CB565" i="6"/>
  <c r="CA565" i="6"/>
  <c r="BZ565" i="6"/>
  <c r="BY565" i="6"/>
  <c r="BX565" i="6"/>
  <c r="BW565" i="6"/>
  <c r="BV565" i="6"/>
  <c r="BU565" i="6"/>
  <c r="BT565" i="6"/>
  <c r="BS565" i="6"/>
  <c r="BR565" i="6"/>
  <c r="BQ565" i="6"/>
  <c r="BP565" i="6"/>
  <c r="BO565" i="6"/>
  <c r="BN565" i="6"/>
  <c r="BM565" i="6"/>
  <c r="BL565" i="6"/>
  <c r="BK565" i="6"/>
  <c r="BJ565" i="6"/>
  <c r="BI565" i="6"/>
  <c r="BH565" i="6"/>
  <c r="BG565" i="6"/>
  <c r="BF565" i="6"/>
  <c r="BE565" i="6"/>
  <c r="BD565" i="6"/>
  <c r="BC565" i="6"/>
  <c r="BB565" i="6"/>
  <c r="BA565" i="6"/>
  <c r="AZ565" i="6"/>
  <c r="AY565" i="6"/>
  <c r="AX565" i="6"/>
  <c r="AW565" i="6"/>
  <c r="AV565" i="6"/>
  <c r="AU565" i="6"/>
  <c r="AT565" i="6"/>
  <c r="AS565" i="6"/>
  <c r="AR565" i="6"/>
  <c r="AQ565" i="6"/>
  <c r="AP565" i="6"/>
  <c r="AO565" i="6"/>
  <c r="AN565" i="6"/>
  <c r="AM565" i="6"/>
  <c r="AL565" i="6"/>
  <c r="AK565" i="6"/>
  <c r="AJ565" i="6"/>
  <c r="AI565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DE564" i="6"/>
  <c r="DD564" i="6"/>
  <c r="DC564" i="6"/>
  <c r="DB564" i="6"/>
  <c r="DA564" i="6"/>
  <c r="CZ564" i="6"/>
  <c r="CY564" i="6"/>
  <c r="CX564" i="6"/>
  <c r="CV564" i="6"/>
  <c r="CU564" i="6"/>
  <c r="CT564" i="6"/>
  <c r="CS564" i="6"/>
  <c r="CR564" i="6"/>
  <c r="CQ564" i="6"/>
  <c r="CP564" i="6"/>
  <c r="CO564" i="6"/>
  <c r="CN564" i="6"/>
  <c r="CM564" i="6"/>
  <c r="CL564" i="6"/>
  <c r="CK564" i="6"/>
  <c r="CJ564" i="6"/>
  <c r="CI564" i="6"/>
  <c r="CH564" i="6"/>
  <c r="CG564" i="6"/>
  <c r="CF564" i="6"/>
  <c r="CE564" i="6"/>
  <c r="CD564" i="6"/>
  <c r="CC564" i="6"/>
  <c r="CB564" i="6"/>
  <c r="CA564" i="6"/>
  <c r="BZ564" i="6"/>
  <c r="BY564" i="6"/>
  <c r="BX564" i="6"/>
  <c r="BW564" i="6"/>
  <c r="BV564" i="6"/>
  <c r="BU564" i="6"/>
  <c r="BT564" i="6"/>
  <c r="BS564" i="6"/>
  <c r="BR564" i="6"/>
  <c r="BQ564" i="6"/>
  <c r="BP564" i="6"/>
  <c r="BO564" i="6"/>
  <c r="BN564" i="6"/>
  <c r="BM564" i="6"/>
  <c r="BL564" i="6"/>
  <c r="BK564" i="6"/>
  <c r="BJ564" i="6"/>
  <c r="BI564" i="6"/>
  <c r="BH564" i="6"/>
  <c r="BG564" i="6"/>
  <c r="BF564" i="6"/>
  <c r="BE564" i="6"/>
  <c r="BD564" i="6"/>
  <c r="BC564" i="6"/>
  <c r="BB564" i="6"/>
  <c r="BA564" i="6"/>
  <c r="AZ564" i="6"/>
  <c r="AY564" i="6"/>
  <c r="AX564" i="6"/>
  <c r="AW564" i="6"/>
  <c r="AV564" i="6"/>
  <c r="AU564" i="6"/>
  <c r="AT564" i="6"/>
  <c r="AS564" i="6"/>
  <c r="AR564" i="6"/>
  <c r="AQ564" i="6"/>
  <c r="AP564" i="6"/>
  <c r="AO564" i="6"/>
  <c r="AN564" i="6"/>
  <c r="AM564" i="6"/>
  <c r="AL564" i="6"/>
  <c r="AK564" i="6"/>
  <c r="AJ564" i="6"/>
  <c r="AI564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B564" i="6"/>
  <c r="A564" i="6"/>
  <c r="DE563" i="6"/>
  <c r="DD563" i="6"/>
  <c r="DC563" i="6"/>
  <c r="DB563" i="6"/>
  <c r="DA563" i="6"/>
  <c r="CZ563" i="6"/>
  <c r="CY563" i="6"/>
  <c r="CX563" i="6"/>
  <c r="CV563" i="6"/>
  <c r="CU563" i="6"/>
  <c r="CT563" i="6"/>
  <c r="CS563" i="6"/>
  <c r="CR563" i="6"/>
  <c r="CQ563" i="6"/>
  <c r="CP563" i="6"/>
  <c r="CO563" i="6"/>
  <c r="CN563" i="6"/>
  <c r="CM563" i="6"/>
  <c r="CL563" i="6"/>
  <c r="CK563" i="6"/>
  <c r="CJ563" i="6"/>
  <c r="CI563" i="6"/>
  <c r="CH563" i="6"/>
  <c r="CG563" i="6"/>
  <c r="CF563" i="6"/>
  <c r="CE563" i="6"/>
  <c r="CD563" i="6"/>
  <c r="CC563" i="6"/>
  <c r="CB563" i="6"/>
  <c r="CA563" i="6"/>
  <c r="BZ563" i="6"/>
  <c r="BY563" i="6"/>
  <c r="BX563" i="6"/>
  <c r="BW563" i="6"/>
  <c r="BV563" i="6"/>
  <c r="BU563" i="6"/>
  <c r="BT563" i="6"/>
  <c r="BS563" i="6"/>
  <c r="BR563" i="6"/>
  <c r="BQ563" i="6"/>
  <c r="BP563" i="6"/>
  <c r="BO563" i="6"/>
  <c r="BN563" i="6"/>
  <c r="BM563" i="6"/>
  <c r="BL563" i="6"/>
  <c r="BK563" i="6"/>
  <c r="BJ563" i="6"/>
  <c r="BI563" i="6"/>
  <c r="BH563" i="6"/>
  <c r="BG563" i="6"/>
  <c r="BF563" i="6"/>
  <c r="BE563" i="6"/>
  <c r="BD563" i="6"/>
  <c r="BC563" i="6"/>
  <c r="BB563" i="6"/>
  <c r="BA563" i="6"/>
  <c r="AZ563" i="6"/>
  <c r="AY563" i="6"/>
  <c r="AX563" i="6"/>
  <c r="AW563" i="6"/>
  <c r="AV563" i="6"/>
  <c r="AU563" i="6"/>
  <c r="AT563" i="6"/>
  <c r="AS563" i="6"/>
  <c r="AR563" i="6"/>
  <c r="AQ563" i="6"/>
  <c r="AP563" i="6"/>
  <c r="AO563" i="6"/>
  <c r="AN563" i="6"/>
  <c r="AM563" i="6"/>
  <c r="AL563" i="6"/>
  <c r="AK563" i="6"/>
  <c r="AJ563" i="6"/>
  <c r="AI563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B563" i="6"/>
  <c r="A563" i="6"/>
  <c r="DE562" i="6"/>
  <c r="DD562" i="6"/>
  <c r="DC562" i="6"/>
  <c r="DB562" i="6"/>
  <c r="DA562" i="6"/>
  <c r="CZ562" i="6"/>
  <c r="CY562" i="6"/>
  <c r="CX562" i="6"/>
  <c r="CV562" i="6"/>
  <c r="CU562" i="6"/>
  <c r="CT562" i="6"/>
  <c r="CS562" i="6"/>
  <c r="CR562" i="6"/>
  <c r="CQ562" i="6"/>
  <c r="CP562" i="6"/>
  <c r="CO562" i="6"/>
  <c r="CN562" i="6"/>
  <c r="CM562" i="6"/>
  <c r="CL562" i="6"/>
  <c r="CK562" i="6"/>
  <c r="CJ562" i="6"/>
  <c r="CI562" i="6"/>
  <c r="CH562" i="6"/>
  <c r="CG562" i="6"/>
  <c r="CF562" i="6"/>
  <c r="CE562" i="6"/>
  <c r="CD562" i="6"/>
  <c r="CC562" i="6"/>
  <c r="CB562" i="6"/>
  <c r="CA562" i="6"/>
  <c r="BZ562" i="6"/>
  <c r="BY562" i="6"/>
  <c r="BX562" i="6"/>
  <c r="BW562" i="6"/>
  <c r="BV562" i="6"/>
  <c r="BU562" i="6"/>
  <c r="BT562" i="6"/>
  <c r="BS562" i="6"/>
  <c r="BR562" i="6"/>
  <c r="BQ562" i="6"/>
  <c r="BP562" i="6"/>
  <c r="BO562" i="6"/>
  <c r="BN562" i="6"/>
  <c r="BM562" i="6"/>
  <c r="BL562" i="6"/>
  <c r="BK562" i="6"/>
  <c r="BJ562" i="6"/>
  <c r="BI562" i="6"/>
  <c r="BH562" i="6"/>
  <c r="BG562" i="6"/>
  <c r="BF562" i="6"/>
  <c r="BE562" i="6"/>
  <c r="BD562" i="6"/>
  <c r="BC562" i="6"/>
  <c r="BB562" i="6"/>
  <c r="BA562" i="6"/>
  <c r="AZ562" i="6"/>
  <c r="AY562" i="6"/>
  <c r="AX562" i="6"/>
  <c r="AW562" i="6"/>
  <c r="AV562" i="6"/>
  <c r="AU562" i="6"/>
  <c r="AT562" i="6"/>
  <c r="AS562" i="6"/>
  <c r="AR562" i="6"/>
  <c r="AQ562" i="6"/>
  <c r="AP562" i="6"/>
  <c r="AO562" i="6"/>
  <c r="AN562" i="6"/>
  <c r="AM562" i="6"/>
  <c r="AL562" i="6"/>
  <c r="AK562" i="6"/>
  <c r="AJ562" i="6"/>
  <c r="AI562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B562" i="6"/>
  <c r="A562" i="6"/>
  <c r="DE561" i="6"/>
  <c r="DD561" i="6"/>
  <c r="DC561" i="6"/>
  <c r="DB561" i="6"/>
  <c r="DA561" i="6"/>
  <c r="CZ561" i="6"/>
  <c r="CY561" i="6"/>
  <c r="CX561" i="6"/>
  <c r="CV561" i="6"/>
  <c r="CU561" i="6"/>
  <c r="CT561" i="6"/>
  <c r="CS561" i="6"/>
  <c r="CR561" i="6"/>
  <c r="CQ561" i="6"/>
  <c r="CP561" i="6"/>
  <c r="CO561" i="6"/>
  <c r="CN561" i="6"/>
  <c r="CM561" i="6"/>
  <c r="CL561" i="6"/>
  <c r="CK561" i="6"/>
  <c r="CJ561" i="6"/>
  <c r="CI561" i="6"/>
  <c r="CH561" i="6"/>
  <c r="CG561" i="6"/>
  <c r="CF561" i="6"/>
  <c r="CE561" i="6"/>
  <c r="CD561" i="6"/>
  <c r="CC561" i="6"/>
  <c r="CB561" i="6"/>
  <c r="CA561" i="6"/>
  <c r="BZ561" i="6"/>
  <c r="BY561" i="6"/>
  <c r="BX561" i="6"/>
  <c r="BW561" i="6"/>
  <c r="BV561" i="6"/>
  <c r="BU561" i="6"/>
  <c r="BT561" i="6"/>
  <c r="BS561" i="6"/>
  <c r="BR561" i="6"/>
  <c r="BQ561" i="6"/>
  <c r="BP561" i="6"/>
  <c r="BO561" i="6"/>
  <c r="BN561" i="6"/>
  <c r="BM561" i="6"/>
  <c r="BL561" i="6"/>
  <c r="BK561" i="6"/>
  <c r="BJ561" i="6"/>
  <c r="BI561" i="6"/>
  <c r="BH561" i="6"/>
  <c r="BG561" i="6"/>
  <c r="BF561" i="6"/>
  <c r="BE561" i="6"/>
  <c r="BD561" i="6"/>
  <c r="BC561" i="6"/>
  <c r="BB561" i="6"/>
  <c r="BA561" i="6"/>
  <c r="AZ561" i="6"/>
  <c r="AY561" i="6"/>
  <c r="AX561" i="6"/>
  <c r="AW561" i="6"/>
  <c r="AV561" i="6"/>
  <c r="AU561" i="6"/>
  <c r="AT561" i="6"/>
  <c r="AS561" i="6"/>
  <c r="AR561" i="6"/>
  <c r="AQ561" i="6"/>
  <c r="AP561" i="6"/>
  <c r="AO561" i="6"/>
  <c r="AN561" i="6"/>
  <c r="AM561" i="6"/>
  <c r="AL561" i="6"/>
  <c r="AK561" i="6"/>
  <c r="AJ561" i="6"/>
  <c r="AI561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B561" i="6"/>
  <c r="A561" i="6"/>
  <c r="DE560" i="6"/>
  <c r="DD560" i="6"/>
  <c r="DC560" i="6"/>
  <c r="DB560" i="6"/>
  <c r="DA560" i="6"/>
  <c r="CZ560" i="6"/>
  <c r="CY560" i="6"/>
  <c r="CX560" i="6"/>
  <c r="CV560" i="6"/>
  <c r="CU560" i="6"/>
  <c r="CT560" i="6"/>
  <c r="CS560" i="6"/>
  <c r="CR560" i="6"/>
  <c r="CQ560" i="6"/>
  <c r="CP560" i="6"/>
  <c r="CO560" i="6"/>
  <c r="CN560" i="6"/>
  <c r="CM560" i="6"/>
  <c r="CL560" i="6"/>
  <c r="CK560" i="6"/>
  <c r="CJ560" i="6"/>
  <c r="CI560" i="6"/>
  <c r="CH560" i="6"/>
  <c r="CG560" i="6"/>
  <c r="CF560" i="6"/>
  <c r="CE560" i="6"/>
  <c r="CD560" i="6"/>
  <c r="CC560" i="6"/>
  <c r="CB560" i="6"/>
  <c r="CA560" i="6"/>
  <c r="BZ560" i="6"/>
  <c r="BY560" i="6"/>
  <c r="BX560" i="6"/>
  <c r="BW560" i="6"/>
  <c r="BV560" i="6"/>
  <c r="BU560" i="6"/>
  <c r="BT560" i="6"/>
  <c r="BS560" i="6"/>
  <c r="BR560" i="6"/>
  <c r="BQ560" i="6"/>
  <c r="BP560" i="6"/>
  <c r="BO560" i="6"/>
  <c r="BN560" i="6"/>
  <c r="BM560" i="6"/>
  <c r="BL560" i="6"/>
  <c r="BK560" i="6"/>
  <c r="BJ560" i="6"/>
  <c r="BI560" i="6"/>
  <c r="BH560" i="6"/>
  <c r="BG560" i="6"/>
  <c r="BF560" i="6"/>
  <c r="BE560" i="6"/>
  <c r="BD560" i="6"/>
  <c r="BC560" i="6"/>
  <c r="BB560" i="6"/>
  <c r="BA560" i="6"/>
  <c r="AZ560" i="6"/>
  <c r="AY560" i="6"/>
  <c r="AX560" i="6"/>
  <c r="AW560" i="6"/>
  <c r="AV560" i="6"/>
  <c r="AU560" i="6"/>
  <c r="AT560" i="6"/>
  <c r="AS560" i="6"/>
  <c r="AR560" i="6"/>
  <c r="AQ560" i="6"/>
  <c r="AP560" i="6"/>
  <c r="AO560" i="6"/>
  <c r="AN560" i="6"/>
  <c r="AM560" i="6"/>
  <c r="AL560" i="6"/>
  <c r="AK560" i="6"/>
  <c r="AJ560" i="6"/>
  <c r="AI560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B560" i="6"/>
  <c r="A560" i="6"/>
  <c r="DE559" i="6"/>
  <c r="DD559" i="6"/>
  <c r="DC559" i="6"/>
  <c r="DB559" i="6"/>
  <c r="DA559" i="6"/>
  <c r="CZ559" i="6"/>
  <c r="CY559" i="6"/>
  <c r="CX559" i="6"/>
  <c r="CV559" i="6"/>
  <c r="CU559" i="6"/>
  <c r="CT559" i="6"/>
  <c r="CS559" i="6"/>
  <c r="CR559" i="6"/>
  <c r="CQ559" i="6"/>
  <c r="CP559" i="6"/>
  <c r="CO559" i="6"/>
  <c r="CN559" i="6"/>
  <c r="CM559" i="6"/>
  <c r="CL559" i="6"/>
  <c r="CK559" i="6"/>
  <c r="CJ559" i="6"/>
  <c r="CI559" i="6"/>
  <c r="CH559" i="6"/>
  <c r="CG559" i="6"/>
  <c r="CF559" i="6"/>
  <c r="CE559" i="6"/>
  <c r="CD559" i="6"/>
  <c r="CC559" i="6"/>
  <c r="CB559" i="6"/>
  <c r="CA559" i="6"/>
  <c r="BZ559" i="6"/>
  <c r="BY559" i="6"/>
  <c r="BX559" i="6"/>
  <c r="BW559" i="6"/>
  <c r="BV559" i="6"/>
  <c r="BU559" i="6"/>
  <c r="BT559" i="6"/>
  <c r="BS559" i="6"/>
  <c r="BR559" i="6"/>
  <c r="BQ559" i="6"/>
  <c r="BP559" i="6"/>
  <c r="BO559" i="6"/>
  <c r="BN559" i="6"/>
  <c r="BM559" i="6"/>
  <c r="BL559" i="6"/>
  <c r="BK559" i="6"/>
  <c r="BJ559" i="6"/>
  <c r="BI559" i="6"/>
  <c r="BH559" i="6"/>
  <c r="BG559" i="6"/>
  <c r="BF559" i="6"/>
  <c r="BE559" i="6"/>
  <c r="BD559" i="6"/>
  <c r="BC559" i="6"/>
  <c r="BB559" i="6"/>
  <c r="BA559" i="6"/>
  <c r="AZ559" i="6"/>
  <c r="AY559" i="6"/>
  <c r="AX559" i="6"/>
  <c r="AW559" i="6"/>
  <c r="AV559" i="6"/>
  <c r="AU559" i="6"/>
  <c r="AT559" i="6"/>
  <c r="AS559" i="6"/>
  <c r="AR559" i="6"/>
  <c r="AQ559" i="6"/>
  <c r="AP559" i="6"/>
  <c r="AO559" i="6"/>
  <c r="AN559" i="6"/>
  <c r="AM559" i="6"/>
  <c r="AL559" i="6"/>
  <c r="AK559" i="6"/>
  <c r="AJ559" i="6"/>
  <c r="AI559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DE558" i="6"/>
  <c r="DD558" i="6"/>
  <c r="DC558" i="6"/>
  <c r="DB558" i="6"/>
  <c r="DA558" i="6"/>
  <c r="CZ558" i="6"/>
  <c r="CY558" i="6"/>
  <c r="CX558" i="6"/>
  <c r="CV558" i="6"/>
  <c r="CU558" i="6"/>
  <c r="CT558" i="6"/>
  <c r="CS558" i="6"/>
  <c r="CR558" i="6"/>
  <c r="CQ558" i="6"/>
  <c r="CP558" i="6"/>
  <c r="CO558" i="6"/>
  <c r="CN558" i="6"/>
  <c r="CM558" i="6"/>
  <c r="CL558" i="6"/>
  <c r="CK558" i="6"/>
  <c r="CJ558" i="6"/>
  <c r="CI558" i="6"/>
  <c r="CH558" i="6"/>
  <c r="CG558" i="6"/>
  <c r="CF558" i="6"/>
  <c r="CE558" i="6"/>
  <c r="CD558" i="6"/>
  <c r="CC558" i="6"/>
  <c r="CB558" i="6"/>
  <c r="CA558" i="6"/>
  <c r="BZ558" i="6"/>
  <c r="BY558" i="6"/>
  <c r="BX558" i="6"/>
  <c r="BW558" i="6"/>
  <c r="BV558" i="6"/>
  <c r="BU558" i="6"/>
  <c r="BT558" i="6"/>
  <c r="BS558" i="6"/>
  <c r="BR558" i="6"/>
  <c r="BQ558" i="6"/>
  <c r="BP558" i="6"/>
  <c r="BO558" i="6"/>
  <c r="BN558" i="6"/>
  <c r="BM558" i="6"/>
  <c r="BL558" i="6"/>
  <c r="BK558" i="6"/>
  <c r="BJ558" i="6"/>
  <c r="BI558" i="6"/>
  <c r="BH558" i="6"/>
  <c r="BG558" i="6"/>
  <c r="BF558" i="6"/>
  <c r="BE558" i="6"/>
  <c r="BD558" i="6"/>
  <c r="BC558" i="6"/>
  <c r="BB558" i="6"/>
  <c r="BA558" i="6"/>
  <c r="AZ558" i="6"/>
  <c r="AY558" i="6"/>
  <c r="AX558" i="6"/>
  <c r="AW558" i="6"/>
  <c r="AV558" i="6"/>
  <c r="AU558" i="6"/>
  <c r="AT558" i="6"/>
  <c r="AS558" i="6"/>
  <c r="AR558" i="6"/>
  <c r="AQ558" i="6"/>
  <c r="AP558" i="6"/>
  <c r="AO558" i="6"/>
  <c r="AN558" i="6"/>
  <c r="AM558" i="6"/>
  <c r="AL558" i="6"/>
  <c r="AK558" i="6"/>
  <c r="AJ558" i="6"/>
  <c r="AI558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B558" i="6"/>
  <c r="A558" i="6"/>
  <c r="DE557" i="6"/>
  <c r="DD557" i="6"/>
  <c r="DC557" i="6"/>
  <c r="DB557" i="6"/>
  <c r="DA557" i="6"/>
  <c r="CZ557" i="6"/>
  <c r="CY557" i="6"/>
  <c r="CX557" i="6"/>
  <c r="CV557" i="6"/>
  <c r="CU557" i="6"/>
  <c r="CT557" i="6"/>
  <c r="CS557" i="6"/>
  <c r="CR557" i="6"/>
  <c r="CQ557" i="6"/>
  <c r="CP557" i="6"/>
  <c r="CO557" i="6"/>
  <c r="CN557" i="6"/>
  <c r="CM557" i="6"/>
  <c r="CL557" i="6"/>
  <c r="CK557" i="6"/>
  <c r="CJ557" i="6"/>
  <c r="CI557" i="6"/>
  <c r="CH557" i="6"/>
  <c r="CG557" i="6"/>
  <c r="CF557" i="6"/>
  <c r="CE557" i="6"/>
  <c r="CD557" i="6"/>
  <c r="CC557" i="6"/>
  <c r="CB557" i="6"/>
  <c r="CA557" i="6"/>
  <c r="BZ557" i="6"/>
  <c r="BY557" i="6"/>
  <c r="BX557" i="6"/>
  <c r="BW557" i="6"/>
  <c r="BV557" i="6"/>
  <c r="BU557" i="6"/>
  <c r="BT557" i="6"/>
  <c r="BS557" i="6"/>
  <c r="BR557" i="6"/>
  <c r="BQ557" i="6"/>
  <c r="BP557" i="6"/>
  <c r="BO557" i="6"/>
  <c r="BN557" i="6"/>
  <c r="BM557" i="6"/>
  <c r="BL557" i="6"/>
  <c r="BK557" i="6"/>
  <c r="BJ557" i="6"/>
  <c r="BI557" i="6"/>
  <c r="BH557" i="6"/>
  <c r="BG557" i="6"/>
  <c r="BF557" i="6"/>
  <c r="BE557" i="6"/>
  <c r="BD557" i="6"/>
  <c r="BC557" i="6"/>
  <c r="BB557" i="6"/>
  <c r="BA557" i="6"/>
  <c r="AZ557" i="6"/>
  <c r="AY557" i="6"/>
  <c r="AX557" i="6"/>
  <c r="AW557" i="6"/>
  <c r="AV557" i="6"/>
  <c r="AU557" i="6"/>
  <c r="AT557" i="6"/>
  <c r="AS557" i="6"/>
  <c r="AR557" i="6"/>
  <c r="AQ557" i="6"/>
  <c r="AP557" i="6"/>
  <c r="AO557" i="6"/>
  <c r="AN557" i="6"/>
  <c r="AM557" i="6"/>
  <c r="AL557" i="6"/>
  <c r="AK557" i="6"/>
  <c r="AJ557" i="6"/>
  <c r="AI557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B557" i="6"/>
  <c r="A557" i="6"/>
  <c r="DE556" i="6"/>
  <c r="DD556" i="6"/>
  <c r="DC556" i="6"/>
  <c r="DB556" i="6"/>
  <c r="DA556" i="6"/>
  <c r="CZ556" i="6"/>
  <c r="CY556" i="6"/>
  <c r="CX556" i="6"/>
  <c r="CV556" i="6"/>
  <c r="CU556" i="6"/>
  <c r="CT556" i="6"/>
  <c r="CS556" i="6"/>
  <c r="CR556" i="6"/>
  <c r="CQ556" i="6"/>
  <c r="CP556" i="6"/>
  <c r="CO556" i="6"/>
  <c r="CN556" i="6"/>
  <c r="CM556" i="6"/>
  <c r="CL556" i="6"/>
  <c r="CK556" i="6"/>
  <c r="CJ556" i="6"/>
  <c r="CI556" i="6"/>
  <c r="CH556" i="6"/>
  <c r="CG556" i="6"/>
  <c r="CF556" i="6"/>
  <c r="CE556" i="6"/>
  <c r="CD556" i="6"/>
  <c r="CC556" i="6"/>
  <c r="CB556" i="6"/>
  <c r="CA556" i="6"/>
  <c r="BZ556" i="6"/>
  <c r="BY556" i="6"/>
  <c r="BX556" i="6"/>
  <c r="BW556" i="6"/>
  <c r="BV556" i="6"/>
  <c r="BU556" i="6"/>
  <c r="BT556" i="6"/>
  <c r="BS556" i="6"/>
  <c r="BR556" i="6"/>
  <c r="BQ556" i="6"/>
  <c r="BP556" i="6"/>
  <c r="BO556" i="6"/>
  <c r="BN556" i="6"/>
  <c r="BM556" i="6"/>
  <c r="BL556" i="6"/>
  <c r="BK556" i="6"/>
  <c r="BJ556" i="6"/>
  <c r="BI556" i="6"/>
  <c r="BH556" i="6"/>
  <c r="BG556" i="6"/>
  <c r="BF556" i="6"/>
  <c r="BE556" i="6"/>
  <c r="BD556" i="6"/>
  <c r="BC556" i="6"/>
  <c r="BB556" i="6"/>
  <c r="BA556" i="6"/>
  <c r="AZ556" i="6"/>
  <c r="AY556" i="6"/>
  <c r="AX556" i="6"/>
  <c r="AW556" i="6"/>
  <c r="AV556" i="6"/>
  <c r="AU556" i="6"/>
  <c r="AT556" i="6"/>
  <c r="AS556" i="6"/>
  <c r="AR556" i="6"/>
  <c r="AQ556" i="6"/>
  <c r="AP556" i="6"/>
  <c r="AO556" i="6"/>
  <c r="AN556" i="6"/>
  <c r="AM556" i="6"/>
  <c r="AL556" i="6"/>
  <c r="AK556" i="6"/>
  <c r="AJ556" i="6"/>
  <c r="AI556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B556" i="6"/>
  <c r="A556" i="6"/>
  <c r="DE555" i="6"/>
  <c r="DD555" i="6"/>
  <c r="DC555" i="6"/>
  <c r="DB555" i="6"/>
  <c r="DA555" i="6"/>
  <c r="CZ555" i="6"/>
  <c r="CY555" i="6"/>
  <c r="CX555" i="6"/>
  <c r="CV555" i="6"/>
  <c r="CU555" i="6"/>
  <c r="CT555" i="6"/>
  <c r="CS555" i="6"/>
  <c r="CR555" i="6"/>
  <c r="CQ555" i="6"/>
  <c r="CP555" i="6"/>
  <c r="CO555" i="6"/>
  <c r="CN555" i="6"/>
  <c r="CM555" i="6"/>
  <c r="CL555" i="6"/>
  <c r="CK555" i="6"/>
  <c r="CJ555" i="6"/>
  <c r="CI555" i="6"/>
  <c r="CH555" i="6"/>
  <c r="CG555" i="6"/>
  <c r="CF555" i="6"/>
  <c r="CE555" i="6"/>
  <c r="CD555" i="6"/>
  <c r="CC555" i="6"/>
  <c r="CB555" i="6"/>
  <c r="CA555" i="6"/>
  <c r="BZ555" i="6"/>
  <c r="BY555" i="6"/>
  <c r="BX555" i="6"/>
  <c r="BW555" i="6"/>
  <c r="BV555" i="6"/>
  <c r="BU555" i="6"/>
  <c r="BT555" i="6"/>
  <c r="BS555" i="6"/>
  <c r="BR555" i="6"/>
  <c r="BQ555" i="6"/>
  <c r="BP555" i="6"/>
  <c r="BO555" i="6"/>
  <c r="BN555" i="6"/>
  <c r="BM555" i="6"/>
  <c r="BL555" i="6"/>
  <c r="BK555" i="6"/>
  <c r="BJ555" i="6"/>
  <c r="BI555" i="6"/>
  <c r="BH555" i="6"/>
  <c r="BG555" i="6"/>
  <c r="BF555" i="6"/>
  <c r="BE555" i="6"/>
  <c r="BD555" i="6"/>
  <c r="BC555" i="6"/>
  <c r="BB555" i="6"/>
  <c r="BA555" i="6"/>
  <c r="AZ555" i="6"/>
  <c r="AY555" i="6"/>
  <c r="AX555" i="6"/>
  <c r="AW555" i="6"/>
  <c r="AV555" i="6"/>
  <c r="AU555" i="6"/>
  <c r="AT555" i="6"/>
  <c r="AS555" i="6"/>
  <c r="AR555" i="6"/>
  <c r="AQ555" i="6"/>
  <c r="AP555" i="6"/>
  <c r="AO555" i="6"/>
  <c r="AN555" i="6"/>
  <c r="AM555" i="6"/>
  <c r="AL555" i="6"/>
  <c r="AK555" i="6"/>
  <c r="AJ555" i="6"/>
  <c r="AI555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B555" i="6"/>
  <c r="A555" i="6"/>
  <c r="DE554" i="6"/>
  <c r="DD554" i="6"/>
  <c r="DC554" i="6"/>
  <c r="DB554" i="6"/>
  <c r="DA554" i="6"/>
  <c r="CZ554" i="6"/>
  <c r="CY554" i="6"/>
  <c r="CX554" i="6"/>
  <c r="CV554" i="6"/>
  <c r="CU554" i="6"/>
  <c r="CT554" i="6"/>
  <c r="CS554" i="6"/>
  <c r="CR554" i="6"/>
  <c r="CQ554" i="6"/>
  <c r="CP554" i="6"/>
  <c r="CO554" i="6"/>
  <c r="CN554" i="6"/>
  <c r="CM554" i="6"/>
  <c r="CL554" i="6"/>
  <c r="CK554" i="6"/>
  <c r="CJ554" i="6"/>
  <c r="CI554" i="6"/>
  <c r="CH554" i="6"/>
  <c r="CG554" i="6"/>
  <c r="CF554" i="6"/>
  <c r="CE554" i="6"/>
  <c r="CD554" i="6"/>
  <c r="CC554" i="6"/>
  <c r="CB554" i="6"/>
  <c r="CA554" i="6"/>
  <c r="BZ554" i="6"/>
  <c r="BY554" i="6"/>
  <c r="BX554" i="6"/>
  <c r="BW554" i="6"/>
  <c r="BV554" i="6"/>
  <c r="BU554" i="6"/>
  <c r="BT554" i="6"/>
  <c r="BS554" i="6"/>
  <c r="BR554" i="6"/>
  <c r="BQ554" i="6"/>
  <c r="BP554" i="6"/>
  <c r="BO554" i="6"/>
  <c r="BN554" i="6"/>
  <c r="BM554" i="6"/>
  <c r="BL554" i="6"/>
  <c r="BK554" i="6"/>
  <c r="BJ554" i="6"/>
  <c r="BI554" i="6"/>
  <c r="BH554" i="6"/>
  <c r="BG554" i="6"/>
  <c r="BF554" i="6"/>
  <c r="BE554" i="6"/>
  <c r="BD554" i="6"/>
  <c r="BC554" i="6"/>
  <c r="BB554" i="6"/>
  <c r="BA554" i="6"/>
  <c r="AZ554" i="6"/>
  <c r="AY554" i="6"/>
  <c r="AX554" i="6"/>
  <c r="AW554" i="6"/>
  <c r="AV554" i="6"/>
  <c r="AU554" i="6"/>
  <c r="AT554" i="6"/>
  <c r="AS554" i="6"/>
  <c r="AR554" i="6"/>
  <c r="AQ554" i="6"/>
  <c r="AP554" i="6"/>
  <c r="AO554" i="6"/>
  <c r="AN554" i="6"/>
  <c r="AM554" i="6"/>
  <c r="AL554" i="6"/>
  <c r="AK554" i="6"/>
  <c r="AJ554" i="6"/>
  <c r="AI554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B554" i="6"/>
  <c r="A554" i="6"/>
  <c r="DE553" i="6"/>
  <c r="DD553" i="6"/>
  <c r="DC553" i="6"/>
  <c r="DB553" i="6"/>
  <c r="DA553" i="6"/>
  <c r="CZ553" i="6"/>
  <c r="CY553" i="6"/>
  <c r="CX553" i="6"/>
  <c r="CV553" i="6"/>
  <c r="CU553" i="6"/>
  <c r="CT553" i="6"/>
  <c r="CS553" i="6"/>
  <c r="CR553" i="6"/>
  <c r="CQ553" i="6"/>
  <c r="CP553" i="6"/>
  <c r="CO553" i="6"/>
  <c r="CN553" i="6"/>
  <c r="CM553" i="6"/>
  <c r="CL553" i="6"/>
  <c r="CK553" i="6"/>
  <c r="CJ553" i="6"/>
  <c r="CI553" i="6"/>
  <c r="CH553" i="6"/>
  <c r="CG553" i="6"/>
  <c r="CF553" i="6"/>
  <c r="CE553" i="6"/>
  <c r="CD553" i="6"/>
  <c r="CC553" i="6"/>
  <c r="CB553" i="6"/>
  <c r="CA553" i="6"/>
  <c r="BZ553" i="6"/>
  <c r="BY553" i="6"/>
  <c r="BX553" i="6"/>
  <c r="BW553" i="6"/>
  <c r="BV553" i="6"/>
  <c r="BU553" i="6"/>
  <c r="BT553" i="6"/>
  <c r="BS553" i="6"/>
  <c r="BR553" i="6"/>
  <c r="BQ553" i="6"/>
  <c r="BP553" i="6"/>
  <c r="BO553" i="6"/>
  <c r="BN553" i="6"/>
  <c r="BM553" i="6"/>
  <c r="BL553" i="6"/>
  <c r="BK553" i="6"/>
  <c r="BJ553" i="6"/>
  <c r="BI553" i="6"/>
  <c r="BH553" i="6"/>
  <c r="BG553" i="6"/>
  <c r="BF553" i="6"/>
  <c r="BE553" i="6"/>
  <c r="BD553" i="6"/>
  <c r="BC553" i="6"/>
  <c r="BB553" i="6"/>
  <c r="BA553" i="6"/>
  <c r="AZ553" i="6"/>
  <c r="AY553" i="6"/>
  <c r="AX553" i="6"/>
  <c r="AW553" i="6"/>
  <c r="AV553" i="6"/>
  <c r="AU553" i="6"/>
  <c r="AT553" i="6"/>
  <c r="AS553" i="6"/>
  <c r="AR553" i="6"/>
  <c r="AQ553" i="6"/>
  <c r="AP553" i="6"/>
  <c r="AO553" i="6"/>
  <c r="AN553" i="6"/>
  <c r="AM553" i="6"/>
  <c r="AL553" i="6"/>
  <c r="AK553" i="6"/>
  <c r="AJ553" i="6"/>
  <c r="AI553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B553" i="6"/>
  <c r="A553" i="6"/>
  <c r="DE552" i="6"/>
  <c r="DD552" i="6"/>
  <c r="DC552" i="6"/>
  <c r="DB552" i="6"/>
  <c r="DA552" i="6"/>
  <c r="CZ552" i="6"/>
  <c r="CY552" i="6"/>
  <c r="CX552" i="6"/>
  <c r="CV552" i="6"/>
  <c r="CU552" i="6"/>
  <c r="CT552" i="6"/>
  <c r="CS552" i="6"/>
  <c r="CR552" i="6"/>
  <c r="CQ552" i="6"/>
  <c r="CP552" i="6"/>
  <c r="CO552" i="6"/>
  <c r="CN552" i="6"/>
  <c r="CM552" i="6"/>
  <c r="CL552" i="6"/>
  <c r="CK552" i="6"/>
  <c r="CJ552" i="6"/>
  <c r="CI552" i="6"/>
  <c r="CH552" i="6"/>
  <c r="CG552" i="6"/>
  <c r="CF552" i="6"/>
  <c r="CE552" i="6"/>
  <c r="CD552" i="6"/>
  <c r="CC552" i="6"/>
  <c r="CB552" i="6"/>
  <c r="CA552" i="6"/>
  <c r="BZ552" i="6"/>
  <c r="BY552" i="6"/>
  <c r="BX552" i="6"/>
  <c r="BW552" i="6"/>
  <c r="BV552" i="6"/>
  <c r="BU552" i="6"/>
  <c r="BT552" i="6"/>
  <c r="BS552" i="6"/>
  <c r="BR552" i="6"/>
  <c r="BQ552" i="6"/>
  <c r="BP552" i="6"/>
  <c r="BO552" i="6"/>
  <c r="BN552" i="6"/>
  <c r="BM552" i="6"/>
  <c r="BL552" i="6"/>
  <c r="BK552" i="6"/>
  <c r="BJ552" i="6"/>
  <c r="BI552" i="6"/>
  <c r="BH552" i="6"/>
  <c r="BG552" i="6"/>
  <c r="BF552" i="6"/>
  <c r="BE552" i="6"/>
  <c r="BD552" i="6"/>
  <c r="BC552" i="6"/>
  <c r="BB552" i="6"/>
  <c r="BA552" i="6"/>
  <c r="AZ552" i="6"/>
  <c r="AY552" i="6"/>
  <c r="AX552" i="6"/>
  <c r="AW552" i="6"/>
  <c r="AV552" i="6"/>
  <c r="AU552" i="6"/>
  <c r="AT552" i="6"/>
  <c r="AS552" i="6"/>
  <c r="AR552" i="6"/>
  <c r="AQ552" i="6"/>
  <c r="AP552" i="6"/>
  <c r="AO552" i="6"/>
  <c r="AN552" i="6"/>
  <c r="AM552" i="6"/>
  <c r="AL552" i="6"/>
  <c r="AK552" i="6"/>
  <c r="AJ552" i="6"/>
  <c r="AI552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B552" i="6"/>
  <c r="A552" i="6"/>
  <c r="DE551" i="6"/>
  <c r="DD551" i="6"/>
  <c r="DC551" i="6"/>
  <c r="DB551" i="6"/>
  <c r="DA551" i="6"/>
  <c r="CZ551" i="6"/>
  <c r="CY551" i="6"/>
  <c r="CX551" i="6"/>
  <c r="CV551" i="6"/>
  <c r="CU551" i="6"/>
  <c r="CT551" i="6"/>
  <c r="CS551" i="6"/>
  <c r="CR551" i="6"/>
  <c r="CQ551" i="6"/>
  <c r="CP551" i="6"/>
  <c r="CO551" i="6"/>
  <c r="CN551" i="6"/>
  <c r="CM551" i="6"/>
  <c r="CL551" i="6"/>
  <c r="CK551" i="6"/>
  <c r="CJ551" i="6"/>
  <c r="CI551" i="6"/>
  <c r="CH551" i="6"/>
  <c r="CG551" i="6"/>
  <c r="CF551" i="6"/>
  <c r="CE551" i="6"/>
  <c r="CD551" i="6"/>
  <c r="CC551" i="6"/>
  <c r="CB551" i="6"/>
  <c r="CA551" i="6"/>
  <c r="BZ551" i="6"/>
  <c r="BY551" i="6"/>
  <c r="BX551" i="6"/>
  <c r="BW551" i="6"/>
  <c r="BV551" i="6"/>
  <c r="BU551" i="6"/>
  <c r="BT551" i="6"/>
  <c r="BS551" i="6"/>
  <c r="BR551" i="6"/>
  <c r="BQ551" i="6"/>
  <c r="BP551" i="6"/>
  <c r="BO551" i="6"/>
  <c r="BN551" i="6"/>
  <c r="BM551" i="6"/>
  <c r="BL551" i="6"/>
  <c r="BK551" i="6"/>
  <c r="BJ551" i="6"/>
  <c r="BI551" i="6"/>
  <c r="BH551" i="6"/>
  <c r="BG551" i="6"/>
  <c r="BF551" i="6"/>
  <c r="BE551" i="6"/>
  <c r="BD551" i="6"/>
  <c r="BC551" i="6"/>
  <c r="BB551" i="6"/>
  <c r="BA551" i="6"/>
  <c r="AZ551" i="6"/>
  <c r="AY551" i="6"/>
  <c r="AX551" i="6"/>
  <c r="AW551" i="6"/>
  <c r="AV551" i="6"/>
  <c r="AU551" i="6"/>
  <c r="AT551" i="6"/>
  <c r="AS551" i="6"/>
  <c r="AR551" i="6"/>
  <c r="AQ551" i="6"/>
  <c r="AP551" i="6"/>
  <c r="AO551" i="6"/>
  <c r="AN551" i="6"/>
  <c r="AM551" i="6"/>
  <c r="AL551" i="6"/>
  <c r="AK551" i="6"/>
  <c r="AJ551" i="6"/>
  <c r="AI551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DE550" i="6"/>
  <c r="DD550" i="6"/>
  <c r="DC550" i="6"/>
  <c r="DB550" i="6"/>
  <c r="DA550" i="6"/>
  <c r="CZ550" i="6"/>
  <c r="CY550" i="6"/>
  <c r="CX550" i="6"/>
  <c r="CV550" i="6"/>
  <c r="CU550" i="6"/>
  <c r="CT550" i="6"/>
  <c r="CS550" i="6"/>
  <c r="CR550" i="6"/>
  <c r="CQ550" i="6"/>
  <c r="CP550" i="6"/>
  <c r="CO550" i="6"/>
  <c r="CN550" i="6"/>
  <c r="CM550" i="6"/>
  <c r="CL550" i="6"/>
  <c r="CK550" i="6"/>
  <c r="CJ550" i="6"/>
  <c r="CI550" i="6"/>
  <c r="CH550" i="6"/>
  <c r="CG550" i="6"/>
  <c r="CF550" i="6"/>
  <c r="CE550" i="6"/>
  <c r="CD550" i="6"/>
  <c r="CC550" i="6"/>
  <c r="CB550" i="6"/>
  <c r="CA550" i="6"/>
  <c r="BZ550" i="6"/>
  <c r="BY550" i="6"/>
  <c r="BX550" i="6"/>
  <c r="BW550" i="6"/>
  <c r="BV550" i="6"/>
  <c r="BU550" i="6"/>
  <c r="BT550" i="6"/>
  <c r="BS550" i="6"/>
  <c r="BR550" i="6"/>
  <c r="BQ550" i="6"/>
  <c r="BP550" i="6"/>
  <c r="BO550" i="6"/>
  <c r="BN550" i="6"/>
  <c r="BM550" i="6"/>
  <c r="BL550" i="6"/>
  <c r="BK550" i="6"/>
  <c r="BJ550" i="6"/>
  <c r="BI550" i="6"/>
  <c r="BH550" i="6"/>
  <c r="BG550" i="6"/>
  <c r="BF550" i="6"/>
  <c r="BE550" i="6"/>
  <c r="BD550" i="6"/>
  <c r="BC550" i="6"/>
  <c r="BB550" i="6"/>
  <c r="BA550" i="6"/>
  <c r="AZ550" i="6"/>
  <c r="AY550" i="6"/>
  <c r="AX550" i="6"/>
  <c r="AW550" i="6"/>
  <c r="AV550" i="6"/>
  <c r="AU550" i="6"/>
  <c r="AT550" i="6"/>
  <c r="AS550" i="6"/>
  <c r="AR550" i="6"/>
  <c r="AQ550" i="6"/>
  <c r="AP550" i="6"/>
  <c r="AO550" i="6"/>
  <c r="AN550" i="6"/>
  <c r="AM550" i="6"/>
  <c r="AL550" i="6"/>
  <c r="AK550" i="6"/>
  <c r="AJ550" i="6"/>
  <c r="AI550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B550" i="6"/>
  <c r="A550" i="6"/>
  <c r="DE549" i="6"/>
  <c r="DD549" i="6"/>
  <c r="DC549" i="6"/>
  <c r="DB549" i="6"/>
  <c r="DA549" i="6"/>
  <c r="CZ549" i="6"/>
  <c r="CY549" i="6"/>
  <c r="CX549" i="6"/>
  <c r="CV549" i="6"/>
  <c r="CU549" i="6"/>
  <c r="CT549" i="6"/>
  <c r="CS549" i="6"/>
  <c r="CR549" i="6"/>
  <c r="CQ549" i="6"/>
  <c r="CP549" i="6"/>
  <c r="CO549" i="6"/>
  <c r="CN549" i="6"/>
  <c r="CM549" i="6"/>
  <c r="CL549" i="6"/>
  <c r="CK549" i="6"/>
  <c r="CJ549" i="6"/>
  <c r="CI549" i="6"/>
  <c r="CH549" i="6"/>
  <c r="CG549" i="6"/>
  <c r="CF549" i="6"/>
  <c r="CE549" i="6"/>
  <c r="CD549" i="6"/>
  <c r="CC549" i="6"/>
  <c r="CB549" i="6"/>
  <c r="CA549" i="6"/>
  <c r="BZ549" i="6"/>
  <c r="BY549" i="6"/>
  <c r="BX549" i="6"/>
  <c r="BW549" i="6"/>
  <c r="BV549" i="6"/>
  <c r="BU549" i="6"/>
  <c r="BT549" i="6"/>
  <c r="BS549" i="6"/>
  <c r="BR549" i="6"/>
  <c r="BQ549" i="6"/>
  <c r="BP549" i="6"/>
  <c r="BO549" i="6"/>
  <c r="BN549" i="6"/>
  <c r="BM549" i="6"/>
  <c r="BL549" i="6"/>
  <c r="BK549" i="6"/>
  <c r="BJ549" i="6"/>
  <c r="BI549" i="6"/>
  <c r="BH549" i="6"/>
  <c r="BG549" i="6"/>
  <c r="BF549" i="6"/>
  <c r="BE549" i="6"/>
  <c r="BD549" i="6"/>
  <c r="BC549" i="6"/>
  <c r="BB549" i="6"/>
  <c r="BA549" i="6"/>
  <c r="AZ549" i="6"/>
  <c r="AY549" i="6"/>
  <c r="AX549" i="6"/>
  <c r="AW549" i="6"/>
  <c r="AV549" i="6"/>
  <c r="AU549" i="6"/>
  <c r="AT549" i="6"/>
  <c r="AS549" i="6"/>
  <c r="AR549" i="6"/>
  <c r="AQ549" i="6"/>
  <c r="AP549" i="6"/>
  <c r="AO549" i="6"/>
  <c r="AN549" i="6"/>
  <c r="AM549" i="6"/>
  <c r="AL549" i="6"/>
  <c r="AK549" i="6"/>
  <c r="AJ549" i="6"/>
  <c r="AI549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DE548" i="6"/>
  <c r="DD548" i="6"/>
  <c r="DC548" i="6"/>
  <c r="DB548" i="6"/>
  <c r="DA548" i="6"/>
  <c r="CZ548" i="6"/>
  <c r="CY548" i="6"/>
  <c r="CX548" i="6"/>
  <c r="CV548" i="6"/>
  <c r="CU548" i="6"/>
  <c r="CT548" i="6"/>
  <c r="CS548" i="6"/>
  <c r="CR548" i="6"/>
  <c r="CQ548" i="6"/>
  <c r="CP548" i="6"/>
  <c r="CO548" i="6"/>
  <c r="CN548" i="6"/>
  <c r="CM548" i="6"/>
  <c r="CL548" i="6"/>
  <c r="CK548" i="6"/>
  <c r="CJ548" i="6"/>
  <c r="CI548" i="6"/>
  <c r="CH548" i="6"/>
  <c r="CG548" i="6"/>
  <c r="CF548" i="6"/>
  <c r="CE548" i="6"/>
  <c r="CD548" i="6"/>
  <c r="CC548" i="6"/>
  <c r="CB548" i="6"/>
  <c r="CA548" i="6"/>
  <c r="BZ548" i="6"/>
  <c r="BY548" i="6"/>
  <c r="BX548" i="6"/>
  <c r="BW548" i="6"/>
  <c r="BV548" i="6"/>
  <c r="BU548" i="6"/>
  <c r="BT548" i="6"/>
  <c r="BS548" i="6"/>
  <c r="BR548" i="6"/>
  <c r="BQ548" i="6"/>
  <c r="BP548" i="6"/>
  <c r="BO548" i="6"/>
  <c r="BN548" i="6"/>
  <c r="BM548" i="6"/>
  <c r="BL548" i="6"/>
  <c r="BK548" i="6"/>
  <c r="BJ548" i="6"/>
  <c r="BI548" i="6"/>
  <c r="BH548" i="6"/>
  <c r="BG548" i="6"/>
  <c r="BF548" i="6"/>
  <c r="BE548" i="6"/>
  <c r="BD548" i="6"/>
  <c r="BC548" i="6"/>
  <c r="BB548" i="6"/>
  <c r="BA548" i="6"/>
  <c r="AZ548" i="6"/>
  <c r="AY548" i="6"/>
  <c r="AX548" i="6"/>
  <c r="AW548" i="6"/>
  <c r="AV548" i="6"/>
  <c r="AU548" i="6"/>
  <c r="AT548" i="6"/>
  <c r="AS548" i="6"/>
  <c r="AR548" i="6"/>
  <c r="AQ548" i="6"/>
  <c r="AP548" i="6"/>
  <c r="AO548" i="6"/>
  <c r="AN548" i="6"/>
  <c r="AM548" i="6"/>
  <c r="AL548" i="6"/>
  <c r="AK548" i="6"/>
  <c r="AJ548" i="6"/>
  <c r="AI548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B548" i="6"/>
  <c r="A548" i="6"/>
  <c r="DE547" i="6"/>
  <c r="DD547" i="6"/>
  <c r="DC547" i="6"/>
  <c r="DB547" i="6"/>
  <c r="DA547" i="6"/>
  <c r="CZ547" i="6"/>
  <c r="CY547" i="6"/>
  <c r="CX547" i="6"/>
  <c r="CV547" i="6"/>
  <c r="CU547" i="6"/>
  <c r="CT547" i="6"/>
  <c r="CS547" i="6"/>
  <c r="CR547" i="6"/>
  <c r="CQ547" i="6"/>
  <c r="CP547" i="6"/>
  <c r="CO547" i="6"/>
  <c r="CN547" i="6"/>
  <c r="CM547" i="6"/>
  <c r="CL547" i="6"/>
  <c r="CK547" i="6"/>
  <c r="CJ547" i="6"/>
  <c r="CI547" i="6"/>
  <c r="CH547" i="6"/>
  <c r="CG547" i="6"/>
  <c r="CF547" i="6"/>
  <c r="CE547" i="6"/>
  <c r="CD547" i="6"/>
  <c r="CC547" i="6"/>
  <c r="CB547" i="6"/>
  <c r="CA547" i="6"/>
  <c r="BZ547" i="6"/>
  <c r="BY547" i="6"/>
  <c r="BX547" i="6"/>
  <c r="BW547" i="6"/>
  <c r="BV547" i="6"/>
  <c r="BU547" i="6"/>
  <c r="BT547" i="6"/>
  <c r="BS547" i="6"/>
  <c r="BR547" i="6"/>
  <c r="BQ547" i="6"/>
  <c r="BP547" i="6"/>
  <c r="BO547" i="6"/>
  <c r="BN547" i="6"/>
  <c r="BM547" i="6"/>
  <c r="BL547" i="6"/>
  <c r="BK547" i="6"/>
  <c r="BJ547" i="6"/>
  <c r="BI547" i="6"/>
  <c r="BH547" i="6"/>
  <c r="BG547" i="6"/>
  <c r="BF547" i="6"/>
  <c r="BE547" i="6"/>
  <c r="BD547" i="6"/>
  <c r="BC547" i="6"/>
  <c r="BB547" i="6"/>
  <c r="BA547" i="6"/>
  <c r="AZ547" i="6"/>
  <c r="AY547" i="6"/>
  <c r="AX547" i="6"/>
  <c r="AW547" i="6"/>
  <c r="AV547" i="6"/>
  <c r="AU547" i="6"/>
  <c r="AT547" i="6"/>
  <c r="AS547" i="6"/>
  <c r="AR547" i="6"/>
  <c r="AQ547" i="6"/>
  <c r="AP547" i="6"/>
  <c r="AO547" i="6"/>
  <c r="AN547" i="6"/>
  <c r="AM547" i="6"/>
  <c r="AL547" i="6"/>
  <c r="AK547" i="6"/>
  <c r="AJ547" i="6"/>
  <c r="AI547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B547" i="6"/>
  <c r="A547" i="6"/>
  <c r="DE546" i="6"/>
  <c r="DD546" i="6"/>
  <c r="DC546" i="6"/>
  <c r="DB546" i="6"/>
  <c r="DA546" i="6"/>
  <c r="CZ546" i="6"/>
  <c r="CY546" i="6"/>
  <c r="CX546" i="6"/>
  <c r="CV546" i="6"/>
  <c r="CU546" i="6"/>
  <c r="CT546" i="6"/>
  <c r="CS546" i="6"/>
  <c r="CR546" i="6"/>
  <c r="CQ546" i="6"/>
  <c r="CP546" i="6"/>
  <c r="CO546" i="6"/>
  <c r="CN546" i="6"/>
  <c r="CM546" i="6"/>
  <c r="CL546" i="6"/>
  <c r="CK546" i="6"/>
  <c r="CJ546" i="6"/>
  <c r="CI546" i="6"/>
  <c r="CH546" i="6"/>
  <c r="CG546" i="6"/>
  <c r="CF546" i="6"/>
  <c r="CE546" i="6"/>
  <c r="CD546" i="6"/>
  <c r="CC546" i="6"/>
  <c r="CB546" i="6"/>
  <c r="CA546" i="6"/>
  <c r="BZ546" i="6"/>
  <c r="BY546" i="6"/>
  <c r="BX546" i="6"/>
  <c r="BW546" i="6"/>
  <c r="BV546" i="6"/>
  <c r="BU546" i="6"/>
  <c r="BT546" i="6"/>
  <c r="BS546" i="6"/>
  <c r="BR546" i="6"/>
  <c r="BQ546" i="6"/>
  <c r="BP546" i="6"/>
  <c r="BO546" i="6"/>
  <c r="BN546" i="6"/>
  <c r="BM546" i="6"/>
  <c r="BL546" i="6"/>
  <c r="BK546" i="6"/>
  <c r="BJ546" i="6"/>
  <c r="BI546" i="6"/>
  <c r="BH546" i="6"/>
  <c r="BG546" i="6"/>
  <c r="BF546" i="6"/>
  <c r="BE546" i="6"/>
  <c r="BD546" i="6"/>
  <c r="BC546" i="6"/>
  <c r="BB546" i="6"/>
  <c r="BA546" i="6"/>
  <c r="AZ546" i="6"/>
  <c r="AY546" i="6"/>
  <c r="AX546" i="6"/>
  <c r="AW546" i="6"/>
  <c r="AV546" i="6"/>
  <c r="AU546" i="6"/>
  <c r="AT546" i="6"/>
  <c r="AS546" i="6"/>
  <c r="AR546" i="6"/>
  <c r="AQ546" i="6"/>
  <c r="AP546" i="6"/>
  <c r="AO546" i="6"/>
  <c r="AN546" i="6"/>
  <c r="AM546" i="6"/>
  <c r="AL546" i="6"/>
  <c r="AK546" i="6"/>
  <c r="AJ546" i="6"/>
  <c r="AI546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B546" i="6"/>
  <c r="A546" i="6"/>
  <c r="DE545" i="6"/>
  <c r="DD545" i="6"/>
  <c r="DC545" i="6"/>
  <c r="DB545" i="6"/>
  <c r="DA545" i="6"/>
  <c r="CZ545" i="6"/>
  <c r="CY545" i="6"/>
  <c r="CX545" i="6"/>
  <c r="CV545" i="6"/>
  <c r="CU545" i="6"/>
  <c r="CT545" i="6"/>
  <c r="CS545" i="6"/>
  <c r="CR545" i="6"/>
  <c r="CQ545" i="6"/>
  <c r="CP545" i="6"/>
  <c r="CO545" i="6"/>
  <c r="CN545" i="6"/>
  <c r="CM545" i="6"/>
  <c r="CL545" i="6"/>
  <c r="CK545" i="6"/>
  <c r="CJ545" i="6"/>
  <c r="CI545" i="6"/>
  <c r="CH545" i="6"/>
  <c r="CG545" i="6"/>
  <c r="CF545" i="6"/>
  <c r="CE545" i="6"/>
  <c r="CD545" i="6"/>
  <c r="CC545" i="6"/>
  <c r="CB545" i="6"/>
  <c r="CA545" i="6"/>
  <c r="BZ545" i="6"/>
  <c r="BY545" i="6"/>
  <c r="BX545" i="6"/>
  <c r="BW545" i="6"/>
  <c r="BV545" i="6"/>
  <c r="BU545" i="6"/>
  <c r="BT545" i="6"/>
  <c r="BS545" i="6"/>
  <c r="BR545" i="6"/>
  <c r="BQ545" i="6"/>
  <c r="BP545" i="6"/>
  <c r="BO545" i="6"/>
  <c r="BN545" i="6"/>
  <c r="BM545" i="6"/>
  <c r="BL545" i="6"/>
  <c r="BK545" i="6"/>
  <c r="BJ545" i="6"/>
  <c r="BI545" i="6"/>
  <c r="BH545" i="6"/>
  <c r="BG545" i="6"/>
  <c r="BF545" i="6"/>
  <c r="BE545" i="6"/>
  <c r="BD545" i="6"/>
  <c r="BC545" i="6"/>
  <c r="BB545" i="6"/>
  <c r="BA545" i="6"/>
  <c r="AZ545" i="6"/>
  <c r="AY545" i="6"/>
  <c r="AX545" i="6"/>
  <c r="AW545" i="6"/>
  <c r="AV545" i="6"/>
  <c r="AU545" i="6"/>
  <c r="AT545" i="6"/>
  <c r="AS545" i="6"/>
  <c r="AR545" i="6"/>
  <c r="AQ545" i="6"/>
  <c r="AP545" i="6"/>
  <c r="AO545" i="6"/>
  <c r="AN545" i="6"/>
  <c r="AM545" i="6"/>
  <c r="AL545" i="6"/>
  <c r="AK545" i="6"/>
  <c r="AJ545" i="6"/>
  <c r="AI545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B545" i="6"/>
  <c r="A545" i="6"/>
  <c r="DE544" i="6"/>
  <c r="DD544" i="6"/>
  <c r="DC544" i="6"/>
  <c r="DB544" i="6"/>
  <c r="DA544" i="6"/>
  <c r="CZ544" i="6"/>
  <c r="CY544" i="6"/>
  <c r="CX544" i="6"/>
  <c r="CV544" i="6"/>
  <c r="CU544" i="6"/>
  <c r="CT544" i="6"/>
  <c r="CS544" i="6"/>
  <c r="CR544" i="6"/>
  <c r="CQ544" i="6"/>
  <c r="CP544" i="6"/>
  <c r="CO544" i="6"/>
  <c r="CN544" i="6"/>
  <c r="CM544" i="6"/>
  <c r="CL544" i="6"/>
  <c r="CK544" i="6"/>
  <c r="CJ544" i="6"/>
  <c r="CI544" i="6"/>
  <c r="CH544" i="6"/>
  <c r="CG544" i="6"/>
  <c r="CF544" i="6"/>
  <c r="CE544" i="6"/>
  <c r="CD544" i="6"/>
  <c r="CC544" i="6"/>
  <c r="CB544" i="6"/>
  <c r="CA544" i="6"/>
  <c r="BZ544" i="6"/>
  <c r="BY544" i="6"/>
  <c r="BX544" i="6"/>
  <c r="BW544" i="6"/>
  <c r="BV544" i="6"/>
  <c r="BU544" i="6"/>
  <c r="BT544" i="6"/>
  <c r="BS544" i="6"/>
  <c r="BR544" i="6"/>
  <c r="BQ544" i="6"/>
  <c r="BP544" i="6"/>
  <c r="BO544" i="6"/>
  <c r="BN544" i="6"/>
  <c r="BM544" i="6"/>
  <c r="BL544" i="6"/>
  <c r="BK544" i="6"/>
  <c r="BJ544" i="6"/>
  <c r="BI544" i="6"/>
  <c r="BH544" i="6"/>
  <c r="BG544" i="6"/>
  <c r="BF544" i="6"/>
  <c r="BE544" i="6"/>
  <c r="BD544" i="6"/>
  <c r="BC544" i="6"/>
  <c r="BB544" i="6"/>
  <c r="BA544" i="6"/>
  <c r="AZ544" i="6"/>
  <c r="AY544" i="6"/>
  <c r="AX544" i="6"/>
  <c r="AW544" i="6"/>
  <c r="AV544" i="6"/>
  <c r="AU544" i="6"/>
  <c r="AT544" i="6"/>
  <c r="AS544" i="6"/>
  <c r="AR544" i="6"/>
  <c r="AQ544" i="6"/>
  <c r="AP544" i="6"/>
  <c r="AO544" i="6"/>
  <c r="AN544" i="6"/>
  <c r="AM544" i="6"/>
  <c r="AL544" i="6"/>
  <c r="AK544" i="6"/>
  <c r="AJ544" i="6"/>
  <c r="AI544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B544" i="6"/>
  <c r="A544" i="6"/>
  <c r="DE543" i="6"/>
  <c r="DD543" i="6"/>
  <c r="DC543" i="6"/>
  <c r="DB543" i="6"/>
  <c r="DA543" i="6"/>
  <c r="CZ543" i="6"/>
  <c r="CY543" i="6"/>
  <c r="CX543" i="6"/>
  <c r="CV543" i="6"/>
  <c r="CU543" i="6"/>
  <c r="CT543" i="6"/>
  <c r="CS543" i="6"/>
  <c r="CR543" i="6"/>
  <c r="CQ543" i="6"/>
  <c r="CP543" i="6"/>
  <c r="CO543" i="6"/>
  <c r="CN543" i="6"/>
  <c r="CM543" i="6"/>
  <c r="CL543" i="6"/>
  <c r="CK543" i="6"/>
  <c r="CJ543" i="6"/>
  <c r="CI543" i="6"/>
  <c r="CH543" i="6"/>
  <c r="CG543" i="6"/>
  <c r="CF543" i="6"/>
  <c r="CE543" i="6"/>
  <c r="CD543" i="6"/>
  <c r="CC543" i="6"/>
  <c r="CB543" i="6"/>
  <c r="CA543" i="6"/>
  <c r="BZ543" i="6"/>
  <c r="BY543" i="6"/>
  <c r="BX543" i="6"/>
  <c r="BW543" i="6"/>
  <c r="BV543" i="6"/>
  <c r="BU543" i="6"/>
  <c r="BT543" i="6"/>
  <c r="BS543" i="6"/>
  <c r="BR543" i="6"/>
  <c r="BQ543" i="6"/>
  <c r="BP543" i="6"/>
  <c r="BO543" i="6"/>
  <c r="BN543" i="6"/>
  <c r="BM543" i="6"/>
  <c r="BL543" i="6"/>
  <c r="BK543" i="6"/>
  <c r="BJ543" i="6"/>
  <c r="BI543" i="6"/>
  <c r="BH543" i="6"/>
  <c r="BG543" i="6"/>
  <c r="BF543" i="6"/>
  <c r="BE543" i="6"/>
  <c r="BD543" i="6"/>
  <c r="BC543" i="6"/>
  <c r="BB543" i="6"/>
  <c r="BA543" i="6"/>
  <c r="AZ543" i="6"/>
  <c r="AY543" i="6"/>
  <c r="AX543" i="6"/>
  <c r="AW543" i="6"/>
  <c r="AV543" i="6"/>
  <c r="AU543" i="6"/>
  <c r="AT543" i="6"/>
  <c r="AS543" i="6"/>
  <c r="AR543" i="6"/>
  <c r="AQ543" i="6"/>
  <c r="AP543" i="6"/>
  <c r="AO543" i="6"/>
  <c r="AN543" i="6"/>
  <c r="AM543" i="6"/>
  <c r="AL543" i="6"/>
  <c r="AK543" i="6"/>
  <c r="AJ543" i="6"/>
  <c r="AI543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DE542" i="6"/>
  <c r="DD542" i="6"/>
  <c r="DC542" i="6"/>
  <c r="DB542" i="6"/>
  <c r="DA542" i="6"/>
  <c r="CZ542" i="6"/>
  <c r="CY542" i="6"/>
  <c r="CX542" i="6"/>
  <c r="CV542" i="6"/>
  <c r="CU542" i="6"/>
  <c r="CT542" i="6"/>
  <c r="CS542" i="6"/>
  <c r="CR542" i="6"/>
  <c r="CQ542" i="6"/>
  <c r="CP542" i="6"/>
  <c r="CO542" i="6"/>
  <c r="CN542" i="6"/>
  <c r="CM542" i="6"/>
  <c r="CL542" i="6"/>
  <c r="CK542" i="6"/>
  <c r="CJ542" i="6"/>
  <c r="CI542" i="6"/>
  <c r="CH542" i="6"/>
  <c r="CG542" i="6"/>
  <c r="CF542" i="6"/>
  <c r="CE542" i="6"/>
  <c r="CD542" i="6"/>
  <c r="CC542" i="6"/>
  <c r="CB542" i="6"/>
  <c r="CA542" i="6"/>
  <c r="BZ542" i="6"/>
  <c r="BY542" i="6"/>
  <c r="BX542" i="6"/>
  <c r="BW542" i="6"/>
  <c r="BV542" i="6"/>
  <c r="BU542" i="6"/>
  <c r="BT542" i="6"/>
  <c r="BS542" i="6"/>
  <c r="BR542" i="6"/>
  <c r="BQ542" i="6"/>
  <c r="BP542" i="6"/>
  <c r="BO542" i="6"/>
  <c r="BN542" i="6"/>
  <c r="BM542" i="6"/>
  <c r="BL542" i="6"/>
  <c r="BK542" i="6"/>
  <c r="BJ542" i="6"/>
  <c r="BI542" i="6"/>
  <c r="BH542" i="6"/>
  <c r="BG542" i="6"/>
  <c r="BF542" i="6"/>
  <c r="BE542" i="6"/>
  <c r="BD542" i="6"/>
  <c r="BC542" i="6"/>
  <c r="BB542" i="6"/>
  <c r="BA542" i="6"/>
  <c r="AZ542" i="6"/>
  <c r="AY542" i="6"/>
  <c r="AX542" i="6"/>
  <c r="AW542" i="6"/>
  <c r="AV542" i="6"/>
  <c r="AU542" i="6"/>
  <c r="AT542" i="6"/>
  <c r="AS542" i="6"/>
  <c r="AR542" i="6"/>
  <c r="AQ542" i="6"/>
  <c r="AP542" i="6"/>
  <c r="AO542" i="6"/>
  <c r="AN542" i="6"/>
  <c r="AM542" i="6"/>
  <c r="AL542" i="6"/>
  <c r="AK542" i="6"/>
  <c r="AJ542" i="6"/>
  <c r="AI542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B542" i="6"/>
  <c r="A542" i="6"/>
  <c r="DE541" i="6"/>
  <c r="DD541" i="6"/>
  <c r="DC541" i="6"/>
  <c r="DB541" i="6"/>
  <c r="DA541" i="6"/>
  <c r="CZ541" i="6"/>
  <c r="CY541" i="6"/>
  <c r="CX541" i="6"/>
  <c r="CV541" i="6"/>
  <c r="CU541" i="6"/>
  <c r="CT541" i="6"/>
  <c r="CS541" i="6"/>
  <c r="CR541" i="6"/>
  <c r="CQ541" i="6"/>
  <c r="CP541" i="6"/>
  <c r="CO541" i="6"/>
  <c r="CN541" i="6"/>
  <c r="CM541" i="6"/>
  <c r="CL541" i="6"/>
  <c r="CK541" i="6"/>
  <c r="CJ541" i="6"/>
  <c r="CI541" i="6"/>
  <c r="CH541" i="6"/>
  <c r="CG541" i="6"/>
  <c r="CF541" i="6"/>
  <c r="CE541" i="6"/>
  <c r="CD541" i="6"/>
  <c r="CC541" i="6"/>
  <c r="CB541" i="6"/>
  <c r="CA541" i="6"/>
  <c r="BZ541" i="6"/>
  <c r="BY541" i="6"/>
  <c r="BX541" i="6"/>
  <c r="BW541" i="6"/>
  <c r="BV541" i="6"/>
  <c r="BU541" i="6"/>
  <c r="BT541" i="6"/>
  <c r="BS541" i="6"/>
  <c r="BR541" i="6"/>
  <c r="BQ541" i="6"/>
  <c r="BP541" i="6"/>
  <c r="BO541" i="6"/>
  <c r="BN541" i="6"/>
  <c r="BM541" i="6"/>
  <c r="BL541" i="6"/>
  <c r="BK541" i="6"/>
  <c r="BJ541" i="6"/>
  <c r="BI541" i="6"/>
  <c r="BH541" i="6"/>
  <c r="BG541" i="6"/>
  <c r="BF541" i="6"/>
  <c r="BE541" i="6"/>
  <c r="BD541" i="6"/>
  <c r="BC541" i="6"/>
  <c r="BB541" i="6"/>
  <c r="BA541" i="6"/>
  <c r="AZ541" i="6"/>
  <c r="AY541" i="6"/>
  <c r="AX541" i="6"/>
  <c r="AW541" i="6"/>
  <c r="AV541" i="6"/>
  <c r="AU541" i="6"/>
  <c r="AT541" i="6"/>
  <c r="AS541" i="6"/>
  <c r="AR541" i="6"/>
  <c r="AQ541" i="6"/>
  <c r="AP541" i="6"/>
  <c r="AO541" i="6"/>
  <c r="AN541" i="6"/>
  <c r="AM541" i="6"/>
  <c r="AL541" i="6"/>
  <c r="AK541" i="6"/>
  <c r="AJ541" i="6"/>
  <c r="AI541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B541" i="6"/>
  <c r="A541" i="6"/>
  <c r="DE540" i="6"/>
  <c r="DD540" i="6"/>
  <c r="DC540" i="6"/>
  <c r="DB540" i="6"/>
  <c r="DA540" i="6"/>
  <c r="CZ540" i="6"/>
  <c r="CY540" i="6"/>
  <c r="CX540" i="6"/>
  <c r="CV540" i="6"/>
  <c r="CU540" i="6"/>
  <c r="CT540" i="6"/>
  <c r="CS540" i="6"/>
  <c r="CR540" i="6"/>
  <c r="CQ540" i="6"/>
  <c r="CP540" i="6"/>
  <c r="CO540" i="6"/>
  <c r="CN540" i="6"/>
  <c r="CM540" i="6"/>
  <c r="CL540" i="6"/>
  <c r="CK540" i="6"/>
  <c r="CJ540" i="6"/>
  <c r="CI540" i="6"/>
  <c r="CH540" i="6"/>
  <c r="CG540" i="6"/>
  <c r="CF540" i="6"/>
  <c r="CE540" i="6"/>
  <c r="CD540" i="6"/>
  <c r="CC540" i="6"/>
  <c r="CB540" i="6"/>
  <c r="CA540" i="6"/>
  <c r="BZ540" i="6"/>
  <c r="BY540" i="6"/>
  <c r="BX540" i="6"/>
  <c r="BW540" i="6"/>
  <c r="BV540" i="6"/>
  <c r="BU540" i="6"/>
  <c r="BT540" i="6"/>
  <c r="BS540" i="6"/>
  <c r="BR540" i="6"/>
  <c r="BQ540" i="6"/>
  <c r="BP540" i="6"/>
  <c r="BO540" i="6"/>
  <c r="BN540" i="6"/>
  <c r="BM540" i="6"/>
  <c r="BL540" i="6"/>
  <c r="BK540" i="6"/>
  <c r="BJ540" i="6"/>
  <c r="BI540" i="6"/>
  <c r="BH540" i="6"/>
  <c r="BG540" i="6"/>
  <c r="BF540" i="6"/>
  <c r="BE540" i="6"/>
  <c r="BD540" i="6"/>
  <c r="BC540" i="6"/>
  <c r="BB540" i="6"/>
  <c r="BA540" i="6"/>
  <c r="AZ540" i="6"/>
  <c r="AY540" i="6"/>
  <c r="AX540" i="6"/>
  <c r="AW540" i="6"/>
  <c r="AV540" i="6"/>
  <c r="AU540" i="6"/>
  <c r="AT540" i="6"/>
  <c r="AS540" i="6"/>
  <c r="AR540" i="6"/>
  <c r="AQ540" i="6"/>
  <c r="AP540" i="6"/>
  <c r="AO540" i="6"/>
  <c r="AN540" i="6"/>
  <c r="AM540" i="6"/>
  <c r="AL540" i="6"/>
  <c r="AK540" i="6"/>
  <c r="AJ540" i="6"/>
  <c r="AI540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B540" i="6"/>
  <c r="A540" i="6"/>
  <c r="DE539" i="6"/>
  <c r="DD539" i="6"/>
  <c r="DC539" i="6"/>
  <c r="DB539" i="6"/>
  <c r="DA539" i="6"/>
  <c r="CZ539" i="6"/>
  <c r="CY539" i="6"/>
  <c r="CX539" i="6"/>
  <c r="CV539" i="6"/>
  <c r="CU539" i="6"/>
  <c r="CT539" i="6"/>
  <c r="CS539" i="6"/>
  <c r="CR539" i="6"/>
  <c r="CQ539" i="6"/>
  <c r="CP539" i="6"/>
  <c r="CO539" i="6"/>
  <c r="CN539" i="6"/>
  <c r="CM539" i="6"/>
  <c r="CL539" i="6"/>
  <c r="CK539" i="6"/>
  <c r="CJ539" i="6"/>
  <c r="CI539" i="6"/>
  <c r="CH539" i="6"/>
  <c r="CG539" i="6"/>
  <c r="CF539" i="6"/>
  <c r="CE539" i="6"/>
  <c r="CD539" i="6"/>
  <c r="CC539" i="6"/>
  <c r="CB539" i="6"/>
  <c r="CA539" i="6"/>
  <c r="BZ539" i="6"/>
  <c r="BY539" i="6"/>
  <c r="BX539" i="6"/>
  <c r="BW539" i="6"/>
  <c r="BV539" i="6"/>
  <c r="BU539" i="6"/>
  <c r="BT539" i="6"/>
  <c r="BS539" i="6"/>
  <c r="BR539" i="6"/>
  <c r="BQ539" i="6"/>
  <c r="BP539" i="6"/>
  <c r="BO539" i="6"/>
  <c r="BN539" i="6"/>
  <c r="BM539" i="6"/>
  <c r="BL539" i="6"/>
  <c r="BK539" i="6"/>
  <c r="BJ539" i="6"/>
  <c r="BI539" i="6"/>
  <c r="BH539" i="6"/>
  <c r="BG539" i="6"/>
  <c r="BF539" i="6"/>
  <c r="BE539" i="6"/>
  <c r="BD539" i="6"/>
  <c r="BC539" i="6"/>
  <c r="BB539" i="6"/>
  <c r="BA539" i="6"/>
  <c r="AZ539" i="6"/>
  <c r="AY539" i="6"/>
  <c r="AX539" i="6"/>
  <c r="AW539" i="6"/>
  <c r="AV539" i="6"/>
  <c r="AU539" i="6"/>
  <c r="AT539" i="6"/>
  <c r="AS539" i="6"/>
  <c r="AR539" i="6"/>
  <c r="AQ539" i="6"/>
  <c r="AP539" i="6"/>
  <c r="AO539" i="6"/>
  <c r="AN539" i="6"/>
  <c r="AM539" i="6"/>
  <c r="AL539" i="6"/>
  <c r="AK539" i="6"/>
  <c r="AJ539" i="6"/>
  <c r="AI539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B539" i="6"/>
  <c r="A539" i="6"/>
  <c r="DE538" i="6"/>
  <c r="DD538" i="6"/>
  <c r="DC538" i="6"/>
  <c r="DB538" i="6"/>
  <c r="DA538" i="6"/>
  <c r="CZ538" i="6"/>
  <c r="CY538" i="6"/>
  <c r="CX538" i="6"/>
  <c r="CV538" i="6"/>
  <c r="CU538" i="6"/>
  <c r="CT538" i="6"/>
  <c r="CS538" i="6"/>
  <c r="CR538" i="6"/>
  <c r="CQ538" i="6"/>
  <c r="CP538" i="6"/>
  <c r="CO538" i="6"/>
  <c r="CN538" i="6"/>
  <c r="CM538" i="6"/>
  <c r="CL538" i="6"/>
  <c r="CK538" i="6"/>
  <c r="CJ538" i="6"/>
  <c r="CI538" i="6"/>
  <c r="CH538" i="6"/>
  <c r="CG538" i="6"/>
  <c r="CF538" i="6"/>
  <c r="CE538" i="6"/>
  <c r="CD538" i="6"/>
  <c r="CC538" i="6"/>
  <c r="CB538" i="6"/>
  <c r="CA538" i="6"/>
  <c r="BZ538" i="6"/>
  <c r="BY538" i="6"/>
  <c r="BX538" i="6"/>
  <c r="BW538" i="6"/>
  <c r="BV538" i="6"/>
  <c r="BU538" i="6"/>
  <c r="BT538" i="6"/>
  <c r="BS538" i="6"/>
  <c r="BR538" i="6"/>
  <c r="BQ538" i="6"/>
  <c r="BP538" i="6"/>
  <c r="BO538" i="6"/>
  <c r="BN538" i="6"/>
  <c r="BM538" i="6"/>
  <c r="BL538" i="6"/>
  <c r="BK538" i="6"/>
  <c r="BJ538" i="6"/>
  <c r="BI538" i="6"/>
  <c r="BH538" i="6"/>
  <c r="BG538" i="6"/>
  <c r="BF538" i="6"/>
  <c r="BE538" i="6"/>
  <c r="BD538" i="6"/>
  <c r="BC538" i="6"/>
  <c r="BB538" i="6"/>
  <c r="BA538" i="6"/>
  <c r="AZ538" i="6"/>
  <c r="AY538" i="6"/>
  <c r="AX538" i="6"/>
  <c r="AW538" i="6"/>
  <c r="AV538" i="6"/>
  <c r="AU538" i="6"/>
  <c r="AT538" i="6"/>
  <c r="AS538" i="6"/>
  <c r="AR538" i="6"/>
  <c r="AQ538" i="6"/>
  <c r="AP538" i="6"/>
  <c r="AO538" i="6"/>
  <c r="AN538" i="6"/>
  <c r="AM538" i="6"/>
  <c r="AL538" i="6"/>
  <c r="AK538" i="6"/>
  <c r="AJ538" i="6"/>
  <c r="AI538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B538" i="6"/>
  <c r="A538" i="6"/>
  <c r="DE537" i="6"/>
  <c r="DD537" i="6"/>
  <c r="DC537" i="6"/>
  <c r="DB537" i="6"/>
  <c r="DA537" i="6"/>
  <c r="CZ537" i="6"/>
  <c r="CY537" i="6"/>
  <c r="CX537" i="6"/>
  <c r="CV537" i="6"/>
  <c r="CU537" i="6"/>
  <c r="CT537" i="6"/>
  <c r="CS537" i="6"/>
  <c r="CR537" i="6"/>
  <c r="CQ537" i="6"/>
  <c r="CP537" i="6"/>
  <c r="CO537" i="6"/>
  <c r="CN537" i="6"/>
  <c r="CM537" i="6"/>
  <c r="CL537" i="6"/>
  <c r="CK537" i="6"/>
  <c r="CJ537" i="6"/>
  <c r="CI537" i="6"/>
  <c r="CH537" i="6"/>
  <c r="CG537" i="6"/>
  <c r="CF537" i="6"/>
  <c r="CE537" i="6"/>
  <c r="CD537" i="6"/>
  <c r="CC537" i="6"/>
  <c r="CB537" i="6"/>
  <c r="CA537" i="6"/>
  <c r="BZ537" i="6"/>
  <c r="BY537" i="6"/>
  <c r="BX537" i="6"/>
  <c r="BW537" i="6"/>
  <c r="BV537" i="6"/>
  <c r="BU537" i="6"/>
  <c r="BT537" i="6"/>
  <c r="BS537" i="6"/>
  <c r="BR537" i="6"/>
  <c r="BQ537" i="6"/>
  <c r="BP537" i="6"/>
  <c r="BO537" i="6"/>
  <c r="BN537" i="6"/>
  <c r="BM537" i="6"/>
  <c r="BL537" i="6"/>
  <c r="BK537" i="6"/>
  <c r="BJ537" i="6"/>
  <c r="BI537" i="6"/>
  <c r="BH537" i="6"/>
  <c r="BG537" i="6"/>
  <c r="BF537" i="6"/>
  <c r="BE537" i="6"/>
  <c r="BD537" i="6"/>
  <c r="BC537" i="6"/>
  <c r="BB537" i="6"/>
  <c r="BA537" i="6"/>
  <c r="AZ537" i="6"/>
  <c r="AY537" i="6"/>
  <c r="AX537" i="6"/>
  <c r="AW537" i="6"/>
  <c r="AV537" i="6"/>
  <c r="AU537" i="6"/>
  <c r="AT537" i="6"/>
  <c r="AS537" i="6"/>
  <c r="AR537" i="6"/>
  <c r="AQ537" i="6"/>
  <c r="AP537" i="6"/>
  <c r="AO537" i="6"/>
  <c r="AN537" i="6"/>
  <c r="AM537" i="6"/>
  <c r="AL537" i="6"/>
  <c r="AK537" i="6"/>
  <c r="AJ537" i="6"/>
  <c r="AI537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B537" i="6"/>
  <c r="A537" i="6"/>
  <c r="DE536" i="6"/>
  <c r="DD536" i="6"/>
  <c r="DC536" i="6"/>
  <c r="DB536" i="6"/>
  <c r="DA536" i="6"/>
  <c r="CZ536" i="6"/>
  <c r="CY536" i="6"/>
  <c r="CX536" i="6"/>
  <c r="CV536" i="6"/>
  <c r="CU536" i="6"/>
  <c r="CT536" i="6"/>
  <c r="CS536" i="6"/>
  <c r="CR536" i="6"/>
  <c r="CQ536" i="6"/>
  <c r="CP536" i="6"/>
  <c r="CO536" i="6"/>
  <c r="CN536" i="6"/>
  <c r="CM536" i="6"/>
  <c r="CL536" i="6"/>
  <c r="CK536" i="6"/>
  <c r="CJ536" i="6"/>
  <c r="CI536" i="6"/>
  <c r="CH536" i="6"/>
  <c r="CG536" i="6"/>
  <c r="CF536" i="6"/>
  <c r="CE536" i="6"/>
  <c r="CD536" i="6"/>
  <c r="CC536" i="6"/>
  <c r="CB536" i="6"/>
  <c r="CA536" i="6"/>
  <c r="BZ536" i="6"/>
  <c r="BY536" i="6"/>
  <c r="BX536" i="6"/>
  <c r="BW536" i="6"/>
  <c r="BV536" i="6"/>
  <c r="BU536" i="6"/>
  <c r="BT536" i="6"/>
  <c r="BS536" i="6"/>
  <c r="BR536" i="6"/>
  <c r="BQ536" i="6"/>
  <c r="BP536" i="6"/>
  <c r="BO536" i="6"/>
  <c r="BN536" i="6"/>
  <c r="BM536" i="6"/>
  <c r="BL536" i="6"/>
  <c r="BK536" i="6"/>
  <c r="BJ536" i="6"/>
  <c r="BI536" i="6"/>
  <c r="BH536" i="6"/>
  <c r="BG536" i="6"/>
  <c r="BF536" i="6"/>
  <c r="BE536" i="6"/>
  <c r="BD536" i="6"/>
  <c r="BC536" i="6"/>
  <c r="BB536" i="6"/>
  <c r="BA536" i="6"/>
  <c r="AZ536" i="6"/>
  <c r="AY536" i="6"/>
  <c r="AX536" i="6"/>
  <c r="AW536" i="6"/>
  <c r="AV536" i="6"/>
  <c r="AU536" i="6"/>
  <c r="AT536" i="6"/>
  <c r="AS536" i="6"/>
  <c r="AR536" i="6"/>
  <c r="AQ536" i="6"/>
  <c r="AP536" i="6"/>
  <c r="AO536" i="6"/>
  <c r="AN536" i="6"/>
  <c r="AM536" i="6"/>
  <c r="AL536" i="6"/>
  <c r="AK536" i="6"/>
  <c r="AJ536" i="6"/>
  <c r="AI536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B536" i="6"/>
  <c r="A536" i="6"/>
  <c r="DE535" i="6"/>
  <c r="DD535" i="6"/>
  <c r="DC535" i="6"/>
  <c r="DB535" i="6"/>
  <c r="DA535" i="6"/>
  <c r="CZ535" i="6"/>
  <c r="CY535" i="6"/>
  <c r="CX535" i="6"/>
  <c r="CV535" i="6"/>
  <c r="CU535" i="6"/>
  <c r="CT535" i="6"/>
  <c r="CS535" i="6"/>
  <c r="CR535" i="6"/>
  <c r="CQ535" i="6"/>
  <c r="CP535" i="6"/>
  <c r="CO535" i="6"/>
  <c r="CN535" i="6"/>
  <c r="CM535" i="6"/>
  <c r="CL535" i="6"/>
  <c r="CK535" i="6"/>
  <c r="CJ535" i="6"/>
  <c r="CI535" i="6"/>
  <c r="CH535" i="6"/>
  <c r="CG535" i="6"/>
  <c r="CF535" i="6"/>
  <c r="CE535" i="6"/>
  <c r="CD535" i="6"/>
  <c r="CC535" i="6"/>
  <c r="CB535" i="6"/>
  <c r="CA535" i="6"/>
  <c r="BZ535" i="6"/>
  <c r="BY535" i="6"/>
  <c r="BX535" i="6"/>
  <c r="BW535" i="6"/>
  <c r="BV535" i="6"/>
  <c r="BU535" i="6"/>
  <c r="BT535" i="6"/>
  <c r="BS535" i="6"/>
  <c r="BR535" i="6"/>
  <c r="BQ535" i="6"/>
  <c r="BP535" i="6"/>
  <c r="BO535" i="6"/>
  <c r="BN535" i="6"/>
  <c r="BM535" i="6"/>
  <c r="BL535" i="6"/>
  <c r="BK535" i="6"/>
  <c r="BJ535" i="6"/>
  <c r="BI535" i="6"/>
  <c r="BH535" i="6"/>
  <c r="BG535" i="6"/>
  <c r="BF535" i="6"/>
  <c r="BE535" i="6"/>
  <c r="BD535" i="6"/>
  <c r="BC535" i="6"/>
  <c r="BB535" i="6"/>
  <c r="BA535" i="6"/>
  <c r="AZ535" i="6"/>
  <c r="AY535" i="6"/>
  <c r="AX535" i="6"/>
  <c r="AW535" i="6"/>
  <c r="AV535" i="6"/>
  <c r="AU535" i="6"/>
  <c r="AT535" i="6"/>
  <c r="AS535" i="6"/>
  <c r="AR535" i="6"/>
  <c r="AQ535" i="6"/>
  <c r="AP535" i="6"/>
  <c r="AO535" i="6"/>
  <c r="AN535" i="6"/>
  <c r="AM535" i="6"/>
  <c r="AL535" i="6"/>
  <c r="AK535" i="6"/>
  <c r="AJ535" i="6"/>
  <c r="AI535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B535" i="6"/>
  <c r="A535" i="6"/>
  <c r="DE534" i="6"/>
  <c r="DD534" i="6"/>
  <c r="DC534" i="6"/>
  <c r="DB534" i="6"/>
  <c r="DA534" i="6"/>
  <c r="CZ534" i="6"/>
  <c r="CY534" i="6"/>
  <c r="CX534" i="6"/>
  <c r="CV534" i="6"/>
  <c r="CU534" i="6"/>
  <c r="CT534" i="6"/>
  <c r="CS534" i="6"/>
  <c r="CR534" i="6"/>
  <c r="CQ534" i="6"/>
  <c r="CP534" i="6"/>
  <c r="CO534" i="6"/>
  <c r="CN534" i="6"/>
  <c r="CM534" i="6"/>
  <c r="CL534" i="6"/>
  <c r="CK534" i="6"/>
  <c r="CJ534" i="6"/>
  <c r="CI534" i="6"/>
  <c r="CH534" i="6"/>
  <c r="CG534" i="6"/>
  <c r="CF534" i="6"/>
  <c r="CE534" i="6"/>
  <c r="CD534" i="6"/>
  <c r="CC534" i="6"/>
  <c r="CB534" i="6"/>
  <c r="CA534" i="6"/>
  <c r="BZ534" i="6"/>
  <c r="BY534" i="6"/>
  <c r="BX534" i="6"/>
  <c r="BW534" i="6"/>
  <c r="BV534" i="6"/>
  <c r="BU534" i="6"/>
  <c r="BT534" i="6"/>
  <c r="BS534" i="6"/>
  <c r="BR534" i="6"/>
  <c r="BQ534" i="6"/>
  <c r="BP534" i="6"/>
  <c r="BO534" i="6"/>
  <c r="BN534" i="6"/>
  <c r="BM534" i="6"/>
  <c r="BL534" i="6"/>
  <c r="BK534" i="6"/>
  <c r="BJ534" i="6"/>
  <c r="BI534" i="6"/>
  <c r="BH534" i="6"/>
  <c r="BG534" i="6"/>
  <c r="BF534" i="6"/>
  <c r="BE534" i="6"/>
  <c r="BD534" i="6"/>
  <c r="BC534" i="6"/>
  <c r="BB534" i="6"/>
  <c r="BA534" i="6"/>
  <c r="AZ534" i="6"/>
  <c r="AY534" i="6"/>
  <c r="AX534" i="6"/>
  <c r="AW534" i="6"/>
  <c r="AV534" i="6"/>
  <c r="AU534" i="6"/>
  <c r="AT534" i="6"/>
  <c r="AS534" i="6"/>
  <c r="AR534" i="6"/>
  <c r="AQ534" i="6"/>
  <c r="AP534" i="6"/>
  <c r="AO534" i="6"/>
  <c r="AN534" i="6"/>
  <c r="AM534" i="6"/>
  <c r="AL534" i="6"/>
  <c r="AK534" i="6"/>
  <c r="AJ534" i="6"/>
  <c r="AI534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B534" i="6"/>
  <c r="A534" i="6"/>
  <c r="DE533" i="6"/>
  <c r="DD533" i="6"/>
  <c r="DC533" i="6"/>
  <c r="DB533" i="6"/>
  <c r="DA533" i="6"/>
  <c r="CZ533" i="6"/>
  <c r="CY533" i="6"/>
  <c r="CX533" i="6"/>
  <c r="CV533" i="6"/>
  <c r="CU533" i="6"/>
  <c r="CT533" i="6"/>
  <c r="CS533" i="6"/>
  <c r="CR533" i="6"/>
  <c r="CQ533" i="6"/>
  <c r="CP533" i="6"/>
  <c r="CO533" i="6"/>
  <c r="CN533" i="6"/>
  <c r="CM533" i="6"/>
  <c r="CL533" i="6"/>
  <c r="CK533" i="6"/>
  <c r="CJ533" i="6"/>
  <c r="CI533" i="6"/>
  <c r="CH533" i="6"/>
  <c r="CG533" i="6"/>
  <c r="CF533" i="6"/>
  <c r="CE533" i="6"/>
  <c r="CD533" i="6"/>
  <c r="CC533" i="6"/>
  <c r="CB533" i="6"/>
  <c r="CA533" i="6"/>
  <c r="BZ533" i="6"/>
  <c r="BY533" i="6"/>
  <c r="BX533" i="6"/>
  <c r="BW533" i="6"/>
  <c r="BV533" i="6"/>
  <c r="BU533" i="6"/>
  <c r="BT533" i="6"/>
  <c r="BS533" i="6"/>
  <c r="BR533" i="6"/>
  <c r="BQ533" i="6"/>
  <c r="BP533" i="6"/>
  <c r="BO533" i="6"/>
  <c r="BN533" i="6"/>
  <c r="BM533" i="6"/>
  <c r="BL533" i="6"/>
  <c r="BK533" i="6"/>
  <c r="BJ533" i="6"/>
  <c r="BI533" i="6"/>
  <c r="BH533" i="6"/>
  <c r="BG533" i="6"/>
  <c r="BF533" i="6"/>
  <c r="BE533" i="6"/>
  <c r="BD533" i="6"/>
  <c r="BC533" i="6"/>
  <c r="BB533" i="6"/>
  <c r="BA533" i="6"/>
  <c r="AZ533" i="6"/>
  <c r="AY533" i="6"/>
  <c r="AX533" i="6"/>
  <c r="AW533" i="6"/>
  <c r="AV533" i="6"/>
  <c r="AU533" i="6"/>
  <c r="AT533" i="6"/>
  <c r="AS533" i="6"/>
  <c r="AR533" i="6"/>
  <c r="AQ533" i="6"/>
  <c r="AP533" i="6"/>
  <c r="AO533" i="6"/>
  <c r="AN533" i="6"/>
  <c r="AM533" i="6"/>
  <c r="AL533" i="6"/>
  <c r="AK533" i="6"/>
  <c r="AJ533" i="6"/>
  <c r="AI533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B533" i="6"/>
  <c r="A533" i="6"/>
  <c r="DE532" i="6"/>
  <c r="DD532" i="6"/>
  <c r="DC532" i="6"/>
  <c r="DB532" i="6"/>
  <c r="DA532" i="6"/>
  <c r="CZ532" i="6"/>
  <c r="CY532" i="6"/>
  <c r="CX532" i="6"/>
  <c r="CV532" i="6"/>
  <c r="CU532" i="6"/>
  <c r="CT532" i="6"/>
  <c r="CS532" i="6"/>
  <c r="CR532" i="6"/>
  <c r="CQ532" i="6"/>
  <c r="CP532" i="6"/>
  <c r="CO532" i="6"/>
  <c r="CN532" i="6"/>
  <c r="CM532" i="6"/>
  <c r="CL532" i="6"/>
  <c r="CK532" i="6"/>
  <c r="CJ532" i="6"/>
  <c r="CI532" i="6"/>
  <c r="CH532" i="6"/>
  <c r="CG532" i="6"/>
  <c r="CF532" i="6"/>
  <c r="CE532" i="6"/>
  <c r="CD532" i="6"/>
  <c r="CC532" i="6"/>
  <c r="CB532" i="6"/>
  <c r="CA532" i="6"/>
  <c r="BZ532" i="6"/>
  <c r="BY532" i="6"/>
  <c r="BX532" i="6"/>
  <c r="BW532" i="6"/>
  <c r="BV532" i="6"/>
  <c r="BU532" i="6"/>
  <c r="BT532" i="6"/>
  <c r="BS532" i="6"/>
  <c r="BR532" i="6"/>
  <c r="BQ532" i="6"/>
  <c r="BP532" i="6"/>
  <c r="BO532" i="6"/>
  <c r="BN532" i="6"/>
  <c r="BM532" i="6"/>
  <c r="BL532" i="6"/>
  <c r="BK532" i="6"/>
  <c r="BJ532" i="6"/>
  <c r="BI532" i="6"/>
  <c r="BH532" i="6"/>
  <c r="BG532" i="6"/>
  <c r="BF532" i="6"/>
  <c r="BE532" i="6"/>
  <c r="BD532" i="6"/>
  <c r="BC532" i="6"/>
  <c r="BB532" i="6"/>
  <c r="BA532" i="6"/>
  <c r="AZ532" i="6"/>
  <c r="AY532" i="6"/>
  <c r="AX532" i="6"/>
  <c r="AW532" i="6"/>
  <c r="AV532" i="6"/>
  <c r="AU532" i="6"/>
  <c r="AT532" i="6"/>
  <c r="AS532" i="6"/>
  <c r="AR532" i="6"/>
  <c r="AQ532" i="6"/>
  <c r="AP532" i="6"/>
  <c r="AO532" i="6"/>
  <c r="AN532" i="6"/>
  <c r="AM532" i="6"/>
  <c r="AL532" i="6"/>
  <c r="AK532" i="6"/>
  <c r="AJ532" i="6"/>
  <c r="AI532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B532" i="6"/>
  <c r="A532" i="6"/>
  <c r="DE531" i="6"/>
  <c r="DD531" i="6"/>
  <c r="DC531" i="6"/>
  <c r="DB531" i="6"/>
  <c r="DA531" i="6"/>
  <c r="CZ531" i="6"/>
  <c r="CY531" i="6"/>
  <c r="CX531" i="6"/>
  <c r="CV531" i="6"/>
  <c r="CU531" i="6"/>
  <c r="CT531" i="6"/>
  <c r="CS531" i="6"/>
  <c r="CR531" i="6"/>
  <c r="CQ531" i="6"/>
  <c r="CP531" i="6"/>
  <c r="CO531" i="6"/>
  <c r="CN531" i="6"/>
  <c r="CM531" i="6"/>
  <c r="CL531" i="6"/>
  <c r="CK531" i="6"/>
  <c r="CJ531" i="6"/>
  <c r="CI531" i="6"/>
  <c r="CH531" i="6"/>
  <c r="CG531" i="6"/>
  <c r="CF531" i="6"/>
  <c r="CE531" i="6"/>
  <c r="CD531" i="6"/>
  <c r="CC531" i="6"/>
  <c r="CB531" i="6"/>
  <c r="CA531" i="6"/>
  <c r="BZ531" i="6"/>
  <c r="BY531" i="6"/>
  <c r="BX531" i="6"/>
  <c r="BW531" i="6"/>
  <c r="BV531" i="6"/>
  <c r="BU531" i="6"/>
  <c r="BT531" i="6"/>
  <c r="BS531" i="6"/>
  <c r="BR531" i="6"/>
  <c r="BQ531" i="6"/>
  <c r="BP531" i="6"/>
  <c r="BO531" i="6"/>
  <c r="BN531" i="6"/>
  <c r="BM531" i="6"/>
  <c r="BL531" i="6"/>
  <c r="BK531" i="6"/>
  <c r="BJ531" i="6"/>
  <c r="BI531" i="6"/>
  <c r="BH531" i="6"/>
  <c r="BG531" i="6"/>
  <c r="BF531" i="6"/>
  <c r="BE531" i="6"/>
  <c r="BD531" i="6"/>
  <c r="BC531" i="6"/>
  <c r="BB531" i="6"/>
  <c r="BA531" i="6"/>
  <c r="AZ531" i="6"/>
  <c r="AY531" i="6"/>
  <c r="AX531" i="6"/>
  <c r="AW531" i="6"/>
  <c r="AV531" i="6"/>
  <c r="AU531" i="6"/>
  <c r="AT531" i="6"/>
  <c r="AS531" i="6"/>
  <c r="AR531" i="6"/>
  <c r="AQ531" i="6"/>
  <c r="AP531" i="6"/>
  <c r="AO531" i="6"/>
  <c r="AN531" i="6"/>
  <c r="AM531" i="6"/>
  <c r="AL531" i="6"/>
  <c r="AK531" i="6"/>
  <c r="AJ531" i="6"/>
  <c r="AI531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B531" i="6"/>
  <c r="A531" i="6"/>
  <c r="DE530" i="6"/>
  <c r="DD530" i="6"/>
  <c r="DC530" i="6"/>
  <c r="DB530" i="6"/>
  <c r="DA530" i="6"/>
  <c r="CZ530" i="6"/>
  <c r="CY530" i="6"/>
  <c r="CX530" i="6"/>
  <c r="CV530" i="6"/>
  <c r="CU530" i="6"/>
  <c r="CT530" i="6"/>
  <c r="CS530" i="6"/>
  <c r="CR530" i="6"/>
  <c r="CQ530" i="6"/>
  <c r="CP530" i="6"/>
  <c r="CO530" i="6"/>
  <c r="CN530" i="6"/>
  <c r="CM530" i="6"/>
  <c r="CL530" i="6"/>
  <c r="CK530" i="6"/>
  <c r="CJ530" i="6"/>
  <c r="CI530" i="6"/>
  <c r="CH530" i="6"/>
  <c r="CG530" i="6"/>
  <c r="CF530" i="6"/>
  <c r="CE530" i="6"/>
  <c r="CD530" i="6"/>
  <c r="CC530" i="6"/>
  <c r="CB530" i="6"/>
  <c r="CA530" i="6"/>
  <c r="BZ530" i="6"/>
  <c r="BY530" i="6"/>
  <c r="BX530" i="6"/>
  <c r="BW530" i="6"/>
  <c r="BV530" i="6"/>
  <c r="BU530" i="6"/>
  <c r="BT530" i="6"/>
  <c r="BS530" i="6"/>
  <c r="BR530" i="6"/>
  <c r="BQ530" i="6"/>
  <c r="BP530" i="6"/>
  <c r="BO530" i="6"/>
  <c r="BN530" i="6"/>
  <c r="BM530" i="6"/>
  <c r="BL530" i="6"/>
  <c r="BK530" i="6"/>
  <c r="BJ530" i="6"/>
  <c r="BI530" i="6"/>
  <c r="BH530" i="6"/>
  <c r="BG530" i="6"/>
  <c r="BF530" i="6"/>
  <c r="BE530" i="6"/>
  <c r="BD530" i="6"/>
  <c r="BC530" i="6"/>
  <c r="BB530" i="6"/>
  <c r="BA530" i="6"/>
  <c r="AZ530" i="6"/>
  <c r="AY530" i="6"/>
  <c r="AX530" i="6"/>
  <c r="AW530" i="6"/>
  <c r="AV530" i="6"/>
  <c r="AU530" i="6"/>
  <c r="AT530" i="6"/>
  <c r="AS530" i="6"/>
  <c r="AR530" i="6"/>
  <c r="AQ530" i="6"/>
  <c r="AP530" i="6"/>
  <c r="AO530" i="6"/>
  <c r="AN530" i="6"/>
  <c r="AM530" i="6"/>
  <c r="AL530" i="6"/>
  <c r="AK530" i="6"/>
  <c r="AJ530" i="6"/>
  <c r="AI530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B530" i="6"/>
  <c r="A530" i="6"/>
  <c r="DE529" i="6"/>
  <c r="DD529" i="6"/>
  <c r="DC529" i="6"/>
  <c r="DB529" i="6"/>
  <c r="DA529" i="6"/>
  <c r="CZ529" i="6"/>
  <c r="CY529" i="6"/>
  <c r="CX529" i="6"/>
  <c r="CV529" i="6"/>
  <c r="CU529" i="6"/>
  <c r="CT529" i="6"/>
  <c r="CS529" i="6"/>
  <c r="CR529" i="6"/>
  <c r="CQ529" i="6"/>
  <c r="CP529" i="6"/>
  <c r="CO529" i="6"/>
  <c r="CN529" i="6"/>
  <c r="CM529" i="6"/>
  <c r="CL529" i="6"/>
  <c r="CK529" i="6"/>
  <c r="CJ529" i="6"/>
  <c r="CI529" i="6"/>
  <c r="CH529" i="6"/>
  <c r="CG529" i="6"/>
  <c r="CF529" i="6"/>
  <c r="CE529" i="6"/>
  <c r="CD529" i="6"/>
  <c r="CC529" i="6"/>
  <c r="CB529" i="6"/>
  <c r="CA529" i="6"/>
  <c r="BZ529" i="6"/>
  <c r="BY529" i="6"/>
  <c r="BX529" i="6"/>
  <c r="BW529" i="6"/>
  <c r="BV529" i="6"/>
  <c r="BU529" i="6"/>
  <c r="BT529" i="6"/>
  <c r="BS529" i="6"/>
  <c r="BR529" i="6"/>
  <c r="BQ529" i="6"/>
  <c r="BP529" i="6"/>
  <c r="BO529" i="6"/>
  <c r="BN529" i="6"/>
  <c r="BM529" i="6"/>
  <c r="BL529" i="6"/>
  <c r="BK529" i="6"/>
  <c r="BJ529" i="6"/>
  <c r="BI529" i="6"/>
  <c r="BH529" i="6"/>
  <c r="BG529" i="6"/>
  <c r="BF529" i="6"/>
  <c r="BE529" i="6"/>
  <c r="BD529" i="6"/>
  <c r="BC529" i="6"/>
  <c r="BB529" i="6"/>
  <c r="BA529" i="6"/>
  <c r="AZ529" i="6"/>
  <c r="AY529" i="6"/>
  <c r="AX529" i="6"/>
  <c r="AW529" i="6"/>
  <c r="AV529" i="6"/>
  <c r="AU529" i="6"/>
  <c r="AT529" i="6"/>
  <c r="AS529" i="6"/>
  <c r="AR529" i="6"/>
  <c r="AQ529" i="6"/>
  <c r="AP529" i="6"/>
  <c r="AO529" i="6"/>
  <c r="AN529" i="6"/>
  <c r="AM529" i="6"/>
  <c r="AL529" i="6"/>
  <c r="AK529" i="6"/>
  <c r="AJ529" i="6"/>
  <c r="AI529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B529" i="6"/>
  <c r="A529" i="6"/>
  <c r="DE528" i="6"/>
  <c r="DD528" i="6"/>
  <c r="DC528" i="6"/>
  <c r="DB528" i="6"/>
  <c r="DA528" i="6"/>
  <c r="CZ528" i="6"/>
  <c r="CY528" i="6"/>
  <c r="CX528" i="6"/>
  <c r="CV528" i="6"/>
  <c r="CU528" i="6"/>
  <c r="CT528" i="6"/>
  <c r="CS528" i="6"/>
  <c r="CR528" i="6"/>
  <c r="CQ528" i="6"/>
  <c r="CP528" i="6"/>
  <c r="CO528" i="6"/>
  <c r="CN528" i="6"/>
  <c r="CM528" i="6"/>
  <c r="CL528" i="6"/>
  <c r="CK528" i="6"/>
  <c r="CJ528" i="6"/>
  <c r="CI528" i="6"/>
  <c r="CH528" i="6"/>
  <c r="CG528" i="6"/>
  <c r="CF528" i="6"/>
  <c r="CE528" i="6"/>
  <c r="CD528" i="6"/>
  <c r="CC528" i="6"/>
  <c r="CB528" i="6"/>
  <c r="CA528" i="6"/>
  <c r="BZ528" i="6"/>
  <c r="BY528" i="6"/>
  <c r="BX528" i="6"/>
  <c r="BW528" i="6"/>
  <c r="BV528" i="6"/>
  <c r="BU528" i="6"/>
  <c r="BT528" i="6"/>
  <c r="BS528" i="6"/>
  <c r="BR528" i="6"/>
  <c r="BQ528" i="6"/>
  <c r="BP528" i="6"/>
  <c r="BO528" i="6"/>
  <c r="BN528" i="6"/>
  <c r="BM528" i="6"/>
  <c r="BL528" i="6"/>
  <c r="BK528" i="6"/>
  <c r="BJ528" i="6"/>
  <c r="BI528" i="6"/>
  <c r="BH528" i="6"/>
  <c r="BG528" i="6"/>
  <c r="BF528" i="6"/>
  <c r="BE528" i="6"/>
  <c r="BD528" i="6"/>
  <c r="BC528" i="6"/>
  <c r="BB528" i="6"/>
  <c r="BA528" i="6"/>
  <c r="AZ528" i="6"/>
  <c r="AY528" i="6"/>
  <c r="AX528" i="6"/>
  <c r="AW528" i="6"/>
  <c r="AV528" i="6"/>
  <c r="AU528" i="6"/>
  <c r="AT528" i="6"/>
  <c r="AS528" i="6"/>
  <c r="AR528" i="6"/>
  <c r="AQ528" i="6"/>
  <c r="AP528" i="6"/>
  <c r="AO528" i="6"/>
  <c r="AN528" i="6"/>
  <c r="AM528" i="6"/>
  <c r="AL528" i="6"/>
  <c r="AK528" i="6"/>
  <c r="AJ528" i="6"/>
  <c r="AI528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B528" i="6"/>
  <c r="A528" i="6"/>
  <c r="DE527" i="6"/>
  <c r="DD527" i="6"/>
  <c r="DC527" i="6"/>
  <c r="DB527" i="6"/>
  <c r="DA527" i="6"/>
  <c r="CZ527" i="6"/>
  <c r="CY527" i="6"/>
  <c r="CX527" i="6"/>
  <c r="CV527" i="6"/>
  <c r="CU527" i="6"/>
  <c r="CT527" i="6"/>
  <c r="CS527" i="6"/>
  <c r="CR527" i="6"/>
  <c r="CQ527" i="6"/>
  <c r="CP527" i="6"/>
  <c r="CO527" i="6"/>
  <c r="CN527" i="6"/>
  <c r="CM527" i="6"/>
  <c r="CL527" i="6"/>
  <c r="CK527" i="6"/>
  <c r="CJ527" i="6"/>
  <c r="CI527" i="6"/>
  <c r="CH527" i="6"/>
  <c r="CG527" i="6"/>
  <c r="CF527" i="6"/>
  <c r="CE527" i="6"/>
  <c r="CD527" i="6"/>
  <c r="CC527" i="6"/>
  <c r="CB527" i="6"/>
  <c r="CA527" i="6"/>
  <c r="BZ527" i="6"/>
  <c r="BY527" i="6"/>
  <c r="BX527" i="6"/>
  <c r="BW527" i="6"/>
  <c r="BV527" i="6"/>
  <c r="BU527" i="6"/>
  <c r="BT527" i="6"/>
  <c r="BS527" i="6"/>
  <c r="BR527" i="6"/>
  <c r="BQ527" i="6"/>
  <c r="BP527" i="6"/>
  <c r="BO527" i="6"/>
  <c r="BN527" i="6"/>
  <c r="BM527" i="6"/>
  <c r="BL527" i="6"/>
  <c r="BK527" i="6"/>
  <c r="BJ527" i="6"/>
  <c r="BI527" i="6"/>
  <c r="BH527" i="6"/>
  <c r="BG527" i="6"/>
  <c r="BF527" i="6"/>
  <c r="BE527" i="6"/>
  <c r="BD527" i="6"/>
  <c r="BC527" i="6"/>
  <c r="BB527" i="6"/>
  <c r="BA527" i="6"/>
  <c r="AZ527" i="6"/>
  <c r="AY527" i="6"/>
  <c r="AX527" i="6"/>
  <c r="AW527" i="6"/>
  <c r="AV527" i="6"/>
  <c r="AU527" i="6"/>
  <c r="AT527" i="6"/>
  <c r="AS527" i="6"/>
  <c r="AR527" i="6"/>
  <c r="AQ527" i="6"/>
  <c r="AP527" i="6"/>
  <c r="AO527" i="6"/>
  <c r="AN527" i="6"/>
  <c r="AM527" i="6"/>
  <c r="AL527" i="6"/>
  <c r="AK527" i="6"/>
  <c r="AJ527" i="6"/>
  <c r="AI527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B527" i="6"/>
  <c r="A527" i="6"/>
  <c r="DE526" i="6"/>
  <c r="DD526" i="6"/>
  <c r="DC526" i="6"/>
  <c r="DB526" i="6"/>
  <c r="DA526" i="6"/>
  <c r="CZ526" i="6"/>
  <c r="CY526" i="6"/>
  <c r="CX526" i="6"/>
  <c r="CV526" i="6"/>
  <c r="CU526" i="6"/>
  <c r="CT526" i="6"/>
  <c r="CS526" i="6"/>
  <c r="CR526" i="6"/>
  <c r="CQ526" i="6"/>
  <c r="CP526" i="6"/>
  <c r="CO526" i="6"/>
  <c r="CN526" i="6"/>
  <c r="CM526" i="6"/>
  <c r="CL526" i="6"/>
  <c r="CK526" i="6"/>
  <c r="CJ526" i="6"/>
  <c r="CI526" i="6"/>
  <c r="CH526" i="6"/>
  <c r="CG526" i="6"/>
  <c r="CF526" i="6"/>
  <c r="CE526" i="6"/>
  <c r="CD526" i="6"/>
  <c r="CC526" i="6"/>
  <c r="CB526" i="6"/>
  <c r="CA526" i="6"/>
  <c r="BZ526" i="6"/>
  <c r="BY526" i="6"/>
  <c r="BX526" i="6"/>
  <c r="BW526" i="6"/>
  <c r="BV526" i="6"/>
  <c r="BU526" i="6"/>
  <c r="BT526" i="6"/>
  <c r="BS526" i="6"/>
  <c r="BR526" i="6"/>
  <c r="BQ526" i="6"/>
  <c r="BP526" i="6"/>
  <c r="BO526" i="6"/>
  <c r="BN526" i="6"/>
  <c r="BM526" i="6"/>
  <c r="BL526" i="6"/>
  <c r="BK526" i="6"/>
  <c r="BJ526" i="6"/>
  <c r="BI526" i="6"/>
  <c r="BH526" i="6"/>
  <c r="BG526" i="6"/>
  <c r="BF526" i="6"/>
  <c r="BE526" i="6"/>
  <c r="BD526" i="6"/>
  <c r="BC526" i="6"/>
  <c r="BB526" i="6"/>
  <c r="BA526" i="6"/>
  <c r="AZ526" i="6"/>
  <c r="AY526" i="6"/>
  <c r="AX526" i="6"/>
  <c r="AW526" i="6"/>
  <c r="AV526" i="6"/>
  <c r="AU526" i="6"/>
  <c r="AT526" i="6"/>
  <c r="AS526" i="6"/>
  <c r="AR526" i="6"/>
  <c r="AQ526" i="6"/>
  <c r="AP526" i="6"/>
  <c r="AO526" i="6"/>
  <c r="AN526" i="6"/>
  <c r="AM526" i="6"/>
  <c r="AL526" i="6"/>
  <c r="AK526" i="6"/>
  <c r="AJ526" i="6"/>
  <c r="AI526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B526" i="6"/>
  <c r="A526" i="6"/>
  <c r="DE525" i="6"/>
  <c r="DD525" i="6"/>
  <c r="DC525" i="6"/>
  <c r="DB525" i="6"/>
  <c r="DA525" i="6"/>
  <c r="CZ525" i="6"/>
  <c r="CY525" i="6"/>
  <c r="CX525" i="6"/>
  <c r="CV525" i="6"/>
  <c r="CU525" i="6"/>
  <c r="CT525" i="6"/>
  <c r="CS525" i="6"/>
  <c r="CR525" i="6"/>
  <c r="CQ525" i="6"/>
  <c r="CP525" i="6"/>
  <c r="CO525" i="6"/>
  <c r="CN525" i="6"/>
  <c r="CM525" i="6"/>
  <c r="CL525" i="6"/>
  <c r="CK525" i="6"/>
  <c r="CJ525" i="6"/>
  <c r="CI525" i="6"/>
  <c r="CH525" i="6"/>
  <c r="CG525" i="6"/>
  <c r="CF525" i="6"/>
  <c r="CE525" i="6"/>
  <c r="CD525" i="6"/>
  <c r="CC525" i="6"/>
  <c r="CB525" i="6"/>
  <c r="CA525" i="6"/>
  <c r="BZ525" i="6"/>
  <c r="BY525" i="6"/>
  <c r="BX525" i="6"/>
  <c r="BW525" i="6"/>
  <c r="BV525" i="6"/>
  <c r="BU525" i="6"/>
  <c r="BT525" i="6"/>
  <c r="BS525" i="6"/>
  <c r="BR525" i="6"/>
  <c r="BQ525" i="6"/>
  <c r="BP525" i="6"/>
  <c r="BO525" i="6"/>
  <c r="BN525" i="6"/>
  <c r="BM525" i="6"/>
  <c r="BL525" i="6"/>
  <c r="BK525" i="6"/>
  <c r="BJ525" i="6"/>
  <c r="BI525" i="6"/>
  <c r="BH525" i="6"/>
  <c r="BG525" i="6"/>
  <c r="BF525" i="6"/>
  <c r="BE525" i="6"/>
  <c r="BD525" i="6"/>
  <c r="BC525" i="6"/>
  <c r="BB525" i="6"/>
  <c r="BA525" i="6"/>
  <c r="AZ525" i="6"/>
  <c r="AY525" i="6"/>
  <c r="AX525" i="6"/>
  <c r="AW525" i="6"/>
  <c r="AV525" i="6"/>
  <c r="AU525" i="6"/>
  <c r="AT525" i="6"/>
  <c r="AS525" i="6"/>
  <c r="AR525" i="6"/>
  <c r="AQ525" i="6"/>
  <c r="AP525" i="6"/>
  <c r="AO525" i="6"/>
  <c r="AN525" i="6"/>
  <c r="AM525" i="6"/>
  <c r="AL525" i="6"/>
  <c r="AK525" i="6"/>
  <c r="AJ525" i="6"/>
  <c r="AI525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B525" i="6"/>
  <c r="A525" i="6"/>
  <c r="DE524" i="6"/>
  <c r="DD524" i="6"/>
  <c r="DC524" i="6"/>
  <c r="DB524" i="6"/>
  <c r="DA524" i="6"/>
  <c r="CZ524" i="6"/>
  <c r="CY524" i="6"/>
  <c r="CX524" i="6"/>
  <c r="CV524" i="6"/>
  <c r="CU524" i="6"/>
  <c r="CT524" i="6"/>
  <c r="CS524" i="6"/>
  <c r="CR524" i="6"/>
  <c r="CQ524" i="6"/>
  <c r="CP524" i="6"/>
  <c r="CO524" i="6"/>
  <c r="CN524" i="6"/>
  <c r="CM524" i="6"/>
  <c r="CL524" i="6"/>
  <c r="CK524" i="6"/>
  <c r="CJ524" i="6"/>
  <c r="CI524" i="6"/>
  <c r="CH524" i="6"/>
  <c r="CG524" i="6"/>
  <c r="CF524" i="6"/>
  <c r="CE524" i="6"/>
  <c r="CD524" i="6"/>
  <c r="CC524" i="6"/>
  <c r="CB524" i="6"/>
  <c r="CA524" i="6"/>
  <c r="BZ524" i="6"/>
  <c r="BY524" i="6"/>
  <c r="BX524" i="6"/>
  <c r="BW524" i="6"/>
  <c r="BV524" i="6"/>
  <c r="BU524" i="6"/>
  <c r="BT524" i="6"/>
  <c r="BS524" i="6"/>
  <c r="BR524" i="6"/>
  <c r="BQ524" i="6"/>
  <c r="BP524" i="6"/>
  <c r="BO524" i="6"/>
  <c r="BN524" i="6"/>
  <c r="BM524" i="6"/>
  <c r="BL524" i="6"/>
  <c r="BK524" i="6"/>
  <c r="BJ524" i="6"/>
  <c r="BI524" i="6"/>
  <c r="BH524" i="6"/>
  <c r="BG524" i="6"/>
  <c r="BF524" i="6"/>
  <c r="BE524" i="6"/>
  <c r="BD524" i="6"/>
  <c r="BC524" i="6"/>
  <c r="BB524" i="6"/>
  <c r="BA524" i="6"/>
  <c r="AZ524" i="6"/>
  <c r="AY524" i="6"/>
  <c r="AX524" i="6"/>
  <c r="AW524" i="6"/>
  <c r="AV524" i="6"/>
  <c r="AU524" i="6"/>
  <c r="AT524" i="6"/>
  <c r="AS524" i="6"/>
  <c r="AR524" i="6"/>
  <c r="AQ524" i="6"/>
  <c r="AP524" i="6"/>
  <c r="AO524" i="6"/>
  <c r="AN524" i="6"/>
  <c r="AM524" i="6"/>
  <c r="AL524" i="6"/>
  <c r="AK524" i="6"/>
  <c r="AJ524" i="6"/>
  <c r="AI524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524" i="6"/>
  <c r="DE523" i="6"/>
  <c r="DD523" i="6"/>
  <c r="DC523" i="6"/>
  <c r="DB523" i="6"/>
  <c r="DA523" i="6"/>
  <c r="CZ523" i="6"/>
  <c r="CY523" i="6"/>
  <c r="CX523" i="6"/>
  <c r="CV523" i="6"/>
  <c r="CU523" i="6"/>
  <c r="CT523" i="6"/>
  <c r="CS523" i="6"/>
  <c r="CR523" i="6"/>
  <c r="CQ523" i="6"/>
  <c r="CP523" i="6"/>
  <c r="CO523" i="6"/>
  <c r="CN523" i="6"/>
  <c r="CM523" i="6"/>
  <c r="CL523" i="6"/>
  <c r="CK523" i="6"/>
  <c r="CJ523" i="6"/>
  <c r="CI523" i="6"/>
  <c r="CH523" i="6"/>
  <c r="CG523" i="6"/>
  <c r="CF523" i="6"/>
  <c r="CE523" i="6"/>
  <c r="CD523" i="6"/>
  <c r="CC523" i="6"/>
  <c r="CB523" i="6"/>
  <c r="CA523" i="6"/>
  <c r="BZ523" i="6"/>
  <c r="BY523" i="6"/>
  <c r="BX523" i="6"/>
  <c r="BW523" i="6"/>
  <c r="BV523" i="6"/>
  <c r="BU523" i="6"/>
  <c r="BT523" i="6"/>
  <c r="BS523" i="6"/>
  <c r="BR523" i="6"/>
  <c r="BQ523" i="6"/>
  <c r="BP523" i="6"/>
  <c r="BO523" i="6"/>
  <c r="BN523" i="6"/>
  <c r="BM523" i="6"/>
  <c r="BL523" i="6"/>
  <c r="BK523" i="6"/>
  <c r="BJ523" i="6"/>
  <c r="BI523" i="6"/>
  <c r="BH523" i="6"/>
  <c r="BG523" i="6"/>
  <c r="BF523" i="6"/>
  <c r="BE523" i="6"/>
  <c r="BD523" i="6"/>
  <c r="BC523" i="6"/>
  <c r="BB523" i="6"/>
  <c r="BA523" i="6"/>
  <c r="AZ523" i="6"/>
  <c r="AY523" i="6"/>
  <c r="AX523" i="6"/>
  <c r="AW523" i="6"/>
  <c r="AV523" i="6"/>
  <c r="AU523" i="6"/>
  <c r="AT523" i="6"/>
  <c r="AS523" i="6"/>
  <c r="AR523" i="6"/>
  <c r="AQ523" i="6"/>
  <c r="AP523" i="6"/>
  <c r="AO523" i="6"/>
  <c r="AN523" i="6"/>
  <c r="AM523" i="6"/>
  <c r="AL523" i="6"/>
  <c r="AK523" i="6"/>
  <c r="AJ523" i="6"/>
  <c r="AI523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523" i="6"/>
  <c r="DE522" i="6"/>
  <c r="DD522" i="6"/>
  <c r="DC522" i="6"/>
  <c r="DB522" i="6"/>
  <c r="DA522" i="6"/>
  <c r="CZ522" i="6"/>
  <c r="CY522" i="6"/>
  <c r="CX522" i="6"/>
  <c r="CV522" i="6"/>
  <c r="CU522" i="6"/>
  <c r="CT522" i="6"/>
  <c r="CS522" i="6"/>
  <c r="CR522" i="6"/>
  <c r="CQ522" i="6"/>
  <c r="CP522" i="6"/>
  <c r="CO522" i="6"/>
  <c r="CN522" i="6"/>
  <c r="CM522" i="6"/>
  <c r="CL522" i="6"/>
  <c r="CK522" i="6"/>
  <c r="CJ522" i="6"/>
  <c r="CI522" i="6"/>
  <c r="CH522" i="6"/>
  <c r="CG522" i="6"/>
  <c r="CF522" i="6"/>
  <c r="CE522" i="6"/>
  <c r="CD522" i="6"/>
  <c r="CC522" i="6"/>
  <c r="CB522" i="6"/>
  <c r="CA522" i="6"/>
  <c r="BZ522" i="6"/>
  <c r="BY522" i="6"/>
  <c r="BX522" i="6"/>
  <c r="BW522" i="6"/>
  <c r="BV522" i="6"/>
  <c r="BU522" i="6"/>
  <c r="BT522" i="6"/>
  <c r="BS522" i="6"/>
  <c r="BR522" i="6"/>
  <c r="BQ522" i="6"/>
  <c r="BP522" i="6"/>
  <c r="BO522" i="6"/>
  <c r="BN522" i="6"/>
  <c r="BM522" i="6"/>
  <c r="BL522" i="6"/>
  <c r="BK522" i="6"/>
  <c r="BJ522" i="6"/>
  <c r="BI522" i="6"/>
  <c r="BH522" i="6"/>
  <c r="BG522" i="6"/>
  <c r="BF522" i="6"/>
  <c r="BE522" i="6"/>
  <c r="BD522" i="6"/>
  <c r="BC522" i="6"/>
  <c r="BB522" i="6"/>
  <c r="BA522" i="6"/>
  <c r="AZ522" i="6"/>
  <c r="AY522" i="6"/>
  <c r="AX522" i="6"/>
  <c r="AW522" i="6"/>
  <c r="AV522" i="6"/>
  <c r="AU522" i="6"/>
  <c r="AT522" i="6"/>
  <c r="AS522" i="6"/>
  <c r="AR522" i="6"/>
  <c r="AQ522" i="6"/>
  <c r="AP522" i="6"/>
  <c r="AO522" i="6"/>
  <c r="AN522" i="6"/>
  <c r="AM522" i="6"/>
  <c r="AL522" i="6"/>
  <c r="AK522" i="6"/>
  <c r="AJ522" i="6"/>
  <c r="AI522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522" i="6"/>
  <c r="DE521" i="6"/>
  <c r="DD521" i="6"/>
  <c r="DC521" i="6"/>
  <c r="DB521" i="6"/>
  <c r="DA521" i="6"/>
  <c r="CZ521" i="6"/>
  <c r="CY521" i="6"/>
  <c r="CX521" i="6"/>
  <c r="CV521" i="6"/>
  <c r="CU521" i="6"/>
  <c r="CT521" i="6"/>
  <c r="CS521" i="6"/>
  <c r="CR521" i="6"/>
  <c r="CQ521" i="6"/>
  <c r="CP521" i="6"/>
  <c r="CO521" i="6"/>
  <c r="CN521" i="6"/>
  <c r="CM521" i="6"/>
  <c r="CL521" i="6"/>
  <c r="CK521" i="6"/>
  <c r="CJ521" i="6"/>
  <c r="CI521" i="6"/>
  <c r="CH521" i="6"/>
  <c r="CG521" i="6"/>
  <c r="CF521" i="6"/>
  <c r="CE521" i="6"/>
  <c r="CD521" i="6"/>
  <c r="CC521" i="6"/>
  <c r="CB521" i="6"/>
  <c r="CA521" i="6"/>
  <c r="BZ521" i="6"/>
  <c r="BY521" i="6"/>
  <c r="BX521" i="6"/>
  <c r="BW521" i="6"/>
  <c r="BV521" i="6"/>
  <c r="BU521" i="6"/>
  <c r="BT521" i="6"/>
  <c r="BS521" i="6"/>
  <c r="BR521" i="6"/>
  <c r="BQ521" i="6"/>
  <c r="BP521" i="6"/>
  <c r="BO521" i="6"/>
  <c r="BN521" i="6"/>
  <c r="BM521" i="6"/>
  <c r="BL521" i="6"/>
  <c r="BK521" i="6"/>
  <c r="BJ521" i="6"/>
  <c r="BI521" i="6"/>
  <c r="BH521" i="6"/>
  <c r="BG521" i="6"/>
  <c r="BF521" i="6"/>
  <c r="BE521" i="6"/>
  <c r="BD521" i="6"/>
  <c r="BC521" i="6"/>
  <c r="BB521" i="6"/>
  <c r="BA521" i="6"/>
  <c r="AZ521" i="6"/>
  <c r="AY521" i="6"/>
  <c r="AX521" i="6"/>
  <c r="AW521" i="6"/>
  <c r="AV521" i="6"/>
  <c r="AU521" i="6"/>
  <c r="AT521" i="6"/>
  <c r="AS521" i="6"/>
  <c r="AR521" i="6"/>
  <c r="AQ521" i="6"/>
  <c r="AP521" i="6"/>
  <c r="AO521" i="6"/>
  <c r="AN521" i="6"/>
  <c r="AM521" i="6"/>
  <c r="AL521" i="6"/>
  <c r="AK521" i="6"/>
  <c r="AJ521" i="6"/>
  <c r="AI521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521" i="6"/>
  <c r="DE520" i="6"/>
  <c r="DD520" i="6"/>
  <c r="DC520" i="6"/>
  <c r="DB520" i="6"/>
  <c r="DA520" i="6"/>
  <c r="CZ520" i="6"/>
  <c r="CY520" i="6"/>
  <c r="CX520" i="6"/>
  <c r="CV520" i="6"/>
  <c r="CU520" i="6"/>
  <c r="CT520" i="6"/>
  <c r="CS520" i="6"/>
  <c r="CR520" i="6"/>
  <c r="CQ520" i="6"/>
  <c r="CP520" i="6"/>
  <c r="CO520" i="6"/>
  <c r="CN520" i="6"/>
  <c r="CM520" i="6"/>
  <c r="CL520" i="6"/>
  <c r="CK520" i="6"/>
  <c r="CJ520" i="6"/>
  <c r="CI520" i="6"/>
  <c r="CH520" i="6"/>
  <c r="CG520" i="6"/>
  <c r="CF520" i="6"/>
  <c r="CE520" i="6"/>
  <c r="CD520" i="6"/>
  <c r="CC520" i="6"/>
  <c r="CB520" i="6"/>
  <c r="CA520" i="6"/>
  <c r="BZ520" i="6"/>
  <c r="BY520" i="6"/>
  <c r="BX520" i="6"/>
  <c r="BW520" i="6"/>
  <c r="BV520" i="6"/>
  <c r="BU520" i="6"/>
  <c r="BT520" i="6"/>
  <c r="BS520" i="6"/>
  <c r="BR520" i="6"/>
  <c r="BQ520" i="6"/>
  <c r="BP520" i="6"/>
  <c r="BO520" i="6"/>
  <c r="BN520" i="6"/>
  <c r="BM520" i="6"/>
  <c r="BL520" i="6"/>
  <c r="BK520" i="6"/>
  <c r="BJ520" i="6"/>
  <c r="BI520" i="6"/>
  <c r="BH520" i="6"/>
  <c r="BG520" i="6"/>
  <c r="BF520" i="6"/>
  <c r="BE520" i="6"/>
  <c r="BD520" i="6"/>
  <c r="BC520" i="6"/>
  <c r="BB520" i="6"/>
  <c r="BA520" i="6"/>
  <c r="AZ520" i="6"/>
  <c r="AY520" i="6"/>
  <c r="AX520" i="6"/>
  <c r="AW520" i="6"/>
  <c r="AV520" i="6"/>
  <c r="AU520" i="6"/>
  <c r="AT520" i="6"/>
  <c r="AS520" i="6"/>
  <c r="AR520" i="6"/>
  <c r="AQ520" i="6"/>
  <c r="AP520" i="6"/>
  <c r="AO520" i="6"/>
  <c r="AN520" i="6"/>
  <c r="AM520" i="6"/>
  <c r="AL520" i="6"/>
  <c r="AK520" i="6"/>
  <c r="AJ520" i="6"/>
  <c r="AI520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520" i="6"/>
  <c r="DE519" i="6"/>
  <c r="DD519" i="6"/>
  <c r="DC519" i="6"/>
  <c r="DB519" i="6"/>
  <c r="DA519" i="6"/>
  <c r="CZ519" i="6"/>
  <c r="CY519" i="6"/>
  <c r="CX519" i="6"/>
  <c r="CV519" i="6"/>
  <c r="CU519" i="6"/>
  <c r="CT519" i="6"/>
  <c r="CS519" i="6"/>
  <c r="CR519" i="6"/>
  <c r="CQ519" i="6"/>
  <c r="CP519" i="6"/>
  <c r="CO519" i="6"/>
  <c r="CN519" i="6"/>
  <c r="CM519" i="6"/>
  <c r="CL519" i="6"/>
  <c r="CK519" i="6"/>
  <c r="CJ519" i="6"/>
  <c r="CI519" i="6"/>
  <c r="CH519" i="6"/>
  <c r="CG519" i="6"/>
  <c r="CF519" i="6"/>
  <c r="CE519" i="6"/>
  <c r="CD519" i="6"/>
  <c r="CC519" i="6"/>
  <c r="CB519" i="6"/>
  <c r="CA519" i="6"/>
  <c r="BZ519" i="6"/>
  <c r="BY519" i="6"/>
  <c r="BX519" i="6"/>
  <c r="BW519" i="6"/>
  <c r="BV519" i="6"/>
  <c r="BU519" i="6"/>
  <c r="BT519" i="6"/>
  <c r="BS519" i="6"/>
  <c r="BR519" i="6"/>
  <c r="BQ519" i="6"/>
  <c r="BP519" i="6"/>
  <c r="BO519" i="6"/>
  <c r="BN519" i="6"/>
  <c r="BM519" i="6"/>
  <c r="BL519" i="6"/>
  <c r="BK519" i="6"/>
  <c r="BJ519" i="6"/>
  <c r="BI519" i="6"/>
  <c r="BH519" i="6"/>
  <c r="BG519" i="6"/>
  <c r="BF519" i="6"/>
  <c r="BE519" i="6"/>
  <c r="BD519" i="6"/>
  <c r="BC519" i="6"/>
  <c r="BB519" i="6"/>
  <c r="BA519" i="6"/>
  <c r="AZ519" i="6"/>
  <c r="AY519" i="6"/>
  <c r="AX519" i="6"/>
  <c r="AW519" i="6"/>
  <c r="AV519" i="6"/>
  <c r="AU519" i="6"/>
  <c r="AT519" i="6"/>
  <c r="AS519" i="6"/>
  <c r="AR519" i="6"/>
  <c r="AQ519" i="6"/>
  <c r="AP519" i="6"/>
  <c r="AO519" i="6"/>
  <c r="AN519" i="6"/>
  <c r="AM519" i="6"/>
  <c r="AL519" i="6"/>
  <c r="AK519" i="6"/>
  <c r="AJ519" i="6"/>
  <c r="AI519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519" i="6"/>
  <c r="DE518" i="6"/>
  <c r="DD518" i="6"/>
  <c r="DC518" i="6"/>
  <c r="DB518" i="6"/>
  <c r="DA518" i="6"/>
  <c r="CZ518" i="6"/>
  <c r="CY518" i="6"/>
  <c r="CX518" i="6"/>
  <c r="CV518" i="6"/>
  <c r="CU518" i="6"/>
  <c r="CT518" i="6"/>
  <c r="CS518" i="6"/>
  <c r="CR518" i="6"/>
  <c r="CQ518" i="6"/>
  <c r="CP518" i="6"/>
  <c r="CO518" i="6"/>
  <c r="CN518" i="6"/>
  <c r="CM518" i="6"/>
  <c r="CL518" i="6"/>
  <c r="CK518" i="6"/>
  <c r="CJ518" i="6"/>
  <c r="CI518" i="6"/>
  <c r="CH518" i="6"/>
  <c r="CG518" i="6"/>
  <c r="CF518" i="6"/>
  <c r="CE518" i="6"/>
  <c r="CD518" i="6"/>
  <c r="CC518" i="6"/>
  <c r="CB518" i="6"/>
  <c r="CA518" i="6"/>
  <c r="BZ518" i="6"/>
  <c r="BY518" i="6"/>
  <c r="BX518" i="6"/>
  <c r="BW518" i="6"/>
  <c r="BV518" i="6"/>
  <c r="BU518" i="6"/>
  <c r="BT518" i="6"/>
  <c r="BS518" i="6"/>
  <c r="BR518" i="6"/>
  <c r="BQ518" i="6"/>
  <c r="BP518" i="6"/>
  <c r="BO518" i="6"/>
  <c r="BN518" i="6"/>
  <c r="BM518" i="6"/>
  <c r="BL518" i="6"/>
  <c r="BK518" i="6"/>
  <c r="BJ518" i="6"/>
  <c r="BI518" i="6"/>
  <c r="BH518" i="6"/>
  <c r="BG518" i="6"/>
  <c r="BF518" i="6"/>
  <c r="BE518" i="6"/>
  <c r="BD518" i="6"/>
  <c r="BC518" i="6"/>
  <c r="BB518" i="6"/>
  <c r="BA518" i="6"/>
  <c r="AZ518" i="6"/>
  <c r="AY518" i="6"/>
  <c r="AX518" i="6"/>
  <c r="AW518" i="6"/>
  <c r="AV518" i="6"/>
  <c r="AU518" i="6"/>
  <c r="AT518" i="6"/>
  <c r="AS518" i="6"/>
  <c r="AR518" i="6"/>
  <c r="AQ518" i="6"/>
  <c r="AP518" i="6"/>
  <c r="AO518" i="6"/>
  <c r="AN518" i="6"/>
  <c r="AM518" i="6"/>
  <c r="AL518" i="6"/>
  <c r="AK518" i="6"/>
  <c r="AJ518" i="6"/>
  <c r="AI518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518" i="6"/>
  <c r="DE517" i="6"/>
  <c r="DD517" i="6"/>
  <c r="DC517" i="6"/>
  <c r="DB517" i="6"/>
  <c r="DA517" i="6"/>
  <c r="CZ517" i="6"/>
  <c r="CY517" i="6"/>
  <c r="CX517" i="6"/>
  <c r="CV517" i="6"/>
  <c r="CU517" i="6"/>
  <c r="CT517" i="6"/>
  <c r="CS517" i="6"/>
  <c r="CR517" i="6"/>
  <c r="CQ517" i="6"/>
  <c r="CP517" i="6"/>
  <c r="CO517" i="6"/>
  <c r="CN517" i="6"/>
  <c r="CM517" i="6"/>
  <c r="CL517" i="6"/>
  <c r="CK517" i="6"/>
  <c r="CJ517" i="6"/>
  <c r="CI517" i="6"/>
  <c r="CH517" i="6"/>
  <c r="CG517" i="6"/>
  <c r="CF517" i="6"/>
  <c r="CE517" i="6"/>
  <c r="CD517" i="6"/>
  <c r="CC517" i="6"/>
  <c r="CB517" i="6"/>
  <c r="CA517" i="6"/>
  <c r="BZ517" i="6"/>
  <c r="BY517" i="6"/>
  <c r="BX517" i="6"/>
  <c r="BW517" i="6"/>
  <c r="BV517" i="6"/>
  <c r="BU517" i="6"/>
  <c r="BT517" i="6"/>
  <c r="BS517" i="6"/>
  <c r="BR517" i="6"/>
  <c r="BQ517" i="6"/>
  <c r="BP517" i="6"/>
  <c r="BO517" i="6"/>
  <c r="BN517" i="6"/>
  <c r="BM517" i="6"/>
  <c r="BL517" i="6"/>
  <c r="BK517" i="6"/>
  <c r="BJ517" i="6"/>
  <c r="BI517" i="6"/>
  <c r="BH517" i="6"/>
  <c r="BG517" i="6"/>
  <c r="BF517" i="6"/>
  <c r="BE517" i="6"/>
  <c r="BD517" i="6"/>
  <c r="BC517" i="6"/>
  <c r="BB517" i="6"/>
  <c r="BA517" i="6"/>
  <c r="AZ517" i="6"/>
  <c r="AY517" i="6"/>
  <c r="AX517" i="6"/>
  <c r="AW517" i="6"/>
  <c r="AV517" i="6"/>
  <c r="AU517" i="6"/>
  <c r="AT517" i="6"/>
  <c r="AS517" i="6"/>
  <c r="AR517" i="6"/>
  <c r="AQ517" i="6"/>
  <c r="AP517" i="6"/>
  <c r="AO517" i="6"/>
  <c r="AN517" i="6"/>
  <c r="AM517" i="6"/>
  <c r="AL517" i="6"/>
  <c r="AK517" i="6"/>
  <c r="AJ517" i="6"/>
  <c r="AI517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B517" i="6"/>
  <c r="A517" i="6"/>
  <c r="DE516" i="6"/>
  <c r="DD516" i="6"/>
  <c r="DC516" i="6"/>
  <c r="DB516" i="6"/>
  <c r="DA516" i="6"/>
  <c r="CZ516" i="6"/>
  <c r="CY516" i="6"/>
  <c r="CX516" i="6"/>
  <c r="CV516" i="6"/>
  <c r="CU516" i="6"/>
  <c r="CT516" i="6"/>
  <c r="CS516" i="6"/>
  <c r="CR516" i="6"/>
  <c r="CQ516" i="6"/>
  <c r="CP516" i="6"/>
  <c r="CO516" i="6"/>
  <c r="CN516" i="6"/>
  <c r="CM516" i="6"/>
  <c r="CL516" i="6"/>
  <c r="CK516" i="6"/>
  <c r="CJ516" i="6"/>
  <c r="CI516" i="6"/>
  <c r="CH516" i="6"/>
  <c r="CG516" i="6"/>
  <c r="CF516" i="6"/>
  <c r="CE516" i="6"/>
  <c r="CD516" i="6"/>
  <c r="CC516" i="6"/>
  <c r="CB516" i="6"/>
  <c r="CA516" i="6"/>
  <c r="BZ516" i="6"/>
  <c r="BY516" i="6"/>
  <c r="BX516" i="6"/>
  <c r="BW516" i="6"/>
  <c r="BV516" i="6"/>
  <c r="BU516" i="6"/>
  <c r="BT516" i="6"/>
  <c r="BS516" i="6"/>
  <c r="BR516" i="6"/>
  <c r="BQ516" i="6"/>
  <c r="BP516" i="6"/>
  <c r="BO516" i="6"/>
  <c r="BN516" i="6"/>
  <c r="BM516" i="6"/>
  <c r="BL516" i="6"/>
  <c r="BK516" i="6"/>
  <c r="BJ516" i="6"/>
  <c r="BI516" i="6"/>
  <c r="BH516" i="6"/>
  <c r="BG516" i="6"/>
  <c r="BF516" i="6"/>
  <c r="BE516" i="6"/>
  <c r="BD516" i="6"/>
  <c r="BC516" i="6"/>
  <c r="BB516" i="6"/>
  <c r="BA516" i="6"/>
  <c r="AZ516" i="6"/>
  <c r="AY516" i="6"/>
  <c r="AX516" i="6"/>
  <c r="AW516" i="6"/>
  <c r="AV516" i="6"/>
  <c r="AU516" i="6"/>
  <c r="AT516" i="6"/>
  <c r="AS516" i="6"/>
  <c r="AR516" i="6"/>
  <c r="AQ516" i="6"/>
  <c r="AP516" i="6"/>
  <c r="AO516" i="6"/>
  <c r="AN516" i="6"/>
  <c r="AM516" i="6"/>
  <c r="AL516" i="6"/>
  <c r="AK516" i="6"/>
  <c r="AJ516" i="6"/>
  <c r="AI516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516" i="6"/>
  <c r="DE515" i="6"/>
  <c r="DN507" i="6" s="1"/>
  <c r="DD515" i="6"/>
  <c r="DC515" i="6"/>
  <c r="DB515" i="6"/>
  <c r="DA515" i="6"/>
  <c r="CZ515" i="6"/>
  <c r="CY515" i="6"/>
  <c r="CX515" i="6"/>
  <c r="CV515" i="6"/>
  <c r="CU515" i="6"/>
  <c r="CT515" i="6"/>
  <c r="CS515" i="6"/>
  <c r="CR515" i="6"/>
  <c r="CQ515" i="6"/>
  <c r="CP515" i="6"/>
  <c r="CO515" i="6"/>
  <c r="CN515" i="6"/>
  <c r="CM515" i="6"/>
  <c r="CL515" i="6"/>
  <c r="CK515" i="6"/>
  <c r="CJ515" i="6"/>
  <c r="CI515" i="6"/>
  <c r="CH515" i="6"/>
  <c r="CG515" i="6"/>
  <c r="CF515" i="6"/>
  <c r="CE515" i="6"/>
  <c r="CD515" i="6"/>
  <c r="CC515" i="6"/>
  <c r="CB515" i="6"/>
  <c r="CA515" i="6"/>
  <c r="BZ515" i="6"/>
  <c r="BY515" i="6"/>
  <c r="BX515" i="6"/>
  <c r="BW515" i="6"/>
  <c r="BV515" i="6"/>
  <c r="BU515" i="6"/>
  <c r="BT515" i="6"/>
  <c r="BS515" i="6"/>
  <c r="BR515" i="6"/>
  <c r="BQ515" i="6"/>
  <c r="BP515" i="6"/>
  <c r="BO515" i="6"/>
  <c r="BN515" i="6"/>
  <c r="BM515" i="6"/>
  <c r="BL515" i="6"/>
  <c r="BK515" i="6"/>
  <c r="BJ515" i="6"/>
  <c r="BI515" i="6"/>
  <c r="BH515" i="6"/>
  <c r="BG515" i="6"/>
  <c r="BF515" i="6"/>
  <c r="BE515" i="6"/>
  <c r="BD515" i="6"/>
  <c r="BC515" i="6"/>
  <c r="BB515" i="6"/>
  <c r="BA515" i="6"/>
  <c r="AZ515" i="6"/>
  <c r="AY515" i="6"/>
  <c r="AX515" i="6"/>
  <c r="AW515" i="6"/>
  <c r="AV515" i="6"/>
  <c r="AU515" i="6"/>
  <c r="AT515" i="6"/>
  <c r="AS515" i="6"/>
  <c r="AR515" i="6"/>
  <c r="AQ515" i="6"/>
  <c r="AP515" i="6"/>
  <c r="AO515" i="6"/>
  <c r="AN515" i="6"/>
  <c r="AM515" i="6"/>
  <c r="AL515" i="6"/>
  <c r="AK515" i="6"/>
  <c r="AJ515" i="6"/>
  <c r="AI515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515" i="6"/>
  <c r="DE514" i="6"/>
  <c r="DD514" i="6"/>
  <c r="DC514" i="6"/>
  <c r="DB514" i="6"/>
  <c r="DA514" i="6"/>
  <c r="CZ514" i="6"/>
  <c r="CY514" i="6"/>
  <c r="CX514" i="6"/>
  <c r="CV514" i="6"/>
  <c r="CU514" i="6"/>
  <c r="CT514" i="6"/>
  <c r="CS514" i="6"/>
  <c r="CR514" i="6"/>
  <c r="CQ514" i="6"/>
  <c r="CP514" i="6"/>
  <c r="CO514" i="6"/>
  <c r="CN514" i="6"/>
  <c r="CM514" i="6"/>
  <c r="CL514" i="6"/>
  <c r="CK514" i="6"/>
  <c r="CJ514" i="6"/>
  <c r="CI514" i="6"/>
  <c r="CH514" i="6"/>
  <c r="CG514" i="6"/>
  <c r="CF514" i="6"/>
  <c r="CE514" i="6"/>
  <c r="CD514" i="6"/>
  <c r="CC514" i="6"/>
  <c r="CB514" i="6"/>
  <c r="CA514" i="6"/>
  <c r="BZ514" i="6"/>
  <c r="BY514" i="6"/>
  <c r="BX514" i="6"/>
  <c r="BW514" i="6"/>
  <c r="BV514" i="6"/>
  <c r="BU514" i="6"/>
  <c r="BT514" i="6"/>
  <c r="BS514" i="6"/>
  <c r="BR514" i="6"/>
  <c r="BQ514" i="6"/>
  <c r="BP514" i="6"/>
  <c r="BO514" i="6"/>
  <c r="BN514" i="6"/>
  <c r="BM514" i="6"/>
  <c r="BL514" i="6"/>
  <c r="BK514" i="6"/>
  <c r="BJ514" i="6"/>
  <c r="BI514" i="6"/>
  <c r="BH514" i="6"/>
  <c r="BG514" i="6"/>
  <c r="BF514" i="6"/>
  <c r="BE514" i="6"/>
  <c r="BD514" i="6"/>
  <c r="BC514" i="6"/>
  <c r="BB514" i="6"/>
  <c r="BA514" i="6"/>
  <c r="AZ514" i="6"/>
  <c r="AY514" i="6"/>
  <c r="AX514" i="6"/>
  <c r="AW514" i="6"/>
  <c r="AV514" i="6"/>
  <c r="AU514" i="6"/>
  <c r="AT514" i="6"/>
  <c r="AS514" i="6"/>
  <c r="AR514" i="6"/>
  <c r="AQ514" i="6"/>
  <c r="AP514" i="6"/>
  <c r="AO514" i="6"/>
  <c r="AN514" i="6"/>
  <c r="AM514" i="6"/>
  <c r="AL514" i="6"/>
  <c r="AK514" i="6"/>
  <c r="AJ514" i="6"/>
  <c r="AI514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514" i="6"/>
  <c r="DE513" i="6"/>
  <c r="DD513" i="6"/>
  <c r="DC513" i="6"/>
  <c r="DB513" i="6"/>
  <c r="DA513" i="6"/>
  <c r="CZ513" i="6"/>
  <c r="CY513" i="6"/>
  <c r="CX513" i="6"/>
  <c r="CV513" i="6"/>
  <c r="CU513" i="6"/>
  <c r="CT513" i="6"/>
  <c r="CS513" i="6"/>
  <c r="CR513" i="6"/>
  <c r="CQ513" i="6"/>
  <c r="CP513" i="6"/>
  <c r="CO513" i="6"/>
  <c r="CN513" i="6"/>
  <c r="CM513" i="6"/>
  <c r="CL513" i="6"/>
  <c r="CK513" i="6"/>
  <c r="CJ513" i="6"/>
  <c r="CI513" i="6"/>
  <c r="CH513" i="6"/>
  <c r="CG513" i="6"/>
  <c r="CF513" i="6"/>
  <c r="CE513" i="6"/>
  <c r="CD513" i="6"/>
  <c r="CC513" i="6"/>
  <c r="CB513" i="6"/>
  <c r="CA513" i="6"/>
  <c r="BZ513" i="6"/>
  <c r="BY513" i="6"/>
  <c r="BX513" i="6"/>
  <c r="BW513" i="6"/>
  <c r="BV513" i="6"/>
  <c r="BU513" i="6"/>
  <c r="BT513" i="6"/>
  <c r="BS513" i="6"/>
  <c r="BR513" i="6"/>
  <c r="BQ513" i="6"/>
  <c r="BP513" i="6"/>
  <c r="BO513" i="6"/>
  <c r="BN513" i="6"/>
  <c r="BM513" i="6"/>
  <c r="BL513" i="6"/>
  <c r="BK513" i="6"/>
  <c r="BJ513" i="6"/>
  <c r="BI513" i="6"/>
  <c r="BH513" i="6"/>
  <c r="BG513" i="6"/>
  <c r="BF513" i="6"/>
  <c r="BE513" i="6"/>
  <c r="BD513" i="6"/>
  <c r="BC513" i="6"/>
  <c r="BB513" i="6"/>
  <c r="BA513" i="6"/>
  <c r="AZ513" i="6"/>
  <c r="AY513" i="6"/>
  <c r="AX513" i="6"/>
  <c r="AW513" i="6"/>
  <c r="AV513" i="6"/>
  <c r="AU513" i="6"/>
  <c r="AT513" i="6"/>
  <c r="AS513" i="6"/>
  <c r="AR513" i="6"/>
  <c r="AQ513" i="6"/>
  <c r="AP513" i="6"/>
  <c r="AO513" i="6"/>
  <c r="AN513" i="6"/>
  <c r="AM513" i="6"/>
  <c r="AL513" i="6"/>
  <c r="AK513" i="6"/>
  <c r="AJ513" i="6"/>
  <c r="AI513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513" i="6"/>
  <c r="DE512" i="6"/>
  <c r="DD512" i="6"/>
  <c r="DC512" i="6"/>
  <c r="DB512" i="6"/>
  <c r="DA512" i="6"/>
  <c r="CZ512" i="6"/>
  <c r="CY512" i="6"/>
  <c r="CX512" i="6"/>
  <c r="CV512" i="6"/>
  <c r="CU512" i="6"/>
  <c r="CT512" i="6"/>
  <c r="CS512" i="6"/>
  <c r="CR512" i="6"/>
  <c r="CQ512" i="6"/>
  <c r="CP512" i="6"/>
  <c r="CO512" i="6"/>
  <c r="CN512" i="6"/>
  <c r="CM512" i="6"/>
  <c r="CL512" i="6"/>
  <c r="CK512" i="6"/>
  <c r="CJ512" i="6"/>
  <c r="CI512" i="6"/>
  <c r="CH512" i="6"/>
  <c r="CG512" i="6"/>
  <c r="CF512" i="6"/>
  <c r="CE512" i="6"/>
  <c r="CD512" i="6"/>
  <c r="CC512" i="6"/>
  <c r="CB512" i="6"/>
  <c r="CA512" i="6"/>
  <c r="BZ512" i="6"/>
  <c r="BY512" i="6"/>
  <c r="BX512" i="6"/>
  <c r="BW512" i="6"/>
  <c r="BV512" i="6"/>
  <c r="BU512" i="6"/>
  <c r="BT512" i="6"/>
  <c r="BS512" i="6"/>
  <c r="BR512" i="6"/>
  <c r="BQ512" i="6"/>
  <c r="BP512" i="6"/>
  <c r="BO512" i="6"/>
  <c r="BN512" i="6"/>
  <c r="BM512" i="6"/>
  <c r="BL512" i="6"/>
  <c r="BK512" i="6"/>
  <c r="BJ512" i="6"/>
  <c r="BI512" i="6"/>
  <c r="BH512" i="6"/>
  <c r="BG512" i="6"/>
  <c r="BF512" i="6"/>
  <c r="BE512" i="6"/>
  <c r="BD512" i="6"/>
  <c r="BC512" i="6"/>
  <c r="BB512" i="6"/>
  <c r="BA512" i="6"/>
  <c r="AZ512" i="6"/>
  <c r="AY512" i="6"/>
  <c r="AX512" i="6"/>
  <c r="AW512" i="6"/>
  <c r="AV512" i="6"/>
  <c r="AU512" i="6"/>
  <c r="AT512" i="6"/>
  <c r="AS512" i="6"/>
  <c r="AR512" i="6"/>
  <c r="AQ512" i="6"/>
  <c r="AP512" i="6"/>
  <c r="AO512" i="6"/>
  <c r="AN512" i="6"/>
  <c r="AM512" i="6"/>
  <c r="AL512" i="6"/>
  <c r="AK512" i="6"/>
  <c r="AJ512" i="6"/>
  <c r="AI512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512" i="6"/>
  <c r="DE511" i="6"/>
  <c r="DD511" i="6"/>
  <c r="DC511" i="6"/>
  <c r="DB511" i="6"/>
  <c r="DA511" i="6"/>
  <c r="CZ511" i="6"/>
  <c r="CY511" i="6"/>
  <c r="CX511" i="6"/>
  <c r="CV511" i="6"/>
  <c r="CU511" i="6"/>
  <c r="CT511" i="6"/>
  <c r="CS511" i="6"/>
  <c r="CR511" i="6"/>
  <c r="CQ511" i="6"/>
  <c r="CP511" i="6"/>
  <c r="CO511" i="6"/>
  <c r="CN511" i="6"/>
  <c r="CM511" i="6"/>
  <c r="CL511" i="6"/>
  <c r="CK511" i="6"/>
  <c r="CJ511" i="6"/>
  <c r="CI511" i="6"/>
  <c r="CH511" i="6"/>
  <c r="CG511" i="6"/>
  <c r="CF511" i="6"/>
  <c r="CE511" i="6"/>
  <c r="CD511" i="6"/>
  <c r="CC511" i="6"/>
  <c r="CB511" i="6"/>
  <c r="CA511" i="6"/>
  <c r="BZ511" i="6"/>
  <c r="BY511" i="6"/>
  <c r="BX511" i="6"/>
  <c r="BW511" i="6"/>
  <c r="BV511" i="6"/>
  <c r="BU511" i="6"/>
  <c r="BT511" i="6"/>
  <c r="BS511" i="6"/>
  <c r="BR511" i="6"/>
  <c r="BQ511" i="6"/>
  <c r="BP511" i="6"/>
  <c r="BO511" i="6"/>
  <c r="BN511" i="6"/>
  <c r="BM511" i="6"/>
  <c r="BL511" i="6"/>
  <c r="BK511" i="6"/>
  <c r="BJ511" i="6"/>
  <c r="BI511" i="6"/>
  <c r="BH511" i="6"/>
  <c r="BG511" i="6"/>
  <c r="BF511" i="6"/>
  <c r="BE511" i="6"/>
  <c r="BD511" i="6"/>
  <c r="BC511" i="6"/>
  <c r="BB511" i="6"/>
  <c r="BA511" i="6"/>
  <c r="AZ511" i="6"/>
  <c r="AY511" i="6"/>
  <c r="AX511" i="6"/>
  <c r="AW511" i="6"/>
  <c r="AV511" i="6"/>
  <c r="AU511" i="6"/>
  <c r="AT511" i="6"/>
  <c r="AS511" i="6"/>
  <c r="AR511" i="6"/>
  <c r="AQ511" i="6"/>
  <c r="AP511" i="6"/>
  <c r="AO511" i="6"/>
  <c r="AN511" i="6"/>
  <c r="AM511" i="6"/>
  <c r="AL511" i="6"/>
  <c r="AK511" i="6"/>
  <c r="AJ511" i="6"/>
  <c r="AI511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511" i="6"/>
  <c r="DE510" i="6"/>
  <c r="DD510" i="6"/>
  <c r="DC510" i="6"/>
  <c r="DB510" i="6"/>
  <c r="DA510" i="6"/>
  <c r="CZ510" i="6"/>
  <c r="CY510" i="6"/>
  <c r="CX510" i="6"/>
  <c r="CV510" i="6"/>
  <c r="CU510" i="6"/>
  <c r="CT510" i="6"/>
  <c r="CS510" i="6"/>
  <c r="CR510" i="6"/>
  <c r="CQ510" i="6"/>
  <c r="CP510" i="6"/>
  <c r="CO510" i="6"/>
  <c r="CN510" i="6"/>
  <c r="CM510" i="6"/>
  <c r="CL510" i="6"/>
  <c r="CK510" i="6"/>
  <c r="CJ510" i="6"/>
  <c r="CI510" i="6"/>
  <c r="CH510" i="6"/>
  <c r="CG510" i="6"/>
  <c r="CF510" i="6"/>
  <c r="CE510" i="6"/>
  <c r="CD510" i="6"/>
  <c r="CC510" i="6"/>
  <c r="CB510" i="6"/>
  <c r="CA510" i="6"/>
  <c r="BZ510" i="6"/>
  <c r="BY510" i="6"/>
  <c r="BX510" i="6"/>
  <c r="BW510" i="6"/>
  <c r="BV510" i="6"/>
  <c r="BU510" i="6"/>
  <c r="BT510" i="6"/>
  <c r="BS510" i="6"/>
  <c r="BR510" i="6"/>
  <c r="BQ510" i="6"/>
  <c r="BP510" i="6"/>
  <c r="BO510" i="6"/>
  <c r="BN510" i="6"/>
  <c r="BM510" i="6"/>
  <c r="BL510" i="6"/>
  <c r="BK510" i="6"/>
  <c r="BJ510" i="6"/>
  <c r="BI510" i="6"/>
  <c r="BH510" i="6"/>
  <c r="BG510" i="6"/>
  <c r="BF510" i="6"/>
  <c r="BE510" i="6"/>
  <c r="BD510" i="6"/>
  <c r="BC510" i="6"/>
  <c r="BB510" i="6"/>
  <c r="BA510" i="6"/>
  <c r="AZ510" i="6"/>
  <c r="AY510" i="6"/>
  <c r="AX510" i="6"/>
  <c r="AW510" i="6"/>
  <c r="AV510" i="6"/>
  <c r="AU510" i="6"/>
  <c r="AT510" i="6"/>
  <c r="AS510" i="6"/>
  <c r="AR510" i="6"/>
  <c r="AQ510" i="6"/>
  <c r="AP510" i="6"/>
  <c r="AO510" i="6"/>
  <c r="AN510" i="6"/>
  <c r="AM510" i="6"/>
  <c r="AL510" i="6"/>
  <c r="AK510" i="6"/>
  <c r="AJ510" i="6"/>
  <c r="AI510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510" i="6"/>
  <c r="DE509" i="6"/>
  <c r="DD509" i="6"/>
  <c r="DC509" i="6"/>
  <c r="DB509" i="6"/>
  <c r="DA509" i="6"/>
  <c r="CZ509" i="6"/>
  <c r="CY509" i="6"/>
  <c r="CX509" i="6"/>
  <c r="CV509" i="6"/>
  <c r="CU509" i="6"/>
  <c r="CT509" i="6"/>
  <c r="CS509" i="6"/>
  <c r="CR509" i="6"/>
  <c r="CQ509" i="6"/>
  <c r="CP509" i="6"/>
  <c r="CO509" i="6"/>
  <c r="CN509" i="6"/>
  <c r="CM509" i="6"/>
  <c r="CL509" i="6"/>
  <c r="CK509" i="6"/>
  <c r="CJ509" i="6"/>
  <c r="CI509" i="6"/>
  <c r="CH509" i="6"/>
  <c r="CG509" i="6"/>
  <c r="CF509" i="6"/>
  <c r="CE509" i="6"/>
  <c r="CD509" i="6"/>
  <c r="CC509" i="6"/>
  <c r="CB509" i="6"/>
  <c r="CA509" i="6"/>
  <c r="BZ509" i="6"/>
  <c r="BY509" i="6"/>
  <c r="BX509" i="6"/>
  <c r="BW509" i="6"/>
  <c r="BV509" i="6"/>
  <c r="BU509" i="6"/>
  <c r="BT509" i="6"/>
  <c r="BS509" i="6"/>
  <c r="BR509" i="6"/>
  <c r="BQ509" i="6"/>
  <c r="BP509" i="6"/>
  <c r="BO509" i="6"/>
  <c r="BN509" i="6"/>
  <c r="BM509" i="6"/>
  <c r="BL509" i="6"/>
  <c r="BK509" i="6"/>
  <c r="BJ509" i="6"/>
  <c r="BI509" i="6"/>
  <c r="BH509" i="6"/>
  <c r="BG509" i="6"/>
  <c r="BF509" i="6"/>
  <c r="BE509" i="6"/>
  <c r="BD509" i="6"/>
  <c r="BC509" i="6"/>
  <c r="BB509" i="6"/>
  <c r="BA509" i="6"/>
  <c r="AZ509" i="6"/>
  <c r="AY509" i="6"/>
  <c r="AX509" i="6"/>
  <c r="AW509" i="6"/>
  <c r="AV509" i="6"/>
  <c r="AU509" i="6"/>
  <c r="AT509" i="6"/>
  <c r="AS509" i="6"/>
  <c r="AR509" i="6"/>
  <c r="AQ509" i="6"/>
  <c r="AP509" i="6"/>
  <c r="AO509" i="6"/>
  <c r="AN509" i="6"/>
  <c r="AM509" i="6"/>
  <c r="AL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B509" i="6"/>
  <c r="A509" i="6"/>
  <c r="DE508" i="6"/>
  <c r="DD508" i="6"/>
  <c r="DC508" i="6"/>
  <c r="DB508" i="6"/>
  <c r="DA508" i="6"/>
  <c r="CZ508" i="6"/>
  <c r="CY508" i="6"/>
  <c r="CX508" i="6"/>
  <c r="CV508" i="6"/>
  <c r="CU508" i="6"/>
  <c r="CT508" i="6"/>
  <c r="CS508" i="6"/>
  <c r="CR508" i="6"/>
  <c r="CQ508" i="6"/>
  <c r="CP508" i="6"/>
  <c r="CO508" i="6"/>
  <c r="CN508" i="6"/>
  <c r="CM508" i="6"/>
  <c r="CL508" i="6"/>
  <c r="CK508" i="6"/>
  <c r="CJ508" i="6"/>
  <c r="CI508" i="6"/>
  <c r="CH508" i="6"/>
  <c r="CG508" i="6"/>
  <c r="CF508" i="6"/>
  <c r="CE508" i="6"/>
  <c r="CD508" i="6"/>
  <c r="CC508" i="6"/>
  <c r="CB508" i="6"/>
  <c r="CA508" i="6"/>
  <c r="BZ508" i="6"/>
  <c r="BY508" i="6"/>
  <c r="BX508" i="6"/>
  <c r="BW508" i="6"/>
  <c r="BV508" i="6"/>
  <c r="BU508" i="6"/>
  <c r="BT508" i="6"/>
  <c r="BS508" i="6"/>
  <c r="BR508" i="6"/>
  <c r="BQ508" i="6"/>
  <c r="BP508" i="6"/>
  <c r="BO508" i="6"/>
  <c r="BN508" i="6"/>
  <c r="BM508" i="6"/>
  <c r="BL508" i="6"/>
  <c r="BK508" i="6"/>
  <c r="BJ508" i="6"/>
  <c r="BI508" i="6"/>
  <c r="BH508" i="6"/>
  <c r="BG508" i="6"/>
  <c r="BF508" i="6"/>
  <c r="BE508" i="6"/>
  <c r="BD508" i="6"/>
  <c r="BC508" i="6"/>
  <c r="BB508" i="6"/>
  <c r="BA508" i="6"/>
  <c r="AZ508" i="6"/>
  <c r="AY508" i="6"/>
  <c r="AX508" i="6"/>
  <c r="AW508" i="6"/>
  <c r="AV508" i="6"/>
  <c r="AU508" i="6"/>
  <c r="AT508" i="6"/>
  <c r="AS508" i="6"/>
  <c r="AR508" i="6"/>
  <c r="AQ508" i="6"/>
  <c r="AP508" i="6"/>
  <c r="AO508" i="6"/>
  <c r="AN508" i="6"/>
  <c r="AM508" i="6"/>
  <c r="AL508" i="6"/>
  <c r="AK508" i="6"/>
  <c r="AJ508" i="6"/>
  <c r="AI508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508" i="6"/>
  <c r="DL507" i="6"/>
  <c r="DE507" i="6"/>
  <c r="DD507" i="6"/>
  <c r="DC507" i="6"/>
  <c r="DB507" i="6"/>
  <c r="DA507" i="6"/>
  <c r="DJ507" i="6" s="1"/>
  <c r="CZ507" i="6"/>
  <c r="CY507" i="6"/>
  <c r="CX507" i="6"/>
  <c r="CV507" i="6"/>
  <c r="CU507" i="6"/>
  <c r="CT507" i="6"/>
  <c r="CS507" i="6"/>
  <c r="CR507" i="6"/>
  <c r="CQ507" i="6"/>
  <c r="CP507" i="6"/>
  <c r="CO507" i="6"/>
  <c r="CN507" i="6"/>
  <c r="CM507" i="6"/>
  <c r="CL507" i="6"/>
  <c r="CK507" i="6"/>
  <c r="CJ507" i="6"/>
  <c r="CI507" i="6"/>
  <c r="CH507" i="6"/>
  <c r="CG507" i="6"/>
  <c r="CF507" i="6"/>
  <c r="CE507" i="6"/>
  <c r="CD507" i="6"/>
  <c r="CC507" i="6"/>
  <c r="CB507" i="6"/>
  <c r="CA507" i="6"/>
  <c r="BZ507" i="6"/>
  <c r="BY507" i="6"/>
  <c r="BX507" i="6"/>
  <c r="BW507" i="6"/>
  <c r="BV507" i="6"/>
  <c r="BU507" i="6"/>
  <c r="BT507" i="6"/>
  <c r="BS507" i="6"/>
  <c r="BR507" i="6"/>
  <c r="BQ507" i="6"/>
  <c r="BP507" i="6"/>
  <c r="BO507" i="6"/>
  <c r="BN507" i="6"/>
  <c r="BM507" i="6"/>
  <c r="BL507" i="6"/>
  <c r="BK507" i="6"/>
  <c r="BJ507" i="6"/>
  <c r="BI507" i="6"/>
  <c r="BH507" i="6"/>
  <c r="BG507" i="6"/>
  <c r="BF507" i="6"/>
  <c r="BE507" i="6"/>
  <c r="BD507" i="6"/>
  <c r="BC507" i="6"/>
  <c r="BB507" i="6"/>
  <c r="BA507" i="6"/>
  <c r="AZ507" i="6"/>
  <c r="AY507" i="6"/>
  <c r="AX507" i="6"/>
  <c r="AW507" i="6"/>
  <c r="AV507" i="6"/>
  <c r="AU507" i="6"/>
  <c r="AT507" i="6"/>
  <c r="AS507" i="6"/>
  <c r="AR507" i="6"/>
  <c r="AQ507" i="6"/>
  <c r="AP507" i="6"/>
  <c r="AO507" i="6"/>
  <c r="AN507" i="6"/>
  <c r="AM507" i="6"/>
  <c r="AL507" i="6"/>
  <c r="AK507" i="6"/>
  <c r="AJ507" i="6"/>
  <c r="AI507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507" i="6"/>
  <c r="DE505" i="6"/>
  <c r="DD505" i="6"/>
  <c r="DC505" i="6"/>
  <c r="DB505" i="6"/>
  <c r="DA505" i="6"/>
  <c r="CZ505" i="6"/>
  <c r="CY505" i="6"/>
  <c r="CX505" i="6"/>
  <c r="CV505" i="6"/>
  <c r="CU505" i="6"/>
  <c r="CT505" i="6"/>
  <c r="CS505" i="6"/>
  <c r="CR505" i="6"/>
  <c r="CQ505" i="6"/>
  <c r="CP505" i="6"/>
  <c r="CO505" i="6"/>
  <c r="CN505" i="6"/>
  <c r="CM505" i="6"/>
  <c r="CL505" i="6"/>
  <c r="CK505" i="6"/>
  <c r="CJ505" i="6"/>
  <c r="CI505" i="6"/>
  <c r="CH505" i="6"/>
  <c r="CG505" i="6"/>
  <c r="CF505" i="6"/>
  <c r="CE505" i="6"/>
  <c r="CD505" i="6"/>
  <c r="CC505" i="6"/>
  <c r="CB505" i="6"/>
  <c r="CA505" i="6"/>
  <c r="BZ505" i="6"/>
  <c r="BY505" i="6"/>
  <c r="BX505" i="6"/>
  <c r="BW505" i="6"/>
  <c r="BV505" i="6"/>
  <c r="BU505" i="6"/>
  <c r="BT505" i="6"/>
  <c r="BS505" i="6"/>
  <c r="BR505" i="6"/>
  <c r="BQ505" i="6"/>
  <c r="BP505" i="6"/>
  <c r="BO505" i="6"/>
  <c r="BN505" i="6"/>
  <c r="BM505" i="6"/>
  <c r="BL505" i="6"/>
  <c r="BK505" i="6"/>
  <c r="BJ505" i="6"/>
  <c r="BI505" i="6"/>
  <c r="BH505" i="6"/>
  <c r="BG505" i="6"/>
  <c r="BF505" i="6"/>
  <c r="BE505" i="6"/>
  <c r="BD505" i="6"/>
  <c r="BC505" i="6"/>
  <c r="BB505" i="6"/>
  <c r="BA505" i="6"/>
  <c r="AZ505" i="6"/>
  <c r="AY505" i="6"/>
  <c r="AX505" i="6"/>
  <c r="AW505" i="6"/>
  <c r="AV505" i="6"/>
  <c r="AU505" i="6"/>
  <c r="AT505" i="6"/>
  <c r="AS505" i="6"/>
  <c r="AR505" i="6"/>
  <c r="AQ505" i="6"/>
  <c r="AP505" i="6"/>
  <c r="AO505" i="6"/>
  <c r="AN505" i="6"/>
  <c r="AM505" i="6"/>
  <c r="AL505" i="6"/>
  <c r="AK505" i="6"/>
  <c r="AJ505" i="6"/>
  <c r="AI505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505" i="6"/>
  <c r="DE504" i="6"/>
  <c r="DD504" i="6"/>
  <c r="DC504" i="6"/>
  <c r="DB504" i="6"/>
  <c r="DA504" i="6"/>
  <c r="CZ504" i="6"/>
  <c r="CY504" i="6"/>
  <c r="CX504" i="6"/>
  <c r="CV504" i="6"/>
  <c r="CU504" i="6"/>
  <c r="CT504" i="6"/>
  <c r="CS504" i="6"/>
  <c r="CR504" i="6"/>
  <c r="CQ504" i="6"/>
  <c r="CP504" i="6"/>
  <c r="CO504" i="6"/>
  <c r="CN504" i="6"/>
  <c r="CM504" i="6"/>
  <c r="CL504" i="6"/>
  <c r="CK504" i="6"/>
  <c r="CJ504" i="6"/>
  <c r="CI504" i="6"/>
  <c r="CH504" i="6"/>
  <c r="CG504" i="6"/>
  <c r="CF504" i="6"/>
  <c r="CE504" i="6"/>
  <c r="CD504" i="6"/>
  <c r="CC504" i="6"/>
  <c r="CB504" i="6"/>
  <c r="CA504" i="6"/>
  <c r="BZ504" i="6"/>
  <c r="BY504" i="6"/>
  <c r="BX504" i="6"/>
  <c r="BW504" i="6"/>
  <c r="BV504" i="6"/>
  <c r="BU504" i="6"/>
  <c r="BT504" i="6"/>
  <c r="BS504" i="6"/>
  <c r="BR504" i="6"/>
  <c r="BQ504" i="6"/>
  <c r="BP504" i="6"/>
  <c r="BO504" i="6"/>
  <c r="BN504" i="6"/>
  <c r="BM504" i="6"/>
  <c r="BL504" i="6"/>
  <c r="BK504" i="6"/>
  <c r="BJ504" i="6"/>
  <c r="BI504" i="6"/>
  <c r="BH504" i="6"/>
  <c r="BG504" i="6"/>
  <c r="BF504" i="6"/>
  <c r="BE504" i="6"/>
  <c r="BD504" i="6"/>
  <c r="BC504" i="6"/>
  <c r="BB504" i="6"/>
  <c r="BA504" i="6"/>
  <c r="AZ504" i="6"/>
  <c r="AY504" i="6"/>
  <c r="AX504" i="6"/>
  <c r="AW504" i="6"/>
  <c r="AV504" i="6"/>
  <c r="AU504" i="6"/>
  <c r="AT504" i="6"/>
  <c r="AS504" i="6"/>
  <c r="AR504" i="6"/>
  <c r="AQ504" i="6"/>
  <c r="AP504" i="6"/>
  <c r="AO504" i="6"/>
  <c r="AN504" i="6"/>
  <c r="AM504" i="6"/>
  <c r="AL504" i="6"/>
  <c r="AK504" i="6"/>
  <c r="AJ504" i="6"/>
  <c r="AI504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504" i="6"/>
  <c r="DE503" i="6"/>
  <c r="DD503" i="6"/>
  <c r="DC503" i="6"/>
  <c r="DB503" i="6"/>
  <c r="DA503" i="6"/>
  <c r="CZ503" i="6"/>
  <c r="CY503" i="6"/>
  <c r="CX503" i="6"/>
  <c r="CV503" i="6"/>
  <c r="CU503" i="6"/>
  <c r="CT503" i="6"/>
  <c r="CS503" i="6"/>
  <c r="CR503" i="6"/>
  <c r="CQ503" i="6"/>
  <c r="CP503" i="6"/>
  <c r="CO503" i="6"/>
  <c r="CN503" i="6"/>
  <c r="CM503" i="6"/>
  <c r="CL503" i="6"/>
  <c r="CK503" i="6"/>
  <c r="CJ503" i="6"/>
  <c r="CI503" i="6"/>
  <c r="CH503" i="6"/>
  <c r="CG503" i="6"/>
  <c r="CF503" i="6"/>
  <c r="CE503" i="6"/>
  <c r="CD503" i="6"/>
  <c r="CC503" i="6"/>
  <c r="CB503" i="6"/>
  <c r="CA503" i="6"/>
  <c r="BZ503" i="6"/>
  <c r="BY503" i="6"/>
  <c r="BX503" i="6"/>
  <c r="BW503" i="6"/>
  <c r="BV503" i="6"/>
  <c r="BU503" i="6"/>
  <c r="BT503" i="6"/>
  <c r="BS503" i="6"/>
  <c r="BR503" i="6"/>
  <c r="BQ503" i="6"/>
  <c r="BP503" i="6"/>
  <c r="BO503" i="6"/>
  <c r="BN503" i="6"/>
  <c r="BM503" i="6"/>
  <c r="BL503" i="6"/>
  <c r="BK503" i="6"/>
  <c r="BJ503" i="6"/>
  <c r="BI503" i="6"/>
  <c r="BH503" i="6"/>
  <c r="BG503" i="6"/>
  <c r="BF503" i="6"/>
  <c r="BE503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AM503" i="6"/>
  <c r="AL503" i="6"/>
  <c r="AK503" i="6"/>
  <c r="AJ503" i="6"/>
  <c r="AI503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503" i="6"/>
  <c r="DE502" i="6"/>
  <c r="DD502" i="6"/>
  <c r="DC502" i="6"/>
  <c r="DB502" i="6"/>
  <c r="DA502" i="6"/>
  <c r="CZ502" i="6"/>
  <c r="CY502" i="6"/>
  <c r="CX502" i="6"/>
  <c r="CV502" i="6"/>
  <c r="CU502" i="6"/>
  <c r="CT502" i="6"/>
  <c r="CS502" i="6"/>
  <c r="CR502" i="6"/>
  <c r="CQ502" i="6"/>
  <c r="CP502" i="6"/>
  <c r="CO502" i="6"/>
  <c r="CN502" i="6"/>
  <c r="CM502" i="6"/>
  <c r="CL502" i="6"/>
  <c r="CK502" i="6"/>
  <c r="CJ502" i="6"/>
  <c r="CI502" i="6"/>
  <c r="CH502" i="6"/>
  <c r="CG502" i="6"/>
  <c r="CF502" i="6"/>
  <c r="CE502" i="6"/>
  <c r="CD502" i="6"/>
  <c r="CC502" i="6"/>
  <c r="CB502" i="6"/>
  <c r="CA502" i="6"/>
  <c r="BZ502" i="6"/>
  <c r="BY502" i="6"/>
  <c r="BX502" i="6"/>
  <c r="BW502" i="6"/>
  <c r="BV502" i="6"/>
  <c r="BU502" i="6"/>
  <c r="BT502" i="6"/>
  <c r="BS502" i="6"/>
  <c r="BR502" i="6"/>
  <c r="BQ502" i="6"/>
  <c r="BP502" i="6"/>
  <c r="BO502" i="6"/>
  <c r="BN502" i="6"/>
  <c r="BM502" i="6"/>
  <c r="BL502" i="6"/>
  <c r="BK502" i="6"/>
  <c r="BJ502" i="6"/>
  <c r="BI502" i="6"/>
  <c r="BH502" i="6"/>
  <c r="BG502" i="6"/>
  <c r="BF502" i="6"/>
  <c r="BE502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AN502" i="6"/>
  <c r="AM502" i="6"/>
  <c r="AL502" i="6"/>
  <c r="AK502" i="6"/>
  <c r="AJ502" i="6"/>
  <c r="AI502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502" i="6"/>
  <c r="DE501" i="6"/>
  <c r="DD501" i="6"/>
  <c r="DC501" i="6"/>
  <c r="DB501" i="6"/>
  <c r="DA501" i="6"/>
  <c r="CZ501" i="6"/>
  <c r="CY501" i="6"/>
  <c r="CX501" i="6"/>
  <c r="CV501" i="6"/>
  <c r="CU501" i="6"/>
  <c r="CT501" i="6"/>
  <c r="CS501" i="6"/>
  <c r="CR501" i="6"/>
  <c r="CQ501" i="6"/>
  <c r="CP501" i="6"/>
  <c r="CO501" i="6"/>
  <c r="CN501" i="6"/>
  <c r="CM501" i="6"/>
  <c r="CL501" i="6"/>
  <c r="CK501" i="6"/>
  <c r="CJ501" i="6"/>
  <c r="CI501" i="6"/>
  <c r="CH501" i="6"/>
  <c r="CG501" i="6"/>
  <c r="CF501" i="6"/>
  <c r="CE501" i="6"/>
  <c r="CD501" i="6"/>
  <c r="CC501" i="6"/>
  <c r="CB501" i="6"/>
  <c r="CA501" i="6"/>
  <c r="BZ501" i="6"/>
  <c r="BY501" i="6"/>
  <c r="BX501" i="6"/>
  <c r="BW501" i="6"/>
  <c r="BV501" i="6"/>
  <c r="BU501" i="6"/>
  <c r="BT501" i="6"/>
  <c r="BS501" i="6"/>
  <c r="BR501" i="6"/>
  <c r="BQ501" i="6"/>
  <c r="BP501" i="6"/>
  <c r="BO501" i="6"/>
  <c r="BN501" i="6"/>
  <c r="BM501" i="6"/>
  <c r="BL501" i="6"/>
  <c r="BK501" i="6"/>
  <c r="BJ501" i="6"/>
  <c r="BI501" i="6"/>
  <c r="BH501" i="6"/>
  <c r="BG501" i="6"/>
  <c r="BF501" i="6"/>
  <c r="BE501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AO501" i="6"/>
  <c r="AN501" i="6"/>
  <c r="AM501" i="6"/>
  <c r="AL501" i="6"/>
  <c r="AK501" i="6"/>
  <c r="AJ501" i="6"/>
  <c r="AI501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B501" i="6"/>
  <c r="A501" i="6"/>
  <c r="DE500" i="6"/>
  <c r="DD500" i="6"/>
  <c r="DC500" i="6"/>
  <c r="DB500" i="6"/>
  <c r="DA500" i="6"/>
  <c r="CZ500" i="6"/>
  <c r="CY500" i="6"/>
  <c r="CX500" i="6"/>
  <c r="CV500" i="6"/>
  <c r="CU500" i="6"/>
  <c r="CT500" i="6"/>
  <c r="CS500" i="6"/>
  <c r="CR500" i="6"/>
  <c r="CQ500" i="6"/>
  <c r="CP500" i="6"/>
  <c r="CO500" i="6"/>
  <c r="CN500" i="6"/>
  <c r="CM500" i="6"/>
  <c r="CL500" i="6"/>
  <c r="CK500" i="6"/>
  <c r="CJ500" i="6"/>
  <c r="CI500" i="6"/>
  <c r="CH500" i="6"/>
  <c r="CG500" i="6"/>
  <c r="CF500" i="6"/>
  <c r="CE500" i="6"/>
  <c r="CD500" i="6"/>
  <c r="CC500" i="6"/>
  <c r="CB500" i="6"/>
  <c r="CA500" i="6"/>
  <c r="BZ500" i="6"/>
  <c r="BY500" i="6"/>
  <c r="BX500" i="6"/>
  <c r="BW500" i="6"/>
  <c r="BV500" i="6"/>
  <c r="BU500" i="6"/>
  <c r="BT500" i="6"/>
  <c r="BS500" i="6"/>
  <c r="BR500" i="6"/>
  <c r="BQ500" i="6"/>
  <c r="BP500" i="6"/>
  <c r="BO500" i="6"/>
  <c r="BN500" i="6"/>
  <c r="BM500" i="6"/>
  <c r="BL500" i="6"/>
  <c r="BK500" i="6"/>
  <c r="BJ500" i="6"/>
  <c r="BI500" i="6"/>
  <c r="BH500" i="6"/>
  <c r="BG500" i="6"/>
  <c r="BF500" i="6"/>
  <c r="BE500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AP500" i="6"/>
  <c r="AO500" i="6"/>
  <c r="AN500" i="6"/>
  <c r="AM500" i="6"/>
  <c r="AL500" i="6"/>
  <c r="AK500" i="6"/>
  <c r="AJ500" i="6"/>
  <c r="AI500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500" i="6"/>
  <c r="DE499" i="6"/>
  <c r="DD499" i="6"/>
  <c r="DC499" i="6"/>
  <c r="DB499" i="6"/>
  <c r="DA499" i="6"/>
  <c r="CZ499" i="6"/>
  <c r="CY499" i="6"/>
  <c r="CX499" i="6"/>
  <c r="CV499" i="6"/>
  <c r="CU499" i="6"/>
  <c r="CT499" i="6"/>
  <c r="CS499" i="6"/>
  <c r="CR499" i="6"/>
  <c r="CQ499" i="6"/>
  <c r="CP499" i="6"/>
  <c r="CO499" i="6"/>
  <c r="CN499" i="6"/>
  <c r="CM499" i="6"/>
  <c r="CL499" i="6"/>
  <c r="CK499" i="6"/>
  <c r="CJ499" i="6"/>
  <c r="CI499" i="6"/>
  <c r="CH499" i="6"/>
  <c r="CG499" i="6"/>
  <c r="CF499" i="6"/>
  <c r="CE499" i="6"/>
  <c r="CD499" i="6"/>
  <c r="CC499" i="6"/>
  <c r="CB499" i="6"/>
  <c r="CA499" i="6"/>
  <c r="BZ499" i="6"/>
  <c r="BY499" i="6"/>
  <c r="BX499" i="6"/>
  <c r="BW499" i="6"/>
  <c r="BV499" i="6"/>
  <c r="BU499" i="6"/>
  <c r="BT499" i="6"/>
  <c r="BS499" i="6"/>
  <c r="BR499" i="6"/>
  <c r="BQ499" i="6"/>
  <c r="BP499" i="6"/>
  <c r="BO499" i="6"/>
  <c r="BN499" i="6"/>
  <c r="BM499" i="6"/>
  <c r="BL499" i="6"/>
  <c r="BK499" i="6"/>
  <c r="BJ499" i="6"/>
  <c r="BI499" i="6"/>
  <c r="BH499" i="6"/>
  <c r="BG499" i="6"/>
  <c r="BF499" i="6"/>
  <c r="BE499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AQ499" i="6"/>
  <c r="AP499" i="6"/>
  <c r="AO499" i="6"/>
  <c r="AN499" i="6"/>
  <c r="AM499" i="6"/>
  <c r="AL499" i="6"/>
  <c r="AK499" i="6"/>
  <c r="AJ499" i="6"/>
  <c r="AI499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499" i="6"/>
  <c r="DE498" i="6"/>
  <c r="DD498" i="6"/>
  <c r="DC498" i="6"/>
  <c r="DB498" i="6"/>
  <c r="DA498" i="6"/>
  <c r="CZ498" i="6"/>
  <c r="CY498" i="6"/>
  <c r="CX498" i="6"/>
  <c r="CV498" i="6"/>
  <c r="CU498" i="6"/>
  <c r="CT498" i="6"/>
  <c r="CS498" i="6"/>
  <c r="CR498" i="6"/>
  <c r="CQ498" i="6"/>
  <c r="CP498" i="6"/>
  <c r="CO498" i="6"/>
  <c r="CN498" i="6"/>
  <c r="CM498" i="6"/>
  <c r="CL498" i="6"/>
  <c r="CK498" i="6"/>
  <c r="CJ498" i="6"/>
  <c r="CI498" i="6"/>
  <c r="CH498" i="6"/>
  <c r="CG498" i="6"/>
  <c r="CF498" i="6"/>
  <c r="CE498" i="6"/>
  <c r="CD498" i="6"/>
  <c r="CC498" i="6"/>
  <c r="CB498" i="6"/>
  <c r="CA498" i="6"/>
  <c r="BZ498" i="6"/>
  <c r="BY498" i="6"/>
  <c r="BX498" i="6"/>
  <c r="BW498" i="6"/>
  <c r="BV498" i="6"/>
  <c r="BU498" i="6"/>
  <c r="BT498" i="6"/>
  <c r="BS498" i="6"/>
  <c r="BR498" i="6"/>
  <c r="BQ498" i="6"/>
  <c r="BP498" i="6"/>
  <c r="BO498" i="6"/>
  <c r="BN498" i="6"/>
  <c r="BM498" i="6"/>
  <c r="BL498" i="6"/>
  <c r="BK498" i="6"/>
  <c r="BJ498" i="6"/>
  <c r="BI498" i="6"/>
  <c r="BH498" i="6"/>
  <c r="BG498" i="6"/>
  <c r="BF498" i="6"/>
  <c r="BE498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AR498" i="6"/>
  <c r="AQ498" i="6"/>
  <c r="AP498" i="6"/>
  <c r="AO498" i="6"/>
  <c r="AN498" i="6"/>
  <c r="AM498" i="6"/>
  <c r="AL498" i="6"/>
  <c r="AK498" i="6"/>
  <c r="AJ498" i="6"/>
  <c r="AI498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498" i="6"/>
  <c r="DE497" i="6"/>
  <c r="DD497" i="6"/>
  <c r="DC497" i="6"/>
  <c r="DB497" i="6"/>
  <c r="DA497" i="6"/>
  <c r="CZ497" i="6"/>
  <c r="CY497" i="6"/>
  <c r="CX497" i="6"/>
  <c r="CV497" i="6"/>
  <c r="CU497" i="6"/>
  <c r="CT497" i="6"/>
  <c r="CS497" i="6"/>
  <c r="CR497" i="6"/>
  <c r="CQ497" i="6"/>
  <c r="CP497" i="6"/>
  <c r="CO497" i="6"/>
  <c r="CN497" i="6"/>
  <c r="CM497" i="6"/>
  <c r="CL497" i="6"/>
  <c r="CK497" i="6"/>
  <c r="CJ497" i="6"/>
  <c r="CI497" i="6"/>
  <c r="CH497" i="6"/>
  <c r="CG497" i="6"/>
  <c r="CF497" i="6"/>
  <c r="CE497" i="6"/>
  <c r="CD497" i="6"/>
  <c r="CC497" i="6"/>
  <c r="CB497" i="6"/>
  <c r="CA497" i="6"/>
  <c r="BZ497" i="6"/>
  <c r="BY497" i="6"/>
  <c r="BX497" i="6"/>
  <c r="BW497" i="6"/>
  <c r="BV497" i="6"/>
  <c r="BU497" i="6"/>
  <c r="BT497" i="6"/>
  <c r="BS497" i="6"/>
  <c r="BR497" i="6"/>
  <c r="BQ497" i="6"/>
  <c r="BP497" i="6"/>
  <c r="BO497" i="6"/>
  <c r="BN497" i="6"/>
  <c r="BM497" i="6"/>
  <c r="BL497" i="6"/>
  <c r="BK497" i="6"/>
  <c r="BJ497" i="6"/>
  <c r="BI497" i="6"/>
  <c r="BH497" i="6"/>
  <c r="BG497" i="6"/>
  <c r="BF497" i="6"/>
  <c r="BE497" i="6"/>
  <c r="BD497" i="6"/>
  <c r="BC497" i="6"/>
  <c r="BB497" i="6"/>
  <c r="BA497" i="6"/>
  <c r="AZ497" i="6"/>
  <c r="AY497" i="6"/>
  <c r="AX497" i="6"/>
  <c r="AW497" i="6"/>
  <c r="AV497" i="6"/>
  <c r="AU497" i="6"/>
  <c r="AT497" i="6"/>
  <c r="AS497" i="6"/>
  <c r="AR497" i="6"/>
  <c r="AQ497" i="6"/>
  <c r="AP497" i="6"/>
  <c r="AO497" i="6"/>
  <c r="AN497" i="6"/>
  <c r="AM497" i="6"/>
  <c r="AL497" i="6"/>
  <c r="AK497" i="6"/>
  <c r="AJ497" i="6"/>
  <c r="AI497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497" i="6"/>
  <c r="DE496" i="6"/>
  <c r="DD496" i="6"/>
  <c r="DC496" i="6"/>
  <c r="DB496" i="6"/>
  <c r="DA496" i="6"/>
  <c r="CZ496" i="6"/>
  <c r="CY496" i="6"/>
  <c r="CX496" i="6"/>
  <c r="CV496" i="6"/>
  <c r="CU496" i="6"/>
  <c r="CT496" i="6"/>
  <c r="CS496" i="6"/>
  <c r="CR496" i="6"/>
  <c r="CQ496" i="6"/>
  <c r="CP496" i="6"/>
  <c r="CO496" i="6"/>
  <c r="CN496" i="6"/>
  <c r="CM496" i="6"/>
  <c r="CL496" i="6"/>
  <c r="CK496" i="6"/>
  <c r="CJ496" i="6"/>
  <c r="CI496" i="6"/>
  <c r="CH496" i="6"/>
  <c r="CG496" i="6"/>
  <c r="CF496" i="6"/>
  <c r="CE496" i="6"/>
  <c r="CD496" i="6"/>
  <c r="CC496" i="6"/>
  <c r="CB496" i="6"/>
  <c r="CA496" i="6"/>
  <c r="BZ496" i="6"/>
  <c r="BY496" i="6"/>
  <c r="BX496" i="6"/>
  <c r="BW496" i="6"/>
  <c r="BV496" i="6"/>
  <c r="BU496" i="6"/>
  <c r="BT496" i="6"/>
  <c r="BS496" i="6"/>
  <c r="BR496" i="6"/>
  <c r="BQ496" i="6"/>
  <c r="BP496" i="6"/>
  <c r="BO496" i="6"/>
  <c r="BN496" i="6"/>
  <c r="BM496" i="6"/>
  <c r="BL496" i="6"/>
  <c r="BK496" i="6"/>
  <c r="BJ496" i="6"/>
  <c r="BI496" i="6"/>
  <c r="BH496" i="6"/>
  <c r="BG496" i="6"/>
  <c r="BF496" i="6"/>
  <c r="BE496" i="6"/>
  <c r="BD496" i="6"/>
  <c r="BC496" i="6"/>
  <c r="BB496" i="6"/>
  <c r="BA496" i="6"/>
  <c r="AZ496" i="6"/>
  <c r="AY496" i="6"/>
  <c r="AX496" i="6"/>
  <c r="AW496" i="6"/>
  <c r="AV496" i="6"/>
  <c r="AU496" i="6"/>
  <c r="AT496" i="6"/>
  <c r="AS496" i="6"/>
  <c r="AR496" i="6"/>
  <c r="AQ496" i="6"/>
  <c r="AP496" i="6"/>
  <c r="AO496" i="6"/>
  <c r="AN496" i="6"/>
  <c r="AM496" i="6"/>
  <c r="AL496" i="6"/>
  <c r="AK496" i="6"/>
  <c r="AJ496" i="6"/>
  <c r="AI496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496" i="6"/>
  <c r="DE495" i="6"/>
  <c r="DD495" i="6"/>
  <c r="DC495" i="6"/>
  <c r="DB495" i="6"/>
  <c r="DA495" i="6"/>
  <c r="CZ495" i="6"/>
  <c r="CY495" i="6"/>
  <c r="CX495" i="6"/>
  <c r="CV495" i="6"/>
  <c r="CU495" i="6"/>
  <c r="CT495" i="6"/>
  <c r="CS495" i="6"/>
  <c r="CR495" i="6"/>
  <c r="CQ495" i="6"/>
  <c r="CP495" i="6"/>
  <c r="CO495" i="6"/>
  <c r="CN495" i="6"/>
  <c r="CM495" i="6"/>
  <c r="CL495" i="6"/>
  <c r="CK495" i="6"/>
  <c r="CJ495" i="6"/>
  <c r="CI495" i="6"/>
  <c r="CH495" i="6"/>
  <c r="CG495" i="6"/>
  <c r="CF495" i="6"/>
  <c r="CE495" i="6"/>
  <c r="CD495" i="6"/>
  <c r="CC495" i="6"/>
  <c r="CB495" i="6"/>
  <c r="CA495" i="6"/>
  <c r="BZ495" i="6"/>
  <c r="BY495" i="6"/>
  <c r="BX495" i="6"/>
  <c r="BW495" i="6"/>
  <c r="BV495" i="6"/>
  <c r="BU495" i="6"/>
  <c r="BT495" i="6"/>
  <c r="BS495" i="6"/>
  <c r="BR495" i="6"/>
  <c r="BQ495" i="6"/>
  <c r="BP495" i="6"/>
  <c r="BO495" i="6"/>
  <c r="BN495" i="6"/>
  <c r="BM495" i="6"/>
  <c r="BL495" i="6"/>
  <c r="BK495" i="6"/>
  <c r="BJ495" i="6"/>
  <c r="BI495" i="6"/>
  <c r="BH495" i="6"/>
  <c r="BG495" i="6"/>
  <c r="BF495" i="6"/>
  <c r="BE495" i="6"/>
  <c r="BD495" i="6"/>
  <c r="BC495" i="6"/>
  <c r="BB495" i="6"/>
  <c r="BA495" i="6"/>
  <c r="AZ495" i="6"/>
  <c r="AY495" i="6"/>
  <c r="AX495" i="6"/>
  <c r="AW495" i="6"/>
  <c r="AV495" i="6"/>
  <c r="AU495" i="6"/>
  <c r="AT495" i="6"/>
  <c r="AS495" i="6"/>
  <c r="AR495" i="6"/>
  <c r="AQ495" i="6"/>
  <c r="AP495" i="6"/>
  <c r="AO495" i="6"/>
  <c r="AN495" i="6"/>
  <c r="AM495" i="6"/>
  <c r="AL495" i="6"/>
  <c r="AK495" i="6"/>
  <c r="AJ495" i="6"/>
  <c r="AI495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495" i="6"/>
  <c r="DE494" i="6"/>
  <c r="DD494" i="6"/>
  <c r="DC494" i="6"/>
  <c r="DB494" i="6"/>
  <c r="DA494" i="6"/>
  <c r="CZ494" i="6"/>
  <c r="CY494" i="6"/>
  <c r="CX494" i="6"/>
  <c r="CV494" i="6"/>
  <c r="CU494" i="6"/>
  <c r="CT494" i="6"/>
  <c r="CS494" i="6"/>
  <c r="CR494" i="6"/>
  <c r="CQ494" i="6"/>
  <c r="CP494" i="6"/>
  <c r="CO494" i="6"/>
  <c r="CN494" i="6"/>
  <c r="CM494" i="6"/>
  <c r="CL494" i="6"/>
  <c r="CK494" i="6"/>
  <c r="CJ494" i="6"/>
  <c r="CI494" i="6"/>
  <c r="CH494" i="6"/>
  <c r="CG494" i="6"/>
  <c r="CF494" i="6"/>
  <c r="CE494" i="6"/>
  <c r="CD494" i="6"/>
  <c r="CC494" i="6"/>
  <c r="CB494" i="6"/>
  <c r="CA494" i="6"/>
  <c r="BZ494" i="6"/>
  <c r="BY494" i="6"/>
  <c r="BX494" i="6"/>
  <c r="BW494" i="6"/>
  <c r="BV494" i="6"/>
  <c r="BU494" i="6"/>
  <c r="BT494" i="6"/>
  <c r="BS494" i="6"/>
  <c r="BR494" i="6"/>
  <c r="BQ494" i="6"/>
  <c r="BP494" i="6"/>
  <c r="BO494" i="6"/>
  <c r="BN494" i="6"/>
  <c r="BM494" i="6"/>
  <c r="BL494" i="6"/>
  <c r="BK494" i="6"/>
  <c r="BJ494" i="6"/>
  <c r="BI494" i="6"/>
  <c r="BH494" i="6"/>
  <c r="BG494" i="6"/>
  <c r="BF494" i="6"/>
  <c r="BE494" i="6"/>
  <c r="BD494" i="6"/>
  <c r="BC494" i="6"/>
  <c r="BB494" i="6"/>
  <c r="BA494" i="6"/>
  <c r="AZ494" i="6"/>
  <c r="AY494" i="6"/>
  <c r="AX494" i="6"/>
  <c r="AW494" i="6"/>
  <c r="AV494" i="6"/>
  <c r="AU494" i="6"/>
  <c r="AT494" i="6"/>
  <c r="AS494" i="6"/>
  <c r="AR494" i="6"/>
  <c r="AQ494" i="6"/>
  <c r="AP494" i="6"/>
  <c r="AO494" i="6"/>
  <c r="AN494" i="6"/>
  <c r="AM494" i="6"/>
  <c r="AL494" i="6"/>
  <c r="AK494" i="6"/>
  <c r="AJ494" i="6"/>
  <c r="AI494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494" i="6"/>
  <c r="DE493" i="6"/>
  <c r="DD493" i="6"/>
  <c r="DC493" i="6"/>
  <c r="DB493" i="6"/>
  <c r="DA493" i="6"/>
  <c r="CZ493" i="6"/>
  <c r="CY493" i="6"/>
  <c r="CX493" i="6"/>
  <c r="CV493" i="6"/>
  <c r="CU493" i="6"/>
  <c r="CT493" i="6"/>
  <c r="CS493" i="6"/>
  <c r="CR493" i="6"/>
  <c r="CQ493" i="6"/>
  <c r="CP493" i="6"/>
  <c r="CO493" i="6"/>
  <c r="CN493" i="6"/>
  <c r="CM493" i="6"/>
  <c r="CL493" i="6"/>
  <c r="CK493" i="6"/>
  <c r="CJ493" i="6"/>
  <c r="CI493" i="6"/>
  <c r="CH493" i="6"/>
  <c r="CG493" i="6"/>
  <c r="CF493" i="6"/>
  <c r="CE493" i="6"/>
  <c r="CD493" i="6"/>
  <c r="CC493" i="6"/>
  <c r="CB493" i="6"/>
  <c r="CA493" i="6"/>
  <c r="BZ493" i="6"/>
  <c r="BY493" i="6"/>
  <c r="BX493" i="6"/>
  <c r="BW493" i="6"/>
  <c r="BV493" i="6"/>
  <c r="BU493" i="6"/>
  <c r="BT493" i="6"/>
  <c r="BS493" i="6"/>
  <c r="BR493" i="6"/>
  <c r="BQ493" i="6"/>
  <c r="BP493" i="6"/>
  <c r="BO493" i="6"/>
  <c r="BN493" i="6"/>
  <c r="BM493" i="6"/>
  <c r="BL493" i="6"/>
  <c r="BK493" i="6"/>
  <c r="BJ493" i="6"/>
  <c r="BI493" i="6"/>
  <c r="BH493" i="6"/>
  <c r="BG493" i="6"/>
  <c r="BF493" i="6"/>
  <c r="BE493" i="6"/>
  <c r="BD493" i="6"/>
  <c r="BC493" i="6"/>
  <c r="BB493" i="6"/>
  <c r="BA493" i="6"/>
  <c r="AZ493" i="6"/>
  <c r="AY493" i="6"/>
  <c r="AX493" i="6"/>
  <c r="AW493" i="6"/>
  <c r="AV493" i="6"/>
  <c r="AU493" i="6"/>
  <c r="AT493" i="6"/>
  <c r="AS493" i="6"/>
  <c r="AR493" i="6"/>
  <c r="AQ493" i="6"/>
  <c r="AP493" i="6"/>
  <c r="AO493" i="6"/>
  <c r="AN493" i="6"/>
  <c r="AM493" i="6"/>
  <c r="AL493" i="6"/>
  <c r="AK493" i="6"/>
  <c r="AJ493" i="6"/>
  <c r="AI493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493" i="6"/>
  <c r="DE492" i="6"/>
  <c r="DD492" i="6"/>
  <c r="DC492" i="6"/>
  <c r="DB492" i="6"/>
  <c r="DA492" i="6"/>
  <c r="CZ492" i="6"/>
  <c r="CY492" i="6"/>
  <c r="CX492" i="6"/>
  <c r="CV492" i="6"/>
  <c r="CU492" i="6"/>
  <c r="CT492" i="6"/>
  <c r="CS492" i="6"/>
  <c r="CR492" i="6"/>
  <c r="CQ492" i="6"/>
  <c r="CP492" i="6"/>
  <c r="CO492" i="6"/>
  <c r="CN492" i="6"/>
  <c r="CM492" i="6"/>
  <c r="CL492" i="6"/>
  <c r="CK492" i="6"/>
  <c r="CJ492" i="6"/>
  <c r="CI492" i="6"/>
  <c r="CH492" i="6"/>
  <c r="CG492" i="6"/>
  <c r="CF492" i="6"/>
  <c r="CE492" i="6"/>
  <c r="CD492" i="6"/>
  <c r="CC492" i="6"/>
  <c r="CB492" i="6"/>
  <c r="CA492" i="6"/>
  <c r="BZ492" i="6"/>
  <c r="BY492" i="6"/>
  <c r="BX492" i="6"/>
  <c r="BW492" i="6"/>
  <c r="BV492" i="6"/>
  <c r="BU492" i="6"/>
  <c r="BT492" i="6"/>
  <c r="BS492" i="6"/>
  <c r="BR492" i="6"/>
  <c r="BQ492" i="6"/>
  <c r="BP492" i="6"/>
  <c r="BO492" i="6"/>
  <c r="BN492" i="6"/>
  <c r="BM492" i="6"/>
  <c r="BL492" i="6"/>
  <c r="BK492" i="6"/>
  <c r="BJ492" i="6"/>
  <c r="BI492" i="6"/>
  <c r="BH492" i="6"/>
  <c r="BG492" i="6"/>
  <c r="BF492" i="6"/>
  <c r="BE492" i="6"/>
  <c r="BD492" i="6"/>
  <c r="BC492" i="6"/>
  <c r="BB492" i="6"/>
  <c r="BA492" i="6"/>
  <c r="AZ492" i="6"/>
  <c r="AY492" i="6"/>
  <c r="AX492" i="6"/>
  <c r="AW492" i="6"/>
  <c r="AV492" i="6"/>
  <c r="AU492" i="6"/>
  <c r="AT492" i="6"/>
  <c r="AS492" i="6"/>
  <c r="AR492" i="6"/>
  <c r="AQ492" i="6"/>
  <c r="AP492" i="6"/>
  <c r="AO492" i="6"/>
  <c r="AN492" i="6"/>
  <c r="AM492" i="6"/>
  <c r="AL492" i="6"/>
  <c r="AK492" i="6"/>
  <c r="AJ492" i="6"/>
  <c r="AI492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492" i="6"/>
  <c r="DE491" i="6"/>
  <c r="DD491" i="6"/>
  <c r="DC491" i="6"/>
  <c r="DB491" i="6"/>
  <c r="DA491" i="6"/>
  <c r="CZ491" i="6"/>
  <c r="CY491" i="6"/>
  <c r="CX491" i="6"/>
  <c r="CV491" i="6"/>
  <c r="CU491" i="6"/>
  <c r="CT491" i="6"/>
  <c r="CS491" i="6"/>
  <c r="CR491" i="6"/>
  <c r="CQ491" i="6"/>
  <c r="CP491" i="6"/>
  <c r="CO491" i="6"/>
  <c r="CN491" i="6"/>
  <c r="CM491" i="6"/>
  <c r="CL491" i="6"/>
  <c r="CK491" i="6"/>
  <c r="CJ491" i="6"/>
  <c r="CI491" i="6"/>
  <c r="CH491" i="6"/>
  <c r="CG491" i="6"/>
  <c r="CF491" i="6"/>
  <c r="CE491" i="6"/>
  <c r="CD491" i="6"/>
  <c r="CC491" i="6"/>
  <c r="CB491" i="6"/>
  <c r="CA491" i="6"/>
  <c r="BZ491" i="6"/>
  <c r="BY491" i="6"/>
  <c r="BX491" i="6"/>
  <c r="BW491" i="6"/>
  <c r="BV491" i="6"/>
  <c r="BU491" i="6"/>
  <c r="BT491" i="6"/>
  <c r="BS491" i="6"/>
  <c r="BR491" i="6"/>
  <c r="BQ491" i="6"/>
  <c r="BP491" i="6"/>
  <c r="BO491" i="6"/>
  <c r="BN491" i="6"/>
  <c r="BM491" i="6"/>
  <c r="BL491" i="6"/>
  <c r="BK491" i="6"/>
  <c r="BJ491" i="6"/>
  <c r="BI491" i="6"/>
  <c r="BH491" i="6"/>
  <c r="BG491" i="6"/>
  <c r="BF491" i="6"/>
  <c r="BE491" i="6"/>
  <c r="BD491" i="6"/>
  <c r="BC491" i="6"/>
  <c r="BB491" i="6"/>
  <c r="BA491" i="6"/>
  <c r="AZ491" i="6"/>
  <c r="AY491" i="6"/>
  <c r="AX491" i="6"/>
  <c r="AW491" i="6"/>
  <c r="AV491" i="6"/>
  <c r="AU491" i="6"/>
  <c r="AT491" i="6"/>
  <c r="AS491" i="6"/>
  <c r="AR491" i="6"/>
  <c r="AQ491" i="6"/>
  <c r="AP491" i="6"/>
  <c r="AO491" i="6"/>
  <c r="AN491" i="6"/>
  <c r="AM491" i="6"/>
  <c r="AL491" i="6"/>
  <c r="AK491" i="6"/>
  <c r="AJ491" i="6"/>
  <c r="AI491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491" i="6"/>
  <c r="DE490" i="6"/>
  <c r="DD490" i="6"/>
  <c r="DC490" i="6"/>
  <c r="DB490" i="6"/>
  <c r="DA490" i="6"/>
  <c r="CZ490" i="6"/>
  <c r="CY490" i="6"/>
  <c r="CX490" i="6"/>
  <c r="CV490" i="6"/>
  <c r="CU490" i="6"/>
  <c r="CT490" i="6"/>
  <c r="CS490" i="6"/>
  <c r="CR490" i="6"/>
  <c r="CQ490" i="6"/>
  <c r="CP490" i="6"/>
  <c r="CO490" i="6"/>
  <c r="CN490" i="6"/>
  <c r="CM490" i="6"/>
  <c r="CL490" i="6"/>
  <c r="CK490" i="6"/>
  <c r="CJ490" i="6"/>
  <c r="CI490" i="6"/>
  <c r="CH490" i="6"/>
  <c r="CG490" i="6"/>
  <c r="CF490" i="6"/>
  <c r="CE490" i="6"/>
  <c r="CD490" i="6"/>
  <c r="CC490" i="6"/>
  <c r="CB490" i="6"/>
  <c r="CA490" i="6"/>
  <c r="BZ490" i="6"/>
  <c r="BY490" i="6"/>
  <c r="BX490" i="6"/>
  <c r="BW490" i="6"/>
  <c r="BV490" i="6"/>
  <c r="BU490" i="6"/>
  <c r="BT490" i="6"/>
  <c r="BS490" i="6"/>
  <c r="BR490" i="6"/>
  <c r="BQ490" i="6"/>
  <c r="BP490" i="6"/>
  <c r="BO490" i="6"/>
  <c r="BN490" i="6"/>
  <c r="BM490" i="6"/>
  <c r="BL490" i="6"/>
  <c r="BK490" i="6"/>
  <c r="BJ490" i="6"/>
  <c r="BI490" i="6"/>
  <c r="BH490" i="6"/>
  <c r="BG490" i="6"/>
  <c r="BF490" i="6"/>
  <c r="BE490" i="6"/>
  <c r="BD490" i="6"/>
  <c r="BC490" i="6"/>
  <c r="BB490" i="6"/>
  <c r="BA490" i="6"/>
  <c r="AZ490" i="6"/>
  <c r="AY490" i="6"/>
  <c r="AX490" i="6"/>
  <c r="AW490" i="6"/>
  <c r="AV490" i="6"/>
  <c r="AU490" i="6"/>
  <c r="AT490" i="6"/>
  <c r="AS490" i="6"/>
  <c r="AR490" i="6"/>
  <c r="AQ490" i="6"/>
  <c r="AP490" i="6"/>
  <c r="AO490" i="6"/>
  <c r="AN490" i="6"/>
  <c r="AM490" i="6"/>
  <c r="AL490" i="6"/>
  <c r="AK490" i="6"/>
  <c r="AJ490" i="6"/>
  <c r="AI490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490" i="6"/>
  <c r="DE489" i="6"/>
  <c r="DD489" i="6"/>
  <c r="DC489" i="6"/>
  <c r="DB489" i="6"/>
  <c r="DA489" i="6"/>
  <c r="CZ489" i="6"/>
  <c r="CY489" i="6"/>
  <c r="CX489" i="6"/>
  <c r="CV489" i="6"/>
  <c r="CU489" i="6"/>
  <c r="CT489" i="6"/>
  <c r="CS489" i="6"/>
  <c r="CR489" i="6"/>
  <c r="CQ489" i="6"/>
  <c r="CP489" i="6"/>
  <c r="CO489" i="6"/>
  <c r="CN489" i="6"/>
  <c r="CM489" i="6"/>
  <c r="CL489" i="6"/>
  <c r="CK489" i="6"/>
  <c r="CJ489" i="6"/>
  <c r="CI489" i="6"/>
  <c r="CH489" i="6"/>
  <c r="CG489" i="6"/>
  <c r="CF489" i="6"/>
  <c r="CE489" i="6"/>
  <c r="CD489" i="6"/>
  <c r="CC489" i="6"/>
  <c r="CB489" i="6"/>
  <c r="CA489" i="6"/>
  <c r="BZ489" i="6"/>
  <c r="BY489" i="6"/>
  <c r="BX489" i="6"/>
  <c r="BW489" i="6"/>
  <c r="BV489" i="6"/>
  <c r="BU489" i="6"/>
  <c r="BT489" i="6"/>
  <c r="BS489" i="6"/>
  <c r="BR489" i="6"/>
  <c r="BQ489" i="6"/>
  <c r="BP489" i="6"/>
  <c r="BO489" i="6"/>
  <c r="BN489" i="6"/>
  <c r="BM489" i="6"/>
  <c r="BL489" i="6"/>
  <c r="BK489" i="6"/>
  <c r="BJ489" i="6"/>
  <c r="BI489" i="6"/>
  <c r="BH489" i="6"/>
  <c r="BG489" i="6"/>
  <c r="BF489" i="6"/>
  <c r="BE489" i="6"/>
  <c r="BD489" i="6"/>
  <c r="BC489" i="6"/>
  <c r="BB489" i="6"/>
  <c r="BA489" i="6"/>
  <c r="AZ489" i="6"/>
  <c r="AY489" i="6"/>
  <c r="AX489" i="6"/>
  <c r="AW489" i="6"/>
  <c r="AV489" i="6"/>
  <c r="AU489" i="6"/>
  <c r="AT489" i="6"/>
  <c r="AS489" i="6"/>
  <c r="AR489" i="6"/>
  <c r="AQ489" i="6"/>
  <c r="AP489" i="6"/>
  <c r="AO489" i="6"/>
  <c r="AN489" i="6"/>
  <c r="AM489" i="6"/>
  <c r="AL489" i="6"/>
  <c r="AK489" i="6"/>
  <c r="AJ489" i="6"/>
  <c r="AI489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489" i="6"/>
  <c r="DE488" i="6"/>
  <c r="DD488" i="6"/>
  <c r="DC488" i="6"/>
  <c r="DB488" i="6"/>
  <c r="DA488" i="6"/>
  <c r="CZ488" i="6"/>
  <c r="CY488" i="6"/>
  <c r="CX488" i="6"/>
  <c r="CV488" i="6"/>
  <c r="CU488" i="6"/>
  <c r="CT488" i="6"/>
  <c r="CS488" i="6"/>
  <c r="CR488" i="6"/>
  <c r="CQ488" i="6"/>
  <c r="CP488" i="6"/>
  <c r="CO488" i="6"/>
  <c r="CN488" i="6"/>
  <c r="CM488" i="6"/>
  <c r="CL488" i="6"/>
  <c r="CK488" i="6"/>
  <c r="CJ488" i="6"/>
  <c r="CI488" i="6"/>
  <c r="CH488" i="6"/>
  <c r="CG488" i="6"/>
  <c r="CF488" i="6"/>
  <c r="CE488" i="6"/>
  <c r="CD488" i="6"/>
  <c r="CC488" i="6"/>
  <c r="CB488" i="6"/>
  <c r="CA488" i="6"/>
  <c r="BZ488" i="6"/>
  <c r="BY488" i="6"/>
  <c r="BX488" i="6"/>
  <c r="BW488" i="6"/>
  <c r="BV488" i="6"/>
  <c r="BU488" i="6"/>
  <c r="BT488" i="6"/>
  <c r="BS488" i="6"/>
  <c r="BR488" i="6"/>
  <c r="BQ488" i="6"/>
  <c r="BP488" i="6"/>
  <c r="BO488" i="6"/>
  <c r="BN488" i="6"/>
  <c r="BM488" i="6"/>
  <c r="BL488" i="6"/>
  <c r="BK488" i="6"/>
  <c r="BJ488" i="6"/>
  <c r="BI488" i="6"/>
  <c r="BH488" i="6"/>
  <c r="BG488" i="6"/>
  <c r="BF488" i="6"/>
  <c r="BE488" i="6"/>
  <c r="BD488" i="6"/>
  <c r="BC488" i="6"/>
  <c r="BB488" i="6"/>
  <c r="BA488" i="6"/>
  <c r="AZ488" i="6"/>
  <c r="AY488" i="6"/>
  <c r="AX488" i="6"/>
  <c r="AW488" i="6"/>
  <c r="AV488" i="6"/>
  <c r="AU488" i="6"/>
  <c r="AT488" i="6"/>
  <c r="AS488" i="6"/>
  <c r="AR488" i="6"/>
  <c r="AQ488" i="6"/>
  <c r="AP488" i="6"/>
  <c r="AO488" i="6"/>
  <c r="AN488" i="6"/>
  <c r="AM488" i="6"/>
  <c r="AL488" i="6"/>
  <c r="AK488" i="6"/>
  <c r="AJ488" i="6"/>
  <c r="AI488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488" i="6"/>
  <c r="DE487" i="6"/>
  <c r="DD487" i="6"/>
  <c r="DC487" i="6"/>
  <c r="DB487" i="6"/>
  <c r="DA487" i="6"/>
  <c r="CZ487" i="6"/>
  <c r="CY487" i="6"/>
  <c r="CX487" i="6"/>
  <c r="CV487" i="6"/>
  <c r="CU487" i="6"/>
  <c r="CT487" i="6"/>
  <c r="CS487" i="6"/>
  <c r="CR487" i="6"/>
  <c r="CQ487" i="6"/>
  <c r="CP487" i="6"/>
  <c r="CO487" i="6"/>
  <c r="CN487" i="6"/>
  <c r="CM487" i="6"/>
  <c r="CL487" i="6"/>
  <c r="CK487" i="6"/>
  <c r="CJ487" i="6"/>
  <c r="CI487" i="6"/>
  <c r="CH487" i="6"/>
  <c r="CG487" i="6"/>
  <c r="CF487" i="6"/>
  <c r="CE487" i="6"/>
  <c r="CD487" i="6"/>
  <c r="CC487" i="6"/>
  <c r="CB487" i="6"/>
  <c r="CA487" i="6"/>
  <c r="BZ487" i="6"/>
  <c r="BY487" i="6"/>
  <c r="BX487" i="6"/>
  <c r="BW487" i="6"/>
  <c r="BV487" i="6"/>
  <c r="BU487" i="6"/>
  <c r="BT487" i="6"/>
  <c r="BS487" i="6"/>
  <c r="BR487" i="6"/>
  <c r="BQ487" i="6"/>
  <c r="BP487" i="6"/>
  <c r="BO487" i="6"/>
  <c r="BN487" i="6"/>
  <c r="BM487" i="6"/>
  <c r="BL487" i="6"/>
  <c r="BK487" i="6"/>
  <c r="BJ487" i="6"/>
  <c r="BI487" i="6"/>
  <c r="BH487" i="6"/>
  <c r="BG487" i="6"/>
  <c r="BF487" i="6"/>
  <c r="BE487" i="6"/>
  <c r="BD487" i="6"/>
  <c r="BC487" i="6"/>
  <c r="BB487" i="6"/>
  <c r="BA487" i="6"/>
  <c r="AZ487" i="6"/>
  <c r="AY487" i="6"/>
  <c r="AX487" i="6"/>
  <c r="AW487" i="6"/>
  <c r="AV487" i="6"/>
  <c r="AU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487" i="6"/>
  <c r="DE486" i="6"/>
  <c r="DD486" i="6"/>
  <c r="DC486" i="6"/>
  <c r="DB486" i="6"/>
  <c r="DA486" i="6"/>
  <c r="CZ486" i="6"/>
  <c r="CY486" i="6"/>
  <c r="CX486" i="6"/>
  <c r="CV486" i="6"/>
  <c r="CU486" i="6"/>
  <c r="CT486" i="6"/>
  <c r="CS486" i="6"/>
  <c r="CR486" i="6"/>
  <c r="CQ486" i="6"/>
  <c r="CP486" i="6"/>
  <c r="CO486" i="6"/>
  <c r="CN486" i="6"/>
  <c r="CM486" i="6"/>
  <c r="CL486" i="6"/>
  <c r="CK486" i="6"/>
  <c r="CJ486" i="6"/>
  <c r="CI486" i="6"/>
  <c r="CH486" i="6"/>
  <c r="CG486" i="6"/>
  <c r="CF486" i="6"/>
  <c r="CE486" i="6"/>
  <c r="CD486" i="6"/>
  <c r="CC486" i="6"/>
  <c r="CB486" i="6"/>
  <c r="CA486" i="6"/>
  <c r="BZ486" i="6"/>
  <c r="BY486" i="6"/>
  <c r="BX486" i="6"/>
  <c r="BW486" i="6"/>
  <c r="BV486" i="6"/>
  <c r="BU486" i="6"/>
  <c r="BT486" i="6"/>
  <c r="BS486" i="6"/>
  <c r="BR486" i="6"/>
  <c r="BQ486" i="6"/>
  <c r="BP486" i="6"/>
  <c r="BO486" i="6"/>
  <c r="BN486" i="6"/>
  <c r="BM486" i="6"/>
  <c r="BL486" i="6"/>
  <c r="BK486" i="6"/>
  <c r="BJ486" i="6"/>
  <c r="BI486" i="6"/>
  <c r="BH486" i="6"/>
  <c r="BG486" i="6"/>
  <c r="BF486" i="6"/>
  <c r="BE486" i="6"/>
  <c r="BD486" i="6"/>
  <c r="BC486" i="6"/>
  <c r="BB486" i="6"/>
  <c r="BA486" i="6"/>
  <c r="AZ486" i="6"/>
  <c r="AY486" i="6"/>
  <c r="AX486" i="6"/>
  <c r="AW486" i="6"/>
  <c r="AV486" i="6"/>
  <c r="AU486" i="6"/>
  <c r="AT486" i="6"/>
  <c r="AS486" i="6"/>
  <c r="AR486" i="6"/>
  <c r="AQ486" i="6"/>
  <c r="AP486" i="6"/>
  <c r="AO486" i="6"/>
  <c r="AN486" i="6"/>
  <c r="AM486" i="6"/>
  <c r="AL486" i="6"/>
  <c r="AK486" i="6"/>
  <c r="AJ486" i="6"/>
  <c r="AI486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486" i="6"/>
  <c r="DE485" i="6"/>
  <c r="DD485" i="6"/>
  <c r="DC485" i="6"/>
  <c r="DB485" i="6"/>
  <c r="DA485" i="6"/>
  <c r="CZ485" i="6"/>
  <c r="CY485" i="6"/>
  <c r="CX485" i="6"/>
  <c r="CV485" i="6"/>
  <c r="CU485" i="6"/>
  <c r="CT485" i="6"/>
  <c r="CS485" i="6"/>
  <c r="CR485" i="6"/>
  <c r="CQ485" i="6"/>
  <c r="CP485" i="6"/>
  <c r="CO485" i="6"/>
  <c r="CN485" i="6"/>
  <c r="CM485" i="6"/>
  <c r="CL485" i="6"/>
  <c r="CK485" i="6"/>
  <c r="CJ485" i="6"/>
  <c r="CI485" i="6"/>
  <c r="CH485" i="6"/>
  <c r="CG485" i="6"/>
  <c r="CF485" i="6"/>
  <c r="CE485" i="6"/>
  <c r="CD485" i="6"/>
  <c r="CC485" i="6"/>
  <c r="CB485" i="6"/>
  <c r="CA485" i="6"/>
  <c r="BZ485" i="6"/>
  <c r="BY485" i="6"/>
  <c r="BX485" i="6"/>
  <c r="BW485" i="6"/>
  <c r="BV485" i="6"/>
  <c r="BU485" i="6"/>
  <c r="BT485" i="6"/>
  <c r="BS485" i="6"/>
  <c r="BR485" i="6"/>
  <c r="BQ485" i="6"/>
  <c r="BP485" i="6"/>
  <c r="BO485" i="6"/>
  <c r="BN485" i="6"/>
  <c r="BM485" i="6"/>
  <c r="BL485" i="6"/>
  <c r="BK485" i="6"/>
  <c r="BJ485" i="6"/>
  <c r="BI485" i="6"/>
  <c r="BH485" i="6"/>
  <c r="BG485" i="6"/>
  <c r="BF485" i="6"/>
  <c r="BE485" i="6"/>
  <c r="BD485" i="6"/>
  <c r="BC485" i="6"/>
  <c r="BB485" i="6"/>
  <c r="BA485" i="6"/>
  <c r="AZ485" i="6"/>
  <c r="AY485" i="6"/>
  <c r="AX485" i="6"/>
  <c r="AW485" i="6"/>
  <c r="AV485" i="6"/>
  <c r="AU485" i="6"/>
  <c r="AT485" i="6"/>
  <c r="AS485" i="6"/>
  <c r="AR485" i="6"/>
  <c r="AQ485" i="6"/>
  <c r="AP485" i="6"/>
  <c r="AO485" i="6"/>
  <c r="AN485" i="6"/>
  <c r="AM485" i="6"/>
  <c r="AL485" i="6"/>
  <c r="AK485" i="6"/>
  <c r="AJ485" i="6"/>
  <c r="AI485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485" i="6"/>
  <c r="DE484" i="6"/>
  <c r="DD484" i="6"/>
  <c r="DC484" i="6"/>
  <c r="DB484" i="6"/>
  <c r="DA484" i="6"/>
  <c r="CZ484" i="6"/>
  <c r="CY484" i="6"/>
  <c r="CX484" i="6"/>
  <c r="CV484" i="6"/>
  <c r="CU484" i="6"/>
  <c r="CT484" i="6"/>
  <c r="CS484" i="6"/>
  <c r="CR484" i="6"/>
  <c r="CQ484" i="6"/>
  <c r="CP484" i="6"/>
  <c r="CO484" i="6"/>
  <c r="CN484" i="6"/>
  <c r="CM484" i="6"/>
  <c r="CL484" i="6"/>
  <c r="CK484" i="6"/>
  <c r="CJ484" i="6"/>
  <c r="CI484" i="6"/>
  <c r="CH484" i="6"/>
  <c r="CG484" i="6"/>
  <c r="CF484" i="6"/>
  <c r="CE484" i="6"/>
  <c r="CD484" i="6"/>
  <c r="CC484" i="6"/>
  <c r="CB484" i="6"/>
  <c r="CA484" i="6"/>
  <c r="BZ484" i="6"/>
  <c r="BY484" i="6"/>
  <c r="BX484" i="6"/>
  <c r="BW484" i="6"/>
  <c r="BV484" i="6"/>
  <c r="BU484" i="6"/>
  <c r="BT484" i="6"/>
  <c r="BS484" i="6"/>
  <c r="BR484" i="6"/>
  <c r="BQ484" i="6"/>
  <c r="BP484" i="6"/>
  <c r="BO484" i="6"/>
  <c r="BN484" i="6"/>
  <c r="BM484" i="6"/>
  <c r="BL484" i="6"/>
  <c r="BK484" i="6"/>
  <c r="BJ484" i="6"/>
  <c r="BI484" i="6"/>
  <c r="BH484" i="6"/>
  <c r="BG484" i="6"/>
  <c r="BF484" i="6"/>
  <c r="BE484" i="6"/>
  <c r="BD484" i="6"/>
  <c r="BC484" i="6"/>
  <c r="BB484" i="6"/>
  <c r="BA484" i="6"/>
  <c r="AZ484" i="6"/>
  <c r="AY484" i="6"/>
  <c r="AX484" i="6"/>
  <c r="AW484" i="6"/>
  <c r="AV484" i="6"/>
  <c r="AU484" i="6"/>
  <c r="AT484" i="6"/>
  <c r="AS484" i="6"/>
  <c r="AR484" i="6"/>
  <c r="AQ484" i="6"/>
  <c r="AP484" i="6"/>
  <c r="AO484" i="6"/>
  <c r="AN484" i="6"/>
  <c r="AM484" i="6"/>
  <c r="AL484" i="6"/>
  <c r="AK484" i="6"/>
  <c r="AJ484" i="6"/>
  <c r="AI484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484" i="6"/>
  <c r="DE483" i="6"/>
  <c r="DD483" i="6"/>
  <c r="DC483" i="6"/>
  <c r="DB483" i="6"/>
  <c r="DA483" i="6"/>
  <c r="CZ483" i="6"/>
  <c r="CY483" i="6"/>
  <c r="CX483" i="6"/>
  <c r="CV483" i="6"/>
  <c r="CU483" i="6"/>
  <c r="CT483" i="6"/>
  <c r="CS483" i="6"/>
  <c r="CR483" i="6"/>
  <c r="CQ483" i="6"/>
  <c r="CP483" i="6"/>
  <c r="CO483" i="6"/>
  <c r="CN483" i="6"/>
  <c r="CM483" i="6"/>
  <c r="CL483" i="6"/>
  <c r="CK483" i="6"/>
  <c r="CJ483" i="6"/>
  <c r="CI483" i="6"/>
  <c r="CH483" i="6"/>
  <c r="CG483" i="6"/>
  <c r="CF483" i="6"/>
  <c r="CE483" i="6"/>
  <c r="CD483" i="6"/>
  <c r="CC483" i="6"/>
  <c r="CB483" i="6"/>
  <c r="CA483" i="6"/>
  <c r="BZ483" i="6"/>
  <c r="BY483" i="6"/>
  <c r="BX483" i="6"/>
  <c r="BW483" i="6"/>
  <c r="BV483" i="6"/>
  <c r="BU483" i="6"/>
  <c r="BT483" i="6"/>
  <c r="BS483" i="6"/>
  <c r="BR483" i="6"/>
  <c r="BQ483" i="6"/>
  <c r="BP483" i="6"/>
  <c r="BO483" i="6"/>
  <c r="BN483" i="6"/>
  <c r="BM483" i="6"/>
  <c r="BL483" i="6"/>
  <c r="BK483" i="6"/>
  <c r="BJ483" i="6"/>
  <c r="BI483" i="6"/>
  <c r="BH483" i="6"/>
  <c r="BG483" i="6"/>
  <c r="BF483" i="6"/>
  <c r="BE483" i="6"/>
  <c r="BD483" i="6"/>
  <c r="BC483" i="6"/>
  <c r="BB483" i="6"/>
  <c r="BA483" i="6"/>
  <c r="AZ483" i="6"/>
  <c r="AY483" i="6"/>
  <c r="AX483" i="6"/>
  <c r="AW483" i="6"/>
  <c r="AV483" i="6"/>
  <c r="AU483" i="6"/>
  <c r="AT483" i="6"/>
  <c r="AS483" i="6"/>
  <c r="AR483" i="6"/>
  <c r="AQ483" i="6"/>
  <c r="AP483" i="6"/>
  <c r="AO483" i="6"/>
  <c r="AN483" i="6"/>
  <c r="AM483" i="6"/>
  <c r="AL483" i="6"/>
  <c r="AK483" i="6"/>
  <c r="AJ483" i="6"/>
  <c r="AI483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483" i="6"/>
  <c r="DE482" i="6"/>
  <c r="DD482" i="6"/>
  <c r="DC482" i="6"/>
  <c r="DB482" i="6"/>
  <c r="DA482" i="6"/>
  <c r="CZ482" i="6"/>
  <c r="CY482" i="6"/>
  <c r="CX482" i="6"/>
  <c r="CV482" i="6"/>
  <c r="CU482" i="6"/>
  <c r="CT482" i="6"/>
  <c r="CS482" i="6"/>
  <c r="CR482" i="6"/>
  <c r="CQ482" i="6"/>
  <c r="CP482" i="6"/>
  <c r="CO482" i="6"/>
  <c r="CN482" i="6"/>
  <c r="CM482" i="6"/>
  <c r="CL482" i="6"/>
  <c r="CK482" i="6"/>
  <c r="CJ482" i="6"/>
  <c r="CI482" i="6"/>
  <c r="CH482" i="6"/>
  <c r="CG482" i="6"/>
  <c r="CF482" i="6"/>
  <c r="CE482" i="6"/>
  <c r="CD482" i="6"/>
  <c r="CC482" i="6"/>
  <c r="CB482" i="6"/>
  <c r="CA482" i="6"/>
  <c r="BZ482" i="6"/>
  <c r="BY482" i="6"/>
  <c r="BX482" i="6"/>
  <c r="BW482" i="6"/>
  <c r="BV482" i="6"/>
  <c r="BU482" i="6"/>
  <c r="BT482" i="6"/>
  <c r="BS482" i="6"/>
  <c r="BR482" i="6"/>
  <c r="BQ482" i="6"/>
  <c r="BP482" i="6"/>
  <c r="BO482" i="6"/>
  <c r="BN482" i="6"/>
  <c r="BM482" i="6"/>
  <c r="BL482" i="6"/>
  <c r="BK482" i="6"/>
  <c r="BJ482" i="6"/>
  <c r="BI482" i="6"/>
  <c r="BH482" i="6"/>
  <c r="BG482" i="6"/>
  <c r="BF482" i="6"/>
  <c r="BE482" i="6"/>
  <c r="BD482" i="6"/>
  <c r="BC482" i="6"/>
  <c r="BB482" i="6"/>
  <c r="BA482" i="6"/>
  <c r="AZ482" i="6"/>
  <c r="AY482" i="6"/>
  <c r="AX482" i="6"/>
  <c r="AW482" i="6"/>
  <c r="AV482" i="6"/>
  <c r="AU482" i="6"/>
  <c r="AT482" i="6"/>
  <c r="AS482" i="6"/>
  <c r="AR482" i="6"/>
  <c r="AQ482" i="6"/>
  <c r="AP482" i="6"/>
  <c r="AO482" i="6"/>
  <c r="AN482" i="6"/>
  <c r="AM482" i="6"/>
  <c r="AL482" i="6"/>
  <c r="AK482" i="6"/>
  <c r="AJ482" i="6"/>
  <c r="AI482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482" i="6"/>
  <c r="DE481" i="6"/>
  <c r="DD481" i="6"/>
  <c r="DC481" i="6"/>
  <c r="DB481" i="6"/>
  <c r="DA481" i="6"/>
  <c r="CZ481" i="6"/>
  <c r="CY481" i="6"/>
  <c r="CX481" i="6"/>
  <c r="CV481" i="6"/>
  <c r="CU481" i="6"/>
  <c r="CT481" i="6"/>
  <c r="CS481" i="6"/>
  <c r="CR481" i="6"/>
  <c r="CQ481" i="6"/>
  <c r="CP481" i="6"/>
  <c r="CO481" i="6"/>
  <c r="CN481" i="6"/>
  <c r="CM481" i="6"/>
  <c r="CL481" i="6"/>
  <c r="CK481" i="6"/>
  <c r="CJ481" i="6"/>
  <c r="CI481" i="6"/>
  <c r="CH481" i="6"/>
  <c r="CG481" i="6"/>
  <c r="CF481" i="6"/>
  <c r="CE481" i="6"/>
  <c r="CD481" i="6"/>
  <c r="CC481" i="6"/>
  <c r="CB481" i="6"/>
  <c r="CA481" i="6"/>
  <c r="BZ481" i="6"/>
  <c r="BY481" i="6"/>
  <c r="BX481" i="6"/>
  <c r="BW481" i="6"/>
  <c r="BV481" i="6"/>
  <c r="BU481" i="6"/>
  <c r="BT481" i="6"/>
  <c r="BS481" i="6"/>
  <c r="BR481" i="6"/>
  <c r="BQ481" i="6"/>
  <c r="BP481" i="6"/>
  <c r="BO481" i="6"/>
  <c r="BN481" i="6"/>
  <c r="BM481" i="6"/>
  <c r="BL481" i="6"/>
  <c r="BK481" i="6"/>
  <c r="BJ481" i="6"/>
  <c r="BI481" i="6"/>
  <c r="BH481" i="6"/>
  <c r="BG481" i="6"/>
  <c r="BF481" i="6"/>
  <c r="BE481" i="6"/>
  <c r="BD481" i="6"/>
  <c r="BC481" i="6"/>
  <c r="BB481" i="6"/>
  <c r="BA481" i="6"/>
  <c r="AZ481" i="6"/>
  <c r="AY481" i="6"/>
  <c r="AX481" i="6"/>
  <c r="AW481" i="6"/>
  <c r="AV481" i="6"/>
  <c r="AU481" i="6"/>
  <c r="AT481" i="6"/>
  <c r="AS481" i="6"/>
  <c r="AR481" i="6"/>
  <c r="AQ481" i="6"/>
  <c r="AP481" i="6"/>
  <c r="AO481" i="6"/>
  <c r="AN481" i="6"/>
  <c r="AM481" i="6"/>
  <c r="AL481" i="6"/>
  <c r="AK481" i="6"/>
  <c r="AJ481" i="6"/>
  <c r="AI481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481" i="6"/>
  <c r="DE480" i="6"/>
  <c r="DD480" i="6"/>
  <c r="DC480" i="6"/>
  <c r="DB480" i="6"/>
  <c r="DA480" i="6"/>
  <c r="CZ480" i="6"/>
  <c r="CY480" i="6"/>
  <c r="CX480" i="6"/>
  <c r="CV480" i="6"/>
  <c r="CU480" i="6"/>
  <c r="CT480" i="6"/>
  <c r="CS480" i="6"/>
  <c r="CR480" i="6"/>
  <c r="CQ480" i="6"/>
  <c r="CP480" i="6"/>
  <c r="CO480" i="6"/>
  <c r="CN480" i="6"/>
  <c r="CM480" i="6"/>
  <c r="CL480" i="6"/>
  <c r="CK480" i="6"/>
  <c r="CJ480" i="6"/>
  <c r="CI480" i="6"/>
  <c r="CH480" i="6"/>
  <c r="CG480" i="6"/>
  <c r="CF480" i="6"/>
  <c r="CE480" i="6"/>
  <c r="CD480" i="6"/>
  <c r="CC480" i="6"/>
  <c r="CB480" i="6"/>
  <c r="CA480" i="6"/>
  <c r="BZ480" i="6"/>
  <c r="BY480" i="6"/>
  <c r="BX480" i="6"/>
  <c r="BW480" i="6"/>
  <c r="BV480" i="6"/>
  <c r="BU480" i="6"/>
  <c r="BT480" i="6"/>
  <c r="BS480" i="6"/>
  <c r="BR480" i="6"/>
  <c r="BQ480" i="6"/>
  <c r="BP480" i="6"/>
  <c r="BO480" i="6"/>
  <c r="BN480" i="6"/>
  <c r="BM480" i="6"/>
  <c r="BL480" i="6"/>
  <c r="BK480" i="6"/>
  <c r="BJ480" i="6"/>
  <c r="BI480" i="6"/>
  <c r="BH480" i="6"/>
  <c r="BG480" i="6"/>
  <c r="BF480" i="6"/>
  <c r="BE480" i="6"/>
  <c r="BD480" i="6"/>
  <c r="BC480" i="6"/>
  <c r="BB480" i="6"/>
  <c r="BA480" i="6"/>
  <c r="AZ480" i="6"/>
  <c r="AY480" i="6"/>
  <c r="AX480" i="6"/>
  <c r="AW480" i="6"/>
  <c r="AV480" i="6"/>
  <c r="AU480" i="6"/>
  <c r="AT480" i="6"/>
  <c r="AS480" i="6"/>
  <c r="AR480" i="6"/>
  <c r="AQ480" i="6"/>
  <c r="AP480" i="6"/>
  <c r="AO480" i="6"/>
  <c r="AN480" i="6"/>
  <c r="AM480" i="6"/>
  <c r="AL480" i="6"/>
  <c r="AK480" i="6"/>
  <c r="AJ480" i="6"/>
  <c r="AI480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480" i="6"/>
  <c r="DE479" i="6"/>
  <c r="DD479" i="6"/>
  <c r="DC479" i="6"/>
  <c r="DB479" i="6"/>
  <c r="DA479" i="6"/>
  <c r="CZ479" i="6"/>
  <c r="CY479" i="6"/>
  <c r="CX479" i="6"/>
  <c r="CV479" i="6"/>
  <c r="CU479" i="6"/>
  <c r="CT479" i="6"/>
  <c r="CS479" i="6"/>
  <c r="CR479" i="6"/>
  <c r="CQ479" i="6"/>
  <c r="CP479" i="6"/>
  <c r="CO479" i="6"/>
  <c r="CN479" i="6"/>
  <c r="CM479" i="6"/>
  <c r="CL479" i="6"/>
  <c r="CK479" i="6"/>
  <c r="CJ479" i="6"/>
  <c r="CI479" i="6"/>
  <c r="CH479" i="6"/>
  <c r="CG479" i="6"/>
  <c r="CF479" i="6"/>
  <c r="CE479" i="6"/>
  <c r="CD479" i="6"/>
  <c r="CC479" i="6"/>
  <c r="CB479" i="6"/>
  <c r="CA479" i="6"/>
  <c r="BZ479" i="6"/>
  <c r="BY479" i="6"/>
  <c r="BX479" i="6"/>
  <c r="BW479" i="6"/>
  <c r="BV479" i="6"/>
  <c r="BU479" i="6"/>
  <c r="BT479" i="6"/>
  <c r="BS479" i="6"/>
  <c r="BR479" i="6"/>
  <c r="BQ479" i="6"/>
  <c r="BP479" i="6"/>
  <c r="BO479" i="6"/>
  <c r="BN479" i="6"/>
  <c r="BM479" i="6"/>
  <c r="BL479" i="6"/>
  <c r="BK479" i="6"/>
  <c r="BJ479" i="6"/>
  <c r="BI479" i="6"/>
  <c r="BH479" i="6"/>
  <c r="BG479" i="6"/>
  <c r="BF479" i="6"/>
  <c r="BE479" i="6"/>
  <c r="BD479" i="6"/>
  <c r="BC479" i="6"/>
  <c r="BB479" i="6"/>
  <c r="BA479" i="6"/>
  <c r="AZ479" i="6"/>
  <c r="AY479" i="6"/>
  <c r="AX479" i="6"/>
  <c r="AW479" i="6"/>
  <c r="AV479" i="6"/>
  <c r="AU479" i="6"/>
  <c r="AT479" i="6"/>
  <c r="AS479" i="6"/>
  <c r="AR479" i="6"/>
  <c r="AQ479" i="6"/>
  <c r="AP479" i="6"/>
  <c r="AO479" i="6"/>
  <c r="AN479" i="6"/>
  <c r="AM479" i="6"/>
  <c r="AL479" i="6"/>
  <c r="AK479" i="6"/>
  <c r="AJ479" i="6"/>
  <c r="AI479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479" i="6"/>
  <c r="DE478" i="6"/>
  <c r="DD478" i="6"/>
  <c r="DC478" i="6"/>
  <c r="DB478" i="6"/>
  <c r="DA478" i="6"/>
  <c r="CZ478" i="6"/>
  <c r="CY478" i="6"/>
  <c r="CX478" i="6"/>
  <c r="CV478" i="6"/>
  <c r="CU478" i="6"/>
  <c r="CT478" i="6"/>
  <c r="CS478" i="6"/>
  <c r="CR478" i="6"/>
  <c r="CQ478" i="6"/>
  <c r="CP478" i="6"/>
  <c r="CO478" i="6"/>
  <c r="CN478" i="6"/>
  <c r="CM478" i="6"/>
  <c r="CL478" i="6"/>
  <c r="CK478" i="6"/>
  <c r="CJ478" i="6"/>
  <c r="CI478" i="6"/>
  <c r="CH478" i="6"/>
  <c r="CG478" i="6"/>
  <c r="CF478" i="6"/>
  <c r="CE478" i="6"/>
  <c r="CD478" i="6"/>
  <c r="CC478" i="6"/>
  <c r="CB478" i="6"/>
  <c r="CA478" i="6"/>
  <c r="BZ478" i="6"/>
  <c r="BY478" i="6"/>
  <c r="BX478" i="6"/>
  <c r="BW478" i="6"/>
  <c r="BV478" i="6"/>
  <c r="BU478" i="6"/>
  <c r="BT478" i="6"/>
  <c r="BS478" i="6"/>
  <c r="BR478" i="6"/>
  <c r="BQ478" i="6"/>
  <c r="BP478" i="6"/>
  <c r="BO478" i="6"/>
  <c r="BN478" i="6"/>
  <c r="BM478" i="6"/>
  <c r="BL478" i="6"/>
  <c r="BK478" i="6"/>
  <c r="BJ478" i="6"/>
  <c r="BI478" i="6"/>
  <c r="BH478" i="6"/>
  <c r="BG478" i="6"/>
  <c r="BF478" i="6"/>
  <c r="BE478" i="6"/>
  <c r="BD478" i="6"/>
  <c r="BC478" i="6"/>
  <c r="BB478" i="6"/>
  <c r="BA478" i="6"/>
  <c r="AZ478" i="6"/>
  <c r="AY478" i="6"/>
  <c r="AX478" i="6"/>
  <c r="AW478" i="6"/>
  <c r="AV478" i="6"/>
  <c r="AU478" i="6"/>
  <c r="AT478" i="6"/>
  <c r="AS478" i="6"/>
  <c r="AR478" i="6"/>
  <c r="AQ478" i="6"/>
  <c r="AP478" i="6"/>
  <c r="AO478" i="6"/>
  <c r="AN478" i="6"/>
  <c r="AM478" i="6"/>
  <c r="AL478" i="6"/>
  <c r="AK478" i="6"/>
  <c r="AJ478" i="6"/>
  <c r="AI478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478" i="6"/>
  <c r="DE477" i="6"/>
  <c r="DD477" i="6"/>
  <c r="DC477" i="6"/>
  <c r="DB477" i="6"/>
  <c r="DA477" i="6"/>
  <c r="CZ477" i="6"/>
  <c r="CY477" i="6"/>
  <c r="CX477" i="6"/>
  <c r="CV477" i="6"/>
  <c r="CU477" i="6"/>
  <c r="CT477" i="6"/>
  <c r="CS477" i="6"/>
  <c r="CR477" i="6"/>
  <c r="CQ477" i="6"/>
  <c r="CP477" i="6"/>
  <c r="CO477" i="6"/>
  <c r="CN477" i="6"/>
  <c r="CM477" i="6"/>
  <c r="CL477" i="6"/>
  <c r="CK477" i="6"/>
  <c r="CJ477" i="6"/>
  <c r="CI477" i="6"/>
  <c r="CH477" i="6"/>
  <c r="CG477" i="6"/>
  <c r="CF477" i="6"/>
  <c r="CE477" i="6"/>
  <c r="CD477" i="6"/>
  <c r="CC477" i="6"/>
  <c r="CB477" i="6"/>
  <c r="CA477" i="6"/>
  <c r="BZ477" i="6"/>
  <c r="BY477" i="6"/>
  <c r="BX477" i="6"/>
  <c r="BW477" i="6"/>
  <c r="BV477" i="6"/>
  <c r="BU477" i="6"/>
  <c r="BT477" i="6"/>
  <c r="BS477" i="6"/>
  <c r="BR477" i="6"/>
  <c r="BQ477" i="6"/>
  <c r="BP477" i="6"/>
  <c r="BO477" i="6"/>
  <c r="BN477" i="6"/>
  <c r="BM477" i="6"/>
  <c r="BL477" i="6"/>
  <c r="BK477" i="6"/>
  <c r="BJ477" i="6"/>
  <c r="BI477" i="6"/>
  <c r="BH477" i="6"/>
  <c r="BG477" i="6"/>
  <c r="BF477" i="6"/>
  <c r="BE477" i="6"/>
  <c r="BD477" i="6"/>
  <c r="BC477" i="6"/>
  <c r="BB477" i="6"/>
  <c r="BA477" i="6"/>
  <c r="AZ477" i="6"/>
  <c r="AY477" i="6"/>
  <c r="AX477" i="6"/>
  <c r="AW477" i="6"/>
  <c r="AV477" i="6"/>
  <c r="AU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477" i="6"/>
  <c r="DE476" i="6"/>
  <c r="DD476" i="6"/>
  <c r="DC476" i="6"/>
  <c r="DB476" i="6"/>
  <c r="DA476" i="6"/>
  <c r="CZ476" i="6"/>
  <c r="CY476" i="6"/>
  <c r="CX476" i="6"/>
  <c r="CV476" i="6"/>
  <c r="CU476" i="6"/>
  <c r="CT476" i="6"/>
  <c r="CS476" i="6"/>
  <c r="CR476" i="6"/>
  <c r="CQ476" i="6"/>
  <c r="CP476" i="6"/>
  <c r="CO476" i="6"/>
  <c r="CN476" i="6"/>
  <c r="CM476" i="6"/>
  <c r="CL476" i="6"/>
  <c r="CK476" i="6"/>
  <c r="CJ476" i="6"/>
  <c r="CI476" i="6"/>
  <c r="CH476" i="6"/>
  <c r="CG476" i="6"/>
  <c r="CF476" i="6"/>
  <c r="CE476" i="6"/>
  <c r="CD476" i="6"/>
  <c r="CC476" i="6"/>
  <c r="CB476" i="6"/>
  <c r="CA476" i="6"/>
  <c r="BZ476" i="6"/>
  <c r="BY476" i="6"/>
  <c r="BX476" i="6"/>
  <c r="BW476" i="6"/>
  <c r="BV476" i="6"/>
  <c r="BU476" i="6"/>
  <c r="BT476" i="6"/>
  <c r="BS476" i="6"/>
  <c r="BR476" i="6"/>
  <c r="BQ476" i="6"/>
  <c r="BP476" i="6"/>
  <c r="BO476" i="6"/>
  <c r="BN476" i="6"/>
  <c r="BM476" i="6"/>
  <c r="BL476" i="6"/>
  <c r="BK476" i="6"/>
  <c r="BJ476" i="6"/>
  <c r="BI476" i="6"/>
  <c r="BH476" i="6"/>
  <c r="BG476" i="6"/>
  <c r="BF476" i="6"/>
  <c r="BE476" i="6"/>
  <c r="BD476" i="6"/>
  <c r="BC476" i="6"/>
  <c r="BB476" i="6"/>
  <c r="BA476" i="6"/>
  <c r="AZ476" i="6"/>
  <c r="AY476" i="6"/>
  <c r="AX476" i="6"/>
  <c r="AW476" i="6"/>
  <c r="AV476" i="6"/>
  <c r="AU476" i="6"/>
  <c r="AT476" i="6"/>
  <c r="AS476" i="6"/>
  <c r="AR476" i="6"/>
  <c r="AQ476" i="6"/>
  <c r="AP476" i="6"/>
  <c r="AO476" i="6"/>
  <c r="AN476" i="6"/>
  <c r="AM476" i="6"/>
  <c r="AL476" i="6"/>
  <c r="AK476" i="6"/>
  <c r="AJ476" i="6"/>
  <c r="AI476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476" i="6"/>
  <c r="DE475" i="6"/>
  <c r="DD475" i="6"/>
  <c r="DC475" i="6"/>
  <c r="DB475" i="6"/>
  <c r="DA475" i="6"/>
  <c r="CZ475" i="6"/>
  <c r="CY475" i="6"/>
  <c r="CX475" i="6"/>
  <c r="CV475" i="6"/>
  <c r="CU475" i="6"/>
  <c r="CT475" i="6"/>
  <c r="CS475" i="6"/>
  <c r="CR475" i="6"/>
  <c r="CQ475" i="6"/>
  <c r="CP475" i="6"/>
  <c r="CO475" i="6"/>
  <c r="CN475" i="6"/>
  <c r="CM475" i="6"/>
  <c r="CL475" i="6"/>
  <c r="CK475" i="6"/>
  <c r="CJ475" i="6"/>
  <c r="CI475" i="6"/>
  <c r="CH475" i="6"/>
  <c r="CG475" i="6"/>
  <c r="CF475" i="6"/>
  <c r="CE475" i="6"/>
  <c r="CD475" i="6"/>
  <c r="CC475" i="6"/>
  <c r="CB475" i="6"/>
  <c r="CA475" i="6"/>
  <c r="BZ475" i="6"/>
  <c r="BY475" i="6"/>
  <c r="BX475" i="6"/>
  <c r="BW475" i="6"/>
  <c r="BV475" i="6"/>
  <c r="BU475" i="6"/>
  <c r="BT475" i="6"/>
  <c r="BS475" i="6"/>
  <c r="BR475" i="6"/>
  <c r="BQ475" i="6"/>
  <c r="BP475" i="6"/>
  <c r="BO475" i="6"/>
  <c r="BN475" i="6"/>
  <c r="BM475" i="6"/>
  <c r="BL475" i="6"/>
  <c r="BK475" i="6"/>
  <c r="BJ475" i="6"/>
  <c r="BI475" i="6"/>
  <c r="BH475" i="6"/>
  <c r="BG475" i="6"/>
  <c r="BF475" i="6"/>
  <c r="BE475" i="6"/>
  <c r="BD475" i="6"/>
  <c r="BC475" i="6"/>
  <c r="BB475" i="6"/>
  <c r="BA475" i="6"/>
  <c r="AZ475" i="6"/>
  <c r="AY475" i="6"/>
  <c r="AX475" i="6"/>
  <c r="AW475" i="6"/>
  <c r="AV475" i="6"/>
  <c r="AU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475" i="6"/>
  <c r="DE474" i="6"/>
  <c r="DD474" i="6"/>
  <c r="DC474" i="6"/>
  <c r="DB474" i="6"/>
  <c r="DA474" i="6"/>
  <c r="CZ474" i="6"/>
  <c r="CY474" i="6"/>
  <c r="CX474" i="6"/>
  <c r="CV474" i="6"/>
  <c r="CU474" i="6"/>
  <c r="CT474" i="6"/>
  <c r="CS474" i="6"/>
  <c r="CR474" i="6"/>
  <c r="CQ474" i="6"/>
  <c r="CP474" i="6"/>
  <c r="CO474" i="6"/>
  <c r="CN474" i="6"/>
  <c r="CM474" i="6"/>
  <c r="CL474" i="6"/>
  <c r="CK474" i="6"/>
  <c r="CJ474" i="6"/>
  <c r="CI474" i="6"/>
  <c r="CH474" i="6"/>
  <c r="CG474" i="6"/>
  <c r="CF474" i="6"/>
  <c r="CE474" i="6"/>
  <c r="CD474" i="6"/>
  <c r="CC474" i="6"/>
  <c r="CB474" i="6"/>
  <c r="CA474" i="6"/>
  <c r="BZ474" i="6"/>
  <c r="BY474" i="6"/>
  <c r="BX474" i="6"/>
  <c r="BW474" i="6"/>
  <c r="BV474" i="6"/>
  <c r="BU474" i="6"/>
  <c r="BT474" i="6"/>
  <c r="BS474" i="6"/>
  <c r="BR474" i="6"/>
  <c r="BQ474" i="6"/>
  <c r="BP474" i="6"/>
  <c r="BO474" i="6"/>
  <c r="BN474" i="6"/>
  <c r="BM474" i="6"/>
  <c r="BL474" i="6"/>
  <c r="BK474" i="6"/>
  <c r="BJ474" i="6"/>
  <c r="BI474" i="6"/>
  <c r="BH474" i="6"/>
  <c r="BG474" i="6"/>
  <c r="BF474" i="6"/>
  <c r="BE474" i="6"/>
  <c r="BD474" i="6"/>
  <c r="BC474" i="6"/>
  <c r="BB474" i="6"/>
  <c r="BA474" i="6"/>
  <c r="AZ474" i="6"/>
  <c r="AY474" i="6"/>
  <c r="AX474" i="6"/>
  <c r="AW474" i="6"/>
  <c r="AV474" i="6"/>
  <c r="AU474" i="6"/>
  <c r="AT474" i="6"/>
  <c r="AS474" i="6"/>
  <c r="AR474" i="6"/>
  <c r="AQ474" i="6"/>
  <c r="AP474" i="6"/>
  <c r="AO474" i="6"/>
  <c r="AN474" i="6"/>
  <c r="AM474" i="6"/>
  <c r="AL474" i="6"/>
  <c r="AK474" i="6"/>
  <c r="AJ474" i="6"/>
  <c r="AI474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474" i="6"/>
  <c r="DE473" i="6"/>
  <c r="DD473" i="6"/>
  <c r="DC473" i="6"/>
  <c r="DB473" i="6"/>
  <c r="DA473" i="6"/>
  <c r="CZ473" i="6"/>
  <c r="CY473" i="6"/>
  <c r="CX473" i="6"/>
  <c r="CV473" i="6"/>
  <c r="CU473" i="6"/>
  <c r="CT473" i="6"/>
  <c r="CS473" i="6"/>
  <c r="CR473" i="6"/>
  <c r="CQ473" i="6"/>
  <c r="CP473" i="6"/>
  <c r="CO473" i="6"/>
  <c r="CN473" i="6"/>
  <c r="CM473" i="6"/>
  <c r="CL473" i="6"/>
  <c r="CK473" i="6"/>
  <c r="CJ473" i="6"/>
  <c r="CI473" i="6"/>
  <c r="CH473" i="6"/>
  <c r="CG473" i="6"/>
  <c r="CF473" i="6"/>
  <c r="CE473" i="6"/>
  <c r="CD473" i="6"/>
  <c r="CC473" i="6"/>
  <c r="CB473" i="6"/>
  <c r="CA473" i="6"/>
  <c r="BZ473" i="6"/>
  <c r="BY473" i="6"/>
  <c r="BX473" i="6"/>
  <c r="BW473" i="6"/>
  <c r="BV473" i="6"/>
  <c r="BU473" i="6"/>
  <c r="BT473" i="6"/>
  <c r="BS473" i="6"/>
  <c r="BR473" i="6"/>
  <c r="BQ473" i="6"/>
  <c r="BP473" i="6"/>
  <c r="BO473" i="6"/>
  <c r="BN473" i="6"/>
  <c r="BM473" i="6"/>
  <c r="BL473" i="6"/>
  <c r="BK473" i="6"/>
  <c r="BJ473" i="6"/>
  <c r="BI473" i="6"/>
  <c r="BH473" i="6"/>
  <c r="BG473" i="6"/>
  <c r="BF473" i="6"/>
  <c r="BE473" i="6"/>
  <c r="BD473" i="6"/>
  <c r="BC473" i="6"/>
  <c r="BB473" i="6"/>
  <c r="BA473" i="6"/>
  <c r="AZ473" i="6"/>
  <c r="AY473" i="6"/>
  <c r="AX473" i="6"/>
  <c r="AW473" i="6"/>
  <c r="AV473" i="6"/>
  <c r="AU473" i="6"/>
  <c r="AT473" i="6"/>
  <c r="AS473" i="6"/>
  <c r="AR473" i="6"/>
  <c r="AQ473" i="6"/>
  <c r="AP473" i="6"/>
  <c r="AO473" i="6"/>
  <c r="AN473" i="6"/>
  <c r="AM473" i="6"/>
  <c r="AL473" i="6"/>
  <c r="AK473" i="6"/>
  <c r="AJ473" i="6"/>
  <c r="AI473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473" i="6"/>
  <c r="DE472" i="6"/>
  <c r="DD472" i="6"/>
  <c r="DC472" i="6"/>
  <c r="DB472" i="6"/>
  <c r="DA472" i="6"/>
  <c r="CZ472" i="6"/>
  <c r="CY472" i="6"/>
  <c r="CX472" i="6"/>
  <c r="CV472" i="6"/>
  <c r="CU472" i="6"/>
  <c r="CT472" i="6"/>
  <c r="CS472" i="6"/>
  <c r="CR472" i="6"/>
  <c r="CQ472" i="6"/>
  <c r="CP472" i="6"/>
  <c r="CO472" i="6"/>
  <c r="CN472" i="6"/>
  <c r="CM472" i="6"/>
  <c r="CL472" i="6"/>
  <c r="CK472" i="6"/>
  <c r="CJ472" i="6"/>
  <c r="CI472" i="6"/>
  <c r="CH472" i="6"/>
  <c r="CG472" i="6"/>
  <c r="CF472" i="6"/>
  <c r="CE472" i="6"/>
  <c r="CD472" i="6"/>
  <c r="CC472" i="6"/>
  <c r="CB472" i="6"/>
  <c r="CA472" i="6"/>
  <c r="BZ472" i="6"/>
  <c r="BY472" i="6"/>
  <c r="BX472" i="6"/>
  <c r="BW472" i="6"/>
  <c r="BV472" i="6"/>
  <c r="BU472" i="6"/>
  <c r="BT472" i="6"/>
  <c r="BS472" i="6"/>
  <c r="BR472" i="6"/>
  <c r="BQ472" i="6"/>
  <c r="BP472" i="6"/>
  <c r="BO472" i="6"/>
  <c r="BN472" i="6"/>
  <c r="BM472" i="6"/>
  <c r="BL472" i="6"/>
  <c r="BK472" i="6"/>
  <c r="BJ472" i="6"/>
  <c r="BI472" i="6"/>
  <c r="BH472" i="6"/>
  <c r="BG472" i="6"/>
  <c r="BF472" i="6"/>
  <c r="BE472" i="6"/>
  <c r="BD472" i="6"/>
  <c r="BC472" i="6"/>
  <c r="BB472" i="6"/>
  <c r="BA472" i="6"/>
  <c r="AZ472" i="6"/>
  <c r="AY472" i="6"/>
  <c r="AX472" i="6"/>
  <c r="AW472" i="6"/>
  <c r="AV472" i="6"/>
  <c r="AU472" i="6"/>
  <c r="AT472" i="6"/>
  <c r="AS472" i="6"/>
  <c r="AR472" i="6"/>
  <c r="AQ472" i="6"/>
  <c r="AP472" i="6"/>
  <c r="AO472" i="6"/>
  <c r="AN472" i="6"/>
  <c r="AM472" i="6"/>
  <c r="AL472" i="6"/>
  <c r="AK472" i="6"/>
  <c r="AJ472" i="6"/>
  <c r="AI472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472" i="6"/>
  <c r="DE471" i="6"/>
  <c r="DD471" i="6"/>
  <c r="DC471" i="6"/>
  <c r="DB471" i="6"/>
  <c r="DA471" i="6"/>
  <c r="CZ471" i="6"/>
  <c r="CY471" i="6"/>
  <c r="CX471" i="6"/>
  <c r="CV471" i="6"/>
  <c r="CU471" i="6"/>
  <c r="CT471" i="6"/>
  <c r="CS471" i="6"/>
  <c r="CR471" i="6"/>
  <c r="CQ471" i="6"/>
  <c r="CP471" i="6"/>
  <c r="CO471" i="6"/>
  <c r="CN471" i="6"/>
  <c r="CM471" i="6"/>
  <c r="CL471" i="6"/>
  <c r="CK471" i="6"/>
  <c r="CJ471" i="6"/>
  <c r="CI471" i="6"/>
  <c r="CH471" i="6"/>
  <c r="CG471" i="6"/>
  <c r="CF471" i="6"/>
  <c r="CE471" i="6"/>
  <c r="CD471" i="6"/>
  <c r="CC471" i="6"/>
  <c r="CB471" i="6"/>
  <c r="CA471" i="6"/>
  <c r="BZ471" i="6"/>
  <c r="BY471" i="6"/>
  <c r="BX471" i="6"/>
  <c r="BW471" i="6"/>
  <c r="BV471" i="6"/>
  <c r="BU471" i="6"/>
  <c r="BT471" i="6"/>
  <c r="BS471" i="6"/>
  <c r="BR471" i="6"/>
  <c r="BQ471" i="6"/>
  <c r="BP471" i="6"/>
  <c r="BO471" i="6"/>
  <c r="BN471" i="6"/>
  <c r="BM471" i="6"/>
  <c r="BL471" i="6"/>
  <c r="BK471" i="6"/>
  <c r="BJ471" i="6"/>
  <c r="BI471" i="6"/>
  <c r="BH471" i="6"/>
  <c r="BG471" i="6"/>
  <c r="BF471" i="6"/>
  <c r="BE471" i="6"/>
  <c r="BD471" i="6"/>
  <c r="BC471" i="6"/>
  <c r="BB471" i="6"/>
  <c r="BA471" i="6"/>
  <c r="AZ471" i="6"/>
  <c r="AY471" i="6"/>
  <c r="AX471" i="6"/>
  <c r="AW471" i="6"/>
  <c r="AV471" i="6"/>
  <c r="AU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471" i="6"/>
  <c r="DE470" i="6"/>
  <c r="DD470" i="6"/>
  <c r="DC470" i="6"/>
  <c r="DB470" i="6"/>
  <c r="DA470" i="6"/>
  <c r="CZ470" i="6"/>
  <c r="CY470" i="6"/>
  <c r="CX470" i="6"/>
  <c r="CV470" i="6"/>
  <c r="CU470" i="6"/>
  <c r="CT470" i="6"/>
  <c r="CS470" i="6"/>
  <c r="CR470" i="6"/>
  <c r="CQ470" i="6"/>
  <c r="CP470" i="6"/>
  <c r="CO470" i="6"/>
  <c r="CN470" i="6"/>
  <c r="CM470" i="6"/>
  <c r="CL470" i="6"/>
  <c r="CK470" i="6"/>
  <c r="CJ470" i="6"/>
  <c r="CI470" i="6"/>
  <c r="CH470" i="6"/>
  <c r="CG470" i="6"/>
  <c r="CF470" i="6"/>
  <c r="CE470" i="6"/>
  <c r="CD470" i="6"/>
  <c r="CC470" i="6"/>
  <c r="CB470" i="6"/>
  <c r="CA470" i="6"/>
  <c r="BZ470" i="6"/>
  <c r="BY470" i="6"/>
  <c r="BX470" i="6"/>
  <c r="BW470" i="6"/>
  <c r="BV470" i="6"/>
  <c r="BU470" i="6"/>
  <c r="BT470" i="6"/>
  <c r="BS470" i="6"/>
  <c r="BR470" i="6"/>
  <c r="BQ470" i="6"/>
  <c r="BP470" i="6"/>
  <c r="BO470" i="6"/>
  <c r="BN470" i="6"/>
  <c r="BM470" i="6"/>
  <c r="BL470" i="6"/>
  <c r="BK470" i="6"/>
  <c r="BJ470" i="6"/>
  <c r="BI470" i="6"/>
  <c r="BH470" i="6"/>
  <c r="BG470" i="6"/>
  <c r="BF470" i="6"/>
  <c r="BE470" i="6"/>
  <c r="BD470" i="6"/>
  <c r="BC470" i="6"/>
  <c r="BB470" i="6"/>
  <c r="BA470" i="6"/>
  <c r="AZ470" i="6"/>
  <c r="AY470" i="6"/>
  <c r="AX470" i="6"/>
  <c r="AW470" i="6"/>
  <c r="AV470" i="6"/>
  <c r="AU470" i="6"/>
  <c r="AT470" i="6"/>
  <c r="AS470" i="6"/>
  <c r="AR470" i="6"/>
  <c r="AQ470" i="6"/>
  <c r="AP470" i="6"/>
  <c r="AO470" i="6"/>
  <c r="AN470" i="6"/>
  <c r="AM470" i="6"/>
  <c r="AL470" i="6"/>
  <c r="AK470" i="6"/>
  <c r="AJ470" i="6"/>
  <c r="AI470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470" i="6"/>
  <c r="DE469" i="6"/>
  <c r="DD469" i="6"/>
  <c r="DC469" i="6"/>
  <c r="DB469" i="6"/>
  <c r="DA469" i="6"/>
  <c r="CZ469" i="6"/>
  <c r="CY469" i="6"/>
  <c r="CX469" i="6"/>
  <c r="CV469" i="6"/>
  <c r="CU469" i="6"/>
  <c r="CT469" i="6"/>
  <c r="CS469" i="6"/>
  <c r="CR469" i="6"/>
  <c r="CQ469" i="6"/>
  <c r="CP469" i="6"/>
  <c r="CO469" i="6"/>
  <c r="CN469" i="6"/>
  <c r="CM469" i="6"/>
  <c r="CL469" i="6"/>
  <c r="CK469" i="6"/>
  <c r="CJ469" i="6"/>
  <c r="CI469" i="6"/>
  <c r="CH469" i="6"/>
  <c r="CG469" i="6"/>
  <c r="CF469" i="6"/>
  <c r="CE469" i="6"/>
  <c r="CD469" i="6"/>
  <c r="CC469" i="6"/>
  <c r="CB469" i="6"/>
  <c r="CA469" i="6"/>
  <c r="BZ469" i="6"/>
  <c r="BY469" i="6"/>
  <c r="BX469" i="6"/>
  <c r="BW469" i="6"/>
  <c r="BV469" i="6"/>
  <c r="BU469" i="6"/>
  <c r="BT469" i="6"/>
  <c r="BS469" i="6"/>
  <c r="BR469" i="6"/>
  <c r="BQ469" i="6"/>
  <c r="BP469" i="6"/>
  <c r="BO469" i="6"/>
  <c r="BN469" i="6"/>
  <c r="BM469" i="6"/>
  <c r="BL469" i="6"/>
  <c r="BK469" i="6"/>
  <c r="BJ469" i="6"/>
  <c r="BI469" i="6"/>
  <c r="BH469" i="6"/>
  <c r="BG469" i="6"/>
  <c r="BF469" i="6"/>
  <c r="BE469" i="6"/>
  <c r="BD469" i="6"/>
  <c r="BC469" i="6"/>
  <c r="BB469" i="6"/>
  <c r="BA469" i="6"/>
  <c r="AZ469" i="6"/>
  <c r="AY469" i="6"/>
  <c r="AX469" i="6"/>
  <c r="AW469" i="6"/>
  <c r="AV469" i="6"/>
  <c r="AU469" i="6"/>
  <c r="AT469" i="6"/>
  <c r="AS469" i="6"/>
  <c r="AR469" i="6"/>
  <c r="AQ469" i="6"/>
  <c r="AP469" i="6"/>
  <c r="AO469" i="6"/>
  <c r="AN469" i="6"/>
  <c r="AM469" i="6"/>
  <c r="AL469" i="6"/>
  <c r="AK469" i="6"/>
  <c r="AJ469" i="6"/>
  <c r="AI469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469" i="6"/>
  <c r="DE468" i="6"/>
  <c r="DD468" i="6"/>
  <c r="DC468" i="6"/>
  <c r="DB468" i="6"/>
  <c r="DA468" i="6"/>
  <c r="CZ468" i="6"/>
  <c r="CY468" i="6"/>
  <c r="CX468" i="6"/>
  <c r="CV468" i="6"/>
  <c r="CU468" i="6"/>
  <c r="CT468" i="6"/>
  <c r="CS468" i="6"/>
  <c r="CR468" i="6"/>
  <c r="CQ468" i="6"/>
  <c r="CP468" i="6"/>
  <c r="CO468" i="6"/>
  <c r="CN468" i="6"/>
  <c r="CM468" i="6"/>
  <c r="CL468" i="6"/>
  <c r="CK468" i="6"/>
  <c r="CJ468" i="6"/>
  <c r="CI468" i="6"/>
  <c r="CH468" i="6"/>
  <c r="CG468" i="6"/>
  <c r="CF468" i="6"/>
  <c r="CE468" i="6"/>
  <c r="CD468" i="6"/>
  <c r="CC468" i="6"/>
  <c r="CB468" i="6"/>
  <c r="CA468" i="6"/>
  <c r="BZ468" i="6"/>
  <c r="BY468" i="6"/>
  <c r="BX468" i="6"/>
  <c r="BW468" i="6"/>
  <c r="BV468" i="6"/>
  <c r="BU468" i="6"/>
  <c r="BT468" i="6"/>
  <c r="BS468" i="6"/>
  <c r="BR468" i="6"/>
  <c r="BQ468" i="6"/>
  <c r="BP468" i="6"/>
  <c r="BO468" i="6"/>
  <c r="BN468" i="6"/>
  <c r="BM468" i="6"/>
  <c r="BL468" i="6"/>
  <c r="BK468" i="6"/>
  <c r="BJ468" i="6"/>
  <c r="BI468" i="6"/>
  <c r="BH468" i="6"/>
  <c r="BG468" i="6"/>
  <c r="BF468" i="6"/>
  <c r="BE468" i="6"/>
  <c r="BD468" i="6"/>
  <c r="BC468" i="6"/>
  <c r="BB468" i="6"/>
  <c r="BA468" i="6"/>
  <c r="AZ468" i="6"/>
  <c r="AY468" i="6"/>
  <c r="AX468" i="6"/>
  <c r="AW468" i="6"/>
  <c r="AV468" i="6"/>
  <c r="AU468" i="6"/>
  <c r="AT468" i="6"/>
  <c r="AS468" i="6"/>
  <c r="AR468" i="6"/>
  <c r="AQ468" i="6"/>
  <c r="AP468" i="6"/>
  <c r="AO468" i="6"/>
  <c r="AN468" i="6"/>
  <c r="AM468" i="6"/>
  <c r="AL468" i="6"/>
  <c r="AK468" i="6"/>
  <c r="AJ468" i="6"/>
  <c r="AI468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468" i="6"/>
  <c r="DE467" i="6"/>
  <c r="DD467" i="6"/>
  <c r="DC467" i="6"/>
  <c r="DB467" i="6"/>
  <c r="DA467" i="6"/>
  <c r="CZ467" i="6"/>
  <c r="CY467" i="6"/>
  <c r="CX467" i="6"/>
  <c r="CV467" i="6"/>
  <c r="CU467" i="6"/>
  <c r="CT467" i="6"/>
  <c r="CS467" i="6"/>
  <c r="CR467" i="6"/>
  <c r="CQ467" i="6"/>
  <c r="CP467" i="6"/>
  <c r="CO467" i="6"/>
  <c r="CN467" i="6"/>
  <c r="CM467" i="6"/>
  <c r="CL467" i="6"/>
  <c r="CK467" i="6"/>
  <c r="CJ467" i="6"/>
  <c r="CI467" i="6"/>
  <c r="CH467" i="6"/>
  <c r="CG467" i="6"/>
  <c r="CF467" i="6"/>
  <c r="CE467" i="6"/>
  <c r="CD467" i="6"/>
  <c r="CC467" i="6"/>
  <c r="CB467" i="6"/>
  <c r="CA467" i="6"/>
  <c r="BZ467" i="6"/>
  <c r="BY467" i="6"/>
  <c r="BX467" i="6"/>
  <c r="BW467" i="6"/>
  <c r="BV467" i="6"/>
  <c r="BU467" i="6"/>
  <c r="BT467" i="6"/>
  <c r="BS467" i="6"/>
  <c r="BR467" i="6"/>
  <c r="BQ467" i="6"/>
  <c r="BP467" i="6"/>
  <c r="BO467" i="6"/>
  <c r="BN467" i="6"/>
  <c r="BM467" i="6"/>
  <c r="BL467" i="6"/>
  <c r="BK467" i="6"/>
  <c r="BJ467" i="6"/>
  <c r="BI467" i="6"/>
  <c r="BH467" i="6"/>
  <c r="BG467" i="6"/>
  <c r="BF467" i="6"/>
  <c r="BE467" i="6"/>
  <c r="BD467" i="6"/>
  <c r="BC467" i="6"/>
  <c r="BB467" i="6"/>
  <c r="BA467" i="6"/>
  <c r="AZ467" i="6"/>
  <c r="AY467" i="6"/>
  <c r="AX467" i="6"/>
  <c r="AW467" i="6"/>
  <c r="AV467" i="6"/>
  <c r="AU467" i="6"/>
  <c r="AT467" i="6"/>
  <c r="AS467" i="6"/>
  <c r="AR467" i="6"/>
  <c r="AQ467" i="6"/>
  <c r="AP467" i="6"/>
  <c r="AO467" i="6"/>
  <c r="AN467" i="6"/>
  <c r="AM467" i="6"/>
  <c r="AL467" i="6"/>
  <c r="AK467" i="6"/>
  <c r="AJ467" i="6"/>
  <c r="AI467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467" i="6"/>
  <c r="DE466" i="6"/>
  <c r="DD466" i="6"/>
  <c r="DC466" i="6"/>
  <c r="DB466" i="6"/>
  <c r="DA466" i="6"/>
  <c r="CZ466" i="6"/>
  <c r="CY466" i="6"/>
  <c r="CX466" i="6"/>
  <c r="CV466" i="6"/>
  <c r="CU466" i="6"/>
  <c r="CT466" i="6"/>
  <c r="CS466" i="6"/>
  <c r="CR466" i="6"/>
  <c r="CQ466" i="6"/>
  <c r="CP466" i="6"/>
  <c r="CO466" i="6"/>
  <c r="CN466" i="6"/>
  <c r="CM466" i="6"/>
  <c r="CL466" i="6"/>
  <c r="CK466" i="6"/>
  <c r="CJ466" i="6"/>
  <c r="CI466" i="6"/>
  <c r="CH466" i="6"/>
  <c r="CG466" i="6"/>
  <c r="CF466" i="6"/>
  <c r="CE466" i="6"/>
  <c r="CD466" i="6"/>
  <c r="CC466" i="6"/>
  <c r="CB466" i="6"/>
  <c r="CA466" i="6"/>
  <c r="BZ466" i="6"/>
  <c r="BY466" i="6"/>
  <c r="BX466" i="6"/>
  <c r="BW466" i="6"/>
  <c r="BV466" i="6"/>
  <c r="BU466" i="6"/>
  <c r="BT466" i="6"/>
  <c r="BS466" i="6"/>
  <c r="BR466" i="6"/>
  <c r="BQ466" i="6"/>
  <c r="BP466" i="6"/>
  <c r="BO466" i="6"/>
  <c r="BN466" i="6"/>
  <c r="BM466" i="6"/>
  <c r="BL466" i="6"/>
  <c r="BK466" i="6"/>
  <c r="BJ466" i="6"/>
  <c r="BI466" i="6"/>
  <c r="BH466" i="6"/>
  <c r="BG466" i="6"/>
  <c r="BF466" i="6"/>
  <c r="BE466" i="6"/>
  <c r="BD466" i="6"/>
  <c r="BC466" i="6"/>
  <c r="BB466" i="6"/>
  <c r="BA466" i="6"/>
  <c r="AZ466" i="6"/>
  <c r="AY466" i="6"/>
  <c r="AX466" i="6"/>
  <c r="AW466" i="6"/>
  <c r="AV466" i="6"/>
  <c r="AU466" i="6"/>
  <c r="AT466" i="6"/>
  <c r="AS466" i="6"/>
  <c r="AR466" i="6"/>
  <c r="AQ466" i="6"/>
  <c r="AP466" i="6"/>
  <c r="AO466" i="6"/>
  <c r="AN466" i="6"/>
  <c r="AM466" i="6"/>
  <c r="AL466" i="6"/>
  <c r="AK466" i="6"/>
  <c r="AJ466" i="6"/>
  <c r="AI466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466" i="6"/>
  <c r="DE465" i="6"/>
  <c r="DD465" i="6"/>
  <c r="DC465" i="6"/>
  <c r="DB465" i="6"/>
  <c r="DA465" i="6"/>
  <c r="CZ465" i="6"/>
  <c r="CY465" i="6"/>
  <c r="CX465" i="6"/>
  <c r="CV465" i="6"/>
  <c r="CU465" i="6"/>
  <c r="CT465" i="6"/>
  <c r="CS465" i="6"/>
  <c r="CR465" i="6"/>
  <c r="CQ465" i="6"/>
  <c r="CP465" i="6"/>
  <c r="CO465" i="6"/>
  <c r="CN465" i="6"/>
  <c r="CM465" i="6"/>
  <c r="CL465" i="6"/>
  <c r="CK465" i="6"/>
  <c r="CJ465" i="6"/>
  <c r="CI465" i="6"/>
  <c r="CH465" i="6"/>
  <c r="CG465" i="6"/>
  <c r="CF465" i="6"/>
  <c r="CE465" i="6"/>
  <c r="CD465" i="6"/>
  <c r="CC465" i="6"/>
  <c r="CB465" i="6"/>
  <c r="CA465" i="6"/>
  <c r="BZ465" i="6"/>
  <c r="BY465" i="6"/>
  <c r="BX465" i="6"/>
  <c r="BW465" i="6"/>
  <c r="BV465" i="6"/>
  <c r="BU465" i="6"/>
  <c r="BT465" i="6"/>
  <c r="BS465" i="6"/>
  <c r="BR465" i="6"/>
  <c r="BQ465" i="6"/>
  <c r="BP465" i="6"/>
  <c r="BO465" i="6"/>
  <c r="BN465" i="6"/>
  <c r="BM465" i="6"/>
  <c r="BL465" i="6"/>
  <c r="BK465" i="6"/>
  <c r="BJ465" i="6"/>
  <c r="BI465" i="6"/>
  <c r="BH465" i="6"/>
  <c r="BG465" i="6"/>
  <c r="BF465" i="6"/>
  <c r="BE465" i="6"/>
  <c r="BD465" i="6"/>
  <c r="BC465" i="6"/>
  <c r="BB465" i="6"/>
  <c r="BA465" i="6"/>
  <c r="AZ465" i="6"/>
  <c r="AY465" i="6"/>
  <c r="AX465" i="6"/>
  <c r="AW465" i="6"/>
  <c r="AV465" i="6"/>
  <c r="AU465" i="6"/>
  <c r="AT465" i="6"/>
  <c r="AS465" i="6"/>
  <c r="AR465" i="6"/>
  <c r="AQ465" i="6"/>
  <c r="AP465" i="6"/>
  <c r="AO465" i="6"/>
  <c r="AN465" i="6"/>
  <c r="AM465" i="6"/>
  <c r="AL465" i="6"/>
  <c r="AK465" i="6"/>
  <c r="AJ465" i="6"/>
  <c r="AI465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465" i="6"/>
  <c r="DE464" i="6"/>
  <c r="DD464" i="6"/>
  <c r="DC464" i="6"/>
  <c r="DB464" i="6"/>
  <c r="DA464" i="6"/>
  <c r="CZ464" i="6"/>
  <c r="CY464" i="6"/>
  <c r="CX464" i="6"/>
  <c r="CV464" i="6"/>
  <c r="CU464" i="6"/>
  <c r="CT464" i="6"/>
  <c r="CS464" i="6"/>
  <c r="CR464" i="6"/>
  <c r="CQ464" i="6"/>
  <c r="CP464" i="6"/>
  <c r="CO464" i="6"/>
  <c r="CN464" i="6"/>
  <c r="CM464" i="6"/>
  <c r="CL464" i="6"/>
  <c r="CK464" i="6"/>
  <c r="CJ464" i="6"/>
  <c r="CI464" i="6"/>
  <c r="CH464" i="6"/>
  <c r="CG464" i="6"/>
  <c r="CF464" i="6"/>
  <c r="CE464" i="6"/>
  <c r="CD464" i="6"/>
  <c r="CC464" i="6"/>
  <c r="CB464" i="6"/>
  <c r="CA464" i="6"/>
  <c r="BZ464" i="6"/>
  <c r="BY464" i="6"/>
  <c r="BX464" i="6"/>
  <c r="BW464" i="6"/>
  <c r="BV464" i="6"/>
  <c r="BU464" i="6"/>
  <c r="BT464" i="6"/>
  <c r="BS464" i="6"/>
  <c r="BR464" i="6"/>
  <c r="BQ464" i="6"/>
  <c r="BP464" i="6"/>
  <c r="BO464" i="6"/>
  <c r="BN464" i="6"/>
  <c r="BM464" i="6"/>
  <c r="BL464" i="6"/>
  <c r="BK464" i="6"/>
  <c r="BJ464" i="6"/>
  <c r="BI464" i="6"/>
  <c r="BH464" i="6"/>
  <c r="BG464" i="6"/>
  <c r="BF464" i="6"/>
  <c r="BE464" i="6"/>
  <c r="BD464" i="6"/>
  <c r="BC464" i="6"/>
  <c r="BB464" i="6"/>
  <c r="BA464" i="6"/>
  <c r="AZ464" i="6"/>
  <c r="AY464" i="6"/>
  <c r="AX464" i="6"/>
  <c r="AW464" i="6"/>
  <c r="AV464" i="6"/>
  <c r="AU464" i="6"/>
  <c r="AT464" i="6"/>
  <c r="AS464" i="6"/>
  <c r="AR464" i="6"/>
  <c r="AQ464" i="6"/>
  <c r="AP464" i="6"/>
  <c r="AO464" i="6"/>
  <c r="AN464" i="6"/>
  <c r="AM464" i="6"/>
  <c r="AL464" i="6"/>
  <c r="AK464" i="6"/>
  <c r="AJ464" i="6"/>
  <c r="AI464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464" i="6"/>
  <c r="DE463" i="6"/>
  <c r="DD463" i="6"/>
  <c r="DC463" i="6"/>
  <c r="DB463" i="6"/>
  <c r="DA463" i="6"/>
  <c r="CZ463" i="6"/>
  <c r="CY463" i="6"/>
  <c r="CX463" i="6"/>
  <c r="CV463" i="6"/>
  <c r="CU463" i="6"/>
  <c r="CT463" i="6"/>
  <c r="CS463" i="6"/>
  <c r="CR463" i="6"/>
  <c r="CQ463" i="6"/>
  <c r="CP463" i="6"/>
  <c r="CO463" i="6"/>
  <c r="CN463" i="6"/>
  <c r="CM463" i="6"/>
  <c r="CL463" i="6"/>
  <c r="CK463" i="6"/>
  <c r="CJ463" i="6"/>
  <c r="CI463" i="6"/>
  <c r="CH463" i="6"/>
  <c r="CG463" i="6"/>
  <c r="CF463" i="6"/>
  <c r="CE463" i="6"/>
  <c r="CD463" i="6"/>
  <c r="CC463" i="6"/>
  <c r="CB463" i="6"/>
  <c r="CA463" i="6"/>
  <c r="BZ463" i="6"/>
  <c r="BY463" i="6"/>
  <c r="BX463" i="6"/>
  <c r="BW463" i="6"/>
  <c r="BV463" i="6"/>
  <c r="BU463" i="6"/>
  <c r="BT463" i="6"/>
  <c r="BS463" i="6"/>
  <c r="BR463" i="6"/>
  <c r="BQ463" i="6"/>
  <c r="BP463" i="6"/>
  <c r="BO463" i="6"/>
  <c r="BN463" i="6"/>
  <c r="BM463" i="6"/>
  <c r="BL463" i="6"/>
  <c r="BK463" i="6"/>
  <c r="BJ463" i="6"/>
  <c r="BI463" i="6"/>
  <c r="BH463" i="6"/>
  <c r="BG463" i="6"/>
  <c r="BF463" i="6"/>
  <c r="BE463" i="6"/>
  <c r="BD463" i="6"/>
  <c r="BC463" i="6"/>
  <c r="BB463" i="6"/>
  <c r="BA463" i="6"/>
  <c r="AZ463" i="6"/>
  <c r="AY463" i="6"/>
  <c r="AX463" i="6"/>
  <c r="AW463" i="6"/>
  <c r="AV463" i="6"/>
  <c r="AU463" i="6"/>
  <c r="AT463" i="6"/>
  <c r="AS463" i="6"/>
  <c r="AR463" i="6"/>
  <c r="AQ463" i="6"/>
  <c r="AP463" i="6"/>
  <c r="AO463" i="6"/>
  <c r="AN463" i="6"/>
  <c r="AM463" i="6"/>
  <c r="AL463" i="6"/>
  <c r="AK463" i="6"/>
  <c r="AJ463" i="6"/>
  <c r="AI463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463" i="6"/>
  <c r="DE462" i="6"/>
  <c r="DD462" i="6"/>
  <c r="DC462" i="6"/>
  <c r="DB462" i="6"/>
  <c r="DA462" i="6"/>
  <c r="CZ462" i="6"/>
  <c r="CY462" i="6"/>
  <c r="CX462" i="6"/>
  <c r="CV462" i="6"/>
  <c r="CU462" i="6"/>
  <c r="CT462" i="6"/>
  <c r="CS462" i="6"/>
  <c r="CR462" i="6"/>
  <c r="CQ462" i="6"/>
  <c r="CP462" i="6"/>
  <c r="CO462" i="6"/>
  <c r="CN462" i="6"/>
  <c r="CM462" i="6"/>
  <c r="CL462" i="6"/>
  <c r="CK462" i="6"/>
  <c r="CJ462" i="6"/>
  <c r="CI462" i="6"/>
  <c r="CH462" i="6"/>
  <c r="CG462" i="6"/>
  <c r="CF462" i="6"/>
  <c r="CE462" i="6"/>
  <c r="CD462" i="6"/>
  <c r="CC462" i="6"/>
  <c r="CB462" i="6"/>
  <c r="CA462" i="6"/>
  <c r="BZ462" i="6"/>
  <c r="BY462" i="6"/>
  <c r="BX462" i="6"/>
  <c r="BW462" i="6"/>
  <c r="BV462" i="6"/>
  <c r="BU462" i="6"/>
  <c r="BT462" i="6"/>
  <c r="BS462" i="6"/>
  <c r="BR462" i="6"/>
  <c r="BQ462" i="6"/>
  <c r="BP462" i="6"/>
  <c r="BO462" i="6"/>
  <c r="BN462" i="6"/>
  <c r="BM462" i="6"/>
  <c r="BL462" i="6"/>
  <c r="BK462" i="6"/>
  <c r="BJ462" i="6"/>
  <c r="BI462" i="6"/>
  <c r="BH462" i="6"/>
  <c r="BG462" i="6"/>
  <c r="BF462" i="6"/>
  <c r="BE462" i="6"/>
  <c r="BD462" i="6"/>
  <c r="BC462" i="6"/>
  <c r="BB462" i="6"/>
  <c r="BA462" i="6"/>
  <c r="AZ462" i="6"/>
  <c r="AY462" i="6"/>
  <c r="AX462" i="6"/>
  <c r="AW462" i="6"/>
  <c r="AV462" i="6"/>
  <c r="AU462" i="6"/>
  <c r="AT462" i="6"/>
  <c r="AS462" i="6"/>
  <c r="AR462" i="6"/>
  <c r="AQ462" i="6"/>
  <c r="AP462" i="6"/>
  <c r="AO462" i="6"/>
  <c r="AN462" i="6"/>
  <c r="AM462" i="6"/>
  <c r="AL462" i="6"/>
  <c r="AK462" i="6"/>
  <c r="AJ462" i="6"/>
  <c r="AI462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462" i="6"/>
  <c r="DE461" i="6"/>
  <c r="DD461" i="6"/>
  <c r="DC461" i="6"/>
  <c r="DB461" i="6"/>
  <c r="DA461" i="6"/>
  <c r="CZ461" i="6"/>
  <c r="CY461" i="6"/>
  <c r="CX461" i="6"/>
  <c r="CV461" i="6"/>
  <c r="CU461" i="6"/>
  <c r="CT461" i="6"/>
  <c r="CS461" i="6"/>
  <c r="CR461" i="6"/>
  <c r="CQ461" i="6"/>
  <c r="CP461" i="6"/>
  <c r="CO461" i="6"/>
  <c r="CN461" i="6"/>
  <c r="CM461" i="6"/>
  <c r="CL461" i="6"/>
  <c r="CK461" i="6"/>
  <c r="CJ461" i="6"/>
  <c r="CI461" i="6"/>
  <c r="CH461" i="6"/>
  <c r="CG461" i="6"/>
  <c r="CF461" i="6"/>
  <c r="CE461" i="6"/>
  <c r="CD461" i="6"/>
  <c r="CC461" i="6"/>
  <c r="CB461" i="6"/>
  <c r="CA461" i="6"/>
  <c r="BZ461" i="6"/>
  <c r="BY461" i="6"/>
  <c r="BX461" i="6"/>
  <c r="BW461" i="6"/>
  <c r="BV461" i="6"/>
  <c r="BU461" i="6"/>
  <c r="BT461" i="6"/>
  <c r="BS461" i="6"/>
  <c r="BR461" i="6"/>
  <c r="BQ461" i="6"/>
  <c r="BP461" i="6"/>
  <c r="BO461" i="6"/>
  <c r="BN461" i="6"/>
  <c r="BM461" i="6"/>
  <c r="BL461" i="6"/>
  <c r="BK461" i="6"/>
  <c r="BJ461" i="6"/>
  <c r="BI461" i="6"/>
  <c r="BH461" i="6"/>
  <c r="BG461" i="6"/>
  <c r="BF461" i="6"/>
  <c r="BE461" i="6"/>
  <c r="BD461" i="6"/>
  <c r="BC461" i="6"/>
  <c r="BB461" i="6"/>
  <c r="BA461" i="6"/>
  <c r="AZ461" i="6"/>
  <c r="AY461" i="6"/>
  <c r="AX461" i="6"/>
  <c r="AW461" i="6"/>
  <c r="AV461" i="6"/>
  <c r="AU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461" i="6"/>
  <c r="DE460" i="6"/>
  <c r="DD460" i="6"/>
  <c r="DC460" i="6"/>
  <c r="DB460" i="6"/>
  <c r="DA460" i="6"/>
  <c r="CZ460" i="6"/>
  <c r="CY460" i="6"/>
  <c r="CX460" i="6"/>
  <c r="CV460" i="6"/>
  <c r="CU460" i="6"/>
  <c r="CT460" i="6"/>
  <c r="CS460" i="6"/>
  <c r="CR460" i="6"/>
  <c r="CQ460" i="6"/>
  <c r="CP460" i="6"/>
  <c r="CO460" i="6"/>
  <c r="CN460" i="6"/>
  <c r="CM460" i="6"/>
  <c r="CL460" i="6"/>
  <c r="CK460" i="6"/>
  <c r="CJ460" i="6"/>
  <c r="CI460" i="6"/>
  <c r="CH460" i="6"/>
  <c r="CG460" i="6"/>
  <c r="CF460" i="6"/>
  <c r="CE460" i="6"/>
  <c r="CD460" i="6"/>
  <c r="CC460" i="6"/>
  <c r="CB460" i="6"/>
  <c r="CA460" i="6"/>
  <c r="BZ460" i="6"/>
  <c r="BY460" i="6"/>
  <c r="BX460" i="6"/>
  <c r="BW460" i="6"/>
  <c r="BV460" i="6"/>
  <c r="BU460" i="6"/>
  <c r="BT460" i="6"/>
  <c r="BS460" i="6"/>
  <c r="BR460" i="6"/>
  <c r="BQ460" i="6"/>
  <c r="BP460" i="6"/>
  <c r="BO460" i="6"/>
  <c r="BN460" i="6"/>
  <c r="BM460" i="6"/>
  <c r="BL460" i="6"/>
  <c r="BK460" i="6"/>
  <c r="BJ460" i="6"/>
  <c r="BI460" i="6"/>
  <c r="BH460" i="6"/>
  <c r="BG460" i="6"/>
  <c r="BF460" i="6"/>
  <c r="BE460" i="6"/>
  <c r="BD460" i="6"/>
  <c r="BC460" i="6"/>
  <c r="BB460" i="6"/>
  <c r="BA460" i="6"/>
  <c r="AZ460" i="6"/>
  <c r="AY460" i="6"/>
  <c r="AX460" i="6"/>
  <c r="AW460" i="6"/>
  <c r="AV460" i="6"/>
  <c r="AU460" i="6"/>
  <c r="AT460" i="6"/>
  <c r="AS460" i="6"/>
  <c r="AR460" i="6"/>
  <c r="AQ460" i="6"/>
  <c r="AP460" i="6"/>
  <c r="AO460" i="6"/>
  <c r="AN460" i="6"/>
  <c r="AM460" i="6"/>
  <c r="AL460" i="6"/>
  <c r="AK460" i="6"/>
  <c r="AJ460" i="6"/>
  <c r="AI460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460" i="6"/>
  <c r="DE459" i="6"/>
  <c r="DD459" i="6"/>
  <c r="DC459" i="6"/>
  <c r="DB459" i="6"/>
  <c r="DA459" i="6"/>
  <c r="CZ459" i="6"/>
  <c r="CY459" i="6"/>
  <c r="CX459" i="6"/>
  <c r="CV459" i="6"/>
  <c r="CU459" i="6"/>
  <c r="CT459" i="6"/>
  <c r="CS459" i="6"/>
  <c r="CR459" i="6"/>
  <c r="CQ459" i="6"/>
  <c r="CP459" i="6"/>
  <c r="CO459" i="6"/>
  <c r="CN459" i="6"/>
  <c r="CM459" i="6"/>
  <c r="CL459" i="6"/>
  <c r="CK459" i="6"/>
  <c r="CJ459" i="6"/>
  <c r="CI459" i="6"/>
  <c r="CH459" i="6"/>
  <c r="CG459" i="6"/>
  <c r="CF459" i="6"/>
  <c r="CE459" i="6"/>
  <c r="CD459" i="6"/>
  <c r="CC459" i="6"/>
  <c r="CB459" i="6"/>
  <c r="CA459" i="6"/>
  <c r="BZ459" i="6"/>
  <c r="BY459" i="6"/>
  <c r="BX459" i="6"/>
  <c r="BW459" i="6"/>
  <c r="BV459" i="6"/>
  <c r="BU459" i="6"/>
  <c r="BT459" i="6"/>
  <c r="BS459" i="6"/>
  <c r="BR459" i="6"/>
  <c r="BQ459" i="6"/>
  <c r="BP459" i="6"/>
  <c r="BO459" i="6"/>
  <c r="BN459" i="6"/>
  <c r="BM459" i="6"/>
  <c r="BL459" i="6"/>
  <c r="BK459" i="6"/>
  <c r="BJ459" i="6"/>
  <c r="BI459" i="6"/>
  <c r="BH459" i="6"/>
  <c r="BG459" i="6"/>
  <c r="BF459" i="6"/>
  <c r="BE459" i="6"/>
  <c r="BD459" i="6"/>
  <c r="BC459" i="6"/>
  <c r="BB459" i="6"/>
  <c r="BA459" i="6"/>
  <c r="AZ459" i="6"/>
  <c r="AY459" i="6"/>
  <c r="AX459" i="6"/>
  <c r="AW459" i="6"/>
  <c r="AV459" i="6"/>
  <c r="AU459" i="6"/>
  <c r="AT459" i="6"/>
  <c r="AS459" i="6"/>
  <c r="AR459" i="6"/>
  <c r="AQ459" i="6"/>
  <c r="AP459" i="6"/>
  <c r="AO459" i="6"/>
  <c r="AN459" i="6"/>
  <c r="AM459" i="6"/>
  <c r="AL459" i="6"/>
  <c r="AK459" i="6"/>
  <c r="AJ459" i="6"/>
  <c r="AI459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459" i="6"/>
  <c r="DE458" i="6"/>
  <c r="DD458" i="6"/>
  <c r="DC458" i="6"/>
  <c r="DB458" i="6"/>
  <c r="DA458" i="6"/>
  <c r="CZ458" i="6"/>
  <c r="CY458" i="6"/>
  <c r="CX458" i="6"/>
  <c r="CV458" i="6"/>
  <c r="CU458" i="6"/>
  <c r="CT458" i="6"/>
  <c r="CS458" i="6"/>
  <c r="CR458" i="6"/>
  <c r="CQ458" i="6"/>
  <c r="CP458" i="6"/>
  <c r="CO458" i="6"/>
  <c r="CN458" i="6"/>
  <c r="CM458" i="6"/>
  <c r="CL458" i="6"/>
  <c r="CK458" i="6"/>
  <c r="CJ458" i="6"/>
  <c r="CI458" i="6"/>
  <c r="CH458" i="6"/>
  <c r="CG458" i="6"/>
  <c r="CF458" i="6"/>
  <c r="CE458" i="6"/>
  <c r="CD458" i="6"/>
  <c r="CC458" i="6"/>
  <c r="CB458" i="6"/>
  <c r="CA458" i="6"/>
  <c r="BZ458" i="6"/>
  <c r="BY458" i="6"/>
  <c r="BX458" i="6"/>
  <c r="BW458" i="6"/>
  <c r="BV458" i="6"/>
  <c r="BU458" i="6"/>
  <c r="BT458" i="6"/>
  <c r="BS458" i="6"/>
  <c r="BR458" i="6"/>
  <c r="BQ458" i="6"/>
  <c r="BP458" i="6"/>
  <c r="BO458" i="6"/>
  <c r="BN458" i="6"/>
  <c r="BM458" i="6"/>
  <c r="BL458" i="6"/>
  <c r="BK458" i="6"/>
  <c r="BJ458" i="6"/>
  <c r="BI458" i="6"/>
  <c r="BH458" i="6"/>
  <c r="BG458" i="6"/>
  <c r="BF458" i="6"/>
  <c r="BE458" i="6"/>
  <c r="BD458" i="6"/>
  <c r="BC458" i="6"/>
  <c r="BB458" i="6"/>
  <c r="BA458" i="6"/>
  <c r="AZ458" i="6"/>
  <c r="AY458" i="6"/>
  <c r="AX458" i="6"/>
  <c r="AW458" i="6"/>
  <c r="AV458" i="6"/>
  <c r="AU458" i="6"/>
  <c r="AT458" i="6"/>
  <c r="AS458" i="6"/>
  <c r="AR458" i="6"/>
  <c r="AQ458" i="6"/>
  <c r="AP458" i="6"/>
  <c r="AO458" i="6"/>
  <c r="AN458" i="6"/>
  <c r="AM458" i="6"/>
  <c r="AL458" i="6"/>
  <c r="AK458" i="6"/>
  <c r="AJ458" i="6"/>
  <c r="AI458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458" i="6"/>
  <c r="DE457" i="6"/>
  <c r="DD457" i="6"/>
  <c r="DC457" i="6"/>
  <c r="DB457" i="6"/>
  <c r="DA457" i="6"/>
  <c r="CZ457" i="6"/>
  <c r="CY457" i="6"/>
  <c r="CX457" i="6"/>
  <c r="CV457" i="6"/>
  <c r="CU457" i="6"/>
  <c r="CT457" i="6"/>
  <c r="CS457" i="6"/>
  <c r="CR457" i="6"/>
  <c r="CQ457" i="6"/>
  <c r="CP457" i="6"/>
  <c r="CO457" i="6"/>
  <c r="CN457" i="6"/>
  <c r="CM457" i="6"/>
  <c r="CL457" i="6"/>
  <c r="CK457" i="6"/>
  <c r="CJ457" i="6"/>
  <c r="CI457" i="6"/>
  <c r="CH457" i="6"/>
  <c r="CG457" i="6"/>
  <c r="CF457" i="6"/>
  <c r="CE457" i="6"/>
  <c r="CD457" i="6"/>
  <c r="CC457" i="6"/>
  <c r="CB457" i="6"/>
  <c r="CA457" i="6"/>
  <c r="BZ457" i="6"/>
  <c r="BY457" i="6"/>
  <c r="BX457" i="6"/>
  <c r="BW457" i="6"/>
  <c r="BV457" i="6"/>
  <c r="BU457" i="6"/>
  <c r="BT457" i="6"/>
  <c r="BS457" i="6"/>
  <c r="BR457" i="6"/>
  <c r="BQ457" i="6"/>
  <c r="BP457" i="6"/>
  <c r="BO457" i="6"/>
  <c r="BN457" i="6"/>
  <c r="BM457" i="6"/>
  <c r="BL457" i="6"/>
  <c r="BK457" i="6"/>
  <c r="BJ457" i="6"/>
  <c r="BI457" i="6"/>
  <c r="BH457" i="6"/>
  <c r="BG457" i="6"/>
  <c r="BF457" i="6"/>
  <c r="BE457" i="6"/>
  <c r="BD457" i="6"/>
  <c r="BC457" i="6"/>
  <c r="BB457" i="6"/>
  <c r="BA457" i="6"/>
  <c r="AZ457" i="6"/>
  <c r="AY457" i="6"/>
  <c r="AX457" i="6"/>
  <c r="AW457" i="6"/>
  <c r="AV457" i="6"/>
  <c r="AU457" i="6"/>
  <c r="AT457" i="6"/>
  <c r="AS457" i="6"/>
  <c r="AR457" i="6"/>
  <c r="AQ457" i="6"/>
  <c r="AP457" i="6"/>
  <c r="AO457" i="6"/>
  <c r="AN457" i="6"/>
  <c r="AM457" i="6"/>
  <c r="AL457" i="6"/>
  <c r="AK457" i="6"/>
  <c r="AJ457" i="6"/>
  <c r="AI457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457" i="6"/>
  <c r="DE456" i="6"/>
  <c r="DD456" i="6"/>
  <c r="DC456" i="6"/>
  <c r="DB456" i="6"/>
  <c r="DA456" i="6"/>
  <c r="CZ456" i="6"/>
  <c r="CY456" i="6"/>
  <c r="CX456" i="6"/>
  <c r="CV456" i="6"/>
  <c r="CU456" i="6"/>
  <c r="CT456" i="6"/>
  <c r="CS456" i="6"/>
  <c r="CR456" i="6"/>
  <c r="CQ456" i="6"/>
  <c r="CP456" i="6"/>
  <c r="CO456" i="6"/>
  <c r="CN456" i="6"/>
  <c r="CM456" i="6"/>
  <c r="CL456" i="6"/>
  <c r="CK456" i="6"/>
  <c r="CJ456" i="6"/>
  <c r="CI456" i="6"/>
  <c r="CH456" i="6"/>
  <c r="CG456" i="6"/>
  <c r="CF456" i="6"/>
  <c r="CE456" i="6"/>
  <c r="CD456" i="6"/>
  <c r="CC456" i="6"/>
  <c r="CB456" i="6"/>
  <c r="CA456" i="6"/>
  <c r="BZ456" i="6"/>
  <c r="BY456" i="6"/>
  <c r="BX456" i="6"/>
  <c r="BW456" i="6"/>
  <c r="BV456" i="6"/>
  <c r="BU456" i="6"/>
  <c r="BT456" i="6"/>
  <c r="BS456" i="6"/>
  <c r="BR456" i="6"/>
  <c r="BQ456" i="6"/>
  <c r="BP456" i="6"/>
  <c r="BO456" i="6"/>
  <c r="BN456" i="6"/>
  <c r="BM456" i="6"/>
  <c r="BL456" i="6"/>
  <c r="BK456" i="6"/>
  <c r="BJ456" i="6"/>
  <c r="BI456" i="6"/>
  <c r="BH456" i="6"/>
  <c r="BG456" i="6"/>
  <c r="BF456" i="6"/>
  <c r="BE456" i="6"/>
  <c r="BD456" i="6"/>
  <c r="BC456" i="6"/>
  <c r="BB456" i="6"/>
  <c r="BA456" i="6"/>
  <c r="AZ456" i="6"/>
  <c r="AY456" i="6"/>
  <c r="AX456" i="6"/>
  <c r="AW456" i="6"/>
  <c r="AV456" i="6"/>
  <c r="AU456" i="6"/>
  <c r="AT456" i="6"/>
  <c r="AS456" i="6"/>
  <c r="AR456" i="6"/>
  <c r="AQ456" i="6"/>
  <c r="AP456" i="6"/>
  <c r="AO456" i="6"/>
  <c r="AN456" i="6"/>
  <c r="AM456" i="6"/>
  <c r="AL456" i="6"/>
  <c r="AK456" i="6"/>
  <c r="AJ456" i="6"/>
  <c r="AI456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456" i="6"/>
  <c r="DE455" i="6"/>
  <c r="DD455" i="6"/>
  <c r="DC455" i="6"/>
  <c r="DB455" i="6"/>
  <c r="DA455" i="6"/>
  <c r="CZ455" i="6"/>
  <c r="CY455" i="6"/>
  <c r="CX455" i="6"/>
  <c r="CV455" i="6"/>
  <c r="CU455" i="6"/>
  <c r="CT455" i="6"/>
  <c r="CS455" i="6"/>
  <c r="CR455" i="6"/>
  <c r="CQ455" i="6"/>
  <c r="CP455" i="6"/>
  <c r="CO455" i="6"/>
  <c r="CN455" i="6"/>
  <c r="CM455" i="6"/>
  <c r="CL455" i="6"/>
  <c r="CK455" i="6"/>
  <c r="CJ455" i="6"/>
  <c r="CI455" i="6"/>
  <c r="CH455" i="6"/>
  <c r="CG455" i="6"/>
  <c r="CF455" i="6"/>
  <c r="CE455" i="6"/>
  <c r="CD455" i="6"/>
  <c r="CC455" i="6"/>
  <c r="CB455" i="6"/>
  <c r="CA455" i="6"/>
  <c r="BZ455" i="6"/>
  <c r="BY455" i="6"/>
  <c r="BX455" i="6"/>
  <c r="BW455" i="6"/>
  <c r="BV455" i="6"/>
  <c r="BU455" i="6"/>
  <c r="BT455" i="6"/>
  <c r="BS455" i="6"/>
  <c r="BR455" i="6"/>
  <c r="BQ455" i="6"/>
  <c r="BP455" i="6"/>
  <c r="BO455" i="6"/>
  <c r="BN455" i="6"/>
  <c r="BM455" i="6"/>
  <c r="BL455" i="6"/>
  <c r="BK455" i="6"/>
  <c r="BJ455" i="6"/>
  <c r="BI455" i="6"/>
  <c r="BH455" i="6"/>
  <c r="BG455" i="6"/>
  <c r="BF455" i="6"/>
  <c r="BE455" i="6"/>
  <c r="BD455" i="6"/>
  <c r="BC455" i="6"/>
  <c r="BB455" i="6"/>
  <c r="BA455" i="6"/>
  <c r="AZ455" i="6"/>
  <c r="AY455" i="6"/>
  <c r="AX455" i="6"/>
  <c r="AW455" i="6"/>
  <c r="AV455" i="6"/>
  <c r="AU455" i="6"/>
  <c r="AT455" i="6"/>
  <c r="AS455" i="6"/>
  <c r="AR455" i="6"/>
  <c r="AQ455" i="6"/>
  <c r="AP455" i="6"/>
  <c r="AO455" i="6"/>
  <c r="AN455" i="6"/>
  <c r="AM455" i="6"/>
  <c r="AL455" i="6"/>
  <c r="AK455" i="6"/>
  <c r="AJ455" i="6"/>
  <c r="AI455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455" i="6"/>
  <c r="DE454" i="6"/>
  <c r="DD454" i="6"/>
  <c r="DC454" i="6"/>
  <c r="DB454" i="6"/>
  <c r="DA454" i="6"/>
  <c r="CZ454" i="6"/>
  <c r="CY454" i="6"/>
  <c r="CX454" i="6"/>
  <c r="CV454" i="6"/>
  <c r="CU454" i="6"/>
  <c r="CT454" i="6"/>
  <c r="CS454" i="6"/>
  <c r="CR454" i="6"/>
  <c r="CQ454" i="6"/>
  <c r="CP454" i="6"/>
  <c r="CO454" i="6"/>
  <c r="CN454" i="6"/>
  <c r="CM454" i="6"/>
  <c r="CL454" i="6"/>
  <c r="CK454" i="6"/>
  <c r="CJ454" i="6"/>
  <c r="CI454" i="6"/>
  <c r="CH454" i="6"/>
  <c r="CG454" i="6"/>
  <c r="CF454" i="6"/>
  <c r="CE454" i="6"/>
  <c r="CD454" i="6"/>
  <c r="CC454" i="6"/>
  <c r="CB454" i="6"/>
  <c r="CA454" i="6"/>
  <c r="BZ454" i="6"/>
  <c r="BY454" i="6"/>
  <c r="BX454" i="6"/>
  <c r="BW454" i="6"/>
  <c r="BV454" i="6"/>
  <c r="BU454" i="6"/>
  <c r="BT454" i="6"/>
  <c r="BS454" i="6"/>
  <c r="BR454" i="6"/>
  <c r="BQ454" i="6"/>
  <c r="BP454" i="6"/>
  <c r="BO454" i="6"/>
  <c r="BN454" i="6"/>
  <c r="BM454" i="6"/>
  <c r="BL454" i="6"/>
  <c r="BK454" i="6"/>
  <c r="BJ454" i="6"/>
  <c r="BI454" i="6"/>
  <c r="BH454" i="6"/>
  <c r="BG454" i="6"/>
  <c r="BF454" i="6"/>
  <c r="BE454" i="6"/>
  <c r="BD454" i="6"/>
  <c r="BC454" i="6"/>
  <c r="BB454" i="6"/>
  <c r="BA454" i="6"/>
  <c r="AZ454" i="6"/>
  <c r="AY454" i="6"/>
  <c r="AX454" i="6"/>
  <c r="AW454" i="6"/>
  <c r="AV454" i="6"/>
  <c r="AU454" i="6"/>
  <c r="AT454" i="6"/>
  <c r="AS454" i="6"/>
  <c r="AR454" i="6"/>
  <c r="AQ454" i="6"/>
  <c r="AP454" i="6"/>
  <c r="AO454" i="6"/>
  <c r="AN454" i="6"/>
  <c r="AM454" i="6"/>
  <c r="AL454" i="6"/>
  <c r="AK454" i="6"/>
  <c r="AJ454" i="6"/>
  <c r="AI454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454" i="6"/>
  <c r="DE453" i="6"/>
  <c r="DD453" i="6"/>
  <c r="DC453" i="6"/>
  <c r="DB453" i="6"/>
  <c r="DA453" i="6"/>
  <c r="CZ453" i="6"/>
  <c r="CY453" i="6"/>
  <c r="CX453" i="6"/>
  <c r="CV453" i="6"/>
  <c r="CU453" i="6"/>
  <c r="CT453" i="6"/>
  <c r="CS453" i="6"/>
  <c r="CR453" i="6"/>
  <c r="CQ453" i="6"/>
  <c r="CP453" i="6"/>
  <c r="CO453" i="6"/>
  <c r="CN453" i="6"/>
  <c r="CM453" i="6"/>
  <c r="CL453" i="6"/>
  <c r="CK453" i="6"/>
  <c r="CJ453" i="6"/>
  <c r="CI453" i="6"/>
  <c r="CH453" i="6"/>
  <c r="CG453" i="6"/>
  <c r="CF453" i="6"/>
  <c r="CE453" i="6"/>
  <c r="CD453" i="6"/>
  <c r="CC453" i="6"/>
  <c r="CB453" i="6"/>
  <c r="CA453" i="6"/>
  <c r="BZ453" i="6"/>
  <c r="BY453" i="6"/>
  <c r="BX453" i="6"/>
  <c r="BW453" i="6"/>
  <c r="BV453" i="6"/>
  <c r="BU453" i="6"/>
  <c r="BT453" i="6"/>
  <c r="BS453" i="6"/>
  <c r="BR453" i="6"/>
  <c r="BQ453" i="6"/>
  <c r="BP453" i="6"/>
  <c r="BO453" i="6"/>
  <c r="BN453" i="6"/>
  <c r="BM453" i="6"/>
  <c r="BL453" i="6"/>
  <c r="BK453" i="6"/>
  <c r="BJ453" i="6"/>
  <c r="BI453" i="6"/>
  <c r="BH453" i="6"/>
  <c r="BG453" i="6"/>
  <c r="BF453" i="6"/>
  <c r="BE453" i="6"/>
  <c r="BD453" i="6"/>
  <c r="BC453" i="6"/>
  <c r="BB453" i="6"/>
  <c r="BA453" i="6"/>
  <c r="AZ453" i="6"/>
  <c r="AY453" i="6"/>
  <c r="AX453" i="6"/>
  <c r="AW453" i="6"/>
  <c r="AV453" i="6"/>
  <c r="AU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453" i="6"/>
  <c r="DE452" i="6"/>
  <c r="DD452" i="6"/>
  <c r="DC452" i="6"/>
  <c r="DB452" i="6"/>
  <c r="DA452" i="6"/>
  <c r="CZ452" i="6"/>
  <c r="CY452" i="6"/>
  <c r="CX452" i="6"/>
  <c r="CV452" i="6"/>
  <c r="CU452" i="6"/>
  <c r="CT452" i="6"/>
  <c r="CS452" i="6"/>
  <c r="CR452" i="6"/>
  <c r="CQ452" i="6"/>
  <c r="CP452" i="6"/>
  <c r="CO452" i="6"/>
  <c r="CN452" i="6"/>
  <c r="CM452" i="6"/>
  <c r="CL452" i="6"/>
  <c r="CK452" i="6"/>
  <c r="CJ452" i="6"/>
  <c r="CI452" i="6"/>
  <c r="CH452" i="6"/>
  <c r="CG452" i="6"/>
  <c r="CF452" i="6"/>
  <c r="CE452" i="6"/>
  <c r="CD452" i="6"/>
  <c r="CC452" i="6"/>
  <c r="CB452" i="6"/>
  <c r="CA452" i="6"/>
  <c r="BZ452" i="6"/>
  <c r="BY452" i="6"/>
  <c r="BX452" i="6"/>
  <c r="BW452" i="6"/>
  <c r="BV452" i="6"/>
  <c r="BU452" i="6"/>
  <c r="BT452" i="6"/>
  <c r="BS452" i="6"/>
  <c r="BR452" i="6"/>
  <c r="BQ452" i="6"/>
  <c r="BP452" i="6"/>
  <c r="BO452" i="6"/>
  <c r="BN452" i="6"/>
  <c r="BM452" i="6"/>
  <c r="BL452" i="6"/>
  <c r="BK452" i="6"/>
  <c r="BJ452" i="6"/>
  <c r="BI452" i="6"/>
  <c r="BH452" i="6"/>
  <c r="BG452" i="6"/>
  <c r="BF452" i="6"/>
  <c r="BE452" i="6"/>
  <c r="BD452" i="6"/>
  <c r="BC452" i="6"/>
  <c r="BB452" i="6"/>
  <c r="BA452" i="6"/>
  <c r="AZ452" i="6"/>
  <c r="AY452" i="6"/>
  <c r="AX452" i="6"/>
  <c r="AW452" i="6"/>
  <c r="AV452" i="6"/>
  <c r="AU452" i="6"/>
  <c r="AT452" i="6"/>
  <c r="AS452" i="6"/>
  <c r="AR452" i="6"/>
  <c r="AQ452" i="6"/>
  <c r="AP452" i="6"/>
  <c r="AO452" i="6"/>
  <c r="AN452" i="6"/>
  <c r="AM452" i="6"/>
  <c r="AL452" i="6"/>
  <c r="AK452" i="6"/>
  <c r="AJ452" i="6"/>
  <c r="AI452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452" i="6"/>
  <c r="DE451" i="6"/>
  <c r="DD451" i="6"/>
  <c r="DC451" i="6"/>
  <c r="DB451" i="6"/>
  <c r="DA451" i="6"/>
  <c r="CZ451" i="6"/>
  <c r="CY451" i="6"/>
  <c r="CX451" i="6"/>
  <c r="CV451" i="6"/>
  <c r="CU451" i="6"/>
  <c r="CT451" i="6"/>
  <c r="CS451" i="6"/>
  <c r="CR451" i="6"/>
  <c r="CQ451" i="6"/>
  <c r="CP451" i="6"/>
  <c r="CO451" i="6"/>
  <c r="CN451" i="6"/>
  <c r="CM451" i="6"/>
  <c r="CL451" i="6"/>
  <c r="CK451" i="6"/>
  <c r="CJ451" i="6"/>
  <c r="CI451" i="6"/>
  <c r="CH451" i="6"/>
  <c r="CG451" i="6"/>
  <c r="CF451" i="6"/>
  <c r="CE451" i="6"/>
  <c r="CD451" i="6"/>
  <c r="CC451" i="6"/>
  <c r="CB451" i="6"/>
  <c r="CA451" i="6"/>
  <c r="BZ451" i="6"/>
  <c r="BY451" i="6"/>
  <c r="BX451" i="6"/>
  <c r="BW451" i="6"/>
  <c r="BV451" i="6"/>
  <c r="BU451" i="6"/>
  <c r="BT451" i="6"/>
  <c r="BS451" i="6"/>
  <c r="BR451" i="6"/>
  <c r="BQ451" i="6"/>
  <c r="BP451" i="6"/>
  <c r="BO451" i="6"/>
  <c r="BN451" i="6"/>
  <c r="BM451" i="6"/>
  <c r="BL451" i="6"/>
  <c r="BK451" i="6"/>
  <c r="BJ451" i="6"/>
  <c r="BI451" i="6"/>
  <c r="BH451" i="6"/>
  <c r="BG451" i="6"/>
  <c r="BF451" i="6"/>
  <c r="BE451" i="6"/>
  <c r="BD451" i="6"/>
  <c r="BC451" i="6"/>
  <c r="BB451" i="6"/>
  <c r="BA451" i="6"/>
  <c r="AZ451" i="6"/>
  <c r="AY451" i="6"/>
  <c r="AX451" i="6"/>
  <c r="AW451" i="6"/>
  <c r="AV451" i="6"/>
  <c r="AU451" i="6"/>
  <c r="AT451" i="6"/>
  <c r="AS451" i="6"/>
  <c r="AR451" i="6"/>
  <c r="AQ451" i="6"/>
  <c r="AP451" i="6"/>
  <c r="AO451" i="6"/>
  <c r="AN451" i="6"/>
  <c r="AM451" i="6"/>
  <c r="AL451" i="6"/>
  <c r="AK451" i="6"/>
  <c r="AJ451" i="6"/>
  <c r="AI451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451" i="6"/>
  <c r="DE450" i="6"/>
  <c r="DD450" i="6"/>
  <c r="DC450" i="6"/>
  <c r="DB450" i="6"/>
  <c r="DA450" i="6"/>
  <c r="CZ450" i="6"/>
  <c r="CY450" i="6"/>
  <c r="CX450" i="6"/>
  <c r="CV450" i="6"/>
  <c r="CU450" i="6"/>
  <c r="CT450" i="6"/>
  <c r="CS450" i="6"/>
  <c r="CR450" i="6"/>
  <c r="CQ450" i="6"/>
  <c r="CP450" i="6"/>
  <c r="CO450" i="6"/>
  <c r="CN450" i="6"/>
  <c r="CM450" i="6"/>
  <c r="CL450" i="6"/>
  <c r="CK450" i="6"/>
  <c r="CJ450" i="6"/>
  <c r="CI450" i="6"/>
  <c r="CH450" i="6"/>
  <c r="CG450" i="6"/>
  <c r="CF450" i="6"/>
  <c r="CE450" i="6"/>
  <c r="CD450" i="6"/>
  <c r="CC450" i="6"/>
  <c r="CB450" i="6"/>
  <c r="CA450" i="6"/>
  <c r="BZ450" i="6"/>
  <c r="BY450" i="6"/>
  <c r="BX450" i="6"/>
  <c r="BW450" i="6"/>
  <c r="BV450" i="6"/>
  <c r="BU450" i="6"/>
  <c r="BT450" i="6"/>
  <c r="BS450" i="6"/>
  <c r="BR450" i="6"/>
  <c r="BQ450" i="6"/>
  <c r="BP450" i="6"/>
  <c r="BO450" i="6"/>
  <c r="BN450" i="6"/>
  <c r="BM450" i="6"/>
  <c r="BL450" i="6"/>
  <c r="BK450" i="6"/>
  <c r="BJ450" i="6"/>
  <c r="BI450" i="6"/>
  <c r="BH450" i="6"/>
  <c r="BG450" i="6"/>
  <c r="BF450" i="6"/>
  <c r="BE450" i="6"/>
  <c r="BD450" i="6"/>
  <c r="BC450" i="6"/>
  <c r="BB450" i="6"/>
  <c r="BA450" i="6"/>
  <c r="AZ450" i="6"/>
  <c r="AY450" i="6"/>
  <c r="AX450" i="6"/>
  <c r="AW450" i="6"/>
  <c r="AV450" i="6"/>
  <c r="AU450" i="6"/>
  <c r="AT450" i="6"/>
  <c r="AS450" i="6"/>
  <c r="AR450" i="6"/>
  <c r="AQ450" i="6"/>
  <c r="AP450" i="6"/>
  <c r="AO450" i="6"/>
  <c r="AN450" i="6"/>
  <c r="AM450" i="6"/>
  <c r="AL450" i="6"/>
  <c r="AK450" i="6"/>
  <c r="AJ450" i="6"/>
  <c r="AI450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450" i="6"/>
  <c r="DE449" i="6"/>
  <c r="DD449" i="6"/>
  <c r="DC449" i="6"/>
  <c r="DB449" i="6"/>
  <c r="DA449" i="6"/>
  <c r="CZ449" i="6"/>
  <c r="CY449" i="6"/>
  <c r="CX449" i="6"/>
  <c r="CV449" i="6"/>
  <c r="CU449" i="6"/>
  <c r="CT449" i="6"/>
  <c r="CS449" i="6"/>
  <c r="CR449" i="6"/>
  <c r="CQ449" i="6"/>
  <c r="CP449" i="6"/>
  <c r="CO449" i="6"/>
  <c r="CN449" i="6"/>
  <c r="CM449" i="6"/>
  <c r="CL449" i="6"/>
  <c r="CK449" i="6"/>
  <c r="CJ449" i="6"/>
  <c r="CI449" i="6"/>
  <c r="CH449" i="6"/>
  <c r="CG449" i="6"/>
  <c r="CF449" i="6"/>
  <c r="CE449" i="6"/>
  <c r="CD449" i="6"/>
  <c r="CC449" i="6"/>
  <c r="CB449" i="6"/>
  <c r="CA449" i="6"/>
  <c r="BZ449" i="6"/>
  <c r="BY449" i="6"/>
  <c r="BX449" i="6"/>
  <c r="BW449" i="6"/>
  <c r="BV449" i="6"/>
  <c r="BU449" i="6"/>
  <c r="BT449" i="6"/>
  <c r="BS449" i="6"/>
  <c r="BR449" i="6"/>
  <c r="BQ449" i="6"/>
  <c r="BP449" i="6"/>
  <c r="BO449" i="6"/>
  <c r="BN449" i="6"/>
  <c r="BM449" i="6"/>
  <c r="BL449" i="6"/>
  <c r="BK449" i="6"/>
  <c r="BJ449" i="6"/>
  <c r="BI449" i="6"/>
  <c r="BH449" i="6"/>
  <c r="BG449" i="6"/>
  <c r="BF449" i="6"/>
  <c r="BE449" i="6"/>
  <c r="BD449" i="6"/>
  <c r="BC449" i="6"/>
  <c r="BB449" i="6"/>
  <c r="BA449" i="6"/>
  <c r="AZ449" i="6"/>
  <c r="AY449" i="6"/>
  <c r="AX449" i="6"/>
  <c r="AW449" i="6"/>
  <c r="AV449" i="6"/>
  <c r="AU449" i="6"/>
  <c r="AT449" i="6"/>
  <c r="AS449" i="6"/>
  <c r="AR449" i="6"/>
  <c r="AQ449" i="6"/>
  <c r="AP449" i="6"/>
  <c r="AO449" i="6"/>
  <c r="AN449" i="6"/>
  <c r="AM449" i="6"/>
  <c r="AL449" i="6"/>
  <c r="AK449" i="6"/>
  <c r="AJ449" i="6"/>
  <c r="AI449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449" i="6"/>
  <c r="DE448" i="6"/>
  <c r="DD448" i="6"/>
  <c r="DC448" i="6"/>
  <c r="DB448" i="6"/>
  <c r="DA448" i="6"/>
  <c r="CZ448" i="6"/>
  <c r="CY448" i="6"/>
  <c r="CX448" i="6"/>
  <c r="CV448" i="6"/>
  <c r="CU448" i="6"/>
  <c r="CT448" i="6"/>
  <c r="CS448" i="6"/>
  <c r="CR448" i="6"/>
  <c r="CQ448" i="6"/>
  <c r="CP448" i="6"/>
  <c r="CO448" i="6"/>
  <c r="CN448" i="6"/>
  <c r="CM448" i="6"/>
  <c r="CL448" i="6"/>
  <c r="CK448" i="6"/>
  <c r="CJ448" i="6"/>
  <c r="CI448" i="6"/>
  <c r="CH448" i="6"/>
  <c r="CG448" i="6"/>
  <c r="CF448" i="6"/>
  <c r="CE448" i="6"/>
  <c r="CD448" i="6"/>
  <c r="CC448" i="6"/>
  <c r="CB448" i="6"/>
  <c r="CA448" i="6"/>
  <c r="BZ448" i="6"/>
  <c r="BY448" i="6"/>
  <c r="BX448" i="6"/>
  <c r="BW448" i="6"/>
  <c r="BV448" i="6"/>
  <c r="BU448" i="6"/>
  <c r="BT448" i="6"/>
  <c r="BS448" i="6"/>
  <c r="BR448" i="6"/>
  <c r="BQ448" i="6"/>
  <c r="BP448" i="6"/>
  <c r="BO448" i="6"/>
  <c r="BN448" i="6"/>
  <c r="BM448" i="6"/>
  <c r="BL448" i="6"/>
  <c r="BK448" i="6"/>
  <c r="BJ448" i="6"/>
  <c r="BI448" i="6"/>
  <c r="BH448" i="6"/>
  <c r="BG448" i="6"/>
  <c r="BF448" i="6"/>
  <c r="BE448" i="6"/>
  <c r="BD448" i="6"/>
  <c r="BC448" i="6"/>
  <c r="BB448" i="6"/>
  <c r="BA448" i="6"/>
  <c r="AZ448" i="6"/>
  <c r="AY448" i="6"/>
  <c r="AX448" i="6"/>
  <c r="AW448" i="6"/>
  <c r="AV448" i="6"/>
  <c r="AU448" i="6"/>
  <c r="AT448" i="6"/>
  <c r="AS448" i="6"/>
  <c r="AR448" i="6"/>
  <c r="AQ448" i="6"/>
  <c r="AP448" i="6"/>
  <c r="AO448" i="6"/>
  <c r="AN448" i="6"/>
  <c r="AM448" i="6"/>
  <c r="AL448" i="6"/>
  <c r="AK448" i="6"/>
  <c r="AJ448" i="6"/>
  <c r="AI448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448" i="6"/>
  <c r="DE447" i="6"/>
  <c r="DD447" i="6"/>
  <c r="DC447" i="6"/>
  <c r="DB447" i="6"/>
  <c r="DA447" i="6"/>
  <c r="CZ447" i="6"/>
  <c r="CY447" i="6"/>
  <c r="CX447" i="6"/>
  <c r="CV447" i="6"/>
  <c r="CU447" i="6"/>
  <c r="CT447" i="6"/>
  <c r="CS447" i="6"/>
  <c r="CR447" i="6"/>
  <c r="CQ447" i="6"/>
  <c r="CP447" i="6"/>
  <c r="CO447" i="6"/>
  <c r="CN447" i="6"/>
  <c r="CM447" i="6"/>
  <c r="CL447" i="6"/>
  <c r="CK447" i="6"/>
  <c r="CJ447" i="6"/>
  <c r="CI447" i="6"/>
  <c r="CH447" i="6"/>
  <c r="CG447" i="6"/>
  <c r="CF447" i="6"/>
  <c r="CE447" i="6"/>
  <c r="CD447" i="6"/>
  <c r="CC447" i="6"/>
  <c r="CB447" i="6"/>
  <c r="CA447" i="6"/>
  <c r="BZ447" i="6"/>
  <c r="BY447" i="6"/>
  <c r="BX447" i="6"/>
  <c r="BW447" i="6"/>
  <c r="BV447" i="6"/>
  <c r="BU447" i="6"/>
  <c r="BT447" i="6"/>
  <c r="BS447" i="6"/>
  <c r="BR447" i="6"/>
  <c r="BQ447" i="6"/>
  <c r="BP447" i="6"/>
  <c r="BO447" i="6"/>
  <c r="BN447" i="6"/>
  <c r="BM447" i="6"/>
  <c r="BL447" i="6"/>
  <c r="BK447" i="6"/>
  <c r="BJ447" i="6"/>
  <c r="BI447" i="6"/>
  <c r="BH447" i="6"/>
  <c r="BG447" i="6"/>
  <c r="BF447" i="6"/>
  <c r="BE447" i="6"/>
  <c r="BD447" i="6"/>
  <c r="BC447" i="6"/>
  <c r="BB447" i="6"/>
  <c r="BA447" i="6"/>
  <c r="AZ447" i="6"/>
  <c r="AY447" i="6"/>
  <c r="AX447" i="6"/>
  <c r="AW447" i="6"/>
  <c r="AV447" i="6"/>
  <c r="AU447" i="6"/>
  <c r="AT447" i="6"/>
  <c r="AS447" i="6"/>
  <c r="AR447" i="6"/>
  <c r="AQ447" i="6"/>
  <c r="AP447" i="6"/>
  <c r="AO447" i="6"/>
  <c r="AN447" i="6"/>
  <c r="AM447" i="6"/>
  <c r="AL447" i="6"/>
  <c r="AK447" i="6"/>
  <c r="AJ447" i="6"/>
  <c r="AI447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447" i="6"/>
  <c r="DE446" i="6"/>
  <c r="DD446" i="6"/>
  <c r="DC446" i="6"/>
  <c r="DB446" i="6"/>
  <c r="DA446" i="6"/>
  <c r="CZ446" i="6"/>
  <c r="CY446" i="6"/>
  <c r="CX446" i="6"/>
  <c r="CV446" i="6"/>
  <c r="CU446" i="6"/>
  <c r="CT446" i="6"/>
  <c r="CS446" i="6"/>
  <c r="CR446" i="6"/>
  <c r="CQ446" i="6"/>
  <c r="CP446" i="6"/>
  <c r="CO446" i="6"/>
  <c r="CN446" i="6"/>
  <c r="CM446" i="6"/>
  <c r="CL446" i="6"/>
  <c r="CK446" i="6"/>
  <c r="CJ446" i="6"/>
  <c r="CI446" i="6"/>
  <c r="CH446" i="6"/>
  <c r="CG446" i="6"/>
  <c r="CF446" i="6"/>
  <c r="CE446" i="6"/>
  <c r="CD446" i="6"/>
  <c r="CC446" i="6"/>
  <c r="CB446" i="6"/>
  <c r="CA446" i="6"/>
  <c r="BZ446" i="6"/>
  <c r="BY446" i="6"/>
  <c r="BX446" i="6"/>
  <c r="BW446" i="6"/>
  <c r="BV446" i="6"/>
  <c r="BU446" i="6"/>
  <c r="BT446" i="6"/>
  <c r="BS446" i="6"/>
  <c r="BR446" i="6"/>
  <c r="BQ446" i="6"/>
  <c r="BP446" i="6"/>
  <c r="BO446" i="6"/>
  <c r="BN446" i="6"/>
  <c r="BM446" i="6"/>
  <c r="BL446" i="6"/>
  <c r="BK446" i="6"/>
  <c r="BJ446" i="6"/>
  <c r="BI446" i="6"/>
  <c r="BH446" i="6"/>
  <c r="BG446" i="6"/>
  <c r="BF446" i="6"/>
  <c r="BE446" i="6"/>
  <c r="BD446" i="6"/>
  <c r="BC446" i="6"/>
  <c r="BB446" i="6"/>
  <c r="BA446" i="6"/>
  <c r="AZ446" i="6"/>
  <c r="AY446" i="6"/>
  <c r="AX446" i="6"/>
  <c r="AW446" i="6"/>
  <c r="AV446" i="6"/>
  <c r="AU446" i="6"/>
  <c r="AT446" i="6"/>
  <c r="AS446" i="6"/>
  <c r="AR446" i="6"/>
  <c r="AQ446" i="6"/>
  <c r="AP446" i="6"/>
  <c r="AO446" i="6"/>
  <c r="AN446" i="6"/>
  <c r="AM446" i="6"/>
  <c r="AL446" i="6"/>
  <c r="AK446" i="6"/>
  <c r="AJ446" i="6"/>
  <c r="AI446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446" i="6"/>
  <c r="DE445" i="6"/>
  <c r="DD445" i="6"/>
  <c r="DC445" i="6"/>
  <c r="DB445" i="6"/>
  <c r="DA445" i="6"/>
  <c r="CZ445" i="6"/>
  <c r="CY445" i="6"/>
  <c r="CX445" i="6"/>
  <c r="CV445" i="6"/>
  <c r="CU445" i="6"/>
  <c r="CT445" i="6"/>
  <c r="CS445" i="6"/>
  <c r="CR445" i="6"/>
  <c r="CQ445" i="6"/>
  <c r="CP445" i="6"/>
  <c r="CO445" i="6"/>
  <c r="CN445" i="6"/>
  <c r="CM445" i="6"/>
  <c r="CL445" i="6"/>
  <c r="CK445" i="6"/>
  <c r="CJ445" i="6"/>
  <c r="CI445" i="6"/>
  <c r="CH445" i="6"/>
  <c r="CG445" i="6"/>
  <c r="CF445" i="6"/>
  <c r="CE445" i="6"/>
  <c r="CD445" i="6"/>
  <c r="CC445" i="6"/>
  <c r="CB445" i="6"/>
  <c r="CA445" i="6"/>
  <c r="BZ445" i="6"/>
  <c r="BY445" i="6"/>
  <c r="BX445" i="6"/>
  <c r="BW445" i="6"/>
  <c r="BV445" i="6"/>
  <c r="BU445" i="6"/>
  <c r="BT445" i="6"/>
  <c r="BS445" i="6"/>
  <c r="BR445" i="6"/>
  <c r="BQ445" i="6"/>
  <c r="BP445" i="6"/>
  <c r="BO445" i="6"/>
  <c r="BN445" i="6"/>
  <c r="BM445" i="6"/>
  <c r="BL445" i="6"/>
  <c r="BK445" i="6"/>
  <c r="BJ445" i="6"/>
  <c r="BI445" i="6"/>
  <c r="BH445" i="6"/>
  <c r="BG445" i="6"/>
  <c r="BF445" i="6"/>
  <c r="BE445" i="6"/>
  <c r="BD445" i="6"/>
  <c r="BC445" i="6"/>
  <c r="BB445" i="6"/>
  <c r="BA445" i="6"/>
  <c r="AZ445" i="6"/>
  <c r="AY445" i="6"/>
  <c r="AX445" i="6"/>
  <c r="AW445" i="6"/>
  <c r="AV445" i="6"/>
  <c r="AU445" i="6"/>
  <c r="AT445" i="6"/>
  <c r="AS445" i="6"/>
  <c r="AR445" i="6"/>
  <c r="AQ445" i="6"/>
  <c r="AP445" i="6"/>
  <c r="AO445" i="6"/>
  <c r="AN445" i="6"/>
  <c r="AM445" i="6"/>
  <c r="AL445" i="6"/>
  <c r="AK445" i="6"/>
  <c r="AJ445" i="6"/>
  <c r="AI445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445" i="6"/>
  <c r="DE444" i="6"/>
  <c r="DD444" i="6"/>
  <c r="DC444" i="6"/>
  <c r="DB444" i="6"/>
  <c r="DA444" i="6"/>
  <c r="CZ444" i="6"/>
  <c r="CY444" i="6"/>
  <c r="CX444" i="6"/>
  <c r="CV444" i="6"/>
  <c r="CU444" i="6"/>
  <c r="CT444" i="6"/>
  <c r="CS444" i="6"/>
  <c r="CR444" i="6"/>
  <c r="CQ444" i="6"/>
  <c r="CP444" i="6"/>
  <c r="CO444" i="6"/>
  <c r="CN444" i="6"/>
  <c r="CM444" i="6"/>
  <c r="CL444" i="6"/>
  <c r="CK444" i="6"/>
  <c r="CJ444" i="6"/>
  <c r="CI444" i="6"/>
  <c r="CH444" i="6"/>
  <c r="CG444" i="6"/>
  <c r="CF444" i="6"/>
  <c r="CE444" i="6"/>
  <c r="CD444" i="6"/>
  <c r="CC444" i="6"/>
  <c r="CB444" i="6"/>
  <c r="CA444" i="6"/>
  <c r="BZ444" i="6"/>
  <c r="BY444" i="6"/>
  <c r="BX444" i="6"/>
  <c r="BW444" i="6"/>
  <c r="BV444" i="6"/>
  <c r="BU444" i="6"/>
  <c r="BT444" i="6"/>
  <c r="BS444" i="6"/>
  <c r="BR444" i="6"/>
  <c r="BQ444" i="6"/>
  <c r="BP444" i="6"/>
  <c r="BO444" i="6"/>
  <c r="BN444" i="6"/>
  <c r="BM444" i="6"/>
  <c r="BL444" i="6"/>
  <c r="BK444" i="6"/>
  <c r="BJ444" i="6"/>
  <c r="BI444" i="6"/>
  <c r="BH444" i="6"/>
  <c r="BG444" i="6"/>
  <c r="BF444" i="6"/>
  <c r="BE444" i="6"/>
  <c r="BD444" i="6"/>
  <c r="BC444" i="6"/>
  <c r="BB444" i="6"/>
  <c r="BA444" i="6"/>
  <c r="AZ444" i="6"/>
  <c r="AY444" i="6"/>
  <c r="AX444" i="6"/>
  <c r="AW444" i="6"/>
  <c r="AV444" i="6"/>
  <c r="AU444" i="6"/>
  <c r="AT444" i="6"/>
  <c r="AS444" i="6"/>
  <c r="AR444" i="6"/>
  <c r="AQ444" i="6"/>
  <c r="AP444" i="6"/>
  <c r="AO444" i="6"/>
  <c r="AN444" i="6"/>
  <c r="AM444" i="6"/>
  <c r="AL444" i="6"/>
  <c r="AK444" i="6"/>
  <c r="AJ444" i="6"/>
  <c r="AI444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444" i="6"/>
  <c r="DE443" i="6"/>
  <c r="DD443" i="6"/>
  <c r="DC443" i="6"/>
  <c r="DB443" i="6"/>
  <c r="DA443" i="6"/>
  <c r="CZ443" i="6"/>
  <c r="CY443" i="6"/>
  <c r="CX443" i="6"/>
  <c r="CV443" i="6"/>
  <c r="CU443" i="6"/>
  <c r="CT443" i="6"/>
  <c r="CS443" i="6"/>
  <c r="CR443" i="6"/>
  <c r="CQ443" i="6"/>
  <c r="CP443" i="6"/>
  <c r="CO443" i="6"/>
  <c r="CN443" i="6"/>
  <c r="CM443" i="6"/>
  <c r="CL443" i="6"/>
  <c r="CK443" i="6"/>
  <c r="CJ443" i="6"/>
  <c r="CI443" i="6"/>
  <c r="CH443" i="6"/>
  <c r="CG443" i="6"/>
  <c r="CF443" i="6"/>
  <c r="CE443" i="6"/>
  <c r="CD443" i="6"/>
  <c r="CC443" i="6"/>
  <c r="CB443" i="6"/>
  <c r="CA443" i="6"/>
  <c r="BZ443" i="6"/>
  <c r="BY443" i="6"/>
  <c r="BX443" i="6"/>
  <c r="BW443" i="6"/>
  <c r="BV443" i="6"/>
  <c r="BU443" i="6"/>
  <c r="BT443" i="6"/>
  <c r="BS443" i="6"/>
  <c r="BR443" i="6"/>
  <c r="BQ443" i="6"/>
  <c r="BP443" i="6"/>
  <c r="BO443" i="6"/>
  <c r="BN443" i="6"/>
  <c r="BM443" i="6"/>
  <c r="BL443" i="6"/>
  <c r="BK443" i="6"/>
  <c r="BJ443" i="6"/>
  <c r="BI443" i="6"/>
  <c r="BH443" i="6"/>
  <c r="BG443" i="6"/>
  <c r="BF443" i="6"/>
  <c r="BE443" i="6"/>
  <c r="BD443" i="6"/>
  <c r="BC443" i="6"/>
  <c r="BB443" i="6"/>
  <c r="BA443" i="6"/>
  <c r="AZ443" i="6"/>
  <c r="AY443" i="6"/>
  <c r="AX443" i="6"/>
  <c r="AW443" i="6"/>
  <c r="AV443" i="6"/>
  <c r="AU443" i="6"/>
  <c r="AT443" i="6"/>
  <c r="AS443" i="6"/>
  <c r="AR443" i="6"/>
  <c r="AQ443" i="6"/>
  <c r="AP443" i="6"/>
  <c r="AO443" i="6"/>
  <c r="AN443" i="6"/>
  <c r="AM443" i="6"/>
  <c r="AL443" i="6"/>
  <c r="AK443" i="6"/>
  <c r="AJ443" i="6"/>
  <c r="AI443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443" i="6"/>
  <c r="DE442" i="6"/>
  <c r="DD442" i="6"/>
  <c r="DC442" i="6"/>
  <c r="DB442" i="6"/>
  <c r="DA442" i="6"/>
  <c r="CZ442" i="6"/>
  <c r="CY442" i="6"/>
  <c r="CX442" i="6"/>
  <c r="CV442" i="6"/>
  <c r="CU442" i="6"/>
  <c r="CT442" i="6"/>
  <c r="CS442" i="6"/>
  <c r="CR442" i="6"/>
  <c r="CQ442" i="6"/>
  <c r="CP442" i="6"/>
  <c r="CO442" i="6"/>
  <c r="CN442" i="6"/>
  <c r="CM442" i="6"/>
  <c r="CL442" i="6"/>
  <c r="CK442" i="6"/>
  <c r="CJ442" i="6"/>
  <c r="CI442" i="6"/>
  <c r="CH442" i="6"/>
  <c r="CG442" i="6"/>
  <c r="CF442" i="6"/>
  <c r="CE442" i="6"/>
  <c r="CD442" i="6"/>
  <c r="CC442" i="6"/>
  <c r="CB442" i="6"/>
  <c r="CA442" i="6"/>
  <c r="BZ442" i="6"/>
  <c r="BY442" i="6"/>
  <c r="BX442" i="6"/>
  <c r="BW442" i="6"/>
  <c r="BV442" i="6"/>
  <c r="BU442" i="6"/>
  <c r="BT442" i="6"/>
  <c r="BS442" i="6"/>
  <c r="BR442" i="6"/>
  <c r="BQ442" i="6"/>
  <c r="BP442" i="6"/>
  <c r="BO442" i="6"/>
  <c r="BN442" i="6"/>
  <c r="BM442" i="6"/>
  <c r="BL442" i="6"/>
  <c r="BK442" i="6"/>
  <c r="BJ442" i="6"/>
  <c r="BI442" i="6"/>
  <c r="BH442" i="6"/>
  <c r="BG442" i="6"/>
  <c r="BF442" i="6"/>
  <c r="BE442" i="6"/>
  <c r="BD442" i="6"/>
  <c r="BC442" i="6"/>
  <c r="BB442" i="6"/>
  <c r="BA442" i="6"/>
  <c r="AZ442" i="6"/>
  <c r="AY442" i="6"/>
  <c r="AX442" i="6"/>
  <c r="AW442" i="6"/>
  <c r="AV442" i="6"/>
  <c r="AU442" i="6"/>
  <c r="AT442" i="6"/>
  <c r="AS442" i="6"/>
  <c r="AR442" i="6"/>
  <c r="AQ442" i="6"/>
  <c r="AP442" i="6"/>
  <c r="AO442" i="6"/>
  <c r="AN442" i="6"/>
  <c r="AM442" i="6"/>
  <c r="AL442" i="6"/>
  <c r="AK442" i="6"/>
  <c r="AJ442" i="6"/>
  <c r="AI442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442" i="6"/>
  <c r="DE441" i="6"/>
  <c r="DD441" i="6"/>
  <c r="DC441" i="6"/>
  <c r="DB441" i="6"/>
  <c r="DA441" i="6"/>
  <c r="CZ441" i="6"/>
  <c r="CY441" i="6"/>
  <c r="CX441" i="6"/>
  <c r="CV441" i="6"/>
  <c r="CU441" i="6"/>
  <c r="CT441" i="6"/>
  <c r="CS441" i="6"/>
  <c r="CR441" i="6"/>
  <c r="CQ441" i="6"/>
  <c r="CP441" i="6"/>
  <c r="CO441" i="6"/>
  <c r="CN441" i="6"/>
  <c r="CM441" i="6"/>
  <c r="CL441" i="6"/>
  <c r="CK441" i="6"/>
  <c r="CJ441" i="6"/>
  <c r="CI441" i="6"/>
  <c r="CH441" i="6"/>
  <c r="CG441" i="6"/>
  <c r="CF441" i="6"/>
  <c r="CE441" i="6"/>
  <c r="CD441" i="6"/>
  <c r="CC441" i="6"/>
  <c r="CB441" i="6"/>
  <c r="CA441" i="6"/>
  <c r="BZ441" i="6"/>
  <c r="BY441" i="6"/>
  <c r="BX441" i="6"/>
  <c r="BW441" i="6"/>
  <c r="BV441" i="6"/>
  <c r="BU441" i="6"/>
  <c r="BT441" i="6"/>
  <c r="BS441" i="6"/>
  <c r="BR441" i="6"/>
  <c r="BQ441" i="6"/>
  <c r="BP441" i="6"/>
  <c r="BO441" i="6"/>
  <c r="BN441" i="6"/>
  <c r="BM441" i="6"/>
  <c r="BL441" i="6"/>
  <c r="BK441" i="6"/>
  <c r="BJ441" i="6"/>
  <c r="BI441" i="6"/>
  <c r="BH441" i="6"/>
  <c r="BG441" i="6"/>
  <c r="BF441" i="6"/>
  <c r="BE441" i="6"/>
  <c r="BD441" i="6"/>
  <c r="BC441" i="6"/>
  <c r="BB441" i="6"/>
  <c r="BA441" i="6"/>
  <c r="AZ441" i="6"/>
  <c r="AY441" i="6"/>
  <c r="AX441" i="6"/>
  <c r="AW441" i="6"/>
  <c r="AV441" i="6"/>
  <c r="AU441" i="6"/>
  <c r="AT441" i="6"/>
  <c r="AS441" i="6"/>
  <c r="AR441" i="6"/>
  <c r="AQ441" i="6"/>
  <c r="AP441" i="6"/>
  <c r="AO441" i="6"/>
  <c r="AN441" i="6"/>
  <c r="AM441" i="6"/>
  <c r="AL441" i="6"/>
  <c r="AK441" i="6"/>
  <c r="AJ441" i="6"/>
  <c r="AI441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441" i="6"/>
  <c r="DE440" i="6"/>
  <c r="DD440" i="6"/>
  <c r="DC440" i="6"/>
  <c r="DB440" i="6"/>
  <c r="DA440" i="6"/>
  <c r="CZ440" i="6"/>
  <c r="CY440" i="6"/>
  <c r="CX440" i="6"/>
  <c r="CV440" i="6"/>
  <c r="CU440" i="6"/>
  <c r="CT440" i="6"/>
  <c r="CS440" i="6"/>
  <c r="CR440" i="6"/>
  <c r="CQ440" i="6"/>
  <c r="CP440" i="6"/>
  <c r="CO440" i="6"/>
  <c r="CN440" i="6"/>
  <c r="CM440" i="6"/>
  <c r="CL440" i="6"/>
  <c r="CK440" i="6"/>
  <c r="CJ440" i="6"/>
  <c r="CI440" i="6"/>
  <c r="CH440" i="6"/>
  <c r="CG440" i="6"/>
  <c r="CF440" i="6"/>
  <c r="CE440" i="6"/>
  <c r="CD440" i="6"/>
  <c r="CC440" i="6"/>
  <c r="CB440" i="6"/>
  <c r="CA440" i="6"/>
  <c r="BZ440" i="6"/>
  <c r="BY440" i="6"/>
  <c r="BX440" i="6"/>
  <c r="BW440" i="6"/>
  <c r="BV440" i="6"/>
  <c r="BU440" i="6"/>
  <c r="BT440" i="6"/>
  <c r="BS440" i="6"/>
  <c r="BR440" i="6"/>
  <c r="BQ440" i="6"/>
  <c r="BP440" i="6"/>
  <c r="BO440" i="6"/>
  <c r="BN440" i="6"/>
  <c r="BM440" i="6"/>
  <c r="BL440" i="6"/>
  <c r="BK440" i="6"/>
  <c r="BJ440" i="6"/>
  <c r="BI440" i="6"/>
  <c r="BH440" i="6"/>
  <c r="BG440" i="6"/>
  <c r="BF440" i="6"/>
  <c r="BE440" i="6"/>
  <c r="BD440" i="6"/>
  <c r="BC440" i="6"/>
  <c r="BB440" i="6"/>
  <c r="BA440" i="6"/>
  <c r="AZ440" i="6"/>
  <c r="AY440" i="6"/>
  <c r="AX440" i="6"/>
  <c r="AW440" i="6"/>
  <c r="AV440" i="6"/>
  <c r="AU440" i="6"/>
  <c r="AT440" i="6"/>
  <c r="AS440" i="6"/>
  <c r="AR440" i="6"/>
  <c r="AQ440" i="6"/>
  <c r="AP440" i="6"/>
  <c r="AO440" i="6"/>
  <c r="AN440" i="6"/>
  <c r="AM440" i="6"/>
  <c r="AL440" i="6"/>
  <c r="AK440" i="6"/>
  <c r="AJ440" i="6"/>
  <c r="AI440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440" i="6"/>
  <c r="DE439" i="6"/>
  <c r="DD439" i="6"/>
  <c r="DC439" i="6"/>
  <c r="DB439" i="6"/>
  <c r="DA439" i="6"/>
  <c r="CZ439" i="6"/>
  <c r="CY439" i="6"/>
  <c r="CX439" i="6"/>
  <c r="CV439" i="6"/>
  <c r="CU439" i="6"/>
  <c r="CT439" i="6"/>
  <c r="CS439" i="6"/>
  <c r="CR439" i="6"/>
  <c r="CQ439" i="6"/>
  <c r="CP439" i="6"/>
  <c r="CO439" i="6"/>
  <c r="CN439" i="6"/>
  <c r="CM439" i="6"/>
  <c r="CL439" i="6"/>
  <c r="CK439" i="6"/>
  <c r="CJ439" i="6"/>
  <c r="CI439" i="6"/>
  <c r="CH439" i="6"/>
  <c r="CG439" i="6"/>
  <c r="CF439" i="6"/>
  <c r="CE439" i="6"/>
  <c r="CD439" i="6"/>
  <c r="CC439" i="6"/>
  <c r="CB439" i="6"/>
  <c r="CA439" i="6"/>
  <c r="BZ439" i="6"/>
  <c r="BY439" i="6"/>
  <c r="BX439" i="6"/>
  <c r="BW439" i="6"/>
  <c r="BV439" i="6"/>
  <c r="BU439" i="6"/>
  <c r="BT439" i="6"/>
  <c r="BS439" i="6"/>
  <c r="BR439" i="6"/>
  <c r="BQ439" i="6"/>
  <c r="BP439" i="6"/>
  <c r="BO439" i="6"/>
  <c r="BN439" i="6"/>
  <c r="BM439" i="6"/>
  <c r="BL439" i="6"/>
  <c r="BK439" i="6"/>
  <c r="BJ439" i="6"/>
  <c r="BI439" i="6"/>
  <c r="BH439" i="6"/>
  <c r="BG439" i="6"/>
  <c r="BF439" i="6"/>
  <c r="BE439" i="6"/>
  <c r="BD439" i="6"/>
  <c r="BC439" i="6"/>
  <c r="BB439" i="6"/>
  <c r="BA439" i="6"/>
  <c r="AZ439" i="6"/>
  <c r="AY439" i="6"/>
  <c r="AX439" i="6"/>
  <c r="AW439" i="6"/>
  <c r="AV439" i="6"/>
  <c r="AU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439" i="6"/>
  <c r="DE438" i="6"/>
  <c r="DD438" i="6"/>
  <c r="DC438" i="6"/>
  <c r="DB438" i="6"/>
  <c r="DA438" i="6"/>
  <c r="CZ438" i="6"/>
  <c r="CY438" i="6"/>
  <c r="CX438" i="6"/>
  <c r="CV438" i="6"/>
  <c r="CU438" i="6"/>
  <c r="CT438" i="6"/>
  <c r="CS438" i="6"/>
  <c r="CR438" i="6"/>
  <c r="CQ438" i="6"/>
  <c r="CP438" i="6"/>
  <c r="CO438" i="6"/>
  <c r="CN438" i="6"/>
  <c r="CM438" i="6"/>
  <c r="CL438" i="6"/>
  <c r="CK438" i="6"/>
  <c r="CJ438" i="6"/>
  <c r="CI438" i="6"/>
  <c r="CH438" i="6"/>
  <c r="CG438" i="6"/>
  <c r="CF438" i="6"/>
  <c r="CE438" i="6"/>
  <c r="CD438" i="6"/>
  <c r="CC438" i="6"/>
  <c r="CB438" i="6"/>
  <c r="CA438" i="6"/>
  <c r="BZ438" i="6"/>
  <c r="BY438" i="6"/>
  <c r="BX438" i="6"/>
  <c r="BW438" i="6"/>
  <c r="BV438" i="6"/>
  <c r="BU438" i="6"/>
  <c r="BT438" i="6"/>
  <c r="BS438" i="6"/>
  <c r="BR438" i="6"/>
  <c r="BQ438" i="6"/>
  <c r="BP438" i="6"/>
  <c r="BO438" i="6"/>
  <c r="BN438" i="6"/>
  <c r="BM438" i="6"/>
  <c r="BL438" i="6"/>
  <c r="BK438" i="6"/>
  <c r="BJ438" i="6"/>
  <c r="BI438" i="6"/>
  <c r="BH438" i="6"/>
  <c r="BG438" i="6"/>
  <c r="BF438" i="6"/>
  <c r="BE438" i="6"/>
  <c r="BD438" i="6"/>
  <c r="BC438" i="6"/>
  <c r="BB438" i="6"/>
  <c r="BA438" i="6"/>
  <c r="AZ438" i="6"/>
  <c r="AY438" i="6"/>
  <c r="AX438" i="6"/>
  <c r="AW438" i="6"/>
  <c r="AV438" i="6"/>
  <c r="AU438" i="6"/>
  <c r="AT438" i="6"/>
  <c r="AS438" i="6"/>
  <c r="AR438" i="6"/>
  <c r="AQ438" i="6"/>
  <c r="AP438" i="6"/>
  <c r="AO438" i="6"/>
  <c r="AN438" i="6"/>
  <c r="AM438" i="6"/>
  <c r="AL438" i="6"/>
  <c r="AK438" i="6"/>
  <c r="AJ438" i="6"/>
  <c r="AI438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438" i="6"/>
  <c r="DE437" i="6"/>
  <c r="DD437" i="6"/>
  <c r="DC437" i="6"/>
  <c r="DB437" i="6"/>
  <c r="DA437" i="6"/>
  <c r="CZ437" i="6"/>
  <c r="CY437" i="6"/>
  <c r="CX437" i="6"/>
  <c r="CV437" i="6"/>
  <c r="CU437" i="6"/>
  <c r="CT437" i="6"/>
  <c r="CS437" i="6"/>
  <c r="CR437" i="6"/>
  <c r="CQ437" i="6"/>
  <c r="CP437" i="6"/>
  <c r="CO437" i="6"/>
  <c r="CN437" i="6"/>
  <c r="CM437" i="6"/>
  <c r="CL437" i="6"/>
  <c r="CK437" i="6"/>
  <c r="CJ437" i="6"/>
  <c r="CI437" i="6"/>
  <c r="CH437" i="6"/>
  <c r="CG437" i="6"/>
  <c r="CF437" i="6"/>
  <c r="CE437" i="6"/>
  <c r="CD437" i="6"/>
  <c r="CC437" i="6"/>
  <c r="CB437" i="6"/>
  <c r="CA437" i="6"/>
  <c r="BZ437" i="6"/>
  <c r="BY437" i="6"/>
  <c r="BX437" i="6"/>
  <c r="BW437" i="6"/>
  <c r="BV437" i="6"/>
  <c r="BU437" i="6"/>
  <c r="BT437" i="6"/>
  <c r="BS437" i="6"/>
  <c r="BR437" i="6"/>
  <c r="BQ437" i="6"/>
  <c r="BP437" i="6"/>
  <c r="BO437" i="6"/>
  <c r="BN437" i="6"/>
  <c r="BM437" i="6"/>
  <c r="BL437" i="6"/>
  <c r="BK437" i="6"/>
  <c r="BJ437" i="6"/>
  <c r="BI437" i="6"/>
  <c r="BH437" i="6"/>
  <c r="BG437" i="6"/>
  <c r="BF437" i="6"/>
  <c r="BE437" i="6"/>
  <c r="BD437" i="6"/>
  <c r="BC437" i="6"/>
  <c r="BB437" i="6"/>
  <c r="BA437" i="6"/>
  <c r="AZ437" i="6"/>
  <c r="AY437" i="6"/>
  <c r="AX437" i="6"/>
  <c r="AW437" i="6"/>
  <c r="AV437" i="6"/>
  <c r="AU437" i="6"/>
  <c r="AT437" i="6"/>
  <c r="AS437" i="6"/>
  <c r="AR437" i="6"/>
  <c r="AQ437" i="6"/>
  <c r="AP437" i="6"/>
  <c r="AO437" i="6"/>
  <c r="AN437" i="6"/>
  <c r="AM437" i="6"/>
  <c r="AL437" i="6"/>
  <c r="AK437" i="6"/>
  <c r="AJ437" i="6"/>
  <c r="AI437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437" i="6"/>
  <c r="DE436" i="6"/>
  <c r="DD436" i="6"/>
  <c r="DC436" i="6"/>
  <c r="DB436" i="6"/>
  <c r="DA436" i="6"/>
  <c r="CZ436" i="6"/>
  <c r="CY436" i="6"/>
  <c r="CX436" i="6"/>
  <c r="CV436" i="6"/>
  <c r="CU436" i="6"/>
  <c r="CT436" i="6"/>
  <c r="CS436" i="6"/>
  <c r="CR436" i="6"/>
  <c r="CQ436" i="6"/>
  <c r="CP436" i="6"/>
  <c r="CO436" i="6"/>
  <c r="CN436" i="6"/>
  <c r="CM436" i="6"/>
  <c r="CL436" i="6"/>
  <c r="CK436" i="6"/>
  <c r="CJ436" i="6"/>
  <c r="CI436" i="6"/>
  <c r="CH436" i="6"/>
  <c r="CG436" i="6"/>
  <c r="CF436" i="6"/>
  <c r="CE436" i="6"/>
  <c r="CD436" i="6"/>
  <c r="CC436" i="6"/>
  <c r="CB436" i="6"/>
  <c r="CA436" i="6"/>
  <c r="BZ436" i="6"/>
  <c r="BY436" i="6"/>
  <c r="BX436" i="6"/>
  <c r="BW436" i="6"/>
  <c r="BV436" i="6"/>
  <c r="BU436" i="6"/>
  <c r="BT436" i="6"/>
  <c r="BS436" i="6"/>
  <c r="BR436" i="6"/>
  <c r="BQ436" i="6"/>
  <c r="BP436" i="6"/>
  <c r="BO436" i="6"/>
  <c r="BN436" i="6"/>
  <c r="BM436" i="6"/>
  <c r="BL436" i="6"/>
  <c r="BK436" i="6"/>
  <c r="BJ436" i="6"/>
  <c r="BI436" i="6"/>
  <c r="BH436" i="6"/>
  <c r="BG436" i="6"/>
  <c r="BF436" i="6"/>
  <c r="BE436" i="6"/>
  <c r="BD436" i="6"/>
  <c r="BC436" i="6"/>
  <c r="BB436" i="6"/>
  <c r="BA436" i="6"/>
  <c r="AZ436" i="6"/>
  <c r="AY436" i="6"/>
  <c r="AX436" i="6"/>
  <c r="AW436" i="6"/>
  <c r="AV436" i="6"/>
  <c r="AU436" i="6"/>
  <c r="AT436" i="6"/>
  <c r="AS436" i="6"/>
  <c r="AR436" i="6"/>
  <c r="AQ436" i="6"/>
  <c r="AP436" i="6"/>
  <c r="AO436" i="6"/>
  <c r="AN436" i="6"/>
  <c r="AM436" i="6"/>
  <c r="AL436" i="6"/>
  <c r="AK436" i="6"/>
  <c r="AJ436" i="6"/>
  <c r="AI436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436" i="6"/>
  <c r="DE435" i="6"/>
  <c r="DD435" i="6"/>
  <c r="DC435" i="6"/>
  <c r="DB435" i="6"/>
  <c r="DA435" i="6"/>
  <c r="CZ435" i="6"/>
  <c r="CY435" i="6"/>
  <c r="CX435" i="6"/>
  <c r="CV435" i="6"/>
  <c r="CU435" i="6"/>
  <c r="CT435" i="6"/>
  <c r="CS435" i="6"/>
  <c r="CR435" i="6"/>
  <c r="CQ435" i="6"/>
  <c r="CP435" i="6"/>
  <c r="CO435" i="6"/>
  <c r="CN435" i="6"/>
  <c r="CM435" i="6"/>
  <c r="CL435" i="6"/>
  <c r="CK435" i="6"/>
  <c r="CJ435" i="6"/>
  <c r="CI435" i="6"/>
  <c r="CH435" i="6"/>
  <c r="CG435" i="6"/>
  <c r="CF435" i="6"/>
  <c r="CE435" i="6"/>
  <c r="CD435" i="6"/>
  <c r="CC435" i="6"/>
  <c r="CB435" i="6"/>
  <c r="CA435" i="6"/>
  <c r="BZ435" i="6"/>
  <c r="BY435" i="6"/>
  <c r="BX435" i="6"/>
  <c r="BW435" i="6"/>
  <c r="BV435" i="6"/>
  <c r="BU435" i="6"/>
  <c r="BT435" i="6"/>
  <c r="BS435" i="6"/>
  <c r="BR435" i="6"/>
  <c r="BQ435" i="6"/>
  <c r="BP435" i="6"/>
  <c r="BO435" i="6"/>
  <c r="BN435" i="6"/>
  <c r="BM435" i="6"/>
  <c r="BL435" i="6"/>
  <c r="BK435" i="6"/>
  <c r="BJ435" i="6"/>
  <c r="BI435" i="6"/>
  <c r="BH435" i="6"/>
  <c r="BG435" i="6"/>
  <c r="BF435" i="6"/>
  <c r="BE435" i="6"/>
  <c r="BD435" i="6"/>
  <c r="BC435" i="6"/>
  <c r="BB435" i="6"/>
  <c r="BA435" i="6"/>
  <c r="AZ435" i="6"/>
  <c r="AY435" i="6"/>
  <c r="AX435" i="6"/>
  <c r="AW435" i="6"/>
  <c r="AV435" i="6"/>
  <c r="AU435" i="6"/>
  <c r="AT435" i="6"/>
  <c r="AS435" i="6"/>
  <c r="AR435" i="6"/>
  <c r="AQ435" i="6"/>
  <c r="AP435" i="6"/>
  <c r="AO435" i="6"/>
  <c r="AN435" i="6"/>
  <c r="AM435" i="6"/>
  <c r="AL435" i="6"/>
  <c r="AK435" i="6"/>
  <c r="AJ435" i="6"/>
  <c r="AI435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435" i="6"/>
  <c r="DE434" i="6"/>
  <c r="DD434" i="6"/>
  <c r="DC434" i="6"/>
  <c r="DB434" i="6"/>
  <c r="DA434" i="6"/>
  <c r="CZ434" i="6"/>
  <c r="CY434" i="6"/>
  <c r="CX434" i="6"/>
  <c r="CV434" i="6"/>
  <c r="CU434" i="6"/>
  <c r="CT434" i="6"/>
  <c r="CS434" i="6"/>
  <c r="CR434" i="6"/>
  <c r="CQ434" i="6"/>
  <c r="CP434" i="6"/>
  <c r="CO434" i="6"/>
  <c r="CN434" i="6"/>
  <c r="CM434" i="6"/>
  <c r="CL434" i="6"/>
  <c r="CK434" i="6"/>
  <c r="CJ434" i="6"/>
  <c r="CI434" i="6"/>
  <c r="CH434" i="6"/>
  <c r="CG434" i="6"/>
  <c r="CF434" i="6"/>
  <c r="CE434" i="6"/>
  <c r="CD434" i="6"/>
  <c r="CC434" i="6"/>
  <c r="CB434" i="6"/>
  <c r="CA434" i="6"/>
  <c r="BZ434" i="6"/>
  <c r="BY434" i="6"/>
  <c r="BX434" i="6"/>
  <c r="BW434" i="6"/>
  <c r="BV434" i="6"/>
  <c r="BU434" i="6"/>
  <c r="BT434" i="6"/>
  <c r="BS434" i="6"/>
  <c r="BR434" i="6"/>
  <c r="BQ434" i="6"/>
  <c r="BP434" i="6"/>
  <c r="BO434" i="6"/>
  <c r="BN434" i="6"/>
  <c r="BM434" i="6"/>
  <c r="BL434" i="6"/>
  <c r="BK434" i="6"/>
  <c r="BJ434" i="6"/>
  <c r="BI434" i="6"/>
  <c r="BH434" i="6"/>
  <c r="BG434" i="6"/>
  <c r="BF434" i="6"/>
  <c r="BE434" i="6"/>
  <c r="BD434" i="6"/>
  <c r="BC434" i="6"/>
  <c r="BB434" i="6"/>
  <c r="BA434" i="6"/>
  <c r="AZ434" i="6"/>
  <c r="AY434" i="6"/>
  <c r="AX434" i="6"/>
  <c r="AW434" i="6"/>
  <c r="AV434" i="6"/>
  <c r="AU434" i="6"/>
  <c r="AT434" i="6"/>
  <c r="AS434" i="6"/>
  <c r="AR434" i="6"/>
  <c r="AQ434" i="6"/>
  <c r="AP434" i="6"/>
  <c r="AO434" i="6"/>
  <c r="AN434" i="6"/>
  <c r="AM434" i="6"/>
  <c r="AL434" i="6"/>
  <c r="AK434" i="6"/>
  <c r="AJ434" i="6"/>
  <c r="AI434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434" i="6"/>
  <c r="DE433" i="6"/>
  <c r="DD433" i="6"/>
  <c r="DC433" i="6"/>
  <c r="DB433" i="6"/>
  <c r="DA433" i="6"/>
  <c r="CZ433" i="6"/>
  <c r="CY433" i="6"/>
  <c r="CX433" i="6"/>
  <c r="CV433" i="6"/>
  <c r="CU433" i="6"/>
  <c r="CT433" i="6"/>
  <c r="CS433" i="6"/>
  <c r="CR433" i="6"/>
  <c r="CQ433" i="6"/>
  <c r="CP433" i="6"/>
  <c r="CO433" i="6"/>
  <c r="CN433" i="6"/>
  <c r="CM433" i="6"/>
  <c r="CL433" i="6"/>
  <c r="CK433" i="6"/>
  <c r="CJ433" i="6"/>
  <c r="CI433" i="6"/>
  <c r="CH433" i="6"/>
  <c r="CG433" i="6"/>
  <c r="CF433" i="6"/>
  <c r="CE433" i="6"/>
  <c r="CD433" i="6"/>
  <c r="CC433" i="6"/>
  <c r="CB433" i="6"/>
  <c r="CA433" i="6"/>
  <c r="BZ433" i="6"/>
  <c r="BY433" i="6"/>
  <c r="BX433" i="6"/>
  <c r="BW433" i="6"/>
  <c r="BV433" i="6"/>
  <c r="BU433" i="6"/>
  <c r="BT433" i="6"/>
  <c r="BS433" i="6"/>
  <c r="BR433" i="6"/>
  <c r="BQ433" i="6"/>
  <c r="BP433" i="6"/>
  <c r="BO433" i="6"/>
  <c r="BN433" i="6"/>
  <c r="BM433" i="6"/>
  <c r="BL433" i="6"/>
  <c r="BK433" i="6"/>
  <c r="BJ433" i="6"/>
  <c r="BI433" i="6"/>
  <c r="BH433" i="6"/>
  <c r="BG433" i="6"/>
  <c r="BF433" i="6"/>
  <c r="BE433" i="6"/>
  <c r="BD433" i="6"/>
  <c r="BC433" i="6"/>
  <c r="BB433" i="6"/>
  <c r="BA433" i="6"/>
  <c r="AZ433" i="6"/>
  <c r="AY433" i="6"/>
  <c r="AX433" i="6"/>
  <c r="AW433" i="6"/>
  <c r="AV433" i="6"/>
  <c r="AU433" i="6"/>
  <c r="AT433" i="6"/>
  <c r="AS433" i="6"/>
  <c r="AR433" i="6"/>
  <c r="AQ433" i="6"/>
  <c r="AP433" i="6"/>
  <c r="AO433" i="6"/>
  <c r="AN433" i="6"/>
  <c r="AM433" i="6"/>
  <c r="AL433" i="6"/>
  <c r="AK433" i="6"/>
  <c r="AJ433" i="6"/>
  <c r="AI433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433" i="6"/>
  <c r="DE432" i="6"/>
  <c r="DD432" i="6"/>
  <c r="DC432" i="6"/>
  <c r="DB432" i="6"/>
  <c r="DA432" i="6"/>
  <c r="CZ432" i="6"/>
  <c r="CY432" i="6"/>
  <c r="CX432" i="6"/>
  <c r="CV432" i="6"/>
  <c r="CU432" i="6"/>
  <c r="CT432" i="6"/>
  <c r="CS432" i="6"/>
  <c r="CR432" i="6"/>
  <c r="CQ432" i="6"/>
  <c r="CP432" i="6"/>
  <c r="CO432" i="6"/>
  <c r="CN432" i="6"/>
  <c r="CM432" i="6"/>
  <c r="CL432" i="6"/>
  <c r="CK432" i="6"/>
  <c r="CJ432" i="6"/>
  <c r="CI432" i="6"/>
  <c r="CH432" i="6"/>
  <c r="CG432" i="6"/>
  <c r="CF432" i="6"/>
  <c r="CE432" i="6"/>
  <c r="CD432" i="6"/>
  <c r="CC432" i="6"/>
  <c r="CB432" i="6"/>
  <c r="CA432" i="6"/>
  <c r="BZ432" i="6"/>
  <c r="BY432" i="6"/>
  <c r="BX432" i="6"/>
  <c r="BW432" i="6"/>
  <c r="BV432" i="6"/>
  <c r="BU432" i="6"/>
  <c r="BT432" i="6"/>
  <c r="BS432" i="6"/>
  <c r="BR432" i="6"/>
  <c r="BQ432" i="6"/>
  <c r="BP432" i="6"/>
  <c r="BO432" i="6"/>
  <c r="BN432" i="6"/>
  <c r="BM432" i="6"/>
  <c r="BL432" i="6"/>
  <c r="BK432" i="6"/>
  <c r="BJ432" i="6"/>
  <c r="BI432" i="6"/>
  <c r="BH432" i="6"/>
  <c r="BG432" i="6"/>
  <c r="BF432" i="6"/>
  <c r="BE432" i="6"/>
  <c r="BD432" i="6"/>
  <c r="BC432" i="6"/>
  <c r="BB432" i="6"/>
  <c r="BA432" i="6"/>
  <c r="AZ432" i="6"/>
  <c r="AY432" i="6"/>
  <c r="AX432" i="6"/>
  <c r="AW432" i="6"/>
  <c r="AV432" i="6"/>
  <c r="AU432" i="6"/>
  <c r="AT432" i="6"/>
  <c r="AS432" i="6"/>
  <c r="AR432" i="6"/>
  <c r="AQ432" i="6"/>
  <c r="AP432" i="6"/>
  <c r="AO432" i="6"/>
  <c r="AN432" i="6"/>
  <c r="AM432" i="6"/>
  <c r="AL432" i="6"/>
  <c r="AK432" i="6"/>
  <c r="AJ432" i="6"/>
  <c r="AI432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432" i="6"/>
  <c r="DE431" i="6"/>
  <c r="DD431" i="6"/>
  <c r="DC431" i="6"/>
  <c r="DB431" i="6"/>
  <c r="DA431" i="6"/>
  <c r="CZ431" i="6"/>
  <c r="CY431" i="6"/>
  <c r="CX431" i="6"/>
  <c r="CV431" i="6"/>
  <c r="CU431" i="6"/>
  <c r="CT431" i="6"/>
  <c r="CS431" i="6"/>
  <c r="CR431" i="6"/>
  <c r="CQ431" i="6"/>
  <c r="CP431" i="6"/>
  <c r="CO431" i="6"/>
  <c r="CN431" i="6"/>
  <c r="CM431" i="6"/>
  <c r="CL431" i="6"/>
  <c r="CK431" i="6"/>
  <c r="CJ431" i="6"/>
  <c r="CI431" i="6"/>
  <c r="CH431" i="6"/>
  <c r="CG431" i="6"/>
  <c r="CF431" i="6"/>
  <c r="CE431" i="6"/>
  <c r="CD431" i="6"/>
  <c r="CC431" i="6"/>
  <c r="CB431" i="6"/>
  <c r="CA431" i="6"/>
  <c r="BZ431" i="6"/>
  <c r="BY431" i="6"/>
  <c r="BX431" i="6"/>
  <c r="BW431" i="6"/>
  <c r="BV431" i="6"/>
  <c r="BU431" i="6"/>
  <c r="BT431" i="6"/>
  <c r="BS431" i="6"/>
  <c r="BR431" i="6"/>
  <c r="BQ431" i="6"/>
  <c r="BP431" i="6"/>
  <c r="BO431" i="6"/>
  <c r="BN431" i="6"/>
  <c r="BM431" i="6"/>
  <c r="BL431" i="6"/>
  <c r="BK431" i="6"/>
  <c r="BJ431" i="6"/>
  <c r="BI431" i="6"/>
  <c r="BH431" i="6"/>
  <c r="BG431" i="6"/>
  <c r="BF431" i="6"/>
  <c r="BE431" i="6"/>
  <c r="BD431" i="6"/>
  <c r="BC431" i="6"/>
  <c r="BB431" i="6"/>
  <c r="BA431" i="6"/>
  <c r="AZ431" i="6"/>
  <c r="AY431" i="6"/>
  <c r="AX431" i="6"/>
  <c r="AW431" i="6"/>
  <c r="AV431" i="6"/>
  <c r="AU431" i="6"/>
  <c r="AT431" i="6"/>
  <c r="AS431" i="6"/>
  <c r="AR431" i="6"/>
  <c r="AQ431" i="6"/>
  <c r="AP431" i="6"/>
  <c r="AO431" i="6"/>
  <c r="AN431" i="6"/>
  <c r="AM431" i="6"/>
  <c r="AL431" i="6"/>
  <c r="AK431" i="6"/>
  <c r="AJ431" i="6"/>
  <c r="AI431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431" i="6"/>
  <c r="DE430" i="6"/>
  <c r="DD430" i="6"/>
  <c r="DC430" i="6"/>
  <c r="DB430" i="6"/>
  <c r="DA430" i="6"/>
  <c r="CZ430" i="6"/>
  <c r="CY430" i="6"/>
  <c r="CX430" i="6"/>
  <c r="CV430" i="6"/>
  <c r="CU430" i="6"/>
  <c r="CT430" i="6"/>
  <c r="CS430" i="6"/>
  <c r="CR430" i="6"/>
  <c r="CQ430" i="6"/>
  <c r="CP430" i="6"/>
  <c r="CO430" i="6"/>
  <c r="CN430" i="6"/>
  <c r="CM430" i="6"/>
  <c r="CL430" i="6"/>
  <c r="CK430" i="6"/>
  <c r="CJ430" i="6"/>
  <c r="CI430" i="6"/>
  <c r="CH430" i="6"/>
  <c r="CG430" i="6"/>
  <c r="CF430" i="6"/>
  <c r="CE430" i="6"/>
  <c r="CD430" i="6"/>
  <c r="CC430" i="6"/>
  <c r="CB430" i="6"/>
  <c r="CA430" i="6"/>
  <c r="BZ430" i="6"/>
  <c r="BY430" i="6"/>
  <c r="BX430" i="6"/>
  <c r="BW430" i="6"/>
  <c r="BV430" i="6"/>
  <c r="BU430" i="6"/>
  <c r="BT430" i="6"/>
  <c r="BS430" i="6"/>
  <c r="BR430" i="6"/>
  <c r="BQ430" i="6"/>
  <c r="BP430" i="6"/>
  <c r="BO430" i="6"/>
  <c r="BN430" i="6"/>
  <c r="BM430" i="6"/>
  <c r="BL430" i="6"/>
  <c r="BK430" i="6"/>
  <c r="BJ430" i="6"/>
  <c r="BI430" i="6"/>
  <c r="BH430" i="6"/>
  <c r="BG430" i="6"/>
  <c r="BF430" i="6"/>
  <c r="BE430" i="6"/>
  <c r="BD430" i="6"/>
  <c r="BC430" i="6"/>
  <c r="BB430" i="6"/>
  <c r="BA430" i="6"/>
  <c r="AZ430" i="6"/>
  <c r="AY430" i="6"/>
  <c r="AX430" i="6"/>
  <c r="AW430" i="6"/>
  <c r="AV430" i="6"/>
  <c r="AU430" i="6"/>
  <c r="AT430" i="6"/>
  <c r="AS430" i="6"/>
  <c r="AR430" i="6"/>
  <c r="AQ430" i="6"/>
  <c r="AP430" i="6"/>
  <c r="AO430" i="6"/>
  <c r="AN430" i="6"/>
  <c r="AM430" i="6"/>
  <c r="AL430" i="6"/>
  <c r="AK430" i="6"/>
  <c r="AJ430" i="6"/>
  <c r="AI430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430" i="6"/>
  <c r="DE429" i="6"/>
  <c r="DD429" i="6"/>
  <c r="DC429" i="6"/>
  <c r="DB429" i="6"/>
  <c r="DA429" i="6"/>
  <c r="CZ429" i="6"/>
  <c r="CY429" i="6"/>
  <c r="CX429" i="6"/>
  <c r="CV429" i="6"/>
  <c r="CU429" i="6"/>
  <c r="CT429" i="6"/>
  <c r="CS429" i="6"/>
  <c r="CR429" i="6"/>
  <c r="CQ429" i="6"/>
  <c r="CP429" i="6"/>
  <c r="CO429" i="6"/>
  <c r="CN429" i="6"/>
  <c r="CM429" i="6"/>
  <c r="CL429" i="6"/>
  <c r="CK429" i="6"/>
  <c r="CJ429" i="6"/>
  <c r="CI429" i="6"/>
  <c r="CH429" i="6"/>
  <c r="CG429" i="6"/>
  <c r="CF429" i="6"/>
  <c r="CE429" i="6"/>
  <c r="CD429" i="6"/>
  <c r="CC429" i="6"/>
  <c r="CB429" i="6"/>
  <c r="CA429" i="6"/>
  <c r="BZ429" i="6"/>
  <c r="BY429" i="6"/>
  <c r="BX429" i="6"/>
  <c r="BW429" i="6"/>
  <c r="BV429" i="6"/>
  <c r="BU429" i="6"/>
  <c r="BT429" i="6"/>
  <c r="BS429" i="6"/>
  <c r="BR429" i="6"/>
  <c r="BQ429" i="6"/>
  <c r="BP429" i="6"/>
  <c r="BO429" i="6"/>
  <c r="BN429" i="6"/>
  <c r="BM429" i="6"/>
  <c r="BL429" i="6"/>
  <c r="BK429" i="6"/>
  <c r="BJ429" i="6"/>
  <c r="BI429" i="6"/>
  <c r="BH429" i="6"/>
  <c r="BG429" i="6"/>
  <c r="BF429" i="6"/>
  <c r="BE429" i="6"/>
  <c r="BD429" i="6"/>
  <c r="BC429" i="6"/>
  <c r="BB429" i="6"/>
  <c r="BA429" i="6"/>
  <c r="AZ429" i="6"/>
  <c r="AY429" i="6"/>
  <c r="AX429" i="6"/>
  <c r="AW429" i="6"/>
  <c r="AV429" i="6"/>
  <c r="AU429" i="6"/>
  <c r="AT429" i="6"/>
  <c r="AS429" i="6"/>
  <c r="AR429" i="6"/>
  <c r="AQ429" i="6"/>
  <c r="AP429" i="6"/>
  <c r="AO429" i="6"/>
  <c r="AN429" i="6"/>
  <c r="AM429" i="6"/>
  <c r="AL429" i="6"/>
  <c r="AK429" i="6"/>
  <c r="AJ429" i="6"/>
  <c r="AI429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429" i="6"/>
  <c r="DE428" i="6"/>
  <c r="DD428" i="6"/>
  <c r="DC428" i="6"/>
  <c r="DB428" i="6"/>
  <c r="DA428" i="6"/>
  <c r="CZ428" i="6"/>
  <c r="CY428" i="6"/>
  <c r="CX428" i="6"/>
  <c r="CV428" i="6"/>
  <c r="CU428" i="6"/>
  <c r="CT428" i="6"/>
  <c r="CS428" i="6"/>
  <c r="CR428" i="6"/>
  <c r="CQ428" i="6"/>
  <c r="CP428" i="6"/>
  <c r="CO428" i="6"/>
  <c r="CN428" i="6"/>
  <c r="CM428" i="6"/>
  <c r="CL428" i="6"/>
  <c r="CK428" i="6"/>
  <c r="CJ428" i="6"/>
  <c r="CI428" i="6"/>
  <c r="CH428" i="6"/>
  <c r="CG428" i="6"/>
  <c r="CF428" i="6"/>
  <c r="CE428" i="6"/>
  <c r="CD428" i="6"/>
  <c r="CC428" i="6"/>
  <c r="CB428" i="6"/>
  <c r="CA428" i="6"/>
  <c r="BZ428" i="6"/>
  <c r="BY428" i="6"/>
  <c r="BX428" i="6"/>
  <c r="BW428" i="6"/>
  <c r="BV428" i="6"/>
  <c r="BU428" i="6"/>
  <c r="BT428" i="6"/>
  <c r="BS428" i="6"/>
  <c r="BR428" i="6"/>
  <c r="BQ428" i="6"/>
  <c r="BP428" i="6"/>
  <c r="BO428" i="6"/>
  <c r="BN428" i="6"/>
  <c r="BM428" i="6"/>
  <c r="BL428" i="6"/>
  <c r="BK428" i="6"/>
  <c r="BJ428" i="6"/>
  <c r="BI428" i="6"/>
  <c r="BH428" i="6"/>
  <c r="BG428" i="6"/>
  <c r="BF428" i="6"/>
  <c r="BE428" i="6"/>
  <c r="BD428" i="6"/>
  <c r="BC428" i="6"/>
  <c r="BB428" i="6"/>
  <c r="BA428" i="6"/>
  <c r="AZ428" i="6"/>
  <c r="AY428" i="6"/>
  <c r="AX428" i="6"/>
  <c r="AW428" i="6"/>
  <c r="AV428" i="6"/>
  <c r="AU428" i="6"/>
  <c r="AT428" i="6"/>
  <c r="AS428" i="6"/>
  <c r="AR428" i="6"/>
  <c r="AQ428" i="6"/>
  <c r="AP428" i="6"/>
  <c r="AO428" i="6"/>
  <c r="AN428" i="6"/>
  <c r="AM428" i="6"/>
  <c r="AL428" i="6"/>
  <c r="AK428" i="6"/>
  <c r="AJ428" i="6"/>
  <c r="AI428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428" i="6"/>
  <c r="DE427" i="6"/>
  <c r="DD427" i="6"/>
  <c r="DC427" i="6"/>
  <c r="DB427" i="6"/>
  <c r="DA427" i="6"/>
  <c r="CZ427" i="6"/>
  <c r="CY427" i="6"/>
  <c r="CX427" i="6"/>
  <c r="CV427" i="6"/>
  <c r="CU427" i="6"/>
  <c r="CT427" i="6"/>
  <c r="CS427" i="6"/>
  <c r="CR427" i="6"/>
  <c r="CQ427" i="6"/>
  <c r="CP427" i="6"/>
  <c r="CO427" i="6"/>
  <c r="CN427" i="6"/>
  <c r="CM427" i="6"/>
  <c r="CL427" i="6"/>
  <c r="CK427" i="6"/>
  <c r="CJ427" i="6"/>
  <c r="CI427" i="6"/>
  <c r="CH427" i="6"/>
  <c r="CG427" i="6"/>
  <c r="CF427" i="6"/>
  <c r="CE427" i="6"/>
  <c r="CD427" i="6"/>
  <c r="CC427" i="6"/>
  <c r="CB427" i="6"/>
  <c r="CA427" i="6"/>
  <c r="BZ427" i="6"/>
  <c r="BY427" i="6"/>
  <c r="BX427" i="6"/>
  <c r="BW427" i="6"/>
  <c r="BV427" i="6"/>
  <c r="BU427" i="6"/>
  <c r="BT427" i="6"/>
  <c r="BS427" i="6"/>
  <c r="BR427" i="6"/>
  <c r="BQ427" i="6"/>
  <c r="BP427" i="6"/>
  <c r="BO427" i="6"/>
  <c r="BN427" i="6"/>
  <c r="BM427" i="6"/>
  <c r="BL427" i="6"/>
  <c r="BK427" i="6"/>
  <c r="BJ427" i="6"/>
  <c r="BI427" i="6"/>
  <c r="BH427" i="6"/>
  <c r="BG427" i="6"/>
  <c r="BF427" i="6"/>
  <c r="BE427" i="6"/>
  <c r="BD427" i="6"/>
  <c r="BC427" i="6"/>
  <c r="BB427" i="6"/>
  <c r="BA427" i="6"/>
  <c r="AZ427" i="6"/>
  <c r="AY427" i="6"/>
  <c r="AX427" i="6"/>
  <c r="AW427" i="6"/>
  <c r="AV427" i="6"/>
  <c r="AU427" i="6"/>
  <c r="AT427" i="6"/>
  <c r="AS427" i="6"/>
  <c r="AR427" i="6"/>
  <c r="AQ427" i="6"/>
  <c r="AP427" i="6"/>
  <c r="AO427" i="6"/>
  <c r="AN427" i="6"/>
  <c r="AM427" i="6"/>
  <c r="AL427" i="6"/>
  <c r="AK427" i="6"/>
  <c r="AJ427" i="6"/>
  <c r="AI427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427" i="6"/>
  <c r="DE426" i="6"/>
  <c r="DD426" i="6"/>
  <c r="DC426" i="6"/>
  <c r="DB426" i="6"/>
  <c r="DA426" i="6"/>
  <c r="CZ426" i="6"/>
  <c r="CY426" i="6"/>
  <c r="CX426" i="6"/>
  <c r="CV426" i="6"/>
  <c r="CU426" i="6"/>
  <c r="CT426" i="6"/>
  <c r="CS426" i="6"/>
  <c r="CR426" i="6"/>
  <c r="CQ426" i="6"/>
  <c r="CP426" i="6"/>
  <c r="CO426" i="6"/>
  <c r="CN426" i="6"/>
  <c r="CM426" i="6"/>
  <c r="CL426" i="6"/>
  <c r="CK426" i="6"/>
  <c r="CJ426" i="6"/>
  <c r="CI426" i="6"/>
  <c r="CH426" i="6"/>
  <c r="CG426" i="6"/>
  <c r="CF426" i="6"/>
  <c r="CE426" i="6"/>
  <c r="CD426" i="6"/>
  <c r="CC426" i="6"/>
  <c r="CB426" i="6"/>
  <c r="CA426" i="6"/>
  <c r="BZ426" i="6"/>
  <c r="BY426" i="6"/>
  <c r="BX426" i="6"/>
  <c r="BW426" i="6"/>
  <c r="BV426" i="6"/>
  <c r="BU426" i="6"/>
  <c r="BT426" i="6"/>
  <c r="BS426" i="6"/>
  <c r="BR426" i="6"/>
  <c r="BQ426" i="6"/>
  <c r="BP426" i="6"/>
  <c r="BO426" i="6"/>
  <c r="BN426" i="6"/>
  <c r="BM426" i="6"/>
  <c r="BL426" i="6"/>
  <c r="BK426" i="6"/>
  <c r="BJ426" i="6"/>
  <c r="BI426" i="6"/>
  <c r="BH426" i="6"/>
  <c r="BG426" i="6"/>
  <c r="BF426" i="6"/>
  <c r="BE426" i="6"/>
  <c r="BD426" i="6"/>
  <c r="BC426" i="6"/>
  <c r="BB426" i="6"/>
  <c r="BA426" i="6"/>
  <c r="AZ426" i="6"/>
  <c r="AY426" i="6"/>
  <c r="AX426" i="6"/>
  <c r="AW426" i="6"/>
  <c r="AV426" i="6"/>
  <c r="AU426" i="6"/>
  <c r="AT426" i="6"/>
  <c r="AS426" i="6"/>
  <c r="AR426" i="6"/>
  <c r="AQ426" i="6"/>
  <c r="AP426" i="6"/>
  <c r="AO426" i="6"/>
  <c r="AN426" i="6"/>
  <c r="AM426" i="6"/>
  <c r="AL426" i="6"/>
  <c r="AK426" i="6"/>
  <c r="AJ426" i="6"/>
  <c r="AI426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426" i="6"/>
  <c r="DE425" i="6"/>
  <c r="DD425" i="6"/>
  <c r="DC425" i="6"/>
  <c r="DB425" i="6"/>
  <c r="DA425" i="6"/>
  <c r="CZ425" i="6"/>
  <c r="CY425" i="6"/>
  <c r="CX425" i="6"/>
  <c r="CV425" i="6"/>
  <c r="CU425" i="6"/>
  <c r="CT425" i="6"/>
  <c r="CS425" i="6"/>
  <c r="CR425" i="6"/>
  <c r="CQ425" i="6"/>
  <c r="CP425" i="6"/>
  <c r="CO425" i="6"/>
  <c r="CN425" i="6"/>
  <c r="CM425" i="6"/>
  <c r="CL425" i="6"/>
  <c r="CK425" i="6"/>
  <c r="CJ425" i="6"/>
  <c r="CI425" i="6"/>
  <c r="CH425" i="6"/>
  <c r="CG425" i="6"/>
  <c r="CF425" i="6"/>
  <c r="CE425" i="6"/>
  <c r="CD425" i="6"/>
  <c r="CC425" i="6"/>
  <c r="CB425" i="6"/>
  <c r="CA425" i="6"/>
  <c r="BZ425" i="6"/>
  <c r="BY425" i="6"/>
  <c r="BX425" i="6"/>
  <c r="BW425" i="6"/>
  <c r="BV425" i="6"/>
  <c r="BU425" i="6"/>
  <c r="BT425" i="6"/>
  <c r="BS425" i="6"/>
  <c r="BR425" i="6"/>
  <c r="BQ425" i="6"/>
  <c r="BP425" i="6"/>
  <c r="BO425" i="6"/>
  <c r="BN425" i="6"/>
  <c r="BM425" i="6"/>
  <c r="BL425" i="6"/>
  <c r="BK425" i="6"/>
  <c r="BJ425" i="6"/>
  <c r="BI425" i="6"/>
  <c r="BH425" i="6"/>
  <c r="BG425" i="6"/>
  <c r="BF425" i="6"/>
  <c r="BE425" i="6"/>
  <c r="BD425" i="6"/>
  <c r="BC425" i="6"/>
  <c r="BB425" i="6"/>
  <c r="BA425" i="6"/>
  <c r="AZ425" i="6"/>
  <c r="AY425" i="6"/>
  <c r="AX425" i="6"/>
  <c r="AW425" i="6"/>
  <c r="AV425" i="6"/>
  <c r="AU425" i="6"/>
  <c r="AT425" i="6"/>
  <c r="AS425" i="6"/>
  <c r="AR425" i="6"/>
  <c r="AQ425" i="6"/>
  <c r="AP425" i="6"/>
  <c r="AO425" i="6"/>
  <c r="AN425" i="6"/>
  <c r="AM425" i="6"/>
  <c r="AL425" i="6"/>
  <c r="AK425" i="6"/>
  <c r="AJ425" i="6"/>
  <c r="AI425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425" i="6"/>
  <c r="DE424" i="6"/>
  <c r="DD424" i="6"/>
  <c r="DC424" i="6"/>
  <c r="DB424" i="6"/>
  <c r="DA424" i="6"/>
  <c r="CZ424" i="6"/>
  <c r="CY424" i="6"/>
  <c r="CX424" i="6"/>
  <c r="CV424" i="6"/>
  <c r="CU424" i="6"/>
  <c r="CT424" i="6"/>
  <c r="CS424" i="6"/>
  <c r="CR424" i="6"/>
  <c r="CQ424" i="6"/>
  <c r="CP424" i="6"/>
  <c r="CO424" i="6"/>
  <c r="CN424" i="6"/>
  <c r="CM424" i="6"/>
  <c r="CL424" i="6"/>
  <c r="CK424" i="6"/>
  <c r="CJ424" i="6"/>
  <c r="CI424" i="6"/>
  <c r="CH424" i="6"/>
  <c r="CG424" i="6"/>
  <c r="CF424" i="6"/>
  <c r="CE424" i="6"/>
  <c r="CD424" i="6"/>
  <c r="CC424" i="6"/>
  <c r="CB424" i="6"/>
  <c r="CA424" i="6"/>
  <c r="BZ424" i="6"/>
  <c r="BY424" i="6"/>
  <c r="BX424" i="6"/>
  <c r="BW424" i="6"/>
  <c r="BV424" i="6"/>
  <c r="BU424" i="6"/>
  <c r="BT424" i="6"/>
  <c r="BS424" i="6"/>
  <c r="BR424" i="6"/>
  <c r="BQ424" i="6"/>
  <c r="BP424" i="6"/>
  <c r="BO424" i="6"/>
  <c r="BN424" i="6"/>
  <c r="BM424" i="6"/>
  <c r="BL424" i="6"/>
  <c r="BK424" i="6"/>
  <c r="BJ424" i="6"/>
  <c r="BI424" i="6"/>
  <c r="BH424" i="6"/>
  <c r="BG424" i="6"/>
  <c r="BF424" i="6"/>
  <c r="BE424" i="6"/>
  <c r="BD424" i="6"/>
  <c r="BC424" i="6"/>
  <c r="BB424" i="6"/>
  <c r="BA424" i="6"/>
  <c r="AZ424" i="6"/>
  <c r="AY424" i="6"/>
  <c r="AX424" i="6"/>
  <c r="AW424" i="6"/>
  <c r="AV424" i="6"/>
  <c r="AU424" i="6"/>
  <c r="AT424" i="6"/>
  <c r="AS424" i="6"/>
  <c r="AR424" i="6"/>
  <c r="AQ424" i="6"/>
  <c r="AP424" i="6"/>
  <c r="AO424" i="6"/>
  <c r="AN424" i="6"/>
  <c r="AM424" i="6"/>
  <c r="AL424" i="6"/>
  <c r="AK424" i="6"/>
  <c r="AJ424" i="6"/>
  <c r="AI424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424" i="6"/>
  <c r="DE423" i="6"/>
  <c r="DD423" i="6"/>
  <c r="DC423" i="6"/>
  <c r="DB423" i="6"/>
  <c r="DA423" i="6"/>
  <c r="CZ423" i="6"/>
  <c r="CY423" i="6"/>
  <c r="CX423" i="6"/>
  <c r="CV423" i="6"/>
  <c r="CU423" i="6"/>
  <c r="CT423" i="6"/>
  <c r="CS423" i="6"/>
  <c r="CR423" i="6"/>
  <c r="CQ423" i="6"/>
  <c r="CP423" i="6"/>
  <c r="CO423" i="6"/>
  <c r="CN423" i="6"/>
  <c r="CM423" i="6"/>
  <c r="CL423" i="6"/>
  <c r="CK423" i="6"/>
  <c r="CJ423" i="6"/>
  <c r="CI423" i="6"/>
  <c r="CH423" i="6"/>
  <c r="CG423" i="6"/>
  <c r="CF423" i="6"/>
  <c r="CE423" i="6"/>
  <c r="CD423" i="6"/>
  <c r="CC423" i="6"/>
  <c r="CB423" i="6"/>
  <c r="CA423" i="6"/>
  <c r="BZ423" i="6"/>
  <c r="BY423" i="6"/>
  <c r="BX423" i="6"/>
  <c r="BW423" i="6"/>
  <c r="BV423" i="6"/>
  <c r="BU423" i="6"/>
  <c r="BT423" i="6"/>
  <c r="BS423" i="6"/>
  <c r="BR423" i="6"/>
  <c r="BQ423" i="6"/>
  <c r="BP423" i="6"/>
  <c r="BO423" i="6"/>
  <c r="BN423" i="6"/>
  <c r="BM423" i="6"/>
  <c r="BL423" i="6"/>
  <c r="BK423" i="6"/>
  <c r="BJ423" i="6"/>
  <c r="BI423" i="6"/>
  <c r="BH423" i="6"/>
  <c r="BG423" i="6"/>
  <c r="BF423" i="6"/>
  <c r="BE423" i="6"/>
  <c r="BD423" i="6"/>
  <c r="BC423" i="6"/>
  <c r="BB423" i="6"/>
  <c r="BA423" i="6"/>
  <c r="AZ423" i="6"/>
  <c r="AY423" i="6"/>
  <c r="AX423" i="6"/>
  <c r="AW423" i="6"/>
  <c r="AV423" i="6"/>
  <c r="AU423" i="6"/>
  <c r="AT423" i="6"/>
  <c r="AS423" i="6"/>
  <c r="AR423" i="6"/>
  <c r="AQ423" i="6"/>
  <c r="AP423" i="6"/>
  <c r="AO423" i="6"/>
  <c r="AN423" i="6"/>
  <c r="AM423" i="6"/>
  <c r="AL423" i="6"/>
  <c r="AK423" i="6"/>
  <c r="AJ423" i="6"/>
  <c r="AI423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423" i="6"/>
  <c r="DE422" i="6"/>
  <c r="DD422" i="6"/>
  <c r="DC422" i="6"/>
  <c r="DB422" i="6"/>
  <c r="DA422" i="6"/>
  <c r="CZ422" i="6"/>
  <c r="CY422" i="6"/>
  <c r="CX422" i="6"/>
  <c r="CV422" i="6"/>
  <c r="CU422" i="6"/>
  <c r="CT422" i="6"/>
  <c r="CS422" i="6"/>
  <c r="CR422" i="6"/>
  <c r="CQ422" i="6"/>
  <c r="CP422" i="6"/>
  <c r="CO422" i="6"/>
  <c r="CN422" i="6"/>
  <c r="CM422" i="6"/>
  <c r="CL422" i="6"/>
  <c r="CK422" i="6"/>
  <c r="CJ422" i="6"/>
  <c r="CI422" i="6"/>
  <c r="CH422" i="6"/>
  <c r="CG422" i="6"/>
  <c r="CF422" i="6"/>
  <c r="CE422" i="6"/>
  <c r="CD422" i="6"/>
  <c r="CC422" i="6"/>
  <c r="CB422" i="6"/>
  <c r="CA422" i="6"/>
  <c r="BZ422" i="6"/>
  <c r="BY422" i="6"/>
  <c r="BX422" i="6"/>
  <c r="BW422" i="6"/>
  <c r="BV422" i="6"/>
  <c r="BU422" i="6"/>
  <c r="BT422" i="6"/>
  <c r="BS422" i="6"/>
  <c r="BR422" i="6"/>
  <c r="BQ422" i="6"/>
  <c r="BP422" i="6"/>
  <c r="BO422" i="6"/>
  <c r="BN422" i="6"/>
  <c r="BM422" i="6"/>
  <c r="BL422" i="6"/>
  <c r="BK422" i="6"/>
  <c r="BJ422" i="6"/>
  <c r="BI422" i="6"/>
  <c r="BH422" i="6"/>
  <c r="BG422" i="6"/>
  <c r="BF422" i="6"/>
  <c r="BE422" i="6"/>
  <c r="BD422" i="6"/>
  <c r="BC422" i="6"/>
  <c r="BB422" i="6"/>
  <c r="BA422" i="6"/>
  <c r="AZ422" i="6"/>
  <c r="AY422" i="6"/>
  <c r="AX422" i="6"/>
  <c r="AW422" i="6"/>
  <c r="AV422" i="6"/>
  <c r="AU422" i="6"/>
  <c r="AT422" i="6"/>
  <c r="AS422" i="6"/>
  <c r="AR422" i="6"/>
  <c r="AQ422" i="6"/>
  <c r="AP422" i="6"/>
  <c r="AO422" i="6"/>
  <c r="AN422" i="6"/>
  <c r="AM422" i="6"/>
  <c r="AL422" i="6"/>
  <c r="AK422" i="6"/>
  <c r="AJ422" i="6"/>
  <c r="AI422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422" i="6"/>
  <c r="DE421" i="6"/>
  <c r="DD421" i="6"/>
  <c r="DC421" i="6"/>
  <c r="DB421" i="6"/>
  <c r="DA421" i="6"/>
  <c r="CZ421" i="6"/>
  <c r="CY421" i="6"/>
  <c r="CX421" i="6"/>
  <c r="CV421" i="6"/>
  <c r="CU421" i="6"/>
  <c r="CT421" i="6"/>
  <c r="CS421" i="6"/>
  <c r="CR421" i="6"/>
  <c r="CQ421" i="6"/>
  <c r="CP421" i="6"/>
  <c r="CO421" i="6"/>
  <c r="CN421" i="6"/>
  <c r="CM421" i="6"/>
  <c r="CL421" i="6"/>
  <c r="CK421" i="6"/>
  <c r="CJ421" i="6"/>
  <c r="CI421" i="6"/>
  <c r="CH421" i="6"/>
  <c r="CG421" i="6"/>
  <c r="CF421" i="6"/>
  <c r="CE421" i="6"/>
  <c r="CD421" i="6"/>
  <c r="CC421" i="6"/>
  <c r="CB421" i="6"/>
  <c r="CA421" i="6"/>
  <c r="BZ421" i="6"/>
  <c r="BY421" i="6"/>
  <c r="BX421" i="6"/>
  <c r="BW421" i="6"/>
  <c r="BV421" i="6"/>
  <c r="BU421" i="6"/>
  <c r="BT421" i="6"/>
  <c r="BS421" i="6"/>
  <c r="BR421" i="6"/>
  <c r="BQ421" i="6"/>
  <c r="BP421" i="6"/>
  <c r="BO421" i="6"/>
  <c r="BN421" i="6"/>
  <c r="BM421" i="6"/>
  <c r="BL421" i="6"/>
  <c r="BK421" i="6"/>
  <c r="BJ421" i="6"/>
  <c r="BI421" i="6"/>
  <c r="BH421" i="6"/>
  <c r="BG421" i="6"/>
  <c r="BF421" i="6"/>
  <c r="BE421" i="6"/>
  <c r="BD421" i="6"/>
  <c r="BC421" i="6"/>
  <c r="BB421" i="6"/>
  <c r="BA421" i="6"/>
  <c r="AZ421" i="6"/>
  <c r="AY421" i="6"/>
  <c r="AX421" i="6"/>
  <c r="AW421" i="6"/>
  <c r="AV421" i="6"/>
  <c r="AU421" i="6"/>
  <c r="AT421" i="6"/>
  <c r="AS421" i="6"/>
  <c r="AR421" i="6"/>
  <c r="AQ421" i="6"/>
  <c r="AP421" i="6"/>
  <c r="AO421" i="6"/>
  <c r="AN421" i="6"/>
  <c r="AM421" i="6"/>
  <c r="AL421" i="6"/>
  <c r="AK421" i="6"/>
  <c r="AJ421" i="6"/>
  <c r="AI421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421" i="6"/>
  <c r="DE420" i="6"/>
  <c r="DD420" i="6"/>
  <c r="DC420" i="6"/>
  <c r="DB420" i="6"/>
  <c r="DA420" i="6"/>
  <c r="CZ420" i="6"/>
  <c r="CY420" i="6"/>
  <c r="CX420" i="6"/>
  <c r="CV420" i="6"/>
  <c r="CU420" i="6"/>
  <c r="CT420" i="6"/>
  <c r="CS420" i="6"/>
  <c r="CR420" i="6"/>
  <c r="CQ420" i="6"/>
  <c r="CP420" i="6"/>
  <c r="CO420" i="6"/>
  <c r="CN420" i="6"/>
  <c r="CM420" i="6"/>
  <c r="CL420" i="6"/>
  <c r="CK420" i="6"/>
  <c r="CJ420" i="6"/>
  <c r="CI420" i="6"/>
  <c r="CH420" i="6"/>
  <c r="CG420" i="6"/>
  <c r="CF420" i="6"/>
  <c r="CE420" i="6"/>
  <c r="CD420" i="6"/>
  <c r="CC420" i="6"/>
  <c r="CB420" i="6"/>
  <c r="CA420" i="6"/>
  <c r="BZ420" i="6"/>
  <c r="BY420" i="6"/>
  <c r="BX420" i="6"/>
  <c r="BW420" i="6"/>
  <c r="BV420" i="6"/>
  <c r="BU420" i="6"/>
  <c r="BT420" i="6"/>
  <c r="BS420" i="6"/>
  <c r="BR420" i="6"/>
  <c r="BQ420" i="6"/>
  <c r="BP420" i="6"/>
  <c r="BO420" i="6"/>
  <c r="BN420" i="6"/>
  <c r="BM420" i="6"/>
  <c r="BL420" i="6"/>
  <c r="BK420" i="6"/>
  <c r="BJ420" i="6"/>
  <c r="BI420" i="6"/>
  <c r="BH420" i="6"/>
  <c r="BG420" i="6"/>
  <c r="BF420" i="6"/>
  <c r="BE420" i="6"/>
  <c r="BD420" i="6"/>
  <c r="BC420" i="6"/>
  <c r="BB420" i="6"/>
  <c r="BA420" i="6"/>
  <c r="AZ420" i="6"/>
  <c r="AY420" i="6"/>
  <c r="AX420" i="6"/>
  <c r="AW420" i="6"/>
  <c r="AV420" i="6"/>
  <c r="AU420" i="6"/>
  <c r="AT420" i="6"/>
  <c r="AS420" i="6"/>
  <c r="AR420" i="6"/>
  <c r="AQ420" i="6"/>
  <c r="AP420" i="6"/>
  <c r="AO420" i="6"/>
  <c r="AN420" i="6"/>
  <c r="AM420" i="6"/>
  <c r="AL420" i="6"/>
  <c r="AK420" i="6"/>
  <c r="AJ420" i="6"/>
  <c r="AI420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420" i="6"/>
  <c r="DE419" i="6"/>
  <c r="DD419" i="6"/>
  <c r="DC419" i="6"/>
  <c r="DB419" i="6"/>
  <c r="DA419" i="6"/>
  <c r="CZ419" i="6"/>
  <c r="CY419" i="6"/>
  <c r="DH406" i="6" s="1"/>
  <c r="CX419" i="6"/>
  <c r="CV419" i="6"/>
  <c r="CU419" i="6"/>
  <c r="CT419" i="6"/>
  <c r="CS419" i="6"/>
  <c r="CR419" i="6"/>
  <c r="CQ419" i="6"/>
  <c r="CP419" i="6"/>
  <c r="CO419" i="6"/>
  <c r="CN419" i="6"/>
  <c r="CM419" i="6"/>
  <c r="CL419" i="6"/>
  <c r="CK419" i="6"/>
  <c r="CJ419" i="6"/>
  <c r="CI419" i="6"/>
  <c r="CH419" i="6"/>
  <c r="CG419" i="6"/>
  <c r="CF419" i="6"/>
  <c r="CE419" i="6"/>
  <c r="CD419" i="6"/>
  <c r="CC419" i="6"/>
  <c r="CB419" i="6"/>
  <c r="CA419" i="6"/>
  <c r="BZ419" i="6"/>
  <c r="BY419" i="6"/>
  <c r="BX419" i="6"/>
  <c r="BW419" i="6"/>
  <c r="BV419" i="6"/>
  <c r="BU419" i="6"/>
  <c r="BT419" i="6"/>
  <c r="BS419" i="6"/>
  <c r="BR419" i="6"/>
  <c r="BQ419" i="6"/>
  <c r="BP419" i="6"/>
  <c r="BO419" i="6"/>
  <c r="BN419" i="6"/>
  <c r="BM419" i="6"/>
  <c r="BL419" i="6"/>
  <c r="BK419" i="6"/>
  <c r="BJ419" i="6"/>
  <c r="BI419" i="6"/>
  <c r="BH419" i="6"/>
  <c r="BG419" i="6"/>
  <c r="BF419" i="6"/>
  <c r="BE419" i="6"/>
  <c r="BD419" i="6"/>
  <c r="BC419" i="6"/>
  <c r="BB419" i="6"/>
  <c r="BA419" i="6"/>
  <c r="AZ419" i="6"/>
  <c r="AY419" i="6"/>
  <c r="AX419" i="6"/>
  <c r="AW419" i="6"/>
  <c r="AV419" i="6"/>
  <c r="AU419" i="6"/>
  <c r="AT419" i="6"/>
  <c r="AS419" i="6"/>
  <c r="AR419" i="6"/>
  <c r="AQ419" i="6"/>
  <c r="AP419" i="6"/>
  <c r="AO419" i="6"/>
  <c r="AN419" i="6"/>
  <c r="AM419" i="6"/>
  <c r="AL419" i="6"/>
  <c r="AK419" i="6"/>
  <c r="AJ419" i="6"/>
  <c r="AI419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419" i="6"/>
  <c r="DE418" i="6"/>
  <c r="DD418" i="6"/>
  <c r="DC418" i="6"/>
  <c r="DB418" i="6"/>
  <c r="DA418" i="6"/>
  <c r="CZ418" i="6"/>
  <c r="CY418" i="6"/>
  <c r="CX418" i="6"/>
  <c r="CV418" i="6"/>
  <c r="CU418" i="6"/>
  <c r="CT418" i="6"/>
  <c r="CS418" i="6"/>
  <c r="CR418" i="6"/>
  <c r="CQ418" i="6"/>
  <c r="CP418" i="6"/>
  <c r="CO418" i="6"/>
  <c r="CN418" i="6"/>
  <c r="CM418" i="6"/>
  <c r="CL418" i="6"/>
  <c r="CK418" i="6"/>
  <c r="CJ418" i="6"/>
  <c r="CI418" i="6"/>
  <c r="CH418" i="6"/>
  <c r="CG418" i="6"/>
  <c r="CF418" i="6"/>
  <c r="CE418" i="6"/>
  <c r="CD418" i="6"/>
  <c r="CC418" i="6"/>
  <c r="CB418" i="6"/>
  <c r="CA418" i="6"/>
  <c r="BZ418" i="6"/>
  <c r="BY418" i="6"/>
  <c r="BX418" i="6"/>
  <c r="BW418" i="6"/>
  <c r="BV418" i="6"/>
  <c r="BU418" i="6"/>
  <c r="BT418" i="6"/>
  <c r="BS418" i="6"/>
  <c r="BR418" i="6"/>
  <c r="BQ418" i="6"/>
  <c r="BP418" i="6"/>
  <c r="BO418" i="6"/>
  <c r="BN418" i="6"/>
  <c r="BM418" i="6"/>
  <c r="BL418" i="6"/>
  <c r="BK418" i="6"/>
  <c r="BJ418" i="6"/>
  <c r="BI418" i="6"/>
  <c r="BH418" i="6"/>
  <c r="BG418" i="6"/>
  <c r="BF418" i="6"/>
  <c r="BE418" i="6"/>
  <c r="BD418" i="6"/>
  <c r="BC418" i="6"/>
  <c r="BB418" i="6"/>
  <c r="BA418" i="6"/>
  <c r="AZ418" i="6"/>
  <c r="AY418" i="6"/>
  <c r="AX418" i="6"/>
  <c r="AW418" i="6"/>
  <c r="AV418" i="6"/>
  <c r="AU418" i="6"/>
  <c r="AT418" i="6"/>
  <c r="AS418" i="6"/>
  <c r="AR418" i="6"/>
  <c r="AQ418" i="6"/>
  <c r="AP418" i="6"/>
  <c r="AO418" i="6"/>
  <c r="AN418" i="6"/>
  <c r="AM418" i="6"/>
  <c r="AL418" i="6"/>
  <c r="AK418" i="6"/>
  <c r="AJ418" i="6"/>
  <c r="AI418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418" i="6"/>
  <c r="DE417" i="6"/>
  <c r="DD417" i="6"/>
  <c r="DC417" i="6"/>
  <c r="DB417" i="6"/>
  <c r="DA417" i="6"/>
  <c r="CZ417" i="6"/>
  <c r="CY417" i="6"/>
  <c r="CX417" i="6"/>
  <c r="CV417" i="6"/>
  <c r="CU417" i="6"/>
  <c r="CT417" i="6"/>
  <c r="CS417" i="6"/>
  <c r="CR417" i="6"/>
  <c r="CQ417" i="6"/>
  <c r="CP417" i="6"/>
  <c r="CO417" i="6"/>
  <c r="CN417" i="6"/>
  <c r="CM417" i="6"/>
  <c r="CL417" i="6"/>
  <c r="CK417" i="6"/>
  <c r="CJ417" i="6"/>
  <c r="CI417" i="6"/>
  <c r="CH417" i="6"/>
  <c r="CG417" i="6"/>
  <c r="CF417" i="6"/>
  <c r="CE417" i="6"/>
  <c r="CD417" i="6"/>
  <c r="CC417" i="6"/>
  <c r="CB417" i="6"/>
  <c r="CA417" i="6"/>
  <c r="BZ417" i="6"/>
  <c r="BY417" i="6"/>
  <c r="BX417" i="6"/>
  <c r="BW417" i="6"/>
  <c r="BV417" i="6"/>
  <c r="BU417" i="6"/>
  <c r="BT417" i="6"/>
  <c r="BS417" i="6"/>
  <c r="BR417" i="6"/>
  <c r="BQ417" i="6"/>
  <c r="BP417" i="6"/>
  <c r="BO417" i="6"/>
  <c r="BN417" i="6"/>
  <c r="BM417" i="6"/>
  <c r="BL417" i="6"/>
  <c r="BK417" i="6"/>
  <c r="BJ417" i="6"/>
  <c r="BI417" i="6"/>
  <c r="BH417" i="6"/>
  <c r="BG417" i="6"/>
  <c r="BF417" i="6"/>
  <c r="BE417" i="6"/>
  <c r="BD417" i="6"/>
  <c r="BC417" i="6"/>
  <c r="BB417" i="6"/>
  <c r="BA417" i="6"/>
  <c r="AZ417" i="6"/>
  <c r="AY417" i="6"/>
  <c r="AX417" i="6"/>
  <c r="AW417" i="6"/>
  <c r="AV417" i="6"/>
  <c r="AU417" i="6"/>
  <c r="AT417" i="6"/>
  <c r="AS417" i="6"/>
  <c r="AR417" i="6"/>
  <c r="AQ417" i="6"/>
  <c r="AP417" i="6"/>
  <c r="AO417" i="6"/>
  <c r="AN417" i="6"/>
  <c r="AM417" i="6"/>
  <c r="AL417" i="6"/>
  <c r="AK417" i="6"/>
  <c r="AJ417" i="6"/>
  <c r="AI417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417" i="6"/>
  <c r="DE416" i="6"/>
  <c r="DD416" i="6"/>
  <c r="DC416" i="6"/>
  <c r="DB416" i="6"/>
  <c r="DA416" i="6"/>
  <c r="CZ416" i="6"/>
  <c r="CY416" i="6"/>
  <c r="CX416" i="6"/>
  <c r="CV416" i="6"/>
  <c r="CU416" i="6"/>
  <c r="CT416" i="6"/>
  <c r="CS416" i="6"/>
  <c r="CR416" i="6"/>
  <c r="CQ416" i="6"/>
  <c r="CP416" i="6"/>
  <c r="CO416" i="6"/>
  <c r="CN416" i="6"/>
  <c r="CM416" i="6"/>
  <c r="CL416" i="6"/>
  <c r="CK416" i="6"/>
  <c r="CJ416" i="6"/>
  <c r="CI416" i="6"/>
  <c r="CH416" i="6"/>
  <c r="CG416" i="6"/>
  <c r="CF416" i="6"/>
  <c r="CE416" i="6"/>
  <c r="CD416" i="6"/>
  <c r="CC416" i="6"/>
  <c r="CB416" i="6"/>
  <c r="CA416" i="6"/>
  <c r="BZ416" i="6"/>
  <c r="BY416" i="6"/>
  <c r="BX416" i="6"/>
  <c r="BW416" i="6"/>
  <c r="BV416" i="6"/>
  <c r="BU416" i="6"/>
  <c r="BT416" i="6"/>
  <c r="BS416" i="6"/>
  <c r="BR416" i="6"/>
  <c r="BQ416" i="6"/>
  <c r="BP416" i="6"/>
  <c r="BO416" i="6"/>
  <c r="BN416" i="6"/>
  <c r="BM416" i="6"/>
  <c r="BL416" i="6"/>
  <c r="BK416" i="6"/>
  <c r="BJ416" i="6"/>
  <c r="BI416" i="6"/>
  <c r="BH416" i="6"/>
  <c r="BG416" i="6"/>
  <c r="BF416" i="6"/>
  <c r="BE416" i="6"/>
  <c r="BD416" i="6"/>
  <c r="BC416" i="6"/>
  <c r="BB416" i="6"/>
  <c r="BA416" i="6"/>
  <c r="AZ416" i="6"/>
  <c r="AY416" i="6"/>
  <c r="AX416" i="6"/>
  <c r="AW416" i="6"/>
  <c r="AV416" i="6"/>
  <c r="AU416" i="6"/>
  <c r="AT416" i="6"/>
  <c r="AS416" i="6"/>
  <c r="AR416" i="6"/>
  <c r="AQ416" i="6"/>
  <c r="AP416" i="6"/>
  <c r="AO416" i="6"/>
  <c r="AN416" i="6"/>
  <c r="AM416" i="6"/>
  <c r="AL416" i="6"/>
  <c r="AK416" i="6"/>
  <c r="AJ416" i="6"/>
  <c r="AI416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416" i="6"/>
  <c r="DE415" i="6"/>
  <c r="DD415" i="6"/>
  <c r="DC415" i="6"/>
  <c r="DB415" i="6"/>
  <c r="DA415" i="6"/>
  <c r="CZ415" i="6"/>
  <c r="CY415" i="6"/>
  <c r="CX415" i="6"/>
  <c r="CV415" i="6"/>
  <c r="CU415" i="6"/>
  <c r="CT415" i="6"/>
  <c r="CS415" i="6"/>
  <c r="CR415" i="6"/>
  <c r="CQ415" i="6"/>
  <c r="CP415" i="6"/>
  <c r="CO415" i="6"/>
  <c r="CN415" i="6"/>
  <c r="CM415" i="6"/>
  <c r="CL415" i="6"/>
  <c r="CK415" i="6"/>
  <c r="CJ415" i="6"/>
  <c r="CI415" i="6"/>
  <c r="CH415" i="6"/>
  <c r="CG415" i="6"/>
  <c r="CF415" i="6"/>
  <c r="CE415" i="6"/>
  <c r="CD415" i="6"/>
  <c r="CC415" i="6"/>
  <c r="CB415" i="6"/>
  <c r="CA415" i="6"/>
  <c r="BZ415" i="6"/>
  <c r="BY415" i="6"/>
  <c r="BX415" i="6"/>
  <c r="BW415" i="6"/>
  <c r="BV415" i="6"/>
  <c r="BU415" i="6"/>
  <c r="BT415" i="6"/>
  <c r="BS415" i="6"/>
  <c r="BR415" i="6"/>
  <c r="BQ415" i="6"/>
  <c r="BP415" i="6"/>
  <c r="BO415" i="6"/>
  <c r="BN415" i="6"/>
  <c r="BM415" i="6"/>
  <c r="BL415" i="6"/>
  <c r="BK415" i="6"/>
  <c r="BJ415" i="6"/>
  <c r="BI415" i="6"/>
  <c r="BH415" i="6"/>
  <c r="BG415" i="6"/>
  <c r="BF415" i="6"/>
  <c r="BE415" i="6"/>
  <c r="BD415" i="6"/>
  <c r="BC415" i="6"/>
  <c r="BB415" i="6"/>
  <c r="BA415" i="6"/>
  <c r="AZ415" i="6"/>
  <c r="AY415" i="6"/>
  <c r="AX415" i="6"/>
  <c r="AW415" i="6"/>
  <c r="AV415" i="6"/>
  <c r="AU415" i="6"/>
  <c r="AT415" i="6"/>
  <c r="AS415" i="6"/>
  <c r="AR415" i="6"/>
  <c r="AQ415" i="6"/>
  <c r="AP415" i="6"/>
  <c r="AO415" i="6"/>
  <c r="AN415" i="6"/>
  <c r="AM415" i="6"/>
  <c r="AL415" i="6"/>
  <c r="AK415" i="6"/>
  <c r="AJ415" i="6"/>
  <c r="AI415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415" i="6"/>
  <c r="DE414" i="6"/>
  <c r="DD414" i="6"/>
  <c r="DC414" i="6"/>
  <c r="DB414" i="6"/>
  <c r="DA414" i="6"/>
  <c r="CZ414" i="6"/>
  <c r="CY414" i="6"/>
  <c r="CX414" i="6"/>
  <c r="CV414" i="6"/>
  <c r="CU414" i="6"/>
  <c r="CT414" i="6"/>
  <c r="CS414" i="6"/>
  <c r="CR414" i="6"/>
  <c r="CQ414" i="6"/>
  <c r="CP414" i="6"/>
  <c r="CO414" i="6"/>
  <c r="CN414" i="6"/>
  <c r="CM414" i="6"/>
  <c r="CL414" i="6"/>
  <c r="CK414" i="6"/>
  <c r="CJ414" i="6"/>
  <c r="CI414" i="6"/>
  <c r="CH414" i="6"/>
  <c r="CG414" i="6"/>
  <c r="CF414" i="6"/>
  <c r="CE414" i="6"/>
  <c r="CD414" i="6"/>
  <c r="CC414" i="6"/>
  <c r="CB414" i="6"/>
  <c r="CA414" i="6"/>
  <c r="BZ414" i="6"/>
  <c r="BY414" i="6"/>
  <c r="BX414" i="6"/>
  <c r="BW414" i="6"/>
  <c r="BV414" i="6"/>
  <c r="BU414" i="6"/>
  <c r="BT414" i="6"/>
  <c r="BS414" i="6"/>
  <c r="BR414" i="6"/>
  <c r="BQ414" i="6"/>
  <c r="BP414" i="6"/>
  <c r="BO414" i="6"/>
  <c r="BN414" i="6"/>
  <c r="BM414" i="6"/>
  <c r="BL414" i="6"/>
  <c r="BK414" i="6"/>
  <c r="BJ414" i="6"/>
  <c r="BI414" i="6"/>
  <c r="BH414" i="6"/>
  <c r="BG414" i="6"/>
  <c r="BF414" i="6"/>
  <c r="BE414" i="6"/>
  <c r="BD414" i="6"/>
  <c r="BC414" i="6"/>
  <c r="BB414" i="6"/>
  <c r="BA414" i="6"/>
  <c r="AZ414" i="6"/>
  <c r="AY414" i="6"/>
  <c r="AX414" i="6"/>
  <c r="AW414" i="6"/>
  <c r="AV414" i="6"/>
  <c r="AU414" i="6"/>
  <c r="AT414" i="6"/>
  <c r="AS414" i="6"/>
  <c r="AR414" i="6"/>
  <c r="AQ414" i="6"/>
  <c r="AP414" i="6"/>
  <c r="AO414" i="6"/>
  <c r="AN414" i="6"/>
  <c r="AM414" i="6"/>
  <c r="AL414" i="6"/>
  <c r="AK414" i="6"/>
  <c r="AJ414" i="6"/>
  <c r="AI414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414" i="6"/>
  <c r="DE413" i="6"/>
  <c r="DD413" i="6"/>
  <c r="DC413" i="6"/>
  <c r="DB413" i="6"/>
  <c r="DA413" i="6"/>
  <c r="CZ413" i="6"/>
  <c r="CY413" i="6"/>
  <c r="CX413" i="6"/>
  <c r="CV413" i="6"/>
  <c r="CU413" i="6"/>
  <c r="CT413" i="6"/>
  <c r="CS413" i="6"/>
  <c r="CR413" i="6"/>
  <c r="CQ413" i="6"/>
  <c r="CP413" i="6"/>
  <c r="CO413" i="6"/>
  <c r="CN413" i="6"/>
  <c r="CM413" i="6"/>
  <c r="CL413" i="6"/>
  <c r="CK413" i="6"/>
  <c r="CJ413" i="6"/>
  <c r="CI413" i="6"/>
  <c r="CH413" i="6"/>
  <c r="CG413" i="6"/>
  <c r="CF413" i="6"/>
  <c r="CE413" i="6"/>
  <c r="CD413" i="6"/>
  <c r="CC413" i="6"/>
  <c r="CB413" i="6"/>
  <c r="CA413" i="6"/>
  <c r="BZ413" i="6"/>
  <c r="BY413" i="6"/>
  <c r="BX413" i="6"/>
  <c r="BW413" i="6"/>
  <c r="BV413" i="6"/>
  <c r="BU413" i="6"/>
  <c r="BT413" i="6"/>
  <c r="BS413" i="6"/>
  <c r="BR413" i="6"/>
  <c r="BQ413" i="6"/>
  <c r="BP413" i="6"/>
  <c r="BO413" i="6"/>
  <c r="BN413" i="6"/>
  <c r="BM413" i="6"/>
  <c r="BL413" i="6"/>
  <c r="BK413" i="6"/>
  <c r="BJ413" i="6"/>
  <c r="BI413" i="6"/>
  <c r="BH413" i="6"/>
  <c r="BG413" i="6"/>
  <c r="BF413" i="6"/>
  <c r="BE413" i="6"/>
  <c r="BD413" i="6"/>
  <c r="BC413" i="6"/>
  <c r="BB413" i="6"/>
  <c r="BA413" i="6"/>
  <c r="AZ413" i="6"/>
  <c r="AY413" i="6"/>
  <c r="AX413" i="6"/>
  <c r="AW413" i="6"/>
  <c r="AV413" i="6"/>
  <c r="AU413" i="6"/>
  <c r="AT413" i="6"/>
  <c r="AS413" i="6"/>
  <c r="AR413" i="6"/>
  <c r="AQ413" i="6"/>
  <c r="AP413" i="6"/>
  <c r="AO413" i="6"/>
  <c r="AN413" i="6"/>
  <c r="AM413" i="6"/>
  <c r="AL413" i="6"/>
  <c r="AK413" i="6"/>
  <c r="AJ413" i="6"/>
  <c r="AI413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413" i="6"/>
  <c r="DE412" i="6"/>
  <c r="DD412" i="6"/>
  <c r="DC412" i="6"/>
  <c r="DB412" i="6"/>
  <c r="DA412" i="6"/>
  <c r="CZ412" i="6"/>
  <c r="CY412" i="6"/>
  <c r="CX412" i="6"/>
  <c r="CV412" i="6"/>
  <c r="CU412" i="6"/>
  <c r="CT412" i="6"/>
  <c r="CS412" i="6"/>
  <c r="CR412" i="6"/>
  <c r="CQ412" i="6"/>
  <c r="CP412" i="6"/>
  <c r="CO412" i="6"/>
  <c r="CN412" i="6"/>
  <c r="CM412" i="6"/>
  <c r="CL412" i="6"/>
  <c r="CK412" i="6"/>
  <c r="CJ412" i="6"/>
  <c r="CI412" i="6"/>
  <c r="CH412" i="6"/>
  <c r="CG412" i="6"/>
  <c r="CF412" i="6"/>
  <c r="CE412" i="6"/>
  <c r="CD412" i="6"/>
  <c r="CC412" i="6"/>
  <c r="CB412" i="6"/>
  <c r="CA412" i="6"/>
  <c r="BZ412" i="6"/>
  <c r="BY412" i="6"/>
  <c r="BX412" i="6"/>
  <c r="BW412" i="6"/>
  <c r="BV412" i="6"/>
  <c r="BU412" i="6"/>
  <c r="BT412" i="6"/>
  <c r="BS412" i="6"/>
  <c r="BR412" i="6"/>
  <c r="BQ412" i="6"/>
  <c r="BP412" i="6"/>
  <c r="BO412" i="6"/>
  <c r="BN412" i="6"/>
  <c r="BM412" i="6"/>
  <c r="BL412" i="6"/>
  <c r="BK412" i="6"/>
  <c r="BJ412" i="6"/>
  <c r="BI412" i="6"/>
  <c r="BH412" i="6"/>
  <c r="BG412" i="6"/>
  <c r="BF412" i="6"/>
  <c r="BE412" i="6"/>
  <c r="BD412" i="6"/>
  <c r="BC412" i="6"/>
  <c r="BB412" i="6"/>
  <c r="BA412" i="6"/>
  <c r="AZ412" i="6"/>
  <c r="AY412" i="6"/>
  <c r="AX412" i="6"/>
  <c r="AW412" i="6"/>
  <c r="AV412" i="6"/>
  <c r="AU412" i="6"/>
  <c r="AT412" i="6"/>
  <c r="AS412" i="6"/>
  <c r="AR412" i="6"/>
  <c r="AQ412" i="6"/>
  <c r="AP412" i="6"/>
  <c r="AO412" i="6"/>
  <c r="AN412" i="6"/>
  <c r="AM412" i="6"/>
  <c r="AL412" i="6"/>
  <c r="AK412" i="6"/>
  <c r="AJ412" i="6"/>
  <c r="AI412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412" i="6"/>
  <c r="DE411" i="6"/>
  <c r="DD411" i="6"/>
  <c r="DC411" i="6"/>
  <c r="DB411" i="6"/>
  <c r="DA411" i="6"/>
  <c r="CZ411" i="6"/>
  <c r="CY411" i="6"/>
  <c r="CX411" i="6"/>
  <c r="CV411" i="6"/>
  <c r="CU411" i="6"/>
  <c r="CT411" i="6"/>
  <c r="CS411" i="6"/>
  <c r="CR411" i="6"/>
  <c r="CQ411" i="6"/>
  <c r="CP411" i="6"/>
  <c r="CO411" i="6"/>
  <c r="CN411" i="6"/>
  <c r="CM411" i="6"/>
  <c r="CL411" i="6"/>
  <c r="CK411" i="6"/>
  <c r="CJ411" i="6"/>
  <c r="CI411" i="6"/>
  <c r="CH411" i="6"/>
  <c r="CG411" i="6"/>
  <c r="CF411" i="6"/>
  <c r="CE411" i="6"/>
  <c r="CD411" i="6"/>
  <c r="CC411" i="6"/>
  <c r="CB411" i="6"/>
  <c r="CA411" i="6"/>
  <c r="BZ411" i="6"/>
  <c r="BY411" i="6"/>
  <c r="BX411" i="6"/>
  <c r="BW411" i="6"/>
  <c r="BV411" i="6"/>
  <c r="BU411" i="6"/>
  <c r="BT411" i="6"/>
  <c r="BS411" i="6"/>
  <c r="BR411" i="6"/>
  <c r="BQ411" i="6"/>
  <c r="BP411" i="6"/>
  <c r="BO411" i="6"/>
  <c r="BN411" i="6"/>
  <c r="BM411" i="6"/>
  <c r="BL411" i="6"/>
  <c r="BK411" i="6"/>
  <c r="BJ411" i="6"/>
  <c r="BI411" i="6"/>
  <c r="BH411" i="6"/>
  <c r="BG411" i="6"/>
  <c r="BF411" i="6"/>
  <c r="BE411" i="6"/>
  <c r="BD411" i="6"/>
  <c r="BC411" i="6"/>
  <c r="BB411" i="6"/>
  <c r="BA411" i="6"/>
  <c r="AZ411" i="6"/>
  <c r="AY411" i="6"/>
  <c r="AX411" i="6"/>
  <c r="AW411" i="6"/>
  <c r="AV411" i="6"/>
  <c r="AU411" i="6"/>
  <c r="AT411" i="6"/>
  <c r="AS411" i="6"/>
  <c r="AR411" i="6"/>
  <c r="AQ411" i="6"/>
  <c r="AP411" i="6"/>
  <c r="AO411" i="6"/>
  <c r="AN411" i="6"/>
  <c r="AM411" i="6"/>
  <c r="AL411" i="6"/>
  <c r="AK411" i="6"/>
  <c r="AJ411" i="6"/>
  <c r="AI411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411" i="6"/>
  <c r="DE410" i="6"/>
  <c r="DD410" i="6"/>
  <c r="DC410" i="6"/>
  <c r="DB410" i="6"/>
  <c r="DA410" i="6"/>
  <c r="CZ410" i="6"/>
  <c r="CY410" i="6"/>
  <c r="CX410" i="6"/>
  <c r="CV410" i="6"/>
  <c r="CU410" i="6"/>
  <c r="CT410" i="6"/>
  <c r="CS410" i="6"/>
  <c r="CR410" i="6"/>
  <c r="CQ410" i="6"/>
  <c r="CP410" i="6"/>
  <c r="CO410" i="6"/>
  <c r="CN410" i="6"/>
  <c r="CM410" i="6"/>
  <c r="CL410" i="6"/>
  <c r="CK410" i="6"/>
  <c r="CJ410" i="6"/>
  <c r="CI410" i="6"/>
  <c r="CH410" i="6"/>
  <c r="CG410" i="6"/>
  <c r="CF410" i="6"/>
  <c r="CE410" i="6"/>
  <c r="CD410" i="6"/>
  <c r="CC410" i="6"/>
  <c r="CB410" i="6"/>
  <c r="CA410" i="6"/>
  <c r="BZ410" i="6"/>
  <c r="BY410" i="6"/>
  <c r="BX410" i="6"/>
  <c r="BW410" i="6"/>
  <c r="BV410" i="6"/>
  <c r="BU410" i="6"/>
  <c r="BT410" i="6"/>
  <c r="BS410" i="6"/>
  <c r="BR410" i="6"/>
  <c r="BQ410" i="6"/>
  <c r="BP410" i="6"/>
  <c r="BO410" i="6"/>
  <c r="BN410" i="6"/>
  <c r="BM410" i="6"/>
  <c r="BL410" i="6"/>
  <c r="BK410" i="6"/>
  <c r="BJ410" i="6"/>
  <c r="BI410" i="6"/>
  <c r="BH410" i="6"/>
  <c r="BG410" i="6"/>
  <c r="BF410" i="6"/>
  <c r="BE410" i="6"/>
  <c r="BD410" i="6"/>
  <c r="BC410" i="6"/>
  <c r="BB410" i="6"/>
  <c r="BA410" i="6"/>
  <c r="AZ410" i="6"/>
  <c r="AY410" i="6"/>
  <c r="AX410" i="6"/>
  <c r="AW410" i="6"/>
  <c r="AV410" i="6"/>
  <c r="AU410" i="6"/>
  <c r="AT410" i="6"/>
  <c r="AS410" i="6"/>
  <c r="AR410" i="6"/>
  <c r="AQ410" i="6"/>
  <c r="AP410" i="6"/>
  <c r="AO410" i="6"/>
  <c r="AN410" i="6"/>
  <c r="AM410" i="6"/>
  <c r="AL410" i="6"/>
  <c r="AK410" i="6"/>
  <c r="AJ410" i="6"/>
  <c r="AI410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410" i="6"/>
  <c r="DE409" i="6"/>
  <c r="DD409" i="6"/>
  <c r="DC409" i="6"/>
  <c r="DB409" i="6"/>
  <c r="DA409" i="6"/>
  <c r="CZ409" i="6"/>
  <c r="CY409" i="6"/>
  <c r="CX409" i="6"/>
  <c r="CV409" i="6"/>
  <c r="CU409" i="6"/>
  <c r="CT409" i="6"/>
  <c r="CS409" i="6"/>
  <c r="CR409" i="6"/>
  <c r="CQ409" i="6"/>
  <c r="CP409" i="6"/>
  <c r="CO409" i="6"/>
  <c r="CN409" i="6"/>
  <c r="CM409" i="6"/>
  <c r="CL409" i="6"/>
  <c r="CK409" i="6"/>
  <c r="CJ409" i="6"/>
  <c r="CI409" i="6"/>
  <c r="CH409" i="6"/>
  <c r="CG409" i="6"/>
  <c r="CF409" i="6"/>
  <c r="CE409" i="6"/>
  <c r="CD409" i="6"/>
  <c r="CC409" i="6"/>
  <c r="CB409" i="6"/>
  <c r="CA409" i="6"/>
  <c r="BZ409" i="6"/>
  <c r="BY409" i="6"/>
  <c r="BX409" i="6"/>
  <c r="BW409" i="6"/>
  <c r="BV409" i="6"/>
  <c r="BU409" i="6"/>
  <c r="BT409" i="6"/>
  <c r="BS409" i="6"/>
  <c r="BR409" i="6"/>
  <c r="BQ409" i="6"/>
  <c r="BP409" i="6"/>
  <c r="BO409" i="6"/>
  <c r="BN409" i="6"/>
  <c r="BM409" i="6"/>
  <c r="BL409" i="6"/>
  <c r="BK409" i="6"/>
  <c r="BJ409" i="6"/>
  <c r="BI409" i="6"/>
  <c r="BH409" i="6"/>
  <c r="BG409" i="6"/>
  <c r="BF409" i="6"/>
  <c r="BE409" i="6"/>
  <c r="BD409" i="6"/>
  <c r="BC409" i="6"/>
  <c r="BB409" i="6"/>
  <c r="BA409" i="6"/>
  <c r="AZ409" i="6"/>
  <c r="AY409" i="6"/>
  <c r="AX409" i="6"/>
  <c r="AW409" i="6"/>
  <c r="AV409" i="6"/>
  <c r="AU409" i="6"/>
  <c r="AT409" i="6"/>
  <c r="AS409" i="6"/>
  <c r="AR409" i="6"/>
  <c r="AQ409" i="6"/>
  <c r="AP409" i="6"/>
  <c r="AO409" i="6"/>
  <c r="AN409" i="6"/>
  <c r="AM409" i="6"/>
  <c r="AL409" i="6"/>
  <c r="AK409" i="6"/>
  <c r="AJ409" i="6"/>
  <c r="AI409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409" i="6"/>
  <c r="DE408" i="6"/>
  <c r="DD408" i="6"/>
  <c r="DC408" i="6"/>
  <c r="DB408" i="6"/>
  <c r="DA408" i="6"/>
  <c r="CZ408" i="6"/>
  <c r="CY408" i="6"/>
  <c r="CX408" i="6"/>
  <c r="CV408" i="6"/>
  <c r="CU408" i="6"/>
  <c r="CT408" i="6"/>
  <c r="CS408" i="6"/>
  <c r="CR408" i="6"/>
  <c r="CQ408" i="6"/>
  <c r="CP408" i="6"/>
  <c r="CO408" i="6"/>
  <c r="CN408" i="6"/>
  <c r="CM408" i="6"/>
  <c r="CL408" i="6"/>
  <c r="CK408" i="6"/>
  <c r="CJ408" i="6"/>
  <c r="CI408" i="6"/>
  <c r="CH408" i="6"/>
  <c r="CG408" i="6"/>
  <c r="CF408" i="6"/>
  <c r="CE408" i="6"/>
  <c r="CD408" i="6"/>
  <c r="CC408" i="6"/>
  <c r="CB408" i="6"/>
  <c r="CA408" i="6"/>
  <c r="BZ408" i="6"/>
  <c r="BY408" i="6"/>
  <c r="BX408" i="6"/>
  <c r="BW408" i="6"/>
  <c r="BV408" i="6"/>
  <c r="BU408" i="6"/>
  <c r="BT408" i="6"/>
  <c r="BS408" i="6"/>
  <c r="BR408" i="6"/>
  <c r="BQ408" i="6"/>
  <c r="BP408" i="6"/>
  <c r="BO408" i="6"/>
  <c r="BN408" i="6"/>
  <c r="BM408" i="6"/>
  <c r="BL408" i="6"/>
  <c r="BK408" i="6"/>
  <c r="BJ408" i="6"/>
  <c r="BI408" i="6"/>
  <c r="BH408" i="6"/>
  <c r="BG408" i="6"/>
  <c r="BF408" i="6"/>
  <c r="BE408" i="6"/>
  <c r="BD408" i="6"/>
  <c r="BC408" i="6"/>
  <c r="BB408" i="6"/>
  <c r="BA408" i="6"/>
  <c r="AZ408" i="6"/>
  <c r="AY408" i="6"/>
  <c r="AX408" i="6"/>
  <c r="AW408" i="6"/>
  <c r="AV408" i="6"/>
  <c r="AU408" i="6"/>
  <c r="AT408" i="6"/>
  <c r="AS408" i="6"/>
  <c r="AR408" i="6"/>
  <c r="AQ408" i="6"/>
  <c r="AP408" i="6"/>
  <c r="AO408" i="6"/>
  <c r="AN408" i="6"/>
  <c r="AM408" i="6"/>
  <c r="AL408" i="6"/>
  <c r="AK408" i="6"/>
  <c r="AJ408" i="6"/>
  <c r="AI408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408" i="6"/>
  <c r="DE407" i="6"/>
  <c r="DD407" i="6"/>
  <c r="DC407" i="6"/>
  <c r="DB407" i="6"/>
  <c r="DA407" i="6"/>
  <c r="CZ407" i="6"/>
  <c r="CY407" i="6"/>
  <c r="CX407" i="6"/>
  <c r="CV407" i="6"/>
  <c r="CU407" i="6"/>
  <c r="CT407" i="6"/>
  <c r="CS407" i="6"/>
  <c r="CR407" i="6"/>
  <c r="CQ407" i="6"/>
  <c r="CP407" i="6"/>
  <c r="CO407" i="6"/>
  <c r="CN407" i="6"/>
  <c r="CM407" i="6"/>
  <c r="CL407" i="6"/>
  <c r="CK407" i="6"/>
  <c r="CJ407" i="6"/>
  <c r="CI407" i="6"/>
  <c r="CH407" i="6"/>
  <c r="CG407" i="6"/>
  <c r="CF407" i="6"/>
  <c r="CE407" i="6"/>
  <c r="CD407" i="6"/>
  <c r="CC407" i="6"/>
  <c r="CB407" i="6"/>
  <c r="CA407" i="6"/>
  <c r="BZ407" i="6"/>
  <c r="BY407" i="6"/>
  <c r="BX407" i="6"/>
  <c r="BW407" i="6"/>
  <c r="BV407" i="6"/>
  <c r="BU407" i="6"/>
  <c r="BT407" i="6"/>
  <c r="BS407" i="6"/>
  <c r="BR407" i="6"/>
  <c r="BQ407" i="6"/>
  <c r="BP407" i="6"/>
  <c r="BO407" i="6"/>
  <c r="BN407" i="6"/>
  <c r="BM407" i="6"/>
  <c r="BL407" i="6"/>
  <c r="BK407" i="6"/>
  <c r="BJ407" i="6"/>
  <c r="BI407" i="6"/>
  <c r="BH407" i="6"/>
  <c r="BG407" i="6"/>
  <c r="BF407" i="6"/>
  <c r="BE407" i="6"/>
  <c r="BD407" i="6"/>
  <c r="BC407" i="6"/>
  <c r="BB407" i="6"/>
  <c r="BA407" i="6"/>
  <c r="AZ407" i="6"/>
  <c r="AY407" i="6"/>
  <c r="AX407" i="6"/>
  <c r="AW407" i="6"/>
  <c r="AV407" i="6"/>
  <c r="AU407" i="6"/>
  <c r="AT407" i="6"/>
  <c r="AS407" i="6"/>
  <c r="AR407" i="6"/>
  <c r="AQ407" i="6"/>
  <c r="AP407" i="6"/>
  <c r="AO407" i="6"/>
  <c r="AN407" i="6"/>
  <c r="AM407" i="6"/>
  <c r="AL407" i="6"/>
  <c r="AK407" i="6"/>
  <c r="AJ407" i="6"/>
  <c r="AI407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407" i="6"/>
  <c r="DE406" i="6"/>
  <c r="DD406" i="6"/>
  <c r="DC406" i="6"/>
  <c r="DB406" i="6"/>
  <c r="DA406" i="6"/>
  <c r="CZ406" i="6"/>
  <c r="CY406" i="6"/>
  <c r="CX406" i="6"/>
  <c r="CV406" i="6"/>
  <c r="CU406" i="6"/>
  <c r="CT406" i="6"/>
  <c r="CS406" i="6"/>
  <c r="CR406" i="6"/>
  <c r="CQ406" i="6"/>
  <c r="CP406" i="6"/>
  <c r="CO406" i="6"/>
  <c r="CN406" i="6"/>
  <c r="CM406" i="6"/>
  <c r="CL406" i="6"/>
  <c r="CK406" i="6"/>
  <c r="CJ406" i="6"/>
  <c r="CI406" i="6"/>
  <c r="CH406" i="6"/>
  <c r="CG406" i="6"/>
  <c r="CF406" i="6"/>
  <c r="CE406" i="6"/>
  <c r="CD406" i="6"/>
  <c r="CC406" i="6"/>
  <c r="CB406" i="6"/>
  <c r="CA406" i="6"/>
  <c r="BZ406" i="6"/>
  <c r="BY406" i="6"/>
  <c r="BX406" i="6"/>
  <c r="BW406" i="6"/>
  <c r="BV406" i="6"/>
  <c r="BU406" i="6"/>
  <c r="BT406" i="6"/>
  <c r="BS406" i="6"/>
  <c r="BR406" i="6"/>
  <c r="BQ406" i="6"/>
  <c r="BP406" i="6"/>
  <c r="BO406" i="6"/>
  <c r="BN406" i="6"/>
  <c r="BM406" i="6"/>
  <c r="BL406" i="6"/>
  <c r="BK406" i="6"/>
  <c r="BJ406" i="6"/>
  <c r="BI406" i="6"/>
  <c r="BH406" i="6"/>
  <c r="BG406" i="6"/>
  <c r="BF406" i="6"/>
  <c r="BE406" i="6"/>
  <c r="BD406" i="6"/>
  <c r="BC406" i="6"/>
  <c r="BB406" i="6"/>
  <c r="BA406" i="6"/>
  <c r="AZ406" i="6"/>
  <c r="AY406" i="6"/>
  <c r="AX406" i="6"/>
  <c r="AW406" i="6"/>
  <c r="AV406" i="6"/>
  <c r="AU406" i="6"/>
  <c r="AT406" i="6"/>
  <c r="AS406" i="6"/>
  <c r="AR406" i="6"/>
  <c r="AQ406" i="6"/>
  <c r="AP406" i="6"/>
  <c r="AO406" i="6"/>
  <c r="AN406" i="6"/>
  <c r="AM406" i="6"/>
  <c r="AL406" i="6"/>
  <c r="AK406" i="6"/>
  <c r="AJ406" i="6"/>
  <c r="AI406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406" i="6"/>
  <c r="DE404" i="6"/>
  <c r="DD404" i="6"/>
  <c r="DC404" i="6"/>
  <c r="DB404" i="6"/>
  <c r="DA404" i="6"/>
  <c r="CZ404" i="6"/>
  <c r="CY404" i="6"/>
  <c r="CX404" i="6"/>
  <c r="CV404" i="6"/>
  <c r="CU404" i="6"/>
  <c r="CT404" i="6"/>
  <c r="CS404" i="6"/>
  <c r="CR404" i="6"/>
  <c r="CQ404" i="6"/>
  <c r="CP404" i="6"/>
  <c r="CO404" i="6"/>
  <c r="CN404" i="6"/>
  <c r="CM404" i="6"/>
  <c r="CL404" i="6"/>
  <c r="CK404" i="6"/>
  <c r="CJ404" i="6"/>
  <c r="CI404" i="6"/>
  <c r="CH404" i="6"/>
  <c r="CG404" i="6"/>
  <c r="CF404" i="6"/>
  <c r="CE404" i="6"/>
  <c r="CD404" i="6"/>
  <c r="CC404" i="6"/>
  <c r="CB404" i="6"/>
  <c r="CA404" i="6"/>
  <c r="BZ404" i="6"/>
  <c r="BY404" i="6"/>
  <c r="BX404" i="6"/>
  <c r="BW404" i="6"/>
  <c r="BV404" i="6"/>
  <c r="BU404" i="6"/>
  <c r="BT404" i="6"/>
  <c r="BS404" i="6"/>
  <c r="BR404" i="6"/>
  <c r="BQ404" i="6"/>
  <c r="BP404" i="6"/>
  <c r="BO404" i="6"/>
  <c r="BN404" i="6"/>
  <c r="BM404" i="6"/>
  <c r="BL404" i="6"/>
  <c r="BK404" i="6"/>
  <c r="BJ404" i="6"/>
  <c r="BI404" i="6"/>
  <c r="BH404" i="6"/>
  <c r="BG404" i="6"/>
  <c r="BF404" i="6"/>
  <c r="BE404" i="6"/>
  <c r="BD404" i="6"/>
  <c r="BC404" i="6"/>
  <c r="BB404" i="6"/>
  <c r="BA404" i="6"/>
  <c r="AZ404" i="6"/>
  <c r="AY404" i="6"/>
  <c r="AX404" i="6"/>
  <c r="AW404" i="6"/>
  <c r="AV404" i="6"/>
  <c r="AU404" i="6"/>
  <c r="AT404" i="6"/>
  <c r="AS404" i="6"/>
  <c r="AR404" i="6"/>
  <c r="AQ404" i="6"/>
  <c r="AP404" i="6"/>
  <c r="AO404" i="6"/>
  <c r="AN404" i="6"/>
  <c r="AM404" i="6"/>
  <c r="AL404" i="6"/>
  <c r="AK404" i="6"/>
  <c r="AJ404" i="6"/>
  <c r="AI404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404" i="6"/>
  <c r="DE403" i="6"/>
  <c r="DD403" i="6"/>
  <c r="DC403" i="6"/>
  <c r="DB403" i="6"/>
  <c r="DA403" i="6"/>
  <c r="CZ403" i="6"/>
  <c r="CY403" i="6"/>
  <c r="CX403" i="6"/>
  <c r="CV403" i="6"/>
  <c r="CU403" i="6"/>
  <c r="CT403" i="6"/>
  <c r="CS403" i="6"/>
  <c r="CR403" i="6"/>
  <c r="CQ403" i="6"/>
  <c r="CP403" i="6"/>
  <c r="CO403" i="6"/>
  <c r="CN403" i="6"/>
  <c r="CM403" i="6"/>
  <c r="CL403" i="6"/>
  <c r="CK403" i="6"/>
  <c r="CJ403" i="6"/>
  <c r="CI403" i="6"/>
  <c r="CH403" i="6"/>
  <c r="CG403" i="6"/>
  <c r="CF403" i="6"/>
  <c r="CE403" i="6"/>
  <c r="CD403" i="6"/>
  <c r="CC403" i="6"/>
  <c r="CB403" i="6"/>
  <c r="CA403" i="6"/>
  <c r="BZ403" i="6"/>
  <c r="BY403" i="6"/>
  <c r="BX403" i="6"/>
  <c r="BW403" i="6"/>
  <c r="BV403" i="6"/>
  <c r="BU403" i="6"/>
  <c r="BT403" i="6"/>
  <c r="BS403" i="6"/>
  <c r="BR403" i="6"/>
  <c r="BQ403" i="6"/>
  <c r="BP403" i="6"/>
  <c r="BO403" i="6"/>
  <c r="BN403" i="6"/>
  <c r="BM403" i="6"/>
  <c r="BL403" i="6"/>
  <c r="BK403" i="6"/>
  <c r="BJ403" i="6"/>
  <c r="BI403" i="6"/>
  <c r="BH403" i="6"/>
  <c r="BG403" i="6"/>
  <c r="BF403" i="6"/>
  <c r="BE403" i="6"/>
  <c r="BD403" i="6"/>
  <c r="BC403" i="6"/>
  <c r="BB403" i="6"/>
  <c r="BA403" i="6"/>
  <c r="AZ403" i="6"/>
  <c r="AY403" i="6"/>
  <c r="AX403" i="6"/>
  <c r="AW403" i="6"/>
  <c r="AV403" i="6"/>
  <c r="AU403" i="6"/>
  <c r="AT403" i="6"/>
  <c r="AS403" i="6"/>
  <c r="AR403" i="6"/>
  <c r="AQ403" i="6"/>
  <c r="AP403" i="6"/>
  <c r="AO403" i="6"/>
  <c r="AN403" i="6"/>
  <c r="AM403" i="6"/>
  <c r="AL403" i="6"/>
  <c r="AK403" i="6"/>
  <c r="AJ403" i="6"/>
  <c r="AI403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403" i="6"/>
  <c r="DE402" i="6"/>
  <c r="DD402" i="6"/>
  <c r="DC402" i="6"/>
  <c r="DB402" i="6"/>
  <c r="DA402" i="6"/>
  <c r="CZ402" i="6"/>
  <c r="CY402" i="6"/>
  <c r="CX402" i="6"/>
  <c r="CV402" i="6"/>
  <c r="CU402" i="6"/>
  <c r="CT402" i="6"/>
  <c r="CS402" i="6"/>
  <c r="CR402" i="6"/>
  <c r="CQ402" i="6"/>
  <c r="CP402" i="6"/>
  <c r="CO402" i="6"/>
  <c r="CN402" i="6"/>
  <c r="CM402" i="6"/>
  <c r="CL402" i="6"/>
  <c r="CK402" i="6"/>
  <c r="CJ402" i="6"/>
  <c r="CI402" i="6"/>
  <c r="CH402" i="6"/>
  <c r="CG402" i="6"/>
  <c r="CF402" i="6"/>
  <c r="CE402" i="6"/>
  <c r="CD402" i="6"/>
  <c r="CC402" i="6"/>
  <c r="CB402" i="6"/>
  <c r="CA402" i="6"/>
  <c r="BZ402" i="6"/>
  <c r="BY402" i="6"/>
  <c r="BX402" i="6"/>
  <c r="BW402" i="6"/>
  <c r="BV402" i="6"/>
  <c r="BU402" i="6"/>
  <c r="BT402" i="6"/>
  <c r="BS402" i="6"/>
  <c r="BR402" i="6"/>
  <c r="BQ402" i="6"/>
  <c r="BP402" i="6"/>
  <c r="BO402" i="6"/>
  <c r="BN402" i="6"/>
  <c r="BM402" i="6"/>
  <c r="BL402" i="6"/>
  <c r="BK402" i="6"/>
  <c r="BJ402" i="6"/>
  <c r="BI402" i="6"/>
  <c r="BH402" i="6"/>
  <c r="BG402" i="6"/>
  <c r="BF402" i="6"/>
  <c r="BE402" i="6"/>
  <c r="BD402" i="6"/>
  <c r="BC402" i="6"/>
  <c r="BB402" i="6"/>
  <c r="BA402" i="6"/>
  <c r="AZ402" i="6"/>
  <c r="AY402" i="6"/>
  <c r="AX402" i="6"/>
  <c r="AW402" i="6"/>
  <c r="AV402" i="6"/>
  <c r="AU402" i="6"/>
  <c r="AT402" i="6"/>
  <c r="AS402" i="6"/>
  <c r="AR402" i="6"/>
  <c r="AQ402" i="6"/>
  <c r="AP402" i="6"/>
  <c r="AO402" i="6"/>
  <c r="AN402" i="6"/>
  <c r="AM402" i="6"/>
  <c r="AL402" i="6"/>
  <c r="AK402" i="6"/>
  <c r="AJ402" i="6"/>
  <c r="AI402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402" i="6"/>
  <c r="DE401" i="6"/>
  <c r="DD401" i="6"/>
  <c r="DC401" i="6"/>
  <c r="DB401" i="6"/>
  <c r="DA401" i="6"/>
  <c r="CZ401" i="6"/>
  <c r="CY401" i="6"/>
  <c r="CX401" i="6"/>
  <c r="CV401" i="6"/>
  <c r="CU401" i="6"/>
  <c r="CT401" i="6"/>
  <c r="CS401" i="6"/>
  <c r="CR401" i="6"/>
  <c r="CQ401" i="6"/>
  <c r="CP401" i="6"/>
  <c r="CO401" i="6"/>
  <c r="CN401" i="6"/>
  <c r="CM401" i="6"/>
  <c r="CL401" i="6"/>
  <c r="CK401" i="6"/>
  <c r="CJ401" i="6"/>
  <c r="CI401" i="6"/>
  <c r="CH401" i="6"/>
  <c r="CG401" i="6"/>
  <c r="CF401" i="6"/>
  <c r="CE401" i="6"/>
  <c r="CD401" i="6"/>
  <c r="CC401" i="6"/>
  <c r="CB401" i="6"/>
  <c r="CA401" i="6"/>
  <c r="BZ401" i="6"/>
  <c r="BY401" i="6"/>
  <c r="BX401" i="6"/>
  <c r="BW401" i="6"/>
  <c r="BV401" i="6"/>
  <c r="BU401" i="6"/>
  <c r="BT401" i="6"/>
  <c r="BS401" i="6"/>
  <c r="BR401" i="6"/>
  <c r="BQ401" i="6"/>
  <c r="BP401" i="6"/>
  <c r="BO401" i="6"/>
  <c r="BN401" i="6"/>
  <c r="BM401" i="6"/>
  <c r="BL401" i="6"/>
  <c r="BK401" i="6"/>
  <c r="BJ401" i="6"/>
  <c r="BI401" i="6"/>
  <c r="BH401" i="6"/>
  <c r="BG401" i="6"/>
  <c r="BF401" i="6"/>
  <c r="BE401" i="6"/>
  <c r="BD401" i="6"/>
  <c r="BC401" i="6"/>
  <c r="BB401" i="6"/>
  <c r="BA401" i="6"/>
  <c r="AZ401" i="6"/>
  <c r="AY401" i="6"/>
  <c r="AX401" i="6"/>
  <c r="AW401" i="6"/>
  <c r="AV401" i="6"/>
  <c r="AU401" i="6"/>
  <c r="AT401" i="6"/>
  <c r="AS401" i="6"/>
  <c r="AR401" i="6"/>
  <c r="AQ401" i="6"/>
  <c r="AP401" i="6"/>
  <c r="AO401" i="6"/>
  <c r="AN401" i="6"/>
  <c r="AM401" i="6"/>
  <c r="AL401" i="6"/>
  <c r="AK401" i="6"/>
  <c r="AJ401" i="6"/>
  <c r="AI401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401" i="6"/>
  <c r="DE400" i="6"/>
  <c r="DD400" i="6"/>
  <c r="DC400" i="6"/>
  <c r="DB400" i="6"/>
  <c r="DA400" i="6"/>
  <c r="CZ400" i="6"/>
  <c r="CY400" i="6"/>
  <c r="CX400" i="6"/>
  <c r="CV400" i="6"/>
  <c r="CU400" i="6"/>
  <c r="CT400" i="6"/>
  <c r="CS400" i="6"/>
  <c r="CR400" i="6"/>
  <c r="CQ400" i="6"/>
  <c r="CP400" i="6"/>
  <c r="CO400" i="6"/>
  <c r="CN400" i="6"/>
  <c r="CM400" i="6"/>
  <c r="CL400" i="6"/>
  <c r="CK400" i="6"/>
  <c r="CJ400" i="6"/>
  <c r="CI400" i="6"/>
  <c r="CH400" i="6"/>
  <c r="CG400" i="6"/>
  <c r="CF400" i="6"/>
  <c r="CE400" i="6"/>
  <c r="CD400" i="6"/>
  <c r="CC400" i="6"/>
  <c r="CB400" i="6"/>
  <c r="CA400" i="6"/>
  <c r="BZ400" i="6"/>
  <c r="BY400" i="6"/>
  <c r="BX400" i="6"/>
  <c r="BW400" i="6"/>
  <c r="BV400" i="6"/>
  <c r="BU400" i="6"/>
  <c r="BT400" i="6"/>
  <c r="BS400" i="6"/>
  <c r="BR400" i="6"/>
  <c r="BQ400" i="6"/>
  <c r="BP400" i="6"/>
  <c r="BO400" i="6"/>
  <c r="BN400" i="6"/>
  <c r="BM400" i="6"/>
  <c r="BL400" i="6"/>
  <c r="BK400" i="6"/>
  <c r="BJ400" i="6"/>
  <c r="BI400" i="6"/>
  <c r="BH400" i="6"/>
  <c r="BG400" i="6"/>
  <c r="BF400" i="6"/>
  <c r="BE400" i="6"/>
  <c r="BD400" i="6"/>
  <c r="BC400" i="6"/>
  <c r="BB400" i="6"/>
  <c r="BA400" i="6"/>
  <c r="AZ400" i="6"/>
  <c r="AY400" i="6"/>
  <c r="AX400" i="6"/>
  <c r="AW400" i="6"/>
  <c r="AV400" i="6"/>
  <c r="AU400" i="6"/>
  <c r="AT400" i="6"/>
  <c r="AS400" i="6"/>
  <c r="AR400" i="6"/>
  <c r="AQ400" i="6"/>
  <c r="AP400" i="6"/>
  <c r="AO400" i="6"/>
  <c r="AN400" i="6"/>
  <c r="AM400" i="6"/>
  <c r="AL400" i="6"/>
  <c r="AK400" i="6"/>
  <c r="AJ400" i="6"/>
  <c r="AI400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400" i="6"/>
  <c r="DE399" i="6"/>
  <c r="DD399" i="6"/>
  <c r="DC399" i="6"/>
  <c r="DB399" i="6"/>
  <c r="DA399" i="6"/>
  <c r="CZ399" i="6"/>
  <c r="CY399" i="6"/>
  <c r="CX399" i="6"/>
  <c r="CV399" i="6"/>
  <c r="CU399" i="6"/>
  <c r="CT399" i="6"/>
  <c r="CS399" i="6"/>
  <c r="CR399" i="6"/>
  <c r="CQ399" i="6"/>
  <c r="CP399" i="6"/>
  <c r="CO399" i="6"/>
  <c r="CN399" i="6"/>
  <c r="CM399" i="6"/>
  <c r="CL399" i="6"/>
  <c r="CK399" i="6"/>
  <c r="CJ399" i="6"/>
  <c r="CI399" i="6"/>
  <c r="CH399" i="6"/>
  <c r="CG399" i="6"/>
  <c r="CF399" i="6"/>
  <c r="CE399" i="6"/>
  <c r="CD399" i="6"/>
  <c r="CC399" i="6"/>
  <c r="CB399" i="6"/>
  <c r="CA399" i="6"/>
  <c r="BZ399" i="6"/>
  <c r="BY399" i="6"/>
  <c r="BX399" i="6"/>
  <c r="BW399" i="6"/>
  <c r="BV399" i="6"/>
  <c r="BU399" i="6"/>
  <c r="BT399" i="6"/>
  <c r="BS399" i="6"/>
  <c r="BR399" i="6"/>
  <c r="BQ399" i="6"/>
  <c r="BP399" i="6"/>
  <c r="BO399" i="6"/>
  <c r="BN399" i="6"/>
  <c r="BM399" i="6"/>
  <c r="BL399" i="6"/>
  <c r="BK399" i="6"/>
  <c r="BJ399" i="6"/>
  <c r="BI399" i="6"/>
  <c r="BH399" i="6"/>
  <c r="BG399" i="6"/>
  <c r="BF399" i="6"/>
  <c r="BE399" i="6"/>
  <c r="BD399" i="6"/>
  <c r="BC399" i="6"/>
  <c r="BB399" i="6"/>
  <c r="BA399" i="6"/>
  <c r="AZ399" i="6"/>
  <c r="AY399" i="6"/>
  <c r="AX399" i="6"/>
  <c r="AW399" i="6"/>
  <c r="AV399" i="6"/>
  <c r="AU399" i="6"/>
  <c r="AT399" i="6"/>
  <c r="AS399" i="6"/>
  <c r="AR399" i="6"/>
  <c r="AQ399" i="6"/>
  <c r="AP399" i="6"/>
  <c r="AO399" i="6"/>
  <c r="AN399" i="6"/>
  <c r="AM399" i="6"/>
  <c r="AL399" i="6"/>
  <c r="AK399" i="6"/>
  <c r="AJ399" i="6"/>
  <c r="AI399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399" i="6"/>
  <c r="DE398" i="6"/>
  <c r="DD398" i="6"/>
  <c r="DC398" i="6"/>
  <c r="DB398" i="6"/>
  <c r="DA398" i="6"/>
  <c r="CZ398" i="6"/>
  <c r="CY398" i="6"/>
  <c r="CX398" i="6"/>
  <c r="CV398" i="6"/>
  <c r="CU398" i="6"/>
  <c r="CT398" i="6"/>
  <c r="CS398" i="6"/>
  <c r="CR398" i="6"/>
  <c r="CQ398" i="6"/>
  <c r="CP398" i="6"/>
  <c r="CO398" i="6"/>
  <c r="CN398" i="6"/>
  <c r="CM398" i="6"/>
  <c r="CL398" i="6"/>
  <c r="CK398" i="6"/>
  <c r="CJ398" i="6"/>
  <c r="CI398" i="6"/>
  <c r="CH398" i="6"/>
  <c r="CG398" i="6"/>
  <c r="CF398" i="6"/>
  <c r="CE398" i="6"/>
  <c r="CD398" i="6"/>
  <c r="CC398" i="6"/>
  <c r="CB398" i="6"/>
  <c r="CA398" i="6"/>
  <c r="BZ398" i="6"/>
  <c r="BY398" i="6"/>
  <c r="BX398" i="6"/>
  <c r="BW398" i="6"/>
  <c r="BV398" i="6"/>
  <c r="BU398" i="6"/>
  <c r="BT398" i="6"/>
  <c r="BS398" i="6"/>
  <c r="BR398" i="6"/>
  <c r="BQ398" i="6"/>
  <c r="BP398" i="6"/>
  <c r="BO398" i="6"/>
  <c r="BN398" i="6"/>
  <c r="BM398" i="6"/>
  <c r="BL398" i="6"/>
  <c r="BK398" i="6"/>
  <c r="BJ398" i="6"/>
  <c r="BI398" i="6"/>
  <c r="BH398" i="6"/>
  <c r="BG398" i="6"/>
  <c r="BF398" i="6"/>
  <c r="BE398" i="6"/>
  <c r="BD398" i="6"/>
  <c r="BC398" i="6"/>
  <c r="BB398" i="6"/>
  <c r="BA398" i="6"/>
  <c r="AZ398" i="6"/>
  <c r="AY398" i="6"/>
  <c r="AX398" i="6"/>
  <c r="AW398" i="6"/>
  <c r="AV398" i="6"/>
  <c r="AU398" i="6"/>
  <c r="AT398" i="6"/>
  <c r="AS398" i="6"/>
  <c r="AR398" i="6"/>
  <c r="AQ398" i="6"/>
  <c r="AP398" i="6"/>
  <c r="AO398" i="6"/>
  <c r="AN398" i="6"/>
  <c r="AM398" i="6"/>
  <c r="AL398" i="6"/>
  <c r="AK398" i="6"/>
  <c r="AJ398" i="6"/>
  <c r="AI398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398" i="6"/>
  <c r="DE397" i="6"/>
  <c r="DD397" i="6"/>
  <c r="DC397" i="6"/>
  <c r="DB397" i="6"/>
  <c r="DA397" i="6"/>
  <c r="CZ397" i="6"/>
  <c r="CY397" i="6"/>
  <c r="CX397" i="6"/>
  <c r="CV397" i="6"/>
  <c r="CU397" i="6"/>
  <c r="CT397" i="6"/>
  <c r="CS397" i="6"/>
  <c r="CR397" i="6"/>
  <c r="CQ397" i="6"/>
  <c r="CP397" i="6"/>
  <c r="CO397" i="6"/>
  <c r="CN397" i="6"/>
  <c r="CM397" i="6"/>
  <c r="CL397" i="6"/>
  <c r="CK397" i="6"/>
  <c r="CJ397" i="6"/>
  <c r="CI397" i="6"/>
  <c r="CH397" i="6"/>
  <c r="CG397" i="6"/>
  <c r="CF397" i="6"/>
  <c r="CE397" i="6"/>
  <c r="CD397" i="6"/>
  <c r="CC397" i="6"/>
  <c r="CB397" i="6"/>
  <c r="CA397" i="6"/>
  <c r="BZ397" i="6"/>
  <c r="BY397" i="6"/>
  <c r="BX397" i="6"/>
  <c r="BW397" i="6"/>
  <c r="BV397" i="6"/>
  <c r="BU397" i="6"/>
  <c r="BT397" i="6"/>
  <c r="BS397" i="6"/>
  <c r="BR397" i="6"/>
  <c r="BQ397" i="6"/>
  <c r="BP397" i="6"/>
  <c r="BO397" i="6"/>
  <c r="BN397" i="6"/>
  <c r="BM397" i="6"/>
  <c r="BL397" i="6"/>
  <c r="BK397" i="6"/>
  <c r="BJ397" i="6"/>
  <c r="BI397" i="6"/>
  <c r="BH397" i="6"/>
  <c r="BG397" i="6"/>
  <c r="BF397" i="6"/>
  <c r="BE397" i="6"/>
  <c r="BD397" i="6"/>
  <c r="BC397" i="6"/>
  <c r="BB397" i="6"/>
  <c r="BA397" i="6"/>
  <c r="AZ397" i="6"/>
  <c r="AY397" i="6"/>
  <c r="AX397" i="6"/>
  <c r="AW397" i="6"/>
  <c r="AV397" i="6"/>
  <c r="AU397" i="6"/>
  <c r="AT397" i="6"/>
  <c r="AS397" i="6"/>
  <c r="AR397" i="6"/>
  <c r="AQ397" i="6"/>
  <c r="AP397" i="6"/>
  <c r="AO397" i="6"/>
  <c r="AN397" i="6"/>
  <c r="AM397" i="6"/>
  <c r="AL397" i="6"/>
  <c r="AK397" i="6"/>
  <c r="AJ397" i="6"/>
  <c r="AI397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397" i="6"/>
  <c r="DE396" i="6"/>
  <c r="DD396" i="6"/>
  <c r="DC396" i="6"/>
  <c r="DB396" i="6"/>
  <c r="DA396" i="6"/>
  <c r="CZ396" i="6"/>
  <c r="CY396" i="6"/>
  <c r="CX396" i="6"/>
  <c r="CV396" i="6"/>
  <c r="CU396" i="6"/>
  <c r="CT396" i="6"/>
  <c r="CS396" i="6"/>
  <c r="CR396" i="6"/>
  <c r="CQ396" i="6"/>
  <c r="CP396" i="6"/>
  <c r="CO396" i="6"/>
  <c r="CN396" i="6"/>
  <c r="CM396" i="6"/>
  <c r="CL396" i="6"/>
  <c r="CK396" i="6"/>
  <c r="CJ396" i="6"/>
  <c r="CI396" i="6"/>
  <c r="CH396" i="6"/>
  <c r="CG396" i="6"/>
  <c r="CF396" i="6"/>
  <c r="CE396" i="6"/>
  <c r="CD396" i="6"/>
  <c r="CC396" i="6"/>
  <c r="CB396" i="6"/>
  <c r="CA396" i="6"/>
  <c r="BZ396" i="6"/>
  <c r="BY396" i="6"/>
  <c r="BX396" i="6"/>
  <c r="BW396" i="6"/>
  <c r="BV396" i="6"/>
  <c r="BU396" i="6"/>
  <c r="BT396" i="6"/>
  <c r="BS396" i="6"/>
  <c r="BR396" i="6"/>
  <c r="BQ396" i="6"/>
  <c r="BP396" i="6"/>
  <c r="BO396" i="6"/>
  <c r="BN396" i="6"/>
  <c r="BM396" i="6"/>
  <c r="BL396" i="6"/>
  <c r="BK396" i="6"/>
  <c r="BJ396" i="6"/>
  <c r="BI396" i="6"/>
  <c r="BH396" i="6"/>
  <c r="BG396" i="6"/>
  <c r="BF396" i="6"/>
  <c r="BE396" i="6"/>
  <c r="BD396" i="6"/>
  <c r="BC396" i="6"/>
  <c r="BB396" i="6"/>
  <c r="BA396" i="6"/>
  <c r="AZ396" i="6"/>
  <c r="AY396" i="6"/>
  <c r="AX396" i="6"/>
  <c r="AW396" i="6"/>
  <c r="AV396" i="6"/>
  <c r="AU396" i="6"/>
  <c r="AT396" i="6"/>
  <c r="AS396" i="6"/>
  <c r="AR396" i="6"/>
  <c r="AQ396" i="6"/>
  <c r="AP396" i="6"/>
  <c r="AO396" i="6"/>
  <c r="AN396" i="6"/>
  <c r="AM396" i="6"/>
  <c r="AL396" i="6"/>
  <c r="AK396" i="6"/>
  <c r="AJ396" i="6"/>
  <c r="AI396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396" i="6"/>
  <c r="DE395" i="6"/>
  <c r="DD395" i="6"/>
  <c r="DC395" i="6"/>
  <c r="DB395" i="6"/>
  <c r="DA395" i="6"/>
  <c r="CZ395" i="6"/>
  <c r="CY395" i="6"/>
  <c r="CX395" i="6"/>
  <c r="CV395" i="6"/>
  <c r="CU395" i="6"/>
  <c r="CT395" i="6"/>
  <c r="CS395" i="6"/>
  <c r="CR395" i="6"/>
  <c r="CQ395" i="6"/>
  <c r="CP395" i="6"/>
  <c r="CO395" i="6"/>
  <c r="CN395" i="6"/>
  <c r="CM395" i="6"/>
  <c r="CL395" i="6"/>
  <c r="CK395" i="6"/>
  <c r="CJ395" i="6"/>
  <c r="CI395" i="6"/>
  <c r="CH395" i="6"/>
  <c r="CG395" i="6"/>
  <c r="CF395" i="6"/>
  <c r="CE395" i="6"/>
  <c r="CD395" i="6"/>
  <c r="CC395" i="6"/>
  <c r="CB395" i="6"/>
  <c r="CA395" i="6"/>
  <c r="BZ395" i="6"/>
  <c r="BY395" i="6"/>
  <c r="BX395" i="6"/>
  <c r="BW395" i="6"/>
  <c r="BV395" i="6"/>
  <c r="BU395" i="6"/>
  <c r="BT395" i="6"/>
  <c r="BS395" i="6"/>
  <c r="BR395" i="6"/>
  <c r="BQ395" i="6"/>
  <c r="BP395" i="6"/>
  <c r="BO395" i="6"/>
  <c r="BN395" i="6"/>
  <c r="BM395" i="6"/>
  <c r="BL395" i="6"/>
  <c r="BK395" i="6"/>
  <c r="BJ395" i="6"/>
  <c r="BI395" i="6"/>
  <c r="BH395" i="6"/>
  <c r="BG395" i="6"/>
  <c r="BF395" i="6"/>
  <c r="BE395" i="6"/>
  <c r="BD395" i="6"/>
  <c r="BC395" i="6"/>
  <c r="BB395" i="6"/>
  <c r="BA395" i="6"/>
  <c r="AZ395" i="6"/>
  <c r="AY395" i="6"/>
  <c r="AX395" i="6"/>
  <c r="AW395" i="6"/>
  <c r="AV395" i="6"/>
  <c r="AU395" i="6"/>
  <c r="AT395" i="6"/>
  <c r="AS395" i="6"/>
  <c r="AR395" i="6"/>
  <c r="AQ395" i="6"/>
  <c r="AP395" i="6"/>
  <c r="AO395" i="6"/>
  <c r="AN395" i="6"/>
  <c r="AM395" i="6"/>
  <c r="AL395" i="6"/>
  <c r="AK395" i="6"/>
  <c r="AJ395" i="6"/>
  <c r="AI395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395" i="6"/>
  <c r="DE394" i="6"/>
  <c r="DD394" i="6"/>
  <c r="DC394" i="6"/>
  <c r="DB394" i="6"/>
  <c r="DA394" i="6"/>
  <c r="CZ394" i="6"/>
  <c r="CY394" i="6"/>
  <c r="CX394" i="6"/>
  <c r="CV394" i="6"/>
  <c r="CU394" i="6"/>
  <c r="CT394" i="6"/>
  <c r="CS394" i="6"/>
  <c r="CR394" i="6"/>
  <c r="CQ394" i="6"/>
  <c r="CP394" i="6"/>
  <c r="CO394" i="6"/>
  <c r="CN394" i="6"/>
  <c r="CM394" i="6"/>
  <c r="CL394" i="6"/>
  <c r="CK394" i="6"/>
  <c r="CJ394" i="6"/>
  <c r="CI394" i="6"/>
  <c r="CH394" i="6"/>
  <c r="CG394" i="6"/>
  <c r="CF394" i="6"/>
  <c r="CE394" i="6"/>
  <c r="CD394" i="6"/>
  <c r="CC394" i="6"/>
  <c r="CB394" i="6"/>
  <c r="CA394" i="6"/>
  <c r="BZ394" i="6"/>
  <c r="BY394" i="6"/>
  <c r="BX394" i="6"/>
  <c r="BW394" i="6"/>
  <c r="BV394" i="6"/>
  <c r="BU394" i="6"/>
  <c r="BT394" i="6"/>
  <c r="BS394" i="6"/>
  <c r="BR394" i="6"/>
  <c r="BQ394" i="6"/>
  <c r="BP394" i="6"/>
  <c r="BO394" i="6"/>
  <c r="BN394" i="6"/>
  <c r="BM394" i="6"/>
  <c r="BL394" i="6"/>
  <c r="BK394" i="6"/>
  <c r="BJ394" i="6"/>
  <c r="BI394" i="6"/>
  <c r="BH394" i="6"/>
  <c r="BG394" i="6"/>
  <c r="BF394" i="6"/>
  <c r="BE394" i="6"/>
  <c r="BD394" i="6"/>
  <c r="BC394" i="6"/>
  <c r="BB394" i="6"/>
  <c r="BA394" i="6"/>
  <c r="AZ394" i="6"/>
  <c r="AY394" i="6"/>
  <c r="AX394" i="6"/>
  <c r="AW394" i="6"/>
  <c r="AV394" i="6"/>
  <c r="AU394" i="6"/>
  <c r="AT394" i="6"/>
  <c r="AS394" i="6"/>
  <c r="AR394" i="6"/>
  <c r="AQ394" i="6"/>
  <c r="AP394" i="6"/>
  <c r="AO394" i="6"/>
  <c r="AN394" i="6"/>
  <c r="AM394" i="6"/>
  <c r="AL394" i="6"/>
  <c r="AK394" i="6"/>
  <c r="AJ394" i="6"/>
  <c r="AI394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394" i="6"/>
  <c r="DE393" i="6"/>
  <c r="DD393" i="6"/>
  <c r="DC393" i="6"/>
  <c r="DB393" i="6"/>
  <c r="DA393" i="6"/>
  <c r="CZ393" i="6"/>
  <c r="CY393" i="6"/>
  <c r="CX393" i="6"/>
  <c r="CV393" i="6"/>
  <c r="CU393" i="6"/>
  <c r="CT393" i="6"/>
  <c r="CS393" i="6"/>
  <c r="CR393" i="6"/>
  <c r="CQ393" i="6"/>
  <c r="CP393" i="6"/>
  <c r="CO393" i="6"/>
  <c r="CN393" i="6"/>
  <c r="CM393" i="6"/>
  <c r="CL393" i="6"/>
  <c r="CK393" i="6"/>
  <c r="CJ393" i="6"/>
  <c r="CI393" i="6"/>
  <c r="CH393" i="6"/>
  <c r="CG393" i="6"/>
  <c r="CF393" i="6"/>
  <c r="CE393" i="6"/>
  <c r="CD393" i="6"/>
  <c r="CC393" i="6"/>
  <c r="CB393" i="6"/>
  <c r="CA393" i="6"/>
  <c r="BZ393" i="6"/>
  <c r="BY393" i="6"/>
  <c r="BX393" i="6"/>
  <c r="BW393" i="6"/>
  <c r="BV393" i="6"/>
  <c r="BU393" i="6"/>
  <c r="BT393" i="6"/>
  <c r="BS393" i="6"/>
  <c r="BR393" i="6"/>
  <c r="BQ393" i="6"/>
  <c r="BP393" i="6"/>
  <c r="BO393" i="6"/>
  <c r="BN393" i="6"/>
  <c r="BM393" i="6"/>
  <c r="BL393" i="6"/>
  <c r="BK393" i="6"/>
  <c r="BJ393" i="6"/>
  <c r="BI393" i="6"/>
  <c r="BH393" i="6"/>
  <c r="BG393" i="6"/>
  <c r="BF393" i="6"/>
  <c r="BE393" i="6"/>
  <c r="BD393" i="6"/>
  <c r="BC393" i="6"/>
  <c r="BB393" i="6"/>
  <c r="BA393" i="6"/>
  <c r="AZ393" i="6"/>
  <c r="AY393" i="6"/>
  <c r="AX393" i="6"/>
  <c r="AW393" i="6"/>
  <c r="AV393" i="6"/>
  <c r="AU393" i="6"/>
  <c r="AT393" i="6"/>
  <c r="AS393" i="6"/>
  <c r="AR393" i="6"/>
  <c r="AQ393" i="6"/>
  <c r="AP393" i="6"/>
  <c r="AO393" i="6"/>
  <c r="AN393" i="6"/>
  <c r="AM393" i="6"/>
  <c r="AL393" i="6"/>
  <c r="AK393" i="6"/>
  <c r="AJ393" i="6"/>
  <c r="AI393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393" i="6"/>
  <c r="DE392" i="6"/>
  <c r="DD392" i="6"/>
  <c r="DC392" i="6"/>
  <c r="DB392" i="6"/>
  <c r="DA392" i="6"/>
  <c r="CZ392" i="6"/>
  <c r="CY392" i="6"/>
  <c r="CX392" i="6"/>
  <c r="CV392" i="6"/>
  <c r="CU392" i="6"/>
  <c r="CT392" i="6"/>
  <c r="CS392" i="6"/>
  <c r="CR392" i="6"/>
  <c r="CQ392" i="6"/>
  <c r="CP392" i="6"/>
  <c r="CO392" i="6"/>
  <c r="CN392" i="6"/>
  <c r="CM392" i="6"/>
  <c r="CL392" i="6"/>
  <c r="CK392" i="6"/>
  <c r="CJ392" i="6"/>
  <c r="CI392" i="6"/>
  <c r="CH392" i="6"/>
  <c r="CG392" i="6"/>
  <c r="CF392" i="6"/>
  <c r="CE392" i="6"/>
  <c r="CD392" i="6"/>
  <c r="CC392" i="6"/>
  <c r="CB392" i="6"/>
  <c r="CA392" i="6"/>
  <c r="BZ392" i="6"/>
  <c r="BY392" i="6"/>
  <c r="BX392" i="6"/>
  <c r="BW392" i="6"/>
  <c r="BV392" i="6"/>
  <c r="BU392" i="6"/>
  <c r="BT392" i="6"/>
  <c r="BS392" i="6"/>
  <c r="BR392" i="6"/>
  <c r="BQ392" i="6"/>
  <c r="BP392" i="6"/>
  <c r="BO392" i="6"/>
  <c r="BN392" i="6"/>
  <c r="BM392" i="6"/>
  <c r="BL392" i="6"/>
  <c r="BK392" i="6"/>
  <c r="BJ392" i="6"/>
  <c r="BI392" i="6"/>
  <c r="BH392" i="6"/>
  <c r="BG392" i="6"/>
  <c r="BF392" i="6"/>
  <c r="BE392" i="6"/>
  <c r="BD392" i="6"/>
  <c r="BC392" i="6"/>
  <c r="BB392" i="6"/>
  <c r="BA392" i="6"/>
  <c r="AZ392" i="6"/>
  <c r="AY392" i="6"/>
  <c r="AX392" i="6"/>
  <c r="AW392" i="6"/>
  <c r="AV392" i="6"/>
  <c r="AU392" i="6"/>
  <c r="AT392" i="6"/>
  <c r="AS392" i="6"/>
  <c r="AR392" i="6"/>
  <c r="AQ392" i="6"/>
  <c r="AP392" i="6"/>
  <c r="AO392" i="6"/>
  <c r="AN392" i="6"/>
  <c r="AM392" i="6"/>
  <c r="AL392" i="6"/>
  <c r="AK392" i="6"/>
  <c r="AJ392" i="6"/>
  <c r="AI392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392" i="6"/>
  <c r="DE391" i="6"/>
  <c r="DD391" i="6"/>
  <c r="DC391" i="6"/>
  <c r="DB391" i="6"/>
  <c r="DA391" i="6"/>
  <c r="CZ391" i="6"/>
  <c r="CY391" i="6"/>
  <c r="CX391" i="6"/>
  <c r="CV391" i="6"/>
  <c r="CU391" i="6"/>
  <c r="CT391" i="6"/>
  <c r="CS391" i="6"/>
  <c r="CR391" i="6"/>
  <c r="CQ391" i="6"/>
  <c r="CP391" i="6"/>
  <c r="CO391" i="6"/>
  <c r="CN391" i="6"/>
  <c r="CM391" i="6"/>
  <c r="CL391" i="6"/>
  <c r="CK391" i="6"/>
  <c r="CJ391" i="6"/>
  <c r="CI391" i="6"/>
  <c r="CH391" i="6"/>
  <c r="CG391" i="6"/>
  <c r="CF391" i="6"/>
  <c r="CE391" i="6"/>
  <c r="CD391" i="6"/>
  <c r="CC391" i="6"/>
  <c r="CB391" i="6"/>
  <c r="CA391" i="6"/>
  <c r="BZ391" i="6"/>
  <c r="BY391" i="6"/>
  <c r="BX391" i="6"/>
  <c r="BW391" i="6"/>
  <c r="BV391" i="6"/>
  <c r="BU391" i="6"/>
  <c r="BT391" i="6"/>
  <c r="BS391" i="6"/>
  <c r="BR391" i="6"/>
  <c r="BQ391" i="6"/>
  <c r="BP391" i="6"/>
  <c r="BO391" i="6"/>
  <c r="BN391" i="6"/>
  <c r="BM391" i="6"/>
  <c r="BL391" i="6"/>
  <c r="BK391" i="6"/>
  <c r="BJ391" i="6"/>
  <c r="BI391" i="6"/>
  <c r="BH391" i="6"/>
  <c r="BG391" i="6"/>
  <c r="BF391" i="6"/>
  <c r="BE391" i="6"/>
  <c r="BD391" i="6"/>
  <c r="BC391" i="6"/>
  <c r="BB391" i="6"/>
  <c r="BA391" i="6"/>
  <c r="AZ391" i="6"/>
  <c r="AY391" i="6"/>
  <c r="AX391" i="6"/>
  <c r="AW391" i="6"/>
  <c r="AV391" i="6"/>
  <c r="AU391" i="6"/>
  <c r="AT391" i="6"/>
  <c r="AS391" i="6"/>
  <c r="AR391" i="6"/>
  <c r="AQ391" i="6"/>
  <c r="AP391" i="6"/>
  <c r="AO391" i="6"/>
  <c r="AN391" i="6"/>
  <c r="AM391" i="6"/>
  <c r="AL391" i="6"/>
  <c r="AK391" i="6"/>
  <c r="AJ391" i="6"/>
  <c r="AI391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391" i="6"/>
  <c r="DE390" i="6"/>
  <c r="DD390" i="6"/>
  <c r="DC390" i="6"/>
  <c r="DB390" i="6"/>
  <c r="DA390" i="6"/>
  <c r="CZ390" i="6"/>
  <c r="CY390" i="6"/>
  <c r="CX390" i="6"/>
  <c r="CV390" i="6"/>
  <c r="CU390" i="6"/>
  <c r="CT390" i="6"/>
  <c r="CS390" i="6"/>
  <c r="CR390" i="6"/>
  <c r="CQ390" i="6"/>
  <c r="CP390" i="6"/>
  <c r="CO390" i="6"/>
  <c r="CN390" i="6"/>
  <c r="CM390" i="6"/>
  <c r="CL390" i="6"/>
  <c r="CK390" i="6"/>
  <c r="CJ390" i="6"/>
  <c r="CI390" i="6"/>
  <c r="CH390" i="6"/>
  <c r="CG390" i="6"/>
  <c r="CF390" i="6"/>
  <c r="CE390" i="6"/>
  <c r="CD390" i="6"/>
  <c r="CC390" i="6"/>
  <c r="CB390" i="6"/>
  <c r="CA390" i="6"/>
  <c r="BZ390" i="6"/>
  <c r="BY390" i="6"/>
  <c r="BX390" i="6"/>
  <c r="BW390" i="6"/>
  <c r="BV390" i="6"/>
  <c r="BU390" i="6"/>
  <c r="BT390" i="6"/>
  <c r="BS390" i="6"/>
  <c r="BR390" i="6"/>
  <c r="BQ390" i="6"/>
  <c r="BP390" i="6"/>
  <c r="BO390" i="6"/>
  <c r="BN390" i="6"/>
  <c r="BM390" i="6"/>
  <c r="BL390" i="6"/>
  <c r="BK390" i="6"/>
  <c r="BJ390" i="6"/>
  <c r="BI390" i="6"/>
  <c r="BH390" i="6"/>
  <c r="BG390" i="6"/>
  <c r="BF390" i="6"/>
  <c r="BE390" i="6"/>
  <c r="BD390" i="6"/>
  <c r="BC390" i="6"/>
  <c r="BB390" i="6"/>
  <c r="BA390" i="6"/>
  <c r="AZ390" i="6"/>
  <c r="AY390" i="6"/>
  <c r="AX390" i="6"/>
  <c r="AW390" i="6"/>
  <c r="AV390" i="6"/>
  <c r="AU390" i="6"/>
  <c r="AT390" i="6"/>
  <c r="AS390" i="6"/>
  <c r="AR390" i="6"/>
  <c r="AQ390" i="6"/>
  <c r="AP390" i="6"/>
  <c r="AO390" i="6"/>
  <c r="AN390" i="6"/>
  <c r="AM390" i="6"/>
  <c r="AL390" i="6"/>
  <c r="AK390" i="6"/>
  <c r="AJ390" i="6"/>
  <c r="AI390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390" i="6"/>
  <c r="DE389" i="6"/>
  <c r="DD389" i="6"/>
  <c r="DC389" i="6"/>
  <c r="DB389" i="6"/>
  <c r="DA389" i="6"/>
  <c r="CZ389" i="6"/>
  <c r="CY389" i="6"/>
  <c r="CX389" i="6"/>
  <c r="CV389" i="6"/>
  <c r="CU389" i="6"/>
  <c r="CT389" i="6"/>
  <c r="CS389" i="6"/>
  <c r="CR389" i="6"/>
  <c r="CQ389" i="6"/>
  <c r="CP389" i="6"/>
  <c r="CO389" i="6"/>
  <c r="CN389" i="6"/>
  <c r="CM389" i="6"/>
  <c r="CL389" i="6"/>
  <c r="CK389" i="6"/>
  <c r="CJ389" i="6"/>
  <c r="CI389" i="6"/>
  <c r="CH389" i="6"/>
  <c r="CG389" i="6"/>
  <c r="CF389" i="6"/>
  <c r="CE389" i="6"/>
  <c r="CD389" i="6"/>
  <c r="CC389" i="6"/>
  <c r="CB389" i="6"/>
  <c r="CA389" i="6"/>
  <c r="BZ389" i="6"/>
  <c r="BY389" i="6"/>
  <c r="BX389" i="6"/>
  <c r="BW389" i="6"/>
  <c r="BV389" i="6"/>
  <c r="BU389" i="6"/>
  <c r="BT389" i="6"/>
  <c r="BS389" i="6"/>
  <c r="BR389" i="6"/>
  <c r="BQ389" i="6"/>
  <c r="BP389" i="6"/>
  <c r="BO389" i="6"/>
  <c r="BN389" i="6"/>
  <c r="BM389" i="6"/>
  <c r="BL389" i="6"/>
  <c r="BK389" i="6"/>
  <c r="BJ389" i="6"/>
  <c r="BI389" i="6"/>
  <c r="BH389" i="6"/>
  <c r="BG389" i="6"/>
  <c r="BF389" i="6"/>
  <c r="BE389" i="6"/>
  <c r="BD389" i="6"/>
  <c r="BC389" i="6"/>
  <c r="BB389" i="6"/>
  <c r="BA389" i="6"/>
  <c r="AZ389" i="6"/>
  <c r="AY389" i="6"/>
  <c r="AX389" i="6"/>
  <c r="AW389" i="6"/>
  <c r="AV389" i="6"/>
  <c r="AU389" i="6"/>
  <c r="AT389" i="6"/>
  <c r="AS389" i="6"/>
  <c r="AR389" i="6"/>
  <c r="AQ389" i="6"/>
  <c r="AP389" i="6"/>
  <c r="AO389" i="6"/>
  <c r="AN389" i="6"/>
  <c r="AM389" i="6"/>
  <c r="AL389" i="6"/>
  <c r="AK389" i="6"/>
  <c r="AJ389" i="6"/>
  <c r="AI389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389" i="6"/>
  <c r="DE388" i="6"/>
  <c r="DD388" i="6"/>
  <c r="DC388" i="6"/>
  <c r="DB388" i="6"/>
  <c r="DA388" i="6"/>
  <c r="CZ388" i="6"/>
  <c r="CY388" i="6"/>
  <c r="CX388" i="6"/>
  <c r="CV388" i="6"/>
  <c r="CU388" i="6"/>
  <c r="CT388" i="6"/>
  <c r="CS388" i="6"/>
  <c r="CR388" i="6"/>
  <c r="CQ388" i="6"/>
  <c r="CP388" i="6"/>
  <c r="CO388" i="6"/>
  <c r="CN388" i="6"/>
  <c r="CM388" i="6"/>
  <c r="CL388" i="6"/>
  <c r="CK388" i="6"/>
  <c r="CJ388" i="6"/>
  <c r="CI388" i="6"/>
  <c r="CH388" i="6"/>
  <c r="CG388" i="6"/>
  <c r="CF388" i="6"/>
  <c r="CE388" i="6"/>
  <c r="CD388" i="6"/>
  <c r="CC388" i="6"/>
  <c r="CB388" i="6"/>
  <c r="CA388" i="6"/>
  <c r="BZ388" i="6"/>
  <c r="BY388" i="6"/>
  <c r="BX388" i="6"/>
  <c r="BW388" i="6"/>
  <c r="BV388" i="6"/>
  <c r="BU388" i="6"/>
  <c r="BT388" i="6"/>
  <c r="BS388" i="6"/>
  <c r="BR388" i="6"/>
  <c r="BQ388" i="6"/>
  <c r="BP388" i="6"/>
  <c r="BO388" i="6"/>
  <c r="BN388" i="6"/>
  <c r="BM388" i="6"/>
  <c r="BL388" i="6"/>
  <c r="BK388" i="6"/>
  <c r="BJ388" i="6"/>
  <c r="BI388" i="6"/>
  <c r="BH388" i="6"/>
  <c r="BG388" i="6"/>
  <c r="BF388" i="6"/>
  <c r="BE388" i="6"/>
  <c r="BD388" i="6"/>
  <c r="BC388" i="6"/>
  <c r="BB388" i="6"/>
  <c r="BA388" i="6"/>
  <c r="AZ388" i="6"/>
  <c r="AY388" i="6"/>
  <c r="AX388" i="6"/>
  <c r="AW388" i="6"/>
  <c r="AV388" i="6"/>
  <c r="AU388" i="6"/>
  <c r="AT388" i="6"/>
  <c r="AS388" i="6"/>
  <c r="AR388" i="6"/>
  <c r="AQ388" i="6"/>
  <c r="AP388" i="6"/>
  <c r="AO388" i="6"/>
  <c r="AN388" i="6"/>
  <c r="AM388" i="6"/>
  <c r="AL388" i="6"/>
  <c r="AK388" i="6"/>
  <c r="AJ388" i="6"/>
  <c r="AI388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388" i="6"/>
  <c r="DE387" i="6"/>
  <c r="DD387" i="6"/>
  <c r="DC387" i="6"/>
  <c r="DB387" i="6"/>
  <c r="DA387" i="6"/>
  <c r="CZ387" i="6"/>
  <c r="CY387" i="6"/>
  <c r="CX387" i="6"/>
  <c r="CV387" i="6"/>
  <c r="CU387" i="6"/>
  <c r="CT387" i="6"/>
  <c r="CS387" i="6"/>
  <c r="CR387" i="6"/>
  <c r="CQ387" i="6"/>
  <c r="CP387" i="6"/>
  <c r="CO387" i="6"/>
  <c r="CN387" i="6"/>
  <c r="CM387" i="6"/>
  <c r="CL387" i="6"/>
  <c r="CK387" i="6"/>
  <c r="CJ387" i="6"/>
  <c r="CI387" i="6"/>
  <c r="CH387" i="6"/>
  <c r="CG387" i="6"/>
  <c r="CF387" i="6"/>
  <c r="CE387" i="6"/>
  <c r="CD387" i="6"/>
  <c r="CC387" i="6"/>
  <c r="CB387" i="6"/>
  <c r="CA387" i="6"/>
  <c r="BZ387" i="6"/>
  <c r="BY387" i="6"/>
  <c r="BX387" i="6"/>
  <c r="BW387" i="6"/>
  <c r="BV387" i="6"/>
  <c r="BU387" i="6"/>
  <c r="BT387" i="6"/>
  <c r="BS387" i="6"/>
  <c r="BR387" i="6"/>
  <c r="BQ387" i="6"/>
  <c r="BP387" i="6"/>
  <c r="BO387" i="6"/>
  <c r="BN387" i="6"/>
  <c r="BM387" i="6"/>
  <c r="BL387" i="6"/>
  <c r="BK387" i="6"/>
  <c r="BJ387" i="6"/>
  <c r="BI387" i="6"/>
  <c r="BH387" i="6"/>
  <c r="BG387" i="6"/>
  <c r="BF387" i="6"/>
  <c r="BE387" i="6"/>
  <c r="BD387" i="6"/>
  <c r="BC387" i="6"/>
  <c r="BB387" i="6"/>
  <c r="BA387" i="6"/>
  <c r="AZ387" i="6"/>
  <c r="AY387" i="6"/>
  <c r="AX387" i="6"/>
  <c r="AW387" i="6"/>
  <c r="AV387" i="6"/>
  <c r="AU387" i="6"/>
  <c r="AT387" i="6"/>
  <c r="AS387" i="6"/>
  <c r="AR387" i="6"/>
  <c r="AQ387" i="6"/>
  <c r="AP387" i="6"/>
  <c r="AO387" i="6"/>
  <c r="AN387" i="6"/>
  <c r="AM387" i="6"/>
  <c r="AL387" i="6"/>
  <c r="AK387" i="6"/>
  <c r="AJ387" i="6"/>
  <c r="AI387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387" i="6"/>
  <c r="DE386" i="6"/>
  <c r="DD386" i="6"/>
  <c r="DC386" i="6"/>
  <c r="DB386" i="6"/>
  <c r="DA386" i="6"/>
  <c r="CZ386" i="6"/>
  <c r="CY386" i="6"/>
  <c r="CX386" i="6"/>
  <c r="CV386" i="6"/>
  <c r="CU386" i="6"/>
  <c r="CT386" i="6"/>
  <c r="CS386" i="6"/>
  <c r="CR386" i="6"/>
  <c r="CQ386" i="6"/>
  <c r="CP386" i="6"/>
  <c r="CO386" i="6"/>
  <c r="CN386" i="6"/>
  <c r="CM386" i="6"/>
  <c r="CL386" i="6"/>
  <c r="CK386" i="6"/>
  <c r="CJ386" i="6"/>
  <c r="CI386" i="6"/>
  <c r="CH386" i="6"/>
  <c r="CG386" i="6"/>
  <c r="CF386" i="6"/>
  <c r="CE386" i="6"/>
  <c r="CD386" i="6"/>
  <c r="CC386" i="6"/>
  <c r="CB386" i="6"/>
  <c r="CA386" i="6"/>
  <c r="BZ386" i="6"/>
  <c r="BY386" i="6"/>
  <c r="BX386" i="6"/>
  <c r="BW386" i="6"/>
  <c r="BV386" i="6"/>
  <c r="BU386" i="6"/>
  <c r="BT386" i="6"/>
  <c r="BS386" i="6"/>
  <c r="BR386" i="6"/>
  <c r="BQ386" i="6"/>
  <c r="BP386" i="6"/>
  <c r="BO386" i="6"/>
  <c r="BN386" i="6"/>
  <c r="BM386" i="6"/>
  <c r="BL386" i="6"/>
  <c r="BK386" i="6"/>
  <c r="BJ386" i="6"/>
  <c r="BI386" i="6"/>
  <c r="BH386" i="6"/>
  <c r="BG386" i="6"/>
  <c r="BF386" i="6"/>
  <c r="BE386" i="6"/>
  <c r="BD386" i="6"/>
  <c r="BC386" i="6"/>
  <c r="BB386" i="6"/>
  <c r="BA386" i="6"/>
  <c r="AZ386" i="6"/>
  <c r="AY386" i="6"/>
  <c r="AX386" i="6"/>
  <c r="AW386" i="6"/>
  <c r="AV386" i="6"/>
  <c r="AU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386" i="6"/>
  <c r="DE385" i="6"/>
  <c r="DD385" i="6"/>
  <c r="DC385" i="6"/>
  <c r="DB385" i="6"/>
  <c r="DA385" i="6"/>
  <c r="CZ385" i="6"/>
  <c r="CY385" i="6"/>
  <c r="CX385" i="6"/>
  <c r="CV385" i="6"/>
  <c r="CU385" i="6"/>
  <c r="CT385" i="6"/>
  <c r="CS385" i="6"/>
  <c r="CR385" i="6"/>
  <c r="CQ385" i="6"/>
  <c r="CP385" i="6"/>
  <c r="CO385" i="6"/>
  <c r="CN385" i="6"/>
  <c r="CM385" i="6"/>
  <c r="CL385" i="6"/>
  <c r="CK385" i="6"/>
  <c r="CJ385" i="6"/>
  <c r="CI385" i="6"/>
  <c r="CH385" i="6"/>
  <c r="CG385" i="6"/>
  <c r="CF385" i="6"/>
  <c r="CE385" i="6"/>
  <c r="CD385" i="6"/>
  <c r="CC385" i="6"/>
  <c r="CB385" i="6"/>
  <c r="CA385" i="6"/>
  <c r="BZ385" i="6"/>
  <c r="BY385" i="6"/>
  <c r="BX385" i="6"/>
  <c r="BW385" i="6"/>
  <c r="BV385" i="6"/>
  <c r="BU385" i="6"/>
  <c r="BT385" i="6"/>
  <c r="BS385" i="6"/>
  <c r="BR385" i="6"/>
  <c r="BQ385" i="6"/>
  <c r="BP385" i="6"/>
  <c r="BO385" i="6"/>
  <c r="BN385" i="6"/>
  <c r="BM385" i="6"/>
  <c r="BL385" i="6"/>
  <c r="BK385" i="6"/>
  <c r="BJ385" i="6"/>
  <c r="BI385" i="6"/>
  <c r="BH385" i="6"/>
  <c r="BG385" i="6"/>
  <c r="BF385" i="6"/>
  <c r="BE385" i="6"/>
  <c r="BD385" i="6"/>
  <c r="BC385" i="6"/>
  <c r="BB385" i="6"/>
  <c r="BA385" i="6"/>
  <c r="AZ385" i="6"/>
  <c r="AY385" i="6"/>
  <c r="AX385" i="6"/>
  <c r="AW385" i="6"/>
  <c r="AV385" i="6"/>
  <c r="AU385" i="6"/>
  <c r="AT385" i="6"/>
  <c r="AS385" i="6"/>
  <c r="AR385" i="6"/>
  <c r="AQ385" i="6"/>
  <c r="AP385" i="6"/>
  <c r="AO385" i="6"/>
  <c r="AN385" i="6"/>
  <c r="AM385" i="6"/>
  <c r="AL385" i="6"/>
  <c r="AK385" i="6"/>
  <c r="AJ385" i="6"/>
  <c r="AI385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385" i="6"/>
  <c r="DE384" i="6"/>
  <c r="DD384" i="6"/>
  <c r="DC384" i="6"/>
  <c r="DB384" i="6"/>
  <c r="DA384" i="6"/>
  <c r="CZ384" i="6"/>
  <c r="CY384" i="6"/>
  <c r="CX384" i="6"/>
  <c r="CV384" i="6"/>
  <c r="CU384" i="6"/>
  <c r="CT384" i="6"/>
  <c r="CS384" i="6"/>
  <c r="CR384" i="6"/>
  <c r="CQ384" i="6"/>
  <c r="CP384" i="6"/>
  <c r="CO384" i="6"/>
  <c r="CN384" i="6"/>
  <c r="CM384" i="6"/>
  <c r="CL384" i="6"/>
  <c r="CK384" i="6"/>
  <c r="CJ384" i="6"/>
  <c r="CI384" i="6"/>
  <c r="CH384" i="6"/>
  <c r="CG384" i="6"/>
  <c r="CF384" i="6"/>
  <c r="CE384" i="6"/>
  <c r="CD384" i="6"/>
  <c r="CC384" i="6"/>
  <c r="CB384" i="6"/>
  <c r="CA384" i="6"/>
  <c r="BZ384" i="6"/>
  <c r="BY384" i="6"/>
  <c r="BX384" i="6"/>
  <c r="BW384" i="6"/>
  <c r="BV384" i="6"/>
  <c r="BU384" i="6"/>
  <c r="BT384" i="6"/>
  <c r="BS384" i="6"/>
  <c r="BR384" i="6"/>
  <c r="BQ384" i="6"/>
  <c r="BP384" i="6"/>
  <c r="BO384" i="6"/>
  <c r="BN384" i="6"/>
  <c r="BM384" i="6"/>
  <c r="BL384" i="6"/>
  <c r="BK384" i="6"/>
  <c r="BJ384" i="6"/>
  <c r="BI384" i="6"/>
  <c r="BH384" i="6"/>
  <c r="BG384" i="6"/>
  <c r="BF384" i="6"/>
  <c r="BE384" i="6"/>
  <c r="BD384" i="6"/>
  <c r="BC384" i="6"/>
  <c r="BB384" i="6"/>
  <c r="BA384" i="6"/>
  <c r="AZ384" i="6"/>
  <c r="AY384" i="6"/>
  <c r="AX384" i="6"/>
  <c r="AW384" i="6"/>
  <c r="AV384" i="6"/>
  <c r="AU384" i="6"/>
  <c r="AT384" i="6"/>
  <c r="AS384" i="6"/>
  <c r="AR384" i="6"/>
  <c r="AQ384" i="6"/>
  <c r="AP384" i="6"/>
  <c r="AO384" i="6"/>
  <c r="AN384" i="6"/>
  <c r="AM384" i="6"/>
  <c r="AL384" i="6"/>
  <c r="AK384" i="6"/>
  <c r="AJ384" i="6"/>
  <c r="AI384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384" i="6"/>
  <c r="DE383" i="6"/>
  <c r="DD383" i="6"/>
  <c r="DC383" i="6"/>
  <c r="DB383" i="6"/>
  <c r="DA383" i="6"/>
  <c r="CZ383" i="6"/>
  <c r="CY383" i="6"/>
  <c r="CX383" i="6"/>
  <c r="CV383" i="6"/>
  <c r="CU383" i="6"/>
  <c r="CT383" i="6"/>
  <c r="CS383" i="6"/>
  <c r="CR383" i="6"/>
  <c r="CQ383" i="6"/>
  <c r="CP383" i="6"/>
  <c r="CO383" i="6"/>
  <c r="CN383" i="6"/>
  <c r="CM383" i="6"/>
  <c r="CL383" i="6"/>
  <c r="CK383" i="6"/>
  <c r="CJ383" i="6"/>
  <c r="CI383" i="6"/>
  <c r="CH383" i="6"/>
  <c r="CG383" i="6"/>
  <c r="CF383" i="6"/>
  <c r="CE383" i="6"/>
  <c r="CD383" i="6"/>
  <c r="CC383" i="6"/>
  <c r="CB383" i="6"/>
  <c r="CA383" i="6"/>
  <c r="BZ383" i="6"/>
  <c r="BY383" i="6"/>
  <c r="BX383" i="6"/>
  <c r="BW383" i="6"/>
  <c r="BV383" i="6"/>
  <c r="BU383" i="6"/>
  <c r="BT383" i="6"/>
  <c r="BS383" i="6"/>
  <c r="BR383" i="6"/>
  <c r="BQ383" i="6"/>
  <c r="BP383" i="6"/>
  <c r="BO383" i="6"/>
  <c r="BN383" i="6"/>
  <c r="BM383" i="6"/>
  <c r="BL383" i="6"/>
  <c r="BK383" i="6"/>
  <c r="BJ383" i="6"/>
  <c r="BI383" i="6"/>
  <c r="BH383" i="6"/>
  <c r="BG383" i="6"/>
  <c r="BF383" i="6"/>
  <c r="BE383" i="6"/>
  <c r="BD383" i="6"/>
  <c r="BC383" i="6"/>
  <c r="BB383" i="6"/>
  <c r="BA383" i="6"/>
  <c r="AZ383" i="6"/>
  <c r="AY383" i="6"/>
  <c r="AX383" i="6"/>
  <c r="AW383" i="6"/>
  <c r="AV383" i="6"/>
  <c r="AU383" i="6"/>
  <c r="AT383" i="6"/>
  <c r="AS383" i="6"/>
  <c r="AR383" i="6"/>
  <c r="AQ383" i="6"/>
  <c r="AP383" i="6"/>
  <c r="AO383" i="6"/>
  <c r="AN383" i="6"/>
  <c r="AM383" i="6"/>
  <c r="AL383" i="6"/>
  <c r="AK383" i="6"/>
  <c r="AJ383" i="6"/>
  <c r="AI383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383" i="6"/>
  <c r="DE382" i="6"/>
  <c r="DD382" i="6"/>
  <c r="DC382" i="6"/>
  <c r="DB382" i="6"/>
  <c r="DA382" i="6"/>
  <c r="CZ382" i="6"/>
  <c r="CY382" i="6"/>
  <c r="CX382" i="6"/>
  <c r="CV382" i="6"/>
  <c r="CU382" i="6"/>
  <c r="CT382" i="6"/>
  <c r="CS382" i="6"/>
  <c r="CR382" i="6"/>
  <c r="CQ382" i="6"/>
  <c r="CP382" i="6"/>
  <c r="CO382" i="6"/>
  <c r="CN382" i="6"/>
  <c r="CM382" i="6"/>
  <c r="CL382" i="6"/>
  <c r="CK382" i="6"/>
  <c r="CJ382" i="6"/>
  <c r="CI382" i="6"/>
  <c r="CH382" i="6"/>
  <c r="CG382" i="6"/>
  <c r="CF382" i="6"/>
  <c r="CE382" i="6"/>
  <c r="CD382" i="6"/>
  <c r="CC382" i="6"/>
  <c r="CB382" i="6"/>
  <c r="CA382" i="6"/>
  <c r="BZ382" i="6"/>
  <c r="BY382" i="6"/>
  <c r="BX382" i="6"/>
  <c r="BW382" i="6"/>
  <c r="BV382" i="6"/>
  <c r="BU382" i="6"/>
  <c r="BT382" i="6"/>
  <c r="BS382" i="6"/>
  <c r="BR382" i="6"/>
  <c r="BQ382" i="6"/>
  <c r="BP382" i="6"/>
  <c r="BO382" i="6"/>
  <c r="BN382" i="6"/>
  <c r="BM382" i="6"/>
  <c r="BL382" i="6"/>
  <c r="BK382" i="6"/>
  <c r="BJ382" i="6"/>
  <c r="BI382" i="6"/>
  <c r="BH382" i="6"/>
  <c r="BG382" i="6"/>
  <c r="BF382" i="6"/>
  <c r="BE382" i="6"/>
  <c r="BD382" i="6"/>
  <c r="BC382" i="6"/>
  <c r="BB382" i="6"/>
  <c r="BA382" i="6"/>
  <c r="AZ382" i="6"/>
  <c r="AY382" i="6"/>
  <c r="AX382" i="6"/>
  <c r="AW382" i="6"/>
  <c r="AV382" i="6"/>
  <c r="AU382" i="6"/>
  <c r="AT382" i="6"/>
  <c r="AS382" i="6"/>
  <c r="AR382" i="6"/>
  <c r="AQ382" i="6"/>
  <c r="AP382" i="6"/>
  <c r="AO382" i="6"/>
  <c r="AN382" i="6"/>
  <c r="AM382" i="6"/>
  <c r="AL382" i="6"/>
  <c r="AK382" i="6"/>
  <c r="AJ382" i="6"/>
  <c r="AI382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382" i="6"/>
  <c r="DE381" i="6"/>
  <c r="DD381" i="6"/>
  <c r="DC381" i="6"/>
  <c r="DB381" i="6"/>
  <c r="DA381" i="6"/>
  <c r="CZ381" i="6"/>
  <c r="CY381" i="6"/>
  <c r="CX381" i="6"/>
  <c r="CV381" i="6"/>
  <c r="CU381" i="6"/>
  <c r="CT381" i="6"/>
  <c r="CS381" i="6"/>
  <c r="CR381" i="6"/>
  <c r="CQ381" i="6"/>
  <c r="CP381" i="6"/>
  <c r="CO381" i="6"/>
  <c r="CN381" i="6"/>
  <c r="CM381" i="6"/>
  <c r="CL381" i="6"/>
  <c r="CK381" i="6"/>
  <c r="CJ381" i="6"/>
  <c r="CI381" i="6"/>
  <c r="CH381" i="6"/>
  <c r="CG381" i="6"/>
  <c r="CF381" i="6"/>
  <c r="CE381" i="6"/>
  <c r="CD381" i="6"/>
  <c r="CC381" i="6"/>
  <c r="CB381" i="6"/>
  <c r="CA381" i="6"/>
  <c r="BZ381" i="6"/>
  <c r="BY381" i="6"/>
  <c r="BX381" i="6"/>
  <c r="BW381" i="6"/>
  <c r="BV381" i="6"/>
  <c r="BU381" i="6"/>
  <c r="BT381" i="6"/>
  <c r="BS381" i="6"/>
  <c r="BR381" i="6"/>
  <c r="BQ381" i="6"/>
  <c r="BP381" i="6"/>
  <c r="BO381" i="6"/>
  <c r="BN381" i="6"/>
  <c r="BM381" i="6"/>
  <c r="BL381" i="6"/>
  <c r="BK381" i="6"/>
  <c r="BJ381" i="6"/>
  <c r="BI381" i="6"/>
  <c r="BH381" i="6"/>
  <c r="BG381" i="6"/>
  <c r="BF381" i="6"/>
  <c r="BE381" i="6"/>
  <c r="BD381" i="6"/>
  <c r="BC381" i="6"/>
  <c r="BB381" i="6"/>
  <c r="BA381" i="6"/>
  <c r="AZ381" i="6"/>
  <c r="AY381" i="6"/>
  <c r="AX381" i="6"/>
  <c r="AW381" i="6"/>
  <c r="AV381" i="6"/>
  <c r="AU381" i="6"/>
  <c r="AT381" i="6"/>
  <c r="AS381" i="6"/>
  <c r="AR381" i="6"/>
  <c r="AQ381" i="6"/>
  <c r="AP381" i="6"/>
  <c r="AO381" i="6"/>
  <c r="AN381" i="6"/>
  <c r="AM381" i="6"/>
  <c r="AL381" i="6"/>
  <c r="AK381" i="6"/>
  <c r="AJ381" i="6"/>
  <c r="AI381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381" i="6"/>
  <c r="DE380" i="6"/>
  <c r="DD380" i="6"/>
  <c r="DC380" i="6"/>
  <c r="DB380" i="6"/>
  <c r="DA380" i="6"/>
  <c r="CZ380" i="6"/>
  <c r="CY380" i="6"/>
  <c r="CX380" i="6"/>
  <c r="CV380" i="6"/>
  <c r="CU380" i="6"/>
  <c r="CT380" i="6"/>
  <c r="CS380" i="6"/>
  <c r="CR380" i="6"/>
  <c r="CQ380" i="6"/>
  <c r="CP380" i="6"/>
  <c r="CO380" i="6"/>
  <c r="CN380" i="6"/>
  <c r="CM380" i="6"/>
  <c r="CL380" i="6"/>
  <c r="CK380" i="6"/>
  <c r="CJ380" i="6"/>
  <c r="CI380" i="6"/>
  <c r="CH380" i="6"/>
  <c r="CG380" i="6"/>
  <c r="CF380" i="6"/>
  <c r="CE380" i="6"/>
  <c r="CD380" i="6"/>
  <c r="CC380" i="6"/>
  <c r="CB380" i="6"/>
  <c r="CA380" i="6"/>
  <c r="BZ380" i="6"/>
  <c r="BY380" i="6"/>
  <c r="BX380" i="6"/>
  <c r="BW380" i="6"/>
  <c r="BV380" i="6"/>
  <c r="BU380" i="6"/>
  <c r="BT380" i="6"/>
  <c r="BS380" i="6"/>
  <c r="BR380" i="6"/>
  <c r="BQ380" i="6"/>
  <c r="BP380" i="6"/>
  <c r="BO380" i="6"/>
  <c r="BN380" i="6"/>
  <c r="BM380" i="6"/>
  <c r="BL380" i="6"/>
  <c r="BK380" i="6"/>
  <c r="BJ380" i="6"/>
  <c r="BI380" i="6"/>
  <c r="BH380" i="6"/>
  <c r="BG380" i="6"/>
  <c r="BF380" i="6"/>
  <c r="BE380" i="6"/>
  <c r="BD380" i="6"/>
  <c r="BC380" i="6"/>
  <c r="BB380" i="6"/>
  <c r="BA380" i="6"/>
  <c r="AZ380" i="6"/>
  <c r="AY380" i="6"/>
  <c r="AX380" i="6"/>
  <c r="AW380" i="6"/>
  <c r="AV380" i="6"/>
  <c r="AU380" i="6"/>
  <c r="AT380" i="6"/>
  <c r="AS380" i="6"/>
  <c r="AR380" i="6"/>
  <c r="AQ380" i="6"/>
  <c r="AP380" i="6"/>
  <c r="AO380" i="6"/>
  <c r="AN380" i="6"/>
  <c r="AM380" i="6"/>
  <c r="AL380" i="6"/>
  <c r="AK380" i="6"/>
  <c r="AJ380" i="6"/>
  <c r="AI380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380" i="6"/>
  <c r="DE379" i="6"/>
  <c r="DD379" i="6"/>
  <c r="DC379" i="6"/>
  <c r="DB379" i="6"/>
  <c r="DA379" i="6"/>
  <c r="CZ379" i="6"/>
  <c r="CY379" i="6"/>
  <c r="CX379" i="6"/>
  <c r="CV379" i="6"/>
  <c r="CU379" i="6"/>
  <c r="CT379" i="6"/>
  <c r="CS379" i="6"/>
  <c r="CR379" i="6"/>
  <c r="CQ379" i="6"/>
  <c r="CP379" i="6"/>
  <c r="CO379" i="6"/>
  <c r="CN379" i="6"/>
  <c r="CM379" i="6"/>
  <c r="CL379" i="6"/>
  <c r="CK379" i="6"/>
  <c r="CJ379" i="6"/>
  <c r="CI379" i="6"/>
  <c r="CH379" i="6"/>
  <c r="CG379" i="6"/>
  <c r="CF379" i="6"/>
  <c r="CE379" i="6"/>
  <c r="CD379" i="6"/>
  <c r="CC379" i="6"/>
  <c r="CB379" i="6"/>
  <c r="CA379" i="6"/>
  <c r="BZ379" i="6"/>
  <c r="BY379" i="6"/>
  <c r="BX379" i="6"/>
  <c r="BW379" i="6"/>
  <c r="BV379" i="6"/>
  <c r="BU379" i="6"/>
  <c r="BT379" i="6"/>
  <c r="BS379" i="6"/>
  <c r="BR379" i="6"/>
  <c r="BQ379" i="6"/>
  <c r="BP379" i="6"/>
  <c r="BO379" i="6"/>
  <c r="BN379" i="6"/>
  <c r="BM379" i="6"/>
  <c r="BL379" i="6"/>
  <c r="BK379" i="6"/>
  <c r="BJ379" i="6"/>
  <c r="BI379" i="6"/>
  <c r="BH379" i="6"/>
  <c r="BG379" i="6"/>
  <c r="BF379" i="6"/>
  <c r="BE379" i="6"/>
  <c r="BD379" i="6"/>
  <c r="BC379" i="6"/>
  <c r="BB379" i="6"/>
  <c r="BA379" i="6"/>
  <c r="AZ379" i="6"/>
  <c r="AY379" i="6"/>
  <c r="AX379" i="6"/>
  <c r="AW379" i="6"/>
  <c r="AV379" i="6"/>
  <c r="AU379" i="6"/>
  <c r="AT379" i="6"/>
  <c r="AS379" i="6"/>
  <c r="AR379" i="6"/>
  <c r="AQ379" i="6"/>
  <c r="AP379" i="6"/>
  <c r="AO379" i="6"/>
  <c r="AN379" i="6"/>
  <c r="AM379" i="6"/>
  <c r="AL379" i="6"/>
  <c r="AK379" i="6"/>
  <c r="AJ379" i="6"/>
  <c r="AI379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379" i="6"/>
  <c r="DE378" i="6"/>
  <c r="DD378" i="6"/>
  <c r="DC378" i="6"/>
  <c r="DB378" i="6"/>
  <c r="DA378" i="6"/>
  <c r="CZ378" i="6"/>
  <c r="CY378" i="6"/>
  <c r="CX378" i="6"/>
  <c r="CV378" i="6"/>
  <c r="CU378" i="6"/>
  <c r="CT378" i="6"/>
  <c r="CS378" i="6"/>
  <c r="CR378" i="6"/>
  <c r="CQ378" i="6"/>
  <c r="CP378" i="6"/>
  <c r="CO378" i="6"/>
  <c r="CN378" i="6"/>
  <c r="CM378" i="6"/>
  <c r="CL378" i="6"/>
  <c r="CK378" i="6"/>
  <c r="CJ378" i="6"/>
  <c r="CI378" i="6"/>
  <c r="CH378" i="6"/>
  <c r="CG378" i="6"/>
  <c r="CF378" i="6"/>
  <c r="CE378" i="6"/>
  <c r="CD378" i="6"/>
  <c r="CC378" i="6"/>
  <c r="CB378" i="6"/>
  <c r="CA378" i="6"/>
  <c r="BZ378" i="6"/>
  <c r="BY378" i="6"/>
  <c r="BX378" i="6"/>
  <c r="BW378" i="6"/>
  <c r="BV378" i="6"/>
  <c r="BU378" i="6"/>
  <c r="BT378" i="6"/>
  <c r="BS378" i="6"/>
  <c r="BR378" i="6"/>
  <c r="BQ378" i="6"/>
  <c r="BP378" i="6"/>
  <c r="BO378" i="6"/>
  <c r="BN378" i="6"/>
  <c r="BM378" i="6"/>
  <c r="BL378" i="6"/>
  <c r="BK378" i="6"/>
  <c r="BJ378" i="6"/>
  <c r="BI378" i="6"/>
  <c r="BH378" i="6"/>
  <c r="BG378" i="6"/>
  <c r="BF378" i="6"/>
  <c r="BE378" i="6"/>
  <c r="BD378" i="6"/>
  <c r="BC378" i="6"/>
  <c r="BB378" i="6"/>
  <c r="BA378" i="6"/>
  <c r="AZ378" i="6"/>
  <c r="AY378" i="6"/>
  <c r="AX378" i="6"/>
  <c r="AW378" i="6"/>
  <c r="AV378" i="6"/>
  <c r="AU378" i="6"/>
  <c r="AT378" i="6"/>
  <c r="AS378" i="6"/>
  <c r="AR378" i="6"/>
  <c r="AQ378" i="6"/>
  <c r="AP378" i="6"/>
  <c r="AO378" i="6"/>
  <c r="AN378" i="6"/>
  <c r="AM378" i="6"/>
  <c r="AL378" i="6"/>
  <c r="AK378" i="6"/>
  <c r="AJ378" i="6"/>
  <c r="AI378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378" i="6"/>
  <c r="DE377" i="6"/>
  <c r="DD377" i="6"/>
  <c r="DC377" i="6"/>
  <c r="DB377" i="6"/>
  <c r="DA377" i="6"/>
  <c r="CZ377" i="6"/>
  <c r="CY377" i="6"/>
  <c r="CX377" i="6"/>
  <c r="CV377" i="6"/>
  <c r="CU377" i="6"/>
  <c r="CT377" i="6"/>
  <c r="CS377" i="6"/>
  <c r="CR377" i="6"/>
  <c r="CQ377" i="6"/>
  <c r="CP377" i="6"/>
  <c r="CO377" i="6"/>
  <c r="CN377" i="6"/>
  <c r="CM377" i="6"/>
  <c r="CL377" i="6"/>
  <c r="CK377" i="6"/>
  <c r="CJ377" i="6"/>
  <c r="CI377" i="6"/>
  <c r="CH377" i="6"/>
  <c r="CG377" i="6"/>
  <c r="CF377" i="6"/>
  <c r="CE377" i="6"/>
  <c r="CD377" i="6"/>
  <c r="CC377" i="6"/>
  <c r="CB377" i="6"/>
  <c r="CA377" i="6"/>
  <c r="BZ377" i="6"/>
  <c r="BY377" i="6"/>
  <c r="BX377" i="6"/>
  <c r="BW377" i="6"/>
  <c r="BV377" i="6"/>
  <c r="BU377" i="6"/>
  <c r="BT377" i="6"/>
  <c r="BS377" i="6"/>
  <c r="BR377" i="6"/>
  <c r="BQ377" i="6"/>
  <c r="BP377" i="6"/>
  <c r="BO377" i="6"/>
  <c r="BN377" i="6"/>
  <c r="BM377" i="6"/>
  <c r="BL377" i="6"/>
  <c r="BK377" i="6"/>
  <c r="BJ377" i="6"/>
  <c r="BI377" i="6"/>
  <c r="BH377" i="6"/>
  <c r="BG377" i="6"/>
  <c r="BF377" i="6"/>
  <c r="BE377" i="6"/>
  <c r="BD377" i="6"/>
  <c r="BC377" i="6"/>
  <c r="BB377" i="6"/>
  <c r="BA377" i="6"/>
  <c r="AZ377" i="6"/>
  <c r="AY377" i="6"/>
  <c r="AX377" i="6"/>
  <c r="AW377" i="6"/>
  <c r="AV377" i="6"/>
  <c r="AU377" i="6"/>
  <c r="AT377" i="6"/>
  <c r="AS377" i="6"/>
  <c r="AR377" i="6"/>
  <c r="AQ377" i="6"/>
  <c r="AP377" i="6"/>
  <c r="AO377" i="6"/>
  <c r="AN377" i="6"/>
  <c r="AM377" i="6"/>
  <c r="AL377" i="6"/>
  <c r="AK377" i="6"/>
  <c r="AJ377" i="6"/>
  <c r="AI377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377" i="6"/>
  <c r="DE376" i="6"/>
  <c r="DD376" i="6"/>
  <c r="DC376" i="6"/>
  <c r="DB376" i="6"/>
  <c r="DA376" i="6"/>
  <c r="CZ376" i="6"/>
  <c r="CY376" i="6"/>
  <c r="CX376" i="6"/>
  <c r="CV376" i="6"/>
  <c r="CU376" i="6"/>
  <c r="CT376" i="6"/>
  <c r="CS376" i="6"/>
  <c r="CR376" i="6"/>
  <c r="CQ376" i="6"/>
  <c r="CP376" i="6"/>
  <c r="CO376" i="6"/>
  <c r="CN376" i="6"/>
  <c r="CM376" i="6"/>
  <c r="CL376" i="6"/>
  <c r="CK376" i="6"/>
  <c r="CJ376" i="6"/>
  <c r="CI376" i="6"/>
  <c r="CH376" i="6"/>
  <c r="CG376" i="6"/>
  <c r="CF376" i="6"/>
  <c r="CE376" i="6"/>
  <c r="CD376" i="6"/>
  <c r="CC376" i="6"/>
  <c r="CB376" i="6"/>
  <c r="CA376" i="6"/>
  <c r="BZ376" i="6"/>
  <c r="BY376" i="6"/>
  <c r="BX376" i="6"/>
  <c r="BW376" i="6"/>
  <c r="BV376" i="6"/>
  <c r="BU376" i="6"/>
  <c r="BT376" i="6"/>
  <c r="BS376" i="6"/>
  <c r="BR376" i="6"/>
  <c r="BQ376" i="6"/>
  <c r="BP376" i="6"/>
  <c r="BO376" i="6"/>
  <c r="BN376" i="6"/>
  <c r="BM376" i="6"/>
  <c r="BL376" i="6"/>
  <c r="BK376" i="6"/>
  <c r="BJ376" i="6"/>
  <c r="BI376" i="6"/>
  <c r="BH376" i="6"/>
  <c r="BG376" i="6"/>
  <c r="BF376" i="6"/>
  <c r="BE376" i="6"/>
  <c r="BD376" i="6"/>
  <c r="BC376" i="6"/>
  <c r="BB376" i="6"/>
  <c r="BA376" i="6"/>
  <c r="AZ376" i="6"/>
  <c r="AY376" i="6"/>
  <c r="AX376" i="6"/>
  <c r="AW376" i="6"/>
  <c r="AV376" i="6"/>
  <c r="AU376" i="6"/>
  <c r="AT376" i="6"/>
  <c r="AS376" i="6"/>
  <c r="AR376" i="6"/>
  <c r="AQ376" i="6"/>
  <c r="AP376" i="6"/>
  <c r="AO376" i="6"/>
  <c r="AN376" i="6"/>
  <c r="AM376" i="6"/>
  <c r="AL376" i="6"/>
  <c r="AK376" i="6"/>
  <c r="AJ376" i="6"/>
  <c r="AI376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376" i="6"/>
  <c r="DE375" i="6"/>
  <c r="DD375" i="6"/>
  <c r="DC375" i="6"/>
  <c r="DB375" i="6"/>
  <c r="DA375" i="6"/>
  <c r="CZ375" i="6"/>
  <c r="CY375" i="6"/>
  <c r="CX375" i="6"/>
  <c r="CV375" i="6"/>
  <c r="CU375" i="6"/>
  <c r="CT375" i="6"/>
  <c r="CS375" i="6"/>
  <c r="CR375" i="6"/>
  <c r="CQ375" i="6"/>
  <c r="CP375" i="6"/>
  <c r="CO375" i="6"/>
  <c r="CN375" i="6"/>
  <c r="CM375" i="6"/>
  <c r="CL375" i="6"/>
  <c r="CK375" i="6"/>
  <c r="CJ375" i="6"/>
  <c r="CI375" i="6"/>
  <c r="CH375" i="6"/>
  <c r="CG375" i="6"/>
  <c r="CF375" i="6"/>
  <c r="CE375" i="6"/>
  <c r="CD375" i="6"/>
  <c r="CC375" i="6"/>
  <c r="CB375" i="6"/>
  <c r="CA375" i="6"/>
  <c r="BZ375" i="6"/>
  <c r="BY375" i="6"/>
  <c r="BX375" i="6"/>
  <c r="BW375" i="6"/>
  <c r="BV375" i="6"/>
  <c r="BU375" i="6"/>
  <c r="BT375" i="6"/>
  <c r="BS375" i="6"/>
  <c r="BR375" i="6"/>
  <c r="BQ375" i="6"/>
  <c r="BP375" i="6"/>
  <c r="BO375" i="6"/>
  <c r="BN375" i="6"/>
  <c r="BM375" i="6"/>
  <c r="BL375" i="6"/>
  <c r="BK375" i="6"/>
  <c r="BJ375" i="6"/>
  <c r="BI375" i="6"/>
  <c r="BH375" i="6"/>
  <c r="BG375" i="6"/>
  <c r="BF375" i="6"/>
  <c r="BE375" i="6"/>
  <c r="BD375" i="6"/>
  <c r="BC375" i="6"/>
  <c r="BB375" i="6"/>
  <c r="BA375" i="6"/>
  <c r="AZ375" i="6"/>
  <c r="AY375" i="6"/>
  <c r="AX375" i="6"/>
  <c r="AW375" i="6"/>
  <c r="AV375" i="6"/>
  <c r="AU375" i="6"/>
  <c r="AT375" i="6"/>
  <c r="AS375" i="6"/>
  <c r="AR375" i="6"/>
  <c r="AQ375" i="6"/>
  <c r="AP375" i="6"/>
  <c r="AO375" i="6"/>
  <c r="AN375" i="6"/>
  <c r="AM375" i="6"/>
  <c r="AL375" i="6"/>
  <c r="AK375" i="6"/>
  <c r="AJ375" i="6"/>
  <c r="AI375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375" i="6"/>
  <c r="DE374" i="6"/>
  <c r="DD374" i="6"/>
  <c r="DC374" i="6"/>
  <c r="DB374" i="6"/>
  <c r="DA374" i="6"/>
  <c r="CZ374" i="6"/>
  <c r="CY374" i="6"/>
  <c r="CX374" i="6"/>
  <c r="CV374" i="6"/>
  <c r="CU374" i="6"/>
  <c r="CT374" i="6"/>
  <c r="CS374" i="6"/>
  <c r="CR374" i="6"/>
  <c r="CQ374" i="6"/>
  <c r="CP374" i="6"/>
  <c r="CO374" i="6"/>
  <c r="CN374" i="6"/>
  <c r="CM374" i="6"/>
  <c r="CL374" i="6"/>
  <c r="CK374" i="6"/>
  <c r="CJ374" i="6"/>
  <c r="CI374" i="6"/>
  <c r="CH374" i="6"/>
  <c r="CG374" i="6"/>
  <c r="CF374" i="6"/>
  <c r="CE374" i="6"/>
  <c r="CD374" i="6"/>
  <c r="CC374" i="6"/>
  <c r="CB374" i="6"/>
  <c r="CA374" i="6"/>
  <c r="BZ374" i="6"/>
  <c r="BY374" i="6"/>
  <c r="BX374" i="6"/>
  <c r="BW374" i="6"/>
  <c r="BV374" i="6"/>
  <c r="BU374" i="6"/>
  <c r="BT374" i="6"/>
  <c r="BS374" i="6"/>
  <c r="BR374" i="6"/>
  <c r="BQ374" i="6"/>
  <c r="BP374" i="6"/>
  <c r="BO374" i="6"/>
  <c r="BN374" i="6"/>
  <c r="BM374" i="6"/>
  <c r="BL374" i="6"/>
  <c r="BK374" i="6"/>
  <c r="BJ374" i="6"/>
  <c r="BI374" i="6"/>
  <c r="BH374" i="6"/>
  <c r="BG374" i="6"/>
  <c r="BF374" i="6"/>
  <c r="BE374" i="6"/>
  <c r="BD374" i="6"/>
  <c r="BC374" i="6"/>
  <c r="BB374" i="6"/>
  <c r="BA374" i="6"/>
  <c r="AZ374" i="6"/>
  <c r="AY374" i="6"/>
  <c r="AX374" i="6"/>
  <c r="AW374" i="6"/>
  <c r="AV374" i="6"/>
  <c r="AU374" i="6"/>
  <c r="AT374" i="6"/>
  <c r="AS374" i="6"/>
  <c r="AR374" i="6"/>
  <c r="AQ374" i="6"/>
  <c r="AP374" i="6"/>
  <c r="AO374" i="6"/>
  <c r="AN374" i="6"/>
  <c r="AM374" i="6"/>
  <c r="AL374" i="6"/>
  <c r="AK374" i="6"/>
  <c r="AJ374" i="6"/>
  <c r="AI374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374" i="6"/>
  <c r="DE373" i="6"/>
  <c r="DD373" i="6"/>
  <c r="DC373" i="6"/>
  <c r="DB373" i="6"/>
  <c r="DA373" i="6"/>
  <c r="CZ373" i="6"/>
  <c r="CY373" i="6"/>
  <c r="CX373" i="6"/>
  <c r="CV373" i="6"/>
  <c r="CU373" i="6"/>
  <c r="CT373" i="6"/>
  <c r="CS373" i="6"/>
  <c r="CR373" i="6"/>
  <c r="CQ373" i="6"/>
  <c r="CP373" i="6"/>
  <c r="CO373" i="6"/>
  <c r="CN373" i="6"/>
  <c r="CM373" i="6"/>
  <c r="CL373" i="6"/>
  <c r="CK373" i="6"/>
  <c r="CJ373" i="6"/>
  <c r="CI373" i="6"/>
  <c r="CH373" i="6"/>
  <c r="CG373" i="6"/>
  <c r="CF373" i="6"/>
  <c r="CE373" i="6"/>
  <c r="CD373" i="6"/>
  <c r="CC373" i="6"/>
  <c r="CB373" i="6"/>
  <c r="CA373" i="6"/>
  <c r="BZ373" i="6"/>
  <c r="BY373" i="6"/>
  <c r="BX373" i="6"/>
  <c r="BW373" i="6"/>
  <c r="BV373" i="6"/>
  <c r="BU373" i="6"/>
  <c r="BT373" i="6"/>
  <c r="BS373" i="6"/>
  <c r="BR373" i="6"/>
  <c r="BQ373" i="6"/>
  <c r="BP373" i="6"/>
  <c r="BO373" i="6"/>
  <c r="BN373" i="6"/>
  <c r="BM373" i="6"/>
  <c r="BL373" i="6"/>
  <c r="BK373" i="6"/>
  <c r="BJ373" i="6"/>
  <c r="BI373" i="6"/>
  <c r="BH373" i="6"/>
  <c r="BG373" i="6"/>
  <c r="BF373" i="6"/>
  <c r="BE373" i="6"/>
  <c r="BD373" i="6"/>
  <c r="BC373" i="6"/>
  <c r="BB373" i="6"/>
  <c r="BA373" i="6"/>
  <c r="AZ373" i="6"/>
  <c r="AY373" i="6"/>
  <c r="AX373" i="6"/>
  <c r="AW373" i="6"/>
  <c r="AV373" i="6"/>
  <c r="AU373" i="6"/>
  <c r="AT373" i="6"/>
  <c r="AS373" i="6"/>
  <c r="AR373" i="6"/>
  <c r="AQ373" i="6"/>
  <c r="AP373" i="6"/>
  <c r="AO373" i="6"/>
  <c r="AN373" i="6"/>
  <c r="AM373" i="6"/>
  <c r="AL373" i="6"/>
  <c r="AK373" i="6"/>
  <c r="AJ373" i="6"/>
  <c r="AI373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373" i="6"/>
  <c r="DE372" i="6"/>
  <c r="DD372" i="6"/>
  <c r="DC372" i="6"/>
  <c r="DB372" i="6"/>
  <c r="DA372" i="6"/>
  <c r="CZ372" i="6"/>
  <c r="CY372" i="6"/>
  <c r="CX372" i="6"/>
  <c r="CV372" i="6"/>
  <c r="CU372" i="6"/>
  <c r="CT372" i="6"/>
  <c r="CS372" i="6"/>
  <c r="CR372" i="6"/>
  <c r="CQ372" i="6"/>
  <c r="CP372" i="6"/>
  <c r="CO372" i="6"/>
  <c r="CN372" i="6"/>
  <c r="CM372" i="6"/>
  <c r="CL372" i="6"/>
  <c r="CK372" i="6"/>
  <c r="CJ372" i="6"/>
  <c r="CI372" i="6"/>
  <c r="CH372" i="6"/>
  <c r="CG372" i="6"/>
  <c r="CF372" i="6"/>
  <c r="CE372" i="6"/>
  <c r="CD372" i="6"/>
  <c r="CC372" i="6"/>
  <c r="CB372" i="6"/>
  <c r="CA372" i="6"/>
  <c r="BZ372" i="6"/>
  <c r="BY372" i="6"/>
  <c r="BX372" i="6"/>
  <c r="BW372" i="6"/>
  <c r="BV372" i="6"/>
  <c r="BU372" i="6"/>
  <c r="BT372" i="6"/>
  <c r="BS372" i="6"/>
  <c r="BR372" i="6"/>
  <c r="BQ372" i="6"/>
  <c r="BP372" i="6"/>
  <c r="BO372" i="6"/>
  <c r="BN372" i="6"/>
  <c r="BM372" i="6"/>
  <c r="BL372" i="6"/>
  <c r="BK372" i="6"/>
  <c r="BJ372" i="6"/>
  <c r="BI372" i="6"/>
  <c r="BH372" i="6"/>
  <c r="BG372" i="6"/>
  <c r="BF372" i="6"/>
  <c r="BE372" i="6"/>
  <c r="BD372" i="6"/>
  <c r="BC372" i="6"/>
  <c r="BB372" i="6"/>
  <c r="BA372" i="6"/>
  <c r="AZ372" i="6"/>
  <c r="AY372" i="6"/>
  <c r="AX372" i="6"/>
  <c r="AW372" i="6"/>
  <c r="AV372" i="6"/>
  <c r="AU372" i="6"/>
  <c r="AT372" i="6"/>
  <c r="AS372" i="6"/>
  <c r="AR372" i="6"/>
  <c r="AQ372" i="6"/>
  <c r="AP372" i="6"/>
  <c r="AO372" i="6"/>
  <c r="AN372" i="6"/>
  <c r="AM372" i="6"/>
  <c r="AL372" i="6"/>
  <c r="AK372" i="6"/>
  <c r="AJ372" i="6"/>
  <c r="AI372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372" i="6"/>
  <c r="DE371" i="6"/>
  <c r="DD371" i="6"/>
  <c r="DC371" i="6"/>
  <c r="DB371" i="6"/>
  <c r="DA371" i="6"/>
  <c r="CZ371" i="6"/>
  <c r="CY371" i="6"/>
  <c r="CX371" i="6"/>
  <c r="CV371" i="6"/>
  <c r="CU371" i="6"/>
  <c r="CT371" i="6"/>
  <c r="CS371" i="6"/>
  <c r="CR371" i="6"/>
  <c r="CQ371" i="6"/>
  <c r="CP371" i="6"/>
  <c r="CO371" i="6"/>
  <c r="CN371" i="6"/>
  <c r="CM371" i="6"/>
  <c r="CL371" i="6"/>
  <c r="CK371" i="6"/>
  <c r="CJ371" i="6"/>
  <c r="CI371" i="6"/>
  <c r="CH371" i="6"/>
  <c r="CG371" i="6"/>
  <c r="CF371" i="6"/>
  <c r="CE371" i="6"/>
  <c r="CD371" i="6"/>
  <c r="CC371" i="6"/>
  <c r="CB371" i="6"/>
  <c r="CA371" i="6"/>
  <c r="BZ371" i="6"/>
  <c r="BY371" i="6"/>
  <c r="BX371" i="6"/>
  <c r="BW371" i="6"/>
  <c r="BV371" i="6"/>
  <c r="BU371" i="6"/>
  <c r="BT371" i="6"/>
  <c r="BS371" i="6"/>
  <c r="BR371" i="6"/>
  <c r="BQ371" i="6"/>
  <c r="BP371" i="6"/>
  <c r="BO371" i="6"/>
  <c r="BN371" i="6"/>
  <c r="BM371" i="6"/>
  <c r="BL371" i="6"/>
  <c r="BK371" i="6"/>
  <c r="BJ371" i="6"/>
  <c r="BI371" i="6"/>
  <c r="BH371" i="6"/>
  <c r="BG371" i="6"/>
  <c r="BF371" i="6"/>
  <c r="BE371" i="6"/>
  <c r="BD371" i="6"/>
  <c r="BC371" i="6"/>
  <c r="BB371" i="6"/>
  <c r="BA371" i="6"/>
  <c r="AZ371" i="6"/>
  <c r="AY371" i="6"/>
  <c r="AX371" i="6"/>
  <c r="AW371" i="6"/>
  <c r="AV371" i="6"/>
  <c r="AU371" i="6"/>
  <c r="AT371" i="6"/>
  <c r="AS371" i="6"/>
  <c r="AR371" i="6"/>
  <c r="AQ371" i="6"/>
  <c r="AP371" i="6"/>
  <c r="AO371" i="6"/>
  <c r="AN371" i="6"/>
  <c r="AM371" i="6"/>
  <c r="AL371" i="6"/>
  <c r="AK371" i="6"/>
  <c r="AJ371" i="6"/>
  <c r="AI371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371" i="6"/>
  <c r="DE370" i="6"/>
  <c r="DD370" i="6"/>
  <c r="DC370" i="6"/>
  <c r="DB370" i="6"/>
  <c r="DA370" i="6"/>
  <c r="CZ370" i="6"/>
  <c r="CY370" i="6"/>
  <c r="CX370" i="6"/>
  <c r="CV370" i="6"/>
  <c r="CU370" i="6"/>
  <c r="CT370" i="6"/>
  <c r="CS370" i="6"/>
  <c r="CR370" i="6"/>
  <c r="CQ370" i="6"/>
  <c r="CP370" i="6"/>
  <c r="CO370" i="6"/>
  <c r="CN370" i="6"/>
  <c r="CM370" i="6"/>
  <c r="CL370" i="6"/>
  <c r="CK370" i="6"/>
  <c r="CJ370" i="6"/>
  <c r="CI370" i="6"/>
  <c r="CH370" i="6"/>
  <c r="CG370" i="6"/>
  <c r="CF370" i="6"/>
  <c r="CE370" i="6"/>
  <c r="CD370" i="6"/>
  <c r="CC370" i="6"/>
  <c r="CB370" i="6"/>
  <c r="CA370" i="6"/>
  <c r="BZ370" i="6"/>
  <c r="BY370" i="6"/>
  <c r="BX370" i="6"/>
  <c r="BW370" i="6"/>
  <c r="BV370" i="6"/>
  <c r="BU370" i="6"/>
  <c r="BT370" i="6"/>
  <c r="BS370" i="6"/>
  <c r="BR370" i="6"/>
  <c r="BQ370" i="6"/>
  <c r="BP370" i="6"/>
  <c r="BO370" i="6"/>
  <c r="BN370" i="6"/>
  <c r="BM370" i="6"/>
  <c r="BL370" i="6"/>
  <c r="BK370" i="6"/>
  <c r="BJ370" i="6"/>
  <c r="BI370" i="6"/>
  <c r="BH370" i="6"/>
  <c r="BG370" i="6"/>
  <c r="BF370" i="6"/>
  <c r="BE370" i="6"/>
  <c r="BD370" i="6"/>
  <c r="BC370" i="6"/>
  <c r="BB370" i="6"/>
  <c r="BA370" i="6"/>
  <c r="AZ370" i="6"/>
  <c r="AY370" i="6"/>
  <c r="AX370" i="6"/>
  <c r="AW370" i="6"/>
  <c r="AV370" i="6"/>
  <c r="AU370" i="6"/>
  <c r="AT370" i="6"/>
  <c r="AS370" i="6"/>
  <c r="AR370" i="6"/>
  <c r="AQ370" i="6"/>
  <c r="AP370" i="6"/>
  <c r="AO370" i="6"/>
  <c r="AN370" i="6"/>
  <c r="AM370" i="6"/>
  <c r="AL370" i="6"/>
  <c r="AK370" i="6"/>
  <c r="AJ370" i="6"/>
  <c r="AI370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370" i="6"/>
  <c r="DE369" i="6"/>
  <c r="DD369" i="6"/>
  <c r="DC369" i="6"/>
  <c r="DB369" i="6"/>
  <c r="DA369" i="6"/>
  <c r="CZ369" i="6"/>
  <c r="CY369" i="6"/>
  <c r="CX369" i="6"/>
  <c r="CV369" i="6"/>
  <c r="CU369" i="6"/>
  <c r="CT369" i="6"/>
  <c r="CS369" i="6"/>
  <c r="CR369" i="6"/>
  <c r="CQ369" i="6"/>
  <c r="CP369" i="6"/>
  <c r="CO369" i="6"/>
  <c r="CN369" i="6"/>
  <c r="CM369" i="6"/>
  <c r="CL369" i="6"/>
  <c r="CK369" i="6"/>
  <c r="CJ369" i="6"/>
  <c r="CI369" i="6"/>
  <c r="CH369" i="6"/>
  <c r="CG369" i="6"/>
  <c r="CF369" i="6"/>
  <c r="CE369" i="6"/>
  <c r="CD369" i="6"/>
  <c r="CC369" i="6"/>
  <c r="CB369" i="6"/>
  <c r="CA369" i="6"/>
  <c r="BZ369" i="6"/>
  <c r="BY369" i="6"/>
  <c r="BX369" i="6"/>
  <c r="BW369" i="6"/>
  <c r="BV369" i="6"/>
  <c r="BU369" i="6"/>
  <c r="BT369" i="6"/>
  <c r="BS369" i="6"/>
  <c r="BR369" i="6"/>
  <c r="BQ369" i="6"/>
  <c r="BP369" i="6"/>
  <c r="BO369" i="6"/>
  <c r="BN369" i="6"/>
  <c r="BM369" i="6"/>
  <c r="BL369" i="6"/>
  <c r="BK369" i="6"/>
  <c r="BJ369" i="6"/>
  <c r="BI369" i="6"/>
  <c r="BH369" i="6"/>
  <c r="BG369" i="6"/>
  <c r="BF369" i="6"/>
  <c r="BE369" i="6"/>
  <c r="BD369" i="6"/>
  <c r="BC369" i="6"/>
  <c r="BB369" i="6"/>
  <c r="BA369" i="6"/>
  <c r="AZ369" i="6"/>
  <c r="AY369" i="6"/>
  <c r="AX369" i="6"/>
  <c r="AW369" i="6"/>
  <c r="AV369" i="6"/>
  <c r="AU369" i="6"/>
  <c r="AT369" i="6"/>
  <c r="AS369" i="6"/>
  <c r="AR369" i="6"/>
  <c r="AQ369" i="6"/>
  <c r="AP369" i="6"/>
  <c r="AO369" i="6"/>
  <c r="AN369" i="6"/>
  <c r="AM369" i="6"/>
  <c r="AL369" i="6"/>
  <c r="AK369" i="6"/>
  <c r="AJ369" i="6"/>
  <c r="AI369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369" i="6"/>
  <c r="DE368" i="6"/>
  <c r="DD368" i="6"/>
  <c r="DC368" i="6"/>
  <c r="DB368" i="6"/>
  <c r="DA368" i="6"/>
  <c r="CZ368" i="6"/>
  <c r="CY368" i="6"/>
  <c r="CX368" i="6"/>
  <c r="CV368" i="6"/>
  <c r="CU368" i="6"/>
  <c r="CT368" i="6"/>
  <c r="CS368" i="6"/>
  <c r="CR368" i="6"/>
  <c r="CQ368" i="6"/>
  <c r="CP368" i="6"/>
  <c r="CO368" i="6"/>
  <c r="CN368" i="6"/>
  <c r="CM368" i="6"/>
  <c r="CL368" i="6"/>
  <c r="CK368" i="6"/>
  <c r="CJ368" i="6"/>
  <c r="CI368" i="6"/>
  <c r="CH368" i="6"/>
  <c r="CG368" i="6"/>
  <c r="CF368" i="6"/>
  <c r="CE368" i="6"/>
  <c r="CD368" i="6"/>
  <c r="CC368" i="6"/>
  <c r="CB368" i="6"/>
  <c r="CA368" i="6"/>
  <c r="BZ368" i="6"/>
  <c r="BY368" i="6"/>
  <c r="BX368" i="6"/>
  <c r="BW368" i="6"/>
  <c r="BV368" i="6"/>
  <c r="BU368" i="6"/>
  <c r="BT368" i="6"/>
  <c r="BS368" i="6"/>
  <c r="BR368" i="6"/>
  <c r="BQ368" i="6"/>
  <c r="BP368" i="6"/>
  <c r="BO368" i="6"/>
  <c r="BN368" i="6"/>
  <c r="BM368" i="6"/>
  <c r="BL368" i="6"/>
  <c r="BK368" i="6"/>
  <c r="BJ368" i="6"/>
  <c r="BI368" i="6"/>
  <c r="BH368" i="6"/>
  <c r="BG368" i="6"/>
  <c r="BF368" i="6"/>
  <c r="BE368" i="6"/>
  <c r="BD368" i="6"/>
  <c r="BC368" i="6"/>
  <c r="BB368" i="6"/>
  <c r="BA368" i="6"/>
  <c r="AZ368" i="6"/>
  <c r="AY368" i="6"/>
  <c r="AX368" i="6"/>
  <c r="AW368" i="6"/>
  <c r="AV368" i="6"/>
  <c r="AU368" i="6"/>
  <c r="AT368" i="6"/>
  <c r="AS368" i="6"/>
  <c r="AR368" i="6"/>
  <c r="AQ368" i="6"/>
  <c r="AP368" i="6"/>
  <c r="AO368" i="6"/>
  <c r="AN368" i="6"/>
  <c r="AM368" i="6"/>
  <c r="AL368" i="6"/>
  <c r="AK368" i="6"/>
  <c r="AJ368" i="6"/>
  <c r="AI368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368" i="6"/>
  <c r="DE367" i="6"/>
  <c r="DD367" i="6"/>
  <c r="DC367" i="6"/>
  <c r="DB367" i="6"/>
  <c r="DA367" i="6"/>
  <c r="CZ367" i="6"/>
  <c r="CY367" i="6"/>
  <c r="CX367" i="6"/>
  <c r="CV367" i="6"/>
  <c r="CU367" i="6"/>
  <c r="CT367" i="6"/>
  <c r="CS367" i="6"/>
  <c r="CR367" i="6"/>
  <c r="CQ367" i="6"/>
  <c r="CP367" i="6"/>
  <c r="CO367" i="6"/>
  <c r="CN367" i="6"/>
  <c r="CM367" i="6"/>
  <c r="CL367" i="6"/>
  <c r="CK367" i="6"/>
  <c r="CJ367" i="6"/>
  <c r="CI367" i="6"/>
  <c r="CH367" i="6"/>
  <c r="CG367" i="6"/>
  <c r="CF367" i="6"/>
  <c r="CE367" i="6"/>
  <c r="CD367" i="6"/>
  <c r="CC367" i="6"/>
  <c r="CB367" i="6"/>
  <c r="CA367" i="6"/>
  <c r="BZ367" i="6"/>
  <c r="BY367" i="6"/>
  <c r="BX367" i="6"/>
  <c r="BW367" i="6"/>
  <c r="BV367" i="6"/>
  <c r="BU367" i="6"/>
  <c r="BT367" i="6"/>
  <c r="BS367" i="6"/>
  <c r="BR367" i="6"/>
  <c r="BQ367" i="6"/>
  <c r="BP367" i="6"/>
  <c r="BO367" i="6"/>
  <c r="BN367" i="6"/>
  <c r="BM367" i="6"/>
  <c r="BL367" i="6"/>
  <c r="BK367" i="6"/>
  <c r="BJ367" i="6"/>
  <c r="BI367" i="6"/>
  <c r="BH367" i="6"/>
  <c r="BG367" i="6"/>
  <c r="BF367" i="6"/>
  <c r="BE367" i="6"/>
  <c r="BD367" i="6"/>
  <c r="BC367" i="6"/>
  <c r="BB367" i="6"/>
  <c r="BA367" i="6"/>
  <c r="AZ367" i="6"/>
  <c r="AY367" i="6"/>
  <c r="AX367" i="6"/>
  <c r="AW367" i="6"/>
  <c r="AV367" i="6"/>
  <c r="AU367" i="6"/>
  <c r="AT367" i="6"/>
  <c r="AS367" i="6"/>
  <c r="AR367" i="6"/>
  <c r="AQ367" i="6"/>
  <c r="AP367" i="6"/>
  <c r="AO367" i="6"/>
  <c r="AN367" i="6"/>
  <c r="AM367" i="6"/>
  <c r="AL367" i="6"/>
  <c r="AK367" i="6"/>
  <c r="AJ367" i="6"/>
  <c r="AI367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367" i="6"/>
  <c r="DE366" i="6"/>
  <c r="DD366" i="6"/>
  <c r="DC366" i="6"/>
  <c r="DB366" i="6"/>
  <c r="DA366" i="6"/>
  <c r="CZ366" i="6"/>
  <c r="CY366" i="6"/>
  <c r="CX366" i="6"/>
  <c r="CV366" i="6"/>
  <c r="CU366" i="6"/>
  <c r="CT366" i="6"/>
  <c r="CS366" i="6"/>
  <c r="CR366" i="6"/>
  <c r="CQ366" i="6"/>
  <c r="CP366" i="6"/>
  <c r="CO366" i="6"/>
  <c r="CN366" i="6"/>
  <c r="CM366" i="6"/>
  <c r="CL366" i="6"/>
  <c r="CK366" i="6"/>
  <c r="CJ366" i="6"/>
  <c r="CI366" i="6"/>
  <c r="CH366" i="6"/>
  <c r="CG366" i="6"/>
  <c r="CF366" i="6"/>
  <c r="CE366" i="6"/>
  <c r="CD366" i="6"/>
  <c r="CC366" i="6"/>
  <c r="CB366" i="6"/>
  <c r="CA366" i="6"/>
  <c r="BZ366" i="6"/>
  <c r="BY366" i="6"/>
  <c r="BX366" i="6"/>
  <c r="BW366" i="6"/>
  <c r="BV366" i="6"/>
  <c r="BU366" i="6"/>
  <c r="BT366" i="6"/>
  <c r="BS366" i="6"/>
  <c r="BR366" i="6"/>
  <c r="BQ366" i="6"/>
  <c r="BP366" i="6"/>
  <c r="BO366" i="6"/>
  <c r="BN366" i="6"/>
  <c r="BM366" i="6"/>
  <c r="BL366" i="6"/>
  <c r="BK366" i="6"/>
  <c r="BJ366" i="6"/>
  <c r="BI366" i="6"/>
  <c r="BH366" i="6"/>
  <c r="BG366" i="6"/>
  <c r="BF366" i="6"/>
  <c r="BE366" i="6"/>
  <c r="BD366" i="6"/>
  <c r="BC366" i="6"/>
  <c r="BB366" i="6"/>
  <c r="BA366" i="6"/>
  <c r="AZ366" i="6"/>
  <c r="AY366" i="6"/>
  <c r="AX366" i="6"/>
  <c r="AW366" i="6"/>
  <c r="AV366" i="6"/>
  <c r="AU366" i="6"/>
  <c r="AT366" i="6"/>
  <c r="AS366" i="6"/>
  <c r="AR366" i="6"/>
  <c r="AQ366" i="6"/>
  <c r="AP366" i="6"/>
  <c r="AO366" i="6"/>
  <c r="AN366" i="6"/>
  <c r="AM366" i="6"/>
  <c r="AL366" i="6"/>
  <c r="AK366" i="6"/>
  <c r="AJ366" i="6"/>
  <c r="AI366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366" i="6"/>
  <c r="DE365" i="6"/>
  <c r="DD365" i="6"/>
  <c r="DC365" i="6"/>
  <c r="DB365" i="6"/>
  <c r="DA365" i="6"/>
  <c r="CZ365" i="6"/>
  <c r="CY365" i="6"/>
  <c r="CX365" i="6"/>
  <c r="CV365" i="6"/>
  <c r="CU365" i="6"/>
  <c r="CT365" i="6"/>
  <c r="CS365" i="6"/>
  <c r="CR365" i="6"/>
  <c r="CQ365" i="6"/>
  <c r="CP365" i="6"/>
  <c r="CO365" i="6"/>
  <c r="CN365" i="6"/>
  <c r="CM365" i="6"/>
  <c r="CL365" i="6"/>
  <c r="CK365" i="6"/>
  <c r="CJ365" i="6"/>
  <c r="CI365" i="6"/>
  <c r="CH365" i="6"/>
  <c r="CG365" i="6"/>
  <c r="CF365" i="6"/>
  <c r="CE365" i="6"/>
  <c r="CD365" i="6"/>
  <c r="CC365" i="6"/>
  <c r="CB365" i="6"/>
  <c r="CA365" i="6"/>
  <c r="BZ365" i="6"/>
  <c r="BY365" i="6"/>
  <c r="BX365" i="6"/>
  <c r="BW365" i="6"/>
  <c r="BV365" i="6"/>
  <c r="BU365" i="6"/>
  <c r="BT365" i="6"/>
  <c r="BS365" i="6"/>
  <c r="BR365" i="6"/>
  <c r="BQ365" i="6"/>
  <c r="BP365" i="6"/>
  <c r="BO365" i="6"/>
  <c r="BN365" i="6"/>
  <c r="BM365" i="6"/>
  <c r="BL365" i="6"/>
  <c r="BK365" i="6"/>
  <c r="BJ365" i="6"/>
  <c r="BI365" i="6"/>
  <c r="BH365" i="6"/>
  <c r="BG365" i="6"/>
  <c r="BF365" i="6"/>
  <c r="BE365" i="6"/>
  <c r="BD365" i="6"/>
  <c r="BC365" i="6"/>
  <c r="BB365" i="6"/>
  <c r="BA365" i="6"/>
  <c r="AZ365" i="6"/>
  <c r="AY365" i="6"/>
  <c r="AX365" i="6"/>
  <c r="AW365" i="6"/>
  <c r="AV365" i="6"/>
  <c r="AU365" i="6"/>
  <c r="AT365" i="6"/>
  <c r="AS365" i="6"/>
  <c r="AR365" i="6"/>
  <c r="AQ365" i="6"/>
  <c r="AP365" i="6"/>
  <c r="AO365" i="6"/>
  <c r="AN365" i="6"/>
  <c r="AM365" i="6"/>
  <c r="AL365" i="6"/>
  <c r="AK365" i="6"/>
  <c r="AJ365" i="6"/>
  <c r="AI365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365" i="6"/>
  <c r="DE364" i="6"/>
  <c r="DD364" i="6"/>
  <c r="DC364" i="6"/>
  <c r="DB364" i="6"/>
  <c r="DA364" i="6"/>
  <c r="CZ364" i="6"/>
  <c r="CY364" i="6"/>
  <c r="CX364" i="6"/>
  <c r="CV364" i="6"/>
  <c r="CU364" i="6"/>
  <c r="CT364" i="6"/>
  <c r="CS364" i="6"/>
  <c r="CR364" i="6"/>
  <c r="CQ364" i="6"/>
  <c r="CP364" i="6"/>
  <c r="CO364" i="6"/>
  <c r="CN364" i="6"/>
  <c r="CM364" i="6"/>
  <c r="CL364" i="6"/>
  <c r="CK364" i="6"/>
  <c r="CJ364" i="6"/>
  <c r="CI364" i="6"/>
  <c r="CH364" i="6"/>
  <c r="CG364" i="6"/>
  <c r="CF364" i="6"/>
  <c r="CE364" i="6"/>
  <c r="CD364" i="6"/>
  <c r="CC364" i="6"/>
  <c r="CB364" i="6"/>
  <c r="CA364" i="6"/>
  <c r="BZ364" i="6"/>
  <c r="BY364" i="6"/>
  <c r="BX364" i="6"/>
  <c r="BW364" i="6"/>
  <c r="BV364" i="6"/>
  <c r="BU364" i="6"/>
  <c r="BT364" i="6"/>
  <c r="BS364" i="6"/>
  <c r="BR364" i="6"/>
  <c r="BQ364" i="6"/>
  <c r="BP364" i="6"/>
  <c r="BO364" i="6"/>
  <c r="BN364" i="6"/>
  <c r="BM364" i="6"/>
  <c r="BL364" i="6"/>
  <c r="BK364" i="6"/>
  <c r="BJ364" i="6"/>
  <c r="BI364" i="6"/>
  <c r="BH364" i="6"/>
  <c r="BG364" i="6"/>
  <c r="BF364" i="6"/>
  <c r="BE364" i="6"/>
  <c r="BD364" i="6"/>
  <c r="BC364" i="6"/>
  <c r="BB364" i="6"/>
  <c r="BA364" i="6"/>
  <c r="AZ364" i="6"/>
  <c r="AY364" i="6"/>
  <c r="AX364" i="6"/>
  <c r="AW364" i="6"/>
  <c r="AV364" i="6"/>
  <c r="AU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364" i="6"/>
  <c r="DE363" i="6"/>
  <c r="DD363" i="6"/>
  <c r="DC363" i="6"/>
  <c r="DB363" i="6"/>
  <c r="DA363" i="6"/>
  <c r="CZ363" i="6"/>
  <c r="CY363" i="6"/>
  <c r="CX363" i="6"/>
  <c r="CV363" i="6"/>
  <c r="CU363" i="6"/>
  <c r="CT363" i="6"/>
  <c r="CS363" i="6"/>
  <c r="CR363" i="6"/>
  <c r="CQ363" i="6"/>
  <c r="CP363" i="6"/>
  <c r="CO363" i="6"/>
  <c r="CN363" i="6"/>
  <c r="CM363" i="6"/>
  <c r="CL363" i="6"/>
  <c r="CK363" i="6"/>
  <c r="CJ363" i="6"/>
  <c r="CI363" i="6"/>
  <c r="CH363" i="6"/>
  <c r="CG363" i="6"/>
  <c r="CF363" i="6"/>
  <c r="CE363" i="6"/>
  <c r="CD363" i="6"/>
  <c r="CC363" i="6"/>
  <c r="CB363" i="6"/>
  <c r="CA363" i="6"/>
  <c r="BZ363" i="6"/>
  <c r="BY363" i="6"/>
  <c r="BX363" i="6"/>
  <c r="BW363" i="6"/>
  <c r="BV363" i="6"/>
  <c r="BU363" i="6"/>
  <c r="BT363" i="6"/>
  <c r="BS363" i="6"/>
  <c r="BR363" i="6"/>
  <c r="BQ363" i="6"/>
  <c r="BP363" i="6"/>
  <c r="BO363" i="6"/>
  <c r="BN363" i="6"/>
  <c r="BM363" i="6"/>
  <c r="BL363" i="6"/>
  <c r="BK363" i="6"/>
  <c r="BJ363" i="6"/>
  <c r="BI363" i="6"/>
  <c r="BH363" i="6"/>
  <c r="BG363" i="6"/>
  <c r="BF363" i="6"/>
  <c r="BE363" i="6"/>
  <c r="BD363" i="6"/>
  <c r="BC363" i="6"/>
  <c r="BB363" i="6"/>
  <c r="BA363" i="6"/>
  <c r="AZ363" i="6"/>
  <c r="AY363" i="6"/>
  <c r="AX363" i="6"/>
  <c r="AW363" i="6"/>
  <c r="AV363" i="6"/>
  <c r="AU363" i="6"/>
  <c r="AT363" i="6"/>
  <c r="AS363" i="6"/>
  <c r="AR363" i="6"/>
  <c r="AQ363" i="6"/>
  <c r="AP363" i="6"/>
  <c r="AO363" i="6"/>
  <c r="AN363" i="6"/>
  <c r="AM363" i="6"/>
  <c r="AL363" i="6"/>
  <c r="AK363" i="6"/>
  <c r="AJ363" i="6"/>
  <c r="AI363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363" i="6"/>
  <c r="DE362" i="6"/>
  <c r="DD362" i="6"/>
  <c r="DC362" i="6"/>
  <c r="DB362" i="6"/>
  <c r="DA362" i="6"/>
  <c r="CZ362" i="6"/>
  <c r="CY362" i="6"/>
  <c r="CX362" i="6"/>
  <c r="CV362" i="6"/>
  <c r="CU362" i="6"/>
  <c r="CT362" i="6"/>
  <c r="CS362" i="6"/>
  <c r="CR362" i="6"/>
  <c r="CQ362" i="6"/>
  <c r="CP362" i="6"/>
  <c r="CO362" i="6"/>
  <c r="CN362" i="6"/>
  <c r="CM362" i="6"/>
  <c r="CL362" i="6"/>
  <c r="CK362" i="6"/>
  <c r="CJ362" i="6"/>
  <c r="CI362" i="6"/>
  <c r="CH362" i="6"/>
  <c r="CG362" i="6"/>
  <c r="CF362" i="6"/>
  <c r="CE362" i="6"/>
  <c r="CD362" i="6"/>
  <c r="CC362" i="6"/>
  <c r="CB362" i="6"/>
  <c r="CA362" i="6"/>
  <c r="BZ362" i="6"/>
  <c r="BY362" i="6"/>
  <c r="BX362" i="6"/>
  <c r="BW362" i="6"/>
  <c r="BV362" i="6"/>
  <c r="BU362" i="6"/>
  <c r="BT362" i="6"/>
  <c r="BS362" i="6"/>
  <c r="BR362" i="6"/>
  <c r="BQ362" i="6"/>
  <c r="BP362" i="6"/>
  <c r="BO362" i="6"/>
  <c r="BN362" i="6"/>
  <c r="BM362" i="6"/>
  <c r="BL362" i="6"/>
  <c r="BK362" i="6"/>
  <c r="BJ362" i="6"/>
  <c r="BI362" i="6"/>
  <c r="BH362" i="6"/>
  <c r="BG362" i="6"/>
  <c r="BF362" i="6"/>
  <c r="BE362" i="6"/>
  <c r="BD362" i="6"/>
  <c r="BC362" i="6"/>
  <c r="BB362" i="6"/>
  <c r="BA362" i="6"/>
  <c r="AZ362" i="6"/>
  <c r="AY362" i="6"/>
  <c r="AX362" i="6"/>
  <c r="AW362" i="6"/>
  <c r="AV362" i="6"/>
  <c r="AU362" i="6"/>
  <c r="AT362" i="6"/>
  <c r="AS362" i="6"/>
  <c r="AR362" i="6"/>
  <c r="AQ362" i="6"/>
  <c r="AP362" i="6"/>
  <c r="AO362" i="6"/>
  <c r="AN362" i="6"/>
  <c r="AM362" i="6"/>
  <c r="AL362" i="6"/>
  <c r="AK362" i="6"/>
  <c r="AJ362" i="6"/>
  <c r="AI362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362" i="6"/>
  <c r="DE361" i="6"/>
  <c r="DD361" i="6"/>
  <c r="DC361" i="6"/>
  <c r="DB361" i="6"/>
  <c r="DA361" i="6"/>
  <c r="CZ361" i="6"/>
  <c r="CY361" i="6"/>
  <c r="CX361" i="6"/>
  <c r="CV361" i="6"/>
  <c r="CU361" i="6"/>
  <c r="CT361" i="6"/>
  <c r="CS361" i="6"/>
  <c r="CR361" i="6"/>
  <c r="CQ361" i="6"/>
  <c r="CP361" i="6"/>
  <c r="CO361" i="6"/>
  <c r="CN361" i="6"/>
  <c r="CM361" i="6"/>
  <c r="CL361" i="6"/>
  <c r="CK361" i="6"/>
  <c r="CJ361" i="6"/>
  <c r="CI361" i="6"/>
  <c r="CH361" i="6"/>
  <c r="CG361" i="6"/>
  <c r="CF361" i="6"/>
  <c r="CE361" i="6"/>
  <c r="CD361" i="6"/>
  <c r="CC361" i="6"/>
  <c r="CB361" i="6"/>
  <c r="CA361" i="6"/>
  <c r="BZ361" i="6"/>
  <c r="BY361" i="6"/>
  <c r="BX361" i="6"/>
  <c r="BW361" i="6"/>
  <c r="BV361" i="6"/>
  <c r="BU361" i="6"/>
  <c r="BT361" i="6"/>
  <c r="BS361" i="6"/>
  <c r="BR361" i="6"/>
  <c r="BQ361" i="6"/>
  <c r="BP361" i="6"/>
  <c r="BO361" i="6"/>
  <c r="BN361" i="6"/>
  <c r="BM361" i="6"/>
  <c r="BL361" i="6"/>
  <c r="BK361" i="6"/>
  <c r="BJ361" i="6"/>
  <c r="BI361" i="6"/>
  <c r="BH361" i="6"/>
  <c r="BG361" i="6"/>
  <c r="BF361" i="6"/>
  <c r="BE361" i="6"/>
  <c r="BD361" i="6"/>
  <c r="BC361" i="6"/>
  <c r="BB361" i="6"/>
  <c r="BA361" i="6"/>
  <c r="AZ361" i="6"/>
  <c r="AY361" i="6"/>
  <c r="AX361" i="6"/>
  <c r="AW361" i="6"/>
  <c r="AV361" i="6"/>
  <c r="AU361" i="6"/>
  <c r="AT361" i="6"/>
  <c r="AS361" i="6"/>
  <c r="AR361" i="6"/>
  <c r="AQ361" i="6"/>
  <c r="AP361" i="6"/>
  <c r="AO361" i="6"/>
  <c r="AN361" i="6"/>
  <c r="AM361" i="6"/>
  <c r="AL361" i="6"/>
  <c r="AK361" i="6"/>
  <c r="AJ361" i="6"/>
  <c r="AI361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361" i="6"/>
  <c r="DE360" i="6"/>
  <c r="DD360" i="6"/>
  <c r="DC360" i="6"/>
  <c r="DB360" i="6"/>
  <c r="DA360" i="6"/>
  <c r="CZ360" i="6"/>
  <c r="CY360" i="6"/>
  <c r="CX360" i="6"/>
  <c r="CV360" i="6"/>
  <c r="CU360" i="6"/>
  <c r="CT360" i="6"/>
  <c r="CS360" i="6"/>
  <c r="CR360" i="6"/>
  <c r="CQ360" i="6"/>
  <c r="CP360" i="6"/>
  <c r="CO360" i="6"/>
  <c r="CN360" i="6"/>
  <c r="CM360" i="6"/>
  <c r="CL360" i="6"/>
  <c r="CK360" i="6"/>
  <c r="CJ360" i="6"/>
  <c r="CI360" i="6"/>
  <c r="CH360" i="6"/>
  <c r="CG360" i="6"/>
  <c r="CF360" i="6"/>
  <c r="CE360" i="6"/>
  <c r="CD360" i="6"/>
  <c r="CC360" i="6"/>
  <c r="CB360" i="6"/>
  <c r="CA360" i="6"/>
  <c r="BZ360" i="6"/>
  <c r="BY360" i="6"/>
  <c r="BX360" i="6"/>
  <c r="BW360" i="6"/>
  <c r="BV360" i="6"/>
  <c r="BU360" i="6"/>
  <c r="BT360" i="6"/>
  <c r="BS360" i="6"/>
  <c r="BR360" i="6"/>
  <c r="BQ360" i="6"/>
  <c r="BP360" i="6"/>
  <c r="BO360" i="6"/>
  <c r="BN360" i="6"/>
  <c r="BM360" i="6"/>
  <c r="BL360" i="6"/>
  <c r="BK360" i="6"/>
  <c r="BJ360" i="6"/>
  <c r="BI360" i="6"/>
  <c r="BH360" i="6"/>
  <c r="BG360" i="6"/>
  <c r="BF360" i="6"/>
  <c r="BE360" i="6"/>
  <c r="BD360" i="6"/>
  <c r="BC360" i="6"/>
  <c r="BB360" i="6"/>
  <c r="BA360" i="6"/>
  <c r="AZ360" i="6"/>
  <c r="AY360" i="6"/>
  <c r="AX360" i="6"/>
  <c r="AW360" i="6"/>
  <c r="AV360" i="6"/>
  <c r="AU360" i="6"/>
  <c r="AT360" i="6"/>
  <c r="AS360" i="6"/>
  <c r="AR360" i="6"/>
  <c r="AQ360" i="6"/>
  <c r="AP360" i="6"/>
  <c r="AO360" i="6"/>
  <c r="AN360" i="6"/>
  <c r="AM360" i="6"/>
  <c r="AL360" i="6"/>
  <c r="AK360" i="6"/>
  <c r="AJ360" i="6"/>
  <c r="AI360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360" i="6"/>
  <c r="DE359" i="6"/>
  <c r="DD359" i="6"/>
  <c r="DC359" i="6"/>
  <c r="DB359" i="6"/>
  <c r="DA359" i="6"/>
  <c r="CZ359" i="6"/>
  <c r="CY359" i="6"/>
  <c r="CX359" i="6"/>
  <c r="CV359" i="6"/>
  <c r="CU359" i="6"/>
  <c r="CT359" i="6"/>
  <c r="CS359" i="6"/>
  <c r="CR359" i="6"/>
  <c r="CQ359" i="6"/>
  <c r="CP359" i="6"/>
  <c r="CO359" i="6"/>
  <c r="CN359" i="6"/>
  <c r="CM359" i="6"/>
  <c r="CL359" i="6"/>
  <c r="CK359" i="6"/>
  <c r="CJ359" i="6"/>
  <c r="CI359" i="6"/>
  <c r="CH359" i="6"/>
  <c r="CG359" i="6"/>
  <c r="CF359" i="6"/>
  <c r="CE359" i="6"/>
  <c r="CD359" i="6"/>
  <c r="CC359" i="6"/>
  <c r="CB359" i="6"/>
  <c r="CA359" i="6"/>
  <c r="BZ359" i="6"/>
  <c r="BY359" i="6"/>
  <c r="BX359" i="6"/>
  <c r="BW359" i="6"/>
  <c r="BV359" i="6"/>
  <c r="BU359" i="6"/>
  <c r="BT359" i="6"/>
  <c r="BS359" i="6"/>
  <c r="BR359" i="6"/>
  <c r="BQ359" i="6"/>
  <c r="BP359" i="6"/>
  <c r="BO359" i="6"/>
  <c r="BN359" i="6"/>
  <c r="BM359" i="6"/>
  <c r="BL359" i="6"/>
  <c r="BK359" i="6"/>
  <c r="BJ359" i="6"/>
  <c r="BI359" i="6"/>
  <c r="BH359" i="6"/>
  <c r="BG359" i="6"/>
  <c r="BF359" i="6"/>
  <c r="BE359" i="6"/>
  <c r="BD359" i="6"/>
  <c r="BC359" i="6"/>
  <c r="BB359" i="6"/>
  <c r="BA359" i="6"/>
  <c r="AZ359" i="6"/>
  <c r="AY359" i="6"/>
  <c r="AX359" i="6"/>
  <c r="AW359" i="6"/>
  <c r="AV359" i="6"/>
  <c r="AU359" i="6"/>
  <c r="AT359" i="6"/>
  <c r="AS359" i="6"/>
  <c r="AR359" i="6"/>
  <c r="AQ359" i="6"/>
  <c r="AP359" i="6"/>
  <c r="AO359" i="6"/>
  <c r="AN359" i="6"/>
  <c r="AM359" i="6"/>
  <c r="AL359" i="6"/>
  <c r="AK359" i="6"/>
  <c r="AJ359" i="6"/>
  <c r="AI359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359" i="6"/>
  <c r="DE358" i="6"/>
  <c r="DD358" i="6"/>
  <c r="DC358" i="6"/>
  <c r="DB358" i="6"/>
  <c r="DA358" i="6"/>
  <c r="CZ358" i="6"/>
  <c r="CY358" i="6"/>
  <c r="CX358" i="6"/>
  <c r="CV358" i="6"/>
  <c r="CU358" i="6"/>
  <c r="CT358" i="6"/>
  <c r="CS358" i="6"/>
  <c r="CR358" i="6"/>
  <c r="CQ358" i="6"/>
  <c r="CP358" i="6"/>
  <c r="CO358" i="6"/>
  <c r="CN358" i="6"/>
  <c r="CM358" i="6"/>
  <c r="CL358" i="6"/>
  <c r="CK358" i="6"/>
  <c r="CJ358" i="6"/>
  <c r="CI358" i="6"/>
  <c r="CH358" i="6"/>
  <c r="CG358" i="6"/>
  <c r="CF358" i="6"/>
  <c r="CE358" i="6"/>
  <c r="CD358" i="6"/>
  <c r="CC358" i="6"/>
  <c r="CB358" i="6"/>
  <c r="CA358" i="6"/>
  <c r="BZ358" i="6"/>
  <c r="BY358" i="6"/>
  <c r="BX358" i="6"/>
  <c r="BW358" i="6"/>
  <c r="BV358" i="6"/>
  <c r="BU358" i="6"/>
  <c r="BT358" i="6"/>
  <c r="BS358" i="6"/>
  <c r="BR358" i="6"/>
  <c r="BQ358" i="6"/>
  <c r="BP358" i="6"/>
  <c r="BO358" i="6"/>
  <c r="BN358" i="6"/>
  <c r="BM358" i="6"/>
  <c r="BL358" i="6"/>
  <c r="BK358" i="6"/>
  <c r="BJ358" i="6"/>
  <c r="BI358" i="6"/>
  <c r="BH358" i="6"/>
  <c r="BG358" i="6"/>
  <c r="BF358" i="6"/>
  <c r="BE358" i="6"/>
  <c r="BD358" i="6"/>
  <c r="BC358" i="6"/>
  <c r="BB358" i="6"/>
  <c r="BA358" i="6"/>
  <c r="AZ358" i="6"/>
  <c r="AY358" i="6"/>
  <c r="AX358" i="6"/>
  <c r="AW358" i="6"/>
  <c r="AV358" i="6"/>
  <c r="AU358" i="6"/>
  <c r="AT358" i="6"/>
  <c r="AS358" i="6"/>
  <c r="AR358" i="6"/>
  <c r="AQ358" i="6"/>
  <c r="AP358" i="6"/>
  <c r="AO358" i="6"/>
  <c r="AN358" i="6"/>
  <c r="AM358" i="6"/>
  <c r="AL358" i="6"/>
  <c r="AK358" i="6"/>
  <c r="AJ358" i="6"/>
  <c r="AI358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358" i="6"/>
  <c r="DE357" i="6"/>
  <c r="DD357" i="6"/>
  <c r="DC357" i="6"/>
  <c r="DB357" i="6"/>
  <c r="DA357" i="6"/>
  <c r="CZ357" i="6"/>
  <c r="CY357" i="6"/>
  <c r="CX357" i="6"/>
  <c r="CV357" i="6"/>
  <c r="CU357" i="6"/>
  <c r="CT357" i="6"/>
  <c r="CS357" i="6"/>
  <c r="CR357" i="6"/>
  <c r="CQ357" i="6"/>
  <c r="CP357" i="6"/>
  <c r="CO357" i="6"/>
  <c r="CN357" i="6"/>
  <c r="CM357" i="6"/>
  <c r="CL357" i="6"/>
  <c r="CK357" i="6"/>
  <c r="CJ357" i="6"/>
  <c r="CI357" i="6"/>
  <c r="CH357" i="6"/>
  <c r="CG357" i="6"/>
  <c r="CF357" i="6"/>
  <c r="CE357" i="6"/>
  <c r="CD357" i="6"/>
  <c r="CC357" i="6"/>
  <c r="CB357" i="6"/>
  <c r="CA357" i="6"/>
  <c r="BZ357" i="6"/>
  <c r="BY357" i="6"/>
  <c r="BX357" i="6"/>
  <c r="BW357" i="6"/>
  <c r="BV357" i="6"/>
  <c r="BU357" i="6"/>
  <c r="BT357" i="6"/>
  <c r="BS357" i="6"/>
  <c r="BR357" i="6"/>
  <c r="BQ357" i="6"/>
  <c r="BP357" i="6"/>
  <c r="BO357" i="6"/>
  <c r="BN357" i="6"/>
  <c r="BM357" i="6"/>
  <c r="BL357" i="6"/>
  <c r="BK357" i="6"/>
  <c r="BJ357" i="6"/>
  <c r="BI357" i="6"/>
  <c r="BH357" i="6"/>
  <c r="BG357" i="6"/>
  <c r="BF357" i="6"/>
  <c r="BE357" i="6"/>
  <c r="BD357" i="6"/>
  <c r="BC357" i="6"/>
  <c r="BB357" i="6"/>
  <c r="BA357" i="6"/>
  <c r="AZ357" i="6"/>
  <c r="AY357" i="6"/>
  <c r="AX357" i="6"/>
  <c r="AW357" i="6"/>
  <c r="AV357" i="6"/>
  <c r="AU357" i="6"/>
  <c r="AT357" i="6"/>
  <c r="AS357" i="6"/>
  <c r="AR357" i="6"/>
  <c r="AQ357" i="6"/>
  <c r="AP357" i="6"/>
  <c r="AO357" i="6"/>
  <c r="AN357" i="6"/>
  <c r="AM357" i="6"/>
  <c r="AL357" i="6"/>
  <c r="AK357" i="6"/>
  <c r="AJ357" i="6"/>
  <c r="AI357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357" i="6"/>
  <c r="DE356" i="6"/>
  <c r="DD356" i="6"/>
  <c r="DC356" i="6"/>
  <c r="DB356" i="6"/>
  <c r="DA356" i="6"/>
  <c r="CZ356" i="6"/>
  <c r="CY356" i="6"/>
  <c r="CX356" i="6"/>
  <c r="CV356" i="6"/>
  <c r="CU356" i="6"/>
  <c r="CT356" i="6"/>
  <c r="CS356" i="6"/>
  <c r="CR356" i="6"/>
  <c r="CQ356" i="6"/>
  <c r="CP356" i="6"/>
  <c r="CO356" i="6"/>
  <c r="CN356" i="6"/>
  <c r="CM356" i="6"/>
  <c r="CL356" i="6"/>
  <c r="CK356" i="6"/>
  <c r="CJ356" i="6"/>
  <c r="CI356" i="6"/>
  <c r="CH356" i="6"/>
  <c r="CG356" i="6"/>
  <c r="CF356" i="6"/>
  <c r="CE356" i="6"/>
  <c r="CD356" i="6"/>
  <c r="CC356" i="6"/>
  <c r="CB356" i="6"/>
  <c r="CA356" i="6"/>
  <c r="BZ356" i="6"/>
  <c r="BY356" i="6"/>
  <c r="BX356" i="6"/>
  <c r="BW356" i="6"/>
  <c r="BV356" i="6"/>
  <c r="BU356" i="6"/>
  <c r="BT356" i="6"/>
  <c r="BS356" i="6"/>
  <c r="BR356" i="6"/>
  <c r="BQ356" i="6"/>
  <c r="BP356" i="6"/>
  <c r="BO356" i="6"/>
  <c r="BN356" i="6"/>
  <c r="BM356" i="6"/>
  <c r="BL356" i="6"/>
  <c r="BK356" i="6"/>
  <c r="BJ356" i="6"/>
  <c r="BI356" i="6"/>
  <c r="BH356" i="6"/>
  <c r="BG356" i="6"/>
  <c r="BF356" i="6"/>
  <c r="BE356" i="6"/>
  <c r="BD356" i="6"/>
  <c r="BC356" i="6"/>
  <c r="BB356" i="6"/>
  <c r="BA356" i="6"/>
  <c r="AZ356" i="6"/>
  <c r="AY356" i="6"/>
  <c r="AX356" i="6"/>
  <c r="AW356" i="6"/>
  <c r="AV356" i="6"/>
  <c r="AU356" i="6"/>
  <c r="AT356" i="6"/>
  <c r="AS356" i="6"/>
  <c r="AR356" i="6"/>
  <c r="AQ356" i="6"/>
  <c r="AP356" i="6"/>
  <c r="AO356" i="6"/>
  <c r="AN356" i="6"/>
  <c r="AM356" i="6"/>
  <c r="AL356" i="6"/>
  <c r="AK356" i="6"/>
  <c r="AJ356" i="6"/>
  <c r="AI356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356" i="6"/>
  <c r="DE355" i="6"/>
  <c r="DD355" i="6"/>
  <c r="DC355" i="6"/>
  <c r="DB355" i="6"/>
  <c r="DA355" i="6"/>
  <c r="CZ355" i="6"/>
  <c r="CY355" i="6"/>
  <c r="CX355" i="6"/>
  <c r="CV355" i="6"/>
  <c r="CU355" i="6"/>
  <c r="CT355" i="6"/>
  <c r="CS355" i="6"/>
  <c r="CR355" i="6"/>
  <c r="CQ355" i="6"/>
  <c r="CP355" i="6"/>
  <c r="CO355" i="6"/>
  <c r="CN355" i="6"/>
  <c r="CM355" i="6"/>
  <c r="CL355" i="6"/>
  <c r="CK355" i="6"/>
  <c r="CJ355" i="6"/>
  <c r="CI355" i="6"/>
  <c r="CH355" i="6"/>
  <c r="CG355" i="6"/>
  <c r="CF355" i="6"/>
  <c r="CE355" i="6"/>
  <c r="CD355" i="6"/>
  <c r="CC355" i="6"/>
  <c r="CB355" i="6"/>
  <c r="CA355" i="6"/>
  <c r="BZ355" i="6"/>
  <c r="BY355" i="6"/>
  <c r="BX355" i="6"/>
  <c r="BW355" i="6"/>
  <c r="BV355" i="6"/>
  <c r="BU355" i="6"/>
  <c r="BT355" i="6"/>
  <c r="BS355" i="6"/>
  <c r="BR355" i="6"/>
  <c r="BQ355" i="6"/>
  <c r="BP355" i="6"/>
  <c r="BO355" i="6"/>
  <c r="BN355" i="6"/>
  <c r="BM355" i="6"/>
  <c r="BL355" i="6"/>
  <c r="BK355" i="6"/>
  <c r="BJ355" i="6"/>
  <c r="BI355" i="6"/>
  <c r="BH355" i="6"/>
  <c r="BG355" i="6"/>
  <c r="BF355" i="6"/>
  <c r="BE355" i="6"/>
  <c r="BD355" i="6"/>
  <c r="BC355" i="6"/>
  <c r="BB355" i="6"/>
  <c r="BA355" i="6"/>
  <c r="AZ355" i="6"/>
  <c r="AY355" i="6"/>
  <c r="AX355" i="6"/>
  <c r="AW355" i="6"/>
  <c r="AV355" i="6"/>
  <c r="AU355" i="6"/>
  <c r="AT355" i="6"/>
  <c r="AS355" i="6"/>
  <c r="AR355" i="6"/>
  <c r="AQ355" i="6"/>
  <c r="AP355" i="6"/>
  <c r="AO355" i="6"/>
  <c r="AN355" i="6"/>
  <c r="AM355" i="6"/>
  <c r="AL355" i="6"/>
  <c r="AK355" i="6"/>
  <c r="AJ355" i="6"/>
  <c r="AI355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355" i="6"/>
  <c r="DE354" i="6"/>
  <c r="DD354" i="6"/>
  <c r="DC354" i="6"/>
  <c r="DB354" i="6"/>
  <c r="DA354" i="6"/>
  <c r="CZ354" i="6"/>
  <c r="CY354" i="6"/>
  <c r="CX354" i="6"/>
  <c r="CV354" i="6"/>
  <c r="CU354" i="6"/>
  <c r="CT354" i="6"/>
  <c r="CS354" i="6"/>
  <c r="CR354" i="6"/>
  <c r="CQ354" i="6"/>
  <c r="CP354" i="6"/>
  <c r="CO354" i="6"/>
  <c r="CN354" i="6"/>
  <c r="CM354" i="6"/>
  <c r="CL354" i="6"/>
  <c r="CK354" i="6"/>
  <c r="CJ354" i="6"/>
  <c r="CI354" i="6"/>
  <c r="CH354" i="6"/>
  <c r="CG354" i="6"/>
  <c r="CF354" i="6"/>
  <c r="CE354" i="6"/>
  <c r="CD354" i="6"/>
  <c r="CC354" i="6"/>
  <c r="CB354" i="6"/>
  <c r="CA354" i="6"/>
  <c r="BZ354" i="6"/>
  <c r="BY354" i="6"/>
  <c r="BX354" i="6"/>
  <c r="BW354" i="6"/>
  <c r="BV354" i="6"/>
  <c r="BU354" i="6"/>
  <c r="BT354" i="6"/>
  <c r="BS354" i="6"/>
  <c r="BR354" i="6"/>
  <c r="BQ354" i="6"/>
  <c r="BP354" i="6"/>
  <c r="BO354" i="6"/>
  <c r="BN354" i="6"/>
  <c r="BM354" i="6"/>
  <c r="BL354" i="6"/>
  <c r="BK354" i="6"/>
  <c r="BJ354" i="6"/>
  <c r="BI354" i="6"/>
  <c r="BH354" i="6"/>
  <c r="BG354" i="6"/>
  <c r="BF354" i="6"/>
  <c r="BE354" i="6"/>
  <c r="BD354" i="6"/>
  <c r="BC354" i="6"/>
  <c r="BB354" i="6"/>
  <c r="BA354" i="6"/>
  <c r="AZ354" i="6"/>
  <c r="AY354" i="6"/>
  <c r="AX354" i="6"/>
  <c r="AW354" i="6"/>
  <c r="AV354" i="6"/>
  <c r="AU354" i="6"/>
  <c r="AT354" i="6"/>
  <c r="AS354" i="6"/>
  <c r="AR354" i="6"/>
  <c r="AQ354" i="6"/>
  <c r="AP354" i="6"/>
  <c r="AO354" i="6"/>
  <c r="AN354" i="6"/>
  <c r="AM354" i="6"/>
  <c r="AL354" i="6"/>
  <c r="AK354" i="6"/>
  <c r="AJ354" i="6"/>
  <c r="AI354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354" i="6"/>
  <c r="DE353" i="6"/>
  <c r="DD353" i="6"/>
  <c r="DC353" i="6"/>
  <c r="DB353" i="6"/>
  <c r="DA353" i="6"/>
  <c r="CZ353" i="6"/>
  <c r="CY353" i="6"/>
  <c r="CX353" i="6"/>
  <c r="CV353" i="6"/>
  <c r="CU353" i="6"/>
  <c r="CT353" i="6"/>
  <c r="CS353" i="6"/>
  <c r="CR353" i="6"/>
  <c r="CQ353" i="6"/>
  <c r="CP353" i="6"/>
  <c r="CO353" i="6"/>
  <c r="CN353" i="6"/>
  <c r="CM353" i="6"/>
  <c r="CL353" i="6"/>
  <c r="CK353" i="6"/>
  <c r="CJ353" i="6"/>
  <c r="CI353" i="6"/>
  <c r="CH353" i="6"/>
  <c r="CG353" i="6"/>
  <c r="CF353" i="6"/>
  <c r="CE353" i="6"/>
  <c r="CD353" i="6"/>
  <c r="CC353" i="6"/>
  <c r="CB353" i="6"/>
  <c r="CA353" i="6"/>
  <c r="BZ353" i="6"/>
  <c r="BY353" i="6"/>
  <c r="BX353" i="6"/>
  <c r="BW353" i="6"/>
  <c r="BV353" i="6"/>
  <c r="BU353" i="6"/>
  <c r="BT353" i="6"/>
  <c r="BS353" i="6"/>
  <c r="BR353" i="6"/>
  <c r="BQ353" i="6"/>
  <c r="BP353" i="6"/>
  <c r="BO353" i="6"/>
  <c r="BN353" i="6"/>
  <c r="BM353" i="6"/>
  <c r="BL353" i="6"/>
  <c r="BK353" i="6"/>
  <c r="BJ353" i="6"/>
  <c r="BI353" i="6"/>
  <c r="BH353" i="6"/>
  <c r="BG353" i="6"/>
  <c r="BF353" i="6"/>
  <c r="BE353" i="6"/>
  <c r="BD353" i="6"/>
  <c r="BC353" i="6"/>
  <c r="BB353" i="6"/>
  <c r="BA353" i="6"/>
  <c r="AZ353" i="6"/>
  <c r="AY353" i="6"/>
  <c r="AX353" i="6"/>
  <c r="AW353" i="6"/>
  <c r="AV353" i="6"/>
  <c r="AU353" i="6"/>
  <c r="AT353" i="6"/>
  <c r="AS353" i="6"/>
  <c r="AR353" i="6"/>
  <c r="AQ353" i="6"/>
  <c r="AP353" i="6"/>
  <c r="AO353" i="6"/>
  <c r="AN353" i="6"/>
  <c r="AM353" i="6"/>
  <c r="AL353" i="6"/>
  <c r="AK353" i="6"/>
  <c r="AJ353" i="6"/>
  <c r="AI353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353" i="6"/>
  <c r="DE352" i="6"/>
  <c r="DD352" i="6"/>
  <c r="DC352" i="6"/>
  <c r="DB352" i="6"/>
  <c r="DA352" i="6"/>
  <c r="CZ352" i="6"/>
  <c r="CY352" i="6"/>
  <c r="CX352" i="6"/>
  <c r="CV352" i="6"/>
  <c r="CU352" i="6"/>
  <c r="CT352" i="6"/>
  <c r="CS352" i="6"/>
  <c r="CR352" i="6"/>
  <c r="CQ352" i="6"/>
  <c r="CP352" i="6"/>
  <c r="CO352" i="6"/>
  <c r="CN352" i="6"/>
  <c r="CM352" i="6"/>
  <c r="CL352" i="6"/>
  <c r="CK352" i="6"/>
  <c r="CJ352" i="6"/>
  <c r="CI352" i="6"/>
  <c r="CH352" i="6"/>
  <c r="CG352" i="6"/>
  <c r="CF352" i="6"/>
  <c r="CE352" i="6"/>
  <c r="CD352" i="6"/>
  <c r="CC352" i="6"/>
  <c r="CB352" i="6"/>
  <c r="CA352" i="6"/>
  <c r="BZ352" i="6"/>
  <c r="BY352" i="6"/>
  <c r="BX352" i="6"/>
  <c r="BW352" i="6"/>
  <c r="BV352" i="6"/>
  <c r="BU352" i="6"/>
  <c r="BT352" i="6"/>
  <c r="BS352" i="6"/>
  <c r="BR352" i="6"/>
  <c r="BQ352" i="6"/>
  <c r="BP352" i="6"/>
  <c r="BO352" i="6"/>
  <c r="BN352" i="6"/>
  <c r="BM352" i="6"/>
  <c r="BL352" i="6"/>
  <c r="BK352" i="6"/>
  <c r="BJ352" i="6"/>
  <c r="BI352" i="6"/>
  <c r="BH352" i="6"/>
  <c r="BG352" i="6"/>
  <c r="BF352" i="6"/>
  <c r="BE352" i="6"/>
  <c r="BD352" i="6"/>
  <c r="BC352" i="6"/>
  <c r="BB352" i="6"/>
  <c r="BA352" i="6"/>
  <c r="AZ352" i="6"/>
  <c r="AY352" i="6"/>
  <c r="AX352" i="6"/>
  <c r="AW352" i="6"/>
  <c r="AV352" i="6"/>
  <c r="AU352" i="6"/>
  <c r="AT352" i="6"/>
  <c r="AS352" i="6"/>
  <c r="AR352" i="6"/>
  <c r="AQ352" i="6"/>
  <c r="AP352" i="6"/>
  <c r="AO352" i="6"/>
  <c r="AN352" i="6"/>
  <c r="AM352" i="6"/>
  <c r="AL352" i="6"/>
  <c r="AK352" i="6"/>
  <c r="AJ352" i="6"/>
  <c r="AI352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352" i="6"/>
  <c r="DE351" i="6"/>
  <c r="DD351" i="6"/>
  <c r="DC351" i="6"/>
  <c r="DB351" i="6"/>
  <c r="DA351" i="6"/>
  <c r="CZ351" i="6"/>
  <c r="CY351" i="6"/>
  <c r="CX351" i="6"/>
  <c r="CV351" i="6"/>
  <c r="CU351" i="6"/>
  <c r="CT351" i="6"/>
  <c r="CS351" i="6"/>
  <c r="CR351" i="6"/>
  <c r="CQ351" i="6"/>
  <c r="CP351" i="6"/>
  <c r="CO351" i="6"/>
  <c r="CN351" i="6"/>
  <c r="CM351" i="6"/>
  <c r="CL351" i="6"/>
  <c r="CK351" i="6"/>
  <c r="CJ351" i="6"/>
  <c r="CI351" i="6"/>
  <c r="CH351" i="6"/>
  <c r="CG351" i="6"/>
  <c r="CF351" i="6"/>
  <c r="CE351" i="6"/>
  <c r="CD351" i="6"/>
  <c r="CC351" i="6"/>
  <c r="CB351" i="6"/>
  <c r="CA351" i="6"/>
  <c r="BZ351" i="6"/>
  <c r="BY351" i="6"/>
  <c r="BX351" i="6"/>
  <c r="BW351" i="6"/>
  <c r="BV351" i="6"/>
  <c r="BU351" i="6"/>
  <c r="BT351" i="6"/>
  <c r="BS351" i="6"/>
  <c r="BR351" i="6"/>
  <c r="BQ351" i="6"/>
  <c r="BP351" i="6"/>
  <c r="BO351" i="6"/>
  <c r="BN351" i="6"/>
  <c r="BM351" i="6"/>
  <c r="BL351" i="6"/>
  <c r="BK351" i="6"/>
  <c r="BJ351" i="6"/>
  <c r="BI351" i="6"/>
  <c r="BH351" i="6"/>
  <c r="BG351" i="6"/>
  <c r="BF351" i="6"/>
  <c r="BE351" i="6"/>
  <c r="BD351" i="6"/>
  <c r="BC351" i="6"/>
  <c r="BB351" i="6"/>
  <c r="BA351" i="6"/>
  <c r="AZ351" i="6"/>
  <c r="AY351" i="6"/>
  <c r="AX351" i="6"/>
  <c r="AW351" i="6"/>
  <c r="AV351" i="6"/>
  <c r="AU351" i="6"/>
  <c r="AT351" i="6"/>
  <c r="AS351" i="6"/>
  <c r="AR351" i="6"/>
  <c r="AQ351" i="6"/>
  <c r="AP351" i="6"/>
  <c r="AO351" i="6"/>
  <c r="AN351" i="6"/>
  <c r="AM351" i="6"/>
  <c r="AL351" i="6"/>
  <c r="AK351" i="6"/>
  <c r="AJ351" i="6"/>
  <c r="AI351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351" i="6"/>
  <c r="DE350" i="6"/>
  <c r="DD350" i="6"/>
  <c r="DC350" i="6"/>
  <c r="DB350" i="6"/>
  <c r="DA350" i="6"/>
  <c r="CZ350" i="6"/>
  <c r="CY350" i="6"/>
  <c r="CX350" i="6"/>
  <c r="CV350" i="6"/>
  <c r="CU350" i="6"/>
  <c r="CT350" i="6"/>
  <c r="CS350" i="6"/>
  <c r="CR350" i="6"/>
  <c r="CQ350" i="6"/>
  <c r="CP350" i="6"/>
  <c r="CO350" i="6"/>
  <c r="CN350" i="6"/>
  <c r="CM350" i="6"/>
  <c r="CL350" i="6"/>
  <c r="CK350" i="6"/>
  <c r="CJ350" i="6"/>
  <c r="CI350" i="6"/>
  <c r="CH350" i="6"/>
  <c r="CG350" i="6"/>
  <c r="CF350" i="6"/>
  <c r="CE350" i="6"/>
  <c r="CD350" i="6"/>
  <c r="CC350" i="6"/>
  <c r="CB350" i="6"/>
  <c r="CA350" i="6"/>
  <c r="BZ350" i="6"/>
  <c r="BY350" i="6"/>
  <c r="BX350" i="6"/>
  <c r="BW350" i="6"/>
  <c r="BV350" i="6"/>
  <c r="BU350" i="6"/>
  <c r="BT350" i="6"/>
  <c r="BS350" i="6"/>
  <c r="BR350" i="6"/>
  <c r="BQ350" i="6"/>
  <c r="BP350" i="6"/>
  <c r="BO350" i="6"/>
  <c r="BN350" i="6"/>
  <c r="BM350" i="6"/>
  <c r="BL350" i="6"/>
  <c r="BK350" i="6"/>
  <c r="BJ350" i="6"/>
  <c r="BI350" i="6"/>
  <c r="BH350" i="6"/>
  <c r="BG350" i="6"/>
  <c r="BF350" i="6"/>
  <c r="BE350" i="6"/>
  <c r="BD350" i="6"/>
  <c r="BC350" i="6"/>
  <c r="BB350" i="6"/>
  <c r="BA350" i="6"/>
  <c r="AZ350" i="6"/>
  <c r="AY350" i="6"/>
  <c r="AX350" i="6"/>
  <c r="AW350" i="6"/>
  <c r="AV350" i="6"/>
  <c r="AU350" i="6"/>
  <c r="AT350" i="6"/>
  <c r="AS350" i="6"/>
  <c r="AR350" i="6"/>
  <c r="AQ350" i="6"/>
  <c r="AP350" i="6"/>
  <c r="AO350" i="6"/>
  <c r="AN350" i="6"/>
  <c r="AM350" i="6"/>
  <c r="AL350" i="6"/>
  <c r="AK350" i="6"/>
  <c r="AJ350" i="6"/>
  <c r="AI350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350" i="6"/>
  <c r="DE349" i="6"/>
  <c r="DD349" i="6"/>
  <c r="DC349" i="6"/>
  <c r="DB349" i="6"/>
  <c r="DA349" i="6"/>
  <c r="CZ349" i="6"/>
  <c r="CY349" i="6"/>
  <c r="CX349" i="6"/>
  <c r="CV349" i="6"/>
  <c r="CU349" i="6"/>
  <c r="CT349" i="6"/>
  <c r="CS349" i="6"/>
  <c r="CR349" i="6"/>
  <c r="CQ349" i="6"/>
  <c r="CP349" i="6"/>
  <c r="CO349" i="6"/>
  <c r="CN349" i="6"/>
  <c r="CM349" i="6"/>
  <c r="CL349" i="6"/>
  <c r="CK349" i="6"/>
  <c r="CJ349" i="6"/>
  <c r="CI349" i="6"/>
  <c r="CH349" i="6"/>
  <c r="CG349" i="6"/>
  <c r="CF349" i="6"/>
  <c r="CE349" i="6"/>
  <c r="CD349" i="6"/>
  <c r="CC349" i="6"/>
  <c r="CB349" i="6"/>
  <c r="CA349" i="6"/>
  <c r="BZ349" i="6"/>
  <c r="BY349" i="6"/>
  <c r="BX349" i="6"/>
  <c r="BW349" i="6"/>
  <c r="BV349" i="6"/>
  <c r="BU349" i="6"/>
  <c r="BT349" i="6"/>
  <c r="BS349" i="6"/>
  <c r="BR349" i="6"/>
  <c r="BQ349" i="6"/>
  <c r="BP349" i="6"/>
  <c r="BO349" i="6"/>
  <c r="BN349" i="6"/>
  <c r="BM349" i="6"/>
  <c r="BL349" i="6"/>
  <c r="BK349" i="6"/>
  <c r="BJ349" i="6"/>
  <c r="BI349" i="6"/>
  <c r="BH349" i="6"/>
  <c r="BG349" i="6"/>
  <c r="BF349" i="6"/>
  <c r="BE349" i="6"/>
  <c r="BD349" i="6"/>
  <c r="BC349" i="6"/>
  <c r="BB349" i="6"/>
  <c r="BA349" i="6"/>
  <c r="AZ349" i="6"/>
  <c r="AY349" i="6"/>
  <c r="AX349" i="6"/>
  <c r="AW349" i="6"/>
  <c r="AV349" i="6"/>
  <c r="AU349" i="6"/>
  <c r="AT349" i="6"/>
  <c r="AS349" i="6"/>
  <c r="AR349" i="6"/>
  <c r="AQ349" i="6"/>
  <c r="AP349" i="6"/>
  <c r="AO349" i="6"/>
  <c r="AN349" i="6"/>
  <c r="AM349" i="6"/>
  <c r="AL349" i="6"/>
  <c r="AK349" i="6"/>
  <c r="AJ349" i="6"/>
  <c r="AI349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349" i="6"/>
  <c r="DE348" i="6"/>
  <c r="DD348" i="6"/>
  <c r="DC348" i="6"/>
  <c r="DB348" i="6"/>
  <c r="DA348" i="6"/>
  <c r="CZ348" i="6"/>
  <c r="CY348" i="6"/>
  <c r="CX348" i="6"/>
  <c r="CV348" i="6"/>
  <c r="CU348" i="6"/>
  <c r="CT348" i="6"/>
  <c r="CS348" i="6"/>
  <c r="CR348" i="6"/>
  <c r="CQ348" i="6"/>
  <c r="CP348" i="6"/>
  <c r="CO348" i="6"/>
  <c r="CN348" i="6"/>
  <c r="CM348" i="6"/>
  <c r="CL348" i="6"/>
  <c r="CK348" i="6"/>
  <c r="CJ348" i="6"/>
  <c r="CI348" i="6"/>
  <c r="CH348" i="6"/>
  <c r="CG348" i="6"/>
  <c r="CF348" i="6"/>
  <c r="CE348" i="6"/>
  <c r="CD348" i="6"/>
  <c r="CC348" i="6"/>
  <c r="CB348" i="6"/>
  <c r="CA348" i="6"/>
  <c r="BZ348" i="6"/>
  <c r="BY348" i="6"/>
  <c r="BX348" i="6"/>
  <c r="BW348" i="6"/>
  <c r="BV348" i="6"/>
  <c r="BU348" i="6"/>
  <c r="BT348" i="6"/>
  <c r="BS348" i="6"/>
  <c r="BR348" i="6"/>
  <c r="BQ348" i="6"/>
  <c r="BP348" i="6"/>
  <c r="BO348" i="6"/>
  <c r="BN348" i="6"/>
  <c r="BM348" i="6"/>
  <c r="BL348" i="6"/>
  <c r="BK348" i="6"/>
  <c r="BJ348" i="6"/>
  <c r="BI348" i="6"/>
  <c r="BH348" i="6"/>
  <c r="BG348" i="6"/>
  <c r="BF348" i="6"/>
  <c r="BE348" i="6"/>
  <c r="BD348" i="6"/>
  <c r="BC348" i="6"/>
  <c r="BB348" i="6"/>
  <c r="BA348" i="6"/>
  <c r="AZ348" i="6"/>
  <c r="AY348" i="6"/>
  <c r="AX348" i="6"/>
  <c r="AW348" i="6"/>
  <c r="AV348" i="6"/>
  <c r="AU348" i="6"/>
  <c r="AT348" i="6"/>
  <c r="AS348" i="6"/>
  <c r="AR348" i="6"/>
  <c r="AQ348" i="6"/>
  <c r="AP348" i="6"/>
  <c r="AO348" i="6"/>
  <c r="AN348" i="6"/>
  <c r="AM348" i="6"/>
  <c r="AL348" i="6"/>
  <c r="AK348" i="6"/>
  <c r="AJ348" i="6"/>
  <c r="AI348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348" i="6"/>
  <c r="DE347" i="6"/>
  <c r="DD347" i="6"/>
  <c r="DC347" i="6"/>
  <c r="DB347" i="6"/>
  <c r="DA347" i="6"/>
  <c r="CZ347" i="6"/>
  <c r="CY347" i="6"/>
  <c r="CX347" i="6"/>
  <c r="CV347" i="6"/>
  <c r="CU347" i="6"/>
  <c r="CT347" i="6"/>
  <c r="CS347" i="6"/>
  <c r="CR347" i="6"/>
  <c r="CQ347" i="6"/>
  <c r="CP347" i="6"/>
  <c r="CO347" i="6"/>
  <c r="CN347" i="6"/>
  <c r="CM347" i="6"/>
  <c r="CL347" i="6"/>
  <c r="CK347" i="6"/>
  <c r="CJ347" i="6"/>
  <c r="CI347" i="6"/>
  <c r="CH347" i="6"/>
  <c r="CG347" i="6"/>
  <c r="CF347" i="6"/>
  <c r="CE347" i="6"/>
  <c r="CD347" i="6"/>
  <c r="CC347" i="6"/>
  <c r="CB347" i="6"/>
  <c r="CA347" i="6"/>
  <c r="BZ347" i="6"/>
  <c r="BY347" i="6"/>
  <c r="BX347" i="6"/>
  <c r="BW347" i="6"/>
  <c r="BV347" i="6"/>
  <c r="BU347" i="6"/>
  <c r="BT347" i="6"/>
  <c r="BS347" i="6"/>
  <c r="BR347" i="6"/>
  <c r="BQ347" i="6"/>
  <c r="BP347" i="6"/>
  <c r="BO347" i="6"/>
  <c r="BN347" i="6"/>
  <c r="BM347" i="6"/>
  <c r="BL347" i="6"/>
  <c r="BK347" i="6"/>
  <c r="BJ347" i="6"/>
  <c r="BI347" i="6"/>
  <c r="BH347" i="6"/>
  <c r="BG347" i="6"/>
  <c r="BF347" i="6"/>
  <c r="BE347" i="6"/>
  <c r="BD347" i="6"/>
  <c r="BC347" i="6"/>
  <c r="BB347" i="6"/>
  <c r="BA347" i="6"/>
  <c r="AZ347" i="6"/>
  <c r="AY347" i="6"/>
  <c r="AX347" i="6"/>
  <c r="AW347" i="6"/>
  <c r="AV347" i="6"/>
  <c r="AU347" i="6"/>
  <c r="AT347" i="6"/>
  <c r="AS347" i="6"/>
  <c r="AR347" i="6"/>
  <c r="AQ347" i="6"/>
  <c r="AP347" i="6"/>
  <c r="AO347" i="6"/>
  <c r="AN347" i="6"/>
  <c r="AM347" i="6"/>
  <c r="AL347" i="6"/>
  <c r="AK347" i="6"/>
  <c r="AJ347" i="6"/>
  <c r="AI347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347" i="6"/>
  <c r="DE346" i="6"/>
  <c r="DD346" i="6"/>
  <c r="DC346" i="6"/>
  <c r="DB346" i="6"/>
  <c r="DA346" i="6"/>
  <c r="CZ346" i="6"/>
  <c r="CY346" i="6"/>
  <c r="CX346" i="6"/>
  <c r="CV346" i="6"/>
  <c r="CU346" i="6"/>
  <c r="CT346" i="6"/>
  <c r="CS346" i="6"/>
  <c r="CR346" i="6"/>
  <c r="CQ346" i="6"/>
  <c r="CP346" i="6"/>
  <c r="CO346" i="6"/>
  <c r="CN346" i="6"/>
  <c r="CM346" i="6"/>
  <c r="CL346" i="6"/>
  <c r="CK346" i="6"/>
  <c r="CJ346" i="6"/>
  <c r="CI346" i="6"/>
  <c r="CH346" i="6"/>
  <c r="CG346" i="6"/>
  <c r="CF346" i="6"/>
  <c r="CE346" i="6"/>
  <c r="CD346" i="6"/>
  <c r="CC346" i="6"/>
  <c r="CB346" i="6"/>
  <c r="CA346" i="6"/>
  <c r="BZ346" i="6"/>
  <c r="BY346" i="6"/>
  <c r="BX346" i="6"/>
  <c r="BW346" i="6"/>
  <c r="BV346" i="6"/>
  <c r="BU346" i="6"/>
  <c r="BT346" i="6"/>
  <c r="BS346" i="6"/>
  <c r="BR346" i="6"/>
  <c r="BQ346" i="6"/>
  <c r="BP346" i="6"/>
  <c r="BO346" i="6"/>
  <c r="BN346" i="6"/>
  <c r="BM346" i="6"/>
  <c r="BL346" i="6"/>
  <c r="BK346" i="6"/>
  <c r="BJ346" i="6"/>
  <c r="BI346" i="6"/>
  <c r="BH346" i="6"/>
  <c r="BG346" i="6"/>
  <c r="BF346" i="6"/>
  <c r="BE346" i="6"/>
  <c r="BD346" i="6"/>
  <c r="BC346" i="6"/>
  <c r="BB346" i="6"/>
  <c r="BA346" i="6"/>
  <c r="AZ346" i="6"/>
  <c r="AY346" i="6"/>
  <c r="AX346" i="6"/>
  <c r="AW346" i="6"/>
  <c r="AV346" i="6"/>
  <c r="AU346" i="6"/>
  <c r="AT346" i="6"/>
  <c r="AS346" i="6"/>
  <c r="AR346" i="6"/>
  <c r="AQ346" i="6"/>
  <c r="AP346" i="6"/>
  <c r="AO346" i="6"/>
  <c r="AN346" i="6"/>
  <c r="AM346" i="6"/>
  <c r="AL346" i="6"/>
  <c r="AK346" i="6"/>
  <c r="AJ346" i="6"/>
  <c r="AI346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346" i="6"/>
  <c r="DE345" i="6"/>
  <c r="DD345" i="6"/>
  <c r="DC345" i="6"/>
  <c r="DB345" i="6"/>
  <c r="DA345" i="6"/>
  <c r="CZ345" i="6"/>
  <c r="CY345" i="6"/>
  <c r="CX345" i="6"/>
  <c r="CV345" i="6"/>
  <c r="CU345" i="6"/>
  <c r="CT345" i="6"/>
  <c r="CS345" i="6"/>
  <c r="CR345" i="6"/>
  <c r="CQ345" i="6"/>
  <c r="CP345" i="6"/>
  <c r="CO345" i="6"/>
  <c r="CN345" i="6"/>
  <c r="CM345" i="6"/>
  <c r="CL345" i="6"/>
  <c r="CK345" i="6"/>
  <c r="CJ345" i="6"/>
  <c r="CI345" i="6"/>
  <c r="CH345" i="6"/>
  <c r="CG345" i="6"/>
  <c r="CF345" i="6"/>
  <c r="CE345" i="6"/>
  <c r="CD345" i="6"/>
  <c r="CC345" i="6"/>
  <c r="CB345" i="6"/>
  <c r="CA345" i="6"/>
  <c r="BZ345" i="6"/>
  <c r="BY345" i="6"/>
  <c r="BX345" i="6"/>
  <c r="BW345" i="6"/>
  <c r="BV345" i="6"/>
  <c r="BU345" i="6"/>
  <c r="BT345" i="6"/>
  <c r="BS345" i="6"/>
  <c r="BR345" i="6"/>
  <c r="BQ345" i="6"/>
  <c r="BP345" i="6"/>
  <c r="BO345" i="6"/>
  <c r="BN345" i="6"/>
  <c r="BM345" i="6"/>
  <c r="BL345" i="6"/>
  <c r="BK345" i="6"/>
  <c r="BJ345" i="6"/>
  <c r="BI345" i="6"/>
  <c r="BH345" i="6"/>
  <c r="BG345" i="6"/>
  <c r="BF345" i="6"/>
  <c r="BE345" i="6"/>
  <c r="BD345" i="6"/>
  <c r="BC345" i="6"/>
  <c r="BB345" i="6"/>
  <c r="BA345" i="6"/>
  <c r="AZ345" i="6"/>
  <c r="AY345" i="6"/>
  <c r="AX345" i="6"/>
  <c r="AW345" i="6"/>
  <c r="AV345" i="6"/>
  <c r="AU345" i="6"/>
  <c r="AT345" i="6"/>
  <c r="AS345" i="6"/>
  <c r="AR345" i="6"/>
  <c r="AQ345" i="6"/>
  <c r="AP345" i="6"/>
  <c r="AO345" i="6"/>
  <c r="AN345" i="6"/>
  <c r="AM345" i="6"/>
  <c r="AL345" i="6"/>
  <c r="AK345" i="6"/>
  <c r="AJ345" i="6"/>
  <c r="AI345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345" i="6"/>
  <c r="DE344" i="6"/>
  <c r="DD344" i="6"/>
  <c r="DC344" i="6"/>
  <c r="DB344" i="6"/>
  <c r="DA344" i="6"/>
  <c r="CZ344" i="6"/>
  <c r="CY344" i="6"/>
  <c r="CX344" i="6"/>
  <c r="CV344" i="6"/>
  <c r="CU344" i="6"/>
  <c r="CT344" i="6"/>
  <c r="CS344" i="6"/>
  <c r="CR344" i="6"/>
  <c r="CQ344" i="6"/>
  <c r="CP344" i="6"/>
  <c r="CO344" i="6"/>
  <c r="CN344" i="6"/>
  <c r="CM344" i="6"/>
  <c r="CL344" i="6"/>
  <c r="CK344" i="6"/>
  <c r="CJ344" i="6"/>
  <c r="CI344" i="6"/>
  <c r="CH344" i="6"/>
  <c r="CG344" i="6"/>
  <c r="CF344" i="6"/>
  <c r="CE344" i="6"/>
  <c r="CD344" i="6"/>
  <c r="CC344" i="6"/>
  <c r="CB344" i="6"/>
  <c r="CA344" i="6"/>
  <c r="BZ344" i="6"/>
  <c r="BY344" i="6"/>
  <c r="BX344" i="6"/>
  <c r="BW344" i="6"/>
  <c r="BV344" i="6"/>
  <c r="BU344" i="6"/>
  <c r="BT344" i="6"/>
  <c r="BS344" i="6"/>
  <c r="BR344" i="6"/>
  <c r="BQ344" i="6"/>
  <c r="BP344" i="6"/>
  <c r="BO344" i="6"/>
  <c r="BN344" i="6"/>
  <c r="BM344" i="6"/>
  <c r="BL344" i="6"/>
  <c r="BK344" i="6"/>
  <c r="BJ344" i="6"/>
  <c r="BI344" i="6"/>
  <c r="BH344" i="6"/>
  <c r="BG344" i="6"/>
  <c r="BF344" i="6"/>
  <c r="BE344" i="6"/>
  <c r="BD344" i="6"/>
  <c r="BC344" i="6"/>
  <c r="BB344" i="6"/>
  <c r="BA344" i="6"/>
  <c r="AZ344" i="6"/>
  <c r="AY344" i="6"/>
  <c r="AX344" i="6"/>
  <c r="AW344" i="6"/>
  <c r="AV344" i="6"/>
  <c r="AU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344" i="6"/>
  <c r="DE343" i="6"/>
  <c r="DD343" i="6"/>
  <c r="DC343" i="6"/>
  <c r="DB343" i="6"/>
  <c r="DA343" i="6"/>
  <c r="CZ343" i="6"/>
  <c r="CY343" i="6"/>
  <c r="CX343" i="6"/>
  <c r="CV343" i="6"/>
  <c r="CU343" i="6"/>
  <c r="CT343" i="6"/>
  <c r="CS343" i="6"/>
  <c r="CR343" i="6"/>
  <c r="CQ343" i="6"/>
  <c r="CP343" i="6"/>
  <c r="CO343" i="6"/>
  <c r="CN343" i="6"/>
  <c r="CM343" i="6"/>
  <c r="CL343" i="6"/>
  <c r="CK343" i="6"/>
  <c r="CJ343" i="6"/>
  <c r="CI343" i="6"/>
  <c r="CH343" i="6"/>
  <c r="CG343" i="6"/>
  <c r="CF343" i="6"/>
  <c r="CE343" i="6"/>
  <c r="CD343" i="6"/>
  <c r="CC343" i="6"/>
  <c r="CB343" i="6"/>
  <c r="CA343" i="6"/>
  <c r="BZ343" i="6"/>
  <c r="BY343" i="6"/>
  <c r="BX343" i="6"/>
  <c r="BW343" i="6"/>
  <c r="BV343" i="6"/>
  <c r="BU343" i="6"/>
  <c r="BT343" i="6"/>
  <c r="BS343" i="6"/>
  <c r="BR343" i="6"/>
  <c r="BQ343" i="6"/>
  <c r="BP343" i="6"/>
  <c r="BO343" i="6"/>
  <c r="BN343" i="6"/>
  <c r="BM343" i="6"/>
  <c r="BL343" i="6"/>
  <c r="BK343" i="6"/>
  <c r="BJ343" i="6"/>
  <c r="BI343" i="6"/>
  <c r="BH343" i="6"/>
  <c r="BG343" i="6"/>
  <c r="BF343" i="6"/>
  <c r="BE343" i="6"/>
  <c r="BD343" i="6"/>
  <c r="BC343" i="6"/>
  <c r="BB343" i="6"/>
  <c r="BA343" i="6"/>
  <c r="AZ343" i="6"/>
  <c r="AY343" i="6"/>
  <c r="AX343" i="6"/>
  <c r="AW343" i="6"/>
  <c r="AV343" i="6"/>
  <c r="AU343" i="6"/>
  <c r="AT343" i="6"/>
  <c r="AS343" i="6"/>
  <c r="AR343" i="6"/>
  <c r="AQ343" i="6"/>
  <c r="AP343" i="6"/>
  <c r="AO343" i="6"/>
  <c r="AN343" i="6"/>
  <c r="AM343" i="6"/>
  <c r="AL343" i="6"/>
  <c r="AK343" i="6"/>
  <c r="AJ343" i="6"/>
  <c r="AI343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343" i="6"/>
  <c r="DE342" i="6"/>
  <c r="DD342" i="6"/>
  <c r="DC342" i="6"/>
  <c r="DB342" i="6"/>
  <c r="DA342" i="6"/>
  <c r="CZ342" i="6"/>
  <c r="CY342" i="6"/>
  <c r="CX342" i="6"/>
  <c r="CV342" i="6"/>
  <c r="CU342" i="6"/>
  <c r="CT342" i="6"/>
  <c r="CS342" i="6"/>
  <c r="CR342" i="6"/>
  <c r="CQ342" i="6"/>
  <c r="CP342" i="6"/>
  <c r="CO342" i="6"/>
  <c r="CN342" i="6"/>
  <c r="CM342" i="6"/>
  <c r="CL342" i="6"/>
  <c r="CK342" i="6"/>
  <c r="CJ342" i="6"/>
  <c r="CI342" i="6"/>
  <c r="CH342" i="6"/>
  <c r="CG342" i="6"/>
  <c r="CF342" i="6"/>
  <c r="CE342" i="6"/>
  <c r="CD342" i="6"/>
  <c r="CC342" i="6"/>
  <c r="CB342" i="6"/>
  <c r="CA342" i="6"/>
  <c r="BZ342" i="6"/>
  <c r="BY342" i="6"/>
  <c r="BX342" i="6"/>
  <c r="BW342" i="6"/>
  <c r="BV342" i="6"/>
  <c r="BU342" i="6"/>
  <c r="BT342" i="6"/>
  <c r="BS342" i="6"/>
  <c r="BR342" i="6"/>
  <c r="BQ342" i="6"/>
  <c r="BP342" i="6"/>
  <c r="BO342" i="6"/>
  <c r="BN342" i="6"/>
  <c r="BM342" i="6"/>
  <c r="BL342" i="6"/>
  <c r="BK342" i="6"/>
  <c r="BJ342" i="6"/>
  <c r="BI342" i="6"/>
  <c r="BH342" i="6"/>
  <c r="BG342" i="6"/>
  <c r="BF342" i="6"/>
  <c r="BE342" i="6"/>
  <c r="BD342" i="6"/>
  <c r="BC342" i="6"/>
  <c r="BB342" i="6"/>
  <c r="BA342" i="6"/>
  <c r="AZ342" i="6"/>
  <c r="AY342" i="6"/>
  <c r="AX342" i="6"/>
  <c r="AW342" i="6"/>
  <c r="AV342" i="6"/>
  <c r="AU342" i="6"/>
  <c r="AT342" i="6"/>
  <c r="AS342" i="6"/>
  <c r="AR342" i="6"/>
  <c r="AQ342" i="6"/>
  <c r="AP342" i="6"/>
  <c r="AO342" i="6"/>
  <c r="AN342" i="6"/>
  <c r="AM342" i="6"/>
  <c r="AL342" i="6"/>
  <c r="AK342" i="6"/>
  <c r="AJ342" i="6"/>
  <c r="AI342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342" i="6"/>
  <c r="DE341" i="6"/>
  <c r="DD341" i="6"/>
  <c r="DC341" i="6"/>
  <c r="DB341" i="6"/>
  <c r="DA341" i="6"/>
  <c r="CZ341" i="6"/>
  <c r="CY341" i="6"/>
  <c r="CX341" i="6"/>
  <c r="CV341" i="6"/>
  <c r="CU341" i="6"/>
  <c r="CT341" i="6"/>
  <c r="CS341" i="6"/>
  <c r="CR341" i="6"/>
  <c r="CQ341" i="6"/>
  <c r="CP341" i="6"/>
  <c r="CO341" i="6"/>
  <c r="CN341" i="6"/>
  <c r="CM341" i="6"/>
  <c r="CL341" i="6"/>
  <c r="CK341" i="6"/>
  <c r="CJ341" i="6"/>
  <c r="CI341" i="6"/>
  <c r="CH341" i="6"/>
  <c r="CG341" i="6"/>
  <c r="CF341" i="6"/>
  <c r="CE341" i="6"/>
  <c r="CD341" i="6"/>
  <c r="CC341" i="6"/>
  <c r="CB341" i="6"/>
  <c r="CA341" i="6"/>
  <c r="BZ341" i="6"/>
  <c r="BY341" i="6"/>
  <c r="BX341" i="6"/>
  <c r="BW341" i="6"/>
  <c r="BV341" i="6"/>
  <c r="BU341" i="6"/>
  <c r="BT341" i="6"/>
  <c r="BS341" i="6"/>
  <c r="BR341" i="6"/>
  <c r="BQ341" i="6"/>
  <c r="BP341" i="6"/>
  <c r="BO341" i="6"/>
  <c r="BN341" i="6"/>
  <c r="BM341" i="6"/>
  <c r="BL341" i="6"/>
  <c r="BK341" i="6"/>
  <c r="BJ341" i="6"/>
  <c r="BI341" i="6"/>
  <c r="BH341" i="6"/>
  <c r="BG341" i="6"/>
  <c r="BF341" i="6"/>
  <c r="BE341" i="6"/>
  <c r="BD341" i="6"/>
  <c r="BC341" i="6"/>
  <c r="BB341" i="6"/>
  <c r="BA341" i="6"/>
  <c r="AZ341" i="6"/>
  <c r="AY341" i="6"/>
  <c r="AX341" i="6"/>
  <c r="AW341" i="6"/>
  <c r="AV341" i="6"/>
  <c r="AU341" i="6"/>
  <c r="AT341" i="6"/>
  <c r="AS341" i="6"/>
  <c r="AR341" i="6"/>
  <c r="AQ341" i="6"/>
  <c r="AP341" i="6"/>
  <c r="AO341" i="6"/>
  <c r="AN341" i="6"/>
  <c r="AM341" i="6"/>
  <c r="AL341" i="6"/>
  <c r="AK341" i="6"/>
  <c r="AJ341" i="6"/>
  <c r="AI341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341" i="6"/>
  <c r="DE340" i="6"/>
  <c r="DD340" i="6"/>
  <c r="DC340" i="6"/>
  <c r="DB340" i="6"/>
  <c r="DA340" i="6"/>
  <c r="CZ340" i="6"/>
  <c r="CY340" i="6"/>
  <c r="CX340" i="6"/>
  <c r="CV340" i="6"/>
  <c r="CU340" i="6"/>
  <c r="CT340" i="6"/>
  <c r="CS340" i="6"/>
  <c r="CR340" i="6"/>
  <c r="CQ340" i="6"/>
  <c r="CP340" i="6"/>
  <c r="CO340" i="6"/>
  <c r="CN340" i="6"/>
  <c r="CM340" i="6"/>
  <c r="CL340" i="6"/>
  <c r="CK340" i="6"/>
  <c r="CJ340" i="6"/>
  <c r="CI340" i="6"/>
  <c r="CH340" i="6"/>
  <c r="CG340" i="6"/>
  <c r="CF340" i="6"/>
  <c r="CE340" i="6"/>
  <c r="CD340" i="6"/>
  <c r="CC340" i="6"/>
  <c r="CB340" i="6"/>
  <c r="CA340" i="6"/>
  <c r="BZ340" i="6"/>
  <c r="BY340" i="6"/>
  <c r="BX340" i="6"/>
  <c r="BW340" i="6"/>
  <c r="BV340" i="6"/>
  <c r="BU340" i="6"/>
  <c r="BT340" i="6"/>
  <c r="BS340" i="6"/>
  <c r="BR340" i="6"/>
  <c r="BQ340" i="6"/>
  <c r="BP340" i="6"/>
  <c r="BO340" i="6"/>
  <c r="BN340" i="6"/>
  <c r="BM340" i="6"/>
  <c r="BL340" i="6"/>
  <c r="BK340" i="6"/>
  <c r="BJ340" i="6"/>
  <c r="BI340" i="6"/>
  <c r="BH340" i="6"/>
  <c r="BG340" i="6"/>
  <c r="BF340" i="6"/>
  <c r="BE340" i="6"/>
  <c r="BD340" i="6"/>
  <c r="BC340" i="6"/>
  <c r="BB340" i="6"/>
  <c r="BA340" i="6"/>
  <c r="AZ340" i="6"/>
  <c r="AY340" i="6"/>
  <c r="AX340" i="6"/>
  <c r="AW340" i="6"/>
  <c r="AV340" i="6"/>
  <c r="AU340" i="6"/>
  <c r="AT340" i="6"/>
  <c r="AS340" i="6"/>
  <c r="AR340" i="6"/>
  <c r="AQ340" i="6"/>
  <c r="AP340" i="6"/>
  <c r="AO340" i="6"/>
  <c r="AN340" i="6"/>
  <c r="AM340" i="6"/>
  <c r="AL340" i="6"/>
  <c r="AK340" i="6"/>
  <c r="AJ340" i="6"/>
  <c r="AI340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340" i="6"/>
  <c r="DE339" i="6"/>
  <c r="DD339" i="6"/>
  <c r="DC339" i="6"/>
  <c r="DB339" i="6"/>
  <c r="DA339" i="6"/>
  <c r="CZ339" i="6"/>
  <c r="CY339" i="6"/>
  <c r="CX339" i="6"/>
  <c r="CV339" i="6"/>
  <c r="CU339" i="6"/>
  <c r="CT339" i="6"/>
  <c r="CS339" i="6"/>
  <c r="CR339" i="6"/>
  <c r="CQ339" i="6"/>
  <c r="CP339" i="6"/>
  <c r="CO339" i="6"/>
  <c r="CN339" i="6"/>
  <c r="CM339" i="6"/>
  <c r="CL339" i="6"/>
  <c r="CK339" i="6"/>
  <c r="CJ339" i="6"/>
  <c r="CI339" i="6"/>
  <c r="CH339" i="6"/>
  <c r="CG339" i="6"/>
  <c r="CF339" i="6"/>
  <c r="CE339" i="6"/>
  <c r="CD339" i="6"/>
  <c r="CC339" i="6"/>
  <c r="CB339" i="6"/>
  <c r="CA339" i="6"/>
  <c r="BZ339" i="6"/>
  <c r="BY339" i="6"/>
  <c r="BX339" i="6"/>
  <c r="BW339" i="6"/>
  <c r="BV339" i="6"/>
  <c r="BU339" i="6"/>
  <c r="BT339" i="6"/>
  <c r="BS339" i="6"/>
  <c r="BR339" i="6"/>
  <c r="BQ339" i="6"/>
  <c r="BP339" i="6"/>
  <c r="BO339" i="6"/>
  <c r="BN339" i="6"/>
  <c r="BM339" i="6"/>
  <c r="BL339" i="6"/>
  <c r="BK339" i="6"/>
  <c r="BJ339" i="6"/>
  <c r="BI339" i="6"/>
  <c r="BH339" i="6"/>
  <c r="BG339" i="6"/>
  <c r="BF339" i="6"/>
  <c r="BE339" i="6"/>
  <c r="BD339" i="6"/>
  <c r="BC339" i="6"/>
  <c r="BB339" i="6"/>
  <c r="BA339" i="6"/>
  <c r="AZ339" i="6"/>
  <c r="AY339" i="6"/>
  <c r="AX339" i="6"/>
  <c r="AW339" i="6"/>
  <c r="AV339" i="6"/>
  <c r="AU339" i="6"/>
  <c r="AT339" i="6"/>
  <c r="AS339" i="6"/>
  <c r="AR339" i="6"/>
  <c r="AQ339" i="6"/>
  <c r="AP339" i="6"/>
  <c r="AO339" i="6"/>
  <c r="AN339" i="6"/>
  <c r="AM339" i="6"/>
  <c r="AL339" i="6"/>
  <c r="AK339" i="6"/>
  <c r="AJ339" i="6"/>
  <c r="AI339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339" i="6"/>
  <c r="DE338" i="6"/>
  <c r="DD338" i="6"/>
  <c r="DC338" i="6"/>
  <c r="DB338" i="6"/>
  <c r="DA338" i="6"/>
  <c r="CZ338" i="6"/>
  <c r="CY338" i="6"/>
  <c r="CX338" i="6"/>
  <c r="CV338" i="6"/>
  <c r="CU338" i="6"/>
  <c r="CT338" i="6"/>
  <c r="CS338" i="6"/>
  <c r="CR338" i="6"/>
  <c r="CQ338" i="6"/>
  <c r="CP338" i="6"/>
  <c r="CO338" i="6"/>
  <c r="CN338" i="6"/>
  <c r="CM338" i="6"/>
  <c r="CL338" i="6"/>
  <c r="CK338" i="6"/>
  <c r="CJ338" i="6"/>
  <c r="CI338" i="6"/>
  <c r="CH338" i="6"/>
  <c r="CG338" i="6"/>
  <c r="CF338" i="6"/>
  <c r="CE338" i="6"/>
  <c r="CD338" i="6"/>
  <c r="CC338" i="6"/>
  <c r="CB338" i="6"/>
  <c r="CA338" i="6"/>
  <c r="BZ338" i="6"/>
  <c r="BY338" i="6"/>
  <c r="BX338" i="6"/>
  <c r="BW338" i="6"/>
  <c r="BV338" i="6"/>
  <c r="BU338" i="6"/>
  <c r="BT338" i="6"/>
  <c r="BS338" i="6"/>
  <c r="BR338" i="6"/>
  <c r="BQ338" i="6"/>
  <c r="BP338" i="6"/>
  <c r="BO338" i="6"/>
  <c r="BN338" i="6"/>
  <c r="BM338" i="6"/>
  <c r="BL338" i="6"/>
  <c r="BK338" i="6"/>
  <c r="BJ338" i="6"/>
  <c r="BI338" i="6"/>
  <c r="BH338" i="6"/>
  <c r="BG338" i="6"/>
  <c r="BF338" i="6"/>
  <c r="BE338" i="6"/>
  <c r="BD338" i="6"/>
  <c r="BC338" i="6"/>
  <c r="BB338" i="6"/>
  <c r="BA338" i="6"/>
  <c r="AZ338" i="6"/>
  <c r="AY338" i="6"/>
  <c r="AX338" i="6"/>
  <c r="AW338" i="6"/>
  <c r="AV338" i="6"/>
  <c r="AU338" i="6"/>
  <c r="AT338" i="6"/>
  <c r="AS338" i="6"/>
  <c r="AR338" i="6"/>
  <c r="AQ338" i="6"/>
  <c r="AP338" i="6"/>
  <c r="AO338" i="6"/>
  <c r="AN338" i="6"/>
  <c r="AM338" i="6"/>
  <c r="AL338" i="6"/>
  <c r="AK338" i="6"/>
  <c r="AJ338" i="6"/>
  <c r="AI338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338" i="6"/>
  <c r="DE337" i="6"/>
  <c r="DD337" i="6"/>
  <c r="DC337" i="6"/>
  <c r="DB337" i="6"/>
  <c r="DA337" i="6"/>
  <c r="CZ337" i="6"/>
  <c r="CY337" i="6"/>
  <c r="CX337" i="6"/>
  <c r="CV337" i="6"/>
  <c r="CU337" i="6"/>
  <c r="CT337" i="6"/>
  <c r="CS337" i="6"/>
  <c r="CR337" i="6"/>
  <c r="CQ337" i="6"/>
  <c r="CP337" i="6"/>
  <c r="CO337" i="6"/>
  <c r="CN337" i="6"/>
  <c r="CM337" i="6"/>
  <c r="CL337" i="6"/>
  <c r="CK337" i="6"/>
  <c r="CJ337" i="6"/>
  <c r="CI337" i="6"/>
  <c r="CH337" i="6"/>
  <c r="CG337" i="6"/>
  <c r="CF337" i="6"/>
  <c r="CE337" i="6"/>
  <c r="CD337" i="6"/>
  <c r="CC337" i="6"/>
  <c r="CB337" i="6"/>
  <c r="CA337" i="6"/>
  <c r="BZ337" i="6"/>
  <c r="BY337" i="6"/>
  <c r="BX337" i="6"/>
  <c r="BW337" i="6"/>
  <c r="BV337" i="6"/>
  <c r="BU337" i="6"/>
  <c r="BT337" i="6"/>
  <c r="BS337" i="6"/>
  <c r="BR337" i="6"/>
  <c r="BQ337" i="6"/>
  <c r="BP337" i="6"/>
  <c r="BO337" i="6"/>
  <c r="BN337" i="6"/>
  <c r="BM337" i="6"/>
  <c r="BL337" i="6"/>
  <c r="BK337" i="6"/>
  <c r="BJ337" i="6"/>
  <c r="BI337" i="6"/>
  <c r="BH337" i="6"/>
  <c r="BG337" i="6"/>
  <c r="BF337" i="6"/>
  <c r="BE337" i="6"/>
  <c r="BD337" i="6"/>
  <c r="BC337" i="6"/>
  <c r="BB337" i="6"/>
  <c r="BA337" i="6"/>
  <c r="AZ337" i="6"/>
  <c r="AY337" i="6"/>
  <c r="AX337" i="6"/>
  <c r="AW337" i="6"/>
  <c r="AV337" i="6"/>
  <c r="AU337" i="6"/>
  <c r="AT337" i="6"/>
  <c r="AS337" i="6"/>
  <c r="AR337" i="6"/>
  <c r="AQ337" i="6"/>
  <c r="AP337" i="6"/>
  <c r="AO337" i="6"/>
  <c r="AN337" i="6"/>
  <c r="AM337" i="6"/>
  <c r="AL337" i="6"/>
  <c r="AK337" i="6"/>
  <c r="AJ337" i="6"/>
  <c r="AI337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337" i="6"/>
  <c r="DE336" i="6"/>
  <c r="DD336" i="6"/>
  <c r="DC336" i="6"/>
  <c r="DB336" i="6"/>
  <c r="DA336" i="6"/>
  <c r="CZ336" i="6"/>
  <c r="CY336" i="6"/>
  <c r="CX336" i="6"/>
  <c r="CV336" i="6"/>
  <c r="CU336" i="6"/>
  <c r="CT336" i="6"/>
  <c r="CS336" i="6"/>
  <c r="CR336" i="6"/>
  <c r="CQ336" i="6"/>
  <c r="CP336" i="6"/>
  <c r="CO336" i="6"/>
  <c r="CN336" i="6"/>
  <c r="CM336" i="6"/>
  <c r="CL336" i="6"/>
  <c r="CK336" i="6"/>
  <c r="CJ336" i="6"/>
  <c r="CI336" i="6"/>
  <c r="CH336" i="6"/>
  <c r="CG336" i="6"/>
  <c r="CF336" i="6"/>
  <c r="CE336" i="6"/>
  <c r="CD336" i="6"/>
  <c r="CC336" i="6"/>
  <c r="CB336" i="6"/>
  <c r="CA336" i="6"/>
  <c r="BZ336" i="6"/>
  <c r="BY336" i="6"/>
  <c r="BX336" i="6"/>
  <c r="BW336" i="6"/>
  <c r="BV336" i="6"/>
  <c r="BU336" i="6"/>
  <c r="BT336" i="6"/>
  <c r="BS336" i="6"/>
  <c r="BR336" i="6"/>
  <c r="BQ336" i="6"/>
  <c r="BP336" i="6"/>
  <c r="BO336" i="6"/>
  <c r="BN336" i="6"/>
  <c r="BM336" i="6"/>
  <c r="BL336" i="6"/>
  <c r="BK336" i="6"/>
  <c r="BJ336" i="6"/>
  <c r="BI336" i="6"/>
  <c r="BH336" i="6"/>
  <c r="BG336" i="6"/>
  <c r="BF336" i="6"/>
  <c r="BE336" i="6"/>
  <c r="BD336" i="6"/>
  <c r="BC336" i="6"/>
  <c r="BB336" i="6"/>
  <c r="BA336" i="6"/>
  <c r="AZ336" i="6"/>
  <c r="AY336" i="6"/>
  <c r="AX336" i="6"/>
  <c r="AW336" i="6"/>
  <c r="AV336" i="6"/>
  <c r="AU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336" i="6"/>
  <c r="DE335" i="6"/>
  <c r="DD335" i="6"/>
  <c r="DC335" i="6"/>
  <c r="DB335" i="6"/>
  <c r="DA335" i="6"/>
  <c r="CZ335" i="6"/>
  <c r="CY335" i="6"/>
  <c r="CX335" i="6"/>
  <c r="CV335" i="6"/>
  <c r="CU335" i="6"/>
  <c r="CT335" i="6"/>
  <c r="CS335" i="6"/>
  <c r="CR335" i="6"/>
  <c r="CQ335" i="6"/>
  <c r="CP335" i="6"/>
  <c r="CO335" i="6"/>
  <c r="CN335" i="6"/>
  <c r="CM335" i="6"/>
  <c r="CL335" i="6"/>
  <c r="CK335" i="6"/>
  <c r="CJ335" i="6"/>
  <c r="CI335" i="6"/>
  <c r="CH335" i="6"/>
  <c r="CG335" i="6"/>
  <c r="CF335" i="6"/>
  <c r="CE335" i="6"/>
  <c r="CD335" i="6"/>
  <c r="CC335" i="6"/>
  <c r="CB335" i="6"/>
  <c r="CA335" i="6"/>
  <c r="BZ335" i="6"/>
  <c r="BY335" i="6"/>
  <c r="BX335" i="6"/>
  <c r="BW335" i="6"/>
  <c r="BV335" i="6"/>
  <c r="BU335" i="6"/>
  <c r="BT335" i="6"/>
  <c r="BS335" i="6"/>
  <c r="BR335" i="6"/>
  <c r="BQ335" i="6"/>
  <c r="BP335" i="6"/>
  <c r="BO335" i="6"/>
  <c r="BN335" i="6"/>
  <c r="BM335" i="6"/>
  <c r="BL335" i="6"/>
  <c r="BK335" i="6"/>
  <c r="BJ335" i="6"/>
  <c r="BI335" i="6"/>
  <c r="BH335" i="6"/>
  <c r="BG335" i="6"/>
  <c r="BF335" i="6"/>
  <c r="BE335" i="6"/>
  <c r="BD335" i="6"/>
  <c r="BC335" i="6"/>
  <c r="BB335" i="6"/>
  <c r="BA335" i="6"/>
  <c r="AZ335" i="6"/>
  <c r="AY335" i="6"/>
  <c r="AX335" i="6"/>
  <c r="AW335" i="6"/>
  <c r="AV335" i="6"/>
  <c r="AU335" i="6"/>
  <c r="AT335" i="6"/>
  <c r="AS335" i="6"/>
  <c r="AR335" i="6"/>
  <c r="AQ335" i="6"/>
  <c r="AP335" i="6"/>
  <c r="AO335" i="6"/>
  <c r="AN335" i="6"/>
  <c r="AM335" i="6"/>
  <c r="AL335" i="6"/>
  <c r="AK335" i="6"/>
  <c r="AJ335" i="6"/>
  <c r="AI335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335" i="6"/>
  <c r="DE334" i="6"/>
  <c r="DD334" i="6"/>
  <c r="DC334" i="6"/>
  <c r="DB334" i="6"/>
  <c r="DA334" i="6"/>
  <c r="CZ334" i="6"/>
  <c r="CY334" i="6"/>
  <c r="CX334" i="6"/>
  <c r="CV334" i="6"/>
  <c r="CU334" i="6"/>
  <c r="CT334" i="6"/>
  <c r="CS334" i="6"/>
  <c r="CR334" i="6"/>
  <c r="CQ334" i="6"/>
  <c r="CP334" i="6"/>
  <c r="CO334" i="6"/>
  <c r="CN334" i="6"/>
  <c r="CM334" i="6"/>
  <c r="CL334" i="6"/>
  <c r="CK334" i="6"/>
  <c r="CJ334" i="6"/>
  <c r="CI334" i="6"/>
  <c r="CH334" i="6"/>
  <c r="CG334" i="6"/>
  <c r="CF334" i="6"/>
  <c r="CE334" i="6"/>
  <c r="CD334" i="6"/>
  <c r="CC334" i="6"/>
  <c r="CB334" i="6"/>
  <c r="CA334" i="6"/>
  <c r="BZ334" i="6"/>
  <c r="BY334" i="6"/>
  <c r="BX334" i="6"/>
  <c r="BW334" i="6"/>
  <c r="BV334" i="6"/>
  <c r="BU334" i="6"/>
  <c r="BT334" i="6"/>
  <c r="BS334" i="6"/>
  <c r="BR334" i="6"/>
  <c r="BQ334" i="6"/>
  <c r="BP334" i="6"/>
  <c r="BO334" i="6"/>
  <c r="BN334" i="6"/>
  <c r="BM334" i="6"/>
  <c r="BL334" i="6"/>
  <c r="BK334" i="6"/>
  <c r="BJ334" i="6"/>
  <c r="BI334" i="6"/>
  <c r="BH334" i="6"/>
  <c r="BG334" i="6"/>
  <c r="BF334" i="6"/>
  <c r="BE334" i="6"/>
  <c r="BD334" i="6"/>
  <c r="BC334" i="6"/>
  <c r="BB334" i="6"/>
  <c r="BA334" i="6"/>
  <c r="AZ334" i="6"/>
  <c r="AY334" i="6"/>
  <c r="AX334" i="6"/>
  <c r="AW334" i="6"/>
  <c r="AV334" i="6"/>
  <c r="AU334" i="6"/>
  <c r="AT334" i="6"/>
  <c r="AS334" i="6"/>
  <c r="AR334" i="6"/>
  <c r="AQ334" i="6"/>
  <c r="AP334" i="6"/>
  <c r="AO334" i="6"/>
  <c r="AN334" i="6"/>
  <c r="AM334" i="6"/>
  <c r="AL334" i="6"/>
  <c r="AK334" i="6"/>
  <c r="AJ334" i="6"/>
  <c r="AI334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334" i="6"/>
  <c r="DE333" i="6"/>
  <c r="DD333" i="6"/>
  <c r="DC333" i="6"/>
  <c r="DB333" i="6"/>
  <c r="DA333" i="6"/>
  <c r="CZ333" i="6"/>
  <c r="CY333" i="6"/>
  <c r="CX333" i="6"/>
  <c r="CV333" i="6"/>
  <c r="CU333" i="6"/>
  <c r="CT333" i="6"/>
  <c r="CS333" i="6"/>
  <c r="CR333" i="6"/>
  <c r="CQ333" i="6"/>
  <c r="CP333" i="6"/>
  <c r="CO333" i="6"/>
  <c r="CN333" i="6"/>
  <c r="CM333" i="6"/>
  <c r="CL333" i="6"/>
  <c r="CK333" i="6"/>
  <c r="CJ333" i="6"/>
  <c r="CI333" i="6"/>
  <c r="CH333" i="6"/>
  <c r="CG333" i="6"/>
  <c r="CF333" i="6"/>
  <c r="CE333" i="6"/>
  <c r="CD333" i="6"/>
  <c r="CC333" i="6"/>
  <c r="CB333" i="6"/>
  <c r="CA333" i="6"/>
  <c r="BZ333" i="6"/>
  <c r="BY333" i="6"/>
  <c r="BX333" i="6"/>
  <c r="BW333" i="6"/>
  <c r="BV333" i="6"/>
  <c r="BU333" i="6"/>
  <c r="BT333" i="6"/>
  <c r="BS333" i="6"/>
  <c r="BR333" i="6"/>
  <c r="BQ333" i="6"/>
  <c r="BP333" i="6"/>
  <c r="BO333" i="6"/>
  <c r="BN333" i="6"/>
  <c r="BM333" i="6"/>
  <c r="BL333" i="6"/>
  <c r="BK333" i="6"/>
  <c r="BJ333" i="6"/>
  <c r="BI333" i="6"/>
  <c r="BH333" i="6"/>
  <c r="BG333" i="6"/>
  <c r="BF333" i="6"/>
  <c r="BE333" i="6"/>
  <c r="BD333" i="6"/>
  <c r="BC333" i="6"/>
  <c r="BB333" i="6"/>
  <c r="BA333" i="6"/>
  <c r="AZ333" i="6"/>
  <c r="AY333" i="6"/>
  <c r="AX333" i="6"/>
  <c r="AW333" i="6"/>
  <c r="AV333" i="6"/>
  <c r="AU333" i="6"/>
  <c r="AT333" i="6"/>
  <c r="AS333" i="6"/>
  <c r="AR333" i="6"/>
  <c r="AQ333" i="6"/>
  <c r="AP333" i="6"/>
  <c r="AO333" i="6"/>
  <c r="AN333" i="6"/>
  <c r="AM333" i="6"/>
  <c r="AL333" i="6"/>
  <c r="AK333" i="6"/>
  <c r="AJ333" i="6"/>
  <c r="AI333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333" i="6"/>
  <c r="DE332" i="6"/>
  <c r="DD332" i="6"/>
  <c r="DC332" i="6"/>
  <c r="DB332" i="6"/>
  <c r="DA332" i="6"/>
  <c r="CZ332" i="6"/>
  <c r="CY332" i="6"/>
  <c r="CX332" i="6"/>
  <c r="CV332" i="6"/>
  <c r="CU332" i="6"/>
  <c r="CT332" i="6"/>
  <c r="CS332" i="6"/>
  <c r="CR332" i="6"/>
  <c r="CQ332" i="6"/>
  <c r="CP332" i="6"/>
  <c r="CO332" i="6"/>
  <c r="CN332" i="6"/>
  <c r="CM332" i="6"/>
  <c r="CL332" i="6"/>
  <c r="CK332" i="6"/>
  <c r="CJ332" i="6"/>
  <c r="CI332" i="6"/>
  <c r="CH332" i="6"/>
  <c r="CG332" i="6"/>
  <c r="CF332" i="6"/>
  <c r="CE332" i="6"/>
  <c r="CD332" i="6"/>
  <c r="CC332" i="6"/>
  <c r="CB332" i="6"/>
  <c r="CA332" i="6"/>
  <c r="BZ332" i="6"/>
  <c r="BY332" i="6"/>
  <c r="BX332" i="6"/>
  <c r="BW332" i="6"/>
  <c r="BV332" i="6"/>
  <c r="BU332" i="6"/>
  <c r="BT332" i="6"/>
  <c r="BS332" i="6"/>
  <c r="BR332" i="6"/>
  <c r="BQ332" i="6"/>
  <c r="BP332" i="6"/>
  <c r="BO332" i="6"/>
  <c r="BN332" i="6"/>
  <c r="BM332" i="6"/>
  <c r="BL332" i="6"/>
  <c r="BK332" i="6"/>
  <c r="BJ332" i="6"/>
  <c r="BI332" i="6"/>
  <c r="BH332" i="6"/>
  <c r="BG332" i="6"/>
  <c r="BF332" i="6"/>
  <c r="BE332" i="6"/>
  <c r="BD332" i="6"/>
  <c r="BC332" i="6"/>
  <c r="BB332" i="6"/>
  <c r="BA332" i="6"/>
  <c r="AZ332" i="6"/>
  <c r="AY332" i="6"/>
  <c r="AX332" i="6"/>
  <c r="AW332" i="6"/>
  <c r="AV332" i="6"/>
  <c r="AU332" i="6"/>
  <c r="AT332" i="6"/>
  <c r="AS332" i="6"/>
  <c r="AR332" i="6"/>
  <c r="AQ332" i="6"/>
  <c r="AP332" i="6"/>
  <c r="AO332" i="6"/>
  <c r="AN332" i="6"/>
  <c r="AM332" i="6"/>
  <c r="AL332" i="6"/>
  <c r="AK332" i="6"/>
  <c r="AJ332" i="6"/>
  <c r="AI332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332" i="6"/>
  <c r="DE331" i="6"/>
  <c r="DD331" i="6"/>
  <c r="DC331" i="6"/>
  <c r="DB331" i="6"/>
  <c r="DA331" i="6"/>
  <c r="CZ331" i="6"/>
  <c r="CY331" i="6"/>
  <c r="CX331" i="6"/>
  <c r="CV331" i="6"/>
  <c r="CU331" i="6"/>
  <c r="CT331" i="6"/>
  <c r="CS331" i="6"/>
  <c r="CR331" i="6"/>
  <c r="CQ331" i="6"/>
  <c r="CP331" i="6"/>
  <c r="CO331" i="6"/>
  <c r="CN331" i="6"/>
  <c r="CM331" i="6"/>
  <c r="CL331" i="6"/>
  <c r="CK331" i="6"/>
  <c r="CJ331" i="6"/>
  <c r="CI331" i="6"/>
  <c r="CH331" i="6"/>
  <c r="CG331" i="6"/>
  <c r="CF331" i="6"/>
  <c r="CE331" i="6"/>
  <c r="CD331" i="6"/>
  <c r="CC331" i="6"/>
  <c r="CB331" i="6"/>
  <c r="CA331" i="6"/>
  <c r="BZ331" i="6"/>
  <c r="BY331" i="6"/>
  <c r="BX331" i="6"/>
  <c r="BW331" i="6"/>
  <c r="BV331" i="6"/>
  <c r="BU331" i="6"/>
  <c r="BT331" i="6"/>
  <c r="BS331" i="6"/>
  <c r="BR331" i="6"/>
  <c r="BQ331" i="6"/>
  <c r="BP331" i="6"/>
  <c r="BO331" i="6"/>
  <c r="BN331" i="6"/>
  <c r="BM331" i="6"/>
  <c r="BL331" i="6"/>
  <c r="BK331" i="6"/>
  <c r="BJ331" i="6"/>
  <c r="BI331" i="6"/>
  <c r="BH331" i="6"/>
  <c r="BG331" i="6"/>
  <c r="BF331" i="6"/>
  <c r="BE331" i="6"/>
  <c r="BD331" i="6"/>
  <c r="BC331" i="6"/>
  <c r="BB331" i="6"/>
  <c r="BA331" i="6"/>
  <c r="AZ331" i="6"/>
  <c r="AY331" i="6"/>
  <c r="AX331" i="6"/>
  <c r="AW331" i="6"/>
  <c r="AV331" i="6"/>
  <c r="AU331" i="6"/>
  <c r="AT331" i="6"/>
  <c r="AS331" i="6"/>
  <c r="AR331" i="6"/>
  <c r="AQ331" i="6"/>
  <c r="AP331" i="6"/>
  <c r="AO331" i="6"/>
  <c r="AN331" i="6"/>
  <c r="AM331" i="6"/>
  <c r="AL331" i="6"/>
  <c r="AK331" i="6"/>
  <c r="AJ331" i="6"/>
  <c r="AI331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331" i="6"/>
  <c r="DE330" i="6"/>
  <c r="DD330" i="6"/>
  <c r="DC330" i="6"/>
  <c r="DB330" i="6"/>
  <c r="DA330" i="6"/>
  <c r="CZ330" i="6"/>
  <c r="CY330" i="6"/>
  <c r="CX330" i="6"/>
  <c r="CV330" i="6"/>
  <c r="CU330" i="6"/>
  <c r="CT330" i="6"/>
  <c r="CS330" i="6"/>
  <c r="CR330" i="6"/>
  <c r="CQ330" i="6"/>
  <c r="CP330" i="6"/>
  <c r="CO330" i="6"/>
  <c r="CN330" i="6"/>
  <c r="CM330" i="6"/>
  <c r="CL330" i="6"/>
  <c r="CK330" i="6"/>
  <c r="CJ330" i="6"/>
  <c r="CI330" i="6"/>
  <c r="CH330" i="6"/>
  <c r="CG330" i="6"/>
  <c r="CF330" i="6"/>
  <c r="CE330" i="6"/>
  <c r="CD330" i="6"/>
  <c r="CC330" i="6"/>
  <c r="CB330" i="6"/>
  <c r="CA330" i="6"/>
  <c r="BZ330" i="6"/>
  <c r="BY330" i="6"/>
  <c r="BX330" i="6"/>
  <c r="BW330" i="6"/>
  <c r="BV330" i="6"/>
  <c r="BU330" i="6"/>
  <c r="BT330" i="6"/>
  <c r="BS330" i="6"/>
  <c r="BR330" i="6"/>
  <c r="BQ330" i="6"/>
  <c r="BP330" i="6"/>
  <c r="BO330" i="6"/>
  <c r="BN330" i="6"/>
  <c r="BM330" i="6"/>
  <c r="BL330" i="6"/>
  <c r="BK330" i="6"/>
  <c r="BJ330" i="6"/>
  <c r="BI330" i="6"/>
  <c r="BH330" i="6"/>
  <c r="BG330" i="6"/>
  <c r="BF330" i="6"/>
  <c r="BE330" i="6"/>
  <c r="BD330" i="6"/>
  <c r="BC330" i="6"/>
  <c r="BB330" i="6"/>
  <c r="BA330" i="6"/>
  <c r="AZ330" i="6"/>
  <c r="AY330" i="6"/>
  <c r="AX330" i="6"/>
  <c r="AW330" i="6"/>
  <c r="AV330" i="6"/>
  <c r="AU330" i="6"/>
  <c r="AT330" i="6"/>
  <c r="AS330" i="6"/>
  <c r="AR330" i="6"/>
  <c r="AQ330" i="6"/>
  <c r="AP330" i="6"/>
  <c r="AO330" i="6"/>
  <c r="AN330" i="6"/>
  <c r="AM330" i="6"/>
  <c r="AL330" i="6"/>
  <c r="AK330" i="6"/>
  <c r="AJ330" i="6"/>
  <c r="AI330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330" i="6"/>
  <c r="DE329" i="6"/>
  <c r="DD329" i="6"/>
  <c r="DC329" i="6"/>
  <c r="DB329" i="6"/>
  <c r="DA329" i="6"/>
  <c r="CZ329" i="6"/>
  <c r="CY329" i="6"/>
  <c r="CX329" i="6"/>
  <c r="CV329" i="6"/>
  <c r="CU329" i="6"/>
  <c r="CT329" i="6"/>
  <c r="CS329" i="6"/>
  <c r="CR329" i="6"/>
  <c r="CQ329" i="6"/>
  <c r="CP329" i="6"/>
  <c r="CO329" i="6"/>
  <c r="CN329" i="6"/>
  <c r="CM329" i="6"/>
  <c r="CL329" i="6"/>
  <c r="CK329" i="6"/>
  <c r="CJ329" i="6"/>
  <c r="CI329" i="6"/>
  <c r="CH329" i="6"/>
  <c r="CG329" i="6"/>
  <c r="CF329" i="6"/>
  <c r="CE329" i="6"/>
  <c r="CD329" i="6"/>
  <c r="CC329" i="6"/>
  <c r="CB329" i="6"/>
  <c r="CA329" i="6"/>
  <c r="BZ329" i="6"/>
  <c r="BY329" i="6"/>
  <c r="BX329" i="6"/>
  <c r="BW329" i="6"/>
  <c r="BV329" i="6"/>
  <c r="BU329" i="6"/>
  <c r="BT329" i="6"/>
  <c r="BS329" i="6"/>
  <c r="BR329" i="6"/>
  <c r="BQ329" i="6"/>
  <c r="BP329" i="6"/>
  <c r="BO329" i="6"/>
  <c r="BN329" i="6"/>
  <c r="BM329" i="6"/>
  <c r="BL329" i="6"/>
  <c r="BK329" i="6"/>
  <c r="BJ329" i="6"/>
  <c r="BI329" i="6"/>
  <c r="BH329" i="6"/>
  <c r="BG329" i="6"/>
  <c r="BF329" i="6"/>
  <c r="BE329" i="6"/>
  <c r="BD329" i="6"/>
  <c r="BC329" i="6"/>
  <c r="BB329" i="6"/>
  <c r="BA329" i="6"/>
  <c r="AZ329" i="6"/>
  <c r="AY329" i="6"/>
  <c r="AX329" i="6"/>
  <c r="AW329" i="6"/>
  <c r="AV329" i="6"/>
  <c r="AU329" i="6"/>
  <c r="AT329" i="6"/>
  <c r="AS329" i="6"/>
  <c r="AR329" i="6"/>
  <c r="AQ329" i="6"/>
  <c r="AP329" i="6"/>
  <c r="AO329" i="6"/>
  <c r="AN329" i="6"/>
  <c r="AM329" i="6"/>
  <c r="AL329" i="6"/>
  <c r="AK329" i="6"/>
  <c r="AJ329" i="6"/>
  <c r="AI329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329" i="6"/>
  <c r="DE328" i="6"/>
  <c r="DD328" i="6"/>
  <c r="DC328" i="6"/>
  <c r="DB328" i="6"/>
  <c r="DA328" i="6"/>
  <c r="CZ328" i="6"/>
  <c r="CY328" i="6"/>
  <c r="CX328" i="6"/>
  <c r="CV328" i="6"/>
  <c r="CU328" i="6"/>
  <c r="CT328" i="6"/>
  <c r="CS328" i="6"/>
  <c r="CR328" i="6"/>
  <c r="CQ328" i="6"/>
  <c r="CP328" i="6"/>
  <c r="CO328" i="6"/>
  <c r="CN328" i="6"/>
  <c r="CM328" i="6"/>
  <c r="CL328" i="6"/>
  <c r="CK328" i="6"/>
  <c r="CJ328" i="6"/>
  <c r="CI328" i="6"/>
  <c r="CH328" i="6"/>
  <c r="CG328" i="6"/>
  <c r="CF328" i="6"/>
  <c r="CE328" i="6"/>
  <c r="CD328" i="6"/>
  <c r="CC328" i="6"/>
  <c r="CB328" i="6"/>
  <c r="CA328" i="6"/>
  <c r="BZ328" i="6"/>
  <c r="BY328" i="6"/>
  <c r="BX328" i="6"/>
  <c r="BW328" i="6"/>
  <c r="BV328" i="6"/>
  <c r="BU328" i="6"/>
  <c r="BT328" i="6"/>
  <c r="BS328" i="6"/>
  <c r="BR328" i="6"/>
  <c r="BQ328" i="6"/>
  <c r="BP328" i="6"/>
  <c r="BO328" i="6"/>
  <c r="BN328" i="6"/>
  <c r="BM328" i="6"/>
  <c r="BL328" i="6"/>
  <c r="BK328" i="6"/>
  <c r="BJ328" i="6"/>
  <c r="BI328" i="6"/>
  <c r="BH328" i="6"/>
  <c r="BG328" i="6"/>
  <c r="BF328" i="6"/>
  <c r="BE328" i="6"/>
  <c r="BD328" i="6"/>
  <c r="BC328" i="6"/>
  <c r="BB328" i="6"/>
  <c r="BA328" i="6"/>
  <c r="AZ328" i="6"/>
  <c r="AY328" i="6"/>
  <c r="AX328" i="6"/>
  <c r="AW328" i="6"/>
  <c r="AV328" i="6"/>
  <c r="AU328" i="6"/>
  <c r="AT328" i="6"/>
  <c r="AS328" i="6"/>
  <c r="AR328" i="6"/>
  <c r="AQ328" i="6"/>
  <c r="AP328" i="6"/>
  <c r="AO328" i="6"/>
  <c r="AN328" i="6"/>
  <c r="AM328" i="6"/>
  <c r="AL328" i="6"/>
  <c r="AK328" i="6"/>
  <c r="AJ328" i="6"/>
  <c r="AI328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328" i="6"/>
  <c r="DE327" i="6"/>
  <c r="DD327" i="6"/>
  <c r="DC327" i="6"/>
  <c r="DB327" i="6"/>
  <c r="DA327" i="6"/>
  <c r="CZ327" i="6"/>
  <c r="CY327" i="6"/>
  <c r="CX327" i="6"/>
  <c r="CV327" i="6"/>
  <c r="CU327" i="6"/>
  <c r="CT327" i="6"/>
  <c r="CS327" i="6"/>
  <c r="CR327" i="6"/>
  <c r="CQ327" i="6"/>
  <c r="CP327" i="6"/>
  <c r="CO327" i="6"/>
  <c r="CN327" i="6"/>
  <c r="CM327" i="6"/>
  <c r="CL327" i="6"/>
  <c r="CK327" i="6"/>
  <c r="CJ327" i="6"/>
  <c r="CI327" i="6"/>
  <c r="CH327" i="6"/>
  <c r="CG327" i="6"/>
  <c r="CF327" i="6"/>
  <c r="CE327" i="6"/>
  <c r="CD327" i="6"/>
  <c r="CC327" i="6"/>
  <c r="CB327" i="6"/>
  <c r="CA327" i="6"/>
  <c r="BZ327" i="6"/>
  <c r="BY327" i="6"/>
  <c r="BX327" i="6"/>
  <c r="BW327" i="6"/>
  <c r="BV327" i="6"/>
  <c r="BU327" i="6"/>
  <c r="BT327" i="6"/>
  <c r="BS327" i="6"/>
  <c r="BR327" i="6"/>
  <c r="BQ327" i="6"/>
  <c r="BP327" i="6"/>
  <c r="BO327" i="6"/>
  <c r="BN327" i="6"/>
  <c r="BM327" i="6"/>
  <c r="BL327" i="6"/>
  <c r="BK327" i="6"/>
  <c r="BJ327" i="6"/>
  <c r="BI327" i="6"/>
  <c r="BH327" i="6"/>
  <c r="BG327" i="6"/>
  <c r="BF327" i="6"/>
  <c r="BE327" i="6"/>
  <c r="BD327" i="6"/>
  <c r="BC327" i="6"/>
  <c r="BB327" i="6"/>
  <c r="BA327" i="6"/>
  <c r="AZ327" i="6"/>
  <c r="AY327" i="6"/>
  <c r="AX327" i="6"/>
  <c r="AW327" i="6"/>
  <c r="AV327" i="6"/>
  <c r="AU327" i="6"/>
  <c r="AT327" i="6"/>
  <c r="AS327" i="6"/>
  <c r="AR327" i="6"/>
  <c r="AQ327" i="6"/>
  <c r="AP327" i="6"/>
  <c r="AO327" i="6"/>
  <c r="AN327" i="6"/>
  <c r="AM327" i="6"/>
  <c r="AL327" i="6"/>
  <c r="AK327" i="6"/>
  <c r="AJ327" i="6"/>
  <c r="AI327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327" i="6"/>
  <c r="DE326" i="6"/>
  <c r="DD326" i="6"/>
  <c r="DC326" i="6"/>
  <c r="DB326" i="6"/>
  <c r="DA326" i="6"/>
  <c r="CZ326" i="6"/>
  <c r="CY326" i="6"/>
  <c r="CX326" i="6"/>
  <c r="CV326" i="6"/>
  <c r="CU326" i="6"/>
  <c r="CT326" i="6"/>
  <c r="CS326" i="6"/>
  <c r="CR326" i="6"/>
  <c r="CQ326" i="6"/>
  <c r="CP326" i="6"/>
  <c r="CO326" i="6"/>
  <c r="CN326" i="6"/>
  <c r="CM326" i="6"/>
  <c r="CL326" i="6"/>
  <c r="CK326" i="6"/>
  <c r="CJ326" i="6"/>
  <c r="CI326" i="6"/>
  <c r="CH326" i="6"/>
  <c r="CG326" i="6"/>
  <c r="CF326" i="6"/>
  <c r="CE326" i="6"/>
  <c r="CD326" i="6"/>
  <c r="CC326" i="6"/>
  <c r="CB326" i="6"/>
  <c r="CA326" i="6"/>
  <c r="BZ326" i="6"/>
  <c r="BY326" i="6"/>
  <c r="BX326" i="6"/>
  <c r="BW326" i="6"/>
  <c r="BV326" i="6"/>
  <c r="BU326" i="6"/>
  <c r="BT326" i="6"/>
  <c r="BS326" i="6"/>
  <c r="BR326" i="6"/>
  <c r="BQ326" i="6"/>
  <c r="BP326" i="6"/>
  <c r="BO326" i="6"/>
  <c r="BN326" i="6"/>
  <c r="BM326" i="6"/>
  <c r="BL326" i="6"/>
  <c r="BK326" i="6"/>
  <c r="BJ326" i="6"/>
  <c r="BI326" i="6"/>
  <c r="BH326" i="6"/>
  <c r="BG326" i="6"/>
  <c r="BF326" i="6"/>
  <c r="BE326" i="6"/>
  <c r="BD326" i="6"/>
  <c r="BC326" i="6"/>
  <c r="BB326" i="6"/>
  <c r="BA326" i="6"/>
  <c r="AZ326" i="6"/>
  <c r="AY326" i="6"/>
  <c r="AX326" i="6"/>
  <c r="AW326" i="6"/>
  <c r="AV326" i="6"/>
  <c r="AU326" i="6"/>
  <c r="AT326" i="6"/>
  <c r="AS326" i="6"/>
  <c r="AR326" i="6"/>
  <c r="AQ326" i="6"/>
  <c r="AP326" i="6"/>
  <c r="AO326" i="6"/>
  <c r="AN326" i="6"/>
  <c r="AM326" i="6"/>
  <c r="AL326" i="6"/>
  <c r="AK326" i="6"/>
  <c r="AJ326" i="6"/>
  <c r="AI326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326" i="6"/>
  <c r="DE325" i="6"/>
  <c r="DD325" i="6"/>
  <c r="DC325" i="6"/>
  <c r="DB325" i="6"/>
  <c r="DA325" i="6"/>
  <c r="CZ325" i="6"/>
  <c r="CY325" i="6"/>
  <c r="CX325" i="6"/>
  <c r="CV325" i="6"/>
  <c r="CU325" i="6"/>
  <c r="CT325" i="6"/>
  <c r="CS325" i="6"/>
  <c r="CR325" i="6"/>
  <c r="CQ325" i="6"/>
  <c r="CP325" i="6"/>
  <c r="CO325" i="6"/>
  <c r="CN325" i="6"/>
  <c r="CM325" i="6"/>
  <c r="CL325" i="6"/>
  <c r="CK325" i="6"/>
  <c r="CJ325" i="6"/>
  <c r="CI325" i="6"/>
  <c r="CH325" i="6"/>
  <c r="CG325" i="6"/>
  <c r="CF325" i="6"/>
  <c r="CE325" i="6"/>
  <c r="CD325" i="6"/>
  <c r="CC325" i="6"/>
  <c r="CB325" i="6"/>
  <c r="CA325" i="6"/>
  <c r="BZ325" i="6"/>
  <c r="BY325" i="6"/>
  <c r="BX325" i="6"/>
  <c r="BW325" i="6"/>
  <c r="BV325" i="6"/>
  <c r="BU325" i="6"/>
  <c r="BT325" i="6"/>
  <c r="BS325" i="6"/>
  <c r="BR325" i="6"/>
  <c r="BQ325" i="6"/>
  <c r="BP325" i="6"/>
  <c r="BO325" i="6"/>
  <c r="BN325" i="6"/>
  <c r="BM325" i="6"/>
  <c r="BL325" i="6"/>
  <c r="BK325" i="6"/>
  <c r="BJ325" i="6"/>
  <c r="BI325" i="6"/>
  <c r="BH325" i="6"/>
  <c r="BG325" i="6"/>
  <c r="BF325" i="6"/>
  <c r="BE325" i="6"/>
  <c r="BD325" i="6"/>
  <c r="BC325" i="6"/>
  <c r="BB325" i="6"/>
  <c r="BA325" i="6"/>
  <c r="AZ325" i="6"/>
  <c r="AY325" i="6"/>
  <c r="AX325" i="6"/>
  <c r="AW325" i="6"/>
  <c r="AV325" i="6"/>
  <c r="AU325" i="6"/>
  <c r="AT325" i="6"/>
  <c r="AS325" i="6"/>
  <c r="AR325" i="6"/>
  <c r="AQ325" i="6"/>
  <c r="AP325" i="6"/>
  <c r="AO325" i="6"/>
  <c r="AN325" i="6"/>
  <c r="AM325" i="6"/>
  <c r="AL325" i="6"/>
  <c r="AK325" i="6"/>
  <c r="AJ325" i="6"/>
  <c r="AI325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325" i="6"/>
  <c r="DE324" i="6"/>
  <c r="DD324" i="6"/>
  <c r="DC324" i="6"/>
  <c r="DB324" i="6"/>
  <c r="DA324" i="6"/>
  <c r="CZ324" i="6"/>
  <c r="CY324" i="6"/>
  <c r="CX324" i="6"/>
  <c r="CV324" i="6"/>
  <c r="CU324" i="6"/>
  <c r="CT324" i="6"/>
  <c r="CS324" i="6"/>
  <c r="CR324" i="6"/>
  <c r="CQ324" i="6"/>
  <c r="CP324" i="6"/>
  <c r="CO324" i="6"/>
  <c r="CN324" i="6"/>
  <c r="CM324" i="6"/>
  <c r="CL324" i="6"/>
  <c r="CK324" i="6"/>
  <c r="CJ324" i="6"/>
  <c r="CI324" i="6"/>
  <c r="CH324" i="6"/>
  <c r="CG324" i="6"/>
  <c r="CF324" i="6"/>
  <c r="CE324" i="6"/>
  <c r="CD324" i="6"/>
  <c r="CC324" i="6"/>
  <c r="CB324" i="6"/>
  <c r="CA324" i="6"/>
  <c r="BZ324" i="6"/>
  <c r="BY324" i="6"/>
  <c r="BX324" i="6"/>
  <c r="BW324" i="6"/>
  <c r="BV324" i="6"/>
  <c r="BU324" i="6"/>
  <c r="BT324" i="6"/>
  <c r="BS324" i="6"/>
  <c r="BR324" i="6"/>
  <c r="BQ324" i="6"/>
  <c r="BP324" i="6"/>
  <c r="BO324" i="6"/>
  <c r="BN324" i="6"/>
  <c r="BM324" i="6"/>
  <c r="BL324" i="6"/>
  <c r="BK324" i="6"/>
  <c r="BJ324" i="6"/>
  <c r="BI324" i="6"/>
  <c r="BH324" i="6"/>
  <c r="BG324" i="6"/>
  <c r="BF324" i="6"/>
  <c r="BE324" i="6"/>
  <c r="BD324" i="6"/>
  <c r="BC324" i="6"/>
  <c r="BB324" i="6"/>
  <c r="BA324" i="6"/>
  <c r="AZ324" i="6"/>
  <c r="AY324" i="6"/>
  <c r="AX324" i="6"/>
  <c r="AW324" i="6"/>
  <c r="AV324" i="6"/>
  <c r="AU324" i="6"/>
  <c r="AT324" i="6"/>
  <c r="AS324" i="6"/>
  <c r="AR324" i="6"/>
  <c r="AQ324" i="6"/>
  <c r="AP324" i="6"/>
  <c r="AO324" i="6"/>
  <c r="AN324" i="6"/>
  <c r="AM324" i="6"/>
  <c r="AL324" i="6"/>
  <c r="AK324" i="6"/>
  <c r="AJ324" i="6"/>
  <c r="AI324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324" i="6"/>
  <c r="DE323" i="6"/>
  <c r="DD323" i="6"/>
  <c r="DC323" i="6"/>
  <c r="DB323" i="6"/>
  <c r="DA323" i="6"/>
  <c r="CZ323" i="6"/>
  <c r="CY323" i="6"/>
  <c r="CX323" i="6"/>
  <c r="CV323" i="6"/>
  <c r="CU323" i="6"/>
  <c r="CT323" i="6"/>
  <c r="CS323" i="6"/>
  <c r="CR323" i="6"/>
  <c r="CQ323" i="6"/>
  <c r="CP323" i="6"/>
  <c r="CO323" i="6"/>
  <c r="CN323" i="6"/>
  <c r="CM323" i="6"/>
  <c r="CL323" i="6"/>
  <c r="CK323" i="6"/>
  <c r="CJ323" i="6"/>
  <c r="CI323" i="6"/>
  <c r="CH323" i="6"/>
  <c r="CG323" i="6"/>
  <c r="CF323" i="6"/>
  <c r="CE323" i="6"/>
  <c r="CD323" i="6"/>
  <c r="CC323" i="6"/>
  <c r="CB323" i="6"/>
  <c r="CA323" i="6"/>
  <c r="BZ323" i="6"/>
  <c r="BY323" i="6"/>
  <c r="BX323" i="6"/>
  <c r="BW323" i="6"/>
  <c r="BV323" i="6"/>
  <c r="BU323" i="6"/>
  <c r="BT323" i="6"/>
  <c r="BS323" i="6"/>
  <c r="BR323" i="6"/>
  <c r="BQ323" i="6"/>
  <c r="BP323" i="6"/>
  <c r="BO323" i="6"/>
  <c r="BN323" i="6"/>
  <c r="BM323" i="6"/>
  <c r="BL323" i="6"/>
  <c r="BK323" i="6"/>
  <c r="BJ323" i="6"/>
  <c r="BI323" i="6"/>
  <c r="BH323" i="6"/>
  <c r="BG323" i="6"/>
  <c r="BF323" i="6"/>
  <c r="BE323" i="6"/>
  <c r="BD323" i="6"/>
  <c r="BC323" i="6"/>
  <c r="BB323" i="6"/>
  <c r="BA323" i="6"/>
  <c r="AZ323" i="6"/>
  <c r="AY323" i="6"/>
  <c r="AX323" i="6"/>
  <c r="AW323" i="6"/>
  <c r="AV323" i="6"/>
  <c r="AU323" i="6"/>
  <c r="AT323" i="6"/>
  <c r="AS323" i="6"/>
  <c r="AR323" i="6"/>
  <c r="AQ323" i="6"/>
  <c r="AP323" i="6"/>
  <c r="AO323" i="6"/>
  <c r="AN323" i="6"/>
  <c r="AM323" i="6"/>
  <c r="AL323" i="6"/>
  <c r="AK323" i="6"/>
  <c r="AJ323" i="6"/>
  <c r="AI323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323" i="6"/>
  <c r="DE322" i="6"/>
  <c r="DD322" i="6"/>
  <c r="DC322" i="6"/>
  <c r="DB322" i="6"/>
  <c r="DA322" i="6"/>
  <c r="CZ322" i="6"/>
  <c r="CY322" i="6"/>
  <c r="CX322" i="6"/>
  <c r="CV322" i="6"/>
  <c r="CU322" i="6"/>
  <c r="CT322" i="6"/>
  <c r="CS322" i="6"/>
  <c r="CR322" i="6"/>
  <c r="CQ322" i="6"/>
  <c r="CP322" i="6"/>
  <c r="CO322" i="6"/>
  <c r="CN322" i="6"/>
  <c r="CM322" i="6"/>
  <c r="CL322" i="6"/>
  <c r="CK322" i="6"/>
  <c r="CJ322" i="6"/>
  <c r="CI322" i="6"/>
  <c r="CH322" i="6"/>
  <c r="CG322" i="6"/>
  <c r="CF322" i="6"/>
  <c r="CE322" i="6"/>
  <c r="CD322" i="6"/>
  <c r="CC322" i="6"/>
  <c r="CB322" i="6"/>
  <c r="CA322" i="6"/>
  <c r="BZ322" i="6"/>
  <c r="BY322" i="6"/>
  <c r="BX322" i="6"/>
  <c r="BW322" i="6"/>
  <c r="BV322" i="6"/>
  <c r="BU322" i="6"/>
  <c r="BT322" i="6"/>
  <c r="BS322" i="6"/>
  <c r="BR322" i="6"/>
  <c r="BQ322" i="6"/>
  <c r="BP322" i="6"/>
  <c r="BO322" i="6"/>
  <c r="BN322" i="6"/>
  <c r="BM322" i="6"/>
  <c r="BL322" i="6"/>
  <c r="BK322" i="6"/>
  <c r="BJ322" i="6"/>
  <c r="BI322" i="6"/>
  <c r="BH322" i="6"/>
  <c r="BG322" i="6"/>
  <c r="BF322" i="6"/>
  <c r="BE322" i="6"/>
  <c r="BD322" i="6"/>
  <c r="BC322" i="6"/>
  <c r="BB322" i="6"/>
  <c r="BA322" i="6"/>
  <c r="AZ322" i="6"/>
  <c r="AY322" i="6"/>
  <c r="AX322" i="6"/>
  <c r="AW322" i="6"/>
  <c r="AV322" i="6"/>
  <c r="AU322" i="6"/>
  <c r="AT322" i="6"/>
  <c r="AS322" i="6"/>
  <c r="AR322" i="6"/>
  <c r="AQ322" i="6"/>
  <c r="AP322" i="6"/>
  <c r="AO322" i="6"/>
  <c r="AN322" i="6"/>
  <c r="AM322" i="6"/>
  <c r="AL322" i="6"/>
  <c r="AK322" i="6"/>
  <c r="AJ322" i="6"/>
  <c r="AI322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322" i="6"/>
  <c r="DE321" i="6"/>
  <c r="DD321" i="6"/>
  <c r="DC321" i="6"/>
  <c r="DB321" i="6"/>
  <c r="DA321" i="6"/>
  <c r="CZ321" i="6"/>
  <c r="CY321" i="6"/>
  <c r="CX321" i="6"/>
  <c r="CV321" i="6"/>
  <c r="CU321" i="6"/>
  <c r="CT321" i="6"/>
  <c r="CS321" i="6"/>
  <c r="CR321" i="6"/>
  <c r="CQ321" i="6"/>
  <c r="CP321" i="6"/>
  <c r="CO321" i="6"/>
  <c r="CN321" i="6"/>
  <c r="CM321" i="6"/>
  <c r="CL321" i="6"/>
  <c r="CK321" i="6"/>
  <c r="CJ321" i="6"/>
  <c r="CI321" i="6"/>
  <c r="CH321" i="6"/>
  <c r="CG321" i="6"/>
  <c r="CF321" i="6"/>
  <c r="CE321" i="6"/>
  <c r="CD321" i="6"/>
  <c r="CC321" i="6"/>
  <c r="CB321" i="6"/>
  <c r="CA321" i="6"/>
  <c r="BZ321" i="6"/>
  <c r="BY321" i="6"/>
  <c r="BX321" i="6"/>
  <c r="BW321" i="6"/>
  <c r="BV321" i="6"/>
  <c r="BU321" i="6"/>
  <c r="BT321" i="6"/>
  <c r="BS321" i="6"/>
  <c r="BR321" i="6"/>
  <c r="BQ321" i="6"/>
  <c r="BP321" i="6"/>
  <c r="BO321" i="6"/>
  <c r="BN321" i="6"/>
  <c r="BM321" i="6"/>
  <c r="BL321" i="6"/>
  <c r="BK321" i="6"/>
  <c r="BJ321" i="6"/>
  <c r="BI321" i="6"/>
  <c r="BH321" i="6"/>
  <c r="BG321" i="6"/>
  <c r="BF321" i="6"/>
  <c r="BE321" i="6"/>
  <c r="BD321" i="6"/>
  <c r="BC321" i="6"/>
  <c r="BB321" i="6"/>
  <c r="BA321" i="6"/>
  <c r="AZ321" i="6"/>
  <c r="AY321" i="6"/>
  <c r="AX321" i="6"/>
  <c r="AW321" i="6"/>
  <c r="AV321" i="6"/>
  <c r="AU321" i="6"/>
  <c r="AT321" i="6"/>
  <c r="AS321" i="6"/>
  <c r="AR321" i="6"/>
  <c r="AQ321" i="6"/>
  <c r="AP321" i="6"/>
  <c r="AO321" i="6"/>
  <c r="AN321" i="6"/>
  <c r="AM321" i="6"/>
  <c r="AL321" i="6"/>
  <c r="AK321" i="6"/>
  <c r="AJ321" i="6"/>
  <c r="AI321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321" i="6"/>
  <c r="DE320" i="6"/>
  <c r="DD320" i="6"/>
  <c r="DC320" i="6"/>
  <c r="DB320" i="6"/>
  <c r="DA320" i="6"/>
  <c r="CZ320" i="6"/>
  <c r="CY320" i="6"/>
  <c r="CX320" i="6"/>
  <c r="CV320" i="6"/>
  <c r="CU320" i="6"/>
  <c r="CT320" i="6"/>
  <c r="CS320" i="6"/>
  <c r="CR320" i="6"/>
  <c r="CQ320" i="6"/>
  <c r="CP320" i="6"/>
  <c r="CO320" i="6"/>
  <c r="CN320" i="6"/>
  <c r="CM320" i="6"/>
  <c r="CL320" i="6"/>
  <c r="CK320" i="6"/>
  <c r="CJ320" i="6"/>
  <c r="CI320" i="6"/>
  <c r="CH320" i="6"/>
  <c r="CG320" i="6"/>
  <c r="CF320" i="6"/>
  <c r="CE320" i="6"/>
  <c r="CD320" i="6"/>
  <c r="CC320" i="6"/>
  <c r="CB320" i="6"/>
  <c r="CA320" i="6"/>
  <c r="BZ320" i="6"/>
  <c r="BY320" i="6"/>
  <c r="BX320" i="6"/>
  <c r="BW320" i="6"/>
  <c r="BV320" i="6"/>
  <c r="BU320" i="6"/>
  <c r="BT320" i="6"/>
  <c r="BS320" i="6"/>
  <c r="BR320" i="6"/>
  <c r="BQ320" i="6"/>
  <c r="BP320" i="6"/>
  <c r="BO320" i="6"/>
  <c r="BN320" i="6"/>
  <c r="BM320" i="6"/>
  <c r="BL320" i="6"/>
  <c r="BK320" i="6"/>
  <c r="BJ320" i="6"/>
  <c r="BI320" i="6"/>
  <c r="BH320" i="6"/>
  <c r="BG320" i="6"/>
  <c r="BF320" i="6"/>
  <c r="BE320" i="6"/>
  <c r="BD320" i="6"/>
  <c r="BC320" i="6"/>
  <c r="BB320" i="6"/>
  <c r="BA320" i="6"/>
  <c r="AZ320" i="6"/>
  <c r="AY320" i="6"/>
  <c r="AX320" i="6"/>
  <c r="AW320" i="6"/>
  <c r="AV320" i="6"/>
  <c r="AU320" i="6"/>
  <c r="AT320" i="6"/>
  <c r="AS320" i="6"/>
  <c r="AR320" i="6"/>
  <c r="AQ320" i="6"/>
  <c r="AP320" i="6"/>
  <c r="AO320" i="6"/>
  <c r="AN320" i="6"/>
  <c r="AM320" i="6"/>
  <c r="AL320" i="6"/>
  <c r="AK320" i="6"/>
  <c r="AJ320" i="6"/>
  <c r="AI320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320" i="6"/>
  <c r="DE319" i="6"/>
  <c r="DD319" i="6"/>
  <c r="DC319" i="6"/>
  <c r="DB319" i="6"/>
  <c r="DA319" i="6"/>
  <c r="CZ319" i="6"/>
  <c r="CY319" i="6"/>
  <c r="CX319" i="6"/>
  <c r="CV319" i="6"/>
  <c r="CU319" i="6"/>
  <c r="CT319" i="6"/>
  <c r="CS319" i="6"/>
  <c r="CR319" i="6"/>
  <c r="CQ319" i="6"/>
  <c r="CP319" i="6"/>
  <c r="CO319" i="6"/>
  <c r="CN319" i="6"/>
  <c r="CM319" i="6"/>
  <c r="CL319" i="6"/>
  <c r="CK319" i="6"/>
  <c r="CJ319" i="6"/>
  <c r="CI319" i="6"/>
  <c r="CH319" i="6"/>
  <c r="CG319" i="6"/>
  <c r="CF319" i="6"/>
  <c r="CE319" i="6"/>
  <c r="CD319" i="6"/>
  <c r="CC319" i="6"/>
  <c r="CB319" i="6"/>
  <c r="CA319" i="6"/>
  <c r="BZ319" i="6"/>
  <c r="BY319" i="6"/>
  <c r="BX319" i="6"/>
  <c r="BW319" i="6"/>
  <c r="BV319" i="6"/>
  <c r="BU319" i="6"/>
  <c r="BT319" i="6"/>
  <c r="BS319" i="6"/>
  <c r="BR319" i="6"/>
  <c r="BQ319" i="6"/>
  <c r="BP319" i="6"/>
  <c r="BO319" i="6"/>
  <c r="BN319" i="6"/>
  <c r="BM319" i="6"/>
  <c r="BL319" i="6"/>
  <c r="BK319" i="6"/>
  <c r="BJ319" i="6"/>
  <c r="BI319" i="6"/>
  <c r="BH319" i="6"/>
  <c r="BG319" i="6"/>
  <c r="BF319" i="6"/>
  <c r="BE319" i="6"/>
  <c r="BD319" i="6"/>
  <c r="BC319" i="6"/>
  <c r="BB319" i="6"/>
  <c r="BA319" i="6"/>
  <c r="AZ319" i="6"/>
  <c r="AY319" i="6"/>
  <c r="AX319" i="6"/>
  <c r="AW319" i="6"/>
  <c r="AV319" i="6"/>
  <c r="AU319" i="6"/>
  <c r="AT319" i="6"/>
  <c r="AS319" i="6"/>
  <c r="AR319" i="6"/>
  <c r="AQ319" i="6"/>
  <c r="AP319" i="6"/>
  <c r="AO319" i="6"/>
  <c r="AN319" i="6"/>
  <c r="AM319" i="6"/>
  <c r="AL319" i="6"/>
  <c r="AK319" i="6"/>
  <c r="AJ319" i="6"/>
  <c r="AI319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319" i="6"/>
  <c r="DE318" i="6"/>
  <c r="DD318" i="6"/>
  <c r="DC318" i="6"/>
  <c r="DB318" i="6"/>
  <c r="DA318" i="6"/>
  <c r="CZ318" i="6"/>
  <c r="CY318" i="6"/>
  <c r="CX318" i="6"/>
  <c r="CV318" i="6"/>
  <c r="CU318" i="6"/>
  <c r="CT318" i="6"/>
  <c r="CS318" i="6"/>
  <c r="CR318" i="6"/>
  <c r="CQ318" i="6"/>
  <c r="CP318" i="6"/>
  <c r="CO318" i="6"/>
  <c r="CN318" i="6"/>
  <c r="CM318" i="6"/>
  <c r="CL318" i="6"/>
  <c r="CK318" i="6"/>
  <c r="CJ318" i="6"/>
  <c r="CI318" i="6"/>
  <c r="CH318" i="6"/>
  <c r="CG318" i="6"/>
  <c r="CF318" i="6"/>
  <c r="CE318" i="6"/>
  <c r="CD318" i="6"/>
  <c r="CC318" i="6"/>
  <c r="CB318" i="6"/>
  <c r="CA318" i="6"/>
  <c r="BZ318" i="6"/>
  <c r="BY318" i="6"/>
  <c r="BX318" i="6"/>
  <c r="BW318" i="6"/>
  <c r="BV318" i="6"/>
  <c r="BU318" i="6"/>
  <c r="BT318" i="6"/>
  <c r="BS318" i="6"/>
  <c r="BR318" i="6"/>
  <c r="BQ318" i="6"/>
  <c r="BP318" i="6"/>
  <c r="BO318" i="6"/>
  <c r="BN318" i="6"/>
  <c r="BM318" i="6"/>
  <c r="BL318" i="6"/>
  <c r="BK318" i="6"/>
  <c r="BJ318" i="6"/>
  <c r="BI318" i="6"/>
  <c r="BH318" i="6"/>
  <c r="BG318" i="6"/>
  <c r="BF318" i="6"/>
  <c r="BE318" i="6"/>
  <c r="BD318" i="6"/>
  <c r="BC318" i="6"/>
  <c r="BB318" i="6"/>
  <c r="BA318" i="6"/>
  <c r="AZ318" i="6"/>
  <c r="AY318" i="6"/>
  <c r="AX318" i="6"/>
  <c r="AW318" i="6"/>
  <c r="AV318" i="6"/>
  <c r="AU318" i="6"/>
  <c r="AT318" i="6"/>
  <c r="AS318" i="6"/>
  <c r="AR318" i="6"/>
  <c r="AQ318" i="6"/>
  <c r="AP318" i="6"/>
  <c r="AO318" i="6"/>
  <c r="AN318" i="6"/>
  <c r="AM318" i="6"/>
  <c r="AL318" i="6"/>
  <c r="AK318" i="6"/>
  <c r="AJ318" i="6"/>
  <c r="AI318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318" i="6"/>
  <c r="DE317" i="6"/>
  <c r="DD317" i="6"/>
  <c r="DC317" i="6"/>
  <c r="DB317" i="6"/>
  <c r="DA317" i="6"/>
  <c r="CZ317" i="6"/>
  <c r="CY317" i="6"/>
  <c r="CX317" i="6"/>
  <c r="CV317" i="6"/>
  <c r="CU317" i="6"/>
  <c r="CT317" i="6"/>
  <c r="CS317" i="6"/>
  <c r="CR317" i="6"/>
  <c r="CQ317" i="6"/>
  <c r="CP317" i="6"/>
  <c r="CO317" i="6"/>
  <c r="CN317" i="6"/>
  <c r="CM317" i="6"/>
  <c r="CL317" i="6"/>
  <c r="CK317" i="6"/>
  <c r="CJ317" i="6"/>
  <c r="CI317" i="6"/>
  <c r="CH317" i="6"/>
  <c r="CG317" i="6"/>
  <c r="CF317" i="6"/>
  <c r="CE317" i="6"/>
  <c r="CD317" i="6"/>
  <c r="CC317" i="6"/>
  <c r="CB317" i="6"/>
  <c r="CA317" i="6"/>
  <c r="BZ317" i="6"/>
  <c r="BY317" i="6"/>
  <c r="BX317" i="6"/>
  <c r="BW317" i="6"/>
  <c r="BV317" i="6"/>
  <c r="BU317" i="6"/>
  <c r="BT317" i="6"/>
  <c r="BS317" i="6"/>
  <c r="BR317" i="6"/>
  <c r="BQ317" i="6"/>
  <c r="BP317" i="6"/>
  <c r="BO317" i="6"/>
  <c r="BN317" i="6"/>
  <c r="BM317" i="6"/>
  <c r="BL317" i="6"/>
  <c r="BK317" i="6"/>
  <c r="BJ317" i="6"/>
  <c r="BI317" i="6"/>
  <c r="BH317" i="6"/>
  <c r="BG317" i="6"/>
  <c r="BF317" i="6"/>
  <c r="BE317" i="6"/>
  <c r="BD317" i="6"/>
  <c r="BC317" i="6"/>
  <c r="BB317" i="6"/>
  <c r="BA317" i="6"/>
  <c r="AZ317" i="6"/>
  <c r="AY317" i="6"/>
  <c r="AX317" i="6"/>
  <c r="AW317" i="6"/>
  <c r="AV317" i="6"/>
  <c r="AU317" i="6"/>
  <c r="AT317" i="6"/>
  <c r="AS317" i="6"/>
  <c r="AR317" i="6"/>
  <c r="AQ317" i="6"/>
  <c r="AP317" i="6"/>
  <c r="AO317" i="6"/>
  <c r="AN317" i="6"/>
  <c r="AM317" i="6"/>
  <c r="AL317" i="6"/>
  <c r="AK317" i="6"/>
  <c r="AJ317" i="6"/>
  <c r="AI317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317" i="6"/>
  <c r="DE316" i="6"/>
  <c r="DD316" i="6"/>
  <c r="DC316" i="6"/>
  <c r="DB316" i="6"/>
  <c r="DA316" i="6"/>
  <c r="CZ316" i="6"/>
  <c r="CY316" i="6"/>
  <c r="CX316" i="6"/>
  <c r="CV316" i="6"/>
  <c r="CU316" i="6"/>
  <c r="CT316" i="6"/>
  <c r="CS316" i="6"/>
  <c r="CR316" i="6"/>
  <c r="CQ316" i="6"/>
  <c r="CP316" i="6"/>
  <c r="CO316" i="6"/>
  <c r="CN316" i="6"/>
  <c r="CM316" i="6"/>
  <c r="CL316" i="6"/>
  <c r="CK316" i="6"/>
  <c r="CJ316" i="6"/>
  <c r="CI316" i="6"/>
  <c r="CH316" i="6"/>
  <c r="CG316" i="6"/>
  <c r="CF316" i="6"/>
  <c r="CE316" i="6"/>
  <c r="CD316" i="6"/>
  <c r="CC316" i="6"/>
  <c r="CB316" i="6"/>
  <c r="CA316" i="6"/>
  <c r="BZ316" i="6"/>
  <c r="BY316" i="6"/>
  <c r="BX316" i="6"/>
  <c r="BW316" i="6"/>
  <c r="BV316" i="6"/>
  <c r="BU316" i="6"/>
  <c r="BT316" i="6"/>
  <c r="BS316" i="6"/>
  <c r="BR316" i="6"/>
  <c r="BQ316" i="6"/>
  <c r="BP316" i="6"/>
  <c r="BO316" i="6"/>
  <c r="BN316" i="6"/>
  <c r="BM316" i="6"/>
  <c r="BL316" i="6"/>
  <c r="BK316" i="6"/>
  <c r="BJ316" i="6"/>
  <c r="BI316" i="6"/>
  <c r="BH316" i="6"/>
  <c r="BG316" i="6"/>
  <c r="BF316" i="6"/>
  <c r="BE316" i="6"/>
  <c r="BD316" i="6"/>
  <c r="BC316" i="6"/>
  <c r="BB316" i="6"/>
  <c r="BA316" i="6"/>
  <c r="AZ316" i="6"/>
  <c r="AY316" i="6"/>
  <c r="AX316" i="6"/>
  <c r="AW316" i="6"/>
  <c r="AV316" i="6"/>
  <c r="AU316" i="6"/>
  <c r="AT316" i="6"/>
  <c r="AS316" i="6"/>
  <c r="AR316" i="6"/>
  <c r="AQ316" i="6"/>
  <c r="AP316" i="6"/>
  <c r="AO316" i="6"/>
  <c r="AN316" i="6"/>
  <c r="AM316" i="6"/>
  <c r="AL316" i="6"/>
  <c r="AK316" i="6"/>
  <c r="AJ316" i="6"/>
  <c r="AI316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316" i="6"/>
  <c r="DE315" i="6"/>
  <c r="DD315" i="6"/>
  <c r="DC315" i="6"/>
  <c r="DB315" i="6"/>
  <c r="DA315" i="6"/>
  <c r="CZ315" i="6"/>
  <c r="CY315" i="6"/>
  <c r="CX315" i="6"/>
  <c r="CV315" i="6"/>
  <c r="CU315" i="6"/>
  <c r="CT315" i="6"/>
  <c r="CS315" i="6"/>
  <c r="CR315" i="6"/>
  <c r="CQ315" i="6"/>
  <c r="CP315" i="6"/>
  <c r="CO315" i="6"/>
  <c r="CN315" i="6"/>
  <c r="CM315" i="6"/>
  <c r="CL315" i="6"/>
  <c r="CK315" i="6"/>
  <c r="CJ315" i="6"/>
  <c r="CI315" i="6"/>
  <c r="CH315" i="6"/>
  <c r="CG315" i="6"/>
  <c r="CF315" i="6"/>
  <c r="CE315" i="6"/>
  <c r="CD315" i="6"/>
  <c r="CC315" i="6"/>
  <c r="CB315" i="6"/>
  <c r="CA315" i="6"/>
  <c r="BZ315" i="6"/>
  <c r="BY315" i="6"/>
  <c r="BX315" i="6"/>
  <c r="BW315" i="6"/>
  <c r="BV315" i="6"/>
  <c r="BU315" i="6"/>
  <c r="BT315" i="6"/>
  <c r="BS315" i="6"/>
  <c r="BR315" i="6"/>
  <c r="BQ315" i="6"/>
  <c r="BP315" i="6"/>
  <c r="BO315" i="6"/>
  <c r="BN315" i="6"/>
  <c r="BM315" i="6"/>
  <c r="BL315" i="6"/>
  <c r="BK315" i="6"/>
  <c r="BJ315" i="6"/>
  <c r="BI315" i="6"/>
  <c r="BH315" i="6"/>
  <c r="BG315" i="6"/>
  <c r="BF315" i="6"/>
  <c r="BE315" i="6"/>
  <c r="BD315" i="6"/>
  <c r="BC315" i="6"/>
  <c r="BB315" i="6"/>
  <c r="BA315" i="6"/>
  <c r="AZ315" i="6"/>
  <c r="AY315" i="6"/>
  <c r="AX315" i="6"/>
  <c r="AW315" i="6"/>
  <c r="AV315" i="6"/>
  <c r="AU315" i="6"/>
  <c r="AT315" i="6"/>
  <c r="AS315" i="6"/>
  <c r="AR315" i="6"/>
  <c r="AQ315" i="6"/>
  <c r="AP315" i="6"/>
  <c r="AO315" i="6"/>
  <c r="AN315" i="6"/>
  <c r="AM315" i="6"/>
  <c r="AL315" i="6"/>
  <c r="AK315" i="6"/>
  <c r="AJ315" i="6"/>
  <c r="AI315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315" i="6"/>
  <c r="DE314" i="6"/>
  <c r="DD314" i="6"/>
  <c r="DC314" i="6"/>
  <c r="DB314" i="6"/>
  <c r="DA314" i="6"/>
  <c r="CZ314" i="6"/>
  <c r="CY314" i="6"/>
  <c r="CX314" i="6"/>
  <c r="CV314" i="6"/>
  <c r="CU314" i="6"/>
  <c r="CT314" i="6"/>
  <c r="CS314" i="6"/>
  <c r="CR314" i="6"/>
  <c r="CQ314" i="6"/>
  <c r="CP314" i="6"/>
  <c r="CO314" i="6"/>
  <c r="CN314" i="6"/>
  <c r="CM314" i="6"/>
  <c r="CL314" i="6"/>
  <c r="CK314" i="6"/>
  <c r="CJ314" i="6"/>
  <c r="CI314" i="6"/>
  <c r="CH314" i="6"/>
  <c r="CG314" i="6"/>
  <c r="CF314" i="6"/>
  <c r="CE314" i="6"/>
  <c r="CD314" i="6"/>
  <c r="CC314" i="6"/>
  <c r="CB314" i="6"/>
  <c r="CA314" i="6"/>
  <c r="BZ314" i="6"/>
  <c r="BY314" i="6"/>
  <c r="BX314" i="6"/>
  <c r="BW314" i="6"/>
  <c r="BV314" i="6"/>
  <c r="BU314" i="6"/>
  <c r="BT314" i="6"/>
  <c r="BS314" i="6"/>
  <c r="BR314" i="6"/>
  <c r="BQ314" i="6"/>
  <c r="BP314" i="6"/>
  <c r="BO314" i="6"/>
  <c r="BN314" i="6"/>
  <c r="BM314" i="6"/>
  <c r="BL314" i="6"/>
  <c r="BK314" i="6"/>
  <c r="BJ314" i="6"/>
  <c r="BI314" i="6"/>
  <c r="BH314" i="6"/>
  <c r="BG314" i="6"/>
  <c r="BF314" i="6"/>
  <c r="BE314" i="6"/>
  <c r="BD314" i="6"/>
  <c r="BC314" i="6"/>
  <c r="BB314" i="6"/>
  <c r="BA314" i="6"/>
  <c r="AZ314" i="6"/>
  <c r="AY314" i="6"/>
  <c r="AX314" i="6"/>
  <c r="AW314" i="6"/>
  <c r="AV314" i="6"/>
  <c r="AU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314" i="6"/>
  <c r="DE313" i="6"/>
  <c r="DD313" i="6"/>
  <c r="DC313" i="6"/>
  <c r="DB313" i="6"/>
  <c r="DA313" i="6"/>
  <c r="CZ313" i="6"/>
  <c r="CY313" i="6"/>
  <c r="CX313" i="6"/>
  <c r="CV313" i="6"/>
  <c r="CU313" i="6"/>
  <c r="CT313" i="6"/>
  <c r="CS313" i="6"/>
  <c r="CR313" i="6"/>
  <c r="CQ313" i="6"/>
  <c r="CP313" i="6"/>
  <c r="CO313" i="6"/>
  <c r="CN313" i="6"/>
  <c r="CM313" i="6"/>
  <c r="CL313" i="6"/>
  <c r="CK313" i="6"/>
  <c r="CJ313" i="6"/>
  <c r="CI313" i="6"/>
  <c r="CH313" i="6"/>
  <c r="CG313" i="6"/>
  <c r="CF313" i="6"/>
  <c r="CE313" i="6"/>
  <c r="CD313" i="6"/>
  <c r="CC313" i="6"/>
  <c r="CB313" i="6"/>
  <c r="CA313" i="6"/>
  <c r="BZ313" i="6"/>
  <c r="BY313" i="6"/>
  <c r="BX313" i="6"/>
  <c r="BW313" i="6"/>
  <c r="BV313" i="6"/>
  <c r="BU313" i="6"/>
  <c r="BT313" i="6"/>
  <c r="BS313" i="6"/>
  <c r="BR313" i="6"/>
  <c r="BQ313" i="6"/>
  <c r="BP313" i="6"/>
  <c r="BO313" i="6"/>
  <c r="BN313" i="6"/>
  <c r="BM313" i="6"/>
  <c r="BL313" i="6"/>
  <c r="BK313" i="6"/>
  <c r="BJ313" i="6"/>
  <c r="BI313" i="6"/>
  <c r="BH313" i="6"/>
  <c r="BG313" i="6"/>
  <c r="BF313" i="6"/>
  <c r="BE313" i="6"/>
  <c r="BD313" i="6"/>
  <c r="BC313" i="6"/>
  <c r="BB313" i="6"/>
  <c r="BA313" i="6"/>
  <c r="AZ313" i="6"/>
  <c r="AY313" i="6"/>
  <c r="AX313" i="6"/>
  <c r="AW313" i="6"/>
  <c r="AV313" i="6"/>
  <c r="AU313" i="6"/>
  <c r="AT313" i="6"/>
  <c r="AS313" i="6"/>
  <c r="AR313" i="6"/>
  <c r="AQ313" i="6"/>
  <c r="AP313" i="6"/>
  <c r="AO313" i="6"/>
  <c r="AN313" i="6"/>
  <c r="AM313" i="6"/>
  <c r="AL313" i="6"/>
  <c r="AK313" i="6"/>
  <c r="AJ313" i="6"/>
  <c r="AI313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313" i="6"/>
  <c r="DE312" i="6"/>
  <c r="DD312" i="6"/>
  <c r="DC312" i="6"/>
  <c r="DB312" i="6"/>
  <c r="DA312" i="6"/>
  <c r="CZ312" i="6"/>
  <c r="CY312" i="6"/>
  <c r="CX312" i="6"/>
  <c r="CV312" i="6"/>
  <c r="CU312" i="6"/>
  <c r="CT312" i="6"/>
  <c r="CS312" i="6"/>
  <c r="CR312" i="6"/>
  <c r="CQ312" i="6"/>
  <c r="CP312" i="6"/>
  <c r="CO312" i="6"/>
  <c r="CN312" i="6"/>
  <c r="CM312" i="6"/>
  <c r="CL312" i="6"/>
  <c r="CK312" i="6"/>
  <c r="CJ312" i="6"/>
  <c r="CI312" i="6"/>
  <c r="CH312" i="6"/>
  <c r="CG312" i="6"/>
  <c r="CF312" i="6"/>
  <c r="CE312" i="6"/>
  <c r="CD312" i="6"/>
  <c r="CC312" i="6"/>
  <c r="CB312" i="6"/>
  <c r="CA312" i="6"/>
  <c r="BZ312" i="6"/>
  <c r="BY312" i="6"/>
  <c r="BX312" i="6"/>
  <c r="BW312" i="6"/>
  <c r="BV312" i="6"/>
  <c r="BU312" i="6"/>
  <c r="BT312" i="6"/>
  <c r="BS312" i="6"/>
  <c r="BR312" i="6"/>
  <c r="BQ312" i="6"/>
  <c r="BP312" i="6"/>
  <c r="BO312" i="6"/>
  <c r="BN312" i="6"/>
  <c r="BM312" i="6"/>
  <c r="BL312" i="6"/>
  <c r="BK312" i="6"/>
  <c r="BJ312" i="6"/>
  <c r="BI312" i="6"/>
  <c r="BH312" i="6"/>
  <c r="BG312" i="6"/>
  <c r="BF312" i="6"/>
  <c r="BE312" i="6"/>
  <c r="BD312" i="6"/>
  <c r="BC312" i="6"/>
  <c r="BB312" i="6"/>
  <c r="BA312" i="6"/>
  <c r="AZ312" i="6"/>
  <c r="AY312" i="6"/>
  <c r="AX312" i="6"/>
  <c r="AW312" i="6"/>
  <c r="AV312" i="6"/>
  <c r="AU312" i="6"/>
  <c r="AT312" i="6"/>
  <c r="AS312" i="6"/>
  <c r="AR312" i="6"/>
  <c r="AQ312" i="6"/>
  <c r="AP312" i="6"/>
  <c r="AO312" i="6"/>
  <c r="AN312" i="6"/>
  <c r="AM312" i="6"/>
  <c r="AL312" i="6"/>
  <c r="AK312" i="6"/>
  <c r="AJ312" i="6"/>
  <c r="AI312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312" i="6"/>
  <c r="DE311" i="6"/>
  <c r="DD311" i="6"/>
  <c r="DC311" i="6"/>
  <c r="DB311" i="6"/>
  <c r="DA311" i="6"/>
  <c r="CZ311" i="6"/>
  <c r="CY311" i="6"/>
  <c r="CX311" i="6"/>
  <c r="CV311" i="6"/>
  <c r="CU311" i="6"/>
  <c r="CT311" i="6"/>
  <c r="CS311" i="6"/>
  <c r="CR311" i="6"/>
  <c r="CQ311" i="6"/>
  <c r="CP311" i="6"/>
  <c r="CO311" i="6"/>
  <c r="CN311" i="6"/>
  <c r="CM311" i="6"/>
  <c r="CL311" i="6"/>
  <c r="CK311" i="6"/>
  <c r="CJ311" i="6"/>
  <c r="CI311" i="6"/>
  <c r="CH311" i="6"/>
  <c r="CG311" i="6"/>
  <c r="CF311" i="6"/>
  <c r="CE311" i="6"/>
  <c r="CD311" i="6"/>
  <c r="CC311" i="6"/>
  <c r="CB311" i="6"/>
  <c r="CA311" i="6"/>
  <c r="BZ311" i="6"/>
  <c r="BY311" i="6"/>
  <c r="BX311" i="6"/>
  <c r="BW311" i="6"/>
  <c r="BV311" i="6"/>
  <c r="BU311" i="6"/>
  <c r="BT311" i="6"/>
  <c r="BS311" i="6"/>
  <c r="BR311" i="6"/>
  <c r="BQ311" i="6"/>
  <c r="BP311" i="6"/>
  <c r="BO311" i="6"/>
  <c r="BN311" i="6"/>
  <c r="BM311" i="6"/>
  <c r="BL311" i="6"/>
  <c r="BK311" i="6"/>
  <c r="BJ311" i="6"/>
  <c r="BI311" i="6"/>
  <c r="BH311" i="6"/>
  <c r="BG311" i="6"/>
  <c r="BF311" i="6"/>
  <c r="BE311" i="6"/>
  <c r="BD311" i="6"/>
  <c r="BC311" i="6"/>
  <c r="BB311" i="6"/>
  <c r="BA311" i="6"/>
  <c r="AZ311" i="6"/>
  <c r="AY311" i="6"/>
  <c r="AX311" i="6"/>
  <c r="AW311" i="6"/>
  <c r="AV311" i="6"/>
  <c r="AU311" i="6"/>
  <c r="AT311" i="6"/>
  <c r="AS311" i="6"/>
  <c r="AR311" i="6"/>
  <c r="AQ311" i="6"/>
  <c r="AP311" i="6"/>
  <c r="AO311" i="6"/>
  <c r="AN311" i="6"/>
  <c r="AM311" i="6"/>
  <c r="AL311" i="6"/>
  <c r="AK311" i="6"/>
  <c r="AJ311" i="6"/>
  <c r="AI311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311" i="6"/>
  <c r="DE310" i="6"/>
  <c r="DD310" i="6"/>
  <c r="DC310" i="6"/>
  <c r="DB310" i="6"/>
  <c r="DA310" i="6"/>
  <c r="CZ310" i="6"/>
  <c r="CY310" i="6"/>
  <c r="CX310" i="6"/>
  <c r="CV310" i="6"/>
  <c r="CU310" i="6"/>
  <c r="CT310" i="6"/>
  <c r="CS310" i="6"/>
  <c r="CR310" i="6"/>
  <c r="CQ310" i="6"/>
  <c r="CP310" i="6"/>
  <c r="CO310" i="6"/>
  <c r="CN310" i="6"/>
  <c r="CM310" i="6"/>
  <c r="CL310" i="6"/>
  <c r="CK310" i="6"/>
  <c r="CJ310" i="6"/>
  <c r="CI310" i="6"/>
  <c r="CH310" i="6"/>
  <c r="CG310" i="6"/>
  <c r="CF310" i="6"/>
  <c r="CE310" i="6"/>
  <c r="CD310" i="6"/>
  <c r="CC310" i="6"/>
  <c r="CB310" i="6"/>
  <c r="CA310" i="6"/>
  <c r="BZ310" i="6"/>
  <c r="BY310" i="6"/>
  <c r="BX310" i="6"/>
  <c r="BW310" i="6"/>
  <c r="BV310" i="6"/>
  <c r="BU310" i="6"/>
  <c r="BT310" i="6"/>
  <c r="BS310" i="6"/>
  <c r="BR310" i="6"/>
  <c r="BQ310" i="6"/>
  <c r="BP310" i="6"/>
  <c r="BO310" i="6"/>
  <c r="BN310" i="6"/>
  <c r="BM310" i="6"/>
  <c r="BL310" i="6"/>
  <c r="BK310" i="6"/>
  <c r="BJ310" i="6"/>
  <c r="BI310" i="6"/>
  <c r="BH310" i="6"/>
  <c r="BG310" i="6"/>
  <c r="BF310" i="6"/>
  <c r="BE310" i="6"/>
  <c r="BD310" i="6"/>
  <c r="BC310" i="6"/>
  <c r="BB310" i="6"/>
  <c r="BA310" i="6"/>
  <c r="AZ310" i="6"/>
  <c r="AY310" i="6"/>
  <c r="AX310" i="6"/>
  <c r="AW310" i="6"/>
  <c r="AV310" i="6"/>
  <c r="AU310" i="6"/>
  <c r="AT310" i="6"/>
  <c r="AS310" i="6"/>
  <c r="AR310" i="6"/>
  <c r="AQ310" i="6"/>
  <c r="AP310" i="6"/>
  <c r="AO310" i="6"/>
  <c r="AN310" i="6"/>
  <c r="AM310" i="6"/>
  <c r="AL310" i="6"/>
  <c r="AK310" i="6"/>
  <c r="AJ310" i="6"/>
  <c r="AI310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310" i="6"/>
  <c r="DE309" i="6"/>
  <c r="DD309" i="6"/>
  <c r="DC309" i="6"/>
  <c r="DB309" i="6"/>
  <c r="DA309" i="6"/>
  <c r="CZ309" i="6"/>
  <c r="CY309" i="6"/>
  <c r="CX309" i="6"/>
  <c r="CV309" i="6"/>
  <c r="CU309" i="6"/>
  <c r="CT309" i="6"/>
  <c r="CS309" i="6"/>
  <c r="CR309" i="6"/>
  <c r="CQ309" i="6"/>
  <c r="CP309" i="6"/>
  <c r="CO309" i="6"/>
  <c r="CN309" i="6"/>
  <c r="CM309" i="6"/>
  <c r="CL309" i="6"/>
  <c r="CK309" i="6"/>
  <c r="CJ309" i="6"/>
  <c r="CI309" i="6"/>
  <c r="CH309" i="6"/>
  <c r="CG309" i="6"/>
  <c r="CF309" i="6"/>
  <c r="CE309" i="6"/>
  <c r="CD309" i="6"/>
  <c r="CC309" i="6"/>
  <c r="CB309" i="6"/>
  <c r="CA309" i="6"/>
  <c r="BZ309" i="6"/>
  <c r="BY309" i="6"/>
  <c r="BX309" i="6"/>
  <c r="BW309" i="6"/>
  <c r="BV309" i="6"/>
  <c r="BU309" i="6"/>
  <c r="BT309" i="6"/>
  <c r="BS309" i="6"/>
  <c r="BR309" i="6"/>
  <c r="BQ309" i="6"/>
  <c r="BP309" i="6"/>
  <c r="BO309" i="6"/>
  <c r="BN309" i="6"/>
  <c r="BM309" i="6"/>
  <c r="BL309" i="6"/>
  <c r="BK309" i="6"/>
  <c r="BJ309" i="6"/>
  <c r="BI309" i="6"/>
  <c r="BH309" i="6"/>
  <c r="BG309" i="6"/>
  <c r="BF309" i="6"/>
  <c r="BE309" i="6"/>
  <c r="BD309" i="6"/>
  <c r="BC309" i="6"/>
  <c r="BB309" i="6"/>
  <c r="BA309" i="6"/>
  <c r="AZ309" i="6"/>
  <c r="AY309" i="6"/>
  <c r="AX309" i="6"/>
  <c r="AW309" i="6"/>
  <c r="AV309" i="6"/>
  <c r="AU309" i="6"/>
  <c r="AT309" i="6"/>
  <c r="AS309" i="6"/>
  <c r="AR309" i="6"/>
  <c r="AQ309" i="6"/>
  <c r="AP309" i="6"/>
  <c r="AO309" i="6"/>
  <c r="AN309" i="6"/>
  <c r="AM309" i="6"/>
  <c r="AL309" i="6"/>
  <c r="AK309" i="6"/>
  <c r="AJ309" i="6"/>
  <c r="AI309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309" i="6"/>
  <c r="DE308" i="6"/>
  <c r="DD308" i="6"/>
  <c r="DC308" i="6"/>
  <c r="DB308" i="6"/>
  <c r="DA308" i="6"/>
  <c r="CZ308" i="6"/>
  <c r="CY308" i="6"/>
  <c r="CX308" i="6"/>
  <c r="CV308" i="6"/>
  <c r="CU308" i="6"/>
  <c r="CT308" i="6"/>
  <c r="CS308" i="6"/>
  <c r="CR308" i="6"/>
  <c r="CQ308" i="6"/>
  <c r="CP308" i="6"/>
  <c r="CO308" i="6"/>
  <c r="CN308" i="6"/>
  <c r="CM308" i="6"/>
  <c r="CL308" i="6"/>
  <c r="CK308" i="6"/>
  <c r="CJ308" i="6"/>
  <c r="CI308" i="6"/>
  <c r="CH308" i="6"/>
  <c r="CG308" i="6"/>
  <c r="CF308" i="6"/>
  <c r="CE308" i="6"/>
  <c r="CD308" i="6"/>
  <c r="CC308" i="6"/>
  <c r="CB308" i="6"/>
  <c r="CA308" i="6"/>
  <c r="BZ308" i="6"/>
  <c r="BY308" i="6"/>
  <c r="BX308" i="6"/>
  <c r="BW308" i="6"/>
  <c r="BV308" i="6"/>
  <c r="BU308" i="6"/>
  <c r="BT308" i="6"/>
  <c r="BS308" i="6"/>
  <c r="BR308" i="6"/>
  <c r="BQ308" i="6"/>
  <c r="BP308" i="6"/>
  <c r="BO308" i="6"/>
  <c r="BN308" i="6"/>
  <c r="BM308" i="6"/>
  <c r="BL308" i="6"/>
  <c r="BK308" i="6"/>
  <c r="BJ308" i="6"/>
  <c r="BI308" i="6"/>
  <c r="BH308" i="6"/>
  <c r="BG308" i="6"/>
  <c r="BF308" i="6"/>
  <c r="BE308" i="6"/>
  <c r="BD308" i="6"/>
  <c r="BC308" i="6"/>
  <c r="BB308" i="6"/>
  <c r="BA308" i="6"/>
  <c r="AZ308" i="6"/>
  <c r="AY308" i="6"/>
  <c r="AX308" i="6"/>
  <c r="AW308" i="6"/>
  <c r="AV308" i="6"/>
  <c r="AU308" i="6"/>
  <c r="AT308" i="6"/>
  <c r="AS308" i="6"/>
  <c r="AR308" i="6"/>
  <c r="AQ308" i="6"/>
  <c r="AP308" i="6"/>
  <c r="AO308" i="6"/>
  <c r="AN308" i="6"/>
  <c r="AM308" i="6"/>
  <c r="AL308" i="6"/>
  <c r="AK308" i="6"/>
  <c r="AJ308" i="6"/>
  <c r="AI308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308" i="6"/>
  <c r="DE307" i="6"/>
  <c r="DD307" i="6"/>
  <c r="DC307" i="6"/>
  <c r="DB307" i="6"/>
  <c r="DA307" i="6"/>
  <c r="CZ307" i="6"/>
  <c r="CY307" i="6"/>
  <c r="CX307" i="6"/>
  <c r="CV307" i="6"/>
  <c r="CU307" i="6"/>
  <c r="CT307" i="6"/>
  <c r="CS307" i="6"/>
  <c r="CR307" i="6"/>
  <c r="CQ307" i="6"/>
  <c r="CP307" i="6"/>
  <c r="CO307" i="6"/>
  <c r="CN307" i="6"/>
  <c r="CM307" i="6"/>
  <c r="CL307" i="6"/>
  <c r="CK307" i="6"/>
  <c r="CJ307" i="6"/>
  <c r="CI307" i="6"/>
  <c r="CH307" i="6"/>
  <c r="CG307" i="6"/>
  <c r="CF307" i="6"/>
  <c r="CE307" i="6"/>
  <c r="CD307" i="6"/>
  <c r="CC307" i="6"/>
  <c r="CB307" i="6"/>
  <c r="CA307" i="6"/>
  <c r="BZ307" i="6"/>
  <c r="BY307" i="6"/>
  <c r="BX307" i="6"/>
  <c r="BW307" i="6"/>
  <c r="BV307" i="6"/>
  <c r="BU307" i="6"/>
  <c r="BT307" i="6"/>
  <c r="BS307" i="6"/>
  <c r="BR307" i="6"/>
  <c r="BQ307" i="6"/>
  <c r="BP307" i="6"/>
  <c r="BO307" i="6"/>
  <c r="BN307" i="6"/>
  <c r="BM307" i="6"/>
  <c r="BL307" i="6"/>
  <c r="BK307" i="6"/>
  <c r="BJ307" i="6"/>
  <c r="BI307" i="6"/>
  <c r="BH307" i="6"/>
  <c r="BG307" i="6"/>
  <c r="BF307" i="6"/>
  <c r="BE307" i="6"/>
  <c r="BD307" i="6"/>
  <c r="BC307" i="6"/>
  <c r="BB307" i="6"/>
  <c r="BA307" i="6"/>
  <c r="AZ307" i="6"/>
  <c r="AY307" i="6"/>
  <c r="AX307" i="6"/>
  <c r="AW307" i="6"/>
  <c r="AV307" i="6"/>
  <c r="AU307" i="6"/>
  <c r="AT307" i="6"/>
  <c r="AS307" i="6"/>
  <c r="AR307" i="6"/>
  <c r="AQ307" i="6"/>
  <c r="AP307" i="6"/>
  <c r="AO307" i="6"/>
  <c r="AN307" i="6"/>
  <c r="AM307" i="6"/>
  <c r="AL307" i="6"/>
  <c r="AK307" i="6"/>
  <c r="AJ307" i="6"/>
  <c r="AI307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307" i="6"/>
  <c r="DE306" i="6"/>
  <c r="DD306" i="6"/>
  <c r="DC306" i="6"/>
  <c r="DB306" i="6"/>
  <c r="DA306" i="6"/>
  <c r="CZ306" i="6"/>
  <c r="CY306" i="6"/>
  <c r="CX306" i="6"/>
  <c r="CV306" i="6"/>
  <c r="CU306" i="6"/>
  <c r="CT306" i="6"/>
  <c r="CS306" i="6"/>
  <c r="CR306" i="6"/>
  <c r="CQ306" i="6"/>
  <c r="CP306" i="6"/>
  <c r="CO306" i="6"/>
  <c r="CN306" i="6"/>
  <c r="CM306" i="6"/>
  <c r="CL306" i="6"/>
  <c r="CK306" i="6"/>
  <c r="CJ306" i="6"/>
  <c r="CI306" i="6"/>
  <c r="CH306" i="6"/>
  <c r="CG306" i="6"/>
  <c r="CF306" i="6"/>
  <c r="CE306" i="6"/>
  <c r="CD306" i="6"/>
  <c r="CC306" i="6"/>
  <c r="CB306" i="6"/>
  <c r="CA306" i="6"/>
  <c r="BZ306" i="6"/>
  <c r="BY306" i="6"/>
  <c r="BX306" i="6"/>
  <c r="BW306" i="6"/>
  <c r="BV306" i="6"/>
  <c r="BU306" i="6"/>
  <c r="BT306" i="6"/>
  <c r="BS306" i="6"/>
  <c r="BR306" i="6"/>
  <c r="BQ306" i="6"/>
  <c r="BP306" i="6"/>
  <c r="BO306" i="6"/>
  <c r="BN306" i="6"/>
  <c r="BM306" i="6"/>
  <c r="BL306" i="6"/>
  <c r="BK306" i="6"/>
  <c r="BJ306" i="6"/>
  <c r="BI306" i="6"/>
  <c r="BH306" i="6"/>
  <c r="BG306" i="6"/>
  <c r="BF306" i="6"/>
  <c r="BE306" i="6"/>
  <c r="BD306" i="6"/>
  <c r="BC306" i="6"/>
  <c r="BB306" i="6"/>
  <c r="BA306" i="6"/>
  <c r="AZ306" i="6"/>
  <c r="AY306" i="6"/>
  <c r="AX306" i="6"/>
  <c r="AW306" i="6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306" i="6"/>
  <c r="DL305" i="6"/>
  <c r="DE305" i="6"/>
  <c r="DD305" i="6"/>
  <c r="DC305" i="6"/>
  <c r="DB305" i="6"/>
  <c r="DA305" i="6"/>
  <c r="CZ305" i="6"/>
  <c r="CY305" i="6"/>
  <c r="CX305" i="6"/>
  <c r="CV305" i="6"/>
  <c r="CU305" i="6"/>
  <c r="CT305" i="6"/>
  <c r="CS305" i="6"/>
  <c r="CR305" i="6"/>
  <c r="CQ305" i="6"/>
  <c r="CP305" i="6"/>
  <c r="CO305" i="6"/>
  <c r="CN305" i="6"/>
  <c r="CM305" i="6"/>
  <c r="CL305" i="6"/>
  <c r="CK305" i="6"/>
  <c r="CJ305" i="6"/>
  <c r="CI305" i="6"/>
  <c r="CH305" i="6"/>
  <c r="CG305" i="6"/>
  <c r="CF305" i="6"/>
  <c r="CE305" i="6"/>
  <c r="CD305" i="6"/>
  <c r="CC305" i="6"/>
  <c r="CB305" i="6"/>
  <c r="CA305" i="6"/>
  <c r="BZ305" i="6"/>
  <c r="BY305" i="6"/>
  <c r="BX305" i="6"/>
  <c r="BW305" i="6"/>
  <c r="BV305" i="6"/>
  <c r="BU305" i="6"/>
  <c r="BT305" i="6"/>
  <c r="BS305" i="6"/>
  <c r="BR305" i="6"/>
  <c r="BQ305" i="6"/>
  <c r="BP305" i="6"/>
  <c r="BO305" i="6"/>
  <c r="BN305" i="6"/>
  <c r="BM305" i="6"/>
  <c r="BL305" i="6"/>
  <c r="BK305" i="6"/>
  <c r="BJ305" i="6"/>
  <c r="BI305" i="6"/>
  <c r="BH305" i="6"/>
  <c r="BG305" i="6"/>
  <c r="BF305" i="6"/>
  <c r="BE305" i="6"/>
  <c r="BD305" i="6"/>
  <c r="BC305" i="6"/>
  <c r="BB305" i="6"/>
  <c r="BA305" i="6"/>
  <c r="AZ305" i="6"/>
  <c r="AY305" i="6"/>
  <c r="AX305" i="6"/>
  <c r="AW305" i="6"/>
  <c r="AV305" i="6"/>
  <c r="AU305" i="6"/>
  <c r="AT305" i="6"/>
  <c r="AS305" i="6"/>
  <c r="AR305" i="6"/>
  <c r="AQ305" i="6"/>
  <c r="AP305" i="6"/>
  <c r="AO305" i="6"/>
  <c r="AN305" i="6"/>
  <c r="AM305" i="6"/>
  <c r="AL305" i="6"/>
  <c r="AK305" i="6"/>
  <c r="AJ305" i="6"/>
  <c r="AI305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305" i="6"/>
  <c r="DE303" i="6"/>
  <c r="DD303" i="6"/>
  <c r="DC303" i="6"/>
  <c r="DB303" i="6"/>
  <c r="DA303" i="6"/>
  <c r="CZ303" i="6"/>
  <c r="CY303" i="6"/>
  <c r="CX303" i="6"/>
  <c r="CV303" i="6"/>
  <c r="CU303" i="6"/>
  <c r="CT303" i="6"/>
  <c r="CS303" i="6"/>
  <c r="CR303" i="6"/>
  <c r="CQ303" i="6"/>
  <c r="CP303" i="6"/>
  <c r="CO303" i="6"/>
  <c r="CN303" i="6"/>
  <c r="CM303" i="6"/>
  <c r="CL303" i="6"/>
  <c r="CK303" i="6"/>
  <c r="CJ303" i="6"/>
  <c r="CI303" i="6"/>
  <c r="CH303" i="6"/>
  <c r="CG303" i="6"/>
  <c r="CF303" i="6"/>
  <c r="CE303" i="6"/>
  <c r="CD303" i="6"/>
  <c r="CC303" i="6"/>
  <c r="CB303" i="6"/>
  <c r="CA303" i="6"/>
  <c r="BZ303" i="6"/>
  <c r="BY303" i="6"/>
  <c r="BX303" i="6"/>
  <c r="BW303" i="6"/>
  <c r="BV303" i="6"/>
  <c r="BU303" i="6"/>
  <c r="BT303" i="6"/>
  <c r="BS303" i="6"/>
  <c r="BR303" i="6"/>
  <c r="BQ303" i="6"/>
  <c r="BP303" i="6"/>
  <c r="BO303" i="6"/>
  <c r="BN303" i="6"/>
  <c r="BM303" i="6"/>
  <c r="BL303" i="6"/>
  <c r="BK303" i="6"/>
  <c r="BJ303" i="6"/>
  <c r="BI303" i="6"/>
  <c r="BH303" i="6"/>
  <c r="BG303" i="6"/>
  <c r="BF303" i="6"/>
  <c r="BE303" i="6"/>
  <c r="BD303" i="6"/>
  <c r="BC303" i="6"/>
  <c r="BB303" i="6"/>
  <c r="BA303" i="6"/>
  <c r="AZ303" i="6"/>
  <c r="AY303" i="6"/>
  <c r="AX303" i="6"/>
  <c r="AW303" i="6"/>
  <c r="AV303" i="6"/>
  <c r="AU303" i="6"/>
  <c r="AT303" i="6"/>
  <c r="AS303" i="6"/>
  <c r="AR303" i="6"/>
  <c r="AQ303" i="6"/>
  <c r="AP303" i="6"/>
  <c r="AO303" i="6"/>
  <c r="AN303" i="6"/>
  <c r="AM303" i="6"/>
  <c r="AL303" i="6"/>
  <c r="AK303" i="6"/>
  <c r="AJ303" i="6"/>
  <c r="AI303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303" i="6"/>
  <c r="DE302" i="6"/>
  <c r="DD302" i="6"/>
  <c r="DC302" i="6"/>
  <c r="DB302" i="6"/>
  <c r="DA302" i="6"/>
  <c r="CZ302" i="6"/>
  <c r="CY302" i="6"/>
  <c r="CX302" i="6"/>
  <c r="CV302" i="6"/>
  <c r="CU302" i="6"/>
  <c r="CT302" i="6"/>
  <c r="CS302" i="6"/>
  <c r="CR302" i="6"/>
  <c r="CQ302" i="6"/>
  <c r="CP302" i="6"/>
  <c r="CO302" i="6"/>
  <c r="CN302" i="6"/>
  <c r="CM302" i="6"/>
  <c r="CL302" i="6"/>
  <c r="CK302" i="6"/>
  <c r="CJ302" i="6"/>
  <c r="CI302" i="6"/>
  <c r="CH302" i="6"/>
  <c r="CG302" i="6"/>
  <c r="CF302" i="6"/>
  <c r="CE302" i="6"/>
  <c r="CD302" i="6"/>
  <c r="CC302" i="6"/>
  <c r="CB302" i="6"/>
  <c r="CA302" i="6"/>
  <c r="BZ302" i="6"/>
  <c r="BY302" i="6"/>
  <c r="BX302" i="6"/>
  <c r="BW302" i="6"/>
  <c r="BV302" i="6"/>
  <c r="BU302" i="6"/>
  <c r="BT302" i="6"/>
  <c r="BS302" i="6"/>
  <c r="BR302" i="6"/>
  <c r="BQ302" i="6"/>
  <c r="BP302" i="6"/>
  <c r="BO302" i="6"/>
  <c r="BN302" i="6"/>
  <c r="BM302" i="6"/>
  <c r="BL302" i="6"/>
  <c r="BK302" i="6"/>
  <c r="BJ302" i="6"/>
  <c r="BI302" i="6"/>
  <c r="BH302" i="6"/>
  <c r="BG302" i="6"/>
  <c r="BF302" i="6"/>
  <c r="BE302" i="6"/>
  <c r="BD302" i="6"/>
  <c r="BC302" i="6"/>
  <c r="BB302" i="6"/>
  <c r="BA302" i="6"/>
  <c r="AZ302" i="6"/>
  <c r="AY302" i="6"/>
  <c r="AX302" i="6"/>
  <c r="AW302" i="6"/>
  <c r="AV302" i="6"/>
  <c r="AU302" i="6"/>
  <c r="AT302" i="6"/>
  <c r="AS302" i="6"/>
  <c r="AR302" i="6"/>
  <c r="AQ302" i="6"/>
  <c r="AP302" i="6"/>
  <c r="AO302" i="6"/>
  <c r="AN302" i="6"/>
  <c r="AM302" i="6"/>
  <c r="AL302" i="6"/>
  <c r="AK302" i="6"/>
  <c r="AJ302" i="6"/>
  <c r="AI302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302" i="6"/>
  <c r="DE301" i="6"/>
  <c r="DD301" i="6"/>
  <c r="DC301" i="6"/>
  <c r="DB301" i="6"/>
  <c r="DA301" i="6"/>
  <c r="CZ301" i="6"/>
  <c r="CY301" i="6"/>
  <c r="CX301" i="6"/>
  <c r="CV301" i="6"/>
  <c r="CU301" i="6"/>
  <c r="CT301" i="6"/>
  <c r="CS301" i="6"/>
  <c r="CR301" i="6"/>
  <c r="CQ301" i="6"/>
  <c r="CP301" i="6"/>
  <c r="CO301" i="6"/>
  <c r="CN301" i="6"/>
  <c r="CM301" i="6"/>
  <c r="CL301" i="6"/>
  <c r="CK301" i="6"/>
  <c r="CJ301" i="6"/>
  <c r="CI301" i="6"/>
  <c r="CH301" i="6"/>
  <c r="CG301" i="6"/>
  <c r="CF301" i="6"/>
  <c r="CE301" i="6"/>
  <c r="CD301" i="6"/>
  <c r="CC301" i="6"/>
  <c r="CB301" i="6"/>
  <c r="CA301" i="6"/>
  <c r="BZ301" i="6"/>
  <c r="BY301" i="6"/>
  <c r="BX301" i="6"/>
  <c r="BW301" i="6"/>
  <c r="BV301" i="6"/>
  <c r="BU301" i="6"/>
  <c r="BT301" i="6"/>
  <c r="BS301" i="6"/>
  <c r="BR301" i="6"/>
  <c r="BQ301" i="6"/>
  <c r="BP301" i="6"/>
  <c r="BO301" i="6"/>
  <c r="BN301" i="6"/>
  <c r="BM301" i="6"/>
  <c r="BL301" i="6"/>
  <c r="BK301" i="6"/>
  <c r="BJ301" i="6"/>
  <c r="BI301" i="6"/>
  <c r="BH301" i="6"/>
  <c r="BG301" i="6"/>
  <c r="BF301" i="6"/>
  <c r="BE301" i="6"/>
  <c r="BD301" i="6"/>
  <c r="BC301" i="6"/>
  <c r="BB301" i="6"/>
  <c r="BA301" i="6"/>
  <c r="AZ301" i="6"/>
  <c r="AY301" i="6"/>
  <c r="AX301" i="6"/>
  <c r="AW301" i="6"/>
  <c r="AV301" i="6"/>
  <c r="AU301" i="6"/>
  <c r="AT301" i="6"/>
  <c r="AS301" i="6"/>
  <c r="AR301" i="6"/>
  <c r="AQ301" i="6"/>
  <c r="AP301" i="6"/>
  <c r="AO301" i="6"/>
  <c r="AN301" i="6"/>
  <c r="AM301" i="6"/>
  <c r="AL301" i="6"/>
  <c r="AK301" i="6"/>
  <c r="AJ301" i="6"/>
  <c r="AI301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301" i="6"/>
  <c r="DE300" i="6"/>
  <c r="DD300" i="6"/>
  <c r="DC300" i="6"/>
  <c r="DB300" i="6"/>
  <c r="DA300" i="6"/>
  <c r="CZ300" i="6"/>
  <c r="CY300" i="6"/>
  <c r="CX300" i="6"/>
  <c r="CV300" i="6"/>
  <c r="CU300" i="6"/>
  <c r="CT300" i="6"/>
  <c r="CS300" i="6"/>
  <c r="CR300" i="6"/>
  <c r="CQ300" i="6"/>
  <c r="CP300" i="6"/>
  <c r="CO300" i="6"/>
  <c r="CN300" i="6"/>
  <c r="CM300" i="6"/>
  <c r="CL300" i="6"/>
  <c r="CK300" i="6"/>
  <c r="CJ300" i="6"/>
  <c r="CI300" i="6"/>
  <c r="CH300" i="6"/>
  <c r="CG300" i="6"/>
  <c r="CF300" i="6"/>
  <c r="CE300" i="6"/>
  <c r="CD300" i="6"/>
  <c r="CC300" i="6"/>
  <c r="CB300" i="6"/>
  <c r="CA300" i="6"/>
  <c r="BZ300" i="6"/>
  <c r="BY300" i="6"/>
  <c r="BX300" i="6"/>
  <c r="BW300" i="6"/>
  <c r="BV300" i="6"/>
  <c r="BU300" i="6"/>
  <c r="BT300" i="6"/>
  <c r="BS300" i="6"/>
  <c r="BR300" i="6"/>
  <c r="BQ300" i="6"/>
  <c r="BP300" i="6"/>
  <c r="BO300" i="6"/>
  <c r="BN300" i="6"/>
  <c r="BM300" i="6"/>
  <c r="BL300" i="6"/>
  <c r="BK300" i="6"/>
  <c r="BJ300" i="6"/>
  <c r="BI300" i="6"/>
  <c r="BH300" i="6"/>
  <c r="BG300" i="6"/>
  <c r="BF300" i="6"/>
  <c r="BE300" i="6"/>
  <c r="BD300" i="6"/>
  <c r="BC300" i="6"/>
  <c r="BB300" i="6"/>
  <c r="BA300" i="6"/>
  <c r="AZ300" i="6"/>
  <c r="AY300" i="6"/>
  <c r="AX300" i="6"/>
  <c r="AW300" i="6"/>
  <c r="AV300" i="6"/>
  <c r="AU300" i="6"/>
  <c r="AT300" i="6"/>
  <c r="AS300" i="6"/>
  <c r="AR300" i="6"/>
  <c r="AQ300" i="6"/>
  <c r="AP300" i="6"/>
  <c r="AO300" i="6"/>
  <c r="AN300" i="6"/>
  <c r="AM300" i="6"/>
  <c r="AL300" i="6"/>
  <c r="AK300" i="6"/>
  <c r="AJ300" i="6"/>
  <c r="AI300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300" i="6"/>
  <c r="DE299" i="6"/>
  <c r="DD299" i="6"/>
  <c r="DC299" i="6"/>
  <c r="DB299" i="6"/>
  <c r="DA299" i="6"/>
  <c r="CZ299" i="6"/>
  <c r="CY299" i="6"/>
  <c r="CX299" i="6"/>
  <c r="CV299" i="6"/>
  <c r="CU299" i="6"/>
  <c r="CT299" i="6"/>
  <c r="CS299" i="6"/>
  <c r="CR299" i="6"/>
  <c r="CQ299" i="6"/>
  <c r="CP299" i="6"/>
  <c r="CO299" i="6"/>
  <c r="CN299" i="6"/>
  <c r="CM299" i="6"/>
  <c r="CL299" i="6"/>
  <c r="CK299" i="6"/>
  <c r="CJ299" i="6"/>
  <c r="CI299" i="6"/>
  <c r="CH299" i="6"/>
  <c r="CG299" i="6"/>
  <c r="CF299" i="6"/>
  <c r="CE299" i="6"/>
  <c r="CD299" i="6"/>
  <c r="CC299" i="6"/>
  <c r="CB299" i="6"/>
  <c r="CA299" i="6"/>
  <c r="BZ299" i="6"/>
  <c r="BY299" i="6"/>
  <c r="BX299" i="6"/>
  <c r="BW299" i="6"/>
  <c r="BV299" i="6"/>
  <c r="BU299" i="6"/>
  <c r="BT299" i="6"/>
  <c r="BS299" i="6"/>
  <c r="BR299" i="6"/>
  <c r="BQ299" i="6"/>
  <c r="BP299" i="6"/>
  <c r="BO299" i="6"/>
  <c r="BN299" i="6"/>
  <c r="BM299" i="6"/>
  <c r="BL299" i="6"/>
  <c r="BK299" i="6"/>
  <c r="BJ299" i="6"/>
  <c r="BI299" i="6"/>
  <c r="BH299" i="6"/>
  <c r="BG299" i="6"/>
  <c r="BF299" i="6"/>
  <c r="BE299" i="6"/>
  <c r="BD299" i="6"/>
  <c r="BC299" i="6"/>
  <c r="BB299" i="6"/>
  <c r="BA299" i="6"/>
  <c r="AZ299" i="6"/>
  <c r="AY299" i="6"/>
  <c r="AX299" i="6"/>
  <c r="AW299" i="6"/>
  <c r="AV299" i="6"/>
  <c r="AU299" i="6"/>
  <c r="AT299" i="6"/>
  <c r="AS299" i="6"/>
  <c r="AR299" i="6"/>
  <c r="AQ299" i="6"/>
  <c r="AP299" i="6"/>
  <c r="AO299" i="6"/>
  <c r="AN299" i="6"/>
  <c r="AM299" i="6"/>
  <c r="AL299" i="6"/>
  <c r="AK299" i="6"/>
  <c r="AJ299" i="6"/>
  <c r="AI299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299" i="6"/>
  <c r="DE298" i="6"/>
  <c r="DD298" i="6"/>
  <c r="DC298" i="6"/>
  <c r="DB298" i="6"/>
  <c r="DA298" i="6"/>
  <c r="CZ298" i="6"/>
  <c r="CY298" i="6"/>
  <c r="CX298" i="6"/>
  <c r="CV298" i="6"/>
  <c r="CU298" i="6"/>
  <c r="CT298" i="6"/>
  <c r="CS298" i="6"/>
  <c r="CR298" i="6"/>
  <c r="CQ298" i="6"/>
  <c r="CP298" i="6"/>
  <c r="CO298" i="6"/>
  <c r="CN298" i="6"/>
  <c r="CM298" i="6"/>
  <c r="CL298" i="6"/>
  <c r="CK298" i="6"/>
  <c r="CJ298" i="6"/>
  <c r="CI298" i="6"/>
  <c r="CH298" i="6"/>
  <c r="CG298" i="6"/>
  <c r="CF298" i="6"/>
  <c r="CE298" i="6"/>
  <c r="CD298" i="6"/>
  <c r="CC298" i="6"/>
  <c r="CB298" i="6"/>
  <c r="CA298" i="6"/>
  <c r="BZ298" i="6"/>
  <c r="BY298" i="6"/>
  <c r="BX298" i="6"/>
  <c r="BW298" i="6"/>
  <c r="BV298" i="6"/>
  <c r="BU298" i="6"/>
  <c r="BT298" i="6"/>
  <c r="BS298" i="6"/>
  <c r="BR298" i="6"/>
  <c r="BQ298" i="6"/>
  <c r="BP298" i="6"/>
  <c r="BO298" i="6"/>
  <c r="BN298" i="6"/>
  <c r="BM298" i="6"/>
  <c r="BL298" i="6"/>
  <c r="BK298" i="6"/>
  <c r="BJ298" i="6"/>
  <c r="BI298" i="6"/>
  <c r="BH298" i="6"/>
  <c r="BG298" i="6"/>
  <c r="BF298" i="6"/>
  <c r="BE298" i="6"/>
  <c r="BD298" i="6"/>
  <c r="BC298" i="6"/>
  <c r="BB298" i="6"/>
  <c r="BA298" i="6"/>
  <c r="AZ298" i="6"/>
  <c r="AY298" i="6"/>
  <c r="AX298" i="6"/>
  <c r="AW298" i="6"/>
  <c r="AV298" i="6"/>
  <c r="AU298" i="6"/>
  <c r="AT298" i="6"/>
  <c r="AS298" i="6"/>
  <c r="AR298" i="6"/>
  <c r="AQ298" i="6"/>
  <c r="AP298" i="6"/>
  <c r="AO298" i="6"/>
  <c r="AN298" i="6"/>
  <c r="AM298" i="6"/>
  <c r="AL298" i="6"/>
  <c r="AK298" i="6"/>
  <c r="AJ298" i="6"/>
  <c r="AI298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298" i="6"/>
  <c r="DE297" i="6"/>
  <c r="DD297" i="6"/>
  <c r="DC297" i="6"/>
  <c r="DB297" i="6"/>
  <c r="DA297" i="6"/>
  <c r="CZ297" i="6"/>
  <c r="CY297" i="6"/>
  <c r="CX297" i="6"/>
  <c r="CV297" i="6"/>
  <c r="CU297" i="6"/>
  <c r="CT297" i="6"/>
  <c r="CS297" i="6"/>
  <c r="CR297" i="6"/>
  <c r="CQ297" i="6"/>
  <c r="CP297" i="6"/>
  <c r="CO297" i="6"/>
  <c r="CN297" i="6"/>
  <c r="CM297" i="6"/>
  <c r="CL297" i="6"/>
  <c r="CK297" i="6"/>
  <c r="CJ297" i="6"/>
  <c r="CI297" i="6"/>
  <c r="CH297" i="6"/>
  <c r="CG297" i="6"/>
  <c r="CF297" i="6"/>
  <c r="CE297" i="6"/>
  <c r="CD297" i="6"/>
  <c r="CC297" i="6"/>
  <c r="CB297" i="6"/>
  <c r="CA297" i="6"/>
  <c r="BZ297" i="6"/>
  <c r="BY297" i="6"/>
  <c r="BX297" i="6"/>
  <c r="BW297" i="6"/>
  <c r="BV297" i="6"/>
  <c r="BU297" i="6"/>
  <c r="BT297" i="6"/>
  <c r="BS297" i="6"/>
  <c r="BR297" i="6"/>
  <c r="BQ297" i="6"/>
  <c r="BP297" i="6"/>
  <c r="BO297" i="6"/>
  <c r="BN297" i="6"/>
  <c r="BM297" i="6"/>
  <c r="BL297" i="6"/>
  <c r="BK297" i="6"/>
  <c r="BJ297" i="6"/>
  <c r="BI297" i="6"/>
  <c r="BH297" i="6"/>
  <c r="BG297" i="6"/>
  <c r="BF297" i="6"/>
  <c r="BE297" i="6"/>
  <c r="BD297" i="6"/>
  <c r="BC297" i="6"/>
  <c r="BB297" i="6"/>
  <c r="BA297" i="6"/>
  <c r="AZ297" i="6"/>
  <c r="AY297" i="6"/>
  <c r="AX297" i="6"/>
  <c r="AW297" i="6"/>
  <c r="AV297" i="6"/>
  <c r="AU297" i="6"/>
  <c r="AT297" i="6"/>
  <c r="AS297" i="6"/>
  <c r="AR297" i="6"/>
  <c r="AQ297" i="6"/>
  <c r="AP297" i="6"/>
  <c r="AO297" i="6"/>
  <c r="AN297" i="6"/>
  <c r="AM297" i="6"/>
  <c r="AL297" i="6"/>
  <c r="AK297" i="6"/>
  <c r="AJ297" i="6"/>
  <c r="AI297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297" i="6"/>
  <c r="DE296" i="6"/>
  <c r="DD296" i="6"/>
  <c r="DC296" i="6"/>
  <c r="DB296" i="6"/>
  <c r="DA296" i="6"/>
  <c r="CZ296" i="6"/>
  <c r="CY296" i="6"/>
  <c r="CX296" i="6"/>
  <c r="CV296" i="6"/>
  <c r="CU296" i="6"/>
  <c r="CT296" i="6"/>
  <c r="CS296" i="6"/>
  <c r="CR296" i="6"/>
  <c r="CQ296" i="6"/>
  <c r="CP296" i="6"/>
  <c r="CO296" i="6"/>
  <c r="CN296" i="6"/>
  <c r="CM296" i="6"/>
  <c r="CL296" i="6"/>
  <c r="CK296" i="6"/>
  <c r="CJ296" i="6"/>
  <c r="CI296" i="6"/>
  <c r="CH296" i="6"/>
  <c r="CG296" i="6"/>
  <c r="CF296" i="6"/>
  <c r="CE296" i="6"/>
  <c r="CD296" i="6"/>
  <c r="CC296" i="6"/>
  <c r="CB296" i="6"/>
  <c r="CA296" i="6"/>
  <c r="BZ296" i="6"/>
  <c r="BY296" i="6"/>
  <c r="BX296" i="6"/>
  <c r="BW296" i="6"/>
  <c r="BV296" i="6"/>
  <c r="BU296" i="6"/>
  <c r="BT296" i="6"/>
  <c r="BS296" i="6"/>
  <c r="BR296" i="6"/>
  <c r="BQ296" i="6"/>
  <c r="BP296" i="6"/>
  <c r="BO296" i="6"/>
  <c r="BN296" i="6"/>
  <c r="BM296" i="6"/>
  <c r="BL296" i="6"/>
  <c r="BK296" i="6"/>
  <c r="BJ296" i="6"/>
  <c r="BI296" i="6"/>
  <c r="BH296" i="6"/>
  <c r="BG296" i="6"/>
  <c r="BF296" i="6"/>
  <c r="BE296" i="6"/>
  <c r="BD296" i="6"/>
  <c r="BC296" i="6"/>
  <c r="BB296" i="6"/>
  <c r="BA296" i="6"/>
  <c r="AZ296" i="6"/>
  <c r="AY296" i="6"/>
  <c r="AX296" i="6"/>
  <c r="AW296" i="6"/>
  <c r="AV296" i="6"/>
  <c r="AU296" i="6"/>
  <c r="AT296" i="6"/>
  <c r="AS296" i="6"/>
  <c r="AR296" i="6"/>
  <c r="AQ296" i="6"/>
  <c r="AP296" i="6"/>
  <c r="AO296" i="6"/>
  <c r="AN296" i="6"/>
  <c r="AM296" i="6"/>
  <c r="AL296" i="6"/>
  <c r="AK296" i="6"/>
  <c r="AJ296" i="6"/>
  <c r="AI296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296" i="6"/>
  <c r="DE295" i="6"/>
  <c r="DD295" i="6"/>
  <c r="DC295" i="6"/>
  <c r="DB295" i="6"/>
  <c r="DA295" i="6"/>
  <c r="CZ295" i="6"/>
  <c r="CY295" i="6"/>
  <c r="CX295" i="6"/>
  <c r="CV295" i="6"/>
  <c r="CU295" i="6"/>
  <c r="CT295" i="6"/>
  <c r="CS295" i="6"/>
  <c r="CR295" i="6"/>
  <c r="CQ295" i="6"/>
  <c r="CP295" i="6"/>
  <c r="CO295" i="6"/>
  <c r="CN295" i="6"/>
  <c r="CM295" i="6"/>
  <c r="CL295" i="6"/>
  <c r="CK295" i="6"/>
  <c r="CJ295" i="6"/>
  <c r="CI295" i="6"/>
  <c r="CH295" i="6"/>
  <c r="CG295" i="6"/>
  <c r="CF295" i="6"/>
  <c r="CE295" i="6"/>
  <c r="CD295" i="6"/>
  <c r="CC295" i="6"/>
  <c r="CB295" i="6"/>
  <c r="CA295" i="6"/>
  <c r="BZ295" i="6"/>
  <c r="BY295" i="6"/>
  <c r="BX295" i="6"/>
  <c r="BW295" i="6"/>
  <c r="BV295" i="6"/>
  <c r="BU295" i="6"/>
  <c r="BT295" i="6"/>
  <c r="BS295" i="6"/>
  <c r="BR295" i="6"/>
  <c r="BQ295" i="6"/>
  <c r="BP295" i="6"/>
  <c r="BO295" i="6"/>
  <c r="BN295" i="6"/>
  <c r="BM295" i="6"/>
  <c r="BL295" i="6"/>
  <c r="BK295" i="6"/>
  <c r="BJ295" i="6"/>
  <c r="BI295" i="6"/>
  <c r="BH295" i="6"/>
  <c r="BG295" i="6"/>
  <c r="BF295" i="6"/>
  <c r="BE295" i="6"/>
  <c r="BD295" i="6"/>
  <c r="BC295" i="6"/>
  <c r="BB295" i="6"/>
  <c r="BA295" i="6"/>
  <c r="AZ295" i="6"/>
  <c r="AY295" i="6"/>
  <c r="AX295" i="6"/>
  <c r="AW295" i="6"/>
  <c r="AV295" i="6"/>
  <c r="AU295" i="6"/>
  <c r="AT295" i="6"/>
  <c r="AS295" i="6"/>
  <c r="AR295" i="6"/>
  <c r="AQ295" i="6"/>
  <c r="AP295" i="6"/>
  <c r="AO295" i="6"/>
  <c r="AN295" i="6"/>
  <c r="AM295" i="6"/>
  <c r="AL295" i="6"/>
  <c r="AK295" i="6"/>
  <c r="AJ295" i="6"/>
  <c r="AI295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295" i="6"/>
  <c r="DE294" i="6"/>
  <c r="DD294" i="6"/>
  <c r="DC294" i="6"/>
  <c r="DB294" i="6"/>
  <c r="DA294" i="6"/>
  <c r="CZ294" i="6"/>
  <c r="CY294" i="6"/>
  <c r="CX294" i="6"/>
  <c r="CV294" i="6"/>
  <c r="CU294" i="6"/>
  <c r="CT294" i="6"/>
  <c r="CS294" i="6"/>
  <c r="CR294" i="6"/>
  <c r="CQ294" i="6"/>
  <c r="CP294" i="6"/>
  <c r="CO294" i="6"/>
  <c r="CN294" i="6"/>
  <c r="CM294" i="6"/>
  <c r="CL294" i="6"/>
  <c r="CK294" i="6"/>
  <c r="CJ294" i="6"/>
  <c r="CI294" i="6"/>
  <c r="CH294" i="6"/>
  <c r="CG294" i="6"/>
  <c r="CF294" i="6"/>
  <c r="CE294" i="6"/>
  <c r="CD294" i="6"/>
  <c r="CC294" i="6"/>
  <c r="CB294" i="6"/>
  <c r="CA294" i="6"/>
  <c r="BZ294" i="6"/>
  <c r="BY294" i="6"/>
  <c r="BX294" i="6"/>
  <c r="BW294" i="6"/>
  <c r="BV294" i="6"/>
  <c r="BU294" i="6"/>
  <c r="BT294" i="6"/>
  <c r="BS294" i="6"/>
  <c r="BR294" i="6"/>
  <c r="BQ294" i="6"/>
  <c r="BP294" i="6"/>
  <c r="BO294" i="6"/>
  <c r="BN294" i="6"/>
  <c r="BM294" i="6"/>
  <c r="BL294" i="6"/>
  <c r="BK294" i="6"/>
  <c r="BJ294" i="6"/>
  <c r="BI294" i="6"/>
  <c r="BH294" i="6"/>
  <c r="BG294" i="6"/>
  <c r="BF294" i="6"/>
  <c r="BE294" i="6"/>
  <c r="BD294" i="6"/>
  <c r="BC294" i="6"/>
  <c r="BB294" i="6"/>
  <c r="BA294" i="6"/>
  <c r="AZ294" i="6"/>
  <c r="AY294" i="6"/>
  <c r="AX294" i="6"/>
  <c r="AW294" i="6"/>
  <c r="AV294" i="6"/>
  <c r="AU294" i="6"/>
  <c r="AT294" i="6"/>
  <c r="AS294" i="6"/>
  <c r="AR294" i="6"/>
  <c r="AQ294" i="6"/>
  <c r="AP294" i="6"/>
  <c r="AO294" i="6"/>
  <c r="AN294" i="6"/>
  <c r="AM294" i="6"/>
  <c r="AL294" i="6"/>
  <c r="AK294" i="6"/>
  <c r="AJ294" i="6"/>
  <c r="AI294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294" i="6"/>
  <c r="DE293" i="6"/>
  <c r="DD293" i="6"/>
  <c r="DC293" i="6"/>
  <c r="DB293" i="6"/>
  <c r="DA293" i="6"/>
  <c r="CZ293" i="6"/>
  <c r="CY293" i="6"/>
  <c r="CX293" i="6"/>
  <c r="CV293" i="6"/>
  <c r="CU293" i="6"/>
  <c r="CT293" i="6"/>
  <c r="CS293" i="6"/>
  <c r="CR293" i="6"/>
  <c r="CQ293" i="6"/>
  <c r="CP293" i="6"/>
  <c r="CO293" i="6"/>
  <c r="CN293" i="6"/>
  <c r="CM293" i="6"/>
  <c r="CL293" i="6"/>
  <c r="CK293" i="6"/>
  <c r="CJ293" i="6"/>
  <c r="CI293" i="6"/>
  <c r="CH293" i="6"/>
  <c r="CG293" i="6"/>
  <c r="CF293" i="6"/>
  <c r="CE293" i="6"/>
  <c r="CD293" i="6"/>
  <c r="CC293" i="6"/>
  <c r="CB293" i="6"/>
  <c r="CA293" i="6"/>
  <c r="BZ293" i="6"/>
  <c r="BY293" i="6"/>
  <c r="BX293" i="6"/>
  <c r="BW293" i="6"/>
  <c r="BV293" i="6"/>
  <c r="BU293" i="6"/>
  <c r="BT293" i="6"/>
  <c r="BS293" i="6"/>
  <c r="BR293" i="6"/>
  <c r="BQ293" i="6"/>
  <c r="BP293" i="6"/>
  <c r="BO293" i="6"/>
  <c r="BN293" i="6"/>
  <c r="BM293" i="6"/>
  <c r="BL293" i="6"/>
  <c r="BK293" i="6"/>
  <c r="BJ293" i="6"/>
  <c r="BI293" i="6"/>
  <c r="BH293" i="6"/>
  <c r="BG293" i="6"/>
  <c r="BF293" i="6"/>
  <c r="BE293" i="6"/>
  <c r="BD293" i="6"/>
  <c r="BC293" i="6"/>
  <c r="BB293" i="6"/>
  <c r="BA293" i="6"/>
  <c r="AZ293" i="6"/>
  <c r="AY293" i="6"/>
  <c r="AX293" i="6"/>
  <c r="AW293" i="6"/>
  <c r="AV293" i="6"/>
  <c r="AU293" i="6"/>
  <c r="AT293" i="6"/>
  <c r="AS293" i="6"/>
  <c r="AR293" i="6"/>
  <c r="AQ293" i="6"/>
  <c r="AP293" i="6"/>
  <c r="AO293" i="6"/>
  <c r="AN293" i="6"/>
  <c r="AM293" i="6"/>
  <c r="AL293" i="6"/>
  <c r="AK293" i="6"/>
  <c r="AJ293" i="6"/>
  <c r="AI293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293" i="6"/>
  <c r="DE292" i="6"/>
  <c r="DD292" i="6"/>
  <c r="DC292" i="6"/>
  <c r="DB292" i="6"/>
  <c r="DA292" i="6"/>
  <c r="CZ292" i="6"/>
  <c r="CY292" i="6"/>
  <c r="CX292" i="6"/>
  <c r="CV292" i="6"/>
  <c r="CU292" i="6"/>
  <c r="CT292" i="6"/>
  <c r="CS292" i="6"/>
  <c r="CR292" i="6"/>
  <c r="CQ292" i="6"/>
  <c r="CP292" i="6"/>
  <c r="CO292" i="6"/>
  <c r="CN292" i="6"/>
  <c r="CM292" i="6"/>
  <c r="CL292" i="6"/>
  <c r="CK292" i="6"/>
  <c r="CJ292" i="6"/>
  <c r="CI292" i="6"/>
  <c r="CH292" i="6"/>
  <c r="CG292" i="6"/>
  <c r="CF292" i="6"/>
  <c r="CE292" i="6"/>
  <c r="CD292" i="6"/>
  <c r="CC292" i="6"/>
  <c r="CB292" i="6"/>
  <c r="CA292" i="6"/>
  <c r="BZ292" i="6"/>
  <c r="BY292" i="6"/>
  <c r="BX292" i="6"/>
  <c r="BW292" i="6"/>
  <c r="BV292" i="6"/>
  <c r="BU292" i="6"/>
  <c r="BT292" i="6"/>
  <c r="BS292" i="6"/>
  <c r="BR292" i="6"/>
  <c r="BQ292" i="6"/>
  <c r="BP292" i="6"/>
  <c r="BO292" i="6"/>
  <c r="BN292" i="6"/>
  <c r="BM292" i="6"/>
  <c r="BL292" i="6"/>
  <c r="BK292" i="6"/>
  <c r="BJ292" i="6"/>
  <c r="BI292" i="6"/>
  <c r="BH292" i="6"/>
  <c r="BG292" i="6"/>
  <c r="BF292" i="6"/>
  <c r="BE292" i="6"/>
  <c r="BD292" i="6"/>
  <c r="BC292" i="6"/>
  <c r="BB292" i="6"/>
  <c r="BA292" i="6"/>
  <c r="AZ292" i="6"/>
  <c r="AY292" i="6"/>
  <c r="AX292" i="6"/>
  <c r="AW292" i="6"/>
  <c r="AV292" i="6"/>
  <c r="AU292" i="6"/>
  <c r="AT292" i="6"/>
  <c r="AS292" i="6"/>
  <c r="AR292" i="6"/>
  <c r="AQ292" i="6"/>
  <c r="AP292" i="6"/>
  <c r="AO292" i="6"/>
  <c r="AN292" i="6"/>
  <c r="AM292" i="6"/>
  <c r="AL292" i="6"/>
  <c r="AK292" i="6"/>
  <c r="AJ292" i="6"/>
  <c r="AI292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292" i="6"/>
  <c r="DE291" i="6"/>
  <c r="DD291" i="6"/>
  <c r="DC291" i="6"/>
  <c r="DB291" i="6"/>
  <c r="DA291" i="6"/>
  <c r="CZ291" i="6"/>
  <c r="CY291" i="6"/>
  <c r="CX291" i="6"/>
  <c r="CV291" i="6"/>
  <c r="CU291" i="6"/>
  <c r="CT291" i="6"/>
  <c r="CS291" i="6"/>
  <c r="CR291" i="6"/>
  <c r="CQ291" i="6"/>
  <c r="CP291" i="6"/>
  <c r="CO291" i="6"/>
  <c r="CN291" i="6"/>
  <c r="CM291" i="6"/>
  <c r="CL291" i="6"/>
  <c r="CK291" i="6"/>
  <c r="CJ291" i="6"/>
  <c r="CI291" i="6"/>
  <c r="CH291" i="6"/>
  <c r="CG291" i="6"/>
  <c r="CF291" i="6"/>
  <c r="CE291" i="6"/>
  <c r="CD291" i="6"/>
  <c r="CC291" i="6"/>
  <c r="CB291" i="6"/>
  <c r="CA291" i="6"/>
  <c r="BZ291" i="6"/>
  <c r="BY291" i="6"/>
  <c r="BX291" i="6"/>
  <c r="BW291" i="6"/>
  <c r="BV291" i="6"/>
  <c r="BU291" i="6"/>
  <c r="BT291" i="6"/>
  <c r="BS291" i="6"/>
  <c r="BR291" i="6"/>
  <c r="BQ291" i="6"/>
  <c r="BP291" i="6"/>
  <c r="BO291" i="6"/>
  <c r="BN291" i="6"/>
  <c r="BM291" i="6"/>
  <c r="BL291" i="6"/>
  <c r="BK291" i="6"/>
  <c r="BJ291" i="6"/>
  <c r="BI291" i="6"/>
  <c r="BH291" i="6"/>
  <c r="BG291" i="6"/>
  <c r="BF291" i="6"/>
  <c r="BE291" i="6"/>
  <c r="BD291" i="6"/>
  <c r="BC291" i="6"/>
  <c r="BB291" i="6"/>
  <c r="BA291" i="6"/>
  <c r="AZ291" i="6"/>
  <c r="AY291" i="6"/>
  <c r="AX291" i="6"/>
  <c r="AW291" i="6"/>
  <c r="AV291" i="6"/>
  <c r="AU291" i="6"/>
  <c r="AT291" i="6"/>
  <c r="AS291" i="6"/>
  <c r="AR291" i="6"/>
  <c r="AQ291" i="6"/>
  <c r="AP291" i="6"/>
  <c r="AO291" i="6"/>
  <c r="AN291" i="6"/>
  <c r="AM291" i="6"/>
  <c r="AL291" i="6"/>
  <c r="AK291" i="6"/>
  <c r="AJ291" i="6"/>
  <c r="AI291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291" i="6"/>
  <c r="DE290" i="6"/>
  <c r="DD290" i="6"/>
  <c r="DC290" i="6"/>
  <c r="DB290" i="6"/>
  <c r="DA290" i="6"/>
  <c r="CZ290" i="6"/>
  <c r="CY290" i="6"/>
  <c r="CX290" i="6"/>
  <c r="CV290" i="6"/>
  <c r="CU290" i="6"/>
  <c r="CT290" i="6"/>
  <c r="CS290" i="6"/>
  <c r="CR290" i="6"/>
  <c r="CQ290" i="6"/>
  <c r="CP290" i="6"/>
  <c r="CO290" i="6"/>
  <c r="CN290" i="6"/>
  <c r="CM290" i="6"/>
  <c r="CL290" i="6"/>
  <c r="CK290" i="6"/>
  <c r="CJ290" i="6"/>
  <c r="CI290" i="6"/>
  <c r="CH290" i="6"/>
  <c r="CG290" i="6"/>
  <c r="CF290" i="6"/>
  <c r="CE290" i="6"/>
  <c r="CD290" i="6"/>
  <c r="CC290" i="6"/>
  <c r="CB290" i="6"/>
  <c r="CA290" i="6"/>
  <c r="BZ290" i="6"/>
  <c r="BY290" i="6"/>
  <c r="BX290" i="6"/>
  <c r="BW290" i="6"/>
  <c r="BV290" i="6"/>
  <c r="BU290" i="6"/>
  <c r="BT290" i="6"/>
  <c r="BS290" i="6"/>
  <c r="BR290" i="6"/>
  <c r="BQ290" i="6"/>
  <c r="BP290" i="6"/>
  <c r="BO290" i="6"/>
  <c r="BN290" i="6"/>
  <c r="BM290" i="6"/>
  <c r="BL290" i="6"/>
  <c r="BK290" i="6"/>
  <c r="BJ290" i="6"/>
  <c r="BI290" i="6"/>
  <c r="BH290" i="6"/>
  <c r="BG290" i="6"/>
  <c r="BF290" i="6"/>
  <c r="BE290" i="6"/>
  <c r="BD290" i="6"/>
  <c r="BC290" i="6"/>
  <c r="BB290" i="6"/>
  <c r="BA290" i="6"/>
  <c r="AZ290" i="6"/>
  <c r="AY290" i="6"/>
  <c r="AX290" i="6"/>
  <c r="AW290" i="6"/>
  <c r="AV290" i="6"/>
  <c r="AU290" i="6"/>
  <c r="AT290" i="6"/>
  <c r="AS290" i="6"/>
  <c r="AR290" i="6"/>
  <c r="AQ290" i="6"/>
  <c r="AP290" i="6"/>
  <c r="AO290" i="6"/>
  <c r="AN290" i="6"/>
  <c r="AM290" i="6"/>
  <c r="AL290" i="6"/>
  <c r="AK290" i="6"/>
  <c r="AJ290" i="6"/>
  <c r="AI290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290" i="6"/>
  <c r="DE289" i="6"/>
  <c r="DD289" i="6"/>
  <c r="DC289" i="6"/>
  <c r="DB289" i="6"/>
  <c r="DA289" i="6"/>
  <c r="CZ289" i="6"/>
  <c r="CY289" i="6"/>
  <c r="CX289" i="6"/>
  <c r="CV289" i="6"/>
  <c r="CU289" i="6"/>
  <c r="CT289" i="6"/>
  <c r="CS289" i="6"/>
  <c r="CR289" i="6"/>
  <c r="CQ289" i="6"/>
  <c r="CP289" i="6"/>
  <c r="CO289" i="6"/>
  <c r="CN289" i="6"/>
  <c r="CM289" i="6"/>
  <c r="CL289" i="6"/>
  <c r="CK289" i="6"/>
  <c r="CJ289" i="6"/>
  <c r="CI289" i="6"/>
  <c r="CH289" i="6"/>
  <c r="CG289" i="6"/>
  <c r="CF289" i="6"/>
  <c r="CE289" i="6"/>
  <c r="CD289" i="6"/>
  <c r="CC289" i="6"/>
  <c r="CB289" i="6"/>
  <c r="CA289" i="6"/>
  <c r="BZ289" i="6"/>
  <c r="BY289" i="6"/>
  <c r="BX289" i="6"/>
  <c r="BW289" i="6"/>
  <c r="BV289" i="6"/>
  <c r="BU289" i="6"/>
  <c r="BT289" i="6"/>
  <c r="BS289" i="6"/>
  <c r="BR289" i="6"/>
  <c r="BQ289" i="6"/>
  <c r="BP289" i="6"/>
  <c r="BO289" i="6"/>
  <c r="BN289" i="6"/>
  <c r="BM289" i="6"/>
  <c r="BL289" i="6"/>
  <c r="BK289" i="6"/>
  <c r="BJ289" i="6"/>
  <c r="BI289" i="6"/>
  <c r="BH289" i="6"/>
  <c r="BG289" i="6"/>
  <c r="BF289" i="6"/>
  <c r="BE289" i="6"/>
  <c r="BD289" i="6"/>
  <c r="BC289" i="6"/>
  <c r="BB289" i="6"/>
  <c r="BA289" i="6"/>
  <c r="AZ289" i="6"/>
  <c r="AY289" i="6"/>
  <c r="AX289" i="6"/>
  <c r="AW289" i="6"/>
  <c r="AV289" i="6"/>
  <c r="AU289" i="6"/>
  <c r="AT289" i="6"/>
  <c r="AS289" i="6"/>
  <c r="AR289" i="6"/>
  <c r="AQ289" i="6"/>
  <c r="AP289" i="6"/>
  <c r="AO289" i="6"/>
  <c r="AN289" i="6"/>
  <c r="AM289" i="6"/>
  <c r="AL289" i="6"/>
  <c r="AK289" i="6"/>
  <c r="AJ289" i="6"/>
  <c r="AI289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289" i="6"/>
  <c r="DE288" i="6"/>
  <c r="DD288" i="6"/>
  <c r="DC288" i="6"/>
  <c r="DB288" i="6"/>
  <c r="DA288" i="6"/>
  <c r="CZ288" i="6"/>
  <c r="CY288" i="6"/>
  <c r="CX288" i="6"/>
  <c r="CV288" i="6"/>
  <c r="CU288" i="6"/>
  <c r="CT288" i="6"/>
  <c r="CS288" i="6"/>
  <c r="CR288" i="6"/>
  <c r="CQ288" i="6"/>
  <c r="CP288" i="6"/>
  <c r="CO288" i="6"/>
  <c r="CN288" i="6"/>
  <c r="CM288" i="6"/>
  <c r="CL288" i="6"/>
  <c r="CK288" i="6"/>
  <c r="CJ288" i="6"/>
  <c r="CI288" i="6"/>
  <c r="CH288" i="6"/>
  <c r="CG288" i="6"/>
  <c r="CF288" i="6"/>
  <c r="CE288" i="6"/>
  <c r="CD288" i="6"/>
  <c r="CC288" i="6"/>
  <c r="CB288" i="6"/>
  <c r="CA288" i="6"/>
  <c r="BZ288" i="6"/>
  <c r="BY288" i="6"/>
  <c r="BX288" i="6"/>
  <c r="BW288" i="6"/>
  <c r="BV288" i="6"/>
  <c r="BU288" i="6"/>
  <c r="BT288" i="6"/>
  <c r="BS288" i="6"/>
  <c r="BR288" i="6"/>
  <c r="BQ288" i="6"/>
  <c r="BP288" i="6"/>
  <c r="BO288" i="6"/>
  <c r="BN288" i="6"/>
  <c r="BM288" i="6"/>
  <c r="BL288" i="6"/>
  <c r="BK288" i="6"/>
  <c r="BJ288" i="6"/>
  <c r="BI288" i="6"/>
  <c r="BH288" i="6"/>
  <c r="BG288" i="6"/>
  <c r="BF288" i="6"/>
  <c r="BE288" i="6"/>
  <c r="BD288" i="6"/>
  <c r="BC288" i="6"/>
  <c r="BB288" i="6"/>
  <c r="BA288" i="6"/>
  <c r="AZ288" i="6"/>
  <c r="AY288" i="6"/>
  <c r="AX288" i="6"/>
  <c r="AW288" i="6"/>
  <c r="AV288" i="6"/>
  <c r="AU288" i="6"/>
  <c r="AT288" i="6"/>
  <c r="AS288" i="6"/>
  <c r="AR288" i="6"/>
  <c r="AQ288" i="6"/>
  <c r="AP288" i="6"/>
  <c r="AO288" i="6"/>
  <c r="AN288" i="6"/>
  <c r="AM288" i="6"/>
  <c r="AL288" i="6"/>
  <c r="AK288" i="6"/>
  <c r="AJ288" i="6"/>
  <c r="AI288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288" i="6"/>
  <c r="DE287" i="6"/>
  <c r="DD287" i="6"/>
  <c r="DC287" i="6"/>
  <c r="DB287" i="6"/>
  <c r="DA287" i="6"/>
  <c r="CZ287" i="6"/>
  <c r="CY287" i="6"/>
  <c r="CX287" i="6"/>
  <c r="CV287" i="6"/>
  <c r="CU287" i="6"/>
  <c r="CT287" i="6"/>
  <c r="CS287" i="6"/>
  <c r="CR287" i="6"/>
  <c r="CQ287" i="6"/>
  <c r="CP287" i="6"/>
  <c r="CO287" i="6"/>
  <c r="CN287" i="6"/>
  <c r="CM287" i="6"/>
  <c r="CL287" i="6"/>
  <c r="CK287" i="6"/>
  <c r="CJ287" i="6"/>
  <c r="CI287" i="6"/>
  <c r="CH287" i="6"/>
  <c r="CG287" i="6"/>
  <c r="CF287" i="6"/>
  <c r="CE287" i="6"/>
  <c r="CD287" i="6"/>
  <c r="CC287" i="6"/>
  <c r="CB287" i="6"/>
  <c r="CA287" i="6"/>
  <c r="BZ287" i="6"/>
  <c r="BY287" i="6"/>
  <c r="BX287" i="6"/>
  <c r="BW287" i="6"/>
  <c r="BV287" i="6"/>
  <c r="BU287" i="6"/>
  <c r="BT287" i="6"/>
  <c r="BS287" i="6"/>
  <c r="BR287" i="6"/>
  <c r="BQ287" i="6"/>
  <c r="BP287" i="6"/>
  <c r="BO287" i="6"/>
  <c r="BN287" i="6"/>
  <c r="BM287" i="6"/>
  <c r="BL287" i="6"/>
  <c r="BK287" i="6"/>
  <c r="BJ287" i="6"/>
  <c r="BI287" i="6"/>
  <c r="BH287" i="6"/>
  <c r="BG287" i="6"/>
  <c r="BF287" i="6"/>
  <c r="BE287" i="6"/>
  <c r="BD287" i="6"/>
  <c r="BC287" i="6"/>
  <c r="BB287" i="6"/>
  <c r="BA287" i="6"/>
  <c r="AZ287" i="6"/>
  <c r="AY287" i="6"/>
  <c r="AX287" i="6"/>
  <c r="AW287" i="6"/>
  <c r="AV287" i="6"/>
  <c r="AU287" i="6"/>
  <c r="AT287" i="6"/>
  <c r="AS287" i="6"/>
  <c r="AR287" i="6"/>
  <c r="AQ287" i="6"/>
  <c r="AP287" i="6"/>
  <c r="AO287" i="6"/>
  <c r="AN287" i="6"/>
  <c r="AM287" i="6"/>
  <c r="AL287" i="6"/>
  <c r="AK287" i="6"/>
  <c r="AJ287" i="6"/>
  <c r="AI287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287" i="6"/>
  <c r="DE286" i="6"/>
  <c r="DD286" i="6"/>
  <c r="DC286" i="6"/>
  <c r="DB286" i="6"/>
  <c r="DA286" i="6"/>
  <c r="CZ286" i="6"/>
  <c r="CY286" i="6"/>
  <c r="CX286" i="6"/>
  <c r="CV286" i="6"/>
  <c r="CU286" i="6"/>
  <c r="CT286" i="6"/>
  <c r="CS286" i="6"/>
  <c r="CR286" i="6"/>
  <c r="CQ286" i="6"/>
  <c r="CP286" i="6"/>
  <c r="CO286" i="6"/>
  <c r="CN286" i="6"/>
  <c r="CM286" i="6"/>
  <c r="CL286" i="6"/>
  <c r="CK286" i="6"/>
  <c r="CJ286" i="6"/>
  <c r="CI286" i="6"/>
  <c r="CH286" i="6"/>
  <c r="CG286" i="6"/>
  <c r="CF286" i="6"/>
  <c r="CE286" i="6"/>
  <c r="CD286" i="6"/>
  <c r="CC286" i="6"/>
  <c r="CB286" i="6"/>
  <c r="CA286" i="6"/>
  <c r="BZ286" i="6"/>
  <c r="BY286" i="6"/>
  <c r="BX286" i="6"/>
  <c r="BW286" i="6"/>
  <c r="BV286" i="6"/>
  <c r="BU286" i="6"/>
  <c r="BT286" i="6"/>
  <c r="BS286" i="6"/>
  <c r="BR286" i="6"/>
  <c r="BQ286" i="6"/>
  <c r="BP286" i="6"/>
  <c r="BO286" i="6"/>
  <c r="BN286" i="6"/>
  <c r="BM286" i="6"/>
  <c r="BL286" i="6"/>
  <c r="BK286" i="6"/>
  <c r="BJ286" i="6"/>
  <c r="BI286" i="6"/>
  <c r="BH286" i="6"/>
  <c r="BG286" i="6"/>
  <c r="BF286" i="6"/>
  <c r="BE286" i="6"/>
  <c r="BD286" i="6"/>
  <c r="BC286" i="6"/>
  <c r="BB286" i="6"/>
  <c r="BA286" i="6"/>
  <c r="AZ286" i="6"/>
  <c r="AY286" i="6"/>
  <c r="AX286" i="6"/>
  <c r="AW286" i="6"/>
  <c r="AV286" i="6"/>
  <c r="AU286" i="6"/>
  <c r="AT286" i="6"/>
  <c r="AS286" i="6"/>
  <c r="AR286" i="6"/>
  <c r="AQ286" i="6"/>
  <c r="AP286" i="6"/>
  <c r="AO286" i="6"/>
  <c r="AN286" i="6"/>
  <c r="AM286" i="6"/>
  <c r="AL286" i="6"/>
  <c r="AK286" i="6"/>
  <c r="AJ286" i="6"/>
  <c r="AI286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286" i="6"/>
  <c r="DE285" i="6"/>
  <c r="DD285" i="6"/>
  <c r="DC285" i="6"/>
  <c r="DB285" i="6"/>
  <c r="DA285" i="6"/>
  <c r="CZ285" i="6"/>
  <c r="CY285" i="6"/>
  <c r="CX285" i="6"/>
  <c r="CV285" i="6"/>
  <c r="CU285" i="6"/>
  <c r="CT285" i="6"/>
  <c r="CS285" i="6"/>
  <c r="CR285" i="6"/>
  <c r="CQ285" i="6"/>
  <c r="CP285" i="6"/>
  <c r="CO285" i="6"/>
  <c r="CN285" i="6"/>
  <c r="CM285" i="6"/>
  <c r="CL285" i="6"/>
  <c r="CK285" i="6"/>
  <c r="CJ285" i="6"/>
  <c r="CI285" i="6"/>
  <c r="CH285" i="6"/>
  <c r="CG285" i="6"/>
  <c r="CF285" i="6"/>
  <c r="CE285" i="6"/>
  <c r="CD285" i="6"/>
  <c r="CC285" i="6"/>
  <c r="CB285" i="6"/>
  <c r="CA285" i="6"/>
  <c r="BZ285" i="6"/>
  <c r="BY285" i="6"/>
  <c r="BX285" i="6"/>
  <c r="BW285" i="6"/>
  <c r="BV285" i="6"/>
  <c r="BU285" i="6"/>
  <c r="BT285" i="6"/>
  <c r="BS285" i="6"/>
  <c r="BR285" i="6"/>
  <c r="BQ285" i="6"/>
  <c r="BP285" i="6"/>
  <c r="BO285" i="6"/>
  <c r="BN285" i="6"/>
  <c r="BM285" i="6"/>
  <c r="BL285" i="6"/>
  <c r="BK285" i="6"/>
  <c r="BJ285" i="6"/>
  <c r="BI285" i="6"/>
  <c r="BH285" i="6"/>
  <c r="BG285" i="6"/>
  <c r="BF285" i="6"/>
  <c r="BE285" i="6"/>
  <c r="BD285" i="6"/>
  <c r="BC285" i="6"/>
  <c r="BB285" i="6"/>
  <c r="BA285" i="6"/>
  <c r="AZ285" i="6"/>
  <c r="AY285" i="6"/>
  <c r="AX285" i="6"/>
  <c r="AW285" i="6"/>
  <c r="AV285" i="6"/>
  <c r="AU285" i="6"/>
  <c r="AT285" i="6"/>
  <c r="AS285" i="6"/>
  <c r="AR285" i="6"/>
  <c r="AQ285" i="6"/>
  <c r="AP285" i="6"/>
  <c r="AO285" i="6"/>
  <c r="AN285" i="6"/>
  <c r="AM285" i="6"/>
  <c r="AL285" i="6"/>
  <c r="AK285" i="6"/>
  <c r="AJ285" i="6"/>
  <c r="AI285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285" i="6"/>
  <c r="DE284" i="6"/>
  <c r="DD284" i="6"/>
  <c r="DC284" i="6"/>
  <c r="DB284" i="6"/>
  <c r="DA284" i="6"/>
  <c r="CZ284" i="6"/>
  <c r="CY284" i="6"/>
  <c r="CX284" i="6"/>
  <c r="CV284" i="6"/>
  <c r="CU284" i="6"/>
  <c r="CT284" i="6"/>
  <c r="CS284" i="6"/>
  <c r="CR284" i="6"/>
  <c r="CQ284" i="6"/>
  <c r="CP284" i="6"/>
  <c r="CO284" i="6"/>
  <c r="CN284" i="6"/>
  <c r="CM284" i="6"/>
  <c r="CL284" i="6"/>
  <c r="CK284" i="6"/>
  <c r="CJ284" i="6"/>
  <c r="CI284" i="6"/>
  <c r="CH284" i="6"/>
  <c r="CG284" i="6"/>
  <c r="CF284" i="6"/>
  <c r="CE284" i="6"/>
  <c r="CD284" i="6"/>
  <c r="CC284" i="6"/>
  <c r="CB284" i="6"/>
  <c r="CA284" i="6"/>
  <c r="BZ284" i="6"/>
  <c r="BY284" i="6"/>
  <c r="BX284" i="6"/>
  <c r="BW284" i="6"/>
  <c r="BV284" i="6"/>
  <c r="BU284" i="6"/>
  <c r="BT284" i="6"/>
  <c r="BS284" i="6"/>
  <c r="BR284" i="6"/>
  <c r="BQ284" i="6"/>
  <c r="BP284" i="6"/>
  <c r="BO284" i="6"/>
  <c r="BN284" i="6"/>
  <c r="BM284" i="6"/>
  <c r="BL284" i="6"/>
  <c r="BK284" i="6"/>
  <c r="BJ284" i="6"/>
  <c r="BI284" i="6"/>
  <c r="BH284" i="6"/>
  <c r="BG284" i="6"/>
  <c r="BF284" i="6"/>
  <c r="BE284" i="6"/>
  <c r="BD284" i="6"/>
  <c r="BC284" i="6"/>
  <c r="BB284" i="6"/>
  <c r="BA284" i="6"/>
  <c r="AZ284" i="6"/>
  <c r="AY284" i="6"/>
  <c r="AX284" i="6"/>
  <c r="AW284" i="6"/>
  <c r="AV284" i="6"/>
  <c r="AU284" i="6"/>
  <c r="AT284" i="6"/>
  <c r="AS284" i="6"/>
  <c r="AR284" i="6"/>
  <c r="AQ284" i="6"/>
  <c r="AP284" i="6"/>
  <c r="AO284" i="6"/>
  <c r="AN284" i="6"/>
  <c r="AM284" i="6"/>
  <c r="AL284" i="6"/>
  <c r="AK284" i="6"/>
  <c r="AJ284" i="6"/>
  <c r="AI284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284" i="6"/>
  <c r="DE283" i="6"/>
  <c r="DD283" i="6"/>
  <c r="DC283" i="6"/>
  <c r="DB283" i="6"/>
  <c r="DA283" i="6"/>
  <c r="CZ283" i="6"/>
  <c r="CY283" i="6"/>
  <c r="CX283" i="6"/>
  <c r="CV283" i="6"/>
  <c r="CU283" i="6"/>
  <c r="CT283" i="6"/>
  <c r="CS283" i="6"/>
  <c r="CR283" i="6"/>
  <c r="CQ283" i="6"/>
  <c r="CP283" i="6"/>
  <c r="CO283" i="6"/>
  <c r="CN283" i="6"/>
  <c r="CM283" i="6"/>
  <c r="CL283" i="6"/>
  <c r="CK283" i="6"/>
  <c r="CJ283" i="6"/>
  <c r="CI283" i="6"/>
  <c r="CH283" i="6"/>
  <c r="CG283" i="6"/>
  <c r="CF283" i="6"/>
  <c r="CE283" i="6"/>
  <c r="CD283" i="6"/>
  <c r="CC283" i="6"/>
  <c r="CB283" i="6"/>
  <c r="CA283" i="6"/>
  <c r="BZ283" i="6"/>
  <c r="BY283" i="6"/>
  <c r="BX283" i="6"/>
  <c r="BW283" i="6"/>
  <c r="BV283" i="6"/>
  <c r="BU283" i="6"/>
  <c r="BT283" i="6"/>
  <c r="BS283" i="6"/>
  <c r="BR283" i="6"/>
  <c r="BQ283" i="6"/>
  <c r="BP283" i="6"/>
  <c r="BO283" i="6"/>
  <c r="BN283" i="6"/>
  <c r="BM283" i="6"/>
  <c r="BL283" i="6"/>
  <c r="BK283" i="6"/>
  <c r="BJ283" i="6"/>
  <c r="BI283" i="6"/>
  <c r="BH283" i="6"/>
  <c r="BG283" i="6"/>
  <c r="BF283" i="6"/>
  <c r="BE283" i="6"/>
  <c r="BD283" i="6"/>
  <c r="BC283" i="6"/>
  <c r="BB283" i="6"/>
  <c r="BA283" i="6"/>
  <c r="AZ283" i="6"/>
  <c r="AY283" i="6"/>
  <c r="AX283" i="6"/>
  <c r="AW283" i="6"/>
  <c r="AV283" i="6"/>
  <c r="AU28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283" i="6"/>
  <c r="DE282" i="6"/>
  <c r="DD282" i="6"/>
  <c r="DC282" i="6"/>
  <c r="DB282" i="6"/>
  <c r="DA282" i="6"/>
  <c r="CZ282" i="6"/>
  <c r="CY282" i="6"/>
  <c r="CX282" i="6"/>
  <c r="CV282" i="6"/>
  <c r="CU282" i="6"/>
  <c r="CT282" i="6"/>
  <c r="CS282" i="6"/>
  <c r="CR282" i="6"/>
  <c r="CQ282" i="6"/>
  <c r="CP282" i="6"/>
  <c r="CO282" i="6"/>
  <c r="CN282" i="6"/>
  <c r="CM282" i="6"/>
  <c r="CL282" i="6"/>
  <c r="CK282" i="6"/>
  <c r="CJ282" i="6"/>
  <c r="CI282" i="6"/>
  <c r="CH282" i="6"/>
  <c r="CG282" i="6"/>
  <c r="CF282" i="6"/>
  <c r="CE282" i="6"/>
  <c r="CD282" i="6"/>
  <c r="CC282" i="6"/>
  <c r="CB282" i="6"/>
  <c r="CA282" i="6"/>
  <c r="BZ282" i="6"/>
  <c r="BY282" i="6"/>
  <c r="BX282" i="6"/>
  <c r="BW282" i="6"/>
  <c r="BV282" i="6"/>
  <c r="BU282" i="6"/>
  <c r="BT282" i="6"/>
  <c r="BS282" i="6"/>
  <c r="BR282" i="6"/>
  <c r="BQ282" i="6"/>
  <c r="BP282" i="6"/>
  <c r="BO282" i="6"/>
  <c r="BN282" i="6"/>
  <c r="BM282" i="6"/>
  <c r="BL282" i="6"/>
  <c r="BK282" i="6"/>
  <c r="BJ282" i="6"/>
  <c r="BI282" i="6"/>
  <c r="BH282" i="6"/>
  <c r="BG282" i="6"/>
  <c r="BF282" i="6"/>
  <c r="BE282" i="6"/>
  <c r="BD282" i="6"/>
  <c r="BC282" i="6"/>
  <c r="BB282" i="6"/>
  <c r="BA282" i="6"/>
  <c r="AZ282" i="6"/>
  <c r="AY282" i="6"/>
  <c r="AX282" i="6"/>
  <c r="AW282" i="6"/>
  <c r="AV282" i="6"/>
  <c r="AU282" i="6"/>
  <c r="AT282" i="6"/>
  <c r="AS282" i="6"/>
  <c r="AR282" i="6"/>
  <c r="AQ282" i="6"/>
  <c r="AP282" i="6"/>
  <c r="AO282" i="6"/>
  <c r="AN282" i="6"/>
  <c r="AM282" i="6"/>
  <c r="AL282" i="6"/>
  <c r="AK282" i="6"/>
  <c r="AJ282" i="6"/>
  <c r="AI282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282" i="6"/>
  <c r="DE281" i="6"/>
  <c r="DD281" i="6"/>
  <c r="DC281" i="6"/>
  <c r="DB281" i="6"/>
  <c r="DA281" i="6"/>
  <c r="CZ281" i="6"/>
  <c r="CY281" i="6"/>
  <c r="CX281" i="6"/>
  <c r="CV281" i="6"/>
  <c r="CU281" i="6"/>
  <c r="CT281" i="6"/>
  <c r="CS281" i="6"/>
  <c r="CR281" i="6"/>
  <c r="CQ281" i="6"/>
  <c r="CP281" i="6"/>
  <c r="CO281" i="6"/>
  <c r="CN281" i="6"/>
  <c r="CM281" i="6"/>
  <c r="CL281" i="6"/>
  <c r="CK281" i="6"/>
  <c r="CJ281" i="6"/>
  <c r="CI281" i="6"/>
  <c r="CH281" i="6"/>
  <c r="CG281" i="6"/>
  <c r="CF281" i="6"/>
  <c r="CE281" i="6"/>
  <c r="CD281" i="6"/>
  <c r="CC281" i="6"/>
  <c r="CB281" i="6"/>
  <c r="CA281" i="6"/>
  <c r="BZ281" i="6"/>
  <c r="BY281" i="6"/>
  <c r="BX281" i="6"/>
  <c r="BW281" i="6"/>
  <c r="BV281" i="6"/>
  <c r="BU281" i="6"/>
  <c r="BT281" i="6"/>
  <c r="BS281" i="6"/>
  <c r="BR281" i="6"/>
  <c r="BQ281" i="6"/>
  <c r="BP281" i="6"/>
  <c r="BO281" i="6"/>
  <c r="BN281" i="6"/>
  <c r="BM281" i="6"/>
  <c r="BL281" i="6"/>
  <c r="BK281" i="6"/>
  <c r="BJ281" i="6"/>
  <c r="BI281" i="6"/>
  <c r="BH281" i="6"/>
  <c r="BG281" i="6"/>
  <c r="BF281" i="6"/>
  <c r="BE281" i="6"/>
  <c r="BD281" i="6"/>
  <c r="BC281" i="6"/>
  <c r="BB281" i="6"/>
  <c r="BA281" i="6"/>
  <c r="AZ281" i="6"/>
  <c r="AY281" i="6"/>
  <c r="AX281" i="6"/>
  <c r="AW281" i="6"/>
  <c r="AV281" i="6"/>
  <c r="AU281" i="6"/>
  <c r="AT281" i="6"/>
  <c r="AS281" i="6"/>
  <c r="AR281" i="6"/>
  <c r="AQ281" i="6"/>
  <c r="AP281" i="6"/>
  <c r="AO281" i="6"/>
  <c r="AN281" i="6"/>
  <c r="AM281" i="6"/>
  <c r="AL281" i="6"/>
  <c r="AK281" i="6"/>
  <c r="AJ281" i="6"/>
  <c r="AI281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281" i="6"/>
  <c r="DE280" i="6"/>
  <c r="DD280" i="6"/>
  <c r="DC280" i="6"/>
  <c r="DB280" i="6"/>
  <c r="DA280" i="6"/>
  <c r="CZ280" i="6"/>
  <c r="CY280" i="6"/>
  <c r="CX280" i="6"/>
  <c r="CV280" i="6"/>
  <c r="CU280" i="6"/>
  <c r="CT280" i="6"/>
  <c r="CS280" i="6"/>
  <c r="CR280" i="6"/>
  <c r="CQ280" i="6"/>
  <c r="CP280" i="6"/>
  <c r="CO280" i="6"/>
  <c r="CN280" i="6"/>
  <c r="CM280" i="6"/>
  <c r="CL280" i="6"/>
  <c r="CK280" i="6"/>
  <c r="CJ280" i="6"/>
  <c r="CI280" i="6"/>
  <c r="CH280" i="6"/>
  <c r="CG280" i="6"/>
  <c r="CF280" i="6"/>
  <c r="CE280" i="6"/>
  <c r="CD280" i="6"/>
  <c r="CC280" i="6"/>
  <c r="CB280" i="6"/>
  <c r="CA280" i="6"/>
  <c r="BZ280" i="6"/>
  <c r="BY280" i="6"/>
  <c r="BX280" i="6"/>
  <c r="BW280" i="6"/>
  <c r="BV280" i="6"/>
  <c r="BU280" i="6"/>
  <c r="BT280" i="6"/>
  <c r="BS280" i="6"/>
  <c r="BR280" i="6"/>
  <c r="BQ280" i="6"/>
  <c r="BP280" i="6"/>
  <c r="BO280" i="6"/>
  <c r="BN280" i="6"/>
  <c r="BM280" i="6"/>
  <c r="BL280" i="6"/>
  <c r="BK280" i="6"/>
  <c r="BJ280" i="6"/>
  <c r="BI280" i="6"/>
  <c r="BH280" i="6"/>
  <c r="BG280" i="6"/>
  <c r="BF280" i="6"/>
  <c r="BE280" i="6"/>
  <c r="BD280" i="6"/>
  <c r="BC280" i="6"/>
  <c r="BB280" i="6"/>
  <c r="BA280" i="6"/>
  <c r="AZ280" i="6"/>
  <c r="AY280" i="6"/>
  <c r="AX280" i="6"/>
  <c r="AW280" i="6"/>
  <c r="AV280" i="6"/>
  <c r="AU280" i="6"/>
  <c r="AT280" i="6"/>
  <c r="AS280" i="6"/>
  <c r="AR280" i="6"/>
  <c r="AQ280" i="6"/>
  <c r="AP280" i="6"/>
  <c r="AO280" i="6"/>
  <c r="AN280" i="6"/>
  <c r="AM280" i="6"/>
  <c r="AL280" i="6"/>
  <c r="AK280" i="6"/>
  <c r="AJ280" i="6"/>
  <c r="AI280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280" i="6"/>
  <c r="DE279" i="6"/>
  <c r="DD279" i="6"/>
  <c r="DC279" i="6"/>
  <c r="DB279" i="6"/>
  <c r="DA279" i="6"/>
  <c r="CZ279" i="6"/>
  <c r="CY279" i="6"/>
  <c r="CX279" i="6"/>
  <c r="CV279" i="6"/>
  <c r="CU279" i="6"/>
  <c r="CT279" i="6"/>
  <c r="CS279" i="6"/>
  <c r="CR279" i="6"/>
  <c r="CQ279" i="6"/>
  <c r="CP279" i="6"/>
  <c r="CO279" i="6"/>
  <c r="CN279" i="6"/>
  <c r="CM279" i="6"/>
  <c r="CL279" i="6"/>
  <c r="CK279" i="6"/>
  <c r="CJ279" i="6"/>
  <c r="CI279" i="6"/>
  <c r="CH279" i="6"/>
  <c r="CG279" i="6"/>
  <c r="CF279" i="6"/>
  <c r="CE279" i="6"/>
  <c r="CD279" i="6"/>
  <c r="CC279" i="6"/>
  <c r="CB279" i="6"/>
  <c r="CA279" i="6"/>
  <c r="BZ279" i="6"/>
  <c r="BY279" i="6"/>
  <c r="BX279" i="6"/>
  <c r="BW279" i="6"/>
  <c r="BV279" i="6"/>
  <c r="BU279" i="6"/>
  <c r="BT279" i="6"/>
  <c r="BS279" i="6"/>
  <c r="BR279" i="6"/>
  <c r="BQ279" i="6"/>
  <c r="BP279" i="6"/>
  <c r="BO279" i="6"/>
  <c r="BN279" i="6"/>
  <c r="BM279" i="6"/>
  <c r="BL279" i="6"/>
  <c r="BK279" i="6"/>
  <c r="BJ279" i="6"/>
  <c r="BI279" i="6"/>
  <c r="BH279" i="6"/>
  <c r="BG279" i="6"/>
  <c r="BF279" i="6"/>
  <c r="BE279" i="6"/>
  <c r="BD279" i="6"/>
  <c r="BC279" i="6"/>
  <c r="BB279" i="6"/>
  <c r="BA279" i="6"/>
  <c r="AZ279" i="6"/>
  <c r="AY279" i="6"/>
  <c r="AX279" i="6"/>
  <c r="AW279" i="6"/>
  <c r="AV279" i="6"/>
  <c r="AU279" i="6"/>
  <c r="AT279" i="6"/>
  <c r="AS279" i="6"/>
  <c r="AR279" i="6"/>
  <c r="AQ279" i="6"/>
  <c r="AP279" i="6"/>
  <c r="AO279" i="6"/>
  <c r="AN279" i="6"/>
  <c r="AM279" i="6"/>
  <c r="AL279" i="6"/>
  <c r="AK279" i="6"/>
  <c r="AJ279" i="6"/>
  <c r="AI279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279" i="6"/>
  <c r="DE278" i="6"/>
  <c r="DD278" i="6"/>
  <c r="DC278" i="6"/>
  <c r="DB278" i="6"/>
  <c r="DA278" i="6"/>
  <c r="CZ278" i="6"/>
  <c r="CY278" i="6"/>
  <c r="CX278" i="6"/>
  <c r="CV278" i="6"/>
  <c r="CU278" i="6"/>
  <c r="CT278" i="6"/>
  <c r="CS278" i="6"/>
  <c r="CR278" i="6"/>
  <c r="CQ278" i="6"/>
  <c r="CP278" i="6"/>
  <c r="CO278" i="6"/>
  <c r="CN278" i="6"/>
  <c r="CM278" i="6"/>
  <c r="CL278" i="6"/>
  <c r="CK278" i="6"/>
  <c r="CJ278" i="6"/>
  <c r="CI278" i="6"/>
  <c r="CH278" i="6"/>
  <c r="CG278" i="6"/>
  <c r="CF278" i="6"/>
  <c r="CE278" i="6"/>
  <c r="CD278" i="6"/>
  <c r="CC278" i="6"/>
  <c r="CB278" i="6"/>
  <c r="CA278" i="6"/>
  <c r="BZ278" i="6"/>
  <c r="BY278" i="6"/>
  <c r="BX278" i="6"/>
  <c r="BW278" i="6"/>
  <c r="BV278" i="6"/>
  <c r="BU278" i="6"/>
  <c r="BT278" i="6"/>
  <c r="BS278" i="6"/>
  <c r="BR278" i="6"/>
  <c r="BQ278" i="6"/>
  <c r="BP278" i="6"/>
  <c r="BO278" i="6"/>
  <c r="BN278" i="6"/>
  <c r="BM278" i="6"/>
  <c r="BL278" i="6"/>
  <c r="BK278" i="6"/>
  <c r="BJ278" i="6"/>
  <c r="BI278" i="6"/>
  <c r="BH278" i="6"/>
  <c r="BG278" i="6"/>
  <c r="BF278" i="6"/>
  <c r="BE278" i="6"/>
  <c r="BD278" i="6"/>
  <c r="BC278" i="6"/>
  <c r="BB278" i="6"/>
  <c r="BA278" i="6"/>
  <c r="AZ278" i="6"/>
  <c r="AY278" i="6"/>
  <c r="AX278" i="6"/>
  <c r="AW278" i="6"/>
  <c r="AV278" i="6"/>
  <c r="AU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278" i="6"/>
  <c r="DE277" i="6"/>
  <c r="DD277" i="6"/>
  <c r="DC277" i="6"/>
  <c r="DB277" i="6"/>
  <c r="DA277" i="6"/>
  <c r="CZ277" i="6"/>
  <c r="CY277" i="6"/>
  <c r="CX277" i="6"/>
  <c r="CV277" i="6"/>
  <c r="CU277" i="6"/>
  <c r="CT277" i="6"/>
  <c r="CS277" i="6"/>
  <c r="CR277" i="6"/>
  <c r="CQ277" i="6"/>
  <c r="CP277" i="6"/>
  <c r="CO277" i="6"/>
  <c r="CN277" i="6"/>
  <c r="CM277" i="6"/>
  <c r="CL277" i="6"/>
  <c r="CK277" i="6"/>
  <c r="CJ277" i="6"/>
  <c r="CI277" i="6"/>
  <c r="CH277" i="6"/>
  <c r="CG277" i="6"/>
  <c r="CF277" i="6"/>
  <c r="CE277" i="6"/>
  <c r="CD277" i="6"/>
  <c r="CC277" i="6"/>
  <c r="CB277" i="6"/>
  <c r="CA277" i="6"/>
  <c r="BZ277" i="6"/>
  <c r="BY277" i="6"/>
  <c r="BX277" i="6"/>
  <c r="BW277" i="6"/>
  <c r="BV277" i="6"/>
  <c r="BU277" i="6"/>
  <c r="BT277" i="6"/>
  <c r="BS277" i="6"/>
  <c r="BR277" i="6"/>
  <c r="BQ277" i="6"/>
  <c r="BP277" i="6"/>
  <c r="BO277" i="6"/>
  <c r="BN277" i="6"/>
  <c r="BM277" i="6"/>
  <c r="BL277" i="6"/>
  <c r="BK277" i="6"/>
  <c r="BJ277" i="6"/>
  <c r="BI277" i="6"/>
  <c r="BH277" i="6"/>
  <c r="BG277" i="6"/>
  <c r="BF277" i="6"/>
  <c r="BE277" i="6"/>
  <c r="BD277" i="6"/>
  <c r="BC277" i="6"/>
  <c r="BB277" i="6"/>
  <c r="BA277" i="6"/>
  <c r="AZ277" i="6"/>
  <c r="AY277" i="6"/>
  <c r="AX277" i="6"/>
  <c r="AW277" i="6"/>
  <c r="AV277" i="6"/>
  <c r="AU277" i="6"/>
  <c r="AT277" i="6"/>
  <c r="AS277" i="6"/>
  <c r="AR277" i="6"/>
  <c r="AQ277" i="6"/>
  <c r="AP277" i="6"/>
  <c r="AO277" i="6"/>
  <c r="AN277" i="6"/>
  <c r="AM277" i="6"/>
  <c r="AL277" i="6"/>
  <c r="AK277" i="6"/>
  <c r="AJ277" i="6"/>
  <c r="AI277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277" i="6"/>
  <c r="DE276" i="6"/>
  <c r="DD276" i="6"/>
  <c r="DC276" i="6"/>
  <c r="DB276" i="6"/>
  <c r="DA276" i="6"/>
  <c r="CZ276" i="6"/>
  <c r="CY276" i="6"/>
  <c r="CX276" i="6"/>
  <c r="CV276" i="6"/>
  <c r="CU276" i="6"/>
  <c r="CT276" i="6"/>
  <c r="CS276" i="6"/>
  <c r="CR276" i="6"/>
  <c r="CQ276" i="6"/>
  <c r="CP276" i="6"/>
  <c r="CO276" i="6"/>
  <c r="CN276" i="6"/>
  <c r="CM276" i="6"/>
  <c r="CL276" i="6"/>
  <c r="CK276" i="6"/>
  <c r="CJ276" i="6"/>
  <c r="CI276" i="6"/>
  <c r="CH276" i="6"/>
  <c r="CG276" i="6"/>
  <c r="CF276" i="6"/>
  <c r="CE276" i="6"/>
  <c r="CD276" i="6"/>
  <c r="CC276" i="6"/>
  <c r="CB276" i="6"/>
  <c r="CA276" i="6"/>
  <c r="BZ276" i="6"/>
  <c r="BY276" i="6"/>
  <c r="BX276" i="6"/>
  <c r="BW276" i="6"/>
  <c r="BV276" i="6"/>
  <c r="BU276" i="6"/>
  <c r="BT276" i="6"/>
  <c r="BS276" i="6"/>
  <c r="BR276" i="6"/>
  <c r="BQ276" i="6"/>
  <c r="BP276" i="6"/>
  <c r="BO276" i="6"/>
  <c r="BN276" i="6"/>
  <c r="BM276" i="6"/>
  <c r="BL276" i="6"/>
  <c r="BK276" i="6"/>
  <c r="BJ276" i="6"/>
  <c r="BI276" i="6"/>
  <c r="BH276" i="6"/>
  <c r="BG276" i="6"/>
  <c r="BF276" i="6"/>
  <c r="BE276" i="6"/>
  <c r="BD276" i="6"/>
  <c r="BC276" i="6"/>
  <c r="BB276" i="6"/>
  <c r="BA276" i="6"/>
  <c r="AZ276" i="6"/>
  <c r="AY276" i="6"/>
  <c r="AX276" i="6"/>
  <c r="AW276" i="6"/>
  <c r="AV276" i="6"/>
  <c r="AU276" i="6"/>
  <c r="AT276" i="6"/>
  <c r="AS276" i="6"/>
  <c r="AR276" i="6"/>
  <c r="AQ276" i="6"/>
  <c r="AP276" i="6"/>
  <c r="AO276" i="6"/>
  <c r="AN276" i="6"/>
  <c r="AM276" i="6"/>
  <c r="AL276" i="6"/>
  <c r="AK276" i="6"/>
  <c r="AJ276" i="6"/>
  <c r="AI276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276" i="6"/>
  <c r="DE275" i="6"/>
  <c r="DD275" i="6"/>
  <c r="DC275" i="6"/>
  <c r="DB275" i="6"/>
  <c r="DA275" i="6"/>
  <c r="CZ275" i="6"/>
  <c r="CY275" i="6"/>
  <c r="CX275" i="6"/>
  <c r="CV275" i="6"/>
  <c r="CU275" i="6"/>
  <c r="CT275" i="6"/>
  <c r="CS275" i="6"/>
  <c r="CR275" i="6"/>
  <c r="CQ275" i="6"/>
  <c r="CP275" i="6"/>
  <c r="CO275" i="6"/>
  <c r="CN275" i="6"/>
  <c r="CM275" i="6"/>
  <c r="CL275" i="6"/>
  <c r="CK275" i="6"/>
  <c r="CJ275" i="6"/>
  <c r="CI275" i="6"/>
  <c r="CH275" i="6"/>
  <c r="CG275" i="6"/>
  <c r="CF275" i="6"/>
  <c r="CE275" i="6"/>
  <c r="CD275" i="6"/>
  <c r="CC275" i="6"/>
  <c r="CB275" i="6"/>
  <c r="CA275" i="6"/>
  <c r="BZ275" i="6"/>
  <c r="BY275" i="6"/>
  <c r="BX275" i="6"/>
  <c r="BW275" i="6"/>
  <c r="BV275" i="6"/>
  <c r="BU275" i="6"/>
  <c r="BT275" i="6"/>
  <c r="BS275" i="6"/>
  <c r="BR275" i="6"/>
  <c r="BQ275" i="6"/>
  <c r="BP275" i="6"/>
  <c r="BO275" i="6"/>
  <c r="BN275" i="6"/>
  <c r="BM275" i="6"/>
  <c r="BL275" i="6"/>
  <c r="BK275" i="6"/>
  <c r="BJ275" i="6"/>
  <c r="BI275" i="6"/>
  <c r="BH275" i="6"/>
  <c r="BG275" i="6"/>
  <c r="BF275" i="6"/>
  <c r="BE275" i="6"/>
  <c r="BD275" i="6"/>
  <c r="BC275" i="6"/>
  <c r="BB275" i="6"/>
  <c r="BA275" i="6"/>
  <c r="AZ275" i="6"/>
  <c r="AY275" i="6"/>
  <c r="AX275" i="6"/>
  <c r="AW275" i="6"/>
  <c r="AV275" i="6"/>
  <c r="AU275" i="6"/>
  <c r="AT275" i="6"/>
  <c r="AS275" i="6"/>
  <c r="AR275" i="6"/>
  <c r="AQ275" i="6"/>
  <c r="AP275" i="6"/>
  <c r="AO275" i="6"/>
  <c r="AN275" i="6"/>
  <c r="AM275" i="6"/>
  <c r="AL275" i="6"/>
  <c r="AK275" i="6"/>
  <c r="AJ275" i="6"/>
  <c r="AI275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275" i="6"/>
  <c r="DE274" i="6"/>
  <c r="DD274" i="6"/>
  <c r="DC274" i="6"/>
  <c r="DB274" i="6"/>
  <c r="DA274" i="6"/>
  <c r="CZ274" i="6"/>
  <c r="CY274" i="6"/>
  <c r="CX274" i="6"/>
  <c r="CV274" i="6"/>
  <c r="CU274" i="6"/>
  <c r="CT274" i="6"/>
  <c r="CS274" i="6"/>
  <c r="CR274" i="6"/>
  <c r="CQ274" i="6"/>
  <c r="CP274" i="6"/>
  <c r="CO274" i="6"/>
  <c r="CN274" i="6"/>
  <c r="CM274" i="6"/>
  <c r="CL274" i="6"/>
  <c r="CK274" i="6"/>
  <c r="CJ274" i="6"/>
  <c r="CI274" i="6"/>
  <c r="CH274" i="6"/>
  <c r="CG274" i="6"/>
  <c r="CF274" i="6"/>
  <c r="CE274" i="6"/>
  <c r="CD274" i="6"/>
  <c r="CC274" i="6"/>
  <c r="CB274" i="6"/>
  <c r="CA274" i="6"/>
  <c r="BZ274" i="6"/>
  <c r="BY274" i="6"/>
  <c r="BX274" i="6"/>
  <c r="BW274" i="6"/>
  <c r="BV274" i="6"/>
  <c r="BU274" i="6"/>
  <c r="BT274" i="6"/>
  <c r="BS274" i="6"/>
  <c r="BR274" i="6"/>
  <c r="BQ274" i="6"/>
  <c r="BP274" i="6"/>
  <c r="BO274" i="6"/>
  <c r="BN274" i="6"/>
  <c r="BM274" i="6"/>
  <c r="BL274" i="6"/>
  <c r="BK274" i="6"/>
  <c r="BJ274" i="6"/>
  <c r="BI274" i="6"/>
  <c r="BH274" i="6"/>
  <c r="BG274" i="6"/>
  <c r="BF274" i="6"/>
  <c r="BE274" i="6"/>
  <c r="BD274" i="6"/>
  <c r="BC274" i="6"/>
  <c r="BB274" i="6"/>
  <c r="BA274" i="6"/>
  <c r="AZ274" i="6"/>
  <c r="AY274" i="6"/>
  <c r="AX274" i="6"/>
  <c r="AW274" i="6"/>
  <c r="AV274" i="6"/>
  <c r="AU274" i="6"/>
  <c r="AT274" i="6"/>
  <c r="AS274" i="6"/>
  <c r="AR274" i="6"/>
  <c r="AQ274" i="6"/>
  <c r="AP274" i="6"/>
  <c r="AO274" i="6"/>
  <c r="AN274" i="6"/>
  <c r="AM274" i="6"/>
  <c r="AL274" i="6"/>
  <c r="AK274" i="6"/>
  <c r="AJ274" i="6"/>
  <c r="AI274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274" i="6"/>
  <c r="DE273" i="6"/>
  <c r="DD273" i="6"/>
  <c r="DC273" i="6"/>
  <c r="DB273" i="6"/>
  <c r="DA273" i="6"/>
  <c r="CZ273" i="6"/>
  <c r="CY273" i="6"/>
  <c r="CX273" i="6"/>
  <c r="CV273" i="6"/>
  <c r="CU273" i="6"/>
  <c r="CT273" i="6"/>
  <c r="CS273" i="6"/>
  <c r="CR273" i="6"/>
  <c r="CQ273" i="6"/>
  <c r="CP273" i="6"/>
  <c r="CO273" i="6"/>
  <c r="CN273" i="6"/>
  <c r="CM273" i="6"/>
  <c r="CL273" i="6"/>
  <c r="CK273" i="6"/>
  <c r="CJ273" i="6"/>
  <c r="CI273" i="6"/>
  <c r="CH273" i="6"/>
  <c r="CG273" i="6"/>
  <c r="CF273" i="6"/>
  <c r="CE273" i="6"/>
  <c r="CD273" i="6"/>
  <c r="CC273" i="6"/>
  <c r="CB273" i="6"/>
  <c r="CA273" i="6"/>
  <c r="BZ273" i="6"/>
  <c r="BY273" i="6"/>
  <c r="BX273" i="6"/>
  <c r="BW273" i="6"/>
  <c r="BV273" i="6"/>
  <c r="BU273" i="6"/>
  <c r="BT273" i="6"/>
  <c r="BS273" i="6"/>
  <c r="BR273" i="6"/>
  <c r="BQ273" i="6"/>
  <c r="BP273" i="6"/>
  <c r="BO273" i="6"/>
  <c r="BN273" i="6"/>
  <c r="BM273" i="6"/>
  <c r="BL273" i="6"/>
  <c r="BK273" i="6"/>
  <c r="BJ273" i="6"/>
  <c r="BI273" i="6"/>
  <c r="BH273" i="6"/>
  <c r="BG273" i="6"/>
  <c r="BF273" i="6"/>
  <c r="BE273" i="6"/>
  <c r="BD273" i="6"/>
  <c r="BC273" i="6"/>
  <c r="BB273" i="6"/>
  <c r="BA273" i="6"/>
  <c r="AZ273" i="6"/>
  <c r="AY273" i="6"/>
  <c r="AX273" i="6"/>
  <c r="AW273" i="6"/>
  <c r="AV273" i="6"/>
  <c r="AU273" i="6"/>
  <c r="AT273" i="6"/>
  <c r="AS273" i="6"/>
  <c r="AR273" i="6"/>
  <c r="AQ273" i="6"/>
  <c r="AP273" i="6"/>
  <c r="AO273" i="6"/>
  <c r="AN273" i="6"/>
  <c r="AM273" i="6"/>
  <c r="AL273" i="6"/>
  <c r="AK273" i="6"/>
  <c r="AJ273" i="6"/>
  <c r="AI273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273" i="6"/>
  <c r="DE272" i="6"/>
  <c r="DD272" i="6"/>
  <c r="DC272" i="6"/>
  <c r="DB272" i="6"/>
  <c r="DA272" i="6"/>
  <c r="CZ272" i="6"/>
  <c r="CY272" i="6"/>
  <c r="CX272" i="6"/>
  <c r="CV272" i="6"/>
  <c r="CU272" i="6"/>
  <c r="CT272" i="6"/>
  <c r="CS272" i="6"/>
  <c r="CR272" i="6"/>
  <c r="CQ272" i="6"/>
  <c r="CP272" i="6"/>
  <c r="CO272" i="6"/>
  <c r="CN272" i="6"/>
  <c r="CM272" i="6"/>
  <c r="CL272" i="6"/>
  <c r="CK272" i="6"/>
  <c r="CJ272" i="6"/>
  <c r="CI272" i="6"/>
  <c r="CH272" i="6"/>
  <c r="CG272" i="6"/>
  <c r="CF272" i="6"/>
  <c r="CE272" i="6"/>
  <c r="CD272" i="6"/>
  <c r="CC272" i="6"/>
  <c r="CB272" i="6"/>
  <c r="CA272" i="6"/>
  <c r="BZ272" i="6"/>
  <c r="BY272" i="6"/>
  <c r="BX272" i="6"/>
  <c r="BW272" i="6"/>
  <c r="BV272" i="6"/>
  <c r="BU272" i="6"/>
  <c r="BT272" i="6"/>
  <c r="BS272" i="6"/>
  <c r="BR272" i="6"/>
  <c r="BQ272" i="6"/>
  <c r="BP272" i="6"/>
  <c r="BO272" i="6"/>
  <c r="BN272" i="6"/>
  <c r="BM272" i="6"/>
  <c r="BL272" i="6"/>
  <c r="BK272" i="6"/>
  <c r="BJ272" i="6"/>
  <c r="BI272" i="6"/>
  <c r="BH272" i="6"/>
  <c r="BG272" i="6"/>
  <c r="BF272" i="6"/>
  <c r="BE272" i="6"/>
  <c r="BD272" i="6"/>
  <c r="BC272" i="6"/>
  <c r="BB272" i="6"/>
  <c r="BA272" i="6"/>
  <c r="AZ272" i="6"/>
  <c r="AY272" i="6"/>
  <c r="AX272" i="6"/>
  <c r="AW272" i="6"/>
  <c r="AV272" i="6"/>
  <c r="AU272" i="6"/>
  <c r="AT272" i="6"/>
  <c r="AS272" i="6"/>
  <c r="AR272" i="6"/>
  <c r="AQ272" i="6"/>
  <c r="AP272" i="6"/>
  <c r="AO272" i="6"/>
  <c r="AN272" i="6"/>
  <c r="AM272" i="6"/>
  <c r="AL272" i="6"/>
  <c r="AK272" i="6"/>
  <c r="AJ272" i="6"/>
  <c r="AI272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272" i="6"/>
  <c r="DE271" i="6"/>
  <c r="DD271" i="6"/>
  <c r="DC271" i="6"/>
  <c r="DB271" i="6"/>
  <c r="DA271" i="6"/>
  <c r="CZ271" i="6"/>
  <c r="CY271" i="6"/>
  <c r="CX271" i="6"/>
  <c r="CV271" i="6"/>
  <c r="CU271" i="6"/>
  <c r="CT271" i="6"/>
  <c r="CS271" i="6"/>
  <c r="CR271" i="6"/>
  <c r="CQ271" i="6"/>
  <c r="CP271" i="6"/>
  <c r="CO271" i="6"/>
  <c r="CN271" i="6"/>
  <c r="CM271" i="6"/>
  <c r="CL271" i="6"/>
  <c r="CK271" i="6"/>
  <c r="CJ271" i="6"/>
  <c r="CI271" i="6"/>
  <c r="CH271" i="6"/>
  <c r="CG271" i="6"/>
  <c r="CF271" i="6"/>
  <c r="CE271" i="6"/>
  <c r="CD271" i="6"/>
  <c r="CC271" i="6"/>
  <c r="CB271" i="6"/>
  <c r="CA271" i="6"/>
  <c r="BZ271" i="6"/>
  <c r="BY271" i="6"/>
  <c r="BX271" i="6"/>
  <c r="BW271" i="6"/>
  <c r="BV271" i="6"/>
  <c r="BU271" i="6"/>
  <c r="BT271" i="6"/>
  <c r="BS271" i="6"/>
  <c r="BR271" i="6"/>
  <c r="BQ271" i="6"/>
  <c r="BP271" i="6"/>
  <c r="BO271" i="6"/>
  <c r="BN271" i="6"/>
  <c r="BM271" i="6"/>
  <c r="BL271" i="6"/>
  <c r="BK271" i="6"/>
  <c r="BJ271" i="6"/>
  <c r="BI271" i="6"/>
  <c r="BH271" i="6"/>
  <c r="BG271" i="6"/>
  <c r="BF271" i="6"/>
  <c r="BE271" i="6"/>
  <c r="BD271" i="6"/>
  <c r="BC271" i="6"/>
  <c r="BB271" i="6"/>
  <c r="BA271" i="6"/>
  <c r="AZ271" i="6"/>
  <c r="AY271" i="6"/>
  <c r="AX271" i="6"/>
  <c r="AW271" i="6"/>
  <c r="AV271" i="6"/>
  <c r="AU271" i="6"/>
  <c r="AT271" i="6"/>
  <c r="AS271" i="6"/>
  <c r="AR271" i="6"/>
  <c r="AQ271" i="6"/>
  <c r="AP271" i="6"/>
  <c r="AO271" i="6"/>
  <c r="AN271" i="6"/>
  <c r="AM271" i="6"/>
  <c r="AL271" i="6"/>
  <c r="AK271" i="6"/>
  <c r="AJ271" i="6"/>
  <c r="AI271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271" i="6"/>
  <c r="DE270" i="6"/>
  <c r="DD270" i="6"/>
  <c r="DC270" i="6"/>
  <c r="DB270" i="6"/>
  <c r="DA270" i="6"/>
  <c r="CZ270" i="6"/>
  <c r="CY270" i="6"/>
  <c r="CX270" i="6"/>
  <c r="CV270" i="6"/>
  <c r="CU270" i="6"/>
  <c r="CT270" i="6"/>
  <c r="CS270" i="6"/>
  <c r="CR270" i="6"/>
  <c r="CQ270" i="6"/>
  <c r="CP270" i="6"/>
  <c r="CO270" i="6"/>
  <c r="CN270" i="6"/>
  <c r="CM270" i="6"/>
  <c r="CL270" i="6"/>
  <c r="CK270" i="6"/>
  <c r="CJ270" i="6"/>
  <c r="CI270" i="6"/>
  <c r="CH270" i="6"/>
  <c r="CG270" i="6"/>
  <c r="CF270" i="6"/>
  <c r="CE270" i="6"/>
  <c r="CD270" i="6"/>
  <c r="CC270" i="6"/>
  <c r="CB270" i="6"/>
  <c r="CA270" i="6"/>
  <c r="BZ270" i="6"/>
  <c r="BY270" i="6"/>
  <c r="BX270" i="6"/>
  <c r="BW270" i="6"/>
  <c r="BV270" i="6"/>
  <c r="BU270" i="6"/>
  <c r="BT270" i="6"/>
  <c r="BS270" i="6"/>
  <c r="BR270" i="6"/>
  <c r="BQ270" i="6"/>
  <c r="BP270" i="6"/>
  <c r="BO270" i="6"/>
  <c r="BN270" i="6"/>
  <c r="BM270" i="6"/>
  <c r="BL270" i="6"/>
  <c r="BK270" i="6"/>
  <c r="BJ270" i="6"/>
  <c r="BI270" i="6"/>
  <c r="BH270" i="6"/>
  <c r="BG270" i="6"/>
  <c r="BF270" i="6"/>
  <c r="BE270" i="6"/>
  <c r="BD270" i="6"/>
  <c r="BC270" i="6"/>
  <c r="BB270" i="6"/>
  <c r="BA270" i="6"/>
  <c r="AZ270" i="6"/>
  <c r="AY270" i="6"/>
  <c r="AX270" i="6"/>
  <c r="AW270" i="6"/>
  <c r="AV270" i="6"/>
  <c r="AU270" i="6"/>
  <c r="AT270" i="6"/>
  <c r="AS270" i="6"/>
  <c r="AR270" i="6"/>
  <c r="AQ270" i="6"/>
  <c r="AP270" i="6"/>
  <c r="AO270" i="6"/>
  <c r="AN270" i="6"/>
  <c r="AM270" i="6"/>
  <c r="AL270" i="6"/>
  <c r="AK270" i="6"/>
  <c r="AJ270" i="6"/>
  <c r="AI270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270" i="6"/>
  <c r="DE269" i="6"/>
  <c r="DD269" i="6"/>
  <c r="DC269" i="6"/>
  <c r="DB269" i="6"/>
  <c r="DA269" i="6"/>
  <c r="CZ269" i="6"/>
  <c r="CY269" i="6"/>
  <c r="CX269" i="6"/>
  <c r="CV269" i="6"/>
  <c r="CU269" i="6"/>
  <c r="CT269" i="6"/>
  <c r="CS269" i="6"/>
  <c r="CR269" i="6"/>
  <c r="CQ269" i="6"/>
  <c r="CP269" i="6"/>
  <c r="CO269" i="6"/>
  <c r="CN269" i="6"/>
  <c r="CM269" i="6"/>
  <c r="CL269" i="6"/>
  <c r="CK269" i="6"/>
  <c r="CJ269" i="6"/>
  <c r="CI269" i="6"/>
  <c r="CH269" i="6"/>
  <c r="CG269" i="6"/>
  <c r="CF269" i="6"/>
  <c r="CE269" i="6"/>
  <c r="CD269" i="6"/>
  <c r="CC269" i="6"/>
  <c r="CB269" i="6"/>
  <c r="CA269" i="6"/>
  <c r="BZ269" i="6"/>
  <c r="BY269" i="6"/>
  <c r="BX269" i="6"/>
  <c r="BW269" i="6"/>
  <c r="BV269" i="6"/>
  <c r="BU269" i="6"/>
  <c r="BT269" i="6"/>
  <c r="BS269" i="6"/>
  <c r="BR269" i="6"/>
  <c r="BQ269" i="6"/>
  <c r="BP269" i="6"/>
  <c r="BO269" i="6"/>
  <c r="BN269" i="6"/>
  <c r="BM269" i="6"/>
  <c r="BL269" i="6"/>
  <c r="BK269" i="6"/>
  <c r="BJ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T269" i="6"/>
  <c r="AS269" i="6"/>
  <c r="AR269" i="6"/>
  <c r="AQ269" i="6"/>
  <c r="AP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269" i="6"/>
  <c r="DE268" i="6"/>
  <c r="DD268" i="6"/>
  <c r="DC268" i="6"/>
  <c r="DB268" i="6"/>
  <c r="DA268" i="6"/>
  <c r="CZ268" i="6"/>
  <c r="CY268" i="6"/>
  <c r="CX268" i="6"/>
  <c r="CV268" i="6"/>
  <c r="CU268" i="6"/>
  <c r="CT268" i="6"/>
  <c r="CS268" i="6"/>
  <c r="CR268" i="6"/>
  <c r="CQ268" i="6"/>
  <c r="CP268" i="6"/>
  <c r="CO268" i="6"/>
  <c r="CN268" i="6"/>
  <c r="CM268" i="6"/>
  <c r="CL268" i="6"/>
  <c r="CK268" i="6"/>
  <c r="CJ268" i="6"/>
  <c r="CI268" i="6"/>
  <c r="CH268" i="6"/>
  <c r="CG268" i="6"/>
  <c r="CF268" i="6"/>
  <c r="CE268" i="6"/>
  <c r="CD268" i="6"/>
  <c r="CC268" i="6"/>
  <c r="CB268" i="6"/>
  <c r="CA268" i="6"/>
  <c r="BZ268" i="6"/>
  <c r="BY268" i="6"/>
  <c r="BX268" i="6"/>
  <c r="BW268" i="6"/>
  <c r="BV268" i="6"/>
  <c r="BU268" i="6"/>
  <c r="BT268" i="6"/>
  <c r="BS268" i="6"/>
  <c r="BR268" i="6"/>
  <c r="BQ268" i="6"/>
  <c r="BP268" i="6"/>
  <c r="BO268" i="6"/>
  <c r="BN268" i="6"/>
  <c r="BM268" i="6"/>
  <c r="BL268" i="6"/>
  <c r="BK268" i="6"/>
  <c r="BJ268" i="6"/>
  <c r="BI268" i="6"/>
  <c r="BH268" i="6"/>
  <c r="BG268" i="6"/>
  <c r="BF268" i="6"/>
  <c r="BE268" i="6"/>
  <c r="BD268" i="6"/>
  <c r="BC268" i="6"/>
  <c r="BB268" i="6"/>
  <c r="BA268" i="6"/>
  <c r="AZ268" i="6"/>
  <c r="AY268" i="6"/>
  <c r="AX268" i="6"/>
  <c r="AW268" i="6"/>
  <c r="AV268" i="6"/>
  <c r="AU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268" i="6"/>
  <c r="DE267" i="6"/>
  <c r="DD267" i="6"/>
  <c r="DC267" i="6"/>
  <c r="DB267" i="6"/>
  <c r="DA267" i="6"/>
  <c r="CZ267" i="6"/>
  <c r="CY267" i="6"/>
  <c r="CX267" i="6"/>
  <c r="CV267" i="6"/>
  <c r="CU267" i="6"/>
  <c r="CT267" i="6"/>
  <c r="CS267" i="6"/>
  <c r="CR267" i="6"/>
  <c r="CQ267" i="6"/>
  <c r="CP267" i="6"/>
  <c r="CO267" i="6"/>
  <c r="CN267" i="6"/>
  <c r="CM267" i="6"/>
  <c r="CL267" i="6"/>
  <c r="CK267" i="6"/>
  <c r="CJ267" i="6"/>
  <c r="CI267" i="6"/>
  <c r="CH267" i="6"/>
  <c r="CG267" i="6"/>
  <c r="CF267" i="6"/>
  <c r="CE267" i="6"/>
  <c r="CD267" i="6"/>
  <c r="CC267" i="6"/>
  <c r="CB267" i="6"/>
  <c r="CA267" i="6"/>
  <c r="BZ267" i="6"/>
  <c r="BY267" i="6"/>
  <c r="BX267" i="6"/>
  <c r="BW267" i="6"/>
  <c r="BV267" i="6"/>
  <c r="BU267" i="6"/>
  <c r="BT267" i="6"/>
  <c r="BS267" i="6"/>
  <c r="BR267" i="6"/>
  <c r="BQ267" i="6"/>
  <c r="BP267" i="6"/>
  <c r="BO267" i="6"/>
  <c r="BN267" i="6"/>
  <c r="BM267" i="6"/>
  <c r="BL267" i="6"/>
  <c r="BK267" i="6"/>
  <c r="BJ267" i="6"/>
  <c r="BI267" i="6"/>
  <c r="BH267" i="6"/>
  <c r="BG267" i="6"/>
  <c r="BF267" i="6"/>
  <c r="BE267" i="6"/>
  <c r="BD267" i="6"/>
  <c r="BC267" i="6"/>
  <c r="BB267" i="6"/>
  <c r="BA267" i="6"/>
  <c r="AZ267" i="6"/>
  <c r="AY267" i="6"/>
  <c r="AX267" i="6"/>
  <c r="AW267" i="6"/>
  <c r="AV267" i="6"/>
  <c r="AU267" i="6"/>
  <c r="AT267" i="6"/>
  <c r="AS267" i="6"/>
  <c r="AR267" i="6"/>
  <c r="AQ267" i="6"/>
  <c r="AP267" i="6"/>
  <c r="AO267" i="6"/>
  <c r="AN267" i="6"/>
  <c r="AM267" i="6"/>
  <c r="AL267" i="6"/>
  <c r="AK267" i="6"/>
  <c r="AJ267" i="6"/>
  <c r="AI267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267" i="6"/>
  <c r="DE266" i="6"/>
  <c r="DD266" i="6"/>
  <c r="DC266" i="6"/>
  <c r="DB266" i="6"/>
  <c r="DA266" i="6"/>
  <c r="CZ266" i="6"/>
  <c r="CY266" i="6"/>
  <c r="CX266" i="6"/>
  <c r="CV266" i="6"/>
  <c r="CU266" i="6"/>
  <c r="CT266" i="6"/>
  <c r="CS266" i="6"/>
  <c r="CR266" i="6"/>
  <c r="CQ266" i="6"/>
  <c r="CP266" i="6"/>
  <c r="CO266" i="6"/>
  <c r="CN266" i="6"/>
  <c r="CM266" i="6"/>
  <c r="CL266" i="6"/>
  <c r="CK266" i="6"/>
  <c r="CJ266" i="6"/>
  <c r="CI266" i="6"/>
  <c r="CH266" i="6"/>
  <c r="CG266" i="6"/>
  <c r="CF266" i="6"/>
  <c r="CE266" i="6"/>
  <c r="CD266" i="6"/>
  <c r="CC266" i="6"/>
  <c r="CB266" i="6"/>
  <c r="CA266" i="6"/>
  <c r="BZ266" i="6"/>
  <c r="BY266" i="6"/>
  <c r="BX266" i="6"/>
  <c r="BW266" i="6"/>
  <c r="BV266" i="6"/>
  <c r="BU266" i="6"/>
  <c r="BT266" i="6"/>
  <c r="BS266" i="6"/>
  <c r="BR266" i="6"/>
  <c r="BQ266" i="6"/>
  <c r="BP266" i="6"/>
  <c r="BO266" i="6"/>
  <c r="BN266" i="6"/>
  <c r="BM266" i="6"/>
  <c r="BL266" i="6"/>
  <c r="BK266" i="6"/>
  <c r="BJ266" i="6"/>
  <c r="BI266" i="6"/>
  <c r="BH266" i="6"/>
  <c r="BG266" i="6"/>
  <c r="BF266" i="6"/>
  <c r="BE266" i="6"/>
  <c r="BD266" i="6"/>
  <c r="BC266" i="6"/>
  <c r="BB266" i="6"/>
  <c r="BA266" i="6"/>
  <c r="AZ266" i="6"/>
  <c r="AY266" i="6"/>
  <c r="AX266" i="6"/>
  <c r="AW266" i="6"/>
  <c r="AV266" i="6"/>
  <c r="AU266" i="6"/>
  <c r="AT266" i="6"/>
  <c r="AS266" i="6"/>
  <c r="AR266" i="6"/>
  <c r="AQ266" i="6"/>
  <c r="AP266" i="6"/>
  <c r="AO266" i="6"/>
  <c r="AN266" i="6"/>
  <c r="AM266" i="6"/>
  <c r="AL266" i="6"/>
  <c r="AK266" i="6"/>
  <c r="AJ266" i="6"/>
  <c r="AI266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266" i="6"/>
  <c r="DE265" i="6"/>
  <c r="DD265" i="6"/>
  <c r="DC265" i="6"/>
  <c r="DB265" i="6"/>
  <c r="DA265" i="6"/>
  <c r="CZ265" i="6"/>
  <c r="CY265" i="6"/>
  <c r="CX265" i="6"/>
  <c r="CV265" i="6"/>
  <c r="CU265" i="6"/>
  <c r="CT265" i="6"/>
  <c r="CS265" i="6"/>
  <c r="CR265" i="6"/>
  <c r="CQ265" i="6"/>
  <c r="CP265" i="6"/>
  <c r="CO265" i="6"/>
  <c r="CN265" i="6"/>
  <c r="CM265" i="6"/>
  <c r="CL265" i="6"/>
  <c r="CK265" i="6"/>
  <c r="CJ265" i="6"/>
  <c r="CI265" i="6"/>
  <c r="CH265" i="6"/>
  <c r="CG265" i="6"/>
  <c r="CF265" i="6"/>
  <c r="CE265" i="6"/>
  <c r="CD265" i="6"/>
  <c r="CC265" i="6"/>
  <c r="CB265" i="6"/>
  <c r="CA265" i="6"/>
  <c r="BZ265" i="6"/>
  <c r="BY265" i="6"/>
  <c r="BX265" i="6"/>
  <c r="BW265" i="6"/>
  <c r="BV265" i="6"/>
  <c r="BU265" i="6"/>
  <c r="BT265" i="6"/>
  <c r="BS265" i="6"/>
  <c r="BR265" i="6"/>
  <c r="BQ265" i="6"/>
  <c r="BP265" i="6"/>
  <c r="BO265" i="6"/>
  <c r="BN265" i="6"/>
  <c r="BM265" i="6"/>
  <c r="BL265" i="6"/>
  <c r="BK265" i="6"/>
  <c r="BJ265" i="6"/>
  <c r="BI265" i="6"/>
  <c r="BH265" i="6"/>
  <c r="BG265" i="6"/>
  <c r="BF265" i="6"/>
  <c r="BE265" i="6"/>
  <c r="BD265" i="6"/>
  <c r="BC265" i="6"/>
  <c r="BB265" i="6"/>
  <c r="BA265" i="6"/>
  <c r="AZ265" i="6"/>
  <c r="AY265" i="6"/>
  <c r="AX265" i="6"/>
  <c r="AW265" i="6"/>
  <c r="AV265" i="6"/>
  <c r="AU265" i="6"/>
  <c r="AT265" i="6"/>
  <c r="AS265" i="6"/>
  <c r="AR265" i="6"/>
  <c r="AQ265" i="6"/>
  <c r="AP265" i="6"/>
  <c r="AO265" i="6"/>
  <c r="AN265" i="6"/>
  <c r="AM265" i="6"/>
  <c r="AL265" i="6"/>
  <c r="AK265" i="6"/>
  <c r="AJ265" i="6"/>
  <c r="AI265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265" i="6"/>
  <c r="DE264" i="6"/>
  <c r="DD264" i="6"/>
  <c r="DC264" i="6"/>
  <c r="DB264" i="6"/>
  <c r="DA264" i="6"/>
  <c r="CZ264" i="6"/>
  <c r="CY264" i="6"/>
  <c r="CX264" i="6"/>
  <c r="CV264" i="6"/>
  <c r="CU264" i="6"/>
  <c r="CT264" i="6"/>
  <c r="CS264" i="6"/>
  <c r="CR264" i="6"/>
  <c r="CQ264" i="6"/>
  <c r="CP264" i="6"/>
  <c r="CO264" i="6"/>
  <c r="CN264" i="6"/>
  <c r="CM264" i="6"/>
  <c r="CL264" i="6"/>
  <c r="CK264" i="6"/>
  <c r="CJ264" i="6"/>
  <c r="CI264" i="6"/>
  <c r="CH264" i="6"/>
  <c r="CG264" i="6"/>
  <c r="CF264" i="6"/>
  <c r="CE264" i="6"/>
  <c r="CD264" i="6"/>
  <c r="CC264" i="6"/>
  <c r="CB264" i="6"/>
  <c r="CA264" i="6"/>
  <c r="BZ264" i="6"/>
  <c r="BY264" i="6"/>
  <c r="BX264" i="6"/>
  <c r="BW264" i="6"/>
  <c r="BV264" i="6"/>
  <c r="BU264" i="6"/>
  <c r="BT264" i="6"/>
  <c r="BS264" i="6"/>
  <c r="BR264" i="6"/>
  <c r="BQ264" i="6"/>
  <c r="BP264" i="6"/>
  <c r="BO264" i="6"/>
  <c r="BN264" i="6"/>
  <c r="BM264" i="6"/>
  <c r="BL264" i="6"/>
  <c r="BK264" i="6"/>
  <c r="BJ264" i="6"/>
  <c r="BI264" i="6"/>
  <c r="BH264" i="6"/>
  <c r="BG264" i="6"/>
  <c r="BF264" i="6"/>
  <c r="BE264" i="6"/>
  <c r="BD264" i="6"/>
  <c r="BC264" i="6"/>
  <c r="BB264" i="6"/>
  <c r="BA264" i="6"/>
  <c r="AZ264" i="6"/>
  <c r="AY264" i="6"/>
  <c r="AX264" i="6"/>
  <c r="AW264" i="6"/>
  <c r="AV264" i="6"/>
  <c r="AU264" i="6"/>
  <c r="AT264" i="6"/>
  <c r="AS264" i="6"/>
  <c r="AR264" i="6"/>
  <c r="AQ264" i="6"/>
  <c r="AP264" i="6"/>
  <c r="AO264" i="6"/>
  <c r="AN264" i="6"/>
  <c r="AM264" i="6"/>
  <c r="AL264" i="6"/>
  <c r="AK264" i="6"/>
  <c r="AJ264" i="6"/>
  <c r="AI264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264" i="6"/>
  <c r="DE263" i="6"/>
  <c r="DD263" i="6"/>
  <c r="DC263" i="6"/>
  <c r="DB263" i="6"/>
  <c r="DA263" i="6"/>
  <c r="CZ263" i="6"/>
  <c r="CY263" i="6"/>
  <c r="CX263" i="6"/>
  <c r="CV263" i="6"/>
  <c r="CU263" i="6"/>
  <c r="CT263" i="6"/>
  <c r="CS263" i="6"/>
  <c r="CR263" i="6"/>
  <c r="CQ263" i="6"/>
  <c r="CP263" i="6"/>
  <c r="CO263" i="6"/>
  <c r="CN263" i="6"/>
  <c r="CM263" i="6"/>
  <c r="CL263" i="6"/>
  <c r="CK263" i="6"/>
  <c r="CJ263" i="6"/>
  <c r="CI263" i="6"/>
  <c r="CH263" i="6"/>
  <c r="CG263" i="6"/>
  <c r="CF263" i="6"/>
  <c r="CE263" i="6"/>
  <c r="CD263" i="6"/>
  <c r="CC263" i="6"/>
  <c r="CB263" i="6"/>
  <c r="CA263" i="6"/>
  <c r="BZ263" i="6"/>
  <c r="BY263" i="6"/>
  <c r="BX263" i="6"/>
  <c r="BW263" i="6"/>
  <c r="BV263" i="6"/>
  <c r="BU263" i="6"/>
  <c r="BT263" i="6"/>
  <c r="BS263" i="6"/>
  <c r="BR263" i="6"/>
  <c r="BQ263" i="6"/>
  <c r="BP263" i="6"/>
  <c r="BO263" i="6"/>
  <c r="BN263" i="6"/>
  <c r="BM263" i="6"/>
  <c r="BL263" i="6"/>
  <c r="BK263" i="6"/>
  <c r="BJ263" i="6"/>
  <c r="BI263" i="6"/>
  <c r="BH263" i="6"/>
  <c r="BG263" i="6"/>
  <c r="BF263" i="6"/>
  <c r="BE263" i="6"/>
  <c r="BD263" i="6"/>
  <c r="BC263" i="6"/>
  <c r="BB263" i="6"/>
  <c r="BA263" i="6"/>
  <c r="AZ263" i="6"/>
  <c r="AY263" i="6"/>
  <c r="AX263" i="6"/>
  <c r="AW263" i="6"/>
  <c r="AV263" i="6"/>
  <c r="AU263" i="6"/>
  <c r="AT263" i="6"/>
  <c r="AS263" i="6"/>
  <c r="AR263" i="6"/>
  <c r="AQ263" i="6"/>
  <c r="AP263" i="6"/>
  <c r="AO263" i="6"/>
  <c r="AN263" i="6"/>
  <c r="AM263" i="6"/>
  <c r="AL263" i="6"/>
  <c r="AK263" i="6"/>
  <c r="AJ263" i="6"/>
  <c r="AI263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263" i="6"/>
  <c r="DE262" i="6"/>
  <c r="DD262" i="6"/>
  <c r="DC262" i="6"/>
  <c r="DB262" i="6"/>
  <c r="DA262" i="6"/>
  <c r="CZ262" i="6"/>
  <c r="CY262" i="6"/>
  <c r="CX262" i="6"/>
  <c r="CV262" i="6"/>
  <c r="CU262" i="6"/>
  <c r="CT262" i="6"/>
  <c r="CS262" i="6"/>
  <c r="CR262" i="6"/>
  <c r="CQ262" i="6"/>
  <c r="CP262" i="6"/>
  <c r="CO262" i="6"/>
  <c r="CN262" i="6"/>
  <c r="CM262" i="6"/>
  <c r="CL262" i="6"/>
  <c r="CK262" i="6"/>
  <c r="CJ262" i="6"/>
  <c r="CI262" i="6"/>
  <c r="CH262" i="6"/>
  <c r="CG262" i="6"/>
  <c r="CF262" i="6"/>
  <c r="CE262" i="6"/>
  <c r="CD262" i="6"/>
  <c r="CC262" i="6"/>
  <c r="CB262" i="6"/>
  <c r="CA262" i="6"/>
  <c r="BZ262" i="6"/>
  <c r="BY262" i="6"/>
  <c r="BX262" i="6"/>
  <c r="BW262" i="6"/>
  <c r="BV262" i="6"/>
  <c r="BU262" i="6"/>
  <c r="BT262" i="6"/>
  <c r="BS262" i="6"/>
  <c r="BR262" i="6"/>
  <c r="BQ262" i="6"/>
  <c r="BP262" i="6"/>
  <c r="BO262" i="6"/>
  <c r="BN262" i="6"/>
  <c r="BM262" i="6"/>
  <c r="BL262" i="6"/>
  <c r="BK262" i="6"/>
  <c r="BJ262" i="6"/>
  <c r="BI262" i="6"/>
  <c r="BH262" i="6"/>
  <c r="BG262" i="6"/>
  <c r="BF262" i="6"/>
  <c r="BE262" i="6"/>
  <c r="BD262" i="6"/>
  <c r="BC262" i="6"/>
  <c r="BB262" i="6"/>
  <c r="BA262" i="6"/>
  <c r="AZ262" i="6"/>
  <c r="AY262" i="6"/>
  <c r="AX262" i="6"/>
  <c r="AW262" i="6"/>
  <c r="AV262" i="6"/>
  <c r="AU262" i="6"/>
  <c r="AT262" i="6"/>
  <c r="AS262" i="6"/>
  <c r="AR262" i="6"/>
  <c r="AQ262" i="6"/>
  <c r="AP262" i="6"/>
  <c r="AO262" i="6"/>
  <c r="AN262" i="6"/>
  <c r="AM262" i="6"/>
  <c r="AL262" i="6"/>
  <c r="AK262" i="6"/>
  <c r="AJ262" i="6"/>
  <c r="AI262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262" i="6"/>
  <c r="DE261" i="6"/>
  <c r="DD261" i="6"/>
  <c r="DC261" i="6"/>
  <c r="DB261" i="6"/>
  <c r="DA261" i="6"/>
  <c r="CZ261" i="6"/>
  <c r="CY261" i="6"/>
  <c r="CX261" i="6"/>
  <c r="CV261" i="6"/>
  <c r="CU261" i="6"/>
  <c r="CT261" i="6"/>
  <c r="CS261" i="6"/>
  <c r="CR261" i="6"/>
  <c r="CQ261" i="6"/>
  <c r="CP261" i="6"/>
  <c r="CO261" i="6"/>
  <c r="CN261" i="6"/>
  <c r="CM261" i="6"/>
  <c r="CL261" i="6"/>
  <c r="CK261" i="6"/>
  <c r="CJ261" i="6"/>
  <c r="CI261" i="6"/>
  <c r="CH261" i="6"/>
  <c r="CG261" i="6"/>
  <c r="CF261" i="6"/>
  <c r="CE261" i="6"/>
  <c r="CD261" i="6"/>
  <c r="CC261" i="6"/>
  <c r="CB261" i="6"/>
  <c r="CA261" i="6"/>
  <c r="BZ261" i="6"/>
  <c r="BY261" i="6"/>
  <c r="BX261" i="6"/>
  <c r="BW261" i="6"/>
  <c r="BV261" i="6"/>
  <c r="BU261" i="6"/>
  <c r="BT261" i="6"/>
  <c r="BS261" i="6"/>
  <c r="BR261" i="6"/>
  <c r="BQ261" i="6"/>
  <c r="BP261" i="6"/>
  <c r="BO261" i="6"/>
  <c r="BN261" i="6"/>
  <c r="BM261" i="6"/>
  <c r="BL261" i="6"/>
  <c r="BK261" i="6"/>
  <c r="BJ261" i="6"/>
  <c r="BI261" i="6"/>
  <c r="BH261" i="6"/>
  <c r="BG261" i="6"/>
  <c r="BF261" i="6"/>
  <c r="BE261" i="6"/>
  <c r="BD261" i="6"/>
  <c r="BC261" i="6"/>
  <c r="BB261" i="6"/>
  <c r="BA261" i="6"/>
  <c r="AZ261" i="6"/>
  <c r="AY261" i="6"/>
  <c r="AX261" i="6"/>
  <c r="AW261" i="6"/>
  <c r="AV261" i="6"/>
  <c r="AU261" i="6"/>
  <c r="AT261" i="6"/>
  <c r="AS261" i="6"/>
  <c r="AR261" i="6"/>
  <c r="AQ261" i="6"/>
  <c r="AP261" i="6"/>
  <c r="AO261" i="6"/>
  <c r="AN261" i="6"/>
  <c r="AM261" i="6"/>
  <c r="AL261" i="6"/>
  <c r="AK261" i="6"/>
  <c r="AJ261" i="6"/>
  <c r="AI261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261" i="6"/>
  <c r="DE260" i="6"/>
  <c r="DD260" i="6"/>
  <c r="DC260" i="6"/>
  <c r="DB260" i="6"/>
  <c r="DA260" i="6"/>
  <c r="CZ260" i="6"/>
  <c r="CY260" i="6"/>
  <c r="CX260" i="6"/>
  <c r="CV260" i="6"/>
  <c r="CU260" i="6"/>
  <c r="CT260" i="6"/>
  <c r="CS260" i="6"/>
  <c r="CR260" i="6"/>
  <c r="CQ260" i="6"/>
  <c r="CP260" i="6"/>
  <c r="CO260" i="6"/>
  <c r="CN260" i="6"/>
  <c r="CM260" i="6"/>
  <c r="CL260" i="6"/>
  <c r="CK260" i="6"/>
  <c r="CJ260" i="6"/>
  <c r="CI260" i="6"/>
  <c r="CH260" i="6"/>
  <c r="CG260" i="6"/>
  <c r="CF260" i="6"/>
  <c r="CE260" i="6"/>
  <c r="CD260" i="6"/>
  <c r="CC260" i="6"/>
  <c r="CB260" i="6"/>
  <c r="CA260" i="6"/>
  <c r="BZ260" i="6"/>
  <c r="BY260" i="6"/>
  <c r="BX260" i="6"/>
  <c r="BW260" i="6"/>
  <c r="BV260" i="6"/>
  <c r="BU260" i="6"/>
  <c r="BT260" i="6"/>
  <c r="BS260" i="6"/>
  <c r="BR260" i="6"/>
  <c r="BQ260" i="6"/>
  <c r="BP260" i="6"/>
  <c r="BO260" i="6"/>
  <c r="BN260" i="6"/>
  <c r="BM260" i="6"/>
  <c r="BL260" i="6"/>
  <c r="BK260" i="6"/>
  <c r="BJ260" i="6"/>
  <c r="BI260" i="6"/>
  <c r="BH260" i="6"/>
  <c r="BG260" i="6"/>
  <c r="BF260" i="6"/>
  <c r="BE260" i="6"/>
  <c r="BD260" i="6"/>
  <c r="BC260" i="6"/>
  <c r="BB260" i="6"/>
  <c r="BA260" i="6"/>
  <c r="AZ260" i="6"/>
  <c r="AY260" i="6"/>
  <c r="AX260" i="6"/>
  <c r="AW260" i="6"/>
  <c r="AV260" i="6"/>
  <c r="AU260" i="6"/>
  <c r="AT260" i="6"/>
  <c r="AS260" i="6"/>
  <c r="AR260" i="6"/>
  <c r="AQ260" i="6"/>
  <c r="AP260" i="6"/>
  <c r="AO260" i="6"/>
  <c r="AN260" i="6"/>
  <c r="AM260" i="6"/>
  <c r="AL260" i="6"/>
  <c r="AK260" i="6"/>
  <c r="AJ260" i="6"/>
  <c r="AI260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260" i="6"/>
  <c r="DE259" i="6"/>
  <c r="DD259" i="6"/>
  <c r="DC259" i="6"/>
  <c r="DB259" i="6"/>
  <c r="DA259" i="6"/>
  <c r="CZ259" i="6"/>
  <c r="CY259" i="6"/>
  <c r="CX259" i="6"/>
  <c r="CV259" i="6"/>
  <c r="CU259" i="6"/>
  <c r="CT259" i="6"/>
  <c r="CS259" i="6"/>
  <c r="CR259" i="6"/>
  <c r="CQ259" i="6"/>
  <c r="CP259" i="6"/>
  <c r="CO259" i="6"/>
  <c r="CN259" i="6"/>
  <c r="CM259" i="6"/>
  <c r="CL259" i="6"/>
  <c r="CK259" i="6"/>
  <c r="CJ259" i="6"/>
  <c r="CI259" i="6"/>
  <c r="CH259" i="6"/>
  <c r="CG259" i="6"/>
  <c r="CF259" i="6"/>
  <c r="CE259" i="6"/>
  <c r="CD259" i="6"/>
  <c r="CC259" i="6"/>
  <c r="CB259" i="6"/>
  <c r="CA259" i="6"/>
  <c r="BZ259" i="6"/>
  <c r="BY259" i="6"/>
  <c r="BX259" i="6"/>
  <c r="BW259" i="6"/>
  <c r="BV259" i="6"/>
  <c r="BU259" i="6"/>
  <c r="BT259" i="6"/>
  <c r="BS259" i="6"/>
  <c r="BR259" i="6"/>
  <c r="BQ259" i="6"/>
  <c r="BP259" i="6"/>
  <c r="BO259" i="6"/>
  <c r="BN259" i="6"/>
  <c r="BM259" i="6"/>
  <c r="BL259" i="6"/>
  <c r="BK259" i="6"/>
  <c r="BJ259" i="6"/>
  <c r="BI259" i="6"/>
  <c r="BH259" i="6"/>
  <c r="BG259" i="6"/>
  <c r="BF259" i="6"/>
  <c r="BE259" i="6"/>
  <c r="BD259" i="6"/>
  <c r="BC259" i="6"/>
  <c r="BB259" i="6"/>
  <c r="BA259" i="6"/>
  <c r="AZ259" i="6"/>
  <c r="AY259" i="6"/>
  <c r="AX259" i="6"/>
  <c r="AW259" i="6"/>
  <c r="AV259" i="6"/>
  <c r="AU259" i="6"/>
  <c r="AT259" i="6"/>
  <c r="AS259" i="6"/>
  <c r="AR259" i="6"/>
  <c r="AQ259" i="6"/>
  <c r="AP259" i="6"/>
  <c r="AO259" i="6"/>
  <c r="AN259" i="6"/>
  <c r="AM259" i="6"/>
  <c r="AL259" i="6"/>
  <c r="AK259" i="6"/>
  <c r="AJ259" i="6"/>
  <c r="AI259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259" i="6"/>
  <c r="DE258" i="6"/>
  <c r="DD258" i="6"/>
  <c r="DC258" i="6"/>
  <c r="DB258" i="6"/>
  <c r="DA258" i="6"/>
  <c r="CZ258" i="6"/>
  <c r="CY258" i="6"/>
  <c r="CX258" i="6"/>
  <c r="CV258" i="6"/>
  <c r="CU258" i="6"/>
  <c r="CT258" i="6"/>
  <c r="CS258" i="6"/>
  <c r="CR258" i="6"/>
  <c r="CQ258" i="6"/>
  <c r="CP258" i="6"/>
  <c r="CO258" i="6"/>
  <c r="CN258" i="6"/>
  <c r="CM258" i="6"/>
  <c r="CL258" i="6"/>
  <c r="CK258" i="6"/>
  <c r="CJ258" i="6"/>
  <c r="CI258" i="6"/>
  <c r="CH258" i="6"/>
  <c r="CG258" i="6"/>
  <c r="CF258" i="6"/>
  <c r="CE258" i="6"/>
  <c r="CD258" i="6"/>
  <c r="CC258" i="6"/>
  <c r="CB258" i="6"/>
  <c r="CA258" i="6"/>
  <c r="BZ258" i="6"/>
  <c r="BY258" i="6"/>
  <c r="BX258" i="6"/>
  <c r="BW258" i="6"/>
  <c r="BV258" i="6"/>
  <c r="BU258" i="6"/>
  <c r="BT258" i="6"/>
  <c r="BS258" i="6"/>
  <c r="BR258" i="6"/>
  <c r="BQ258" i="6"/>
  <c r="BP258" i="6"/>
  <c r="BO258" i="6"/>
  <c r="BN258" i="6"/>
  <c r="BM258" i="6"/>
  <c r="BL258" i="6"/>
  <c r="BK258" i="6"/>
  <c r="BJ258" i="6"/>
  <c r="BI258" i="6"/>
  <c r="BH258" i="6"/>
  <c r="BG258" i="6"/>
  <c r="BF258" i="6"/>
  <c r="BE258" i="6"/>
  <c r="BD258" i="6"/>
  <c r="BC258" i="6"/>
  <c r="BB258" i="6"/>
  <c r="BA258" i="6"/>
  <c r="AZ258" i="6"/>
  <c r="AY258" i="6"/>
  <c r="AX258" i="6"/>
  <c r="AW258" i="6"/>
  <c r="AV258" i="6"/>
  <c r="AU258" i="6"/>
  <c r="AT258" i="6"/>
  <c r="AS258" i="6"/>
  <c r="AR258" i="6"/>
  <c r="AQ258" i="6"/>
  <c r="AP258" i="6"/>
  <c r="AO258" i="6"/>
  <c r="AN258" i="6"/>
  <c r="AM258" i="6"/>
  <c r="AL258" i="6"/>
  <c r="AK258" i="6"/>
  <c r="AJ258" i="6"/>
  <c r="AI258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258" i="6"/>
  <c r="DE257" i="6"/>
  <c r="DD257" i="6"/>
  <c r="DC257" i="6"/>
  <c r="DB257" i="6"/>
  <c r="DA257" i="6"/>
  <c r="CZ257" i="6"/>
  <c r="CY257" i="6"/>
  <c r="CX257" i="6"/>
  <c r="CV257" i="6"/>
  <c r="CU257" i="6"/>
  <c r="CT257" i="6"/>
  <c r="CS257" i="6"/>
  <c r="CR257" i="6"/>
  <c r="CQ257" i="6"/>
  <c r="CP257" i="6"/>
  <c r="CO257" i="6"/>
  <c r="CN257" i="6"/>
  <c r="CM257" i="6"/>
  <c r="CL257" i="6"/>
  <c r="CK257" i="6"/>
  <c r="CJ257" i="6"/>
  <c r="CI257" i="6"/>
  <c r="CH257" i="6"/>
  <c r="CG257" i="6"/>
  <c r="CF257" i="6"/>
  <c r="CE257" i="6"/>
  <c r="CD257" i="6"/>
  <c r="CC257" i="6"/>
  <c r="CB257" i="6"/>
  <c r="CA257" i="6"/>
  <c r="BZ257" i="6"/>
  <c r="BY257" i="6"/>
  <c r="BX257" i="6"/>
  <c r="BW257" i="6"/>
  <c r="BV257" i="6"/>
  <c r="BU257" i="6"/>
  <c r="BT257" i="6"/>
  <c r="BS257" i="6"/>
  <c r="BR257" i="6"/>
  <c r="BQ257" i="6"/>
  <c r="BP257" i="6"/>
  <c r="BO257" i="6"/>
  <c r="BN257" i="6"/>
  <c r="BM257" i="6"/>
  <c r="BL257" i="6"/>
  <c r="BK257" i="6"/>
  <c r="BJ257" i="6"/>
  <c r="BI257" i="6"/>
  <c r="BH257" i="6"/>
  <c r="BG257" i="6"/>
  <c r="BF257" i="6"/>
  <c r="BE257" i="6"/>
  <c r="BD257" i="6"/>
  <c r="BC257" i="6"/>
  <c r="BB257" i="6"/>
  <c r="BA257" i="6"/>
  <c r="AZ257" i="6"/>
  <c r="AY257" i="6"/>
  <c r="AX257" i="6"/>
  <c r="AW257" i="6"/>
  <c r="AV257" i="6"/>
  <c r="AU257" i="6"/>
  <c r="AT257" i="6"/>
  <c r="AS257" i="6"/>
  <c r="AR257" i="6"/>
  <c r="AQ257" i="6"/>
  <c r="AP257" i="6"/>
  <c r="AO257" i="6"/>
  <c r="AN257" i="6"/>
  <c r="AM257" i="6"/>
  <c r="AL257" i="6"/>
  <c r="AK257" i="6"/>
  <c r="AJ257" i="6"/>
  <c r="AI257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257" i="6"/>
  <c r="DE256" i="6"/>
  <c r="DD256" i="6"/>
  <c r="DC256" i="6"/>
  <c r="DB256" i="6"/>
  <c r="DA256" i="6"/>
  <c r="CZ256" i="6"/>
  <c r="CY256" i="6"/>
  <c r="CX256" i="6"/>
  <c r="CV256" i="6"/>
  <c r="CU256" i="6"/>
  <c r="CT256" i="6"/>
  <c r="CS256" i="6"/>
  <c r="CR256" i="6"/>
  <c r="CQ256" i="6"/>
  <c r="CP256" i="6"/>
  <c r="CO256" i="6"/>
  <c r="CN256" i="6"/>
  <c r="CM256" i="6"/>
  <c r="CL256" i="6"/>
  <c r="CK256" i="6"/>
  <c r="CJ256" i="6"/>
  <c r="CI256" i="6"/>
  <c r="CH256" i="6"/>
  <c r="CG256" i="6"/>
  <c r="CF256" i="6"/>
  <c r="CE256" i="6"/>
  <c r="CD256" i="6"/>
  <c r="CC256" i="6"/>
  <c r="CB256" i="6"/>
  <c r="CA256" i="6"/>
  <c r="BZ256" i="6"/>
  <c r="BY256" i="6"/>
  <c r="BX256" i="6"/>
  <c r="BW256" i="6"/>
  <c r="BV256" i="6"/>
  <c r="BU256" i="6"/>
  <c r="BT256" i="6"/>
  <c r="BS256" i="6"/>
  <c r="BR256" i="6"/>
  <c r="BQ256" i="6"/>
  <c r="BP256" i="6"/>
  <c r="BO256" i="6"/>
  <c r="BN256" i="6"/>
  <c r="BM256" i="6"/>
  <c r="BL256" i="6"/>
  <c r="BK256" i="6"/>
  <c r="BJ256" i="6"/>
  <c r="BI256" i="6"/>
  <c r="BH256" i="6"/>
  <c r="BG256" i="6"/>
  <c r="BF256" i="6"/>
  <c r="BE256" i="6"/>
  <c r="BD256" i="6"/>
  <c r="BC256" i="6"/>
  <c r="BB256" i="6"/>
  <c r="BA256" i="6"/>
  <c r="AZ256" i="6"/>
  <c r="AY256" i="6"/>
  <c r="AX256" i="6"/>
  <c r="AW256" i="6"/>
  <c r="AV256" i="6"/>
  <c r="AU256" i="6"/>
  <c r="AT256" i="6"/>
  <c r="AS256" i="6"/>
  <c r="AR256" i="6"/>
  <c r="AQ256" i="6"/>
  <c r="AP256" i="6"/>
  <c r="AO256" i="6"/>
  <c r="AN256" i="6"/>
  <c r="AM256" i="6"/>
  <c r="AL256" i="6"/>
  <c r="AK256" i="6"/>
  <c r="AJ256" i="6"/>
  <c r="AI256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256" i="6"/>
  <c r="DE255" i="6"/>
  <c r="DD255" i="6"/>
  <c r="DC255" i="6"/>
  <c r="DB255" i="6"/>
  <c r="DA255" i="6"/>
  <c r="CZ255" i="6"/>
  <c r="CY255" i="6"/>
  <c r="CX255" i="6"/>
  <c r="CV255" i="6"/>
  <c r="CU255" i="6"/>
  <c r="CT255" i="6"/>
  <c r="CS255" i="6"/>
  <c r="CR255" i="6"/>
  <c r="CQ255" i="6"/>
  <c r="CP255" i="6"/>
  <c r="CO255" i="6"/>
  <c r="CN255" i="6"/>
  <c r="CM255" i="6"/>
  <c r="CL255" i="6"/>
  <c r="CK255" i="6"/>
  <c r="CJ255" i="6"/>
  <c r="CI255" i="6"/>
  <c r="CH255" i="6"/>
  <c r="CG255" i="6"/>
  <c r="CF255" i="6"/>
  <c r="CE255" i="6"/>
  <c r="CD255" i="6"/>
  <c r="CC255" i="6"/>
  <c r="CB255" i="6"/>
  <c r="CA255" i="6"/>
  <c r="BZ255" i="6"/>
  <c r="BY255" i="6"/>
  <c r="BX255" i="6"/>
  <c r="BW255" i="6"/>
  <c r="BV255" i="6"/>
  <c r="BU255" i="6"/>
  <c r="BT255" i="6"/>
  <c r="BS255" i="6"/>
  <c r="BR255" i="6"/>
  <c r="BQ255" i="6"/>
  <c r="BP255" i="6"/>
  <c r="BO255" i="6"/>
  <c r="BN255" i="6"/>
  <c r="BM255" i="6"/>
  <c r="BL255" i="6"/>
  <c r="BK255" i="6"/>
  <c r="BJ255" i="6"/>
  <c r="BI255" i="6"/>
  <c r="BH255" i="6"/>
  <c r="BG255" i="6"/>
  <c r="BF255" i="6"/>
  <c r="BE255" i="6"/>
  <c r="BD255" i="6"/>
  <c r="BC255" i="6"/>
  <c r="BB255" i="6"/>
  <c r="BA255" i="6"/>
  <c r="AZ255" i="6"/>
  <c r="AY255" i="6"/>
  <c r="AX255" i="6"/>
  <c r="AW255" i="6"/>
  <c r="AV255" i="6"/>
  <c r="AU255" i="6"/>
  <c r="AT255" i="6"/>
  <c r="AS255" i="6"/>
  <c r="AR255" i="6"/>
  <c r="AQ255" i="6"/>
  <c r="AP255" i="6"/>
  <c r="AO255" i="6"/>
  <c r="AN255" i="6"/>
  <c r="AM255" i="6"/>
  <c r="AL255" i="6"/>
  <c r="AK255" i="6"/>
  <c r="AJ255" i="6"/>
  <c r="AI255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255" i="6"/>
  <c r="DE254" i="6"/>
  <c r="DD254" i="6"/>
  <c r="DC254" i="6"/>
  <c r="DB254" i="6"/>
  <c r="DA254" i="6"/>
  <c r="CZ254" i="6"/>
  <c r="CY254" i="6"/>
  <c r="CX254" i="6"/>
  <c r="CV254" i="6"/>
  <c r="CU254" i="6"/>
  <c r="CT254" i="6"/>
  <c r="CS254" i="6"/>
  <c r="CR254" i="6"/>
  <c r="CQ254" i="6"/>
  <c r="CP254" i="6"/>
  <c r="CO254" i="6"/>
  <c r="CN254" i="6"/>
  <c r="CM254" i="6"/>
  <c r="CL254" i="6"/>
  <c r="CK254" i="6"/>
  <c r="CJ254" i="6"/>
  <c r="CI254" i="6"/>
  <c r="CH254" i="6"/>
  <c r="CG254" i="6"/>
  <c r="CF254" i="6"/>
  <c r="CE254" i="6"/>
  <c r="CD254" i="6"/>
  <c r="CC254" i="6"/>
  <c r="CB254" i="6"/>
  <c r="CA254" i="6"/>
  <c r="BZ254" i="6"/>
  <c r="BY254" i="6"/>
  <c r="BX254" i="6"/>
  <c r="BW254" i="6"/>
  <c r="BV254" i="6"/>
  <c r="BU254" i="6"/>
  <c r="BT254" i="6"/>
  <c r="BS254" i="6"/>
  <c r="BR254" i="6"/>
  <c r="BQ254" i="6"/>
  <c r="BP254" i="6"/>
  <c r="BO254" i="6"/>
  <c r="BN254" i="6"/>
  <c r="BM254" i="6"/>
  <c r="BL254" i="6"/>
  <c r="BK254" i="6"/>
  <c r="BJ254" i="6"/>
  <c r="BI254" i="6"/>
  <c r="BH254" i="6"/>
  <c r="BG254" i="6"/>
  <c r="BF254" i="6"/>
  <c r="BE254" i="6"/>
  <c r="BD254" i="6"/>
  <c r="BC254" i="6"/>
  <c r="BB254" i="6"/>
  <c r="BA254" i="6"/>
  <c r="AZ254" i="6"/>
  <c r="AY254" i="6"/>
  <c r="AX254" i="6"/>
  <c r="AW254" i="6"/>
  <c r="AV254" i="6"/>
  <c r="AU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254" i="6"/>
  <c r="DE253" i="6"/>
  <c r="DD253" i="6"/>
  <c r="DC253" i="6"/>
  <c r="DB253" i="6"/>
  <c r="DA253" i="6"/>
  <c r="CZ253" i="6"/>
  <c r="CY253" i="6"/>
  <c r="CX253" i="6"/>
  <c r="CV253" i="6"/>
  <c r="CU253" i="6"/>
  <c r="CT253" i="6"/>
  <c r="CS253" i="6"/>
  <c r="CR253" i="6"/>
  <c r="CQ253" i="6"/>
  <c r="CP253" i="6"/>
  <c r="CO253" i="6"/>
  <c r="CN253" i="6"/>
  <c r="CM253" i="6"/>
  <c r="CL253" i="6"/>
  <c r="CK253" i="6"/>
  <c r="CJ253" i="6"/>
  <c r="CI253" i="6"/>
  <c r="CH253" i="6"/>
  <c r="CG253" i="6"/>
  <c r="CF253" i="6"/>
  <c r="CE253" i="6"/>
  <c r="CD253" i="6"/>
  <c r="CC253" i="6"/>
  <c r="CB253" i="6"/>
  <c r="CA253" i="6"/>
  <c r="BZ253" i="6"/>
  <c r="BY253" i="6"/>
  <c r="BX253" i="6"/>
  <c r="BW253" i="6"/>
  <c r="BV253" i="6"/>
  <c r="BU253" i="6"/>
  <c r="BT253" i="6"/>
  <c r="BS253" i="6"/>
  <c r="BR253" i="6"/>
  <c r="BQ253" i="6"/>
  <c r="BP253" i="6"/>
  <c r="BO253" i="6"/>
  <c r="BN253" i="6"/>
  <c r="BM253" i="6"/>
  <c r="BL253" i="6"/>
  <c r="BK253" i="6"/>
  <c r="BJ253" i="6"/>
  <c r="BI253" i="6"/>
  <c r="BH253" i="6"/>
  <c r="BG253" i="6"/>
  <c r="BF253" i="6"/>
  <c r="BE253" i="6"/>
  <c r="BD253" i="6"/>
  <c r="BC253" i="6"/>
  <c r="BB253" i="6"/>
  <c r="BA253" i="6"/>
  <c r="AZ253" i="6"/>
  <c r="AY253" i="6"/>
  <c r="AX253" i="6"/>
  <c r="AW253" i="6"/>
  <c r="AV253" i="6"/>
  <c r="AU253" i="6"/>
  <c r="AT253" i="6"/>
  <c r="AS253" i="6"/>
  <c r="AR253" i="6"/>
  <c r="AQ253" i="6"/>
  <c r="AP253" i="6"/>
  <c r="AO253" i="6"/>
  <c r="AN253" i="6"/>
  <c r="AM253" i="6"/>
  <c r="AL253" i="6"/>
  <c r="AK253" i="6"/>
  <c r="AJ253" i="6"/>
  <c r="AI253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253" i="6"/>
  <c r="DE252" i="6"/>
  <c r="DD252" i="6"/>
  <c r="DC252" i="6"/>
  <c r="DB252" i="6"/>
  <c r="DA252" i="6"/>
  <c r="CZ252" i="6"/>
  <c r="CY252" i="6"/>
  <c r="CX252" i="6"/>
  <c r="CV252" i="6"/>
  <c r="CU252" i="6"/>
  <c r="CT252" i="6"/>
  <c r="CS252" i="6"/>
  <c r="CR252" i="6"/>
  <c r="CQ252" i="6"/>
  <c r="CP252" i="6"/>
  <c r="CO252" i="6"/>
  <c r="CN252" i="6"/>
  <c r="CM252" i="6"/>
  <c r="CL252" i="6"/>
  <c r="CK252" i="6"/>
  <c r="CJ252" i="6"/>
  <c r="CI252" i="6"/>
  <c r="CH252" i="6"/>
  <c r="CG252" i="6"/>
  <c r="CF252" i="6"/>
  <c r="CE252" i="6"/>
  <c r="CD252" i="6"/>
  <c r="CC252" i="6"/>
  <c r="CB252" i="6"/>
  <c r="CA252" i="6"/>
  <c r="BZ252" i="6"/>
  <c r="BY252" i="6"/>
  <c r="BX252" i="6"/>
  <c r="BW252" i="6"/>
  <c r="BV252" i="6"/>
  <c r="BU252" i="6"/>
  <c r="BT252" i="6"/>
  <c r="BS252" i="6"/>
  <c r="BR252" i="6"/>
  <c r="BQ252" i="6"/>
  <c r="BP252" i="6"/>
  <c r="BO252" i="6"/>
  <c r="BN252" i="6"/>
  <c r="BM252" i="6"/>
  <c r="BL252" i="6"/>
  <c r="BK252" i="6"/>
  <c r="BJ252" i="6"/>
  <c r="BI252" i="6"/>
  <c r="BH252" i="6"/>
  <c r="BG252" i="6"/>
  <c r="BF252" i="6"/>
  <c r="BE252" i="6"/>
  <c r="BD252" i="6"/>
  <c r="BC252" i="6"/>
  <c r="BB252" i="6"/>
  <c r="BA252" i="6"/>
  <c r="AZ252" i="6"/>
  <c r="AY252" i="6"/>
  <c r="AX252" i="6"/>
  <c r="AW252" i="6"/>
  <c r="AV252" i="6"/>
  <c r="AU252" i="6"/>
  <c r="AT252" i="6"/>
  <c r="AS252" i="6"/>
  <c r="AR252" i="6"/>
  <c r="AQ252" i="6"/>
  <c r="AP252" i="6"/>
  <c r="AO252" i="6"/>
  <c r="AN252" i="6"/>
  <c r="AM252" i="6"/>
  <c r="AL252" i="6"/>
  <c r="AK252" i="6"/>
  <c r="AJ252" i="6"/>
  <c r="AI252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252" i="6"/>
  <c r="DE251" i="6"/>
  <c r="DD251" i="6"/>
  <c r="DC251" i="6"/>
  <c r="DB251" i="6"/>
  <c r="DA251" i="6"/>
  <c r="CZ251" i="6"/>
  <c r="CY251" i="6"/>
  <c r="CX251" i="6"/>
  <c r="CV251" i="6"/>
  <c r="CU251" i="6"/>
  <c r="CT251" i="6"/>
  <c r="CS251" i="6"/>
  <c r="CR251" i="6"/>
  <c r="CQ251" i="6"/>
  <c r="CP251" i="6"/>
  <c r="CO251" i="6"/>
  <c r="CN251" i="6"/>
  <c r="CM251" i="6"/>
  <c r="CL251" i="6"/>
  <c r="CK251" i="6"/>
  <c r="CJ251" i="6"/>
  <c r="CI251" i="6"/>
  <c r="CH251" i="6"/>
  <c r="CG251" i="6"/>
  <c r="CF251" i="6"/>
  <c r="CE251" i="6"/>
  <c r="CD251" i="6"/>
  <c r="CC251" i="6"/>
  <c r="CB251" i="6"/>
  <c r="CA251" i="6"/>
  <c r="BZ251" i="6"/>
  <c r="BY251" i="6"/>
  <c r="BX251" i="6"/>
  <c r="BW251" i="6"/>
  <c r="BV251" i="6"/>
  <c r="BU251" i="6"/>
  <c r="BT251" i="6"/>
  <c r="BS251" i="6"/>
  <c r="BR251" i="6"/>
  <c r="BQ251" i="6"/>
  <c r="BP251" i="6"/>
  <c r="BO251" i="6"/>
  <c r="BN251" i="6"/>
  <c r="BM251" i="6"/>
  <c r="BL251" i="6"/>
  <c r="BK251" i="6"/>
  <c r="BJ251" i="6"/>
  <c r="BI251" i="6"/>
  <c r="BH251" i="6"/>
  <c r="BG251" i="6"/>
  <c r="BF251" i="6"/>
  <c r="BE251" i="6"/>
  <c r="BD251" i="6"/>
  <c r="BC251" i="6"/>
  <c r="BB251" i="6"/>
  <c r="BA251" i="6"/>
  <c r="AZ251" i="6"/>
  <c r="AY251" i="6"/>
  <c r="AX251" i="6"/>
  <c r="AW251" i="6"/>
  <c r="AV251" i="6"/>
  <c r="AU251" i="6"/>
  <c r="AT251" i="6"/>
  <c r="AS251" i="6"/>
  <c r="AR251" i="6"/>
  <c r="AQ251" i="6"/>
  <c r="AP251" i="6"/>
  <c r="AO251" i="6"/>
  <c r="AN251" i="6"/>
  <c r="AM251" i="6"/>
  <c r="AL251" i="6"/>
  <c r="AK251" i="6"/>
  <c r="AJ251" i="6"/>
  <c r="AI251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DE250" i="6"/>
  <c r="DD250" i="6"/>
  <c r="DC250" i="6"/>
  <c r="DB250" i="6"/>
  <c r="DA250" i="6"/>
  <c r="CZ250" i="6"/>
  <c r="CY250" i="6"/>
  <c r="CX250" i="6"/>
  <c r="CV250" i="6"/>
  <c r="CU250" i="6"/>
  <c r="CT250" i="6"/>
  <c r="CS250" i="6"/>
  <c r="CR250" i="6"/>
  <c r="CQ250" i="6"/>
  <c r="CP250" i="6"/>
  <c r="CO250" i="6"/>
  <c r="CN250" i="6"/>
  <c r="CM250" i="6"/>
  <c r="CL250" i="6"/>
  <c r="CK250" i="6"/>
  <c r="CJ250" i="6"/>
  <c r="CI250" i="6"/>
  <c r="CH250" i="6"/>
  <c r="CG250" i="6"/>
  <c r="CF250" i="6"/>
  <c r="CE250" i="6"/>
  <c r="CD250" i="6"/>
  <c r="CC250" i="6"/>
  <c r="CB250" i="6"/>
  <c r="CA250" i="6"/>
  <c r="BZ250" i="6"/>
  <c r="BY250" i="6"/>
  <c r="BX250" i="6"/>
  <c r="BW250" i="6"/>
  <c r="BV250" i="6"/>
  <c r="BU250" i="6"/>
  <c r="BT250" i="6"/>
  <c r="BS250" i="6"/>
  <c r="BR250" i="6"/>
  <c r="BQ250" i="6"/>
  <c r="BP250" i="6"/>
  <c r="BO250" i="6"/>
  <c r="BN250" i="6"/>
  <c r="BM250" i="6"/>
  <c r="BL250" i="6"/>
  <c r="BK250" i="6"/>
  <c r="BJ250" i="6"/>
  <c r="BI250" i="6"/>
  <c r="BH250" i="6"/>
  <c r="BG250" i="6"/>
  <c r="BF250" i="6"/>
  <c r="BE250" i="6"/>
  <c r="BD250" i="6"/>
  <c r="BC250" i="6"/>
  <c r="BB250" i="6"/>
  <c r="BA250" i="6"/>
  <c r="AZ250" i="6"/>
  <c r="AY250" i="6"/>
  <c r="AX250" i="6"/>
  <c r="AW250" i="6"/>
  <c r="AV250" i="6"/>
  <c r="AU250" i="6"/>
  <c r="AT250" i="6"/>
  <c r="AS250" i="6"/>
  <c r="AR250" i="6"/>
  <c r="AQ250" i="6"/>
  <c r="AP250" i="6"/>
  <c r="AO250" i="6"/>
  <c r="AN250" i="6"/>
  <c r="AM250" i="6"/>
  <c r="AL250" i="6"/>
  <c r="AK250" i="6"/>
  <c r="AJ250" i="6"/>
  <c r="AI250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DE249" i="6"/>
  <c r="DD249" i="6"/>
  <c r="DC249" i="6"/>
  <c r="DB249" i="6"/>
  <c r="DA249" i="6"/>
  <c r="CZ249" i="6"/>
  <c r="CY249" i="6"/>
  <c r="CX249" i="6"/>
  <c r="CV249" i="6"/>
  <c r="CU249" i="6"/>
  <c r="CT249" i="6"/>
  <c r="CS249" i="6"/>
  <c r="CR249" i="6"/>
  <c r="CQ249" i="6"/>
  <c r="CP249" i="6"/>
  <c r="CO249" i="6"/>
  <c r="CN249" i="6"/>
  <c r="CM249" i="6"/>
  <c r="CL249" i="6"/>
  <c r="CK249" i="6"/>
  <c r="CJ249" i="6"/>
  <c r="CI249" i="6"/>
  <c r="CH249" i="6"/>
  <c r="CG249" i="6"/>
  <c r="CF249" i="6"/>
  <c r="CE249" i="6"/>
  <c r="CD249" i="6"/>
  <c r="CC249" i="6"/>
  <c r="CB249" i="6"/>
  <c r="CA249" i="6"/>
  <c r="BZ249" i="6"/>
  <c r="BY249" i="6"/>
  <c r="BX249" i="6"/>
  <c r="BW249" i="6"/>
  <c r="BV249" i="6"/>
  <c r="BU249" i="6"/>
  <c r="BT249" i="6"/>
  <c r="BS249" i="6"/>
  <c r="BR249" i="6"/>
  <c r="BQ249" i="6"/>
  <c r="BP249" i="6"/>
  <c r="BO249" i="6"/>
  <c r="BN249" i="6"/>
  <c r="BM249" i="6"/>
  <c r="BL249" i="6"/>
  <c r="BK249" i="6"/>
  <c r="BJ249" i="6"/>
  <c r="BI249" i="6"/>
  <c r="BH249" i="6"/>
  <c r="BG249" i="6"/>
  <c r="BF249" i="6"/>
  <c r="BE249" i="6"/>
  <c r="BD249" i="6"/>
  <c r="BC249" i="6"/>
  <c r="BB249" i="6"/>
  <c r="BA249" i="6"/>
  <c r="AZ249" i="6"/>
  <c r="AY249" i="6"/>
  <c r="AX249" i="6"/>
  <c r="AW249" i="6"/>
  <c r="AV249" i="6"/>
  <c r="AU249" i="6"/>
  <c r="AT249" i="6"/>
  <c r="AS249" i="6"/>
  <c r="AR249" i="6"/>
  <c r="AQ249" i="6"/>
  <c r="AP249" i="6"/>
  <c r="AO249" i="6"/>
  <c r="AN249" i="6"/>
  <c r="AM249" i="6"/>
  <c r="AL249" i="6"/>
  <c r="AK249" i="6"/>
  <c r="AJ249" i="6"/>
  <c r="AI249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DE248" i="6"/>
  <c r="DD248" i="6"/>
  <c r="DC248" i="6"/>
  <c r="DB248" i="6"/>
  <c r="DA248" i="6"/>
  <c r="CZ248" i="6"/>
  <c r="CY248" i="6"/>
  <c r="CX248" i="6"/>
  <c r="CV248" i="6"/>
  <c r="CU248" i="6"/>
  <c r="CT248" i="6"/>
  <c r="CS248" i="6"/>
  <c r="CR248" i="6"/>
  <c r="CQ248" i="6"/>
  <c r="CP248" i="6"/>
  <c r="CO248" i="6"/>
  <c r="CN248" i="6"/>
  <c r="CM248" i="6"/>
  <c r="CL248" i="6"/>
  <c r="CK248" i="6"/>
  <c r="CJ248" i="6"/>
  <c r="CI248" i="6"/>
  <c r="CH248" i="6"/>
  <c r="CG248" i="6"/>
  <c r="CF248" i="6"/>
  <c r="CE248" i="6"/>
  <c r="CD248" i="6"/>
  <c r="CC248" i="6"/>
  <c r="CB248" i="6"/>
  <c r="CA248" i="6"/>
  <c r="BZ248" i="6"/>
  <c r="BY248" i="6"/>
  <c r="BX248" i="6"/>
  <c r="BW248" i="6"/>
  <c r="BV248" i="6"/>
  <c r="BU248" i="6"/>
  <c r="BT248" i="6"/>
  <c r="BS248" i="6"/>
  <c r="BR248" i="6"/>
  <c r="BQ248" i="6"/>
  <c r="BP248" i="6"/>
  <c r="BO248" i="6"/>
  <c r="BN248" i="6"/>
  <c r="BM248" i="6"/>
  <c r="BL248" i="6"/>
  <c r="BK248" i="6"/>
  <c r="BJ248" i="6"/>
  <c r="BI248" i="6"/>
  <c r="BH248" i="6"/>
  <c r="BG248" i="6"/>
  <c r="BF248" i="6"/>
  <c r="BE248" i="6"/>
  <c r="BD248" i="6"/>
  <c r="BC248" i="6"/>
  <c r="BB248" i="6"/>
  <c r="BA248" i="6"/>
  <c r="AZ248" i="6"/>
  <c r="AY248" i="6"/>
  <c r="AX248" i="6"/>
  <c r="AW248" i="6"/>
  <c r="AV248" i="6"/>
  <c r="AU248" i="6"/>
  <c r="AT248" i="6"/>
  <c r="AS248" i="6"/>
  <c r="AR248" i="6"/>
  <c r="AQ248" i="6"/>
  <c r="AP248" i="6"/>
  <c r="AO248" i="6"/>
  <c r="AN248" i="6"/>
  <c r="AM248" i="6"/>
  <c r="AL248" i="6"/>
  <c r="AK248" i="6"/>
  <c r="AJ248" i="6"/>
  <c r="AI248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DE247" i="6"/>
  <c r="DD247" i="6"/>
  <c r="DC247" i="6"/>
  <c r="DB247" i="6"/>
  <c r="DA247" i="6"/>
  <c r="CZ247" i="6"/>
  <c r="CY247" i="6"/>
  <c r="CX247" i="6"/>
  <c r="CV247" i="6"/>
  <c r="CU247" i="6"/>
  <c r="CT247" i="6"/>
  <c r="CS247" i="6"/>
  <c r="CR247" i="6"/>
  <c r="CQ247" i="6"/>
  <c r="CP247" i="6"/>
  <c r="CO247" i="6"/>
  <c r="CN247" i="6"/>
  <c r="CM247" i="6"/>
  <c r="CL247" i="6"/>
  <c r="CK247" i="6"/>
  <c r="CJ247" i="6"/>
  <c r="CI247" i="6"/>
  <c r="CH247" i="6"/>
  <c r="CG247" i="6"/>
  <c r="CF247" i="6"/>
  <c r="CE247" i="6"/>
  <c r="CD247" i="6"/>
  <c r="CC247" i="6"/>
  <c r="CB247" i="6"/>
  <c r="CA247" i="6"/>
  <c r="BZ247" i="6"/>
  <c r="BY247" i="6"/>
  <c r="BX247" i="6"/>
  <c r="BW247" i="6"/>
  <c r="BV247" i="6"/>
  <c r="BU247" i="6"/>
  <c r="BT247" i="6"/>
  <c r="BS247" i="6"/>
  <c r="BR247" i="6"/>
  <c r="BQ247" i="6"/>
  <c r="BP247" i="6"/>
  <c r="BO247" i="6"/>
  <c r="BN247" i="6"/>
  <c r="BM247" i="6"/>
  <c r="BL247" i="6"/>
  <c r="BK247" i="6"/>
  <c r="BJ247" i="6"/>
  <c r="BI247" i="6"/>
  <c r="BH247" i="6"/>
  <c r="BG247" i="6"/>
  <c r="BF247" i="6"/>
  <c r="BE247" i="6"/>
  <c r="BD247" i="6"/>
  <c r="BC247" i="6"/>
  <c r="BB247" i="6"/>
  <c r="BA247" i="6"/>
  <c r="AZ247" i="6"/>
  <c r="AY247" i="6"/>
  <c r="AX247" i="6"/>
  <c r="AW247" i="6"/>
  <c r="AV247" i="6"/>
  <c r="AU247" i="6"/>
  <c r="AT247" i="6"/>
  <c r="AS247" i="6"/>
  <c r="AR247" i="6"/>
  <c r="AQ247" i="6"/>
  <c r="AP247" i="6"/>
  <c r="AO247" i="6"/>
  <c r="AN247" i="6"/>
  <c r="AM247" i="6"/>
  <c r="AL247" i="6"/>
  <c r="AK247" i="6"/>
  <c r="AJ247" i="6"/>
  <c r="AI247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DE246" i="6"/>
  <c r="DD246" i="6"/>
  <c r="DC246" i="6"/>
  <c r="DB246" i="6"/>
  <c r="DA246" i="6"/>
  <c r="CZ246" i="6"/>
  <c r="CY246" i="6"/>
  <c r="CX246" i="6"/>
  <c r="CV246" i="6"/>
  <c r="CU246" i="6"/>
  <c r="CT246" i="6"/>
  <c r="CS246" i="6"/>
  <c r="CR246" i="6"/>
  <c r="CQ246" i="6"/>
  <c r="CP246" i="6"/>
  <c r="CO246" i="6"/>
  <c r="CN246" i="6"/>
  <c r="CM246" i="6"/>
  <c r="CL246" i="6"/>
  <c r="CK246" i="6"/>
  <c r="CJ246" i="6"/>
  <c r="CI246" i="6"/>
  <c r="CH246" i="6"/>
  <c r="CG246" i="6"/>
  <c r="CF246" i="6"/>
  <c r="CE246" i="6"/>
  <c r="CD246" i="6"/>
  <c r="CC246" i="6"/>
  <c r="CB246" i="6"/>
  <c r="CA246" i="6"/>
  <c r="BZ246" i="6"/>
  <c r="BY246" i="6"/>
  <c r="BX246" i="6"/>
  <c r="BW246" i="6"/>
  <c r="BV246" i="6"/>
  <c r="BU246" i="6"/>
  <c r="BT246" i="6"/>
  <c r="BS246" i="6"/>
  <c r="BR246" i="6"/>
  <c r="BQ246" i="6"/>
  <c r="BP246" i="6"/>
  <c r="BO246" i="6"/>
  <c r="BN246" i="6"/>
  <c r="BM246" i="6"/>
  <c r="BL246" i="6"/>
  <c r="BK246" i="6"/>
  <c r="BJ246" i="6"/>
  <c r="BI246" i="6"/>
  <c r="BH246" i="6"/>
  <c r="BG246" i="6"/>
  <c r="BF246" i="6"/>
  <c r="BE246" i="6"/>
  <c r="BD246" i="6"/>
  <c r="BC246" i="6"/>
  <c r="BB246" i="6"/>
  <c r="BA246" i="6"/>
  <c r="AZ246" i="6"/>
  <c r="AY246" i="6"/>
  <c r="AX246" i="6"/>
  <c r="AW246" i="6"/>
  <c r="AV246" i="6"/>
  <c r="AU246" i="6"/>
  <c r="AT246" i="6"/>
  <c r="AS246" i="6"/>
  <c r="AR246" i="6"/>
  <c r="AQ246" i="6"/>
  <c r="AP246" i="6"/>
  <c r="AO246" i="6"/>
  <c r="AN246" i="6"/>
  <c r="AM246" i="6"/>
  <c r="AL246" i="6"/>
  <c r="AK246" i="6"/>
  <c r="AJ246" i="6"/>
  <c r="AI246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6" i="6"/>
  <c r="DE245" i="6"/>
  <c r="DD245" i="6"/>
  <c r="DC245" i="6"/>
  <c r="DB245" i="6"/>
  <c r="DA245" i="6"/>
  <c r="CZ245" i="6"/>
  <c r="CY245" i="6"/>
  <c r="CX245" i="6"/>
  <c r="CV245" i="6"/>
  <c r="CU245" i="6"/>
  <c r="CT245" i="6"/>
  <c r="CS245" i="6"/>
  <c r="CR245" i="6"/>
  <c r="CQ245" i="6"/>
  <c r="CP245" i="6"/>
  <c r="CO245" i="6"/>
  <c r="CN245" i="6"/>
  <c r="CM245" i="6"/>
  <c r="CL245" i="6"/>
  <c r="CK245" i="6"/>
  <c r="CJ245" i="6"/>
  <c r="CI245" i="6"/>
  <c r="CH245" i="6"/>
  <c r="CG245" i="6"/>
  <c r="CF245" i="6"/>
  <c r="CE245" i="6"/>
  <c r="CD245" i="6"/>
  <c r="CC245" i="6"/>
  <c r="CB245" i="6"/>
  <c r="CA245" i="6"/>
  <c r="BZ245" i="6"/>
  <c r="BY245" i="6"/>
  <c r="BX245" i="6"/>
  <c r="BW245" i="6"/>
  <c r="BV245" i="6"/>
  <c r="BU245" i="6"/>
  <c r="BT245" i="6"/>
  <c r="BS245" i="6"/>
  <c r="BR245" i="6"/>
  <c r="BQ245" i="6"/>
  <c r="BP245" i="6"/>
  <c r="BO245" i="6"/>
  <c r="BN245" i="6"/>
  <c r="BM245" i="6"/>
  <c r="BL245" i="6"/>
  <c r="BK245" i="6"/>
  <c r="BJ245" i="6"/>
  <c r="BI245" i="6"/>
  <c r="BH245" i="6"/>
  <c r="BG245" i="6"/>
  <c r="BF245" i="6"/>
  <c r="BE245" i="6"/>
  <c r="BD245" i="6"/>
  <c r="BC245" i="6"/>
  <c r="BB245" i="6"/>
  <c r="BA245" i="6"/>
  <c r="AZ245" i="6"/>
  <c r="AY245" i="6"/>
  <c r="AX245" i="6"/>
  <c r="AW245" i="6"/>
  <c r="AV245" i="6"/>
  <c r="AU245" i="6"/>
  <c r="AT245" i="6"/>
  <c r="AS245" i="6"/>
  <c r="AR245" i="6"/>
  <c r="AQ245" i="6"/>
  <c r="AP245" i="6"/>
  <c r="AO245" i="6"/>
  <c r="AN245" i="6"/>
  <c r="AM245" i="6"/>
  <c r="AL245" i="6"/>
  <c r="AK245" i="6"/>
  <c r="AJ245" i="6"/>
  <c r="AI245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DE244" i="6"/>
  <c r="DD244" i="6"/>
  <c r="DC244" i="6"/>
  <c r="DB244" i="6"/>
  <c r="DA244" i="6"/>
  <c r="CZ244" i="6"/>
  <c r="CY244" i="6"/>
  <c r="CX244" i="6"/>
  <c r="CV244" i="6"/>
  <c r="CU244" i="6"/>
  <c r="CT244" i="6"/>
  <c r="CS244" i="6"/>
  <c r="CR244" i="6"/>
  <c r="CQ244" i="6"/>
  <c r="CP244" i="6"/>
  <c r="CO244" i="6"/>
  <c r="CN244" i="6"/>
  <c r="CM244" i="6"/>
  <c r="CL244" i="6"/>
  <c r="CK244" i="6"/>
  <c r="CJ244" i="6"/>
  <c r="CI244" i="6"/>
  <c r="CH244" i="6"/>
  <c r="CG244" i="6"/>
  <c r="CF244" i="6"/>
  <c r="CE244" i="6"/>
  <c r="CD244" i="6"/>
  <c r="CC244" i="6"/>
  <c r="CB244" i="6"/>
  <c r="CA244" i="6"/>
  <c r="BZ244" i="6"/>
  <c r="BY244" i="6"/>
  <c r="BX244" i="6"/>
  <c r="BW244" i="6"/>
  <c r="BV244" i="6"/>
  <c r="BU244" i="6"/>
  <c r="BT244" i="6"/>
  <c r="BS244" i="6"/>
  <c r="BR244" i="6"/>
  <c r="BQ244" i="6"/>
  <c r="BP244" i="6"/>
  <c r="BO244" i="6"/>
  <c r="BN244" i="6"/>
  <c r="BM244" i="6"/>
  <c r="BL244" i="6"/>
  <c r="BK244" i="6"/>
  <c r="BJ244" i="6"/>
  <c r="BI244" i="6"/>
  <c r="BH244" i="6"/>
  <c r="BG244" i="6"/>
  <c r="BF244" i="6"/>
  <c r="BE244" i="6"/>
  <c r="BD244" i="6"/>
  <c r="BC244" i="6"/>
  <c r="BB244" i="6"/>
  <c r="BA244" i="6"/>
  <c r="AZ244" i="6"/>
  <c r="AY244" i="6"/>
  <c r="AX244" i="6"/>
  <c r="AW244" i="6"/>
  <c r="AV244" i="6"/>
  <c r="AU244" i="6"/>
  <c r="AT244" i="6"/>
  <c r="AS244" i="6"/>
  <c r="AR244" i="6"/>
  <c r="AQ244" i="6"/>
  <c r="AP244" i="6"/>
  <c r="AO244" i="6"/>
  <c r="AN244" i="6"/>
  <c r="AM244" i="6"/>
  <c r="AL244" i="6"/>
  <c r="AK244" i="6"/>
  <c r="AJ244" i="6"/>
  <c r="AI244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244" i="6"/>
  <c r="DE243" i="6"/>
  <c r="DD243" i="6"/>
  <c r="DC243" i="6"/>
  <c r="DB243" i="6"/>
  <c r="DA243" i="6"/>
  <c r="CZ243" i="6"/>
  <c r="CY243" i="6"/>
  <c r="CX243" i="6"/>
  <c r="CV243" i="6"/>
  <c r="CU243" i="6"/>
  <c r="CT243" i="6"/>
  <c r="CS243" i="6"/>
  <c r="CR243" i="6"/>
  <c r="CQ243" i="6"/>
  <c r="CP243" i="6"/>
  <c r="CO243" i="6"/>
  <c r="CN243" i="6"/>
  <c r="CM243" i="6"/>
  <c r="CL243" i="6"/>
  <c r="CK243" i="6"/>
  <c r="CJ243" i="6"/>
  <c r="CI243" i="6"/>
  <c r="CH243" i="6"/>
  <c r="CG243" i="6"/>
  <c r="CF243" i="6"/>
  <c r="CE243" i="6"/>
  <c r="CD243" i="6"/>
  <c r="CC243" i="6"/>
  <c r="CB243" i="6"/>
  <c r="CA243" i="6"/>
  <c r="BZ243" i="6"/>
  <c r="BY243" i="6"/>
  <c r="BX243" i="6"/>
  <c r="BW243" i="6"/>
  <c r="BV243" i="6"/>
  <c r="BU243" i="6"/>
  <c r="BT243" i="6"/>
  <c r="BS243" i="6"/>
  <c r="BR243" i="6"/>
  <c r="BQ243" i="6"/>
  <c r="BP243" i="6"/>
  <c r="BO243" i="6"/>
  <c r="BN243" i="6"/>
  <c r="BM243" i="6"/>
  <c r="BL243" i="6"/>
  <c r="BK243" i="6"/>
  <c r="BJ243" i="6"/>
  <c r="BI243" i="6"/>
  <c r="BH243" i="6"/>
  <c r="BG243" i="6"/>
  <c r="BF243" i="6"/>
  <c r="BE243" i="6"/>
  <c r="BD243" i="6"/>
  <c r="BC243" i="6"/>
  <c r="BB243" i="6"/>
  <c r="BA243" i="6"/>
  <c r="AZ243" i="6"/>
  <c r="AY243" i="6"/>
  <c r="AX243" i="6"/>
  <c r="AW243" i="6"/>
  <c r="AV243" i="6"/>
  <c r="AU243" i="6"/>
  <c r="AT243" i="6"/>
  <c r="AS243" i="6"/>
  <c r="AR243" i="6"/>
  <c r="AQ243" i="6"/>
  <c r="AP243" i="6"/>
  <c r="AO243" i="6"/>
  <c r="AN243" i="6"/>
  <c r="AM243" i="6"/>
  <c r="AL243" i="6"/>
  <c r="AK243" i="6"/>
  <c r="AJ243" i="6"/>
  <c r="AI243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243" i="6"/>
  <c r="DE242" i="6"/>
  <c r="DD242" i="6"/>
  <c r="DC242" i="6"/>
  <c r="DB242" i="6"/>
  <c r="DA242" i="6"/>
  <c r="CZ242" i="6"/>
  <c r="CY242" i="6"/>
  <c r="CX242" i="6"/>
  <c r="CV242" i="6"/>
  <c r="CU242" i="6"/>
  <c r="CT242" i="6"/>
  <c r="CS242" i="6"/>
  <c r="CR242" i="6"/>
  <c r="CQ242" i="6"/>
  <c r="CP242" i="6"/>
  <c r="CO242" i="6"/>
  <c r="CN242" i="6"/>
  <c r="CM242" i="6"/>
  <c r="CL242" i="6"/>
  <c r="CK242" i="6"/>
  <c r="CJ242" i="6"/>
  <c r="CI242" i="6"/>
  <c r="CH242" i="6"/>
  <c r="CG242" i="6"/>
  <c r="CF242" i="6"/>
  <c r="CE242" i="6"/>
  <c r="CD242" i="6"/>
  <c r="CC242" i="6"/>
  <c r="CB242" i="6"/>
  <c r="CA242" i="6"/>
  <c r="BZ242" i="6"/>
  <c r="BY242" i="6"/>
  <c r="BX242" i="6"/>
  <c r="BW242" i="6"/>
  <c r="BV242" i="6"/>
  <c r="BU242" i="6"/>
  <c r="BT242" i="6"/>
  <c r="BS242" i="6"/>
  <c r="BR242" i="6"/>
  <c r="BQ242" i="6"/>
  <c r="BP242" i="6"/>
  <c r="BO242" i="6"/>
  <c r="BN242" i="6"/>
  <c r="BM242" i="6"/>
  <c r="BL242" i="6"/>
  <c r="BK242" i="6"/>
  <c r="BJ242" i="6"/>
  <c r="BI242" i="6"/>
  <c r="BH242" i="6"/>
  <c r="BG242" i="6"/>
  <c r="BF242" i="6"/>
  <c r="BE242" i="6"/>
  <c r="BD242" i="6"/>
  <c r="BC242" i="6"/>
  <c r="BB242" i="6"/>
  <c r="BA242" i="6"/>
  <c r="AZ242" i="6"/>
  <c r="AY242" i="6"/>
  <c r="AX242" i="6"/>
  <c r="AW242" i="6"/>
  <c r="AV242" i="6"/>
  <c r="AU242" i="6"/>
  <c r="AT242" i="6"/>
  <c r="AS242" i="6"/>
  <c r="AR242" i="6"/>
  <c r="AQ242" i="6"/>
  <c r="AP242" i="6"/>
  <c r="AO242" i="6"/>
  <c r="AN242" i="6"/>
  <c r="AM242" i="6"/>
  <c r="AL242" i="6"/>
  <c r="AK242" i="6"/>
  <c r="AJ242" i="6"/>
  <c r="AI242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242" i="6"/>
  <c r="DE241" i="6"/>
  <c r="DD241" i="6"/>
  <c r="DC241" i="6"/>
  <c r="DB241" i="6"/>
  <c r="DA241" i="6"/>
  <c r="CZ241" i="6"/>
  <c r="CY241" i="6"/>
  <c r="CX241" i="6"/>
  <c r="CV241" i="6"/>
  <c r="CU241" i="6"/>
  <c r="CT241" i="6"/>
  <c r="CS241" i="6"/>
  <c r="CR241" i="6"/>
  <c r="CQ241" i="6"/>
  <c r="CP241" i="6"/>
  <c r="CO241" i="6"/>
  <c r="CN241" i="6"/>
  <c r="CM241" i="6"/>
  <c r="CL241" i="6"/>
  <c r="CK241" i="6"/>
  <c r="CJ241" i="6"/>
  <c r="CI241" i="6"/>
  <c r="CH241" i="6"/>
  <c r="CG241" i="6"/>
  <c r="CF241" i="6"/>
  <c r="CE241" i="6"/>
  <c r="CD241" i="6"/>
  <c r="CC241" i="6"/>
  <c r="CB241" i="6"/>
  <c r="CA241" i="6"/>
  <c r="BZ241" i="6"/>
  <c r="BY241" i="6"/>
  <c r="BX241" i="6"/>
  <c r="BW241" i="6"/>
  <c r="BV241" i="6"/>
  <c r="BU241" i="6"/>
  <c r="BT241" i="6"/>
  <c r="BS241" i="6"/>
  <c r="BR241" i="6"/>
  <c r="BQ241" i="6"/>
  <c r="BP241" i="6"/>
  <c r="BO241" i="6"/>
  <c r="BN241" i="6"/>
  <c r="BM241" i="6"/>
  <c r="BL241" i="6"/>
  <c r="BK241" i="6"/>
  <c r="BJ241" i="6"/>
  <c r="BI241" i="6"/>
  <c r="BH241" i="6"/>
  <c r="BG241" i="6"/>
  <c r="BF241" i="6"/>
  <c r="BE241" i="6"/>
  <c r="BD241" i="6"/>
  <c r="BC241" i="6"/>
  <c r="BB241" i="6"/>
  <c r="BA241" i="6"/>
  <c r="AZ241" i="6"/>
  <c r="AY241" i="6"/>
  <c r="AX241" i="6"/>
  <c r="AW241" i="6"/>
  <c r="AV241" i="6"/>
  <c r="AU241" i="6"/>
  <c r="AT241" i="6"/>
  <c r="AS241" i="6"/>
  <c r="AR241" i="6"/>
  <c r="AQ241" i="6"/>
  <c r="AP241" i="6"/>
  <c r="AO241" i="6"/>
  <c r="AN241" i="6"/>
  <c r="AM241" i="6"/>
  <c r="AL241" i="6"/>
  <c r="AK241" i="6"/>
  <c r="AJ241" i="6"/>
  <c r="AI241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241" i="6"/>
  <c r="DE240" i="6"/>
  <c r="DD240" i="6"/>
  <c r="DC240" i="6"/>
  <c r="DB240" i="6"/>
  <c r="DA240" i="6"/>
  <c r="CZ240" i="6"/>
  <c r="CY240" i="6"/>
  <c r="CX240" i="6"/>
  <c r="CV240" i="6"/>
  <c r="CU240" i="6"/>
  <c r="CT240" i="6"/>
  <c r="CS240" i="6"/>
  <c r="CR240" i="6"/>
  <c r="CQ240" i="6"/>
  <c r="CP240" i="6"/>
  <c r="CO240" i="6"/>
  <c r="CN240" i="6"/>
  <c r="CM240" i="6"/>
  <c r="CL240" i="6"/>
  <c r="CK240" i="6"/>
  <c r="CJ240" i="6"/>
  <c r="CI240" i="6"/>
  <c r="CH240" i="6"/>
  <c r="CG240" i="6"/>
  <c r="CF240" i="6"/>
  <c r="CE240" i="6"/>
  <c r="CD240" i="6"/>
  <c r="CC240" i="6"/>
  <c r="CB240" i="6"/>
  <c r="CA240" i="6"/>
  <c r="BZ240" i="6"/>
  <c r="BY240" i="6"/>
  <c r="BX240" i="6"/>
  <c r="BW240" i="6"/>
  <c r="BV240" i="6"/>
  <c r="BU240" i="6"/>
  <c r="BT240" i="6"/>
  <c r="BS240" i="6"/>
  <c r="BR240" i="6"/>
  <c r="BQ240" i="6"/>
  <c r="BP240" i="6"/>
  <c r="BO240" i="6"/>
  <c r="BN240" i="6"/>
  <c r="BM240" i="6"/>
  <c r="BL240" i="6"/>
  <c r="BK240" i="6"/>
  <c r="BJ240" i="6"/>
  <c r="BI240" i="6"/>
  <c r="BH240" i="6"/>
  <c r="BG240" i="6"/>
  <c r="BF240" i="6"/>
  <c r="BE240" i="6"/>
  <c r="BD240" i="6"/>
  <c r="BC240" i="6"/>
  <c r="BB240" i="6"/>
  <c r="BA240" i="6"/>
  <c r="AZ240" i="6"/>
  <c r="AY240" i="6"/>
  <c r="AX240" i="6"/>
  <c r="AW240" i="6"/>
  <c r="AV240" i="6"/>
  <c r="AU240" i="6"/>
  <c r="AT240" i="6"/>
  <c r="AS240" i="6"/>
  <c r="AR240" i="6"/>
  <c r="AQ240" i="6"/>
  <c r="AP240" i="6"/>
  <c r="AO240" i="6"/>
  <c r="AN240" i="6"/>
  <c r="AM240" i="6"/>
  <c r="AL240" i="6"/>
  <c r="AK240" i="6"/>
  <c r="AJ240" i="6"/>
  <c r="AI240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240" i="6"/>
  <c r="DE239" i="6"/>
  <c r="DD239" i="6"/>
  <c r="DC239" i="6"/>
  <c r="DB239" i="6"/>
  <c r="DA239" i="6"/>
  <c r="CZ239" i="6"/>
  <c r="CY239" i="6"/>
  <c r="CX239" i="6"/>
  <c r="CV239" i="6"/>
  <c r="CU239" i="6"/>
  <c r="CT239" i="6"/>
  <c r="CS239" i="6"/>
  <c r="CR239" i="6"/>
  <c r="CQ239" i="6"/>
  <c r="CP239" i="6"/>
  <c r="CO239" i="6"/>
  <c r="CN239" i="6"/>
  <c r="CM239" i="6"/>
  <c r="CL239" i="6"/>
  <c r="CK239" i="6"/>
  <c r="CJ239" i="6"/>
  <c r="CI239" i="6"/>
  <c r="CH239" i="6"/>
  <c r="CG239" i="6"/>
  <c r="CF239" i="6"/>
  <c r="CE239" i="6"/>
  <c r="CD239" i="6"/>
  <c r="CC239" i="6"/>
  <c r="CB239" i="6"/>
  <c r="CA239" i="6"/>
  <c r="BZ239" i="6"/>
  <c r="BY239" i="6"/>
  <c r="BX239" i="6"/>
  <c r="BW239" i="6"/>
  <c r="BV239" i="6"/>
  <c r="BU239" i="6"/>
  <c r="BT239" i="6"/>
  <c r="BS239" i="6"/>
  <c r="BR239" i="6"/>
  <c r="BQ239" i="6"/>
  <c r="BP239" i="6"/>
  <c r="BO239" i="6"/>
  <c r="BN239" i="6"/>
  <c r="BM239" i="6"/>
  <c r="BL239" i="6"/>
  <c r="BK239" i="6"/>
  <c r="BJ239" i="6"/>
  <c r="BI239" i="6"/>
  <c r="BH239" i="6"/>
  <c r="BG239" i="6"/>
  <c r="BF239" i="6"/>
  <c r="BE239" i="6"/>
  <c r="BD239" i="6"/>
  <c r="BC239" i="6"/>
  <c r="BB239" i="6"/>
  <c r="BA239" i="6"/>
  <c r="AZ239" i="6"/>
  <c r="AY239" i="6"/>
  <c r="AX239" i="6"/>
  <c r="AW239" i="6"/>
  <c r="AV239" i="6"/>
  <c r="AU239" i="6"/>
  <c r="AT239" i="6"/>
  <c r="AS239" i="6"/>
  <c r="AR239" i="6"/>
  <c r="AQ239" i="6"/>
  <c r="AP239" i="6"/>
  <c r="AO239" i="6"/>
  <c r="AN239" i="6"/>
  <c r="AM239" i="6"/>
  <c r="AL239" i="6"/>
  <c r="AK239" i="6"/>
  <c r="AJ239" i="6"/>
  <c r="AI239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239" i="6"/>
  <c r="DE238" i="6"/>
  <c r="DD238" i="6"/>
  <c r="DC238" i="6"/>
  <c r="DB238" i="6"/>
  <c r="DA238" i="6"/>
  <c r="CZ238" i="6"/>
  <c r="CY238" i="6"/>
  <c r="CX238" i="6"/>
  <c r="CV238" i="6"/>
  <c r="CU238" i="6"/>
  <c r="CT238" i="6"/>
  <c r="CS238" i="6"/>
  <c r="CR238" i="6"/>
  <c r="CQ238" i="6"/>
  <c r="CP238" i="6"/>
  <c r="CO238" i="6"/>
  <c r="CN238" i="6"/>
  <c r="CM238" i="6"/>
  <c r="CL238" i="6"/>
  <c r="CK238" i="6"/>
  <c r="CJ238" i="6"/>
  <c r="CI238" i="6"/>
  <c r="CH238" i="6"/>
  <c r="CG238" i="6"/>
  <c r="CF238" i="6"/>
  <c r="CE238" i="6"/>
  <c r="CD238" i="6"/>
  <c r="CC238" i="6"/>
  <c r="CB238" i="6"/>
  <c r="CA238" i="6"/>
  <c r="BZ238" i="6"/>
  <c r="BY238" i="6"/>
  <c r="BX238" i="6"/>
  <c r="BW238" i="6"/>
  <c r="BV238" i="6"/>
  <c r="BU238" i="6"/>
  <c r="BT238" i="6"/>
  <c r="BS238" i="6"/>
  <c r="BR238" i="6"/>
  <c r="BQ238" i="6"/>
  <c r="BP238" i="6"/>
  <c r="BO238" i="6"/>
  <c r="BN238" i="6"/>
  <c r="BM238" i="6"/>
  <c r="BL238" i="6"/>
  <c r="BK238" i="6"/>
  <c r="BJ238" i="6"/>
  <c r="BI238" i="6"/>
  <c r="BH238" i="6"/>
  <c r="BG238" i="6"/>
  <c r="BF238" i="6"/>
  <c r="BE238" i="6"/>
  <c r="BD238" i="6"/>
  <c r="BC238" i="6"/>
  <c r="BB238" i="6"/>
  <c r="BA238" i="6"/>
  <c r="AZ238" i="6"/>
  <c r="AY238" i="6"/>
  <c r="AX238" i="6"/>
  <c r="AW238" i="6"/>
  <c r="AV238" i="6"/>
  <c r="AU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238" i="6"/>
  <c r="DE237" i="6"/>
  <c r="DD237" i="6"/>
  <c r="DC237" i="6"/>
  <c r="DB237" i="6"/>
  <c r="DA237" i="6"/>
  <c r="CZ237" i="6"/>
  <c r="CY237" i="6"/>
  <c r="CX237" i="6"/>
  <c r="CV237" i="6"/>
  <c r="CU237" i="6"/>
  <c r="CT237" i="6"/>
  <c r="CS237" i="6"/>
  <c r="CR237" i="6"/>
  <c r="CQ237" i="6"/>
  <c r="CP237" i="6"/>
  <c r="CO237" i="6"/>
  <c r="CN237" i="6"/>
  <c r="CM237" i="6"/>
  <c r="CL237" i="6"/>
  <c r="CK237" i="6"/>
  <c r="CJ237" i="6"/>
  <c r="CI237" i="6"/>
  <c r="CH237" i="6"/>
  <c r="CG237" i="6"/>
  <c r="CF237" i="6"/>
  <c r="CE237" i="6"/>
  <c r="CD237" i="6"/>
  <c r="CC237" i="6"/>
  <c r="CB237" i="6"/>
  <c r="CA237" i="6"/>
  <c r="BZ237" i="6"/>
  <c r="BY237" i="6"/>
  <c r="BX237" i="6"/>
  <c r="BW237" i="6"/>
  <c r="BV237" i="6"/>
  <c r="BU237" i="6"/>
  <c r="BT237" i="6"/>
  <c r="BS237" i="6"/>
  <c r="BR237" i="6"/>
  <c r="BQ237" i="6"/>
  <c r="BP237" i="6"/>
  <c r="BO237" i="6"/>
  <c r="BN237" i="6"/>
  <c r="BM237" i="6"/>
  <c r="BL237" i="6"/>
  <c r="BK237" i="6"/>
  <c r="BJ237" i="6"/>
  <c r="BI237" i="6"/>
  <c r="BH237" i="6"/>
  <c r="BG237" i="6"/>
  <c r="BF237" i="6"/>
  <c r="BE237" i="6"/>
  <c r="BD237" i="6"/>
  <c r="BC237" i="6"/>
  <c r="BB237" i="6"/>
  <c r="BA237" i="6"/>
  <c r="AZ237" i="6"/>
  <c r="AY237" i="6"/>
  <c r="AX237" i="6"/>
  <c r="AW237" i="6"/>
  <c r="AV237" i="6"/>
  <c r="AU237" i="6"/>
  <c r="AT237" i="6"/>
  <c r="AS237" i="6"/>
  <c r="AR237" i="6"/>
  <c r="AQ237" i="6"/>
  <c r="AP237" i="6"/>
  <c r="AO237" i="6"/>
  <c r="AN237" i="6"/>
  <c r="AM237" i="6"/>
  <c r="AL237" i="6"/>
  <c r="AK237" i="6"/>
  <c r="AJ237" i="6"/>
  <c r="AI237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237" i="6"/>
  <c r="DE236" i="6"/>
  <c r="DD236" i="6"/>
  <c r="DC236" i="6"/>
  <c r="DB236" i="6"/>
  <c r="DA236" i="6"/>
  <c r="CZ236" i="6"/>
  <c r="CY236" i="6"/>
  <c r="CX236" i="6"/>
  <c r="CV236" i="6"/>
  <c r="CU236" i="6"/>
  <c r="CT236" i="6"/>
  <c r="CS236" i="6"/>
  <c r="CR236" i="6"/>
  <c r="CQ236" i="6"/>
  <c r="CP236" i="6"/>
  <c r="CO236" i="6"/>
  <c r="CN236" i="6"/>
  <c r="CM236" i="6"/>
  <c r="CL236" i="6"/>
  <c r="CK236" i="6"/>
  <c r="CJ236" i="6"/>
  <c r="CI236" i="6"/>
  <c r="CH236" i="6"/>
  <c r="CG236" i="6"/>
  <c r="CF236" i="6"/>
  <c r="CE236" i="6"/>
  <c r="CD236" i="6"/>
  <c r="CC236" i="6"/>
  <c r="CB236" i="6"/>
  <c r="CA236" i="6"/>
  <c r="BZ236" i="6"/>
  <c r="BY236" i="6"/>
  <c r="BX236" i="6"/>
  <c r="BW236" i="6"/>
  <c r="BV236" i="6"/>
  <c r="BU236" i="6"/>
  <c r="BT236" i="6"/>
  <c r="BS236" i="6"/>
  <c r="BR236" i="6"/>
  <c r="BQ236" i="6"/>
  <c r="BP236" i="6"/>
  <c r="BO236" i="6"/>
  <c r="BN236" i="6"/>
  <c r="BM236" i="6"/>
  <c r="BL236" i="6"/>
  <c r="BK236" i="6"/>
  <c r="BJ236" i="6"/>
  <c r="BI236" i="6"/>
  <c r="BH236" i="6"/>
  <c r="BG236" i="6"/>
  <c r="BF236" i="6"/>
  <c r="BE236" i="6"/>
  <c r="BD236" i="6"/>
  <c r="BC236" i="6"/>
  <c r="BB236" i="6"/>
  <c r="BA236" i="6"/>
  <c r="AZ236" i="6"/>
  <c r="AY236" i="6"/>
  <c r="AX236" i="6"/>
  <c r="AW236" i="6"/>
  <c r="AV236" i="6"/>
  <c r="AU236" i="6"/>
  <c r="AT236" i="6"/>
  <c r="AS236" i="6"/>
  <c r="AR236" i="6"/>
  <c r="AQ236" i="6"/>
  <c r="AP236" i="6"/>
  <c r="AO236" i="6"/>
  <c r="AN236" i="6"/>
  <c r="AM236" i="6"/>
  <c r="AL236" i="6"/>
  <c r="AK236" i="6"/>
  <c r="AJ236" i="6"/>
  <c r="AI236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236" i="6"/>
  <c r="DE235" i="6"/>
  <c r="DD235" i="6"/>
  <c r="DC235" i="6"/>
  <c r="DB235" i="6"/>
  <c r="DA235" i="6"/>
  <c r="CZ235" i="6"/>
  <c r="CY235" i="6"/>
  <c r="CX235" i="6"/>
  <c r="CV235" i="6"/>
  <c r="CU235" i="6"/>
  <c r="CT235" i="6"/>
  <c r="CS235" i="6"/>
  <c r="CR235" i="6"/>
  <c r="CQ235" i="6"/>
  <c r="CP235" i="6"/>
  <c r="CO235" i="6"/>
  <c r="CN235" i="6"/>
  <c r="CM235" i="6"/>
  <c r="CL235" i="6"/>
  <c r="CK235" i="6"/>
  <c r="CJ235" i="6"/>
  <c r="CI235" i="6"/>
  <c r="CH235" i="6"/>
  <c r="CG235" i="6"/>
  <c r="CF235" i="6"/>
  <c r="CE235" i="6"/>
  <c r="CD235" i="6"/>
  <c r="CC235" i="6"/>
  <c r="CB235" i="6"/>
  <c r="CA235" i="6"/>
  <c r="BZ235" i="6"/>
  <c r="BY235" i="6"/>
  <c r="BX235" i="6"/>
  <c r="BW235" i="6"/>
  <c r="BV235" i="6"/>
  <c r="BU235" i="6"/>
  <c r="BT235" i="6"/>
  <c r="BS235" i="6"/>
  <c r="BR235" i="6"/>
  <c r="BQ235" i="6"/>
  <c r="BP235" i="6"/>
  <c r="BO235" i="6"/>
  <c r="BN235" i="6"/>
  <c r="BM235" i="6"/>
  <c r="BL235" i="6"/>
  <c r="BK235" i="6"/>
  <c r="BJ235" i="6"/>
  <c r="BI235" i="6"/>
  <c r="BH235" i="6"/>
  <c r="BG235" i="6"/>
  <c r="BF235" i="6"/>
  <c r="BE235" i="6"/>
  <c r="BD235" i="6"/>
  <c r="BC235" i="6"/>
  <c r="BB235" i="6"/>
  <c r="BA235" i="6"/>
  <c r="AZ235" i="6"/>
  <c r="AY235" i="6"/>
  <c r="AX235" i="6"/>
  <c r="AW235" i="6"/>
  <c r="AV235" i="6"/>
  <c r="AU235" i="6"/>
  <c r="AT235" i="6"/>
  <c r="AS235" i="6"/>
  <c r="AR235" i="6"/>
  <c r="AQ235" i="6"/>
  <c r="AP235" i="6"/>
  <c r="AO235" i="6"/>
  <c r="AN235" i="6"/>
  <c r="AM235" i="6"/>
  <c r="AL235" i="6"/>
  <c r="AK235" i="6"/>
  <c r="AJ235" i="6"/>
  <c r="AI235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235" i="6"/>
  <c r="DE234" i="6"/>
  <c r="DD234" i="6"/>
  <c r="DC234" i="6"/>
  <c r="DB234" i="6"/>
  <c r="DA234" i="6"/>
  <c r="CZ234" i="6"/>
  <c r="CY234" i="6"/>
  <c r="CX234" i="6"/>
  <c r="CV234" i="6"/>
  <c r="CU234" i="6"/>
  <c r="CT234" i="6"/>
  <c r="CS234" i="6"/>
  <c r="CR234" i="6"/>
  <c r="CQ234" i="6"/>
  <c r="CP234" i="6"/>
  <c r="CO234" i="6"/>
  <c r="CN234" i="6"/>
  <c r="CM234" i="6"/>
  <c r="CL234" i="6"/>
  <c r="CK234" i="6"/>
  <c r="CJ234" i="6"/>
  <c r="CI234" i="6"/>
  <c r="CH234" i="6"/>
  <c r="CG234" i="6"/>
  <c r="CF234" i="6"/>
  <c r="CE234" i="6"/>
  <c r="CD234" i="6"/>
  <c r="CC234" i="6"/>
  <c r="CB234" i="6"/>
  <c r="CA234" i="6"/>
  <c r="BZ234" i="6"/>
  <c r="BY234" i="6"/>
  <c r="BX234" i="6"/>
  <c r="BW234" i="6"/>
  <c r="BV234" i="6"/>
  <c r="BU234" i="6"/>
  <c r="BT234" i="6"/>
  <c r="BS234" i="6"/>
  <c r="BR234" i="6"/>
  <c r="BQ234" i="6"/>
  <c r="BP234" i="6"/>
  <c r="BO234" i="6"/>
  <c r="BN234" i="6"/>
  <c r="BM234" i="6"/>
  <c r="BL234" i="6"/>
  <c r="BK234" i="6"/>
  <c r="BJ234" i="6"/>
  <c r="BI234" i="6"/>
  <c r="BH234" i="6"/>
  <c r="BG234" i="6"/>
  <c r="BF234" i="6"/>
  <c r="BE234" i="6"/>
  <c r="BD234" i="6"/>
  <c r="BC234" i="6"/>
  <c r="BB234" i="6"/>
  <c r="BA234" i="6"/>
  <c r="AZ234" i="6"/>
  <c r="AY234" i="6"/>
  <c r="AX234" i="6"/>
  <c r="AW234" i="6"/>
  <c r="AV234" i="6"/>
  <c r="AU234" i="6"/>
  <c r="AT234" i="6"/>
  <c r="AS234" i="6"/>
  <c r="AR234" i="6"/>
  <c r="AQ234" i="6"/>
  <c r="AP234" i="6"/>
  <c r="AO234" i="6"/>
  <c r="AN234" i="6"/>
  <c r="AM234" i="6"/>
  <c r="AL234" i="6"/>
  <c r="AK234" i="6"/>
  <c r="AJ234" i="6"/>
  <c r="AI234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234" i="6"/>
  <c r="DE233" i="6"/>
  <c r="DD233" i="6"/>
  <c r="DC233" i="6"/>
  <c r="DB233" i="6"/>
  <c r="DA233" i="6"/>
  <c r="CZ233" i="6"/>
  <c r="CY233" i="6"/>
  <c r="CX233" i="6"/>
  <c r="CV233" i="6"/>
  <c r="CU233" i="6"/>
  <c r="CT233" i="6"/>
  <c r="CS233" i="6"/>
  <c r="CR233" i="6"/>
  <c r="CQ233" i="6"/>
  <c r="CP233" i="6"/>
  <c r="CO233" i="6"/>
  <c r="CN233" i="6"/>
  <c r="CM233" i="6"/>
  <c r="CL233" i="6"/>
  <c r="CK233" i="6"/>
  <c r="CJ233" i="6"/>
  <c r="CI233" i="6"/>
  <c r="CH233" i="6"/>
  <c r="CG233" i="6"/>
  <c r="CF233" i="6"/>
  <c r="CE233" i="6"/>
  <c r="CD233" i="6"/>
  <c r="CC233" i="6"/>
  <c r="CB233" i="6"/>
  <c r="CA233" i="6"/>
  <c r="BZ233" i="6"/>
  <c r="BY233" i="6"/>
  <c r="BX233" i="6"/>
  <c r="BW233" i="6"/>
  <c r="BV233" i="6"/>
  <c r="BU233" i="6"/>
  <c r="BT233" i="6"/>
  <c r="BS233" i="6"/>
  <c r="BR233" i="6"/>
  <c r="BQ233" i="6"/>
  <c r="BP233" i="6"/>
  <c r="BO233" i="6"/>
  <c r="BN233" i="6"/>
  <c r="BM233" i="6"/>
  <c r="BL233" i="6"/>
  <c r="BK233" i="6"/>
  <c r="BJ233" i="6"/>
  <c r="BI233" i="6"/>
  <c r="BH233" i="6"/>
  <c r="BG233" i="6"/>
  <c r="BF233" i="6"/>
  <c r="BE233" i="6"/>
  <c r="BD233" i="6"/>
  <c r="BC233" i="6"/>
  <c r="BB233" i="6"/>
  <c r="BA233" i="6"/>
  <c r="AZ233" i="6"/>
  <c r="AY233" i="6"/>
  <c r="AX233" i="6"/>
  <c r="AW233" i="6"/>
  <c r="AV233" i="6"/>
  <c r="AU233" i="6"/>
  <c r="AT233" i="6"/>
  <c r="AS233" i="6"/>
  <c r="AR233" i="6"/>
  <c r="AQ233" i="6"/>
  <c r="AP233" i="6"/>
  <c r="AO233" i="6"/>
  <c r="AN233" i="6"/>
  <c r="AM233" i="6"/>
  <c r="AL233" i="6"/>
  <c r="AK233" i="6"/>
  <c r="AJ233" i="6"/>
  <c r="AI233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DE232" i="6"/>
  <c r="DD232" i="6"/>
  <c r="DC232" i="6"/>
  <c r="DB232" i="6"/>
  <c r="DA232" i="6"/>
  <c r="CZ232" i="6"/>
  <c r="CY232" i="6"/>
  <c r="CX232" i="6"/>
  <c r="CV232" i="6"/>
  <c r="CU232" i="6"/>
  <c r="CT232" i="6"/>
  <c r="CS232" i="6"/>
  <c r="CR232" i="6"/>
  <c r="CQ232" i="6"/>
  <c r="CP232" i="6"/>
  <c r="CO232" i="6"/>
  <c r="CN232" i="6"/>
  <c r="CM232" i="6"/>
  <c r="CL232" i="6"/>
  <c r="CK232" i="6"/>
  <c r="CJ232" i="6"/>
  <c r="CI232" i="6"/>
  <c r="CH232" i="6"/>
  <c r="CG232" i="6"/>
  <c r="CF232" i="6"/>
  <c r="CE232" i="6"/>
  <c r="CD232" i="6"/>
  <c r="CC232" i="6"/>
  <c r="CB232" i="6"/>
  <c r="CA232" i="6"/>
  <c r="BZ232" i="6"/>
  <c r="BY232" i="6"/>
  <c r="BX232" i="6"/>
  <c r="BW232" i="6"/>
  <c r="BV232" i="6"/>
  <c r="BU232" i="6"/>
  <c r="BT232" i="6"/>
  <c r="BS232" i="6"/>
  <c r="BR232" i="6"/>
  <c r="BQ232" i="6"/>
  <c r="BP232" i="6"/>
  <c r="BO232" i="6"/>
  <c r="BN232" i="6"/>
  <c r="BM232" i="6"/>
  <c r="BL232" i="6"/>
  <c r="BK232" i="6"/>
  <c r="BJ232" i="6"/>
  <c r="BI232" i="6"/>
  <c r="BH232" i="6"/>
  <c r="BG232" i="6"/>
  <c r="BF232" i="6"/>
  <c r="BE232" i="6"/>
  <c r="BD232" i="6"/>
  <c r="BC232" i="6"/>
  <c r="BB232" i="6"/>
  <c r="BA232" i="6"/>
  <c r="AZ232" i="6"/>
  <c r="AY232" i="6"/>
  <c r="AX232" i="6"/>
  <c r="AW232" i="6"/>
  <c r="AV232" i="6"/>
  <c r="AU232" i="6"/>
  <c r="AT232" i="6"/>
  <c r="AS232" i="6"/>
  <c r="AR232" i="6"/>
  <c r="AQ232" i="6"/>
  <c r="AP232" i="6"/>
  <c r="AO232" i="6"/>
  <c r="AN232" i="6"/>
  <c r="AM232" i="6"/>
  <c r="AL232" i="6"/>
  <c r="AK232" i="6"/>
  <c r="AJ232" i="6"/>
  <c r="AI232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DE231" i="6"/>
  <c r="DD231" i="6"/>
  <c r="DC231" i="6"/>
  <c r="DB231" i="6"/>
  <c r="DA231" i="6"/>
  <c r="CZ231" i="6"/>
  <c r="CY231" i="6"/>
  <c r="CX231" i="6"/>
  <c r="CV231" i="6"/>
  <c r="CU231" i="6"/>
  <c r="CT231" i="6"/>
  <c r="CS231" i="6"/>
  <c r="CR231" i="6"/>
  <c r="CQ231" i="6"/>
  <c r="CP231" i="6"/>
  <c r="CO231" i="6"/>
  <c r="CN231" i="6"/>
  <c r="CM231" i="6"/>
  <c r="CL231" i="6"/>
  <c r="CK231" i="6"/>
  <c r="CJ231" i="6"/>
  <c r="CI231" i="6"/>
  <c r="CH231" i="6"/>
  <c r="CG231" i="6"/>
  <c r="CF231" i="6"/>
  <c r="CE231" i="6"/>
  <c r="CD231" i="6"/>
  <c r="CC231" i="6"/>
  <c r="CB231" i="6"/>
  <c r="CA231" i="6"/>
  <c r="BZ231" i="6"/>
  <c r="BY231" i="6"/>
  <c r="BX231" i="6"/>
  <c r="BW231" i="6"/>
  <c r="BV231" i="6"/>
  <c r="BU231" i="6"/>
  <c r="BT231" i="6"/>
  <c r="BS231" i="6"/>
  <c r="BR231" i="6"/>
  <c r="BQ231" i="6"/>
  <c r="BP231" i="6"/>
  <c r="BO231" i="6"/>
  <c r="BN231" i="6"/>
  <c r="BM231" i="6"/>
  <c r="BL231" i="6"/>
  <c r="BK231" i="6"/>
  <c r="BJ231" i="6"/>
  <c r="BI231" i="6"/>
  <c r="BH231" i="6"/>
  <c r="BG231" i="6"/>
  <c r="BF231" i="6"/>
  <c r="BE231" i="6"/>
  <c r="BD231" i="6"/>
  <c r="BC231" i="6"/>
  <c r="BB231" i="6"/>
  <c r="BA231" i="6"/>
  <c r="AZ231" i="6"/>
  <c r="AY231" i="6"/>
  <c r="AX231" i="6"/>
  <c r="AW231" i="6"/>
  <c r="AV231" i="6"/>
  <c r="AU231" i="6"/>
  <c r="AT231" i="6"/>
  <c r="AS231" i="6"/>
  <c r="AR231" i="6"/>
  <c r="AQ231" i="6"/>
  <c r="AP231" i="6"/>
  <c r="AO231" i="6"/>
  <c r="AN231" i="6"/>
  <c r="AM231" i="6"/>
  <c r="AL231" i="6"/>
  <c r="AK231" i="6"/>
  <c r="AJ231" i="6"/>
  <c r="AI231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DE230" i="6"/>
  <c r="DD230" i="6"/>
  <c r="DC230" i="6"/>
  <c r="DB230" i="6"/>
  <c r="DA230" i="6"/>
  <c r="CZ230" i="6"/>
  <c r="CY230" i="6"/>
  <c r="CX230" i="6"/>
  <c r="CV230" i="6"/>
  <c r="CU230" i="6"/>
  <c r="CT230" i="6"/>
  <c r="CS230" i="6"/>
  <c r="CR230" i="6"/>
  <c r="CQ230" i="6"/>
  <c r="CP230" i="6"/>
  <c r="CO230" i="6"/>
  <c r="CN230" i="6"/>
  <c r="CM230" i="6"/>
  <c r="CL230" i="6"/>
  <c r="CK230" i="6"/>
  <c r="CJ230" i="6"/>
  <c r="CI230" i="6"/>
  <c r="CH230" i="6"/>
  <c r="CG230" i="6"/>
  <c r="CF230" i="6"/>
  <c r="CE230" i="6"/>
  <c r="CD230" i="6"/>
  <c r="CC230" i="6"/>
  <c r="CB230" i="6"/>
  <c r="CA230" i="6"/>
  <c r="BZ230" i="6"/>
  <c r="BY230" i="6"/>
  <c r="BX230" i="6"/>
  <c r="BW230" i="6"/>
  <c r="BV230" i="6"/>
  <c r="BU230" i="6"/>
  <c r="BT230" i="6"/>
  <c r="BS230" i="6"/>
  <c r="BR230" i="6"/>
  <c r="BQ230" i="6"/>
  <c r="BP230" i="6"/>
  <c r="BO230" i="6"/>
  <c r="BN230" i="6"/>
  <c r="BM230" i="6"/>
  <c r="BL230" i="6"/>
  <c r="BK230" i="6"/>
  <c r="BJ230" i="6"/>
  <c r="BI230" i="6"/>
  <c r="BH230" i="6"/>
  <c r="BG230" i="6"/>
  <c r="BF230" i="6"/>
  <c r="BE230" i="6"/>
  <c r="BD230" i="6"/>
  <c r="BC230" i="6"/>
  <c r="BB230" i="6"/>
  <c r="BA230" i="6"/>
  <c r="AZ230" i="6"/>
  <c r="AY230" i="6"/>
  <c r="AX230" i="6"/>
  <c r="AW230" i="6"/>
  <c r="AV230" i="6"/>
  <c r="AU230" i="6"/>
  <c r="AT230" i="6"/>
  <c r="AS230" i="6"/>
  <c r="AR230" i="6"/>
  <c r="AQ230" i="6"/>
  <c r="AP230" i="6"/>
  <c r="AO230" i="6"/>
  <c r="AN230" i="6"/>
  <c r="AM230" i="6"/>
  <c r="AL230" i="6"/>
  <c r="AK230" i="6"/>
  <c r="AJ230" i="6"/>
  <c r="AI230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DE229" i="6"/>
  <c r="DD229" i="6"/>
  <c r="DC229" i="6"/>
  <c r="DB229" i="6"/>
  <c r="DA229" i="6"/>
  <c r="CZ229" i="6"/>
  <c r="CY229" i="6"/>
  <c r="CX229" i="6"/>
  <c r="CV229" i="6"/>
  <c r="CU229" i="6"/>
  <c r="CT229" i="6"/>
  <c r="CS229" i="6"/>
  <c r="CR229" i="6"/>
  <c r="CQ229" i="6"/>
  <c r="CP229" i="6"/>
  <c r="CO229" i="6"/>
  <c r="CN229" i="6"/>
  <c r="CM229" i="6"/>
  <c r="CL229" i="6"/>
  <c r="CK229" i="6"/>
  <c r="CJ229" i="6"/>
  <c r="CI229" i="6"/>
  <c r="CH229" i="6"/>
  <c r="CG229" i="6"/>
  <c r="CF229" i="6"/>
  <c r="CE229" i="6"/>
  <c r="CD229" i="6"/>
  <c r="CC229" i="6"/>
  <c r="CB229" i="6"/>
  <c r="CA229" i="6"/>
  <c r="BZ229" i="6"/>
  <c r="BY229" i="6"/>
  <c r="BX229" i="6"/>
  <c r="BW229" i="6"/>
  <c r="BV229" i="6"/>
  <c r="BU229" i="6"/>
  <c r="BT229" i="6"/>
  <c r="BS229" i="6"/>
  <c r="BR229" i="6"/>
  <c r="BQ229" i="6"/>
  <c r="BP229" i="6"/>
  <c r="BO229" i="6"/>
  <c r="BN229" i="6"/>
  <c r="BM229" i="6"/>
  <c r="BL229" i="6"/>
  <c r="BK229" i="6"/>
  <c r="BJ229" i="6"/>
  <c r="BI229" i="6"/>
  <c r="BH229" i="6"/>
  <c r="BG229" i="6"/>
  <c r="BF229" i="6"/>
  <c r="BE229" i="6"/>
  <c r="BD229" i="6"/>
  <c r="BC229" i="6"/>
  <c r="BB229" i="6"/>
  <c r="BA229" i="6"/>
  <c r="AZ229" i="6"/>
  <c r="AY229" i="6"/>
  <c r="AX229" i="6"/>
  <c r="AW229" i="6"/>
  <c r="AV229" i="6"/>
  <c r="AU229" i="6"/>
  <c r="AT229" i="6"/>
  <c r="AS229" i="6"/>
  <c r="AR229" i="6"/>
  <c r="AQ229" i="6"/>
  <c r="AP229" i="6"/>
  <c r="AO229" i="6"/>
  <c r="AN229" i="6"/>
  <c r="AM229" i="6"/>
  <c r="AL229" i="6"/>
  <c r="AK229" i="6"/>
  <c r="AJ229" i="6"/>
  <c r="AI229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DE228" i="6"/>
  <c r="DD228" i="6"/>
  <c r="DC228" i="6"/>
  <c r="DB228" i="6"/>
  <c r="DA228" i="6"/>
  <c r="CZ228" i="6"/>
  <c r="CY228" i="6"/>
  <c r="CX228" i="6"/>
  <c r="CV228" i="6"/>
  <c r="CU228" i="6"/>
  <c r="CT228" i="6"/>
  <c r="CS228" i="6"/>
  <c r="CR228" i="6"/>
  <c r="CQ228" i="6"/>
  <c r="CP228" i="6"/>
  <c r="CO228" i="6"/>
  <c r="CN228" i="6"/>
  <c r="CM228" i="6"/>
  <c r="CL228" i="6"/>
  <c r="CK228" i="6"/>
  <c r="CJ228" i="6"/>
  <c r="CI228" i="6"/>
  <c r="CH228" i="6"/>
  <c r="CG228" i="6"/>
  <c r="CF228" i="6"/>
  <c r="CE228" i="6"/>
  <c r="CD228" i="6"/>
  <c r="CC228" i="6"/>
  <c r="CB228" i="6"/>
  <c r="CA228" i="6"/>
  <c r="BZ228" i="6"/>
  <c r="BY228" i="6"/>
  <c r="BX228" i="6"/>
  <c r="BW228" i="6"/>
  <c r="BV228" i="6"/>
  <c r="BU228" i="6"/>
  <c r="BT228" i="6"/>
  <c r="BS228" i="6"/>
  <c r="BR228" i="6"/>
  <c r="BQ228" i="6"/>
  <c r="BP228" i="6"/>
  <c r="BO228" i="6"/>
  <c r="BN228" i="6"/>
  <c r="BM228" i="6"/>
  <c r="BL228" i="6"/>
  <c r="BK228" i="6"/>
  <c r="BJ228" i="6"/>
  <c r="BI228" i="6"/>
  <c r="BH228" i="6"/>
  <c r="BG228" i="6"/>
  <c r="BF228" i="6"/>
  <c r="BE228" i="6"/>
  <c r="BD228" i="6"/>
  <c r="BC228" i="6"/>
  <c r="BB228" i="6"/>
  <c r="BA228" i="6"/>
  <c r="AZ228" i="6"/>
  <c r="AY228" i="6"/>
  <c r="AX228" i="6"/>
  <c r="AW228" i="6"/>
  <c r="AV228" i="6"/>
  <c r="AU228" i="6"/>
  <c r="AT228" i="6"/>
  <c r="AS228" i="6"/>
  <c r="AR228" i="6"/>
  <c r="AQ228" i="6"/>
  <c r="AP228" i="6"/>
  <c r="AO228" i="6"/>
  <c r="AN228" i="6"/>
  <c r="AM228" i="6"/>
  <c r="AL228" i="6"/>
  <c r="AK228" i="6"/>
  <c r="AJ228" i="6"/>
  <c r="AI228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DE227" i="6"/>
  <c r="DD227" i="6"/>
  <c r="DC227" i="6"/>
  <c r="DB227" i="6"/>
  <c r="DA227" i="6"/>
  <c r="CZ227" i="6"/>
  <c r="CY227" i="6"/>
  <c r="CX227" i="6"/>
  <c r="CV227" i="6"/>
  <c r="CU227" i="6"/>
  <c r="CT227" i="6"/>
  <c r="CS227" i="6"/>
  <c r="CR227" i="6"/>
  <c r="CQ227" i="6"/>
  <c r="CP227" i="6"/>
  <c r="CO227" i="6"/>
  <c r="CN227" i="6"/>
  <c r="CM227" i="6"/>
  <c r="CL227" i="6"/>
  <c r="CK227" i="6"/>
  <c r="CJ227" i="6"/>
  <c r="CI227" i="6"/>
  <c r="CH227" i="6"/>
  <c r="CG227" i="6"/>
  <c r="CF227" i="6"/>
  <c r="CE227" i="6"/>
  <c r="CD227" i="6"/>
  <c r="CC227" i="6"/>
  <c r="CB227" i="6"/>
  <c r="CA227" i="6"/>
  <c r="BZ227" i="6"/>
  <c r="BY227" i="6"/>
  <c r="BX227" i="6"/>
  <c r="BW227" i="6"/>
  <c r="BV227" i="6"/>
  <c r="BU227" i="6"/>
  <c r="BT227" i="6"/>
  <c r="BS227" i="6"/>
  <c r="BR227" i="6"/>
  <c r="BQ227" i="6"/>
  <c r="BP227" i="6"/>
  <c r="BO227" i="6"/>
  <c r="BN227" i="6"/>
  <c r="BM227" i="6"/>
  <c r="BL227" i="6"/>
  <c r="BK227" i="6"/>
  <c r="BJ227" i="6"/>
  <c r="BI227" i="6"/>
  <c r="BH227" i="6"/>
  <c r="BG227" i="6"/>
  <c r="BF227" i="6"/>
  <c r="BE227" i="6"/>
  <c r="BD227" i="6"/>
  <c r="BC227" i="6"/>
  <c r="BB227" i="6"/>
  <c r="BA227" i="6"/>
  <c r="AZ227" i="6"/>
  <c r="AY227" i="6"/>
  <c r="AX227" i="6"/>
  <c r="AW227" i="6"/>
  <c r="AV227" i="6"/>
  <c r="AU227" i="6"/>
  <c r="AT227" i="6"/>
  <c r="AS227" i="6"/>
  <c r="AR227" i="6"/>
  <c r="AQ227" i="6"/>
  <c r="AP227" i="6"/>
  <c r="AO227" i="6"/>
  <c r="AN227" i="6"/>
  <c r="AM227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DE226" i="6"/>
  <c r="DD226" i="6"/>
  <c r="DC226" i="6"/>
  <c r="DB226" i="6"/>
  <c r="DA226" i="6"/>
  <c r="CZ226" i="6"/>
  <c r="CY226" i="6"/>
  <c r="CX226" i="6"/>
  <c r="CV226" i="6"/>
  <c r="CU226" i="6"/>
  <c r="CT226" i="6"/>
  <c r="CS226" i="6"/>
  <c r="CR226" i="6"/>
  <c r="CQ226" i="6"/>
  <c r="CP226" i="6"/>
  <c r="CO226" i="6"/>
  <c r="CN226" i="6"/>
  <c r="CM226" i="6"/>
  <c r="CL226" i="6"/>
  <c r="CK226" i="6"/>
  <c r="CJ226" i="6"/>
  <c r="CI226" i="6"/>
  <c r="CH226" i="6"/>
  <c r="CG226" i="6"/>
  <c r="CF226" i="6"/>
  <c r="CE226" i="6"/>
  <c r="CD226" i="6"/>
  <c r="CC226" i="6"/>
  <c r="CB226" i="6"/>
  <c r="CA226" i="6"/>
  <c r="BZ226" i="6"/>
  <c r="BY226" i="6"/>
  <c r="BX226" i="6"/>
  <c r="BW226" i="6"/>
  <c r="BV226" i="6"/>
  <c r="BU226" i="6"/>
  <c r="BT226" i="6"/>
  <c r="BS226" i="6"/>
  <c r="BR226" i="6"/>
  <c r="BQ226" i="6"/>
  <c r="BP226" i="6"/>
  <c r="BO226" i="6"/>
  <c r="BN226" i="6"/>
  <c r="BM226" i="6"/>
  <c r="BL226" i="6"/>
  <c r="BK226" i="6"/>
  <c r="BJ226" i="6"/>
  <c r="BI226" i="6"/>
  <c r="BH226" i="6"/>
  <c r="BG226" i="6"/>
  <c r="BF226" i="6"/>
  <c r="BE226" i="6"/>
  <c r="BD226" i="6"/>
  <c r="BC226" i="6"/>
  <c r="BB226" i="6"/>
  <c r="BA226" i="6"/>
  <c r="AZ226" i="6"/>
  <c r="AY226" i="6"/>
  <c r="AX226" i="6"/>
  <c r="AW226" i="6"/>
  <c r="AV226" i="6"/>
  <c r="AU226" i="6"/>
  <c r="AT226" i="6"/>
  <c r="AS226" i="6"/>
  <c r="AR226" i="6"/>
  <c r="AQ226" i="6"/>
  <c r="AP226" i="6"/>
  <c r="AO226" i="6"/>
  <c r="AN226" i="6"/>
  <c r="AM226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DE225" i="6"/>
  <c r="DD225" i="6"/>
  <c r="DC225" i="6"/>
  <c r="DB225" i="6"/>
  <c r="DA225" i="6"/>
  <c r="CZ225" i="6"/>
  <c r="CY225" i="6"/>
  <c r="CX225" i="6"/>
  <c r="CV225" i="6"/>
  <c r="CU225" i="6"/>
  <c r="CT225" i="6"/>
  <c r="CS225" i="6"/>
  <c r="CR225" i="6"/>
  <c r="CQ225" i="6"/>
  <c r="CP225" i="6"/>
  <c r="CO225" i="6"/>
  <c r="CN225" i="6"/>
  <c r="CM225" i="6"/>
  <c r="CL225" i="6"/>
  <c r="CK225" i="6"/>
  <c r="CJ225" i="6"/>
  <c r="CI225" i="6"/>
  <c r="CH225" i="6"/>
  <c r="CG225" i="6"/>
  <c r="CF225" i="6"/>
  <c r="CE225" i="6"/>
  <c r="CD225" i="6"/>
  <c r="CC225" i="6"/>
  <c r="CB225" i="6"/>
  <c r="CA225" i="6"/>
  <c r="BZ225" i="6"/>
  <c r="BY225" i="6"/>
  <c r="BX225" i="6"/>
  <c r="BW225" i="6"/>
  <c r="BV225" i="6"/>
  <c r="BU225" i="6"/>
  <c r="BT225" i="6"/>
  <c r="BS225" i="6"/>
  <c r="BR225" i="6"/>
  <c r="BQ225" i="6"/>
  <c r="BP225" i="6"/>
  <c r="BO225" i="6"/>
  <c r="BN225" i="6"/>
  <c r="BM225" i="6"/>
  <c r="BL225" i="6"/>
  <c r="BK225" i="6"/>
  <c r="BJ225" i="6"/>
  <c r="BI225" i="6"/>
  <c r="BH225" i="6"/>
  <c r="BG225" i="6"/>
  <c r="BF225" i="6"/>
  <c r="BE225" i="6"/>
  <c r="BD225" i="6"/>
  <c r="BC225" i="6"/>
  <c r="BB225" i="6"/>
  <c r="BA225" i="6"/>
  <c r="AZ225" i="6"/>
  <c r="AY225" i="6"/>
  <c r="AX225" i="6"/>
  <c r="AW225" i="6"/>
  <c r="AV225" i="6"/>
  <c r="AU225" i="6"/>
  <c r="AT225" i="6"/>
  <c r="AS225" i="6"/>
  <c r="AR225" i="6"/>
  <c r="AQ225" i="6"/>
  <c r="AP225" i="6"/>
  <c r="AO225" i="6"/>
  <c r="AN225" i="6"/>
  <c r="AM225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DE224" i="6"/>
  <c r="DD224" i="6"/>
  <c r="DC224" i="6"/>
  <c r="DB224" i="6"/>
  <c r="DA224" i="6"/>
  <c r="CZ224" i="6"/>
  <c r="CY224" i="6"/>
  <c r="CX224" i="6"/>
  <c r="CV224" i="6"/>
  <c r="CU224" i="6"/>
  <c r="CT224" i="6"/>
  <c r="CS224" i="6"/>
  <c r="CR224" i="6"/>
  <c r="CQ224" i="6"/>
  <c r="CP224" i="6"/>
  <c r="CO224" i="6"/>
  <c r="CN224" i="6"/>
  <c r="CM224" i="6"/>
  <c r="CL224" i="6"/>
  <c r="CK224" i="6"/>
  <c r="CJ224" i="6"/>
  <c r="CI224" i="6"/>
  <c r="CH224" i="6"/>
  <c r="CG224" i="6"/>
  <c r="CF224" i="6"/>
  <c r="CE224" i="6"/>
  <c r="CD224" i="6"/>
  <c r="CC224" i="6"/>
  <c r="CB224" i="6"/>
  <c r="CA224" i="6"/>
  <c r="BZ224" i="6"/>
  <c r="BY224" i="6"/>
  <c r="BX224" i="6"/>
  <c r="BW224" i="6"/>
  <c r="BV224" i="6"/>
  <c r="BU224" i="6"/>
  <c r="BT224" i="6"/>
  <c r="BS224" i="6"/>
  <c r="BR224" i="6"/>
  <c r="BQ224" i="6"/>
  <c r="BP224" i="6"/>
  <c r="BO224" i="6"/>
  <c r="BN224" i="6"/>
  <c r="BM224" i="6"/>
  <c r="BL224" i="6"/>
  <c r="BK224" i="6"/>
  <c r="BJ224" i="6"/>
  <c r="BI224" i="6"/>
  <c r="BH224" i="6"/>
  <c r="BG224" i="6"/>
  <c r="BF224" i="6"/>
  <c r="BE224" i="6"/>
  <c r="BD224" i="6"/>
  <c r="BC224" i="6"/>
  <c r="BB224" i="6"/>
  <c r="BA224" i="6"/>
  <c r="AZ224" i="6"/>
  <c r="AY224" i="6"/>
  <c r="AX224" i="6"/>
  <c r="AW224" i="6"/>
  <c r="AV224" i="6"/>
  <c r="AU224" i="6"/>
  <c r="AT224" i="6"/>
  <c r="AS224" i="6"/>
  <c r="AR224" i="6"/>
  <c r="AQ224" i="6"/>
  <c r="AP224" i="6"/>
  <c r="AO224" i="6"/>
  <c r="AN224" i="6"/>
  <c r="AM224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DE223" i="6"/>
  <c r="DD223" i="6"/>
  <c r="DC223" i="6"/>
  <c r="DB223" i="6"/>
  <c r="DA223" i="6"/>
  <c r="CZ223" i="6"/>
  <c r="CY223" i="6"/>
  <c r="CX223" i="6"/>
  <c r="CV223" i="6"/>
  <c r="CU223" i="6"/>
  <c r="CT223" i="6"/>
  <c r="CS223" i="6"/>
  <c r="CR223" i="6"/>
  <c r="CQ223" i="6"/>
  <c r="CP223" i="6"/>
  <c r="CO223" i="6"/>
  <c r="CN223" i="6"/>
  <c r="CM223" i="6"/>
  <c r="CL223" i="6"/>
  <c r="CK223" i="6"/>
  <c r="CJ223" i="6"/>
  <c r="CI223" i="6"/>
  <c r="CH223" i="6"/>
  <c r="CG223" i="6"/>
  <c r="CF223" i="6"/>
  <c r="CE223" i="6"/>
  <c r="CD223" i="6"/>
  <c r="CC223" i="6"/>
  <c r="CB223" i="6"/>
  <c r="CA223" i="6"/>
  <c r="BZ223" i="6"/>
  <c r="BY223" i="6"/>
  <c r="BX223" i="6"/>
  <c r="BW223" i="6"/>
  <c r="BV223" i="6"/>
  <c r="BU223" i="6"/>
  <c r="BT223" i="6"/>
  <c r="BS223" i="6"/>
  <c r="BR223" i="6"/>
  <c r="BQ223" i="6"/>
  <c r="BP223" i="6"/>
  <c r="BO223" i="6"/>
  <c r="BN223" i="6"/>
  <c r="BM223" i="6"/>
  <c r="BL223" i="6"/>
  <c r="BK223" i="6"/>
  <c r="BJ223" i="6"/>
  <c r="BI223" i="6"/>
  <c r="BH223" i="6"/>
  <c r="BG223" i="6"/>
  <c r="BF223" i="6"/>
  <c r="BE223" i="6"/>
  <c r="BD223" i="6"/>
  <c r="BC223" i="6"/>
  <c r="BB223" i="6"/>
  <c r="BA223" i="6"/>
  <c r="AZ223" i="6"/>
  <c r="AY223" i="6"/>
  <c r="AX223" i="6"/>
  <c r="AW223" i="6"/>
  <c r="AV223" i="6"/>
  <c r="AU223" i="6"/>
  <c r="AT223" i="6"/>
  <c r="AS223" i="6"/>
  <c r="AR223" i="6"/>
  <c r="AQ223" i="6"/>
  <c r="AP223" i="6"/>
  <c r="AO223" i="6"/>
  <c r="AN223" i="6"/>
  <c r="AM223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DE222" i="6"/>
  <c r="DD222" i="6"/>
  <c r="DC222" i="6"/>
  <c r="DB222" i="6"/>
  <c r="DA222" i="6"/>
  <c r="CZ222" i="6"/>
  <c r="CY222" i="6"/>
  <c r="CX222" i="6"/>
  <c r="CV222" i="6"/>
  <c r="CU222" i="6"/>
  <c r="CT222" i="6"/>
  <c r="CS222" i="6"/>
  <c r="CR222" i="6"/>
  <c r="CQ222" i="6"/>
  <c r="CP222" i="6"/>
  <c r="CO222" i="6"/>
  <c r="CN222" i="6"/>
  <c r="CM222" i="6"/>
  <c r="CL222" i="6"/>
  <c r="CK222" i="6"/>
  <c r="CJ222" i="6"/>
  <c r="CI222" i="6"/>
  <c r="CH222" i="6"/>
  <c r="CG222" i="6"/>
  <c r="CF222" i="6"/>
  <c r="CE222" i="6"/>
  <c r="CD222" i="6"/>
  <c r="CC222" i="6"/>
  <c r="CB222" i="6"/>
  <c r="CA222" i="6"/>
  <c r="BZ222" i="6"/>
  <c r="BY222" i="6"/>
  <c r="BX222" i="6"/>
  <c r="BW222" i="6"/>
  <c r="BV222" i="6"/>
  <c r="BU222" i="6"/>
  <c r="BT222" i="6"/>
  <c r="BS222" i="6"/>
  <c r="BR222" i="6"/>
  <c r="BQ222" i="6"/>
  <c r="BP222" i="6"/>
  <c r="BO222" i="6"/>
  <c r="BN222" i="6"/>
  <c r="BM222" i="6"/>
  <c r="BL222" i="6"/>
  <c r="BK222" i="6"/>
  <c r="BJ222" i="6"/>
  <c r="BI222" i="6"/>
  <c r="BH222" i="6"/>
  <c r="BG222" i="6"/>
  <c r="BF222" i="6"/>
  <c r="BE222" i="6"/>
  <c r="BD222" i="6"/>
  <c r="BC222" i="6"/>
  <c r="BB222" i="6"/>
  <c r="BA222" i="6"/>
  <c r="AZ222" i="6"/>
  <c r="AY222" i="6"/>
  <c r="AX222" i="6"/>
  <c r="AW222" i="6"/>
  <c r="AV222" i="6"/>
  <c r="AU222" i="6"/>
  <c r="AT222" i="6"/>
  <c r="AS222" i="6"/>
  <c r="AR222" i="6"/>
  <c r="AQ222" i="6"/>
  <c r="AP222" i="6"/>
  <c r="AO222" i="6"/>
  <c r="AN222" i="6"/>
  <c r="AM222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DE221" i="6"/>
  <c r="DD221" i="6"/>
  <c r="DC221" i="6"/>
  <c r="DB221" i="6"/>
  <c r="DA221" i="6"/>
  <c r="CZ221" i="6"/>
  <c r="CY221" i="6"/>
  <c r="CX221" i="6"/>
  <c r="CV221" i="6"/>
  <c r="CU221" i="6"/>
  <c r="CT221" i="6"/>
  <c r="CS221" i="6"/>
  <c r="CR221" i="6"/>
  <c r="CQ221" i="6"/>
  <c r="CP221" i="6"/>
  <c r="CO221" i="6"/>
  <c r="CN221" i="6"/>
  <c r="CM221" i="6"/>
  <c r="CL221" i="6"/>
  <c r="CK221" i="6"/>
  <c r="CJ221" i="6"/>
  <c r="CI221" i="6"/>
  <c r="CH221" i="6"/>
  <c r="CG221" i="6"/>
  <c r="CF221" i="6"/>
  <c r="CE221" i="6"/>
  <c r="CD221" i="6"/>
  <c r="CC221" i="6"/>
  <c r="CB221" i="6"/>
  <c r="CA221" i="6"/>
  <c r="BZ221" i="6"/>
  <c r="BY221" i="6"/>
  <c r="BX221" i="6"/>
  <c r="BW221" i="6"/>
  <c r="BV221" i="6"/>
  <c r="BU221" i="6"/>
  <c r="BT221" i="6"/>
  <c r="BS221" i="6"/>
  <c r="BR221" i="6"/>
  <c r="BQ221" i="6"/>
  <c r="BP221" i="6"/>
  <c r="BO221" i="6"/>
  <c r="BN221" i="6"/>
  <c r="BM221" i="6"/>
  <c r="BL221" i="6"/>
  <c r="BK221" i="6"/>
  <c r="BJ221" i="6"/>
  <c r="BI221" i="6"/>
  <c r="BH221" i="6"/>
  <c r="BG221" i="6"/>
  <c r="BF221" i="6"/>
  <c r="BE221" i="6"/>
  <c r="BD221" i="6"/>
  <c r="BC221" i="6"/>
  <c r="BB221" i="6"/>
  <c r="BA221" i="6"/>
  <c r="AZ221" i="6"/>
  <c r="AY221" i="6"/>
  <c r="AX221" i="6"/>
  <c r="AW221" i="6"/>
  <c r="AV221" i="6"/>
  <c r="AU221" i="6"/>
  <c r="AT221" i="6"/>
  <c r="AS221" i="6"/>
  <c r="AR221" i="6"/>
  <c r="AQ221" i="6"/>
  <c r="AP221" i="6"/>
  <c r="AO221" i="6"/>
  <c r="AN221" i="6"/>
  <c r="AM221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DE220" i="6"/>
  <c r="DD220" i="6"/>
  <c r="DC220" i="6"/>
  <c r="DB220" i="6"/>
  <c r="DA220" i="6"/>
  <c r="CZ220" i="6"/>
  <c r="CY220" i="6"/>
  <c r="CX220" i="6"/>
  <c r="CV220" i="6"/>
  <c r="CU220" i="6"/>
  <c r="CT220" i="6"/>
  <c r="CS220" i="6"/>
  <c r="CR220" i="6"/>
  <c r="CQ220" i="6"/>
  <c r="CP220" i="6"/>
  <c r="CO220" i="6"/>
  <c r="CN220" i="6"/>
  <c r="CM220" i="6"/>
  <c r="CL220" i="6"/>
  <c r="CK220" i="6"/>
  <c r="CJ220" i="6"/>
  <c r="CI220" i="6"/>
  <c r="CH220" i="6"/>
  <c r="CG220" i="6"/>
  <c r="CF220" i="6"/>
  <c r="CE220" i="6"/>
  <c r="CD220" i="6"/>
  <c r="CC220" i="6"/>
  <c r="CB220" i="6"/>
  <c r="CA220" i="6"/>
  <c r="BZ220" i="6"/>
  <c r="BY220" i="6"/>
  <c r="BX220" i="6"/>
  <c r="BW220" i="6"/>
  <c r="BV220" i="6"/>
  <c r="BU220" i="6"/>
  <c r="BT220" i="6"/>
  <c r="BS220" i="6"/>
  <c r="BR220" i="6"/>
  <c r="BQ220" i="6"/>
  <c r="BP220" i="6"/>
  <c r="BO220" i="6"/>
  <c r="BN220" i="6"/>
  <c r="BM220" i="6"/>
  <c r="BL220" i="6"/>
  <c r="BK220" i="6"/>
  <c r="BJ220" i="6"/>
  <c r="BI220" i="6"/>
  <c r="BH220" i="6"/>
  <c r="BG220" i="6"/>
  <c r="BF220" i="6"/>
  <c r="BE220" i="6"/>
  <c r="BD220" i="6"/>
  <c r="BC220" i="6"/>
  <c r="BB220" i="6"/>
  <c r="BA220" i="6"/>
  <c r="AZ220" i="6"/>
  <c r="AY220" i="6"/>
  <c r="AX220" i="6"/>
  <c r="AW220" i="6"/>
  <c r="AV220" i="6"/>
  <c r="AU220" i="6"/>
  <c r="AT220" i="6"/>
  <c r="AS220" i="6"/>
  <c r="AR220" i="6"/>
  <c r="AQ220" i="6"/>
  <c r="AP220" i="6"/>
  <c r="AO220" i="6"/>
  <c r="AN220" i="6"/>
  <c r="AM220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220" i="6"/>
  <c r="DE219" i="6"/>
  <c r="DD219" i="6"/>
  <c r="DC219" i="6"/>
  <c r="DB219" i="6"/>
  <c r="DA219" i="6"/>
  <c r="CZ219" i="6"/>
  <c r="CY219" i="6"/>
  <c r="CX219" i="6"/>
  <c r="CV219" i="6"/>
  <c r="CU219" i="6"/>
  <c r="CT219" i="6"/>
  <c r="CS219" i="6"/>
  <c r="CR219" i="6"/>
  <c r="CQ219" i="6"/>
  <c r="CP219" i="6"/>
  <c r="CO219" i="6"/>
  <c r="CN219" i="6"/>
  <c r="CM219" i="6"/>
  <c r="CL219" i="6"/>
  <c r="CK219" i="6"/>
  <c r="CJ219" i="6"/>
  <c r="CI219" i="6"/>
  <c r="CH219" i="6"/>
  <c r="CG219" i="6"/>
  <c r="CF219" i="6"/>
  <c r="CE219" i="6"/>
  <c r="CD219" i="6"/>
  <c r="CC219" i="6"/>
  <c r="CB219" i="6"/>
  <c r="CA219" i="6"/>
  <c r="BZ219" i="6"/>
  <c r="BY219" i="6"/>
  <c r="BX219" i="6"/>
  <c r="BW219" i="6"/>
  <c r="BV219" i="6"/>
  <c r="BU219" i="6"/>
  <c r="BT219" i="6"/>
  <c r="BS219" i="6"/>
  <c r="BR219" i="6"/>
  <c r="BQ219" i="6"/>
  <c r="BP219" i="6"/>
  <c r="BO219" i="6"/>
  <c r="BN219" i="6"/>
  <c r="BM219" i="6"/>
  <c r="BL219" i="6"/>
  <c r="BK219" i="6"/>
  <c r="BJ219" i="6"/>
  <c r="BI219" i="6"/>
  <c r="BH219" i="6"/>
  <c r="BG219" i="6"/>
  <c r="BF219" i="6"/>
  <c r="BE219" i="6"/>
  <c r="BD219" i="6"/>
  <c r="BC219" i="6"/>
  <c r="BB219" i="6"/>
  <c r="BA219" i="6"/>
  <c r="AZ219" i="6"/>
  <c r="AY219" i="6"/>
  <c r="AX219" i="6"/>
  <c r="AW219" i="6"/>
  <c r="AV219" i="6"/>
  <c r="AU219" i="6"/>
  <c r="AT219" i="6"/>
  <c r="AS219" i="6"/>
  <c r="AR219" i="6"/>
  <c r="AQ219" i="6"/>
  <c r="AP219" i="6"/>
  <c r="AO219" i="6"/>
  <c r="AN219" i="6"/>
  <c r="AM219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DE218" i="6"/>
  <c r="DD218" i="6"/>
  <c r="DC218" i="6"/>
  <c r="DB218" i="6"/>
  <c r="DA218" i="6"/>
  <c r="CZ218" i="6"/>
  <c r="CY218" i="6"/>
  <c r="CX218" i="6"/>
  <c r="CV218" i="6"/>
  <c r="CU218" i="6"/>
  <c r="CT218" i="6"/>
  <c r="CS218" i="6"/>
  <c r="CR218" i="6"/>
  <c r="CQ218" i="6"/>
  <c r="CP218" i="6"/>
  <c r="CO218" i="6"/>
  <c r="CN218" i="6"/>
  <c r="CM218" i="6"/>
  <c r="CL218" i="6"/>
  <c r="CK218" i="6"/>
  <c r="CJ218" i="6"/>
  <c r="CI218" i="6"/>
  <c r="CH218" i="6"/>
  <c r="CG218" i="6"/>
  <c r="CF218" i="6"/>
  <c r="CE218" i="6"/>
  <c r="CD218" i="6"/>
  <c r="CC218" i="6"/>
  <c r="CB218" i="6"/>
  <c r="CA218" i="6"/>
  <c r="BZ218" i="6"/>
  <c r="BY218" i="6"/>
  <c r="BX218" i="6"/>
  <c r="BW218" i="6"/>
  <c r="BV218" i="6"/>
  <c r="BU218" i="6"/>
  <c r="BT218" i="6"/>
  <c r="BS218" i="6"/>
  <c r="BR218" i="6"/>
  <c r="BQ218" i="6"/>
  <c r="BP218" i="6"/>
  <c r="BO218" i="6"/>
  <c r="BN218" i="6"/>
  <c r="BM218" i="6"/>
  <c r="BL218" i="6"/>
  <c r="BK218" i="6"/>
  <c r="BJ218" i="6"/>
  <c r="BI218" i="6"/>
  <c r="BH218" i="6"/>
  <c r="BG218" i="6"/>
  <c r="BF218" i="6"/>
  <c r="BE218" i="6"/>
  <c r="BD218" i="6"/>
  <c r="BC218" i="6"/>
  <c r="BB218" i="6"/>
  <c r="BA218" i="6"/>
  <c r="AZ218" i="6"/>
  <c r="AY218" i="6"/>
  <c r="AX218" i="6"/>
  <c r="AW218" i="6"/>
  <c r="AV218" i="6"/>
  <c r="AU218" i="6"/>
  <c r="AT218" i="6"/>
  <c r="AS218" i="6"/>
  <c r="AR218" i="6"/>
  <c r="AQ218" i="6"/>
  <c r="AP218" i="6"/>
  <c r="AO218" i="6"/>
  <c r="AN218" i="6"/>
  <c r="AM218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DE217" i="6"/>
  <c r="DD217" i="6"/>
  <c r="DC217" i="6"/>
  <c r="DB217" i="6"/>
  <c r="DA217" i="6"/>
  <c r="CZ217" i="6"/>
  <c r="CY217" i="6"/>
  <c r="CX217" i="6"/>
  <c r="CV217" i="6"/>
  <c r="CU217" i="6"/>
  <c r="CT217" i="6"/>
  <c r="CS217" i="6"/>
  <c r="CR217" i="6"/>
  <c r="CQ217" i="6"/>
  <c r="CP217" i="6"/>
  <c r="CO217" i="6"/>
  <c r="CN217" i="6"/>
  <c r="CM217" i="6"/>
  <c r="CL217" i="6"/>
  <c r="CK217" i="6"/>
  <c r="CJ217" i="6"/>
  <c r="CI217" i="6"/>
  <c r="CH217" i="6"/>
  <c r="CG217" i="6"/>
  <c r="CF217" i="6"/>
  <c r="CE217" i="6"/>
  <c r="CD217" i="6"/>
  <c r="CC217" i="6"/>
  <c r="CB217" i="6"/>
  <c r="CA217" i="6"/>
  <c r="BZ217" i="6"/>
  <c r="BY217" i="6"/>
  <c r="BX217" i="6"/>
  <c r="BW217" i="6"/>
  <c r="BV217" i="6"/>
  <c r="BU217" i="6"/>
  <c r="BT217" i="6"/>
  <c r="BS217" i="6"/>
  <c r="BR217" i="6"/>
  <c r="BQ217" i="6"/>
  <c r="BP217" i="6"/>
  <c r="BO217" i="6"/>
  <c r="BN217" i="6"/>
  <c r="BM217" i="6"/>
  <c r="BL217" i="6"/>
  <c r="BK217" i="6"/>
  <c r="BJ217" i="6"/>
  <c r="BI217" i="6"/>
  <c r="BH217" i="6"/>
  <c r="BG217" i="6"/>
  <c r="BF217" i="6"/>
  <c r="BE217" i="6"/>
  <c r="BD217" i="6"/>
  <c r="BC217" i="6"/>
  <c r="BB217" i="6"/>
  <c r="BA217" i="6"/>
  <c r="AZ217" i="6"/>
  <c r="AY217" i="6"/>
  <c r="AX217" i="6"/>
  <c r="AW217" i="6"/>
  <c r="AV217" i="6"/>
  <c r="AU217" i="6"/>
  <c r="AT217" i="6"/>
  <c r="AS217" i="6"/>
  <c r="AR217" i="6"/>
  <c r="AQ217" i="6"/>
  <c r="AP217" i="6"/>
  <c r="AO217" i="6"/>
  <c r="AN217" i="6"/>
  <c r="AM217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DE216" i="6"/>
  <c r="DD216" i="6"/>
  <c r="DC216" i="6"/>
  <c r="DB216" i="6"/>
  <c r="DA216" i="6"/>
  <c r="CZ216" i="6"/>
  <c r="CY216" i="6"/>
  <c r="CX216" i="6"/>
  <c r="CV216" i="6"/>
  <c r="CU216" i="6"/>
  <c r="CT216" i="6"/>
  <c r="CS216" i="6"/>
  <c r="CR216" i="6"/>
  <c r="CQ216" i="6"/>
  <c r="CP216" i="6"/>
  <c r="CO216" i="6"/>
  <c r="CN216" i="6"/>
  <c r="CM216" i="6"/>
  <c r="CL216" i="6"/>
  <c r="CK216" i="6"/>
  <c r="CJ216" i="6"/>
  <c r="CI216" i="6"/>
  <c r="CH216" i="6"/>
  <c r="CG216" i="6"/>
  <c r="CF216" i="6"/>
  <c r="CE216" i="6"/>
  <c r="CD216" i="6"/>
  <c r="CC216" i="6"/>
  <c r="CB216" i="6"/>
  <c r="CA216" i="6"/>
  <c r="BZ216" i="6"/>
  <c r="BY216" i="6"/>
  <c r="BX216" i="6"/>
  <c r="BW216" i="6"/>
  <c r="BV216" i="6"/>
  <c r="BU216" i="6"/>
  <c r="BT216" i="6"/>
  <c r="BS216" i="6"/>
  <c r="BR216" i="6"/>
  <c r="BQ216" i="6"/>
  <c r="BP216" i="6"/>
  <c r="BO216" i="6"/>
  <c r="BN216" i="6"/>
  <c r="BM216" i="6"/>
  <c r="BL216" i="6"/>
  <c r="BK216" i="6"/>
  <c r="BJ216" i="6"/>
  <c r="BI216" i="6"/>
  <c r="BH216" i="6"/>
  <c r="BG216" i="6"/>
  <c r="BF216" i="6"/>
  <c r="BE216" i="6"/>
  <c r="BD216" i="6"/>
  <c r="BC216" i="6"/>
  <c r="BB216" i="6"/>
  <c r="BA216" i="6"/>
  <c r="AZ216" i="6"/>
  <c r="AY216" i="6"/>
  <c r="AX216" i="6"/>
  <c r="AW216" i="6"/>
  <c r="AV216" i="6"/>
  <c r="AU216" i="6"/>
  <c r="AT216" i="6"/>
  <c r="AS216" i="6"/>
  <c r="AR216" i="6"/>
  <c r="AQ216" i="6"/>
  <c r="AP216" i="6"/>
  <c r="AO216" i="6"/>
  <c r="AN216" i="6"/>
  <c r="AM216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DE215" i="6"/>
  <c r="DD215" i="6"/>
  <c r="DC215" i="6"/>
  <c r="DB215" i="6"/>
  <c r="DA215" i="6"/>
  <c r="CZ215" i="6"/>
  <c r="CY215" i="6"/>
  <c r="CX215" i="6"/>
  <c r="CV215" i="6"/>
  <c r="CU215" i="6"/>
  <c r="CT215" i="6"/>
  <c r="CS215" i="6"/>
  <c r="CR215" i="6"/>
  <c r="CQ215" i="6"/>
  <c r="CP215" i="6"/>
  <c r="CO215" i="6"/>
  <c r="CN215" i="6"/>
  <c r="CM215" i="6"/>
  <c r="CL215" i="6"/>
  <c r="CK215" i="6"/>
  <c r="CJ215" i="6"/>
  <c r="CI215" i="6"/>
  <c r="CH215" i="6"/>
  <c r="CG215" i="6"/>
  <c r="CF215" i="6"/>
  <c r="CE215" i="6"/>
  <c r="CD215" i="6"/>
  <c r="CC215" i="6"/>
  <c r="CB215" i="6"/>
  <c r="CA215" i="6"/>
  <c r="BZ215" i="6"/>
  <c r="BY215" i="6"/>
  <c r="BX215" i="6"/>
  <c r="BW215" i="6"/>
  <c r="BV215" i="6"/>
  <c r="BU215" i="6"/>
  <c r="BT215" i="6"/>
  <c r="BS215" i="6"/>
  <c r="BR215" i="6"/>
  <c r="BQ215" i="6"/>
  <c r="BP215" i="6"/>
  <c r="BO215" i="6"/>
  <c r="BN215" i="6"/>
  <c r="BM215" i="6"/>
  <c r="BL215" i="6"/>
  <c r="BK215" i="6"/>
  <c r="BJ215" i="6"/>
  <c r="BI215" i="6"/>
  <c r="BH215" i="6"/>
  <c r="BG215" i="6"/>
  <c r="BF215" i="6"/>
  <c r="BE215" i="6"/>
  <c r="BD215" i="6"/>
  <c r="BC215" i="6"/>
  <c r="BB215" i="6"/>
  <c r="BA215" i="6"/>
  <c r="AZ215" i="6"/>
  <c r="AY215" i="6"/>
  <c r="AX215" i="6"/>
  <c r="AW215" i="6"/>
  <c r="AV215" i="6"/>
  <c r="AU215" i="6"/>
  <c r="AT215" i="6"/>
  <c r="AS215" i="6"/>
  <c r="AR215" i="6"/>
  <c r="AQ215" i="6"/>
  <c r="AP215" i="6"/>
  <c r="AO215" i="6"/>
  <c r="AN215" i="6"/>
  <c r="AM215" i="6"/>
  <c r="AL215" i="6"/>
  <c r="AK215" i="6"/>
  <c r="AJ215" i="6"/>
  <c r="AI215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DE214" i="6"/>
  <c r="DD214" i="6"/>
  <c r="DC214" i="6"/>
  <c r="DB214" i="6"/>
  <c r="DA214" i="6"/>
  <c r="CZ214" i="6"/>
  <c r="CY214" i="6"/>
  <c r="CX214" i="6"/>
  <c r="CV214" i="6"/>
  <c r="CU214" i="6"/>
  <c r="CT214" i="6"/>
  <c r="CS214" i="6"/>
  <c r="CR214" i="6"/>
  <c r="CQ214" i="6"/>
  <c r="CP214" i="6"/>
  <c r="CO214" i="6"/>
  <c r="CN214" i="6"/>
  <c r="CM214" i="6"/>
  <c r="CL214" i="6"/>
  <c r="CK214" i="6"/>
  <c r="CJ214" i="6"/>
  <c r="CI214" i="6"/>
  <c r="CH214" i="6"/>
  <c r="CG214" i="6"/>
  <c r="CF214" i="6"/>
  <c r="CE214" i="6"/>
  <c r="CD214" i="6"/>
  <c r="CC214" i="6"/>
  <c r="CB214" i="6"/>
  <c r="CA214" i="6"/>
  <c r="BZ214" i="6"/>
  <c r="BY214" i="6"/>
  <c r="BX214" i="6"/>
  <c r="BW214" i="6"/>
  <c r="BV214" i="6"/>
  <c r="BU214" i="6"/>
  <c r="BT214" i="6"/>
  <c r="BS214" i="6"/>
  <c r="BR214" i="6"/>
  <c r="BQ214" i="6"/>
  <c r="BP214" i="6"/>
  <c r="BO214" i="6"/>
  <c r="BN214" i="6"/>
  <c r="BM214" i="6"/>
  <c r="BL214" i="6"/>
  <c r="BK214" i="6"/>
  <c r="BJ214" i="6"/>
  <c r="BI214" i="6"/>
  <c r="BH214" i="6"/>
  <c r="BG214" i="6"/>
  <c r="BF214" i="6"/>
  <c r="BE214" i="6"/>
  <c r="BD214" i="6"/>
  <c r="BC214" i="6"/>
  <c r="BB214" i="6"/>
  <c r="BA214" i="6"/>
  <c r="AZ214" i="6"/>
  <c r="AY214" i="6"/>
  <c r="AX214" i="6"/>
  <c r="AW214" i="6"/>
  <c r="AV214" i="6"/>
  <c r="AU214" i="6"/>
  <c r="AT214" i="6"/>
  <c r="AS214" i="6"/>
  <c r="AR214" i="6"/>
  <c r="AQ214" i="6"/>
  <c r="AP214" i="6"/>
  <c r="AO214" i="6"/>
  <c r="AN214" i="6"/>
  <c r="AM214" i="6"/>
  <c r="AL214" i="6"/>
  <c r="AK214" i="6"/>
  <c r="AJ214" i="6"/>
  <c r="AI214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DE213" i="6"/>
  <c r="DD213" i="6"/>
  <c r="DC213" i="6"/>
  <c r="DB213" i="6"/>
  <c r="DA213" i="6"/>
  <c r="CZ213" i="6"/>
  <c r="CY213" i="6"/>
  <c r="CX213" i="6"/>
  <c r="CV213" i="6"/>
  <c r="CU213" i="6"/>
  <c r="CT213" i="6"/>
  <c r="CS213" i="6"/>
  <c r="CR213" i="6"/>
  <c r="CQ213" i="6"/>
  <c r="CP213" i="6"/>
  <c r="CO213" i="6"/>
  <c r="CN213" i="6"/>
  <c r="CM213" i="6"/>
  <c r="CL213" i="6"/>
  <c r="CK213" i="6"/>
  <c r="CJ213" i="6"/>
  <c r="CI213" i="6"/>
  <c r="CH213" i="6"/>
  <c r="CG213" i="6"/>
  <c r="CF213" i="6"/>
  <c r="CE213" i="6"/>
  <c r="CD213" i="6"/>
  <c r="CC213" i="6"/>
  <c r="CB213" i="6"/>
  <c r="CA213" i="6"/>
  <c r="BZ213" i="6"/>
  <c r="BY213" i="6"/>
  <c r="BX213" i="6"/>
  <c r="BW213" i="6"/>
  <c r="BV213" i="6"/>
  <c r="BU213" i="6"/>
  <c r="BT213" i="6"/>
  <c r="BS213" i="6"/>
  <c r="BR213" i="6"/>
  <c r="BQ213" i="6"/>
  <c r="BP213" i="6"/>
  <c r="BO213" i="6"/>
  <c r="BN213" i="6"/>
  <c r="BM213" i="6"/>
  <c r="BL213" i="6"/>
  <c r="BK213" i="6"/>
  <c r="BJ213" i="6"/>
  <c r="BI213" i="6"/>
  <c r="BH213" i="6"/>
  <c r="BG213" i="6"/>
  <c r="BF213" i="6"/>
  <c r="BE213" i="6"/>
  <c r="BD213" i="6"/>
  <c r="BC213" i="6"/>
  <c r="BB213" i="6"/>
  <c r="BA213" i="6"/>
  <c r="AZ213" i="6"/>
  <c r="AY213" i="6"/>
  <c r="AX213" i="6"/>
  <c r="AW213" i="6"/>
  <c r="AV213" i="6"/>
  <c r="AU213" i="6"/>
  <c r="AT213" i="6"/>
  <c r="AS213" i="6"/>
  <c r="AR213" i="6"/>
  <c r="AQ213" i="6"/>
  <c r="AP213" i="6"/>
  <c r="AO213" i="6"/>
  <c r="AN213" i="6"/>
  <c r="AM213" i="6"/>
  <c r="AL213" i="6"/>
  <c r="AK213" i="6"/>
  <c r="AJ213" i="6"/>
  <c r="AI213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DE212" i="6"/>
  <c r="DD212" i="6"/>
  <c r="DC212" i="6"/>
  <c r="DB212" i="6"/>
  <c r="DA212" i="6"/>
  <c r="CZ212" i="6"/>
  <c r="CY212" i="6"/>
  <c r="CX212" i="6"/>
  <c r="CV212" i="6"/>
  <c r="CU212" i="6"/>
  <c r="CT212" i="6"/>
  <c r="CS212" i="6"/>
  <c r="CR212" i="6"/>
  <c r="CQ212" i="6"/>
  <c r="CP212" i="6"/>
  <c r="CO212" i="6"/>
  <c r="CN212" i="6"/>
  <c r="CM212" i="6"/>
  <c r="CL212" i="6"/>
  <c r="CK212" i="6"/>
  <c r="CJ212" i="6"/>
  <c r="CI212" i="6"/>
  <c r="CH212" i="6"/>
  <c r="CG212" i="6"/>
  <c r="CF212" i="6"/>
  <c r="CE212" i="6"/>
  <c r="CD212" i="6"/>
  <c r="CC212" i="6"/>
  <c r="CB212" i="6"/>
  <c r="CA212" i="6"/>
  <c r="BZ212" i="6"/>
  <c r="BY212" i="6"/>
  <c r="BX212" i="6"/>
  <c r="BW212" i="6"/>
  <c r="BV212" i="6"/>
  <c r="BU212" i="6"/>
  <c r="BT212" i="6"/>
  <c r="BS212" i="6"/>
  <c r="BR212" i="6"/>
  <c r="BQ212" i="6"/>
  <c r="BP212" i="6"/>
  <c r="BO212" i="6"/>
  <c r="BN212" i="6"/>
  <c r="BM212" i="6"/>
  <c r="BL212" i="6"/>
  <c r="BK212" i="6"/>
  <c r="BJ212" i="6"/>
  <c r="BI212" i="6"/>
  <c r="BH212" i="6"/>
  <c r="BG212" i="6"/>
  <c r="BF212" i="6"/>
  <c r="BE212" i="6"/>
  <c r="BD212" i="6"/>
  <c r="BC212" i="6"/>
  <c r="BB212" i="6"/>
  <c r="BA212" i="6"/>
  <c r="AZ212" i="6"/>
  <c r="AY212" i="6"/>
  <c r="AX212" i="6"/>
  <c r="AW212" i="6"/>
  <c r="AV212" i="6"/>
  <c r="AU212" i="6"/>
  <c r="AT212" i="6"/>
  <c r="AS212" i="6"/>
  <c r="AR212" i="6"/>
  <c r="AQ212" i="6"/>
  <c r="AP212" i="6"/>
  <c r="AO212" i="6"/>
  <c r="AN212" i="6"/>
  <c r="AM212" i="6"/>
  <c r="AL212" i="6"/>
  <c r="AK212" i="6"/>
  <c r="AJ212" i="6"/>
  <c r="AI212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DE211" i="6"/>
  <c r="DD211" i="6"/>
  <c r="DC211" i="6"/>
  <c r="DB211" i="6"/>
  <c r="DA211" i="6"/>
  <c r="CZ211" i="6"/>
  <c r="CY211" i="6"/>
  <c r="CX211" i="6"/>
  <c r="CV211" i="6"/>
  <c r="CU211" i="6"/>
  <c r="CT211" i="6"/>
  <c r="CS211" i="6"/>
  <c r="CR211" i="6"/>
  <c r="CQ211" i="6"/>
  <c r="CP211" i="6"/>
  <c r="CO211" i="6"/>
  <c r="CN211" i="6"/>
  <c r="CM211" i="6"/>
  <c r="CL211" i="6"/>
  <c r="CK211" i="6"/>
  <c r="CJ211" i="6"/>
  <c r="CI211" i="6"/>
  <c r="CH211" i="6"/>
  <c r="CG211" i="6"/>
  <c r="CF211" i="6"/>
  <c r="CE211" i="6"/>
  <c r="CD211" i="6"/>
  <c r="CC211" i="6"/>
  <c r="CB211" i="6"/>
  <c r="CA211" i="6"/>
  <c r="BZ211" i="6"/>
  <c r="BY211" i="6"/>
  <c r="BX211" i="6"/>
  <c r="BW211" i="6"/>
  <c r="BV211" i="6"/>
  <c r="BU211" i="6"/>
  <c r="BT211" i="6"/>
  <c r="BS211" i="6"/>
  <c r="BR211" i="6"/>
  <c r="BQ211" i="6"/>
  <c r="BP211" i="6"/>
  <c r="BO211" i="6"/>
  <c r="BN211" i="6"/>
  <c r="BM211" i="6"/>
  <c r="BL211" i="6"/>
  <c r="BK211" i="6"/>
  <c r="BJ211" i="6"/>
  <c r="BI211" i="6"/>
  <c r="BH211" i="6"/>
  <c r="BG211" i="6"/>
  <c r="BF211" i="6"/>
  <c r="BE211" i="6"/>
  <c r="BD211" i="6"/>
  <c r="BC211" i="6"/>
  <c r="BB211" i="6"/>
  <c r="BA211" i="6"/>
  <c r="AZ211" i="6"/>
  <c r="AY211" i="6"/>
  <c r="AX211" i="6"/>
  <c r="AW211" i="6"/>
  <c r="AV211" i="6"/>
  <c r="AU211" i="6"/>
  <c r="AT211" i="6"/>
  <c r="AS211" i="6"/>
  <c r="AR211" i="6"/>
  <c r="AQ211" i="6"/>
  <c r="AP211" i="6"/>
  <c r="AO211" i="6"/>
  <c r="AN211" i="6"/>
  <c r="AM211" i="6"/>
  <c r="AL211" i="6"/>
  <c r="AK211" i="6"/>
  <c r="AJ211" i="6"/>
  <c r="AI211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DE210" i="6"/>
  <c r="DD210" i="6"/>
  <c r="DC210" i="6"/>
  <c r="DB210" i="6"/>
  <c r="DA210" i="6"/>
  <c r="CZ210" i="6"/>
  <c r="CY210" i="6"/>
  <c r="CX210" i="6"/>
  <c r="CV210" i="6"/>
  <c r="CU210" i="6"/>
  <c r="CT210" i="6"/>
  <c r="CS210" i="6"/>
  <c r="CR210" i="6"/>
  <c r="CQ210" i="6"/>
  <c r="CP210" i="6"/>
  <c r="CO210" i="6"/>
  <c r="CN210" i="6"/>
  <c r="CM210" i="6"/>
  <c r="CL210" i="6"/>
  <c r="CK210" i="6"/>
  <c r="CJ210" i="6"/>
  <c r="CI210" i="6"/>
  <c r="CH210" i="6"/>
  <c r="CG210" i="6"/>
  <c r="CF210" i="6"/>
  <c r="CE210" i="6"/>
  <c r="CD210" i="6"/>
  <c r="CC210" i="6"/>
  <c r="CB210" i="6"/>
  <c r="CA210" i="6"/>
  <c r="BZ210" i="6"/>
  <c r="BY210" i="6"/>
  <c r="BX210" i="6"/>
  <c r="BW210" i="6"/>
  <c r="BV210" i="6"/>
  <c r="BU210" i="6"/>
  <c r="BT210" i="6"/>
  <c r="BS210" i="6"/>
  <c r="BR210" i="6"/>
  <c r="BQ210" i="6"/>
  <c r="BP210" i="6"/>
  <c r="BO210" i="6"/>
  <c r="BN210" i="6"/>
  <c r="BM210" i="6"/>
  <c r="BL210" i="6"/>
  <c r="BK210" i="6"/>
  <c r="BJ210" i="6"/>
  <c r="BI210" i="6"/>
  <c r="BH210" i="6"/>
  <c r="BG210" i="6"/>
  <c r="BF210" i="6"/>
  <c r="BE210" i="6"/>
  <c r="BD210" i="6"/>
  <c r="BC210" i="6"/>
  <c r="BB210" i="6"/>
  <c r="BA210" i="6"/>
  <c r="AZ210" i="6"/>
  <c r="AY210" i="6"/>
  <c r="AX210" i="6"/>
  <c r="AW210" i="6"/>
  <c r="AV210" i="6"/>
  <c r="AU210" i="6"/>
  <c r="AT210" i="6"/>
  <c r="AS210" i="6"/>
  <c r="AR210" i="6"/>
  <c r="AQ210" i="6"/>
  <c r="AP210" i="6"/>
  <c r="AO210" i="6"/>
  <c r="AN210" i="6"/>
  <c r="AM210" i="6"/>
  <c r="AL210" i="6"/>
  <c r="AK210" i="6"/>
  <c r="AJ210" i="6"/>
  <c r="AI210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DE209" i="6"/>
  <c r="DD209" i="6"/>
  <c r="DC209" i="6"/>
  <c r="DB209" i="6"/>
  <c r="DA209" i="6"/>
  <c r="CZ209" i="6"/>
  <c r="CY209" i="6"/>
  <c r="CX209" i="6"/>
  <c r="CV209" i="6"/>
  <c r="CU209" i="6"/>
  <c r="CT209" i="6"/>
  <c r="CS209" i="6"/>
  <c r="CR209" i="6"/>
  <c r="CQ209" i="6"/>
  <c r="CP209" i="6"/>
  <c r="CO209" i="6"/>
  <c r="CN209" i="6"/>
  <c r="CM209" i="6"/>
  <c r="CL209" i="6"/>
  <c r="CK209" i="6"/>
  <c r="CJ209" i="6"/>
  <c r="CI209" i="6"/>
  <c r="CH209" i="6"/>
  <c r="CG209" i="6"/>
  <c r="CF209" i="6"/>
  <c r="CE209" i="6"/>
  <c r="CD209" i="6"/>
  <c r="CC209" i="6"/>
  <c r="CB209" i="6"/>
  <c r="CA209" i="6"/>
  <c r="BZ209" i="6"/>
  <c r="BY209" i="6"/>
  <c r="BX209" i="6"/>
  <c r="BW209" i="6"/>
  <c r="BV209" i="6"/>
  <c r="BU209" i="6"/>
  <c r="BT209" i="6"/>
  <c r="BS209" i="6"/>
  <c r="BR209" i="6"/>
  <c r="BQ209" i="6"/>
  <c r="BP209" i="6"/>
  <c r="BO209" i="6"/>
  <c r="BN209" i="6"/>
  <c r="BM209" i="6"/>
  <c r="BL209" i="6"/>
  <c r="BK209" i="6"/>
  <c r="BJ209" i="6"/>
  <c r="BI209" i="6"/>
  <c r="BH209" i="6"/>
  <c r="BG209" i="6"/>
  <c r="BF209" i="6"/>
  <c r="BE209" i="6"/>
  <c r="BD209" i="6"/>
  <c r="BC209" i="6"/>
  <c r="BB209" i="6"/>
  <c r="BA209" i="6"/>
  <c r="AZ209" i="6"/>
  <c r="AY209" i="6"/>
  <c r="AX209" i="6"/>
  <c r="AW209" i="6"/>
  <c r="AV209" i="6"/>
  <c r="AU209" i="6"/>
  <c r="AT209" i="6"/>
  <c r="AS209" i="6"/>
  <c r="AR209" i="6"/>
  <c r="AQ209" i="6"/>
  <c r="AP209" i="6"/>
  <c r="AO209" i="6"/>
  <c r="AN209" i="6"/>
  <c r="AM209" i="6"/>
  <c r="AL209" i="6"/>
  <c r="AK209" i="6"/>
  <c r="AJ209" i="6"/>
  <c r="AI209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DE208" i="6"/>
  <c r="DD208" i="6"/>
  <c r="DC208" i="6"/>
  <c r="DB208" i="6"/>
  <c r="DA208" i="6"/>
  <c r="CZ208" i="6"/>
  <c r="CY208" i="6"/>
  <c r="CX208" i="6"/>
  <c r="CV208" i="6"/>
  <c r="CU208" i="6"/>
  <c r="CT208" i="6"/>
  <c r="CS208" i="6"/>
  <c r="CR208" i="6"/>
  <c r="CQ208" i="6"/>
  <c r="CP208" i="6"/>
  <c r="CO208" i="6"/>
  <c r="CN208" i="6"/>
  <c r="CM208" i="6"/>
  <c r="CL208" i="6"/>
  <c r="CK208" i="6"/>
  <c r="CJ208" i="6"/>
  <c r="CI208" i="6"/>
  <c r="CH208" i="6"/>
  <c r="CG208" i="6"/>
  <c r="CF208" i="6"/>
  <c r="CE208" i="6"/>
  <c r="CD208" i="6"/>
  <c r="CC208" i="6"/>
  <c r="CB208" i="6"/>
  <c r="CA208" i="6"/>
  <c r="BZ208" i="6"/>
  <c r="BY208" i="6"/>
  <c r="BX208" i="6"/>
  <c r="BW208" i="6"/>
  <c r="BV208" i="6"/>
  <c r="BU208" i="6"/>
  <c r="BT208" i="6"/>
  <c r="BS208" i="6"/>
  <c r="BR208" i="6"/>
  <c r="BQ208" i="6"/>
  <c r="BP208" i="6"/>
  <c r="BO208" i="6"/>
  <c r="BN208" i="6"/>
  <c r="BM208" i="6"/>
  <c r="BL208" i="6"/>
  <c r="BK208" i="6"/>
  <c r="BJ208" i="6"/>
  <c r="BI208" i="6"/>
  <c r="BH208" i="6"/>
  <c r="BG208" i="6"/>
  <c r="BF208" i="6"/>
  <c r="BE208" i="6"/>
  <c r="BD208" i="6"/>
  <c r="BC208" i="6"/>
  <c r="BB208" i="6"/>
  <c r="BA208" i="6"/>
  <c r="AZ208" i="6"/>
  <c r="AY208" i="6"/>
  <c r="AX208" i="6"/>
  <c r="AW208" i="6"/>
  <c r="AV208" i="6"/>
  <c r="AU208" i="6"/>
  <c r="AT208" i="6"/>
  <c r="AS208" i="6"/>
  <c r="AR208" i="6"/>
  <c r="AQ208" i="6"/>
  <c r="AP208" i="6"/>
  <c r="AO208" i="6"/>
  <c r="AN208" i="6"/>
  <c r="AM208" i="6"/>
  <c r="AL208" i="6"/>
  <c r="AK208" i="6"/>
  <c r="AJ208" i="6"/>
  <c r="AI208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DE207" i="6"/>
  <c r="DD207" i="6"/>
  <c r="DC207" i="6"/>
  <c r="DB207" i="6"/>
  <c r="DA207" i="6"/>
  <c r="CZ207" i="6"/>
  <c r="CY207" i="6"/>
  <c r="CX207" i="6"/>
  <c r="CV207" i="6"/>
  <c r="CU207" i="6"/>
  <c r="CT207" i="6"/>
  <c r="CS207" i="6"/>
  <c r="CR207" i="6"/>
  <c r="CQ207" i="6"/>
  <c r="CP207" i="6"/>
  <c r="CO207" i="6"/>
  <c r="CN207" i="6"/>
  <c r="CM207" i="6"/>
  <c r="CL207" i="6"/>
  <c r="CK207" i="6"/>
  <c r="CJ207" i="6"/>
  <c r="CI207" i="6"/>
  <c r="CH207" i="6"/>
  <c r="CG207" i="6"/>
  <c r="CF207" i="6"/>
  <c r="CE207" i="6"/>
  <c r="CD207" i="6"/>
  <c r="CC207" i="6"/>
  <c r="CB207" i="6"/>
  <c r="CA207" i="6"/>
  <c r="BZ207" i="6"/>
  <c r="BY207" i="6"/>
  <c r="BX207" i="6"/>
  <c r="BW207" i="6"/>
  <c r="BV207" i="6"/>
  <c r="BU207" i="6"/>
  <c r="BT207" i="6"/>
  <c r="BS207" i="6"/>
  <c r="BR207" i="6"/>
  <c r="BQ207" i="6"/>
  <c r="BP207" i="6"/>
  <c r="BO207" i="6"/>
  <c r="BN207" i="6"/>
  <c r="BM207" i="6"/>
  <c r="BL207" i="6"/>
  <c r="BK207" i="6"/>
  <c r="BJ207" i="6"/>
  <c r="BI207" i="6"/>
  <c r="BH207" i="6"/>
  <c r="BG207" i="6"/>
  <c r="BF207" i="6"/>
  <c r="BE207" i="6"/>
  <c r="BD207" i="6"/>
  <c r="BC207" i="6"/>
  <c r="BB207" i="6"/>
  <c r="BA207" i="6"/>
  <c r="AZ207" i="6"/>
  <c r="AY207" i="6"/>
  <c r="AX207" i="6"/>
  <c r="AW207" i="6"/>
  <c r="AV207" i="6"/>
  <c r="AU207" i="6"/>
  <c r="AT207" i="6"/>
  <c r="AS207" i="6"/>
  <c r="AR207" i="6"/>
  <c r="AQ207" i="6"/>
  <c r="AP207" i="6"/>
  <c r="AO207" i="6"/>
  <c r="AN207" i="6"/>
  <c r="AM207" i="6"/>
  <c r="AL207" i="6"/>
  <c r="AK207" i="6"/>
  <c r="AJ207" i="6"/>
  <c r="AI207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DE206" i="6"/>
  <c r="DD206" i="6"/>
  <c r="DC206" i="6"/>
  <c r="DB206" i="6"/>
  <c r="DA206" i="6"/>
  <c r="CZ206" i="6"/>
  <c r="CY206" i="6"/>
  <c r="CX206" i="6"/>
  <c r="CV206" i="6"/>
  <c r="CU206" i="6"/>
  <c r="CT206" i="6"/>
  <c r="CS206" i="6"/>
  <c r="CR206" i="6"/>
  <c r="CQ206" i="6"/>
  <c r="CP206" i="6"/>
  <c r="CO206" i="6"/>
  <c r="CN206" i="6"/>
  <c r="CM206" i="6"/>
  <c r="CL206" i="6"/>
  <c r="CK206" i="6"/>
  <c r="CJ206" i="6"/>
  <c r="CI206" i="6"/>
  <c r="CH206" i="6"/>
  <c r="CG206" i="6"/>
  <c r="CF206" i="6"/>
  <c r="CE206" i="6"/>
  <c r="CD206" i="6"/>
  <c r="CC206" i="6"/>
  <c r="CB206" i="6"/>
  <c r="CA206" i="6"/>
  <c r="BZ206" i="6"/>
  <c r="BY206" i="6"/>
  <c r="BX206" i="6"/>
  <c r="BW206" i="6"/>
  <c r="BV206" i="6"/>
  <c r="BU206" i="6"/>
  <c r="BT206" i="6"/>
  <c r="BS206" i="6"/>
  <c r="BR206" i="6"/>
  <c r="BQ206" i="6"/>
  <c r="BP206" i="6"/>
  <c r="BO206" i="6"/>
  <c r="BN206" i="6"/>
  <c r="BM206" i="6"/>
  <c r="BL206" i="6"/>
  <c r="BK206" i="6"/>
  <c r="BJ206" i="6"/>
  <c r="BI206" i="6"/>
  <c r="BH206" i="6"/>
  <c r="BG206" i="6"/>
  <c r="BF206" i="6"/>
  <c r="BE206" i="6"/>
  <c r="BD206" i="6"/>
  <c r="BC206" i="6"/>
  <c r="BB206" i="6"/>
  <c r="BA206" i="6"/>
  <c r="AZ206" i="6"/>
  <c r="AY206" i="6"/>
  <c r="AX206" i="6"/>
  <c r="AW206" i="6"/>
  <c r="AV206" i="6"/>
  <c r="AU206" i="6"/>
  <c r="AT206" i="6"/>
  <c r="AS206" i="6"/>
  <c r="AR206" i="6"/>
  <c r="AQ206" i="6"/>
  <c r="AP206" i="6"/>
  <c r="AO206" i="6"/>
  <c r="AN206" i="6"/>
  <c r="AM206" i="6"/>
  <c r="AL206" i="6"/>
  <c r="AK206" i="6"/>
  <c r="AJ206" i="6"/>
  <c r="AI206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206" i="6"/>
  <c r="DE205" i="6"/>
  <c r="DD205" i="6"/>
  <c r="DC205" i="6"/>
  <c r="DB205" i="6"/>
  <c r="DA205" i="6"/>
  <c r="CZ205" i="6"/>
  <c r="CY205" i="6"/>
  <c r="CX205" i="6"/>
  <c r="CV205" i="6"/>
  <c r="CU205" i="6"/>
  <c r="CT205" i="6"/>
  <c r="CS205" i="6"/>
  <c r="CR205" i="6"/>
  <c r="CQ205" i="6"/>
  <c r="CP205" i="6"/>
  <c r="CO205" i="6"/>
  <c r="CN205" i="6"/>
  <c r="CM205" i="6"/>
  <c r="CL205" i="6"/>
  <c r="CK205" i="6"/>
  <c r="CJ205" i="6"/>
  <c r="CI205" i="6"/>
  <c r="CH205" i="6"/>
  <c r="CG205" i="6"/>
  <c r="CF205" i="6"/>
  <c r="CE205" i="6"/>
  <c r="CD205" i="6"/>
  <c r="CC205" i="6"/>
  <c r="CB205" i="6"/>
  <c r="CA205" i="6"/>
  <c r="BZ205" i="6"/>
  <c r="BY205" i="6"/>
  <c r="BX205" i="6"/>
  <c r="BW205" i="6"/>
  <c r="BV205" i="6"/>
  <c r="BU205" i="6"/>
  <c r="BT205" i="6"/>
  <c r="BS205" i="6"/>
  <c r="BR205" i="6"/>
  <c r="BQ205" i="6"/>
  <c r="BP205" i="6"/>
  <c r="BO205" i="6"/>
  <c r="BN205" i="6"/>
  <c r="BM205" i="6"/>
  <c r="BL205" i="6"/>
  <c r="BK205" i="6"/>
  <c r="BJ205" i="6"/>
  <c r="BI205" i="6"/>
  <c r="BH205" i="6"/>
  <c r="BG205" i="6"/>
  <c r="BF205" i="6"/>
  <c r="BE205" i="6"/>
  <c r="BD205" i="6"/>
  <c r="BC205" i="6"/>
  <c r="BB205" i="6"/>
  <c r="BA205" i="6"/>
  <c r="AZ205" i="6"/>
  <c r="AY205" i="6"/>
  <c r="AX205" i="6"/>
  <c r="AW205" i="6"/>
  <c r="AV205" i="6"/>
  <c r="AU205" i="6"/>
  <c r="AT205" i="6"/>
  <c r="AS205" i="6"/>
  <c r="AR205" i="6"/>
  <c r="AQ205" i="6"/>
  <c r="AP205" i="6"/>
  <c r="AO205" i="6"/>
  <c r="AN205" i="6"/>
  <c r="AM205" i="6"/>
  <c r="AL205" i="6"/>
  <c r="AK205" i="6"/>
  <c r="AJ205" i="6"/>
  <c r="AI205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DE204" i="6"/>
  <c r="DD204" i="6"/>
  <c r="DC204" i="6"/>
  <c r="DB204" i="6"/>
  <c r="DA204" i="6"/>
  <c r="CZ204" i="6"/>
  <c r="CY204" i="6"/>
  <c r="CX204" i="6"/>
  <c r="CV204" i="6"/>
  <c r="CU204" i="6"/>
  <c r="CT204" i="6"/>
  <c r="CS204" i="6"/>
  <c r="CR204" i="6"/>
  <c r="CQ204" i="6"/>
  <c r="CP204" i="6"/>
  <c r="CO204" i="6"/>
  <c r="CN204" i="6"/>
  <c r="CM204" i="6"/>
  <c r="CL204" i="6"/>
  <c r="CK204" i="6"/>
  <c r="CJ204" i="6"/>
  <c r="CI204" i="6"/>
  <c r="CH204" i="6"/>
  <c r="CG204" i="6"/>
  <c r="CF204" i="6"/>
  <c r="CE204" i="6"/>
  <c r="CD204" i="6"/>
  <c r="CC204" i="6"/>
  <c r="CB204" i="6"/>
  <c r="CA204" i="6"/>
  <c r="BZ204" i="6"/>
  <c r="BY204" i="6"/>
  <c r="BX204" i="6"/>
  <c r="BW204" i="6"/>
  <c r="BV204" i="6"/>
  <c r="BU204" i="6"/>
  <c r="BT204" i="6"/>
  <c r="BS204" i="6"/>
  <c r="BR204" i="6"/>
  <c r="BQ204" i="6"/>
  <c r="BP204" i="6"/>
  <c r="BO204" i="6"/>
  <c r="BN204" i="6"/>
  <c r="BM204" i="6"/>
  <c r="BL204" i="6"/>
  <c r="BK204" i="6"/>
  <c r="BJ204" i="6"/>
  <c r="BI204" i="6"/>
  <c r="BH204" i="6"/>
  <c r="BG204" i="6"/>
  <c r="BF204" i="6"/>
  <c r="BE204" i="6"/>
  <c r="BD204" i="6"/>
  <c r="BC204" i="6"/>
  <c r="BB204" i="6"/>
  <c r="BA204" i="6"/>
  <c r="AZ204" i="6"/>
  <c r="AY204" i="6"/>
  <c r="AX204" i="6"/>
  <c r="AW204" i="6"/>
  <c r="AV204" i="6"/>
  <c r="AU204" i="6"/>
  <c r="AT204" i="6"/>
  <c r="AS204" i="6"/>
  <c r="AR204" i="6"/>
  <c r="AQ204" i="6"/>
  <c r="AP204" i="6"/>
  <c r="AO204" i="6"/>
  <c r="AN204" i="6"/>
  <c r="AM204" i="6"/>
  <c r="AL204" i="6"/>
  <c r="AK204" i="6"/>
  <c r="AJ204" i="6"/>
  <c r="AI204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DE202" i="6"/>
  <c r="DD202" i="6"/>
  <c r="DC202" i="6"/>
  <c r="DB202" i="6"/>
  <c r="DA202" i="6"/>
  <c r="CZ202" i="6"/>
  <c r="CY202" i="6"/>
  <c r="CX202" i="6"/>
  <c r="CV202" i="6"/>
  <c r="CU202" i="6"/>
  <c r="CT202" i="6"/>
  <c r="CS202" i="6"/>
  <c r="CR202" i="6"/>
  <c r="CQ202" i="6"/>
  <c r="CP202" i="6"/>
  <c r="CO202" i="6"/>
  <c r="CN202" i="6"/>
  <c r="CM202" i="6"/>
  <c r="CL202" i="6"/>
  <c r="CK202" i="6"/>
  <c r="CJ202" i="6"/>
  <c r="CI202" i="6"/>
  <c r="CH202" i="6"/>
  <c r="CG202" i="6"/>
  <c r="CF202" i="6"/>
  <c r="CE202" i="6"/>
  <c r="CD202" i="6"/>
  <c r="CC202" i="6"/>
  <c r="CB202" i="6"/>
  <c r="CA202" i="6"/>
  <c r="BZ202" i="6"/>
  <c r="BY202" i="6"/>
  <c r="BX202" i="6"/>
  <c r="BW202" i="6"/>
  <c r="BV202" i="6"/>
  <c r="BU202" i="6"/>
  <c r="BT202" i="6"/>
  <c r="BS202" i="6"/>
  <c r="BR202" i="6"/>
  <c r="BQ202" i="6"/>
  <c r="BP202" i="6"/>
  <c r="BO202" i="6"/>
  <c r="BN202" i="6"/>
  <c r="BM202" i="6"/>
  <c r="BL202" i="6"/>
  <c r="BK202" i="6"/>
  <c r="BJ202" i="6"/>
  <c r="BI202" i="6"/>
  <c r="BH202" i="6"/>
  <c r="BG202" i="6"/>
  <c r="BF202" i="6"/>
  <c r="BE202" i="6"/>
  <c r="BD202" i="6"/>
  <c r="BC202" i="6"/>
  <c r="BB202" i="6"/>
  <c r="BA202" i="6"/>
  <c r="AZ202" i="6"/>
  <c r="AY202" i="6"/>
  <c r="AX202" i="6"/>
  <c r="AW202" i="6"/>
  <c r="AV202" i="6"/>
  <c r="AU202" i="6"/>
  <c r="AT202" i="6"/>
  <c r="AS202" i="6"/>
  <c r="AR202" i="6"/>
  <c r="AQ202" i="6"/>
  <c r="AP202" i="6"/>
  <c r="AO202" i="6"/>
  <c r="AN202" i="6"/>
  <c r="AM202" i="6"/>
  <c r="AL202" i="6"/>
  <c r="AK202" i="6"/>
  <c r="AJ202" i="6"/>
  <c r="AI202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DE201" i="6"/>
  <c r="DD201" i="6"/>
  <c r="DC201" i="6"/>
  <c r="DB201" i="6"/>
  <c r="DA201" i="6"/>
  <c r="CZ201" i="6"/>
  <c r="CY201" i="6"/>
  <c r="CX201" i="6"/>
  <c r="CV201" i="6"/>
  <c r="CU201" i="6"/>
  <c r="CT201" i="6"/>
  <c r="CS201" i="6"/>
  <c r="CR201" i="6"/>
  <c r="CQ201" i="6"/>
  <c r="CP201" i="6"/>
  <c r="CO201" i="6"/>
  <c r="CN201" i="6"/>
  <c r="CM201" i="6"/>
  <c r="CL201" i="6"/>
  <c r="CK201" i="6"/>
  <c r="CJ201" i="6"/>
  <c r="CI201" i="6"/>
  <c r="CH201" i="6"/>
  <c r="CG201" i="6"/>
  <c r="CF201" i="6"/>
  <c r="CE201" i="6"/>
  <c r="CD201" i="6"/>
  <c r="CC201" i="6"/>
  <c r="CB201" i="6"/>
  <c r="CA201" i="6"/>
  <c r="BZ201" i="6"/>
  <c r="BY201" i="6"/>
  <c r="BX201" i="6"/>
  <c r="BW201" i="6"/>
  <c r="BV201" i="6"/>
  <c r="BU201" i="6"/>
  <c r="BT201" i="6"/>
  <c r="BS201" i="6"/>
  <c r="BR201" i="6"/>
  <c r="BQ201" i="6"/>
  <c r="BP201" i="6"/>
  <c r="BO201" i="6"/>
  <c r="BN201" i="6"/>
  <c r="BM201" i="6"/>
  <c r="BL201" i="6"/>
  <c r="BK201" i="6"/>
  <c r="BJ201" i="6"/>
  <c r="BI201" i="6"/>
  <c r="BH201" i="6"/>
  <c r="BG201" i="6"/>
  <c r="BF201" i="6"/>
  <c r="BE201" i="6"/>
  <c r="BD201" i="6"/>
  <c r="BC201" i="6"/>
  <c r="BB201" i="6"/>
  <c r="BA201" i="6"/>
  <c r="AZ201" i="6"/>
  <c r="AY201" i="6"/>
  <c r="AX201" i="6"/>
  <c r="AW201" i="6"/>
  <c r="AV201" i="6"/>
  <c r="AU201" i="6"/>
  <c r="AT201" i="6"/>
  <c r="AS201" i="6"/>
  <c r="AR201" i="6"/>
  <c r="AQ201" i="6"/>
  <c r="AP201" i="6"/>
  <c r="AO201" i="6"/>
  <c r="AN201" i="6"/>
  <c r="AM201" i="6"/>
  <c r="AL201" i="6"/>
  <c r="AK201" i="6"/>
  <c r="AJ201" i="6"/>
  <c r="AI201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DE200" i="6"/>
  <c r="DD200" i="6"/>
  <c r="DC200" i="6"/>
  <c r="DB200" i="6"/>
  <c r="DA200" i="6"/>
  <c r="CZ200" i="6"/>
  <c r="CY200" i="6"/>
  <c r="CX200" i="6"/>
  <c r="CV200" i="6"/>
  <c r="CU200" i="6"/>
  <c r="CT200" i="6"/>
  <c r="CS200" i="6"/>
  <c r="CR200" i="6"/>
  <c r="CQ200" i="6"/>
  <c r="CP200" i="6"/>
  <c r="CO200" i="6"/>
  <c r="CN200" i="6"/>
  <c r="CM200" i="6"/>
  <c r="CL200" i="6"/>
  <c r="CK200" i="6"/>
  <c r="CJ200" i="6"/>
  <c r="CI200" i="6"/>
  <c r="CH200" i="6"/>
  <c r="CG200" i="6"/>
  <c r="CF200" i="6"/>
  <c r="CE200" i="6"/>
  <c r="CD200" i="6"/>
  <c r="CC200" i="6"/>
  <c r="CB200" i="6"/>
  <c r="CA200" i="6"/>
  <c r="BZ200" i="6"/>
  <c r="BY200" i="6"/>
  <c r="BX200" i="6"/>
  <c r="BW200" i="6"/>
  <c r="BV200" i="6"/>
  <c r="BU200" i="6"/>
  <c r="BT200" i="6"/>
  <c r="BS200" i="6"/>
  <c r="BR200" i="6"/>
  <c r="BQ200" i="6"/>
  <c r="BP200" i="6"/>
  <c r="BO200" i="6"/>
  <c r="BN200" i="6"/>
  <c r="BM200" i="6"/>
  <c r="BL200" i="6"/>
  <c r="BK200" i="6"/>
  <c r="BJ200" i="6"/>
  <c r="BI200" i="6"/>
  <c r="BH200" i="6"/>
  <c r="BG200" i="6"/>
  <c r="BF200" i="6"/>
  <c r="BE200" i="6"/>
  <c r="BD200" i="6"/>
  <c r="BC200" i="6"/>
  <c r="BB200" i="6"/>
  <c r="BA200" i="6"/>
  <c r="AZ200" i="6"/>
  <c r="AY200" i="6"/>
  <c r="AX200" i="6"/>
  <c r="AW200" i="6"/>
  <c r="AV200" i="6"/>
  <c r="AU200" i="6"/>
  <c r="AT200" i="6"/>
  <c r="AS200" i="6"/>
  <c r="AR200" i="6"/>
  <c r="AQ200" i="6"/>
  <c r="AP200" i="6"/>
  <c r="AO200" i="6"/>
  <c r="AN200" i="6"/>
  <c r="AM200" i="6"/>
  <c r="AL200" i="6"/>
  <c r="AK200" i="6"/>
  <c r="AJ200" i="6"/>
  <c r="AI200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DE199" i="6"/>
  <c r="DD199" i="6"/>
  <c r="DC199" i="6"/>
  <c r="DB199" i="6"/>
  <c r="DA199" i="6"/>
  <c r="CZ199" i="6"/>
  <c r="CY199" i="6"/>
  <c r="CX199" i="6"/>
  <c r="CV199" i="6"/>
  <c r="CU199" i="6"/>
  <c r="CT199" i="6"/>
  <c r="CS199" i="6"/>
  <c r="CR199" i="6"/>
  <c r="CQ199" i="6"/>
  <c r="CP199" i="6"/>
  <c r="CO199" i="6"/>
  <c r="CN199" i="6"/>
  <c r="CM199" i="6"/>
  <c r="CL199" i="6"/>
  <c r="CK199" i="6"/>
  <c r="CJ199" i="6"/>
  <c r="CI199" i="6"/>
  <c r="CH199" i="6"/>
  <c r="CG199" i="6"/>
  <c r="CF199" i="6"/>
  <c r="CE199" i="6"/>
  <c r="CD199" i="6"/>
  <c r="CC199" i="6"/>
  <c r="CB199" i="6"/>
  <c r="CA199" i="6"/>
  <c r="BZ199" i="6"/>
  <c r="BY199" i="6"/>
  <c r="BX199" i="6"/>
  <c r="BW199" i="6"/>
  <c r="BV199" i="6"/>
  <c r="BU199" i="6"/>
  <c r="BT199" i="6"/>
  <c r="BS199" i="6"/>
  <c r="BR199" i="6"/>
  <c r="BQ199" i="6"/>
  <c r="BP199" i="6"/>
  <c r="BO199" i="6"/>
  <c r="BN199" i="6"/>
  <c r="BM199" i="6"/>
  <c r="BL199" i="6"/>
  <c r="BK199" i="6"/>
  <c r="BJ199" i="6"/>
  <c r="BI199" i="6"/>
  <c r="BH199" i="6"/>
  <c r="BG199" i="6"/>
  <c r="BF199" i="6"/>
  <c r="BE199" i="6"/>
  <c r="BD199" i="6"/>
  <c r="BC199" i="6"/>
  <c r="BB199" i="6"/>
  <c r="BA199" i="6"/>
  <c r="AZ199" i="6"/>
  <c r="AY199" i="6"/>
  <c r="AX199" i="6"/>
  <c r="AW199" i="6"/>
  <c r="AV199" i="6"/>
  <c r="AU199" i="6"/>
  <c r="AT199" i="6"/>
  <c r="AS199" i="6"/>
  <c r="AR199" i="6"/>
  <c r="AQ199" i="6"/>
  <c r="AP199" i="6"/>
  <c r="AO199" i="6"/>
  <c r="AN199" i="6"/>
  <c r="AM199" i="6"/>
  <c r="AL199" i="6"/>
  <c r="AK199" i="6"/>
  <c r="AJ199" i="6"/>
  <c r="AI199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DE198" i="6"/>
  <c r="DD198" i="6"/>
  <c r="DC198" i="6"/>
  <c r="DB198" i="6"/>
  <c r="DA198" i="6"/>
  <c r="CZ198" i="6"/>
  <c r="CY198" i="6"/>
  <c r="CX198" i="6"/>
  <c r="CV198" i="6"/>
  <c r="CU198" i="6"/>
  <c r="CT198" i="6"/>
  <c r="CS198" i="6"/>
  <c r="CR198" i="6"/>
  <c r="CQ198" i="6"/>
  <c r="CP198" i="6"/>
  <c r="CO198" i="6"/>
  <c r="CN198" i="6"/>
  <c r="CM198" i="6"/>
  <c r="CL198" i="6"/>
  <c r="CK198" i="6"/>
  <c r="CJ198" i="6"/>
  <c r="CI198" i="6"/>
  <c r="CH198" i="6"/>
  <c r="CG198" i="6"/>
  <c r="CF198" i="6"/>
  <c r="CE198" i="6"/>
  <c r="CD198" i="6"/>
  <c r="CC198" i="6"/>
  <c r="CB198" i="6"/>
  <c r="CA198" i="6"/>
  <c r="BZ198" i="6"/>
  <c r="BY198" i="6"/>
  <c r="BX198" i="6"/>
  <c r="BW198" i="6"/>
  <c r="BV198" i="6"/>
  <c r="BU198" i="6"/>
  <c r="BT198" i="6"/>
  <c r="BS198" i="6"/>
  <c r="BR198" i="6"/>
  <c r="BQ198" i="6"/>
  <c r="BP198" i="6"/>
  <c r="BO198" i="6"/>
  <c r="BN198" i="6"/>
  <c r="BM198" i="6"/>
  <c r="BL198" i="6"/>
  <c r="BK198" i="6"/>
  <c r="BJ198" i="6"/>
  <c r="BI198" i="6"/>
  <c r="BH198" i="6"/>
  <c r="BG198" i="6"/>
  <c r="BF198" i="6"/>
  <c r="BE198" i="6"/>
  <c r="BD198" i="6"/>
  <c r="BC198" i="6"/>
  <c r="BB198" i="6"/>
  <c r="BA198" i="6"/>
  <c r="AZ198" i="6"/>
  <c r="AY198" i="6"/>
  <c r="AX198" i="6"/>
  <c r="AW198" i="6"/>
  <c r="AV198" i="6"/>
  <c r="AU198" i="6"/>
  <c r="AT198" i="6"/>
  <c r="AS198" i="6"/>
  <c r="AR198" i="6"/>
  <c r="AQ198" i="6"/>
  <c r="AP198" i="6"/>
  <c r="AO198" i="6"/>
  <c r="AN198" i="6"/>
  <c r="AM198" i="6"/>
  <c r="AL198" i="6"/>
  <c r="AK198" i="6"/>
  <c r="AJ198" i="6"/>
  <c r="AI198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DE197" i="6"/>
  <c r="DD197" i="6"/>
  <c r="DC197" i="6"/>
  <c r="DB197" i="6"/>
  <c r="DA197" i="6"/>
  <c r="CZ197" i="6"/>
  <c r="CY197" i="6"/>
  <c r="CX197" i="6"/>
  <c r="CV197" i="6"/>
  <c r="CU197" i="6"/>
  <c r="CT197" i="6"/>
  <c r="CS197" i="6"/>
  <c r="CR197" i="6"/>
  <c r="CQ197" i="6"/>
  <c r="CP197" i="6"/>
  <c r="CO197" i="6"/>
  <c r="CN197" i="6"/>
  <c r="CM197" i="6"/>
  <c r="CL197" i="6"/>
  <c r="CK197" i="6"/>
  <c r="CJ197" i="6"/>
  <c r="CI197" i="6"/>
  <c r="CH197" i="6"/>
  <c r="CG197" i="6"/>
  <c r="CF197" i="6"/>
  <c r="CE197" i="6"/>
  <c r="CD197" i="6"/>
  <c r="CC197" i="6"/>
  <c r="CB197" i="6"/>
  <c r="CA197" i="6"/>
  <c r="BZ197" i="6"/>
  <c r="BY197" i="6"/>
  <c r="BX197" i="6"/>
  <c r="BW197" i="6"/>
  <c r="BV197" i="6"/>
  <c r="BU197" i="6"/>
  <c r="BT197" i="6"/>
  <c r="BS197" i="6"/>
  <c r="BR197" i="6"/>
  <c r="BQ197" i="6"/>
  <c r="BP197" i="6"/>
  <c r="BO197" i="6"/>
  <c r="BN197" i="6"/>
  <c r="BM197" i="6"/>
  <c r="BL197" i="6"/>
  <c r="BK197" i="6"/>
  <c r="BJ197" i="6"/>
  <c r="BI197" i="6"/>
  <c r="BH197" i="6"/>
  <c r="BG197" i="6"/>
  <c r="BF197" i="6"/>
  <c r="BE197" i="6"/>
  <c r="BD197" i="6"/>
  <c r="BC197" i="6"/>
  <c r="BB197" i="6"/>
  <c r="BA197" i="6"/>
  <c r="AZ197" i="6"/>
  <c r="AY197" i="6"/>
  <c r="AX197" i="6"/>
  <c r="AW197" i="6"/>
  <c r="AV197" i="6"/>
  <c r="AU197" i="6"/>
  <c r="AT197" i="6"/>
  <c r="AS197" i="6"/>
  <c r="AR197" i="6"/>
  <c r="AQ197" i="6"/>
  <c r="AP197" i="6"/>
  <c r="AO197" i="6"/>
  <c r="AN197" i="6"/>
  <c r="AM197" i="6"/>
  <c r="AL197" i="6"/>
  <c r="AK197" i="6"/>
  <c r="AJ197" i="6"/>
  <c r="AI197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DE196" i="6"/>
  <c r="DD196" i="6"/>
  <c r="DC196" i="6"/>
  <c r="DB196" i="6"/>
  <c r="DA196" i="6"/>
  <c r="CZ196" i="6"/>
  <c r="CY196" i="6"/>
  <c r="CX196" i="6"/>
  <c r="CV196" i="6"/>
  <c r="CU196" i="6"/>
  <c r="CT196" i="6"/>
  <c r="CS196" i="6"/>
  <c r="CR196" i="6"/>
  <c r="CQ196" i="6"/>
  <c r="CP196" i="6"/>
  <c r="CO196" i="6"/>
  <c r="CN196" i="6"/>
  <c r="CM196" i="6"/>
  <c r="CL196" i="6"/>
  <c r="CK196" i="6"/>
  <c r="CJ196" i="6"/>
  <c r="CI196" i="6"/>
  <c r="CH196" i="6"/>
  <c r="CG196" i="6"/>
  <c r="CF196" i="6"/>
  <c r="CE196" i="6"/>
  <c r="CD196" i="6"/>
  <c r="CC196" i="6"/>
  <c r="CB196" i="6"/>
  <c r="CA196" i="6"/>
  <c r="BZ196" i="6"/>
  <c r="BY196" i="6"/>
  <c r="BX196" i="6"/>
  <c r="BW196" i="6"/>
  <c r="BV196" i="6"/>
  <c r="BU196" i="6"/>
  <c r="BT196" i="6"/>
  <c r="BS196" i="6"/>
  <c r="BR196" i="6"/>
  <c r="BQ196" i="6"/>
  <c r="BP196" i="6"/>
  <c r="BO196" i="6"/>
  <c r="BN196" i="6"/>
  <c r="BM196" i="6"/>
  <c r="BL196" i="6"/>
  <c r="BK196" i="6"/>
  <c r="BJ196" i="6"/>
  <c r="BI196" i="6"/>
  <c r="BH196" i="6"/>
  <c r="BG196" i="6"/>
  <c r="BF196" i="6"/>
  <c r="BE196" i="6"/>
  <c r="BD196" i="6"/>
  <c r="BC196" i="6"/>
  <c r="BB196" i="6"/>
  <c r="BA196" i="6"/>
  <c r="AZ196" i="6"/>
  <c r="AY196" i="6"/>
  <c r="AX196" i="6"/>
  <c r="AW196" i="6"/>
  <c r="AV196" i="6"/>
  <c r="AU196" i="6"/>
  <c r="AT196" i="6"/>
  <c r="AS196" i="6"/>
  <c r="AR196" i="6"/>
  <c r="AQ196" i="6"/>
  <c r="AP196" i="6"/>
  <c r="AO196" i="6"/>
  <c r="AN196" i="6"/>
  <c r="AM196" i="6"/>
  <c r="AL196" i="6"/>
  <c r="AK196" i="6"/>
  <c r="AJ196" i="6"/>
  <c r="AI196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DE195" i="6"/>
  <c r="DD195" i="6"/>
  <c r="DC195" i="6"/>
  <c r="DB195" i="6"/>
  <c r="DA195" i="6"/>
  <c r="CZ195" i="6"/>
  <c r="CY195" i="6"/>
  <c r="CX195" i="6"/>
  <c r="CV195" i="6"/>
  <c r="CU195" i="6"/>
  <c r="CT195" i="6"/>
  <c r="CS195" i="6"/>
  <c r="CR195" i="6"/>
  <c r="CQ195" i="6"/>
  <c r="CP195" i="6"/>
  <c r="CO195" i="6"/>
  <c r="CN195" i="6"/>
  <c r="CM195" i="6"/>
  <c r="CL195" i="6"/>
  <c r="CK195" i="6"/>
  <c r="CJ195" i="6"/>
  <c r="CI195" i="6"/>
  <c r="CH195" i="6"/>
  <c r="CG195" i="6"/>
  <c r="CF195" i="6"/>
  <c r="CE195" i="6"/>
  <c r="CD195" i="6"/>
  <c r="CC195" i="6"/>
  <c r="CB195" i="6"/>
  <c r="CA195" i="6"/>
  <c r="BZ195" i="6"/>
  <c r="BY195" i="6"/>
  <c r="BX195" i="6"/>
  <c r="BW195" i="6"/>
  <c r="BV195" i="6"/>
  <c r="BU195" i="6"/>
  <c r="BT195" i="6"/>
  <c r="BS195" i="6"/>
  <c r="BR195" i="6"/>
  <c r="BQ195" i="6"/>
  <c r="BP195" i="6"/>
  <c r="BO195" i="6"/>
  <c r="BN195" i="6"/>
  <c r="BM195" i="6"/>
  <c r="BL195" i="6"/>
  <c r="BK195" i="6"/>
  <c r="BJ195" i="6"/>
  <c r="BI195" i="6"/>
  <c r="BH195" i="6"/>
  <c r="BG195" i="6"/>
  <c r="BF195" i="6"/>
  <c r="BE195" i="6"/>
  <c r="BD195" i="6"/>
  <c r="BC195" i="6"/>
  <c r="BB195" i="6"/>
  <c r="BA195" i="6"/>
  <c r="AZ195" i="6"/>
  <c r="AY195" i="6"/>
  <c r="AX195" i="6"/>
  <c r="AW195" i="6"/>
  <c r="AV195" i="6"/>
  <c r="AU195" i="6"/>
  <c r="AT195" i="6"/>
  <c r="AS195" i="6"/>
  <c r="AR195" i="6"/>
  <c r="AQ195" i="6"/>
  <c r="AP195" i="6"/>
  <c r="AO195" i="6"/>
  <c r="AN195" i="6"/>
  <c r="AM195" i="6"/>
  <c r="AL195" i="6"/>
  <c r="AK195" i="6"/>
  <c r="AJ195" i="6"/>
  <c r="AI195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DE194" i="6"/>
  <c r="DD194" i="6"/>
  <c r="DC194" i="6"/>
  <c r="DB194" i="6"/>
  <c r="DA194" i="6"/>
  <c r="CZ194" i="6"/>
  <c r="CY194" i="6"/>
  <c r="CX194" i="6"/>
  <c r="CV194" i="6"/>
  <c r="CU194" i="6"/>
  <c r="CT194" i="6"/>
  <c r="CS194" i="6"/>
  <c r="CR194" i="6"/>
  <c r="CQ194" i="6"/>
  <c r="CP194" i="6"/>
  <c r="CO194" i="6"/>
  <c r="CN194" i="6"/>
  <c r="CM194" i="6"/>
  <c r="CL194" i="6"/>
  <c r="CK194" i="6"/>
  <c r="CJ194" i="6"/>
  <c r="CI194" i="6"/>
  <c r="CH194" i="6"/>
  <c r="CG194" i="6"/>
  <c r="CF194" i="6"/>
  <c r="CE194" i="6"/>
  <c r="CD194" i="6"/>
  <c r="CC194" i="6"/>
  <c r="CB194" i="6"/>
  <c r="CA194" i="6"/>
  <c r="BZ194" i="6"/>
  <c r="BY194" i="6"/>
  <c r="BX194" i="6"/>
  <c r="BW194" i="6"/>
  <c r="BV194" i="6"/>
  <c r="BU194" i="6"/>
  <c r="BT194" i="6"/>
  <c r="BS194" i="6"/>
  <c r="BR194" i="6"/>
  <c r="BQ194" i="6"/>
  <c r="BP194" i="6"/>
  <c r="BO194" i="6"/>
  <c r="BN194" i="6"/>
  <c r="BM194" i="6"/>
  <c r="BL194" i="6"/>
  <c r="BK194" i="6"/>
  <c r="BJ194" i="6"/>
  <c r="BI194" i="6"/>
  <c r="BH194" i="6"/>
  <c r="BG194" i="6"/>
  <c r="BF194" i="6"/>
  <c r="BE194" i="6"/>
  <c r="BD194" i="6"/>
  <c r="BC194" i="6"/>
  <c r="BB194" i="6"/>
  <c r="BA194" i="6"/>
  <c r="AZ194" i="6"/>
  <c r="AY194" i="6"/>
  <c r="AX194" i="6"/>
  <c r="AW194" i="6"/>
  <c r="AV194" i="6"/>
  <c r="AU194" i="6"/>
  <c r="AT194" i="6"/>
  <c r="AS194" i="6"/>
  <c r="AR194" i="6"/>
  <c r="AQ194" i="6"/>
  <c r="AP194" i="6"/>
  <c r="AO194" i="6"/>
  <c r="AN194" i="6"/>
  <c r="AM194" i="6"/>
  <c r="AL194" i="6"/>
  <c r="AK194" i="6"/>
  <c r="AJ194" i="6"/>
  <c r="AI194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194" i="6"/>
  <c r="DE193" i="6"/>
  <c r="DD193" i="6"/>
  <c r="DC193" i="6"/>
  <c r="DB193" i="6"/>
  <c r="DA193" i="6"/>
  <c r="CZ193" i="6"/>
  <c r="CY193" i="6"/>
  <c r="CX193" i="6"/>
  <c r="CV193" i="6"/>
  <c r="CU193" i="6"/>
  <c r="CT193" i="6"/>
  <c r="CS193" i="6"/>
  <c r="CR193" i="6"/>
  <c r="CQ193" i="6"/>
  <c r="CP193" i="6"/>
  <c r="CO193" i="6"/>
  <c r="CN193" i="6"/>
  <c r="CM193" i="6"/>
  <c r="CL193" i="6"/>
  <c r="CK193" i="6"/>
  <c r="CJ193" i="6"/>
  <c r="CI193" i="6"/>
  <c r="CH193" i="6"/>
  <c r="CG193" i="6"/>
  <c r="CF193" i="6"/>
  <c r="CE193" i="6"/>
  <c r="CD193" i="6"/>
  <c r="CC193" i="6"/>
  <c r="CB193" i="6"/>
  <c r="CA193" i="6"/>
  <c r="BZ193" i="6"/>
  <c r="BY193" i="6"/>
  <c r="BX193" i="6"/>
  <c r="BW193" i="6"/>
  <c r="BV193" i="6"/>
  <c r="BU193" i="6"/>
  <c r="BT193" i="6"/>
  <c r="BS193" i="6"/>
  <c r="BR193" i="6"/>
  <c r="BQ193" i="6"/>
  <c r="BP193" i="6"/>
  <c r="BO193" i="6"/>
  <c r="BN193" i="6"/>
  <c r="BM193" i="6"/>
  <c r="BL193" i="6"/>
  <c r="BK193" i="6"/>
  <c r="BJ193" i="6"/>
  <c r="BI193" i="6"/>
  <c r="BH193" i="6"/>
  <c r="BG193" i="6"/>
  <c r="BF193" i="6"/>
  <c r="BE193" i="6"/>
  <c r="BD193" i="6"/>
  <c r="BC193" i="6"/>
  <c r="BB193" i="6"/>
  <c r="BA193" i="6"/>
  <c r="AZ193" i="6"/>
  <c r="AY193" i="6"/>
  <c r="AX193" i="6"/>
  <c r="AW193" i="6"/>
  <c r="AV193" i="6"/>
  <c r="AU193" i="6"/>
  <c r="AT193" i="6"/>
  <c r="AS193" i="6"/>
  <c r="AR193" i="6"/>
  <c r="AQ193" i="6"/>
  <c r="AP193" i="6"/>
  <c r="AO193" i="6"/>
  <c r="AN193" i="6"/>
  <c r="AM193" i="6"/>
  <c r="AL193" i="6"/>
  <c r="AK193" i="6"/>
  <c r="AJ193" i="6"/>
  <c r="AI193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193" i="6"/>
  <c r="DE192" i="6"/>
  <c r="DD192" i="6"/>
  <c r="DC192" i="6"/>
  <c r="DB192" i="6"/>
  <c r="DA192" i="6"/>
  <c r="CZ192" i="6"/>
  <c r="CY192" i="6"/>
  <c r="CX192" i="6"/>
  <c r="CV192" i="6"/>
  <c r="CU192" i="6"/>
  <c r="CT192" i="6"/>
  <c r="CS192" i="6"/>
  <c r="CR192" i="6"/>
  <c r="CQ192" i="6"/>
  <c r="CP192" i="6"/>
  <c r="CO192" i="6"/>
  <c r="CN192" i="6"/>
  <c r="CM192" i="6"/>
  <c r="CL192" i="6"/>
  <c r="CK192" i="6"/>
  <c r="CJ192" i="6"/>
  <c r="CI192" i="6"/>
  <c r="CH192" i="6"/>
  <c r="CG192" i="6"/>
  <c r="CF192" i="6"/>
  <c r="CE192" i="6"/>
  <c r="CD192" i="6"/>
  <c r="CC192" i="6"/>
  <c r="CB192" i="6"/>
  <c r="CA192" i="6"/>
  <c r="BZ192" i="6"/>
  <c r="BY192" i="6"/>
  <c r="BX192" i="6"/>
  <c r="BW192" i="6"/>
  <c r="BV192" i="6"/>
  <c r="BU192" i="6"/>
  <c r="BT192" i="6"/>
  <c r="BS192" i="6"/>
  <c r="BR192" i="6"/>
  <c r="BQ192" i="6"/>
  <c r="BP192" i="6"/>
  <c r="BO192" i="6"/>
  <c r="BN192" i="6"/>
  <c r="BM192" i="6"/>
  <c r="BL192" i="6"/>
  <c r="BK192" i="6"/>
  <c r="BJ192" i="6"/>
  <c r="BI192" i="6"/>
  <c r="BH192" i="6"/>
  <c r="BG192" i="6"/>
  <c r="BF192" i="6"/>
  <c r="BE192" i="6"/>
  <c r="BD192" i="6"/>
  <c r="BC192" i="6"/>
  <c r="BB192" i="6"/>
  <c r="BA192" i="6"/>
  <c r="AZ192" i="6"/>
  <c r="AY192" i="6"/>
  <c r="AX192" i="6"/>
  <c r="AW192" i="6"/>
  <c r="AV192" i="6"/>
  <c r="AU192" i="6"/>
  <c r="AT192" i="6"/>
  <c r="AS192" i="6"/>
  <c r="AR192" i="6"/>
  <c r="AQ192" i="6"/>
  <c r="AP192" i="6"/>
  <c r="AO192" i="6"/>
  <c r="AN192" i="6"/>
  <c r="AM192" i="6"/>
  <c r="AL192" i="6"/>
  <c r="AK192" i="6"/>
  <c r="AJ192" i="6"/>
  <c r="AI192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192" i="6"/>
  <c r="DE191" i="6"/>
  <c r="DD191" i="6"/>
  <c r="DC191" i="6"/>
  <c r="DB191" i="6"/>
  <c r="DA191" i="6"/>
  <c r="CZ191" i="6"/>
  <c r="CY191" i="6"/>
  <c r="CX191" i="6"/>
  <c r="CV191" i="6"/>
  <c r="CU191" i="6"/>
  <c r="CT191" i="6"/>
  <c r="CS191" i="6"/>
  <c r="CR191" i="6"/>
  <c r="CQ191" i="6"/>
  <c r="CP191" i="6"/>
  <c r="CO191" i="6"/>
  <c r="CN191" i="6"/>
  <c r="CM191" i="6"/>
  <c r="CL191" i="6"/>
  <c r="CK191" i="6"/>
  <c r="CJ191" i="6"/>
  <c r="CI191" i="6"/>
  <c r="CH191" i="6"/>
  <c r="CG191" i="6"/>
  <c r="CF191" i="6"/>
  <c r="CE191" i="6"/>
  <c r="CD191" i="6"/>
  <c r="CC191" i="6"/>
  <c r="CB191" i="6"/>
  <c r="CA191" i="6"/>
  <c r="BZ191" i="6"/>
  <c r="BY191" i="6"/>
  <c r="BX191" i="6"/>
  <c r="BW191" i="6"/>
  <c r="BV191" i="6"/>
  <c r="BU191" i="6"/>
  <c r="BT191" i="6"/>
  <c r="BS191" i="6"/>
  <c r="BR191" i="6"/>
  <c r="BQ191" i="6"/>
  <c r="BP191" i="6"/>
  <c r="BO191" i="6"/>
  <c r="BN191" i="6"/>
  <c r="BM191" i="6"/>
  <c r="BL191" i="6"/>
  <c r="BK191" i="6"/>
  <c r="BJ191" i="6"/>
  <c r="BI191" i="6"/>
  <c r="BH191" i="6"/>
  <c r="BG191" i="6"/>
  <c r="BF191" i="6"/>
  <c r="BE191" i="6"/>
  <c r="BD191" i="6"/>
  <c r="BC191" i="6"/>
  <c r="BB191" i="6"/>
  <c r="BA191" i="6"/>
  <c r="AZ191" i="6"/>
  <c r="AY191" i="6"/>
  <c r="AX191" i="6"/>
  <c r="AW191" i="6"/>
  <c r="AV191" i="6"/>
  <c r="AU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191" i="6"/>
  <c r="DE190" i="6"/>
  <c r="DD190" i="6"/>
  <c r="DC190" i="6"/>
  <c r="DB190" i="6"/>
  <c r="DA190" i="6"/>
  <c r="CZ190" i="6"/>
  <c r="CY190" i="6"/>
  <c r="CX190" i="6"/>
  <c r="CV190" i="6"/>
  <c r="CU190" i="6"/>
  <c r="CT190" i="6"/>
  <c r="CS190" i="6"/>
  <c r="CR190" i="6"/>
  <c r="CQ190" i="6"/>
  <c r="CP190" i="6"/>
  <c r="CO190" i="6"/>
  <c r="CN190" i="6"/>
  <c r="CM190" i="6"/>
  <c r="CL190" i="6"/>
  <c r="CK190" i="6"/>
  <c r="CJ190" i="6"/>
  <c r="CI190" i="6"/>
  <c r="CH190" i="6"/>
  <c r="CG190" i="6"/>
  <c r="CF190" i="6"/>
  <c r="CE190" i="6"/>
  <c r="CD190" i="6"/>
  <c r="CC190" i="6"/>
  <c r="CB190" i="6"/>
  <c r="CA190" i="6"/>
  <c r="BZ190" i="6"/>
  <c r="BY190" i="6"/>
  <c r="BX190" i="6"/>
  <c r="BW190" i="6"/>
  <c r="BV190" i="6"/>
  <c r="BU190" i="6"/>
  <c r="BT190" i="6"/>
  <c r="BS190" i="6"/>
  <c r="BR190" i="6"/>
  <c r="BQ190" i="6"/>
  <c r="BP190" i="6"/>
  <c r="BO190" i="6"/>
  <c r="BN190" i="6"/>
  <c r="BM190" i="6"/>
  <c r="BL190" i="6"/>
  <c r="BK190" i="6"/>
  <c r="BJ190" i="6"/>
  <c r="BI190" i="6"/>
  <c r="BH190" i="6"/>
  <c r="BG190" i="6"/>
  <c r="BF190" i="6"/>
  <c r="BE190" i="6"/>
  <c r="BD190" i="6"/>
  <c r="BC190" i="6"/>
  <c r="BB190" i="6"/>
  <c r="BA190" i="6"/>
  <c r="AZ190" i="6"/>
  <c r="AY190" i="6"/>
  <c r="AX190" i="6"/>
  <c r="AW190" i="6"/>
  <c r="AV190" i="6"/>
  <c r="AU190" i="6"/>
  <c r="AT190" i="6"/>
  <c r="AS190" i="6"/>
  <c r="AR190" i="6"/>
  <c r="AQ190" i="6"/>
  <c r="AP190" i="6"/>
  <c r="AO190" i="6"/>
  <c r="AN190" i="6"/>
  <c r="AM190" i="6"/>
  <c r="AL190" i="6"/>
  <c r="AK190" i="6"/>
  <c r="AJ190" i="6"/>
  <c r="AI190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190" i="6"/>
  <c r="DE189" i="6"/>
  <c r="DD189" i="6"/>
  <c r="DC189" i="6"/>
  <c r="DB189" i="6"/>
  <c r="DA189" i="6"/>
  <c r="CZ189" i="6"/>
  <c r="CY189" i="6"/>
  <c r="CX189" i="6"/>
  <c r="CV189" i="6"/>
  <c r="CU189" i="6"/>
  <c r="CT189" i="6"/>
  <c r="CS189" i="6"/>
  <c r="CR189" i="6"/>
  <c r="CQ189" i="6"/>
  <c r="CP189" i="6"/>
  <c r="CO189" i="6"/>
  <c r="CN189" i="6"/>
  <c r="CM189" i="6"/>
  <c r="CL189" i="6"/>
  <c r="CK189" i="6"/>
  <c r="CJ189" i="6"/>
  <c r="CI189" i="6"/>
  <c r="CH189" i="6"/>
  <c r="CG189" i="6"/>
  <c r="CF189" i="6"/>
  <c r="CE189" i="6"/>
  <c r="CD189" i="6"/>
  <c r="CC189" i="6"/>
  <c r="CB189" i="6"/>
  <c r="CA189" i="6"/>
  <c r="BZ189" i="6"/>
  <c r="BY189" i="6"/>
  <c r="BX189" i="6"/>
  <c r="BW189" i="6"/>
  <c r="BV189" i="6"/>
  <c r="BU189" i="6"/>
  <c r="BT189" i="6"/>
  <c r="BS189" i="6"/>
  <c r="BR189" i="6"/>
  <c r="BQ189" i="6"/>
  <c r="BP189" i="6"/>
  <c r="BO189" i="6"/>
  <c r="BN189" i="6"/>
  <c r="BM189" i="6"/>
  <c r="BL189" i="6"/>
  <c r="BK189" i="6"/>
  <c r="BJ189" i="6"/>
  <c r="BI189" i="6"/>
  <c r="BH189" i="6"/>
  <c r="BG189" i="6"/>
  <c r="BF189" i="6"/>
  <c r="BE189" i="6"/>
  <c r="BD189" i="6"/>
  <c r="BC189" i="6"/>
  <c r="BB189" i="6"/>
  <c r="BA189" i="6"/>
  <c r="AZ189" i="6"/>
  <c r="AY189" i="6"/>
  <c r="AX189" i="6"/>
  <c r="AW189" i="6"/>
  <c r="AV189" i="6"/>
  <c r="AU189" i="6"/>
  <c r="AT189" i="6"/>
  <c r="AS189" i="6"/>
  <c r="AR189" i="6"/>
  <c r="AQ189" i="6"/>
  <c r="AP189" i="6"/>
  <c r="AO189" i="6"/>
  <c r="AN189" i="6"/>
  <c r="AM189" i="6"/>
  <c r="AL189" i="6"/>
  <c r="AK189" i="6"/>
  <c r="AJ189" i="6"/>
  <c r="AI189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189" i="6"/>
  <c r="DE188" i="6"/>
  <c r="DD188" i="6"/>
  <c r="DC188" i="6"/>
  <c r="DB188" i="6"/>
  <c r="DA188" i="6"/>
  <c r="CZ188" i="6"/>
  <c r="CY188" i="6"/>
  <c r="CX188" i="6"/>
  <c r="CV188" i="6"/>
  <c r="CU188" i="6"/>
  <c r="CT188" i="6"/>
  <c r="CS188" i="6"/>
  <c r="CR188" i="6"/>
  <c r="CQ188" i="6"/>
  <c r="CP188" i="6"/>
  <c r="CO188" i="6"/>
  <c r="CN188" i="6"/>
  <c r="CM188" i="6"/>
  <c r="CL188" i="6"/>
  <c r="CK188" i="6"/>
  <c r="CJ188" i="6"/>
  <c r="CI188" i="6"/>
  <c r="CH188" i="6"/>
  <c r="CG188" i="6"/>
  <c r="CF188" i="6"/>
  <c r="CE188" i="6"/>
  <c r="CD188" i="6"/>
  <c r="CC188" i="6"/>
  <c r="CB188" i="6"/>
  <c r="CA188" i="6"/>
  <c r="BZ188" i="6"/>
  <c r="BY188" i="6"/>
  <c r="BX188" i="6"/>
  <c r="BW188" i="6"/>
  <c r="BV188" i="6"/>
  <c r="BU188" i="6"/>
  <c r="BT188" i="6"/>
  <c r="BS188" i="6"/>
  <c r="BR188" i="6"/>
  <c r="BQ188" i="6"/>
  <c r="BP188" i="6"/>
  <c r="BO188" i="6"/>
  <c r="BN188" i="6"/>
  <c r="BM188" i="6"/>
  <c r="BL188" i="6"/>
  <c r="BK188" i="6"/>
  <c r="BJ188" i="6"/>
  <c r="BI188" i="6"/>
  <c r="BH188" i="6"/>
  <c r="BG188" i="6"/>
  <c r="BF188" i="6"/>
  <c r="BE188" i="6"/>
  <c r="BD188" i="6"/>
  <c r="BC188" i="6"/>
  <c r="BB188" i="6"/>
  <c r="BA188" i="6"/>
  <c r="AZ188" i="6"/>
  <c r="AY188" i="6"/>
  <c r="AX188" i="6"/>
  <c r="AW188" i="6"/>
  <c r="AV188" i="6"/>
  <c r="AU188" i="6"/>
  <c r="AT188" i="6"/>
  <c r="AS188" i="6"/>
  <c r="AR188" i="6"/>
  <c r="AQ188" i="6"/>
  <c r="AP188" i="6"/>
  <c r="AO188" i="6"/>
  <c r="AN188" i="6"/>
  <c r="AM188" i="6"/>
  <c r="AL188" i="6"/>
  <c r="AK188" i="6"/>
  <c r="AJ188" i="6"/>
  <c r="AI188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188" i="6"/>
  <c r="DE187" i="6"/>
  <c r="DD187" i="6"/>
  <c r="DC187" i="6"/>
  <c r="DB187" i="6"/>
  <c r="DA187" i="6"/>
  <c r="CZ187" i="6"/>
  <c r="CY187" i="6"/>
  <c r="CX187" i="6"/>
  <c r="CV187" i="6"/>
  <c r="CU187" i="6"/>
  <c r="CT187" i="6"/>
  <c r="CS187" i="6"/>
  <c r="CR187" i="6"/>
  <c r="CQ187" i="6"/>
  <c r="CP187" i="6"/>
  <c r="CO187" i="6"/>
  <c r="CN187" i="6"/>
  <c r="CM187" i="6"/>
  <c r="CL187" i="6"/>
  <c r="CK187" i="6"/>
  <c r="CJ187" i="6"/>
  <c r="CI187" i="6"/>
  <c r="CH187" i="6"/>
  <c r="CG187" i="6"/>
  <c r="CF187" i="6"/>
  <c r="CE187" i="6"/>
  <c r="CD187" i="6"/>
  <c r="CC187" i="6"/>
  <c r="CB187" i="6"/>
  <c r="CA187" i="6"/>
  <c r="BZ187" i="6"/>
  <c r="BY187" i="6"/>
  <c r="BX187" i="6"/>
  <c r="BW187" i="6"/>
  <c r="BV187" i="6"/>
  <c r="BU187" i="6"/>
  <c r="BT187" i="6"/>
  <c r="BS187" i="6"/>
  <c r="BR187" i="6"/>
  <c r="BQ187" i="6"/>
  <c r="BP187" i="6"/>
  <c r="BO187" i="6"/>
  <c r="BN187" i="6"/>
  <c r="BM187" i="6"/>
  <c r="BL187" i="6"/>
  <c r="BK187" i="6"/>
  <c r="BJ187" i="6"/>
  <c r="BI187" i="6"/>
  <c r="BH187" i="6"/>
  <c r="BG187" i="6"/>
  <c r="BF187" i="6"/>
  <c r="BE187" i="6"/>
  <c r="BD187" i="6"/>
  <c r="BC187" i="6"/>
  <c r="BB187" i="6"/>
  <c r="BA187" i="6"/>
  <c r="AZ187" i="6"/>
  <c r="AY187" i="6"/>
  <c r="AX187" i="6"/>
  <c r="AW187" i="6"/>
  <c r="AV187" i="6"/>
  <c r="AU187" i="6"/>
  <c r="AT187" i="6"/>
  <c r="AS187" i="6"/>
  <c r="AR187" i="6"/>
  <c r="AQ187" i="6"/>
  <c r="AP187" i="6"/>
  <c r="AO187" i="6"/>
  <c r="AN187" i="6"/>
  <c r="AM187" i="6"/>
  <c r="AL187" i="6"/>
  <c r="AK187" i="6"/>
  <c r="AJ187" i="6"/>
  <c r="AI187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187" i="6"/>
  <c r="DE186" i="6"/>
  <c r="DD186" i="6"/>
  <c r="DC186" i="6"/>
  <c r="DB186" i="6"/>
  <c r="DA186" i="6"/>
  <c r="CZ186" i="6"/>
  <c r="CY186" i="6"/>
  <c r="CX186" i="6"/>
  <c r="CV186" i="6"/>
  <c r="CU186" i="6"/>
  <c r="CT186" i="6"/>
  <c r="CS186" i="6"/>
  <c r="CR186" i="6"/>
  <c r="CQ186" i="6"/>
  <c r="CP186" i="6"/>
  <c r="CO186" i="6"/>
  <c r="CN186" i="6"/>
  <c r="CM186" i="6"/>
  <c r="CL186" i="6"/>
  <c r="CK186" i="6"/>
  <c r="CJ186" i="6"/>
  <c r="CI186" i="6"/>
  <c r="CH186" i="6"/>
  <c r="CG186" i="6"/>
  <c r="CF186" i="6"/>
  <c r="CE186" i="6"/>
  <c r="CD186" i="6"/>
  <c r="CC186" i="6"/>
  <c r="CB186" i="6"/>
  <c r="CA186" i="6"/>
  <c r="BZ186" i="6"/>
  <c r="BY186" i="6"/>
  <c r="BX186" i="6"/>
  <c r="BW186" i="6"/>
  <c r="BV186" i="6"/>
  <c r="BU186" i="6"/>
  <c r="BT186" i="6"/>
  <c r="BS186" i="6"/>
  <c r="BR186" i="6"/>
  <c r="BQ186" i="6"/>
  <c r="BP186" i="6"/>
  <c r="BO186" i="6"/>
  <c r="BN186" i="6"/>
  <c r="BM186" i="6"/>
  <c r="BL186" i="6"/>
  <c r="BK186" i="6"/>
  <c r="BJ186" i="6"/>
  <c r="BI186" i="6"/>
  <c r="BH186" i="6"/>
  <c r="BG186" i="6"/>
  <c r="BF186" i="6"/>
  <c r="BE186" i="6"/>
  <c r="BD186" i="6"/>
  <c r="BC186" i="6"/>
  <c r="BB186" i="6"/>
  <c r="BA186" i="6"/>
  <c r="AZ186" i="6"/>
  <c r="AY186" i="6"/>
  <c r="AX186" i="6"/>
  <c r="AW186" i="6"/>
  <c r="AV186" i="6"/>
  <c r="AU186" i="6"/>
  <c r="AT186" i="6"/>
  <c r="AS186" i="6"/>
  <c r="AR186" i="6"/>
  <c r="AQ186" i="6"/>
  <c r="AP186" i="6"/>
  <c r="AO186" i="6"/>
  <c r="AN186" i="6"/>
  <c r="AM186" i="6"/>
  <c r="AL186" i="6"/>
  <c r="AK186" i="6"/>
  <c r="AJ186" i="6"/>
  <c r="AI186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186" i="6"/>
  <c r="DE185" i="6"/>
  <c r="DD185" i="6"/>
  <c r="DC185" i="6"/>
  <c r="DB185" i="6"/>
  <c r="DA185" i="6"/>
  <c r="CZ185" i="6"/>
  <c r="CY185" i="6"/>
  <c r="CX185" i="6"/>
  <c r="CV185" i="6"/>
  <c r="CU185" i="6"/>
  <c r="CT185" i="6"/>
  <c r="CS185" i="6"/>
  <c r="CR185" i="6"/>
  <c r="CQ185" i="6"/>
  <c r="CP185" i="6"/>
  <c r="CO185" i="6"/>
  <c r="CN185" i="6"/>
  <c r="CM185" i="6"/>
  <c r="CL185" i="6"/>
  <c r="CK185" i="6"/>
  <c r="CJ185" i="6"/>
  <c r="CI185" i="6"/>
  <c r="CH185" i="6"/>
  <c r="CG185" i="6"/>
  <c r="CF185" i="6"/>
  <c r="CE185" i="6"/>
  <c r="CD185" i="6"/>
  <c r="CC185" i="6"/>
  <c r="CB185" i="6"/>
  <c r="CA185" i="6"/>
  <c r="BZ185" i="6"/>
  <c r="BY185" i="6"/>
  <c r="BX185" i="6"/>
  <c r="BW185" i="6"/>
  <c r="BV185" i="6"/>
  <c r="BU185" i="6"/>
  <c r="BT185" i="6"/>
  <c r="BS185" i="6"/>
  <c r="BR185" i="6"/>
  <c r="BQ185" i="6"/>
  <c r="BP185" i="6"/>
  <c r="BO185" i="6"/>
  <c r="BN185" i="6"/>
  <c r="BM185" i="6"/>
  <c r="BL185" i="6"/>
  <c r="BK185" i="6"/>
  <c r="BJ185" i="6"/>
  <c r="BI185" i="6"/>
  <c r="BH185" i="6"/>
  <c r="BG185" i="6"/>
  <c r="BF185" i="6"/>
  <c r="BE185" i="6"/>
  <c r="BD185" i="6"/>
  <c r="BC185" i="6"/>
  <c r="BB185" i="6"/>
  <c r="BA185" i="6"/>
  <c r="AZ185" i="6"/>
  <c r="AY185" i="6"/>
  <c r="AX185" i="6"/>
  <c r="AW185" i="6"/>
  <c r="AV185" i="6"/>
  <c r="AU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185" i="6"/>
  <c r="DE184" i="6"/>
  <c r="DD184" i="6"/>
  <c r="DC184" i="6"/>
  <c r="DB184" i="6"/>
  <c r="DA184" i="6"/>
  <c r="CZ184" i="6"/>
  <c r="CY184" i="6"/>
  <c r="CX184" i="6"/>
  <c r="CV184" i="6"/>
  <c r="CU184" i="6"/>
  <c r="CT184" i="6"/>
  <c r="CS184" i="6"/>
  <c r="CR184" i="6"/>
  <c r="CQ184" i="6"/>
  <c r="CP184" i="6"/>
  <c r="CO184" i="6"/>
  <c r="CN184" i="6"/>
  <c r="CM184" i="6"/>
  <c r="CL184" i="6"/>
  <c r="CK184" i="6"/>
  <c r="CJ184" i="6"/>
  <c r="CI184" i="6"/>
  <c r="CH184" i="6"/>
  <c r="CG184" i="6"/>
  <c r="CF184" i="6"/>
  <c r="CE184" i="6"/>
  <c r="CD184" i="6"/>
  <c r="CC184" i="6"/>
  <c r="CB184" i="6"/>
  <c r="CA184" i="6"/>
  <c r="BZ184" i="6"/>
  <c r="BY184" i="6"/>
  <c r="BX184" i="6"/>
  <c r="BW184" i="6"/>
  <c r="BV184" i="6"/>
  <c r="BU184" i="6"/>
  <c r="BT184" i="6"/>
  <c r="BS184" i="6"/>
  <c r="BR184" i="6"/>
  <c r="BQ184" i="6"/>
  <c r="BP184" i="6"/>
  <c r="BO184" i="6"/>
  <c r="BN184" i="6"/>
  <c r="BM184" i="6"/>
  <c r="BL184" i="6"/>
  <c r="BK184" i="6"/>
  <c r="BJ184" i="6"/>
  <c r="BI184" i="6"/>
  <c r="BH184" i="6"/>
  <c r="BG184" i="6"/>
  <c r="BF184" i="6"/>
  <c r="BE184" i="6"/>
  <c r="BD184" i="6"/>
  <c r="BC184" i="6"/>
  <c r="BB184" i="6"/>
  <c r="BA184" i="6"/>
  <c r="AZ184" i="6"/>
  <c r="AY184" i="6"/>
  <c r="AX184" i="6"/>
  <c r="AW184" i="6"/>
  <c r="AV184" i="6"/>
  <c r="AU184" i="6"/>
  <c r="AT184" i="6"/>
  <c r="AS184" i="6"/>
  <c r="AR184" i="6"/>
  <c r="AQ184" i="6"/>
  <c r="AP184" i="6"/>
  <c r="AO184" i="6"/>
  <c r="AN184" i="6"/>
  <c r="AM184" i="6"/>
  <c r="AL184" i="6"/>
  <c r="AK184" i="6"/>
  <c r="AJ184" i="6"/>
  <c r="AI184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184" i="6"/>
  <c r="DE183" i="6"/>
  <c r="DD183" i="6"/>
  <c r="DC183" i="6"/>
  <c r="DB183" i="6"/>
  <c r="DA183" i="6"/>
  <c r="CZ183" i="6"/>
  <c r="CY183" i="6"/>
  <c r="CX183" i="6"/>
  <c r="CV183" i="6"/>
  <c r="CU183" i="6"/>
  <c r="CT183" i="6"/>
  <c r="CS183" i="6"/>
  <c r="CR183" i="6"/>
  <c r="CQ183" i="6"/>
  <c r="CP183" i="6"/>
  <c r="CO183" i="6"/>
  <c r="CN183" i="6"/>
  <c r="CM183" i="6"/>
  <c r="CL183" i="6"/>
  <c r="CK183" i="6"/>
  <c r="CJ183" i="6"/>
  <c r="CI183" i="6"/>
  <c r="CH183" i="6"/>
  <c r="CG183" i="6"/>
  <c r="CF183" i="6"/>
  <c r="CE183" i="6"/>
  <c r="CD183" i="6"/>
  <c r="CC183" i="6"/>
  <c r="CB183" i="6"/>
  <c r="CA183" i="6"/>
  <c r="BZ183" i="6"/>
  <c r="BY183" i="6"/>
  <c r="BX183" i="6"/>
  <c r="BW183" i="6"/>
  <c r="BV183" i="6"/>
  <c r="BU183" i="6"/>
  <c r="BT183" i="6"/>
  <c r="BS183" i="6"/>
  <c r="BR183" i="6"/>
  <c r="BQ183" i="6"/>
  <c r="BP183" i="6"/>
  <c r="BO183" i="6"/>
  <c r="BN183" i="6"/>
  <c r="BM183" i="6"/>
  <c r="BL183" i="6"/>
  <c r="BK183" i="6"/>
  <c r="BJ183" i="6"/>
  <c r="BI183" i="6"/>
  <c r="BH183" i="6"/>
  <c r="BG183" i="6"/>
  <c r="BF183" i="6"/>
  <c r="BE183" i="6"/>
  <c r="BD183" i="6"/>
  <c r="BC183" i="6"/>
  <c r="BB183" i="6"/>
  <c r="BA183" i="6"/>
  <c r="AZ183" i="6"/>
  <c r="AY183" i="6"/>
  <c r="AX183" i="6"/>
  <c r="AW183" i="6"/>
  <c r="AV183" i="6"/>
  <c r="AU183" i="6"/>
  <c r="AT183" i="6"/>
  <c r="AS183" i="6"/>
  <c r="AR183" i="6"/>
  <c r="AQ183" i="6"/>
  <c r="AP183" i="6"/>
  <c r="AO183" i="6"/>
  <c r="AN183" i="6"/>
  <c r="AM183" i="6"/>
  <c r="AL183" i="6"/>
  <c r="AK183" i="6"/>
  <c r="AJ183" i="6"/>
  <c r="AI183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183" i="6"/>
  <c r="DE182" i="6"/>
  <c r="DD182" i="6"/>
  <c r="DC182" i="6"/>
  <c r="DB182" i="6"/>
  <c r="DA182" i="6"/>
  <c r="CZ182" i="6"/>
  <c r="CY182" i="6"/>
  <c r="CX182" i="6"/>
  <c r="CV182" i="6"/>
  <c r="CU182" i="6"/>
  <c r="CT182" i="6"/>
  <c r="CS182" i="6"/>
  <c r="CR182" i="6"/>
  <c r="CQ182" i="6"/>
  <c r="CP182" i="6"/>
  <c r="CO182" i="6"/>
  <c r="CN182" i="6"/>
  <c r="CM182" i="6"/>
  <c r="CL182" i="6"/>
  <c r="CK182" i="6"/>
  <c r="CJ182" i="6"/>
  <c r="CI182" i="6"/>
  <c r="CH182" i="6"/>
  <c r="CG182" i="6"/>
  <c r="CF182" i="6"/>
  <c r="CE182" i="6"/>
  <c r="CD182" i="6"/>
  <c r="CC182" i="6"/>
  <c r="CB182" i="6"/>
  <c r="CA182" i="6"/>
  <c r="BZ182" i="6"/>
  <c r="BY182" i="6"/>
  <c r="BX182" i="6"/>
  <c r="BW182" i="6"/>
  <c r="BV182" i="6"/>
  <c r="BU182" i="6"/>
  <c r="BT182" i="6"/>
  <c r="BS182" i="6"/>
  <c r="BR182" i="6"/>
  <c r="BQ182" i="6"/>
  <c r="BP182" i="6"/>
  <c r="BO182" i="6"/>
  <c r="BN182" i="6"/>
  <c r="BM182" i="6"/>
  <c r="BL182" i="6"/>
  <c r="BK182" i="6"/>
  <c r="BJ182" i="6"/>
  <c r="BI182" i="6"/>
  <c r="BH182" i="6"/>
  <c r="BG182" i="6"/>
  <c r="BF182" i="6"/>
  <c r="BE182" i="6"/>
  <c r="BD182" i="6"/>
  <c r="BC182" i="6"/>
  <c r="BB182" i="6"/>
  <c r="BA182" i="6"/>
  <c r="AZ182" i="6"/>
  <c r="AY182" i="6"/>
  <c r="AX182" i="6"/>
  <c r="AW182" i="6"/>
  <c r="AV182" i="6"/>
  <c r="AU182" i="6"/>
  <c r="AT182" i="6"/>
  <c r="AS182" i="6"/>
  <c r="AR182" i="6"/>
  <c r="AQ182" i="6"/>
  <c r="AP182" i="6"/>
  <c r="AO182" i="6"/>
  <c r="AN182" i="6"/>
  <c r="AM182" i="6"/>
  <c r="AL182" i="6"/>
  <c r="AK182" i="6"/>
  <c r="AJ182" i="6"/>
  <c r="AI182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182" i="6"/>
  <c r="DE181" i="6"/>
  <c r="DD181" i="6"/>
  <c r="DC181" i="6"/>
  <c r="DB181" i="6"/>
  <c r="DA181" i="6"/>
  <c r="CZ181" i="6"/>
  <c r="CY181" i="6"/>
  <c r="CX181" i="6"/>
  <c r="CV181" i="6"/>
  <c r="CU181" i="6"/>
  <c r="CT181" i="6"/>
  <c r="CS181" i="6"/>
  <c r="CR181" i="6"/>
  <c r="CQ181" i="6"/>
  <c r="CP181" i="6"/>
  <c r="CO181" i="6"/>
  <c r="CN181" i="6"/>
  <c r="CM181" i="6"/>
  <c r="CL181" i="6"/>
  <c r="CK181" i="6"/>
  <c r="CJ181" i="6"/>
  <c r="CI181" i="6"/>
  <c r="CH181" i="6"/>
  <c r="CG181" i="6"/>
  <c r="CF181" i="6"/>
  <c r="CE181" i="6"/>
  <c r="CD181" i="6"/>
  <c r="CC181" i="6"/>
  <c r="CB181" i="6"/>
  <c r="CA181" i="6"/>
  <c r="BZ181" i="6"/>
  <c r="BY181" i="6"/>
  <c r="BX181" i="6"/>
  <c r="BW181" i="6"/>
  <c r="BV181" i="6"/>
  <c r="BU181" i="6"/>
  <c r="BT181" i="6"/>
  <c r="BS181" i="6"/>
  <c r="BR181" i="6"/>
  <c r="BQ181" i="6"/>
  <c r="BP181" i="6"/>
  <c r="BO181" i="6"/>
  <c r="BN181" i="6"/>
  <c r="BM181" i="6"/>
  <c r="BL181" i="6"/>
  <c r="BK181" i="6"/>
  <c r="BJ181" i="6"/>
  <c r="BI181" i="6"/>
  <c r="BH181" i="6"/>
  <c r="BG181" i="6"/>
  <c r="BF181" i="6"/>
  <c r="BE181" i="6"/>
  <c r="BD181" i="6"/>
  <c r="BC181" i="6"/>
  <c r="BB181" i="6"/>
  <c r="BA181" i="6"/>
  <c r="AZ181" i="6"/>
  <c r="AY181" i="6"/>
  <c r="AX181" i="6"/>
  <c r="AW181" i="6"/>
  <c r="AV181" i="6"/>
  <c r="AU181" i="6"/>
  <c r="AT181" i="6"/>
  <c r="AS181" i="6"/>
  <c r="AR181" i="6"/>
  <c r="AQ181" i="6"/>
  <c r="AP181" i="6"/>
  <c r="AO181" i="6"/>
  <c r="AN181" i="6"/>
  <c r="AM181" i="6"/>
  <c r="AL181" i="6"/>
  <c r="AK181" i="6"/>
  <c r="AJ181" i="6"/>
  <c r="AI181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181" i="6"/>
  <c r="DE180" i="6"/>
  <c r="DD180" i="6"/>
  <c r="DC180" i="6"/>
  <c r="DB180" i="6"/>
  <c r="DA180" i="6"/>
  <c r="CZ180" i="6"/>
  <c r="CY180" i="6"/>
  <c r="CX180" i="6"/>
  <c r="CV180" i="6"/>
  <c r="CU180" i="6"/>
  <c r="CT180" i="6"/>
  <c r="CS180" i="6"/>
  <c r="CR180" i="6"/>
  <c r="CQ180" i="6"/>
  <c r="CP180" i="6"/>
  <c r="CO180" i="6"/>
  <c r="CN180" i="6"/>
  <c r="CM180" i="6"/>
  <c r="CL180" i="6"/>
  <c r="CK180" i="6"/>
  <c r="CJ180" i="6"/>
  <c r="CI180" i="6"/>
  <c r="CH180" i="6"/>
  <c r="CG180" i="6"/>
  <c r="CF180" i="6"/>
  <c r="CE180" i="6"/>
  <c r="CD180" i="6"/>
  <c r="CC180" i="6"/>
  <c r="CB180" i="6"/>
  <c r="CA180" i="6"/>
  <c r="BZ180" i="6"/>
  <c r="BY180" i="6"/>
  <c r="BX180" i="6"/>
  <c r="BW180" i="6"/>
  <c r="BV180" i="6"/>
  <c r="BU180" i="6"/>
  <c r="BT180" i="6"/>
  <c r="BS180" i="6"/>
  <c r="BR180" i="6"/>
  <c r="BQ180" i="6"/>
  <c r="BP180" i="6"/>
  <c r="BO180" i="6"/>
  <c r="BN180" i="6"/>
  <c r="BM180" i="6"/>
  <c r="BL180" i="6"/>
  <c r="BK180" i="6"/>
  <c r="BJ180" i="6"/>
  <c r="BI180" i="6"/>
  <c r="BH180" i="6"/>
  <c r="BG180" i="6"/>
  <c r="BF180" i="6"/>
  <c r="BE180" i="6"/>
  <c r="BD180" i="6"/>
  <c r="BC180" i="6"/>
  <c r="BB180" i="6"/>
  <c r="BA180" i="6"/>
  <c r="AZ180" i="6"/>
  <c r="AY180" i="6"/>
  <c r="AX180" i="6"/>
  <c r="AW180" i="6"/>
  <c r="AV180" i="6"/>
  <c r="AU180" i="6"/>
  <c r="AT180" i="6"/>
  <c r="AS180" i="6"/>
  <c r="AR180" i="6"/>
  <c r="AQ180" i="6"/>
  <c r="AP180" i="6"/>
  <c r="AO180" i="6"/>
  <c r="AN180" i="6"/>
  <c r="AM180" i="6"/>
  <c r="AL180" i="6"/>
  <c r="AK180" i="6"/>
  <c r="AJ180" i="6"/>
  <c r="AI180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180" i="6"/>
  <c r="DE179" i="6"/>
  <c r="DD179" i="6"/>
  <c r="DC179" i="6"/>
  <c r="DB179" i="6"/>
  <c r="DA179" i="6"/>
  <c r="CZ179" i="6"/>
  <c r="CY179" i="6"/>
  <c r="CX179" i="6"/>
  <c r="CV179" i="6"/>
  <c r="CU179" i="6"/>
  <c r="CT179" i="6"/>
  <c r="CS179" i="6"/>
  <c r="CR179" i="6"/>
  <c r="CQ179" i="6"/>
  <c r="CP179" i="6"/>
  <c r="CO179" i="6"/>
  <c r="CN179" i="6"/>
  <c r="CM179" i="6"/>
  <c r="CL179" i="6"/>
  <c r="CK179" i="6"/>
  <c r="CJ179" i="6"/>
  <c r="CI179" i="6"/>
  <c r="CH179" i="6"/>
  <c r="CG179" i="6"/>
  <c r="CF179" i="6"/>
  <c r="CE179" i="6"/>
  <c r="CD179" i="6"/>
  <c r="CC179" i="6"/>
  <c r="CB179" i="6"/>
  <c r="CA179" i="6"/>
  <c r="BZ179" i="6"/>
  <c r="BY179" i="6"/>
  <c r="BX179" i="6"/>
  <c r="BW179" i="6"/>
  <c r="BV179" i="6"/>
  <c r="BU179" i="6"/>
  <c r="BT179" i="6"/>
  <c r="BS179" i="6"/>
  <c r="BR179" i="6"/>
  <c r="BQ179" i="6"/>
  <c r="BP179" i="6"/>
  <c r="BO179" i="6"/>
  <c r="BN179" i="6"/>
  <c r="BM179" i="6"/>
  <c r="BL179" i="6"/>
  <c r="BK179" i="6"/>
  <c r="BJ179" i="6"/>
  <c r="BI179" i="6"/>
  <c r="BH179" i="6"/>
  <c r="BG179" i="6"/>
  <c r="BF179" i="6"/>
  <c r="BE179" i="6"/>
  <c r="BD179" i="6"/>
  <c r="BC179" i="6"/>
  <c r="BB179" i="6"/>
  <c r="BA179" i="6"/>
  <c r="AZ179" i="6"/>
  <c r="AY179" i="6"/>
  <c r="AX179" i="6"/>
  <c r="AW179" i="6"/>
  <c r="AV179" i="6"/>
  <c r="AU179" i="6"/>
  <c r="AT179" i="6"/>
  <c r="AS179" i="6"/>
  <c r="AR179" i="6"/>
  <c r="AQ179" i="6"/>
  <c r="AP179" i="6"/>
  <c r="AO179" i="6"/>
  <c r="AN179" i="6"/>
  <c r="AM179" i="6"/>
  <c r="AL179" i="6"/>
  <c r="AK179" i="6"/>
  <c r="AJ179" i="6"/>
  <c r="AI179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179" i="6"/>
  <c r="DE178" i="6"/>
  <c r="DD178" i="6"/>
  <c r="DC178" i="6"/>
  <c r="DB178" i="6"/>
  <c r="DA178" i="6"/>
  <c r="CZ178" i="6"/>
  <c r="CY178" i="6"/>
  <c r="CX178" i="6"/>
  <c r="CV178" i="6"/>
  <c r="CU178" i="6"/>
  <c r="CT178" i="6"/>
  <c r="CS178" i="6"/>
  <c r="CR178" i="6"/>
  <c r="CQ178" i="6"/>
  <c r="CP178" i="6"/>
  <c r="CO178" i="6"/>
  <c r="CN178" i="6"/>
  <c r="CM178" i="6"/>
  <c r="CL178" i="6"/>
  <c r="CK178" i="6"/>
  <c r="CJ178" i="6"/>
  <c r="CI178" i="6"/>
  <c r="CH178" i="6"/>
  <c r="CG178" i="6"/>
  <c r="CF178" i="6"/>
  <c r="CE178" i="6"/>
  <c r="CD178" i="6"/>
  <c r="CC178" i="6"/>
  <c r="CB178" i="6"/>
  <c r="CA178" i="6"/>
  <c r="BZ178" i="6"/>
  <c r="BY178" i="6"/>
  <c r="BX178" i="6"/>
  <c r="BW178" i="6"/>
  <c r="BV178" i="6"/>
  <c r="BU178" i="6"/>
  <c r="BT178" i="6"/>
  <c r="BS178" i="6"/>
  <c r="BR178" i="6"/>
  <c r="BQ178" i="6"/>
  <c r="BP178" i="6"/>
  <c r="BO178" i="6"/>
  <c r="BN178" i="6"/>
  <c r="BM178" i="6"/>
  <c r="BL178" i="6"/>
  <c r="BK178" i="6"/>
  <c r="BJ178" i="6"/>
  <c r="BI178" i="6"/>
  <c r="BH178" i="6"/>
  <c r="BG178" i="6"/>
  <c r="BF178" i="6"/>
  <c r="BE178" i="6"/>
  <c r="BD178" i="6"/>
  <c r="BC178" i="6"/>
  <c r="BB178" i="6"/>
  <c r="BA178" i="6"/>
  <c r="AZ178" i="6"/>
  <c r="AY178" i="6"/>
  <c r="AX178" i="6"/>
  <c r="AW178" i="6"/>
  <c r="AV178" i="6"/>
  <c r="AU178" i="6"/>
  <c r="AT178" i="6"/>
  <c r="AS178" i="6"/>
  <c r="AR178" i="6"/>
  <c r="AQ178" i="6"/>
  <c r="AP178" i="6"/>
  <c r="AO178" i="6"/>
  <c r="AN178" i="6"/>
  <c r="AM178" i="6"/>
  <c r="AL178" i="6"/>
  <c r="AK178" i="6"/>
  <c r="AJ178" i="6"/>
  <c r="AI178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178" i="6"/>
  <c r="DE177" i="6"/>
  <c r="DD177" i="6"/>
  <c r="DC177" i="6"/>
  <c r="DB177" i="6"/>
  <c r="DA177" i="6"/>
  <c r="CZ177" i="6"/>
  <c r="CY177" i="6"/>
  <c r="CX177" i="6"/>
  <c r="CV177" i="6"/>
  <c r="CU177" i="6"/>
  <c r="CT177" i="6"/>
  <c r="CS177" i="6"/>
  <c r="CR177" i="6"/>
  <c r="CQ177" i="6"/>
  <c r="CP177" i="6"/>
  <c r="CO177" i="6"/>
  <c r="CN177" i="6"/>
  <c r="CM177" i="6"/>
  <c r="CL177" i="6"/>
  <c r="CK177" i="6"/>
  <c r="CJ177" i="6"/>
  <c r="CI177" i="6"/>
  <c r="CH177" i="6"/>
  <c r="CG177" i="6"/>
  <c r="CF177" i="6"/>
  <c r="CE177" i="6"/>
  <c r="CD177" i="6"/>
  <c r="CC177" i="6"/>
  <c r="CB177" i="6"/>
  <c r="CA177" i="6"/>
  <c r="BZ177" i="6"/>
  <c r="BY177" i="6"/>
  <c r="BX177" i="6"/>
  <c r="BW177" i="6"/>
  <c r="BV177" i="6"/>
  <c r="BU177" i="6"/>
  <c r="BT177" i="6"/>
  <c r="BS177" i="6"/>
  <c r="BR177" i="6"/>
  <c r="BQ177" i="6"/>
  <c r="BP177" i="6"/>
  <c r="BO177" i="6"/>
  <c r="BN177" i="6"/>
  <c r="BM177" i="6"/>
  <c r="BL177" i="6"/>
  <c r="BK177" i="6"/>
  <c r="BJ177" i="6"/>
  <c r="BI177" i="6"/>
  <c r="BH177" i="6"/>
  <c r="BG177" i="6"/>
  <c r="BF177" i="6"/>
  <c r="BE177" i="6"/>
  <c r="BD177" i="6"/>
  <c r="BC177" i="6"/>
  <c r="BB177" i="6"/>
  <c r="BA177" i="6"/>
  <c r="AZ177" i="6"/>
  <c r="AY177" i="6"/>
  <c r="AX177" i="6"/>
  <c r="AW177" i="6"/>
  <c r="AV177" i="6"/>
  <c r="AU177" i="6"/>
  <c r="AT177" i="6"/>
  <c r="AS177" i="6"/>
  <c r="AR177" i="6"/>
  <c r="AQ177" i="6"/>
  <c r="AP177" i="6"/>
  <c r="AO177" i="6"/>
  <c r="AN177" i="6"/>
  <c r="AM177" i="6"/>
  <c r="AL177" i="6"/>
  <c r="AK177" i="6"/>
  <c r="AJ177" i="6"/>
  <c r="AI177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177" i="6"/>
  <c r="DE176" i="6"/>
  <c r="DD176" i="6"/>
  <c r="DC176" i="6"/>
  <c r="DB176" i="6"/>
  <c r="DA176" i="6"/>
  <c r="CZ176" i="6"/>
  <c r="CY176" i="6"/>
  <c r="CX176" i="6"/>
  <c r="CV176" i="6"/>
  <c r="CU176" i="6"/>
  <c r="CT176" i="6"/>
  <c r="CS176" i="6"/>
  <c r="CR176" i="6"/>
  <c r="CQ176" i="6"/>
  <c r="CP176" i="6"/>
  <c r="CO176" i="6"/>
  <c r="CN176" i="6"/>
  <c r="CM176" i="6"/>
  <c r="CL176" i="6"/>
  <c r="CK176" i="6"/>
  <c r="CJ176" i="6"/>
  <c r="CI176" i="6"/>
  <c r="CH176" i="6"/>
  <c r="CG176" i="6"/>
  <c r="CF176" i="6"/>
  <c r="CE176" i="6"/>
  <c r="CD176" i="6"/>
  <c r="CC176" i="6"/>
  <c r="CB176" i="6"/>
  <c r="CA176" i="6"/>
  <c r="BZ176" i="6"/>
  <c r="BY176" i="6"/>
  <c r="BX176" i="6"/>
  <c r="BW176" i="6"/>
  <c r="BV176" i="6"/>
  <c r="BU176" i="6"/>
  <c r="BT176" i="6"/>
  <c r="BS176" i="6"/>
  <c r="BR176" i="6"/>
  <c r="BQ176" i="6"/>
  <c r="BP176" i="6"/>
  <c r="BO176" i="6"/>
  <c r="BN176" i="6"/>
  <c r="BM176" i="6"/>
  <c r="BL176" i="6"/>
  <c r="BK176" i="6"/>
  <c r="BJ176" i="6"/>
  <c r="BI176" i="6"/>
  <c r="BH176" i="6"/>
  <c r="BG176" i="6"/>
  <c r="BF176" i="6"/>
  <c r="BE176" i="6"/>
  <c r="BD176" i="6"/>
  <c r="BC176" i="6"/>
  <c r="BB176" i="6"/>
  <c r="BA176" i="6"/>
  <c r="AZ176" i="6"/>
  <c r="AY176" i="6"/>
  <c r="AX176" i="6"/>
  <c r="AW176" i="6"/>
  <c r="AV176" i="6"/>
  <c r="AU176" i="6"/>
  <c r="AT176" i="6"/>
  <c r="AS176" i="6"/>
  <c r="AR176" i="6"/>
  <c r="AQ176" i="6"/>
  <c r="AP176" i="6"/>
  <c r="AO176" i="6"/>
  <c r="AN176" i="6"/>
  <c r="AM176" i="6"/>
  <c r="AL176" i="6"/>
  <c r="AK176" i="6"/>
  <c r="AJ176" i="6"/>
  <c r="AI176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176" i="6"/>
  <c r="DE175" i="6"/>
  <c r="DD175" i="6"/>
  <c r="DC175" i="6"/>
  <c r="DB175" i="6"/>
  <c r="DA175" i="6"/>
  <c r="CZ175" i="6"/>
  <c r="CY175" i="6"/>
  <c r="CX175" i="6"/>
  <c r="CV175" i="6"/>
  <c r="CU175" i="6"/>
  <c r="CT175" i="6"/>
  <c r="CS175" i="6"/>
  <c r="CR175" i="6"/>
  <c r="CQ175" i="6"/>
  <c r="CP175" i="6"/>
  <c r="CO175" i="6"/>
  <c r="CN175" i="6"/>
  <c r="CM175" i="6"/>
  <c r="CL175" i="6"/>
  <c r="CK175" i="6"/>
  <c r="CJ175" i="6"/>
  <c r="CI175" i="6"/>
  <c r="CH175" i="6"/>
  <c r="CG175" i="6"/>
  <c r="CF175" i="6"/>
  <c r="CE175" i="6"/>
  <c r="CD175" i="6"/>
  <c r="CC175" i="6"/>
  <c r="CB175" i="6"/>
  <c r="CA175" i="6"/>
  <c r="BZ175" i="6"/>
  <c r="BY175" i="6"/>
  <c r="BX175" i="6"/>
  <c r="BW175" i="6"/>
  <c r="BV175" i="6"/>
  <c r="BU175" i="6"/>
  <c r="BT175" i="6"/>
  <c r="BS175" i="6"/>
  <c r="BR175" i="6"/>
  <c r="BQ175" i="6"/>
  <c r="BP175" i="6"/>
  <c r="BO175" i="6"/>
  <c r="BN175" i="6"/>
  <c r="BM175" i="6"/>
  <c r="BL175" i="6"/>
  <c r="BK175" i="6"/>
  <c r="BJ175" i="6"/>
  <c r="BI175" i="6"/>
  <c r="BH175" i="6"/>
  <c r="BG175" i="6"/>
  <c r="BF175" i="6"/>
  <c r="BE175" i="6"/>
  <c r="BD175" i="6"/>
  <c r="BC175" i="6"/>
  <c r="BB175" i="6"/>
  <c r="BA175" i="6"/>
  <c r="AZ175" i="6"/>
  <c r="AY175" i="6"/>
  <c r="AX175" i="6"/>
  <c r="AW175" i="6"/>
  <c r="AV175" i="6"/>
  <c r="AU175" i="6"/>
  <c r="AT175" i="6"/>
  <c r="AS175" i="6"/>
  <c r="AR175" i="6"/>
  <c r="AQ175" i="6"/>
  <c r="AP175" i="6"/>
  <c r="AO175" i="6"/>
  <c r="AN175" i="6"/>
  <c r="AM175" i="6"/>
  <c r="AL175" i="6"/>
  <c r="AK175" i="6"/>
  <c r="AJ175" i="6"/>
  <c r="AI175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175" i="6"/>
  <c r="DE174" i="6"/>
  <c r="DD174" i="6"/>
  <c r="DC174" i="6"/>
  <c r="DB174" i="6"/>
  <c r="DA174" i="6"/>
  <c r="CZ174" i="6"/>
  <c r="CY174" i="6"/>
  <c r="CX174" i="6"/>
  <c r="CV174" i="6"/>
  <c r="CU174" i="6"/>
  <c r="CT174" i="6"/>
  <c r="CS174" i="6"/>
  <c r="CR174" i="6"/>
  <c r="CQ174" i="6"/>
  <c r="CP174" i="6"/>
  <c r="CO174" i="6"/>
  <c r="CN174" i="6"/>
  <c r="CM174" i="6"/>
  <c r="CL174" i="6"/>
  <c r="CK174" i="6"/>
  <c r="CJ174" i="6"/>
  <c r="CI174" i="6"/>
  <c r="CH174" i="6"/>
  <c r="CG174" i="6"/>
  <c r="CF174" i="6"/>
  <c r="CE174" i="6"/>
  <c r="CD174" i="6"/>
  <c r="CC174" i="6"/>
  <c r="CB174" i="6"/>
  <c r="CA174" i="6"/>
  <c r="BZ174" i="6"/>
  <c r="BY174" i="6"/>
  <c r="BX174" i="6"/>
  <c r="BW174" i="6"/>
  <c r="BV174" i="6"/>
  <c r="BU174" i="6"/>
  <c r="BT174" i="6"/>
  <c r="BS174" i="6"/>
  <c r="BR174" i="6"/>
  <c r="BQ174" i="6"/>
  <c r="BP174" i="6"/>
  <c r="BO174" i="6"/>
  <c r="BN174" i="6"/>
  <c r="BM174" i="6"/>
  <c r="BL174" i="6"/>
  <c r="BK174" i="6"/>
  <c r="BJ174" i="6"/>
  <c r="BI174" i="6"/>
  <c r="BH174" i="6"/>
  <c r="BG174" i="6"/>
  <c r="BF174" i="6"/>
  <c r="BE174" i="6"/>
  <c r="BD174" i="6"/>
  <c r="BC174" i="6"/>
  <c r="BB174" i="6"/>
  <c r="BA174" i="6"/>
  <c r="AZ174" i="6"/>
  <c r="AY174" i="6"/>
  <c r="AX174" i="6"/>
  <c r="AW174" i="6"/>
  <c r="AV174" i="6"/>
  <c r="AU174" i="6"/>
  <c r="AT174" i="6"/>
  <c r="AS174" i="6"/>
  <c r="AR174" i="6"/>
  <c r="AQ174" i="6"/>
  <c r="AP174" i="6"/>
  <c r="AO174" i="6"/>
  <c r="AN174" i="6"/>
  <c r="AM174" i="6"/>
  <c r="AL174" i="6"/>
  <c r="AK174" i="6"/>
  <c r="AJ174" i="6"/>
  <c r="AI174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174" i="6"/>
  <c r="DE173" i="6"/>
  <c r="DD173" i="6"/>
  <c r="DC173" i="6"/>
  <c r="DB173" i="6"/>
  <c r="DA173" i="6"/>
  <c r="CZ173" i="6"/>
  <c r="CY173" i="6"/>
  <c r="CX173" i="6"/>
  <c r="CV173" i="6"/>
  <c r="CU173" i="6"/>
  <c r="CT173" i="6"/>
  <c r="CS173" i="6"/>
  <c r="CR173" i="6"/>
  <c r="CQ173" i="6"/>
  <c r="CP173" i="6"/>
  <c r="CO173" i="6"/>
  <c r="CN173" i="6"/>
  <c r="CM173" i="6"/>
  <c r="CL173" i="6"/>
  <c r="CK173" i="6"/>
  <c r="CJ173" i="6"/>
  <c r="CI173" i="6"/>
  <c r="CH173" i="6"/>
  <c r="CG173" i="6"/>
  <c r="CF173" i="6"/>
  <c r="CE173" i="6"/>
  <c r="CD173" i="6"/>
  <c r="CC173" i="6"/>
  <c r="CB173" i="6"/>
  <c r="CA173" i="6"/>
  <c r="BZ173" i="6"/>
  <c r="BY173" i="6"/>
  <c r="BX173" i="6"/>
  <c r="BW173" i="6"/>
  <c r="BV173" i="6"/>
  <c r="BU173" i="6"/>
  <c r="BT173" i="6"/>
  <c r="BS173" i="6"/>
  <c r="BR173" i="6"/>
  <c r="BQ173" i="6"/>
  <c r="BP173" i="6"/>
  <c r="BO173" i="6"/>
  <c r="BN173" i="6"/>
  <c r="BM173" i="6"/>
  <c r="BL173" i="6"/>
  <c r="BK173" i="6"/>
  <c r="BJ173" i="6"/>
  <c r="BI173" i="6"/>
  <c r="BH173" i="6"/>
  <c r="BG173" i="6"/>
  <c r="BF173" i="6"/>
  <c r="BE173" i="6"/>
  <c r="BD173" i="6"/>
  <c r="BC173" i="6"/>
  <c r="BB173" i="6"/>
  <c r="BA173" i="6"/>
  <c r="AZ173" i="6"/>
  <c r="AY173" i="6"/>
  <c r="AX173" i="6"/>
  <c r="AW173" i="6"/>
  <c r="AV173" i="6"/>
  <c r="AU173" i="6"/>
  <c r="AT173" i="6"/>
  <c r="AS173" i="6"/>
  <c r="AR173" i="6"/>
  <c r="AQ173" i="6"/>
  <c r="AP173" i="6"/>
  <c r="AO173" i="6"/>
  <c r="AN173" i="6"/>
  <c r="AM173" i="6"/>
  <c r="AL173" i="6"/>
  <c r="AK173" i="6"/>
  <c r="AJ173" i="6"/>
  <c r="AI173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173" i="6"/>
  <c r="DE172" i="6"/>
  <c r="DD172" i="6"/>
  <c r="DC172" i="6"/>
  <c r="DB172" i="6"/>
  <c r="DA172" i="6"/>
  <c r="CZ172" i="6"/>
  <c r="CY172" i="6"/>
  <c r="CX172" i="6"/>
  <c r="CV172" i="6"/>
  <c r="CU172" i="6"/>
  <c r="CT172" i="6"/>
  <c r="CS172" i="6"/>
  <c r="CR172" i="6"/>
  <c r="CQ172" i="6"/>
  <c r="CP172" i="6"/>
  <c r="CO172" i="6"/>
  <c r="CN172" i="6"/>
  <c r="CM172" i="6"/>
  <c r="CL172" i="6"/>
  <c r="CK172" i="6"/>
  <c r="CJ172" i="6"/>
  <c r="CI172" i="6"/>
  <c r="CH172" i="6"/>
  <c r="CG172" i="6"/>
  <c r="CF172" i="6"/>
  <c r="CE172" i="6"/>
  <c r="CD172" i="6"/>
  <c r="CC172" i="6"/>
  <c r="CB172" i="6"/>
  <c r="CA172" i="6"/>
  <c r="BZ172" i="6"/>
  <c r="BY172" i="6"/>
  <c r="BX172" i="6"/>
  <c r="BW172" i="6"/>
  <c r="BV172" i="6"/>
  <c r="BU172" i="6"/>
  <c r="BT172" i="6"/>
  <c r="BS172" i="6"/>
  <c r="BR172" i="6"/>
  <c r="BQ172" i="6"/>
  <c r="BP172" i="6"/>
  <c r="BO172" i="6"/>
  <c r="BN172" i="6"/>
  <c r="BM172" i="6"/>
  <c r="BL172" i="6"/>
  <c r="BK172" i="6"/>
  <c r="BJ172" i="6"/>
  <c r="BI172" i="6"/>
  <c r="BH172" i="6"/>
  <c r="BG172" i="6"/>
  <c r="BF172" i="6"/>
  <c r="BE172" i="6"/>
  <c r="BD172" i="6"/>
  <c r="BC172" i="6"/>
  <c r="BB172" i="6"/>
  <c r="BA172" i="6"/>
  <c r="AZ172" i="6"/>
  <c r="AY172" i="6"/>
  <c r="AX172" i="6"/>
  <c r="AW172" i="6"/>
  <c r="AV172" i="6"/>
  <c r="AU172" i="6"/>
  <c r="AT172" i="6"/>
  <c r="AS172" i="6"/>
  <c r="AR172" i="6"/>
  <c r="AQ172" i="6"/>
  <c r="AP172" i="6"/>
  <c r="AO172" i="6"/>
  <c r="AN172" i="6"/>
  <c r="AM172" i="6"/>
  <c r="AL172" i="6"/>
  <c r="AK172" i="6"/>
  <c r="AJ172" i="6"/>
  <c r="AI172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172" i="6"/>
  <c r="DE171" i="6"/>
  <c r="DD171" i="6"/>
  <c r="DC171" i="6"/>
  <c r="DB171" i="6"/>
  <c r="DA171" i="6"/>
  <c r="CZ171" i="6"/>
  <c r="CY171" i="6"/>
  <c r="CX171" i="6"/>
  <c r="CV171" i="6"/>
  <c r="CU171" i="6"/>
  <c r="CT171" i="6"/>
  <c r="CS171" i="6"/>
  <c r="CR171" i="6"/>
  <c r="CQ171" i="6"/>
  <c r="CP171" i="6"/>
  <c r="CO171" i="6"/>
  <c r="CN171" i="6"/>
  <c r="CM171" i="6"/>
  <c r="CL171" i="6"/>
  <c r="CK171" i="6"/>
  <c r="CJ171" i="6"/>
  <c r="CI171" i="6"/>
  <c r="CH171" i="6"/>
  <c r="CG171" i="6"/>
  <c r="CF171" i="6"/>
  <c r="CE171" i="6"/>
  <c r="CD171" i="6"/>
  <c r="CC171" i="6"/>
  <c r="CB171" i="6"/>
  <c r="CA171" i="6"/>
  <c r="BZ171" i="6"/>
  <c r="BY171" i="6"/>
  <c r="BX171" i="6"/>
  <c r="BW171" i="6"/>
  <c r="BV171" i="6"/>
  <c r="BU171" i="6"/>
  <c r="BT171" i="6"/>
  <c r="BS171" i="6"/>
  <c r="BR171" i="6"/>
  <c r="BQ171" i="6"/>
  <c r="BP171" i="6"/>
  <c r="BO171" i="6"/>
  <c r="BN171" i="6"/>
  <c r="BM171" i="6"/>
  <c r="BL171" i="6"/>
  <c r="BK171" i="6"/>
  <c r="BJ171" i="6"/>
  <c r="BI171" i="6"/>
  <c r="BH171" i="6"/>
  <c r="BG171" i="6"/>
  <c r="BF171" i="6"/>
  <c r="BE171" i="6"/>
  <c r="BD171" i="6"/>
  <c r="BC171" i="6"/>
  <c r="BB171" i="6"/>
  <c r="BA171" i="6"/>
  <c r="AZ171" i="6"/>
  <c r="AY171" i="6"/>
  <c r="AX171" i="6"/>
  <c r="AW171" i="6"/>
  <c r="AV171" i="6"/>
  <c r="AU171" i="6"/>
  <c r="AT171" i="6"/>
  <c r="AS171" i="6"/>
  <c r="AR171" i="6"/>
  <c r="AQ171" i="6"/>
  <c r="AP171" i="6"/>
  <c r="AO171" i="6"/>
  <c r="AN171" i="6"/>
  <c r="AM171" i="6"/>
  <c r="AL171" i="6"/>
  <c r="AK171" i="6"/>
  <c r="AJ171" i="6"/>
  <c r="AI171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171" i="6"/>
  <c r="DE170" i="6"/>
  <c r="DD170" i="6"/>
  <c r="DC170" i="6"/>
  <c r="DB170" i="6"/>
  <c r="DA170" i="6"/>
  <c r="CZ170" i="6"/>
  <c r="CY170" i="6"/>
  <c r="CX170" i="6"/>
  <c r="CV170" i="6"/>
  <c r="CU170" i="6"/>
  <c r="CT170" i="6"/>
  <c r="CS170" i="6"/>
  <c r="CR170" i="6"/>
  <c r="CQ170" i="6"/>
  <c r="CP170" i="6"/>
  <c r="CO170" i="6"/>
  <c r="CN170" i="6"/>
  <c r="CM170" i="6"/>
  <c r="CL170" i="6"/>
  <c r="CK170" i="6"/>
  <c r="CJ170" i="6"/>
  <c r="CI170" i="6"/>
  <c r="CH170" i="6"/>
  <c r="CG170" i="6"/>
  <c r="CF170" i="6"/>
  <c r="CE170" i="6"/>
  <c r="CD170" i="6"/>
  <c r="CC170" i="6"/>
  <c r="CB170" i="6"/>
  <c r="CA170" i="6"/>
  <c r="BZ170" i="6"/>
  <c r="BY170" i="6"/>
  <c r="BX170" i="6"/>
  <c r="BW170" i="6"/>
  <c r="BV170" i="6"/>
  <c r="BU170" i="6"/>
  <c r="BT170" i="6"/>
  <c r="BS170" i="6"/>
  <c r="BR170" i="6"/>
  <c r="BQ170" i="6"/>
  <c r="BP170" i="6"/>
  <c r="BO170" i="6"/>
  <c r="BN170" i="6"/>
  <c r="BM170" i="6"/>
  <c r="BL170" i="6"/>
  <c r="BK170" i="6"/>
  <c r="BJ170" i="6"/>
  <c r="BI170" i="6"/>
  <c r="BH170" i="6"/>
  <c r="BG170" i="6"/>
  <c r="BF170" i="6"/>
  <c r="BE170" i="6"/>
  <c r="BD170" i="6"/>
  <c r="BC170" i="6"/>
  <c r="BB170" i="6"/>
  <c r="BA170" i="6"/>
  <c r="AZ170" i="6"/>
  <c r="AY170" i="6"/>
  <c r="AX170" i="6"/>
  <c r="AW170" i="6"/>
  <c r="AV170" i="6"/>
  <c r="AU170" i="6"/>
  <c r="AT170" i="6"/>
  <c r="AS170" i="6"/>
  <c r="AR170" i="6"/>
  <c r="AQ170" i="6"/>
  <c r="AP170" i="6"/>
  <c r="AO170" i="6"/>
  <c r="AN170" i="6"/>
  <c r="AM170" i="6"/>
  <c r="AL170" i="6"/>
  <c r="AK170" i="6"/>
  <c r="AJ170" i="6"/>
  <c r="AI170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170" i="6"/>
  <c r="DE169" i="6"/>
  <c r="DD169" i="6"/>
  <c r="DC169" i="6"/>
  <c r="DB169" i="6"/>
  <c r="DA169" i="6"/>
  <c r="CZ169" i="6"/>
  <c r="CY169" i="6"/>
  <c r="CX169" i="6"/>
  <c r="CV169" i="6"/>
  <c r="CU169" i="6"/>
  <c r="CT169" i="6"/>
  <c r="CS169" i="6"/>
  <c r="CR169" i="6"/>
  <c r="CQ169" i="6"/>
  <c r="CP169" i="6"/>
  <c r="CO169" i="6"/>
  <c r="CN169" i="6"/>
  <c r="CM169" i="6"/>
  <c r="CL169" i="6"/>
  <c r="CK169" i="6"/>
  <c r="CJ169" i="6"/>
  <c r="CI169" i="6"/>
  <c r="CH169" i="6"/>
  <c r="CG169" i="6"/>
  <c r="CF169" i="6"/>
  <c r="CE169" i="6"/>
  <c r="CD169" i="6"/>
  <c r="CC169" i="6"/>
  <c r="CB169" i="6"/>
  <c r="CA169" i="6"/>
  <c r="BZ169" i="6"/>
  <c r="BY169" i="6"/>
  <c r="BX169" i="6"/>
  <c r="BW169" i="6"/>
  <c r="BV169" i="6"/>
  <c r="BU169" i="6"/>
  <c r="BT169" i="6"/>
  <c r="BS169" i="6"/>
  <c r="BR169" i="6"/>
  <c r="BQ169" i="6"/>
  <c r="BP169" i="6"/>
  <c r="BO169" i="6"/>
  <c r="BN169" i="6"/>
  <c r="BM169" i="6"/>
  <c r="BL169" i="6"/>
  <c r="BK169" i="6"/>
  <c r="BJ169" i="6"/>
  <c r="BI169" i="6"/>
  <c r="BH169" i="6"/>
  <c r="BG169" i="6"/>
  <c r="BF169" i="6"/>
  <c r="BE169" i="6"/>
  <c r="BD169" i="6"/>
  <c r="BC169" i="6"/>
  <c r="BB169" i="6"/>
  <c r="BA169" i="6"/>
  <c r="AZ169" i="6"/>
  <c r="AY169" i="6"/>
  <c r="AX169" i="6"/>
  <c r="AW169" i="6"/>
  <c r="AV169" i="6"/>
  <c r="AU169" i="6"/>
  <c r="AT169" i="6"/>
  <c r="AS169" i="6"/>
  <c r="AR169" i="6"/>
  <c r="AQ169" i="6"/>
  <c r="AP169" i="6"/>
  <c r="AO169" i="6"/>
  <c r="AN169" i="6"/>
  <c r="AM169" i="6"/>
  <c r="AL169" i="6"/>
  <c r="AK169" i="6"/>
  <c r="AJ169" i="6"/>
  <c r="AI169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169" i="6"/>
  <c r="DE168" i="6"/>
  <c r="DD168" i="6"/>
  <c r="DC168" i="6"/>
  <c r="DB168" i="6"/>
  <c r="DA168" i="6"/>
  <c r="CZ168" i="6"/>
  <c r="CY168" i="6"/>
  <c r="CX168" i="6"/>
  <c r="CV168" i="6"/>
  <c r="CU168" i="6"/>
  <c r="CT168" i="6"/>
  <c r="CS168" i="6"/>
  <c r="CR168" i="6"/>
  <c r="CQ168" i="6"/>
  <c r="CP168" i="6"/>
  <c r="CO168" i="6"/>
  <c r="CN168" i="6"/>
  <c r="CM168" i="6"/>
  <c r="CL168" i="6"/>
  <c r="CK168" i="6"/>
  <c r="CJ168" i="6"/>
  <c r="CI168" i="6"/>
  <c r="CH168" i="6"/>
  <c r="CG168" i="6"/>
  <c r="CF168" i="6"/>
  <c r="CE168" i="6"/>
  <c r="CD168" i="6"/>
  <c r="CC168" i="6"/>
  <c r="CB168" i="6"/>
  <c r="CA168" i="6"/>
  <c r="BZ168" i="6"/>
  <c r="BY168" i="6"/>
  <c r="BX168" i="6"/>
  <c r="BW168" i="6"/>
  <c r="BV168" i="6"/>
  <c r="BU168" i="6"/>
  <c r="BT168" i="6"/>
  <c r="BS168" i="6"/>
  <c r="BR168" i="6"/>
  <c r="BQ168" i="6"/>
  <c r="BP168" i="6"/>
  <c r="BO168" i="6"/>
  <c r="BN168" i="6"/>
  <c r="BM168" i="6"/>
  <c r="BL168" i="6"/>
  <c r="BK168" i="6"/>
  <c r="BJ168" i="6"/>
  <c r="BI168" i="6"/>
  <c r="BH168" i="6"/>
  <c r="BG168" i="6"/>
  <c r="BF168" i="6"/>
  <c r="BE168" i="6"/>
  <c r="BD168" i="6"/>
  <c r="BC168" i="6"/>
  <c r="BB168" i="6"/>
  <c r="BA168" i="6"/>
  <c r="AZ168" i="6"/>
  <c r="AY168" i="6"/>
  <c r="AX168" i="6"/>
  <c r="AW168" i="6"/>
  <c r="AV168" i="6"/>
  <c r="AU168" i="6"/>
  <c r="AT168" i="6"/>
  <c r="AS168" i="6"/>
  <c r="AR168" i="6"/>
  <c r="AQ168" i="6"/>
  <c r="AP168" i="6"/>
  <c r="AO168" i="6"/>
  <c r="AN168" i="6"/>
  <c r="AM168" i="6"/>
  <c r="AL168" i="6"/>
  <c r="AK168" i="6"/>
  <c r="AJ168" i="6"/>
  <c r="AI168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168" i="6"/>
  <c r="DE167" i="6"/>
  <c r="DD167" i="6"/>
  <c r="DC167" i="6"/>
  <c r="DB167" i="6"/>
  <c r="DA167" i="6"/>
  <c r="CZ167" i="6"/>
  <c r="CY167" i="6"/>
  <c r="CX167" i="6"/>
  <c r="CV167" i="6"/>
  <c r="CU167" i="6"/>
  <c r="CT167" i="6"/>
  <c r="CS167" i="6"/>
  <c r="CR167" i="6"/>
  <c r="CQ167" i="6"/>
  <c r="CP167" i="6"/>
  <c r="CO167" i="6"/>
  <c r="CN167" i="6"/>
  <c r="CM167" i="6"/>
  <c r="CL167" i="6"/>
  <c r="CK167" i="6"/>
  <c r="CJ167" i="6"/>
  <c r="CI167" i="6"/>
  <c r="CH167" i="6"/>
  <c r="CG167" i="6"/>
  <c r="CF167" i="6"/>
  <c r="CE167" i="6"/>
  <c r="CD167" i="6"/>
  <c r="CC167" i="6"/>
  <c r="CB167" i="6"/>
  <c r="CA167" i="6"/>
  <c r="BZ167" i="6"/>
  <c r="BY167" i="6"/>
  <c r="BX167" i="6"/>
  <c r="BW167" i="6"/>
  <c r="BV167" i="6"/>
  <c r="BU167" i="6"/>
  <c r="BT167" i="6"/>
  <c r="BS167" i="6"/>
  <c r="BR167" i="6"/>
  <c r="BQ167" i="6"/>
  <c r="BP167" i="6"/>
  <c r="BO167" i="6"/>
  <c r="BN167" i="6"/>
  <c r="BM167" i="6"/>
  <c r="BL167" i="6"/>
  <c r="BK167" i="6"/>
  <c r="BJ167" i="6"/>
  <c r="BI167" i="6"/>
  <c r="BH167" i="6"/>
  <c r="BG167" i="6"/>
  <c r="BF167" i="6"/>
  <c r="BE167" i="6"/>
  <c r="BD167" i="6"/>
  <c r="BC167" i="6"/>
  <c r="BB167" i="6"/>
  <c r="BA167" i="6"/>
  <c r="AZ167" i="6"/>
  <c r="AY167" i="6"/>
  <c r="AX167" i="6"/>
  <c r="AW167" i="6"/>
  <c r="AV167" i="6"/>
  <c r="AU167" i="6"/>
  <c r="AT167" i="6"/>
  <c r="AS167" i="6"/>
  <c r="AR167" i="6"/>
  <c r="AQ167" i="6"/>
  <c r="AP167" i="6"/>
  <c r="AO167" i="6"/>
  <c r="AN167" i="6"/>
  <c r="AM167" i="6"/>
  <c r="AL167" i="6"/>
  <c r="AK167" i="6"/>
  <c r="AJ167" i="6"/>
  <c r="AI167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167" i="6"/>
  <c r="DE166" i="6"/>
  <c r="DD166" i="6"/>
  <c r="DC166" i="6"/>
  <c r="DB166" i="6"/>
  <c r="DA166" i="6"/>
  <c r="CZ166" i="6"/>
  <c r="CY166" i="6"/>
  <c r="CX166" i="6"/>
  <c r="CV166" i="6"/>
  <c r="CU166" i="6"/>
  <c r="CT166" i="6"/>
  <c r="CS166" i="6"/>
  <c r="CR166" i="6"/>
  <c r="CQ166" i="6"/>
  <c r="CP166" i="6"/>
  <c r="CO166" i="6"/>
  <c r="CN166" i="6"/>
  <c r="CM166" i="6"/>
  <c r="CL166" i="6"/>
  <c r="CK166" i="6"/>
  <c r="CJ166" i="6"/>
  <c r="CI166" i="6"/>
  <c r="CH166" i="6"/>
  <c r="CG166" i="6"/>
  <c r="CF166" i="6"/>
  <c r="CE166" i="6"/>
  <c r="CD166" i="6"/>
  <c r="CC166" i="6"/>
  <c r="CB166" i="6"/>
  <c r="CA166" i="6"/>
  <c r="BZ166" i="6"/>
  <c r="BY166" i="6"/>
  <c r="BX166" i="6"/>
  <c r="BW166" i="6"/>
  <c r="BV166" i="6"/>
  <c r="BU166" i="6"/>
  <c r="BT166" i="6"/>
  <c r="BS166" i="6"/>
  <c r="BR166" i="6"/>
  <c r="BQ166" i="6"/>
  <c r="BP166" i="6"/>
  <c r="BO166" i="6"/>
  <c r="BN166" i="6"/>
  <c r="BM166" i="6"/>
  <c r="BL166" i="6"/>
  <c r="BK166" i="6"/>
  <c r="BJ166" i="6"/>
  <c r="BI166" i="6"/>
  <c r="BH166" i="6"/>
  <c r="BG166" i="6"/>
  <c r="BF166" i="6"/>
  <c r="BE166" i="6"/>
  <c r="BD166" i="6"/>
  <c r="BC166" i="6"/>
  <c r="BB166" i="6"/>
  <c r="BA166" i="6"/>
  <c r="AZ166" i="6"/>
  <c r="AY166" i="6"/>
  <c r="AX166" i="6"/>
  <c r="AW166" i="6"/>
  <c r="AV166" i="6"/>
  <c r="AU166" i="6"/>
  <c r="AT166" i="6"/>
  <c r="AS166" i="6"/>
  <c r="AR166" i="6"/>
  <c r="AQ166" i="6"/>
  <c r="AP166" i="6"/>
  <c r="AO166" i="6"/>
  <c r="AN166" i="6"/>
  <c r="AM166" i="6"/>
  <c r="AL166" i="6"/>
  <c r="AK166" i="6"/>
  <c r="AJ166" i="6"/>
  <c r="AI166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166" i="6"/>
  <c r="DE165" i="6"/>
  <c r="DD165" i="6"/>
  <c r="DC165" i="6"/>
  <c r="DB165" i="6"/>
  <c r="DA165" i="6"/>
  <c r="CZ165" i="6"/>
  <c r="CY165" i="6"/>
  <c r="CX165" i="6"/>
  <c r="CV165" i="6"/>
  <c r="CU165" i="6"/>
  <c r="CT165" i="6"/>
  <c r="CS165" i="6"/>
  <c r="CR165" i="6"/>
  <c r="CQ165" i="6"/>
  <c r="CP165" i="6"/>
  <c r="CO165" i="6"/>
  <c r="CN165" i="6"/>
  <c r="CM165" i="6"/>
  <c r="CL165" i="6"/>
  <c r="CK165" i="6"/>
  <c r="CJ165" i="6"/>
  <c r="CI165" i="6"/>
  <c r="CH165" i="6"/>
  <c r="CG165" i="6"/>
  <c r="CF165" i="6"/>
  <c r="CE165" i="6"/>
  <c r="CD165" i="6"/>
  <c r="CC165" i="6"/>
  <c r="CB165" i="6"/>
  <c r="CA165" i="6"/>
  <c r="BZ165" i="6"/>
  <c r="BY165" i="6"/>
  <c r="BX165" i="6"/>
  <c r="BW165" i="6"/>
  <c r="BV165" i="6"/>
  <c r="BU165" i="6"/>
  <c r="BT165" i="6"/>
  <c r="BS165" i="6"/>
  <c r="BR165" i="6"/>
  <c r="BQ165" i="6"/>
  <c r="BP165" i="6"/>
  <c r="BO165" i="6"/>
  <c r="BN165" i="6"/>
  <c r="BM165" i="6"/>
  <c r="BL165" i="6"/>
  <c r="BK165" i="6"/>
  <c r="BJ165" i="6"/>
  <c r="BI165" i="6"/>
  <c r="BH165" i="6"/>
  <c r="BG165" i="6"/>
  <c r="BF165" i="6"/>
  <c r="BE165" i="6"/>
  <c r="BD165" i="6"/>
  <c r="BC165" i="6"/>
  <c r="BB165" i="6"/>
  <c r="BA165" i="6"/>
  <c r="AZ165" i="6"/>
  <c r="AY165" i="6"/>
  <c r="AX165" i="6"/>
  <c r="AW165" i="6"/>
  <c r="AV165" i="6"/>
  <c r="AU165" i="6"/>
  <c r="AT165" i="6"/>
  <c r="AS165" i="6"/>
  <c r="AR165" i="6"/>
  <c r="AQ165" i="6"/>
  <c r="AP165" i="6"/>
  <c r="AO165" i="6"/>
  <c r="AN165" i="6"/>
  <c r="AM165" i="6"/>
  <c r="AL165" i="6"/>
  <c r="AK165" i="6"/>
  <c r="AJ165" i="6"/>
  <c r="AI165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165" i="6"/>
  <c r="DE164" i="6"/>
  <c r="DD164" i="6"/>
  <c r="DC164" i="6"/>
  <c r="DB164" i="6"/>
  <c r="DA164" i="6"/>
  <c r="CZ164" i="6"/>
  <c r="CY164" i="6"/>
  <c r="CX164" i="6"/>
  <c r="CV164" i="6"/>
  <c r="CU164" i="6"/>
  <c r="CT164" i="6"/>
  <c r="CS164" i="6"/>
  <c r="CR164" i="6"/>
  <c r="CQ164" i="6"/>
  <c r="CP164" i="6"/>
  <c r="CO164" i="6"/>
  <c r="CN164" i="6"/>
  <c r="CM164" i="6"/>
  <c r="CL164" i="6"/>
  <c r="CK164" i="6"/>
  <c r="CJ164" i="6"/>
  <c r="CI164" i="6"/>
  <c r="CH164" i="6"/>
  <c r="CG164" i="6"/>
  <c r="CF164" i="6"/>
  <c r="CE164" i="6"/>
  <c r="CD164" i="6"/>
  <c r="CC164" i="6"/>
  <c r="CB164" i="6"/>
  <c r="CA164" i="6"/>
  <c r="BZ164" i="6"/>
  <c r="BY164" i="6"/>
  <c r="BX164" i="6"/>
  <c r="BW164" i="6"/>
  <c r="BV164" i="6"/>
  <c r="BU164" i="6"/>
  <c r="BT164" i="6"/>
  <c r="BS164" i="6"/>
  <c r="BR164" i="6"/>
  <c r="BQ164" i="6"/>
  <c r="BP164" i="6"/>
  <c r="BO164" i="6"/>
  <c r="BN164" i="6"/>
  <c r="BM164" i="6"/>
  <c r="BL164" i="6"/>
  <c r="BK164" i="6"/>
  <c r="BJ164" i="6"/>
  <c r="BI164" i="6"/>
  <c r="BH164" i="6"/>
  <c r="BG164" i="6"/>
  <c r="BF164" i="6"/>
  <c r="BE164" i="6"/>
  <c r="BD164" i="6"/>
  <c r="BC164" i="6"/>
  <c r="BB164" i="6"/>
  <c r="BA164" i="6"/>
  <c r="AZ164" i="6"/>
  <c r="AY164" i="6"/>
  <c r="AX164" i="6"/>
  <c r="AW164" i="6"/>
  <c r="AV164" i="6"/>
  <c r="AU164" i="6"/>
  <c r="AT164" i="6"/>
  <c r="AS164" i="6"/>
  <c r="AR164" i="6"/>
  <c r="AQ164" i="6"/>
  <c r="AP164" i="6"/>
  <c r="AO164" i="6"/>
  <c r="AN164" i="6"/>
  <c r="AM164" i="6"/>
  <c r="AL164" i="6"/>
  <c r="AK164" i="6"/>
  <c r="AJ164" i="6"/>
  <c r="AI164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164" i="6"/>
  <c r="DE163" i="6"/>
  <c r="DD163" i="6"/>
  <c r="DC163" i="6"/>
  <c r="DB163" i="6"/>
  <c r="DA163" i="6"/>
  <c r="CZ163" i="6"/>
  <c r="CY163" i="6"/>
  <c r="CX163" i="6"/>
  <c r="CV163" i="6"/>
  <c r="CU163" i="6"/>
  <c r="CT163" i="6"/>
  <c r="CS163" i="6"/>
  <c r="CR163" i="6"/>
  <c r="CQ163" i="6"/>
  <c r="CP163" i="6"/>
  <c r="CO163" i="6"/>
  <c r="CN163" i="6"/>
  <c r="CM163" i="6"/>
  <c r="CL163" i="6"/>
  <c r="CK163" i="6"/>
  <c r="CJ163" i="6"/>
  <c r="CI163" i="6"/>
  <c r="CH163" i="6"/>
  <c r="CG163" i="6"/>
  <c r="CF163" i="6"/>
  <c r="CE163" i="6"/>
  <c r="CD163" i="6"/>
  <c r="CC163" i="6"/>
  <c r="CB163" i="6"/>
  <c r="CA163" i="6"/>
  <c r="BZ163" i="6"/>
  <c r="BY163" i="6"/>
  <c r="BX163" i="6"/>
  <c r="BW163" i="6"/>
  <c r="BV163" i="6"/>
  <c r="BU163" i="6"/>
  <c r="BT163" i="6"/>
  <c r="BS163" i="6"/>
  <c r="BR163" i="6"/>
  <c r="BQ163" i="6"/>
  <c r="BP163" i="6"/>
  <c r="BO163" i="6"/>
  <c r="BN163" i="6"/>
  <c r="BM163" i="6"/>
  <c r="BL163" i="6"/>
  <c r="BK163" i="6"/>
  <c r="BJ163" i="6"/>
  <c r="BI163" i="6"/>
  <c r="BH163" i="6"/>
  <c r="BG163" i="6"/>
  <c r="BF163" i="6"/>
  <c r="BE163" i="6"/>
  <c r="BD163" i="6"/>
  <c r="BC163" i="6"/>
  <c r="BB163" i="6"/>
  <c r="BA163" i="6"/>
  <c r="AZ163" i="6"/>
  <c r="AY163" i="6"/>
  <c r="AX163" i="6"/>
  <c r="AW163" i="6"/>
  <c r="AV163" i="6"/>
  <c r="AU163" i="6"/>
  <c r="AT163" i="6"/>
  <c r="AS163" i="6"/>
  <c r="AR163" i="6"/>
  <c r="AQ163" i="6"/>
  <c r="AP163" i="6"/>
  <c r="AO163" i="6"/>
  <c r="AN163" i="6"/>
  <c r="AM163" i="6"/>
  <c r="AL163" i="6"/>
  <c r="AK163" i="6"/>
  <c r="AJ163" i="6"/>
  <c r="AI163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163" i="6"/>
  <c r="DE162" i="6"/>
  <c r="DD162" i="6"/>
  <c r="DC162" i="6"/>
  <c r="DB162" i="6"/>
  <c r="DA162" i="6"/>
  <c r="CZ162" i="6"/>
  <c r="CY162" i="6"/>
  <c r="CX162" i="6"/>
  <c r="CV162" i="6"/>
  <c r="CU162" i="6"/>
  <c r="CT162" i="6"/>
  <c r="CS162" i="6"/>
  <c r="CR162" i="6"/>
  <c r="CQ162" i="6"/>
  <c r="CP162" i="6"/>
  <c r="CO162" i="6"/>
  <c r="CN162" i="6"/>
  <c r="CM162" i="6"/>
  <c r="CL162" i="6"/>
  <c r="CK162" i="6"/>
  <c r="CJ162" i="6"/>
  <c r="CI162" i="6"/>
  <c r="CH162" i="6"/>
  <c r="CG162" i="6"/>
  <c r="CF162" i="6"/>
  <c r="CE162" i="6"/>
  <c r="CD162" i="6"/>
  <c r="CC162" i="6"/>
  <c r="CB162" i="6"/>
  <c r="CA162" i="6"/>
  <c r="BZ162" i="6"/>
  <c r="BY162" i="6"/>
  <c r="BX162" i="6"/>
  <c r="BW162" i="6"/>
  <c r="BV162" i="6"/>
  <c r="BU162" i="6"/>
  <c r="BT162" i="6"/>
  <c r="BS162" i="6"/>
  <c r="BR162" i="6"/>
  <c r="BQ162" i="6"/>
  <c r="BP162" i="6"/>
  <c r="BO162" i="6"/>
  <c r="BN162" i="6"/>
  <c r="BM162" i="6"/>
  <c r="BL162" i="6"/>
  <c r="BK162" i="6"/>
  <c r="BJ162" i="6"/>
  <c r="BI162" i="6"/>
  <c r="BH162" i="6"/>
  <c r="BG162" i="6"/>
  <c r="BF162" i="6"/>
  <c r="BE162" i="6"/>
  <c r="BD162" i="6"/>
  <c r="BC162" i="6"/>
  <c r="BB162" i="6"/>
  <c r="BA162" i="6"/>
  <c r="AZ162" i="6"/>
  <c r="AY162" i="6"/>
  <c r="AX162" i="6"/>
  <c r="AW162" i="6"/>
  <c r="AV162" i="6"/>
  <c r="AU162" i="6"/>
  <c r="AT162" i="6"/>
  <c r="AS162" i="6"/>
  <c r="AR162" i="6"/>
  <c r="AQ162" i="6"/>
  <c r="AP162" i="6"/>
  <c r="AO162" i="6"/>
  <c r="AN162" i="6"/>
  <c r="AM162" i="6"/>
  <c r="AL162" i="6"/>
  <c r="AK162" i="6"/>
  <c r="AJ162" i="6"/>
  <c r="AI162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162" i="6"/>
  <c r="DE161" i="6"/>
  <c r="DD161" i="6"/>
  <c r="DC161" i="6"/>
  <c r="DB161" i="6"/>
  <c r="DA161" i="6"/>
  <c r="CZ161" i="6"/>
  <c r="CY161" i="6"/>
  <c r="CX161" i="6"/>
  <c r="CV161" i="6"/>
  <c r="CU161" i="6"/>
  <c r="CT161" i="6"/>
  <c r="CS161" i="6"/>
  <c r="CR161" i="6"/>
  <c r="CQ161" i="6"/>
  <c r="CP161" i="6"/>
  <c r="CO161" i="6"/>
  <c r="CN161" i="6"/>
  <c r="CM161" i="6"/>
  <c r="CL161" i="6"/>
  <c r="CK161" i="6"/>
  <c r="CJ161" i="6"/>
  <c r="CI161" i="6"/>
  <c r="CH161" i="6"/>
  <c r="CG161" i="6"/>
  <c r="CF161" i="6"/>
  <c r="CE161" i="6"/>
  <c r="CD161" i="6"/>
  <c r="CC161" i="6"/>
  <c r="CB161" i="6"/>
  <c r="CA161" i="6"/>
  <c r="BZ161" i="6"/>
  <c r="BY161" i="6"/>
  <c r="BX161" i="6"/>
  <c r="BW161" i="6"/>
  <c r="BV161" i="6"/>
  <c r="BU161" i="6"/>
  <c r="BT161" i="6"/>
  <c r="BS161" i="6"/>
  <c r="BR161" i="6"/>
  <c r="BQ161" i="6"/>
  <c r="BP161" i="6"/>
  <c r="BO161" i="6"/>
  <c r="BN161" i="6"/>
  <c r="BM161" i="6"/>
  <c r="BL161" i="6"/>
  <c r="BK161" i="6"/>
  <c r="BJ161" i="6"/>
  <c r="BI161" i="6"/>
  <c r="BH161" i="6"/>
  <c r="BG161" i="6"/>
  <c r="BF161" i="6"/>
  <c r="BE161" i="6"/>
  <c r="BD161" i="6"/>
  <c r="BC161" i="6"/>
  <c r="BB161" i="6"/>
  <c r="BA161" i="6"/>
  <c r="AZ161" i="6"/>
  <c r="AY161" i="6"/>
  <c r="AX161" i="6"/>
  <c r="AW161" i="6"/>
  <c r="AV161" i="6"/>
  <c r="AU161" i="6"/>
  <c r="AT161" i="6"/>
  <c r="AS161" i="6"/>
  <c r="AR161" i="6"/>
  <c r="AQ161" i="6"/>
  <c r="AP161" i="6"/>
  <c r="AO161" i="6"/>
  <c r="AN161" i="6"/>
  <c r="AM161" i="6"/>
  <c r="AL161" i="6"/>
  <c r="AK161" i="6"/>
  <c r="AJ161" i="6"/>
  <c r="AI161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161" i="6"/>
  <c r="DE160" i="6"/>
  <c r="DD160" i="6"/>
  <c r="DC160" i="6"/>
  <c r="DB160" i="6"/>
  <c r="DA160" i="6"/>
  <c r="CZ160" i="6"/>
  <c r="CY160" i="6"/>
  <c r="CX160" i="6"/>
  <c r="CV160" i="6"/>
  <c r="CU160" i="6"/>
  <c r="CT160" i="6"/>
  <c r="CS160" i="6"/>
  <c r="CR160" i="6"/>
  <c r="CQ160" i="6"/>
  <c r="CP160" i="6"/>
  <c r="CO160" i="6"/>
  <c r="CN160" i="6"/>
  <c r="CM160" i="6"/>
  <c r="CL160" i="6"/>
  <c r="CK160" i="6"/>
  <c r="CJ160" i="6"/>
  <c r="CI160" i="6"/>
  <c r="CH160" i="6"/>
  <c r="CG160" i="6"/>
  <c r="CF160" i="6"/>
  <c r="CE160" i="6"/>
  <c r="CD160" i="6"/>
  <c r="CC160" i="6"/>
  <c r="CB160" i="6"/>
  <c r="CA160" i="6"/>
  <c r="BZ160" i="6"/>
  <c r="BY160" i="6"/>
  <c r="BX160" i="6"/>
  <c r="BW160" i="6"/>
  <c r="BV160" i="6"/>
  <c r="BU160" i="6"/>
  <c r="BT160" i="6"/>
  <c r="BS160" i="6"/>
  <c r="BR160" i="6"/>
  <c r="BQ160" i="6"/>
  <c r="BP160" i="6"/>
  <c r="BO160" i="6"/>
  <c r="BN160" i="6"/>
  <c r="BM160" i="6"/>
  <c r="BL160" i="6"/>
  <c r="BK160" i="6"/>
  <c r="BJ160" i="6"/>
  <c r="BI160" i="6"/>
  <c r="BH160" i="6"/>
  <c r="BG160" i="6"/>
  <c r="BF160" i="6"/>
  <c r="BE160" i="6"/>
  <c r="BD160" i="6"/>
  <c r="BC160" i="6"/>
  <c r="BB160" i="6"/>
  <c r="BA160" i="6"/>
  <c r="AZ160" i="6"/>
  <c r="AY160" i="6"/>
  <c r="AX160" i="6"/>
  <c r="AW160" i="6"/>
  <c r="AV160" i="6"/>
  <c r="AU160" i="6"/>
  <c r="AT160" i="6"/>
  <c r="AS160" i="6"/>
  <c r="AR160" i="6"/>
  <c r="AQ160" i="6"/>
  <c r="AP160" i="6"/>
  <c r="AO160" i="6"/>
  <c r="AN160" i="6"/>
  <c r="AM160" i="6"/>
  <c r="AL160" i="6"/>
  <c r="AK160" i="6"/>
  <c r="AJ160" i="6"/>
  <c r="AI160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160" i="6"/>
  <c r="DE159" i="6"/>
  <c r="DD159" i="6"/>
  <c r="DC159" i="6"/>
  <c r="DB159" i="6"/>
  <c r="DA159" i="6"/>
  <c r="CZ159" i="6"/>
  <c r="CY159" i="6"/>
  <c r="CX159" i="6"/>
  <c r="CV159" i="6"/>
  <c r="CU159" i="6"/>
  <c r="CT159" i="6"/>
  <c r="CS159" i="6"/>
  <c r="CR159" i="6"/>
  <c r="CQ159" i="6"/>
  <c r="CP159" i="6"/>
  <c r="CO159" i="6"/>
  <c r="CN159" i="6"/>
  <c r="CM159" i="6"/>
  <c r="CL159" i="6"/>
  <c r="CK159" i="6"/>
  <c r="CJ159" i="6"/>
  <c r="CI159" i="6"/>
  <c r="CH159" i="6"/>
  <c r="CG159" i="6"/>
  <c r="CF159" i="6"/>
  <c r="CE159" i="6"/>
  <c r="CD159" i="6"/>
  <c r="CC159" i="6"/>
  <c r="CB159" i="6"/>
  <c r="CA159" i="6"/>
  <c r="BZ159" i="6"/>
  <c r="BY159" i="6"/>
  <c r="BX159" i="6"/>
  <c r="BW159" i="6"/>
  <c r="BV159" i="6"/>
  <c r="BU159" i="6"/>
  <c r="BT159" i="6"/>
  <c r="BS159" i="6"/>
  <c r="BR159" i="6"/>
  <c r="BQ159" i="6"/>
  <c r="BP159" i="6"/>
  <c r="BO159" i="6"/>
  <c r="BN159" i="6"/>
  <c r="BM159" i="6"/>
  <c r="BL159" i="6"/>
  <c r="BK159" i="6"/>
  <c r="BJ159" i="6"/>
  <c r="BI159" i="6"/>
  <c r="BH159" i="6"/>
  <c r="BG159" i="6"/>
  <c r="BF159" i="6"/>
  <c r="BE159" i="6"/>
  <c r="BD159" i="6"/>
  <c r="BC159" i="6"/>
  <c r="BB159" i="6"/>
  <c r="BA159" i="6"/>
  <c r="AZ159" i="6"/>
  <c r="AY159" i="6"/>
  <c r="AX159" i="6"/>
  <c r="AW159" i="6"/>
  <c r="AV159" i="6"/>
  <c r="AU159" i="6"/>
  <c r="AT159" i="6"/>
  <c r="AS159" i="6"/>
  <c r="AR159" i="6"/>
  <c r="AQ159" i="6"/>
  <c r="AP159" i="6"/>
  <c r="AO159" i="6"/>
  <c r="AN159" i="6"/>
  <c r="AM159" i="6"/>
  <c r="AL159" i="6"/>
  <c r="AK159" i="6"/>
  <c r="AJ159" i="6"/>
  <c r="AI159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159" i="6"/>
  <c r="DE158" i="6"/>
  <c r="DD158" i="6"/>
  <c r="DC158" i="6"/>
  <c r="DB158" i="6"/>
  <c r="DA158" i="6"/>
  <c r="CZ158" i="6"/>
  <c r="CY158" i="6"/>
  <c r="CX158" i="6"/>
  <c r="CV158" i="6"/>
  <c r="CU158" i="6"/>
  <c r="CT158" i="6"/>
  <c r="CS158" i="6"/>
  <c r="CR158" i="6"/>
  <c r="CQ158" i="6"/>
  <c r="CP158" i="6"/>
  <c r="CO158" i="6"/>
  <c r="CN158" i="6"/>
  <c r="CM158" i="6"/>
  <c r="CL158" i="6"/>
  <c r="CK158" i="6"/>
  <c r="CJ158" i="6"/>
  <c r="CI158" i="6"/>
  <c r="CH158" i="6"/>
  <c r="CG158" i="6"/>
  <c r="CF158" i="6"/>
  <c r="CE158" i="6"/>
  <c r="CD158" i="6"/>
  <c r="CC158" i="6"/>
  <c r="CB158" i="6"/>
  <c r="CA158" i="6"/>
  <c r="BZ158" i="6"/>
  <c r="BY158" i="6"/>
  <c r="BX158" i="6"/>
  <c r="BW158" i="6"/>
  <c r="BV158" i="6"/>
  <c r="BU158" i="6"/>
  <c r="BT158" i="6"/>
  <c r="BS158" i="6"/>
  <c r="BR158" i="6"/>
  <c r="BQ158" i="6"/>
  <c r="BP158" i="6"/>
  <c r="BO158" i="6"/>
  <c r="BN158" i="6"/>
  <c r="BM158" i="6"/>
  <c r="BL158" i="6"/>
  <c r="BK158" i="6"/>
  <c r="BJ158" i="6"/>
  <c r="BI158" i="6"/>
  <c r="BH158" i="6"/>
  <c r="BG158" i="6"/>
  <c r="BF158" i="6"/>
  <c r="BE158" i="6"/>
  <c r="BD158" i="6"/>
  <c r="BC158" i="6"/>
  <c r="BB158" i="6"/>
  <c r="BA158" i="6"/>
  <c r="AZ158" i="6"/>
  <c r="AY158" i="6"/>
  <c r="AX158" i="6"/>
  <c r="AW158" i="6"/>
  <c r="AV158" i="6"/>
  <c r="AU158" i="6"/>
  <c r="AT158" i="6"/>
  <c r="AS158" i="6"/>
  <c r="AR158" i="6"/>
  <c r="AQ158" i="6"/>
  <c r="AP158" i="6"/>
  <c r="AO158" i="6"/>
  <c r="AN158" i="6"/>
  <c r="AM158" i="6"/>
  <c r="AL158" i="6"/>
  <c r="AK158" i="6"/>
  <c r="AJ158" i="6"/>
  <c r="AI158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158" i="6"/>
  <c r="DE157" i="6"/>
  <c r="DD157" i="6"/>
  <c r="DC157" i="6"/>
  <c r="DB157" i="6"/>
  <c r="DA157" i="6"/>
  <c r="CZ157" i="6"/>
  <c r="CY157" i="6"/>
  <c r="CX157" i="6"/>
  <c r="CV157" i="6"/>
  <c r="CU157" i="6"/>
  <c r="CT157" i="6"/>
  <c r="CS157" i="6"/>
  <c r="CR157" i="6"/>
  <c r="CQ157" i="6"/>
  <c r="CP157" i="6"/>
  <c r="CO157" i="6"/>
  <c r="CN157" i="6"/>
  <c r="CM157" i="6"/>
  <c r="CL157" i="6"/>
  <c r="CK157" i="6"/>
  <c r="CJ157" i="6"/>
  <c r="CI157" i="6"/>
  <c r="CH157" i="6"/>
  <c r="CG157" i="6"/>
  <c r="CF157" i="6"/>
  <c r="CE157" i="6"/>
  <c r="CD157" i="6"/>
  <c r="CC157" i="6"/>
  <c r="CB157" i="6"/>
  <c r="CA157" i="6"/>
  <c r="BZ157" i="6"/>
  <c r="BY157" i="6"/>
  <c r="BX157" i="6"/>
  <c r="BW157" i="6"/>
  <c r="BV157" i="6"/>
  <c r="BU157" i="6"/>
  <c r="BT157" i="6"/>
  <c r="BS157" i="6"/>
  <c r="BR157" i="6"/>
  <c r="BQ157" i="6"/>
  <c r="BP157" i="6"/>
  <c r="BO157" i="6"/>
  <c r="BN157" i="6"/>
  <c r="BM157" i="6"/>
  <c r="BL157" i="6"/>
  <c r="BK157" i="6"/>
  <c r="BJ157" i="6"/>
  <c r="BI157" i="6"/>
  <c r="BH157" i="6"/>
  <c r="BG157" i="6"/>
  <c r="BF157" i="6"/>
  <c r="BE157" i="6"/>
  <c r="BD157" i="6"/>
  <c r="BC157" i="6"/>
  <c r="BB157" i="6"/>
  <c r="BA157" i="6"/>
  <c r="AZ157" i="6"/>
  <c r="AY157" i="6"/>
  <c r="AX157" i="6"/>
  <c r="AW157" i="6"/>
  <c r="AV157" i="6"/>
  <c r="AU157" i="6"/>
  <c r="AT157" i="6"/>
  <c r="AS157" i="6"/>
  <c r="AR157" i="6"/>
  <c r="AQ157" i="6"/>
  <c r="AP157" i="6"/>
  <c r="AO157" i="6"/>
  <c r="AN157" i="6"/>
  <c r="AM157" i="6"/>
  <c r="AL157" i="6"/>
  <c r="AK157" i="6"/>
  <c r="AJ157" i="6"/>
  <c r="AI157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157" i="6"/>
  <c r="DE156" i="6"/>
  <c r="DD156" i="6"/>
  <c r="DC156" i="6"/>
  <c r="DB156" i="6"/>
  <c r="DA156" i="6"/>
  <c r="CZ156" i="6"/>
  <c r="CY156" i="6"/>
  <c r="CX156" i="6"/>
  <c r="CV156" i="6"/>
  <c r="CU156" i="6"/>
  <c r="CT156" i="6"/>
  <c r="CS156" i="6"/>
  <c r="CR156" i="6"/>
  <c r="CQ156" i="6"/>
  <c r="CP156" i="6"/>
  <c r="CO156" i="6"/>
  <c r="CN156" i="6"/>
  <c r="CM156" i="6"/>
  <c r="CL156" i="6"/>
  <c r="CK156" i="6"/>
  <c r="CJ156" i="6"/>
  <c r="CI156" i="6"/>
  <c r="CH156" i="6"/>
  <c r="CG156" i="6"/>
  <c r="CF156" i="6"/>
  <c r="CE156" i="6"/>
  <c r="CD156" i="6"/>
  <c r="CC156" i="6"/>
  <c r="CB156" i="6"/>
  <c r="CA156" i="6"/>
  <c r="BZ156" i="6"/>
  <c r="BY156" i="6"/>
  <c r="BX156" i="6"/>
  <c r="BW156" i="6"/>
  <c r="BV156" i="6"/>
  <c r="BU156" i="6"/>
  <c r="BT156" i="6"/>
  <c r="BS156" i="6"/>
  <c r="BR156" i="6"/>
  <c r="BQ156" i="6"/>
  <c r="BP156" i="6"/>
  <c r="BO156" i="6"/>
  <c r="BN156" i="6"/>
  <c r="BM156" i="6"/>
  <c r="BL156" i="6"/>
  <c r="BK156" i="6"/>
  <c r="BJ156" i="6"/>
  <c r="BI156" i="6"/>
  <c r="BH156" i="6"/>
  <c r="BG156" i="6"/>
  <c r="BF156" i="6"/>
  <c r="BE156" i="6"/>
  <c r="BD156" i="6"/>
  <c r="BC156" i="6"/>
  <c r="BB156" i="6"/>
  <c r="BA156" i="6"/>
  <c r="AZ156" i="6"/>
  <c r="AY156" i="6"/>
  <c r="AX156" i="6"/>
  <c r="AW156" i="6"/>
  <c r="AV156" i="6"/>
  <c r="AU156" i="6"/>
  <c r="AT156" i="6"/>
  <c r="AS156" i="6"/>
  <c r="AR156" i="6"/>
  <c r="AQ156" i="6"/>
  <c r="AP156" i="6"/>
  <c r="AO156" i="6"/>
  <c r="AN156" i="6"/>
  <c r="AM156" i="6"/>
  <c r="AL156" i="6"/>
  <c r="AK156" i="6"/>
  <c r="AJ156" i="6"/>
  <c r="AI156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156" i="6"/>
  <c r="DE155" i="6"/>
  <c r="DD155" i="6"/>
  <c r="DC155" i="6"/>
  <c r="DB155" i="6"/>
  <c r="DA155" i="6"/>
  <c r="CZ155" i="6"/>
  <c r="CY155" i="6"/>
  <c r="CX155" i="6"/>
  <c r="CV155" i="6"/>
  <c r="CU155" i="6"/>
  <c r="CT155" i="6"/>
  <c r="CS155" i="6"/>
  <c r="CR155" i="6"/>
  <c r="CQ155" i="6"/>
  <c r="CP155" i="6"/>
  <c r="CO155" i="6"/>
  <c r="CN155" i="6"/>
  <c r="CM155" i="6"/>
  <c r="CL155" i="6"/>
  <c r="CK155" i="6"/>
  <c r="CJ155" i="6"/>
  <c r="CI155" i="6"/>
  <c r="CH155" i="6"/>
  <c r="CG155" i="6"/>
  <c r="CF155" i="6"/>
  <c r="CE155" i="6"/>
  <c r="CD155" i="6"/>
  <c r="CC155" i="6"/>
  <c r="CB155" i="6"/>
  <c r="CA155" i="6"/>
  <c r="BZ155" i="6"/>
  <c r="BY155" i="6"/>
  <c r="BX155" i="6"/>
  <c r="BW155" i="6"/>
  <c r="BV155" i="6"/>
  <c r="BU155" i="6"/>
  <c r="BT155" i="6"/>
  <c r="BS155" i="6"/>
  <c r="BR155" i="6"/>
  <c r="BQ155" i="6"/>
  <c r="BP155" i="6"/>
  <c r="BO155" i="6"/>
  <c r="BN155" i="6"/>
  <c r="BM155" i="6"/>
  <c r="BL155" i="6"/>
  <c r="BK155" i="6"/>
  <c r="BJ155" i="6"/>
  <c r="BI155" i="6"/>
  <c r="BH155" i="6"/>
  <c r="BG155" i="6"/>
  <c r="BF155" i="6"/>
  <c r="BE155" i="6"/>
  <c r="BD155" i="6"/>
  <c r="BC155" i="6"/>
  <c r="BB155" i="6"/>
  <c r="BA155" i="6"/>
  <c r="AZ155" i="6"/>
  <c r="AY155" i="6"/>
  <c r="AX155" i="6"/>
  <c r="AW155" i="6"/>
  <c r="AV155" i="6"/>
  <c r="AU155" i="6"/>
  <c r="AT155" i="6"/>
  <c r="AS155" i="6"/>
  <c r="AR155" i="6"/>
  <c r="AQ155" i="6"/>
  <c r="AP155" i="6"/>
  <c r="AO155" i="6"/>
  <c r="AN155" i="6"/>
  <c r="AM155" i="6"/>
  <c r="AL155" i="6"/>
  <c r="AK155" i="6"/>
  <c r="AJ155" i="6"/>
  <c r="AI155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155" i="6"/>
  <c r="DE154" i="6"/>
  <c r="DD154" i="6"/>
  <c r="DC154" i="6"/>
  <c r="DB154" i="6"/>
  <c r="DA154" i="6"/>
  <c r="CZ154" i="6"/>
  <c r="CY154" i="6"/>
  <c r="CX154" i="6"/>
  <c r="CV154" i="6"/>
  <c r="CU154" i="6"/>
  <c r="CT154" i="6"/>
  <c r="CS154" i="6"/>
  <c r="CR154" i="6"/>
  <c r="CQ154" i="6"/>
  <c r="CP154" i="6"/>
  <c r="CO154" i="6"/>
  <c r="CN154" i="6"/>
  <c r="CM154" i="6"/>
  <c r="CL154" i="6"/>
  <c r="CK154" i="6"/>
  <c r="CJ154" i="6"/>
  <c r="CI154" i="6"/>
  <c r="CH154" i="6"/>
  <c r="CG154" i="6"/>
  <c r="CF154" i="6"/>
  <c r="CE154" i="6"/>
  <c r="CD154" i="6"/>
  <c r="CC154" i="6"/>
  <c r="CB154" i="6"/>
  <c r="CA154" i="6"/>
  <c r="BZ154" i="6"/>
  <c r="BY154" i="6"/>
  <c r="BX154" i="6"/>
  <c r="BW154" i="6"/>
  <c r="BV154" i="6"/>
  <c r="BU154" i="6"/>
  <c r="BT154" i="6"/>
  <c r="BS154" i="6"/>
  <c r="BR154" i="6"/>
  <c r="BQ154" i="6"/>
  <c r="BP154" i="6"/>
  <c r="BO154" i="6"/>
  <c r="BN154" i="6"/>
  <c r="BM154" i="6"/>
  <c r="BL154" i="6"/>
  <c r="BK154" i="6"/>
  <c r="BJ154" i="6"/>
  <c r="BI154" i="6"/>
  <c r="BH154" i="6"/>
  <c r="BG154" i="6"/>
  <c r="BF154" i="6"/>
  <c r="BE154" i="6"/>
  <c r="BD154" i="6"/>
  <c r="BC154" i="6"/>
  <c r="BB154" i="6"/>
  <c r="BA154" i="6"/>
  <c r="AZ154" i="6"/>
  <c r="AY154" i="6"/>
  <c r="AX154" i="6"/>
  <c r="AW154" i="6"/>
  <c r="AV154" i="6"/>
  <c r="AU154" i="6"/>
  <c r="AT154" i="6"/>
  <c r="AS154" i="6"/>
  <c r="AR154" i="6"/>
  <c r="AQ154" i="6"/>
  <c r="AP154" i="6"/>
  <c r="AO154" i="6"/>
  <c r="AN154" i="6"/>
  <c r="AM154" i="6"/>
  <c r="AL154" i="6"/>
  <c r="AK154" i="6"/>
  <c r="AJ154" i="6"/>
  <c r="AI154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154" i="6"/>
  <c r="DE153" i="6"/>
  <c r="DD153" i="6"/>
  <c r="DC153" i="6"/>
  <c r="DB153" i="6"/>
  <c r="DA153" i="6"/>
  <c r="CZ153" i="6"/>
  <c r="CY153" i="6"/>
  <c r="CX153" i="6"/>
  <c r="CV153" i="6"/>
  <c r="CU153" i="6"/>
  <c r="CT153" i="6"/>
  <c r="CS153" i="6"/>
  <c r="CR153" i="6"/>
  <c r="CQ153" i="6"/>
  <c r="CP153" i="6"/>
  <c r="CO153" i="6"/>
  <c r="CN153" i="6"/>
  <c r="CM153" i="6"/>
  <c r="CL153" i="6"/>
  <c r="CK153" i="6"/>
  <c r="CJ153" i="6"/>
  <c r="CI153" i="6"/>
  <c r="CH153" i="6"/>
  <c r="CG153" i="6"/>
  <c r="CF153" i="6"/>
  <c r="CE153" i="6"/>
  <c r="CD153" i="6"/>
  <c r="CC153" i="6"/>
  <c r="CB153" i="6"/>
  <c r="CA153" i="6"/>
  <c r="BZ153" i="6"/>
  <c r="BY153" i="6"/>
  <c r="BX153" i="6"/>
  <c r="BW153" i="6"/>
  <c r="BV153" i="6"/>
  <c r="BU153" i="6"/>
  <c r="BT153" i="6"/>
  <c r="BS153" i="6"/>
  <c r="BR153" i="6"/>
  <c r="BQ153" i="6"/>
  <c r="BP153" i="6"/>
  <c r="BO153" i="6"/>
  <c r="BN153" i="6"/>
  <c r="BM153" i="6"/>
  <c r="BL153" i="6"/>
  <c r="BK153" i="6"/>
  <c r="BJ153" i="6"/>
  <c r="BI153" i="6"/>
  <c r="BH153" i="6"/>
  <c r="BG153" i="6"/>
  <c r="BF153" i="6"/>
  <c r="BE153" i="6"/>
  <c r="BD153" i="6"/>
  <c r="BC153" i="6"/>
  <c r="BB153" i="6"/>
  <c r="BA153" i="6"/>
  <c r="AZ153" i="6"/>
  <c r="AY153" i="6"/>
  <c r="AX153" i="6"/>
  <c r="AW153" i="6"/>
  <c r="AV153" i="6"/>
  <c r="AU153" i="6"/>
  <c r="AT153" i="6"/>
  <c r="AS153" i="6"/>
  <c r="AR153" i="6"/>
  <c r="AQ153" i="6"/>
  <c r="AP153" i="6"/>
  <c r="AO153" i="6"/>
  <c r="AN153" i="6"/>
  <c r="AM153" i="6"/>
  <c r="AL153" i="6"/>
  <c r="AK153" i="6"/>
  <c r="AJ153" i="6"/>
  <c r="AI153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153" i="6"/>
  <c r="DE152" i="6"/>
  <c r="DD152" i="6"/>
  <c r="DC152" i="6"/>
  <c r="DB152" i="6"/>
  <c r="DA152" i="6"/>
  <c r="CZ152" i="6"/>
  <c r="CY152" i="6"/>
  <c r="CX152" i="6"/>
  <c r="CV152" i="6"/>
  <c r="CU152" i="6"/>
  <c r="CT152" i="6"/>
  <c r="CS152" i="6"/>
  <c r="CR152" i="6"/>
  <c r="CQ152" i="6"/>
  <c r="CP152" i="6"/>
  <c r="CO152" i="6"/>
  <c r="CN152" i="6"/>
  <c r="CM152" i="6"/>
  <c r="CL152" i="6"/>
  <c r="CK152" i="6"/>
  <c r="CJ152" i="6"/>
  <c r="CI152" i="6"/>
  <c r="CH152" i="6"/>
  <c r="CG152" i="6"/>
  <c r="CF152" i="6"/>
  <c r="CE152" i="6"/>
  <c r="CD152" i="6"/>
  <c r="CC152" i="6"/>
  <c r="CB152" i="6"/>
  <c r="CA152" i="6"/>
  <c r="BZ152" i="6"/>
  <c r="BY152" i="6"/>
  <c r="BX152" i="6"/>
  <c r="BW152" i="6"/>
  <c r="BV152" i="6"/>
  <c r="BU152" i="6"/>
  <c r="BT152" i="6"/>
  <c r="BS152" i="6"/>
  <c r="BR152" i="6"/>
  <c r="BQ152" i="6"/>
  <c r="BP152" i="6"/>
  <c r="BO152" i="6"/>
  <c r="BN152" i="6"/>
  <c r="BM152" i="6"/>
  <c r="BL152" i="6"/>
  <c r="BK152" i="6"/>
  <c r="BJ152" i="6"/>
  <c r="BI152" i="6"/>
  <c r="BH152" i="6"/>
  <c r="BG152" i="6"/>
  <c r="BF152" i="6"/>
  <c r="BE152" i="6"/>
  <c r="BD152" i="6"/>
  <c r="BC152" i="6"/>
  <c r="BB152" i="6"/>
  <c r="BA152" i="6"/>
  <c r="AZ152" i="6"/>
  <c r="AY152" i="6"/>
  <c r="AX152" i="6"/>
  <c r="AW152" i="6"/>
  <c r="AV152" i="6"/>
  <c r="AU152" i="6"/>
  <c r="AT152" i="6"/>
  <c r="AS152" i="6"/>
  <c r="AR152" i="6"/>
  <c r="AQ152" i="6"/>
  <c r="AP152" i="6"/>
  <c r="AO152" i="6"/>
  <c r="AN152" i="6"/>
  <c r="AM152" i="6"/>
  <c r="AL152" i="6"/>
  <c r="AK152" i="6"/>
  <c r="AJ152" i="6"/>
  <c r="AI152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152" i="6"/>
  <c r="DE151" i="6"/>
  <c r="DD151" i="6"/>
  <c r="DC151" i="6"/>
  <c r="DB151" i="6"/>
  <c r="DA151" i="6"/>
  <c r="CZ151" i="6"/>
  <c r="CY151" i="6"/>
  <c r="CX151" i="6"/>
  <c r="CV151" i="6"/>
  <c r="CU151" i="6"/>
  <c r="CT151" i="6"/>
  <c r="CS151" i="6"/>
  <c r="CR151" i="6"/>
  <c r="CQ151" i="6"/>
  <c r="CP151" i="6"/>
  <c r="CO151" i="6"/>
  <c r="CN151" i="6"/>
  <c r="CM151" i="6"/>
  <c r="CL151" i="6"/>
  <c r="CK151" i="6"/>
  <c r="CJ151" i="6"/>
  <c r="CI151" i="6"/>
  <c r="CH151" i="6"/>
  <c r="CG151" i="6"/>
  <c r="CF151" i="6"/>
  <c r="CE151" i="6"/>
  <c r="CD151" i="6"/>
  <c r="CC151" i="6"/>
  <c r="CB151" i="6"/>
  <c r="CA151" i="6"/>
  <c r="BZ151" i="6"/>
  <c r="BY151" i="6"/>
  <c r="BX151" i="6"/>
  <c r="BW151" i="6"/>
  <c r="BV151" i="6"/>
  <c r="BU151" i="6"/>
  <c r="BT151" i="6"/>
  <c r="BS151" i="6"/>
  <c r="BR151" i="6"/>
  <c r="BQ151" i="6"/>
  <c r="BP151" i="6"/>
  <c r="BO151" i="6"/>
  <c r="BN151" i="6"/>
  <c r="BM151" i="6"/>
  <c r="BL151" i="6"/>
  <c r="BK151" i="6"/>
  <c r="BJ151" i="6"/>
  <c r="BI151" i="6"/>
  <c r="BH151" i="6"/>
  <c r="BG151" i="6"/>
  <c r="BF151" i="6"/>
  <c r="BE151" i="6"/>
  <c r="BD151" i="6"/>
  <c r="BC151" i="6"/>
  <c r="BB151" i="6"/>
  <c r="BA151" i="6"/>
  <c r="AZ151" i="6"/>
  <c r="AY151" i="6"/>
  <c r="AX151" i="6"/>
  <c r="AW151" i="6"/>
  <c r="AV151" i="6"/>
  <c r="AU151" i="6"/>
  <c r="AT151" i="6"/>
  <c r="AS151" i="6"/>
  <c r="AR151" i="6"/>
  <c r="AQ151" i="6"/>
  <c r="AP151" i="6"/>
  <c r="AO151" i="6"/>
  <c r="AN151" i="6"/>
  <c r="AM151" i="6"/>
  <c r="AL151" i="6"/>
  <c r="AK151" i="6"/>
  <c r="AJ151" i="6"/>
  <c r="AI151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151" i="6"/>
  <c r="DE150" i="6"/>
  <c r="DD150" i="6"/>
  <c r="DC150" i="6"/>
  <c r="DB150" i="6"/>
  <c r="DA150" i="6"/>
  <c r="CZ150" i="6"/>
  <c r="CY150" i="6"/>
  <c r="CX150" i="6"/>
  <c r="CV150" i="6"/>
  <c r="CU150" i="6"/>
  <c r="CT150" i="6"/>
  <c r="CS150" i="6"/>
  <c r="CR150" i="6"/>
  <c r="CQ150" i="6"/>
  <c r="CP150" i="6"/>
  <c r="CO150" i="6"/>
  <c r="CN150" i="6"/>
  <c r="CM150" i="6"/>
  <c r="CL150" i="6"/>
  <c r="CK150" i="6"/>
  <c r="CJ150" i="6"/>
  <c r="CI150" i="6"/>
  <c r="CH150" i="6"/>
  <c r="CG150" i="6"/>
  <c r="CF150" i="6"/>
  <c r="CE150" i="6"/>
  <c r="CD150" i="6"/>
  <c r="CC150" i="6"/>
  <c r="CB150" i="6"/>
  <c r="CA150" i="6"/>
  <c r="BZ150" i="6"/>
  <c r="BY150" i="6"/>
  <c r="BX150" i="6"/>
  <c r="BW150" i="6"/>
  <c r="BV150" i="6"/>
  <c r="BU150" i="6"/>
  <c r="BT150" i="6"/>
  <c r="BS150" i="6"/>
  <c r="BR150" i="6"/>
  <c r="BQ150" i="6"/>
  <c r="BP150" i="6"/>
  <c r="BO150" i="6"/>
  <c r="BN150" i="6"/>
  <c r="BM150" i="6"/>
  <c r="BL150" i="6"/>
  <c r="BK150" i="6"/>
  <c r="BJ150" i="6"/>
  <c r="BI150" i="6"/>
  <c r="BH150" i="6"/>
  <c r="BG150" i="6"/>
  <c r="BF150" i="6"/>
  <c r="BE150" i="6"/>
  <c r="BD150" i="6"/>
  <c r="BC150" i="6"/>
  <c r="BB150" i="6"/>
  <c r="BA150" i="6"/>
  <c r="AZ150" i="6"/>
  <c r="AY150" i="6"/>
  <c r="AX150" i="6"/>
  <c r="AW150" i="6"/>
  <c r="AV150" i="6"/>
  <c r="AU150" i="6"/>
  <c r="AT150" i="6"/>
  <c r="AS150" i="6"/>
  <c r="AR150" i="6"/>
  <c r="AQ150" i="6"/>
  <c r="AP150" i="6"/>
  <c r="AO150" i="6"/>
  <c r="AN150" i="6"/>
  <c r="AM150" i="6"/>
  <c r="AL150" i="6"/>
  <c r="AK150" i="6"/>
  <c r="AJ150" i="6"/>
  <c r="AI150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150" i="6"/>
  <c r="DE149" i="6"/>
  <c r="DD149" i="6"/>
  <c r="DC149" i="6"/>
  <c r="DB149" i="6"/>
  <c r="DA149" i="6"/>
  <c r="CZ149" i="6"/>
  <c r="CY149" i="6"/>
  <c r="CX149" i="6"/>
  <c r="CV149" i="6"/>
  <c r="CU149" i="6"/>
  <c r="CT149" i="6"/>
  <c r="CS149" i="6"/>
  <c r="CR149" i="6"/>
  <c r="CQ149" i="6"/>
  <c r="CP149" i="6"/>
  <c r="CO149" i="6"/>
  <c r="CN149" i="6"/>
  <c r="CM149" i="6"/>
  <c r="CL149" i="6"/>
  <c r="CK149" i="6"/>
  <c r="CJ149" i="6"/>
  <c r="CI149" i="6"/>
  <c r="CH149" i="6"/>
  <c r="CG149" i="6"/>
  <c r="CF149" i="6"/>
  <c r="CE149" i="6"/>
  <c r="CD149" i="6"/>
  <c r="CC149" i="6"/>
  <c r="CB149" i="6"/>
  <c r="CA149" i="6"/>
  <c r="BZ149" i="6"/>
  <c r="BY149" i="6"/>
  <c r="BX149" i="6"/>
  <c r="BW149" i="6"/>
  <c r="BV149" i="6"/>
  <c r="BU149" i="6"/>
  <c r="BT149" i="6"/>
  <c r="BS149" i="6"/>
  <c r="BR149" i="6"/>
  <c r="BQ149" i="6"/>
  <c r="BP149" i="6"/>
  <c r="BO149" i="6"/>
  <c r="BN149" i="6"/>
  <c r="BM149" i="6"/>
  <c r="BL149" i="6"/>
  <c r="BK149" i="6"/>
  <c r="BJ149" i="6"/>
  <c r="BI149" i="6"/>
  <c r="BH149" i="6"/>
  <c r="BG149" i="6"/>
  <c r="BF149" i="6"/>
  <c r="BE149" i="6"/>
  <c r="BD149" i="6"/>
  <c r="BC149" i="6"/>
  <c r="BB149" i="6"/>
  <c r="BA149" i="6"/>
  <c r="AZ149" i="6"/>
  <c r="AY149" i="6"/>
  <c r="AX149" i="6"/>
  <c r="AW149" i="6"/>
  <c r="AV149" i="6"/>
  <c r="AU149" i="6"/>
  <c r="AT149" i="6"/>
  <c r="AS149" i="6"/>
  <c r="AR149" i="6"/>
  <c r="AQ149" i="6"/>
  <c r="AP149" i="6"/>
  <c r="AO149" i="6"/>
  <c r="AN149" i="6"/>
  <c r="AM149" i="6"/>
  <c r="AL149" i="6"/>
  <c r="AK149" i="6"/>
  <c r="AJ149" i="6"/>
  <c r="AI149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DE148" i="6"/>
  <c r="DD148" i="6"/>
  <c r="DC148" i="6"/>
  <c r="DB148" i="6"/>
  <c r="DA148" i="6"/>
  <c r="CZ148" i="6"/>
  <c r="CY148" i="6"/>
  <c r="CX148" i="6"/>
  <c r="CV148" i="6"/>
  <c r="CU148" i="6"/>
  <c r="CT148" i="6"/>
  <c r="CS148" i="6"/>
  <c r="CR148" i="6"/>
  <c r="CQ148" i="6"/>
  <c r="CP148" i="6"/>
  <c r="CO148" i="6"/>
  <c r="CN148" i="6"/>
  <c r="CM148" i="6"/>
  <c r="CL148" i="6"/>
  <c r="CK148" i="6"/>
  <c r="CJ148" i="6"/>
  <c r="CI148" i="6"/>
  <c r="CH148" i="6"/>
  <c r="CG148" i="6"/>
  <c r="CF148" i="6"/>
  <c r="CE148" i="6"/>
  <c r="CD148" i="6"/>
  <c r="CC148" i="6"/>
  <c r="CB148" i="6"/>
  <c r="CA148" i="6"/>
  <c r="BZ148" i="6"/>
  <c r="BY148" i="6"/>
  <c r="BX148" i="6"/>
  <c r="BW148" i="6"/>
  <c r="BV148" i="6"/>
  <c r="BU148" i="6"/>
  <c r="BT148" i="6"/>
  <c r="BS148" i="6"/>
  <c r="BR148" i="6"/>
  <c r="BQ148" i="6"/>
  <c r="BP148" i="6"/>
  <c r="BO148" i="6"/>
  <c r="BN148" i="6"/>
  <c r="BM148" i="6"/>
  <c r="BL148" i="6"/>
  <c r="BK148" i="6"/>
  <c r="BJ148" i="6"/>
  <c r="BI148" i="6"/>
  <c r="BH148" i="6"/>
  <c r="BG148" i="6"/>
  <c r="BF148" i="6"/>
  <c r="BE148" i="6"/>
  <c r="BD148" i="6"/>
  <c r="BC148" i="6"/>
  <c r="BB148" i="6"/>
  <c r="BA148" i="6"/>
  <c r="AZ148" i="6"/>
  <c r="AY148" i="6"/>
  <c r="AX148" i="6"/>
  <c r="AW148" i="6"/>
  <c r="AV148" i="6"/>
  <c r="AU148" i="6"/>
  <c r="AT148" i="6"/>
  <c r="AS148" i="6"/>
  <c r="AR148" i="6"/>
  <c r="AQ148" i="6"/>
  <c r="AP148" i="6"/>
  <c r="AO148" i="6"/>
  <c r="AN148" i="6"/>
  <c r="AM148" i="6"/>
  <c r="AL148" i="6"/>
  <c r="AK148" i="6"/>
  <c r="AJ148" i="6"/>
  <c r="AI148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DE147" i="6"/>
  <c r="DD147" i="6"/>
  <c r="DC147" i="6"/>
  <c r="DB147" i="6"/>
  <c r="DA147" i="6"/>
  <c r="CZ147" i="6"/>
  <c r="CY147" i="6"/>
  <c r="CX147" i="6"/>
  <c r="CV147" i="6"/>
  <c r="CU147" i="6"/>
  <c r="CT147" i="6"/>
  <c r="CS147" i="6"/>
  <c r="CR147" i="6"/>
  <c r="CQ147" i="6"/>
  <c r="CP147" i="6"/>
  <c r="CO147" i="6"/>
  <c r="CN147" i="6"/>
  <c r="CM147" i="6"/>
  <c r="CL147" i="6"/>
  <c r="CK147" i="6"/>
  <c r="CJ147" i="6"/>
  <c r="CI147" i="6"/>
  <c r="CH147" i="6"/>
  <c r="CG147" i="6"/>
  <c r="CF147" i="6"/>
  <c r="CE147" i="6"/>
  <c r="CD147" i="6"/>
  <c r="CC147" i="6"/>
  <c r="CB147" i="6"/>
  <c r="CA147" i="6"/>
  <c r="BZ147" i="6"/>
  <c r="BY147" i="6"/>
  <c r="BX147" i="6"/>
  <c r="BW147" i="6"/>
  <c r="BV147" i="6"/>
  <c r="BU147" i="6"/>
  <c r="BT147" i="6"/>
  <c r="BS147" i="6"/>
  <c r="BR147" i="6"/>
  <c r="BQ147" i="6"/>
  <c r="BP147" i="6"/>
  <c r="BO147" i="6"/>
  <c r="BN147" i="6"/>
  <c r="BM147" i="6"/>
  <c r="BL147" i="6"/>
  <c r="BK147" i="6"/>
  <c r="BJ147" i="6"/>
  <c r="BI147" i="6"/>
  <c r="BH147" i="6"/>
  <c r="BG147" i="6"/>
  <c r="BF147" i="6"/>
  <c r="BE147" i="6"/>
  <c r="BD147" i="6"/>
  <c r="BC147" i="6"/>
  <c r="BB147" i="6"/>
  <c r="BA147" i="6"/>
  <c r="AZ147" i="6"/>
  <c r="AY147" i="6"/>
  <c r="AX147" i="6"/>
  <c r="AW147" i="6"/>
  <c r="AV147" i="6"/>
  <c r="AU147" i="6"/>
  <c r="AT147" i="6"/>
  <c r="AS147" i="6"/>
  <c r="AR147" i="6"/>
  <c r="AQ147" i="6"/>
  <c r="AP147" i="6"/>
  <c r="AO147" i="6"/>
  <c r="AN147" i="6"/>
  <c r="AM147" i="6"/>
  <c r="AL147" i="6"/>
  <c r="AK147" i="6"/>
  <c r="AJ147" i="6"/>
  <c r="AI147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DE146" i="6"/>
  <c r="DD146" i="6"/>
  <c r="DC146" i="6"/>
  <c r="DB146" i="6"/>
  <c r="DA146" i="6"/>
  <c r="CZ146" i="6"/>
  <c r="CY146" i="6"/>
  <c r="CX146" i="6"/>
  <c r="CV146" i="6"/>
  <c r="CU146" i="6"/>
  <c r="CT146" i="6"/>
  <c r="CS146" i="6"/>
  <c r="CR146" i="6"/>
  <c r="CQ146" i="6"/>
  <c r="CP146" i="6"/>
  <c r="CO146" i="6"/>
  <c r="CN146" i="6"/>
  <c r="CM146" i="6"/>
  <c r="CL146" i="6"/>
  <c r="CK146" i="6"/>
  <c r="CJ146" i="6"/>
  <c r="CI146" i="6"/>
  <c r="CH146" i="6"/>
  <c r="CG146" i="6"/>
  <c r="CF146" i="6"/>
  <c r="CE146" i="6"/>
  <c r="CD146" i="6"/>
  <c r="CC146" i="6"/>
  <c r="CB146" i="6"/>
  <c r="CA146" i="6"/>
  <c r="BZ146" i="6"/>
  <c r="BY146" i="6"/>
  <c r="BX146" i="6"/>
  <c r="BW146" i="6"/>
  <c r="BV146" i="6"/>
  <c r="BU146" i="6"/>
  <c r="BT146" i="6"/>
  <c r="BS146" i="6"/>
  <c r="BR146" i="6"/>
  <c r="BQ146" i="6"/>
  <c r="BP146" i="6"/>
  <c r="BO146" i="6"/>
  <c r="BN146" i="6"/>
  <c r="BM146" i="6"/>
  <c r="BL146" i="6"/>
  <c r="BK146" i="6"/>
  <c r="BJ146" i="6"/>
  <c r="BI146" i="6"/>
  <c r="BH146" i="6"/>
  <c r="BG146" i="6"/>
  <c r="BF146" i="6"/>
  <c r="BE146" i="6"/>
  <c r="BD146" i="6"/>
  <c r="BC146" i="6"/>
  <c r="BB146" i="6"/>
  <c r="BA146" i="6"/>
  <c r="AZ146" i="6"/>
  <c r="AY146" i="6"/>
  <c r="AX146" i="6"/>
  <c r="AW146" i="6"/>
  <c r="AV146" i="6"/>
  <c r="AU146" i="6"/>
  <c r="AT146" i="6"/>
  <c r="AS146" i="6"/>
  <c r="AR146" i="6"/>
  <c r="AQ146" i="6"/>
  <c r="AP146" i="6"/>
  <c r="AO146" i="6"/>
  <c r="AN146" i="6"/>
  <c r="AM146" i="6"/>
  <c r="AL146" i="6"/>
  <c r="AK146" i="6"/>
  <c r="AJ146" i="6"/>
  <c r="AI146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DE145" i="6"/>
  <c r="DD145" i="6"/>
  <c r="DC145" i="6"/>
  <c r="DB145" i="6"/>
  <c r="DA145" i="6"/>
  <c r="CZ145" i="6"/>
  <c r="CY145" i="6"/>
  <c r="CX145" i="6"/>
  <c r="CV145" i="6"/>
  <c r="CU145" i="6"/>
  <c r="CT145" i="6"/>
  <c r="CS145" i="6"/>
  <c r="CR145" i="6"/>
  <c r="CQ145" i="6"/>
  <c r="CP145" i="6"/>
  <c r="CO145" i="6"/>
  <c r="CN145" i="6"/>
  <c r="CM145" i="6"/>
  <c r="CL145" i="6"/>
  <c r="CK145" i="6"/>
  <c r="CJ145" i="6"/>
  <c r="CI145" i="6"/>
  <c r="CH145" i="6"/>
  <c r="CG145" i="6"/>
  <c r="CF145" i="6"/>
  <c r="CE145" i="6"/>
  <c r="CD145" i="6"/>
  <c r="CC145" i="6"/>
  <c r="CB145" i="6"/>
  <c r="CA145" i="6"/>
  <c r="BZ145" i="6"/>
  <c r="BY145" i="6"/>
  <c r="BX145" i="6"/>
  <c r="BW145" i="6"/>
  <c r="BV145" i="6"/>
  <c r="BU145" i="6"/>
  <c r="BT145" i="6"/>
  <c r="BS145" i="6"/>
  <c r="BR145" i="6"/>
  <c r="BQ145" i="6"/>
  <c r="BP145" i="6"/>
  <c r="BO145" i="6"/>
  <c r="BN145" i="6"/>
  <c r="BM145" i="6"/>
  <c r="BL145" i="6"/>
  <c r="BK145" i="6"/>
  <c r="BJ145" i="6"/>
  <c r="BI145" i="6"/>
  <c r="BH145" i="6"/>
  <c r="BG145" i="6"/>
  <c r="BF145" i="6"/>
  <c r="BE145" i="6"/>
  <c r="BD145" i="6"/>
  <c r="BC145" i="6"/>
  <c r="BB145" i="6"/>
  <c r="BA145" i="6"/>
  <c r="AZ145" i="6"/>
  <c r="AY145" i="6"/>
  <c r="AX145" i="6"/>
  <c r="AW145" i="6"/>
  <c r="AV145" i="6"/>
  <c r="AU145" i="6"/>
  <c r="AT145" i="6"/>
  <c r="AS145" i="6"/>
  <c r="AR145" i="6"/>
  <c r="AQ145" i="6"/>
  <c r="AP145" i="6"/>
  <c r="AO145" i="6"/>
  <c r="AN145" i="6"/>
  <c r="AM145" i="6"/>
  <c r="AL145" i="6"/>
  <c r="AK145" i="6"/>
  <c r="AJ145" i="6"/>
  <c r="AI145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DE144" i="6"/>
  <c r="DD144" i="6"/>
  <c r="DC144" i="6"/>
  <c r="DB144" i="6"/>
  <c r="DA144" i="6"/>
  <c r="CZ144" i="6"/>
  <c r="CY144" i="6"/>
  <c r="CX144" i="6"/>
  <c r="CV144" i="6"/>
  <c r="CU144" i="6"/>
  <c r="CT144" i="6"/>
  <c r="CS144" i="6"/>
  <c r="CR144" i="6"/>
  <c r="CQ144" i="6"/>
  <c r="CP144" i="6"/>
  <c r="CO144" i="6"/>
  <c r="CN144" i="6"/>
  <c r="CM144" i="6"/>
  <c r="CL144" i="6"/>
  <c r="CK144" i="6"/>
  <c r="CJ144" i="6"/>
  <c r="CI144" i="6"/>
  <c r="CH144" i="6"/>
  <c r="CG144" i="6"/>
  <c r="CF144" i="6"/>
  <c r="CE144" i="6"/>
  <c r="CD144" i="6"/>
  <c r="CC144" i="6"/>
  <c r="CB144" i="6"/>
  <c r="CA144" i="6"/>
  <c r="BZ144" i="6"/>
  <c r="BY144" i="6"/>
  <c r="BX144" i="6"/>
  <c r="BW144" i="6"/>
  <c r="BV144" i="6"/>
  <c r="BU144" i="6"/>
  <c r="BT144" i="6"/>
  <c r="BS144" i="6"/>
  <c r="BR144" i="6"/>
  <c r="BQ144" i="6"/>
  <c r="BP144" i="6"/>
  <c r="BO144" i="6"/>
  <c r="BN144" i="6"/>
  <c r="BM144" i="6"/>
  <c r="BL144" i="6"/>
  <c r="BK144" i="6"/>
  <c r="BJ144" i="6"/>
  <c r="BI144" i="6"/>
  <c r="BH144" i="6"/>
  <c r="BG144" i="6"/>
  <c r="BF144" i="6"/>
  <c r="BE144" i="6"/>
  <c r="BD144" i="6"/>
  <c r="BC144" i="6"/>
  <c r="BB144" i="6"/>
  <c r="BA144" i="6"/>
  <c r="AZ144" i="6"/>
  <c r="AY144" i="6"/>
  <c r="AX144" i="6"/>
  <c r="AW144" i="6"/>
  <c r="AV144" i="6"/>
  <c r="AU144" i="6"/>
  <c r="AT144" i="6"/>
  <c r="AS144" i="6"/>
  <c r="AR144" i="6"/>
  <c r="AQ144" i="6"/>
  <c r="AP144" i="6"/>
  <c r="AO144" i="6"/>
  <c r="AN144" i="6"/>
  <c r="AM144" i="6"/>
  <c r="AL144" i="6"/>
  <c r="AK144" i="6"/>
  <c r="AJ144" i="6"/>
  <c r="AI144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DE143" i="6"/>
  <c r="DD143" i="6"/>
  <c r="DC143" i="6"/>
  <c r="DB143" i="6"/>
  <c r="DA143" i="6"/>
  <c r="CZ143" i="6"/>
  <c r="CY143" i="6"/>
  <c r="CX143" i="6"/>
  <c r="CV143" i="6"/>
  <c r="CU143" i="6"/>
  <c r="CT143" i="6"/>
  <c r="CS143" i="6"/>
  <c r="CR143" i="6"/>
  <c r="CQ143" i="6"/>
  <c r="CP143" i="6"/>
  <c r="CO143" i="6"/>
  <c r="CN143" i="6"/>
  <c r="CM143" i="6"/>
  <c r="CL143" i="6"/>
  <c r="CK143" i="6"/>
  <c r="CJ143" i="6"/>
  <c r="CI143" i="6"/>
  <c r="CH143" i="6"/>
  <c r="CG143" i="6"/>
  <c r="CF143" i="6"/>
  <c r="CE143" i="6"/>
  <c r="CD143" i="6"/>
  <c r="CC143" i="6"/>
  <c r="CB143" i="6"/>
  <c r="CA143" i="6"/>
  <c r="BZ143" i="6"/>
  <c r="BY143" i="6"/>
  <c r="BX143" i="6"/>
  <c r="BW143" i="6"/>
  <c r="BV143" i="6"/>
  <c r="BU143" i="6"/>
  <c r="BT143" i="6"/>
  <c r="BS143" i="6"/>
  <c r="BR143" i="6"/>
  <c r="BQ143" i="6"/>
  <c r="BP143" i="6"/>
  <c r="BO143" i="6"/>
  <c r="BN143" i="6"/>
  <c r="BM143" i="6"/>
  <c r="BL143" i="6"/>
  <c r="BK143" i="6"/>
  <c r="BJ143" i="6"/>
  <c r="BI143" i="6"/>
  <c r="BH143" i="6"/>
  <c r="BG143" i="6"/>
  <c r="BF143" i="6"/>
  <c r="BE143" i="6"/>
  <c r="BD143" i="6"/>
  <c r="BC143" i="6"/>
  <c r="BB143" i="6"/>
  <c r="BA143" i="6"/>
  <c r="AZ143" i="6"/>
  <c r="AY143" i="6"/>
  <c r="AX143" i="6"/>
  <c r="AW143" i="6"/>
  <c r="AV143" i="6"/>
  <c r="AU143" i="6"/>
  <c r="AT143" i="6"/>
  <c r="AS143" i="6"/>
  <c r="AR143" i="6"/>
  <c r="AQ143" i="6"/>
  <c r="AP143" i="6"/>
  <c r="AO143" i="6"/>
  <c r="AN143" i="6"/>
  <c r="AM143" i="6"/>
  <c r="AL143" i="6"/>
  <c r="AK143" i="6"/>
  <c r="AJ143" i="6"/>
  <c r="AI143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DE142" i="6"/>
  <c r="DD142" i="6"/>
  <c r="DC142" i="6"/>
  <c r="DB142" i="6"/>
  <c r="DA142" i="6"/>
  <c r="CZ142" i="6"/>
  <c r="CY142" i="6"/>
  <c r="CX142" i="6"/>
  <c r="CV142" i="6"/>
  <c r="CU142" i="6"/>
  <c r="CT142" i="6"/>
  <c r="CS142" i="6"/>
  <c r="CR142" i="6"/>
  <c r="CQ142" i="6"/>
  <c r="CP142" i="6"/>
  <c r="CO142" i="6"/>
  <c r="CN142" i="6"/>
  <c r="CM142" i="6"/>
  <c r="CL142" i="6"/>
  <c r="CK142" i="6"/>
  <c r="CJ142" i="6"/>
  <c r="CI142" i="6"/>
  <c r="CH142" i="6"/>
  <c r="CG142" i="6"/>
  <c r="CF142" i="6"/>
  <c r="CE142" i="6"/>
  <c r="CD142" i="6"/>
  <c r="CC142" i="6"/>
  <c r="CB142" i="6"/>
  <c r="CA142" i="6"/>
  <c r="BZ142" i="6"/>
  <c r="BY142" i="6"/>
  <c r="BX142" i="6"/>
  <c r="BW142" i="6"/>
  <c r="BV142" i="6"/>
  <c r="BU142" i="6"/>
  <c r="BT142" i="6"/>
  <c r="BS142" i="6"/>
  <c r="BR142" i="6"/>
  <c r="BQ142" i="6"/>
  <c r="BP142" i="6"/>
  <c r="BO142" i="6"/>
  <c r="BN142" i="6"/>
  <c r="BM142" i="6"/>
  <c r="BL142" i="6"/>
  <c r="BK142" i="6"/>
  <c r="BJ142" i="6"/>
  <c r="BI142" i="6"/>
  <c r="BH142" i="6"/>
  <c r="BG142" i="6"/>
  <c r="BF142" i="6"/>
  <c r="BE142" i="6"/>
  <c r="BD142" i="6"/>
  <c r="BC142" i="6"/>
  <c r="BB142" i="6"/>
  <c r="BA142" i="6"/>
  <c r="AZ142" i="6"/>
  <c r="AY142" i="6"/>
  <c r="AX142" i="6"/>
  <c r="AW142" i="6"/>
  <c r="AV142" i="6"/>
  <c r="AU142" i="6"/>
  <c r="AT142" i="6"/>
  <c r="AS142" i="6"/>
  <c r="AR142" i="6"/>
  <c r="AQ142" i="6"/>
  <c r="AP142" i="6"/>
  <c r="AO142" i="6"/>
  <c r="AN142" i="6"/>
  <c r="AM142" i="6"/>
  <c r="AL142" i="6"/>
  <c r="AK142" i="6"/>
  <c r="AJ142" i="6"/>
  <c r="AI142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DE141" i="6"/>
  <c r="DD141" i="6"/>
  <c r="DC141" i="6"/>
  <c r="DB141" i="6"/>
  <c r="DA141" i="6"/>
  <c r="CZ141" i="6"/>
  <c r="CY141" i="6"/>
  <c r="CX141" i="6"/>
  <c r="CV141" i="6"/>
  <c r="CU141" i="6"/>
  <c r="CT141" i="6"/>
  <c r="CS141" i="6"/>
  <c r="CR141" i="6"/>
  <c r="CQ141" i="6"/>
  <c r="CP141" i="6"/>
  <c r="CO141" i="6"/>
  <c r="CN141" i="6"/>
  <c r="CM141" i="6"/>
  <c r="CL141" i="6"/>
  <c r="CK141" i="6"/>
  <c r="CJ141" i="6"/>
  <c r="CI141" i="6"/>
  <c r="CH141" i="6"/>
  <c r="CG141" i="6"/>
  <c r="CF141" i="6"/>
  <c r="CE141" i="6"/>
  <c r="CD141" i="6"/>
  <c r="CC141" i="6"/>
  <c r="CB141" i="6"/>
  <c r="CA141" i="6"/>
  <c r="BZ141" i="6"/>
  <c r="BY141" i="6"/>
  <c r="BX141" i="6"/>
  <c r="BW141" i="6"/>
  <c r="BV141" i="6"/>
  <c r="BU141" i="6"/>
  <c r="BT141" i="6"/>
  <c r="BS141" i="6"/>
  <c r="BR141" i="6"/>
  <c r="BQ141" i="6"/>
  <c r="BP141" i="6"/>
  <c r="BO141" i="6"/>
  <c r="BN141" i="6"/>
  <c r="BM141" i="6"/>
  <c r="BL141" i="6"/>
  <c r="BK141" i="6"/>
  <c r="BJ141" i="6"/>
  <c r="BI141" i="6"/>
  <c r="BH141" i="6"/>
  <c r="BG141" i="6"/>
  <c r="BF141" i="6"/>
  <c r="BE141" i="6"/>
  <c r="BD141" i="6"/>
  <c r="BC141" i="6"/>
  <c r="BB141" i="6"/>
  <c r="BA141" i="6"/>
  <c r="AZ141" i="6"/>
  <c r="AY141" i="6"/>
  <c r="AX141" i="6"/>
  <c r="AW141" i="6"/>
  <c r="AV141" i="6"/>
  <c r="AU141" i="6"/>
  <c r="AT141" i="6"/>
  <c r="AS141" i="6"/>
  <c r="AR141" i="6"/>
  <c r="AQ141" i="6"/>
  <c r="AP141" i="6"/>
  <c r="AO141" i="6"/>
  <c r="AN141" i="6"/>
  <c r="AM141" i="6"/>
  <c r="AL141" i="6"/>
  <c r="AK141" i="6"/>
  <c r="AJ141" i="6"/>
  <c r="AI141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DE140" i="6"/>
  <c r="DD140" i="6"/>
  <c r="DC140" i="6"/>
  <c r="DB140" i="6"/>
  <c r="DA140" i="6"/>
  <c r="CZ140" i="6"/>
  <c r="CY140" i="6"/>
  <c r="CX140" i="6"/>
  <c r="CV140" i="6"/>
  <c r="CU140" i="6"/>
  <c r="CT140" i="6"/>
  <c r="CS140" i="6"/>
  <c r="CR140" i="6"/>
  <c r="CQ140" i="6"/>
  <c r="CP140" i="6"/>
  <c r="CO140" i="6"/>
  <c r="CN140" i="6"/>
  <c r="CM140" i="6"/>
  <c r="CL140" i="6"/>
  <c r="CK140" i="6"/>
  <c r="CJ140" i="6"/>
  <c r="CI140" i="6"/>
  <c r="CH140" i="6"/>
  <c r="CG140" i="6"/>
  <c r="CF140" i="6"/>
  <c r="CE140" i="6"/>
  <c r="CD140" i="6"/>
  <c r="CC140" i="6"/>
  <c r="CB140" i="6"/>
  <c r="CA140" i="6"/>
  <c r="BZ140" i="6"/>
  <c r="BY140" i="6"/>
  <c r="BX140" i="6"/>
  <c r="BW140" i="6"/>
  <c r="BV140" i="6"/>
  <c r="BU140" i="6"/>
  <c r="BT140" i="6"/>
  <c r="BS140" i="6"/>
  <c r="BR140" i="6"/>
  <c r="BQ140" i="6"/>
  <c r="BP140" i="6"/>
  <c r="BO140" i="6"/>
  <c r="BN140" i="6"/>
  <c r="BM140" i="6"/>
  <c r="BL140" i="6"/>
  <c r="BK140" i="6"/>
  <c r="BJ140" i="6"/>
  <c r="BI140" i="6"/>
  <c r="BH140" i="6"/>
  <c r="BG140" i="6"/>
  <c r="BF140" i="6"/>
  <c r="BE140" i="6"/>
  <c r="BD140" i="6"/>
  <c r="BC140" i="6"/>
  <c r="BB140" i="6"/>
  <c r="BA140" i="6"/>
  <c r="AZ140" i="6"/>
  <c r="AY140" i="6"/>
  <c r="AX140" i="6"/>
  <c r="AW140" i="6"/>
  <c r="AV140" i="6"/>
  <c r="AU140" i="6"/>
  <c r="AT140" i="6"/>
  <c r="AS140" i="6"/>
  <c r="AR140" i="6"/>
  <c r="AQ140" i="6"/>
  <c r="AP140" i="6"/>
  <c r="AO140" i="6"/>
  <c r="AN140" i="6"/>
  <c r="AM140" i="6"/>
  <c r="AL140" i="6"/>
  <c r="AK140" i="6"/>
  <c r="AJ140" i="6"/>
  <c r="AI140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DE139" i="6"/>
  <c r="DD139" i="6"/>
  <c r="DC139" i="6"/>
  <c r="DB139" i="6"/>
  <c r="DA139" i="6"/>
  <c r="CZ139" i="6"/>
  <c r="CY139" i="6"/>
  <c r="CX139" i="6"/>
  <c r="CV139" i="6"/>
  <c r="CU139" i="6"/>
  <c r="CT139" i="6"/>
  <c r="CS139" i="6"/>
  <c r="CR139" i="6"/>
  <c r="CQ139" i="6"/>
  <c r="CP139" i="6"/>
  <c r="CO139" i="6"/>
  <c r="CN139" i="6"/>
  <c r="CM139" i="6"/>
  <c r="CL139" i="6"/>
  <c r="CK139" i="6"/>
  <c r="CJ139" i="6"/>
  <c r="CI139" i="6"/>
  <c r="CH139" i="6"/>
  <c r="CG139" i="6"/>
  <c r="CF139" i="6"/>
  <c r="CE139" i="6"/>
  <c r="CD139" i="6"/>
  <c r="CC139" i="6"/>
  <c r="CB139" i="6"/>
  <c r="CA139" i="6"/>
  <c r="BZ139" i="6"/>
  <c r="BY139" i="6"/>
  <c r="BX139" i="6"/>
  <c r="BW139" i="6"/>
  <c r="BV139" i="6"/>
  <c r="BU139" i="6"/>
  <c r="BT139" i="6"/>
  <c r="BS139" i="6"/>
  <c r="BR139" i="6"/>
  <c r="BQ139" i="6"/>
  <c r="BP139" i="6"/>
  <c r="BO139" i="6"/>
  <c r="BN139" i="6"/>
  <c r="BM139" i="6"/>
  <c r="BL139" i="6"/>
  <c r="BK139" i="6"/>
  <c r="BJ139" i="6"/>
  <c r="BI139" i="6"/>
  <c r="BH139" i="6"/>
  <c r="BG139" i="6"/>
  <c r="BF139" i="6"/>
  <c r="BE139" i="6"/>
  <c r="BD139" i="6"/>
  <c r="BC139" i="6"/>
  <c r="BB139" i="6"/>
  <c r="BA139" i="6"/>
  <c r="AZ139" i="6"/>
  <c r="AY139" i="6"/>
  <c r="AX139" i="6"/>
  <c r="AW139" i="6"/>
  <c r="AV139" i="6"/>
  <c r="AU139" i="6"/>
  <c r="AT139" i="6"/>
  <c r="AS139" i="6"/>
  <c r="AR139" i="6"/>
  <c r="AQ139" i="6"/>
  <c r="AP139" i="6"/>
  <c r="AO139" i="6"/>
  <c r="AN139" i="6"/>
  <c r="AM139" i="6"/>
  <c r="AL139" i="6"/>
  <c r="AK139" i="6"/>
  <c r="AJ139" i="6"/>
  <c r="AI139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DE138" i="6"/>
  <c r="DD138" i="6"/>
  <c r="DC138" i="6"/>
  <c r="DB138" i="6"/>
  <c r="DA138" i="6"/>
  <c r="CZ138" i="6"/>
  <c r="CY138" i="6"/>
  <c r="CX138" i="6"/>
  <c r="CV138" i="6"/>
  <c r="CU138" i="6"/>
  <c r="CT138" i="6"/>
  <c r="CS138" i="6"/>
  <c r="CR138" i="6"/>
  <c r="CQ138" i="6"/>
  <c r="CP138" i="6"/>
  <c r="CO138" i="6"/>
  <c r="CN138" i="6"/>
  <c r="CM138" i="6"/>
  <c r="CL138" i="6"/>
  <c r="CK138" i="6"/>
  <c r="CJ138" i="6"/>
  <c r="CI138" i="6"/>
  <c r="CH138" i="6"/>
  <c r="CG138" i="6"/>
  <c r="CF138" i="6"/>
  <c r="CE138" i="6"/>
  <c r="CD138" i="6"/>
  <c r="CC138" i="6"/>
  <c r="CB138" i="6"/>
  <c r="CA138" i="6"/>
  <c r="BZ138" i="6"/>
  <c r="BY138" i="6"/>
  <c r="BX138" i="6"/>
  <c r="BW138" i="6"/>
  <c r="BV138" i="6"/>
  <c r="BU138" i="6"/>
  <c r="BT138" i="6"/>
  <c r="BS138" i="6"/>
  <c r="BR138" i="6"/>
  <c r="BQ138" i="6"/>
  <c r="BP138" i="6"/>
  <c r="BO138" i="6"/>
  <c r="BN138" i="6"/>
  <c r="BM138" i="6"/>
  <c r="BL138" i="6"/>
  <c r="BK138" i="6"/>
  <c r="BJ138" i="6"/>
  <c r="BI138" i="6"/>
  <c r="BH138" i="6"/>
  <c r="BG138" i="6"/>
  <c r="BF138" i="6"/>
  <c r="BE138" i="6"/>
  <c r="BD138" i="6"/>
  <c r="BC138" i="6"/>
  <c r="BB138" i="6"/>
  <c r="BA138" i="6"/>
  <c r="AZ138" i="6"/>
  <c r="AY138" i="6"/>
  <c r="AX138" i="6"/>
  <c r="AW138" i="6"/>
  <c r="AV138" i="6"/>
  <c r="AU138" i="6"/>
  <c r="AT138" i="6"/>
  <c r="AS138" i="6"/>
  <c r="AR138" i="6"/>
  <c r="AQ138" i="6"/>
  <c r="AP138" i="6"/>
  <c r="AO138" i="6"/>
  <c r="AN138" i="6"/>
  <c r="AM138" i="6"/>
  <c r="AL138" i="6"/>
  <c r="AK138" i="6"/>
  <c r="AJ138" i="6"/>
  <c r="AI138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138" i="6"/>
  <c r="DE137" i="6"/>
  <c r="DD137" i="6"/>
  <c r="DC137" i="6"/>
  <c r="DB137" i="6"/>
  <c r="DA137" i="6"/>
  <c r="CZ137" i="6"/>
  <c r="CY137" i="6"/>
  <c r="CX137" i="6"/>
  <c r="CV137" i="6"/>
  <c r="CU137" i="6"/>
  <c r="CT137" i="6"/>
  <c r="CS137" i="6"/>
  <c r="CR137" i="6"/>
  <c r="CQ137" i="6"/>
  <c r="CP137" i="6"/>
  <c r="CO137" i="6"/>
  <c r="CN137" i="6"/>
  <c r="CM137" i="6"/>
  <c r="CL137" i="6"/>
  <c r="CK137" i="6"/>
  <c r="CJ137" i="6"/>
  <c r="CI137" i="6"/>
  <c r="CH137" i="6"/>
  <c r="CG137" i="6"/>
  <c r="CF137" i="6"/>
  <c r="CE137" i="6"/>
  <c r="CD137" i="6"/>
  <c r="CC137" i="6"/>
  <c r="CB137" i="6"/>
  <c r="CA137" i="6"/>
  <c r="BZ137" i="6"/>
  <c r="BY137" i="6"/>
  <c r="BX137" i="6"/>
  <c r="BW137" i="6"/>
  <c r="BV137" i="6"/>
  <c r="BU137" i="6"/>
  <c r="BT137" i="6"/>
  <c r="BS137" i="6"/>
  <c r="BR137" i="6"/>
  <c r="BQ137" i="6"/>
  <c r="BP137" i="6"/>
  <c r="BO137" i="6"/>
  <c r="BN137" i="6"/>
  <c r="BM137" i="6"/>
  <c r="BL137" i="6"/>
  <c r="BK137" i="6"/>
  <c r="BJ137" i="6"/>
  <c r="BI137" i="6"/>
  <c r="BH137" i="6"/>
  <c r="BG137" i="6"/>
  <c r="BF137" i="6"/>
  <c r="BE137" i="6"/>
  <c r="BD137" i="6"/>
  <c r="BC137" i="6"/>
  <c r="BB137" i="6"/>
  <c r="BA137" i="6"/>
  <c r="AZ137" i="6"/>
  <c r="AY137" i="6"/>
  <c r="AX137" i="6"/>
  <c r="AW137" i="6"/>
  <c r="AV137" i="6"/>
  <c r="AU137" i="6"/>
  <c r="AT137" i="6"/>
  <c r="AS137" i="6"/>
  <c r="AR137" i="6"/>
  <c r="AQ137" i="6"/>
  <c r="AP137" i="6"/>
  <c r="AO137" i="6"/>
  <c r="AN137" i="6"/>
  <c r="AM137" i="6"/>
  <c r="AL137" i="6"/>
  <c r="AK137" i="6"/>
  <c r="AJ137" i="6"/>
  <c r="AI137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DE136" i="6"/>
  <c r="DD136" i="6"/>
  <c r="DC136" i="6"/>
  <c r="DB136" i="6"/>
  <c r="DA136" i="6"/>
  <c r="CZ136" i="6"/>
  <c r="CY136" i="6"/>
  <c r="CX136" i="6"/>
  <c r="CV136" i="6"/>
  <c r="CU136" i="6"/>
  <c r="CT136" i="6"/>
  <c r="CS136" i="6"/>
  <c r="CR136" i="6"/>
  <c r="CQ136" i="6"/>
  <c r="CP136" i="6"/>
  <c r="CO136" i="6"/>
  <c r="CN136" i="6"/>
  <c r="CM136" i="6"/>
  <c r="CL136" i="6"/>
  <c r="CK136" i="6"/>
  <c r="CJ136" i="6"/>
  <c r="CI136" i="6"/>
  <c r="CH136" i="6"/>
  <c r="CG136" i="6"/>
  <c r="CF136" i="6"/>
  <c r="CE136" i="6"/>
  <c r="CD136" i="6"/>
  <c r="CC136" i="6"/>
  <c r="CB136" i="6"/>
  <c r="CA136" i="6"/>
  <c r="BZ136" i="6"/>
  <c r="BY136" i="6"/>
  <c r="BX136" i="6"/>
  <c r="BW136" i="6"/>
  <c r="BV136" i="6"/>
  <c r="BU136" i="6"/>
  <c r="BT136" i="6"/>
  <c r="BS136" i="6"/>
  <c r="BR136" i="6"/>
  <c r="BQ136" i="6"/>
  <c r="BP136" i="6"/>
  <c r="BO136" i="6"/>
  <c r="BN136" i="6"/>
  <c r="BM136" i="6"/>
  <c r="BL136" i="6"/>
  <c r="BK136" i="6"/>
  <c r="BJ136" i="6"/>
  <c r="BI136" i="6"/>
  <c r="BH136" i="6"/>
  <c r="BG136" i="6"/>
  <c r="BF136" i="6"/>
  <c r="BE136" i="6"/>
  <c r="BD136" i="6"/>
  <c r="BC136" i="6"/>
  <c r="BB136" i="6"/>
  <c r="BA136" i="6"/>
  <c r="AZ136" i="6"/>
  <c r="AY136" i="6"/>
  <c r="AX136" i="6"/>
  <c r="AW136" i="6"/>
  <c r="AV136" i="6"/>
  <c r="AU136" i="6"/>
  <c r="AT136" i="6"/>
  <c r="AS136" i="6"/>
  <c r="AR136" i="6"/>
  <c r="AQ136" i="6"/>
  <c r="AP136" i="6"/>
  <c r="AO136" i="6"/>
  <c r="AN136" i="6"/>
  <c r="AM136" i="6"/>
  <c r="AL136" i="6"/>
  <c r="AK136" i="6"/>
  <c r="AJ136" i="6"/>
  <c r="AI136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DE135" i="6"/>
  <c r="DD135" i="6"/>
  <c r="DC135" i="6"/>
  <c r="DB135" i="6"/>
  <c r="DA135" i="6"/>
  <c r="CZ135" i="6"/>
  <c r="CY135" i="6"/>
  <c r="CX135" i="6"/>
  <c r="CV135" i="6"/>
  <c r="CU135" i="6"/>
  <c r="CT135" i="6"/>
  <c r="CS135" i="6"/>
  <c r="CR135" i="6"/>
  <c r="CQ135" i="6"/>
  <c r="CP135" i="6"/>
  <c r="CO135" i="6"/>
  <c r="CN135" i="6"/>
  <c r="CM135" i="6"/>
  <c r="CL135" i="6"/>
  <c r="CK135" i="6"/>
  <c r="CJ135" i="6"/>
  <c r="CI135" i="6"/>
  <c r="CH135" i="6"/>
  <c r="CG135" i="6"/>
  <c r="CF135" i="6"/>
  <c r="CE135" i="6"/>
  <c r="CD135" i="6"/>
  <c r="CC135" i="6"/>
  <c r="CB135" i="6"/>
  <c r="CA135" i="6"/>
  <c r="BZ135" i="6"/>
  <c r="BY135" i="6"/>
  <c r="BX135" i="6"/>
  <c r="BW135" i="6"/>
  <c r="BV135" i="6"/>
  <c r="BU135" i="6"/>
  <c r="BT135" i="6"/>
  <c r="BS135" i="6"/>
  <c r="BR135" i="6"/>
  <c r="BQ135" i="6"/>
  <c r="BP135" i="6"/>
  <c r="BO135" i="6"/>
  <c r="BN135" i="6"/>
  <c r="BM135" i="6"/>
  <c r="BL135" i="6"/>
  <c r="BK135" i="6"/>
  <c r="BJ135" i="6"/>
  <c r="BI135" i="6"/>
  <c r="BH135" i="6"/>
  <c r="BG135" i="6"/>
  <c r="BF135" i="6"/>
  <c r="BE135" i="6"/>
  <c r="BD135" i="6"/>
  <c r="BC135" i="6"/>
  <c r="BB135" i="6"/>
  <c r="BA135" i="6"/>
  <c r="AZ135" i="6"/>
  <c r="AY135" i="6"/>
  <c r="AX135" i="6"/>
  <c r="AW135" i="6"/>
  <c r="AV135" i="6"/>
  <c r="AU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DE134" i="6"/>
  <c r="DD134" i="6"/>
  <c r="DC134" i="6"/>
  <c r="DB134" i="6"/>
  <c r="DA134" i="6"/>
  <c r="CZ134" i="6"/>
  <c r="CY134" i="6"/>
  <c r="CX134" i="6"/>
  <c r="CV134" i="6"/>
  <c r="CU134" i="6"/>
  <c r="CT134" i="6"/>
  <c r="CS134" i="6"/>
  <c r="CR134" i="6"/>
  <c r="CQ134" i="6"/>
  <c r="CP134" i="6"/>
  <c r="CO134" i="6"/>
  <c r="CN134" i="6"/>
  <c r="CM134" i="6"/>
  <c r="CL134" i="6"/>
  <c r="CK134" i="6"/>
  <c r="CJ134" i="6"/>
  <c r="CI134" i="6"/>
  <c r="CH134" i="6"/>
  <c r="CG134" i="6"/>
  <c r="CF134" i="6"/>
  <c r="CE134" i="6"/>
  <c r="CD134" i="6"/>
  <c r="CC134" i="6"/>
  <c r="CB134" i="6"/>
  <c r="CA134" i="6"/>
  <c r="BZ134" i="6"/>
  <c r="BY134" i="6"/>
  <c r="BX134" i="6"/>
  <c r="BW134" i="6"/>
  <c r="BV134" i="6"/>
  <c r="BU134" i="6"/>
  <c r="BT134" i="6"/>
  <c r="BS134" i="6"/>
  <c r="BR134" i="6"/>
  <c r="BQ134" i="6"/>
  <c r="BP134" i="6"/>
  <c r="BO134" i="6"/>
  <c r="BN134" i="6"/>
  <c r="BM134" i="6"/>
  <c r="BL134" i="6"/>
  <c r="BK134" i="6"/>
  <c r="BJ134" i="6"/>
  <c r="BI134" i="6"/>
  <c r="BH134" i="6"/>
  <c r="BG134" i="6"/>
  <c r="BF134" i="6"/>
  <c r="BE134" i="6"/>
  <c r="BD134" i="6"/>
  <c r="BC134" i="6"/>
  <c r="BB134" i="6"/>
  <c r="BA134" i="6"/>
  <c r="AZ134" i="6"/>
  <c r="AY134" i="6"/>
  <c r="AX134" i="6"/>
  <c r="AW134" i="6"/>
  <c r="AV134" i="6"/>
  <c r="AU134" i="6"/>
  <c r="AT134" i="6"/>
  <c r="AS134" i="6"/>
  <c r="AR134" i="6"/>
  <c r="AQ134" i="6"/>
  <c r="AP134" i="6"/>
  <c r="AO134" i="6"/>
  <c r="AN134" i="6"/>
  <c r="AM134" i="6"/>
  <c r="AL134" i="6"/>
  <c r="AK134" i="6"/>
  <c r="AJ134" i="6"/>
  <c r="AI134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DE133" i="6"/>
  <c r="DD133" i="6"/>
  <c r="DC133" i="6"/>
  <c r="DB133" i="6"/>
  <c r="DA133" i="6"/>
  <c r="CZ133" i="6"/>
  <c r="CY133" i="6"/>
  <c r="CX133" i="6"/>
  <c r="CV133" i="6"/>
  <c r="CU133" i="6"/>
  <c r="CT133" i="6"/>
  <c r="CS133" i="6"/>
  <c r="CR133" i="6"/>
  <c r="CQ133" i="6"/>
  <c r="CP133" i="6"/>
  <c r="CO133" i="6"/>
  <c r="CN133" i="6"/>
  <c r="CM133" i="6"/>
  <c r="CL133" i="6"/>
  <c r="CK133" i="6"/>
  <c r="CJ133" i="6"/>
  <c r="CI133" i="6"/>
  <c r="CH133" i="6"/>
  <c r="CG133" i="6"/>
  <c r="CF133" i="6"/>
  <c r="CE133" i="6"/>
  <c r="CD133" i="6"/>
  <c r="CC133" i="6"/>
  <c r="CB133" i="6"/>
  <c r="CA133" i="6"/>
  <c r="BZ133" i="6"/>
  <c r="BY133" i="6"/>
  <c r="BX133" i="6"/>
  <c r="BW133" i="6"/>
  <c r="BV133" i="6"/>
  <c r="BU133" i="6"/>
  <c r="BT133" i="6"/>
  <c r="BS133" i="6"/>
  <c r="BR133" i="6"/>
  <c r="BQ133" i="6"/>
  <c r="BP133" i="6"/>
  <c r="BO133" i="6"/>
  <c r="BN133" i="6"/>
  <c r="BM133" i="6"/>
  <c r="BL133" i="6"/>
  <c r="BK133" i="6"/>
  <c r="BJ133" i="6"/>
  <c r="BI133" i="6"/>
  <c r="BH133" i="6"/>
  <c r="BG133" i="6"/>
  <c r="BF133" i="6"/>
  <c r="BE133" i="6"/>
  <c r="BD133" i="6"/>
  <c r="BC133" i="6"/>
  <c r="BB133" i="6"/>
  <c r="BA133" i="6"/>
  <c r="AZ133" i="6"/>
  <c r="AY133" i="6"/>
  <c r="AX133" i="6"/>
  <c r="AW133" i="6"/>
  <c r="AV133" i="6"/>
  <c r="AU133" i="6"/>
  <c r="AT133" i="6"/>
  <c r="AS133" i="6"/>
  <c r="AR133" i="6"/>
  <c r="AQ133" i="6"/>
  <c r="AP133" i="6"/>
  <c r="AO133" i="6"/>
  <c r="AN133" i="6"/>
  <c r="AM133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DE132" i="6"/>
  <c r="DD132" i="6"/>
  <c r="DC132" i="6"/>
  <c r="DB132" i="6"/>
  <c r="DA132" i="6"/>
  <c r="CZ132" i="6"/>
  <c r="CY132" i="6"/>
  <c r="CX132" i="6"/>
  <c r="CV132" i="6"/>
  <c r="CU132" i="6"/>
  <c r="CT132" i="6"/>
  <c r="CS132" i="6"/>
  <c r="CR132" i="6"/>
  <c r="CQ132" i="6"/>
  <c r="CP132" i="6"/>
  <c r="CO132" i="6"/>
  <c r="CN132" i="6"/>
  <c r="CM132" i="6"/>
  <c r="CL132" i="6"/>
  <c r="CK132" i="6"/>
  <c r="CJ132" i="6"/>
  <c r="CI132" i="6"/>
  <c r="CH132" i="6"/>
  <c r="CG132" i="6"/>
  <c r="CF132" i="6"/>
  <c r="CE132" i="6"/>
  <c r="CD132" i="6"/>
  <c r="CC132" i="6"/>
  <c r="CB132" i="6"/>
  <c r="CA132" i="6"/>
  <c r="BZ132" i="6"/>
  <c r="BY132" i="6"/>
  <c r="BX132" i="6"/>
  <c r="BW132" i="6"/>
  <c r="BV132" i="6"/>
  <c r="BU132" i="6"/>
  <c r="BT132" i="6"/>
  <c r="BS132" i="6"/>
  <c r="BR132" i="6"/>
  <c r="BQ132" i="6"/>
  <c r="BP132" i="6"/>
  <c r="BO132" i="6"/>
  <c r="BN132" i="6"/>
  <c r="BM132" i="6"/>
  <c r="BL132" i="6"/>
  <c r="BK132" i="6"/>
  <c r="BJ132" i="6"/>
  <c r="BI132" i="6"/>
  <c r="BH132" i="6"/>
  <c r="BG132" i="6"/>
  <c r="BF132" i="6"/>
  <c r="BE132" i="6"/>
  <c r="BD132" i="6"/>
  <c r="BC132" i="6"/>
  <c r="BB132" i="6"/>
  <c r="BA132" i="6"/>
  <c r="AZ132" i="6"/>
  <c r="AY132" i="6"/>
  <c r="AX132" i="6"/>
  <c r="AW132" i="6"/>
  <c r="AV132" i="6"/>
  <c r="AU132" i="6"/>
  <c r="AT132" i="6"/>
  <c r="AS132" i="6"/>
  <c r="AR132" i="6"/>
  <c r="AQ132" i="6"/>
  <c r="AP132" i="6"/>
  <c r="AO132" i="6"/>
  <c r="AN132" i="6"/>
  <c r="AM132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DE131" i="6"/>
  <c r="DD131" i="6"/>
  <c r="DC131" i="6"/>
  <c r="DB131" i="6"/>
  <c r="DA131" i="6"/>
  <c r="CZ131" i="6"/>
  <c r="CY131" i="6"/>
  <c r="CX131" i="6"/>
  <c r="CV131" i="6"/>
  <c r="CU131" i="6"/>
  <c r="CT131" i="6"/>
  <c r="CS131" i="6"/>
  <c r="CR131" i="6"/>
  <c r="CQ131" i="6"/>
  <c r="CP131" i="6"/>
  <c r="CO131" i="6"/>
  <c r="CN131" i="6"/>
  <c r="CM131" i="6"/>
  <c r="CL131" i="6"/>
  <c r="CK131" i="6"/>
  <c r="CJ131" i="6"/>
  <c r="CI131" i="6"/>
  <c r="CH131" i="6"/>
  <c r="CG131" i="6"/>
  <c r="CF131" i="6"/>
  <c r="CE131" i="6"/>
  <c r="CD131" i="6"/>
  <c r="CC131" i="6"/>
  <c r="CB131" i="6"/>
  <c r="CA131" i="6"/>
  <c r="BZ131" i="6"/>
  <c r="BY131" i="6"/>
  <c r="BX131" i="6"/>
  <c r="BW131" i="6"/>
  <c r="BV131" i="6"/>
  <c r="BU131" i="6"/>
  <c r="BT131" i="6"/>
  <c r="BS131" i="6"/>
  <c r="BR131" i="6"/>
  <c r="BQ131" i="6"/>
  <c r="BP131" i="6"/>
  <c r="BO131" i="6"/>
  <c r="BN131" i="6"/>
  <c r="BM131" i="6"/>
  <c r="BL131" i="6"/>
  <c r="BK131" i="6"/>
  <c r="BJ131" i="6"/>
  <c r="BI131" i="6"/>
  <c r="BH131" i="6"/>
  <c r="BG131" i="6"/>
  <c r="BF131" i="6"/>
  <c r="BE131" i="6"/>
  <c r="BD131" i="6"/>
  <c r="BC131" i="6"/>
  <c r="BB131" i="6"/>
  <c r="BA131" i="6"/>
  <c r="AZ131" i="6"/>
  <c r="AY131" i="6"/>
  <c r="AX131" i="6"/>
  <c r="AW131" i="6"/>
  <c r="AV131" i="6"/>
  <c r="AU131" i="6"/>
  <c r="AT131" i="6"/>
  <c r="AS131" i="6"/>
  <c r="AR131" i="6"/>
  <c r="AQ131" i="6"/>
  <c r="AP131" i="6"/>
  <c r="AO131" i="6"/>
  <c r="AN131" i="6"/>
  <c r="AM131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DE130" i="6"/>
  <c r="DD130" i="6"/>
  <c r="DC130" i="6"/>
  <c r="DB130" i="6"/>
  <c r="DA130" i="6"/>
  <c r="CZ130" i="6"/>
  <c r="CY130" i="6"/>
  <c r="CX130" i="6"/>
  <c r="CV130" i="6"/>
  <c r="CU130" i="6"/>
  <c r="CT130" i="6"/>
  <c r="CS130" i="6"/>
  <c r="CR130" i="6"/>
  <c r="CQ130" i="6"/>
  <c r="CP130" i="6"/>
  <c r="CO130" i="6"/>
  <c r="CN130" i="6"/>
  <c r="CM130" i="6"/>
  <c r="CL130" i="6"/>
  <c r="CK130" i="6"/>
  <c r="CJ130" i="6"/>
  <c r="CI130" i="6"/>
  <c r="CH130" i="6"/>
  <c r="CG130" i="6"/>
  <c r="CF130" i="6"/>
  <c r="CE130" i="6"/>
  <c r="CD130" i="6"/>
  <c r="CC130" i="6"/>
  <c r="CB130" i="6"/>
  <c r="CA130" i="6"/>
  <c r="BZ130" i="6"/>
  <c r="BY130" i="6"/>
  <c r="BX130" i="6"/>
  <c r="BW130" i="6"/>
  <c r="BV130" i="6"/>
  <c r="BU130" i="6"/>
  <c r="BT130" i="6"/>
  <c r="BS130" i="6"/>
  <c r="BR130" i="6"/>
  <c r="BQ130" i="6"/>
  <c r="BP130" i="6"/>
  <c r="BO130" i="6"/>
  <c r="BN130" i="6"/>
  <c r="BM130" i="6"/>
  <c r="BL130" i="6"/>
  <c r="BK130" i="6"/>
  <c r="BJ130" i="6"/>
  <c r="BI130" i="6"/>
  <c r="BH130" i="6"/>
  <c r="BG130" i="6"/>
  <c r="BF130" i="6"/>
  <c r="BE130" i="6"/>
  <c r="BD130" i="6"/>
  <c r="BC130" i="6"/>
  <c r="BB130" i="6"/>
  <c r="BA130" i="6"/>
  <c r="AZ130" i="6"/>
  <c r="AY130" i="6"/>
  <c r="AX130" i="6"/>
  <c r="AW130" i="6"/>
  <c r="AV130" i="6"/>
  <c r="AU130" i="6"/>
  <c r="AT130" i="6"/>
  <c r="AS130" i="6"/>
  <c r="AR130" i="6"/>
  <c r="AQ130" i="6"/>
  <c r="AP130" i="6"/>
  <c r="AO130" i="6"/>
  <c r="AN130" i="6"/>
  <c r="AM130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DE129" i="6"/>
  <c r="DD129" i="6"/>
  <c r="DC129" i="6"/>
  <c r="DB129" i="6"/>
  <c r="DA129" i="6"/>
  <c r="CZ129" i="6"/>
  <c r="CY129" i="6"/>
  <c r="CX129" i="6"/>
  <c r="CV129" i="6"/>
  <c r="CU129" i="6"/>
  <c r="CT129" i="6"/>
  <c r="CS129" i="6"/>
  <c r="CR129" i="6"/>
  <c r="CQ129" i="6"/>
  <c r="CP129" i="6"/>
  <c r="CO129" i="6"/>
  <c r="CN129" i="6"/>
  <c r="CM129" i="6"/>
  <c r="CL129" i="6"/>
  <c r="CK129" i="6"/>
  <c r="CJ129" i="6"/>
  <c r="CI129" i="6"/>
  <c r="CH129" i="6"/>
  <c r="CG129" i="6"/>
  <c r="CF129" i="6"/>
  <c r="CE129" i="6"/>
  <c r="CD129" i="6"/>
  <c r="CC129" i="6"/>
  <c r="CB129" i="6"/>
  <c r="CA129" i="6"/>
  <c r="BZ129" i="6"/>
  <c r="BY129" i="6"/>
  <c r="BX129" i="6"/>
  <c r="BW129" i="6"/>
  <c r="BV129" i="6"/>
  <c r="BU129" i="6"/>
  <c r="BT129" i="6"/>
  <c r="BS129" i="6"/>
  <c r="BR129" i="6"/>
  <c r="BQ129" i="6"/>
  <c r="BP129" i="6"/>
  <c r="BO129" i="6"/>
  <c r="BN129" i="6"/>
  <c r="BM129" i="6"/>
  <c r="BL129" i="6"/>
  <c r="BK129" i="6"/>
  <c r="BJ129" i="6"/>
  <c r="BI129" i="6"/>
  <c r="BH129" i="6"/>
  <c r="BG129" i="6"/>
  <c r="BF129" i="6"/>
  <c r="BE129" i="6"/>
  <c r="BD129" i="6"/>
  <c r="BC129" i="6"/>
  <c r="BB129" i="6"/>
  <c r="BA129" i="6"/>
  <c r="AZ129" i="6"/>
  <c r="AY129" i="6"/>
  <c r="AX129" i="6"/>
  <c r="AW129" i="6"/>
  <c r="AV129" i="6"/>
  <c r="AU129" i="6"/>
  <c r="AT129" i="6"/>
  <c r="AS129" i="6"/>
  <c r="AR129" i="6"/>
  <c r="AQ129" i="6"/>
  <c r="AP129" i="6"/>
  <c r="AO129" i="6"/>
  <c r="AN129" i="6"/>
  <c r="AM129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DE128" i="6"/>
  <c r="DD128" i="6"/>
  <c r="DC128" i="6"/>
  <c r="DB128" i="6"/>
  <c r="DA128" i="6"/>
  <c r="CZ128" i="6"/>
  <c r="CY128" i="6"/>
  <c r="CX128" i="6"/>
  <c r="CV128" i="6"/>
  <c r="CU128" i="6"/>
  <c r="CT128" i="6"/>
  <c r="CS128" i="6"/>
  <c r="CR128" i="6"/>
  <c r="CQ128" i="6"/>
  <c r="CP128" i="6"/>
  <c r="CO128" i="6"/>
  <c r="CN128" i="6"/>
  <c r="CM128" i="6"/>
  <c r="CL128" i="6"/>
  <c r="CK128" i="6"/>
  <c r="CJ128" i="6"/>
  <c r="CI128" i="6"/>
  <c r="CH128" i="6"/>
  <c r="CG128" i="6"/>
  <c r="CF128" i="6"/>
  <c r="CE128" i="6"/>
  <c r="CD128" i="6"/>
  <c r="CC128" i="6"/>
  <c r="CB128" i="6"/>
  <c r="CA128" i="6"/>
  <c r="BZ128" i="6"/>
  <c r="BY128" i="6"/>
  <c r="BX128" i="6"/>
  <c r="BW128" i="6"/>
  <c r="BV128" i="6"/>
  <c r="BU128" i="6"/>
  <c r="BT128" i="6"/>
  <c r="BS128" i="6"/>
  <c r="BR128" i="6"/>
  <c r="BQ128" i="6"/>
  <c r="BP128" i="6"/>
  <c r="BO128" i="6"/>
  <c r="BN128" i="6"/>
  <c r="BM128" i="6"/>
  <c r="BL128" i="6"/>
  <c r="BK128" i="6"/>
  <c r="BJ128" i="6"/>
  <c r="BI128" i="6"/>
  <c r="BH128" i="6"/>
  <c r="BG128" i="6"/>
  <c r="BF128" i="6"/>
  <c r="BE128" i="6"/>
  <c r="BD128" i="6"/>
  <c r="BC128" i="6"/>
  <c r="BB128" i="6"/>
  <c r="BA128" i="6"/>
  <c r="AZ128" i="6"/>
  <c r="AY128" i="6"/>
  <c r="AX128" i="6"/>
  <c r="AW128" i="6"/>
  <c r="AV128" i="6"/>
  <c r="AU128" i="6"/>
  <c r="AT128" i="6"/>
  <c r="AS128" i="6"/>
  <c r="AR128" i="6"/>
  <c r="AQ128" i="6"/>
  <c r="AP128" i="6"/>
  <c r="AO128" i="6"/>
  <c r="AN128" i="6"/>
  <c r="AM128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DE127" i="6"/>
  <c r="DD127" i="6"/>
  <c r="DC127" i="6"/>
  <c r="DB127" i="6"/>
  <c r="DA127" i="6"/>
  <c r="CZ127" i="6"/>
  <c r="CY127" i="6"/>
  <c r="CX127" i="6"/>
  <c r="CV127" i="6"/>
  <c r="CU127" i="6"/>
  <c r="CT127" i="6"/>
  <c r="CS127" i="6"/>
  <c r="CR127" i="6"/>
  <c r="CQ127" i="6"/>
  <c r="CP127" i="6"/>
  <c r="CO127" i="6"/>
  <c r="CN127" i="6"/>
  <c r="CM127" i="6"/>
  <c r="CL127" i="6"/>
  <c r="CK127" i="6"/>
  <c r="CJ127" i="6"/>
  <c r="CI127" i="6"/>
  <c r="CH127" i="6"/>
  <c r="CG127" i="6"/>
  <c r="CF127" i="6"/>
  <c r="CE127" i="6"/>
  <c r="CD127" i="6"/>
  <c r="CC127" i="6"/>
  <c r="CB127" i="6"/>
  <c r="CA127" i="6"/>
  <c r="BZ127" i="6"/>
  <c r="BY127" i="6"/>
  <c r="BX127" i="6"/>
  <c r="BW127" i="6"/>
  <c r="BV127" i="6"/>
  <c r="BU127" i="6"/>
  <c r="BT127" i="6"/>
  <c r="BS127" i="6"/>
  <c r="BR127" i="6"/>
  <c r="BQ127" i="6"/>
  <c r="BP127" i="6"/>
  <c r="BO127" i="6"/>
  <c r="BN127" i="6"/>
  <c r="BM127" i="6"/>
  <c r="BL127" i="6"/>
  <c r="BK127" i="6"/>
  <c r="BJ127" i="6"/>
  <c r="BI127" i="6"/>
  <c r="BH127" i="6"/>
  <c r="BG127" i="6"/>
  <c r="BF127" i="6"/>
  <c r="BE127" i="6"/>
  <c r="BD127" i="6"/>
  <c r="BC127" i="6"/>
  <c r="BB127" i="6"/>
  <c r="BA127" i="6"/>
  <c r="AZ127" i="6"/>
  <c r="AY127" i="6"/>
  <c r="AX127" i="6"/>
  <c r="AW127" i="6"/>
  <c r="AV127" i="6"/>
  <c r="AU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DE126" i="6"/>
  <c r="DD126" i="6"/>
  <c r="DC126" i="6"/>
  <c r="DB126" i="6"/>
  <c r="DA126" i="6"/>
  <c r="CZ126" i="6"/>
  <c r="CY126" i="6"/>
  <c r="CX126" i="6"/>
  <c r="CV126" i="6"/>
  <c r="CU126" i="6"/>
  <c r="CT126" i="6"/>
  <c r="CS126" i="6"/>
  <c r="CR126" i="6"/>
  <c r="CQ126" i="6"/>
  <c r="CP126" i="6"/>
  <c r="CO126" i="6"/>
  <c r="CN126" i="6"/>
  <c r="CM126" i="6"/>
  <c r="CL126" i="6"/>
  <c r="CK126" i="6"/>
  <c r="CJ126" i="6"/>
  <c r="CI126" i="6"/>
  <c r="CH126" i="6"/>
  <c r="CG126" i="6"/>
  <c r="CF126" i="6"/>
  <c r="CE126" i="6"/>
  <c r="CD126" i="6"/>
  <c r="CC126" i="6"/>
  <c r="CB126" i="6"/>
  <c r="CA126" i="6"/>
  <c r="BZ126" i="6"/>
  <c r="BY126" i="6"/>
  <c r="BX126" i="6"/>
  <c r="BW126" i="6"/>
  <c r="BV126" i="6"/>
  <c r="BU126" i="6"/>
  <c r="BT126" i="6"/>
  <c r="BS126" i="6"/>
  <c r="BR126" i="6"/>
  <c r="BQ126" i="6"/>
  <c r="BP126" i="6"/>
  <c r="BO126" i="6"/>
  <c r="BN126" i="6"/>
  <c r="BM126" i="6"/>
  <c r="BL126" i="6"/>
  <c r="BK126" i="6"/>
  <c r="BJ126" i="6"/>
  <c r="BI126" i="6"/>
  <c r="BH126" i="6"/>
  <c r="BG126" i="6"/>
  <c r="BF126" i="6"/>
  <c r="BE126" i="6"/>
  <c r="BD126" i="6"/>
  <c r="BC126" i="6"/>
  <c r="BB126" i="6"/>
  <c r="BA126" i="6"/>
  <c r="AZ126" i="6"/>
  <c r="AY126" i="6"/>
  <c r="AX126" i="6"/>
  <c r="AW126" i="6"/>
  <c r="AV126" i="6"/>
  <c r="AU126" i="6"/>
  <c r="AT126" i="6"/>
  <c r="AS126" i="6"/>
  <c r="AR126" i="6"/>
  <c r="AQ126" i="6"/>
  <c r="AP126" i="6"/>
  <c r="AO126" i="6"/>
  <c r="AN126" i="6"/>
  <c r="AM126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126" i="6"/>
  <c r="DE125" i="6"/>
  <c r="DD125" i="6"/>
  <c r="DC125" i="6"/>
  <c r="DB125" i="6"/>
  <c r="DA125" i="6"/>
  <c r="CZ125" i="6"/>
  <c r="CY125" i="6"/>
  <c r="CX125" i="6"/>
  <c r="CV125" i="6"/>
  <c r="CU125" i="6"/>
  <c r="CT125" i="6"/>
  <c r="CS125" i="6"/>
  <c r="CR125" i="6"/>
  <c r="CQ125" i="6"/>
  <c r="CP125" i="6"/>
  <c r="CO125" i="6"/>
  <c r="CN125" i="6"/>
  <c r="CM125" i="6"/>
  <c r="CL125" i="6"/>
  <c r="CK125" i="6"/>
  <c r="CJ125" i="6"/>
  <c r="CI125" i="6"/>
  <c r="CH125" i="6"/>
  <c r="CG125" i="6"/>
  <c r="CF125" i="6"/>
  <c r="CE125" i="6"/>
  <c r="CD125" i="6"/>
  <c r="CC125" i="6"/>
  <c r="CB125" i="6"/>
  <c r="CA125" i="6"/>
  <c r="BZ125" i="6"/>
  <c r="BY125" i="6"/>
  <c r="BX125" i="6"/>
  <c r="BW125" i="6"/>
  <c r="BV125" i="6"/>
  <c r="BU125" i="6"/>
  <c r="BT125" i="6"/>
  <c r="BS125" i="6"/>
  <c r="BR125" i="6"/>
  <c r="BQ125" i="6"/>
  <c r="BP125" i="6"/>
  <c r="BO125" i="6"/>
  <c r="BN125" i="6"/>
  <c r="BM125" i="6"/>
  <c r="BL125" i="6"/>
  <c r="BK125" i="6"/>
  <c r="BJ125" i="6"/>
  <c r="BI125" i="6"/>
  <c r="BH125" i="6"/>
  <c r="BG125" i="6"/>
  <c r="BF125" i="6"/>
  <c r="BE125" i="6"/>
  <c r="BD125" i="6"/>
  <c r="BC125" i="6"/>
  <c r="BB125" i="6"/>
  <c r="BA125" i="6"/>
  <c r="AZ125" i="6"/>
  <c r="AY125" i="6"/>
  <c r="AX125" i="6"/>
  <c r="AW125" i="6"/>
  <c r="AV125" i="6"/>
  <c r="AU125" i="6"/>
  <c r="AT125" i="6"/>
  <c r="AS125" i="6"/>
  <c r="AR125" i="6"/>
  <c r="AQ125" i="6"/>
  <c r="AP125" i="6"/>
  <c r="AO125" i="6"/>
  <c r="AN125" i="6"/>
  <c r="AM125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125" i="6"/>
  <c r="DE124" i="6"/>
  <c r="DD124" i="6"/>
  <c r="DC124" i="6"/>
  <c r="DB124" i="6"/>
  <c r="DA124" i="6"/>
  <c r="CZ124" i="6"/>
  <c r="CY124" i="6"/>
  <c r="CX124" i="6"/>
  <c r="CV124" i="6"/>
  <c r="CU124" i="6"/>
  <c r="CT124" i="6"/>
  <c r="CS12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124" i="6"/>
  <c r="DE123" i="6"/>
  <c r="DD123" i="6"/>
  <c r="DC123" i="6"/>
  <c r="DB123" i="6"/>
  <c r="DA123" i="6"/>
  <c r="CZ123" i="6"/>
  <c r="CY123" i="6"/>
  <c r="CX123" i="6"/>
  <c r="CV123" i="6"/>
  <c r="CU123" i="6"/>
  <c r="CT123" i="6"/>
  <c r="CS123" i="6"/>
  <c r="CR123" i="6"/>
  <c r="CQ123" i="6"/>
  <c r="CP123" i="6"/>
  <c r="CO123" i="6"/>
  <c r="CN123" i="6"/>
  <c r="CM123" i="6"/>
  <c r="CL123" i="6"/>
  <c r="CK123" i="6"/>
  <c r="CJ123" i="6"/>
  <c r="CI123" i="6"/>
  <c r="CH123" i="6"/>
  <c r="CG123" i="6"/>
  <c r="CF123" i="6"/>
  <c r="CE123" i="6"/>
  <c r="CD123" i="6"/>
  <c r="CC123" i="6"/>
  <c r="CB123" i="6"/>
  <c r="CA123" i="6"/>
  <c r="BZ123" i="6"/>
  <c r="BY123" i="6"/>
  <c r="BX123" i="6"/>
  <c r="BW123" i="6"/>
  <c r="BV123" i="6"/>
  <c r="BU123" i="6"/>
  <c r="BT123" i="6"/>
  <c r="BS123" i="6"/>
  <c r="BR123" i="6"/>
  <c r="BQ123" i="6"/>
  <c r="BP123" i="6"/>
  <c r="BO123" i="6"/>
  <c r="BN123" i="6"/>
  <c r="BM123" i="6"/>
  <c r="BL123" i="6"/>
  <c r="BK123" i="6"/>
  <c r="BJ123" i="6"/>
  <c r="BI123" i="6"/>
  <c r="BH123" i="6"/>
  <c r="BG123" i="6"/>
  <c r="BF123" i="6"/>
  <c r="BE123" i="6"/>
  <c r="BD123" i="6"/>
  <c r="BC123" i="6"/>
  <c r="BB123" i="6"/>
  <c r="BA123" i="6"/>
  <c r="AZ123" i="6"/>
  <c r="AY123" i="6"/>
  <c r="AX123" i="6"/>
  <c r="AW123" i="6"/>
  <c r="AV123" i="6"/>
  <c r="AU123" i="6"/>
  <c r="AT123" i="6"/>
  <c r="AS123" i="6"/>
  <c r="AR123" i="6"/>
  <c r="AQ123" i="6"/>
  <c r="AP123" i="6"/>
  <c r="AO123" i="6"/>
  <c r="AN123" i="6"/>
  <c r="AM123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123" i="6"/>
  <c r="DE122" i="6"/>
  <c r="DD122" i="6"/>
  <c r="DC122" i="6"/>
  <c r="DB122" i="6"/>
  <c r="DA122" i="6"/>
  <c r="CZ122" i="6"/>
  <c r="CY122" i="6"/>
  <c r="CX122" i="6"/>
  <c r="CV122" i="6"/>
  <c r="CU122" i="6"/>
  <c r="CT122" i="6"/>
  <c r="CS122" i="6"/>
  <c r="CR122" i="6"/>
  <c r="CQ122" i="6"/>
  <c r="CP122" i="6"/>
  <c r="CO122" i="6"/>
  <c r="CN122" i="6"/>
  <c r="CM122" i="6"/>
  <c r="CL122" i="6"/>
  <c r="CK122" i="6"/>
  <c r="CJ122" i="6"/>
  <c r="CI122" i="6"/>
  <c r="CH122" i="6"/>
  <c r="CG122" i="6"/>
  <c r="CF122" i="6"/>
  <c r="CE122" i="6"/>
  <c r="CD122" i="6"/>
  <c r="CC122" i="6"/>
  <c r="CB122" i="6"/>
  <c r="CA122" i="6"/>
  <c r="BZ122" i="6"/>
  <c r="BY122" i="6"/>
  <c r="BX122" i="6"/>
  <c r="BW122" i="6"/>
  <c r="BV122" i="6"/>
  <c r="BU122" i="6"/>
  <c r="BT122" i="6"/>
  <c r="BS122" i="6"/>
  <c r="BR122" i="6"/>
  <c r="BQ122" i="6"/>
  <c r="BP122" i="6"/>
  <c r="BO122" i="6"/>
  <c r="BN122" i="6"/>
  <c r="BM122" i="6"/>
  <c r="BL122" i="6"/>
  <c r="BK122" i="6"/>
  <c r="BJ122" i="6"/>
  <c r="BI122" i="6"/>
  <c r="BH122" i="6"/>
  <c r="BG122" i="6"/>
  <c r="BF122" i="6"/>
  <c r="BE122" i="6"/>
  <c r="BD122" i="6"/>
  <c r="BC122" i="6"/>
  <c r="BB122" i="6"/>
  <c r="BA122" i="6"/>
  <c r="AZ122" i="6"/>
  <c r="AY122" i="6"/>
  <c r="AX122" i="6"/>
  <c r="AW122" i="6"/>
  <c r="AV122" i="6"/>
  <c r="AU122" i="6"/>
  <c r="AT122" i="6"/>
  <c r="AS122" i="6"/>
  <c r="AR122" i="6"/>
  <c r="AQ122" i="6"/>
  <c r="AP122" i="6"/>
  <c r="AO122" i="6"/>
  <c r="AN122" i="6"/>
  <c r="AM122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122" i="6"/>
  <c r="DE121" i="6"/>
  <c r="DD121" i="6"/>
  <c r="DC121" i="6"/>
  <c r="DB121" i="6"/>
  <c r="DA121" i="6"/>
  <c r="CZ121" i="6"/>
  <c r="CY121" i="6"/>
  <c r="CX121" i="6"/>
  <c r="CV121" i="6"/>
  <c r="CU121" i="6"/>
  <c r="CT121" i="6"/>
  <c r="CS121" i="6"/>
  <c r="CR121" i="6"/>
  <c r="CQ121" i="6"/>
  <c r="CP121" i="6"/>
  <c r="CO121" i="6"/>
  <c r="CN121" i="6"/>
  <c r="CM121" i="6"/>
  <c r="CL121" i="6"/>
  <c r="CK121" i="6"/>
  <c r="CJ121" i="6"/>
  <c r="CI121" i="6"/>
  <c r="CH121" i="6"/>
  <c r="CG121" i="6"/>
  <c r="CF121" i="6"/>
  <c r="CE121" i="6"/>
  <c r="CD121" i="6"/>
  <c r="CC121" i="6"/>
  <c r="CB121" i="6"/>
  <c r="CA121" i="6"/>
  <c r="BZ121" i="6"/>
  <c r="BY121" i="6"/>
  <c r="BX121" i="6"/>
  <c r="BW121" i="6"/>
  <c r="BV121" i="6"/>
  <c r="BU121" i="6"/>
  <c r="BT121" i="6"/>
  <c r="BS121" i="6"/>
  <c r="BR121" i="6"/>
  <c r="BQ121" i="6"/>
  <c r="BP121" i="6"/>
  <c r="BO121" i="6"/>
  <c r="BN121" i="6"/>
  <c r="BM121" i="6"/>
  <c r="BL121" i="6"/>
  <c r="BK121" i="6"/>
  <c r="BJ121" i="6"/>
  <c r="BI121" i="6"/>
  <c r="BH121" i="6"/>
  <c r="BG121" i="6"/>
  <c r="BF121" i="6"/>
  <c r="BE121" i="6"/>
  <c r="BD121" i="6"/>
  <c r="BC121" i="6"/>
  <c r="BB121" i="6"/>
  <c r="BA121" i="6"/>
  <c r="AZ121" i="6"/>
  <c r="AY121" i="6"/>
  <c r="AX121" i="6"/>
  <c r="AW121" i="6"/>
  <c r="AV121" i="6"/>
  <c r="AU121" i="6"/>
  <c r="AT121" i="6"/>
  <c r="AS121" i="6"/>
  <c r="AR121" i="6"/>
  <c r="AQ121" i="6"/>
  <c r="AP121" i="6"/>
  <c r="AO121" i="6"/>
  <c r="AN121" i="6"/>
  <c r="AM121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121" i="6"/>
  <c r="DE120" i="6"/>
  <c r="DD120" i="6"/>
  <c r="DC120" i="6"/>
  <c r="DB120" i="6"/>
  <c r="DA120" i="6"/>
  <c r="CZ120" i="6"/>
  <c r="CY120" i="6"/>
  <c r="CX120" i="6"/>
  <c r="CV120" i="6"/>
  <c r="CU120" i="6"/>
  <c r="CT120" i="6"/>
  <c r="CS120" i="6"/>
  <c r="CR120" i="6"/>
  <c r="CQ120" i="6"/>
  <c r="CP120" i="6"/>
  <c r="CO120" i="6"/>
  <c r="CN120" i="6"/>
  <c r="CM120" i="6"/>
  <c r="CL120" i="6"/>
  <c r="CK120" i="6"/>
  <c r="CJ120" i="6"/>
  <c r="CI120" i="6"/>
  <c r="CH120" i="6"/>
  <c r="CG120" i="6"/>
  <c r="CF120" i="6"/>
  <c r="CE120" i="6"/>
  <c r="CD120" i="6"/>
  <c r="CC120" i="6"/>
  <c r="CB120" i="6"/>
  <c r="CA120" i="6"/>
  <c r="BZ120" i="6"/>
  <c r="BY120" i="6"/>
  <c r="BX120" i="6"/>
  <c r="BW120" i="6"/>
  <c r="BV120" i="6"/>
  <c r="BU120" i="6"/>
  <c r="BT120" i="6"/>
  <c r="BS120" i="6"/>
  <c r="BR120" i="6"/>
  <c r="BQ120" i="6"/>
  <c r="BP120" i="6"/>
  <c r="BO120" i="6"/>
  <c r="BN120" i="6"/>
  <c r="BM120" i="6"/>
  <c r="BL120" i="6"/>
  <c r="BK120" i="6"/>
  <c r="BJ120" i="6"/>
  <c r="BI120" i="6"/>
  <c r="BH120" i="6"/>
  <c r="BG120" i="6"/>
  <c r="BF120" i="6"/>
  <c r="BE120" i="6"/>
  <c r="BD120" i="6"/>
  <c r="BC120" i="6"/>
  <c r="BB120" i="6"/>
  <c r="BA120" i="6"/>
  <c r="AZ120" i="6"/>
  <c r="AY120" i="6"/>
  <c r="AX120" i="6"/>
  <c r="AW120" i="6"/>
  <c r="AV120" i="6"/>
  <c r="AU120" i="6"/>
  <c r="AT120" i="6"/>
  <c r="AS120" i="6"/>
  <c r="AR120" i="6"/>
  <c r="AQ120" i="6"/>
  <c r="AP120" i="6"/>
  <c r="AO120" i="6"/>
  <c r="AN120" i="6"/>
  <c r="AM120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120" i="6"/>
  <c r="DE119" i="6"/>
  <c r="DD119" i="6"/>
  <c r="DC119" i="6"/>
  <c r="DB119" i="6"/>
  <c r="DA119" i="6"/>
  <c r="CZ119" i="6"/>
  <c r="CY119" i="6"/>
  <c r="CX119" i="6"/>
  <c r="CV119" i="6"/>
  <c r="CU119" i="6"/>
  <c r="CT119" i="6"/>
  <c r="CS119" i="6"/>
  <c r="CR119" i="6"/>
  <c r="CQ119" i="6"/>
  <c r="CP119" i="6"/>
  <c r="CO119" i="6"/>
  <c r="CN119" i="6"/>
  <c r="CM119" i="6"/>
  <c r="CL119" i="6"/>
  <c r="CK119" i="6"/>
  <c r="CJ119" i="6"/>
  <c r="CI119" i="6"/>
  <c r="CH119" i="6"/>
  <c r="CG119" i="6"/>
  <c r="CF119" i="6"/>
  <c r="CE119" i="6"/>
  <c r="CD119" i="6"/>
  <c r="CC119" i="6"/>
  <c r="CB119" i="6"/>
  <c r="CA119" i="6"/>
  <c r="BZ119" i="6"/>
  <c r="BY119" i="6"/>
  <c r="BX119" i="6"/>
  <c r="BW119" i="6"/>
  <c r="BV119" i="6"/>
  <c r="BU119" i="6"/>
  <c r="BT119" i="6"/>
  <c r="BS119" i="6"/>
  <c r="BR119" i="6"/>
  <c r="BQ119" i="6"/>
  <c r="BP119" i="6"/>
  <c r="BO119" i="6"/>
  <c r="BN119" i="6"/>
  <c r="BM119" i="6"/>
  <c r="BL119" i="6"/>
  <c r="BK119" i="6"/>
  <c r="BJ119" i="6"/>
  <c r="BI119" i="6"/>
  <c r="BH119" i="6"/>
  <c r="BG119" i="6"/>
  <c r="BF119" i="6"/>
  <c r="BE119" i="6"/>
  <c r="BD119" i="6"/>
  <c r="BC119" i="6"/>
  <c r="BB119" i="6"/>
  <c r="BA119" i="6"/>
  <c r="AZ119" i="6"/>
  <c r="AY119" i="6"/>
  <c r="AX119" i="6"/>
  <c r="AW119" i="6"/>
  <c r="AV119" i="6"/>
  <c r="AU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119" i="6"/>
  <c r="DE118" i="6"/>
  <c r="DD118" i="6"/>
  <c r="DC118" i="6"/>
  <c r="DB118" i="6"/>
  <c r="DA118" i="6"/>
  <c r="CZ118" i="6"/>
  <c r="CY118" i="6"/>
  <c r="CX118" i="6"/>
  <c r="CV118" i="6"/>
  <c r="CU118" i="6"/>
  <c r="CT118" i="6"/>
  <c r="CS118" i="6"/>
  <c r="CR118" i="6"/>
  <c r="CQ118" i="6"/>
  <c r="CP118" i="6"/>
  <c r="CO118" i="6"/>
  <c r="CN118" i="6"/>
  <c r="CM118" i="6"/>
  <c r="CL118" i="6"/>
  <c r="CK118" i="6"/>
  <c r="CJ118" i="6"/>
  <c r="CI118" i="6"/>
  <c r="CH118" i="6"/>
  <c r="CG118" i="6"/>
  <c r="CF118" i="6"/>
  <c r="CE118" i="6"/>
  <c r="CD118" i="6"/>
  <c r="CC118" i="6"/>
  <c r="CB118" i="6"/>
  <c r="CA118" i="6"/>
  <c r="BZ118" i="6"/>
  <c r="BY118" i="6"/>
  <c r="BX118" i="6"/>
  <c r="BW118" i="6"/>
  <c r="BV118" i="6"/>
  <c r="BU118" i="6"/>
  <c r="BT118" i="6"/>
  <c r="BS118" i="6"/>
  <c r="BR118" i="6"/>
  <c r="BQ118" i="6"/>
  <c r="BP118" i="6"/>
  <c r="BO118" i="6"/>
  <c r="BN118" i="6"/>
  <c r="BM118" i="6"/>
  <c r="BL118" i="6"/>
  <c r="BK118" i="6"/>
  <c r="BJ118" i="6"/>
  <c r="BI118" i="6"/>
  <c r="BH118" i="6"/>
  <c r="BG118" i="6"/>
  <c r="BF118" i="6"/>
  <c r="BE118" i="6"/>
  <c r="BD118" i="6"/>
  <c r="BC118" i="6"/>
  <c r="BB118" i="6"/>
  <c r="BA118" i="6"/>
  <c r="AZ118" i="6"/>
  <c r="AY118" i="6"/>
  <c r="AX118" i="6"/>
  <c r="AW118" i="6"/>
  <c r="AV118" i="6"/>
  <c r="AU118" i="6"/>
  <c r="AT118" i="6"/>
  <c r="AS118" i="6"/>
  <c r="AR118" i="6"/>
  <c r="AQ118" i="6"/>
  <c r="AP118" i="6"/>
  <c r="AO118" i="6"/>
  <c r="AN118" i="6"/>
  <c r="AM118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118" i="6"/>
  <c r="DE117" i="6"/>
  <c r="DD117" i="6"/>
  <c r="DC117" i="6"/>
  <c r="DB117" i="6"/>
  <c r="DA117" i="6"/>
  <c r="CZ117" i="6"/>
  <c r="CY117" i="6"/>
  <c r="CX117" i="6"/>
  <c r="CV117" i="6"/>
  <c r="CU117" i="6"/>
  <c r="CT117" i="6"/>
  <c r="CS117" i="6"/>
  <c r="CR117" i="6"/>
  <c r="CQ117" i="6"/>
  <c r="CP117" i="6"/>
  <c r="CO117" i="6"/>
  <c r="CN117" i="6"/>
  <c r="CM117" i="6"/>
  <c r="CL117" i="6"/>
  <c r="CK117" i="6"/>
  <c r="CJ117" i="6"/>
  <c r="CI117" i="6"/>
  <c r="CH117" i="6"/>
  <c r="CG117" i="6"/>
  <c r="CF117" i="6"/>
  <c r="CE117" i="6"/>
  <c r="CD117" i="6"/>
  <c r="CC117" i="6"/>
  <c r="CB117" i="6"/>
  <c r="CA117" i="6"/>
  <c r="BZ117" i="6"/>
  <c r="BY117" i="6"/>
  <c r="BX117" i="6"/>
  <c r="BW117" i="6"/>
  <c r="BV117" i="6"/>
  <c r="BU117" i="6"/>
  <c r="BT117" i="6"/>
  <c r="BS117" i="6"/>
  <c r="BR117" i="6"/>
  <c r="BQ117" i="6"/>
  <c r="BP117" i="6"/>
  <c r="BO117" i="6"/>
  <c r="BN117" i="6"/>
  <c r="BM117" i="6"/>
  <c r="BL117" i="6"/>
  <c r="BK117" i="6"/>
  <c r="BJ117" i="6"/>
  <c r="BI117" i="6"/>
  <c r="BH117" i="6"/>
  <c r="BG117" i="6"/>
  <c r="BF117" i="6"/>
  <c r="BE117" i="6"/>
  <c r="BD117" i="6"/>
  <c r="BC117" i="6"/>
  <c r="BB117" i="6"/>
  <c r="BA117" i="6"/>
  <c r="AZ117" i="6"/>
  <c r="AY117" i="6"/>
  <c r="AX117" i="6"/>
  <c r="AW117" i="6"/>
  <c r="AV117" i="6"/>
  <c r="AU117" i="6"/>
  <c r="AT117" i="6"/>
  <c r="AS117" i="6"/>
  <c r="AR117" i="6"/>
  <c r="AQ117" i="6"/>
  <c r="AP117" i="6"/>
  <c r="AO117" i="6"/>
  <c r="AN117" i="6"/>
  <c r="AM117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117" i="6"/>
  <c r="DE116" i="6"/>
  <c r="DD116" i="6"/>
  <c r="DC116" i="6"/>
  <c r="DB116" i="6"/>
  <c r="DA116" i="6"/>
  <c r="CZ116" i="6"/>
  <c r="CY116" i="6"/>
  <c r="CX116" i="6"/>
  <c r="CV116" i="6"/>
  <c r="CU116" i="6"/>
  <c r="CT116" i="6"/>
  <c r="CS116" i="6"/>
  <c r="CR116" i="6"/>
  <c r="CQ116" i="6"/>
  <c r="CP116" i="6"/>
  <c r="CO116" i="6"/>
  <c r="CN116" i="6"/>
  <c r="CM116" i="6"/>
  <c r="CL116" i="6"/>
  <c r="CK116" i="6"/>
  <c r="CJ116" i="6"/>
  <c r="CI116" i="6"/>
  <c r="CH116" i="6"/>
  <c r="CG116" i="6"/>
  <c r="CF116" i="6"/>
  <c r="CE116" i="6"/>
  <c r="CD116" i="6"/>
  <c r="CC116" i="6"/>
  <c r="CB116" i="6"/>
  <c r="CA116" i="6"/>
  <c r="BZ116" i="6"/>
  <c r="BY116" i="6"/>
  <c r="BX116" i="6"/>
  <c r="BW116" i="6"/>
  <c r="BV116" i="6"/>
  <c r="BU116" i="6"/>
  <c r="BT116" i="6"/>
  <c r="BS116" i="6"/>
  <c r="BR116" i="6"/>
  <c r="BQ116" i="6"/>
  <c r="BP116" i="6"/>
  <c r="BO116" i="6"/>
  <c r="BN116" i="6"/>
  <c r="BM116" i="6"/>
  <c r="BL116" i="6"/>
  <c r="BK116" i="6"/>
  <c r="BJ116" i="6"/>
  <c r="BI116" i="6"/>
  <c r="BH116" i="6"/>
  <c r="BG116" i="6"/>
  <c r="BF116" i="6"/>
  <c r="BE116" i="6"/>
  <c r="BD116" i="6"/>
  <c r="BC116" i="6"/>
  <c r="BB116" i="6"/>
  <c r="BA116" i="6"/>
  <c r="AZ116" i="6"/>
  <c r="AY116" i="6"/>
  <c r="AX116" i="6"/>
  <c r="AW116" i="6"/>
  <c r="AV116" i="6"/>
  <c r="AU116" i="6"/>
  <c r="AT116" i="6"/>
  <c r="AS116" i="6"/>
  <c r="AR116" i="6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116" i="6"/>
  <c r="DE115" i="6"/>
  <c r="DD115" i="6"/>
  <c r="DC115" i="6"/>
  <c r="DB115" i="6"/>
  <c r="DA115" i="6"/>
  <c r="CZ115" i="6"/>
  <c r="CY115" i="6"/>
  <c r="CX115" i="6"/>
  <c r="CV115" i="6"/>
  <c r="CU115" i="6"/>
  <c r="CT115" i="6"/>
  <c r="CS115" i="6"/>
  <c r="CR115" i="6"/>
  <c r="CQ115" i="6"/>
  <c r="CP115" i="6"/>
  <c r="CO115" i="6"/>
  <c r="CN115" i="6"/>
  <c r="CM115" i="6"/>
  <c r="CL115" i="6"/>
  <c r="CK115" i="6"/>
  <c r="CJ115" i="6"/>
  <c r="CI115" i="6"/>
  <c r="CH115" i="6"/>
  <c r="CG115" i="6"/>
  <c r="CF115" i="6"/>
  <c r="CE115" i="6"/>
  <c r="CD115" i="6"/>
  <c r="CC115" i="6"/>
  <c r="CB115" i="6"/>
  <c r="CA115" i="6"/>
  <c r="BZ115" i="6"/>
  <c r="BY115" i="6"/>
  <c r="BX115" i="6"/>
  <c r="BW115" i="6"/>
  <c r="BV115" i="6"/>
  <c r="BU115" i="6"/>
  <c r="BT115" i="6"/>
  <c r="BS115" i="6"/>
  <c r="BR115" i="6"/>
  <c r="BQ115" i="6"/>
  <c r="BP115" i="6"/>
  <c r="BO115" i="6"/>
  <c r="BN115" i="6"/>
  <c r="BM115" i="6"/>
  <c r="BL115" i="6"/>
  <c r="BK115" i="6"/>
  <c r="BJ115" i="6"/>
  <c r="BI115" i="6"/>
  <c r="BH115" i="6"/>
  <c r="BG115" i="6"/>
  <c r="BF115" i="6"/>
  <c r="BE115" i="6"/>
  <c r="BD115" i="6"/>
  <c r="BC115" i="6"/>
  <c r="BB115" i="6"/>
  <c r="BA115" i="6"/>
  <c r="AZ115" i="6"/>
  <c r="AY115" i="6"/>
  <c r="AX115" i="6"/>
  <c r="AW115" i="6"/>
  <c r="AV115" i="6"/>
  <c r="AU115" i="6"/>
  <c r="AT115" i="6"/>
  <c r="AS115" i="6"/>
  <c r="AR115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115" i="6"/>
  <c r="DE114" i="6"/>
  <c r="DD114" i="6"/>
  <c r="DC114" i="6"/>
  <c r="DB114" i="6"/>
  <c r="DA114" i="6"/>
  <c r="CZ114" i="6"/>
  <c r="CY114" i="6"/>
  <c r="CX114" i="6"/>
  <c r="CV114" i="6"/>
  <c r="CU114" i="6"/>
  <c r="CT114" i="6"/>
  <c r="CS11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114" i="6"/>
  <c r="DE113" i="6"/>
  <c r="DD113" i="6"/>
  <c r="DC113" i="6"/>
  <c r="DB113" i="6"/>
  <c r="DA113" i="6"/>
  <c r="CZ113" i="6"/>
  <c r="CY113" i="6"/>
  <c r="CX113" i="6"/>
  <c r="CV113" i="6"/>
  <c r="CU113" i="6"/>
  <c r="CT113" i="6"/>
  <c r="CS113" i="6"/>
  <c r="CR113" i="6"/>
  <c r="CQ113" i="6"/>
  <c r="CP113" i="6"/>
  <c r="CO113" i="6"/>
  <c r="CN113" i="6"/>
  <c r="CM113" i="6"/>
  <c r="CL113" i="6"/>
  <c r="CK113" i="6"/>
  <c r="CJ113" i="6"/>
  <c r="CI113" i="6"/>
  <c r="CH113" i="6"/>
  <c r="CG113" i="6"/>
  <c r="CF113" i="6"/>
  <c r="CE113" i="6"/>
  <c r="CD113" i="6"/>
  <c r="CC113" i="6"/>
  <c r="CB113" i="6"/>
  <c r="CA113" i="6"/>
  <c r="BZ113" i="6"/>
  <c r="BY113" i="6"/>
  <c r="BX113" i="6"/>
  <c r="BW113" i="6"/>
  <c r="BV113" i="6"/>
  <c r="BU113" i="6"/>
  <c r="BT113" i="6"/>
  <c r="BS113" i="6"/>
  <c r="BR113" i="6"/>
  <c r="BQ113" i="6"/>
  <c r="BP113" i="6"/>
  <c r="BO113" i="6"/>
  <c r="BN113" i="6"/>
  <c r="BM113" i="6"/>
  <c r="BL113" i="6"/>
  <c r="BK113" i="6"/>
  <c r="BJ113" i="6"/>
  <c r="BI113" i="6"/>
  <c r="BH113" i="6"/>
  <c r="BG113" i="6"/>
  <c r="BF113" i="6"/>
  <c r="BE113" i="6"/>
  <c r="BD113" i="6"/>
  <c r="BC113" i="6"/>
  <c r="BB113" i="6"/>
  <c r="BA113" i="6"/>
  <c r="AZ113" i="6"/>
  <c r="AY113" i="6"/>
  <c r="AX113" i="6"/>
  <c r="AW113" i="6"/>
  <c r="AV113" i="6"/>
  <c r="AU113" i="6"/>
  <c r="AT113" i="6"/>
  <c r="AS113" i="6"/>
  <c r="AR113" i="6"/>
  <c r="AQ113" i="6"/>
  <c r="AP113" i="6"/>
  <c r="AO113" i="6"/>
  <c r="AN113" i="6"/>
  <c r="AM113" i="6"/>
  <c r="AL113" i="6"/>
  <c r="AK113" i="6"/>
  <c r="AJ113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113" i="6"/>
  <c r="DE112" i="6"/>
  <c r="DD112" i="6"/>
  <c r="DC112" i="6"/>
  <c r="DB112" i="6"/>
  <c r="DA112" i="6"/>
  <c r="CZ112" i="6"/>
  <c r="CY112" i="6"/>
  <c r="CX112" i="6"/>
  <c r="CV112" i="6"/>
  <c r="CU112" i="6"/>
  <c r="CT112" i="6"/>
  <c r="CS112" i="6"/>
  <c r="CR112" i="6"/>
  <c r="CQ112" i="6"/>
  <c r="CP112" i="6"/>
  <c r="CO112" i="6"/>
  <c r="CN112" i="6"/>
  <c r="CM112" i="6"/>
  <c r="CL112" i="6"/>
  <c r="CK112" i="6"/>
  <c r="CJ112" i="6"/>
  <c r="CI112" i="6"/>
  <c r="CH112" i="6"/>
  <c r="CG112" i="6"/>
  <c r="CF112" i="6"/>
  <c r="CE112" i="6"/>
  <c r="CD112" i="6"/>
  <c r="CC112" i="6"/>
  <c r="CB112" i="6"/>
  <c r="CA112" i="6"/>
  <c r="BZ112" i="6"/>
  <c r="BY112" i="6"/>
  <c r="BX112" i="6"/>
  <c r="BW112" i="6"/>
  <c r="BV112" i="6"/>
  <c r="BU112" i="6"/>
  <c r="BT112" i="6"/>
  <c r="BS112" i="6"/>
  <c r="BR112" i="6"/>
  <c r="BQ112" i="6"/>
  <c r="BP112" i="6"/>
  <c r="BO112" i="6"/>
  <c r="BN112" i="6"/>
  <c r="BM112" i="6"/>
  <c r="BL112" i="6"/>
  <c r="BK112" i="6"/>
  <c r="BJ112" i="6"/>
  <c r="BI112" i="6"/>
  <c r="BH112" i="6"/>
  <c r="BG112" i="6"/>
  <c r="BF112" i="6"/>
  <c r="BE112" i="6"/>
  <c r="BD112" i="6"/>
  <c r="BC112" i="6"/>
  <c r="BB112" i="6"/>
  <c r="BA112" i="6"/>
  <c r="AZ112" i="6"/>
  <c r="AY112" i="6"/>
  <c r="AX112" i="6"/>
  <c r="AW112" i="6"/>
  <c r="AV112" i="6"/>
  <c r="AU112" i="6"/>
  <c r="AT112" i="6"/>
  <c r="AS112" i="6"/>
  <c r="AR112" i="6"/>
  <c r="AQ112" i="6"/>
  <c r="AP112" i="6"/>
  <c r="AO112" i="6"/>
  <c r="AN112" i="6"/>
  <c r="AM112" i="6"/>
  <c r="AL112" i="6"/>
  <c r="AK112" i="6"/>
  <c r="AJ112" i="6"/>
  <c r="AI112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112" i="6"/>
  <c r="DE111" i="6"/>
  <c r="DD111" i="6"/>
  <c r="DC111" i="6"/>
  <c r="DB111" i="6"/>
  <c r="DA111" i="6"/>
  <c r="CZ111" i="6"/>
  <c r="CY111" i="6"/>
  <c r="CX111" i="6"/>
  <c r="CV111" i="6"/>
  <c r="CU111" i="6"/>
  <c r="CT111" i="6"/>
  <c r="CS111" i="6"/>
  <c r="CR111" i="6"/>
  <c r="CQ111" i="6"/>
  <c r="CP111" i="6"/>
  <c r="CO111" i="6"/>
  <c r="CN111" i="6"/>
  <c r="CM111" i="6"/>
  <c r="CL111" i="6"/>
  <c r="CK111" i="6"/>
  <c r="CJ111" i="6"/>
  <c r="CI111" i="6"/>
  <c r="CH111" i="6"/>
  <c r="CG111" i="6"/>
  <c r="CF111" i="6"/>
  <c r="CE111" i="6"/>
  <c r="CD111" i="6"/>
  <c r="CC111" i="6"/>
  <c r="CB111" i="6"/>
  <c r="CA111" i="6"/>
  <c r="BZ111" i="6"/>
  <c r="BY111" i="6"/>
  <c r="BX111" i="6"/>
  <c r="BW111" i="6"/>
  <c r="BV111" i="6"/>
  <c r="BU111" i="6"/>
  <c r="BT111" i="6"/>
  <c r="BS111" i="6"/>
  <c r="BR111" i="6"/>
  <c r="BQ111" i="6"/>
  <c r="BP111" i="6"/>
  <c r="BO111" i="6"/>
  <c r="BN111" i="6"/>
  <c r="BM111" i="6"/>
  <c r="BL111" i="6"/>
  <c r="BK111" i="6"/>
  <c r="BJ111" i="6"/>
  <c r="BI111" i="6"/>
  <c r="BH111" i="6"/>
  <c r="BG111" i="6"/>
  <c r="BF111" i="6"/>
  <c r="BE111" i="6"/>
  <c r="BD111" i="6"/>
  <c r="BC111" i="6"/>
  <c r="BB111" i="6"/>
  <c r="BA111" i="6"/>
  <c r="AZ111" i="6"/>
  <c r="AY111" i="6"/>
  <c r="AX111" i="6"/>
  <c r="AW111" i="6"/>
  <c r="AV111" i="6"/>
  <c r="AU111" i="6"/>
  <c r="AT111" i="6"/>
  <c r="AS111" i="6"/>
  <c r="AR111" i="6"/>
  <c r="AQ111" i="6"/>
  <c r="AP111" i="6"/>
  <c r="AO111" i="6"/>
  <c r="AN111" i="6"/>
  <c r="AM111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111" i="6"/>
  <c r="DE110" i="6"/>
  <c r="DD110" i="6"/>
  <c r="DC110" i="6"/>
  <c r="DB110" i="6"/>
  <c r="DA110" i="6"/>
  <c r="CZ110" i="6"/>
  <c r="CY110" i="6"/>
  <c r="CX110" i="6"/>
  <c r="CV110" i="6"/>
  <c r="CU110" i="6"/>
  <c r="CT110" i="6"/>
  <c r="CS110" i="6"/>
  <c r="CR110" i="6"/>
  <c r="CQ110" i="6"/>
  <c r="CP110" i="6"/>
  <c r="CO110" i="6"/>
  <c r="CN110" i="6"/>
  <c r="CM110" i="6"/>
  <c r="CL110" i="6"/>
  <c r="CK110" i="6"/>
  <c r="CJ110" i="6"/>
  <c r="CI110" i="6"/>
  <c r="CH110" i="6"/>
  <c r="CG110" i="6"/>
  <c r="CF110" i="6"/>
  <c r="CE110" i="6"/>
  <c r="CD110" i="6"/>
  <c r="CC110" i="6"/>
  <c r="CB110" i="6"/>
  <c r="CA110" i="6"/>
  <c r="BZ110" i="6"/>
  <c r="BY110" i="6"/>
  <c r="BX110" i="6"/>
  <c r="BW110" i="6"/>
  <c r="BV110" i="6"/>
  <c r="BU110" i="6"/>
  <c r="BT110" i="6"/>
  <c r="BS110" i="6"/>
  <c r="BR110" i="6"/>
  <c r="BQ110" i="6"/>
  <c r="BP110" i="6"/>
  <c r="BO110" i="6"/>
  <c r="BN110" i="6"/>
  <c r="BM110" i="6"/>
  <c r="BL110" i="6"/>
  <c r="BK110" i="6"/>
  <c r="BJ110" i="6"/>
  <c r="BI110" i="6"/>
  <c r="BH110" i="6"/>
  <c r="BG110" i="6"/>
  <c r="BF110" i="6"/>
  <c r="BE110" i="6"/>
  <c r="BD110" i="6"/>
  <c r="BC110" i="6"/>
  <c r="BB110" i="6"/>
  <c r="BA110" i="6"/>
  <c r="AZ110" i="6"/>
  <c r="AY110" i="6"/>
  <c r="AX110" i="6"/>
  <c r="AW110" i="6"/>
  <c r="AV110" i="6"/>
  <c r="AU110" i="6"/>
  <c r="AT110" i="6"/>
  <c r="AS110" i="6"/>
  <c r="AR110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110" i="6"/>
  <c r="DE109" i="6"/>
  <c r="DD109" i="6"/>
  <c r="DC109" i="6"/>
  <c r="DB109" i="6"/>
  <c r="DA109" i="6"/>
  <c r="CZ109" i="6"/>
  <c r="CY109" i="6"/>
  <c r="CX109" i="6"/>
  <c r="CV109" i="6"/>
  <c r="CU109" i="6"/>
  <c r="CT109" i="6"/>
  <c r="CS109" i="6"/>
  <c r="CR109" i="6"/>
  <c r="CQ109" i="6"/>
  <c r="CP109" i="6"/>
  <c r="CO109" i="6"/>
  <c r="CN109" i="6"/>
  <c r="CM109" i="6"/>
  <c r="CL109" i="6"/>
  <c r="CK109" i="6"/>
  <c r="CJ109" i="6"/>
  <c r="CI109" i="6"/>
  <c r="CH109" i="6"/>
  <c r="CG109" i="6"/>
  <c r="CF109" i="6"/>
  <c r="CE109" i="6"/>
  <c r="CD109" i="6"/>
  <c r="CC109" i="6"/>
  <c r="CB109" i="6"/>
  <c r="CA109" i="6"/>
  <c r="BZ109" i="6"/>
  <c r="BY109" i="6"/>
  <c r="BX109" i="6"/>
  <c r="BW109" i="6"/>
  <c r="BV109" i="6"/>
  <c r="BU109" i="6"/>
  <c r="BT109" i="6"/>
  <c r="BS109" i="6"/>
  <c r="BR109" i="6"/>
  <c r="BQ109" i="6"/>
  <c r="BP109" i="6"/>
  <c r="BO109" i="6"/>
  <c r="BN109" i="6"/>
  <c r="BM109" i="6"/>
  <c r="BL109" i="6"/>
  <c r="BK109" i="6"/>
  <c r="BJ109" i="6"/>
  <c r="BI109" i="6"/>
  <c r="BH109" i="6"/>
  <c r="BG109" i="6"/>
  <c r="BF109" i="6"/>
  <c r="BE109" i="6"/>
  <c r="BD109" i="6"/>
  <c r="BC109" i="6"/>
  <c r="BB109" i="6"/>
  <c r="BA109" i="6"/>
  <c r="AZ109" i="6"/>
  <c r="AY109" i="6"/>
  <c r="AX109" i="6"/>
  <c r="AW109" i="6"/>
  <c r="AV109" i="6"/>
  <c r="AU109" i="6"/>
  <c r="AT109" i="6"/>
  <c r="AS109" i="6"/>
  <c r="AR109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109" i="6"/>
  <c r="DE108" i="6"/>
  <c r="DD108" i="6"/>
  <c r="DC108" i="6"/>
  <c r="DB108" i="6"/>
  <c r="DA108" i="6"/>
  <c r="CZ108" i="6"/>
  <c r="CY108" i="6"/>
  <c r="CX108" i="6"/>
  <c r="CV108" i="6"/>
  <c r="CU108" i="6"/>
  <c r="CT108" i="6"/>
  <c r="CS108" i="6"/>
  <c r="CR108" i="6"/>
  <c r="CQ108" i="6"/>
  <c r="CP108" i="6"/>
  <c r="CO108" i="6"/>
  <c r="CN108" i="6"/>
  <c r="CM108" i="6"/>
  <c r="CL108" i="6"/>
  <c r="CK108" i="6"/>
  <c r="CJ108" i="6"/>
  <c r="CI108" i="6"/>
  <c r="CH108" i="6"/>
  <c r="CG108" i="6"/>
  <c r="CF108" i="6"/>
  <c r="CE108" i="6"/>
  <c r="CD108" i="6"/>
  <c r="CC108" i="6"/>
  <c r="CB108" i="6"/>
  <c r="CA108" i="6"/>
  <c r="BZ108" i="6"/>
  <c r="BY108" i="6"/>
  <c r="BX108" i="6"/>
  <c r="BW108" i="6"/>
  <c r="BV108" i="6"/>
  <c r="BU108" i="6"/>
  <c r="BT108" i="6"/>
  <c r="BS108" i="6"/>
  <c r="BR108" i="6"/>
  <c r="BQ108" i="6"/>
  <c r="BP108" i="6"/>
  <c r="BO108" i="6"/>
  <c r="BN108" i="6"/>
  <c r="BM108" i="6"/>
  <c r="BL108" i="6"/>
  <c r="BK108" i="6"/>
  <c r="BJ108" i="6"/>
  <c r="BI108" i="6"/>
  <c r="BH108" i="6"/>
  <c r="BG108" i="6"/>
  <c r="BF108" i="6"/>
  <c r="BE108" i="6"/>
  <c r="BD108" i="6"/>
  <c r="BC108" i="6"/>
  <c r="BB108" i="6"/>
  <c r="BA108" i="6"/>
  <c r="AZ108" i="6"/>
  <c r="AY108" i="6"/>
  <c r="AX108" i="6"/>
  <c r="AW108" i="6"/>
  <c r="AV108" i="6"/>
  <c r="AU108" i="6"/>
  <c r="AT108" i="6"/>
  <c r="AS108" i="6"/>
  <c r="AR108" i="6"/>
  <c r="AQ108" i="6"/>
  <c r="AP108" i="6"/>
  <c r="AO108" i="6"/>
  <c r="AN108" i="6"/>
  <c r="AM108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108" i="6"/>
  <c r="DE107" i="6"/>
  <c r="DD107" i="6"/>
  <c r="DC107" i="6"/>
  <c r="DB107" i="6"/>
  <c r="DA107" i="6"/>
  <c r="CZ107" i="6"/>
  <c r="CY107" i="6"/>
  <c r="CX107" i="6"/>
  <c r="CV107" i="6"/>
  <c r="CU107" i="6"/>
  <c r="CT107" i="6"/>
  <c r="CS107" i="6"/>
  <c r="CR107" i="6"/>
  <c r="CQ107" i="6"/>
  <c r="CP107" i="6"/>
  <c r="CO107" i="6"/>
  <c r="CN107" i="6"/>
  <c r="CM107" i="6"/>
  <c r="CL107" i="6"/>
  <c r="CK107" i="6"/>
  <c r="CJ107" i="6"/>
  <c r="CI107" i="6"/>
  <c r="CH107" i="6"/>
  <c r="CG107" i="6"/>
  <c r="CF107" i="6"/>
  <c r="CE107" i="6"/>
  <c r="CD107" i="6"/>
  <c r="CC107" i="6"/>
  <c r="CB107" i="6"/>
  <c r="CA107" i="6"/>
  <c r="BZ107" i="6"/>
  <c r="BY107" i="6"/>
  <c r="BX107" i="6"/>
  <c r="BW107" i="6"/>
  <c r="BV107" i="6"/>
  <c r="BU107" i="6"/>
  <c r="BT107" i="6"/>
  <c r="BS107" i="6"/>
  <c r="BR107" i="6"/>
  <c r="BQ107" i="6"/>
  <c r="BP107" i="6"/>
  <c r="BO107" i="6"/>
  <c r="BN107" i="6"/>
  <c r="BM107" i="6"/>
  <c r="BL107" i="6"/>
  <c r="BK107" i="6"/>
  <c r="BJ107" i="6"/>
  <c r="BI107" i="6"/>
  <c r="BH107" i="6"/>
  <c r="BG107" i="6"/>
  <c r="BF107" i="6"/>
  <c r="BE107" i="6"/>
  <c r="BD107" i="6"/>
  <c r="BC107" i="6"/>
  <c r="BB107" i="6"/>
  <c r="BA107" i="6"/>
  <c r="AZ107" i="6"/>
  <c r="AY107" i="6"/>
  <c r="AX107" i="6"/>
  <c r="AW107" i="6"/>
  <c r="AV107" i="6"/>
  <c r="AU107" i="6"/>
  <c r="AT107" i="6"/>
  <c r="AS107" i="6"/>
  <c r="AR107" i="6"/>
  <c r="AQ107" i="6"/>
  <c r="AP107" i="6"/>
  <c r="AO107" i="6"/>
  <c r="AN107" i="6"/>
  <c r="AM107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107" i="6"/>
  <c r="DE106" i="6"/>
  <c r="DD106" i="6"/>
  <c r="DC106" i="6"/>
  <c r="DB106" i="6"/>
  <c r="DA106" i="6"/>
  <c r="CZ106" i="6"/>
  <c r="CY106" i="6"/>
  <c r="CX106" i="6"/>
  <c r="CV106" i="6"/>
  <c r="CU106" i="6"/>
  <c r="CT106" i="6"/>
  <c r="CS106" i="6"/>
  <c r="CR106" i="6"/>
  <c r="CQ106" i="6"/>
  <c r="CP106" i="6"/>
  <c r="CO106" i="6"/>
  <c r="CN106" i="6"/>
  <c r="CM106" i="6"/>
  <c r="CL106" i="6"/>
  <c r="CK106" i="6"/>
  <c r="CJ106" i="6"/>
  <c r="CI106" i="6"/>
  <c r="CH106" i="6"/>
  <c r="CG106" i="6"/>
  <c r="CF106" i="6"/>
  <c r="CE106" i="6"/>
  <c r="CD106" i="6"/>
  <c r="CC106" i="6"/>
  <c r="CB106" i="6"/>
  <c r="CA106" i="6"/>
  <c r="BZ106" i="6"/>
  <c r="BY106" i="6"/>
  <c r="BX106" i="6"/>
  <c r="BW106" i="6"/>
  <c r="BV106" i="6"/>
  <c r="BU106" i="6"/>
  <c r="BT106" i="6"/>
  <c r="BS106" i="6"/>
  <c r="BR106" i="6"/>
  <c r="BQ106" i="6"/>
  <c r="BP106" i="6"/>
  <c r="BO106" i="6"/>
  <c r="BN106" i="6"/>
  <c r="BM106" i="6"/>
  <c r="BL106" i="6"/>
  <c r="BK106" i="6"/>
  <c r="BJ106" i="6"/>
  <c r="BI106" i="6"/>
  <c r="BH106" i="6"/>
  <c r="BG106" i="6"/>
  <c r="BF106" i="6"/>
  <c r="BE106" i="6"/>
  <c r="BD106" i="6"/>
  <c r="BC106" i="6"/>
  <c r="BB106" i="6"/>
  <c r="BA106" i="6"/>
  <c r="AZ106" i="6"/>
  <c r="AY106" i="6"/>
  <c r="AX106" i="6"/>
  <c r="AW106" i="6"/>
  <c r="AV106" i="6"/>
  <c r="AU106" i="6"/>
  <c r="AT106" i="6"/>
  <c r="AS106" i="6"/>
  <c r="AR106" i="6"/>
  <c r="AQ106" i="6"/>
  <c r="AP106" i="6"/>
  <c r="AO106" i="6"/>
  <c r="AN106" i="6"/>
  <c r="AM106" i="6"/>
  <c r="AL106" i="6"/>
  <c r="AK106" i="6"/>
  <c r="AJ106" i="6"/>
  <c r="AI106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106" i="6"/>
  <c r="DE105" i="6"/>
  <c r="DD105" i="6"/>
  <c r="DC105" i="6"/>
  <c r="DB105" i="6"/>
  <c r="DA105" i="6"/>
  <c r="CZ105" i="6"/>
  <c r="CY105" i="6"/>
  <c r="CX105" i="6"/>
  <c r="CV105" i="6"/>
  <c r="CU105" i="6"/>
  <c r="CT105" i="6"/>
  <c r="CS105" i="6"/>
  <c r="CR105" i="6"/>
  <c r="CQ105" i="6"/>
  <c r="CP105" i="6"/>
  <c r="CO105" i="6"/>
  <c r="CN105" i="6"/>
  <c r="CM105" i="6"/>
  <c r="CL105" i="6"/>
  <c r="CK105" i="6"/>
  <c r="CJ105" i="6"/>
  <c r="CI105" i="6"/>
  <c r="CH105" i="6"/>
  <c r="CG105" i="6"/>
  <c r="CF105" i="6"/>
  <c r="CE105" i="6"/>
  <c r="CD105" i="6"/>
  <c r="CC105" i="6"/>
  <c r="CB105" i="6"/>
  <c r="CA105" i="6"/>
  <c r="BZ105" i="6"/>
  <c r="BY105" i="6"/>
  <c r="BX105" i="6"/>
  <c r="BW105" i="6"/>
  <c r="BV105" i="6"/>
  <c r="BU105" i="6"/>
  <c r="BT105" i="6"/>
  <c r="BS105" i="6"/>
  <c r="BR105" i="6"/>
  <c r="BQ105" i="6"/>
  <c r="BP105" i="6"/>
  <c r="BO105" i="6"/>
  <c r="BN105" i="6"/>
  <c r="BM105" i="6"/>
  <c r="BL105" i="6"/>
  <c r="BK105" i="6"/>
  <c r="BJ105" i="6"/>
  <c r="BI105" i="6"/>
  <c r="BH105" i="6"/>
  <c r="BG105" i="6"/>
  <c r="BF105" i="6"/>
  <c r="BE105" i="6"/>
  <c r="BD105" i="6"/>
  <c r="BC105" i="6"/>
  <c r="BB105" i="6"/>
  <c r="BA105" i="6"/>
  <c r="AZ105" i="6"/>
  <c r="AY105" i="6"/>
  <c r="AX105" i="6"/>
  <c r="AW105" i="6"/>
  <c r="AV105" i="6"/>
  <c r="AU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105" i="6"/>
  <c r="DE104" i="6"/>
  <c r="DD104" i="6"/>
  <c r="DC104" i="6"/>
  <c r="DB104" i="6"/>
  <c r="DA104" i="6"/>
  <c r="CZ104" i="6"/>
  <c r="CY104" i="6"/>
  <c r="CX104" i="6"/>
  <c r="CV104" i="6"/>
  <c r="CU104" i="6"/>
  <c r="CT104" i="6"/>
  <c r="CS10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104" i="6"/>
  <c r="DH103" i="6"/>
  <c r="DE103" i="6"/>
  <c r="DN103" i="6" s="1"/>
  <c r="DD103" i="6"/>
  <c r="DM103" i="6" s="1"/>
  <c r="DC103" i="6"/>
  <c r="DL103" i="6" s="1"/>
  <c r="DB103" i="6"/>
  <c r="DK103" i="6" s="1"/>
  <c r="DA103" i="6"/>
  <c r="DJ103" i="6" s="1"/>
  <c r="CZ103" i="6"/>
  <c r="DI103" i="6" s="1"/>
  <c r="CY103" i="6"/>
  <c r="CX103" i="6"/>
  <c r="DG103" i="6" s="1"/>
  <c r="CV103" i="6"/>
  <c r="CU103" i="6"/>
  <c r="CT103" i="6"/>
  <c r="CS103" i="6"/>
  <c r="CR103" i="6"/>
  <c r="CQ103" i="6"/>
  <c r="CP103" i="6"/>
  <c r="CO103" i="6"/>
  <c r="CN103" i="6"/>
  <c r="CM103" i="6"/>
  <c r="CL103" i="6"/>
  <c r="CK103" i="6"/>
  <c r="CJ103" i="6"/>
  <c r="CI103" i="6"/>
  <c r="CH103" i="6"/>
  <c r="CG103" i="6"/>
  <c r="CF103" i="6"/>
  <c r="CE103" i="6"/>
  <c r="CD103" i="6"/>
  <c r="CC103" i="6"/>
  <c r="CB103" i="6"/>
  <c r="CA103" i="6"/>
  <c r="BZ103" i="6"/>
  <c r="BY103" i="6"/>
  <c r="BX103" i="6"/>
  <c r="BW103" i="6"/>
  <c r="BV103" i="6"/>
  <c r="BU103" i="6"/>
  <c r="BT103" i="6"/>
  <c r="BS103" i="6"/>
  <c r="BR103" i="6"/>
  <c r="BQ103" i="6"/>
  <c r="BP103" i="6"/>
  <c r="BO103" i="6"/>
  <c r="BN103" i="6"/>
  <c r="BM103" i="6"/>
  <c r="BL103" i="6"/>
  <c r="BK103" i="6"/>
  <c r="BJ103" i="6"/>
  <c r="BI103" i="6"/>
  <c r="BH103" i="6"/>
  <c r="BG103" i="6"/>
  <c r="BF103" i="6"/>
  <c r="BE103" i="6"/>
  <c r="BD103" i="6"/>
  <c r="BC103" i="6"/>
  <c r="BB103" i="6"/>
  <c r="BA103" i="6"/>
  <c r="AZ103" i="6"/>
  <c r="AY103" i="6"/>
  <c r="AX103" i="6"/>
  <c r="AW103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103" i="6"/>
  <c r="DE101" i="6"/>
  <c r="DD101" i="6"/>
  <c r="DC101" i="6"/>
  <c r="DB101" i="6"/>
  <c r="DA101" i="6"/>
  <c r="CZ101" i="6"/>
  <c r="CY101" i="6"/>
  <c r="CX101" i="6"/>
  <c r="CV101" i="6"/>
  <c r="CU101" i="6"/>
  <c r="CT101" i="6"/>
  <c r="CS101" i="6"/>
  <c r="CR101" i="6"/>
  <c r="CQ101" i="6"/>
  <c r="CP101" i="6"/>
  <c r="CO101" i="6"/>
  <c r="CN101" i="6"/>
  <c r="CM101" i="6"/>
  <c r="CL101" i="6"/>
  <c r="CK101" i="6"/>
  <c r="CJ101" i="6"/>
  <c r="CI101" i="6"/>
  <c r="CH101" i="6"/>
  <c r="CG101" i="6"/>
  <c r="CF101" i="6"/>
  <c r="CE101" i="6"/>
  <c r="CD101" i="6"/>
  <c r="CC101" i="6"/>
  <c r="CB101" i="6"/>
  <c r="CA101" i="6"/>
  <c r="BZ101" i="6"/>
  <c r="BY101" i="6"/>
  <c r="BX101" i="6"/>
  <c r="BW101" i="6"/>
  <c r="BV101" i="6"/>
  <c r="BU101" i="6"/>
  <c r="BT101" i="6"/>
  <c r="BS101" i="6"/>
  <c r="BR101" i="6"/>
  <c r="BQ101" i="6"/>
  <c r="BP101" i="6"/>
  <c r="BO101" i="6"/>
  <c r="BN101" i="6"/>
  <c r="BM101" i="6"/>
  <c r="BL101" i="6"/>
  <c r="BK101" i="6"/>
  <c r="BJ101" i="6"/>
  <c r="BI101" i="6"/>
  <c r="BH101" i="6"/>
  <c r="BG101" i="6"/>
  <c r="BF101" i="6"/>
  <c r="BE101" i="6"/>
  <c r="BD101" i="6"/>
  <c r="BC101" i="6"/>
  <c r="BB101" i="6"/>
  <c r="BA101" i="6"/>
  <c r="AZ101" i="6"/>
  <c r="AY101" i="6"/>
  <c r="AX101" i="6"/>
  <c r="AW101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101" i="6"/>
  <c r="DE100" i="6"/>
  <c r="DD100" i="6"/>
  <c r="DC100" i="6"/>
  <c r="DB100" i="6"/>
  <c r="DA100" i="6"/>
  <c r="CZ100" i="6"/>
  <c r="CY100" i="6"/>
  <c r="CX100" i="6"/>
  <c r="CV100" i="6"/>
  <c r="CU100" i="6"/>
  <c r="CT100" i="6"/>
  <c r="CS100" i="6"/>
  <c r="CR100" i="6"/>
  <c r="CQ100" i="6"/>
  <c r="CP100" i="6"/>
  <c r="CO100" i="6"/>
  <c r="CN100" i="6"/>
  <c r="CM100" i="6"/>
  <c r="CL100" i="6"/>
  <c r="CK100" i="6"/>
  <c r="CJ100" i="6"/>
  <c r="CI100" i="6"/>
  <c r="CH100" i="6"/>
  <c r="CG100" i="6"/>
  <c r="CF100" i="6"/>
  <c r="CE100" i="6"/>
  <c r="CD100" i="6"/>
  <c r="CC100" i="6"/>
  <c r="CB100" i="6"/>
  <c r="CA100" i="6"/>
  <c r="BZ100" i="6"/>
  <c r="BY100" i="6"/>
  <c r="BX100" i="6"/>
  <c r="BW100" i="6"/>
  <c r="BV100" i="6"/>
  <c r="BU100" i="6"/>
  <c r="BT100" i="6"/>
  <c r="BS100" i="6"/>
  <c r="BR100" i="6"/>
  <c r="BQ100" i="6"/>
  <c r="BP100" i="6"/>
  <c r="BO100" i="6"/>
  <c r="BN100" i="6"/>
  <c r="BM100" i="6"/>
  <c r="BL100" i="6"/>
  <c r="BK100" i="6"/>
  <c r="BJ100" i="6"/>
  <c r="BI100" i="6"/>
  <c r="BH100" i="6"/>
  <c r="BG100" i="6"/>
  <c r="BF100" i="6"/>
  <c r="BE100" i="6"/>
  <c r="BD100" i="6"/>
  <c r="BC100" i="6"/>
  <c r="BB100" i="6"/>
  <c r="BA100" i="6"/>
  <c r="AZ100" i="6"/>
  <c r="AY100" i="6"/>
  <c r="AX100" i="6"/>
  <c r="AW100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100" i="6"/>
  <c r="DE99" i="6"/>
  <c r="DD99" i="6"/>
  <c r="DC99" i="6"/>
  <c r="DB99" i="6"/>
  <c r="DA99" i="6"/>
  <c r="CZ99" i="6"/>
  <c r="CY99" i="6"/>
  <c r="CX99" i="6"/>
  <c r="CV99" i="6"/>
  <c r="CU99" i="6"/>
  <c r="CT99" i="6"/>
  <c r="CS99" i="6"/>
  <c r="CR99" i="6"/>
  <c r="CQ99" i="6"/>
  <c r="CP99" i="6"/>
  <c r="CO99" i="6"/>
  <c r="CN99" i="6"/>
  <c r="CM99" i="6"/>
  <c r="CL99" i="6"/>
  <c r="CK99" i="6"/>
  <c r="CJ99" i="6"/>
  <c r="CI99" i="6"/>
  <c r="CH99" i="6"/>
  <c r="CG99" i="6"/>
  <c r="CF99" i="6"/>
  <c r="CE99" i="6"/>
  <c r="CD99" i="6"/>
  <c r="CC99" i="6"/>
  <c r="CB99" i="6"/>
  <c r="CA99" i="6"/>
  <c r="BZ99" i="6"/>
  <c r="BY99" i="6"/>
  <c r="BX99" i="6"/>
  <c r="BW99" i="6"/>
  <c r="BV99" i="6"/>
  <c r="BU99" i="6"/>
  <c r="BT99" i="6"/>
  <c r="BS99" i="6"/>
  <c r="BR99" i="6"/>
  <c r="BQ99" i="6"/>
  <c r="BP99" i="6"/>
  <c r="BO99" i="6"/>
  <c r="BN99" i="6"/>
  <c r="BM99" i="6"/>
  <c r="BL99" i="6"/>
  <c r="BK99" i="6"/>
  <c r="BJ99" i="6"/>
  <c r="BI99" i="6"/>
  <c r="BH99" i="6"/>
  <c r="BG99" i="6"/>
  <c r="BF99" i="6"/>
  <c r="BE99" i="6"/>
  <c r="BD99" i="6"/>
  <c r="BC99" i="6"/>
  <c r="BB99" i="6"/>
  <c r="BA99" i="6"/>
  <c r="AZ99" i="6"/>
  <c r="AY99" i="6"/>
  <c r="AX99" i="6"/>
  <c r="AW99" i="6"/>
  <c r="AV99" i="6"/>
  <c r="AU99" i="6"/>
  <c r="AT99" i="6"/>
  <c r="AS99" i="6"/>
  <c r="AR99" i="6"/>
  <c r="AQ99" i="6"/>
  <c r="AP99" i="6"/>
  <c r="AO99" i="6"/>
  <c r="AN99" i="6"/>
  <c r="AM99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99" i="6"/>
  <c r="DE98" i="6"/>
  <c r="DD98" i="6"/>
  <c r="DC98" i="6"/>
  <c r="DB98" i="6"/>
  <c r="DA98" i="6"/>
  <c r="CZ98" i="6"/>
  <c r="CY98" i="6"/>
  <c r="CX98" i="6"/>
  <c r="CV98" i="6"/>
  <c r="CU98" i="6"/>
  <c r="CT98" i="6"/>
  <c r="CS98" i="6"/>
  <c r="CR98" i="6"/>
  <c r="CQ98" i="6"/>
  <c r="CP98" i="6"/>
  <c r="CO98" i="6"/>
  <c r="CN98" i="6"/>
  <c r="CM98" i="6"/>
  <c r="CL98" i="6"/>
  <c r="CK98" i="6"/>
  <c r="CJ98" i="6"/>
  <c r="CI98" i="6"/>
  <c r="CH98" i="6"/>
  <c r="CG98" i="6"/>
  <c r="CF98" i="6"/>
  <c r="CE98" i="6"/>
  <c r="CD98" i="6"/>
  <c r="CC98" i="6"/>
  <c r="CB98" i="6"/>
  <c r="CA98" i="6"/>
  <c r="BZ98" i="6"/>
  <c r="BY98" i="6"/>
  <c r="BX98" i="6"/>
  <c r="BW98" i="6"/>
  <c r="BV98" i="6"/>
  <c r="BU98" i="6"/>
  <c r="BT98" i="6"/>
  <c r="BS98" i="6"/>
  <c r="BR98" i="6"/>
  <c r="BQ98" i="6"/>
  <c r="BP98" i="6"/>
  <c r="BO98" i="6"/>
  <c r="BN98" i="6"/>
  <c r="BM98" i="6"/>
  <c r="BL98" i="6"/>
  <c r="BK98" i="6"/>
  <c r="BJ98" i="6"/>
  <c r="BI98" i="6"/>
  <c r="BH98" i="6"/>
  <c r="BG98" i="6"/>
  <c r="BF98" i="6"/>
  <c r="BE98" i="6"/>
  <c r="BD98" i="6"/>
  <c r="BC98" i="6"/>
  <c r="BB98" i="6"/>
  <c r="BA98" i="6"/>
  <c r="AZ98" i="6"/>
  <c r="AY98" i="6"/>
  <c r="AX98" i="6"/>
  <c r="AW98" i="6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98" i="6"/>
  <c r="DE97" i="6"/>
  <c r="DD97" i="6"/>
  <c r="DC97" i="6"/>
  <c r="DB97" i="6"/>
  <c r="DA97" i="6"/>
  <c r="CZ97" i="6"/>
  <c r="CY97" i="6"/>
  <c r="CX97" i="6"/>
  <c r="CV97" i="6"/>
  <c r="CU97" i="6"/>
  <c r="CT97" i="6"/>
  <c r="CS97" i="6"/>
  <c r="CR97" i="6"/>
  <c r="CQ97" i="6"/>
  <c r="CP97" i="6"/>
  <c r="CO97" i="6"/>
  <c r="CN97" i="6"/>
  <c r="CM97" i="6"/>
  <c r="CL97" i="6"/>
  <c r="CK97" i="6"/>
  <c r="CJ97" i="6"/>
  <c r="CI97" i="6"/>
  <c r="CH97" i="6"/>
  <c r="CG97" i="6"/>
  <c r="CF97" i="6"/>
  <c r="CE97" i="6"/>
  <c r="CD97" i="6"/>
  <c r="CC97" i="6"/>
  <c r="CB97" i="6"/>
  <c r="CA97" i="6"/>
  <c r="BZ97" i="6"/>
  <c r="BY97" i="6"/>
  <c r="BX97" i="6"/>
  <c r="BW97" i="6"/>
  <c r="BV97" i="6"/>
  <c r="BU97" i="6"/>
  <c r="BT97" i="6"/>
  <c r="BS97" i="6"/>
  <c r="BR97" i="6"/>
  <c r="BQ97" i="6"/>
  <c r="BP97" i="6"/>
  <c r="BO97" i="6"/>
  <c r="BN97" i="6"/>
  <c r="BM97" i="6"/>
  <c r="BL97" i="6"/>
  <c r="BK97" i="6"/>
  <c r="BJ97" i="6"/>
  <c r="BI97" i="6"/>
  <c r="BH97" i="6"/>
  <c r="BG97" i="6"/>
  <c r="BF97" i="6"/>
  <c r="BE97" i="6"/>
  <c r="BD97" i="6"/>
  <c r="BC97" i="6"/>
  <c r="BB97" i="6"/>
  <c r="BA97" i="6"/>
  <c r="AZ97" i="6"/>
  <c r="AY97" i="6"/>
  <c r="AX97" i="6"/>
  <c r="AW97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97" i="6"/>
  <c r="DE96" i="6"/>
  <c r="DD96" i="6"/>
  <c r="DC96" i="6"/>
  <c r="DB96" i="6"/>
  <c r="DA96" i="6"/>
  <c r="CZ96" i="6"/>
  <c r="CY96" i="6"/>
  <c r="CX96" i="6"/>
  <c r="CV96" i="6"/>
  <c r="CU96" i="6"/>
  <c r="CT96" i="6"/>
  <c r="CS96" i="6"/>
  <c r="CR96" i="6"/>
  <c r="CQ96" i="6"/>
  <c r="CP96" i="6"/>
  <c r="CO96" i="6"/>
  <c r="CN96" i="6"/>
  <c r="CM96" i="6"/>
  <c r="CL96" i="6"/>
  <c r="CK96" i="6"/>
  <c r="CJ96" i="6"/>
  <c r="CI96" i="6"/>
  <c r="CH96" i="6"/>
  <c r="CG96" i="6"/>
  <c r="CF96" i="6"/>
  <c r="CE96" i="6"/>
  <c r="CD96" i="6"/>
  <c r="CC96" i="6"/>
  <c r="CB96" i="6"/>
  <c r="CA96" i="6"/>
  <c r="BZ96" i="6"/>
  <c r="BY96" i="6"/>
  <c r="BX96" i="6"/>
  <c r="BW96" i="6"/>
  <c r="BV96" i="6"/>
  <c r="BU96" i="6"/>
  <c r="BT96" i="6"/>
  <c r="BS96" i="6"/>
  <c r="BR96" i="6"/>
  <c r="BQ96" i="6"/>
  <c r="BP96" i="6"/>
  <c r="BO96" i="6"/>
  <c r="BN96" i="6"/>
  <c r="BM96" i="6"/>
  <c r="BL96" i="6"/>
  <c r="BK96" i="6"/>
  <c r="BJ96" i="6"/>
  <c r="BI96" i="6"/>
  <c r="BH96" i="6"/>
  <c r="BG96" i="6"/>
  <c r="BF96" i="6"/>
  <c r="BE96" i="6"/>
  <c r="BD96" i="6"/>
  <c r="BC96" i="6"/>
  <c r="BB96" i="6"/>
  <c r="BA96" i="6"/>
  <c r="AZ96" i="6"/>
  <c r="AY96" i="6"/>
  <c r="AX96" i="6"/>
  <c r="AW96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96" i="6"/>
  <c r="DE95" i="6"/>
  <c r="DD95" i="6"/>
  <c r="DC95" i="6"/>
  <c r="DB95" i="6"/>
  <c r="DA95" i="6"/>
  <c r="CZ95" i="6"/>
  <c r="CY95" i="6"/>
  <c r="CX95" i="6"/>
  <c r="CV95" i="6"/>
  <c r="CU95" i="6"/>
  <c r="CT95" i="6"/>
  <c r="CS95" i="6"/>
  <c r="CR95" i="6"/>
  <c r="CQ95" i="6"/>
  <c r="CP95" i="6"/>
  <c r="CO95" i="6"/>
  <c r="CN95" i="6"/>
  <c r="CM95" i="6"/>
  <c r="CL95" i="6"/>
  <c r="CK95" i="6"/>
  <c r="CJ95" i="6"/>
  <c r="CI95" i="6"/>
  <c r="CH95" i="6"/>
  <c r="CG95" i="6"/>
  <c r="CF95" i="6"/>
  <c r="CE95" i="6"/>
  <c r="CD95" i="6"/>
  <c r="CC95" i="6"/>
  <c r="CB95" i="6"/>
  <c r="CA95" i="6"/>
  <c r="BZ95" i="6"/>
  <c r="BY95" i="6"/>
  <c r="BX95" i="6"/>
  <c r="BW95" i="6"/>
  <c r="BV95" i="6"/>
  <c r="BU95" i="6"/>
  <c r="BT95" i="6"/>
  <c r="BS95" i="6"/>
  <c r="BR95" i="6"/>
  <c r="BQ95" i="6"/>
  <c r="BP95" i="6"/>
  <c r="BO95" i="6"/>
  <c r="BN95" i="6"/>
  <c r="BM95" i="6"/>
  <c r="BL95" i="6"/>
  <c r="BK95" i="6"/>
  <c r="BJ95" i="6"/>
  <c r="BI95" i="6"/>
  <c r="BH95" i="6"/>
  <c r="BG95" i="6"/>
  <c r="BF95" i="6"/>
  <c r="BE95" i="6"/>
  <c r="BD95" i="6"/>
  <c r="BC95" i="6"/>
  <c r="BB95" i="6"/>
  <c r="BA95" i="6"/>
  <c r="AZ95" i="6"/>
  <c r="AY95" i="6"/>
  <c r="AX95" i="6"/>
  <c r="AW95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95" i="6"/>
  <c r="DE94" i="6"/>
  <c r="DD94" i="6"/>
  <c r="DC94" i="6"/>
  <c r="DB94" i="6"/>
  <c r="DA94" i="6"/>
  <c r="CZ94" i="6"/>
  <c r="CY94" i="6"/>
  <c r="CX94" i="6"/>
  <c r="CV94" i="6"/>
  <c r="CU94" i="6"/>
  <c r="CT94" i="6"/>
  <c r="CS9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94" i="6"/>
  <c r="DE93" i="6"/>
  <c r="DD93" i="6"/>
  <c r="DC93" i="6"/>
  <c r="DB93" i="6"/>
  <c r="DA93" i="6"/>
  <c r="CZ93" i="6"/>
  <c r="CY93" i="6"/>
  <c r="CX93" i="6"/>
  <c r="CV93" i="6"/>
  <c r="CU93" i="6"/>
  <c r="CT93" i="6"/>
  <c r="CS93" i="6"/>
  <c r="CR93" i="6"/>
  <c r="CQ93" i="6"/>
  <c r="CP93" i="6"/>
  <c r="CO93" i="6"/>
  <c r="CN93" i="6"/>
  <c r="CM93" i="6"/>
  <c r="CL93" i="6"/>
  <c r="CK93" i="6"/>
  <c r="CJ93" i="6"/>
  <c r="CI93" i="6"/>
  <c r="CH93" i="6"/>
  <c r="CG93" i="6"/>
  <c r="CF93" i="6"/>
  <c r="CE93" i="6"/>
  <c r="CD93" i="6"/>
  <c r="CC93" i="6"/>
  <c r="CB93" i="6"/>
  <c r="CA93" i="6"/>
  <c r="BZ93" i="6"/>
  <c r="BY93" i="6"/>
  <c r="BX93" i="6"/>
  <c r="BW93" i="6"/>
  <c r="BV93" i="6"/>
  <c r="BU93" i="6"/>
  <c r="BT93" i="6"/>
  <c r="BS93" i="6"/>
  <c r="BR93" i="6"/>
  <c r="BQ93" i="6"/>
  <c r="BP93" i="6"/>
  <c r="BO93" i="6"/>
  <c r="BN93" i="6"/>
  <c r="BM93" i="6"/>
  <c r="BL93" i="6"/>
  <c r="BK93" i="6"/>
  <c r="BJ93" i="6"/>
  <c r="BI93" i="6"/>
  <c r="BH93" i="6"/>
  <c r="BG93" i="6"/>
  <c r="BF93" i="6"/>
  <c r="BE93" i="6"/>
  <c r="BD93" i="6"/>
  <c r="BC93" i="6"/>
  <c r="BB93" i="6"/>
  <c r="BA93" i="6"/>
  <c r="AZ93" i="6"/>
  <c r="AY93" i="6"/>
  <c r="AX93" i="6"/>
  <c r="AW93" i="6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93" i="6"/>
  <c r="DE92" i="6"/>
  <c r="DD92" i="6"/>
  <c r="DC92" i="6"/>
  <c r="DB92" i="6"/>
  <c r="DA92" i="6"/>
  <c r="CZ92" i="6"/>
  <c r="CY92" i="6"/>
  <c r="CX92" i="6"/>
  <c r="CV92" i="6"/>
  <c r="CU92" i="6"/>
  <c r="CT92" i="6"/>
  <c r="CS92" i="6"/>
  <c r="CR92" i="6"/>
  <c r="CQ92" i="6"/>
  <c r="CP92" i="6"/>
  <c r="CO92" i="6"/>
  <c r="CN92" i="6"/>
  <c r="CM92" i="6"/>
  <c r="CL92" i="6"/>
  <c r="CK92" i="6"/>
  <c r="CJ92" i="6"/>
  <c r="CI92" i="6"/>
  <c r="CH92" i="6"/>
  <c r="CG92" i="6"/>
  <c r="CF92" i="6"/>
  <c r="CE92" i="6"/>
  <c r="CD92" i="6"/>
  <c r="CC92" i="6"/>
  <c r="CB92" i="6"/>
  <c r="CA92" i="6"/>
  <c r="BZ92" i="6"/>
  <c r="BY92" i="6"/>
  <c r="BX92" i="6"/>
  <c r="BW92" i="6"/>
  <c r="BV92" i="6"/>
  <c r="BU92" i="6"/>
  <c r="BT92" i="6"/>
  <c r="BS92" i="6"/>
  <c r="BR92" i="6"/>
  <c r="BQ92" i="6"/>
  <c r="BP92" i="6"/>
  <c r="BO92" i="6"/>
  <c r="BN92" i="6"/>
  <c r="BM92" i="6"/>
  <c r="BL92" i="6"/>
  <c r="BK92" i="6"/>
  <c r="BJ92" i="6"/>
  <c r="BI92" i="6"/>
  <c r="BH92" i="6"/>
  <c r="BG92" i="6"/>
  <c r="BF92" i="6"/>
  <c r="BE92" i="6"/>
  <c r="BD92" i="6"/>
  <c r="BC92" i="6"/>
  <c r="BB92" i="6"/>
  <c r="BA92" i="6"/>
  <c r="AZ92" i="6"/>
  <c r="AY92" i="6"/>
  <c r="AX92" i="6"/>
  <c r="AW92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92" i="6"/>
  <c r="DE91" i="6"/>
  <c r="DD91" i="6"/>
  <c r="DC91" i="6"/>
  <c r="DB91" i="6"/>
  <c r="DA91" i="6"/>
  <c r="CZ91" i="6"/>
  <c r="CY91" i="6"/>
  <c r="CX91" i="6"/>
  <c r="CV91" i="6"/>
  <c r="CU91" i="6"/>
  <c r="CT91" i="6"/>
  <c r="CS91" i="6"/>
  <c r="CR91" i="6"/>
  <c r="CQ91" i="6"/>
  <c r="CP91" i="6"/>
  <c r="CO91" i="6"/>
  <c r="CN91" i="6"/>
  <c r="CM91" i="6"/>
  <c r="CL91" i="6"/>
  <c r="CK91" i="6"/>
  <c r="CJ91" i="6"/>
  <c r="CI91" i="6"/>
  <c r="CH91" i="6"/>
  <c r="CG91" i="6"/>
  <c r="CF91" i="6"/>
  <c r="CE91" i="6"/>
  <c r="CD91" i="6"/>
  <c r="CC91" i="6"/>
  <c r="CB91" i="6"/>
  <c r="CA91" i="6"/>
  <c r="BZ91" i="6"/>
  <c r="BY91" i="6"/>
  <c r="BX91" i="6"/>
  <c r="BW91" i="6"/>
  <c r="BV91" i="6"/>
  <c r="BU91" i="6"/>
  <c r="BT91" i="6"/>
  <c r="BS91" i="6"/>
  <c r="BR91" i="6"/>
  <c r="BQ91" i="6"/>
  <c r="BP91" i="6"/>
  <c r="BO91" i="6"/>
  <c r="BN91" i="6"/>
  <c r="BM91" i="6"/>
  <c r="BL91" i="6"/>
  <c r="BK91" i="6"/>
  <c r="BJ91" i="6"/>
  <c r="BI91" i="6"/>
  <c r="BH91" i="6"/>
  <c r="BG91" i="6"/>
  <c r="BF91" i="6"/>
  <c r="BE91" i="6"/>
  <c r="BD91" i="6"/>
  <c r="BC91" i="6"/>
  <c r="BB91" i="6"/>
  <c r="BA91" i="6"/>
  <c r="AZ91" i="6"/>
  <c r="AY91" i="6"/>
  <c r="AX91" i="6"/>
  <c r="AW91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91" i="6"/>
  <c r="DE90" i="6"/>
  <c r="DD90" i="6"/>
  <c r="DC90" i="6"/>
  <c r="DB90" i="6"/>
  <c r="DA90" i="6"/>
  <c r="CZ90" i="6"/>
  <c r="CY90" i="6"/>
  <c r="CX90" i="6"/>
  <c r="CV90" i="6"/>
  <c r="CU90" i="6"/>
  <c r="CT90" i="6"/>
  <c r="CS90" i="6"/>
  <c r="CR90" i="6"/>
  <c r="CQ90" i="6"/>
  <c r="CP90" i="6"/>
  <c r="CO90" i="6"/>
  <c r="CN90" i="6"/>
  <c r="CM90" i="6"/>
  <c r="CL90" i="6"/>
  <c r="CK90" i="6"/>
  <c r="CJ90" i="6"/>
  <c r="CI90" i="6"/>
  <c r="CH90" i="6"/>
  <c r="CG90" i="6"/>
  <c r="CF90" i="6"/>
  <c r="CE90" i="6"/>
  <c r="CD90" i="6"/>
  <c r="CC90" i="6"/>
  <c r="CB90" i="6"/>
  <c r="CA90" i="6"/>
  <c r="BZ90" i="6"/>
  <c r="BY90" i="6"/>
  <c r="BX90" i="6"/>
  <c r="BW90" i="6"/>
  <c r="BV90" i="6"/>
  <c r="BU90" i="6"/>
  <c r="BT90" i="6"/>
  <c r="BS90" i="6"/>
  <c r="BR90" i="6"/>
  <c r="BQ90" i="6"/>
  <c r="BP90" i="6"/>
  <c r="BO90" i="6"/>
  <c r="BN90" i="6"/>
  <c r="BM90" i="6"/>
  <c r="BL90" i="6"/>
  <c r="BK90" i="6"/>
  <c r="BJ90" i="6"/>
  <c r="BI90" i="6"/>
  <c r="BH90" i="6"/>
  <c r="BG90" i="6"/>
  <c r="BF90" i="6"/>
  <c r="BE90" i="6"/>
  <c r="BD90" i="6"/>
  <c r="BC90" i="6"/>
  <c r="BB90" i="6"/>
  <c r="BA90" i="6"/>
  <c r="AZ90" i="6"/>
  <c r="AY90" i="6"/>
  <c r="AX90" i="6"/>
  <c r="AW90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90" i="6"/>
  <c r="DE89" i="6"/>
  <c r="DD89" i="6"/>
  <c r="DC89" i="6"/>
  <c r="DB89" i="6"/>
  <c r="DA89" i="6"/>
  <c r="CZ89" i="6"/>
  <c r="CY89" i="6"/>
  <c r="CX89" i="6"/>
  <c r="CV89" i="6"/>
  <c r="CU89" i="6"/>
  <c r="CT89" i="6"/>
  <c r="CS89" i="6"/>
  <c r="CR89" i="6"/>
  <c r="CQ89" i="6"/>
  <c r="CP89" i="6"/>
  <c r="CO89" i="6"/>
  <c r="CN89" i="6"/>
  <c r="CM89" i="6"/>
  <c r="CL89" i="6"/>
  <c r="CK89" i="6"/>
  <c r="CJ89" i="6"/>
  <c r="CI89" i="6"/>
  <c r="CH89" i="6"/>
  <c r="CG89" i="6"/>
  <c r="CF89" i="6"/>
  <c r="CE89" i="6"/>
  <c r="CD89" i="6"/>
  <c r="CC89" i="6"/>
  <c r="CB89" i="6"/>
  <c r="CA89" i="6"/>
  <c r="BZ89" i="6"/>
  <c r="BY89" i="6"/>
  <c r="BX89" i="6"/>
  <c r="BW89" i="6"/>
  <c r="BV89" i="6"/>
  <c r="BU89" i="6"/>
  <c r="BT89" i="6"/>
  <c r="BS89" i="6"/>
  <c r="BR89" i="6"/>
  <c r="BQ89" i="6"/>
  <c r="BP89" i="6"/>
  <c r="BO89" i="6"/>
  <c r="BN89" i="6"/>
  <c r="BM89" i="6"/>
  <c r="BL89" i="6"/>
  <c r="BK89" i="6"/>
  <c r="BJ89" i="6"/>
  <c r="BI89" i="6"/>
  <c r="BH89" i="6"/>
  <c r="BG89" i="6"/>
  <c r="BF89" i="6"/>
  <c r="BE89" i="6"/>
  <c r="BD89" i="6"/>
  <c r="BC89" i="6"/>
  <c r="BB89" i="6"/>
  <c r="BA89" i="6"/>
  <c r="AZ89" i="6"/>
  <c r="AY89" i="6"/>
  <c r="AX89" i="6"/>
  <c r="AW89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89" i="6"/>
  <c r="DE88" i="6"/>
  <c r="DD88" i="6"/>
  <c r="DC88" i="6"/>
  <c r="DB88" i="6"/>
  <c r="DA88" i="6"/>
  <c r="CZ88" i="6"/>
  <c r="CY88" i="6"/>
  <c r="CX88" i="6"/>
  <c r="CV88" i="6"/>
  <c r="CU88" i="6"/>
  <c r="CT88" i="6"/>
  <c r="CS88" i="6"/>
  <c r="CR88" i="6"/>
  <c r="CQ88" i="6"/>
  <c r="CP88" i="6"/>
  <c r="CO88" i="6"/>
  <c r="CN88" i="6"/>
  <c r="CM88" i="6"/>
  <c r="CL88" i="6"/>
  <c r="CK88" i="6"/>
  <c r="CJ88" i="6"/>
  <c r="CI88" i="6"/>
  <c r="CH88" i="6"/>
  <c r="CG88" i="6"/>
  <c r="CF88" i="6"/>
  <c r="CE88" i="6"/>
  <c r="CD88" i="6"/>
  <c r="CC88" i="6"/>
  <c r="CB88" i="6"/>
  <c r="CA88" i="6"/>
  <c r="BZ88" i="6"/>
  <c r="BY88" i="6"/>
  <c r="BX88" i="6"/>
  <c r="BW88" i="6"/>
  <c r="BV88" i="6"/>
  <c r="BU88" i="6"/>
  <c r="BT88" i="6"/>
  <c r="BS88" i="6"/>
  <c r="BR88" i="6"/>
  <c r="BQ88" i="6"/>
  <c r="BP88" i="6"/>
  <c r="BO88" i="6"/>
  <c r="BN88" i="6"/>
  <c r="BM88" i="6"/>
  <c r="BL88" i="6"/>
  <c r="BK88" i="6"/>
  <c r="BJ88" i="6"/>
  <c r="BI88" i="6"/>
  <c r="BH88" i="6"/>
  <c r="BG88" i="6"/>
  <c r="BF88" i="6"/>
  <c r="BE88" i="6"/>
  <c r="BD88" i="6"/>
  <c r="BC88" i="6"/>
  <c r="BB88" i="6"/>
  <c r="BA88" i="6"/>
  <c r="AZ88" i="6"/>
  <c r="AY88" i="6"/>
  <c r="AX88" i="6"/>
  <c r="AW88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88" i="6"/>
  <c r="DE87" i="6"/>
  <c r="DD87" i="6"/>
  <c r="DC87" i="6"/>
  <c r="DB87" i="6"/>
  <c r="DA87" i="6"/>
  <c r="CZ87" i="6"/>
  <c r="CY87" i="6"/>
  <c r="CX87" i="6"/>
  <c r="CV87" i="6"/>
  <c r="CU87" i="6"/>
  <c r="CT87" i="6"/>
  <c r="CS87" i="6"/>
  <c r="CR87" i="6"/>
  <c r="CQ87" i="6"/>
  <c r="CP87" i="6"/>
  <c r="CO87" i="6"/>
  <c r="CN87" i="6"/>
  <c r="CM87" i="6"/>
  <c r="CL87" i="6"/>
  <c r="CK87" i="6"/>
  <c r="CJ87" i="6"/>
  <c r="CI87" i="6"/>
  <c r="CH87" i="6"/>
  <c r="CG87" i="6"/>
  <c r="CF87" i="6"/>
  <c r="CE87" i="6"/>
  <c r="CD87" i="6"/>
  <c r="CC87" i="6"/>
  <c r="CB87" i="6"/>
  <c r="CA87" i="6"/>
  <c r="BZ87" i="6"/>
  <c r="BY87" i="6"/>
  <c r="BX87" i="6"/>
  <c r="BW87" i="6"/>
  <c r="BV87" i="6"/>
  <c r="BU87" i="6"/>
  <c r="BT87" i="6"/>
  <c r="BS87" i="6"/>
  <c r="BR87" i="6"/>
  <c r="BQ87" i="6"/>
  <c r="BP87" i="6"/>
  <c r="BO87" i="6"/>
  <c r="BN87" i="6"/>
  <c r="BM87" i="6"/>
  <c r="BL87" i="6"/>
  <c r="BK87" i="6"/>
  <c r="BJ87" i="6"/>
  <c r="BI87" i="6"/>
  <c r="BH87" i="6"/>
  <c r="BG87" i="6"/>
  <c r="BF87" i="6"/>
  <c r="BE87" i="6"/>
  <c r="BD87" i="6"/>
  <c r="BC87" i="6"/>
  <c r="BB87" i="6"/>
  <c r="BA87" i="6"/>
  <c r="AZ87" i="6"/>
  <c r="AY87" i="6"/>
  <c r="AX87" i="6"/>
  <c r="AW87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87" i="6"/>
  <c r="DE86" i="6"/>
  <c r="DD86" i="6"/>
  <c r="DC86" i="6"/>
  <c r="DB86" i="6"/>
  <c r="DA86" i="6"/>
  <c r="CZ86" i="6"/>
  <c r="CY86" i="6"/>
  <c r="CX86" i="6"/>
  <c r="CV86" i="6"/>
  <c r="CU86" i="6"/>
  <c r="CT86" i="6"/>
  <c r="CS86" i="6"/>
  <c r="CR86" i="6"/>
  <c r="CQ86" i="6"/>
  <c r="CP86" i="6"/>
  <c r="CO86" i="6"/>
  <c r="CN86" i="6"/>
  <c r="CM86" i="6"/>
  <c r="CL86" i="6"/>
  <c r="CK86" i="6"/>
  <c r="CJ86" i="6"/>
  <c r="CI86" i="6"/>
  <c r="CH86" i="6"/>
  <c r="CG86" i="6"/>
  <c r="CF86" i="6"/>
  <c r="CE86" i="6"/>
  <c r="CD86" i="6"/>
  <c r="CC86" i="6"/>
  <c r="CB86" i="6"/>
  <c r="CA86" i="6"/>
  <c r="BZ86" i="6"/>
  <c r="BY86" i="6"/>
  <c r="BX86" i="6"/>
  <c r="BW86" i="6"/>
  <c r="BV86" i="6"/>
  <c r="BU86" i="6"/>
  <c r="BT86" i="6"/>
  <c r="BS86" i="6"/>
  <c r="BR86" i="6"/>
  <c r="BQ86" i="6"/>
  <c r="BP86" i="6"/>
  <c r="BO86" i="6"/>
  <c r="BN86" i="6"/>
  <c r="BM86" i="6"/>
  <c r="BL86" i="6"/>
  <c r="BK86" i="6"/>
  <c r="BJ86" i="6"/>
  <c r="BI86" i="6"/>
  <c r="BH86" i="6"/>
  <c r="BG86" i="6"/>
  <c r="BF86" i="6"/>
  <c r="BE86" i="6"/>
  <c r="BD86" i="6"/>
  <c r="BC86" i="6"/>
  <c r="BB86" i="6"/>
  <c r="BA86" i="6"/>
  <c r="AZ86" i="6"/>
  <c r="AY86" i="6"/>
  <c r="AX86" i="6"/>
  <c r="AW86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86" i="6"/>
  <c r="DE85" i="6"/>
  <c r="DD85" i="6"/>
  <c r="DC85" i="6"/>
  <c r="DB85" i="6"/>
  <c r="DA85" i="6"/>
  <c r="CZ85" i="6"/>
  <c r="CY85" i="6"/>
  <c r="CX85" i="6"/>
  <c r="CV85" i="6"/>
  <c r="CU85" i="6"/>
  <c r="CT85" i="6"/>
  <c r="CS85" i="6"/>
  <c r="CR85" i="6"/>
  <c r="CQ85" i="6"/>
  <c r="CP85" i="6"/>
  <c r="CO85" i="6"/>
  <c r="CN85" i="6"/>
  <c r="CM85" i="6"/>
  <c r="CL85" i="6"/>
  <c r="CK85" i="6"/>
  <c r="CJ85" i="6"/>
  <c r="CI85" i="6"/>
  <c r="CH85" i="6"/>
  <c r="CG85" i="6"/>
  <c r="CF85" i="6"/>
  <c r="CE85" i="6"/>
  <c r="CD85" i="6"/>
  <c r="CC85" i="6"/>
  <c r="CB85" i="6"/>
  <c r="CA85" i="6"/>
  <c r="BZ85" i="6"/>
  <c r="BY85" i="6"/>
  <c r="BX85" i="6"/>
  <c r="BW85" i="6"/>
  <c r="BV85" i="6"/>
  <c r="BU85" i="6"/>
  <c r="BT85" i="6"/>
  <c r="BS85" i="6"/>
  <c r="BR85" i="6"/>
  <c r="BQ85" i="6"/>
  <c r="BP85" i="6"/>
  <c r="BO85" i="6"/>
  <c r="BN85" i="6"/>
  <c r="BM85" i="6"/>
  <c r="BL85" i="6"/>
  <c r="BK85" i="6"/>
  <c r="BJ85" i="6"/>
  <c r="BI85" i="6"/>
  <c r="BH85" i="6"/>
  <c r="BG85" i="6"/>
  <c r="BF85" i="6"/>
  <c r="BE85" i="6"/>
  <c r="BD85" i="6"/>
  <c r="BC85" i="6"/>
  <c r="BB85" i="6"/>
  <c r="BA85" i="6"/>
  <c r="AZ85" i="6"/>
  <c r="AY85" i="6"/>
  <c r="AX85" i="6"/>
  <c r="AW85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85" i="6"/>
  <c r="DE84" i="6"/>
  <c r="DD84" i="6"/>
  <c r="DC84" i="6"/>
  <c r="DB84" i="6"/>
  <c r="DA84" i="6"/>
  <c r="CZ84" i="6"/>
  <c r="CY84" i="6"/>
  <c r="CX84" i="6"/>
  <c r="CV84" i="6"/>
  <c r="CU84" i="6"/>
  <c r="CT84" i="6"/>
  <c r="CS8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84" i="6"/>
  <c r="DE83" i="6"/>
  <c r="DD83" i="6"/>
  <c r="DC83" i="6"/>
  <c r="DB83" i="6"/>
  <c r="DA83" i="6"/>
  <c r="CZ83" i="6"/>
  <c r="CY83" i="6"/>
  <c r="CX83" i="6"/>
  <c r="CV83" i="6"/>
  <c r="CU83" i="6"/>
  <c r="CT83" i="6"/>
  <c r="CS83" i="6"/>
  <c r="CR83" i="6"/>
  <c r="CQ83" i="6"/>
  <c r="CP83" i="6"/>
  <c r="CO83" i="6"/>
  <c r="CN83" i="6"/>
  <c r="CM83" i="6"/>
  <c r="CL83" i="6"/>
  <c r="CK83" i="6"/>
  <c r="CJ83" i="6"/>
  <c r="CI83" i="6"/>
  <c r="CH83" i="6"/>
  <c r="CG83" i="6"/>
  <c r="CF83" i="6"/>
  <c r="CE83" i="6"/>
  <c r="CD83" i="6"/>
  <c r="CC83" i="6"/>
  <c r="CB83" i="6"/>
  <c r="CA83" i="6"/>
  <c r="BZ83" i="6"/>
  <c r="BY83" i="6"/>
  <c r="BX83" i="6"/>
  <c r="BW83" i="6"/>
  <c r="BV83" i="6"/>
  <c r="BU83" i="6"/>
  <c r="BT83" i="6"/>
  <c r="BS83" i="6"/>
  <c r="BR83" i="6"/>
  <c r="BQ83" i="6"/>
  <c r="BP83" i="6"/>
  <c r="BO83" i="6"/>
  <c r="BN83" i="6"/>
  <c r="BM83" i="6"/>
  <c r="BL83" i="6"/>
  <c r="BK83" i="6"/>
  <c r="BJ83" i="6"/>
  <c r="BI83" i="6"/>
  <c r="BH83" i="6"/>
  <c r="BG83" i="6"/>
  <c r="BF83" i="6"/>
  <c r="BE83" i="6"/>
  <c r="BD83" i="6"/>
  <c r="BC83" i="6"/>
  <c r="BB83" i="6"/>
  <c r="BA83" i="6"/>
  <c r="AZ83" i="6"/>
  <c r="AY83" i="6"/>
  <c r="AX83" i="6"/>
  <c r="AW83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83" i="6"/>
  <c r="DE82" i="6"/>
  <c r="DD82" i="6"/>
  <c r="DC82" i="6"/>
  <c r="DB82" i="6"/>
  <c r="DA82" i="6"/>
  <c r="CZ82" i="6"/>
  <c r="CY82" i="6"/>
  <c r="CX82" i="6"/>
  <c r="CV82" i="6"/>
  <c r="CU82" i="6"/>
  <c r="CT82" i="6"/>
  <c r="CS82" i="6"/>
  <c r="CR82" i="6"/>
  <c r="CQ82" i="6"/>
  <c r="CP82" i="6"/>
  <c r="CO82" i="6"/>
  <c r="CN82" i="6"/>
  <c r="CM82" i="6"/>
  <c r="CL82" i="6"/>
  <c r="CK82" i="6"/>
  <c r="CJ82" i="6"/>
  <c r="CI82" i="6"/>
  <c r="CH82" i="6"/>
  <c r="CG82" i="6"/>
  <c r="CF82" i="6"/>
  <c r="CE82" i="6"/>
  <c r="CD82" i="6"/>
  <c r="CC82" i="6"/>
  <c r="CB82" i="6"/>
  <c r="CA82" i="6"/>
  <c r="BZ82" i="6"/>
  <c r="BY82" i="6"/>
  <c r="BX82" i="6"/>
  <c r="BW82" i="6"/>
  <c r="BV82" i="6"/>
  <c r="BU82" i="6"/>
  <c r="BT82" i="6"/>
  <c r="BS82" i="6"/>
  <c r="BR82" i="6"/>
  <c r="BQ82" i="6"/>
  <c r="BP82" i="6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82" i="6"/>
  <c r="DE81" i="6"/>
  <c r="DD81" i="6"/>
  <c r="DC81" i="6"/>
  <c r="DB81" i="6"/>
  <c r="DA81" i="6"/>
  <c r="CZ81" i="6"/>
  <c r="CY81" i="6"/>
  <c r="CX81" i="6"/>
  <c r="CV81" i="6"/>
  <c r="CU81" i="6"/>
  <c r="CT81" i="6"/>
  <c r="CS81" i="6"/>
  <c r="CR81" i="6"/>
  <c r="CQ81" i="6"/>
  <c r="CP81" i="6"/>
  <c r="CO81" i="6"/>
  <c r="CN81" i="6"/>
  <c r="CM81" i="6"/>
  <c r="CL81" i="6"/>
  <c r="CK81" i="6"/>
  <c r="CJ81" i="6"/>
  <c r="CI81" i="6"/>
  <c r="CH81" i="6"/>
  <c r="CG81" i="6"/>
  <c r="CF81" i="6"/>
  <c r="CE81" i="6"/>
  <c r="CD81" i="6"/>
  <c r="CC81" i="6"/>
  <c r="CB81" i="6"/>
  <c r="CA81" i="6"/>
  <c r="BZ81" i="6"/>
  <c r="BY81" i="6"/>
  <c r="BX81" i="6"/>
  <c r="BW81" i="6"/>
  <c r="BV81" i="6"/>
  <c r="BU81" i="6"/>
  <c r="BT81" i="6"/>
  <c r="BS81" i="6"/>
  <c r="BR81" i="6"/>
  <c r="BQ81" i="6"/>
  <c r="BP81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81" i="6"/>
  <c r="DE80" i="6"/>
  <c r="DD80" i="6"/>
  <c r="DC80" i="6"/>
  <c r="DB80" i="6"/>
  <c r="DA80" i="6"/>
  <c r="CZ80" i="6"/>
  <c r="CY80" i="6"/>
  <c r="CX80" i="6"/>
  <c r="CV80" i="6"/>
  <c r="CU80" i="6"/>
  <c r="CT80" i="6"/>
  <c r="CS80" i="6"/>
  <c r="CR80" i="6"/>
  <c r="CQ80" i="6"/>
  <c r="CP80" i="6"/>
  <c r="CO80" i="6"/>
  <c r="CN80" i="6"/>
  <c r="CM80" i="6"/>
  <c r="CL80" i="6"/>
  <c r="CK80" i="6"/>
  <c r="CJ80" i="6"/>
  <c r="CI80" i="6"/>
  <c r="CH80" i="6"/>
  <c r="CG80" i="6"/>
  <c r="CF80" i="6"/>
  <c r="CE80" i="6"/>
  <c r="CD80" i="6"/>
  <c r="CC80" i="6"/>
  <c r="CB80" i="6"/>
  <c r="CA80" i="6"/>
  <c r="BZ80" i="6"/>
  <c r="BY80" i="6"/>
  <c r="BX80" i="6"/>
  <c r="BW80" i="6"/>
  <c r="BV80" i="6"/>
  <c r="BU80" i="6"/>
  <c r="BT80" i="6"/>
  <c r="BS80" i="6"/>
  <c r="BR80" i="6"/>
  <c r="BQ80" i="6"/>
  <c r="BP80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80" i="6"/>
  <c r="DE79" i="6"/>
  <c r="DD79" i="6"/>
  <c r="DC79" i="6"/>
  <c r="DB79" i="6"/>
  <c r="DA79" i="6"/>
  <c r="CZ79" i="6"/>
  <c r="CY79" i="6"/>
  <c r="CX79" i="6"/>
  <c r="CV79" i="6"/>
  <c r="CU79" i="6"/>
  <c r="CT79" i="6"/>
  <c r="CS79" i="6"/>
  <c r="CR79" i="6"/>
  <c r="CQ79" i="6"/>
  <c r="CP79" i="6"/>
  <c r="CO79" i="6"/>
  <c r="CN79" i="6"/>
  <c r="CM79" i="6"/>
  <c r="CL79" i="6"/>
  <c r="CK79" i="6"/>
  <c r="CJ79" i="6"/>
  <c r="CI79" i="6"/>
  <c r="CH79" i="6"/>
  <c r="CG79" i="6"/>
  <c r="CF79" i="6"/>
  <c r="CE79" i="6"/>
  <c r="CD79" i="6"/>
  <c r="CC79" i="6"/>
  <c r="CB79" i="6"/>
  <c r="CA79" i="6"/>
  <c r="BZ79" i="6"/>
  <c r="BY79" i="6"/>
  <c r="BX79" i="6"/>
  <c r="BW79" i="6"/>
  <c r="BV79" i="6"/>
  <c r="BU79" i="6"/>
  <c r="BT79" i="6"/>
  <c r="BS79" i="6"/>
  <c r="BR79" i="6"/>
  <c r="BQ79" i="6"/>
  <c r="BP79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79" i="6"/>
  <c r="DE78" i="6"/>
  <c r="DD78" i="6"/>
  <c r="DC78" i="6"/>
  <c r="DB78" i="6"/>
  <c r="DA78" i="6"/>
  <c r="CZ78" i="6"/>
  <c r="CY78" i="6"/>
  <c r="CX78" i="6"/>
  <c r="CV78" i="6"/>
  <c r="CU78" i="6"/>
  <c r="CT78" i="6"/>
  <c r="CS78" i="6"/>
  <c r="CR78" i="6"/>
  <c r="CQ78" i="6"/>
  <c r="CP78" i="6"/>
  <c r="CO78" i="6"/>
  <c r="CN78" i="6"/>
  <c r="CM78" i="6"/>
  <c r="CL78" i="6"/>
  <c r="CK78" i="6"/>
  <c r="CJ78" i="6"/>
  <c r="CI78" i="6"/>
  <c r="CH78" i="6"/>
  <c r="CG78" i="6"/>
  <c r="CF78" i="6"/>
  <c r="CE78" i="6"/>
  <c r="CD78" i="6"/>
  <c r="CC78" i="6"/>
  <c r="CB78" i="6"/>
  <c r="CA78" i="6"/>
  <c r="BZ78" i="6"/>
  <c r="BY78" i="6"/>
  <c r="BX78" i="6"/>
  <c r="BW78" i="6"/>
  <c r="BV78" i="6"/>
  <c r="BU78" i="6"/>
  <c r="BT78" i="6"/>
  <c r="BS78" i="6"/>
  <c r="BR78" i="6"/>
  <c r="BQ78" i="6"/>
  <c r="BP78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78" i="6"/>
  <c r="DE77" i="6"/>
  <c r="DD77" i="6"/>
  <c r="DC77" i="6"/>
  <c r="DB77" i="6"/>
  <c r="DA77" i="6"/>
  <c r="CZ77" i="6"/>
  <c r="CY77" i="6"/>
  <c r="CX77" i="6"/>
  <c r="CV77" i="6"/>
  <c r="CU77" i="6"/>
  <c r="CT77" i="6"/>
  <c r="CS77" i="6"/>
  <c r="CR77" i="6"/>
  <c r="CQ77" i="6"/>
  <c r="CP77" i="6"/>
  <c r="CO77" i="6"/>
  <c r="CN77" i="6"/>
  <c r="CM77" i="6"/>
  <c r="CL77" i="6"/>
  <c r="CK77" i="6"/>
  <c r="CJ77" i="6"/>
  <c r="CI77" i="6"/>
  <c r="CH77" i="6"/>
  <c r="CG77" i="6"/>
  <c r="CF77" i="6"/>
  <c r="CE77" i="6"/>
  <c r="CD77" i="6"/>
  <c r="CC77" i="6"/>
  <c r="CB77" i="6"/>
  <c r="CA77" i="6"/>
  <c r="BZ77" i="6"/>
  <c r="BY77" i="6"/>
  <c r="BX77" i="6"/>
  <c r="BW77" i="6"/>
  <c r="BV77" i="6"/>
  <c r="BU77" i="6"/>
  <c r="BT77" i="6"/>
  <c r="BS77" i="6"/>
  <c r="BR77" i="6"/>
  <c r="BQ77" i="6"/>
  <c r="BP77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77" i="6"/>
  <c r="DE76" i="6"/>
  <c r="DD76" i="6"/>
  <c r="DC76" i="6"/>
  <c r="DB76" i="6"/>
  <c r="DA76" i="6"/>
  <c r="CZ76" i="6"/>
  <c r="CY76" i="6"/>
  <c r="CX76" i="6"/>
  <c r="CV76" i="6"/>
  <c r="CU76" i="6"/>
  <c r="CT76" i="6"/>
  <c r="CS76" i="6"/>
  <c r="CR76" i="6"/>
  <c r="CQ76" i="6"/>
  <c r="CP76" i="6"/>
  <c r="CO76" i="6"/>
  <c r="CN76" i="6"/>
  <c r="CM76" i="6"/>
  <c r="CL76" i="6"/>
  <c r="CK76" i="6"/>
  <c r="CJ76" i="6"/>
  <c r="CI76" i="6"/>
  <c r="CH76" i="6"/>
  <c r="CG76" i="6"/>
  <c r="CF76" i="6"/>
  <c r="CE76" i="6"/>
  <c r="CD76" i="6"/>
  <c r="CC76" i="6"/>
  <c r="CB76" i="6"/>
  <c r="CA76" i="6"/>
  <c r="BZ76" i="6"/>
  <c r="BY76" i="6"/>
  <c r="BX76" i="6"/>
  <c r="BW76" i="6"/>
  <c r="BV76" i="6"/>
  <c r="BU76" i="6"/>
  <c r="BT76" i="6"/>
  <c r="BS76" i="6"/>
  <c r="BR76" i="6"/>
  <c r="BQ76" i="6"/>
  <c r="BP76" i="6"/>
  <c r="BO76" i="6"/>
  <c r="BN76" i="6"/>
  <c r="BM76" i="6"/>
  <c r="BL76" i="6"/>
  <c r="BK76" i="6"/>
  <c r="BJ76" i="6"/>
  <c r="BI76" i="6"/>
  <c r="BH76" i="6"/>
  <c r="BG76" i="6"/>
  <c r="BF76" i="6"/>
  <c r="BE76" i="6"/>
  <c r="BD76" i="6"/>
  <c r="BC76" i="6"/>
  <c r="BB76" i="6"/>
  <c r="BA76" i="6"/>
  <c r="AZ76" i="6"/>
  <c r="AY76" i="6"/>
  <c r="AX76" i="6"/>
  <c r="AW76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76" i="6"/>
  <c r="DE75" i="6"/>
  <c r="DD75" i="6"/>
  <c r="DC75" i="6"/>
  <c r="DB75" i="6"/>
  <c r="DA75" i="6"/>
  <c r="CZ75" i="6"/>
  <c r="CY75" i="6"/>
  <c r="CX75" i="6"/>
  <c r="CV75" i="6"/>
  <c r="CU75" i="6"/>
  <c r="CT75" i="6"/>
  <c r="CS75" i="6"/>
  <c r="CR75" i="6"/>
  <c r="CQ75" i="6"/>
  <c r="CP75" i="6"/>
  <c r="CO75" i="6"/>
  <c r="CN75" i="6"/>
  <c r="CM75" i="6"/>
  <c r="CL75" i="6"/>
  <c r="CK75" i="6"/>
  <c r="CJ75" i="6"/>
  <c r="CI75" i="6"/>
  <c r="CH75" i="6"/>
  <c r="CG75" i="6"/>
  <c r="CF75" i="6"/>
  <c r="CE75" i="6"/>
  <c r="CD75" i="6"/>
  <c r="CC75" i="6"/>
  <c r="CB75" i="6"/>
  <c r="CA75" i="6"/>
  <c r="BZ75" i="6"/>
  <c r="BY75" i="6"/>
  <c r="BX75" i="6"/>
  <c r="BW75" i="6"/>
  <c r="BV75" i="6"/>
  <c r="BU75" i="6"/>
  <c r="BT75" i="6"/>
  <c r="BS75" i="6"/>
  <c r="BR75" i="6"/>
  <c r="BQ75" i="6"/>
  <c r="BP75" i="6"/>
  <c r="BO75" i="6"/>
  <c r="BN75" i="6"/>
  <c r="BM75" i="6"/>
  <c r="BL75" i="6"/>
  <c r="BK75" i="6"/>
  <c r="BJ75" i="6"/>
  <c r="BI75" i="6"/>
  <c r="BH75" i="6"/>
  <c r="BG75" i="6"/>
  <c r="BF75" i="6"/>
  <c r="BE75" i="6"/>
  <c r="BD75" i="6"/>
  <c r="BC75" i="6"/>
  <c r="BB75" i="6"/>
  <c r="BA75" i="6"/>
  <c r="AZ75" i="6"/>
  <c r="AY75" i="6"/>
  <c r="AX75" i="6"/>
  <c r="AW75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DE74" i="6"/>
  <c r="DD74" i="6"/>
  <c r="DC74" i="6"/>
  <c r="DB74" i="6"/>
  <c r="DA74" i="6"/>
  <c r="CZ74" i="6"/>
  <c r="CY74" i="6"/>
  <c r="CX74" i="6"/>
  <c r="CV74" i="6"/>
  <c r="CU74" i="6"/>
  <c r="CT74" i="6"/>
  <c r="CS7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DE73" i="6"/>
  <c r="DD73" i="6"/>
  <c r="DC73" i="6"/>
  <c r="DB73" i="6"/>
  <c r="DA73" i="6"/>
  <c r="CZ73" i="6"/>
  <c r="CY73" i="6"/>
  <c r="CX73" i="6"/>
  <c r="CV73" i="6"/>
  <c r="CU73" i="6"/>
  <c r="CT73" i="6"/>
  <c r="CS73" i="6"/>
  <c r="CR73" i="6"/>
  <c r="CQ73" i="6"/>
  <c r="CP73" i="6"/>
  <c r="CO73" i="6"/>
  <c r="CN73" i="6"/>
  <c r="CM73" i="6"/>
  <c r="CL73" i="6"/>
  <c r="CK73" i="6"/>
  <c r="CJ73" i="6"/>
  <c r="CI73" i="6"/>
  <c r="CH73" i="6"/>
  <c r="CG73" i="6"/>
  <c r="CF73" i="6"/>
  <c r="CE73" i="6"/>
  <c r="CD73" i="6"/>
  <c r="CC73" i="6"/>
  <c r="CB73" i="6"/>
  <c r="CA73" i="6"/>
  <c r="BZ73" i="6"/>
  <c r="BY73" i="6"/>
  <c r="BX73" i="6"/>
  <c r="BW73" i="6"/>
  <c r="BV73" i="6"/>
  <c r="BU73" i="6"/>
  <c r="BT73" i="6"/>
  <c r="BS73" i="6"/>
  <c r="BR73" i="6"/>
  <c r="BQ73" i="6"/>
  <c r="BP73" i="6"/>
  <c r="BO73" i="6"/>
  <c r="BN73" i="6"/>
  <c r="BM73" i="6"/>
  <c r="BL73" i="6"/>
  <c r="BK73" i="6"/>
  <c r="BJ73" i="6"/>
  <c r="BI73" i="6"/>
  <c r="BH73" i="6"/>
  <c r="BG73" i="6"/>
  <c r="BF73" i="6"/>
  <c r="BE73" i="6"/>
  <c r="BD73" i="6"/>
  <c r="BC73" i="6"/>
  <c r="BB73" i="6"/>
  <c r="BA73" i="6"/>
  <c r="AZ73" i="6"/>
  <c r="AY73" i="6"/>
  <c r="AX73" i="6"/>
  <c r="AW73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DE72" i="6"/>
  <c r="DD72" i="6"/>
  <c r="DC72" i="6"/>
  <c r="DB72" i="6"/>
  <c r="DA72" i="6"/>
  <c r="CZ72" i="6"/>
  <c r="CY72" i="6"/>
  <c r="CX72" i="6"/>
  <c r="CV72" i="6"/>
  <c r="CU72" i="6"/>
  <c r="CT72" i="6"/>
  <c r="CS72" i="6"/>
  <c r="CR72" i="6"/>
  <c r="CQ72" i="6"/>
  <c r="CP72" i="6"/>
  <c r="CO72" i="6"/>
  <c r="CN72" i="6"/>
  <c r="CM72" i="6"/>
  <c r="CL72" i="6"/>
  <c r="CK72" i="6"/>
  <c r="CJ72" i="6"/>
  <c r="CI72" i="6"/>
  <c r="CH72" i="6"/>
  <c r="CG72" i="6"/>
  <c r="CF72" i="6"/>
  <c r="CE72" i="6"/>
  <c r="CD72" i="6"/>
  <c r="CC72" i="6"/>
  <c r="CB72" i="6"/>
  <c r="CA72" i="6"/>
  <c r="BZ72" i="6"/>
  <c r="BY72" i="6"/>
  <c r="BX72" i="6"/>
  <c r="BW72" i="6"/>
  <c r="BV72" i="6"/>
  <c r="BU72" i="6"/>
  <c r="BT72" i="6"/>
  <c r="BS72" i="6"/>
  <c r="BR72" i="6"/>
  <c r="BQ72" i="6"/>
  <c r="BP72" i="6"/>
  <c r="BO72" i="6"/>
  <c r="BN72" i="6"/>
  <c r="BM72" i="6"/>
  <c r="BL72" i="6"/>
  <c r="BK72" i="6"/>
  <c r="BJ72" i="6"/>
  <c r="BI72" i="6"/>
  <c r="BH72" i="6"/>
  <c r="BG72" i="6"/>
  <c r="BF72" i="6"/>
  <c r="BE72" i="6"/>
  <c r="BD72" i="6"/>
  <c r="BC72" i="6"/>
  <c r="BB72" i="6"/>
  <c r="BA72" i="6"/>
  <c r="AZ72" i="6"/>
  <c r="AY72" i="6"/>
  <c r="AX72" i="6"/>
  <c r="AW72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DE71" i="6"/>
  <c r="DD71" i="6"/>
  <c r="DC71" i="6"/>
  <c r="DB71" i="6"/>
  <c r="DA71" i="6"/>
  <c r="CZ71" i="6"/>
  <c r="CY71" i="6"/>
  <c r="CX71" i="6"/>
  <c r="CV71" i="6"/>
  <c r="CU71" i="6"/>
  <c r="CT71" i="6"/>
  <c r="CS71" i="6"/>
  <c r="CR71" i="6"/>
  <c r="CQ71" i="6"/>
  <c r="CP71" i="6"/>
  <c r="CO71" i="6"/>
  <c r="CN71" i="6"/>
  <c r="CM71" i="6"/>
  <c r="CL71" i="6"/>
  <c r="CK71" i="6"/>
  <c r="CJ71" i="6"/>
  <c r="CI71" i="6"/>
  <c r="CH71" i="6"/>
  <c r="CG71" i="6"/>
  <c r="CF71" i="6"/>
  <c r="CE71" i="6"/>
  <c r="CD71" i="6"/>
  <c r="CC71" i="6"/>
  <c r="CB71" i="6"/>
  <c r="CA71" i="6"/>
  <c r="BZ71" i="6"/>
  <c r="BY71" i="6"/>
  <c r="BX71" i="6"/>
  <c r="BW71" i="6"/>
  <c r="BV71" i="6"/>
  <c r="BU71" i="6"/>
  <c r="BT71" i="6"/>
  <c r="BS71" i="6"/>
  <c r="BR71" i="6"/>
  <c r="BQ71" i="6"/>
  <c r="BP71" i="6"/>
  <c r="BO71" i="6"/>
  <c r="BN71" i="6"/>
  <c r="BM71" i="6"/>
  <c r="BL71" i="6"/>
  <c r="BK71" i="6"/>
  <c r="BJ71" i="6"/>
  <c r="BI71" i="6"/>
  <c r="BH71" i="6"/>
  <c r="BG71" i="6"/>
  <c r="BF71" i="6"/>
  <c r="BE71" i="6"/>
  <c r="BD71" i="6"/>
  <c r="BC71" i="6"/>
  <c r="BB71" i="6"/>
  <c r="BA71" i="6"/>
  <c r="AZ71" i="6"/>
  <c r="AY71" i="6"/>
  <c r="AX71" i="6"/>
  <c r="AW71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DE70" i="6"/>
  <c r="DD70" i="6"/>
  <c r="DC70" i="6"/>
  <c r="DB70" i="6"/>
  <c r="DA70" i="6"/>
  <c r="CZ70" i="6"/>
  <c r="CY70" i="6"/>
  <c r="CX70" i="6"/>
  <c r="CV70" i="6"/>
  <c r="CU70" i="6"/>
  <c r="CT70" i="6"/>
  <c r="CS70" i="6"/>
  <c r="CR70" i="6"/>
  <c r="CQ70" i="6"/>
  <c r="CP70" i="6"/>
  <c r="CO70" i="6"/>
  <c r="CN70" i="6"/>
  <c r="CM70" i="6"/>
  <c r="CL70" i="6"/>
  <c r="CK70" i="6"/>
  <c r="CJ70" i="6"/>
  <c r="CI70" i="6"/>
  <c r="CH70" i="6"/>
  <c r="CG70" i="6"/>
  <c r="CF70" i="6"/>
  <c r="CE70" i="6"/>
  <c r="CD70" i="6"/>
  <c r="CC70" i="6"/>
  <c r="CB70" i="6"/>
  <c r="CA70" i="6"/>
  <c r="BZ70" i="6"/>
  <c r="BY70" i="6"/>
  <c r="BX70" i="6"/>
  <c r="BW70" i="6"/>
  <c r="BV70" i="6"/>
  <c r="BU70" i="6"/>
  <c r="BT70" i="6"/>
  <c r="BS70" i="6"/>
  <c r="BR70" i="6"/>
  <c r="BQ70" i="6"/>
  <c r="BP70" i="6"/>
  <c r="BO70" i="6"/>
  <c r="BN70" i="6"/>
  <c r="BM70" i="6"/>
  <c r="BL70" i="6"/>
  <c r="BK70" i="6"/>
  <c r="BJ70" i="6"/>
  <c r="BI70" i="6"/>
  <c r="BH70" i="6"/>
  <c r="BG70" i="6"/>
  <c r="BF70" i="6"/>
  <c r="BE70" i="6"/>
  <c r="BD70" i="6"/>
  <c r="BC70" i="6"/>
  <c r="BB70" i="6"/>
  <c r="BA70" i="6"/>
  <c r="AZ70" i="6"/>
  <c r="AY70" i="6"/>
  <c r="AX70" i="6"/>
  <c r="AW70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DE69" i="6"/>
  <c r="DD69" i="6"/>
  <c r="DC69" i="6"/>
  <c r="DB69" i="6"/>
  <c r="DA69" i="6"/>
  <c r="CZ69" i="6"/>
  <c r="CY69" i="6"/>
  <c r="CX69" i="6"/>
  <c r="CV69" i="6"/>
  <c r="CU69" i="6"/>
  <c r="CT69" i="6"/>
  <c r="CS69" i="6"/>
  <c r="CR69" i="6"/>
  <c r="CQ69" i="6"/>
  <c r="CP69" i="6"/>
  <c r="CO69" i="6"/>
  <c r="CN69" i="6"/>
  <c r="CM69" i="6"/>
  <c r="CL69" i="6"/>
  <c r="CK69" i="6"/>
  <c r="CJ69" i="6"/>
  <c r="CI69" i="6"/>
  <c r="CH69" i="6"/>
  <c r="CG69" i="6"/>
  <c r="CF69" i="6"/>
  <c r="CE69" i="6"/>
  <c r="CD69" i="6"/>
  <c r="CC69" i="6"/>
  <c r="CB69" i="6"/>
  <c r="CA69" i="6"/>
  <c r="BZ69" i="6"/>
  <c r="BY69" i="6"/>
  <c r="BX69" i="6"/>
  <c r="BW69" i="6"/>
  <c r="BV69" i="6"/>
  <c r="BU69" i="6"/>
  <c r="BT69" i="6"/>
  <c r="BS69" i="6"/>
  <c r="BR69" i="6"/>
  <c r="BQ69" i="6"/>
  <c r="BP69" i="6"/>
  <c r="BO69" i="6"/>
  <c r="BN69" i="6"/>
  <c r="BM69" i="6"/>
  <c r="BL69" i="6"/>
  <c r="BK69" i="6"/>
  <c r="BJ69" i="6"/>
  <c r="BI69" i="6"/>
  <c r="BH69" i="6"/>
  <c r="BG69" i="6"/>
  <c r="BF69" i="6"/>
  <c r="BE69" i="6"/>
  <c r="BD69" i="6"/>
  <c r="BC69" i="6"/>
  <c r="BB69" i="6"/>
  <c r="BA69" i="6"/>
  <c r="AZ69" i="6"/>
  <c r="AY69" i="6"/>
  <c r="AX69" i="6"/>
  <c r="AW69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DE68" i="6"/>
  <c r="DD68" i="6"/>
  <c r="DC68" i="6"/>
  <c r="DB68" i="6"/>
  <c r="DA68" i="6"/>
  <c r="CZ68" i="6"/>
  <c r="CY68" i="6"/>
  <c r="CX68" i="6"/>
  <c r="CV68" i="6"/>
  <c r="CU68" i="6"/>
  <c r="CT68" i="6"/>
  <c r="CS68" i="6"/>
  <c r="CR68" i="6"/>
  <c r="CQ68" i="6"/>
  <c r="CP68" i="6"/>
  <c r="CO68" i="6"/>
  <c r="CN68" i="6"/>
  <c r="CM68" i="6"/>
  <c r="CL68" i="6"/>
  <c r="CK68" i="6"/>
  <c r="CJ68" i="6"/>
  <c r="CI68" i="6"/>
  <c r="CH68" i="6"/>
  <c r="CG68" i="6"/>
  <c r="CF68" i="6"/>
  <c r="CE68" i="6"/>
  <c r="CD68" i="6"/>
  <c r="CC68" i="6"/>
  <c r="CB68" i="6"/>
  <c r="CA68" i="6"/>
  <c r="BZ68" i="6"/>
  <c r="BY68" i="6"/>
  <c r="BX68" i="6"/>
  <c r="BW68" i="6"/>
  <c r="BV68" i="6"/>
  <c r="BU68" i="6"/>
  <c r="BT68" i="6"/>
  <c r="BS68" i="6"/>
  <c r="BR68" i="6"/>
  <c r="BQ68" i="6"/>
  <c r="BP68" i="6"/>
  <c r="BO68" i="6"/>
  <c r="BN68" i="6"/>
  <c r="BM68" i="6"/>
  <c r="BL68" i="6"/>
  <c r="BK68" i="6"/>
  <c r="BJ68" i="6"/>
  <c r="BI68" i="6"/>
  <c r="BH68" i="6"/>
  <c r="BG68" i="6"/>
  <c r="BF68" i="6"/>
  <c r="BE68" i="6"/>
  <c r="BD68" i="6"/>
  <c r="BC68" i="6"/>
  <c r="BB68" i="6"/>
  <c r="BA68" i="6"/>
  <c r="AZ68" i="6"/>
  <c r="AY68" i="6"/>
  <c r="AX68" i="6"/>
  <c r="AW68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8" i="6"/>
  <c r="DE67" i="6"/>
  <c r="DD67" i="6"/>
  <c r="DC67" i="6"/>
  <c r="DB67" i="6"/>
  <c r="DA67" i="6"/>
  <c r="CZ67" i="6"/>
  <c r="CY67" i="6"/>
  <c r="CX67" i="6"/>
  <c r="CV67" i="6"/>
  <c r="CU67" i="6"/>
  <c r="CT67" i="6"/>
  <c r="CS67" i="6"/>
  <c r="CR67" i="6"/>
  <c r="CQ67" i="6"/>
  <c r="CP67" i="6"/>
  <c r="CO67" i="6"/>
  <c r="CN67" i="6"/>
  <c r="CM67" i="6"/>
  <c r="CL67" i="6"/>
  <c r="CK67" i="6"/>
  <c r="CJ67" i="6"/>
  <c r="CI67" i="6"/>
  <c r="CH67" i="6"/>
  <c r="CG67" i="6"/>
  <c r="CF67" i="6"/>
  <c r="CE67" i="6"/>
  <c r="CD67" i="6"/>
  <c r="CC67" i="6"/>
  <c r="CB67" i="6"/>
  <c r="CA67" i="6"/>
  <c r="BZ67" i="6"/>
  <c r="BY67" i="6"/>
  <c r="BX67" i="6"/>
  <c r="BW67" i="6"/>
  <c r="BV67" i="6"/>
  <c r="BU67" i="6"/>
  <c r="BT67" i="6"/>
  <c r="BS67" i="6"/>
  <c r="BR67" i="6"/>
  <c r="BQ67" i="6"/>
  <c r="BP67" i="6"/>
  <c r="BO67" i="6"/>
  <c r="BN67" i="6"/>
  <c r="BM67" i="6"/>
  <c r="BL67" i="6"/>
  <c r="BK67" i="6"/>
  <c r="BJ67" i="6"/>
  <c r="BI67" i="6"/>
  <c r="BH67" i="6"/>
  <c r="BG67" i="6"/>
  <c r="BF67" i="6"/>
  <c r="BE67" i="6"/>
  <c r="BD67" i="6"/>
  <c r="BC67" i="6"/>
  <c r="BB67" i="6"/>
  <c r="BA67" i="6"/>
  <c r="AZ67" i="6"/>
  <c r="AY67" i="6"/>
  <c r="AX67" i="6"/>
  <c r="AW67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DE66" i="6"/>
  <c r="DD66" i="6"/>
  <c r="DC66" i="6"/>
  <c r="DB66" i="6"/>
  <c r="DA66" i="6"/>
  <c r="CZ66" i="6"/>
  <c r="CY66" i="6"/>
  <c r="CX66" i="6"/>
  <c r="CV66" i="6"/>
  <c r="CU66" i="6"/>
  <c r="CT66" i="6"/>
  <c r="CS66" i="6"/>
  <c r="CR66" i="6"/>
  <c r="CQ66" i="6"/>
  <c r="CP66" i="6"/>
  <c r="CO66" i="6"/>
  <c r="CN66" i="6"/>
  <c r="CM66" i="6"/>
  <c r="CL66" i="6"/>
  <c r="CK66" i="6"/>
  <c r="CJ66" i="6"/>
  <c r="CI66" i="6"/>
  <c r="CH66" i="6"/>
  <c r="CG66" i="6"/>
  <c r="CF66" i="6"/>
  <c r="CE66" i="6"/>
  <c r="CD66" i="6"/>
  <c r="CC66" i="6"/>
  <c r="CB66" i="6"/>
  <c r="CA66" i="6"/>
  <c r="BZ66" i="6"/>
  <c r="BY66" i="6"/>
  <c r="BX66" i="6"/>
  <c r="BW66" i="6"/>
  <c r="BV66" i="6"/>
  <c r="BU66" i="6"/>
  <c r="BT66" i="6"/>
  <c r="BS66" i="6"/>
  <c r="BR66" i="6"/>
  <c r="BQ66" i="6"/>
  <c r="BP66" i="6"/>
  <c r="BO66" i="6"/>
  <c r="BN66" i="6"/>
  <c r="BM66" i="6"/>
  <c r="BL66" i="6"/>
  <c r="BK66" i="6"/>
  <c r="BJ66" i="6"/>
  <c r="BI66" i="6"/>
  <c r="BH66" i="6"/>
  <c r="BG66" i="6"/>
  <c r="BF66" i="6"/>
  <c r="BE66" i="6"/>
  <c r="BD66" i="6"/>
  <c r="BC66" i="6"/>
  <c r="BB66" i="6"/>
  <c r="BA66" i="6"/>
  <c r="AZ66" i="6"/>
  <c r="AY66" i="6"/>
  <c r="AX66" i="6"/>
  <c r="AW66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DE65" i="6"/>
  <c r="DD65" i="6"/>
  <c r="DC65" i="6"/>
  <c r="DB65" i="6"/>
  <c r="DA65" i="6"/>
  <c r="CZ65" i="6"/>
  <c r="CY65" i="6"/>
  <c r="CX65" i="6"/>
  <c r="CV65" i="6"/>
  <c r="CU65" i="6"/>
  <c r="CT65" i="6"/>
  <c r="CS65" i="6"/>
  <c r="CR65" i="6"/>
  <c r="CQ65" i="6"/>
  <c r="CP65" i="6"/>
  <c r="CO65" i="6"/>
  <c r="CN65" i="6"/>
  <c r="CM65" i="6"/>
  <c r="CL65" i="6"/>
  <c r="CK65" i="6"/>
  <c r="CJ65" i="6"/>
  <c r="CI65" i="6"/>
  <c r="CH65" i="6"/>
  <c r="CG65" i="6"/>
  <c r="CF65" i="6"/>
  <c r="CE65" i="6"/>
  <c r="CD65" i="6"/>
  <c r="CC65" i="6"/>
  <c r="CB65" i="6"/>
  <c r="CA65" i="6"/>
  <c r="BZ65" i="6"/>
  <c r="BY65" i="6"/>
  <c r="BX65" i="6"/>
  <c r="BW65" i="6"/>
  <c r="BV65" i="6"/>
  <c r="BU65" i="6"/>
  <c r="BT65" i="6"/>
  <c r="BS65" i="6"/>
  <c r="BR65" i="6"/>
  <c r="BQ65" i="6"/>
  <c r="BP65" i="6"/>
  <c r="BO65" i="6"/>
  <c r="BN65" i="6"/>
  <c r="BM65" i="6"/>
  <c r="BL65" i="6"/>
  <c r="BK65" i="6"/>
  <c r="BJ65" i="6"/>
  <c r="BI65" i="6"/>
  <c r="BH65" i="6"/>
  <c r="BG65" i="6"/>
  <c r="BF65" i="6"/>
  <c r="BE65" i="6"/>
  <c r="BD65" i="6"/>
  <c r="BC65" i="6"/>
  <c r="BB65" i="6"/>
  <c r="BA65" i="6"/>
  <c r="AZ65" i="6"/>
  <c r="AY65" i="6"/>
  <c r="AX65" i="6"/>
  <c r="AW65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DE64" i="6"/>
  <c r="DD64" i="6"/>
  <c r="DC64" i="6"/>
  <c r="DB64" i="6"/>
  <c r="DA64" i="6"/>
  <c r="CZ64" i="6"/>
  <c r="CY64" i="6"/>
  <c r="CX64" i="6"/>
  <c r="CV64" i="6"/>
  <c r="CU64" i="6"/>
  <c r="CT64" i="6"/>
  <c r="CS6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DE63" i="6"/>
  <c r="DD63" i="6"/>
  <c r="DC63" i="6"/>
  <c r="DB63" i="6"/>
  <c r="DA63" i="6"/>
  <c r="CZ63" i="6"/>
  <c r="CY63" i="6"/>
  <c r="CX63" i="6"/>
  <c r="CV63" i="6"/>
  <c r="CU63" i="6"/>
  <c r="CT63" i="6"/>
  <c r="CS63" i="6"/>
  <c r="CR63" i="6"/>
  <c r="CQ63" i="6"/>
  <c r="CP63" i="6"/>
  <c r="CO63" i="6"/>
  <c r="CN63" i="6"/>
  <c r="CM63" i="6"/>
  <c r="CL63" i="6"/>
  <c r="CK63" i="6"/>
  <c r="CJ63" i="6"/>
  <c r="CI63" i="6"/>
  <c r="CH63" i="6"/>
  <c r="CG63" i="6"/>
  <c r="CF63" i="6"/>
  <c r="CE63" i="6"/>
  <c r="CD63" i="6"/>
  <c r="CC63" i="6"/>
  <c r="CB63" i="6"/>
  <c r="CA63" i="6"/>
  <c r="BZ63" i="6"/>
  <c r="BY63" i="6"/>
  <c r="BX63" i="6"/>
  <c r="BW63" i="6"/>
  <c r="BV63" i="6"/>
  <c r="BU63" i="6"/>
  <c r="BT63" i="6"/>
  <c r="BS63" i="6"/>
  <c r="BR63" i="6"/>
  <c r="BQ63" i="6"/>
  <c r="BP63" i="6"/>
  <c r="BO63" i="6"/>
  <c r="BN63" i="6"/>
  <c r="BM63" i="6"/>
  <c r="BL63" i="6"/>
  <c r="BK63" i="6"/>
  <c r="BJ63" i="6"/>
  <c r="BI63" i="6"/>
  <c r="BH63" i="6"/>
  <c r="BG63" i="6"/>
  <c r="BF63" i="6"/>
  <c r="BE63" i="6"/>
  <c r="BD63" i="6"/>
  <c r="BC63" i="6"/>
  <c r="BB63" i="6"/>
  <c r="BA63" i="6"/>
  <c r="AZ63" i="6"/>
  <c r="AY63" i="6"/>
  <c r="AX63" i="6"/>
  <c r="AW63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DE62" i="6"/>
  <c r="DD62" i="6"/>
  <c r="DC62" i="6"/>
  <c r="DB62" i="6"/>
  <c r="DA62" i="6"/>
  <c r="CZ62" i="6"/>
  <c r="CY62" i="6"/>
  <c r="CX62" i="6"/>
  <c r="CV62" i="6"/>
  <c r="CU62" i="6"/>
  <c r="CT62" i="6"/>
  <c r="CS62" i="6"/>
  <c r="CR62" i="6"/>
  <c r="CQ62" i="6"/>
  <c r="CP62" i="6"/>
  <c r="CO62" i="6"/>
  <c r="CN62" i="6"/>
  <c r="CM62" i="6"/>
  <c r="CL62" i="6"/>
  <c r="CK62" i="6"/>
  <c r="CJ62" i="6"/>
  <c r="CI62" i="6"/>
  <c r="CH62" i="6"/>
  <c r="CG62" i="6"/>
  <c r="CF62" i="6"/>
  <c r="CE62" i="6"/>
  <c r="CD62" i="6"/>
  <c r="CC62" i="6"/>
  <c r="CB62" i="6"/>
  <c r="CA62" i="6"/>
  <c r="BZ62" i="6"/>
  <c r="BY62" i="6"/>
  <c r="BX62" i="6"/>
  <c r="BW62" i="6"/>
  <c r="BV62" i="6"/>
  <c r="BU62" i="6"/>
  <c r="BT62" i="6"/>
  <c r="BS62" i="6"/>
  <c r="BR62" i="6"/>
  <c r="BQ62" i="6"/>
  <c r="BP62" i="6"/>
  <c r="BO62" i="6"/>
  <c r="BN62" i="6"/>
  <c r="BM62" i="6"/>
  <c r="BL62" i="6"/>
  <c r="BK62" i="6"/>
  <c r="BJ62" i="6"/>
  <c r="BI62" i="6"/>
  <c r="BH62" i="6"/>
  <c r="BG62" i="6"/>
  <c r="BF62" i="6"/>
  <c r="BE62" i="6"/>
  <c r="BD62" i="6"/>
  <c r="BC62" i="6"/>
  <c r="BB62" i="6"/>
  <c r="BA62" i="6"/>
  <c r="AZ62" i="6"/>
  <c r="AY62" i="6"/>
  <c r="AX62" i="6"/>
  <c r="AW62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DE61" i="6"/>
  <c r="DD61" i="6"/>
  <c r="DC61" i="6"/>
  <c r="DB61" i="6"/>
  <c r="DA61" i="6"/>
  <c r="CZ61" i="6"/>
  <c r="CY61" i="6"/>
  <c r="CX61" i="6"/>
  <c r="CV61" i="6"/>
  <c r="CU61" i="6"/>
  <c r="CT61" i="6"/>
  <c r="CS61" i="6"/>
  <c r="CR61" i="6"/>
  <c r="CQ61" i="6"/>
  <c r="CP61" i="6"/>
  <c r="CO61" i="6"/>
  <c r="CN61" i="6"/>
  <c r="CM61" i="6"/>
  <c r="CL61" i="6"/>
  <c r="CK61" i="6"/>
  <c r="CJ61" i="6"/>
  <c r="CI61" i="6"/>
  <c r="CH61" i="6"/>
  <c r="CG61" i="6"/>
  <c r="CF61" i="6"/>
  <c r="CE61" i="6"/>
  <c r="CD61" i="6"/>
  <c r="CC61" i="6"/>
  <c r="CB61" i="6"/>
  <c r="CA61" i="6"/>
  <c r="BZ61" i="6"/>
  <c r="BY61" i="6"/>
  <c r="BX61" i="6"/>
  <c r="BW61" i="6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DE60" i="6"/>
  <c r="DD60" i="6"/>
  <c r="DC60" i="6"/>
  <c r="DB60" i="6"/>
  <c r="DA60" i="6"/>
  <c r="CZ60" i="6"/>
  <c r="CY60" i="6"/>
  <c r="CX60" i="6"/>
  <c r="CV60" i="6"/>
  <c r="CU60" i="6"/>
  <c r="CT60" i="6"/>
  <c r="CS60" i="6"/>
  <c r="CR60" i="6"/>
  <c r="CQ60" i="6"/>
  <c r="CP60" i="6"/>
  <c r="CO60" i="6"/>
  <c r="CN60" i="6"/>
  <c r="CM60" i="6"/>
  <c r="CL60" i="6"/>
  <c r="CK60" i="6"/>
  <c r="CJ60" i="6"/>
  <c r="CI60" i="6"/>
  <c r="CH60" i="6"/>
  <c r="CG60" i="6"/>
  <c r="CF60" i="6"/>
  <c r="CE60" i="6"/>
  <c r="CD60" i="6"/>
  <c r="CC60" i="6"/>
  <c r="CB60" i="6"/>
  <c r="CA60" i="6"/>
  <c r="BZ60" i="6"/>
  <c r="BY60" i="6"/>
  <c r="BX60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DE59" i="6"/>
  <c r="DD59" i="6"/>
  <c r="DC59" i="6"/>
  <c r="DB59" i="6"/>
  <c r="DA59" i="6"/>
  <c r="CZ59" i="6"/>
  <c r="CY59" i="6"/>
  <c r="CX59" i="6"/>
  <c r="CV59" i="6"/>
  <c r="CU59" i="6"/>
  <c r="CT59" i="6"/>
  <c r="CS59" i="6"/>
  <c r="CR59" i="6"/>
  <c r="CQ59" i="6"/>
  <c r="CP59" i="6"/>
  <c r="CO59" i="6"/>
  <c r="CN59" i="6"/>
  <c r="CM59" i="6"/>
  <c r="CL59" i="6"/>
  <c r="CK59" i="6"/>
  <c r="CJ59" i="6"/>
  <c r="CI59" i="6"/>
  <c r="CH59" i="6"/>
  <c r="CG59" i="6"/>
  <c r="CF59" i="6"/>
  <c r="CE59" i="6"/>
  <c r="CD59" i="6"/>
  <c r="CC59" i="6"/>
  <c r="CB59" i="6"/>
  <c r="CA59" i="6"/>
  <c r="BZ59" i="6"/>
  <c r="BY59" i="6"/>
  <c r="BX59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DE58" i="6"/>
  <c r="DD58" i="6"/>
  <c r="DC58" i="6"/>
  <c r="DB58" i="6"/>
  <c r="DA58" i="6"/>
  <c r="CZ58" i="6"/>
  <c r="CY58" i="6"/>
  <c r="CX58" i="6"/>
  <c r="CV58" i="6"/>
  <c r="CU58" i="6"/>
  <c r="CT58" i="6"/>
  <c r="CS58" i="6"/>
  <c r="CR58" i="6"/>
  <c r="CQ58" i="6"/>
  <c r="CP58" i="6"/>
  <c r="CO58" i="6"/>
  <c r="CN58" i="6"/>
  <c r="CM58" i="6"/>
  <c r="CL58" i="6"/>
  <c r="CK58" i="6"/>
  <c r="CJ58" i="6"/>
  <c r="CI58" i="6"/>
  <c r="CH58" i="6"/>
  <c r="CG58" i="6"/>
  <c r="CF58" i="6"/>
  <c r="CE58" i="6"/>
  <c r="CD58" i="6"/>
  <c r="CC58" i="6"/>
  <c r="CB58" i="6"/>
  <c r="CA58" i="6"/>
  <c r="BZ58" i="6"/>
  <c r="BY58" i="6"/>
  <c r="BX58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8" i="6"/>
  <c r="DE57" i="6"/>
  <c r="DD57" i="6"/>
  <c r="DC57" i="6"/>
  <c r="DB57" i="6"/>
  <c r="DA57" i="6"/>
  <c r="CZ57" i="6"/>
  <c r="CY57" i="6"/>
  <c r="CX57" i="6"/>
  <c r="CV57" i="6"/>
  <c r="CU57" i="6"/>
  <c r="CT57" i="6"/>
  <c r="CS57" i="6"/>
  <c r="CR57" i="6"/>
  <c r="CQ57" i="6"/>
  <c r="CP57" i="6"/>
  <c r="CO57" i="6"/>
  <c r="CN57" i="6"/>
  <c r="CM57" i="6"/>
  <c r="CL57" i="6"/>
  <c r="CK57" i="6"/>
  <c r="CJ57" i="6"/>
  <c r="CI57" i="6"/>
  <c r="CH57" i="6"/>
  <c r="CG57" i="6"/>
  <c r="CF57" i="6"/>
  <c r="CE57" i="6"/>
  <c r="CD57" i="6"/>
  <c r="CC57" i="6"/>
  <c r="CB57" i="6"/>
  <c r="CA57" i="6"/>
  <c r="BZ57" i="6"/>
  <c r="BY57" i="6"/>
  <c r="BX57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7" i="6"/>
  <c r="DE56" i="6"/>
  <c r="DD56" i="6"/>
  <c r="DC56" i="6"/>
  <c r="DB56" i="6"/>
  <c r="DA56" i="6"/>
  <c r="CZ56" i="6"/>
  <c r="CY56" i="6"/>
  <c r="CX56" i="6"/>
  <c r="CV56" i="6"/>
  <c r="CU56" i="6"/>
  <c r="CT56" i="6"/>
  <c r="CS56" i="6"/>
  <c r="CR56" i="6"/>
  <c r="CQ56" i="6"/>
  <c r="CP56" i="6"/>
  <c r="CO56" i="6"/>
  <c r="CN56" i="6"/>
  <c r="CM56" i="6"/>
  <c r="CL56" i="6"/>
  <c r="CK56" i="6"/>
  <c r="CJ56" i="6"/>
  <c r="CI56" i="6"/>
  <c r="CH56" i="6"/>
  <c r="CG56" i="6"/>
  <c r="CF56" i="6"/>
  <c r="CE56" i="6"/>
  <c r="CD56" i="6"/>
  <c r="CC56" i="6"/>
  <c r="CB56" i="6"/>
  <c r="CA56" i="6"/>
  <c r="BZ56" i="6"/>
  <c r="BY56" i="6"/>
  <c r="BX56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6" i="6"/>
  <c r="DE55" i="6"/>
  <c r="DD55" i="6"/>
  <c r="DC55" i="6"/>
  <c r="DB55" i="6"/>
  <c r="DA55" i="6"/>
  <c r="CZ55" i="6"/>
  <c r="CY55" i="6"/>
  <c r="CX55" i="6"/>
  <c r="CV55" i="6"/>
  <c r="CU55" i="6"/>
  <c r="CT55" i="6"/>
  <c r="CS55" i="6"/>
  <c r="CR55" i="6"/>
  <c r="CQ55" i="6"/>
  <c r="CP55" i="6"/>
  <c r="CO55" i="6"/>
  <c r="CN55" i="6"/>
  <c r="CM55" i="6"/>
  <c r="CL55" i="6"/>
  <c r="CK55" i="6"/>
  <c r="CJ55" i="6"/>
  <c r="CI55" i="6"/>
  <c r="CH55" i="6"/>
  <c r="CG55" i="6"/>
  <c r="CF55" i="6"/>
  <c r="CE55" i="6"/>
  <c r="CD55" i="6"/>
  <c r="CC55" i="6"/>
  <c r="CB55" i="6"/>
  <c r="CA55" i="6"/>
  <c r="BZ55" i="6"/>
  <c r="BY55" i="6"/>
  <c r="BX55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5" i="6"/>
  <c r="DE54" i="6"/>
  <c r="DD54" i="6"/>
  <c r="DC54" i="6"/>
  <c r="DB54" i="6"/>
  <c r="DA54" i="6"/>
  <c r="CZ54" i="6"/>
  <c r="CY54" i="6"/>
  <c r="CX54" i="6"/>
  <c r="CV54" i="6"/>
  <c r="CU54" i="6"/>
  <c r="CT54" i="6"/>
  <c r="CS5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4" i="6"/>
  <c r="DE53" i="6"/>
  <c r="DD53" i="6"/>
  <c r="DC53" i="6"/>
  <c r="DB53" i="6"/>
  <c r="DA53" i="6"/>
  <c r="CZ53" i="6"/>
  <c r="CY53" i="6"/>
  <c r="CX53" i="6"/>
  <c r="CV53" i="6"/>
  <c r="CU53" i="6"/>
  <c r="CT53" i="6"/>
  <c r="CS53" i="6"/>
  <c r="CR53" i="6"/>
  <c r="CQ53" i="6"/>
  <c r="CP53" i="6"/>
  <c r="CO53" i="6"/>
  <c r="CN53" i="6"/>
  <c r="CM53" i="6"/>
  <c r="CL53" i="6"/>
  <c r="CK53" i="6"/>
  <c r="CJ53" i="6"/>
  <c r="CI53" i="6"/>
  <c r="CH53" i="6"/>
  <c r="CG53" i="6"/>
  <c r="CF53" i="6"/>
  <c r="CE53" i="6"/>
  <c r="CD53" i="6"/>
  <c r="CC53" i="6"/>
  <c r="CB53" i="6"/>
  <c r="CA53" i="6"/>
  <c r="BZ53" i="6"/>
  <c r="BY53" i="6"/>
  <c r="BX53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3" i="6"/>
  <c r="DE52" i="6"/>
  <c r="DD52" i="6"/>
  <c r="DC52" i="6"/>
  <c r="DB52" i="6"/>
  <c r="DA52" i="6"/>
  <c r="CZ52" i="6"/>
  <c r="CY52" i="6"/>
  <c r="CX52" i="6"/>
  <c r="CV52" i="6"/>
  <c r="CU52" i="6"/>
  <c r="CT52" i="6"/>
  <c r="CS52" i="6"/>
  <c r="CR52" i="6"/>
  <c r="CQ52" i="6"/>
  <c r="CP52" i="6"/>
  <c r="CO52" i="6"/>
  <c r="CN52" i="6"/>
  <c r="CM52" i="6"/>
  <c r="CL52" i="6"/>
  <c r="CK52" i="6"/>
  <c r="CJ52" i="6"/>
  <c r="CI52" i="6"/>
  <c r="CH52" i="6"/>
  <c r="CG52" i="6"/>
  <c r="CF52" i="6"/>
  <c r="CE52" i="6"/>
  <c r="CD52" i="6"/>
  <c r="CC52" i="6"/>
  <c r="CB52" i="6"/>
  <c r="CA52" i="6"/>
  <c r="BZ52" i="6"/>
  <c r="BY52" i="6"/>
  <c r="BX52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2" i="6"/>
  <c r="DE51" i="6"/>
  <c r="DD51" i="6"/>
  <c r="DC51" i="6"/>
  <c r="DB51" i="6"/>
  <c r="DA51" i="6"/>
  <c r="CZ51" i="6"/>
  <c r="CY51" i="6"/>
  <c r="CX51" i="6"/>
  <c r="CV51" i="6"/>
  <c r="CU51" i="6"/>
  <c r="CT51" i="6"/>
  <c r="CS51" i="6"/>
  <c r="CR51" i="6"/>
  <c r="CQ51" i="6"/>
  <c r="CP51" i="6"/>
  <c r="CO51" i="6"/>
  <c r="CN51" i="6"/>
  <c r="CM51" i="6"/>
  <c r="CL51" i="6"/>
  <c r="CK51" i="6"/>
  <c r="CJ51" i="6"/>
  <c r="CI51" i="6"/>
  <c r="CH51" i="6"/>
  <c r="CG51" i="6"/>
  <c r="CF51" i="6"/>
  <c r="CE51" i="6"/>
  <c r="CD51" i="6"/>
  <c r="CC51" i="6"/>
  <c r="CB51" i="6"/>
  <c r="CA51" i="6"/>
  <c r="BZ51" i="6"/>
  <c r="BY51" i="6"/>
  <c r="BX51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1" i="6"/>
  <c r="DE50" i="6"/>
  <c r="DD50" i="6"/>
  <c r="DC50" i="6"/>
  <c r="DB50" i="6"/>
  <c r="DA50" i="6"/>
  <c r="CZ50" i="6"/>
  <c r="CY50" i="6"/>
  <c r="CX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50" i="6"/>
  <c r="DE49" i="6"/>
  <c r="DD49" i="6"/>
  <c r="DC49" i="6"/>
  <c r="DB49" i="6"/>
  <c r="DA49" i="6"/>
  <c r="CZ49" i="6"/>
  <c r="CY49" i="6"/>
  <c r="CX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9" i="6"/>
  <c r="DE48" i="6"/>
  <c r="DD48" i="6"/>
  <c r="DC48" i="6"/>
  <c r="DB48" i="6"/>
  <c r="DA48" i="6"/>
  <c r="CZ48" i="6"/>
  <c r="CY48" i="6"/>
  <c r="CX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8" i="6"/>
  <c r="DE47" i="6"/>
  <c r="DD47" i="6"/>
  <c r="DC47" i="6"/>
  <c r="DB47" i="6"/>
  <c r="DA47" i="6"/>
  <c r="CZ47" i="6"/>
  <c r="CY47" i="6"/>
  <c r="CX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7" i="6"/>
  <c r="DE46" i="6"/>
  <c r="DD46" i="6"/>
  <c r="DC46" i="6"/>
  <c r="DB46" i="6"/>
  <c r="DA46" i="6"/>
  <c r="CZ46" i="6"/>
  <c r="CY46" i="6"/>
  <c r="CX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6" i="6"/>
  <c r="DE45" i="6"/>
  <c r="DD45" i="6"/>
  <c r="DC45" i="6"/>
  <c r="DB45" i="6"/>
  <c r="DA45" i="6"/>
  <c r="CZ45" i="6"/>
  <c r="CY45" i="6"/>
  <c r="CX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5" i="6"/>
  <c r="DE44" i="6"/>
  <c r="DD44" i="6"/>
  <c r="DC44" i="6"/>
  <c r="DB44" i="6"/>
  <c r="DA44" i="6"/>
  <c r="CZ44" i="6"/>
  <c r="CY44" i="6"/>
  <c r="CX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4" i="6"/>
  <c r="DE43" i="6"/>
  <c r="DD43" i="6"/>
  <c r="DC43" i="6"/>
  <c r="DB43" i="6"/>
  <c r="DA43" i="6"/>
  <c r="CZ43" i="6"/>
  <c r="CY43" i="6"/>
  <c r="CX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3" i="6"/>
  <c r="DE42" i="6"/>
  <c r="DD42" i="6"/>
  <c r="DC42" i="6"/>
  <c r="DB42" i="6"/>
  <c r="DA42" i="6"/>
  <c r="CZ42" i="6"/>
  <c r="CY42" i="6"/>
  <c r="CX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2" i="6"/>
  <c r="DE41" i="6"/>
  <c r="DD41" i="6"/>
  <c r="DC41" i="6"/>
  <c r="DB41" i="6"/>
  <c r="DA41" i="6"/>
  <c r="CZ41" i="6"/>
  <c r="CY41" i="6"/>
  <c r="CX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1" i="6"/>
  <c r="DE40" i="6"/>
  <c r="DD40" i="6"/>
  <c r="DC40" i="6"/>
  <c r="DB40" i="6"/>
  <c r="DA40" i="6"/>
  <c r="CZ40" i="6"/>
  <c r="CY40" i="6"/>
  <c r="CX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40" i="6"/>
  <c r="DE39" i="6"/>
  <c r="DD39" i="6"/>
  <c r="DC39" i="6"/>
  <c r="DB39" i="6"/>
  <c r="DA39" i="6"/>
  <c r="CZ39" i="6"/>
  <c r="CY39" i="6"/>
  <c r="CX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9" i="6"/>
  <c r="DE38" i="6"/>
  <c r="DD38" i="6"/>
  <c r="DC38" i="6"/>
  <c r="DB38" i="6"/>
  <c r="DA38" i="6"/>
  <c r="CZ38" i="6"/>
  <c r="CY38" i="6"/>
  <c r="CX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X38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8" i="6"/>
  <c r="DE37" i="6"/>
  <c r="DD37" i="6"/>
  <c r="DC37" i="6"/>
  <c r="DB37" i="6"/>
  <c r="DA37" i="6"/>
  <c r="CZ37" i="6"/>
  <c r="CY37" i="6"/>
  <c r="CX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7" i="6"/>
  <c r="DE36" i="6"/>
  <c r="DD36" i="6"/>
  <c r="DC36" i="6"/>
  <c r="DB36" i="6"/>
  <c r="DA36" i="6"/>
  <c r="CZ36" i="6"/>
  <c r="CY36" i="6"/>
  <c r="CX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X36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6" i="6"/>
  <c r="DE35" i="6"/>
  <c r="DD35" i="6"/>
  <c r="DC35" i="6"/>
  <c r="DB35" i="6"/>
  <c r="DA35" i="6"/>
  <c r="CZ35" i="6"/>
  <c r="CY35" i="6"/>
  <c r="CX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X35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5" i="6"/>
  <c r="DE34" i="6"/>
  <c r="DD34" i="6"/>
  <c r="DC34" i="6"/>
  <c r="DB34" i="6"/>
  <c r="DA34" i="6"/>
  <c r="CZ34" i="6"/>
  <c r="CY34" i="6"/>
  <c r="CX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4" i="6"/>
  <c r="DE33" i="6"/>
  <c r="DD33" i="6"/>
  <c r="DC33" i="6"/>
  <c r="DB33" i="6"/>
  <c r="DA33" i="6"/>
  <c r="CZ33" i="6"/>
  <c r="CY33" i="6"/>
  <c r="CX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X33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DE32" i="6"/>
  <c r="DD32" i="6"/>
  <c r="DC32" i="6"/>
  <c r="DB32" i="6"/>
  <c r="DA32" i="6"/>
  <c r="CZ32" i="6"/>
  <c r="CY32" i="6"/>
  <c r="CX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I32" i="6"/>
  <c r="CH32" i="6"/>
  <c r="CG32" i="6"/>
  <c r="CF32" i="6"/>
  <c r="CE32" i="6"/>
  <c r="CD32" i="6"/>
  <c r="CC32" i="6"/>
  <c r="CB32" i="6"/>
  <c r="CA32" i="6"/>
  <c r="BZ32" i="6"/>
  <c r="BY32" i="6"/>
  <c r="BX32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DE31" i="6"/>
  <c r="DD31" i="6"/>
  <c r="DC31" i="6"/>
  <c r="DB31" i="6"/>
  <c r="DA31" i="6"/>
  <c r="CZ31" i="6"/>
  <c r="CY31" i="6"/>
  <c r="CX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I31" i="6"/>
  <c r="CH31" i="6"/>
  <c r="CG31" i="6"/>
  <c r="CF31" i="6"/>
  <c r="CE31" i="6"/>
  <c r="CD31" i="6"/>
  <c r="CC31" i="6"/>
  <c r="CB31" i="6"/>
  <c r="CA31" i="6"/>
  <c r="BZ31" i="6"/>
  <c r="BY31" i="6"/>
  <c r="BX31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DE30" i="6"/>
  <c r="DD30" i="6"/>
  <c r="DC30" i="6"/>
  <c r="DB30" i="6"/>
  <c r="DA30" i="6"/>
  <c r="CZ30" i="6"/>
  <c r="CY30" i="6"/>
  <c r="CX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30" i="6"/>
  <c r="DE29" i="6"/>
  <c r="DD29" i="6"/>
  <c r="DC29" i="6"/>
  <c r="DB29" i="6"/>
  <c r="DA29" i="6"/>
  <c r="CZ29" i="6"/>
  <c r="CY29" i="6"/>
  <c r="CX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DE28" i="6"/>
  <c r="DD28" i="6"/>
  <c r="DC28" i="6"/>
  <c r="DB28" i="6"/>
  <c r="DA28" i="6"/>
  <c r="CZ28" i="6"/>
  <c r="CY28" i="6"/>
  <c r="CX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I28" i="6"/>
  <c r="CH28" i="6"/>
  <c r="CG28" i="6"/>
  <c r="CF28" i="6"/>
  <c r="CE28" i="6"/>
  <c r="CD28" i="6"/>
  <c r="CC28" i="6"/>
  <c r="CB28" i="6"/>
  <c r="CA28" i="6"/>
  <c r="BZ28" i="6"/>
  <c r="BY28" i="6"/>
  <c r="BX28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DE27" i="6"/>
  <c r="DD27" i="6"/>
  <c r="DC27" i="6"/>
  <c r="DB27" i="6"/>
  <c r="DA27" i="6"/>
  <c r="CZ27" i="6"/>
  <c r="CY27" i="6"/>
  <c r="CX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I27" i="6"/>
  <c r="CH27" i="6"/>
  <c r="CG27" i="6"/>
  <c r="CF27" i="6"/>
  <c r="CE27" i="6"/>
  <c r="CD27" i="6"/>
  <c r="CC27" i="6"/>
  <c r="CB27" i="6"/>
  <c r="CA27" i="6"/>
  <c r="BZ27" i="6"/>
  <c r="BY27" i="6"/>
  <c r="BX27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DE26" i="6"/>
  <c r="DD26" i="6"/>
  <c r="DC26" i="6"/>
  <c r="DB26" i="6"/>
  <c r="DA26" i="6"/>
  <c r="CZ26" i="6"/>
  <c r="CY26" i="6"/>
  <c r="CX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I26" i="6"/>
  <c r="CH26" i="6"/>
  <c r="CG26" i="6"/>
  <c r="CF26" i="6"/>
  <c r="CE26" i="6"/>
  <c r="CD26" i="6"/>
  <c r="CC26" i="6"/>
  <c r="CB26" i="6"/>
  <c r="CA26" i="6"/>
  <c r="BZ26" i="6"/>
  <c r="BY26" i="6"/>
  <c r="BX26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DE25" i="6"/>
  <c r="DD25" i="6"/>
  <c r="DC25" i="6"/>
  <c r="DB25" i="6"/>
  <c r="DA25" i="6"/>
  <c r="CZ25" i="6"/>
  <c r="CY25" i="6"/>
  <c r="CX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I25" i="6"/>
  <c r="CH25" i="6"/>
  <c r="CG25" i="6"/>
  <c r="CF25" i="6"/>
  <c r="CE25" i="6"/>
  <c r="CD25" i="6"/>
  <c r="CC25" i="6"/>
  <c r="CB25" i="6"/>
  <c r="CA25" i="6"/>
  <c r="BZ25" i="6"/>
  <c r="BY25" i="6"/>
  <c r="BX25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DE24" i="6"/>
  <c r="DD24" i="6"/>
  <c r="DC24" i="6"/>
  <c r="DB24" i="6"/>
  <c r="DA24" i="6"/>
  <c r="CZ24" i="6"/>
  <c r="CY24" i="6"/>
  <c r="CX24" i="6"/>
  <c r="CV24" i="6"/>
  <c r="CU24" i="6"/>
  <c r="CT24" i="6"/>
  <c r="CS2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4" i="6"/>
  <c r="DE23" i="6"/>
  <c r="DD23" i="6"/>
  <c r="DC23" i="6"/>
  <c r="DB23" i="6"/>
  <c r="DA23" i="6"/>
  <c r="CZ23" i="6"/>
  <c r="CY23" i="6"/>
  <c r="CX23" i="6"/>
  <c r="CV23" i="6"/>
  <c r="CU23" i="6"/>
  <c r="CT23" i="6"/>
  <c r="CS23" i="6"/>
  <c r="CR23" i="6"/>
  <c r="CQ23" i="6"/>
  <c r="CP23" i="6"/>
  <c r="CO23" i="6"/>
  <c r="CN23" i="6"/>
  <c r="CM23" i="6"/>
  <c r="CL23" i="6"/>
  <c r="CK23" i="6"/>
  <c r="CJ23" i="6"/>
  <c r="CI23" i="6"/>
  <c r="CH23" i="6"/>
  <c r="CG23" i="6"/>
  <c r="CF23" i="6"/>
  <c r="CE23" i="6"/>
  <c r="CD23" i="6"/>
  <c r="CC23" i="6"/>
  <c r="CB23" i="6"/>
  <c r="CA23" i="6"/>
  <c r="BZ23" i="6"/>
  <c r="BY23" i="6"/>
  <c r="BX23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DE22" i="6"/>
  <c r="DD22" i="6"/>
  <c r="DC22" i="6"/>
  <c r="DB22" i="6"/>
  <c r="DA22" i="6"/>
  <c r="CZ22" i="6"/>
  <c r="CY22" i="6"/>
  <c r="CX22" i="6"/>
  <c r="CV22" i="6"/>
  <c r="CU22" i="6"/>
  <c r="CT22" i="6"/>
  <c r="CS22" i="6"/>
  <c r="CR22" i="6"/>
  <c r="CQ22" i="6"/>
  <c r="CP22" i="6"/>
  <c r="CO22" i="6"/>
  <c r="CN22" i="6"/>
  <c r="CM22" i="6"/>
  <c r="CL22" i="6"/>
  <c r="CK22" i="6"/>
  <c r="CJ22" i="6"/>
  <c r="CI22" i="6"/>
  <c r="CH22" i="6"/>
  <c r="CG22" i="6"/>
  <c r="CF22" i="6"/>
  <c r="CE22" i="6"/>
  <c r="CD22" i="6"/>
  <c r="CC22" i="6"/>
  <c r="CB22" i="6"/>
  <c r="CA22" i="6"/>
  <c r="BZ22" i="6"/>
  <c r="BY22" i="6"/>
  <c r="BX22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DE21" i="6"/>
  <c r="DD21" i="6"/>
  <c r="DC21" i="6"/>
  <c r="DB21" i="6"/>
  <c r="DA21" i="6"/>
  <c r="CZ21" i="6"/>
  <c r="CY21" i="6"/>
  <c r="CX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X21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DE20" i="6"/>
  <c r="DD20" i="6"/>
  <c r="DC20" i="6"/>
  <c r="DB20" i="6"/>
  <c r="DA20" i="6"/>
  <c r="CZ20" i="6"/>
  <c r="CY20" i="6"/>
  <c r="CX20" i="6"/>
  <c r="CV20" i="6"/>
  <c r="CU20" i="6"/>
  <c r="CT20" i="6"/>
  <c r="CS20" i="6"/>
  <c r="CR20" i="6"/>
  <c r="CQ20" i="6"/>
  <c r="CP20" i="6"/>
  <c r="CO20" i="6"/>
  <c r="CN20" i="6"/>
  <c r="CM20" i="6"/>
  <c r="CL20" i="6"/>
  <c r="CK20" i="6"/>
  <c r="CJ20" i="6"/>
  <c r="CI20" i="6"/>
  <c r="CH20" i="6"/>
  <c r="CG20" i="6"/>
  <c r="CF20" i="6"/>
  <c r="CE20" i="6"/>
  <c r="CD20" i="6"/>
  <c r="CC20" i="6"/>
  <c r="CB20" i="6"/>
  <c r="CA20" i="6"/>
  <c r="BZ20" i="6"/>
  <c r="BY20" i="6"/>
  <c r="BX20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20" i="6"/>
  <c r="DE19" i="6"/>
  <c r="DD19" i="6"/>
  <c r="DC19" i="6"/>
  <c r="DB19" i="6"/>
  <c r="DA19" i="6"/>
  <c r="CZ19" i="6"/>
  <c r="CY19" i="6"/>
  <c r="CX19" i="6"/>
  <c r="CV19" i="6"/>
  <c r="CU19" i="6"/>
  <c r="CT19" i="6"/>
  <c r="CS19" i="6"/>
  <c r="CR19" i="6"/>
  <c r="CQ19" i="6"/>
  <c r="CP19" i="6"/>
  <c r="CO19" i="6"/>
  <c r="CN19" i="6"/>
  <c r="CM19" i="6"/>
  <c r="CL19" i="6"/>
  <c r="CK19" i="6"/>
  <c r="CJ19" i="6"/>
  <c r="CI19" i="6"/>
  <c r="CH19" i="6"/>
  <c r="CG19" i="6"/>
  <c r="CF19" i="6"/>
  <c r="CE19" i="6"/>
  <c r="CD19" i="6"/>
  <c r="CC19" i="6"/>
  <c r="CB19" i="6"/>
  <c r="CA19" i="6"/>
  <c r="BZ19" i="6"/>
  <c r="BY19" i="6"/>
  <c r="BX19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9" i="6"/>
  <c r="DE18" i="6"/>
  <c r="DD18" i="6"/>
  <c r="DC18" i="6"/>
  <c r="DB18" i="6"/>
  <c r="DA18" i="6"/>
  <c r="CZ18" i="6"/>
  <c r="CY18" i="6"/>
  <c r="CX18" i="6"/>
  <c r="CV18" i="6"/>
  <c r="CU18" i="6"/>
  <c r="CT18" i="6"/>
  <c r="CS18" i="6"/>
  <c r="CR18" i="6"/>
  <c r="CQ18" i="6"/>
  <c r="CP18" i="6"/>
  <c r="CO18" i="6"/>
  <c r="CN18" i="6"/>
  <c r="CM18" i="6"/>
  <c r="CL18" i="6"/>
  <c r="CK18" i="6"/>
  <c r="CJ18" i="6"/>
  <c r="CI18" i="6"/>
  <c r="CH18" i="6"/>
  <c r="CG18" i="6"/>
  <c r="CF18" i="6"/>
  <c r="CE18" i="6"/>
  <c r="CD18" i="6"/>
  <c r="CC18" i="6"/>
  <c r="CB18" i="6"/>
  <c r="CA18" i="6"/>
  <c r="BZ18" i="6"/>
  <c r="BY18" i="6"/>
  <c r="BX18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8" i="6"/>
  <c r="DE17" i="6"/>
  <c r="DD17" i="6"/>
  <c r="DC17" i="6"/>
  <c r="DB17" i="6"/>
  <c r="DA17" i="6"/>
  <c r="CZ17" i="6"/>
  <c r="CY17" i="6"/>
  <c r="CX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7" i="6"/>
  <c r="DE16" i="6"/>
  <c r="DD16" i="6"/>
  <c r="DC16" i="6"/>
  <c r="DB16" i="6"/>
  <c r="DA16" i="6"/>
  <c r="CZ16" i="6"/>
  <c r="CY16" i="6"/>
  <c r="CX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6" i="6"/>
  <c r="DE15" i="6"/>
  <c r="DD15" i="6"/>
  <c r="DC15" i="6"/>
  <c r="DB15" i="6"/>
  <c r="DA15" i="6"/>
  <c r="CZ15" i="6"/>
  <c r="CY15" i="6"/>
  <c r="CX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5" i="6"/>
  <c r="DE14" i="6"/>
  <c r="DD14" i="6"/>
  <c r="DC14" i="6"/>
  <c r="DB14" i="6"/>
  <c r="DA14" i="6"/>
  <c r="CZ14" i="6"/>
  <c r="CY14" i="6"/>
  <c r="CX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4" i="6"/>
  <c r="DE13" i="6"/>
  <c r="DD13" i="6"/>
  <c r="DC13" i="6"/>
  <c r="DB13" i="6"/>
  <c r="DA13" i="6"/>
  <c r="CZ13" i="6"/>
  <c r="CY13" i="6"/>
  <c r="CX13" i="6"/>
  <c r="CV13" i="6"/>
  <c r="CU13" i="6"/>
  <c r="CT13" i="6"/>
  <c r="CS13" i="6"/>
  <c r="CR13" i="6"/>
  <c r="CQ13" i="6"/>
  <c r="CP13" i="6"/>
  <c r="CO13" i="6"/>
  <c r="CN13" i="6"/>
  <c r="CM13" i="6"/>
  <c r="CL13" i="6"/>
  <c r="CK13" i="6"/>
  <c r="CJ13" i="6"/>
  <c r="CI13" i="6"/>
  <c r="CH13" i="6"/>
  <c r="CG13" i="6"/>
  <c r="CF13" i="6"/>
  <c r="CE13" i="6"/>
  <c r="CD13" i="6"/>
  <c r="CC13" i="6"/>
  <c r="CB13" i="6"/>
  <c r="CA13" i="6"/>
  <c r="BZ13" i="6"/>
  <c r="BY13" i="6"/>
  <c r="BX13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3" i="6"/>
  <c r="DE12" i="6"/>
  <c r="DD12" i="6"/>
  <c r="DC12" i="6"/>
  <c r="DB12" i="6"/>
  <c r="DA12" i="6"/>
  <c r="CZ12" i="6"/>
  <c r="CY12" i="6"/>
  <c r="CX12" i="6"/>
  <c r="CV12" i="6"/>
  <c r="CU12" i="6"/>
  <c r="CT12" i="6"/>
  <c r="CS12" i="6"/>
  <c r="CR12" i="6"/>
  <c r="CQ12" i="6"/>
  <c r="CP12" i="6"/>
  <c r="CO12" i="6"/>
  <c r="CN12" i="6"/>
  <c r="CM12" i="6"/>
  <c r="CL12" i="6"/>
  <c r="CK12" i="6"/>
  <c r="CJ12" i="6"/>
  <c r="CI12" i="6"/>
  <c r="CH12" i="6"/>
  <c r="CG12" i="6"/>
  <c r="CF12" i="6"/>
  <c r="CE12" i="6"/>
  <c r="CD12" i="6"/>
  <c r="CC12" i="6"/>
  <c r="CB12" i="6"/>
  <c r="CA12" i="6"/>
  <c r="BZ12" i="6"/>
  <c r="BY12" i="6"/>
  <c r="BX12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2" i="6"/>
  <c r="DE11" i="6"/>
  <c r="DD11" i="6"/>
  <c r="DC11" i="6"/>
  <c r="DB11" i="6"/>
  <c r="DA11" i="6"/>
  <c r="CZ11" i="6"/>
  <c r="CY11" i="6"/>
  <c r="CX11" i="6"/>
  <c r="CV11" i="6"/>
  <c r="CU11" i="6"/>
  <c r="CT11" i="6"/>
  <c r="CS11" i="6"/>
  <c r="CR11" i="6"/>
  <c r="CQ11" i="6"/>
  <c r="CP11" i="6"/>
  <c r="CO11" i="6"/>
  <c r="CN11" i="6"/>
  <c r="CM11" i="6"/>
  <c r="CL11" i="6"/>
  <c r="CK11" i="6"/>
  <c r="CJ11" i="6"/>
  <c r="CI11" i="6"/>
  <c r="CH11" i="6"/>
  <c r="CG11" i="6"/>
  <c r="CF11" i="6"/>
  <c r="CE11" i="6"/>
  <c r="CD11" i="6"/>
  <c r="CC11" i="6"/>
  <c r="CB11" i="6"/>
  <c r="CA11" i="6"/>
  <c r="BZ11" i="6"/>
  <c r="BY11" i="6"/>
  <c r="BX11" i="6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1" i="6"/>
  <c r="DE10" i="6"/>
  <c r="DD10" i="6"/>
  <c r="DC10" i="6"/>
  <c r="DB10" i="6"/>
  <c r="DA10" i="6"/>
  <c r="CZ10" i="6"/>
  <c r="CY10" i="6"/>
  <c r="CX10" i="6"/>
  <c r="CV10" i="6"/>
  <c r="CU10" i="6"/>
  <c r="CT10" i="6"/>
  <c r="CS10" i="6"/>
  <c r="CR10" i="6"/>
  <c r="CQ10" i="6"/>
  <c r="CP10" i="6"/>
  <c r="CO10" i="6"/>
  <c r="CN10" i="6"/>
  <c r="CM10" i="6"/>
  <c r="CL10" i="6"/>
  <c r="CK10" i="6"/>
  <c r="CJ10" i="6"/>
  <c r="CI10" i="6"/>
  <c r="CH10" i="6"/>
  <c r="CG10" i="6"/>
  <c r="CF10" i="6"/>
  <c r="CE10" i="6"/>
  <c r="CD10" i="6"/>
  <c r="CC10" i="6"/>
  <c r="CB10" i="6"/>
  <c r="CA10" i="6"/>
  <c r="BZ10" i="6"/>
  <c r="BY10" i="6"/>
  <c r="BX10" i="6"/>
  <c r="BW10" i="6"/>
  <c r="BV10" i="6"/>
  <c r="BU10" i="6"/>
  <c r="BT10" i="6"/>
  <c r="BS10" i="6"/>
  <c r="BR10" i="6"/>
  <c r="BQ10" i="6"/>
  <c r="BP10" i="6"/>
  <c r="BO10" i="6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10" i="6"/>
  <c r="DE9" i="6"/>
  <c r="DD9" i="6"/>
  <c r="DC9" i="6"/>
  <c r="DB9" i="6"/>
  <c r="DA9" i="6"/>
  <c r="CZ9" i="6"/>
  <c r="CY9" i="6"/>
  <c r="CX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9" i="6"/>
  <c r="DE8" i="6"/>
  <c r="DD8" i="6"/>
  <c r="DC8" i="6"/>
  <c r="DB8" i="6"/>
  <c r="DA8" i="6"/>
  <c r="CZ8" i="6"/>
  <c r="CY8" i="6"/>
  <c r="CX8" i="6"/>
  <c r="CV8" i="6"/>
  <c r="CU8" i="6"/>
  <c r="CT8" i="6"/>
  <c r="CS8" i="6"/>
  <c r="CR8" i="6"/>
  <c r="CQ8" i="6"/>
  <c r="CP8" i="6"/>
  <c r="CO8" i="6"/>
  <c r="CN8" i="6"/>
  <c r="CM8" i="6"/>
  <c r="CL8" i="6"/>
  <c r="CK8" i="6"/>
  <c r="CJ8" i="6"/>
  <c r="CI8" i="6"/>
  <c r="CH8" i="6"/>
  <c r="CG8" i="6"/>
  <c r="CF8" i="6"/>
  <c r="CE8" i="6"/>
  <c r="CD8" i="6"/>
  <c r="CC8" i="6"/>
  <c r="CB8" i="6"/>
  <c r="CA8" i="6"/>
  <c r="BZ8" i="6"/>
  <c r="BY8" i="6"/>
  <c r="BX8" i="6"/>
  <c r="BW8" i="6"/>
  <c r="BV8" i="6"/>
  <c r="BU8" i="6"/>
  <c r="BT8" i="6"/>
  <c r="BS8" i="6"/>
  <c r="BR8" i="6"/>
  <c r="BQ8" i="6"/>
  <c r="BP8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8" i="6"/>
  <c r="DE7" i="6"/>
  <c r="DD7" i="6"/>
  <c r="DC7" i="6"/>
  <c r="DB7" i="6"/>
  <c r="DA7" i="6"/>
  <c r="CZ7" i="6"/>
  <c r="CY7" i="6"/>
  <c r="CX7" i="6"/>
  <c r="CV7" i="6"/>
  <c r="CU7" i="6"/>
  <c r="CT7" i="6"/>
  <c r="CS7" i="6"/>
  <c r="CR7" i="6"/>
  <c r="CQ7" i="6"/>
  <c r="CP7" i="6"/>
  <c r="CO7" i="6"/>
  <c r="CN7" i="6"/>
  <c r="CM7" i="6"/>
  <c r="CL7" i="6"/>
  <c r="CK7" i="6"/>
  <c r="CJ7" i="6"/>
  <c r="CI7" i="6"/>
  <c r="CH7" i="6"/>
  <c r="CG7" i="6"/>
  <c r="CF7" i="6"/>
  <c r="CE7" i="6"/>
  <c r="CD7" i="6"/>
  <c r="CC7" i="6"/>
  <c r="CB7" i="6"/>
  <c r="CA7" i="6"/>
  <c r="BZ7" i="6"/>
  <c r="BY7" i="6"/>
  <c r="BX7" i="6"/>
  <c r="BW7" i="6"/>
  <c r="BV7" i="6"/>
  <c r="BU7" i="6"/>
  <c r="BT7" i="6"/>
  <c r="BS7" i="6"/>
  <c r="BR7" i="6"/>
  <c r="BQ7" i="6"/>
  <c r="BP7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7" i="6"/>
  <c r="DE6" i="6"/>
  <c r="DD6" i="6"/>
  <c r="DC6" i="6"/>
  <c r="DB6" i="6"/>
  <c r="DA6" i="6"/>
  <c r="CZ6" i="6"/>
  <c r="CY6" i="6"/>
  <c r="CX6" i="6"/>
  <c r="CV6" i="6"/>
  <c r="CU6" i="6"/>
  <c r="CT6" i="6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E6" i="6"/>
  <c r="CD6" i="6"/>
  <c r="CC6" i="6"/>
  <c r="CB6" i="6"/>
  <c r="CA6" i="6"/>
  <c r="BZ6" i="6"/>
  <c r="BY6" i="6"/>
  <c r="BX6" i="6"/>
  <c r="BW6" i="6"/>
  <c r="BV6" i="6"/>
  <c r="BU6" i="6"/>
  <c r="BT6" i="6"/>
  <c r="BS6" i="6"/>
  <c r="BR6" i="6"/>
  <c r="BQ6" i="6"/>
  <c r="BP6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6" i="6"/>
  <c r="DE5" i="6"/>
  <c r="DD5" i="6"/>
  <c r="DC5" i="6"/>
  <c r="DB5" i="6"/>
  <c r="DA5" i="6"/>
  <c r="CZ5" i="6"/>
  <c r="CY5" i="6"/>
  <c r="CX5" i="6"/>
  <c r="CV5" i="6"/>
  <c r="CU5" i="6"/>
  <c r="CT5" i="6"/>
  <c r="CS5" i="6"/>
  <c r="CR5" i="6"/>
  <c r="CQ5" i="6"/>
  <c r="CP5" i="6"/>
  <c r="CO5" i="6"/>
  <c r="CN5" i="6"/>
  <c r="CM5" i="6"/>
  <c r="CL5" i="6"/>
  <c r="CK5" i="6"/>
  <c r="CJ5" i="6"/>
  <c r="CI5" i="6"/>
  <c r="CH5" i="6"/>
  <c r="CG5" i="6"/>
  <c r="CF5" i="6"/>
  <c r="CE5" i="6"/>
  <c r="CD5" i="6"/>
  <c r="CC5" i="6"/>
  <c r="CB5" i="6"/>
  <c r="CA5" i="6"/>
  <c r="BZ5" i="6"/>
  <c r="BY5" i="6"/>
  <c r="BX5" i="6"/>
  <c r="BW5" i="6"/>
  <c r="BV5" i="6"/>
  <c r="BU5" i="6"/>
  <c r="BT5" i="6"/>
  <c r="BS5" i="6"/>
  <c r="BR5" i="6"/>
  <c r="BQ5" i="6"/>
  <c r="BP5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DE4" i="6"/>
  <c r="DD4" i="6"/>
  <c r="DC4" i="6"/>
  <c r="DB4" i="6"/>
  <c r="DA4" i="6"/>
  <c r="CZ4" i="6"/>
  <c r="CY4" i="6"/>
  <c r="CX4" i="6"/>
  <c r="CV4" i="6"/>
  <c r="CU4" i="6"/>
  <c r="CT4" i="6"/>
  <c r="CS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4" i="6"/>
  <c r="DE3" i="6"/>
  <c r="DD3" i="6"/>
  <c r="DC3" i="6"/>
  <c r="DB3" i="6"/>
  <c r="DA3" i="6"/>
  <c r="CZ3" i="6"/>
  <c r="CY3" i="6"/>
  <c r="CX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3" i="6"/>
  <c r="DE2" i="6"/>
  <c r="DN2" i="6" s="1"/>
  <c r="DD2" i="6"/>
  <c r="DM2" i="6" s="1"/>
  <c r="DC2" i="6"/>
  <c r="DL2" i="6" s="1"/>
  <c r="DB2" i="6"/>
  <c r="DA2" i="6"/>
  <c r="DJ2" i="6" s="1"/>
  <c r="CZ2" i="6"/>
  <c r="CY2" i="6"/>
  <c r="CX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2" i="6"/>
  <c r="CQ1" i="6"/>
  <c r="CA1" i="6"/>
  <c r="BK1" i="6"/>
  <c r="BC1" i="6"/>
  <c r="AM1" i="6"/>
  <c r="AE1" i="6"/>
  <c r="O1" i="6"/>
  <c r="DG103" i="5"/>
  <c r="DF103" i="5"/>
  <c r="DE103" i="5"/>
  <c r="DD103" i="5"/>
  <c r="DC103" i="5"/>
  <c r="DB103" i="5"/>
  <c r="DA103" i="5"/>
  <c r="CZ103" i="5"/>
  <c r="CY103" i="5"/>
  <c r="CX103" i="5"/>
  <c r="CW103" i="5"/>
  <c r="CV103" i="5"/>
  <c r="CU103" i="5"/>
  <c r="CT103" i="5"/>
  <c r="CS103" i="5"/>
  <c r="CR103" i="5"/>
  <c r="CQ103" i="5"/>
  <c r="CP103" i="5"/>
  <c r="CO103" i="5"/>
  <c r="CN103" i="5"/>
  <c r="CM103" i="5"/>
  <c r="CL103" i="5"/>
  <c r="CK103" i="5"/>
  <c r="CJ103" i="5"/>
  <c r="CI103" i="5"/>
  <c r="CH103" i="5"/>
  <c r="CG103" i="5"/>
  <c r="CF103" i="5"/>
  <c r="CE103" i="5"/>
  <c r="CD103" i="5"/>
  <c r="CC103" i="5"/>
  <c r="CB103" i="5"/>
  <c r="CA103" i="5"/>
  <c r="BZ103" i="5"/>
  <c r="BY103" i="5"/>
  <c r="BX103" i="5"/>
  <c r="BW103" i="5"/>
  <c r="BV103" i="5"/>
  <c r="BU103" i="5"/>
  <c r="BT103" i="5"/>
  <c r="BS103" i="5"/>
  <c r="BR103" i="5"/>
  <c r="BQ103" i="5"/>
  <c r="BP103" i="5"/>
  <c r="BO103" i="5"/>
  <c r="BN103" i="5"/>
  <c r="BM103" i="5"/>
  <c r="BL103" i="5"/>
  <c r="BK103" i="5"/>
  <c r="BJ103" i="5"/>
  <c r="BI103" i="5"/>
  <c r="BH103" i="5"/>
  <c r="BG103" i="5"/>
  <c r="BF103" i="5"/>
  <c r="BE103" i="5"/>
  <c r="BD103" i="5"/>
  <c r="BC103" i="5"/>
  <c r="BB103" i="5"/>
  <c r="BA103" i="5"/>
  <c r="AZ103" i="5"/>
  <c r="AY103" i="5"/>
  <c r="AX103" i="5"/>
  <c r="AW103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H103" i="5"/>
  <c r="AG103" i="5"/>
  <c r="AF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R103" i="5"/>
  <c r="Q103" i="5"/>
  <c r="P103" i="5"/>
  <c r="O103" i="5"/>
  <c r="N103" i="5"/>
  <c r="M103" i="5"/>
  <c r="L103" i="5"/>
  <c r="DH103" i="5" s="1"/>
  <c r="DG102" i="5"/>
  <c r="DF102" i="5"/>
  <c r="DE102" i="5"/>
  <c r="DD102" i="5"/>
  <c r="DC102" i="5"/>
  <c r="DB102" i="5"/>
  <c r="DA102" i="5"/>
  <c r="CZ102" i="5"/>
  <c r="CY102" i="5"/>
  <c r="CX102" i="5"/>
  <c r="CW102" i="5"/>
  <c r="CV102" i="5"/>
  <c r="CU102" i="5"/>
  <c r="CT102" i="5"/>
  <c r="CS102" i="5"/>
  <c r="CR102" i="5"/>
  <c r="CQ102" i="5"/>
  <c r="CP102" i="5"/>
  <c r="CO102" i="5"/>
  <c r="CN102" i="5"/>
  <c r="CM102" i="5"/>
  <c r="CL102" i="5"/>
  <c r="CK102" i="5"/>
  <c r="CJ102" i="5"/>
  <c r="CI102" i="5"/>
  <c r="CH102" i="5"/>
  <c r="CG102" i="5"/>
  <c r="CF102" i="5"/>
  <c r="CE102" i="5"/>
  <c r="CD102" i="5"/>
  <c r="CC102" i="5"/>
  <c r="CB102" i="5"/>
  <c r="CA102" i="5"/>
  <c r="BZ102" i="5"/>
  <c r="BY102" i="5"/>
  <c r="BX102" i="5"/>
  <c r="BW102" i="5"/>
  <c r="BV102" i="5"/>
  <c r="BU102" i="5"/>
  <c r="BT102" i="5"/>
  <c r="BS102" i="5"/>
  <c r="BR102" i="5"/>
  <c r="BQ102" i="5"/>
  <c r="BP102" i="5"/>
  <c r="BO102" i="5"/>
  <c r="BN102" i="5"/>
  <c r="BM102" i="5"/>
  <c r="BL102" i="5"/>
  <c r="BK102" i="5"/>
  <c r="BJ102" i="5"/>
  <c r="BI102" i="5"/>
  <c r="BH102" i="5"/>
  <c r="BG102" i="5"/>
  <c r="BF102" i="5"/>
  <c r="BE102" i="5"/>
  <c r="BD102" i="5"/>
  <c r="BC102" i="5"/>
  <c r="BB102" i="5"/>
  <c r="BA102" i="5"/>
  <c r="AZ102" i="5"/>
  <c r="AY102" i="5"/>
  <c r="AX102" i="5"/>
  <c r="AW102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H102" i="5"/>
  <c r="AG102" i="5"/>
  <c r="AF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R102" i="5"/>
  <c r="Q102" i="5"/>
  <c r="P102" i="5"/>
  <c r="O102" i="5"/>
  <c r="N102" i="5"/>
  <c r="M102" i="5"/>
  <c r="L102" i="5"/>
  <c r="DG1" i="5"/>
  <c r="CY1" i="5"/>
  <c r="CQ1" i="5"/>
  <c r="CI1" i="5"/>
  <c r="CA1" i="5"/>
  <c r="BK1" i="5"/>
  <c r="AU1" i="5"/>
  <c r="AM1" i="5"/>
  <c r="AE1" i="5"/>
  <c r="W1" i="5"/>
  <c r="O1" i="5"/>
  <c r="I1" i="5"/>
  <c r="DG103" i="4"/>
  <c r="DF103" i="4"/>
  <c r="DE103" i="4"/>
  <c r="DD103" i="4"/>
  <c r="DC103" i="4"/>
  <c r="DB103" i="4"/>
  <c r="DA103" i="4"/>
  <c r="CZ103" i="4"/>
  <c r="CY103" i="4"/>
  <c r="CX103" i="4"/>
  <c r="CW103" i="4"/>
  <c r="CV103" i="4"/>
  <c r="CU103" i="4"/>
  <c r="CT103" i="4"/>
  <c r="CS103" i="4"/>
  <c r="CR103" i="4"/>
  <c r="CQ103" i="4"/>
  <c r="CP103" i="4"/>
  <c r="CO103" i="4"/>
  <c r="CN103" i="4"/>
  <c r="CM103" i="4"/>
  <c r="CL103" i="4"/>
  <c r="CK103" i="4"/>
  <c r="CJ103" i="4"/>
  <c r="CI103" i="4"/>
  <c r="CH103" i="4"/>
  <c r="CG103" i="4"/>
  <c r="CF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S103" i="4"/>
  <c r="BR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L103" i="4"/>
  <c r="DG102" i="4"/>
  <c r="DF102" i="4"/>
  <c r="DE102" i="4"/>
  <c r="DD102" i="4"/>
  <c r="DC102" i="4"/>
  <c r="DB102" i="4"/>
  <c r="DA102" i="4"/>
  <c r="CZ102" i="4"/>
  <c r="CY102" i="4"/>
  <c r="CX102" i="4"/>
  <c r="CW102" i="4"/>
  <c r="CV102" i="4"/>
  <c r="CU102" i="4"/>
  <c r="CT102" i="4"/>
  <c r="CS102" i="4"/>
  <c r="CR102" i="4"/>
  <c r="CQ102" i="4"/>
  <c r="CP102" i="4"/>
  <c r="CO102" i="4"/>
  <c r="CN102" i="4"/>
  <c r="CM102" i="4"/>
  <c r="CL102" i="4"/>
  <c r="CK102" i="4"/>
  <c r="CJ102" i="4"/>
  <c r="CI102" i="4"/>
  <c r="CH102" i="4"/>
  <c r="CG102" i="4"/>
  <c r="CF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S102" i="4"/>
  <c r="BR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L102" i="4"/>
  <c r="DG1" i="4"/>
  <c r="DE1" i="4"/>
  <c r="CY1" i="4"/>
  <c r="CW1" i="4"/>
  <c r="CQ1" i="4"/>
  <c r="CO1" i="4"/>
  <c r="CI1" i="4"/>
  <c r="CG1" i="4"/>
  <c r="CD1" i="4"/>
  <c r="CA1" i="4"/>
  <c r="BY1" i="4"/>
  <c r="BV1" i="4"/>
  <c r="BS1" i="4"/>
  <c r="BQ1" i="4"/>
  <c r="BN1" i="4"/>
  <c r="BI1" i="4"/>
  <c r="BF1" i="4"/>
  <c r="BB1" i="4"/>
  <c r="BA1" i="4"/>
  <c r="AX1" i="4"/>
  <c r="AS1" i="4"/>
  <c r="AP1" i="4"/>
  <c r="AL1" i="4"/>
  <c r="AK1" i="4"/>
  <c r="AH1" i="4"/>
  <c r="AC1" i="4"/>
  <c r="Z1" i="4"/>
  <c r="V1" i="4"/>
  <c r="U1" i="4"/>
  <c r="R1" i="4"/>
  <c r="M1" i="4"/>
  <c r="I1" i="4"/>
  <c r="DG103" i="11"/>
  <c r="DF103" i="11"/>
  <c r="DE103" i="11"/>
  <c r="DD103" i="11"/>
  <c r="DC103" i="11"/>
  <c r="DB103" i="11"/>
  <c r="DA103" i="11"/>
  <c r="CZ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E103" i="11"/>
  <c r="CD103" i="11"/>
  <c r="CC103" i="11"/>
  <c r="CB103" i="11"/>
  <c r="CA103" i="11"/>
  <c r="BZ103" i="11"/>
  <c r="BY103" i="11"/>
  <c r="BX103" i="11"/>
  <c r="BW103" i="11"/>
  <c r="BV103" i="11"/>
  <c r="BU103" i="11"/>
  <c r="BT103" i="11"/>
  <c r="BS103" i="11"/>
  <c r="BR103" i="11"/>
  <c r="BQ103" i="11"/>
  <c r="BP103" i="11"/>
  <c r="BO103" i="11"/>
  <c r="BN103" i="11"/>
  <c r="BM103" i="11"/>
  <c r="BL103" i="11"/>
  <c r="BK103" i="11"/>
  <c r="BJ103" i="11"/>
  <c r="BI103" i="11"/>
  <c r="BH103" i="11"/>
  <c r="BG103" i="11"/>
  <c r="BF103" i="11"/>
  <c r="BE103" i="11"/>
  <c r="BD103" i="11"/>
  <c r="BC103" i="11"/>
  <c r="BB103" i="11"/>
  <c r="BA103" i="11"/>
  <c r="AZ103" i="11"/>
  <c r="AY103" i="11"/>
  <c r="AX103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AA103" i="11"/>
  <c r="Z103" i="11"/>
  <c r="Y103" i="11"/>
  <c r="X103" i="11"/>
  <c r="W103" i="11"/>
  <c r="V103" i="11"/>
  <c r="U103" i="11"/>
  <c r="T103" i="11"/>
  <c r="S103" i="11"/>
  <c r="R103" i="11"/>
  <c r="Q103" i="11"/>
  <c r="P103" i="11"/>
  <c r="DH103" i="11" s="1"/>
  <c r="O103" i="11"/>
  <c r="N103" i="11"/>
  <c r="M103" i="11"/>
  <c r="L103" i="11"/>
  <c r="DG102" i="11"/>
  <c r="DF102" i="11"/>
  <c r="DE102" i="11"/>
  <c r="DD102" i="11"/>
  <c r="DC102" i="11"/>
  <c r="DB102" i="11"/>
  <c r="DA102" i="11"/>
  <c r="CZ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E102" i="11"/>
  <c r="CD102" i="11"/>
  <c r="CC102" i="11"/>
  <c r="CB102" i="11"/>
  <c r="CA102" i="11"/>
  <c r="BZ102" i="11"/>
  <c r="BY102" i="11"/>
  <c r="BX102" i="11"/>
  <c r="BW102" i="11"/>
  <c r="BV102" i="11"/>
  <c r="BU102" i="11"/>
  <c r="BT102" i="11"/>
  <c r="BS102" i="11"/>
  <c r="BR102" i="11"/>
  <c r="BQ102" i="11"/>
  <c r="BP102" i="11"/>
  <c r="BO102" i="11"/>
  <c r="BN102" i="11"/>
  <c r="BM102" i="11"/>
  <c r="BL102" i="11"/>
  <c r="BK102" i="11"/>
  <c r="BJ102" i="11"/>
  <c r="BI102" i="11"/>
  <c r="BH102" i="11"/>
  <c r="BG102" i="11"/>
  <c r="BF102" i="11"/>
  <c r="BE102" i="11"/>
  <c r="BD102" i="11"/>
  <c r="BC102" i="11"/>
  <c r="BB102" i="11"/>
  <c r="BA102" i="11"/>
  <c r="AZ102" i="11"/>
  <c r="AY102" i="11"/>
  <c r="AX102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AA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DD1" i="11"/>
  <c r="CJ1" i="11"/>
  <c r="BP1" i="11"/>
  <c r="AV1" i="11"/>
  <c r="AR1" i="11"/>
  <c r="X1" i="11"/>
  <c r="I1" i="11"/>
  <c r="DG103" i="10"/>
  <c r="DF103" i="10"/>
  <c r="DE103" i="10"/>
  <c r="DD103" i="10"/>
  <c r="DC103" i="10"/>
  <c r="DB103" i="10"/>
  <c r="DA103" i="10"/>
  <c r="CZ103" i="10"/>
  <c r="CY103" i="10"/>
  <c r="CX103" i="10"/>
  <c r="CW103" i="10"/>
  <c r="CV103" i="10"/>
  <c r="CU103" i="10"/>
  <c r="CT103" i="10"/>
  <c r="CS103" i="10"/>
  <c r="CR103" i="10"/>
  <c r="CQ103" i="10"/>
  <c r="CP103" i="10"/>
  <c r="CO103" i="10"/>
  <c r="CN103" i="10"/>
  <c r="CM103" i="10"/>
  <c r="CL103" i="10"/>
  <c r="CK103" i="10"/>
  <c r="CJ103" i="10"/>
  <c r="CI103" i="10"/>
  <c r="CH103" i="10"/>
  <c r="CG103" i="10"/>
  <c r="CF103" i="10"/>
  <c r="CE103" i="10"/>
  <c r="CD103" i="10"/>
  <c r="CC103" i="10"/>
  <c r="CB103" i="10"/>
  <c r="CA103" i="10"/>
  <c r="BZ103" i="10"/>
  <c r="BY103" i="10"/>
  <c r="BX103" i="10"/>
  <c r="BW103" i="10"/>
  <c r="BV103" i="10"/>
  <c r="BU103" i="10"/>
  <c r="BT103" i="10"/>
  <c r="BS103" i="10"/>
  <c r="BR103" i="10"/>
  <c r="BQ103" i="10"/>
  <c r="BP103" i="10"/>
  <c r="BO103" i="10"/>
  <c r="BN103" i="10"/>
  <c r="BM103" i="10"/>
  <c r="BL103" i="10"/>
  <c r="BK103" i="10"/>
  <c r="BJ103" i="10"/>
  <c r="BI103" i="10"/>
  <c r="BH103" i="10"/>
  <c r="BG103" i="10"/>
  <c r="BF103" i="10"/>
  <c r="BE103" i="10"/>
  <c r="BD103" i="10"/>
  <c r="BC103" i="10"/>
  <c r="BB103" i="10"/>
  <c r="BA103" i="10"/>
  <c r="AZ103" i="10"/>
  <c r="AY103" i="10"/>
  <c r="AX103" i="10"/>
  <c r="AW103" i="10"/>
  <c r="AV103" i="10"/>
  <c r="AU103" i="10"/>
  <c r="AT103" i="10"/>
  <c r="AS103" i="10"/>
  <c r="AR103" i="10"/>
  <c r="AQ103" i="10"/>
  <c r="AP103" i="10"/>
  <c r="AO103" i="10"/>
  <c r="AN103" i="10"/>
  <c r="AM103" i="10"/>
  <c r="AL103" i="10"/>
  <c r="AK103" i="10"/>
  <c r="AJ103" i="10"/>
  <c r="AI103" i="10"/>
  <c r="AH103" i="10"/>
  <c r="AG103" i="10"/>
  <c r="AF103" i="10"/>
  <c r="AE103" i="10"/>
  <c r="AD103" i="10"/>
  <c r="AC103" i="10"/>
  <c r="AB103" i="10"/>
  <c r="AA103" i="10"/>
  <c r="Z103" i="10"/>
  <c r="Y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L103" i="10"/>
  <c r="DG102" i="10"/>
  <c r="DF102" i="10"/>
  <c r="DE102" i="10"/>
  <c r="DD102" i="10"/>
  <c r="DC102" i="10"/>
  <c r="DB102" i="10"/>
  <c r="DA102" i="10"/>
  <c r="CZ102" i="10"/>
  <c r="CY102" i="10"/>
  <c r="CX102" i="10"/>
  <c r="CW102" i="10"/>
  <c r="CV102" i="10"/>
  <c r="CU102" i="10"/>
  <c r="CT102" i="10"/>
  <c r="CS102" i="10"/>
  <c r="CR102" i="10"/>
  <c r="CQ102" i="10"/>
  <c r="CP102" i="10"/>
  <c r="CO102" i="10"/>
  <c r="CN102" i="10"/>
  <c r="CM102" i="10"/>
  <c r="CL102" i="10"/>
  <c r="CK102" i="10"/>
  <c r="CJ102" i="10"/>
  <c r="CI102" i="10"/>
  <c r="CH102" i="10"/>
  <c r="CG102" i="10"/>
  <c r="CF102" i="10"/>
  <c r="CE102" i="10"/>
  <c r="CD102" i="10"/>
  <c r="CC102" i="10"/>
  <c r="CB102" i="10"/>
  <c r="CA102" i="10"/>
  <c r="BZ102" i="10"/>
  <c r="BY102" i="10"/>
  <c r="BX102" i="10"/>
  <c r="BW102" i="10"/>
  <c r="BV102" i="10"/>
  <c r="BU102" i="10"/>
  <c r="BT102" i="10"/>
  <c r="BS102" i="10"/>
  <c r="BR102" i="10"/>
  <c r="BQ102" i="10"/>
  <c r="BP102" i="10"/>
  <c r="BO102" i="10"/>
  <c r="BN102" i="10"/>
  <c r="BM102" i="10"/>
  <c r="BL102" i="10"/>
  <c r="BK102" i="10"/>
  <c r="BJ102" i="10"/>
  <c r="BI102" i="10"/>
  <c r="BH102" i="10"/>
  <c r="BG102" i="10"/>
  <c r="BF102" i="10"/>
  <c r="BE102" i="10"/>
  <c r="BD102" i="10"/>
  <c r="BC102" i="10"/>
  <c r="BB102" i="10"/>
  <c r="BA102" i="10"/>
  <c r="AZ102" i="10"/>
  <c r="AY102" i="10"/>
  <c r="AX102" i="10"/>
  <c r="AW102" i="10"/>
  <c r="AV102" i="10"/>
  <c r="AU102" i="10"/>
  <c r="AT102" i="10"/>
  <c r="AS102" i="10"/>
  <c r="AR102" i="10"/>
  <c r="AQ102" i="10"/>
  <c r="AP102" i="10"/>
  <c r="AO102" i="10"/>
  <c r="AN102" i="10"/>
  <c r="AM102" i="10"/>
  <c r="AL102" i="10"/>
  <c r="AK102" i="10"/>
  <c r="AJ102" i="10"/>
  <c r="AI102" i="10"/>
  <c r="AH102" i="10"/>
  <c r="AG102" i="10"/>
  <c r="AF102" i="10"/>
  <c r="AE102" i="10"/>
  <c r="AD102" i="10"/>
  <c r="AC102" i="10"/>
  <c r="AB102" i="10"/>
  <c r="AA102" i="10"/>
  <c r="Z102" i="10"/>
  <c r="Y102" i="10"/>
  <c r="X102" i="10"/>
  <c r="W102" i="10"/>
  <c r="V102" i="10"/>
  <c r="U102" i="10"/>
  <c r="T102" i="10"/>
  <c r="S102" i="10"/>
  <c r="R102" i="10"/>
  <c r="Q102" i="10"/>
  <c r="P102" i="10"/>
  <c r="O102" i="10"/>
  <c r="N102" i="10"/>
  <c r="M102" i="10"/>
  <c r="L102" i="10"/>
  <c r="DG1" i="10"/>
  <c r="DF1" i="10"/>
  <c r="DB1" i="10"/>
  <c r="CY1" i="10"/>
  <c r="CT1" i="10"/>
  <c r="CQ1" i="10"/>
  <c r="CP1" i="10"/>
  <c r="CL1" i="10"/>
  <c r="CI1" i="10"/>
  <c r="CD1" i="10"/>
  <c r="CA1" i="10"/>
  <c r="BZ1" i="10"/>
  <c r="BV1" i="10"/>
  <c r="BS1" i="10"/>
  <c r="BN1" i="10"/>
  <c r="BK1" i="10"/>
  <c r="BJ1" i="10"/>
  <c r="BF1" i="10"/>
  <c r="BC1" i="10"/>
  <c r="AX1" i="10"/>
  <c r="AU1" i="10"/>
  <c r="AT1" i="10"/>
  <c r="AP1" i="10"/>
  <c r="AM1" i="10"/>
  <c r="AH1" i="10"/>
  <c r="AE1" i="10"/>
  <c r="AD1" i="10"/>
  <c r="Z1" i="10"/>
  <c r="W1" i="10"/>
  <c r="R1" i="10"/>
  <c r="O1" i="10"/>
  <c r="N1" i="10"/>
  <c r="I1" i="10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DG102" i="3"/>
  <c r="DF102" i="3"/>
  <c r="DE102" i="3"/>
  <c r="DD102" i="3"/>
  <c r="DC102" i="3"/>
  <c r="DB102" i="3"/>
  <c r="DA102" i="3"/>
  <c r="CZ102" i="3"/>
  <c r="CY102" i="3"/>
  <c r="CX102" i="3"/>
  <c r="CW102" i="3"/>
  <c r="CV102" i="3"/>
  <c r="CU102" i="3"/>
  <c r="CT102" i="3"/>
  <c r="CS102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DG1" i="3"/>
  <c r="DE1" i="3"/>
  <c r="CY1" i="3"/>
  <c r="CX1" i="3"/>
  <c r="CW1" i="3"/>
  <c r="CQ1" i="3"/>
  <c r="CO1" i="3"/>
  <c r="CM1" i="3"/>
  <c r="CI1" i="3"/>
  <c r="CG1" i="3"/>
  <c r="CF1" i="3"/>
  <c r="CA1" i="3"/>
  <c r="BY1" i="3"/>
  <c r="BX1" i="3"/>
  <c r="BS1" i="3"/>
  <c r="BQ1" i="3"/>
  <c r="BO1" i="3"/>
  <c r="BK1" i="3"/>
  <c r="BI1" i="3"/>
  <c r="BC1" i="3"/>
  <c r="BB1" i="3"/>
  <c r="BA1" i="3"/>
  <c r="AY1" i="3"/>
  <c r="AU1" i="3"/>
  <c r="AS1" i="3"/>
  <c r="AR1" i="3"/>
  <c r="AM1" i="3"/>
  <c r="AK1" i="3"/>
  <c r="AI1" i="3"/>
  <c r="AE1" i="3"/>
  <c r="AC1" i="3"/>
  <c r="W1" i="3"/>
  <c r="V1" i="3"/>
  <c r="U1" i="3"/>
  <c r="S1" i="3"/>
  <c r="O1" i="3"/>
  <c r="M1" i="3"/>
  <c r="L1" i="3"/>
  <c r="I1" i="3"/>
  <c r="DG103" i="2"/>
  <c r="DF103" i="2"/>
  <c r="DE103" i="2"/>
  <c r="DD103" i="2"/>
  <c r="DC103" i="2"/>
  <c r="DB103" i="2"/>
  <c r="DA103" i="2"/>
  <c r="CZ103" i="2"/>
  <c r="CY103" i="2"/>
  <c r="CX103" i="2"/>
  <c r="CW103" i="2"/>
  <c r="CV103" i="2"/>
  <c r="CU103" i="2"/>
  <c r="CT103" i="2"/>
  <c r="CS103" i="2"/>
  <c r="CR103" i="2"/>
  <c r="CQ103" i="2"/>
  <c r="CP103" i="2"/>
  <c r="CO103" i="2"/>
  <c r="CN103" i="2"/>
  <c r="CM103" i="2"/>
  <c r="CL103" i="2"/>
  <c r="CK103" i="2"/>
  <c r="CJ103" i="2"/>
  <c r="CI103" i="2"/>
  <c r="CH103" i="2"/>
  <c r="CG103" i="2"/>
  <c r="CF103" i="2"/>
  <c r="CE103" i="2"/>
  <c r="CD103" i="2"/>
  <c r="CC103" i="2"/>
  <c r="CB103" i="2"/>
  <c r="CA103" i="2"/>
  <c r="BZ103" i="2"/>
  <c r="BY103" i="2"/>
  <c r="BX103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G103" i="2"/>
  <c r="BF103" i="2"/>
  <c r="BE103" i="2"/>
  <c r="BD103" i="2"/>
  <c r="BC103" i="2"/>
  <c r="BB103" i="2"/>
  <c r="BA103" i="2"/>
  <c r="AZ103" i="2"/>
  <c r="AY103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DG102" i="2"/>
  <c r="DF102" i="2"/>
  <c r="DE102" i="2"/>
  <c r="DD102" i="2"/>
  <c r="DC102" i="2"/>
  <c r="DB102" i="2"/>
  <c r="DA102" i="2"/>
  <c r="CZ102" i="2"/>
  <c r="CY102" i="2"/>
  <c r="CX102" i="2"/>
  <c r="CW102" i="2"/>
  <c r="CV102" i="2"/>
  <c r="CU102" i="2"/>
  <c r="CT102" i="2"/>
  <c r="CS102" i="2"/>
  <c r="CR102" i="2"/>
  <c r="CQ102" i="2"/>
  <c r="CP102" i="2"/>
  <c r="CO102" i="2"/>
  <c r="CN102" i="2"/>
  <c r="CM102" i="2"/>
  <c r="CL102" i="2"/>
  <c r="CK102" i="2"/>
  <c r="CJ102" i="2"/>
  <c r="CI102" i="2"/>
  <c r="CH102" i="2"/>
  <c r="CG102" i="2"/>
  <c r="CF102" i="2"/>
  <c r="CE102" i="2"/>
  <c r="CD102" i="2"/>
  <c r="CC102" i="2"/>
  <c r="CB102" i="2"/>
  <c r="CA102" i="2"/>
  <c r="BZ102" i="2"/>
  <c r="BY102" i="2"/>
  <c r="BX102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G102" i="2"/>
  <c r="BF102" i="2"/>
  <c r="BE102" i="2"/>
  <c r="BD102" i="2"/>
  <c r="BC102" i="2"/>
  <c r="BB102" i="2"/>
  <c r="BA102" i="2"/>
  <c r="AZ102" i="2"/>
  <c r="AY102" i="2"/>
  <c r="AX102" i="2"/>
  <c r="AW102" i="2"/>
  <c r="AV102" i="2"/>
  <c r="AU102" i="2"/>
  <c r="AT102" i="2"/>
  <c r="AS102" i="2"/>
  <c r="AR102" i="2"/>
  <c r="AQ102" i="2"/>
  <c r="AP102" i="2"/>
  <c r="AO102" i="2"/>
  <c r="AN102" i="2"/>
  <c r="AM102" i="2"/>
  <c r="AL102" i="2"/>
  <c r="AK102" i="2"/>
  <c r="AJ102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DG1" i="2"/>
  <c r="CV1" i="6" s="1"/>
  <c r="DF1" i="2"/>
  <c r="DE1" i="2"/>
  <c r="DD1" i="2"/>
  <c r="DC1" i="2"/>
  <c r="DB1" i="2"/>
  <c r="DA1" i="2"/>
  <c r="CZ1" i="2"/>
  <c r="CZ1" i="11" s="1"/>
  <c r="CY1" i="2"/>
  <c r="CN1" i="6" s="1"/>
  <c r="CX1" i="2"/>
  <c r="CX1" i="10" s="1"/>
  <c r="CW1" i="2"/>
  <c r="CV1" i="2"/>
  <c r="CU1" i="2"/>
  <c r="CT1" i="2"/>
  <c r="CS1" i="2"/>
  <c r="CS1" i="11" s="1"/>
  <c r="CR1" i="2"/>
  <c r="CR1" i="11" s="1"/>
  <c r="CQ1" i="2"/>
  <c r="CF1" i="6" s="1"/>
  <c r="CP1" i="2"/>
  <c r="CP1" i="3" s="1"/>
  <c r="CO1" i="2"/>
  <c r="CN1" i="2"/>
  <c r="CN1" i="11" s="1"/>
  <c r="CM1" i="2"/>
  <c r="CL1" i="2"/>
  <c r="CL1" i="5" s="1"/>
  <c r="CK1" i="2"/>
  <c r="CK1" i="4" s="1"/>
  <c r="CJ1" i="2"/>
  <c r="CI1" i="2"/>
  <c r="BX1" i="6" s="1"/>
  <c r="CH1" i="2"/>
  <c r="CG1" i="2"/>
  <c r="CF1" i="2"/>
  <c r="CE1" i="2"/>
  <c r="CD1" i="2"/>
  <c r="CD1" i="5" s="1"/>
  <c r="CC1" i="2"/>
  <c r="CB1" i="2"/>
  <c r="CB1" i="11" s="1"/>
  <c r="CA1" i="2"/>
  <c r="BP1" i="6" s="1"/>
  <c r="BZ1" i="2"/>
  <c r="BZ1" i="4" s="1"/>
  <c r="BY1" i="2"/>
  <c r="BX1" i="2"/>
  <c r="BW1" i="2"/>
  <c r="BV1" i="2"/>
  <c r="BV1" i="5" s="1"/>
  <c r="BU1" i="2"/>
  <c r="BU1" i="11" s="1"/>
  <c r="BT1" i="2"/>
  <c r="BT1" i="11" s="1"/>
  <c r="BS1" i="2"/>
  <c r="BH1" i="6" s="1"/>
  <c r="BR1" i="2"/>
  <c r="BR1" i="3" s="1"/>
  <c r="BQ1" i="2"/>
  <c r="BP1" i="2"/>
  <c r="BP1" i="3" s="1"/>
  <c r="BO1" i="2"/>
  <c r="BN1" i="2"/>
  <c r="BN1" i="5" s="1"/>
  <c r="BM1" i="2"/>
  <c r="BM1" i="10" s="1"/>
  <c r="BL1" i="2"/>
  <c r="BK1" i="2"/>
  <c r="AZ1" i="6" s="1"/>
  <c r="BJ1" i="2"/>
  <c r="BJ1" i="4" s="1"/>
  <c r="BI1" i="2"/>
  <c r="BH1" i="2"/>
  <c r="BG1" i="2"/>
  <c r="BF1" i="2"/>
  <c r="BF1" i="5" s="1"/>
  <c r="BE1" i="2"/>
  <c r="BE1" i="3" s="1"/>
  <c r="BD1" i="2"/>
  <c r="BD1" i="11" s="1"/>
  <c r="BC1" i="2"/>
  <c r="AR1" i="6" s="1"/>
  <c r="BB1" i="2"/>
  <c r="BA1" i="2"/>
  <c r="AZ1" i="2"/>
  <c r="AZ1" i="11" s="1"/>
  <c r="AY1" i="2"/>
  <c r="AX1" i="2"/>
  <c r="AX1" i="5" s="1"/>
  <c r="AW1" i="2"/>
  <c r="AV1" i="2"/>
  <c r="AU1" i="2"/>
  <c r="AJ1" i="6" s="1"/>
  <c r="AT1" i="2"/>
  <c r="AT1" i="4" s="1"/>
  <c r="AS1" i="2"/>
  <c r="AR1" i="2"/>
  <c r="AQ1" i="2"/>
  <c r="AP1" i="2"/>
  <c r="AP1" i="5" s="1"/>
  <c r="AO1" i="2"/>
  <c r="AN1" i="2"/>
  <c r="AN1" i="11" s="1"/>
  <c r="AM1" i="2"/>
  <c r="AB1" i="6" s="1"/>
  <c r="AL1" i="2"/>
  <c r="AL1" i="3" s="1"/>
  <c r="AK1" i="2"/>
  <c r="AJ1" i="2"/>
  <c r="AJ1" i="3" s="1"/>
  <c r="AI1" i="2"/>
  <c r="AH1" i="2"/>
  <c r="AH1" i="5" s="1"/>
  <c r="AG1" i="2"/>
  <c r="AG1" i="11" s="1"/>
  <c r="AF1" i="2"/>
  <c r="AF1" i="11" s="1"/>
  <c r="AE1" i="2"/>
  <c r="T1" i="6" s="1"/>
  <c r="AD1" i="2"/>
  <c r="AD1" i="4" s="1"/>
  <c r="AC1" i="2"/>
  <c r="AB1" i="2"/>
  <c r="AB1" i="11" s="1"/>
  <c r="AA1" i="2"/>
  <c r="Z1" i="2"/>
  <c r="Z1" i="5" s="1"/>
  <c r="Y1" i="2"/>
  <c r="Y1" i="3" s="1"/>
  <c r="X1" i="2"/>
  <c r="W1" i="2"/>
  <c r="L1" i="6" s="1"/>
  <c r="V1" i="2"/>
  <c r="U1" i="2"/>
  <c r="T1" i="2"/>
  <c r="S1" i="2"/>
  <c r="R1" i="2"/>
  <c r="R1" i="5" s="1"/>
  <c r="Q1" i="2"/>
  <c r="Q1" i="3" s="1"/>
  <c r="P1" i="2"/>
  <c r="P1" i="11" s="1"/>
  <c r="O1" i="2"/>
  <c r="D1" i="6" s="1"/>
  <c r="N1" i="2"/>
  <c r="N1" i="4" s="1"/>
  <c r="M1" i="2"/>
  <c r="L1" i="2"/>
  <c r="I1" i="2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D3" i="1"/>
  <c r="I9" i="1" s="1"/>
  <c r="H9" i="1" s="1"/>
  <c r="DN204" i="6" l="1"/>
  <c r="CW606" i="6"/>
  <c r="CW598" i="6"/>
  <c r="CW590" i="6"/>
  <c r="CW582" i="6"/>
  <c r="CW574" i="6"/>
  <c r="CW566" i="6"/>
  <c r="CW558" i="6"/>
  <c r="CW550" i="6"/>
  <c r="CW542" i="6"/>
  <c r="CW534" i="6"/>
  <c r="CW526" i="6"/>
  <c r="CW518" i="6"/>
  <c r="CW510" i="6"/>
  <c r="CW601" i="6"/>
  <c r="CW593" i="6"/>
  <c r="CW585" i="6"/>
  <c r="CW577" i="6"/>
  <c r="CW569" i="6"/>
  <c r="CW561" i="6"/>
  <c r="CW553" i="6"/>
  <c r="CW545" i="6"/>
  <c r="CW537" i="6"/>
  <c r="CW529" i="6"/>
  <c r="CW521" i="6"/>
  <c r="CW513" i="6"/>
  <c r="CW604" i="6"/>
  <c r="CW596" i="6"/>
  <c r="CW588" i="6"/>
  <c r="CW580" i="6"/>
  <c r="CW572" i="6"/>
  <c r="CW564" i="6"/>
  <c r="CW556" i="6"/>
  <c r="CW548" i="6"/>
  <c r="CW540" i="6"/>
  <c r="CW532" i="6"/>
  <c r="CW524" i="6"/>
  <c r="CW516" i="6"/>
  <c r="CW508" i="6"/>
  <c r="CW599" i="6"/>
  <c r="CW591" i="6"/>
  <c r="CW583" i="6"/>
  <c r="CW575" i="6"/>
  <c r="CW567" i="6"/>
  <c r="CW559" i="6"/>
  <c r="CW551" i="6"/>
  <c r="CW543" i="6"/>
  <c r="CW535" i="6"/>
  <c r="CW527" i="6"/>
  <c r="CW519" i="6"/>
  <c r="CW511" i="6"/>
  <c r="CW602" i="6"/>
  <c r="CW594" i="6"/>
  <c r="CW586" i="6"/>
  <c r="CW578" i="6"/>
  <c r="CW570" i="6"/>
  <c r="CW562" i="6"/>
  <c r="CW554" i="6"/>
  <c r="CW546" i="6"/>
  <c r="CW538" i="6"/>
  <c r="CW530" i="6"/>
  <c r="CW522" i="6"/>
  <c r="CW514" i="6"/>
  <c r="CW605" i="6"/>
  <c r="CW597" i="6"/>
  <c r="CW589" i="6"/>
  <c r="CW581" i="6"/>
  <c r="CW573" i="6"/>
  <c r="CW565" i="6"/>
  <c r="CW557" i="6"/>
  <c r="CW549" i="6"/>
  <c r="CW541" i="6"/>
  <c r="CW533" i="6"/>
  <c r="CW525" i="6"/>
  <c r="CW517" i="6"/>
  <c r="CW509" i="6"/>
  <c r="CW600" i="6"/>
  <c r="CW592" i="6"/>
  <c r="CW584" i="6"/>
  <c r="CW576" i="6"/>
  <c r="CW568" i="6"/>
  <c r="CW560" i="6"/>
  <c r="CW552" i="6"/>
  <c r="CW544" i="6"/>
  <c r="CW536" i="6"/>
  <c r="CW528" i="6"/>
  <c r="CW520" i="6"/>
  <c r="CW512" i="6"/>
  <c r="CW507" i="6"/>
  <c r="CW571" i="6"/>
  <c r="CW563" i="6"/>
  <c r="CW555" i="6"/>
  <c r="CW547" i="6"/>
  <c r="CW603" i="6"/>
  <c r="CW539" i="6"/>
  <c r="CW595" i="6"/>
  <c r="CW531" i="6"/>
  <c r="CW587" i="6"/>
  <c r="CW579" i="6"/>
  <c r="CW515" i="6"/>
  <c r="CW523" i="6"/>
  <c r="AL1" i="6"/>
  <c r="AW1" i="5"/>
  <c r="AW1" i="4"/>
  <c r="CP1" i="6"/>
  <c r="DA1" i="4"/>
  <c r="DA1" i="5"/>
  <c r="DA1" i="3"/>
  <c r="AG1" i="3"/>
  <c r="CW402" i="6"/>
  <c r="CW394" i="6"/>
  <c r="CW386" i="6"/>
  <c r="CW378" i="6"/>
  <c r="CW370" i="6"/>
  <c r="CW362" i="6"/>
  <c r="CW354" i="6"/>
  <c r="CW346" i="6"/>
  <c r="CW338" i="6"/>
  <c r="CW330" i="6"/>
  <c r="CW322" i="6"/>
  <c r="CW314" i="6"/>
  <c r="CW306" i="6"/>
  <c r="CW397" i="6"/>
  <c r="CW389" i="6"/>
  <c r="CW381" i="6"/>
  <c r="CW373" i="6"/>
  <c r="CW365" i="6"/>
  <c r="CW357" i="6"/>
  <c r="CW349" i="6"/>
  <c r="CW341" i="6"/>
  <c r="CW333" i="6"/>
  <c r="CW325" i="6"/>
  <c r="CW317" i="6"/>
  <c r="CW309" i="6"/>
  <c r="CW400" i="6"/>
  <c r="CW392" i="6"/>
  <c r="CW384" i="6"/>
  <c r="CW376" i="6"/>
  <c r="CW368" i="6"/>
  <c r="CW360" i="6"/>
  <c r="CW352" i="6"/>
  <c r="CW344" i="6"/>
  <c r="CW336" i="6"/>
  <c r="CW328" i="6"/>
  <c r="CW320" i="6"/>
  <c r="CW312" i="6"/>
  <c r="CW403" i="6"/>
  <c r="CW395" i="6"/>
  <c r="CW387" i="6"/>
  <c r="CW379" i="6"/>
  <c r="CW371" i="6"/>
  <c r="CW363" i="6"/>
  <c r="CW355" i="6"/>
  <c r="CW347" i="6"/>
  <c r="CW339" i="6"/>
  <c r="CW331" i="6"/>
  <c r="CW323" i="6"/>
  <c r="CW315" i="6"/>
  <c r="CW307" i="6"/>
  <c r="CW305" i="6"/>
  <c r="CW398" i="6"/>
  <c r="CW390" i="6"/>
  <c r="CW382" i="6"/>
  <c r="CW374" i="6"/>
  <c r="CW366" i="6"/>
  <c r="CW358" i="6"/>
  <c r="CW350" i="6"/>
  <c r="CW342" i="6"/>
  <c r="CW334" i="6"/>
  <c r="CW326" i="6"/>
  <c r="CW318" i="6"/>
  <c r="CW310" i="6"/>
  <c r="CW401" i="6"/>
  <c r="CW393" i="6"/>
  <c r="CW385" i="6"/>
  <c r="CW377" i="6"/>
  <c r="CW369" i="6"/>
  <c r="CW361" i="6"/>
  <c r="CW353" i="6"/>
  <c r="CW345" i="6"/>
  <c r="CW337" i="6"/>
  <c r="CW329" i="6"/>
  <c r="CW321" i="6"/>
  <c r="CW313" i="6"/>
  <c r="CW404" i="6"/>
  <c r="CW396" i="6"/>
  <c r="CW388" i="6"/>
  <c r="CW380" i="6"/>
  <c r="CW372" i="6"/>
  <c r="CW364" i="6"/>
  <c r="CW356" i="6"/>
  <c r="CW348" i="6"/>
  <c r="CW340" i="6"/>
  <c r="CW332" i="6"/>
  <c r="CW324" i="6"/>
  <c r="CW316" i="6"/>
  <c r="CW308" i="6"/>
  <c r="CW391" i="6"/>
  <c r="CW327" i="6"/>
  <c r="CW383" i="6"/>
  <c r="CW319" i="6"/>
  <c r="CW375" i="6"/>
  <c r="CW311" i="6"/>
  <c r="CW367" i="6"/>
  <c r="CW359" i="6"/>
  <c r="CW351" i="6"/>
  <c r="CW399" i="6"/>
  <c r="DI507" i="6"/>
  <c r="BR1" i="6"/>
  <c r="CC1" i="5"/>
  <c r="CC1" i="3"/>
  <c r="CC1" i="4"/>
  <c r="Y1" i="11"/>
  <c r="S1" i="5"/>
  <c r="H1" i="6"/>
  <c r="S1" i="10"/>
  <c r="S1" i="11"/>
  <c r="AA1" i="5"/>
  <c r="P1" i="6"/>
  <c r="AA1" i="10"/>
  <c r="AA1" i="11"/>
  <c r="AI1" i="5"/>
  <c r="X1" i="6"/>
  <c r="AI1" i="10"/>
  <c r="AI1" i="11"/>
  <c r="AQ1" i="5"/>
  <c r="AF1" i="6"/>
  <c r="AQ1" i="10"/>
  <c r="AQ1" i="11"/>
  <c r="AY1" i="5"/>
  <c r="AN1" i="6"/>
  <c r="AY1" i="10"/>
  <c r="AY1" i="11"/>
  <c r="BG1" i="5"/>
  <c r="AV1" i="6"/>
  <c r="BG1" i="10"/>
  <c r="BG1" i="11"/>
  <c r="BO1" i="4"/>
  <c r="BO1" i="5"/>
  <c r="BD1" i="6"/>
  <c r="BO1" i="10"/>
  <c r="BO1" i="11"/>
  <c r="BW1" i="4"/>
  <c r="BW1" i="5"/>
  <c r="BL1" i="6"/>
  <c r="BW1" i="10"/>
  <c r="BW1" i="11"/>
  <c r="CE1" i="4"/>
  <c r="CE1" i="5"/>
  <c r="BT1" i="6"/>
  <c r="CE1" i="10"/>
  <c r="CE1" i="11"/>
  <c r="CM1" i="4"/>
  <c r="CM1" i="5"/>
  <c r="CB1" i="6"/>
  <c r="CM1" i="10"/>
  <c r="CM1" i="11"/>
  <c r="CU1" i="4"/>
  <c r="CU1" i="5"/>
  <c r="CJ1" i="6"/>
  <c r="CU1" i="10"/>
  <c r="CU1" i="11"/>
  <c r="DC1" i="4"/>
  <c r="DC1" i="5"/>
  <c r="CR1" i="6"/>
  <c r="DC1" i="10"/>
  <c r="DC1" i="11"/>
  <c r="N1" i="3"/>
  <c r="AT1" i="3"/>
  <c r="BZ1" i="3"/>
  <c r="CN1" i="3"/>
  <c r="AW1" i="11"/>
  <c r="AA1" i="4"/>
  <c r="AQ1" i="4"/>
  <c r="BG1" i="4"/>
  <c r="DH204" i="6"/>
  <c r="DK305" i="6"/>
  <c r="DG406" i="6"/>
  <c r="AT1" i="6"/>
  <c r="BE1" i="5"/>
  <c r="BE1" i="4"/>
  <c r="BM1" i="11"/>
  <c r="L1" i="5"/>
  <c r="A1" i="6"/>
  <c r="L1" i="10"/>
  <c r="L1" i="4"/>
  <c r="T1" i="5"/>
  <c r="I1" i="6"/>
  <c r="T1" i="10"/>
  <c r="T1" i="4"/>
  <c r="AR1" i="5"/>
  <c r="AG1" i="6"/>
  <c r="AR1" i="10"/>
  <c r="AR1" i="4"/>
  <c r="BH1" i="5"/>
  <c r="AW1" i="6"/>
  <c r="BH1" i="10"/>
  <c r="BH1" i="4"/>
  <c r="BX1" i="5"/>
  <c r="BM1" i="6"/>
  <c r="BX1" i="4"/>
  <c r="BX1" i="10"/>
  <c r="CN1" i="5"/>
  <c r="CC1" i="6"/>
  <c r="CN1" i="10"/>
  <c r="CN1" i="4"/>
  <c r="CV1" i="5"/>
  <c r="CK1" i="6"/>
  <c r="CV1" i="4"/>
  <c r="CV1" i="10"/>
  <c r="AA1" i="3"/>
  <c r="BG1" i="3"/>
  <c r="DC1" i="3"/>
  <c r="Q1" i="10"/>
  <c r="AG1" i="10"/>
  <c r="AW1" i="10"/>
  <c r="CC1" i="10"/>
  <c r="CS1" i="10"/>
  <c r="DI204" i="6"/>
  <c r="N1" i="6"/>
  <c r="Y1" i="5"/>
  <c r="Y1" i="4"/>
  <c r="BB1" i="6"/>
  <c r="BM1" i="5"/>
  <c r="BM1" i="4"/>
  <c r="CW343" i="6"/>
  <c r="AB1" i="5"/>
  <c r="Q1" i="6"/>
  <c r="AB1" i="10"/>
  <c r="AB1" i="4"/>
  <c r="AJ1" i="5"/>
  <c r="Y1" i="6"/>
  <c r="AJ1" i="10"/>
  <c r="AJ1" i="4"/>
  <c r="AZ1" i="5"/>
  <c r="AO1" i="6"/>
  <c r="AZ1" i="10"/>
  <c r="AZ1" i="4"/>
  <c r="BP1" i="5"/>
  <c r="BE1" i="6"/>
  <c r="BP1" i="10"/>
  <c r="CF1" i="5"/>
  <c r="BU1" i="6"/>
  <c r="CF1" i="10"/>
  <c r="CF1" i="4"/>
  <c r="DD1" i="5"/>
  <c r="CS1" i="6"/>
  <c r="DD1" i="10"/>
  <c r="DD1" i="4"/>
  <c r="AB1" i="3"/>
  <c r="AW1" i="3"/>
  <c r="BH1" i="3"/>
  <c r="CE1" i="3"/>
  <c r="DD1" i="3"/>
  <c r="L1" i="11"/>
  <c r="BX1" i="11"/>
  <c r="CX1" i="4"/>
  <c r="AD1" i="6"/>
  <c r="AO1" i="5"/>
  <c r="AO1" i="4"/>
  <c r="BZ1" i="6"/>
  <c r="CK1" i="5"/>
  <c r="CK1" i="3"/>
  <c r="BM1" i="3"/>
  <c r="V1" i="5"/>
  <c r="K1" i="6"/>
  <c r="V1" i="11"/>
  <c r="AL1" i="5"/>
  <c r="AA1" i="6"/>
  <c r="AL1" i="11"/>
  <c r="BB1" i="5"/>
  <c r="AQ1" i="6"/>
  <c r="BB1" i="11"/>
  <c r="BR1" i="5"/>
  <c r="BG1" i="6"/>
  <c r="BR1" i="11"/>
  <c r="BR1" i="4"/>
  <c r="CH1" i="5"/>
  <c r="BW1" i="6"/>
  <c r="CH1" i="4"/>
  <c r="CH1" i="11"/>
  <c r="DF1" i="5"/>
  <c r="CU1" i="6"/>
  <c r="DF1" i="11"/>
  <c r="DF1" i="4"/>
  <c r="AL1" i="10"/>
  <c r="BR1" i="10"/>
  <c r="AJ1" i="11"/>
  <c r="DK204" i="6"/>
  <c r="F1" i="6"/>
  <c r="Q1" i="5"/>
  <c r="Q1" i="4"/>
  <c r="BJ1" i="6"/>
  <c r="BU1" i="5"/>
  <c r="BU1" i="4"/>
  <c r="N1" i="5"/>
  <c r="C1" i="6"/>
  <c r="N1" i="11"/>
  <c r="AD1" i="5"/>
  <c r="S1" i="6"/>
  <c r="AD1" i="11"/>
  <c r="AT1" i="5"/>
  <c r="AI1" i="6"/>
  <c r="AT1" i="11"/>
  <c r="BJ1" i="5"/>
  <c r="AY1" i="6"/>
  <c r="BJ1" i="11"/>
  <c r="BZ1" i="5"/>
  <c r="BO1" i="6"/>
  <c r="BZ1" i="11"/>
  <c r="CP1" i="5"/>
  <c r="CE1" i="6"/>
  <c r="CP1" i="11"/>
  <c r="CP1" i="4"/>
  <c r="CX1" i="5"/>
  <c r="CM1" i="6"/>
  <c r="CX1" i="11"/>
  <c r="V1" i="10"/>
  <c r="BB1" i="10"/>
  <c r="CH1" i="10"/>
  <c r="BE1" i="11"/>
  <c r="CV1" i="11"/>
  <c r="T1" i="3"/>
  <c r="AD1" i="3"/>
  <c r="AO1" i="3"/>
  <c r="AZ1" i="3"/>
  <c r="BJ1" i="3"/>
  <c r="BU1" i="3"/>
  <c r="CU1" i="3"/>
  <c r="DF1" i="3"/>
  <c r="Q1" i="11"/>
  <c r="BH1" i="11"/>
  <c r="CC1" i="11"/>
  <c r="S1" i="4"/>
  <c r="AI1" i="4"/>
  <c r="AY1" i="4"/>
  <c r="BP1" i="4"/>
  <c r="DL204" i="6"/>
  <c r="V1" i="6"/>
  <c r="AG1" i="5"/>
  <c r="AG1" i="4"/>
  <c r="CH1" i="6"/>
  <c r="CS1" i="4"/>
  <c r="CS1" i="5"/>
  <c r="CS1" i="3"/>
  <c r="CK1" i="11"/>
  <c r="E1" i="6"/>
  <c r="P1" i="5"/>
  <c r="P1" i="4"/>
  <c r="P1" i="3"/>
  <c r="P1" i="10"/>
  <c r="M1" i="6"/>
  <c r="X1" i="5"/>
  <c r="X1" i="4"/>
  <c r="X1" i="3"/>
  <c r="X1" i="10"/>
  <c r="U1" i="6"/>
  <c r="AF1" i="5"/>
  <c r="AF1" i="4"/>
  <c r="AF1" i="3"/>
  <c r="AF1" i="10"/>
  <c r="AC1" i="6"/>
  <c r="AN1" i="5"/>
  <c r="AN1" i="4"/>
  <c r="AN1" i="3"/>
  <c r="AN1" i="10"/>
  <c r="AK1" i="6"/>
  <c r="AV1" i="5"/>
  <c r="AV1" i="4"/>
  <c r="AV1" i="3"/>
  <c r="AV1" i="10"/>
  <c r="AS1" i="6"/>
  <c r="BD1" i="5"/>
  <c r="BD1" i="4"/>
  <c r="BD1" i="3"/>
  <c r="BD1" i="10"/>
  <c r="BA1" i="6"/>
  <c r="BL1" i="5"/>
  <c r="BL1" i="4"/>
  <c r="BL1" i="3"/>
  <c r="BL1" i="10"/>
  <c r="BI1" i="6"/>
  <c r="BT1" i="4"/>
  <c r="BT1" i="5"/>
  <c r="BT1" i="3"/>
  <c r="BT1" i="10"/>
  <c r="BQ1" i="6"/>
  <c r="CB1" i="4"/>
  <c r="CB1" i="5"/>
  <c r="CB1" i="3"/>
  <c r="CB1" i="10"/>
  <c r="BY1" i="6"/>
  <c r="CJ1" i="4"/>
  <c r="CJ1" i="5"/>
  <c r="CJ1" i="3"/>
  <c r="CJ1" i="10"/>
  <c r="CG1" i="6"/>
  <c r="CR1" i="4"/>
  <c r="CR1" i="5"/>
  <c r="CR1" i="3"/>
  <c r="CR1" i="10"/>
  <c r="CO1" i="6"/>
  <c r="CZ1" i="4"/>
  <c r="CZ1" i="5"/>
  <c r="CZ1" i="3"/>
  <c r="CZ1" i="10"/>
  <c r="AQ1" i="3"/>
  <c r="BW1" i="3"/>
  <c r="CH1" i="3"/>
  <c r="CV1" i="3"/>
  <c r="Y1" i="10"/>
  <c r="AO1" i="10"/>
  <c r="BE1" i="10"/>
  <c r="BU1" i="10"/>
  <c r="CK1" i="10"/>
  <c r="DA1" i="10"/>
  <c r="DH103" i="10"/>
  <c r="T1" i="11"/>
  <c r="AO1" i="11"/>
  <c r="BL1" i="11"/>
  <c r="CF1" i="11"/>
  <c r="DA1" i="11"/>
  <c r="CW335" i="6"/>
  <c r="CT1" i="4"/>
  <c r="CT1" i="5"/>
  <c r="DB1" i="4"/>
  <c r="DB1" i="5"/>
  <c r="R1" i="11"/>
  <c r="Z1" i="11"/>
  <c r="AH1" i="11"/>
  <c r="AP1" i="11"/>
  <c r="AX1" i="11"/>
  <c r="BF1" i="11"/>
  <c r="BN1" i="11"/>
  <c r="BV1" i="11"/>
  <c r="CD1" i="11"/>
  <c r="CL1" i="11"/>
  <c r="CT1" i="11"/>
  <c r="DB1" i="11"/>
  <c r="CL1" i="4"/>
  <c r="AU1" i="6"/>
  <c r="DJ204" i="6"/>
  <c r="DJ1" i="6" s="1"/>
  <c r="DH103" i="4"/>
  <c r="DN305" i="6"/>
  <c r="DI406" i="6"/>
  <c r="DJ406" i="6"/>
  <c r="DM507" i="6"/>
  <c r="DK507" i="6"/>
  <c r="M1" i="5"/>
  <c r="B1" i="6"/>
  <c r="U1" i="5"/>
  <c r="J1" i="6"/>
  <c r="AC1" i="5"/>
  <c r="R1" i="6"/>
  <c r="AK1" i="5"/>
  <c r="Z1" i="6"/>
  <c r="AS1" i="5"/>
  <c r="AH1" i="6"/>
  <c r="BA1" i="5"/>
  <c r="AP1" i="6"/>
  <c r="BI1" i="5"/>
  <c r="AX1" i="6"/>
  <c r="BQ1" i="5"/>
  <c r="BF1" i="6"/>
  <c r="BY1" i="5"/>
  <c r="BN1" i="6"/>
  <c r="CG1" i="5"/>
  <c r="BV1" i="6"/>
  <c r="CO1" i="5"/>
  <c r="CD1" i="6"/>
  <c r="CW1" i="5"/>
  <c r="CL1" i="6"/>
  <c r="DE1" i="5"/>
  <c r="CT1" i="6"/>
  <c r="M1" i="11"/>
  <c r="U1" i="11"/>
  <c r="AC1" i="11"/>
  <c r="AK1" i="11"/>
  <c r="AS1" i="11"/>
  <c r="BA1" i="11"/>
  <c r="BI1" i="11"/>
  <c r="BQ1" i="11"/>
  <c r="BY1" i="11"/>
  <c r="CG1" i="11"/>
  <c r="CO1" i="11"/>
  <c r="CW1" i="11"/>
  <c r="DE1" i="11"/>
  <c r="O1" i="4"/>
  <c r="W1" i="4"/>
  <c r="AE1" i="4"/>
  <c r="AM1" i="4"/>
  <c r="AU1" i="4"/>
  <c r="BC1" i="4"/>
  <c r="BK1" i="4"/>
  <c r="BC1" i="5"/>
  <c r="G1" i="6"/>
  <c r="BS1" i="6"/>
  <c r="DM204" i="6"/>
  <c r="DM1" i="6" s="1"/>
  <c r="DK406" i="6"/>
  <c r="DL406" i="6"/>
  <c r="R1" i="3"/>
  <c r="Z1" i="3"/>
  <c r="AH1" i="3"/>
  <c r="AP1" i="3"/>
  <c r="AX1" i="3"/>
  <c r="BF1" i="3"/>
  <c r="BN1" i="3"/>
  <c r="BV1" i="3"/>
  <c r="CD1" i="3"/>
  <c r="CL1" i="3"/>
  <c r="CT1" i="3"/>
  <c r="DB1" i="3"/>
  <c r="M1" i="10"/>
  <c r="U1" i="10"/>
  <c r="AC1" i="10"/>
  <c r="AK1" i="10"/>
  <c r="AS1" i="10"/>
  <c r="BA1" i="10"/>
  <c r="BI1" i="10"/>
  <c r="BQ1" i="10"/>
  <c r="BY1" i="10"/>
  <c r="CG1" i="10"/>
  <c r="CO1" i="10"/>
  <c r="CW1" i="10"/>
  <c r="DE1" i="10"/>
  <c r="O1" i="11"/>
  <c r="W1" i="11"/>
  <c r="AE1" i="11"/>
  <c r="AM1" i="11"/>
  <c r="AU1" i="11"/>
  <c r="BC1" i="11"/>
  <c r="BK1" i="11"/>
  <c r="BS1" i="11"/>
  <c r="CA1" i="11"/>
  <c r="CI1" i="11"/>
  <c r="CQ1" i="11"/>
  <c r="CY1" i="11"/>
  <c r="DG1" i="11"/>
  <c r="BS1" i="5"/>
  <c r="W1" i="6"/>
  <c r="CI1" i="6"/>
  <c r="DJ305" i="6"/>
  <c r="DM305" i="6"/>
  <c r="DI305" i="6"/>
  <c r="DM406" i="6"/>
  <c r="DH507" i="6"/>
  <c r="DH305" i="6"/>
  <c r="DG204" i="6"/>
  <c r="DG507" i="6"/>
  <c r="DG305" i="6"/>
  <c r="DK2" i="6"/>
  <c r="DN406" i="6"/>
  <c r="I6" i="1"/>
  <c r="I10" i="1"/>
  <c r="H10" i="1" s="1"/>
  <c r="I3" i="1"/>
  <c r="H3" i="1" s="1"/>
  <c r="I7" i="1"/>
  <c r="I4" i="1"/>
  <c r="I8" i="1"/>
  <c r="H8" i="1" s="1"/>
  <c r="I5" i="1"/>
  <c r="DI2" i="6"/>
  <c r="DG2" i="6"/>
  <c r="DH2" i="6"/>
  <c r="DH1" i="6" s="1"/>
  <c r="DH103" i="3"/>
  <c r="CW202" i="6" s="1"/>
  <c r="DH103" i="2"/>
  <c r="CW89" i="6" s="1"/>
  <c r="DL1" i="6" l="1"/>
  <c r="DI1" i="6"/>
  <c r="DK1" i="6"/>
  <c r="DN1" i="6"/>
  <c r="DG1" i="6"/>
  <c r="CW504" i="6"/>
  <c r="CW496" i="6"/>
  <c r="CW488" i="6"/>
  <c r="CW480" i="6"/>
  <c r="CW472" i="6"/>
  <c r="CW464" i="6"/>
  <c r="CW456" i="6"/>
  <c r="CW448" i="6"/>
  <c r="CW440" i="6"/>
  <c r="CW432" i="6"/>
  <c r="CW424" i="6"/>
  <c r="CW416" i="6"/>
  <c r="CW408" i="6"/>
  <c r="CW499" i="6"/>
  <c r="CW491" i="6"/>
  <c r="CW483" i="6"/>
  <c r="CW475" i="6"/>
  <c r="CW467" i="6"/>
  <c r="CW459" i="6"/>
  <c r="CW451" i="6"/>
  <c r="CW443" i="6"/>
  <c r="CW435" i="6"/>
  <c r="CW427" i="6"/>
  <c r="CW419" i="6"/>
  <c r="CW411" i="6"/>
  <c r="CW406" i="6"/>
  <c r="CW502" i="6"/>
  <c r="CW494" i="6"/>
  <c r="CW486" i="6"/>
  <c r="CW478" i="6"/>
  <c r="CW470" i="6"/>
  <c r="CW462" i="6"/>
  <c r="CW454" i="6"/>
  <c r="CW446" i="6"/>
  <c r="CW438" i="6"/>
  <c r="CW430" i="6"/>
  <c r="CW422" i="6"/>
  <c r="CW414" i="6"/>
  <c r="CW505" i="6"/>
  <c r="CW497" i="6"/>
  <c r="CW489" i="6"/>
  <c r="CW481" i="6"/>
  <c r="CW473" i="6"/>
  <c r="CW465" i="6"/>
  <c r="CW457" i="6"/>
  <c r="CW449" i="6"/>
  <c r="CW441" i="6"/>
  <c r="CW433" i="6"/>
  <c r="CW425" i="6"/>
  <c r="CW417" i="6"/>
  <c r="CW409" i="6"/>
  <c r="CW500" i="6"/>
  <c r="CW492" i="6"/>
  <c r="CW484" i="6"/>
  <c r="CW476" i="6"/>
  <c r="CW468" i="6"/>
  <c r="CW460" i="6"/>
  <c r="CW452" i="6"/>
  <c r="CW444" i="6"/>
  <c r="CW436" i="6"/>
  <c r="CW428" i="6"/>
  <c r="CW420" i="6"/>
  <c r="CW412" i="6"/>
  <c r="CW503" i="6"/>
  <c r="CW495" i="6"/>
  <c r="CW487" i="6"/>
  <c r="CW479" i="6"/>
  <c r="CW471" i="6"/>
  <c r="CW463" i="6"/>
  <c r="CW455" i="6"/>
  <c r="CW447" i="6"/>
  <c r="CW439" i="6"/>
  <c r="CW431" i="6"/>
  <c r="CW423" i="6"/>
  <c r="CW415" i="6"/>
  <c r="CW407" i="6"/>
  <c r="CW498" i="6"/>
  <c r="CW490" i="6"/>
  <c r="CW482" i="6"/>
  <c r="CW474" i="6"/>
  <c r="CW466" i="6"/>
  <c r="CW458" i="6"/>
  <c r="CW450" i="6"/>
  <c r="CW442" i="6"/>
  <c r="CW434" i="6"/>
  <c r="CW426" i="6"/>
  <c r="CW418" i="6"/>
  <c r="CW410" i="6"/>
  <c r="CW485" i="6"/>
  <c r="CW421" i="6"/>
  <c r="CW477" i="6"/>
  <c r="CW413" i="6"/>
  <c r="CW469" i="6"/>
  <c r="CW461" i="6"/>
  <c r="CW453" i="6"/>
  <c r="CW445" i="6"/>
  <c r="CW429" i="6"/>
  <c r="CW501" i="6"/>
  <c r="CW437" i="6"/>
  <c r="CW493" i="6"/>
  <c r="CW303" i="6"/>
  <c r="CW295" i="6"/>
  <c r="CW287" i="6"/>
  <c r="CW279" i="6"/>
  <c r="CW271" i="6"/>
  <c r="CW263" i="6"/>
  <c r="CW255" i="6"/>
  <c r="CW247" i="6"/>
  <c r="CW239" i="6"/>
  <c r="CW231" i="6"/>
  <c r="CW223" i="6"/>
  <c r="CW215" i="6"/>
  <c r="CW207" i="6"/>
  <c r="CW298" i="6"/>
  <c r="CW290" i="6"/>
  <c r="CW282" i="6"/>
  <c r="CW274" i="6"/>
  <c r="CW266" i="6"/>
  <c r="CW258" i="6"/>
  <c r="CW250" i="6"/>
  <c r="CW242" i="6"/>
  <c r="CW234" i="6"/>
  <c r="CW226" i="6"/>
  <c r="CW218" i="6"/>
  <c r="CW210" i="6"/>
  <c r="CW301" i="6"/>
  <c r="CW293" i="6"/>
  <c r="CW285" i="6"/>
  <c r="CW277" i="6"/>
  <c r="CW269" i="6"/>
  <c r="CW261" i="6"/>
  <c r="CW253" i="6"/>
  <c r="CW245" i="6"/>
  <c r="CW237" i="6"/>
  <c r="CW229" i="6"/>
  <c r="CW221" i="6"/>
  <c r="CW213" i="6"/>
  <c r="CW205" i="6"/>
  <c r="CW296" i="6"/>
  <c r="CW288" i="6"/>
  <c r="CW280" i="6"/>
  <c r="CW272" i="6"/>
  <c r="CW264" i="6"/>
  <c r="CW256" i="6"/>
  <c r="CW248" i="6"/>
  <c r="CW240" i="6"/>
  <c r="CW232" i="6"/>
  <c r="CW224" i="6"/>
  <c r="CW216" i="6"/>
  <c r="CW208" i="6"/>
  <c r="CW299" i="6"/>
  <c r="CW291" i="6"/>
  <c r="CW283" i="6"/>
  <c r="CW275" i="6"/>
  <c r="CW267" i="6"/>
  <c r="CW259" i="6"/>
  <c r="CW251" i="6"/>
  <c r="CW243" i="6"/>
  <c r="CW235" i="6"/>
  <c r="CW227" i="6"/>
  <c r="CW219" i="6"/>
  <c r="CW211" i="6"/>
  <c r="CW302" i="6"/>
  <c r="CW294" i="6"/>
  <c r="CW286" i="6"/>
  <c r="CW278" i="6"/>
  <c r="CW270" i="6"/>
  <c r="CW262" i="6"/>
  <c r="CW254" i="6"/>
  <c r="CW246" i="6"/>
  <c r="CW238" i="6"/>
  <c r="CW230" i="6"/>
  <c r="CW222" i="6"/>
  <c r="CW214" i="6"/>
  <c r="CW206" i="6"/>
  <c r="CW297" i="6"/>
  <c r="CW289" i="6"/>
  <c r="CW281" i="6"/>
  <c r="CW273" i="6"/>
  <c r="CW265" i="6"/>
  <c r="CW257" i="6"/>
  <c r="CW249" i="6"/>
  <c r="CW241" i="6"/>
  <c r="CW233" i="6"/>
  <c r="CW225" i="6"/>
  <c r="CW217" i="6"/>
  <c r="CW209" i="6"/>
  <c r="CW204" i="6"/>
  <c r="CW268" i="6"/>
  <c r="CW260" i="6"/>
  <c r="CW252" i="6"/>
  <c r="CW300" i="6"/>
  <c r="CW236" i="6"/>
  <c r="CW292" i="6"/>
  <c r="CW228" i="6"/>
  <c r="CW284" i="6"/>
  <c r="CW212" i="6"/>
  <c r="CW276" i="6"/>
  <c r="CW244" i="6"/>
  <c r="CW220" i="6"/>
  <c r="H4" i="1"/>
  <c r="H5" i="1" s="1"/>
  <c r="H6" i="1" s="1"/>
  <c r="H7" i="1" s="1"/>
  <c r="CW146" i="6"/>
  <c r="CW157" i="6"/>
  <c r="CW176" i="6"/>
  <c r="CW123" i="6"/>
  <c r="CW199" i="6"/>
  <c r="CW139" i="6"/>
  <c r="CW138" i="6"/>
  <c r="CW149" i="6"/>
  <c r="CW168" i="6"/>
  <c r="CW121" i="6"/>
  <c r="CW195" i="6"/>
  <c r="CW131" i="6"/>
  <c r="CW194" i="6"/>
  <c r="CW130" i="6"/>
  <c r="CW141" i="6"/>
  <c r="CW160" i="6"/>
  <c r="CW117" i="6"/>
  <c r="CW187" i="6"/>
  <c r="CW183" i="6"/>
  <c r="CW186" i="6"/>
  <c r="CW197" i="6"/>
  <c r="CW133" i="6"/>
  <c r="CW152" i="6"/>
  <c r="CW115" i="6"/>
  <c r="CW179" i="6"/>
  <c r="CW135" i="6"/>
  <c r="CW178" i="6"/>
  <c r="CW189" i="6"/>
  <c r="CW191" i="6"/>
  <c r="CW144" i="6"/>
  <c r="CW113" i="6"/>
  <c r="CW171" i="6"/>
  <c r="CW190" i="6"/>
  <c r="CW170" i="6"/>
  <c r="CW181" i="6"/>
  <c r="CW200" i="6"/>
  <c r="CW136" i="6"/>
  <c r="CW109" i="6"/>
  <c r="CW163" i="6"/>
  <c r="CW166" i="6"/>
  <c r="CW162" i="6"/>
  <c r="CW173" i="6"/>
  <c r="CW192" i="6"/>
  <c r="CW128" i="6"/>
  <c r="CW107" i="6"/>
  <c r="CW155" i="6"/>
  <c r="CW167" i="6"/>
  <c r="CW154" i="6"/>
  <c r="CW165" i="6"/>
  <c r="CW184" i="6"/>
  <c r="CW125" i="6"/>
  <c r="CW105" i="6"/>
  <c r="CW147" i="6"/>
  <c r="CW159" i="6"/>
  <c r="CW201" i="6"/>
  <c r="CW182" i="6"/>
  <c r="CW169" i="6"/>
  <c r="CW174" i="6"/>
  <c r="CW153" i="6"/>
  <c r="CW145" i="6"/>
  <c r="CW158" i="6"/>
  <c r="CW137" i="6"/>
  <c r="CW142" i="6"/>
  <c r="CW188" i="6"/>
  <c r="CW193" i="6"/>
  <c r="CW129" i="6"/>
  <c r="CW180" i="6"/>
  <c r="CW185" i="6"/>
  <c r="CW118" i="6"/>
  <c r="CW172" i="6"/>
  <c r="CW175" i="6"/>
  <c r="CW150" i="6"/>
  <c r="CW177" i="6"/>
  <c r="CW116" i="6"/>
  <c r="CW164" i="6"/>
  <c r="CW110" i="6"/>
  <c r="CW140" i="6"/>
  <c r="CW198" i="6"/>
  <c r="CW134" i="6"/>
  <c r="CW161" i="6"/>
  <c r="CW108" i="6"/>
  <c r="CW127" i="6"/>
  <c r="CW151" i="6"/>
  <c r="CW126" i="6"/>
  <c r="CW196" i="6"/>
  <c r="CW119" i="6"/>
  <c r="CW156" i="6"/>
  <c r="CW148" i="6"/>
  <c r="CW132" i="6"/>
  <c r="CW114" i="6"/>
  <c r="CW112" i="6"/>
  <c r="CW111" i="6"/>
  <c r="CW106" i="6"/>
  <c r="CW124" i="6"/>
  <c r="CW104" i="6"/>
  <c r="CW122" i="6"/>
  <c r="CW103" i="6"/>
  <c r="CW120" i="6"/>
  <c r="CW143" i="6"/>
  <c r="CW30" i="6"/>
  <c r="CW19" i="6"/>
  <c r="CW32" i="6"/>
  <c r="CW40" i="6"/>
  <c r="CW35" i="6"/>
  <c r="CW48" i="6"/>
  <c r="CW54" i="6"/>
  <c r="CW67" i="6"/>
  <c r="CW64" i="6"/>
  <c r="CW38" i="6"/>
  <c r="CW59" i="6"/>
  <c r="CW70" i="6"/>
  <c r="CW75" i="6"/>
  <c r="CW5" i="6"/>
  <c r="CW46" i="6"/>
  <c r="CW94" i="6"/>
  <c r="CW83" i="6"/>
  <c r="CW21" i="6"/>
  <c r="CW6" i="6"/>
  <c r="CW3" i="6"/>
  <c r="CW99" i="6"/>
  <c r="CW18" i="6"/>
  <c r="CW14" i="6"/>
  <c r="CW11" i="6"/>
  <c r="CW24" i="6"/>
  <c r="CW34" i="6"/>
  <c r="CW42" i="6"/>
  <c r="CW13" i="6"/>
  <c r="CW29" i="6"/>
  <c r="CW77" i="6"/>
  <c r="CW62" i="6"/>
  <c r="CW27" i="6"/>
  <c r="CW91" i="6"/>
  <c r="CW56" i="6"/>
  <c r="CW61" i="6"/>
  <c r="CW78" i="6"/>
  <c r="CW43" i="6"/>
  <c r="CW8" i="6"/>
  <c r="CW72" i="6"/>
  <c r="CW85" i="6"/>
  <c r="CW22" i="6"/>
  <c r="CW86" i="6"/>
  <c r="CW51" i="6"/>
  <c r="CW16" i="6"/>
  <c r="CW96" i="6"/>
  <c r="CW93" i="6"/>
  <c r="CW50" i="6"/>
  <c r="CW37" i="6"/>
  <c r="CW101" i="6"/>
  <c r="CW58" i="6"/>
  <c r="CW80" i="6"/>
  <c r="CW45" i="6"/>
  <c r="CW2" i="6"/>
  <c r="CW66" i="6"/>
  <c r="CW88" i="6"/>
  <c r="CW53" i="6"/>
  <c r="CW10" i="6"/>
  <c r="CW98" i="6"/>
  <c r="CW7" i="6"/>
  <c r="CW69" i="6"/>
  <c r="CW26" i="6"/>
  <c r="CW47" i="6"/>
  <c r="CW15" i="6"/>
  <c r="CW4" i="6"/>
  <c r="CW74" i="6"/>
  <c r="CW12" i="6"/>
  <c r="CW82" i="6"/>
  <c r="CW28" i="6"/>
  <c r="CW90" i="6"/>
  <c r="CW36" i="6"/>
  <c r="CW39" i="6"/>
  <c r="CW68" i="6"/>
  <c r="CW76" i="6"/>
  <c r="CW63" i="6"/>
  <c r="CW33" i="6"/>
  <c r="CW71" i="6"/>
  <c r="CW97" i="6"/>
  <c r="CW92" i="6"/>
  <c r="CW100" i="6"/>
  <c r="CW41" i="6"/>
  <c r="CW57" i="6"/>
  <c r="CW55" i="6"/>
  <c r="CW20" i="6"/>
  <c r="CW84" i="6"/>
  <c r="CW49" i="6"/>
  <c r="CW65" i="6"/>
  <c r="CW79" i="6"/>
  <c r="CW44" i="6"/>
  <c r="CW9" i="6"/>
  <c r="CW73" i="6"/>
  <c r="CW23" i="6"/>
  <c r="CW87" i="6"/>
  <c r="CW52" i="6"/>
  <c r="CW17" i="6"/>
  <c r="CW81" i="6"/>
  <c r="CW31" i="6"/>
  <c r="CW95" i="6"/>
  <c r="CW60" i="6"/>
  <c r="CW25" i="6"/>
</calcChain>
</file>

<file path=xl/sharedStrings.xml><?xml version="1.0" encoding="utf-8"?>
<sst xmlns="http://schemas.openxmlformats.org/spreadsheetml/2006/main" count="1171" uniqueCount="553">
  <si>
    <t>Column1</t>
  </si>
  <si>
    <t>Column2</t>
  </si>
  <si>
    <t>Column3</t>
  </si>
  <si>
    <t>Column4</t>
  </si>
  <si>
    <t>1 .Dönem:</t>
  </si>
  <si>
    <t>G</t>
  </si>
  <si>
    <t>ATA 1001</t>
  </si>
  <si>
    <t>Atatürk İlkeleri ve İnkılap Tarihi I</t>
  </si>
  <si>
    <t>FİZ 1103</t>
  </si>
  <si>
    <t>FİZİK I</t>
  </si>
  <si>
    <t>JEO 1107</t>
  </si>
  <si>
    <t>TEKNİK İNGİLİZCE I</t>
  </si>
  <si>
    <t>JEO 1109</t>
  </si>
  <si>
    <t>JEOLOJİ MÜHENDİSLİĞİNE GİRİŞ</t>
  </si>
  <si>
    <t>KİM 1115</t>
  </si>
  <si>
    <t>KİMYA</t>
  </si>
  <si>
    <t>KPD 1000</t>
  </si>
  <si>
    <t>Kariyer Planlama</t>
  </si>
  <si>
    <t>MAT 1009</t>
  </si>
  <si>
    <t>MATEMATİK I</t>
  </si>
  <si>
    <t>TBT 1003</t>
  </si>
  <si>
    <t>TEMEL BİLGİ TEKNOLOJİLERİ</t>
  </si>
  <si>
    <t>2. Dönem:</t>
  </si>
  <si>
    <t>B</t>
  </si>
  <si>
    <t>ATA 1002</t>
  </si>
  <si>
    <t>Atatürk İlkeleri ve İnkılap Tarihi II</t>
  </si>
  <si>
    <t>BİL 1002</t>
  </si>
  <si>
    <t>BİLGİSAYAR PROGRAMLAMA</t>
  </si>
  <si>
    <t>FİZ 1102</t>
  </si>
  <si>
    <t>FİZİK II</t>
  </si>
  <si>
    <t>İNŞ 1011</t>
  </si>
  <si>
    <t>TEKNİK RESİM</t>
  </si>
  <si>
    <t>JEO 1202</t>
  </si>
  <si>
    <t>GENEL JEOLOJİ</t>
  </si>
  <si>
    <t>JEO 1208</t>
  </si>
  <si>
    <t>TEKNİK İNGİLİZCE II</t>
  </si>
  <si>
    <t>KİM 1014</t>
  </si>
  <si>
    <t>KİMYA II</t>
  </si>
  <si>
    <t>MAT 1010</t>
  </si>
  <si>
    <t>MATEMATİK II</t>
  </si>
  <si>
    <t>3 .Dönem:</t>
  </si>
  <si>
    <t>İNŞ 1012</t>
  </si>
  <si>
    <t>STATİK</t>
  </si>
  <si>
    <t>JEO 2302</t>
  </si>
  <si>
    <t>MİNERALOJİ</t>
  </si>
  <si>
    <t>JEO 2304</t>
  </si>
  <si>
    <t>İSTATİSTİK</t>
  </si>
  <si>
    <t>JEO 2306</t>
  </si>
  <si>
    <t>STRATİGRAFİ</t>
  </si>
  <si>
    <t>JEO 2307</t>
  </si>
  <si>
    <t>PALEONTOLOJİ</t>
  </si>
  <si>
    <t>MAT 2011</t>
  </si>
  <si>
    <t>MATEMATİK III</t>
  </si>
  <si>
    <t>TDL 1001</t>
  </si>
  <si>
    <t>Türk Dili I</t>
  </si>
  <si>
    <t>4. Dönem:</t>
  </si>
  <si>
    <t>İNŞ 2013</t>
  </si>
  <si>
    <t>MUKAVEMET</t>
  </si>
  <si>
    <t>JEO 2401</t>
  </si>
  <si>
    <t>YAPISAL JEOLOJİ</t>
  </si>
  <si>
    <t>JEO 2403</t>
  </si>
  <si>
    <t>KAYA MEKANİĞİ</t>
  </si>
  <si>
    <t>JEO 2405</t>
  </si>
  <si>
    <t>HARİTA ÇİZİM</t>
  </si>
  <si>
    <t>JEO 2406</t>
  </si>
  <si>
    <t>OPTİK MİNERALOJİ</t>
  </si>
  <si>
    <t>TDL 1002</t>
  </si>
  <si>
    <t>Türk Dili II</t>
  </si>
  <si>
    <t>5 .Dönem:</t>
  </si>
  <si>
    <t>İSG 4001</t>
  </si>
  <si>
    <t>İŞ SAĞLIĞI VE GÜVENLİĞİ I</t>
  </si>
  <si>
    <t>JEF 3805</t>
  </si>
  <si>
    <t>JEOFİZİKTE ARAMA YÖNTEMLERİ</t>
  </si>
  <si>
    <t>JEO 3500</t>
  </si>
  <si>
    <t>JEOKİMYA</t>
  </si>
  <si>
    <t>JEO 3501</t>
  </si>
  <si>
    <t>TARİHSEL VE TÜRKİYE JEOLOJİSİ</t>
  </si>
  <si>
    <t>JEO 3502</t>
  </si>
  <si>
    <t>MAGMATİK PETROLOJİ</t>
  </si>
  <si>
    <t>JEO 3503</t>
  </si>
  <si>
    <t>SEDİMENTOLOJİ - SEDİMENTER PETROGRAFİ</t>
  </si>
  <si>
    <t>JEO 3504</t>
  </si>
  <si>
    <t>HİDROJEOLOJİ</t>
  </si>
  <si>
    <t>6. Dönem:</t>
  </si>
  <si>
    <t>JEO 3600</t>
  </si>
  <si>
    <t>SAHA JEOLOJİSİ</t>
  </si>
  <si>
    <t>JEO 3602</t>
  </si>
  <si>
    <t>METAMORFİK PETROLOJİ</t>
  </si>
  <si>
    <t>JEO 3603</t>
  </si>
  <si>
    <t>MADEN YATAKLARI</t>
  </si>
  <si>
    <t>JEO 3604</t>
  </si>
  <si>
    <t>ÇEVRE JEOLOJİSİ</t>
  </si>
  <si>
    <t>JEO 3606</t>
  </si>
  <si>
    <t>ZEMİN MEKANİĞİ</t>
  </si>
  <si>
    <t>7 .Dönem:</t>
  </si>
  <si>
    <t>JEO 4701</t>
  </si>
  <si>
    <t>MADEN JEOLOJİSİ VE ARAMA YÖNTEMLERİ</t>
  </si>
  <si>
    <t>JEO 4705</t>
  </si>
  <si>
    <t>MÜHENDİSLİK JEOLOJİSİ</t>
  </si>
  <si>
    <t>JEO 4707</t>
  </si>
  <si>
    <t>YAKITLAR JEOLOJİSİ</t>
  </si>
  <si>
    <t>JEO 4709</t>
  </si>
  <si>
    <t>JEOLOJİ MÜHENDİSLİĞİ TASARIMI I</t>
  </si>
  <si>
    <t>8. Dönem:</t>
  </si>
  <si>
    <t>İSG 4002</t>
  </si>
  <si>
    <t>İŞ SAĞLIĞI VE GÜVENLİĞİ II</t>
  </si>
  <si>
    <t>JEO 4803</t>
  </si>
  <si>
    <t>JEOLOJİ MÜHENDİSLİĞİ TASARIMI II</t>
  </si>
  <si>
    <t>JEO 4805</t>
  </si>
  <si>
    <t>SONDAJ TEKNİĞİ</t>
  </si>
  <si>
    <t>DERS KODU</t>
  </si>
  <si>
    <t>DERS ADI</t>
  </si>
  <si>
    <t>ORTALAMA</t>
  </si>
  <si>
    <t>ÖÇ1</t>
  </si>
  <si>
    <t>ÖÇ2</t>
  </si>
  <si>
    <t>ÖÇ3</t>
  </si>
  <si>
    <t>ÖÇ4</t>
  </si>
  <si>
    <t>ÖÇ5</t>
  </si>
  <si>
    <t>ÖÇ6</t>
  </si>
  <si>
    <t>ÖÇ7</t>
  </si>
  <si>
    <t>ÖÇ8</t>
  </si>
  <si>
    <t>Öğrenci No</t>
  </si>
  <si>
    <t>ÖÇ 1</t>
  </si>
  <si>
    <t>ÖÇ 2</t>
  </si>
  <si>
    <t>ÖÇ 3</t>
  </si>
  <si>
    <t>ÖÇ 4</t>
  </si>
  <si>
    <t>ÖÇ 5</t>
  </si>
  <si>
    <t>ÖÇ 6</t>
  </si>
  <si>
    <t>ÖÇ 7</t>
  </si>
  <si>
    <t>ÖÇ 8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</si>
  <si>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</si>
  <si>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</si>
  <si>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</si>
  <si>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</si>
  <si>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</si>
  <si>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</si>
  <si>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</si>
  <si>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</si>
  <si>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Türk devriminin temelini oluşturan genel kavramları ana hatlarıyla izah edebilme</t>
  </si>
  <si>
    <t>Osmanlı Devleti'nin batılılaşma hareketlerinin amaç, yöntem ve sonuçlarını anlatabilme</t>
  </si>
  <si>
    <t>Osmanlı Devleti'nin son döneminde yaşanan iç ve dış politikadaki gelişmeleri kavrayabilme</t>
  </si>
  <si>
    <t>Birinci Dünya Savaşı'nın Osmanlı Devleti'ne etkilerini anlayabilme</t>
  </si>
  <si>
    <t>Milli Mücadele sürecinde yaşanan siyasi, askeri, ekonomik ve toplumsal olayları iredeleyebilme</t>
  </si>
  <si>
    <t>Fiziksel büyüklükleri birimleri ile tanımlayabilme</t>
  </si>
  <si>
    <t>Vektörel ve skaler büyüklükleri ayırt edebilme</t>
  </si>
  <si>
    <t>Hareket yasalarındaki korunum ilkelerini kavrayabilme</t>
  </si>
  <si>
    <t>Newton hareket kanunlarını problemlere uygulama becerisi kazanabilme</t>
  </si>
  <si>
    <t>Basit mekanik sistemler için iş ve enejiyi hesaplayabilme</t>
  </si>
  <si>
    <t>Yeryuvarının yapısı konusunda İngilizce metinlerin anlaşılması</t>
  </si>
  <si>
    <t>Levha Tektoniği konusunda İngilizce metinlerin anlaşılması</t>
  </si>
  <si>
    <t>Magmatizma ve magmatik kayalar konusunda İngilizce metinlerin anlaşılması</t>
  </si>
  <si>
    <t>Metamorfizma ve metamorfik kayalar konusunda İngilizce metinlerin anlaşılması</t>
  </si>
  <si>
    <t>Tortullaşma ve tortul kayalar konusunda İngilizce metinlerin anlaşılması</t>
  </si>
  <si>
    <t>Jeolojik zaman konusunda İngilizce metinlerin anlaşılması</t>
  </si>
  <si>
    <t>Stratigrafi ve bağol yaş konusunda İngilizce metinlerin anlaşılması</t>
  </si>
  <si>
    <t>Faylar konusunda İngilizce metinlerin anlaşılması</t>
  </si>
  <si>
    <t>Yeryuvarının oluşumunu temel bilimlerle karşılaştırarak tanımlayabilir.</t>
  </si>
  <si>
    <t>Jeoloji bilimini sınıflayabilir.</t>
  </si>
  <si>
    <t>Jeoloji Mühendisliğinin görevlerini bilir.</t>
  </si>
  <si>
    <t>Jeoloji Mühendisliği çalışma alanları hakkında yorum yapabilirler.</t>
  </si>
  <si>
    <t>Jeoloji Mühendisliğinin diğer branşlarla olan bağlantısını seçebilir.</t>
  </si>
  <si>
    <t>Maddenin özellikleri ile ölçü birimlerini ifade edebilmesi,</t>
  </si>
  <si>
    <t>Atomun yapısı ile periyodik özellikleri ilişkilendirebilmesi,</t>
  </si>
  <si>
    <t>Moleküllerarası etkileşimler ile katı, sıvı ve gazların özelliklerini açıklayabilmesi, çözelti derişim birimlerini ifade edebilmesi,</t>
  </si>
  <si>
    <t>Kimyasal tepkimelerde hız ve denge kavramlarını açıklayabilmesi, asit-baz ve iyonik dengelerdeki hesaplamaları yapabilmesi,</t>
  </si>
  <si>
    <t>Termodinamik yasaları ifade edebilmesi, elektrokimyasal eşitlikler ve ilgili kavramları açıklayabilmesi, çekirdek tepkimelerini yazabilmesi beklenir.</t>
  </si>
  <si>
    <t>Kariyer ve ilgili kavramları, bireysel kariyer planlama sürecini ve önemini kavrayabilme,</t>
  </si>
  <si>
    <t>Öz farkındalık sahibi olabilme,</t>
  </si>
  <si>
    <t>Kariyer seçeneklerini kavrayabilme,</t>
  </si>
  <si>
    <t>Geleceğin meslek ve yetkinliklerini kavrayabilme,</t>
  </si>
  <si>
    <t>Kendini ifade edebilme ve iletişim becerilerini etkin kullanabilme,</t>
  </si>
  <si>
    <t>Sosyal sermayenin, profesyonel ilişki ağlarının önemini kavrayabilme,</t>
  </si>
  <si>
    <t>Kariyer planlama sürecinde doğru kaynaklara ulaşma ve kaynakları etkin kullanabilme.</t>
  </si>
  <si>
    <t>Fonksiyon ve özelliklerini, fonksiyonlarda limit ve süreklilikliliği kavrayabilme</t>
  </si>
  <si>
    <t>Fonksiyonların türevini kavrayabilme, çeşitli uygulamalarını yapabilme ve mühendislik problemlerine uygulayabilme</t>
  </si>
  <si>
    <t>Fonksiyonlarda integrali kavrayabilme, gerçek hayattaki kullanım alanlarına ve mühendislik problemlerine uygulayabilme</t>
  </si>
  <si>
    <t>Matris, determinant, vektör ve vektör uzaylarını kavrayabilme</t>
  </si>
  <si>
    <t>Özdeğer ve özvektörleri kavrayabilme, doğrusal denklem sistemlerini çözebilme, mühendislik problemlerine uygulayabilme</t>
  </si>
  <si>
    <t>Bilgisayar donanım ve yazılım kavramlarını adlandırabilme.</t>
  </si>
  <si>
    <t>Microsoft WORD kelime işlemcisi ile rapor, bağıntı, özgeçmiş, ve tablo hazırlayabilme.</t>
  </si>
  <si>
    <t>Microsoft PowerPoint sunum programını kullanarak sunum hazırlayabilme</t>
  </si>
  <si>
    <t>Microsoft Excel programı ile tablo hazırlar, hesaplamalar yapar, grafikler çizer, veri setlerini düzenleyebilme</t>
  </si>
  <si>
    <t>Internet ortamında tarama yapabilme</t>
  </si>
  <si>
    <t>Türk devriminin temel ilkelerini ve niteliğini kavrayabilme</t>
  </si>
  <si>
    <t>Türk devriminin amacını ve toplumsal kazanımlarını sıralayabilme</t>
  </si>
  <si>
    <t>Türk devriminin hangi koşullarda, hangi yöntemlerle gerçekleştirildiğini ve bu süreçte ne tür sorunlarla karşılaşıldığını kavrayabilme</t>
  </si>
  <si>
    <t>Atatürk ilkeleri, Atatürkçülük, Kemalizm, Atatürkçü düşünce sistemi gibi kavramları yorumlayabilme</t>
  </si>
  <si>
    <t>Geçmişten günümüze Türkiye Cumhuriyeti'nde yaşanan siyasi, ekonomik, toplumsal gelişmeleri algılayabilme</t>
  </si>
  <si>
    <t>Programlama safhalarını düzenleyebilme,</t>
  </si>
  <si>
    <t>Program modelini kurabilme,</t>
  </si>
  <si>
    <t>Program algoritmasını yazabilme,</t>
  </si>
  <si>
    <t>Komutları BASIC programlama dilinde yazabilme,</t>
  </si>
  <si>
    <t>Problem çözüm mantığını program haline dönüştürebilme,</t>
  </si>
  <si>
    <t>Mühendislik problemlerini program ile çözebilme.</t>
  </si>
  <si>
    <t>Elektrik yüklerini, elektrostatik kuvvetleri ve bu kuvvetleri betimleyen yasaları tanımlayabilme</t>
  </si>
  <si>
    <t>Manyetizmanın temel kavramlarını betimleyebilme</t>
  </si>
  <si>
    <t>Verilen yük ve akım dağılımları için elektrik ve manyetik alanı hesaplayabilme</t>
  </si>
  <si>
    <t>Malzemelerin elektrik ve manyetik özelliklerini açıklayabilme</t>
  </si>
  <si>
    <t>Basit elektrik devrelerinde devre elemanlarının parametrelerini hesaplayabilme, hesap sonuçlarını doğrulamak için kontrollü deneyler gerçekleştirebilme</t>
  </si>
  <si>
    <t>Mantıklı ve matematiksel muhakeme ile, elektrik ve manyetizmanın temel ilkelerini fiziksel dünyada karşılaşılan durumlara uygulayabilme</t>
  </si>
  <si>
    <t>Mühendislik öğrencilerine teknik resmin bir grafik iletişim aracı olduğunu ifade etmek ve teknik resim araçlarını ve tekniklerini tanımak</t>
  </si>
  <si>
    <t>Nesneler ve izdüşümleri ilişkisini ortaya koymak</t>
  </si>
  <si>
    <t>Ölçülendirme mantığını kavrayarak iki boyutlu mühendislik çizimlerinin ölçülendirmesini yapmak</t>
  </si>
  <si>
    <t>Görünüş tamamlama aracı olarak nesnelerden kesit alma ve mesleki teknik resminde kesit olarak çizmek,</t>
  </si>
  <si>
    <t>Perspektif çizim yapabilmek ve anlayabilmek</t>
  </si>
  <si>
    <t>Teknik resimin meslek ile ilgisini ve meslekte kullanımını ilişkilendirmek</t>
  </si>
  <si>
    <t>Jeolojinin temel ilkelerini bilme</t>
  </si>
  <si>
    <t>Yerkürenin özelliklerini bilme</t>
  </si>
  <si>
    <t>El örneklerinde ve arazi ölçeğinde kayalara ad verebilme</t>
  </si>
  <si>
    <t>Jeolojideki temel çalışma ve düşünme prensiplerini anlayabilme</t>
  </si>
  <si>
    <t>Kabuğu şekillendiren temel iç ve dış süreçleri anlayabilme</t>
  </si>
  <si>
    <t>Jeolojik olaylar, yapılar arasında zaman ve mekan ilişkisini kurabilme</t>
  </si>
  <si>
    <t>Yer altı suyu konusunda İngilizce metinlerin anlaşılması</t>
  </si>
  <si>
    <t>Çevre jeolojisi konusunda İngilizce metinlerin anlaşılması</t>
  </si>
  <si>
    <t>Depremler konusunda İngilizce metinlerin anlaşılması</t>
  </si>
  <si>
    <t>Jeomorfoloji konusunda İngilizce metinlerin anlaşılması</t>
  </si>
  <si>
    <t>Aktf faylar konusunda İngilizce metinlerin anlaşılması</t>
  </si>
  <si>
    <t>Doğal afetler konusunda İngilizce metinlerin anlaşılması</t>
  </si>
  <si>
    <t>Kömür konusunda İngilizce metinlerin anlaşılması</t>
  </si>
  <si>
    <t>Endüstriyel hammaddeler konusunda İngilizce metinlerin anlaşılması</t>
  </si>
  <si>
    <t>Metalik maden yatakları konusunda İngilizce metinlerin anlaşılması</t>
  </si>
  <si>
    <t>Enerji hammaddelerir konusunda İngilizce metinlerin anlaşılması</t>
  </si>
  <si>
    <t>Petrol konusunda İngilizce metinlerin anlaşılması</t>
  </si>
  <si>
    <t>Column13</t>
  </si>
  <si>
    <t>Column14</t>
  </si>
  <si>
    <t>Column15</t>
  </si>
  <si>
    <t>Metal ve ametallerin özelliklerinin anlaşılması,</t>
  </si>
  <si>
    <t>Katyon ve anyonların tanınması</t>
  </si>
  <si>
    <t>Yükseltgenme indirgenme tepkimelerinin öğrenilmesi</t>
  </si>
  <si>
    <t>İyonik dengenin öneminin kavratılması</t>
  </si>
  <si>
    <t>Kompleks bileşiklerin yapı ve özelliklerinin anlaşılması</t>
  </si>
  <si>
    <t>Koordinat sistemlerini ve konik kesitleri tanıyarak; konik kesitleri farklı koordinatlarda ifade edebilme</t>
  </si>
  <si>
    <t>İki ve üç boyutlu uzayda doğru ve düzlem denklemlerini kavrayabilme</t>
  </si>
  <si>
    <t>Çok değişkenli fonksiyonları ve özelliklerini kavrayabilme</t>
  </si>
  <si>
    <t>Çok değişkenli fonksiyonlarda limit, süreklilik ve türevi kavrayabilme, mühendislik problemlerine uygulayabilme</t>
  </si>
  <si>
    <t>Çok katlı integralleri düzlemsel ve cisimsel bölgeler üzerinden tanımlayabilme; alan, hacim, kütle ve enerji kavramları ile ilişkilendirerek uygulamalarda kullanabilme</t>
  </si>
  <si>
    <t>Kuvvet, moment ve denge gibi mekaniğin temel kavramlarının öğrenilmesi.</t>
  </si>
  <si>
    <t>Taşıyıcı sistemlerin çalışma mekanizmalarının anlaşılması.</t>
  </si>
  <si>
    <t>Kafes sistemlerin oluşturulması ve analiz yöntemlerinin öğrenilmesi.</t>
  </si>
  <si>
    <t>Kesitlerin ağırlık merkezi ve atalet momentlerinin hesaplanması.</t>
  </si>
  <si>
    <t>Transversal yüklü kirişlerin iç kuvvetlerinin belirlenmesi ve kesit tesiri diyagramlarının çizilmesi.</t>
  </si>
  <si>
    <t>KRİSTAL VE MİNERAL KAVRAMLARINI TANIMLAYABİLİR (BİLGİ)</t>
  </si>
  <si>
    <t>KRİSTALOGRAFİK ÖZELLİKLERLE MİNERALLERİN DIŞ ÖZELLİKLERİN İLİŞKİSİNİ AÇIKLAYABİLİR (KAVRAMA)</t>
  </si>
  <si>
    <t>MİNERALLERİN KRİSTALOGRAFİK, KİMYASAL VE FİZİKSEL ÖZELLİKLERİN BİRBİRLERİYLE OLAN İLİŞKİSİNİ AÇIKLAYABİLİR (KAVRAMA)</t>
  </si>
  <si>
    <t>MİNERALLERLE ELEMENTLERİN YER KABUĞUNDA DAĞILIM İLİŞKİSİNİ YORUMLAYABİLİR (DEĞERLENDİRME..)</t>
  </si>
  <si>
    <t>MİNERALLERDEKİ BİLEŞİMSEL DEĞİŞİMLERİN FİZİKSEL VE KRİSTALOGRAFİK ÖZELLİKLERLE İLİŞKİSİNİ YORUMLAYABİLİR (UYGULAMA)</t>
  </si>
  <si>
    <t>MİNERALLERİ KRİSTALOGRAFİK, KİMYASAL VE FİZİKSEL ÖZELLİKLERİNE GÖRE SINIFLAYABİLİR (SENTEZ)</t>
  </si>
  <si>
    <t>MİNERALLERİ MAKROSKOBİK OLARAK TANIMLAR (ANALİZ)</t>
  </si>
  <si>
    <t>MİNERALLERİ ÖZELLİKLERİNE GÖRE NERELERDE KULLANILABİLECEĞİNİ GÖSTERİR (UYGULAMA)</t>
  </si>
  <si>
    <t>İstatistik ile ilgili temel kavramları tanımlayabilme</t>
  </si>
  <si>
    <t>Belirlenen araştırma konusunda uygun yöntemle veri elde edebilme</t>
  </si>
  <si>
    <t>Elde edilen verileri uygun grafikler kullanarak özetleyebilme</t>
  </si>
  <si>
    <t>Örneklemden elde edilen verileri karakterize edecek sayısal ölçüleri hesaplayabilme</t>
  </si>
  <si>
    <t>Olasılık hesaplamaları yapabilme</t>
  </si>
  <si>
    <t>Örneklemle ilgili sayısal değerlere bakarak ilgilenilen kitle ile ilgili genellemeler ve yorumlamalar yapabilme</t>
  </si>
  <si>
    <t>kayaların litolojik özelliklerini tanımlayabilme (Bilgi)</t>
  </si>
  <si>
    <t>beslenme alanı ile birikim alanı arasındaki ilişkiyi kurabilme (Kavrama)</t>
  </si>
  <si>
    <t>kaya birimleri arasındaki stratigrafik ilişkiyi saptayabilme (analiz)</t>
  </si>
  <si>
    <t>kaya birimlerine ad verebilme (sentez)</t>
  </si>
  <si>
    <t>bir alanın litostratigrafik istifini kurabilme (değerlendirme)</t>
  </si>
  <si>
    <t>Fosilleri sınıflayabilme.</t>
  </si>
  <si>
    <t>İndeks fosilleri tanımlayabilme.</t>
  </si>
  <si>
    <t>Fosiller ile kayaların oluşum ortamı ve yaşını ilişkilendirebilme.</t>
  </si>
  <si>
    <t>Kayaların paleontolojik ön incelemesini yapabilme.</t>
  </si>
  <si>
    <t>Biyostratigrafik korelasyon ve biyozonlar oluşturabilme.</t>
  </si>
  <si>
    <t>Fosil grupları arasındaki fark ve benzerlikleri karşılaştırabilme.</t>
  </si>
  <si>
    <t>Fosillere göre, alanın biyostratigrafisini ve litostratigrafisini kurabilme.</t>
  </si>
  <si>
    <t>Fosil bulgularının jeolojik problemin çözümündeki yeterliliğini değerlendirebilme.</t>
  </si>
  <si>
    <t>Diferansiyel denklemlerin tanımı ve sınıflandırılması</t>
  </si>
  <si>
    <t>Birinci mertebeden diferansiyel denklemlerin çözümleri</t>
  </si>
  <si>
    <t>Birinci mertebeden diferansiyel denklemlerin uygulamaları</t>
  </si>
  <si>
    <t>Yüksek mertebeden diferansiyel denklemlerin çözümleri</t>
  </si>
  <si>
    <t>Yüksek mertebeden diferansiyel denklemlerin uygulamaları</t>
  </si>
  <si>
    <t>Dilin özelliklerini, insan ve toplum hayatındaki yerini ve önemini açıklayabilme.</t>
  </si>
  <si>
    <t>Dil ve kültür arasındaki bağlantıyı açıklayabilme.</t>
  </si>
  <si>
    <t>Türkçenin dünya dilleri arasındaki yerini açıklayabilme.</t>
  </si>
  <si>
    <t>Türkçenin tarihi dönemlerine dair bilgileri açıklayabilme.</t>
  </si>
  <si>
    <t>Diline karşı daha duyarlı ve bilinçli bir bakış açısına sahip olabilme.</t>
  </si>
  <si>
    <t>Türkçenin ses yapısını ve işleyiş özelliklerini açıklayabilme.</t>
  </si>
  <si>
    <t>Kurumsal yazı ve yazışma türlerinin özelliklerini açıklayabilme ve bu tür yazıları oluşturabilme.</t>
  </si>
  <si>
    <t>Bilimsel yazı türlerinin özelliklerini açıklayabilme ve bu tür yazıları oluşturabilme.</t>
  </si>
  <si>
    <t>Katı cisimlerin mekanik özelliklerini açıklayabilme.</t>
  </si>
  <si>
    <t>Gerilme ve şekil değiştirmeleri tanımlayabilme.</t>
  </si>
  <si>
    <t>Farklı yükleme durumları altında yapı elemanlarının gerilme şekil değiştirmelerini formüle edebilme.</t>
  </si>
  <si>
    <t>Oluşturulan formüllerin dayandığı kabulleri ve formüllerin kullanım sınırlarını açıklayabilme.</t>
  </si>
  <si>
    <t>Değişik yükleme durumları altında mühendislik sistemlerini analiz edebilme, iç kuvvetleri, gerilmeleri ve şekil değiştirmeleri hesaplayabilme, bu hesaba göre sistemin güvenliğini belirleme veya sistemi oluşturabilme.</t>
  </si>
  <si>
    <t>KAYALARDA BULUNAN YAPISAL ELEMANLARI TANIYABİLME (BİLGİ)</t>
  </si>
  <si>
    <t>KAYALARDA BULUNAN YAPISAL ELEMANLARI SINIFLANDIRABİLME (BİLGİ)</t>
  </si>
  <si>
    <t>KAYALARDA DEFORMASYONU TANIMLAYABİLME (KAVRAMA)</t>
  </si>
  <si>
    <t>FAYLARIN OLUŞUM MEKANİZMASINI ANLAYABİLME (KAVRAMA)</t>
  </si>
  <si>
    <t>KIVRIMLARIN OLUŞUM MEKANİZMASINI ANLAYABİLME (KAVRAMA)</t>
  </si>
  <si>
    <t>YAPISAL ELEMANLARIN OLUŞUM SIRALARINI AYIRT EDEBİLME (UYGULAMA)</t>
  </si>
  <si>
    <t>FARKLI ÖLÇEKTEKİ YAPILAR ARASINDAKİ İLİŞKİYİ OLUŞTURABİLME (ÇÖZÜMLEME)</t>
  </si>
  <si>
    <t>Kayaların fiziksel özelliklerini, kaya mekaniğinin kavramlarını tanımlayabilme</t>
  </si>
  <si>
    <t>Kayalarda gerilme-deformasyon ilişkisini belirleyebilme</t>
  </si>
  <si>
    <t>Tek eksenli, iki eksenli ve üç eksenli gerilme durumlarını analiz edebilme</t>
  </si>
  <si>
    <t>Makaslama deneyi sonucu elde edilen mukavemet parametrelerini yorumlayabilme</t>
  </si>
  <si>
    <t>Kaya şevlerinin stabilitesini analiz edebilme</t>
  </si>
  <si>
    <t>Topografik ve jeolojik harita hazırlama yöntem ve kavramlarını bilebilme (BİLGİ).</t>
  </si>
  <si>
    <t>Haritalar üzerindeki morfolojik ve jeolojik yapıları tanıyabilme bu yapıların uzaysal konumlarını belirleyebilme (BİLGİ)</t>
  </si>
  <si>
    <t>Morfolojik yapılar ile jeolojik öğeleri ilişkilendirebilme (KAVRAMA)</t>
  </si>
  <si>
    <t>Topoğrafik ve jeolojik kesit çizebilme (BİLGİ)</t>
  </si>
  <si>
    <t>Harita üzerindeki jeolojik öğeleri oluşum zamanlarını gözeterek kronolojik olarak sıralayabilme (ANALİZ)</t>
  </si>
  <si>
    <t>Haritada bilinen öğeleri kullanarak bilinmeyen öğeleri tasarlayabilme (SENTEZ)</t>
  </si>
  <si>
    <t>Haritadaki jeolojik yapıyı jeolojik zamanı da gözeterek dört boyutta değerlendirebilme (DEĞERLENDİRME)</t>
  </si>
  <si>
    <t>Işık bağlamında minerallerin sınıflandırabilmesini anlayabilme</t>
  </si>
  <si>
    <t>İzotrop ve opak minerallerin yansıyan ve geçen polazire ışık altındaki davranışlarını kavrama</t>
  </si>
  <si>
    <t>Tek ve çift optik ekesenli minerallerin geçen polarize ışık altında davranışlarını anlama</t>
  </si>
  <si>
    <t>Polaziran ışık altında saydam minerallerin tanımlanmasında kullanılabilecek kriterleri kavrayabilme</t>
  </si>
  <si>
    <t>Minerallerin polarizan mikroskop altında optik özelliklerini belirleyebilme</t>
  </si>
  <si>
    <t>Türkçeyi yazılı ve sözlü anlatım aracı olarak doğru, akıcı ve etkin bir biçimde kullanabilme.</t>
  </si>
  <si>
    <t>Kelimlerin ve cümlelerin farklı anlam özellikleriyle kullanımını ayırt edebilme.</t>
  </si>
  <si>
    <t>Farklı yazılı anlatım türlerini tanıma, ayırt edebilme, üretebilme.</t>
  </si>
  <si>
    <t>Farklı sözlü anlatım türlerini tanıma, ayırt edebilme, sözlü sunum yapabilme.</t>
  </si>
  <si>
    <t>Yazılı ve sözlü anlatım türlerinin edebiyat tarihimizdeki önemli örneklerini açıklayabilme.</t>
  </si>
  <si>
    <t>Yazılı ve sözlü anlatımda yapılabilecek hataları önleyebilme, ayırt edebilme ve düzeltebilme.</t>
  </si>
  <si>
    <t>İş güvenliği mevzuatı ve iş güvenliği temel kavramlarını anlayabilmeli</t>
  </si>
  <si>
    <t>İş kazası tanımı, sebepleri ve uluslararası kaza değerlendirme yöntemlerini kullanabilmeli</t>
  </si>
  <si>
    <t>İş güvenliği ile ilgi ulusal kurumları, iş güvenliği uzmanlığı yetki ve sorumluluklarını kavrayabilmeli</t>
  </si>
  <si>
    <t>İş Müfettişliği, meslek hastalıkları ve sebeplerini anlayabilmeli</t>
  </si>
  <si>
    <t>İş kazalarının ve meslek hastalıklarının önlenmesi, risk analizleri ve risk yönetimi ile uluslararası kaza önleme ve değerlendirme yöntemlerini kavrayabilmeli</t>
  </si>
  <si>
    <t>Jeofizik aramacılığın tanımı ve sınıflanması</t>
  </si>
  <si>
    <t>Gravite-manyetik aramacılıkta temel ilkeler</t>
  </si>
  <si>
    <t>Gravite-manyetik aramacılığın uygulama alanları</t>
  </si>
  <si>
    <t>Elektrik ve elektromanyetik yöntemlerin temel ilkeleri</t>
  </si>
  <si>
    <t>Elektrik ve elektromanyetik yöntemlerin uygulama alanları</t>
  </si>
  <si>
    <t>Sismik aramacılıkta temel ilkeler</t>
  </si>
  <si>
    <t>Sismik yöntemler ve uygulama alanları</t>
  </si>
  <si>
    <t>Çeşitli jeolojik ve mühendislik sorunlarının çözümünde jeofizik aramacılık yöntemlerinin nasıl kullanılabileceği konusunda bir anlayışın oluşturulması</t>
  </si>
  <si>
    <t>Yeryuvarının oluşumunu meteoritlerle karşılaştırarak tanımlayabilir.</t>
  </si>
  <si>
    <t>Kayaları kimyasal içeriğine göre sınıflayabilir.</t>
  </si>
  <si>
    <t>Mineral duraylılık alanlarını ve oluşum koşullarını yorumlayabilir.</t>
  </si>
  <si>
    <t>Mineral, kaya kimyasal analizi için örnek hazırlayabilir.</t>
  </si>
  <si>
    <t>Maden arama amaçlı jeokimyasal çalışma yöntemini seçebilir.</t>
  </si>
  <si>
    <t>Jeolojik zaman ve zaman-kaya birimlerini ve jolojik yaş kavramını tanımlayabilme</t>
  </si>
  <si>
    <t>Jeolojik zaman boyunca yer kabuğunun, canlıların evrimini, epirojenik ve orojenik olayları tanımlayabilme.</t>
  </si>
  <si>
    <t>Türkiye jeolojisini, paleotektonik ve paleocoğrafik evrimini ifade edebilme.</t>
  </si>
  <si>
    <t>Litostratigrafi ile paleoiklim, paleotektonik ve paleocoğrafyayı ilişkilendirebilme.</t>
  </si>
  <si>
    <t>Bir alanın paleocoğrafik haritasını ve zaman-kaya stratigrafi istifini yapabilme.</t>
  </si>
  <si>
    <t>Bir alanın jeolojisini ile bölgesel jeoloji arasında ilişki kurabilme.</t>
  </si>
  <si>
    <t>Bir alanın tarihsel jeolojik evrimini tasarlayabilme.</t>
  </si>
  <si>
    <t>Paleotektonik, paleocoğrafya ve paleoiklim ile ekonomik jeolojiyi ilişkilendirebilme.</t>
  </si>
  <si>
    <t>Magmatik kayaçları mineral bileşimlerini ve dokusal özelliklerini kullanarak sınıflayabilme</t>
  </si>
  <si>
    <t>Magmatik kayaçların yerleşim tiplerini ve bunların özelliklerini tanımlayabilme</t>
  </si>
  <si>
    <t>Magmatik kayaçların gelişim ortamlarını levha tektoniği ile ilişkilendirebilme</t>
  </si>
  <si>
    <t>Magmatik kayaçların ergime ve kristalleşme süreçlerini kontrol eden faktörleri tanıma</t>
  </si>
  <si>
    <t>Magmatik kayaçları kimyasal özelliklerine göre sınıflama</t>
  </si>
  <si>
    <t>Magmatik kayaçların kimyasal özellikleri temelinde tektonik ortamlarını yorumlama</t>
  </si>
  <si>
    <t>Faz diyagramları yardımı ile magmanın geçirdiği evrimsel özelliklerini yorumlama</t>
  </si>
  <si>
    <t>Magmatik kayaçların sahip olduğu mineralojik, kimyasal ve tektonik ortam özellikleri kullanarak jeolojik problemlerin çözümündeki yeterliliğini değerlendirme</t>
  </si>
  <si>
    <t>Tortul kaya oluşum süreçlerini fizik ve kimya ile ilişkilendirerek açıklar.</t>
  </si>
  <si>
    <t>Kırıntılı tortul kaya doku özelliklerinin istatistiksel analizini yapar.</t>
  </si>
  <si>
    <t>Tortul kayaları, tortul yapıları ve tortul istifleri arazide ayırteder.</t>
  </si>
  <si>
    <t>Sedimantoloji verilerini kullanarak tortul istif çizer.</t>
  </si>
  <si>
    <t>Polarizan mikroskopda tortul kayaları inceleyerek adlandırır.</t>
  </si>
  <si>
    <t>Tortul kaya oluşum süreçlerini tortul ortamlar ile ilişkilendirir.</t>
  </si>
  <si>
    <t>Jeoloji mühendisliği alanındaki problemlerin tanımı ve çözümünde sedimantolojiden yararlanır.</t>
  </si>
  <si>
    <t>Hidrojeolojik temel kavramları tanımlayabilme</t>
  </si>
  <si>
    <t>Yeraltı sularının ve jeotermal sistemlerin oluşumunu açıklayabilme</t>
  </si>
  <si>
    <t>Yeraltı sularını ve jeotermal sistemleri araştırabilme</t>
  </si>
  <si>
    <t>Yeraltı suyu sağlanması ve yararlanma yöntemlerini açıklayabilme</t>
  </si>
  <si>
    <t>Hidrojeolojik yapı ile yeraltı suları ve jeotermal sistemler arasında ilgi kurabilme</t>
  </si>
  <si>
    <t>Yeraltı sularının rezervini, miktarını tahmin edebilme</t>
  </si>
  <si>
    <t>Yeraltı sularını kalitelerine ve kullanım amaçlarına göre değerlendirebilme</t>
  </si>
  <si>
    <t>Jeolojik öğelerle ilgili gözlem yapabilme (KAVRAMA)</t>
  </si>
  <si>
    <t>Jeoloğun arazi gereçlerini kullanabilme (UYGULAMA)</t>
  </si>
  <si>
    <t>Jeoloji haritalarında jeolojik öğeleri ayırtlayabilme ve tanınmlayabilme (UYGULAMA)</t>
  </si>
  <si>
    <t>Kaya birimlerini ayırtlayabilme (ANALİZ )</t>
  </si>
  <si>
    <t>Litostratigrafik istif kurabilme (ANALİZ)</t>
  </si>
  <si>
    <t>Jeolojik yapıyı yorumlayabilme (ANALİZ)</t>
  </si>
  <si>
    <t>Saha çalışmalarında elde edilen gözlemleri ve verileri değerlendirebilme (ANALİZ)</t>
  </si>
  <si>
    <t>Jeolojik rapor hazırlayabilme (SENTEZ)</t>
  </si>
  <si>
    <t>Metamorfizma türlerini ve tektonik ortamlarını tanımlayabilme</t>
  </si>
  <si>
    <t>Metamorfik kayaçlartın yapısal dokusal özelliklerinin tanımlayabilme</t>
  </si>
  <si>
    <t>Metamorfik süreçteki basınç - sıcaklık - zaman faktörlerinin belirlenmesi</t>
  </si>
  <si>
    <t>Farklı basınç - sıcaklık koşullarında gelişen metamorfizmaların temel özellikleri</t>
  </si>
  <si>
    <t>Metamorfik kayaçların makro ve mikro özelliklerinin belirlenmesi</t>
  </si>
  <si>
    <t>Bir yatağın anlaşılmasında jeoloji biliminin temel ilkelerini kullanabilir</t>
  </si>
  <si>
    <t>Maden yataklarını farklı kriter ve kategorilere göre sınıflayabilir</t>
  </si>
  <si>
    <t>Aynı tip yataklar içindeki alt gruplar arasındaki farkları tesbit edebilir</t>
  </si>
  <si>
    <t>Yataklara ait farklı litolojik, tektonik, mineralojik, jeokimyasal özellikleri belirleyebilir</t>
  </si>
  <si>
    <t>Yatak ve ilişkili alterasyon zonlanmasını arazide haritalayabilir</t>
  </si>
  <si>
    <t>Maden yatağının arama ve işletme aşamalarında farklı disiplinlerle çalışabilir</t>
  </si>
  <si>
    <t>Çevre, insan ve jeolojik olaylar arasında ilişkileri tanımlayabilme</t>
  </si>
  <si>
    <t>Doğal afetler öncesi alınması gereken mühendislik önlemlerini tespit edebilme</t>
  </si>
  <si>
    <t>Yüzey ve yeraltı suyu kirliliğine neden olan parametreleri açıklayabilme</t>
  </si>
  <si>
    <t>ÇED raporları ile diğer yönetmelikleri ilişkilendirebilme</t>
  </si>
  <si>
    <t>Yenilenebilir enerji kaynakları ve çevre ilişkisi hakkında ilgi kurabilme</t>
  </si>
  <si>
    <t>Çevre bozulmasında en etkin parametreleri ortaya çıkarabilme</t>
  </si>
  <si>
    <t>Zeminlerin yapısını ve indis özelliklerini tanımlayabilme</t>
  </si>
  <si>
    <t>Zeminleri standartlara göre sınıflandırabilme</t>
  </si>
  <si>
    <t>Zeminlerde geçirgenliği ölçebilme</t>
  </si>
  <si>
    <t>Gerilmeyi analiz edebilme</t>
  </si>
  <si>
    <t>Zeminlerin sıkışması ve oturması arasında ilişki kurabilme</t>
  </si>
  <si>
    <t>Taşıma gücü analizini yapabilme</t>
  </si>
  <si>
    <t>Zemin şevlerinin stabilitesini analiz edebilme</t>
  </si>
  <si>
    <t>Zemin etüdünü sonuçlandırabilme</t>
  </si>
  <si>
    <t>Maden yataklarının sınıflamasını bilir.</t>
  </si>
  <si>
    <t>Bir maden yatağının aranmasında uygulanacak en uygun yöntemi ve aşamalarını belirleyebilir. Maden arama yöntemlerini uygulamaya aktarabilir.</t>
  </si>
  <si>
    <t>Madencilik faaliyetlerinde arama ve işletme aşamasında en uygun örnekleme yöntemlerini seçebilir ve örnekleme yapabilir .</t>
  </si>
  <si>
    <t>Maden yatağını üç boyutta yorumlayabilir.</t>
  </si>
  <si>
    <t>Rezerv hesaplama yöntemlerini uygulayabilir. Maden İşletmede kullanılacak yöntemi belirleyebilir.</t>
  </si>
  <si>
    <t>Bir maden yatağı üzerinde maden arama aşamalarını inceleyebilir.</t>
  </si>
  <si>
    <t>Mühendislik Jeolojisinde Araştırma Yöntemlerini Uygulayabilme</t>
  </si>
  <si>
    <t>Kayaçlarda Fiziksel, Kimyasal ve Biyolojik Ayrışmayı Tanımlayabilme</t>
  </si>
  <si>
    <t>Kayaçları Mühendislik Açısından Sınıflayabilme</t>
  </si>
  <si>
    <t>Kitle hareketlerini analiz edebilme</t>
  </si>
  <si>
    <t>Baraj sahalarında jeoteknik çalışmaları yapabilme</t>
  </si>
  <si>
    <t>Tünel kayalarının sınıflandırılmasında ve iksasında jeoteknik çalışmaları yapabilme</t>
  </si>
  <si>
    <t>Enerji hammaddelerini tanımlayabilir.</t>
  </si>
  <si>
    <t>Fosil ve nükleer yakıtların oluşum ortamlarını yorumlayabilir.</t>
  </si>
  <si>
    <t>Fosil ve nukleer yakıtların fiziksel ve kimyasal özelliklerini açıklayabilir.</t>
  </si>
  <si>
    <t>Fosil ve nükleer yakıtları arayabilir.</t>
  </si>
  <si>
    <t>Fosil ve nükleer yakıtların çevresel etkilerini tartışabilir.</t>
  </si>
  <si>
    <t>Tasarım ve modellemenin ilkelerini ve yöntemlerini bilme</t>
  </si>
  <si>
    <t>Jeoloji literatürünü jeoloji ile ilgili mühendislik problemleriyle ilişkilendirebilme</t>
  </si>
  <si>
    <t>Jeoloji konularında temel bilgilerini tasarım uygulamalarında kullanabilme</t>
  </si>
  <si>
    <t>Jeolojik problemleri tanımlayabilme</t>
  </si>
  <si>
    <t>Jeolojik problemlere çözümüne yönelik tasarım modelleri oluşturabilme</t>
  </si>
  <si>
    <t>Tanımlanmış jeolojik problemlere farklı çözüm önerileri geliştirebilme</t>
  </si>
  <si>
    <t>Mühendislik problemlerinin çözümü, projelerin yürütülmesi için gerekli çalışmaları, ekip-ekipman ve bütçe hazırlayarak planlayabilme.</t>
  </si>
  <si>
    <t>Çalışmalarının sonuçlarını yazılı ve görsel olarak proje raporu şeklinde sunabilme</t>
  </si>
  <si>
    <t>Bir işyerinde olması gerekli asgari koşulları kavrayabilmeli, ilgili yönetmelikleri kullanabilmeli</t>
  </si>
  <si>
    <t>Yangın, elektrik akımı, ilk yardım ve kurtarma kavramlarına hâkim olabilmeli</t>
  </si>
  <si>
    <t>Kişisel koruyucular, Sağlık ve güvenlik işaretlerini tanıyabilmeli ve acil durum eylem planı yapabilmeli</t>
  </si>
  <si>
    <t>İş ekipmanlarının iş güvenliğine yönelik tasarımı ve standartları, işyerlerinde sağlık güvenlik eğitimi ve standartları, belgelendirme, OHSAS 18001 (TS 18001) iş sağlığı ve güvenliği kalite standardını tanıyabilmeli</t>
  </si>
  <si>
    <t>Mesleği ile ilgili yönetmelikleri kavrayabilmeli ve uygulayabilmeli</t>
  </si>
  <si>
    <t>Tasarım ve modellemenin ilkelerini ve yöntemlerini bilme.</t>
  </si>
  <si>
    <t>Jeoloji literatürünü ekonomik jeoloji problemleri ile ilişkilendirebilme.</t>
  </si>
  <si>
    <t>Jeoloji konularındaki temel bilgilerini tasarım uygulamalarında kullanabilme.</t>
  </si>
  <si>
    <t>Ekonomik jeoloji ile ilgili problemleri tanımlayabilme.</t>
  </si>
  <si>
    <t>Ekonomik jeoloji ile ilgili problemlerin çözümüne yönelik tasarım modelleri oluşturabilme.</t>
  </si>
  <si>
    <t>Tanımlanmış ekonomik jeolojik problemlere farklı çözüm önerileri geliştirebilme</t>
  </si>
  <si>
    <t>Ekonomik jeolojik problemlerin çözümü, projelerin yürütülmesi için gerekli çalışmaları, yöntem ve metodları, ekip, ekipman ve bütçe hazırlayarak planlayabilme.</t>
  </si>
  <si>
    <t>Planladığı ve yürüttüğü projenin sonuçlarını görsel ve sözlü olarak sunabilme.</t>
  </si>
  <si>
    <t>Jeoloji mühendislerinin çalıştığı her alanda ekonomik anlamda sondaj yapabilecek yeterliliği kazanır.</t>
  </si>
  <si>
    <t>Maden, su, zemin, jeotermal sondajlarında ekipman seçimini öğrenir.</t>
  </si>
  <si>
    <t>Sondaj karot ve kırıntılarından jeolojik formasyonu tanıma ve yorumlayabilme becerisi kazanır.</t>
  </si>
  <si>
    <t>Sondaj derinliğine göre sondaj verimliliği, kapasite ve güçlüklere göre sondajın tasarımını yapma becerisini kazanır.</t>
  </si>
  <si>
    <t>Sondaj tasarımlarına göre maliyet hesaplayabilir.</t>
  </si>
  <si>
    <t>ÖĞRENME KAZANIMLARI</t>
  </si>
  <si>
    <t>DERS SORUMLUSU</t>
  </si>
  <si>
    <t>DERS DÖNEMİ</t>
  </si>
  <si>
    <t>1. Soru</t>
  </si>
  <si>
    <t>2. Soru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</si>
  <si>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</si>
  <si>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</si>
  <si>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</si>
  <si>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</si>
  <si>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</si>
  <si>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</si>
  <si>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</si>
  <si>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</si>
  <si>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</si>
  <si>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</si>
  <si>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</si>
  <si>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</si>
  <si>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</si>
  <si>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</si>
  <si>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</si>
  <si>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</si>
  <si>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</si>
  <si>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</si>
  <si>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</si>
  <si>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</si>
  <si>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</si>
  <si>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</si>
  <si>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</si>
  <si>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>26. Soru</t>
  </si>
  <si>
    <t>27. Soru</t>
  </si>
  <si>
    <t>28. Soru</t>
  </si>
  <si>
    <t>29. Soru</t>
  </si>
  <si>
    <t>30. Soru</t>
  </si>
  <si>
    <t>31. Soru</t>
  </si>
  <si>
    <t>32. Soru</t>
  </si>
  <si>
    <t>33. Soru</t>
  </si>
  <si>
    <t>34. Soru</t>
  </si>
  <si>
    <t>35. Soru</t>
  </si>
  <si>
    <t>36. Soru</t>
  </si>
  <si>
    <t>37. Soru</t>
  </si>
  <si>
    <t>38. Soru</t>
  </si>
  <si>
    <t>39. Soru</t>
  </si>
  <si>
    <t>40. Soru</t>
  </si>
  <si>
    <t>41. Soru</t>
  </si>
  <si>
    <t>42. Soru</t>
  </si>
  <si>
    <t>43. Soru</t>
  </si>
  <si>
    <t>44. Soru</t>
  </si>
  <si>
    <t>45. Soru</t>
  </si>
  <si>
    <t>46. Soru</t>
  </si>
  <si>
    <t>47. Soru</t>
  </si>
  <si>
    <t>48. Soru</t>
  </si>
  <si>
    <t>49. Soru</t>
  </si>
  <si>
    <t>50. Soru</t>
  </si>
  <si>
    <t>51. Soru</t>
  </si>
  <si>
    <t>52. Soru</t>
  </si>
  <si>
    <t>53. Soru</t>
  </si>
  <si>
    <t>54. Soru</t>
  </si>
  <si>
    <t>55. Soru</t>
  </si>
  <si>
    <t>56. Soru</t>
  </si>
  <si>
    <t>57. Soru</t>
  </si>
  <si>
    <t>58. Soru</t>
  </si>
  <si>
    <t>59. Soru</t>
  </si>
  <si>
    <t>60. Soru</t>
  </si>
  <si>
    <t>61. Soru</t>
  </si>
  <si>
    <t>62. Soru</t>
  </si>
  <si>
    <t>63. Soru</t>
  </si>
  <si>
    <t>64. Soru</t>
  </si>
  <si>
    <t>65. Soru</t>
  </si>
  <si>
    <t>66. Soru</t>
  </si>
  <si>
    <t>67. Soru</t>
  </si>
  <si>
    <t>68. Soru</t>
  </si>
  <si>
    <t>69. Soru</t>
  </si>
  <si>
    <t>70. Soru</t>
  </si>
  <si>
    <t>71. Soru</t>
  </si>
  <si>
    <t>72. Soru</t>
  </si>
  <si>
    <t>73. Soru</t>
  </si>
  <si>
    <t>74. Soru</t>
  </si>
  <si>
    <t>75. Soru</t>
  </si>
  <si>
    <t>76. Soru</t>
  </si>
  <si>
    <t>77. Soru</t>
  </si>
  <si>
    <t>78. Soru</t>
  </si>
  <si>
    <t>79. Soru</t>
  </si>
  <si>
    <t>80. Soru</t>
  </si>
  <si>
    <t>81. Soru</t>
  </si>
  <si>
    <t>82. Soru</t>
  </si>
  <si>
    <t>83. Soru</t>
  </si>
  <si>
    <t>84. Soru</t>
  </si>
  <si>
    <t>85. Soru</t>
  </si>
  <si>
    <t>86. Soru</t>
  </si>
  <si>
    <t>87. Soru</t>
  </si>
  <si>
    <t>88. Soru</t>
  </si>
  <si>
    <t>89. Soru</t>
  </si>
  <si>
    <t>90. Soru</t>
  </si>
  <si>
    <t>91. Soru</t>
  </si>
  <si>
    <t>92. Soru</t>
  </si>
  <si>
    <t>93. Soru</t>
  </si>
  <si>
    <t>94. Soru</t>
  </si>
  <si>
    <t>95. Soru</t>
  </si>
  <si>
    <t>96. Soru</t>
  </si>
  <si>
    <t>97. Soru</t>
  </si>
  <si>
    <t>98. Soru</t>
  </si>
  <si>
    <t>99. Soru</t>
  </si>
  <si>
    <t>100. Soru</t>
  </si>
  <si>
    <t>2023-2024 GÜZ DÖNEMİ</t>
  </si>
  <si>
    <t>1.vize</t>
  </si>
  <si>
    <t>2.vize</t>
  </si>
  <si>
    <t>Ödev</t>
  </si>
  <si>
    <t>Proje</t>
  </si>
  <si>
    <t>Final</t>
  </si>
  <si>
    <t>Bütünleme</t>
  </si>
  <si>
    <r>
      <t>Notları kullanacağınız "</t>
    </r>
    <r>
      <rPr>
        <u/>
        <sz val="11"/>
        <color theme="1"/>
        <rFont val="Calibri"/>
        <family val="2"/>
        <charset val="162"/>
        <scheme val="minor"/>
      </rPr>
      <t>Vize</t>
    </r>
    <r>
      <rPr>
        <sz val="11"/>
        <color theme="1"/>
        <rFont val="Calibri"/>
        <family val="2"/>
        <charset val="162"/>
        <scheme val="minor"/>
      </rPr>
      <t>", "</t>
    </r>
    <r>
      <rPr>
        <u/>
        <sz val="11"/>
        <color theme="1"/>
        <rFont val="Calibri"/>
        <family val="2"/>
        <charset val="162"/>
        <scheme val="minor"/>
      </rPr>
      <t>Ödev</t>
    </r>
    <r>
      <rPr>
        <sz val="11"/>
        <color theme="1"/>
        <rFont val="Calibri"/>
        <family val="2"/>
        <charset val="162"/>
        <scheme val="minor"/>
      </rPr>
      <t>" veya ilgili sadece 1 değerlendirmeyi seçin. 
İlgili hücreye tıklayarak seçebilirsiniz, DELETE tuşu ile silebilirsiniz.</t>
    </r>
  </si>
  <si>
    <r>
      <t>"Soru Analizi" dosyasından aldığınız "Değer" isimli sütundaki verileri kopyaladıktan sonra sol taraftaki boyalı sütuna "</t>
    </r>
    <r>
      <rPr>
        <u/>
        <sz val="11"/>
        <color theme="1"/>
        <rFont val="Calibri"/>
        <family val="2"/>
        <charset val="162"/>
        <scheme val="minor"/>
      </rPr>
      <t>Özel Yapıştır / Değerleri</t>
    </r>
    <r>
      <rPr>
        <sz val="11"/>
        <color theme="1"/>
        <rFont val="Calibri"/>
        <family val="2"/>
        <charset val="162"/>
        <scheme val="minor"/>
      </rPr>
      <t>" seçeneğini kullanarak verileri yapıştırın.</t>
    </r>
  </si>
  <si>
    <r>
      <t xml:space="preserve">Notları ilgili değerlendirme sayfasına aktarmadan önce her soruya ait puan değerini girmeyi </t>
    </r>
    <r>
      <rPr>
        <u/>
        <sz val="11"/>
        <color theme="1"/>
        <rFont val="Calibri"/>
        <family val="2"/>
        <charset val="162"/>
        <scheme val="minor"/>
      </rPr>
      <t>unutmayın</t>
    </r>
    <r>
      <rPr>
        <sz val="11"/>
        <color theme="1"/>
        <rFont val="Calibri"/>
        <family val="2"/>
        <charset val="162"/>
        <scheme val="minor"/>
      </rPr>
      <t xml:space="preserve"> 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</si>
</sst>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0;;@"/>
  </numFmts>
  <fonts count="1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9"/>
      <color rgb="FFFF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rgb="FF0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rgb="FFFF0000"/>
      <name val="Calibri"/>
      <family val="2"/>
      <charset val="162"/>
      <scheme val="minor"/>
    </font>
    <font>
      <b/>
      <sz val="9"/>
      <color theme="5"/>
      <name val="Calibri"/>
      <family val="2"/>
      <charset val="162"/>
      <scheme val="minor"/>
    </font>
    <font>
      <sz val="9"/>
      <color rgb="FF000000"/>
      <name val="Times New Roman"/>
      <family val="1"/>
      <charset val="162"/>
    </font>
    <font>
      <sz val="9"/>
      <color theme="0" tint="-0.249977111117893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BE1FF"/>
        <bgColor indexed="64"/>
      </patternFill>
    </fill>
    <fill>
      <patternFill patternType="solid">
        <fgColor rgb="FFFF8B8B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1" fillId="0" borderId="0" xfId="0" applyNumberFormat="1" applyFont="1"/>
    <xf numFmtId="0" fontId="1" fillId="0" borderId="0" xfId="0" applyNumberFormat="1" applyFont="1" applyAlignment="1">
      <alignment horizontal="center" vertical="center"/>
    </xf>
    <xf numFmtId="0" fontId="3" fillId="3" borderId="1" xfId="0" applyFont="1" applyFill="1" applyBorder="1" applyAlignment="1">
      <alignment horizontal="center" textRotation="90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7" fillId="0" borderId="0" xfId="0" applyFont="1" applyFill="1" applyBorder="1" applyAlignment="1">
      <alignment horizontal="center" textRotation="90"/>
    </xf>
    <xf numFmtId="0" fontId="6" fillId="0" borderId="0" xfId="0" applyFont="1" applyAlignment="1">
      <alignment horizontal="center" textRotation="90"/>
    </xf>
    <xf numFmtId="0" fontId="7" fillId="0" borderId="0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textRotation="90"/>
    </xf>
    <xf numFmtId="0" fontId="1" fillId="0" borderId="0" xfId="0" applyFont="1"/>
    <xf numFmtId="0" fontId="0" fillId="0" borderId="0" xfId="0" applyAlignment="1">
      <alignment horizontal="fill" vertical="center"/>
    </xf>
    <xf numFmtId="0" fontId="0" fillId="0" borderId="0" xfId="0" applyAlignment="1">
      <alignment horizontal="fill"/>
    </xf>
    <xf numFmtId="0" fontId="6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 textRotation="90"/>
    </xf>
    <xf numFmtId="0" fontId="6" fillId="2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wrapText="1"/>
    </xf>
    <xf numFmtId="0" fontId="3" fillId="0" borderId="4" xfId="0" applyFont="1" applyFill="1" applyBorder="1" applyAlignment="1">
      <alignment horizontal="center" textRotation="90"/>
    </xf>
    <xf numFmtId="0" fontId="6" fillId="0" borderId="0" xfId="0" applyFont="1" applyFill="1" applyAlignment="1">
      <alignment horizontal="center" textRotation="90"/>
    </xf>
    <xf numFmtId="2" fontId="5" fillId="0" borderId="3" xfId="0" applyNumberFormat="1" applyFont="1" applyFill="1" applyBorder="1" applyAlignment="1">
      <alignment horizontal="center" vertical="center"/>
    </xf>
    <xf numFmtId="0" fontId="6" fillId="0" borderId="0" xfId="0" applyFont="1"/>
    <xf numFmtId="2" fontId="8" fillId="6" borderId="1" xfId="0" applyNumberFormat="1" applyFont="1" applyFill="1" applyBorder="1"/>
    <xf numFmtId="0" fontId="6" fillId="0" borderId="0" xfId="0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/>
    <xf numFmtId="2" fontId="6" fillId="0" borderId="0" xfId="0" applyNumberFormat="1" applyFont="1" applyAlignment="1">
      <alignment horizontal="center" vertical="center"/>
    </xf>
    <xf numFmtId="164" fontId="8" fillId="0" borderId="1" xfId="0" applyNumberFormat="1" applyFont="1" applyFill="1" applyBorder="1"/>
    <xf numFmtId="164" fontId="6" fillId="0" borderId="1" xfId="0" applyNumberFormat="1" applyFont="1" applyBorder="1"/>
    <xf numFmtId="0" fontId="6" fillId="3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textRotation="90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left"/>
    </xf>
    <xf numFmtId="0" fontId="4" fillId="4" borderId="0" xfId="0" applyFont="1" applyFill="1"/>
    <xf numFmtId="0" fontId="0" fillId="4" borderId="0" xfId="0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0" fillId="4" borderId="0" xfId="0" applyFont="1" applyFill="1" applyBorder="1"/>
    <xf numFmtId="0" fontId="2" fillId="3" borderId="0" xfId="0" applyFont="1" applyFill="1" applyAlignment="1" applyProtection="1">
      <alignment horizontal="left"/>
      <protection locked="0"/>
    </xf>
    <xf numFmtId="0" fontId="2" fillId="4" borderId="0" xfId="0" applyFont="1" applyFill="1" applyAlignment="1" applyProtection="1">
      <alignment horizontal="left"/>
    </xf>
    <xf numFmtId="0" fontId="4" fillId="4" borderId="0" xfId="0" applyFont="1" applyFill="1" applyAlignment="1" applyProtection="1">
      <alignment horizontal="left"/>
    </xf>
    <xf numFmtId="0" fontId="2" fillId="4" borderId="0" xfId="0" applyNumberFormat="1" applyFont="1" applyFill="1" applyAlignment="1">
      <alignment horizontal="center"/>
    </xf>
    <xf numFmtId="0" fontId="8" fillId="3" borderId="1" xfId="0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0" fontId="8" fillId="5" borderId="1" xfId="0" applyFont="1" applyFill="1" applyBorder="1" applyAlignment="1" applyProtection="1">
      <alignment horizont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6" fillId="2" borderId="5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0" fillId="0" borderId="0" xfId="0" applyFont="1"/>
    <xf numFmtId="0" fontId="12" fillId="4" borderId="0" xfId="0" applyFont="1" applyFill="1" applyAlignment="1">
      <alignment horizontal="right" vertical="center"/>
    </xf>
    <xf numFmtId="0" fontId="10" fillId="0" borderId="2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textRotation="90"/>
    </xf>
    <xf numFmtId="0" fontId="10" fillId="4" borderId="7" xfId="0" applyFont="1" applyFill="1" applyBorder="1" applyAlignment="1">
      <alignment horizontal="center" wrapText="1"/>
    </xf>
    <xf numFmtId="0" fontId="6" fillId="4" borderId="8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Alignment="1" applyProtection="1">
      <alignment horizontal="left"/>
      <protection locked="0"/>
    </xf>
    <xf numFmtId="0" fontId="0" fillId="3" borderId="0" xfId="0" applyFont="1" applyFill="1" applyAlignment="1" applyProtection="1">
      <alignment horizontal="left"/>
      <protection locked="0"/>
    </xf>
    <xf numFmtId="0" fontId="3" fillId="0" borderId="2" xfId="0" applyFont="1" applyFill="1" applyBorder="1" applyAlignment="1" applyProtection="1">
      <alignment horizontal="center" textRotation="90"/>
    </xf>
    <xf numFmtId="0" fontId="10" fillId="0" borderId="2" xfId="0" applyFont="1" applyFill="1" applyBorder="1" applyAlignment="1" applyProtection="1">
      <alignment horizontal="center" wrapText="1"/>
    </xf>
    <xf numFmtId="0" fontId="3" fillId="0" borderId="2" xfId="0" applyFont="1" applyFill="1" applyBorder="1" applyAlignment="1">
      <alignment horizontal="center" textRotation="90"/>
    </xf>
    <xf numFmtId="0" fontId="10" fillId="4" borderId="6" xfId="0" applyFont="1" applyFill="1" applyBorder="1" applyAlignment="1">
      <alignment horizontal="center" wrapText="1"/>
    </xf>
    <xf numFmtId="0" fontId="6" fillId="4" borderId="9" xfId="0" applyFont="1" applyFill="1" applyBorder="1" applyAlignment="1">
      <alignment horizontal="center" wrapText="1"/>
    </xf>
    <xf numFmtId="0" fontId="5" fillId="4" borderId="6" xfId="0" applyFont="1" applyFill="1" applyBorder="1" applyAlignment="1">
      <alignment horizontal="center" wrapText="1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4" borderId="6" xfId="0" applyFont="1" applyFill="1" applyBorder="1" applyAlignment="1">
      <alignment horizontal="centerContinuous"/>
    </xf>
    <xf numFmtId="0" fontId="2" fillId="4" borderId="0" xfId="0" applyFont="1" applyFill="1" applyAlignment="1" applyProtection="1">
      <alignment horizontal="center" vertical="center"/>
      <protection hidden="1"/>
    </xf>
    <xf numFmtId="164" fontId="2" fillId="4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49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colors>
    <mruColors>
      <color rgb="FF8BE1FF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1485900</xdr:colOff>
          <xdr:row>7</xdr:row>
          <xdr:rowOff>19050</xdr:rowOff>
        </xdr:from>
        <xdr:to>
          <xdr:col>5</xdr:col>
          <xdr:colOff>381000</xdr:colOff>
          <xdr:row>8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Rapor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7</xdr:row>
          <xdr:rowOff>19050</xdr:rowOff>
        </xdr:from>
        <xdr:to>
          <xdr:col>3</xdr:col>
          <xdr:colOff>1219200</xdr:colOff>
          <xdr:row>8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DEUZEM öğrenci listesi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381000</xdr:colOff>
          <xdr:row>0</xdr:row>
          <xdr:rowOff>123825</xdr:rowOff>
        </xdr:from>
        <xdr:to>
          <xdr:col>8</xdr:col>
          <xdr:colOff>342900</xdr:colOff>
          <xdr:row>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Yazdır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66675</xdr:rowOff>
        </xdr:from>
        <xdr:to>
          <xdr:col>9</xdr:col>
          <xdr:colOff>266700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Notları aktar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247651</xdr:colOff>
      <xdr:row>4</xdr:row>
      <xdr:rowOff>28575</xdr:rowOff>
    </xdr:from>
    <xdr:to>
      <xdr:col>11</xdr:col>
      <xdr:colOff>133351</xdr:colOff>
      <xdr:row>9</xdr:row>
      <xdr:rowOff>142875</xdr:rowOff>
    </xdr:to>
    <xdr:sp macro="" textlink="">
      <xdr:nvSpPr>
        <xdr:cNvPr id="2" name="Dikdörtgen: Yuvarlatılmış Köşele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spect="1"/>
        </xdr:cNvSpPr>
      </xdr:nvSpPr>
      <xdr:spPr>
        <a:xfrm>
          <a:off x="2438401" y="79057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5</xdr:row>
      <xdr:rowOff>47625</xdr:rowOff>
    </xdr:from>
    <xdr:ext cx="410305" cy="572849"/>
    <xdr:sp macro="" textlink="">
      <xdr:nvSpPr>
        <xdr:cNvPr id="3" name="Metin kutusu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457450" y="100012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1</a:t>
          </a:r>
        </a:p>
      </xdr:txBody>
    </xdr:sp>
    <xdr:clientData/>
  </xdr:oneCellAnchor>
  <xdr:twoCellAnchor editAs="absolute">
    <xdr:from>
      <xdr:col>5</xdr:col>
      <xdr:colOff>247651</xdr:colOff>
      <xdr:row>10</xdr:row>
      <xdr:rowOff>38100</xdr:rowOff>
    </xdr:from>
    <xdr:to>
      <xdr:col>11</xdr:col>
      <xdr:colOff>133351</xdr:colOff>
      <xdr:row>15</xdr:row>
      <xdr:rowOff>152400</xdr:rowOff>
    </xdr:to>
    <xdr:sp macro="" textlink="">
      <xdr:nvSpPr>
        <xdr:cNvPr id="5" name="Dikdörtgen: Yuvarlatılmış Köşeler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/>
        </xdr:cNvSpPr>
      </xdr:nvSpPr>
      <xdr:spPr>
        <a:xfrm>
          <a:off x="2438401" y="1943100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11</xdr:row>
      <xdr:rowOff>57150</xdr:rowOff>
    </xdr:from>
    <xdr:ext cx="410305" cy="572849"/>
    <xdr:sp macro="" textlink="">
      <xdr:nvSpPr>
        <xdr:cNvPr id="6" name="Metin kutusu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2457450" y="2152650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2</a:t>
          </a:r>
        </a:p>
      </xdr:txBody>
    </xdr:sp>
    <xdr:clientData/>
  </xdr:oneCellAnchor>
  <xdr:twoCellAnchor editAs="absolute">
    <xdr:from>
      <xdr:col>5</xdr:col>
      <xdr:colOff>247651</xdr:colOff>
      <xdr:row>16</xdr:row>
      <xdr:rowOff>47625</xdr:rowOff>
    </xdr:from>
    <xdr:to>
      <xdr:col>11</xdr:col>
      <xdr:colOff>133351</xdr:colOff>
      <xdr:row>21</xdr:row>
      <xdr:rowOff>161925</xdr:rowOff>
    </xdr:to>
    <xdr:sp macro="" textlink="">
      <xdr:nvSpPr>
        <xdr:cNvPr id="7" name="Dikdörtgen: Yuvarlatılmış Köşeler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/>
        </xdr:cNvSpPr>
      </xdr:nvSpPr>
      <xdr:spPr>
        <a:xfrm>
          <a:off x="2438401" y="3095625"/>
          <a:ext cx="3543300" cy="106680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oneCellAnchor>
    <xdr:from>
      <xdr:col>5</xdr:col>
      <xdr:colOff>266700</xdr:colOff>
      <xdr:row>17</xdr:row>
      <xdr:rowOff>66675</xdr:rowOff>
    </xdr:from>
    <xdr:ext cx="410305" cy="572849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2457450" y="3305175"/>
          <a:ext cx="410305" cy="5728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r-TR" sz="3200" b="1">
              <a:latin typeface="Consolas" panose="020B0609020204030204" pitchFamily="49" charset="0"/>
            </a:rPr>
            <a:t>3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_1__2" displayName="Table_1__2" ref="A1:O57" totalsRowShown="0">
  <autoFilter ref="A1:O57" xr:uid="{00000000-0009-0000-0100-000002000000}"/>
  <tableColumns count="15">
    <tableColumn id="1" xr3:uid="{00000000-0010-0000-0000-000001000000}" name="Column1" dataDxfId="3"/>
    <tableColumn id="2" xr3:uid="{00000000-0010-0000-0000-000002000000}" name="Column2" dataDxfId="2"/>
    <tableColumn id="3" xr3:uid="{00000000-0010-0000-0000-000003000000}" name="Column3" dataDxfId="1"/>
    <tableColumn id="4" xr3:uid="{00000000-0010-0000-0000-000004000000}" name="Column4" dataDxfId="0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/>
    <tableColumn id="11" xr3:uid="{00000000-0010-0000-0000-00000B000000}" name="Column11"/>
    <tableColumn id="12" xr3:uid="{00000000-0010-0000-0000-00000C000000}" name="Column12"/>
    <tableColumn id="13" xr3:uid="{00000000-0010-0000-0000-00000D000000}" name="Column13"/>
    <tableColumn id="14" xr3:uid="{00000000-0010-0000-0000-00000E000000}" name="Column14"/>
    <tableColumn id="15" xr3:uid="{00000000-0010-0000-0000-00000F000000}" name="Column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6"/>
  <dimension ref="A1:Q603"/>
  <sheetViews>
    <sheetView showRowColHeaders="0" tabSelected="1" workbookViewId="0">
      <selection activeCell="B3" sqref="B3"/>
    </sheetView>
  </sheetViews>
  <sheetFormatPr defaultRowHeight="15" x14ac:dyDescent="0.25"/>
  <cols>
    <col min="1" max="1" width="3.5703125" style="42" customWidth="1"/>
    <col min="2" max="2" width="19.5703125" style="50" customWidth="1"/>
    <col min="3" max="3" width="6.42578125" style="46" customWidth="1"/>
    <col min="4" max="4" width="35.140625" style="46" customWidth="1"/>
    <col min="5" max="5" width="3" style="47" customWidth="1"/>
    <col min="6" max="6" width="11.42578125" style="46" customWidth="1"/>
    <col min="7" max="7" width="3" style="46" customWidth="1"/>
    <col min="8" max="8" width="4" style="46" customWidth="1"/>
    <col min="9" max="9" width="9.140625" style="48"/>
    <col min="10" max="16384" width="9.140625" style="45"/>
  </cols>
  <sheetData>
    <row r="1" spans="1:17" x14ac:dyDescent="0.25">
      <c r="B1" s="51"/>
    </row>
    <row r="2" spans="1:17" x14ac:dyDescent="0.25">
      <c r="B2" s="52" t="s">
        <v>110</v>
      </c>
      <c r="C2" s="43"/>
      <c r="D2" s="43" t="s">
        <v>111</v>
      </c>
      <c r="E2" s="71"/>
      <c r="F2" s="72"/>
      <c r="G2" s="43"/>
      <c r="H2" s="43"/>
      <c r="I2" s="44" t="s">
        <v>440</v>
      </c>
    </row>
    <row r="3" spans="1:17" x14ac:dyDescent="0.25">
      <c r="D3" s="46" t="str">
        <f>IFERROR(VLOOKUP(B3,ÖÇ!C1:D306,2,0),"")</f>
        <v/>
      </c>
      <c r="E3" s="73"/>
      <c r="F3" s="74"/>
      <c r="H3" s="87" t="str">
        <f t="shared" ref="H3:H10" si="0">IFERROR(IF(AND(COUNTA(I3:J3),I3&lt;&gt;0),H2+1,""),"")</f>
        <v/>
      </c>
      <c r="I3" s="88" t="e">
        <f>IF(COUNTA(VLOOKUP($D$3,ÖÇ!$D$3:$L$57,2,0)),VLOOKUP($D$3,ÖÇ!$D$3:$L$57,2,0),"")</f>
        <v>#N/A</v>
      </c>
      <c r="Q3" s="49"/>
    </row>
    <row r="4" spans="1:17" x14ac:dyDescent="0.25">
      <c r="B4" s="51"/>
      <c r="E4" s="73"/>
      <c r="F4" s="74"/>
      <c r="H4" s="87" t="str">
        <f t="shared" si="0"/>
        <v/>
      </c>
      <c r="I4" s="88" t="e">
        <f>IF(COUNTA(VLOOKUP($D$3,ÖÇ!$D$3:$L$57,3,0)),VLOOKUP($D$3,ÖÇ!$D$3:$L$57,3,0),"")</f>
        <v>#N/A</v>
      </c>
      <c r="Q4" s="49"/>
    </row>
    <row r="5" spans="1:17" x14ac:dyDescent="0.25">
      <c r="B5" s="43" t="s">
        <v>441</v>
      </c>
      <c r="C5" s="53"/>
      <c r="D5" s="43" t="s">
        <v>442</v>
      </c>
      <c r="E5" s="73"/>
      <c r="F5" s="74"/>
      <c r="G5" s="43"/>
      <c r="H5" s="87" t="str">
        <f t="shared" si="0"/>
        <v/>
      </c>
      <c r="I5" s="88" t="e">
        <f>IF(COUNTA(VLOOKUP($D$3,ÖÇ!$D$3:$L$57,4,0)),VLOOKUP($D$3,ÖÇ!$D$3:$L$57,4,0),"")</f>
        <v>#N/A</v>
      </c>
      <c r="Q5" s="49"/>
    </row>
    <row r="6" spans="1:17" x14ac:dyDescent="0.25">
      <c r="D6" s="76" t="s">
        <v>543</v>
      </c>
      <c r="E6" s="73"/>
      <c r="F6" s="74"/>
      <c r="H6" s="87" t="str">
        <f t="shared" si="0"/>
        <v/>
      </c>
      <c r="I6" s="88" t="e">
        <f>IF(COUNTA(VLOOKUP($D$3,ÖÇ!$D$3:$L$57,5,0)),VLOOKUP($D$3,ÖÇ!$D$3:$L$57,5,0),"")</f>
        <v>#N/A</v>
      </c>
      <c r="Q6" s="49"/>
    </row>
    <row r="7" spans="1:17" x14ac:dyDescent="0.25">
      <c r="B7" s="51"/>
      <c r="E7" s="75"/>
      <c r="F7" s="74"/>
      <c r="H7" s="87" t="str">
        <f t="shared" si="0"/>
        <v/>
      </c>
      <c r="I7" s="88" t="e">
        <f>IF(COUNTA(VLOOKUP($D$3,ÖÇ!$D$3:$L$57,6,0)),VLOOKUP($D$3,ÖÇ!$D$3:$L$57,6,0))</f>
        <v>#N/A</v>
      </c>
      <c r="Q7" s="49"/>
    </row>
    <row r="8" spans="1:17" x14ac:dyDescent="0.25">
      <c r="B8" s="51"/>
      <c r="H8" s="87" t="str">
        <f t="shared" si="0"/>
        <v/>
      </c>
      <c r="I8" s="88" t="e">
        <f>IF(COUNTA(VLOOKUP($D$3,ÖÇ!$D$3:$L$57,7,0)),VLOOKUP($D$3,ÖÇ!$D$3:$L$57,7,0),)</f>
        <v>#N/A</v>
      </c>
      <c r="Q8" s="49"/>
    </row>
    <row r="9" spans="1:17" x14ac:dyDescent="0.25">
      <c r="B9" s="51"/>
      <c r="H9" s="87" t="str">
        <f t="shared" si="0"/>
        <v/>
      </c>
      <c r="I9" s="88" t="e">
        <f>IF(COUNTA(VLOOKUP($D$3,ÖÇ!$D$3:$L$57,8,0)),VLOOKUP($D$3,ÖÇ!$D$3:$L$57,8,0),)</f>
        <v>#N/A</v>
      </c>
      <c r="Q9" s="49"/>
    </row>
    <row r="10" spans="1:17" x14ac:dyDescent="0.25">
      <c r="B10" s="52" t="s">
        <v>121</v>
      </c>
      <c r="C10" s="43"/>
      <c r="D10" s="43"/>
      <c r="E10" s="70"/>
      <c r="G10" s="43"/>
      <c r="H10" s="87" t="str">
        <f t="shared" si="0"/>
        <v/>
      </c>
      <c r="I10" s="88" t="e">
        <f>IF(COUNTA(VLOOKUP($D$3,ÖÇ!$D$3:$L$57,9,0)),VLOOKUP($D$3,ÖÇ!$D$3:$L$57,9,0),)</f>
        <v>#N/A</v>
      </c>
      <c r="Q10" s="49"/>
    </row>
    <row r="11" spans="1:17" x14ac:dyDescent="0.25">
      <c r="A11" s="42" t="str">
        <f>IF(COUNTA(B11:D11),A10+1,"")</f>
        <v/>
      </c>
      <c r="B11" s="77"/>
    </row>
    <row r="12" spans="1:17" x14ac:dyDescent="0.25">
      <c r="A12" s="42" t="str">
        <f t="shared" ref="A12:A75" si="1">IF(COUNTA(B12:D12),A11+1,"")</f>
        <v/>
      </c>
      <c r="B12" s="77"/>
    </row>
    <row r="13" spans="1:17" x14ac:dyDescent="0.25">
      <c r="A13" s="42" t="str">
        <f t="shared" si="1"/>
        <v/>
      </c>
      <c r="B13" s="77"/>
    </row>
    <row r="14" spans="1:17" x14ac:dyDescent="0.25">
      <c r="A14" s="42" t="str">
        <f t="shared" si="1"/>
        <v/>
      </c>
      <c r="B14" s="77"/>
    </row>
    <row r="15" spans="1:17" x14ac:dyDescent="0.25">
      <c r="A15" s="42" t="str">
        <f t="shared" si="1"/>
        <v/>
      </c>
      <c r="B15" s="77"/>
    </row>
    <row r="16" spans="1:17" x14ac:dyDescent="0.25">
      <c r="A16" s="42" t="str">
        <f t="shared" si="1"/>
        <v/>
      </c>
      <c r="B16" s="77"/>
    </row>
    <row r="17" spans="1:2" x14ac:dyDescent="0.25">
      <c r="A17" s="42" t="str">
        <f t="shared" si="1"/>
        <v/>
      </c>
      <c r="B17" s="77"/>
    </row>
    <row r="18" spans="1:2" x14ac:dyDescent="0.25">
      <c r="A18" s="42" t="str">
        <f t="shared" si="1"/>
        <v/>
      </c>
      <c r="B18" s="77"/>
    </row>
    <row r="19" spans="1:2" x14ac:dyDescent="0.25">
      <c r="A19" s="42" t="str">
        <f t="shared" si="1"/>
        <v/>
      </c>
      <c r="B19" s="77"/>
    </row>
    <row r="20" spans="1:2" x14ac:dyDescent="0.25">
      <c r="A20" s="42" t="str">
        <f t="shared" si="1"/>
        <v/>
      </c>
      <c r="B20" s="77"/>
    </row>
    <row r="21" spans="1:2" x14ac:dyDescent="0.25">
      <c r="A21" s="42" t="str">
        <f t="shared" si="1"/>
        <v/>
      </c>
      <c r="B21" s="77"/>
    </row>
    <row r="22" spans="1:2" x14ac:dyDescent="0.25">
      <c r="A22" s="42" t="str">
        <f t="shared" si="1"/>
        <v/>
      </c>
      <c r="B22" s="77"/>
    </row>
    <row r="23" spans="1:2" x14ac:dyDescent="0.25">
      <c r="A23" s="42" t="str">
        <f t="shared" si="1"/>
        <v/>
      </c>
      <c r="B23" s="77"/>
    </row>
    <row r="24" spans="1:2" x14ac:dyDescent="0.25">
      <c r="A24" s="42" t="str">
        <f t="shared" si="1"/>
        <v/>
      </c>
      <c r="B24" s="77"/>
    </row>
    <row r="25" spans="1:2" x14ac:dyDescent="0.25">
      <c r="A25" s="42" t="str">
        <f t="shared" si="1"/>
        <v/>
      </c>
      <c r="B25" s="77"/>
    </row>
    <row r="26" spans="1:2" x14ac:dyDescent="0.25">
      <c r="A26" s="42" t="str">
        <f t="shared" si="1"/>
        <v/>
      </c>
    </row>
    <row r="27" spans="1:2" x14ac:dyDescent="0.25">
      <c r="A27" s="42" t="str">
        <f t="shared" si="1"/>
        <v/>
      </c>
    </row>
    <row r="28" spans="1:2" x14ac:dyDescent="0.25">
      <c r="A28" s="42" t="str">
        <f t="shared" si="1"/>
        <v/>
      </c>
    </row>
    <row r="29" spans="1:2" x14ac:dyDescent="0.25">
      <c r="A29" s="42" t="str">
        <f t="shared" si="1"/>
        <v/>
      </c>
    </row>
    <row r="30" spans="1:2" x14ac:dyDescent="0.25">
      <c r="A30" s="42" t="str">
        <f t="shared" si="1"/>
        <v/>
      </c>
    </row>
    <row r="31" spans="1:2" x14ac:dyDescent="0.25">
      <c r="A31" s="42" t="str">
        <f t="shared" si="1"/>
        <v/>
      </c>
    </row>
    <row r="32" spans="1:2" x14ac:dyDescent="0.25">
      <c r="A32" s="42" t="str">
        <f t="shared" si="1"/>
        <v/>
      </c>
    </row>
    <row r="33" spans="1:1" x14ac:dyDescent="0.25">
      <c r="A33" s="42" t="str">
        <f t="shared" si="1"/>
        <v/>
      </c>
    </row>
    <row r="34" spans="1:1" x14ac:dyDescent="0.25">
      <c r="A34" s="42" t="str">
        <f t="shared" si="1"/>
        <v/>
      </c>
    </row>
    <row r="35" spans="1:1" x14ac:dyDescent="0.25">
      <c r="A35" s="42" t="str">
        <f t="shared" si="1"/>
        <v/>
      </c>
    </row>
    <row r="36" spans="1:1" x14ac:dyDescent="0.25">
      <c r="A36" s="42" t="str">
        <f t="shared" si="1"/>
        <v/>
      </c>
    </row>
    <row r="37" spans="1:1" x14ac:dyDescent="0.25">
      <c r="A37" s="42" t="str">
        <f t="shared" si="1"/>
        <v/>
      </c>
    </row>
    <row r="38" spans="1:1" x14ac:dyDescent="0.25">
      <c r="A38" s="42" t="str">
        <f t="shared" si="1"/>
        <v/>
      </c>
    </row>
    <row r="39" spans="1:1" x14ac:dyDescent="0.25">
      <c r="A39" s="42" t="str">
        <f t="shared" si="1"/>
        <v/>
      </c>
    </row>
    <row r="40" spans="1:1" x14ac:dyDescent="0.25">
      <c r="A40" s="42" t="str">
        <f t="shared" si="1"/>
        <v/>
      </c>
    </row>
    <row r="41" spans="1:1" x14ac:dyDescent="0.25">
      <c r="A41" s="42" t="str">
        <f t="shared" si="1"/>
        <v/>
      </c>
    </row>
    <row r="42" spans="1:1" x14ac:dyDescent="0.25">
      <c r="A42" s="42" t="str">
        <f t="shared" si="1"/>
        <v/>
      </c>
    </row>
    <row r="43" spans="1:1" x14ac:dyDescent="0.25">
      <c r="A43" s="42" t="str">
        <f t="shared" si="1"/>
        <v/>
      </c>
    </row>
    <row r="44" spans="1:1" x14ac:dyDescent="0.25">
      <c r="A44" s="42" t="str">
        <f t="shared" si="1"/>
        <v/>
      </c>
    </row>
    <row r="45" spans="1:1" x14ac:dyDescent="0.25">
      <c r="A45" s="42" t="str">
        <f t="shared" si="1"/>
        <v/>
      </c>
    </row>
    <row r="46" spans="1:1" x14ac:dyDescent="0.25">
      <c r="A46" s="42" t="str">
        <f t="shared" si="1"/>
        <v/>
      </c>
    </row>
    <row r="47" spans="1:1" x14ac:dyDescent="0.25">
      <c r="A47" s="42" t="str">
        <f t="shared" si="1"/>
        <v/>
      </c>
    </row>
    <row r="48" spans="1:1" x14ac:dyDescent="0.25">
      <c r="A48" s="42" t="str">
        <f t="shared" si="1"/>
        <v/>
      </c>
    </row>
    <row r="49" spans="1:1" x14ac:dyDescent="0.25">
      <c r="A49" s="42" t="str">
        <f t="shared" si="1"/>
        <v/>
      </c>
    </row>
    <row r="50" spans="1:1" x14ac:dyDescent="0.25">
      <c r="A50" s="42" t="str">
        <f t="shared" si="1"/>
        <v/>
      </c>
    </row>
    <row r="51" spans="1:1" x14ac:dyDescent="0.25">
      <c r="A51" s="42" t="str">
        <f t="shared" si="1"/>
        <v/>
      </c>
    </row>
    <row r="52" spans="1:1" x14ac:dyDescent="0.25">
      <c r="A52" s="42" t="str">
        <f t="shared" si="1"/>
        <v/>
      </c>
    </row>
    <row r="53" spans="1:1" x14ac:dyDescent="0.25">
      <c r="A53" s="42" t="str">
        <f t="shared" si="1"/>
        <v/>
      </c>
    </row>
    <row r="54" spans="1:1" x14ac:dyDescent="0.25">
      <c r="A54" s="42" t="str">
        <f t="shared" si="1"/>
        <v/>
      </c>
    </row>
    <row r="55" spans="1:1" x14ac:dyDescent="0.25">
      <c r="A55" s="42" t="str">
        <f t="shared" si="1"/>
        <v/>
      </c>
    </row>
    <row r="56" spans="1:1" x14ac:dyDescent="0.25">
      <c r="A56" s="42" t="str">
        <f t="shared" si="1"/>
        <v/>
      </c>
    </row>
    <row r="57" spans="1:1" x14ac:dyDescent="0.25">
      <c r="A57" s="42" t="str">
        <f t="shared" si="1"/>
        <v/>
      </c>
    </row>
    <row r="58" spans="1:1" x14ac:dyDescent="0.25">
      <c r="A58" s="42" t="str">
        <f t="shared" si="1"/>
        <v/>
      </c>
    </row>
    <row r="59" spans="1:1" x14ac:dyDescent="0.25">
      <c r="A59" s="42" t="str">
        <f t="shared" si="1"/>
        <v/>
      </c>
    </row>
    <row r="60" spans="1:1" x14ac:dyDescent="0.25">
      <c r="A60" s="42" t="str">
        <f t="shared" si="1"/>
        <v/>
      </c>
    </row>
    <row r="61" spans="1:1" x14ac:dyDescent="0.25">
      <c r="A61" s="42" t="str">
        <f t="shared" si="1"/>
        <v/>
      </c>
    </row>
    <row r="62" spans="1:1" x14ac:dyDescent="0.25">
      <c r="A62" s="42" t="str">
        <f t="shared" si="1"/>
        <v/>
      </c>
    </row>
    <row r="63" spans="1:1" x14ac:dyDescent="0.25">
      <c r="A63" s="42" t="str">
        <f t="shared" si="1"/>
        <v/>
      </c>
    </row>
    <row r="64" spans="1:1" x14ac:dyDescent="0.25">
      <c r="A64" s="42" t="str">
        <f t="shared" si="1"/>
        <v/>
      </c>
    </row>
    <row r="65" spans="1:1" x14ac:dyDescent="0.25">
      <c r="A65" s="42" t="str">
        <f t="shared" si="1"/>
        <v/>
      </c>
    </row>
    <row r="66" spans="1:1" x14ac:dyDescent="0.25">
      <c r="A66" s="42" t="str">
        <f t="shared" si="1"/>
        <v/>
      </c>
    </row>
    <row r="67" spans="1:1" x14ac:dyDescent="0.25">
      <c r="A67" s="42" t="str">
        <f t="shared" si="1"/>
        <v/>
      </c>
    </row>
    <row r="68" spans="1:1" x14ac:dyDescent="0.25">
      <c r="A68" s="42" t="str">
        <f t="shared" si="1"/>
        <v/>
      </c>
    </row>
    <row r="69" spans="1:1" x14ac:dyDescent="0.25">
      <c r="A69" s="42" t="str">
        <f t="shared" si="1"/>
        <v/>
      </c>
    </row>
    <row r="70" spans="1:1" x14ac:dyDescent="0.25">
      <c r="A70" s="42" t="str">
        <f t="shared" si="1"/>
        <v/>
      </c>
    </row>
    <row r="71" spans="1:1" x14ac:dyDescent="0.25">
      <c r="A71" s="42" t="str">
        <f t="shared" si="1"/>
        <v/>
      </c>
    </row>
    <row r="72" spans="1:1" x14ac:dyDescent="0.25">
      <c r="A72" s="42" t="str">
        <f t="shared" si="1"/>
        <v/>
      </c>
    </row>
    <row r="73" spans="1:1" x14ac:dyDescent="0.25">
      <c r="A73" s="42" t="str">
        <f t="shared" si="1"/>
        <v/>
      </c>
    </row>
    <row r="74" spans="1:1" x14ac:dyDescent="0.25">
      <c r="A74" s="42" t="str">
        <f t="shared" si="1"/>
        <v/>
      </c>
    </row>
    <row r="75" spans="1:1" x14ac:dyDescent="0.25">
      <c r="A75" s="42" t="str">
        <f t="shared" si="1"/>
        <v/>
      </c>
    </row>
    <row r="76" spans="1:1" x14ac:dyDescent="0.25">
      <c r="A76" s="42" t="str">
        <f t="shared" ref="A76:A139" si="2">IF(COUNTA(B76:D76),A75+1,"")</f>
        <v/>
      </c>
    </row>
    <row r="77" spans="1:1" x14ac:dyDescent="0.25">
      <c r="A77" s="42" t="str">
        <f t="shared" si="2"/>
        <v/>
      </c>
    </row>
    <row r="78" spans="1:1" x14ac:dyDescent="0.25">
      <c r="A78" s="42" t="str">
        <f t="shared" si="2"/>
        <v/>
      </c>
    </row>
    <row r="79" spans="1:1" x14ac:dyDescent="0.25">
      <c r="A79" s="42" t="str">
        <f t="shared" si="2"/>
        <v/>
      </c>
    </row>
    <row r="80" spans="1:1" x14ac:dyDescent="0.25">
      <c r="A80" s="42" t="str">
        <f t="shared" si="2"/>
        <v/>
      </c>
    </row>
    <row r="81" spans="1:1" x14ac:dyDescent="0.25">
      <c r="A81" s="42" t="str">
        <f t="shared" si="2"/>
        <v/>
      </c>
    </row>
    <row r="82" spans="1:1" x14ac:dyDescent="0.25">
      <c r="A82" s="42" t="str">
        <f t="shared" si="2"/>
        <v/>
      </c>
    </row>
    <row r="83" spans="1:1" x14ac:dyDescent="0.25">
      <c r="A83" s="42" t="str">
        <f t="shared" si="2"/>
        <v/>
      </c>
    </row>
    <row r="84" spans="1:1" x14ac:dyDescent="0.25">
      <c r="A84" s="42" t="str">
        <f t="shared" si="2"/>
        <v/>
      </c>
    </row>
    <row r="85" spans="1:1" x14ac:dyDescent="0.25">
      <c r="A85" s="42" t="str">
        <f t="shared" si="2"/>
        <v/>
      </c>
    </row>
    <row r="86" spans="1:1" x14ac:dyDescent="0.25">
      <c r="A86" s="42" t="str">
        <f t="shared" si="2"/>
        <v/>
      </c>
    </row>
    <row r="87" spans="1:1" x14ac:dyDescent="0.25">
      <c r="A87" s="42" t="str">
        <f t="shared" si="2"/>
        <v/>
      </c>
    </row>
    <row r="88" spans="1:1" x14ac:dyDescent="0.25">
      <c r="A88" s="42" t="str">
        <f t="shared" si="2"/>
        <v/>
      </c>
    </row>
    <row r="89" spans="1:1" x14ac:dyDescent="0.25">
      <c r="A89" s="42" t="str">
        <f t="shared" si="2"/>
        <v/>
      </c>
    </row>
    <row r="90" spans="1:1" x14ac:dyDescent="0.25">
      <c r="A90" s="42" t="str">
        <f t="shared" si="2"/>
        <v/>
      </c>
    </row>
    <row r="91" spans="1:1" x14ac:dyDescent="0.25">
      <c r="A91" s="42" t="str">
        <f t="shared" si="2"/>
        <v/>
      </c>
    </row>
    <row r="92" spans="1:1" x14ac:dyDescent="0.25">
      <c r="A92" s="42" t="str">
        <f t="shared" si="2"/>
        <v/>
      </c>
    </row>
    <row r="93" spans="1:1" x14ac:dyDescent="0.25">
      <c r="A93" s="42" t="str">
        <f t="shared" si="2"/>
        <v/>
      </c>
    </row>
    <row r="94" spans="1:1" x14ac:dyDescent="0.25">
      <c r="A94" s="42" t="str">
        <f t="shared" si="2"/>
        <v/>
      </c>
    </row>
    <row r="95" spans="1:1" x14ac:dyDescent="0.25">
      <c r="A95" s="42" t="str">
        <f t="shared" si="2"/>
        <v/>
      </c>
    </row>
    <row r="96" spans="1:1" x14ac:dyDescent="0.25">
      <c r="A96" s="42" t="str">
        <f t="shared" si="2"/>
        <v/>
      </c>
    </row>
    <row r="97" spans="1:1" x14ac:dyDescent="0.25">
      <c r="A97" s="42" t="str">
        <f t="shared" si="2"/>
        <v/>
      </c>
    </row>
    <row r="98" spans="1:1" x14ac:dyDescent="0.25">
      <c r="A98" s="42" t="str">
        <f t="shared" si="2"/>
        <v/>
      </c>
    </row>
    <row r="99" spans="1:1" x14ac:dyDescent="0.25">
      <c r="A99" s="42" t="str">
        <f t="shared" si="2"/>
        <v/>
      </c>
    </row>
    <row r="100" spans="1:1" x14ac:dyDescent="0.25">
      <c r="A100" s="42" t="str">
        <f t="shared" si="2"/>
        <v/>
      </c>
    </row>
    <row r="101" spans="1:1" x14ac:dyDescent="0.25">
      <c r="A101" s="42" t="str">
        <f t="shared" si="2"/>
        <v/>
      </c>
    </row>
    <row r="102" spans="1:1" x14ac:dyDescent="0.25">
      <c r="A102" s="42" t="str">
        <f t="shared" si="2"/>
        <v/>
      </c>
    </row>
    <row r="103" spans="1:1" x14ac:dyDescent="0.25">
      <c r="A103" s="42" t="str">
        <f t="shared" si="2"/>
        <v/>
      </c>
    </row>
    <row r="104" spans="1:1" x14ac:dyDescent="0.25">
      <c r="A104" s="42" t="str">
        <f t="shared" si="2"/>
        <v/>
      </c>
    </row>
    <row r="105" spans="1:1" x14ac:dyDescent="0.25">
      <c r="A105" s="42" t="str">
        <f t="shared" si="2"/>
        <v/>
      </c>
    </row>
    <row r="106" spans="1:1" x14ac:dyDescent="0.25">
      <c r="A106" s="42" t="str">
        <f t="shared" si="2"/>
        <v/>
      </c>
    </row>
    <row r="107" spans="1:1" x14ac:dyDescent="0.25">
      <c r="A107" s="42" t="str">
        <f t="shared" si="2"/>
        <v/>
      </c>
    </row>
    <row r="108" spans="1:1" x14ac:dyDescent="0.25">
      <c r="A108" s="42" t="str">
        <f t="shared" si="2"/>
        <v/>
      </c>
    </row>
    <row r="109" spans="1:1" x14ac:dyDescent="0.25">
      <c r="A109" s="42" t="str">
        <f t="shared" si="2"/>
        <v/>
      </c>
    </row>
    <row r="110" spans="1:1" x14ac:dyDescent="0.25">
      <c r="A110" s="42" t="str">
        <f t="shared" si="2"/>
        <v/>
      </c>
    </row>
    <row r="111" spans="1:1" x14ac:dyDescent="0.25">
      <c r="A111" s="42" t="str">
        <f t="shared" si="2"/>
        <v/>
      </c>
    </row>
    <row r="112" spans="1:1" x14ac:dyDescent="0.25">
      <c r="A112" s="42" t="str">
        <f t="shared" si="2"/>
        <v/>
      </c>
    </row>
    <row r="113" spans="1:1" x14ac:dyDescent="0.25">
      <c r="A113" s="42" t="str">
        <f t="shared" si="2"/>
        <v/>
      </c>
    </row>
    <row r="114" spans="1:1" x14ac:dyDescent="0.25">
      <c r="A114" s="42" t="str">
        <f t="shared" si="2"/>
        <v/>
      </c>
    </row>
    <row r="115" spans="1:1" x14ac:dyDescent="0.25">
      <c r="A115" s="42" t="str">
        <f t="shared" si="2"/>
        <v/>
      </c>
    </row>
    <row r="116" spans="1:1" x14ac:dyDescent="0.25">
      <c r="A116" s="42" t="str">
        <f t="shared" si="2"/>
        <v/>
      </c>
    </row>
    <row r="117" spans="1:1" x14ac:dyDescent="0.25">
      <c r="A117" s="42" t="str">
        <f t="shared" si="2"/>
        <v/>
      </c>
    </row>
    <row r="118" spans="1:1" x14ac:dyDescent="0.25">
      <c r="A118" s="42" t="str">
        <f t="shared" si="2"/>
        <v/>
      </c>
    </row>
    <row r="119" spans="1:1" x14ac:dyDescent="0.25">
      <c r="A119" s="42" t="str">
        <f t="shared" si="2"/>
        <v/>
      </c>
    </row>
    <row r="120" spans="1:1" x14ac:dyDescent="0.25">
      <c r="A120" s="42" t="str">
        <f t="shared" si="2"/>
        <v/>
      </c>
    </row>
    <row r="121" spans="1:1" x14ac:dyDescent="0.25">
      <c r="A121" s="42" t="str">
        <f t="shared" si="2"/>
        <v/>
      </c>
    </row>
    <row r="122" spans="1:1" x14ac:dyDescent="0.25">
      <c r="A122" s="42" t="str">
        <f t="shared" si="2"/>
        <v/>
      </c>
    </row>
    <row r="123" spans="1:1" x14ac:dyDescent="0.25">
      <c r="A123" s="42" t="str">
        <f t="shared" si="2"/>
        <v/>
      </c>
    </row>
    <row r="124" spans="1:1" x14ac:dyDescent="0.25">
      <c r="A124" s="42" t="str">
        <f t="shared" si="2"/>
        <v/>
      </c>
    </row>
    <row r="125" spans="1:1" x14ac:dyDescent="0.25">
      <c r="A125" s="42" t="str">
        <f t="shared" si="2"/>
        <v/>
      </c>
    </row>
    <row r="126" spans="1:1" x14ac:dyDescent="0.25">
      <c r="A126" s="42" t="str">
        <f t="shared" si="2"/>
        <v/>
      </c>
    </row>
    <row r="127" spans="1:1" x14ac:dyDescent="0.25">
      <c r="A127" s="42" t="str">
        <f t="shared" si="2"/>
        <v/>
      </c>
    </row>
    <row r="128" spans="1:1" x14ac:dyDescent="0.25">
      <c r="A128" s="42" t="str">
        <f t="shared" si="2"/>
        <v/>
      </c>
    </row>
    <row r="129" spans="1:1" x14ac:dyDescent="0.25">
      <c r="A129" s="42" t="str">
        <f t="shared" si="2"/>
        <v/>
      </c>
    </row>
    <row r="130" spans="1:1" x14ac:dyDescent="0.25">
      <c r="A130" s="42" t="str">
        <f t="shared" si="2"/>
        <v/>
      </c>
    </row>
    <row r="131" spans="1:1" x14ac:dyDescent="0.25">
      <c r="A131" s="42" t="str">
        <f t="shared" si="2"/>
        <v/>
      </c>
    </row>
    <row r="132" spans="1:1" x14ac:dyDescent="0.25">
      <c r="A132" s="42" t="str">
        <f t="shared" si="2"/>
        <v/>
      </c>
    </row>
    <row r="133" spans="1:1" x14ac:dyDescent="0.25">
      <c r="A133" s="42" t="str">
        <f t="shared" si="2"/>
        <v/>
      </c>
    </row>
    <row r="134" spans="1:1" x14ac:dyDescent="0.25">
      <c r="A134" s="42" t="str">
        <f t="shared" si="2"/>
        <v/>
      </c>
    </row>
    <row r="135" spans="1:1" x14ac:dyDescent="0.25">
      <c r="A135" s="42" t="str">
        <f t="shared" si="2"/>
        <v/>
      </c>
    </row>
    <row r="136" spans="1:1" x14ac:dyDescent="0.25">
      <c r="A136" s="42" t="str">
        <f t="shared" si="2"/>
        <v/>
      </c>
    </row>
    <row r="137" spans="1:1" x14ac:dyDescent="0.25">
      <c r="A137" s="42" t="str">
        <f t="shared" si="2"/>
        <v/>
      </c>
    </row>
    <row r="138" spans="1:1" x14ac:dyDescent="0.25">
      <c r="A138" s="42" t="str">
        <f t="shared" si="2"/>
        <v/>
      </c>
    </row>
    <row r="139" spans="1:1" x14ac:dyDescent="0.25">
      <c r="A139" s="42" t="str">
        <f t="shared" si="2"/>
        <v/>
      </c>
    </row>
    <row r="140" spans="1:1" x14ac:dyDescent="0.25">
      <c r="A140" s="42" t="str">
        <f t="shared" ref="A140:A203" si="3">IF(COUNTA(B140:D140),A139+1,"")</f>
        <v/>
      </c>
    </row>
    <row r="141" spans="1:1" x14ac:dyDescent="0.25">
      <c r="A141" s="42" t="str">
        <f t="shared" si="3"/>
        <v/>
      </c>
    </row>
    <row r="142" spans="1:1" x14ac:dyDescent="0.25">
      <c r="A142" s="42" t="str">
        <f t="shared" si="3"/>
        <v/>
      </c>
    </row>
    <row r="143" spans="1:1" x14ac:dyDescent="0.25">
      <c r="A143" s="42" t="str">
        <f t="shared" si="3"/>
        <v/>
      </c>
    </row>
    <row r="144" spans="1:1" x14ac:dyDescent="0.25">
      <c r="A144" s="42" t="str">
        <f t="shared" si="3"/>
        <v/>
      </c>
    </row>
    <row r="145" spans="1:1" x14ac:dyDescent="0.25">
      <c r="A145" s="42" t="str">
        <f t="shared" si="3"/>
        <v/>
      </c>
    </row>
    <row r="146" spans="1:1" x14ac:dyDescent="0.25">
      <c r="A146" s="42" t="str">
        <f t="shared" si="3"/>
        <v/>
      </c>
    </row>
    <row r="147" spans="1:1" x14ac:dyDescent="0.25">
      <c r="A147" s="42" t="str">
        <f t="shared" si="3"/>
        <v/>
      </c>
    </row>
    <row r="148" spans="1:1" x14ac:dyDescent="0.25">
      <c r="A148" s="42" t="str">
        <f t="shared" si="3"/>
        <v/>
      </c>
    </row>
    <row r="149" spans="1:1" x14ac:dyDescent="0.25">
      <c r="A149" s="42" t="str">
        <f t="shared" si="3"/>
        <v/>
      </c>
    </row>
    <row r="150" spans="1:1" x14ac:dyDescent="0.25">
      <c r="A150" s="42" t="str">
        <f t="shared" si="3"/>
        <v/>
      </c>
    </row>
    <row r="151" spans="1:1" x14ac:dyDescent="0.25">
      <c r="A151" s="42" t="str">
        <f t="shared" si="3"/>
        <v/>
      </c>
    </row>
    <row r="152" spans="1:1" x14ac:dyDescent="0.25">
      <c r="A152" s="42" t="str">
        <f t="shared" si="3"/>
        <v/>
      </c>
    </row>
    <row r="153" spans="1:1" x14ac:dyDescent="0.25">
      <c r="A153" s="42" t="str">
        <f t="shared" si="3"/>
        <v/>
      </c>
    </row>
    <row r="154" spans="1:1" x14ac:dyDescent="0.25">
      <c r="A154" s="42" t="str">
        <f t="shared" si="3"/>
        <v/>
      </c>
    </row>
    <row r="155" spans="1:1" x14ac:dyDescent="0.25">
      <c r="A155" s="42" t="str">
        <f t="shared" si="3"/>
        <v/>
      </c>
    </row>
    <row r="156" spans="1:1" x14ac:dyDescent="0.25">
      <c r="A156" s="42" t="str">
        <f t="shared" si="3"/>
        <v/>
      </c>
    </row>
    <row r="157" spans="1:1" x14ac:dyDescent="0.25">
      <c r="A157" s="42" t="str">
        <f t="shared" si="3"/>
        <v/>
      </c>
    </row>
    <row r="158" spans="1:1" x14ac:dyDescent="0.25">
      <c r="A158" s="42" t="str">
        <f t="shared" si="3"/>
        <v/>
      </c>
    </row>
    <row r="159" spans="1:1" x14ac:dyDescent="0.25">
      <c r="A159" s="42" t="str">
        <f t="shared" si="3"/>
        <v/>
      </c>
    </row>
    <row r="160" spans="1:1" x14ac:dyDescent="0.25">
      <c r="A160" s="42" t="str">
        <f t="shared" si="3"/>
        <v/>
      </c>
    </row>
    <row r="161" spans="1:1" x14ac:dyDescent="0.25">
      <c r="A161" s="42" t="str">
        <f t="shared" si="3"/>
        <v/>
      </c>
    </row>
    <row r="162" spans="1:1" x14ac:dyDescent="0.25">
      <c r="A162" s="42" t="str">
        <f t="shared" si="3"/>
        <v/>
      </c>
    </row>
    <row r="163" spans="1:1" x14ac:dyDescent="0.25">
      <c r="A163" s="42" t="str">
        <f t="shared" si="3"/>
        <v/>
      </c>
    </row>
    <row r="164" spans="1:1" x14ac:dyDescent="0.25">
      <c r="A164" s="42" t="str">
        <f t="shared" si="3"/>
        <v/>
      </c>
    </row>
    <row r="165" spans="1:1" x14ac:dyDescent="0.25">
      <c r="A165" s="42" t="str">
        <f t="shared" si="3"/>
        <v/>
      </c>
    </row>
    <row r="166" spans="1:1" x14ac:dyDescent="0.25">
      <c r="A166" s="42" t="str">
        <f t="shared" si="3"/>
        <v/>
      </c>
    </row>
    <row r="167" spans="1:1" x14ac:dyDescent="0.25">
      <c r="A167" s="42" t="str">
        <f t="shared" si="3"/>
        <v/>
      </c>
    </row>
    <row r="168" spans="1:1" x14ac:dyDescent="0.25">
      <c r="A168" s="42" t="str">
        <f t="shared" si="3"/>
        <v/>
      </c>
    </row>
    <row r="169" spans="1:1" x14ac:dyDescent="0.25">
      <c r="A169" s="42" t="str">
        <f t="shared" si="3"/>
        <v/>
      </c>
    </row>
    <row r="170" spans="1:1" x14ac:dyDescent="0.25">
      <c r="A170" s="42" t="str">
        <f t="shared" si="3"/>
        <v/>
      </c>
    </row>
    <row r="171" spans="1:1" x14ac:dyDescent="0.25">
      <c r="A171" s="42" t="str">
        <f t="shared" si="3"/>
        <v/>
      </c>
    </row>
    <row r="172" spans="1:1" x14ac:dyDescent="0.25">
      <c r="A172" s="42" t="str">
        <f t="shared" si="3"/>
        <v/>
      </c>
    </row>
    <row r="173" spans="1:1" x14ac:dyDescent="0.25">
      <c r="A173" s="42" t="str">
        <f t="shared" si="3"/>
        <v/>
      </c>
    </row>
    <row r="174" spans="1:1" x14ac:dyDescent="0.25">
      <c r="A174" s="42" t="str">
        <f t="shared" si="3"/>
        <v/>
      </c>
    </row>
    <row r="175" spans="1:1" x14ac:dyDescent="0.25">
      <c r="A175" s="42" t="str">
        <f t="shared" si="3"/>
        <v/>
      </c>
    </row>
    <row r="176" spans="1:1" x14ac:dyDescent="0.25">
      <c r="A176" s="42" t="str">
        <f t="shared" si="3"/>
        <v/>
      </c>
    </row>
    <row r="177" spans="1:1" x14ac:dyDescent="0.25">
      <c r="A177" s="42" t="str">
        <f t="shared" si="3"/>
        <v/>
      </c>
    </row>
    <row r="178" spans="1:1" x14ac:dyDescent="0.25">
      <c r="A178" s="42" t="str">
        <f t="shared" si="3"/>
        <v/>
      </c>
    </row>
    <row r="179" spans="1:1" x14ac:dyDescent="0.25">
      <c r="A179" s="42" t="str">
        <f t="shared" si="3"/>
        <v/>
      </c>
    </row>
    <row r="180" spans="1:1" x14ac:dyDescent="0.25">
      <c r="A180" s="42" t="str">
        <f t="shared" si="3"/>
        <v/>
      </c>
    </row>
    <row r="181" spans="1:1" x14ac:dyDescent="0.25">
      <c r="A181" s="42" t="str">
        <f t="shared" si="3"/>
        <v/>
      </c>
    </row>
    <row r="182" spans="1:1" x14ac:dyDescent="0.25">
      <c r="A182" s="42" t="str">
        <f t="shared" si="3"/>
        <v/>
      </c>
    </row>
    <row r="183" spans="1:1" x14ac:dyDescent="0.25">
      <c r="A183" s="42" t="str">
        <f t="shared" si="3"/>
        <v/>
      </c>
    </row>
    <row r="184" spans="1:1" x14ac:dyDescent="0.25">
      <c r="A184" s="42" t="str">
        <f t="shared" si="3"/>
        <v/>
      </c>
    </row>
    <row r="185" spans="1:1" x14ac:dyDescent="0.25">
      <c r="A185" s="42" t="str">
        <f t="shared" si="3"/>
        <v/>
      </c>
    </row>
    <row r="186" spans="1:1" x14ac:dyDescent="0.25">
      <c r="A186" s="42" t="str">
        <f t="shared" si="3"/>
        <v/>
      </c>
    </row>
    <row r="187" spans="1:1" x14ac:dyDescent="0.25">
      <c r="A187" s="42" t="str">
        <f t="shared" si="3"/>
        <v/>
      </c>
    </row>
    <row r="188" spans="1:1" x14ac:dyDescent="0.25">
      <c r="A188" s="42" t="str">
        <f t="shared" si="3"/>
        <v/>
      </c>
    </row>
    <row r="189" spans="1:1" x14ac:dyDescent="0.25">
      <c r="A189" s="42" t="str">
        <f t="shared" si="3"/>
        <v/>
      </c>
    </row>
    <row r="190" spans="1:1" x14ac:dyDescent="0.25">
      <c r="A190" s="42" t="str">
        <f t="shared" si="3"/>
        <v/>
      </c>
    </row>
    <row r="191" spans="1:1" x14ac:dyDescent="0.25">
      <c r="A191" s="42" t="str">
        <f t="shared" si="3"/>
        <v/>
      </c>
    </row>
    <row r="192" spans="1:1" x14ac:dyDescent="0.25">
      <c r="A192" s="42" t="str">
        <f t="shared" si="3"/>
        <v/>
      </c>
    </row>
    <row r="193" spans="1:1" x14ac:dyDescent="0.25">
      <c r="A193" s="42" t="str">
        <f t="shared" si="3"/>
        <v/>
      </c>
    </row>
    <row r="194" spans="1:1" x14ac:dyDescent="0.25">
      <c r="A194" s="42" t="str">
        <f t="shared" si="3"/>
        <v/>
      </c>
    </row>
    <row r="195" spans="1:1" x14ac:dyDescent="0.25">
      <c r="A195" s="42" t="str">
        <f t="shared" si="3"/>
        <v/>
      </c>
    </row>
    <row r="196" spans="1:1" x14ac:dyDescent="0.25">
      <c r="A196" s="42" t="str">
        <f t="shared" si="3"/>
        <v/>
      </c>
    </row>
    <row r="197" spans="1:1" x14ac:dyDescent="0.25">
      <c r="A197" s="42" t="str">
        <f t="shared" si="3"/>
        <v/>
      </c>
    </row>
    <row r="198" spans="1:1" x14ac:dyDescent="0.25">
      <c r="A198" s="42" t="str">
        <f t="shared" si="3"/>
        <v/>
      </c>
    </row>
    <row r="199" spans="1:1" x14ac:dyDescent="0.25">
      <c r="A199" s="42" t="str">
        <f t="shared" si="3"/>
        <v/>
      </c>
    </row>
    <row r="200" spans="1:1" x14ac:dyDescent="0.25">
      <c r="A200" s="42" t="str">
        <f t="shared" si="3"/>
        <v/>
      </c>
    </row>
    <row r="201" spans="1:1" x14ac:dyDescent="0.25">
      <c r="A201" s="42" t="str">
        <f t="shared" si="3"/>
        <v/>
      </c>
    </row>
    <row r="202" spans="1:1" x14ac:dyDescent="0.25">
      <c r="A202" s="42" t="str">
        <f t="shared" si="3"/>
        <v/>
      </c>
    </row>
    <row r="203" spans="1:1" x14ac:dyDescent="0.25">
      <c r="A203" s="42" t="str">
        <f t="shared" si="3"/>
        <v/>
      </c>
    </row>
    <row r="204" spans="1:1" x14ac:dyDescent="0.25">
      <c r="A204" s="42" t="str">
        <f t="shared" ref="A204:A267" si="4">IF(COUNTA(B204:D204),A203+1,"")</f>
        <v/>
      </c>
    </row>
    <row r="205" spans="1:1" x14ac:dyDescent="0.25">
      <c r="A205" s="42" t="str">
        <f t="shared" si="4"/>
        <v/>
      </c>
    </row>
    <row r="206" spans="1:1" x14ac:dyDescent="0.25">
      <c r="A206" s="42" t="str">
        <f t="shared" si="4"/>
        <v/>
      </c>
    </row>
    <row r="207" spans="1:1" x14ac:dyDescent="0.25">
      <c r="A207" s="42" t="str">
        <f t="shared" si="4"/>
        <v/>
      </c>
    </row>
    <row r="208" spans="1:1" x14ac:dyDescent="0.25">
      <c r="A208" s="42" t="str">
        <f t="shared" si="4"/>
        <v/>
      </c>
    </row>
    <row r="209" spans="1:1" x14ac:dyDescent="0.25">
      <c r="A209" s="42" t="str">
        <f t="shared" si="4"/>
        <v/>
      </c>
    </row>
    <row r="210" spans="1:1" x14ac:dyDescent="0.25">
      <c r="A210" s="42" t="str">
        <f t="shared" si="4"/>
        <v/>
      </c>
    </row>
    <row r="211" spans="1:1" x14ac:dyDescent="0.25">
      <c r="A211" s="42" t="str">
        <f t="shared" si="4"/>
        <v/>
      </c>
    </row>
    <row r="212" spans="1:1" x14ac:dyDescent="0.25">
      <c r="A212" s="42" t="str">
        <f t="shared" si="4"/>
        <v/>
      </c>
    </row>
    <row r="213" spans="1:1" x14ac:dyDescent="0.25">
      <c r="A213" s="42" t="str">
        <f t="shared" si="4"/>
        <v/>
      </c>
    </row>
    <row r="214" spans="1:1" x14ac:dyDescent="0.25">
      <c r="A214" s="42" t="str">
        <f t="shared" si="4"/>
        <v/>
      </c>
    </row>
    <row r="215" spans="1:1" x14ac:dyDescent="0.25">
      <c r="A215" s="42" t="str">
        <f t="shared" si="4"/>
        <v/>
      </c>
    </row>
    <row r="216" spans="1:1" x14ac:dyDescent="0.25">
      <c r="A216" s="42" t="str">
        <f t="shared" si="4"/>
        <v/>
      </c>
    </row>
    <row r="217" spans="1:1" x14ac:dyDescent="0.25">
      <c r="A217" s="42" t="str">
        <f t="shared" si="4"/>
        <v/>
      </c>
    </row>
    <row r="218" spans="1:1" x14ac:dyDescent="0.25">
      <c r="A218" s="42" t="str">
        <f t="shared" si="4"/>
        <v/>
      </c>
    </row>
    <row r="219" spans="1:1" x14ac:dyDescent="0.25">
      <c r="A219" s="42" t="str">
        <f t="shared" si="4"/>
        <v/>
      </c>
    </row>
    <row r="220" spans="1:1" x14ac:dyDescent="0.25">
      <c r="A220" s="42" t="str">
        <f t="shared" si="4"/>
        <v/>
      </c>
    </row>
    <row r="221" spans="1:1" x14ac:dyDescent="0.25">
      <c r="A221" s="42" t="str">
        <f t="shared" si="4"/>
        <v/>
      </c>
    </row>
    <row r="222" spans="1:1" x14ac:dyDescent="0.25">
      <c r="A222" s="42" t="str">
        <f t="shared" si="4"/>
        <v/>
      </c>
    </row>
    <row r="223" spans="1:1" x14ac:dyDescent="0.25">
      <c r="A223" s="42" t="str">
        <f t="shared" si="4"/>
        <v/>
      </c>
    </row>
    <row r="224" spans="1:1" x14ac:dyDescent="0.25">
      <c r="A224" s="42" t="str">
        <f t="shared" si="4"/>
        <v/>
      </c>
    </row>
    <row r="225" spans="1:1" x14ac:dyDescent="0.25">
      <c r="A225" s="42" t="str">
        <f t="shared" si="4"/>
        <v/>
      </c>
    </row>
    <row r="226" spans="1:1" x14ac:dyDescent="0.25">
      <c r="A226" s="42" t="str">
        <f t="shared" si="4"/>
        <v/>
      </c>
    </row>
    <row r="227" spans="1:1" x14ac:dyDescent="0.25">
      <c r="A227" s="42" t="str">
        <f t="shared" si="4"/>
        <v/>
      </c>
    </row>
    <row r="228" spans="1:1" x14ac:dyDescent="0.25">
      <c r="A228" s="42" t="str">
        <f t="shared" si="4"/>
        <v/>
      </c>
    </row>
    <row r="229" spans="1:1" x14ac:dyDescent="0.25">
      <c r="A229" s="42" t="str">
        <f t="shared" si="4"/>
        <v/>
      </c>
    </row>
    <row r="230" spans="1:1" x14ac:dyDescent="0.25">
      <c r="A230" s="42" t="str">
        <f t="shared" si="4"/>
        <v/>
      </c>
    </row>
    <row r="231" spans="1:1" x14ac:dyDescent="0.25">
      <c r="A231" s="42" t="str">
        <f t="shared" si="4"/>
        <v/>
      </c>
    </row>
    <row r="232" spans="1:1" x14ac:dyDescent="0.25">
      <c r="A232" s="42" t="str">
        <f t="shared" si="4"/>
        <v/>
      </c>
    </row>
    <row r="233" spans="1:1" x14ac:dyDescent="0.25">
      <c r="A233" s="42" t="str">
        <f t="shared" si="4"/>
        <v/>
      </c>
    </row>
    <row r="234" spans="1:1" x14ac:dyDescent="0.25">
      <c r="A234" s="42" t="str">
        <f t="shared" si="4"/>
        <v/>
      </c>
    </row>
    <row r="235" spans="1:1" x14ac:dyDescent="0.25">
      <c r="A235" s="42" t="str">
        <f t="shared" si="4"/>
        <v/>
      </c>
    </row>
    <row r="236" spans="1:1" x14ac:dyDescent="0.25">
      <c r="A236" s="42" t="str">
        <f t="shared" si="4"/>
        <v/>
      </c>
    </row>
    <row r="237" spans="1:1" x14ac:dyDescent="0.25">
      <c r="A237" s="42" t="str">
        <f t="shared" si="4"/>
        <v/>
      </c>
    </row>
    <row r="238" spans="1:1" x14ac:dyDescent="0.25">
      <c r="A238" s="42" t="str">
        <f t="shared" si="4"/>
        <v/>
      </c>
    </row>
    <row r="239" spans="1:1" x14ac:dyDescent="0.25">
      <c r="A239" s="42" t="str">
        <f t="shared" si="4"/>
        <v/>
      </c>
    </row>
    <row r="240" spans="1:1" x14ac:dyDescent="0.25">
      <c r="A240" s="42" t="str">
        <f t="shared" si="4"/>
        <v/>
      </c>
    </row>
    <row r="241" spans="1:1" x14ac:dyDescent="0.25">
      <c r="A241" s="42" t="str">
        <f t="shared" si="4"/>
        <v/>
      </c>
    </row>
    <row r="242" spans="1:1" x14ac:dyDescent="0.25">
      <c r="A242" s="42" t="str">
        <f t="shared" si="4"/>
        <v/>
      </c>
    </row>
    <row r="243" spans="1:1" x14ac:dyDescent="0.25">
      <c r="A243" s="42" t="str">
        <f t="shared" si="4"/>
        <v/>
      </c>
    </row>
    <row r="244" spans="1:1" x14ac:dyDescent="0.25">
      <c r="A244" s="42" t="str">
        <f t="shared" si="4"/>
        <v/>
      </c>
    </row>
    <row r="245" spans="1:1" x14ac:dyDescent="0.25">
      <c r="A245" s="42" t="str">
        <f t="shared" si="4"/>
        <v/>
      </c>
    </row>
    <row r="246" spans="1:1" x14ac:dyDescent="0.25">
      <c r="A246" s="42" t="str">
        <f t="shared" si="4"/>
        <v/>
      </c>
    </row>
    <row r="247" spans="1:1" x14ac:dyDescent="0.25">
      <c r="A247" s="42" t="str">
        <f t="shared" si="4"/>
        <v/>
      </c>
    </row>
    <row r="248" spans="1:1" x14ac:dyDescent="0.25">
      <c r="A248" s="42" t="str">
        <f t="shared" si="4"/>
        <v/>
      </c>
    </row>
    <row r="249" spans="1:1" x14ac:dyDescent="0.25">
      <c r="A249" s="42" t="str">
        <f t="shared" si="4"/>
        <v/>
      </c>
    </row>
    <row r="250" spans="1:1" x14ac:dyDescent="0.25">
      <c r="A250" s="42" t="str">
        <f t="shared" si="4"/>
        <v/>
      </c>
    </row>
    <row r="251" spans="1:1" x14ac:dyDescent="0.25">
      <c r="A251" s="42" t="str">
        <f t="shared" si="4"/>
        <v/>
      </c>
    </row>
    <row r="252" spans="1:1" x14ac:dyDescent="0.25">
      <c r="A252" s="42" t="str">
        <f t="shared" si="4"/>
        <v/>
      </c>
    </row>
    <row r="253" spans="1:1" x14ac:dyDescent="0.25">
      <c r="A253" s="42" t="str">
        <f t="shared" si="4"/>
        <v/>
      </c>
    </row>
    <row r="254" spans="1:1" x14ac:dyDescent="0.25">
      <c r="A254" s="42" t="str">
        <f t="shared" si="4"/>
        <v/>
      </c>
    </row>
    <row r="255" spans="1:1" x14ac:dyDescent="0.25">
      <c r="A255" s="42" t="str">
        <f t="shared" si="4"/>
        <v/>
      </c>
    </row>
    <row r="256" spans="1:1" x14ac:dyDescent="0.25">
      <c r="A256" s="42" t="str">
        <f t="shared" si="4"/>
        <v/>
      </c>
    </row>
    <row r="257" spans="1:1" x14ac:dyDescent="0.25">
      <c r="A257" s="42" t="str">
        <f t="shared" si="4"/>
        <v/>
      </c>
    </row>
    <row r="258" spans="1:1" x14ac:dyDescent="0.25">
      <c r="A258" s="42" t="str">
        <f t="shared" si="4"/>
        <v/>
      </c>
    </row>
    <row r="259" spans="1:1" x14ac:dyDescent="0.25">
      <c r="A259" s="42" t="str">
        <f t="shared" si="4"/>
        <v/>
      </c>
    </row>
    <row r="260" spans="1:1" x14ac:dyDescent="0.25">
      <c r="A260" s="42" t="str">
        <f t="shared" si="4"/>
        <v/>
      </c>
    </row>
    <row r="261" spans="1:1" x14ac:dyDescent="0.25">
      <c r="A261" s="42" t="str">
        <f t="shared" si="4"/>
        <v/>
      </c>
    </row>
    <row r="262" spans="1:1" x14ac:dyDescent="0.25">
      <c r="A262" s="42" t="str">
        <f t="shared" si="4"/>
        <v/>
      </c>
    </row>
    <row r="263" spans="1:1" x14ac:dyDescent="0.25">
      <c r="A263" s="42" t="str">
        <f t="shared" si="4"/>
        <v/>
      </c>
    </row>
    <row r="264" spans="1:1" x14ac:dyDescent="0.25">
      <c r="A264" s="42" t="str">
        <f t="shared" si="4"/>
        <v/>
      </c>
    </row>
    <row r="265" spans="1:1" x14ac:dyDescent="0.25">
      <c r="A265" s="42" t="str">
        <f t="shared" si="4"/>
        <v/>
      </c>
    </row>
    <row r="266" spans="1:1" x14ac:dyDescent="0.25">
      <c r="A266" s="42" t="str">
        <f t="shared" si="4"/>
        <v/>
      </c>
    </row>
    <row r="267" spans="1:1" x14ac:dyDescent="0.25">
      <c r="A267" s="42" t="str">
        <f t="shared" si="4"/>
        <v/>
      </c>
    </row>
    <row r="268" spans="1:1" x14ac:dyDescent="0.25">
      <c r="A268" s="42" t="str">
        <f t="shared" ref="A268:A331" si="5">IF(COUNTA(B268:D268),A267+1,"")</f>
        <v/>
      </c>
    </row>
    <row r="269" spans="1:1" x14ac:dyDescent="0.25">
      <c r="A269" s="42" t="str">
        <f t="shared" si="5"/>
        <v/>
      </c>
    </row>
    <row r="270" spans="1:1" x14ac:dyDescent="0.25">
      <c r="A270" s="42" t="str">
        <f t="shared" si="5"/>
        <v/>
      </c>
    </row>
    <row r="271" spans="1:1" x14ac:dyDescent="0.25">
      <c r="A271" s="42" t="str">
        <f t="shared" si="5"/>
        <v/>
      </c>
    </row>
    <row r="272" spans="1:1" x14ac:dyDescent="0.25">
      <c r="A272" s="42" t="str">
        <f t="shared" si="5"/>
        <v/>
      </c>
    </row>
    <row r="273" spans="1:1" x14ac:dyDescent="0.25">
      <c r="A273" s="42" t="str">
        <f t="shared" si="5"/>
        <v/>
      </c>
    </row>
    <row r="274" spans="1:1" x14ac:dyDescent="0.25">
      <c r="A274" s="42" t="str">
        <f t="shared" si="5"/>
        <v/>
      </c>
    </row>
    <row r="275" spans="1:1" x14ac:dyDescent="0.25">
      <c r="A275" s="42" t="str">
        <f t="shared" si="5"/>
        <v/>
      </c>
    </row>
    <row r="276" spans="1:1" x14ac:dyDescent="0.25">
      <c r="A276" s="42" t="str">
        <f t="shared" si="5"/>
        <v/>
      </c>
    </row>
    <row r="277" spans="1:1" x14ac:dyDescent="0.25">
      <c r="A277" s="42" t="str">
        <f t="shared" si="5"/>
        <v/>
      </c>
    </row>
    <row r="278" spans="1:1" x14ac:dyDescent="0.25">
      <c r="A278" s="42" t="str">
        <f t="shared" si="5"/>
        <v/>
      </c>
    </row>
    <row r="279" spans="1:1" x14ac:dyDescent="0.25">
      <c r="A279" s="42" t="str">
        <f t="shared" si="5"/>
        <v/>
      </c>
    </row>
    <row r="280" spans="1:1" x14ac:dyDescent="0.25">
      <c r="A280" s="42" t="str">
        <f t="shared" si="5"/>
        <v/>
      </c>
    </row>
    <row r="281" spans="1:1" x14ac:dyDescent="0.25">
      <c r="A281" s="42" t="str">
        <f t="shared" si="5"/>
        <v/>
      </c>
    </row>
    <row r="282" spans="1:1" x14ac:dyDescent="0.25">
      <c r="A282" s="42" t="str">
        <f t="shared" si="5"/>
        <v/>
      </c>
    </row>
    <row r="283" spans="1:1" x14ac:dyDescent="0.25">
      <c r="A283" s="42" t="str">
        <f t="shared" si="5"/>
        <v/>
      </c>
    </row>
    <row r="284" spans="1:1" x14ac:dyDescent="0.25">
      <c r="A284" s="42" t="str">
        <f t="shared" si="5"/>
        <v/>
      </c>
    </row>
    <row r="285" spans="1:1" x14ac:dyDescent="0.25">
      <c r="A285" s="42" t="str">
        <f t="shared" si="5"/>
        <v/>
      </c>
    </row>
    <row r="286" spans="1:1" x14ac:dyDescent="0.25">
      <c r="A286" s="42" t="str">
        <f t="shared" si="5"/>
        <v/>
      </c>
    </row>
    <row r="287" spans="1:1" x14ac:dyDescent="0.25">
      <c r="A287" s="42" t="str">
        <f t="shared" si="5"/>
        <v/>
      </c>
    </row>
    <row r="288" spans="1:1" x14ac:dyDescent="0.25">
      <c r="A288" s="42" t="str">
        <f t="shared" si="5"/>
        <v/>
      </c>
    </row>
    <row r="289" spans="1:1" x14ac:dyDescent="0.25">
      <c r="A289" s="42" t="str">
        <f t="shared" si="5"/>
        <v/>
      </c>
    </row>
    <row r="290" spans="1:1" x14ac:dyDescent="0.25">
      <c r="A290" s="42" t="str">
        <f t="shared" si="5"/>
        <v/>
      </c>
    </row>
    <row r="291" spans="1:1" x14ac:dyDescent="0.25">
      <c r="A291" s="42" t="str">
        <f t="shared" si="5"/>
        <v/>
      </c>
    </row>
    <row r="292" spans="1:1" x14ac:dyDescent="0.25">
      <c r="A292" s="42" t="str">
        <f t="shared" si="5"/>
        <v/>
      </c>
    </row>
    <row r="293" spans="1:1" x14ac:dyDescent="0.25">
      <c r="A293" s="42" t="str">
        <f t="shared" si="5"/>
        <v/>
      </c>
    </row>
    <row r="294" spans="1:1" x14ac:dyDescent="0.25">
      <c r="A294" s="42" t="str">
        <f t="shared" si="5"/>
        <v/>
      </c>
    </row>
    <row r="295" spans="1:1" x14ac:dyDescent="0.25">
      <c r="A295" s="42" t="str">
        <f t="shared" si="5"/>
        <v/>
      </c>
    </row>
    <row r="296" spans="1:1" x14ac:dyDescent="0.25">
      <c r="A296" s="42" t="str">
        <f t="shared" si="5"/>
        <v/>
      </c>
    </row>
    <row r="297" spans="1:1" x14ac:dyDescent="0.25">
      <c r="A297" s="42" t="str">
        <f t="shared" si="5"/>
        <v/>
      </c>
    </row>
    <row r="298" spans="1:1" x14ac:dyDescent="0.25">
      <c r="A298" s="42" t="str">
        <f t="shared" si="5"/>
        <v/>
      </c>
    </row>
    <row r="299" spans="1:1" x14ac:dyDescent="0.25">
      <c r="A299" s="42" t="str">
        <f t="shared" si="5"/>
        <v/>
      </c>
    </row>
    <row r="300" spans="1:1" x14ac:dyDescent="0.25">
      <c r="A300" s="42" t="str">
        <f t="shared" si="5"/>
        <v/>
      </c>
    </row>
    <row r="301" spans="1:1" x14ac:dyDescent="0.25">
      <c r="A301" s="42" t="str">
        <f t="shared" si="5"/>
        <v/>
      </c>
    </row>
    <row r="302" spans="1:1" x14ac:dyDescent="0.25">
      <c r="A302" s="42" t="str">
        <f t="shared" si="5"/>
        <v/>
      </c>
    </row>
    <row r="303" spans="1:1" x14ac:dyDescent="0.25">
      <c r="A303" s="42" t="str">
        <f t="shared" si="5"/>
        <v/>
      </c>
    </row>
    <row r="304" spans="1:1" x14ac:dyDescent="0.25">
      <c r="A304" s="42" t="str">
        <f t="shared" si="5"/>
        <v/>
      </c>
    </row>
    <row r="305" spans="1:1" x14ac:dyDescent="0.25">
      <c r="A305" s="42" t="str">
        <f t="shared" si="5"/>
        <v/>
      </c>
    </row>
    <row r="306" spans="1:1" x14ac:dyDescent="0.25">
      <c r="A306" s="42" t="str">
        <f t="shared" si="5"/>
        <v/>
      </c>
    </row>
    <row r="307" spans="1:1" x14ac:dyDescent="0.25">
      <c r="A307" s="42" t="str">
        <f t="shared" si="5"/>
        <v/>
      </c>
    </row>
    <row r="308" spans="1:1" x14ac:dyDescent="0.25">
      <c r="A308" s="42" t="str">
        <f t="shared" si="5"/>
        <v/>
      </c>
    </row>
    <row r="309" spans="1:1" x14ac:dyDescent="0.25">
      <c r="A309" s="42" t="str">
        <f t="shared" si="5"/>
        <v/>
      </c>
    </row>
    <row r="310" spans="1:1" x14ac:dyDescent="0.25">
      <c r="A310" s="42" t="str">
        <f t="shared" si="5"/>
        <v/>
      </c>
    </row>
    <row r="311" spans="1:1" x14ac:dyDescent="0.25">
      <c r="A311" s="42" t="str">
        <f t="shared" si="5"/>
        <v/>
      </c>
    </row>
    <row r="312" spans="1:1" x14ac:dyDescent="0.25">
      <c r="A312" s="42" t="str">
        <f t="shared" si="5"/>
        <v/>
      </c>
    </row>
    <row r="313" spans="1:1" x14ac:dyDescent="0.25">
      <c r="A313" s="42" t="str">
        <f t="shared" si="5"/>
        <v/>
      </c>
    </row>
    <row r="314" spans="1:1" x14ac:dyDescent="0.25">
      <c r="A314" s="42" t="str">
        <f t="shared" si="5"/>
        <v/>
      </c>
    </row>
    <row r="315" spans="1:1" x14ac:dyDescent="0.25">
      <c r="A315" s="42" t="str">
        <f t="shared" si="5"/>
        <v/>
      </c>
    </row>
    <row r="316" spans="1:1" x14ac:dyDescent="0.25">
      <c r="A316" s="42" t="str">
        <f t="shared" si="5"/>
        <v/>
      </c>
    </row>
    <row r="317" spans="1:1" x14ac:dyDescent="0.25">
      <c r="A317" s="42" t="str">
        <f t="shared" si="5"/>
        <v/>
      </c>
    </row>
    <row r="318" spans="1:1" x14ac:dyDescent="0.25">
      <c r="A318" s="42" t="str">
        <f t="shared" si="5"/>
        <v/>
      </c>
    </row>
    <row r="319" spans="1:1" x14ac:dyDescent="0.25">
      <c r="A319" s="42" t="str">
        <f t="shared" si="5"/>
        <v/>
      </c>
    </row>
    <row r="320" spans="1:1" x14ac:dyDescent="0.25">
      <c r="A320" s="42" t="str">
        <f t="shared" si="5"/>
        <v/>
      </c>
    </row>
    <row r="321" spans="1:1" x14ac:dyDescent="0.25">
      <c r="A321" s="42" t="str">
        <f t="shared" si="5"/>
        <v/>
      </c>
    </row>
    <row r="322" spans="1:1" x14ac:dyDescent="0.25">
      <c r="A322" s="42" t="str">
        <f t="shared" si="5"/>
        <v/>
      </c>
    </row>
    <row r="323" spans="1:1" x14ac:dyDescent="0.25">
      <c r="A323" s="42" t="str">
        <f t="shared" si="5"/>
        <v/>
      </c>
    </row>
    <row r="324" spans="1:1" x14ac:dyDescent="0.25">
      <c r="A324" s="42" t="str">
        <f t="shared" si="5"/>
        <v/>
      </c>
    </row>
    <row r="325" spans="1:1" x14ac:dyDescent="0.25">
      <c r="A325" s="42" t="str">
        <f t="shared" si="5"/>
        <v/>
      </c>
    </row>
    <row r="326" spans="1:1" x14ac:dyDescent="0.25">
      <c r="A326" s="42" t="str">
        <f t="shared" si="5"/>
        <v/>
      </c>
    </row>
    <row r="327" spans="1:1" x14ac:dyDescent="0.25">
      <c r="A327" s="42" t="str">
        <f t="shared" si="5"/>
        <v/>
      </c>
    </row>
    <row r="328" spans="1:1" x14ac:dyDescent="0.25">
      <c r="A328" s="42" t="str">
        <f t="shared" si="5"/>
        <v/>
      </c>
    </row>
    <row r="329" spans="1:1" x14ac:dyDescent="0.25">
      <c r="A329" s="42" t="str">
        <f t="shared" si="5"/>
        <v/>
      </c>
    </row>
    <row r="330" spans="1:1" x14ac:dyDescent="0.25">
      <c r="A330" s="42" t="str">
        <f t="shared" si="5"/>
        <v/>
      </c>
    </row>
    <row r="331" spans="1:1" x14ac:dyDescent="0.25">
      <c r="A331" s="42" t="str">
        <f t="shared" si="5"/>
        <v/>
      </c>
    </row>
    <row r="332" spans="1:1" x14ac:dyDescent="0.25">
      <c r="A332" s="42" t="str">
        <f t="shared" ref="A332:A395" si="6">IF(COUNTA(B332:D332),A331+1,"")</f>
        <v/>
      </c>
    </row>
    <row r="333" spans="1:1" x14ac:dyDescent="0.25">
      <c r="A333" s="42" t="str">
        <f t="shared" si="6"/>
        <v/>
      </c>
    </row>
    <row r="334" spans="1:1" x14ac:dyDescent="0.25">
      <c r="A334" s="42" t="str">
        <f t="shared" si="6"/>
        <v/>
      </c>
    </row>
    <row r="335" spans="1:1" x14ac:dyDescent="0.25">
      <c r="A335" s="42" t="str">
        <f t="shared" si="6"/>
        <v/>
      </c>
    </row>
    <row r="336" spans="1:1" x14ac:dyDescent="0.25">
      <c r="A336" s="42" t="str">
        <f t="shared" si="6"/>
        <v/>
      </c>
    </row>
    <row r="337" spans="1:1" x14ac:dyDescent="0.25">
      <c r="A337" s="42" t="str">
        <f t="shared" si="6"/>
        <v/>
      </c>
    </row>
    <row r="338" spans="1:1" x14ac:dyDescent="0.25">
      <c r="A338" s="42" t="str">
        <f t="shared" si="6"/>
        <v/>
      </c>
    </row>
    <row r="339" spans="1:1" x14ac:dyDescent="0.25">
      <c r="A339" s="42" t="str">
        <f t="shared" si="6"/>
        <v/>
      </c>
    </row>
    <row r="340" spans="1:1" x14ac:dyDescent="0.25">
      <c r="A340" s="42" t="str">
        <f t="shared" si="6"/>
        <v/>
      </c>
    </row>
    <row r="341" spans="1:1" x14ac:dyDescent="0.25">
      <c r="A341" s="42" t="str">
        <f t="shared" si="6"/>
        <v/>
      </c>
    </row>
    <row r="342" spans="1:1" x14ac:dyDescent="0.25">
      <c r="A342" s="42" t="str">
        <f t="shared" si="6"/>
        <v/>
      </c>
    </row>
    <row r="343" spans="1:1" x14ac:dyDescent="0.25">
      <c r="A343" s="42" t="str">
        <f t="shared" si="6"/>
        <v/>
      </c>
    </row>
    <row r="344" spans="1:1" x14ac:dyDescent="0.25">
      <c r="A344" s="42" t="str">
        <f t="shared" si="6"/>
        <v/>
      </c>
    </row>
    <row r="345" spans="1:1" x14ac:dyDescent="0.25">
      <c r="A345" s="42" t="str">
        <f t="shared" si="6"/>
        <v/>
      </c>
    </row>
    <row r="346" spans="1:1" x14ac:dyDescent="0.25">
      <c r="A346" s="42" t="str">
        <f t="shared" si="6"/>
        <v/>
      </c>
    </row>
    <row r="347" spans="1:1" x14ac:dyDescent="0.25">
      <c r="A347" s="42" t="str">
        <f t="shared" si="6"/>
        <v/>
      </c>
    </row>
    <row r="348" spans="1:1" x14ac:dyDescent="0.25">
      <c r="A348" s="42" t="str">
        <f t="shared" si="6"/>
        <v/>
      </c>
    </row>
    <row r="349" spans="1:1" x14ac:dyDescent="0.25">
      <c r="A349" s="42" t="str">
        <f t="shared" si="6"/>
        <v/>
      </c>
    </row>
    <row r="350" spans="1:1" x14ac:dyDescent="0.25">
      <c r="A350" s="42" t="str">
        <f t="shared" si="6"/>
        <v/>
      </c>
    </row>
    <row r="351" spans="1:1" x14ac:dyDescent="0.25">
      <c r="A351" s="42" t="str">
        <f t="shared" si="6"/>
        <v/>
      </c>
    </row>
    <row r="352" spans="1:1" x14ac:dyDescent="0.25">
      <c r="A352" s="42" t="str">
        <f t="shared" si="6"/>
        <v/>
      </c>
    </row>
    <row r="353" spans="1:1" x14ac:dyDescent="0.25">
      <c r="A353" s="42" t="str">
        <f t="shared" si="6"/>
        <v/>
      </c>
    </row>
    <row r="354" spans="1:1" x14ac:dyDescent="0.25">
      <c r="A354" s="42" t="str">
        <f t="shared" si="6"/>
        <v/>
      </c>
    </row>
    <row r="355" spans="1:1" x14ac:dyDescent="0.25">
      <c r="A355" s="42" t="str">
        <f t="shared" si="6"/>
        <v/>
      </c>
    </row>
    <row r="356" spans="1:1" x14ac:dyDescent="0.25">
      <c r="A356" s="42" t="str">
        <f t="shared" si="6"/>
        <v/>
      </c>
    </row>
    <row r="357" spans="1:1" x14ac:dyDescent="0.25">
      <c r="A357" s="42" t="str">
        <f t="shared" si="6"/>
        <v/>
      </c>
    </row>
    <row r="358" spans="1:1" x14ac:dyDescent="0.25">
      <c r="A358" s="42" t="str">
        <f t="shared" si="6"/>
        <v/>
      </c>
    </row>
    <row r="359" spans="1:1" x14ac:dyDescent="0.25">
      <c r="A359" s="42" t="str">
        <f t="shared" si="6"/>
        <v/>
      </c>
    </row>
    <row r="360" spans="1:1" x14ac:dyDescent="0.25">
      <c r="A360" s="42" t="str">
        <f t="shared" si="6"/>
        <v/>
      </c>
    </row>
    <row r="361" spans="1:1" x14ac:dyDescent="0.25">
      <c r="A361" s="42" t="str">
        <f t="shared" si="6"/>
        <v/>
      </c>
    </row>
    <row r="362" spans="1:1" x14ac:dyDescent="0.25">
      <c r="A362" s="42" t="str">
        <f t="shared" si="6"/>
        <v/>
      </c>
    </row>
    <row r="363" spans="1:1" x14ac:dyDescent="0.25">
      <c r="A363" s="42" t="str">
        <f t="shared" si="6"/>
        <v/>
      </c>
    </row>
    <row r="364" spans="1:1" x14ac:dyDescent="0.25">
      <c r="A364" s="42" t="str">
        <f t="shared" si="6"/>
        <v/>
      </c>
    </row>
    <row r="365" spans="1:1" x14ac:dyDescent="0.25">
      <c r="A365" s="42" t="str">
        <f t="shared" si="6"/>
        <v/>
      </c>
    </row>
    <row r="366" spans="1:1" x14ac:dyDescent="0.25">
      <c r="A366" s="42" t="str">
        <f t="shared" si="6"/>
        <v/>
      </c>
    </row>
    <row r="367" spans="1:1" x14ac:dyDescent="0.25">
      <c r="A367" s="42" t="str">
        <f t="shared" si="6"/>
        <v/>
      </c>
    </row>
    <row r="368" spans="1:1" x14ac:dyDescent="0.25">
      <c r="A368" s="42" t="str">
        <f t="shared" si="6"/>
        <v/>
      </c>
    </row>
    <row r="369" spans="1:1" x14ac:dyDescent="0.25">
      <c r="A369" s="42" t="str">
        <f t="shared" si="6"/>
        <v/>
      </c>
    </row>
    <row r="370" spans="1:1" x14ac:dyDescent="0.25">
      <c r="A370" s="42" t="str">
        <f t="shared" si="6"/>
        <v/>
      </c>
    </row>
    <row r="371" spans="1:1" x14ac:dyDescent="0.25">
      <c r="A371" s="42" t="str">
        <f t="shared" si="6"/>
        <v/>
      </c>
    </row>
    <row r="372" spans="1:1" x14ac:dyDescent="0.25">
      <c r="A372" s="42" t="str">
        <f t="shared" si="6"/>
        <v/>
      </c>
    </row>
    <row r="373" spans="1:1" x14ac:dyDescent="0.25">
      <c r="A373" s="42" t="str">
        <f t="shared" si="6"/>
        <v/>
      </c>
    </row>
    <row r="374" spans="1:1" x14ac:dyDescent="0.25">
      <c r="A374" s="42" t="str">
        <f t="shared" si="6"/>
        <v/>
      </c>
    </row>
    <row r="375" spans="1:1" x14ac:dyDescent="0.25">
      <c r="A375" s="42" t="str">
        <f t="shared" si="6"/>
        <v/>
      </c>
    </row>
    <row r="376" spans="1:1" x14ac:dyDescent="0.25">
      <c r="A376" s="42" t="str">
        <f t="shared" si="6"/>
        <v/>
      </c>
    </row>
    <row r="377" spans="1:1" x14ac:dyDescent="0.25">
      <c r="A377" s="42" t="str">
        <f t="shared" si="6"/>
        <v/>
      </c>
    </row>
    <row r="378" spans="1:1" x14ac:dyDescent="0.25">
      <c r="A378" s="42" t="str">
        <f t="shared" si="6"/>
        <v/>
      </c>
    </row>
    <row r="379" spans="1:1" x14ac:dyDescent="0.25">
      <c r="A379" s="42" t="str">
        <f t="shared" si="6"/>
        <v/>
      </c>
    </row>
    <row r="380" spans="1:1" x14ac:dyDescent="0.25">
      <c r="A380" s="42" t="str">
        <f t="shared" si="6"/>
        <v/>
      </c>
    </row>
    <row r="381" spans="1:1" x14ac:dyDescent="0.25">
      <c r="A381" s="42" t="str">
        <f t="shared" si="6"/>
        <v/>
      </c>
    </row>
    <row r="382" spans="1:1" x14ac:dyDescent="0.25">
      <c r="A382" s="42" t="str">
        <f t="shared" si="6"/>
        <v/>
      </c>
    </row>
    <row r="383" spans="1:1" x14ac:dyDescent="0.25">
      <c r="A383" s="42" t="str">
        <f t="shared" si="6"/>
        <v/>
      </c>
    </row>
    <row r="384" spans="1:1" x14ac:dyDescent="0.25">
      <c r="A384" s="42" t="str">
        <f t="shared" si="6"/>
        <v/>
      </c>
    </row>
    <row r="385" spans="1:1" x14ac:dyDescent="0.25">
      <c r="A385" s="42" t="str">
        <f t="shared" si="6"/>
        <v/>
      </c>
    </row>
    <row r="386" spans="1:1" x14ac:dyDescent="0.25">
      <c r="A386" s="42" t="str">
        <f t="shared" si="6"/>
        <v/>
      </c>
    </row>
    <row r="387" spans="1:1" x14ac:dyDescent="0.25">
      <c r="A387" s="42" t="str">
        <f t="shared" si="6"/>
        <v/>
      </c>
    </row>
    <row r="388" spans="1:1" x14ac:dyDescent="0.25">
      <c r="A388" s="42" t="str">
        <f t="shared" si="6"/>
        <v/>
      </c>
    </row>
    <row r="389" spans="1:1" x14ac:dyDescent="0.25">
      <c r="A389" s="42" t="str">
        <f t="shared" si="6"/>
        <v/>
      </c>
    </row>
    <row r="390" spans="1:1" x14ac:dyDescent="0.25">
      <c r="A390" s="42" t="str">
        <f t="shared" si="6"/>
        <v/>
      </c>
    </row>
    <row r="391" spans="1:1" x14ac:dyDescent="0.25">
      <c r="A391" s="42" t="str">
        <f t="shared" si="6"/>
        <v/>
      </c>
    </row>
    <row r="392" spans="1:1" x14ac:dyDescent="0.25">
      <c r="A392" s="42" t="str">
        <f t="shared" si="6"/>
        <v/>
      </c>
    </row>
    <row r="393" spans="1:1" x14ac:dyDescent="0.25">
      <c r="A393" s="42" t="str">
        <f t="shared" si="6"/>
        <v/>
      </c>
    </row>
    <row r="394" spans="1:1" x14ac:dyDescent="0.25">
      <c r="A394" s="42" t="str">
        <f t="shared" si="6"/>
        <v/>
      </c>
    </row>
    <row r="395" spans="1:1" x14ac:dyDescent="0.25">
      <c r="A395" s="42" t="str">
        <f t="shared" si="6"/>
        <v/>
      </c>
    </row>
    <row r="396" spans="1:1" x14ac:dyDescent="0.25">
      <c r="A396" s="42" t="str">
        <f t="shared" ref="A396:A459" si="7">IF(COUNTA(B396:D396),A395+1,"")</f>
        <v/>
      </c>
    </row>
    <row r="397" spans="1:1" x14ac:dyDescent="0.25">
      <c r="A397" s="42" t="str">
        <f t="shared" si="7"/>
        <v/>
      </c>
    </row>
    <row r="398" spans="1:1" x14ac:dyDescent="0.25">
      <c r="A398" s="42" t="str">
        <f t="shared" si="7"/>
        <v/>
      </c>
    </row>
    <row r="399" spans="1:1" x14ac:dyDescent="0.25">
      <c r="A399" s="42" t="str">
        <f t="shared" si="7"/>
        <v/>
      </c>
    </row>
    <row r="400" spans="1:1" x14ac:dyDescent="0.25">
      <c r="A400" s="42" t="str">
        <f t="shared" si="7"/>
        <v/>
      </c>
    </row>
    <row r="401" spans="1:1" x14ac:dyDescent="0.25">
      <c r="A401" s="42" t="str">
        <f t="shared" si="7"/>
        <v/>
      </c>
    </row>
    <row r="402" spans="1:1" x14ac:dyDescent="0.25">
      <c r="A402" s="42" t="str">
        <f t="shared" si="7"/>
        <v/>
      </c>
    </row>
    <row r="403" spans="1:1" x14ac:dyDescent="0.25">
      <c r="A403" s="42" t="str">
        <f t="shared" si="7"/>
        <v/>
      </c>
    </row>
    <row r="404" spans="1:1" x14ac:dyDescent="0.25">
      <c r="A404" s="42" t="str">
        <f t="shared" si="7"/>
        <v/>
      </c>
    </row>
    <row r="405" spans="1:1" x14ac:dyDescent="0.25">
      <c r="A405" s="42" t="str">
        <f t="shared" si="7"/>
        <v/>
      </c>
    </row>
    <row r="406" spans="1:1" x14ac:dyDescent="0.25">
      <c r="A406" s="42" t="str">
        <f t="shared" si="7"/>
        <v/>
      </c>
    </row>
    <row r="407" spans="1:1" x14ac:dyDescent="0.25">
      <c r="A407" s="42" t="str">
        <f t="shared" si="7"/>
        <v/>
      </c>
    </row>
    <row r="408" spans="1:1" x14ac:dyDescent="0.25">
      <c r="A408" s="42" t="str">
        <f t="shared" si="7"/>
        <v/>
      </c>
    </row>
    <row r="409" spans="1:1" x14ac:dyDescent="0.25">
      <c r="A409" s="42" t="str">
        <f t="shared" si="7"/>
        <v/>
      </c>
    </row>
    <row r="410" spans="1:1" x14ac:dyDescent="0.25">
      <c r="A410" s="42" t="str">
        <f t="shared" si="7"/>
        <v/>
      </c>
    </row>
    <row r="411" spans="1:1" x14ac:dyDescent="0.25">
      <c r="A411" s="42" t="str">
        <f t="shared" si="7"/>
        <v/>
      </c>
    </row>
    <row r="412" spans="1:1" x14ac:dyDescent="0.25">
      <c r="A412" s="42" t="str">
        <f t="shared" si="7"/>
        <v/>
      </c>
    </row>
    <row r="413" spans="1:1" x14ac:dyDescent="0.25">
      <c r="A413" s="42" t="str">
        <f t="shared" si="7"/>
        <v/>
      </c>
    </row>
    <row r="414" spans="1:1" x14ac:dyDescent="0.25">
      <c r="A414" s="42" t="str">
        <f t="shared" si="7"/>
        <v/>
      </c>
    </row>
    <row r="415" spans="1:1" x14ac:dyDescent="0.25">
      <c r="A415" s="42" t="str">
        <f t="shared" si="7"/>
        <v/>
      </c>
    </row>
    <row r="416" spans="1:1" x14ac:dyDescent="0.25">
      <c r="A416" s="42" t="str">
        <f t="shared" si="7"/>
        <v/>
      </c>
    </row>
    <row r="417" spans="1:1" x14ac:dyDescent="0.25">
      <c r="A417" s="42" t="str">
        <f t="shared" si="7"/>
        <v/>
      </c>
    </row>
    <row r="418" spans="1:1" x14ac:dyDescent="0.25">
      <c r="A418" s="42" t="str">
        <f t="shared" si="7"/>
        <v/>
      </c>
    </row>
    <row r="419" spans="1:1" x14ac:dyDescent="0.25">
      <c r="A419" s="42" t="str">
        <f t="shared" si="7"/>
        <v/>
      </c>
    </row>
    <row r="420" spans="1:1" x14ac:dyDescent="0.25">
      <c r="A420" s="42" t="str">
        <f t="shared" si="7"/>
        <v/>
      </c>
    </row>
    <row r="421" spans="1:1" x14ac:dyDescent="0.25">
      <c r="A421" s="42" t="str">
        <f t="shared" si="7"/>
        <v/>
      </c>
    </row>
    <row r="422" spans="1:1" x14ac:dyDescent="0.25">
      <c r="A422" s="42" t="str">
        <f t="shared" si="7"/>
        <v/>
      </c>
    </row>
    <row r="423" spans="1:1" x14ac:dyDescent="0.25">
      <c r="A423" s="42" t="str">
        <f t="shared" si="7"/>
        <v/>
      </c>
    </row>
    <row r="424" spans="1:1" x14ac:dyDescent="0.25">
      <c r="A424" s="42" t="str">
        <f t="shared" si="7"/>
        <v/>
      </c>
    </row>
    <row r="425" spans="1:1" x14ac:dyDescent="0.25">
      <c r="A425" s="42" t="str">
        <f t="shared" si="7"/>
        <v/>
      </c>
    </row>
    <row r="426" spans="1:1" x14ac:dyDescent="0.25">
      <c r="A426" s="42" t="str">
        <f t="shared" si="7"/>
        <v/>
      </c>
    </row>
    <row r="427" spans="1:1" x14ac:dyDescent="0.25">
      <c r="A427" s="42" t="str">
        <f t="shared" si="7"/>
        <v/>
      </c>
    </row>
    <row r="428" spans="1:1" x14ac:dyDescent="0.25">
      <c r="A428" s="42" t="str">
        <f t="shared" si="7"/>
        <v/>
      </c>
    </row>
    <row r="429" spans="1:1" x14ac:dyDescent="0.25">
      <c r="A429" s="42" t="str">
        <f t="shared" si="7"/>
        <v/>
      </c>
    </row>
    <row r="430" spans="1:1" x14ac:dyDescent="0.25">
      <c r="A430" s="42" t="str">
        <f t="shared" si="7"/>
        <v/>
      </c>
    </row>
    <row r="431" spans="1:1" x14ac:dyDescent="0.25">
      <c r="A431" s="42" t="str">
        <f t="shared" si="7"/>
        <v/>
      </c>
    </row>
    <row r="432" spans="1:1" x14ac:dyDescent="0.25">
      <c r="A432" s="42" t="str">
        <f t="shared" si="7"/>
        <v/>
      </c>
    </row>
    <row r="433" spans="1:1" x14ac:dyDescent="0.25">
      <c r="A433" s="42" t="str">
        <f t="shared" si="7"/>
        <v/>
      </c>
    </row>
    <row r="434" spans="1:1" x14ac:dyDescent="0.25">
      <c r="A434" s="42" t="str">
        <f t="shared" si="7"/>
        <v/>
      </c>
    </row>
    <row r="435" spans="1:1" x14ac:dyDescent="0.25">
      <c r="A435" s="42" t="str">
        <f t="shared" si="7"/>
        <v/>
      </c>
    </row>
    <row r="436" spans="1:1" x14ac:dyDescent="0.25">
      <c r="A436" s="42" t="str">
        <f t="shared" si="7"/>
        <v/>
      </c>
    </row>
    <row r="437" spans="1:1" x14ac:dyDescent="0.25">
      <c r="A437" s="42" t="str">
        <f t="shared" si="7"/>
        <v/>
      </c>
    </row>
    <row r="438" spans="1:1" x14ac:dyDescent="0.25">
      <c r="A438" s="42" t="str">
        <f t="shared" si="7"/>
        <v/>
      </c>
    </row>
    <row r="439" spans="1:1" x14ac:dyDescent="0.25">
      <c r="A439" s="42" t="str">
        <f t="shared" si="7"/>
        <v/>
      </c>
    </row>
    <row r="440" spans="1:1" x14ac:dyDescent="0.25">
      <c r="A440" s="42" t="str">
        <f t="shared" si="7"/>
        <v/>
      </c>
    </row>
    <row r="441" spans="1:1" x14ac:dyDescent="0.25">
      <c r="A441" s="42" t="str">
        <f t="shared" si="7"/>
        <v/>
      </c>
    </row>
    <row r="442" spans="1:1" x14ac:dyDescent="0.25">
      <c r="A442" s="42" t="str">
        <f t="shared" si="7"/>
        <v/>
      </c>
    </row>
    <row r="443" spans="1:1" x14ac:dyDescent="0.25">
      <c r="A443" s="42" t="str">
        <f t="shared" si="7"/>
        <v/>
      </c>
    </row>
    <row r="444" spans="1:1" x14ac:dyDescent="0.25">
      <c r="A444" s="42" t="str">
        <f t="shared" si="7"/>
        <v/>
      </c>
    </row>
    <row r="445" spans="1:1" x14ac:dyDescent="0.25">
      <c r="A445" s="42" t="str">
        <f t="shared" si="7"/>
        <v/>
      </c>
    </row>
    <row r="446" spans="1:1" x14ac:dyDescent="0.25">
      <c r="A446" s="42" t="str">
        <f t="shared" si="7"/>
        <v/>
      </c>
    </row>
    <row r="447" spans="1:1" x14ac:dyDescent="0.25">
      <c r="A447" s="42" t="str">
        <f t="shared" si="7"/>
        <v/>
      </c>
    </row>
    <row r="448" spans="1:1" x14ac:dyDescent="0.25">
      <c r="A448" s="42" t="str">
        <f t="shared" si="7"/>
        <v/>
      </c>
    </row>
    <row r="449" spans="1:1" x14ac:dyDescent="0.25">
      <c r="A449" s="42" t="str">
        <f t="shared" si="7"/>
        <v/>
      </c>
    </row>
    <row r="450" spans="1:1" x14ac:dyDescent="0.25">
      <c r="A450" s="42" t="str">
        <f t="shared" si="7"/>
        <v/>
      </c>
    </row>
    <row r="451" spans="1:1" x14ac:dyDescent="0.25">
      <c r="A451" s="42" t="str">
        <f t="shared" si="7"/>
        <v/>
      </c>
    </row>
    <row r="452" spans="1:1" x14ac:dyDescent="0.25">
      <c r="A452" s="42" t="str">
        <f t="shared" si="7"/>
        <v/>
      </c>
    </row>
    <row r="453" spans="1:1" x14ac:dyDescent="0.25">
      <c r="A453" s="42" t="str">
        <f t="shared" si="7"/>
        <v/>
      </c>
    </row>
    <row r="454" spans="1:1" x14ac:dyDescent="0.25">
      <c r="A454" s="42" t="str">
        <f t="shared" si="7"/>
        <v/>
      </c>
    </row>
    <row r="455" spans="1:1" x14ac:dyDescent="0.25">
      <c r="A455" s="42" t="str">
        <f t="shared" si="7"/>
        <v/>
      </c>
    </row>
    <row r="456" spans="1:1" x14ac:dyDescent="0.25">
      <c r="A456" s="42" t="str">
        <f t="shared" si="7"/>
        <v/>
      </c>
    </row>
    <row r="457" spans="1:1" x14ac:dyDescent="0.25">
      <c r="A457" s="42" t="str">
        <f t="shared" si="7"/>
        <v/>
      </c>
    </row>
    <row r="458" spans="1:1" x14ac:dyDescent="0.25">
      <c r="A458" s="42" t="str">
        <f t="shared" si="7"/>
        <v/>
      </c>
    </row>
    <row r="459" spans="1:1" x14ac:dyDescent="0.25">
      <c r="A459" s="42" t="str">
        <f t="shared" si="7"/>
        <v/>
      </c>
    </row>
    <row r="460" spans="1:1" x14ac:dyDescent="0.25">
      <c r="A460" s="42" t="str">
        <f t="shared" ref="A460:A523" si="8">IF(COUNTA(B460:D460),A459+1,"")</f>
        <v/>
      </c>
    </row>
    <row r="461" spans="1:1" x14ac:dyDescent="0.25">
      <c r="A461" s="42" t="str">
        <f t="shared" si="8"/>
        <v/>
      </c>
    </row>
    <row r="462" spans="1:1" x14ac:dyDescent="0.25">
      <c r="A462" s="42" t="str">
        <f t="shared" si="8"/>
        <v/>
      </c>
    </row>
    <row r="463" spans="1:1" x14ac:dyDescent="0.25">
      <c r="A463" s="42" t="str">
        <f t="shared" si="8"/>
        <v/>
      </c>
    </row>
    <row r="464" spans="1:1" x14ac:dyDescent="0.25">
      <c r="A464" s="42" t="str">
        <f t="shared" si="8"/>
        <v/>
      </c>
    </row>
    <row r="465" spans="1:1" x14ac:dyDescent="0.25">
      <c r="A465" s="42" t="str">
        <f t="shared" si="8"/>
        <v/>
      </c>
    </row>
    <row r="466" spans="1:1" x14ac:dyDescent="0.25">
      <c r="A466" s="42" t="str">
        <f t="shared" si="8"/>
        <v/>
      </c>
    </row>
    <row r="467" spans="1:1" x14ac:dyDescent="0.25">
      <c r="A467" s="42" t="str">
        <f t="shared" si="8"/>
        <v/>
      </c>
    </row>
    <row r="468" spans="1:1" x14ac:dyDescent="0.25">
      <c r="A468" s="42" t="str">
        <f t="shared" si="8"/>
        <v/>
      </c>
    </row>
    <row r="469" spans="1:1" x14ac:dyDescent="0.25">
      <c r="A469" s="42" t="str">
        <f t="shared" si="8"/>
        <v/>
      </c>
    </row>
    <row r="470" spans="1:1" x14ac:dyDescent="0.25">
      <c r="A470" s="42" t="str">
        <f t="shared" si="8"/>
        <v/>
      </c>
    </row>
    <row r="471" spans="1:1" x14ac:dyDescent="0.25">
      <c r="A471" s="42" t="str">
        <f t="shared" si="8"/>
        <v/>
      </c>
    </row>
    <row r="472" spans="1:1" x14ac:dyDescent="0.25">
      <c r="A472" s="42" t="str">
        <f t="shared" si="8"/>
        <v/>
      </c>
    </row>
    <row r="473" spans="1:1" x14ac:dyDescent="0.25">
      <c r="A473" s="42" t="str">
        <f t="shared" si="8"/>
        <v/>
      </c>
    </row>
    <row r="474" spans="1:1" x14ac:dyDescent="0.25">
      <c r="A474" s="42" t="str">
        <f t="shared" si="8"/>
        <v/>
      </c>
    </row>
    <row r="475" spans="1:1" x14ac:dyDescent="0.25">
      <c r="A475" s="42" t="str">
        <f t="shared" si="8"/>
        <v/>
      </c>
    </row>
    <row r="476" spans="1:1" x14ac:dyDescent="0.25">
      <c r="A476" s="42" t="str">
        <f t="shared" si="8"/>
        <v/>
      </c>
    </row>
    <row r="477" spans="1:1" x14ac:dyDescent="0.25">
      <c r="A477" s="42" t="str">
        <f t="shared" si="8"/>
        <v/>
      </c>
    </row>
    <row r="478" spans="1:1" x14ac:dyDescent="0.25">
      <c r="A478" s="42" t="str">
        <f t="shared" si="8"/>
        <v/>
      </c>
    </row>
    <row r="479" spans="1:1" x14ac:dyDescent="0.25">
      <c r="A479" s="42" t="str">
        <f t="shared" si="8"/>
        <v/>
      </c>
    </row>
    <row r="480" spans="1:1" x14ac:dyDescent="0.25">
      <c r="A480" s="42" t="str">
        <f t="shared" si="8"/>
        <v/>
      </c>
    </row>
    <row r="481" spans="1:1" x14ac:dyDescent="0.25">
      <c r="A481" s="42" t="str">
        <f t="shared" si="8"/>
        <v/>
      </c>
    </row>
    <row r="482" spans="1:1" x14ac:dyDescent="0.25">
      <c r="A482" s="42" t="str">
        <f t="shared" si="8"/>
        <v/>
      </c>
    </row>
    <row r="483" spans="1:1" x14ac:dyDescent="0.25">
      <c r="A483" s="42" t="str">
        <f t="shared" si="8"/>
        <v/>
      </c>
    </row>
    <row r="484" spans="1:1" x14ac:dyDescent="0.25">
      <c r="A484" s="42" t="str">
        <f t="shared" si="8"/>
        <v/>
      </c>
    </row>
    <row r="485" spans="1:1" x14ac:dyDescent="0.25">
      <c r="A485" s="42" t="str">
        <f t="shared" si="8"/>
        <v/>
      </c>
    </row>
    <row r="486" spans="1:1" x14ac:dyDescent="0.25">
      <c r="A486" s="42" t="str">
        <f t="shared" si="8"/>
        <v/>
      </c>
    </row>
    <row r="487" spans="1:1" x14ac:dyDescent="0.25">
      <c r="A487" s="42" t="str">
        <f t="shared" si="8"/>
        <v/>
      </c>
    </row>
    <row r="488" spans="1:1" x14ac:dyDescent="0.25">
      <c r="A488" s="42" t="str">
        <f t="shared" si="8"/>
        <v/>
      </c>
    </row>
    <row r="489" spans="1:1" x14ac:dyDescent="0.25">
      <c r="A489" s="42" t="str">
        <f t="shared" si="8"/>
        <v/>
      </c>
    </row>
    <row r="490" spans="1:1" x14ac:dyDescent="0.25">
      <c r="A490" s="42" t="str">
        <f t="shared" si="8"/>
        <v/>
      </c>
    </row>
    <row r="491" spans="1:1" x14ac:dyDescent="0.25">
      <c r="A491" s="42" t="str">
        <f t="shared" si="8"/>
        <v/>
      </c>
    </row>
    <row r="492" spans="1:1" x14ac:dyDescent="0.25">
      <c r="A492" s="42" t="str">
        <f t="shared" si="8"/>
        <v/>
      </c>
    </row>
    <row r="493" spans="1:1" x14ac:dyDescent="0.25">
      <c r="A493" s="42" t="str">
        <f t="shared" si="8"/>
        <v/>
      </c>
    </row>
    <row r="494" spans="1:1" x14ac:dyDescent="0.25">
      <c r="A494" s="42" t="str">
        <f t="shared" si="8"/>
        <v/>
      </c>
    </row>
    <row r="495" spans="1:1" x14ac:dyDescent="0.25">
      <c r="A495" s="42" t="str">
        <f t="shared" si="8"/>
        <v/>
      </c>
    </row>
    <row r="496" spans="1:1" x14ac:dyDescent="0.25">
      <c r="A496" s="42" t="str">
        <f t="shared" si="8"/>
        <v/>
      </c>
    </row>
    <row r="497" spans="1:1" x14ac:dyDescent="0.25">
      <c r="A497" s="42" t="str">
        <f t="shared" si="8"/>
        <v/>
      </c>
    </row>
    <row r="498" spans="1:1" x14ac:dyDescent="0.25">
      <c r="A498" s="42" t="str">
        <f t="shared" si="8"/>
        <v/>
      </c>
    </row>
    <row r="499" spans="1:1" x14ac:dyDescent="0.25">
      <c r="A499" s="42" t="str">
        <f t="shared" si="8"/>
        <v/>
      </c>
    </row>
    <row r="500" spans="1:1" x14ac:dyDescent="0.25">
      <c r="A500" s="42" t="str">
        <f t="shared" si="8"/>
        <v/>
      </c>
    </row>
    <row r="501" spans="1:1" x14ac:dyDescent="0.25">
      <c r="A501" s="42" t="str">
        <f t="shared" si="8"/>
        <v/>
      </c>
    </row>
    <row r="502" spans="1:1" x14ac:dyDescent="0.25">
      <c r="A502" s="42" t="str">
        <f t="shared" si="8"/>
        <v/>
      </c>
    </row>
    <row r="503" spans="1:1" x14ac:dyDescent="0.25">
      <c r="A503" s="42" t="str">
        <f t="shared" si="8"/>
        <v/>
      </c>
    </row>
    <row r="504" spans="1:1" x14ac:dyDescent="0.25">
      <c r="A504" s="42" t="str">
        <f t="shared" si="8"/>
        <v/>
      </c>
    </row>
    <row r="505" spans="1:1" x14ac:dyDescent="0.25">
      <c r="A505" s="42" t="str">
        <f t="shared" si="8"/>
        <v/>
      </c>
    </row>
    <row r="506" spans="1:1" x14ac:dyDescent="0.25">
      <c r="A506" s="42" t="str">
        <f t="shared" si="8"/>
        <v/>
      </c>
    </row>
    <row r="507" spans="1:1" x14ac:dyDescent="0.25">
      <c r="A507" s="42" t="str">
        <f t="shared" si="8"/>
        <v/>
      </c>
    </row>
    <row r="508" spans="1:1" x14ac:dyDescent="0.25">
      <c r="A508" s="42" t="str">
        <f t="shared" si="8"/>
        <v/>
      </c>
    </row>
    <row r="509" spans="1:1" x14ac:dyDescent="0.25">
      <c r="A509" s="42" t="str">
        <f t="shared" si="8"/>
        <v/>
      </c>
    </row>
    <row r="510" spans="1:1" x14ac:dyDescent="0.25">
      <c r="A510" s="42" t="str">
        <f t="shared" si="8"/>
        <v/>
      </c>
    </row>
    <row r="511" spans="1:1" x14ac:dyDescent="0.25">
      <c r="A511" s="42" t="str">
        <f t="shared" si="8"/>
        <v/>
      </c>
    </row>
    <row r="512" spans="1:1" x14ac:dyDescent="0.25">
      <c r="A512" s="42" t="str">
        <f t="shared" si="8"/>
        <v/>
      </c>
    </row>
    <row r="513" spans="1:1" x14ac:dyDescent="0.25">
      <c r="A513" s="42" t="str">
        <f t="shared" si="8"/>
        <v/>
      </c>
    </row>
    <row r="514" spans="1:1" x14ac:dyDescent="0.25">
      <c r="A514" s="42" t="str">
        <f t="shared" si="8"/>
        <v/>
      </c>
    </row>
    <row r="515" spans="1:1" x14ac:dyDescent="0.25">
      <c r="A515" s="42" t="str">
        <f t="shared" si="8"/>
        <v/>
      </c>
    </row>
    <row r="516" spans="1:1" x14ac:dyDescent="0.25">
      <c r="A516" s="42" t="str">
        <f t="shared" si="8"/>
        <v/>
      </c>
    </row>
    <row r="517" spans="1:1" x14ac:dyDescent="0.25">
      <c r="A517" s="42" t="str">
        <f t="shared" si="8"/>
        <v/>
      </c>
    </row>
    <row r="518" spans="1:1" x14ac:dyDescent="0.25">
      <c r="A518" s="42" t="str">
        <f t="shared" si="8"/>
        <v/>
      </c>
    </row>
    <row r="519" spans="1:1" x14ac:dyDescent="0.25">
      <c r="A519" s="42" t="str">
        <f t="shared" si="8"/>
        <v/>
      </c>
    </row>
    <row r="520" spans="1:1" x14ac:dyDescent="0.25">
      <c r="A520" s="42" t="str">
        <f t="shared" si="8"/>
        <v/>
      </c>
    </row>
    <row r="521" spans="1:1" x14ac:dyDescent="0.25">
      <c r="A521" s="42" t="str">
        <f t="shared" si="8"/>
        <v/>
      </c>
    </row>
    <row r="522" spans="1:1" x14ac:dyDescent="0.25">
      <c r="A522" s="42" t="str">
        <f t="shared" si="8"/>
        <v/>
      </c>
    </row>
    <row r="523" spans="1:1" x14ac:dyDescent="0.25">
      <c r="A523" s="42" t="str">
        <f t="shared" si="8"/>
        <v/>
      </c>
    </row>
    <row r="524" spans="1:1" x14ac:dyDescent="0.25">
      <c r="A524" s="42" t="str">
        <f t="shared" ref="A524:A587" si="9">IF(COUNTA(B524:D524),A523+1,"")</f>
        <v/>
      </c>
    </row>
    <row r="525" spans="1:1" x14ac:dyDescent="0.25">
      <c r="A525" s="42" t="str">
        <f t="shared" si="9"/>
        <v/>
      </c>
    </row>
    <row r="526" spans="1:1" x14ac:dyDescent="0.25">
      <c r="A526" s="42" t="str">
        <f t="shared" si="9"/>
        <v/>
      </c>
    </row>
    <row r="527" spans="1:1" x14ac:dyDescent="0.25">
      <c r="A527" s="42" t="str">
        <f t="shared" si="9"/>
        <v/>
      </c>
    </row>
    <row r="528" spans="1:1" x14ac:dyDescent="0.25">
      <c r="A528" s="42" t="str">
        <f t="shared" si="9"/>
        <v/>
      </c>
    </row>
    <row r="529" spans="1:1" x14ac:dyDescent="0.25">
      <c r="A529" s="42" t="str">
        <f t="shared" si="9"/>
        <v/>
      </c>
    </row>
    <row r="530" spans="1:1" x14ac:dyDescent="0.25">
      <c r="A530" s="42" t="str">
        <f t="shared" si="9"/>
        <v/>
      </c>
    </row>
    <row r="531" spans="1:1" x14ac:dyDescent="0.25">
      <c r="A531" s="42" t="str">
        <f t="shared" si="9"/>
        <v/>
      </c>
    </row>
    <row r="532" spans="1:1" x14ac:dyDescent="0.25">
      <c r="A532" s="42" t="str">
        <f t="shared" si="9"/>
        <v/>
      </c>
    </row>
    <row r="533" spans="1:1" x14ac:dyDescent="0.25">
      <c r="A533" s="42" t="str">
        <f t="shared" si="9"/>
        <v/>
      </c>
    </row>
    <row r="534" spans="1:1" x14ac:dyDescent="0.25">
      <c r="A534" s="42" t="str">
        <f t="shared" si="9"/>
        <v/>
      </c>
    </row>
    <row r="535" spans="1:1" x14ac:dyDescent="0.25">
      <c r="A535" s="42" t="str">
        <f t="shared" si="9"/>
        <v/>
      </c>
    </row>
    <row r="536" spans="1:1" x14ac:dyDescent="0.25">
      <c r="A536" s="42" t="str">
        <f t="shared" si="9"/>
        <v/>
      </c>
    </row>
    <row r="537" spans="1:1" x14ac:dyDescent="0.25">
      <c r="A537" s="42" t="str">
        <f t="shared" si="9"/>
        <v/>
      </c>
    </row>
    <row r="538" spans="1:1" x14ac:dyDescent="0.25">
      <c r="A538" s="42" t="str">
        <f t="shared" si="9"/>
        <v/>
      </c>
    </row>
    <row r="539" spans="1:1" x14ac:dyDescent="0.25">
      <c r="A539" s="42" t="str">
        <f t="shared" si="9"/>
        <v/>
      </c>
    </row>
    <row r="540" spans="1:1" x14ac:dyDescent="0.25">
      <c r="A540" s="42" t="str">
        <f t="shared" si="9"/>
        <v/>
      </c>
    </row>
    <row r="541" spans="1:1" x14ac:dyDescent="0.25">
      <c r="A541" s="42" t="str">
        <f t="shared" si="9"/>
        <v/>
      </c>
    </row>
    <row r="542" spans="1:1" x14ac:dyDescent="0.25">
      <c r="A542" s="42" t="str">
        <f t="shared" si="9"/>
        <v/>
      </c>
    </row>
    <row r="543" spans="1:1" x14ac:dyDescent="0.25">
      <c r="A543" s="42" t="str">
        <f t="shared" si="9"/>
        <v/>
      </c>
    </row>
    <row r="544" spans="1:1" x14ac:dyDescent="0.25">
      <c r="A544" s="42" t="str">
        <f t="shared" si="9"/>
        <v/>
      </c>
    </row>
    <row r="545" spans="1:1" x14ac:dyDescent="0.25">
      <c r="A545" s="42" t="str">
        <f t="shared" si="9"/>
        <v/>
      </c>
    </row>
    <row r="546" spans="1:1" x14ac:dyDescent="0.25">
      <c r="A546" s="42" t="str">
        <f t="shared" si="9"/>
        <v/>
      </c>
    </row>
    <row r="547" spans="1:1" x14ac:dyDescent="0.25">
      <c r="A547" s="42" t="str">
        <f t="shared" si="9"/>
        <v/>
      </c>
    </row>
    <row r="548" spans="1:1" x14ac:dyDescent="0.25">
      <c r="A548" s="42" t="str">
        <f t="shared" si="9"/>
        <v/>
      </c>
    </row>
    <row r="549" spans="1:1" x14ac:dyDescent="0.25">
      <c r="A549" s="42" t="str">
        <f t="shared" si="9"/>
        <v/>
      </c>
    </row>
    <row r="550" spans="1:1" x14ac:dyDescent="0.25">
      <c r="A550" s="42" t="str">
        <f t="shared" si="9"/>
        <v/>
      </c>
    </row>
    <row r="551" spans="1:1" x14ac:dyDescent="0.25">
      <c r="A551" s="42" t="str">
        <f t="shared" si="9"/>
        <v/>
      </c>
    </row>
    <row r="552" spans="1:1" x14ac:dyDescent="0.25">
      <c r="A552" s="42" t="str">
        <f t="shared" si="9"/>
        <v/>
      </c>
    </row>
    <row r="553" spans="1:1" x14ac:dyDescent="0.25">
      <c r="A553" s="42" t="str">
        <f t="shared" si="9"/>
        <v/>
      </c>
    </row>
    <row r="554" spans="1:1" x14ac:dyDescent="0.25">
      <c r="A554" s="42" t="str">
        <f t="shared" si="9"/>
        <v/>
      </c>
    </row>
    <row r="555" spans="1:1" x14ac:dyDescent="0.25">
      <c r="A555" s="42" t="str">
        <f t="shared" si="9"/>
        <v/>
      </c>
    </row>
    <row r="556" spans="1:1" x14ac:dyDescent="0.25">
      <c r="A556" s="42" t="str">
        <f t="shared" si="9"/>
        <v/>
      </c>
    </row>
    <row r="557" spans="1:1" x14ac:dyDescent="0.25">
      <c r="A557" s="42" t="str">
        <f t="shared" si="9"/>
        <v/>
      </c>
    </row>
    <row r="558" spans="1:1" x14ac:dyDescent="0.25">
      <c r="A558" s="42" t="str">
        <f t="shared" si="9"/>
        <v/>
      </c>
    </row>
    <row r="559" spans="1:1" x14ac:dyDescent="0.25">
      <c r="A559" s="42" t="str">
        <f t="shared" si="9"/>
        <v/>
      </c>
    </row>
    <row r="560" spans="1:1" x14ac:dyDescent="0.25">
      <c r="A560" s="42" t="str">
        <f t="shared" si="9"/>
        <v/>
      </c>
    </row>
    <row r="561" spans="1:1" x14ac:dyDescent="0.25">
      <c r="A561" s="42" t="str">
        <f t="shared" si="9"/>
        <v/>
      </c>
    </row>
    <row r="562" spans="1:1" x14ac:dyDescent="0.25">
      <c r="A562" s="42" t="str">
        <f t="shared" si="9"/>
        <v/>
      </c>
    </row>
    <row r="563" spans="1:1" x14ac:dyDescent="0.25">
      <c r="A563" s="42" t="str">
        <f t="shared" si="9"/>
        <v/>
      </c>
    </row>
    <row r="564" spans="1:1" x14ac:dyDescent="0.25">
      <c r="A564" s="42" t="str">
        <f t="shared" si="9"/>
        <v/>
      </c>
    </row>
    <row r="565" spans="1:1" x14ac:dyDescent="0.25">
      <c r="A565" s="42" t="str">
        <f t="shared" si="9"/>
        <v/>
      </c>
    </row>
    <row r="566" spans="1:1" x14ac:dyDescent="0.25">
      <c r="A566" s="42" t="str">
        <f t="shared" si="9"/>
        <v/>
      </c>
    </row>
    <row r="567" spans="1:1" x14ac:dyDescent="0.25">
      <c r="A567" s="42" t="str">
        <f t="shared" si="9"/>
        <v/>
      </c>
    </row>
    <row r="568" spans="1:1" x14ac:dyDescent="0.25">
      <c r="A568" s="42" t="str">
        <f t="shared" si="9"/>
        <v/>
      </c>
    </row>
    <row r="569" spans="1:1" x14ac:dyDescent="0.25">
      <c r="A569" s="42" t="str">
        <f t="shared" si="9"/>
        <v/>
      </c>
    </row>
    <row r="570" spans="1:1" x14ac:dyDescent="0.25">
      <c r="A570" s="42" t="str">
        <f t="shared" si="9"/>
        <v/>
      </c>
    </row>
    <row r="571" spans="1:1" x14ac:dyDescent="0.25">
      <c r="A571" s="42" t="str">
        <f t="shared" si="9"/>
        <v/>
      </c>
    </row>
    <row r="572" spans="1:1" x14ac:dyDescent="0.25">
      <c r="A572" s="42" t="str">
        <f t="shared" si="9"/>
        <v/>
      </c>
    </row>
    <row r="573" spans="1:1" x14ac:dyDescent="0.25">
      <c r="A573" s="42" t="str">
        <f t="shared" si="9"/>
        <v/>
      </c>
    </row>
    <row r="574" spans="1:1" x14ac:dyDescent="0.25">
      <c r="A574" s="42" t="str">
        <f t="shared" si="9"/>
        <v/>
      </c>
    </row>
    <row r="575" spans="1:1" x14ac:dyDescent="0.25">
      <c r="A575" s="42" t="str">
        <f t="shared" si="9"/>
        <v/>
      </c>
    </row>
    <row r="576" spans="1:1" x14ac:dyDescent="0.25">
      <c r="A576" s="42" t="str">
        <f t="shared" si="9"/>
        <v/>
      </c>
    </row>
    <row r="577" spans="1:1" x14ac:dyDescent="0.25">
      <c r="A577" s="42" t="str">
        <f t="shared" si="9"/>
        <v/>
      </c>
    </row>
    <row r="578" spans="1:1" x14ac:dyDescent="0.25">
      <c r="A578" s="42" t="str">
        <f t="shared" si="9"/>
        <v/>
      </c>
    </row>
    <row r="579" spans="1:1" x14ac:dyDescent="0.25">
      <c r="A579" s="42" t="str">
        <f t="shared" si="9"/>
        <v/>
      </c>
    </row>
    <row r="580" spans="1:1" x14ac:dyDescent="0.25">
      <c r="A580" s="42" t="str">
        <f t="shared" si="9"/>
        <v/>
      </c>
    </row>
    <row r="581" spans="1:1" x14ac:dyDescent="0.25">
      <c r="A581" s="42" t="str">
        <f t="shared" si="9"/>
        <v/>
      </c>
    </row>
    <row r="582" spans="1:1" x14ac:dyDescent="0.25">
      <c r="A582" s="42" t="str">
        <f t="shared" si="9"/>
        <v/>
      </c>
    </row>
    <row r="583" spans="1:1" x14ac:dyDescent="0.25">
      <c r="A583" s="42" t="str">
        <f t="shared" si="9"/>
        <v/>
      </c>
    </row>
    <row r="584" spans="1:1" x14ac:dyDescent="0.25">
      <c r="A584" s="42" t="str">
        <f t="shared" si="9"/>
        <v/>
      </c>
    </row>
    <row r="585" spans="1:1" x14ac:dyDescent="0.25">
      <c r="A585" s="42" t="str">
        <f t="shared" si="9"/>
        <v/>
      </c>
    </row>
    <row r="586" spans="1:1" x14ac:dyDescent="0.25">
      <c r="A586" s="42" t="str">
        <f t="shared" si="9"/>
        <v/>
      </c>
    </row>
    <row r="587" spans="1:1" x14ac:dyDescent="0.25">
      <c r="A587" s="42" t="str">
        <f t="shared" si="9"/>
        <v/>
      </c>
    </row>
    <row r="588" spans="1:1" x14ac:dyDescent="0.25">
      <c r="A588" s="42" t="str">
        <f t="shared" ref="A588:A603" si="10">IF(COUNTA(B588:D588),A587+1,"")</f>
        <v/>
      </c>
    </row>
    <row r="589" spans="1:1" x14ac:dyDescent="0.25">
      <c r="A589" s="42" t="str">
        <f t="shared" si="10"/>
        <v/>
      </c>
    </row>
    <row r="590" spans="1:1" x14ac:dyDescent="0.25">
      <c r="A590" s="42" t="str">
        <f t="shared" si="10"/>
        <v/>
      </c>
    </row>
    <row r="591" spans="1:1" x14ac:dyDescent="0.25">
      <c r="A591" s="42" t="str">
        <f t="shared" si="10"/>
        <v/>
      </c>
    </row>
    <row r="592" spans="1:1" x14ac:dyDescent="0.25">
      <c r="A592" s="42" t="str">
        <f t="shared" si="10"/>
        <v/>
      </c>
    </row>
    <row r="593" spans="1:1" x14ac:dyDescent="0.25">
      <c r="A593" s="42" t="str">
        <f t="shared" si="10"/>
        <v/>
      </c>
    </row>
    <row r="594" spans="1:1" x14ac:dyDescent="0.25">
      <c r="A594" s="42" t="str">
        <f t="shared" si="10"/>
        <v/>
      </c>
    </row>
    <row r="595" spans="1:1" x14ac:dyDescent="0.25">
      <c r="A595" s="42" t="str">
        <f t="shared" si="10"/>
        <v/>
      </c>
    </row>
    <row r="596" spans="1:1" x14ac:dyDescent="0.25">
      <c r="A596" s="42" t="str">
        <f t="shared" si="10"/>
        <v/>
      </c>
    </row>
    <row r="597" spans="1:1" x14ac:dyDescent="0.25">
      <c r="A597" s="42" t="str">
        <f t="shared" si="10"/>
        <v/>
      </c>
    </row>
    <row r="598" spans="1:1" x14ac:dyDescent="0.25">
      <c r="A598" s="42" t="str">
        <f t="shared" si="10"/>
        <v/>
      </c>
    </row>
    <row r="599" spans="1:1" x14ac:dyDescent="0.25">
      <c r="A599" s="42" t="str">
        <f t="shared" si="10"/>
        <v/>
      </c>
    </row>
    <row r="600" spans="1:1" x14ac:dyDescent="0.25">
      <c r="A600" s="42" t="str">
        <f t="shared" si="10"/>
        <v/>
      </c>
    </row>
    <row r="601" spans="1:1" x14ac:dyDescent="0.25">
      <c r="A601" s="42" t="str">
        <f t="shared" si="10"/>
        <v/>
      </c>
    </row>
    <row r="602" spans="1:1" x14ac:dyDescent="0.25">
      <c r="A602" s="42" t="str">
        <f t="shared" si="10"/>
        <v/>
      </c>
    </row>
    <row r="603" spans="1:1" x14ac:dyDescent="0.25">
      <c r="A603" s="42" t="str">
        <f t="shared" si="10"/>
        <v/>
      </c>
    </row>
  </sheetData>
  <sheetProtection algorithmName="SHA-512" hashValue="gqCmokdzzm6RtYQrXqpfW+Sl2yky4f9Q5FpfZYDrz6v4B94ciJB0RnlwfHVDJKQSh4rT0sE/kBG9Qt6EwKyQ8g==" saltValue="yFcRXEHtWsjBNs+tKMMMxQ==" spinCount="100000" sheet="1" formatCells="0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por_Yaz">
                <anchor moveWithCells="1" sizeWithCells="1">
                  <from>
                    <xdr:col>3</xdr:col>
                    <xdr:colOff>1485900</xdr:colOff>
                    <xdr:row>7</xdr:row>
                    <xdr:rowOff>19050</xdr:rowOff>
                  </from>
                  <to>
                    <xdr:col>5</xdr:col>
                    <xdr:colOff>381000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uzem">
                <anchor moveWithCells="1" sizeWithCells="1">
                  <from>
                    <xdr:col>2</xdr:col>
                    <xdr:colOff>209550</xdr:colOff>
                    <xdr:row>7</xdr:row>
                    <xdr:rowOff>19050</xdr:rowOff>
                  </from>
                  <to>
                    <xdr:col>3</xdr:col>
                    <xdr:colOff>1219200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ÖÇ!$C:$C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7"/>
  <dimension ref="A1:DH103"/>
  <sheetViews>
    <sheetView showRowColHeaders="0" zoomScaleNormal="100" workbookViewId="0">
      <pane ySplit="1" topLeftCell="A2" activePane="bottomLeft" state="frozen"/>
      <selection pane="bottomLeft" activeCell="K1" sqref="K1"/>
    </sheetView>
  </sheetViews>
  <sheetFormatPr defaultRowHeight="12" x14ac:dyDescent="0.25"/>
  <cols>
    <col min="1" max="8" width="3.140625" style="61" customWidth="1"/>
    <col min="9" max="9" width="7.42578125" style="62" customWidth="1"/>
    <col min="10" max="10" width="1.7109375" style="7" customWidth="1"/>
    <col min="11" max="11" width="7.42578125" style="8" customWidth="1"/>
    <col min="12" max="111" width="3.28515625" style="12" customWidth="1"/>
    <col min="112" max="112" width="9.140625" style="12" customWidth="1"/>
    <col min="113" max="16384" width="9.140625" style="12"/>
  </cols>
  <sheetData>
    <row r="1" spans="1:112" ht="54.95" customHeight="1" x14ac:dyDescent="0.2">
      <c r="A1" s="78" t="s">
        <v>113</v>
      </c>
      <c r="B1" s="78" t="s">
        <v>114</v>
      </c>
      <c r="C1" s="78" t="s">
        <v>115</v>
      </c>
      <c r="D1" s="78" t="s">
        <v>116</v>
      </c>
      <c r="E1" s="78" t="s">
        <v>117</v>
      </c>
      <c r="F1" s="78" t="s">
        <v>118</v>
      </c>
      <c r="G1" s="78" t="s">
        <v>119</v>
      </c>
      <c r="H1" s="78" t="s">
        <v>120</v>
      </c>
      <c r="I1" s="79" t="str">
        <f>CONCATENATE("Toplam Puan  ",SUM(I2:I101))</f>
        <v>Toplam Puan  0</v>
      </c>
      <c r="J1" s="86"/>
      <c r="K1" s="82"/>
      <c r="L1" s="9" t="str">
        <f>IF(COUNTA(Anasayfa!B11),Anasayfa!B11,"Öğrenci")</f>
        <v>Öğrenci</v>
      </c>
      <c r="M1" s="10" t="str">
        <f>IF(COUNTA(Anasayfa!B12),Anasayfa!B12,"Öğrenci")</f>
        <v>Öğrenci</v>
      </c>
      <c r="N1" s="10" t="str">
        <f>IF(COUNTA(Anasayfa!B13),Anasayfa!B13,"Öğrenci")</f>
        <v>Öğrenci</v>
      </c>
      <c r="O1" s="10" t="str">
        <f>IF(COUNTA(Anasayfa!B14),Anasayfa!B14,"Öğrenci")</f>
        <v>Öğrenci</v>
      </c>
      <c r="P1" s="10" t="str">
        <f>IF(COUNTA(Anasayfa!B15),Anasayfa!B15,"Öğrenci")</f>
        <v>Öğrenci</v>
      </c>
      <c r="Q1" s="10" t="str">
        <f>IF(COUNTA(Anasayfa!B16),Anasayfa!B16,"Öğrenci")</f>
        <v>Öğrenci</v>
      </c>
      <c r="R1" s="10" t="str">
        <f>IF(COUNTA(Anasayfa!B17),Anasayfa!B17,"Öğrenci")</f>
        <v>Öğrenci</v>
      </c>
      <c r="S1" s="10" t="str">
        <f>IF(COUNTA(Anasayfa!B18),Anasayfa!B18,"Öğrenci")</f>
        <v>Öğrenci</v>
      </c>
      <c r="T1" s="10" t="str">
        <f>IF(COUNTA(Anasayfa!B19),Anasayfa!B19,"Öğrenci")</f>
        <v>Öğrenci</v>
      </c>
      <c r="U1" s="10" t="str">
        <f>IF(COUNTA(Anasayfa!B20),Anasayfa!B20,"Öğrenci")</f>
        <v>Öğrenci</v>
      </c>
      <c r="V1" s="10" t="str">
        <f>IF(COUNTA(Anasayfa!B21),Anasayfa!B21,"Öğrenci")</f>
        <v>Öğrenci</v>
      </c>
      <c r="W1" s="10" t="str">
        <f>IF(COUNTA(Anasayfa!B22),Anasayfa!B22,"Öğrenci")</f>
        <v>Öğrenci</v>
      </c>
      <c r="X1" s="10" t="str">
        <f>IF(COUNTA(Anasayfa!B23),Anasayfa!B23,"Öğrenci")</f>
        <v>Öğrenci</v>
      </c>
      <c r="Y1" s="10" t="str">
        <f>IF(COUNTA(Anasayfa!B24),Anasayfa!B24,"Öğrenci")</f>
        <v>Öğrenci</v>
      </c>
      <c r="Z1" s="10" t="str">
        <f>IF(COUNTA(Anasayfa!B25),Anasayfa!B25,"Öğrenci")</f>
        <v>Öğrenci</v>
      </c>
      <c r="AA1" s="10" t="str">
        <f>IF(COUNTA(Anasayfa!B26),Anasayfa!B26,"Öğrenci")</f>
        <v>Öğrenci</v>
      </c>
      <c r="AB1" s="10" t="str">
        <f>IF(COUNTA(Anasayfa!B27),Anasayfa!B27,"Öğrenci")</f>
        <v>Öğrenci</v>
      </c>
      <c r="AC1" s="10" t="str">
        <f>IF(COUNTA(Anasayfa!B28),Anasayfa!B28,"Öğrenci")</f>
        <v>Öğrenci</v>
      </c>
      <c r="AD1" s="10" t="str">
        <f>IF(COUNTA(Anasayfa!B29),Anasayfa!B29,"Öğrenci")</f>
        <v>Öğrenci</v>
      </c>
      <c r="AE1" s="10" t="str">
        <f>IF(COUNTA(Anasayfa!B30),Anasayfa!B30,"Öğrenci")</f>
        <v>Öğrenci</v>
      </c>
      <c r="AF1" s="10" t="str">
        <f>IF(COUNTA(Anasayfa!B31),Anasayfa!B31,"Öğrenci")</f>
        <v>Öğrenci</v>
      </c>
      <c r="AG1" s="10" t="str">
        <f>IF(COUNTA(Anasayfa!B32),Anasayfa!B32,"Öğrenci")</f>
        <v>Öğrenci</v>
      </c>
      <c r="AH1" s="10" t="str">
        <f>IF(COUNTA(Anasayfa!B33),Anasayfa!B33,"Öğrenci")</f>
        <v>Öğrenci</v>
      </c>
      <c r="AI1" s="10" t="str">
        <f>IF(COUNTA(Anasayfa!B34),Anasayfa!B34,"Öğrenci")</f>
        <v>Öğrenci</v>
      </c>
      <c r="AJ1" s="10" t="str">
        <f>IF(COUNTA(Anasayfa!B35),Anasayfa!B35,"Öğrenci")</f>
        <v>Öğrenci</v>
      </c>
      <c r="AK1" s="10" t="str">
        <f>IF(COUNTA(Anasayfa!B36),Anasayfa!B36,"Öğrenci")</f>
        <v>Öğrenci</v>
      </c>
      <c r="AL1" s="10" t="str">
        <f>IF(COUNTA(Anasayfa!B37),Anasayfa!B37,"Öğrenci")</f>
        <v>Öğrenci</v>
      </c>
      <c r="AM1" s="10" t="str">
        <f>IF(COUNTA(Anasayfa!B38),Anasayfa!B38,"Öğrenci")</f>
        <v>Öğrenci</v>
      </c>
      <c r="AN1" s="10" t="str">
        <f>IF(COUNTA(Anasayfa!B39),Anasayfa!B39,"Öğrenci")</f>
        <v>Öğrenci</v>
      </c>
      <c r="AO1" s="10" t="str">
        <f>IF(COUNTA(Anasayfa!B40),Anasayfa!B40,"Öğrenci")</f>
        <v>Öğrenci</v>
      </c>
      <c r="AP1" s="10" t="str">
        <f>IF(COUNTA(Anasayfa!B41),Anasayfa!B41,"Öğrenci")</f>
        <v>Öğrenci</v>
      </c>
      <c r="AQ1" s="10" t="str">
        <f>IF(COUNTA(Anasayfa!B42),Anasayfa!B42,"Öğrenci")</f>
        <v>Öğrenci</v>
      </c>
      <c r="AR1" s="10" t="str">
        <f>IF(COUNTA(Anasayfa!B43),Anasayfa!B43,"Öğrenci")</f>
        <v>Öğrenci</v>
      </c>
      <c r="AS1" s="10" t="str">
        <f>IF(COUNTA(Anasayfa!B44),Anasayfa!B44,"Öğrenci")</f>
        <v>Öğrenci</v>
      </c>
      <c r="AT1" s="10" t="str">
        <f>IF(COUNTA(Anasayfa!B45),Anasayfa!B45,"Öğrenci")</f>
        <v>Öğrenci</v>
      </c>
      <c r="AU1" s="10" t="str">
        <f>IF(COUNTA(Anasayfa!B46),Anasayfa!B46,"Öğrenci")</f>
        <v>Öğrenci</v>
      </c>
      <c r="AV1" s="10" t="str">
        <f>IF(COUNTA(Anasayfa!B47),Anasayfa!B47,"Öğrenci")</f>
        <v>Öğrenci</v>
      </c>
      <c r="AW1" s="10" t="str">
        <f>IF(COUNTA(Anasayfa!B48),Anasayfa!B48,"Öğrenci")</f>
        <v>Öğrenci</v>
      </c>
      <c r="AX1" s="10" t="str">
        <f>IF(COUNTA(Anasayfa!B49),Anasayfa!B49,"Öğrenci")</f>
        <v>Öğrenci</v>
      </c>
      <c r="AY1" s="10" t="str">
        <f>IF(COUNTA(Anasayfa!B50),Anasayfa!B50,"Öğrenci")</f>
        <v>Öğrenci</v>
      </c>
      <c r="AZ1" s="10" t="str">
        <f>IF(COUNTA(Anasayfa!B51),Anasayfa!B51,"Öğrenci")</f>
        <v>Öğrenci</v>
      </c>
      <c r="BA1" s="10" t="str">
        <f>IF(COUNTA(Anasayfa!B52),Anasayfa!B52,"Öğrenci")</f>
        <v>Öğrenci</v>
      </c>
      <c r="BB1" s="10" t="str">
        <f>IF(COUNTA(Anasayfa!B53),Anasayfa!B53,"Öğrenci")</f>
        <v>Öğrenci</v>
      </c>
      <c r="BC1" s="10" t="str">
        <f>IF(COUNTA(Anasayfa!B54),Anasayfa!B54,"Öğrenci")</f>
        <v>Öğrenci</v>
      </c>
      <c r="BD1" s="10" t="str">
        <f>IF(COUNTA(Anasayfa!B55),Anasayfa!B55,"Öğrenci")</f>
        <v>Öğrenci</v>
      </c>
      <c r="BE1" s="10" t="str">
        <f>IF(COUNTA(Anasayfa!B56),Anasayfa!B56,"Öğrenci")</f>
        <v>Öğrenci</v>
      </c>
      <c r="BF1" s="10" t="str">
        <f>IF(COUNTA(Anasayfa!B57),Anasayfa!B57,"Öğrenci")</f>
        <v>Öğrenci</v>
      </c>
      <c r="BG1" s="10" t="str">
        <f>IF(COUNTA(Anasayfa!B58),Anasayfa!B58,"Öğrenci")</f>
        <v>Öğrenci</v>
      </c>
      <c r="BH1" s="10" t="str">
        <f>IF(COUNTA(Anasayfa!B59),Anasayfa!B59,"Öğrenci")</f>
        <v>Öğrenci</v>
      </c>
      <c r="BI1" s="10" t="str">
        <f>IF(COUNTA(Anasayfa!B60),Anasayfa!B60,"Öğrenci")</f>
        <v>Öğrenci</v>
      </c>
      <c r="BJ1" s="10" t="str">
        <f>IF(COUNTA(Anasayfa!B61),Anasayfa!B61,"Öğrenci")</f>
        <v>Öğrenci</v>
      </c>
      <c r="BK1" s="10" t="str">
        <f>IF(COUNTA(Anasayfa!B62),Anasayfa!B62,"Öğrenci")</f>
        <v>Öğrenci</v>
      </c>
      <c r="BL1" s="10" t="str">
        <f>IF(COUNTA(Anasayfa!B63),Anasayfa!B63,"Öğrenci")</f>
        <v>Öğrenci</v>
      </c>
      <c r="BM1" s="10" t="str">
        <f>IF(COUNTA(Anasayfa!B64),Anasayfa!B64,"Öğrenci")</f>
        <v>Öğrenci</v>
      </c>
      <c r="BN1" s="10" t="str">
        <f>IF(COUNTA(Anasayfa!B65),Anasayfa!B65,"Öğrenci")</f>
        <v>Öğrenci</v>
      </c>
      <c r="BO1" s="10" t="str">
        <f>IF(COUNTA(Anasayfa!B66),Anasayfa!B66,"Öğrenci")</f>
        <v>Öğrenci</v>
      </c>
      <c r="BP1" s="10" t="str">
        <f>IF(COUNTA(Anasayfa!B67),Anasayfa!B67,"Öğrenci")</f>
        <v>Öğrenci</v>
      </c>
      <c r="BQ1" s="10" t="str">
        <f>IF(COUNTA(Anasayfa!B68),Anasayfa!B68,"Öğrenci")</f>
        <v>Öğrenci</v>
      </c>
      <c r="BR1" s="10" t="str">
        <f>IF(COUNTA(Anasayfa!B69),Anasayfa!B69,"Öğrenci")</f>
        <v>Öğrenci</v>
      </c>
      <c r="BS1" s="10" t="str">
        <f>IF(COUNTA(Anasayfa!B70),Anasayfa!B70,"Öğrenci")</f>
        <v>Öğrenci</v>
      </c>
      <c r="BT1" s="10" t="str">
        <f>IF(COUNTA(Anasayfa!B71),Anasayfa!B71,"Öğrenci")</f>
        <v>Öğrenci</v>
      </c>
      <c r="BU1" s="10" t="str">
        <f>IF(COUNTA(Anasayfa!B72),Anasayfa!B72,"Öğrenci")</f>
        <v>Öğrenci</v>
      </c>
      <c r="BV1" s="10" t="str">
        <f>IF(COUNTA(Anasayfa!B73),Anasayfa!B73,"Öğrenci")</f>
        <v>Öğrenci</v>
      </c>
      <c r="BW1" s="10" t="str">
        <f>IF(COUNTA(Anasayfa!B74),Anasayfa!B74,"Öğrenci")</f>
        <v>Öğrenci</v>
      </c>
      <c r="BX1" s="10" t="str">
        <f>IF(COUNTA(Anasayfa!B75),Anasayfa!B75,"Öğrenci")</f>
        <v>Öğrenci</v>
      </c>
      <c r="BY1" s="10" t="str">
        <f>IF(COUNTA(Anasayfa!B76),Anasayfa!B76,"Öğrenci")</f>
        <v>Öğrenci</v>
      </c>
      <c r="BZ1" s="10" t="str">
        <f>IF(COUNTA(Anasayfa!B77),Anasayfa!B77,"Öğrenci")</f>
        <v>Öğrenci</v>
      </c>
      <c r="CA1" s="10" t="str">
        <f>IF(COUNTA(Anasayfa!B78),Anasayfa!B78,"Öğrenci")</f>
        <v>Öğrenci</v>
      </c>
      <c r="CB1" s="10" t="str">
        <f>IF(COUNTA(Anasayfa!B79),Anasayfa!B79,"Öğrenci")</f>
        <v>Öğrenci</v>
      </c>
      <c r="CC1" s="10" t="str">
        <f>IF(COUNTA(Anasayfa!B80),Anasayfa!B80,"Öğrenci")</f>
        <v>Öğrenci</v>
      </c>
      <c r="CD1" s="10" t="str">
        <f>IF(COUNTA(Anasayfa!B81),Anasayfa!B81,"Öğrenci")</f>
        <v>Öğrenci</v>
      </c>
      <c r="CE1" s="10" t="str">
        <f>IF(COUNTA(Anasayfa!B82),Anasayfa!B82,"Öğrenci")</f>
        <v>Öğrenci</v>
      </c>
      <c r="CF1" s="10" t="str">
        <f>IF(COUNTA(Anasayfa!B83),Anasayfa!B83,"Öğrenci")</f>
        <v>Öğrenci</v>
      </c>
      <c r="CG1" s="10" t="str">
        <f>IF(COUNTA(Anasayfa!B84),Anasayfa!B84,"Öğrenci")</f>
        <v>Öğrenci</v>
      </c>
      <c r="CH1" s="10" t="str">
        <f>IF(COUNTA(Anasayfa!B85),Anasayfa!B85,"Öğrenci")</f>
        <v>Öğrenci</v>
      </c>
      <c r="CI1" s="10" t="str">
        <f>IF(COUNTA(Anasayfa!B86),Anasayfa!B86,"Öğrenci")</f>
        <v>Öğrenci</v>
      </c>
      <c r="CJ1" s="10" t="str">
        <f>IF(COUNTA(Anasayfa!B87),Anasayfa!B87,"Öğrenci")</f>
        <v>Öğrenci</v>
      </c>
      <c r="CK1" s="10" t="str">
        <f>IF(COUNTA(Anasayfa!B88),Anasayfa!B88,"Öğrenci")</f>
        <v>Öğrenci</v>
      </c>
      <c r="CL1" s="10" t="str">
        <f>IF(COUNTA(Anasayfa!B89),Anasayfa!B89,"Öğrenci")</f>
        <v>Öğrenci</v>
      </c>
      <c r="CM1" s="10" t="str">
        <f>IF(COUNTA(Anasayfa!B90),Anasayfa!B90,"Öğrenci")</f>
        <v>Öğrenci</v>
      </c>
      <c r="CN1" s="10" t="str">
        <f>IF(COUNTA(Anasayfa!B91),Anasayfa!B91,"Öğrenci")</f>
        <v>Öğrenci</v>
      </c>
      <c r="CO1" s="10" t="str">
        <f>IF(COUNTA(Anasayfa!B92),Anasayfa!B92,"Öğrenci")</f>
        <v>Öğrenci</v>
      </c>
      <c r="CP1" s="10" t="str">
        <f>IF(COUNTA(Anasayfa!B93),Anasayfa!B93,"Öğrenci")</f>
        <v>Öğrenci</v>
      </c>
      <c r="CQ1" s="10" t="str">
        <f>IF(COUNTA(Anasayfa!B94),Anasayfa!B94,"Öğrenci")</f>
        <v>Öğrenci</v>
      </c>
      <c r="CR1" s="10" t="str">
        <f>IF(COUNTA(Anasayfa!B95),Anasayfa!B95,"Öğrenci")</f>
        <v>Öğrenci</v>
      </c>
      <c r="CS1" s="10" t="str">
        <f>IF(COUNTA(Anasayfa!B96),Anasayfa!B96,"Öğrenci")</f>
        <v>Öğrenci</v>
      </c>
      <c r="CT1" s="10" t="str">
        <f>IF(COUNTA(Anasayfa!B97),Anasayfa!B97,"Öğrenci")</f>
        <v>Öğrenci</v>
      </c>
      <c r="CU1" s="10" t="str">
        <f>IF(COUNTA(Anasayfa!B98),Anasayfa!B98,"Öğrenci")</f>
        <v>Öğrenci</v>
      </c>
      <c r="CV1" s="10" t="str">
        <f>IF(COUNTA(Anasayfa!B99),Anasayfa!B99,"Öğrenci")</f>
        <v>Öğrenci</v>
      </c>
      <c r="CW1" s="10" t="str">
        <f>IF(COUNTA(Anasayfa!B100),Anasayfa!B100,"Öğrenci")</f>
        <v>Öğrenci</v>
      </c>
      <c r="CX1" s="10" t="str">
        <f>IF(COUNTA(Anasayfa!B101),Anasayfa!B101,"Öğrenci")</f>
        <v>Öğrenci</v>
      </c>
      <c r="CY1" s="10" t="str">
        <f>IF(COUNTA(Anasayfa!B102),Anasayfa!B102,"Öğrenci")</f>
        <v>Öğrenci</v>
      </c>
      <c r="CZ1" s="10" t="str">
        <f>IF(COUNTA(Anasayfa!B103),Anasayfa!B103,"Öğrenci")</f>
        <v>Öğrenci</v>
      </c>
      <c r="DA1" s="10" t="str">
        <f>IF(COUNTA(Anasayfa!B104),Anasayfa!B104,"Öğrenci")</f>
        <v>Öğrenci</v>
      </c>
      <c r="DB1" s="10" t="str">
        <f>IF(COUNTA(Anasayfa!B105),Anasayfa!B105,"Öğrenci")</f>
        <v>Öğrenci</v>
      </c>
      <c r="DC1" s="10" t="str">
        <f>IF(COUNTA(Anasayfa!B106),Anasayfa!B106,"Öğrenci")</f>
        <v>Öğrenci</v>
      </c>
      <c r="DD1" s="10" t="str">
        <f>IF(COUNTA(Anasayfa!B107),Anasayfa!B107,"Öğrenci")</f>
        <v>Öğrenci</v>
      </c>
      <c r="DE1" s="10" t="str">
        <f>IF(COUNTA(Anasayfa!B108),Anasayfa!B108,"Öğrenci")</f>
        <v>Öğrenci</v>
      </c>
      <c r="DF1" s="10" t="str">
        <f>IF(COUNTA(Anasayfa!B109),Anasayfa!B109,"Öğrenci")</f>
        <v>Öğrenci</v>
      </c>
      <c r="DG1" s="10" t="str">
        <f>IF(COUNTA(Anasayfa!B110),Anasayfa!B110,"Öğrenci")</f>
        <v>Öğrenci</v>
      </c>
      <c r="DH1" s="11"/>
    </row>
    <row r="2" spans="1:112" x14ac:dyDescent="0.2">
      <c r="A2" s="84"/>
      <c r="B2" s="84"/>
      <c r="C2" s="84"/>
      <c r="D2" s="84"/>
      <c r="E2" s="84"/>
      <c r="F2" s="84"/>
      <c r="G2" s="84"/>
      <c r="H2" s="84"/>
      <c r="I2" s="85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>SUM(L2:L101)</f>
        <v>0</v>
      </c>
      <c r="M102" s="15">
        <f t="shared" ref="M102:BX102" si="0">SUM(M2:M101)</f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si="0"/>
        <v>0</v>
      </c>
      <c r="BY102" s="15">
        <f t="shared" ref="BY102:DG102" si="1">SUM(BY2:BY101)</f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nLRLyPyX0Ga0FOt4yt9MLg8vviEwsJB9+Fo0s23C7mf/yO6aba/WxBZzBhplCn+bFxxmCXXHzncbXjaIGJ7BZQ==" saltValue="3ZDx81X8qOdNHxdig113cw==" spinCount="100000" sheet="1" objects="1" scenarios="1"/>
  <conditionalFormatting sqref="A1:H1 J1:XFD1">
    <cfRule type="cellIs" dxfId="48" priority="4" operator="equal">
      <formula>"Öğrenci"</formula>
    </cfRule>
  </conditionalFormatting>
  <conditionalFormatting sqref="J1:K1048576">
    <cfRule type="cellIs" dxfId="47" priority="3" operator="equal">
      <formula>"Soru No"</formula>
    </cfRule>
  </conditionalFormatting>
  <conditionalFormatting sqref="K2:K101">
    <cfRule type="expression" dxfId="46" priority="2">
      <formula>I2&lt;&gt;""</formula>
    </cfRule>
  </conditionalFormatting>
  <conditionalFormatting sqref="A2:K101">
    <cfRule type="expression" dxfId="45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8"/>
  <dimension ref="A1:DH103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8" width="3.140625" style="40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bestFit="1" customWidth="1"/>
    <col min="13" max="13" width="3.28515625" style="12" customWidth="1"/>
    <col min="14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80" t="s">
        <v>113</v>
      </c>
      <c r="B1" s="80" t="s">
        <v>114</v>
      </c>
      <c r="C1" s="80" t="s">
        <v>115</v>
      </c>
      <c r="D1" s="80" t="s">
        <v>116</v>
      </c>
      <c r="E1" s="80" t="s">
        <v>117</v>
      </c>
      <c r="F1" s="80" t="s">
        <v>118</v>
      </c>
      <c r="G1" s="80" t="s">
        <v>119</v>
      </c>
      <c r="H1" s="80" t="s">
        <v>120</v>
      </c>
      <c r="I1" s="65" t="str">
        <f>CONCATENATE("Toplam Puan  ",SUM(I2:I101))</f>
        <v>Toplam Puan  0</v>
      </c>
      <c r="J1" s="69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22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8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6"/>
      <c r="G3" s="56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4"/>
      <c r="B10" s="54"/>
      <c r="C10" s="54"/>
      <c r="D10" s="54"/>
      <c r="E10" s="54"/>
      <c r="F10" s="54"/>
      <c r="G10" s="54"/>
      <c r="H10" s="54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60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60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60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60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60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60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60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60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60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60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60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60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60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60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60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60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60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60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60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60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60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60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60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60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60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60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60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60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60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60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60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60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60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60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60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60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60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60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60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60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60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60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60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60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60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60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60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60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60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60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60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60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60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60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60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60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60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60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60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60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60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60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60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60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60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60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60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60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60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60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60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60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60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60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60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J102" s="7"/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J103" s="7"/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n08NgI2oUnhA4ZTnsw+FmYnRTXWrCL8t3if5QJbce3rY6kbZjuCJi1HxAnA7SBgoV0SwCgpLEo/GVhaddHTbLw==" saltValue="yq7ixWb8WV8EE5UaGG/c3A==" spinCount="100000" sheet="1" objects="1" scenarios="1"/>
  <conditionalFormatting sqref="L1:DG1">
    <cfRule type="cellIs" dxfId="44" priority="8" operator="equal">
      <formula>"Öğrenci"</formula>
    </cfRule>
  </conditionalFormatting>
  <conditionalFormatting sqref="A1:H1">
    <cfRule type="cellIs" dxfId="43" priority="7" operator="equal">
      <formula>"Öğrenci"</formula>
    </cfRule>
  </conditionalFormatting>
  <conditionalFormatting sqref="J2:J103">
    <cfRule type="cellIs" dxfId="42" priority="6" operator="equal">
      <formula>"Soru No"</formula>
    </cfRule>
  </conditionalFormatting>
  <conditionalFormatting sqref="K1">
    <cfRule type="cellIs" dxfId="41" priority="5" operator="equal">
      <formula>"Öğrenci"</formula>
    </cfRule>
  </conditionalFormatting>
  <conditionalFormatting sqref="K1">
    <cfRule type="cellIs" dxfId="40" priority="4" operator="equal">
      <formula>"Soru No"</formula>
    </cfRule>
  </conditionalFormatting>
  <conditionalFormatting sqref="K2:K101">
    <cfRule type="cellIs" dxfId="39" priority="3" operator="equal">
      <formula>"Soru No"</formula>
    </cfRule>
  </conditionalFormatting>
  <conditionalFormatting sqref="K2:K101">
    <cfRule type="expression" dxfId="38" priority="2">
      <formula>I2&lt;&gt;""</formula>
    </cfRule>
  </conditionalFormatting>
  <conditionalFormatting sqref="A2:K101">
    <cfRule type="expression" dxfId="37" priority="1">
      <formula>ROW()=CELL("sat")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3"/>
  <dimension ref="A1:DH103"/>
  <sheetViews>
    <sheetView showRowColHeaders="0" zoomScaleNormal="100" workbookViewId="0">
      <selection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Evnj3DZ+0Dlm5vUYaNyGumnHqLp2aWpWztl1mkrVdBTjJ+2TrupPZfcAT3906TzjgiEswg4deFNeedliBWo+hg==" saltValue="MTwa3q32UGV5NfBJKZVoYw==" spinCount="100000" sheet="1" objects="1" scenarios="1"/>
  <conditionalFormatting sqref="L1:DG1">
    <cfRule type="cellIs" dxfId="36" priority="8" operator="equal">
      <formula>"Öğrenci"</formula>
    </cfRule>
  </conditionalFormatting>
  <conditionalFormatting sqref="A1:H1">
    <cfRule type="cellIs" dxfId="35" priority="7" operator="equal">
      <formula>"Öğrenci"</formula>
    </cfRule>
  </conditionalFormatting>
  <conditionalFormatting sqref="J2:J101">
    <cfRule type="cellIs" dxfId="34" priority="6" operator="equal">
      <formula>"Soru No"</formula>
    </cfRule>
  </conditionalFormatting>
  <conditionalFormatting sqref="K1">
    <cfRule type="cellIs" dxfId="33" priority="5" operator="equal">
      <formula>"Öğrenci"</formula>
    </cfRule>
  </conditionalFormatting>
  <conditionalFormatting sqref="K1">
    <cfRule type="cellIs" dxfId="32" priority="4" operator="equal">
      <formula>"Soru No"</formula>
    </cfRule>
  </conditionalFormatting>
  <conditionalFormatting sqref="K2:K101">
    <cfRule type="cellIs" dxfId="31" priority="3" operator="equal">
      <formula>"Soru No"</formula>
    </cfRule>
  </conditionalFormatting>
  <conditionalFormatting sqref="K2:K101">
    <cfRule type="expression" dxfId="30" priority="2">
      <formula>I2&lt;&gt;""</formula>
    </cfRule>
  </conditionalFormatting>
  <conditionalFormatting sqref="A2:K101">
    <cfRule type="expression" dxfId="29" priority="1">
      <formula>ROW()=CELL("sat")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4"/>
  <dimension ref="A1:DH103"/>
  <sheetViews>
    <sheetView showRowColHeaders="0" workbookViewId="0">
      <selection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81"/>
      <c r="K1" s="82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DC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si="1"/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BW103" si="2">COUNTIF(L2:L101,"&gt;0")</f>
        <v>0</v>
      </c>
      <c r="M103" s="16">
        <f t="shared" si="2"/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ref="BX103:DG103" si="3">COUNTIF(BX2:BX101,"&gt;0")</f>
        <v>0</v>
      </c>
      <c r="BY103" s="16">
        <f t="shared" si="3"/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INbVpc7tqNLAXkL9qSIpfUqNiQqMqkXHLozr9s7OXX+0tG2O0WCK2s2LbLYnhx/iymQ+Gq2OlkPstrn+kJWIPQ==" saltValue="3Dxfb+/Wsd116fkw4faHJA==" spinCount="100000" sheet="1" objects="1" scenarios="1"/>
  <conditionalFormatting sqref="L1:DG1">
    <cfRule type="cellIs" dxfId="28" priority="8" operator="equal">
      <formula>"Öğrenci"</formula>
    </cfRule>
  </conditionalFormatting>
  <conditionalFormatting sqref="A1:H1">
    <cfRule type="cellIs" dxfId="27" priority="7" operator="equal">
      <formula>"Öğrenci"</formula>
    </cfRule>
  </conditionalFormatting>
  <conditionalFormatting sqref="J2:J101">
    <cfRule type="cellIs" dxfId="26" priority="6" operator="equal">
      <formula>"Soru No"</formula>
    </cfRule>
  </conditionalFormatting>
  <conditionalFormatting sqref="K1">
    <cfRule type="cellIs" dxfId="25" priority="5" operator="equal">
      <formula>"Öğrenci"</formula>
    </cfRule>
  </conditionalFormatting>
  <conditionalFormatting sqref="K1">
    <cfRule type="cellIs" dxfId="24" priority="4" operator="equal">
      <formula>"Soru No"</formula>
    </cfRule>
  </conditionalFormatting>
  <conditionalFormatting sqref="K2:K101">
    <cfRule type="cellIs" dxfId="23" priority="3" operator="equal">
      <formula>"Soru No"</formula>
    </cfRule>
  </conditionalFormatting>
  <conditionalFormatting sqref="K2:K101">
    <cfRule type="expression" dxfId="22" priority="2">
      <formula>I2&lt;&gt;""</formula>
    </cfRule>
  </conditionalFormatting>
  <conditionalFormatting sqref="A2:K101">
    <cfRule type="expression" dxfId="21" priority="1">
      <formula>ROW()=CELL("sat")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9"/>
  <dimension ref="A1:DH103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17" t="s">
        <v>113</v>
      </c>
      <c r="B1" s="17" t="s">
        <v>114</v>
      </c>
      <c r="C1" s="17" t="s">
        <v>115</v>
      </c>
      <c r="D1" s="17" t="s">
        <v>116</v>
      </c>
      <c r="E1" s="17" t="s">
        <v>117</v>
      </c>
      <c r="F1" s="17" t="s">
        <v>118</v>
      </c>
      <c r="G1" s="17" t="s">
        <v>119</v>
      </c>
      <c r="H1" s="17" t="s">
        <v>120</v>
      </c>
      <c r="I1" s="65" t="str">
        <f>CONCATENATE("Toplam Puan   ",SUM(I2:I101))</f>
        <v>Toplam Puan   0</v>
      </c>
      <c r="J1" s="83"/>
      <c r="K1" s="82"/>
      <c r="L1" s="66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BW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si="0"/>
        <v>0</v>
      </c>
      <c r="AS102" s="15">
        <f t="shared" si="0"/>
        <v>0</v>
      </c>
      <c r="AT102" s="15">
        <f t="shared" si="0"/>
        <v>0</v>
      </c>
      <c r="AU102" s="15">
        <f t="shared" si="0"/>
        <v>0</v>
      </c>
      <c r="AV102" s="15">
        <f t="shared" si="0"/>
        <v>0</v>
      </c>
      <c r="AW102" s="15">
        <f t="shared" si="0"/>
        <v>0</v>
      </c>
      <c r="AX102" s="15">
        <f t="shared" si="0"/>
        <v>0</v>
      </c>
      <c r="AY102" s="15">
        <f t="shared" si="0"/>
        <v>0</v>
      </c>
      <c r="AZ102" s="15">
        <f t="shared" si="0"/>
        <v>0</v>
      </c>
      <c r="BA102" s="15">
        <f t="shared" si="0"/>
        <v>0</v>
      </c>
      <c r="BB102" s="15">
        <f t="shared" si="0"/>
        <v>0</v>
      </c>
      <c r="BC102" s="15">
        <f t="shared" si="0"/>
        <v>0</v>
      </c>
      <c r="BD102" s="15">
        <f t="shared" si="0"/>
        <v>0</v>
      </c>
      <c r="BE102" s="15">
        <f t="shared" si="0"/>
        <v>0</v>
      </c>
      <c r="BF102" s="15">
        <f t="shared" si="0"/>
        <v>0</v>
      </c>
      <c r="BG102" s="15">
        <f t="shared" si="0"/>
        <v>0</v>
      </c>
      <c r="BH102" s="15">
        <f t="shared" si="0"/>
        <v>0</v>
      </c>
      <c r="BI102" s="15">
        <f t="shared" si="0"/>
        <v>0</v>
      </c>
      <c r="BJ102" s="15">
        <f t="shared" si="0"/>
        <v>0</v>
      </c>
      <c r="BK102" s="15">
        <f t="shared" si="0"/>
        <v>0</v>
      </c>
      <c r="BL102" s="15">
        <f t="shared" si="0"/>
        <v>0</v>
      </c>
      <c r="BM102" s="15">
        <f t="shared" si="0"/>
        <v>0</v>
      </c>
      <c r="BN102" s="15">
        <f t="shared" si="0"/>
        <v>0</v>
      </c>
      <c r="BO102" s="15">
        <f t="shared" si="0"/>
        <v>0</v>
      </c>
      <c r="BP102" s="15">
        <f t="shared" si="0"/>
        <v>0</v>
      </c>
      <c r="BQ102" s="15">
        <f t="shared" si="0"/>
        <v>0</v>
      </c>
      <c r="BR102" s="15">
        <f t="shared" si="0"/>
        <v>0</v>
      </c>
      <c r="BS102" s="15">
        <f t="shared" si="0"/>
        <v>0</v>
      </c>
      <c r="BT102" s="15">
        <f t="shared" si="0"/>
        <v>0</v>
      </c>
      <c r="BU102" s="15">
        <f t="shared" si="0"/>
        <v>0</v>
      </c>
      <c r="BV102" s="15">
        <f t="shared" si="0"/>
        <v>0</v>
      </c>
      <c r="BW102" s="15">
        <f t="shared" si="0"/>
        <v>0</v>
      </c>
      <c r="BX102" s="15">
        <f t="shared" ref="BX102:DG102" si="1">SUM(BX2:BX101)</f>
        <v>0</v>
      </c>
      <c r="BY102" s="15">
        <f t="shared" si="1"/>
        <v>0</v>
      </c>
      <c r="BZ102" s="15">
        <f t="shared" si="1"/>
        <v>0</v>
      </c>
      <c r="CA102" s="15">
        <f t="shared" si="1"/>
        <v>0</v>
      </c>
      <c r="CB102" s="15">
        <f t="shared" si="1"/>
        <v>0</v>
      </c>
      <c r="CC102" s="15">
        <f t="shared" si="1"/>
        <v>0</v>
      </c>
      <c r="CD102" s="15">
        <f t="shared" si="1"/>
        <v>0</v>
      </c>
      <c r="CE102" s="15">
        <f t="shared" si="1"/>
        <v>0</v>
      </c>
      <c r="CF102" s="15">
        <f t="shared" si="1"/>
        <v>0</v>
      </c>
      <c r="CG102" s="15">
        <f t="shared" si="1"/>
        <v>0</v>
      </c>
      <c r="CH102" s="15">
        <f t="shared" si="1"/>
        <v>0</v>
      </c>
      <c r="CI102" s="15">
        <f t="shared" si="1"/>
        <v>0</v>
      </c>
      <c r="CJ102" s="15">
        <f t="shared" si="1"/>
        <v>0</v>
      </c>
      <c r="CK102" s="15">
        <f t="shared" si="1"/>
        <v>0</v>
      </c>
      <c r="CL102" s="15">
        <f t="shared" si="1"/>
        <v>0</v>
      </c>
      <c r="CM102" s="15">
        <f t="shared" si="1"/>
        <v>0</v>
      </c>
      <c r="CN102" s="15">
        <f t="shared" si="1"/>
        <v>0</v>
      </c>
      <c r="CO102" s="15">
        <f t="shared" si="1"/>
        <v>0</v>
      </c>
      <c r="CP102" s="15">
        <f t="shared" si="1"/>
        <v>0</v>
      </c>
      <c r="CQ102" s="15">
        <f t="shared" si="1"/>
        <v>0</v>
      </c>
      <c r="CR102" s="15">
        <f t="shared" si="1"/>
        <v>0</v>
      </c>
      <c r="CS102" s="15">
        <f t="shared" si="1"/>
        <v>0</v>
      </c>
      <c r="CT102" s="15">
        <f t="shared" si="1"/>
        <v>0</v>
      </c>
      <c r="CU102" s="15">
        <f t="shared" si="1"/>
        <v>0</v>
      </c>
      <c r="CV102" s="15">
        <f t="shared" si="1"/>
        <v>0</v>
      </c>
      <c r="CW102" s="15">
        <f t="shared" si="1"/>
        <v>0</v>
      </c>
      <c r="CX102" s="15">
        <f t="shared" si="1"/>
        <v>0</v>
      </c>
      <c r="CY102" s="15">
        <f t="shared" si="1"/>
        <v>0</v>
      </c>
      <c r="CZ102" s="15">
        <f t="shared" si="1"/>
        <v>0</v>
      </c>
      <c r="DA102" s="15">
        <f t="shared" si="1"/>
        <v>0</v>
      </c>
      <c r="DB102" s="15">
        <f t="shared" si="1"/>
        <v>0</v>
      </c>
      <c r="DC102" s="15">
        <f t="shared" si="1"/>
        <v>0</v>
      </c>
      <c r="DD102" s="15">
        <f t="shared" si="1"/>
        <v>0</v>
      </c>
      <c r="DE102" s="15">
        <f t="shared" si="1"/>
        <v>0</v>
      </c>
      <c r="DF102" s="15">
        <f t="shared" si="1"/>
        <v>0</v>
      </c>
      <c r="DG102" s="15">
        <f t="shared" si="1"/>
        <v>0</v>
      </c>
      <c r="DH102" s="15"/>
    </row>
    <row r="103" spans="1:112" x14ac:dyDescent="0.25">
      <c r="L103" s="16">
        <f>COUNTIF(L2:L101,"&gt;0")</f>
        <v>0</v>
      </c>
      <c r="M103" s="16">
        <f t="shared" ref="M103:BX103" si="2">COUNTIF(M2:M101,"&gt;0")</f>
        <v>0</v>
      </c>
      <c r="N103" s="16">
        <f t="shared" si="2"/>
        <v>0</v>
      </c>
      <c r="O103" s="16">
        <f t="shared" si="2"/>
        <v>0</v>
      </c>
      <c r="P103" s="16">
        <f t="shared" si="2"/>
        <v>0</v>
      </c>
      <c r="Q103" s="16">
        <f t="shared" si="2"/>
        <v>0</v>
      </c>
      <c r="R103" s="16">
        <f t="shared" si="2"/>
        <v>0</v>
      </c>
      <c r="S103" s="16">
        <f t="shared" si="2"/>
        <v>0</v>
      </c>
      <c r="T103" s="16">
        <f t="shared" si="2"/>
        <v>0</v>
      </c>
      <c r="U103" s="16">
        <f t="shared" si="2"/>
        <v>0</v>
      </c>
      <c r="V103" s="16">
        <f t="shared" si="2"/>
        <v>0</v>
      </c>
      <c r="W103" s="16">
        <f t="shared" si="2"/>
        <v>0</v>
      </c>
      <c r="X103" s="16">
        <f t="shared" si="2"/>
        <v>0</v>
      </c>
      <c r="Y103" s="16">
        <f t="shared" si="2"/>
        <v>0</v>
      </c>
      <c r="Z103" s="16">
        <f t="shared" si="2"/>
        <v>0</v>
      </c>
      <c r="AA103" s="16">
        <f t="shared" si="2"/>
        <v>0</v>
      </c>
      <c r="AB103" s="16">
        <f t="shared" si="2"/>
        <v>0</v>
      </c>
      <c r="AC103" s="16">
        <f t="shared" si="2"/>
        <v>0</v>
      </c>
      <c r="AD103" s="16">
        <f t="shared" si="2"/>
        <v>0</v>
      </c>
      <c r="AE103" s="16">
        <f t="shared" si="2"/>
        <v>0</v>
      </c>
      <c r="AF103" s="16">
        <f t="shared" si="2"/>
        <v>0</v>
      </c>
      <c r="AG103" s="16">
        <f t="shared" si="2"/>
        <v>0</v>
      </c>
      <c r="AH103" s="16">
        <f t="shared" si="2"/>
        <v>0</v>
      </c>
      <c r="AI103" s="16">
        <f t="shared" si="2"/>
        <v>0</v>
      </c>
      <c r="AJ103" s="16">
        <f t="shared" si="2"/>
        <v>0</v>
      </c>
      <c r="AK103" s="16">
        <f t="shared" si="2"/>
        <v>0</v>
      </c>
      <c r="AL103" s="16">
        <f t="shared" si="2"/>
        <v>0</v>
      </c>
      <c r="AM103" s="16">
        <f t="shared" si="2"/>
        <v>0</v>
      </c>
      <c r="AN103" s="16">
        <f t="shared" si="2"/>
        <v>0</v>
      </c>
      <c r="AO103" s="16">
        <f t="shared" si="2"/>
        <v>0</v>
      </c>
      <c r="AP103" s="16">
        <f t="shared" si="2"/>
        <v>0</v>
      </c>
      <c r="AQ103" s="16">
        <f t="shared" si="2"/>
        <v>0</v>
      </c>
      <c r="AR103" s="16">
        <f t="shared" si="2"/>
        <v>0</v>
      </c>
      <c r="AS103" s="16">
        <f t="shared" si="2"/>
        <v>0</v>
      </c>
      <c r="AT103" s="16">
        <f t="shared" si="2"/>
        <v>0</v>
      </c>
      <c r="AU103" s="16">
        <f t="shared" si="2"/>
        <v>0</v>
      </c>
      <c r="AV103" s="16">
        <f t="shared" si="2"/>
        <v>0</v>
      </c>
      <c r="AW103" s="16">
        <f t="shared" si="2"/>
        <v>0</v>
      </c>
      <c r="AX103" s="16">
        <f t="shared" si="2"/>
        <v>0</v>
      </c>
      <c r="AY103" s="16">
        <f t="shared" si="2"/>
        <v>0</v>
      </c>
      <c r="AZ103" s="16">
        <f t="shared" si="2"/>
        <v>0</v>
      </c>
      <c r="BA103" s="16">
        <f t="shared" si="2"/>
        <v>0</v>
      </c>
      <c r="BB103" s="16">
        <f t="shared" si="2"/>
        <v>0</v>
      </c>
      <c r="BC103" s="16">
        <f t="shared" si="2"/>
        <v>0</v>
      </c>
      <c r="BD103" s="16">
        <f t="shared" si="2"/>
        <v>0</v>
      </c>
      <c r="BE103" s="16">
        <f t="shared" si="2"/>
        <v>0</v>
      </c>
      <c r="BF103" s="16">
        <f t="shared" si="2"/>
        <v>0</v>
      </c>
      <c r="BG103" s="16">
        <f t="shared" si="2"/>
        <v>0</v>
      </c>
      <c r="BH103" s="16">
        <f t="shared" si="2"/>
        <v>0</v>
      </c>
      <c r="BI103" s="16">
        <f t="shared" si="2"/>
        <v>0</v>
      </c>
      <c r="BJ103" s="16">
        <f t="shared" si="2"/>
        <v>0</v>
      </c>
      <c r="BK103" s="16">
        <f t="shared" si="2"/>
        <v>0</v>
      </c>
      <c r="BL103" s="16">
        <f t="shared" si="2"/>
        <v>0</v>
      </c>
      <c r="BM103" s="16">
        <f t="shared" si="2"/>
        <v>0</v>
      </c>
      <c r="BN103" s="16">
        <f t="shared" si="2"/>
        <v>0</v>
      </c>
      <c r="BO103" s="16">
        <f t="shared" si="2"/>
        <v>0</v>
      </c>
      <c r="BP103" s="16">
        <f t="shared" si="2"/>
        <v>0</v>
      </c>
      <c r="BQ103" s="16">
        <f t="shared" si="2"/>
        <v>0</v>
      </c>
      <c r="BR103" s="16">
        <f t="shared" si="2"/>
        <v>0</v>
      </c>
      <c r="BS103" s="16">
        <f t="shared" si="2"/>
        <v>0</v>
      </c>
      <c r="BT103" s="16">
        <f t="shared" si="2"/>
        <v>0</v>
      </c>
      <c r="BU103" s="16">
        <f t="shared" si="2"/>
        <v>0</v>
      </c>
      <c r="BV103" s="16">
        <f t="shared" si="2"/>
        <v>0</v>
      </c>
      <c r="BW103" s="16">
        <f t="shared" si="2"/>
        <v>0</v>
      </c>
      <c r="BX103" s="16">
        <f t="shared" si="2"/>
        <v>0</v>
      </c>
      <c r="BY103" s="16">
        <f t="shared" ref="BY103:DG103" si="3">COUNTIF(BY2:BY101,"&gt;0")</f>
        <v>0</v>
      </c>
      <c r="BZ103" s="16">
        <f t="shared" si="3"/>
        <v>0</v>
      </c>
      <c r="CA103" s="16">
        <f t="shared" si="3"/>
        <v>0</v>
      </c>
      <c r="CB103" s="16">
        <f t="shared" si="3"/>
        <v>0</v>
      </c>
      <c r="CC103" s="16">
        <f t="shared" si="3"/>
        <v>0</v>
      </c>
      <c r="CD103" s="16">
        <f t="shared" si="3"/>
        <v>0</v>
      </c>
      <c r="CE103" s="16">
        <f t="shared" si="3"/>
        <v>0</v>
      </c>
      <c r="CF103" s="16">
        <f t="shared" si="3"/>
        <v>0</v>
      </c>
      <c r="CG103" s="16">
        <f t="shared" si="3"/>
        <v>0</v>
      </c>
      <c r="CH103" s="16">
        <f t="shared" si="3"/>
        <v>0</v>
      </c>
      <c r="CI103" s="16">
        <f t="shared" si="3"/>
        <v>0</v>
      </c>
      <c r="CJ103" s="16">
        <f t="shared" si="3"/>
        <v>0</v>
      </c>
      <c r="CK103" s="16">
        <f t="shared" si="3"/>
        <v>0</v>
      </c>
      <c r="CL103" s="16">
        <f t="shared" si="3"/>
        <v>0</v>
      </c>
      <c r="CM103" s="16">
        <f t="shared" si="3"/>
        <v>0</v>
      </c>
      <c r="CN103" s="16">
        <f t="shared" si="3"/>
        <v>0</v>
      </c>
      <c r="CO103" s="16">
        <f t="shared" si="3"/>
        <v>0</v>
      </c>
      <c r="CP103" s="16">
        <f t="shared" si="3"/>
        <v>0</v>
      </c>
      <c r="CQ103" s="16">
        <f t="shared" si="3"/>
        <v>0</v>
      </c>
      <c r="CR103" s="16">
        <f t="shared" si="3"/>
        <v>0</v>
      </c>
      <c r="CS103" s="16">
        <f t="shared" si="3"/>
        <v>0</v>
      </c>
      <c r="CT103" s="16">
        <f t="shared" si="3"/>
        <v>0</v>
      </c>
      <c r="CU103" s="16">
        <f t="shared" si="3"/>
        <v>0</v>
      </c>
      <c r="CV103" s="16">
        <f t="shared" si="3"/>
        <v>0</v>
      </c>
      <c r="CW103" s="16">
        <f t="shared" si="3"/>
        <v>0</v>
      </c>
      <c r="CX103" s="16">
        <f t="shared" si="3"/>
        <v>0</v>
      </c>
      <c r="CY103" s="16">
        <f t="shared" si="3"/>
        <v>0</v>
      </c>
      <c r="CZ103" s="16">
        <f t="shared" si="3"/>
        <v>0</v>
      </c>
      <c r="DA103" s="16">
        <f t="shared" si="3"/>
        <v>0</v>
      </c>
      <c r="DB103" s="16">
        <f t="shared" si="3"/>
        <v>0</v>
      </c>
      <c r="DC103" s="16">
        <f t="shared" si="3"/>
        <v>0</v>
      </c>
      <c r="DD103" s="16">
        <f t="shared" si="3"/>
        <v>0</v>
      </c>
      <c r="DE103" s="16">
        <f t="shared" si="3"/>
        <v>0</v>
      </c>
      <c r="DF103" s="16">
        <f t="shared" si="3"/>
        <v>0</v>
      </c>
      <c r="DG103" s="16">
        <f t="shared" si="3"/>
        <v>0</v>
      </c>
      <c r="DH103" s="15">
        <f>COUNTIF(L103:DG103,"&gt;0")</f>
        <v>0</v>
      </c>
    </row>
  </sheetData>
  <sheetProtection algorithmName="SHA-512" hashValue="Hzmlg3/zM57Pd9YeqV4vCvxuust5oTVPPuWaMIu2oymFo2oFRj/0g190BzY7++wZpoNKddzYZgUbKIZxF6rq4g==" saltValue="a+L1x9RztAFD5xeMCfKURA==" spinCount="100000" sheet="1" objects="1" scenarios="1"/>
  <conditionalFormatting sqref="L1:DG1">
    <cfRule type="cellIs" dxfId="20" priority="8" operator="equal">
      <formula>"Öğrenci"</formula>
    </cfRule>
  </conditionalFormatting>
  <conditionalFormatting sqref="A1:H1">
    <cfRule type="cellIs" dxfId="19" priority="7" operator="equal">
      <formula>"Öğrenci"</formula>
    </cfRule>
  </conditionalFormatting>
  <conditionalFormatting sqref="J2:J101">
    <cfRule type="cellIs" dxfId="18" priority="6" operator="equal">
      <formula>"Soru No"</formula>
    </cfRule>
  </conditionalFormatting>
  <conditionalFormatting sqref="K1">
    <cfRule type="cellIs" dxfId="17" priority="5" operator="equal">
      <formula>"Öğrenci"</formula>
    </cfRule>
  </conditionalFormatting>
  <conditionalFormatting sqref="K1">
    <cfRule type="cellIs" dxfId="16" priority="4" operator="equal">
      <formula>"Soru No"</formula>
    </cfRule>
  </conditionalFormatting>
  <conditionalFormatting sqref="K2:K101">
    <cfRule type="cellIs" dxfId="15" priority="3" operator="equal">
      <formula>"Soru No"</formula>
    </cfRule>
  </conditionalFormatting>
  <conditionalFormatting sqref="K2:K101">
    <cfRule type="expression" dxfId="14" priority="2">
      <formula>I2&lt;&gt;""</formula>
    </cfRule>
  </conditionalFormatting>
  <conditionalFormatting sqref="A2:K101">
    <cfRule type="expression" dxfId="13" priority="1">
      <formula>ROW()=CELL("sat")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10"/>
  <dimension ref="A1:DH103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8" width="3.140625" style="26" bestFit="1" customWidth="1"/>
    <col min="9" max="9" width="7.42578125" style="23" customWidth="1"/>
    <col min="10" max="10" width="1.7109375" style="25" customWidth="1"/>
    <col min="11" max="11" width="7.42578125" style="25" customWidth="1"/>
    <col min="12" max="12" width="3.28515625" style="12" customWidth="1"/>
    <col min="13" max="111" width="3.28515625" style="12" bestFit="1" customWidth="1"/>
    <col min="112" max="16384" width="9.140625" style="12"/>
  </cols>
  <sheetData>
    <row r="1" spans="1:112" s="21" customFormat="1" ht="54.95" customHeight="1" x14ac:dyDescent="0.2">
      <c r="A1" s="28" t="s">
        <v>113</v>
      </c>
      <c r="B1" s="28" t="s">
        <v>114</v>
      </c>
      <c r="C1" s="28" t="s">
        <v>115</v>
      </c>
      <c r="D1" s="28" t="s">
        <v>116</v>
      </c>
      <c r="E1" s="28" t="s">
        <v>117</v>
      </c>
      <c r="F1" s="28" t="s">
        <v>118</v>
      </c>
      <c r="G1" s="28" t="s">
        <v>119</v>
      </c>
      <c r="H1" s="28" t="s">
        <v>120</v>
      </c>
      <c r="I1" s="27" t="str">
        <f>CONCATENATE("Toplam Puan   ",SUM(I2:I101))</f>
        <v>Toplam Puan   0</v>
      </c>
      <c r="J1" s="67"/>
      <c r="K1" s="68"/>
      <c r="L1" s="10" t="str">
        <f>'1.vize'!L1</f>
        <v>Öğrenci</v>
      </c>
      <c r="M1" s="10" t="str">
        <f>'1.vize'!M1</f>
        <v>Öğrenci</v>
      </c>
      <c r="N1" s="10" t="str">
        <f>'1.vize'!N1</f>
        <v>Öğrenci</v>
      </c>
      <c r="O1" s="10" t="str">
        <f>'1.vize'!O1</f>
        <v>Öğrenci</v>
      </c>
      <c r="P1" s="10" t="str">
        <f>'1.vize'!P1</f>
        <v>Öğrenci</v>
      </c>
      <c r="Q1" s="10" t="str">
        <f>'1.vize'!Q1</f>
        <v>Öğrenci</v>
      </c>
      <c r="R1" s="10" t="str">
        <f>'1.vize'!R1</f>
        <v>Öğrenci</v>
      </c>
      <c r="S1" s="10" t="str">
        <f>'1.vize'!S1</f>
        <v>Öğrenci</v>
      </c>
      <c r="T1" s="10" t="str">
        <f>'1.vize'!T1</f>
        <v>Öğrenci</v>
      </c>
      <c r="U1" s="10" t="str">
        <f>'1.vize'!U1</f>
        <v>Öğrenci</v>
      </c>
      <c r="V1" s="10" t="str">
        <f>'1.vize'!V1</f>
        <v>Öğrenci</v>
      </c>
      <c r="W1" s="10" t="str">
        <f>'1.vize'!W1</f>
        <v>Öğrenci</v>
      </c>
      <c r="X1" s="10" t="str">
        <f>'1.vize'!X1</f>
        <v>Öğrenci</v>
      </c>
      <c r="Y1" s="10" t="str">
        <f>'1.vize'!Y1</f>
        <v>Öğrenci</v>
      </c>
      <c r="Z1" s="10" t="str">
        <f>'1.vize'!Z1</f>
        <v>Öğrenci</v>
      </c>
      <c r="AA1" s="10" t="str">
        <f>'1.vize'!AA1</f>
        <v>Öğrenci</v>
      </c>
      <c r="AB1" s="10" t="str">
        <f>'1.vize'!AB1</f>
        <v>Öğrenci</v>
      </c>
      <c r="AC1" s="10" t="str">
        <f>'1.vize'!AC1</f>
        <v>Öğrenci</v>
      </c>
      <c r="AD1" s="10" t="str">
        <f>'1.vize'!AD1</f>
        <v>Öğrenci</v>
      </c>
      <c r="AE1" s="10" t="str">
        <f>'1.vize'!AE1</f>
        <v>Öğrenci</v>
      </c>
      <c r="AF1" s="10" t="str">
        <f>'1.vize'!AF1</f>
        <v>Öğrenci</v>
      </c>
      <c r="AG1" s="10" t="str">
        <f>'1.vize'!AG1</f>
        <v>Öğrenci</v>
      </c>
      <c r="AH1" s="10" t="str">
        <f>'1.vize'!AH1</f>
        <v>Öğrenci</v>
      </c>
      <c r="AI1" s="10" t="str">
        <f>'1.vize'!AI1</f>
        <v>Öğrenci</v>
      </c>
      <c r="AJ1" s="10" t="str">
        <f>'1.vize'!AJ1</f>
        <v>Öğrenci</v>
      </c>
      <c r="AK1" s="10" t="str">
        <f>'1.vize'!AK1</f>
        <v>Öğrenci</v>
      </c>
      <c r="AL1" s="10" t="str">
        <f>'1.vize'!AL1</f>
        <v>Öğrenci</v>
      </c>
      <c r="AM1" s="10" t="str">
        <f>'1.vize'!AM1</f>
        <v>Öğrenci</v>
      </c>
      <c r="AN1" s="10" t="str">
        <f>'1.vize'!AN1</f>
        <v>Öğrenci</v>
      </c>
      <c r="AO1" s="10" t="str">
        <f>'1.vize'!AO1</f>
        <v>Öğrenci</v>
      </c>
      <c r="AP1" s="10" t="str">
        <f>'1.vize'!AP1</f>
        <v>Öğrenci</v>
      </c>
      <c r="AQ1" s="10" t="str">
        <f>'1.vize'!AQ1</f>
        <v>Öğrenci</v>
      </c>
      <c r="AR1" s="10" t="str">
        <f>'1.vize'!AR1</f>
        <v>Öğrenci</v>
      </c>
      <c r="AS1" s="10" t="str">
        <f>'1.vize'!AS1</f>
        <v>Öğrenci</v>
      </c>
      <c r="AT1" s="10" t="str">
        <f>'1.vize'!AT1</f>
        <v>Öğrenci</v>
      </c>
      <c r="AU1" s="10" t="str">
        <f>'1.vize'!AU1</f>
        <v>Öğrenci</v>
      </c>
      <c r="AV1" s="10" t="str">
        <f>'1.vize'!AV1</f>
        <v>Öğrenci</v>
      </c>
      <c r="AW1" s="10" t="str">
        <f>'1.vize'!AW1</f>
        <v>Öğrenci</v>
      </c>
      <c r="AX1" s="10" t="str">
        <f>'1.vize'!AX1</f>
        <v>Öğrenci</v>
      </c>
      <c r="AY1" s="10" t="str">
        <f>'1.vize'!AY1</f>
        <v>Öğrenci</v>
      </c>
      <c r="AZ1" s="10" t="str">
        <f>'1.vize'!AZ1</f>
        <v>Öğrenci</v>
      </c>
      <c r="BA1" s="10" t="str">
        <f>'1.vize'!BA1</f>
        <v>Öğrenci</v>
      </c>
      <c r="BB1" s="10" t="str">
        <f>'1.vize'!BB1</f>
        <v>Öğrenci</v>
      </c>
      <c r="BC1" s="10" t="str">
        <f>'1.vize'!BC1</f>
        <v>Öğrenci</v>
      </c>
      <c r="BD1" s="10" t="str">
        <f>'1.vize'!BD1</f>
        <v>Öğrenci</v>
      </c>
      <c r="BE1" s="10" t="str">
        <f>'1.vize'!BE1</f>
        <v>Öğrenci</v>
      </c>
      <c r="BF1" s="10" t="str">
        <f>'1.vize'!BF1</f>
        <v>Öğrenci</v>
      </c>
      <c r="BG1" s="10" t="str">
        <f>'1.vize'!BG1</f>
        <v>Öğrenci</v>
      </c>
      <c r="BH1" s="10" t="str">
        <f>'1.vize'!BH1</f>
        <v>Öğrenci</v>
      </c>
      <c r="BI1" s="10" t="str">
        <f>'1.vize'!BI1</f>
        <v>Öğrenci</v>
      </c>
      <c r="BJ1" s="10" t="str">
        <f>'1.vize'!BJ1</f>
        <v>Öğrenci</v>
      </c>
      <c r="BK1" s="10" t="str">
        <f>'1.vize'!BK1</f>
        <v>Öğrenci</v>
      </c>
      <c r="BL1" s="10" t="str">
        <f>'1.vize'!BL1</f>
        <v>Öğrenci</v>
      </c>
      <c r="BM1" s="10" t="str">
        <f>'1.vize'!BM1</f>
        <v>Öğrenci</v>
      </c>
      <c r="BN1" s="10" t="str">
        <f>'1.vize'!BN1</f>
        <v>Öğrenci</v>
      </c>
      <c r="BO1" s="10" t="str">
        <f>'1.vize'!BO1</f>
        <v>Öğrenci</v>
      </c>
      <c r="BP1" s="10" t="str">
        <f>'1.vize'!BP1</f>
        <v>Öğrenci</v>
      </c>
      <c r="BQ1" s="10" t="str">
        <f>'1.vize'!BQ1</f>
        <v>Öğrenci</v>
      </c>
      <c r="BR1" s="10" t="str">
        <f>'1.vize'!BR1</f>
        <v>Öğrenci</v>
      </c>
      <c r="BS1" s="10" t="str">
        <f>'1.vize'!BS1</f>
        <v>Öğrenci</v>
      </c>
      <c r="BT1" s="10" t="str">
        <f>'1.vize'!BT1</f>
        <v>Öğrenci</v>
      </c>
      <c r="BU1" s="10" t="str">
        <f>'1.vize'!BU1</f>
        <v>Öğrenci</v>
      </c>
      <c r="BV1" s="10" t="str">
        <f>'1.vize'!BV1</f>
        <v>Öğrenci</v>
      </c>
      <c r="BW1" s="10" t="str">
        <f>'1.vize'!BW1</f>
        <v>Öğrenci</v>
      </c>
      <c r="BX1" s="10" t="str">
        <f>'1.vize'!BX1</f>
        <v>Öğrenci</v>
      </c>
      <c r="BY1" s="10" t="str">
        <f>'1.vize'!BY1</f>
        <v>Öğrenci</v>
      </c>
      <c r="BZ1" s="10" t="str">
        <f>'1.vize'!BZ1</f>
        <v>Öğrenci</v>
      </c>
      <c r="CA1" s="10" t="str">
        <f>'1.vize'!CA1</f>
        <v>Öğrenci</v>
      </c>
      <c r="CB1" s="10" t="str">
        <f>'1.vize'!CB1</f>
        <v>Öğrenci</v>
      </c>
      <c r="CC1" s="10" t="str">
        <f>'1.vize'!CC1</f>
        <v>Öğrenci</v>
      </c>
      <c r="CD1" s="10" t="str">
        <f>'1.vize'!CD1</f>
        <v>Öğrenci</v>
      </c>
      <c r="CE1" s="10" t="str">
        <f>'1.vize'!CE1</f>
        <v>Öğrenci</v>
      </c>
      <c r="CF1" s="10" t="str">
        <f>'1.vize'!CF1</f>
        <v>Öğrenci</v>
      </c>
      <c r="CG1" s="10" t="str">
        <f>'1.vize'!CG1</f>
        <v>Öğrenci</v>
      </c>
      <c r="CH1" s="10" t="str">
        <f>'1.vize'!CH1</f>
        <v>Öğrenci</v>
      </c>
      <c r="CI1" s="10" t="str">
        <f>'1.vize'!CI1</f>
        <v>Öğrenci</v>
      </c>
      <c r="CJ1" s="10" t="str">
        <f>'1.vize'!CJ1</f>
        <v>Öğrenci</v>
      </c>
      <c r="CK1" s="10" t="str">
        <f>'1.vize'!CK1</f>
        <v>Öğrenci</v>
      </c>
      <c r="CL1" s="10" t="str">
        <f>'1.vize'!CL1</f>
        <v>Öğrenci</v>
      </c>
      <c r="CM1" s="10" t="str">
        <f>'1.vize'!CM1</f>
        <v>Öğrenci</v>
      </c>
      <c r="CN1" s="10" t="str">
        <f>'1.vize'!CN1</f>
        <v>Öğrenci</v>
      </c>
      <c r="CO1" s="10" t="str">
        <f>'1.vize'!CO1</f>
        <v>Öğrenci</v>
      </c>
      <c r="CP1" s="10" t="str">
        <f>'1.vize'!CP1</f>
        <v>Öğrenci</v>
      </c>
      <c r="CQ1" s="10" t="str">
        <f>'1.vize'!CQ1</f>
        <v>Öğrenci</v>
      </c>
      <c r="CR1" s="10" t="str">
        <f>'1.vize'!CR1</f>
        <v>Öğrenci</v>
      </c>
      <c r="CS1" s="10" t="str">
        <f>'1.vize'!CS1</f>
        <v>Öğrenci</v>
      </c>
      <c r="CT1" s="10" t="str">
        <f>'1.vize'!CT1</f>
        <v>Öğrenci</v>
      </c>
      <c r="CU1" s="10" t="str">
        <f>'1.vize'!CU1</f>
        <v>Öğrenci</v>
      </c>
      <c r="CV1" s="10" t="str">
        <f>'1.vize'!CV1</f>
        <v>Öğrenci</v>
      </c>
      <c r="CW1" s="10" t="str">
        <f>'1.vize'!CW1</f>
        <v>Öğrenci</v>
      </c>
      <c r="CX1" s="10" t="str">
        <f>'1.vize'!CX1</f>
        <v>Öğrenci</v>
      </c>
      <c r="CY1" s="10" t="str">
        <f>'1.vize'!CY1</f>
        <v>Öğrenci</v>
      </c>
      <c r="CZ1" s="10" t="str">
        <f>'1.vize'!CZ1</f>
        <v>Öğrenci</v>
      </c>
      <c r="DA1" s="10" t="str">
        <f>'1.vize'!DA1</f>
        <v>Öğrenci</v>
      </c>
      <c r="DB1" s="10" t="str">
        <f>'1.vize'!DB1</f>
        <v>Öğrenci</v>
      </c>
      <c r="DC1" s="10" t="str">
        <f>'1.vize'!DC1</f>
        <v>Öğrenci</v>
      </c>
      <c r="DD1" s="10" t="str">
        <f>'1.vize'!DD1</f>
        <v>Öğrenci</v>
      </c>
      <c r="DE1" s="10" t="str">
        <f>'1.vize'!DE1</f>
        <v>Öğrenci</v>
      </c>
      <c r="DF1" s="10" t="str">
        <f>'1.vize'!DF1</f>
        <v>Öğrenci</v>
      </c>
      <c r="DG1" s="10" t="str">
        <f>'1.vize'!DG1</f>
        <v>Öğrenci</v>
      </c>
      <c r="DH1" s="9"/>
    </row>
    <row r="2" spans="1:112" x14ac:dyDescent="0.2">
      <c r="A2" s="54"/>
      <c r="B2" s="54"/>
      <c r="C2" s="54"/>
      <c r="D2" s="54"/>
      <c r="E2" s="54"/>
      <c r="F2" s="54"/>
      <c r="G2" s="54"/>
      <c r="H2" s="54"/>
      <c r="I2" s="55"/>
      <c r="J2" s="7"/>
      <c r="K2" s="64" t="s">
        <v>443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13"/>
    </row>
    <row r="3" spans="1:112" x14ac:dyDescent="0.2">
      <c r="A3" s="54"/>
      <c r="B3" s="54"/>
      <c r="C3" s="54"/>
      <c r="D3" s="54"/>
      <c r="E3" s="54"/>
      <c r="F3" s="54"/>
      <c r="G3" s="54"/>
      <c r="H3" s="54"/>
      <c r="I3" s="55"/>
      <c r="J3" s="7"/>
      <c r="K3" s="64" t="s">
        <v>444</v>
      </c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13"/>
    </row>
    <row r="4" spans="1:112" x14ac:dyDescent="0.2">
      <c r="A4" s="54"/>
      <c r="B4" s="54"/>
      <c r="C4" s="54"/>
      <c r="D4" s="54"/>
      <c r="E4" s="54"/>
      <c r="F4" s="54"/>
      <c r="G4" s="54"/>
      <c r="H4" s="54"/>
      <c r="I4" s="55"/>
      <c r="J4" s="7"/>
      <c r="K4" s="64" t="s">
        <v>445</v>
      </c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13"/>
    </row>
    <row r="5" spans="1:112" x14ac:dyDescent="0.2">
      <c r="A5" s="54"/>
      <c r="B5" s="54"/>
      <c r="C5" s="54"/>
      <c r="D5" s="54"/>
      <c r="E5" s="54"/>
      <c r="F5" s="54"/>
      <c r="G5" s="54"/>
      <c r="H5" s="54"/>
      <c r="I5" s="55"/>
      <c r="J5" s="7"/>
      <c r="K5" s="64" t="s">
        <v>446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13"/>
    </row>
    <row r="6" spans="1:112" x14ac:dyDescent="0.2">
      <c r="A6" s="54"/>
      <c r="B6" s="54"/>
      <c r="C6" s="54"/>
      <c r="D6" s="54"/>
      <c r="E6" s="54"/>
      <c r="F6" s="54"/>
      <c r="G6" s="54"/>
      <c r="H6" s="54"/>
      <c r="I6" s="55"/>
      <c r="J6" s="7"/>
      <c r="K6" s="64" t="s">
        <v>447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13"/>
    </row>
    <row r="7" spans="1:112" x14ac:dyDescent="0.2">
      <c r="A7" s="54"/>
      <c r="B7" s="54"/>
      <c r="C7" s="54"/>
      <c r="D7" s="54"/>
      <c r="E7" s="54"/>
      <c r="F7" s="54"/>
      <c r="G7" s="54"/>
      <c r="H7" s="54"/>
      <c r="I7" s="55"/>
      <c r="J7" s="7"/>
      <c r="K7" s="64" t="s">
        <v>448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13"/>
    </row>
    <row r="8" spans="1:112" x14ac:dyDescent="0.2">
      <c r="A8" s="54"/>
      <c r="B8" s="54"/>
      <c r="C8" s="54"/>
      <c r="D8" s="54"/>
      <c r="E8" s="54"/>
      <c r="F8" s="54"/>
      <c r="G8" s="54"/>
      <c r="H8" s="54"/>
      <c r="I8" s="55"/>
      <c r="J8" s="7"/>
      <c r="K8" s="64" t="s">
        <v>449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13"/>
    </row>
    <row r="9" spans="1:112" x14ac:dyDescent="0.2">
      <c r="A9" s="54"/>
      <c r="B9" s="54"/>
      <c r="C9" s="54"/>
      <c r="D9" s="54"/>
      <c r="E9" s="54"/>
      <c r="F9" s="54"/>
      <c r="G9" s="54"/>
      <c r="H9" s="54"/>
      <c r="I9" s="55"/>
      <c r="J9" s="7"/>
      <c r="K9" s="64" t="s">
        <v>450</v>
      </c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13"/>
    </row>
    <row r="10" spans="1:112" x14ac:dyDescent="0.25">
      <c r="A10" s="56"/>
      <c r="B10" s="56"/>
      <c r="C10" s="56"/>
      <c r="D10" s="56"/>
      <c r="E10" s="56"/>
      <c r="F10" s="56"/>
      <c r="G10" s="56"/>
      <c r="H10" s="56"/>
      <c r="I10" s="55"/>
      <c r="J10" s="7"/>
      <c r="K10" s="64" t="s">
        <v>451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N10" s="59"/>
      <c r="BO10" s="59"/>
      <c r="BP10" s="59"/>
      <c r="BQ10" s="59"/>
      <c r="BR10" s="59"/>
      <c r="BS10" s="59"/>
      <c r="BT10" s="59"/>
      <c r="BU10" s="59"/>
      <c r="BV10" s="59"/>
      <c r="BW10" s="59"/>
      <c r="BX10" s="59"/>
      <c r="BY10" s="59"/>
      <c r="BZ10" s="59"/>
      <c r="CA10" s="59"/>
      <c r="CB10" s="59"/>
      <c r="CC10" s="59"/>
      <c r="CD10" s="59"/>
      <c r="CE10" s="59"/>
      <c r="CF10" s="59"/>
      <c r="CG10" s="59"/>
      <c r="CH10" s="59"/>
      <c r="CI10" s="59"/>
      <c r="CJ10" s="59"/>
      <c r="CK10" s="59"/>
      <c r="CL10" s="59"/>
      <c r="CM10" s="59"/>
      <c r="CN10" s="59"/>
      <c r="CO10" s="59"/>
      <c r="CP10" s="59"/>
      <c r="CQ10" s="59"/>
      <c r="CR10" s="59"/>
      <c r="CS10" s="59"/>
      <c r="CT10" s="59"/>
      <c r="CU10" s="59"/>
      <c r="CV10" s="59"/>
      <c r="CW10" s="59"/>
      <c r="CX10" s="59"/>
      <c r="CY10" s="59"/>
      <c r="CZ10" s="59"/>
      <c r="DA10" s="59"/>
      <c r="DB10" s="59"/>
      <c r="DC10" s="59"/>
      <c r="DD10" s="59"/>
      <c r="DE10" s="59"/>
      <c r="DF10" s="59"/>
      <c r="DG10" s="59"/>
      <c r="DH10" s="13"/>
    </row>
    <row r="11" spans="1:112" x14ac:dyDescent="0.25">
      <c r="A11" s="56"/>
      <c r="B11" s="56"/>
      <c r="C11" s="56"/>
      <c r="D11" s="56"/>
      <c r="E11" s="56"/>
      <c r="F11" s="56"/>
      <c r="G11" s="56"/>
      <c r="H11" s="56"/>
      <c r="I11" s="55"/>
      <c r="J11" s="7"/>
      <c r="K11" s="64" t="s">
        <v>452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N11" s="59"/>
      <c r="BO11" s="59"/>
      <c r="BP11" s="59"/>
      <c r="BQ11" s="59"/>
      <c r="BR11" s="59"/>
      <c r="BS11" s="59"/>
      <c r="BT11" s="59"/>
      <c r="BU11" s="59"/>
      <c r="BV11" s="59"/>
      <c r="BW11" s="59"/>
      <c r="BX11" s="59"/>
      <c r="BY11" s="59"/>
      <c r="BZ11" s="59"/>
      <c r="CA11" s="59"/>
      <c r="CB11" s="59"/>
      <c r="CC11" s="59"/>
      <c r="CD11" s="59"/>
      <c r="CE11" s="59"/>
      <c r="CF11" s="59"/>
      <c r="CG11" s="59"/>
      <c r="CH11" s="59"/>
      <c r="CI11" s="59"/>
      <c r="CJ11" s="59"/>
      <c r="CK11" s="59"/>
      <c r="CL11" s="59"/>
      <c r="CM11" s="59"/>
      <c r="CN11" s="59"/>
      <c r="CO11" s="59"/>
      <c r="CP11" s="59"/>
      <c r="CQ11" s="59"/>
      <c r="CR11" s="59"/>
      <c r="CS11" s="59"/>
      <c r="CT11" s="59"/>
      <c r="CU11" s="59"/>
      <c r="CV11" s="59"/>
      <c r="CW11" s="59"/>
      <c r="CX11" s="59"/>
      <c r="CY11" s="59"/>
      <c r="CZ11" s="59"/>
      <c r="DA11" s="59"/>
      <c r="DB11" s="59"/>
      <c r="DC11" s="59"/>
      <c r="DD11" s="59"/>
      <c r="DE11" s="59"/>
      <c r="DF11" s="59"/>
      <c r="DG11" s="59"/>
      <c r="DH11" s="13"/>
    </row>
    <row r="12" spans="1:112" x14ac:dyDescent="0.25">
      <c r="A12" s="56"/>
      <c r="B12" s="56"/>
      <c r="C12" s="56"/>
      <c r="D12" s="56"/>
      <c r="E12" s="56"/>
      <c r="F12" s="56"/>
      <c r="G12" s="56"/>
      <c r="H12" s="56"/>
      <c r="I12" s="55"/>
      <c r="J12" s="7"/>
      <c r="K12" s="64" t="s">
        <v>453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N12" s="59"/>
      <c r="BO12" s="59"/>
      <c r="BP12" s="59"/>
      <c r="BQ12" s="59"/>
      <c r="BR12" s="59"/>
      <c r="BS12" s="59"/>
      <c r="BT12" s="59"/>
      <c r="BU12" s="59"/>
      <c r="BV12" s="59"/>
      <c r="BW12" s="59"/>
      <c r="BX12" s="59"/>
      <c r="BY12" s="59"/>
      <c r="BZ12" s="59"/>
      <c r="CA12" s="59"/>
      <c r="CB12" s="59"/>
      <c r="CC12" s="59"/>
      <c r="CD12" s="59"/>
      <c r="CE12" s="59"/>
      <c r="CF12" s="59"/>
      <c r="CG12" s="59"/>
      <c r="CH12" s="59"/>
      <c r="CI12" s="59"/>
      <c r="CJ12" s="59"/>
      <c r="CK12" s="59"/>
      <c r="CL12" s="59"/>
      <c r="CM12" s="59"/>
      <c r="CN12" s="59"/>
      <c r="CO12" s="59"/>
      <c r="CP12" s="59"/>
      <c r="CQ12" s="59"/>
      <c r="CR12" s="59"/>
      <c r="CS12" s="59"/>
      <c r="CT12" s="59"/>
      <c r="CU12" s="59"/>
      <c r="CV12" s="59"/>
      <c r="CW12" s="59"/>
      <c r="CX12" s="59"/>
      <c r="CY12" s="59"/>
      <c r="CZ12" s="59"/>
      <c r="DA12" s="59"/>
      <c r="DB12" s="59"/>
      <c r="DC12" s="59"/>
      <c r="DD12" s="59"/>
      <c r="DE12" s="59"/>
      <c r="DF12" s="59"/>
      <c r="DG12" s="59"/>
      <c r="DH12" s="13"/>
    </row>
    <row r="13" spans="1:112" x14ac:dyDescent="0.25">
      <c r="A13" s="56"/>
      <c r="B13" s="56"/>
      <c r="C13" s="56"/>
      <c r="D13" s="56"/>
      <c r="E13" s="56"/>
      <c r="F13" s="56"/>
      <c r="G13" s="56"/>
      <c r="H13" s="56"/>
      <c r="I13" s="55"/>
      <c r="J13" s="7"/>
      <c r="K13" s="64" t="s">
        <v>454</v>
      </c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59"/>
      <c r="BW13" s="59"/>
      <c r="BX13" s="59"/>
      <c r="BY13" s="59"/>
      <c r="BZ13" s="59"/>
      <c r="CA13" s="59"/>
      <c r="CB13" s="59"/>
      <c r="CC13" s="59"/>
      <c r="CD13" s="59"/>
      <c r="CE13" s="59"/>
      <c r="CF13" s="59"/>
      <c r="CG13" s="59"/>
      <c r="CH13" s="59"/>
      <c r="CI13" s="59"/>
      <c r="CJ13" s="59"/>
      <c r="CK13" s="59"/>
      <c r="CL13" s="59"/>
      <c r="CM13" s="59"/>
      <c r="CN13" s="59"/>
      <c r="CO13" s="59"/>
      <c r="CP13" s="59"/>
      <c r="CQ13" s="59"/>
      <c r="CR13" s="59"/>
      <c r="CS13" s="59"/>
      <c r="CT13" s="59"/>
      <c r="CU13" s="59"/>
      <c r="CV13" s="59"/>
      <c r="CW13" s="59"/>
      <c r="CX13" s="59"/>
      <c r="CY13" s="59"/>
      <c r="CZ13" s="59"/>
      <c r="DA13" s="59"/>
      <c r="DB13" s="59"/>
      <c r="DC13" s="59"/>
      <c r="DD13" s="59"/>
      <c r="DE13" s="59"/>
      <c r="DF13" s="59"/>
      <c r="DG13" s="59"/>
      <c r="DH13" s="13"/>
    </row>
    <row r="14" spans="1:112" x14ac:dyDescent="0.25">
      <c r="A14" s="56"/>
      <c r="B14" s="56"/>
      <c r="C14" s="56"/>
      <c r="D14" s="56"/>
      <c r="E14" s="56"/>
      <c r="F14" s="56"/>
      <c r="G14" s="56"/>
      <c r="H14" s="56"/>
      <c r="I14" s="55"/>
      <c r="J14" s="7"/>
      <c r="K14" s="64" t="s">
        <v>455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59"/>
      <c r="CD14" s="59"/>
      <c r="CE14" s="59"/>
      <c r="CF14" s="59"/>
      <c r="CG14" s="59"/>
      <c r="CH14" s="59"/>
      <c r="CI14" s="59"/>
      <c r="CJ14" s="59"/>
      <c r="CK14" s="59"/>
      <c r="CL14" s="59"/>
      <c r="CM14" s="59"/>
      <c r="CN14" s="59"/>
      <c r="CO14" s="59"/>
      <c r="CP14" s="59"/>
      <c r="CQ14" s="59"/>
      <c r="CR14" s="59"/>
      <c r="CS14" s="59"/>
      <c r="CT14" s="59"/>
      <c r="CU14" s="59"/>
      <c r="CV14" s="59"/>
      <c r="CW14" s="59"/>
      <c r="CX14" s="59"/>
      <c r="CY14" s="59"/>
      <c r="CZ14" s="59"/>
      <c r="DA14" s="59"/>
      <c r="DB14" s="59"/>
      <c r="DC14" s="59"/>
      <c r="DD14" s="59"/>
      <c r="DE14" s="59"/>
      <c r="DF14" s="59"/>
      <c r="DG14" s="59"/>
      <c r="DH14" s="13"/>
    </row>
    <row r="15" spans="1:112" x14ac:dyDescent="0.25">
      <c r="A15" s="56"/>
      <c r="B15" s="56"/>
      <c r="C15" s="56"/>
      <c r="D15" s="56"/>
      <c r="E15" s="56"/>
      <c r="F15" s="56"/>
      <c r="G15" s="56"/>
      <c r="H15" s="56"/>
      <c r="I15" s="55"/>
      <c r="J15" s="7"/>
      <c r="K15" s="64" t="s">
        <v>456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59"/>
      <c r="BW15" s="59"/>
      <c r="BX15" s="59"/>
      <c r="BY15" s="59"/>
      <c r="BZ15" s="59"/>
      <c r="CA15" s="59"/>
      <c r="CB15" s="59"/>
      <c r="CC15" s="59"/>
      <c r="CD15" s="59"/>
      <c r="CE15" s="59"/>
      <c r="CF15" s="59"/>
      <c r="CG15" s="59"/>
      <c r="CH15" s="59"/>
      <c r="CI15" s="59"/>
      <c r="CJ15" s="59"/>
      <c r="CK15" s="59"/>
      <c r="CL15" s="59"/>
      <c r="CM15" s="59"/>
      <c r="CN15" s="59"/>
      <c r="CO15" s="59"/>
      <c r="CP15" s="59"/>
      <c r="CQ15" s="59"/>
      <c r="CR15" s="59"/>
      <c r="CS15" s="59"/>
      <c r="CT15" s="59"/>
      <c r="CU15" s="59"/>
      <c r="CV15" s="59"/>
      <c r="CW15" s="59"/>
      <c r="CX15" s="59"/>
      <c r="CY15" s="59"/>
      <c r="CZ15" s="59"/>
      <c r="DA15" s="59"/>
      <c r="DB15" s="59"/>
      <c r="DC15" s="59"/>
      <c r="DD15" s="59"/>
      <c r="DE15" s="59"/>
      <c r="DF15" s="59"/>
      <c r="DG15" s="59"/>
      <c r="DH15" s="13"/>
    </row>
    <row r="16" spans="1:112" x14ac:dyDescent="0.25">
      <c r="A16" s="56"/>
      <c r="B16" s="56"/>
      <c r="C16" s="56"/>
      <c r="D16" s="56"/>
      <c r="E16" s="56"/>
      <c r="F16" s="56"/>
      <c r="G16" s="56"/>
      <c r="H16" s="56"/>
      <c r="I16" s="55"/>
      <c r="J16" s="7"/>
      <c r="K16" s="64" t="s">
        <v>457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59"/>
      <c r="CB16" s="59"/>
      <c r="CC16" s="59"/>
      <c r="CD16" s="59"/>
      <c r="CE16" s="59"/>
      <c r="CF16" s="59"/>
      <c r="CG16" s="59"/>
      <c r="CH16" s="59"/>
      <c r="CI16" s="59"/>
      <c r="CJ16" s="59"/>
      <c r="CK16" s="59"/>
      <c r="CL16" s="59"/>
      <c r="CM16" s="59"/>
      <c r="CN16" s="59"/>
      <c r="CO16" s="59"/>
      <c r="CP16" s="59"/>
      <c r="CQ16" s="59"/>
      <c r="CR16" s="59"/>
      <c r="CS16" s="59"/>
      <c r="CT16" s="59"/>
      <c r="CU16" s="59"/>
      <c r="CV16" s="59"/>
      <c r="CW16" s="59"/>
      <c r="CX16" s="59"/>
      <c r="CY16" s="59"/>
      <c r="CZ16" s="59"/>
      <c r="DA16" s="59"/>
      <c r="DB16" s="59"/>
      <c r="DC16" s="59"/>
      <c r="DD16" s="59"/>
      <c r="DE16" s="59"/>
      <c r="DF16" s="59"/>
      <c r="DG16" s="59"/>
      <c r="DH16" s="13"/>
    </row>
    <row r="17" spans="1:112" x14ac:dyDescent="0.25">
      <c r="A17" s="56"/>
      <c r="B17" s="56"/>
      <c r="C17" s="56"/>
      <c r="D17" s="56"/>
      <c r="E17" s="56"/>
      <c r="F17" s="56"/>
      <c r="G17" s="56"/>
      <c r="H17" s="56"/>
      <c r="I17" s="55"/>
      <c r="J17" s="7"/>
      <c r="K17" s="64" t="s">
        <v>458</v>
      </c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13"/>
    </row>
    <row r="18" spans="1:112" x14ac:dyDescent="0.25">
      <c r="A18" s="56"/>
      <c r="B18" s="56"/>
      <c r="C18" s="56"/>
      <c r="D18" s="56"/>
      <c r="E18" s="56"/>
      <c r="F18" s="56"/>
      <c r="G18" s="56"/>
      <c r="H18" s="56"/>
      <c r="I18" s="55"/>
      <c r="J18" s="7"/>
      <c r="K18" s="64" t="s">
        <v>459</v>
      </c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59"/>
      <c r="BW18" s="59"/>
      <c r="BX18" s="59"/>
      <c r="BY18" s="59"/>
      <c r="BZ18" s="59"/>
      <c r="CA18" s="59"/>
      <c r="CB18" s="59"/>
      <c r="CC18" s="59"/>
      <c r="CD18" s="59"/>
      <c r="CE18" s="59"/>
      <c r="CF18" s="59"/>
      <c r="CG18" s="59"/>
      <c r="CH18" s="59"/>
      <c r="CI18" s="59"/>
      <c r="CJ18" s="59"/>
      <c r="CK18" s="59"/>
      <c r="CL18" s="59"/>
      <c r="CM18" s="59"/>
      <c r="CN18" s="59"/>
      <c r="CO18" s="59"/>
      <c r="CP18" s="59"/>
      <c r="CQ18" s="59"/>
      <c r="CR18" s="59"/>
      <c r="CS18" s="59"/>
      <c r="CT18" s="59"/>
      <c r="CU18" s="59"/>
      <c r="CV18" s="59"/>
      <c r="CW18" s="59"/>
      <c r="CX18" s="59"/>
      <c r="CY18" s="59"/>
      <c r="CZ18" s="59"/>
      <c r="DA18" s="59"/>
      <c r="DB18" s="59"/>
      <c r="DC18" s="59"/>
      <c r="DD18" s="59"/>
      <c r="DE18" s="59"/>
      <c r="DF18" s="59"/>
      <c r="DG18" s="59"/>
      <c r="DH18" s="13"/>
    </row>
    <row r="19" spans="1:112" x14ac:dyDescent="0.25">
      <c r="A19" s="56"/>
      <c r="B19" s="56"/>
      <c r="C19" s="56"/>
      <c r="D19" s="56"/>
      <c r="E19" s="56"/>
      <c r="F19" s="56"/>
      <c r="G19" s="56"/>
      <c r="H19" s="56"/>
      <c r="I19" s="55"/>
      <c r="J19" s="7"/>
      <c r="K19" s="64" t="s">
        <v>460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13"/>
    </row>
    <row r="20" spans="1:112" x14ac:dyDescent="0.25">
      <c r="A20" s="56"/>
      <c r="B20" s="56"/>
      <c r="C20" s="56"/>
      <c r="D20" s="56"/>
      <c r="E20" s="56"/>
      <c r="F20" s="56"/>
      <c r="G20" s="56"/>
      <c r="H20" s="56"/>
      <c r="I20" s="55"/>
      <c r="J20" s="7"/>
      <c r="K20" s="64" t="s">
        <v>461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59"/>
      <c r="CD20" s="59"/>
      <c r="CE20" s="59"/>
      <c r="CF20" s="59"/>
      <c r="CG20" s="59"/>
      <c r="CH20" s="59"/>
      <c r="CI20" s="59"/>
      <c r="CJ20" s="59"/>
      <c r="CK20" s="59"/>
      <c r="CL20" s="59"/>
      <c r="CM20" s="59"/>
      <c r="CN20" s="59"/>
      <c r="CO20" s="59"/>
      <c r="CP20" s="59"/>
      <c r="CQ20" s="59"/>
      <c r="CR20" s="59"/>
      <c r="CS20" s="59"/>
      <c r="CT20" s="59"/>
      <c r="CU20" s="59"/>
      <c r="CV20" s="59"/>
      <c r="CW20" s="59"/>
      <c r="CX20" s="59"/>
      <c r="CY20" s="59"/>
      <c r="CZ20" s="59"/>
      <c r="DA20" s="59"/>
      <c r="DB20" s="59"/>
      <c r="DC20" s="59"/>
      <c r="DD20" s="59"/>
      <c r="DE20" s="59"/>
      <c r="DF20" s="59"/>
      <c r="DG20" s="59"/>
      <c r="DH20" s="13"/>
    </row>
    <row r="21" spans="1:112" x14ac:dyDescent="0.25">
      <c r="A21" s="56"/>
      <c r="B21" s="56"/>
      <c r="C21" s="56"/>
      <c r="D21" s="56"/>
      <c r="E21" s="56"/>
      <c r="F21" s="56"/>
      <c r="G21" s="56"/>
      <c r="H21" s="56"/>
      <c r="I21" s="55"/>
      <c r="J21" s="7"/>
      <c r="K21" s="64" t="s">
        <v>462</v>
      </c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59"/>
      <c r="BW21" s="59"/>
      <c r="BX21" s="59"/>
      <c r="BY21" s="59"/>
      <c r="BZ21" s="59"/>
      <c r="CA21" s="59"/>
      <c r="CB21" s="59"/>
      <c r="CC21" s="59"/>
      <c r="CD21" s="59"/>
      <c r="CE21" s="59"/>
      <c r="CF21" s="59"/>
      <c r="CG21" s="59"/>
      <c r="CH21" s="59"/>
      <c r="CI21" s="59"/>
      <c r="CJ21" s="59"/>
      <c r="CK21" s="59"/>
      <c r="CL21" s="59"/>
      <c r="CM21" s="59"/>
      <c r="CN21" s="59"/>
      <c r="CO21" s="59"/>
      <c r="CP21" s="59"/>
      <c r="CQ21" s="59"/>
      <c r="CR21" s="59"/>
      <c r="CS21" s="59"/>
      <c r="CT21" s="59"/>
      <c r="CU21" s="59"/>
      <c r="CV21" s="59"/>
      <c r="CW21" s="59"/>
      <c r="CX21" s="59"/>
      <c r="CY21" s="59"/>
      <c r="CZ21" s="59"/>
      <c r="DA21" s="59"/>
      <c r="DB21" s="59"/>
      <c r="DC21" s="59"/>
      <c r="DD21" s="59"/>
      <c r="DE21" s="59"/>
      <c r="DF21" s="59"/>
      <c r="DG21" s="59"/>
      <c r="DH21" s="13"/>
    </row>
    <row r="22" spans="1:112" x14ac:dyDescent="0.25">
      <c r="A22" s="56"/>
      <c r="B22" s="56"/>
      <c r="C22" s="56"/>
      <c r="D22" s="56"/>
      <c r="E22" s="56"/>
      <c r="F22" s="56"/>
      <c r="G22" s="56"/>
      <c r="H22" s="56"/>
      <c r="I22" s="55"/>
      <c r="J22" s="7"/>
      <c r="K22" s="64" t="s">
        <v>463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59"/>
      <c r="BW22" s="59"/>
      <c r="BX22" s="59"/>
      <c r="BY22" s="59"/>
      <c r="BZ22" s="59"/>
      <c r="CA22" s="59"/>
      <c r="CB22" s="59"/>
      <c r="CC22" s="59"/>
      <c r="CD22" s="59"/>
      <c r="CE22" s="59"/>
      <c r="CF22" s="59"/>
      <c r="CG22" s="59"/>
      <c r="CH22" s="59"/>
      <c r="CI22" s="59"/>
      <c r="CJ22" s="59"/>
      <c r="CK22" s="59"/>
      <c r="CL22" s="59"/>
      <c r="CM22" s="59"/>
      <c r="CN22" s="59"/>
      <c r="CO22" s="59"/>
      <c r="CP22" s="59"/>
      <c r="CQ22" s="59"/>
      <c r="CR22" s="59"/>
      <c r="CS22" s="59"/>
      <c r="CT22" s="59"/>
      <c r="CU22" s="59"/>
      <c r="CV22" s="59"/>
      <c r="CW22" s="59"/>
      <c r="CX22" s="59"/>
      <c r="CY22" s="59"/>
      <c r="CZ22" s="59"/>
      <c r="DA22" s="59"/>
      <c r="DB22" s="59"/>
      <c r="DC22" s="59"/>
      <c r="DD22" s="59"/>
      <c r="DE22" s="59"/>
      <c r="DF22" s="59"/>
      <c r="DG22" s="59"/>
      <c r="DH22" s="13"/>
    </row>
    <row r="23" spans="1:112" x14ac:dyDescent="0.25">
      <c r="A23" s="56"/>
      <c r="B23" s="56"/>
      <c r="C23" s="56"/>
      <c r="D23" s="56"/>
      <c r="E23" s="56"/>
      <c r="F23" s="56"/>
      <c r="G23" s="56"/>
      <c r="H23" s="56"/>
      <c r="I23" s="55"/>
      <c r="J23" s="7"/>
      <c r="K23" s="64" t="s">
        <v>464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59"/>
      <c r="CD23" s="59"/>
      <c r="CE23" s="59"/>
      <c r="CF23" s="59"/>
      <c r="CG23" s="59"/>
      <c r="CH23" s="59"/>
      <c r="CI23" s="59"/>
      <c r="CJ23" s="59"/>
      <c r="CK23" s="59"/>
      <c r="CL23" s="59"/>
      <c r="CM23" s="59"/>
      <c r="CN23" s="59"/>
      <c r="CO23" s="59"/>
      <c r="CP23" s="59"/>
      <c r="CQ23" s="59"/>
      <c r="CR23" s="59"/>
      <c r="CS23" s="59"/>
      <c r="CT23" s="59"/>
      <c r="CU23" s="59"/>
      <c r="CV23" s="59"/>
      <c r="CW23" s="59"/>
      <c r="CX23" s="59"/>
      <c r="CY23" s="59"/>
      <c r="CZ23" s="59"/>
      <c r="DA23" s="59"/>
      <c r="DB23" s="59"/>
      <c r="DC23" s="59"/>
      <c r="DD23" s="59"/>
      <c r="DE23" s="59"/>
      <c r="DF23" s="59"/>
      <c r="DG23" s="59"/>
      <c r="DH23" s="13"/>
    </row>
    <row r="24" spans="1:112" x14ac:dyDescent="0.25">
      <c r="A24" s="56"/>
      <c r="B24" s="56"/>
      <c r="C24" s="56"/>
      <c r="D24" s="56"/>
      <c r="E24" s="56"/>
      <c r="F24" s="56"/>
      <c r="G24" s="56"/>
      <c r="H24" s="56"/>
      <c r="I24" s="55"/>
      <c r="J24" s="7"/>
      <c r="K24" s="64" t="s">
        <v>465</v>
      </c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59"/>
      <c r="BW24" s="59"/>
      <c r="BX24" s="59"/>
      <c r="BY24" s="59"/>
      <c r="BZ24" s="59"/>
      <c r="CA24" s="59"/>
      <c r="CB24" s="59"/>
      <c r="CC24" s="59"/>
      <c r="CD24" s="59"/>
      <c r="CE24" s="59"/>
      <c r="CF24" s="59"/>
      <c r="CG24" s="59"/>
      <c r="CH24" s="59"/>
      <c r="CI24" s="59"/>
      <c r="CJ24" s="59"/>
      <c r="CK24" s="59"/>
      <c r="CL24" s="59"/>
      <c r="CM24" s="59"/>
      <c r="CN24" s="59"/>
      <c r="CO24" s="59"/>
      <c r="CP24" s="59"/>
      <c r="CQ24" s="59"/>
      <c r="CR24" s="59"/>
      <c r="CS24" s="59"/>
      <c r="CT24" s="59"/>
      <c r="CU24" s="59"/>
      <c r="CV24" s="59"/>
      <c r="CW24" s="59"/>
      <c r="CX24" s="59"/>
      <c r="CY24" s="59"/>
      <c r="CZ24" s="59"/>
      <c r="DA24" s="59"/>
      <c r="DB24" s="59"/>
      <c r="DC24" s="59"/>
      <c r="DD24" s="59"/>
      <c r="DE24" s="59"/>
      <c r="DF24" s="59"/>
      <c r="DG24" s="59"/>
      <c r="DH24" s="13"/>
    </row>
    <row r="25" spans="1:112" x14ac:dyDescent="0.25">
      <c r="A25" s="56"/>
      <c r="B25" s="56"/>
      <c r="C25" s="56"/>
      <c r="D25" s="56"/>
      <c r="E25" s="56"/>
      <c r="F25" s="56"/>
      <c r="G25" s="56"/>
      <c r="H25" s="56"/>
      <c r="I25" s="55"/>
      <c r="J25" s="7"/>
      <c r="K25" s="64" t="s">
        <v>466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59"/>
      <c r="BW25" s="59"/>
      <c r="BX25" s="59"/>
      <c r="BY25" s="59"/>
      <c r="BZ25" s="59"/>
      <c r="CA25" s="59"/>
      <c r="CB25" s="59"/>
      <c r="CC25" s="59"/>
      <c r="CD25" s="59"/>
      <c r="CE25" s="59"/>
      <c r="CF25" s="59"/>
      <c r="CG25" s="59"/>
      <c r="CH25" s="59"/>
      <c r="CI25" s="59"/>
      <c r="CJ25" s="59"/>
      <c r="CK25" s="59"/>
      <c r="CL25" s="59"/>
      <c r="CM25" s="59"/>
      <c r="CN25" s="59"/>
      <c r="CO25" s="59"/>
      <c r="CP25" s="59"/>
      <c r="CQ25" s="59"/>
      <c r="CR25" s="59"/>
      <c r="CS25" s="59"/>
      <c r="CT25" s="59"/>
      <c r="CU25" s="59"/>
      <c r="CV25" s="59"/>
      <c r="CW25" s="59"/>
      <c r="CX25" s="59"/>
      <c r="CY25" s="59"/>
      <c r="CZ25" s="59"/>
      <c r="DA25" s="59"/>
      <c r="DB25" s="59"/>
      <c r="DC25" s="59"/>
      <c r="DD25" s="59"/>
      <c r="DE25" s="59"/>
      <c r="DF25" s="59"/>
      <c r="DG25" s="59"/>
      <c r="DH25" s="13"/>
    </row>
    <row r="26" spans="1:112" x14ac:dyDescent="0.25">
      <c r="A26" s="56"/>
      <c r="B26" s="56"/>
      <c r="C26" s="56"/>
      <c r="D26" s="56"/>
      <c r="E26" s="56"/>
      <c r="F26" s="56"/>
      <c r="G26" s="56"/>
      <c r="H26" s="56"/>
      <c r="I26" s="55"/>
      <c r="J26" s="7"/>
      <c r="K26" s="64" t="s">
        <v>467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13"/>
    </row>
    <row r="27" spans="1:112" x14ac:dyDescent="0.25">
      <c r="A27" s="56"/>
      <c r="B27" s="56"/>
      <c r="C27" s="56"/>
      <c r="D27" s="56"/>
      <c r="E27" s="56"/>
      <c r="F27" s="56"/>
      <c r="G27" s="56"/>
      <c r="H27" s="56"/>
      <c r="I27" s="55"/>
      <c r="J27" s="7"/>
      <c r="K27" s="64" t="s">
        <v>468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13"/>
    </row>
    <row r="28" spans="1:112" x14ac:dyDescent="0.25">
      <c r="A28" s="56"/>
      <c r="B28" s="56"/>
      <c r="C28" s="56"/>
      <c r="D28" s="56"/>
      <c r="E28" s="56"/>
      <c r="F28" s="56"/>
      <c r="G28" s="56"/>
      <c r="H28" s="56"/>
      <c r="I28" s="55"/>
      <c r="J28" s="7"/>
      <c r="K28" s="64" t="s">
        <v>469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59"/>
      <c r="BW28" s="59"/>
      <c r="BX28" s="59"/>
      <c r="BY28" s="59"/>
      <c r="BZ28" s="59"/>
      <c r="CA28" s="59"/>
      <c r="CB28" s="59"/>
      <c r="CC28" s="59"/>
      <c r="CD28" s="59"/>
      <c r="CE28" s="59"/>
      <c r="CF28" s="59"/>
      <c r="CG28" s="59"/>
      <c r="CH28" s="59"/>
      <c r="CI28" s="59"/>
      <c r="CJ28" s="59"/>
      <c r="CK28" s="59"/>
      <c r="CL28" s="59"/>
      <c r="CM28" s="59"/>
      <c r="CN28" s="59"/>
      <c r="CO28" s="59"/>
      <c r="CP28" s="59"/>
      <c r="CQ28" s="59"/>
      <c r="CR28" s="59"/>
      <c r="CS28" s="59"/>
      <c r="CT28" s="59"/>
      <c r="CU28" s="59"/>
      <c r="CV28" s="59"/>
      <c r="CW28" s="59"/>
      <c r="CX28" s="59"/>
      <c r="CY28" s="59"/>
      <c r="CZ28" s="59"/>
      <c r="DA28" s="59"/>
      <c r="DB28" s="59"/>
      <c r="DC28" s="59"/>
      <c r="DD28" s="59"/>
      <c r="DE28" s="59"/>
      <c r="DF28" s="59"/>
      <c r="DG28" s="59"/>
      <c r="DH28" s="13"/>
    </row>
    <row r="29" spans="1:112" x14ac:dyDescent="0.25">
      <c r="A29" s="56"/>
      <c r="B29" s="56"/>
      <c r="C29" s="56"/>
      <c r="D29" s="56"/>
      <c r="E29" s="56"/>
      <c r="F29" s="56"/>
      <c r="G29" s="56"/>
      <c r="H29" s="56"/>
      <c r="I29" s="55"/>
      <c r="J29" s="7"/>
      <c r="K29" s="64" t="s">
        <v>470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59"/>
      <c r="BW29" s="59"/>
      <c r="BX29" s="59"/>
      <c r="BY29" s="59"/>
      <c r="BZ29" s="59"/>
      <c r="CA29" s="59"/>
      <c r="CB29" s="59"/>
      <c r="CC29" s="59"/>
      <c r="CD29" s="59"/>
      <c r="CE29" s="59"/>
      <c r="CF29" s="59"/>
      <c r="CG29" s="59"/>
      <c r="CH29" s="59"/>
      <c r="CI29" s="59"/>
      <c r="CJ29" s="59"/>
      <c r="CK29" s="59"/>
      <c r="CL29" s="59"/>
      <c r="CM29" s="59"/>
      <c r="CN29" s="59"/>
      <c r="CO29" s="59"/>
      <c r="CP29" s="59"/>
      <c r="CQ29" s="59"/>
      <c r="CR29" s="59"/>
      <c r="CS29" s="59"/>
      <c r="CT29" s="59"/>
      <c r="CU29" s="59"/>
      <c r="CV29" s="59"/>
      <c r="CW29" s="59"/>
      <c r="CX29" s="59"/>
      <c r="CY29" s="59"/>
      <c r="CZ29" s="59"/>
      <c r="DA29" s="59"/>
      <c r="DB29" s="59"/>
      <c r="DC29" s="59"/>
      <c r="DD29" s="59"/>
      <c r="DE29" s="59"/>
      <c r="DF29" s="59"/>
      <c r="DG29" s="59"/>
      <c r="DH29" s="13"/>
    </row>
    <row r="30" spans="1:112" x14ac:dyDescent="0.25">
      <c r="A30" s="56"/>
      <c r="B30" s="56"/>
      <c r="C30" s="56"/>
      <c r="D30" s="56"/>
      <c r="E30" s="56"/>
      <c r="F30" s="56"/>
      <c r="G30" s="56"/>
      <c r="H30" s="56"/>
      <c r="I30" s="55"/>
      <c r="J30" s="7"/>
      <c r="K30" s="64" t="s">
        <v>471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59"/>
      <c r="BW30" s="59"/>
      <c r="BX30" s="59"/>
      <c r="BY30" s="59"/>
      <c r="BZ30" s="59"/>
      <c r="CA30" s="59"/>
      <c r="CB30" s="59"/>
      <c r="CC30" s="59"/>
      <c r="CD30" s="59"/>
      <c r="CE30" s="59"/>
      <c r="CF30" s="59"/>
      <c r="CG30" s="59"/>
      <c r="CH30" s="59"/>
      <c r="CI30" s="59"/>
      <c r="CJ30" s="59"/>
      <c r="CK30" s="59"/>
      <c r="CL30" s="59"/>
      <c r="CM30" s="59"/>
      <c r="CN30" s="59"/>
      <c r="CO30" s="59"/>
      <c r="CP30" s="59"/>
      <c r="CQ30" s="59"/>
      <c r="CR30" s="59"/>
      <c r="CS30" s="59"/>
      <c r="CT30" s="59"/>
      <c r="CU30" s="59"/>
      <c r="CV30" s="59"/>
      <c r="CW30" s="59"/>
      <c r="CX30" s="59"/>
      <c r="CY30" s="59"/>
      <c r="CZ30" s="59"/>
      <c r="DA30" s="59"/>
      <c r="DB30" s="59"/>
      <c r="DC30" s="59"/>
      <c r="DD30" s="59"/>
      <c r="DE30" s="59"/>
      <c r="DF30" s="59"/>
      <c r="DG30" s="59"/>
      <c r="DH30" s="13"/>
    </row>
    <row r="31" spans="1:112" x14ac:dyDescent="0.25">
      <c r="A31" s="56"/>
      <c r="B31" s="56"/>
      <c r="C31" s="56"/>
      <c r="D31" s="56"/>
      <c r="E31" s="56"/>
      <c r="F31" s="56"/>
      <c r="G31" s="56"/>
      <c r="H31" s="56"/>
      <c r="I31" s="55"/>
      <c r="J31" s="7"/>
      <c r="K31" s="64" t="s">
        <v>472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59"/>
      <c r="BW31" s="59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59"/>
      <c r="CL31" s="59"/>
      <c r="CM31" s="59"/>
      <c r="CN31" s="59"/>
      <c r="CO31" s="59"/>
      <c r="CP31" s="59"/>
      <c r="CQ31" s="59"/>
      <c r="CR31" s="59"/>
      <c r="CS31" s="59"/>
      <c r="CT31" s="59"/>
      <c r="CU31" s="59"/>
      <c r="CV31" s="59"/>
      <c r="CW31" s="59"/>
      <c r="CX31" s="59"/>
      <c r="CY31" s="59"/>
      <c r="CZ31" s="59"/>
      <c r="DA31" s="59"/>
      <c r="DB31" s="59"/>
      <c r="DC31" s="59"/>
      <c r="DD31" s="59"/>
      <c r="DE31" s="59"/>
      <c r="DF31" s="59"/>
      <c r="DG31" s="59"/>
      <c r="DH31" s="13"/>
    </row>
    <row r="32" spans="1:112" x14ac:dyDescent="0.25">
      <c r="A32" s="56"/>
      <c r="B32" s="56"/>
      <c r="C32" s="56"/>
      <c r="D32" s="56"/>
      <c r="E32" s="56"/>
      <c r="F32" s="56"/>
      <c r="G32" s="56"/>
      <c r="H32" s="56"/>
      <c r="I32" s="55"/>
      <c r="J32" s="7"/>
      <c r="K32" s="64" t="s">
        <v>473</v>
      </c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59"/>
      <c r="BW32" s="59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59"/>
      <c r="CL32" s="59"/>
      <c r="CM32" s="59"/>
      <c r="CN32" s="59"/>
      <c r="CO32" s="59"/>
      <c r="CP32" s="59"/>
      <c r="CQ32" s="59"/>
      <c r="CR32" s="59"/>
      <c r="CS32" s="59"/>
      <c r="CT32" s="59"/>
      <c r="CU32" s="59"/>
      <c r="CV32" s="59"/>
      <c r="CW32" s="59"/>
      <c r="CX32" s="59"/>
      <c r="CY32" s="59"/>
      <c r="CZ32" s="59"/>
      <c r="DA32" s="59"/>
      <c r="DB32" s="59"/>
      <c r="DC32" s="59"/>
      <c r="DD32" s="59"/>
      <c r="DE32" s="59"/>
      <c r="DF32" s="59"/>
      <c r="DG32" s="59"/>
      <c r="DH32" s="13"/>
    </row>
    <row r="33" spans="1:112" x14ac:dyDescent="0.25">
      <c r="A33" s="56"/>
      <c r="B33" s="56"/>
      <c r="C33" s="56"/>
      <c r="D33" s="56"/>
      <c r="E33" s="56"/>
      <c r="F33" s="56"/>
      <c r="G33" s="56"/>
      <c r="H33" s="56"/>
      <c r="I33" s="55"/>
      <c r="J33" s="7"/>
      <c r="K33" s="64" t="s">
        <v>474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13"/>
    </row>
    <row r="34" spans="1:112" x14ac:dyDescent="0.25">
      <c r="A34" s="56"/>
      <c r="B34" s="56"/>
      <c r="C34" s="56"/>
      <c r="D34" s="56"/>
      <c r="E34" s="56"/>
      <c r="F34" s="56"/>
      <c r="G34" s="56"/>
      <c r="H34" s="56"/>
      <c r="I34" s="55"/>
      <c r="J34" s="7"/>
      <c r="K34" s="64" t="s">
        <v>475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59"/>
      <c r="BW34" s="59"/>
      <c r="BX34" s="59"/>
      <c r="BY34" s="59"/>
      <c r="BZ34" s="59"/>
      <c r="CA34" s="59"/>
      <c r="CB34" s="59"/>
      <c r="CC34" s="59"/>
      <c r="CD34" s="59"/>
      <c r="CE34" s="59"/>
      <c r="CF34" s="59"/>
      <c r="CG34" s="59"/>
      <c r="CH34" s="59"/>
      <c r="CI34" s="59"/>
      <c r="CJ34" s="59"/>
      <c r="CK34" s="59"/>
      <c r="CL34" s="59"/>
      <c r="CM34" s="59"/>
      <c r="CN34" s="59"/>
      <c r="CO34" s="59"/>
      <c r="CP34" s="59"/>
      <c r="CQ34" s="59"/>
      <c r="CR34" s="59"/>
      <c r="CS34" s="59"/>
      <c r="CT34" s="59"/>
      <c r="CU34" s="59"/>
      <c r="CV34" s="59"/>
      <c r="CW34" s="59"/>
      <c r="CX34" s="59"/>
      <c r="CY34" s="59"/>
      <c r="CZ34" s="59"/>
      <c r="DA34" s="59"/>
      <c r="DB34" s="59"/>
      <c r="DC34" s="59"/>
      <c r="DD34" s="59"/>
      <c r="DE34" s="59"/>
      <c r="DF34" s="59"/>
      <c r="DG34" s="59"/>
      <c r="DH34" s="13"/>
    </row>
    <row r="35" spans="1:112" x14ac:dyDescent="0.25">
      <c r="A35" s="56"/>
      <c r="B35" s="56"/>
      <c r="C35" s="56"/>
      <c r="D35" s="56"/>
      <c r="E35" s="56"/>
      <c r="F35" s="56"/>
      <c r="G35" s="56"/>
      <c r="H35" s="56"/>
      <c r="I35" s="55"/>
      <c r="J35" s="7"/>
      <c r="K35" s="64" t="s">
        <v>476</v>
      </c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59"/>
      <c r="BW35" s="59"/>
      <c r="BX35" s="59"/>
      <c r="BY35" s="59"/>
      <c r="BZ35" s="59"/>
      <c r="CA35" s="59"/>
      <c r="CB35" s="59"/>
      <c r="CC35" s="59"/>
      <c r="CD35" s="59"/>
      <c r="CE35" s="59"/>
      <c r="CF35" s="59"/>
      <c r="CG35" s="59"/>
      <c r="CH35" s="59"/>
      <c r="CI35" s="59"/>
      <c r="CJ35" s="59"/>
      <c r="CK35" s="59"/>
      <c r="CL35" s="59"/>
      <c r="CM35" s="59"/>
      <c r="CN35" s="59"/>
      <c r="CO35" s="59"/>
      <c r="CP35" s="59"/>
      <c r="CQ35" s="59"/>
      <c r="CR35" s="59"/>
      <c r="CS35" s="59"/>
      <c r="CT35" s="59"/>
      <c r="CU35" s="59"/>
      <c r="CV35" s="59"/>
      <c r="CW35" s="59"/>
      <c r="CX35" s="59"/>
      <c r="CY35" s="59"/>
      <c r="CZ35" s="59"/>
      <c r="DA35" s="59"/>
      <c r="DB35" s="59"/>
      <c r="DC35" s="59"/>
      <c r="DD35" s="59"/>
      <c r="DE35" s="59"/>
      <c r="DF35" s="59"/>
      <c r="DG35" s="59"/>
      <c r="DH35" s="13"/>
    </row>
    <row r="36" spans="1:112" x14ac:dyDescent="0.25">
      <c r="A36" s="56"/>
      <c r="B36" s="56"/>
      <c r="C36" s="56"/>
      <c r="D36" s="56"/>
      <c r="E36" s="56"/>
      <c r="F36" s="56"/>
      <c r="G36" s="56"/>
      <c r="H36" s="56"/>
      <c r="I36" s="55"/>
      <c r="J36" s="7"/>
      <c r="K36" s="64" t="s">
        <v>477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59"/>
      <c r="BW36" s="59"/>
      <c r="BX36" s="59"/>
      <c r="BY36" s="59"/>
      <c r="BZ36" s="59"/>
      <c r="CA36" s="59"/>
      <c r="CB36" s="59"/>
      <c r="CC36" s="59"/>
      <c r="CD36" s="59"/>
      <c r="CE36" s="59"/>
      <c r="CF36" s="59"/>
      <c r="CG36" s="59"/>
      <c r="CH36" s="59"/>
      <c r="CI36" s="59"/>
      <c r="CJ36" s="59"/>
      <c r="CK36" s="59"/>
      <c r="CL36" s="59"/>
      <c r="CM36" s="59"/>
      <c r="CN36" s="59"/>
      <c r="CO36" s="59"/>
      <c r="CP36" s="59"/>
      <c r="CQ36" s="59"/>
      <c r="CR36" s="59"/>
      <c r="CS36" s="59"/>
      <c r="CT36" s="59"/>
      <c r="CU36" s="59"/>
      <c r="CV36" s="59"/>
      <c r="CW36" s="59"/>
      <c r="CX36" s="59"/>
      <c r="CY36" s="59"/>
      <c r="CZ36" s="59"/>
      <c r="DA36" s="59"/>
      <c r="DB36" s="59"/>
      <c r="DC36" s="59"/>
      <c r="DD36" s="59"/>
      <c r="DE36" s="59"/>
      <c r="DF36" s="59"/>
      <c r="DG36" s="59"/>
      <c r="DH36" s="13"/>
    </row>
    <row r="37" spans="1:112" x14ac:dyDescent="0.25">
      <c r="A37" s="56"/>
      <c r="B37" s="56"/>
      <c r="C37" s="56"/>
      <c r="D37" s="56"/>
      <c r="E37" s="56"/>
      <c r="F37" s="56"/>
      <c r="G37" s="56"/>
      <c r="H37" s="56"/>
      <c r="I37" s="55"/>
      <c r="J37" s="7"/>
      <c r="K37" s="64" t="s">
        <v>478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59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59"/>
      <c r="CX37" s="59"/>
      <c r="CY37" s="59"/>
      <c r="CZ37" s="59"/>
      <c r="DA37" s="59"/>
      <c r="DB37" s="59"/>
      <c r="DC37" s="59"/>
      <c r="DD37" s="59"/>
      <c r="DE37" s="59"/>
      <c r="DF37" s="59"/>
      <c r="DG37" s="59"/>
      <c r="DH37" s="13"/>
    </row>
    <row r="38" spans="1:112" x14ac:dyDescent="0.25">
      <c r="A38" s="56"/>
      <c r="B38" s="56"/>
      <c r="C38" s="56"/>
      <c r="D38" s="56"/>
      <c r="E38" s="56"/>
      <c r="F38" s="56"/>
      <c r="G38" s="56"/>
      <c r="H38" s="56"/>
      <c r="I38" s="55"/>
      <c r="J38" s="7"/>
      <c r="K38" s="64" t="s">
        <v>479</v>
      </c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59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59"/>
      <c r="CX38" s="59"/>
      <c r="CY38" s="59"/>
      <c r="CZ38" s="59"/>
      <c r="DA38" s="59"/>
      <c r="DB38" s="59"/>
      <c r="DC38" s="59"/>
      <c r="DD38" s="59"/>
      <c r="DE38" s="59"/>
      <c r="DF38" s="59"/>
      <c r="DG38" s="59"/>
      <c r="DH38" s="13"/>
    </row>
    <row r="39" spans="1:112" x14ac:dyDescent="0.25">
      <c r="A39" s="56"/>
      <c r="B39" s="56"/>
      <c r="C39" s="56"/>
      <c r="D39" s="56"/>
      <c r="E39" s="56"/>
      <c r="F39" s="56"/>
      <c r="G39" s="56"/>
      <c r="H39" s="56"/>
      <c r="I39" s="55"/>
      <c r="J39" s="7"/>
      <c r="K39" s="64" t="s">
        <v>480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59"/>
      <c r="BZ39" s="59"/>
      <c r="CA39" s="59"/>
      <c r="CB39" s="59"/>
      <c r="CC39" s="59"/>
      <c r="CD39" s="59"/>
      <c r="CE39" s="59"/>
      <c r="CF39" s="59"/>
      <c r="CG39" s="59"/>
      <c r="CH39" s="59"/>
      <c r="CI39" s="59"/>
      <c r="CJ39" s="59"/>
      <c r="CK39" s="59"/>
      <c r="CL39" s="59"/>
      <c r="CM39" s="59"/>
      <c r="CN39" s="59"/>
      <c r="CO39" s="59"/>
      <c r="CP39" s="59"/>
      <c r="CQ39" s="59"/>
      <c r="CR39" s="59"/>
      <c r="CS39" s="59"/>
      <c r="CT39" s="59"/>
      <c r="CU39" s="59"/>
      <c r="CV39" s="59"/>
      <c r="CW39" s="59"/>
      <c r="CX39" s="59"/>
      <c r="CY39" s="59"/>
      <c r="CZ39" s="59"/>
      <c r="DA39" s="59"/>
      <c r="DB39" s="59"/>
      <c r="DC39" s="59"/>
      <c r="DD39" s="59"/>
      <c r="DE39" s="59"/>
      <c r="DF39" s="59"/>
      <c r="DG39" s="59"/>
      <c r="DH39" s="13"/>
    </row>
    <row r="40" spans="1:112" x14ac:dyDescent="0.25">
      <c r="A40" s="56"/>
      <c r="B40" s="56"/>
      <c r="C40" s="56"/>
      <c r="D40" s="56"/>
      <c r="E40" s="56"/>
      <c r="F40" s="56"/>
      <c r="G40" s="56"/>
      <c r="H40" s="56"/>
      <c r="I40" s="55"/>
      <c r="J40" s="7"/>
      <c r="K40" s="64" t="s">
        <v>481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59"/>
      <c r="BZ40" s="59"/>
      <c r="CA40" s="59"/>
      <c r="CB40" s="59"/>
      <c r="CC40" s="59"/>
      <c r="CD40" s="59"/>
      <c r="CE40" s="59"/>
      <c r="CF40" s="59"/>
      <c r="CG40" s="59"/>
      <c r="CH40" s="59"/>
      <c r="CI40" s="59"/>
      <c r="CJ40" s="59"/>
      <c r="CK40" s="59"/>
      <c r="CL40" s="59"/>
      <c r="CM40" s="59"/>
      <c r="CN40" s="59"/>
      <c r="CO40" s="59"/>
      <c r="CP40" s="59"/>
      <c r="CQ40" s="59"/>
      <c r="CR40" s="59"/>
      <c r="CS40" s="59"/>
      <c r="CT40" s="59"/>
      <c r="CU40" s="59"/>
      <c r="CV40" s="59"/>
      <c r="CW40" s="59"/>
      <c r="CX40" s="59"/>
      <c r="CY40" s="59"/>
      <c r="CZ40" s="59"/>
      <c r="DA40" s="59"/>
      <c r="DB40" s="59"/>
      <c r="DC40" s="59"/>
      <c r="DD40" s="59"/>
      <c r="DE40" s="59"/>
      <c r="DF40" s="59"/>
      <c r="DG40" s="59"/>
      <c r="DH40" s="13"/>
    </row>
    <row r="41" spans="1:112" x14ac:dyDescent="0.25">
      <c r="A41" s="56"/>
      <c r="B41" s="56"/>
      <c r="C41" s="56"/>
      <c r="D41" s="56"/>
      <c r="E41" s="56"/>
      <c r="F41" s="56"/>
      <c r="G41" s="56"/>
      <c r="H41" s="56"/>
      <c r="I41" s="55"/>
      <c r="J41" s="7"/>
      <c r="K41" s="64" t="s">
        <v>482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59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59"/>
      <c r="CX41" s="59"/>
      <c r="CY41" s="59"/>
      <c r="CZ41" s="59"/>
      <c r="DA41" s="59"/>
      <c r="DB41" s="59"/>
      <c r="DC41" s="59"/>
      <c r="DD41" s="59"/>
      <c r="DE41" s="59"/>
      <c r="DF41" s="59"/>
      <c r="DG41" s="59"/>
      <c r="DH41" s="13"/>
    </row>
    <row r="42" spans="1:112" x14ac:dyDescent="0.25">
      <c r="A42" s="56"/>
      <c r="B42" s="56"/>
      <c r="C42" s="56"/>
      <c r="D42" s="56"/>
      <c r="E42" s="56"/>
      <c r="F42" s="56"/>
      <c r="G42" s="56"/>
      <c r="H42" s="56"/>
      <c r="I42" s="55"/>
      <c r="J42" s="7"/>
      <c r="K42" s="64" t="s">
        <v>483</v>
      </c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13"/>
    </row>
    <row r="43" spans="1:112" x14ac:dyDescent="0.25">
      <c r="A43" s="56"/>
      <c r="B43" s="56"/>
      <c r="C43" s="56"/>
      <c r="D43" s="56"/>
      <c r="E43" s="56"/>
      <c r="F43" s="56"/>
      <c r="G43" s="56"/>
      <c r="H43" s="56"/>
      <c r="I43" s="55"/>
      <c r="J43" s="7"/>
      <c r="K43" s="64" t="s">
        <v>484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9"/>
      <c r="AZ43" s="59"/>
      <c r="BA43" s="59"/>
      <c r="BB43" s="59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59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59"/>
      <c r="CX43" s="59"/>
      <c r="CY43" s="59"/>
      <c r="CZ43" s="59"/>
      <c r="DA43" s="59"/>
      <c r="DB43" s="59"/>
      <c r="DC43" s="59"/>
      <c r="DD43" s="59"/>
      <c r="DE43" s="59"/>
      <c r="DF43" s="59"/>
      <c r="DG43" s="59"/>
      <c r="DH43" s="13"/>
    </row>
    <row r="44" spans="1:112" x14ac:dyDescent="0.25">
      <c r="A44" s="56"/>
      <c r="B44" s="56"/>
      <c r="C44" s="56"/>
      <c r="D44" s="56"/>
      <c r="E44" s="56"/>
      <c r="F44" s="56"/>
      <c r="G44" s="56"/>
      <c r="H44" s="56"/>
      <c r="I44" s="55"/>
      <c r="J44" s="7"/>
      <c r="K44" s="64" t="s">
        <v>485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9"/>
      <c r="AZ44" s="59"/>
      <c r="BA44" s="59"/>
      <c r="BB44" s="59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59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59"/>
      <c r="CX44" s="59"/>
      <c r="CY44" s="59"/>
      <c r="CZ44" s="59"/>
      <c r="DA44" s="59"/>
      <c r="DB44" s="59"/>
      <c r="DC44" s="59"/>
      <c r="DD44" s="59"/>
      <c r="DE44" s="59"/>
      <c r="DF44" s="59"/>
      <c r="DG44" s="59"/>
      <c r="DH44" s="13"/>
    </row>
    <row r="45" spans="1:112" x14ac:dyDescent="0.25">
      <c r="A45" s="56"/>
      <c r="B45" s="56"/>
      <c r="C45" s="56"/>
      <c r="D45" s="56"/>
      <c r="E45" s="56"/>
      <c r="F45" s="56"/>
      <c r="G45" s="56"/>
      <c r="H45" s="56"/>
      <c r="I45" s="55"/>
      <c r="J45" s="7"/>
      <c r="K45" s="64" t="s">
        <v>486</v>
      </c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59"/>
      <c r="BW45" s="59"/>
      <c r="BX45" s="59"/>
      <c r="BY45" s="59"/>
      <c r="BZ45" s="59"/>
      <c r="CA45" s="59"/>
      <c r="CB45" s="59"/>
      <c r="CC45" s="59"/>
      <c r="CD45" s="59"/>
      <c r="CE45" s="59"/>
      <c r="CF45" s="59"/>
      <c r="CG45" s="59"/>
      <c r="CH45" s="59"/>
      <c r="CI45" s="59"/>
      <c r="CJ45" s="59"/>
      <c r="CK45" s="59"/>
      <c r="CL45" s="59"/>
      <c r="CM45" s="59"/>
      <c r="CN45" s="59"/>
      <c r="CO45" s="59"/>
      <c r="CP45" s="59"/>
      <c r="CQ45" s="59"/>
      <c r="CR45" s="59"/>
      <c r="CS45" s="59"/>
      <c r="CT45" s="59"/>
      <c r="CU45" s="59"/>
      <c r="CV45" s="59"/>
      <c r="CW45" s="59"/>
      <c r="CX45" s="59"/>
      <c r="CY45" s="59"/>
      <c r="CZ45" s="59"/>
      <c r="DA45" s="59"/>
      <c r="DB45" s="59"/>
      <c r="DC45" s="59"/>
      <c r="DD45" s="59"/>
      <c r="DE45" s="59"/>
      <c r="DF45" s="59"/>
      <c r="DG45" s="59"/>
      <c r="DH45" s="13"/>
    </row>
    <row r="46" spans="1:112" x14ac:dyDescent="0.25">
      <c r="A46" s="56"/>
      <c r="B46" s="56"/>
      <c r="C46" s="56"/>
      <c r="D46" s="56"/>
      <c r="E46" s="56"/>
      <c r="F46" s="56"/>
      <c r="G46" s="56"/>
      <c r="H46" s="56"/>
      <c r="I46" s="55"/>
      <c r="J46" s="7"/>
      <c r="K46" s="64" t="s">
        <v>487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9"/>
      <c r="AZ46" s="59"/>
      <c r="BA46" s="59"/>
      <c r="BB46" s="59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59"/>
      <c r="BZ46" s="59"/>
      <c r="CA46" s="59"/>
      <c r="CB46" s="59"/>
      <c r="CC46" s="59"/>
      <c r="CD46" s="59"/>
      <c r="CE46" s="59"/>
      <c r="CF46" s="59"/>
      <c r="CG46" s="59"/>
      <c r="CH46" s="59"/>
      <c r="CI46" s="59"/>
      <c r="CJ46" s="59"/>
      <c r="CK46" s="59"/>
      <c r="CL46" s="59"/>
      <c r="CM46" s="59"/>
      <c r="CN46" s="59"/>
      <c r="CO46" s="59"/>
      <c r="CP46" s="59"/>
      <c r="CQ46" s="59"/>
      <c r="CR46" s="59"/>
      <c r="CS46" s="59"/>
      <c r="CT46" s="59"/>
      <c r="CU46" s="59"/>
      <c r="CV46" s="59"/>
      <c r="CW46" s="59"/>
      <c r="CX46" s="59"/>
      <c r="CY46" s="59"/>
      <c r="CZ46" s="59"/>
      <c r="DA46" s="59"/>
      <c r="DB46" s="59"/>
      <c r="DC46" s="59"/>
      <c r="DD46" s="59"/>
      <c r="DE46" s="59"/>
      <c r="DF46" s="59"/>
      <c r="DG46" s="59"/>
      <c r="DH46" s="13"/>
    </row>
    <row r="47" spans="1:112" x14ac:dyDescent="0.25">
      <c r="A47" s="56"/>
      <c r="B47" s="56"/>
      <c r="C47" s="56"/>
      <c r="D47" s="56"/>
      <c r="E47" s="56"/>
      <c r="F47" s="56"/>
      <c r="G47" s="56"/>
      <c r="H47" s="56"/>
      <c r="I47" s="55"/>
      <c r="J47" s="7"/>
      <c r="K47" s="64" t="s">
        <v>488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9"/>
      <c r="AZ47" s="59"/>
      <c r="BA47" s="59"/>
      <c r="BB47" s="59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59"/>
      <c r="BZ47" s="59"/>
      <c r="CA47" s="59"/>
      <c r="CB47" s="59"/>
      <c r="CC47" s="59"/>
      <c r="CD47" s="59"/>
      <c r="CE47" s="59"/>
      <c r="CF47" s="59"/>
      <c r="CG47" s="59"/>
      <c r="CH47" s="59"/>
      <c r="CI47" s="59"/>
      <c r="CJ47" s="59"/>
      <c r="CK47" s="59"/>
      <c r="CL47" s="59"/>
      <c r="CM47" s="59"/>
      <c r="CN47" s="59"/>
      <c r="CO47" s="59"/>
      <c r="CP47" s="59"/>
      <c r="CQ47" s="59"/>
      <c r="CR47" s="59"/>
      <c r="CS47" s="59"/>
      <c r="CT47" s="59"/>
      <c r="CU47" s="59"/>
      <c r="CV47" s="59"/>
      <c r="CW47" s="59"/>
      <c r="CX47" s="59"/>
      <c r="CY47" s="59"/>
      <c r="CZ47" s="59"/>
      <c r="DA47" s="59"/>
      <c r="DB47" s="59"/>
      <c r="DC47" s="59"/>
      <c r="DD47" s="59"/>
      <c r="DE47" s="59"/>
      <c r="DF47" s="59"/>
      <c r="DG47" s="59"/>
      <c r="DH47" s="13"/>
    </row>
    <row r="48" spans="1:112" x14ac:dyDescent="0.25">
      <c r="A48" s="56"/>
      <c r="B48" s="56"/>
      <c r="C48" s="56"/>
      <c r="D48" s="56"/>
      <c r="E48" s="56"/>
      <c r="F48" s="56"/>
      <c r="G48" s="56"/>
      <c r="H48" s="56"/>
      <c r="I48" s="55"/>
      <c r="J48" s="7"/>
      <c r="K48" s="64" t="s">
        <v>489</v>
      </c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59"/>
      <c r="BZ48" s="59"/>
      <c r="CA48" s="59"/>
      <c r="CB48" s="59"/>
      <c r="CC48" s="59"/>
      <c r="CD48" s="59"/>
      <c r="CE48" s="59"/>
      <c r="CF48" s="59"/>
      <c r="CG48" s="59"/>
      <c r="CH48" s="59"/>
      <c r="CI48" s="59"/>
      <c r="CJ48" s="59"/>
      <c r="CK48" s="59"/>
      <c r="CL48" s="59"/>
      <c r="CM48" s="59"/>
      <c r="CN48" s="59"/>
      <c r="CO48" s="59"/>
      <c r="CP48" s="59"/>
      <c r="CQ48" s="59"/>
      <c r="CR48" s="59"/>
      <c r="CS48" s="59"/>
      <c r="CT48" s="59"/>
      <c r="CU48" s="59"/>
      <c r="CV48" s="59"/>
      <c r="CW48" s="59"/>
      <c r="CX48" s="59"/>
      <c r="CY48" s="59"/>
      <c r="CZ48" s="59"/>
      <c r="DA48" s="59"/>
      <c r="DB48" s="59"/>
      <c r="DC48" s="59"/>
      <c r="DD48" s="59"/>
      <c r="DE48" s="59"/>
      <c r="DF48" s="59"/>
      <c r="DG48" s="59"/>
      <c r="DH48" s="13"/>
    </row>
    <row r="49" spans="1:112" x14ac:dyDescent="0.25">
      <c r="A49" s="56"/>
      <c r="B49" s="56"/>
      <c r="C49" s="56"/>
      <c r="D49" s="56"/>
      <c r="E49" s="56"/>
      <c r="F49" s="56"/>
      <c r="G49" s="56"/>
      <c r="H49" s="56"/>
      <c r="I49" s="55"/>
      <c r="J49" s="7"/>
      <c r="K49" s="64" t="s">
        <v>490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9"/>
      <c r="AZ49" s="59"/>
      <c r="BA49" s="59"/>
      <c r="BB49" s="59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59"/>
      <c r="BZ49" s="59"/>
      <c r="CA49" s="59"/>
      <c r="CB49" s="59"/>
      <c r="CC49" s="59"/>
      <c r="CD49" s="59"/>
      <c r="CE49" s="59"/>
      <c r="CF49" s="59"/>
      <c r="CG49" s="59"/>
      <c r="CH49" s="59"/>
      <c r="CI49" s="59"/>
      <c r="CJ49" s="59"/>
      <c r="CK49" s="59"/>
      <c r="CL49" s="59"/>
      <c r="CM49" s="59"/>
      <c r="CN49" s="59"/>
      <c r="CO49" s="59"/>
      <c r="CP49" s="59"/>
      <c r="CQ49" s="59"/>
      <c r="CR49" s="59"/>
      <c r="CS49" s="59"/>
      <c r="CT49" s="59"/>
      <c r="CU49" s="59"/>
      <c r="CV49" s="59"/>
      <c r="CW49" s="59"/>
      <c r="CX49" s="59"/>
      <c r="CY49" s="59"/>
      <c r="CZ49" s="59"/>
      <c r="DA49" s="59"/>
      <c r="DB49" s="59"/>
      <c r="DC49" s="59"/>
      <c r="DD49" s="59"/>
      <c r="DE49" s="59"/>
      <c r="DF49" s="59"/>
      <c r="DG49" s="59"/>
      <c r="DH49" s="13"/>
    </row>
    <row r="50" spans="1:112" x14ac:dyDescent="0.25">
      <c r="A50" s="56"/>
      <c r="B50" s="56"/>
      <c r="C50" s="56"/>
      <c r="D50" s="56"/>
      <c r="E50" s="56"/>
      <c r="F50" s="56"/>
      <c r="G50" s="56"/>
      <c r="H50" s="56"/>
      <c r="I50" s="55"/>
      <c r="J50" s="7"/>
      <c r="K50" s="64" t="s">
        <v>491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9"/>
      <c r="AZ50" s="59"/>
      <c r="BA50" s="59"/>
      <c r="BB50" s="59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59"/>
      <c r="BZ50" s="59"/>
      <c r="CA50" s="59"/>
      <c r="CB50" s="59"/>
      <c r="CC50" s="59"/>
      <c r="CD50" s="59"/>
      <c r="CE50" s="59"/>
      <c r="CF50" s="59"/>
      <c r="CG50" s="59"/>
      <c r="CH50" s="59"/>
      <c r="CI50" s="59"/>
      <c r="CJ50" s="59"/>
      <c r="CK50" s="59"/>
      <c r="CL50" s="59"/>
      <c r="CM50" s="59"/>
      <c r="CN50" s="59"/>
      <c r="CO50" s="59"/>
      <c r="CP50" s="59"/>
      <c r="CQ50" s="59"/>
      <c r="CR50" s="59"/>
      <c r="CS50" s="59"/>
      <c r="CT50" s="59"/>
      <c r="CU50" s="59"/>
      <c r="CV50" s="59"/>
      <c r="CW50" s="59"/>
      <c r="CX50" s="59"/>
      <c r="CY50" s="59"/>
      <c r="CZ50" s="59"/>
      <c r="DA50" s="59"/>
      <c r="DB50" s="59"/>
      <c r="DC50" s="59"/>
      <c r="DD50" s="59"/>
      <c r="DE50" s="59"/>
      <c r="DF50" s="59"/>
      <c r="DG50" s="59"/>
      <c r="DH50" s="13"/>
    </row>
    <row r="51" spans="1:112" x14ac:dyDescent="0.25">
      <c r="A51" s="56"/>
      <c r="B51" s="56"/>
      <c r="C51" s="56"/>
      <c r="D51" s="56"/>
      <c r="E51" s="56"/>
      <c r="F51" s="56"/>
      <c r="G51" s="56"/>
      <c r="H51" s="56"/>
      <c r="I51" s="55"/>
      <c r="J51" s="7"/>
      <c r="K51" s="64" t="s">
        <v>492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9"/>
      <c r="AZ51" s="59"/>
      <c r="BA51" s="59"/>
      <c r="BB51" s="59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59"/>
      <c r="BZ51" s="59"/>
      <c r="CA51" s="59"/>
      <c r="CB51" s="59"/>
      <c r="CC51" s="59"/>
      <c r="CD51" s="59"/>
      <c r="CE51" s="59"/>
      <c r="CF51" s="59"/>
      <c r="CG51" s="59"/>
      <c r="CH51" s="59"/>
      <c r="CI51" s="59"/>
      <c r="CJ51" s="59"/>
      <c r="CK51" s="59"/>
      <c r="CL51" s="59"/>
      <c r="CM51" s="59"/>
      <c r="CN51" s="59"/>
      <c r="CO51" s="59"/>
      <c r="CP51" s="59"/>
      <c r="CQ51" s="59"/>
      <c r="CR51" s="59"/>
      <c r="CS51" s="59"/>
      <c r="CT51" s="59"/>
      <c r="CU51" s="59"/>
      <c r="CV51" s="59"/>
      <c r="CW51" s="59"/>
      <c r="CX51" s="59"/>
      <c r="CY51" s="59"/>
      <c r="CZ51" s="59"/>
      <c r="DA51" s="59"/>
      <c r="DB51" s="59"/>
      <c r="DC51" s="59"/>
      <c r="DD51" s="59"/>
      <c r="DE51" s="59"/>
      <c r="DF51" s="59"/>
      <c r="DG51" s="59"/>
      <c r="DH51" s="13"/>
    </row>
    <row r="52" spans="1:112" x14ac:dyDescent="0.25">
      <c r="A52" s="56"/>
      <c r="B52" s="56"/>
      <c r="C52" s="56"/>
      <c r="D52" s="56"/>
      <c r="E52" s="56"/>
      <c r="F52" s="56"/>
      <c r="G52" s="56"/>
      <c r="H52" s="56"/>
      <c r="I52" s="55"/>
      <c r="J52" s="7"/>
      <c r="K52" s="64" t="s">
        <v>493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9"/>
      <c r="AZ52" s="59"/>
      <c r="BA52" s="59"/>
      <c r="BB52" s="59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59"/>
      <c r="BZ52" s="59"/>
      <c r="CA52" s="59"/>
      <c r="CB52" s="59"/>
      <c r="CC52" s="59"/>
      <c r="CD52" s="59"/>
      <c r="CE52" s="59"/>
      <c r="CF52" s="59"/>
      <c r="CG52" s="59"/>
      <c r="CH52" s="59"/>
      <c r="CI52" s="59"/>
      <c r="CJ52" s="59"/>
      <c r="CK52" s="59"/>
      <c r="CL52" s="59"/>
      <c r="CM52" s="59"/>
      <c r="CN52" s="59"/>
      <c r="CO52" s="59"/>
      <c r="CP52" s="59"/>
      <c r="CQ52" s="59"/>
      <c r="CR52" s="59"/>
      <c r="CS52" s="59"/>
      <c r="CT52" s="59"/>
      <c r="CU52" s="59"/>
      <c r="CV52" s="59"/>
      <c r="CW52" s="59"/>
      <c r="CX52" s="59"/>
      <c r="CY52" s="59"/>
      <c r="CZ52" s="59"/>
      <c r="DA52" s="59"/>
      <c r="DB52" s="59"/>
      <c r="DC52" s="59"/>
      <c r="DD52" s="59"/>
      <c r="DE52" s="59"/>
      <c r="DF52" s="59"/>
      <c r="DG52" s="59"/>
      <c r="DH52" s="13"/>
    </row>
    <row r="53" spans="1:112" x14ac:dyDescent="0.25">
      <c r="A53" s="56"/>
      <c r="B53" s="56"/>
      <c r="C53" s="56"/>
      <c r="D53" s="56"/>
      <c r="E53" s="56"/>
      <c r="F53" s="56"/>
      <c r="G53" s="56"/>
      <c r="H53" s="56"/>
      <c r="I53" s="55"/>
      <c r="J53" s="7"/>
      <c r="K53" s="64" t="s">
        <v>494</v>
      </c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9"/>
      <c r="AZ53" s="59"/>
      <c r="BA53" s="59"/>
      <c r="BB53" s="59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59"/>
      <c r="BZ53" s="59"/>
      <c r="CA53" s="59"/>
      <c r="CB53" s="59"/>
      <c r="CC53" s="59"/>
      <c r="CD53" s="59"/>
      <c r="CE53" s="59"/>
      <c r="CF53" s="59"/>
      <c r="CG53" s="59"/>
      <c r="CH53" s="59"/>
      <c r="CI53" s="59"/>
      <c r="CJ53" s="59"/>
      <c r="CK53" s="59"/>
      <c r="CL53" s="59"/>
      <c r="CM53" s="59"/>
      <c r="CN53" s="59"/>
      <c r="CO53" s="59"/>
      <c r="CP53" s="59"/>
      <c r="CQ53" s="59"/>
      <c r="CR53" s="59"/>
      <c r="CS53" s="59"/>
      <c r="CT53" s="59"/>
      <c r="CU53" s="59"/>
      <c r="CV53" s="59"/>
      <c r="CW53" s="59"/>
      <c r="CX53" s="59"/>
      <c r="CY53" s="59"/>
      <c r="CZ53" s="59"/>
      <c r="DA53" s="59"/>
      <c r="DB53" s="59"/>
      <c r="DC53" s="59"/>
      <c r="DD53" s="59"/>
      <c r="DE53" s="59"/>
      <c r="DF53" s="59"/>
      <c r="DG53" s="59"/>
      <c r="DH53" s="13"/>
    </row>
    <row r="54" spans="1:112" x14ac:dyDescent="0.25">
      <c r="A54" s="56"/>
      <c r="B54" s="56"/>
      <c r="C54" s="56"/>
      <c r="D54" s="56"/>
      <c r="E54" s="56"/>
      <c r="F54" s="56"/>
      <c r="G54" s="56"/>
      <c r="H54" s="56"/>
      <c r="I54" s="55"/>
      <c r="J54" s="7"/>
      <c r="K54" s="64" t="s">
        <v>495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  <c r="BN54" s="59"/>
      <c r="BO54" s="59"/>
      <c r="BP54" s="59"/>
      <c r="BQ54" s="59"/>
      <c r="BR54" s="59"/>
      <c r="BS54" s="59"/>
      <c r="BT54" s="59"/>
      <c r="BU54" s="59"/>
      <c r="BV54" s="59"/>
      <c r="BW54" s="59"/>
      <c r="BX54" s="59"/>
      <c r="BY54" s="59"/>
      <c r="BZ54" s="59"/>
      <c r="CA54" s="59"/>
      <c r="CB54" s="59"/>
      <c r="CC54" s="59"/>
      <c r="CD54" s="59"/>
      <c r="CE54" s="59"/>
      <c r="CF54" s="59"/>
      <c r="CG54" s="59"/>
      <c r="CH54" s="59"/>
      <c r="CI54" s="59"/>
      <c r="CJ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59"/>
      <c r="DH54" s="13"/>
    </row>
    <row r="55" spans="1:112" x14ac:dyDescent="0.25">
      <c r="A55" s="56"/>
      <c r="B55" s="56"/>
      <c r="C55" s="56"/>
      <c r="D55" s="56"/>
      <c r="E55" s="56"/>
      <c r="F55" s="56"/>
      <c r="G55" s="56"/>
      <c r="H55" s="56"/>
      <c r="I55" s="55"/>
      <c r="J55" s="7"/>
      <c r="K55" s="64" t="s">
        <v>496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9"/>
      <c r="AZ55" s="59"/>
      <c r="BA55" s="59"/>
      <c r="BB55" s="59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59"/>
      <c r="BW55" s="59"/>
      <c r="BX55" s="59"/>
      <c r="BY55" s="59"/>
      <c r="BZ55" s="59"/>
      <c r="CA55" s="59"/>
      <c r="CB55" s="59"/>
      <c r="CC55" s="59"/>
      <c r="CD55" s="59"/>
      <c r="CE55" s="59"/>
      <c r="CF55" s="59"/>
      <c r="CG55" s="59"/>
      <c r="CH55" s="59"/>
      <c r="CI55" s="59"/>
      <c r="CJ55" s="59"/>
      <c r="CK55" s="59"/>
      <c r="CL55" s="59"/>
      <c r="CM55" s="59"/>
      <c r="CN55" s="59"/>
      <c r="CO55" s="59"/>
      <c r="CP55" s="59"/>
      <c r="CQ55" s="59"/>
      <c r="CR55" s="59"/>
      <c r="CS55" s="59"/>
      <c r="CT55" s="59"/>
      <c r="CU55" s="59"/>
      <c r="CV55" s="59"/>
      <c r="CW55" s="59"/>
      <c r="CX55" s="59"/>
      <c r="CY55" s="59"/>
      <c r="CZ55" s="59"/>
      <c r="DA55" s="59"/>
      <c r="DB55" s="59"/>
      <c r="DC55" s="59"/>
      <c r="DD55" s="59"/>
      <c r="DE55" s="59"/>
      <c r="DF55" s="59"/>
      <c r="DG55" s="59"/>
      <c r="DH55" s="13"/>
    </row>
    <row r="56" spans="1:112" x14ac:dyDescent="0.25">
      <c r="A56" s="56"/>
      <c r="B56" s="56"/>
      <c r="C56" s="56"/>
      <c r="D56" s="56"/>
      <c r="E56" s="56"/>
      <c r="F56" s="56"/>
      <c r="G56" s="56"/>
      <c r="H56" s="56"/>
      <c r="I56" s="55"/>
      <c r="J56" s="7"/>
      <c r="K56" s="64" t="s">
        <v>497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9"/>
      <c r="AZ56" s="59"/>
      <c r="BA56" s="59"/>
      <c r="BB56" s="59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59"/>
      <c r="BW56" s="59"/>
      <c r="BX56" s="59"/>
      <c r="BY56" s="59"/>
      <c r="BZ56" s="59"/>
      <c r="CA56" s="59"/>
      <c r="CB56" s="59"/>
      <c r="CC56" s="59"/>
      <c r="CD56" s="59"/>
      <c r="CE56" s="59"/>
      <c r="CF56" s="59"/>
      <c r="CG56" s="59"/>
      <c r="CH56" s="59"/>
      <c r="CI56" s="59"/>
      <c r="CJ56" s="59"/>
      <c r="CK56" s="59"/>
      <c r="CL56" s="59"/>
      <c r="CM56" s="59"/>
      <c r="CN56" s="59"/>
      <c r="CO56" s="59"/>
      <c r="CP56" s="59"/>
      <c r="CQ56" s="59"/>
      <c r="CR56" s="59"/>
      <c r="CS56" s="59"/>
      <c r="CT56" s="59"/>
      <c r="CU56" s="59"/>
      <c r="CV56" s="59"/>
      <c r="CW56" s="59"/>
      <c r="CX56" s="59"/>
      <c r="CY56" s="59"/>
      <c r="CZ56" s="59"/>
      <c r="DA56" s="59"/>
      <c r="DB56" s="59"/>
      <c r="DC56" s="59"/>
      <c r="DD56" s="59"/>
      <c r="DE56" s="59"/>
      <c r="DF56" s="59"/>
      <c r="DG56" s="59"/>
      <c r="DH56" s="13"/>
    </row>
    <row r="57" spans="1:112" x14ac:dyDescent="0.25">
      <c r="A57" s="56"/>
      <c r="B57" s="56"/>
      <c r="C57" s="56"/>
      <c r="D57" s="56"/>
      <c r="E57" s="56"/>
      <c r="F57" s="56"/>
      <c r="G57" s="56"/>
      <c r="H57" s="56"/>
      <c r="I57" s="55"/>
      <c r="J57" s="7"/>
      <c r="K57" s="64" t="s">
        <v>498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9"/>
      <c r="AZ57" s="59"/>
      <c r="BA57" s="59"/>
      <c r="BB57" s="59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59"/>
      <c r="BW57" s="59"/>
      <c r="BX57" s="59"/>
      <c r="BY57" s="59"/>
      <c r="BZ57" s="59"/>
      <c r="CA57" s="59"/>
      <c r="CB57" s="59"/>
      <c r="CC57" s="59"/>
      <c r="CD57" s="59"/>
      <c r="CE57" s="59"/>
      <c r="CF57" s="59"/>
      <c r="CG57" s="59"/>
      <c r="CH57" s="59"/>
      <c r="CI57" s="59"/>
      <c r="CJ57" s="59"/>
      <c r="CK57" s="59"/>
      <c r="CL57" s="59"/>
      <c r="CM57" s="59"/>
      <c r="CN57" s="59"/>
      <c r="CO57" s="59"/>
      <c r="CP57" s="59"/>
      <c r="CQ57" s="59"/>
      <c r="CR57" s="59"/>
      <c r="CS57" s="59"/>
      <c r="CT57" s="59"/>
      <c r="CU57" s="59"/>
      <c r="CV57" s="59"/>
      <c r="CW57" s="59"/>
      <c r="CX57" s="59"/>
      <c r="CY57" s="59"/>
      <c r="CZ57" s="59"/>
      <c r="DA57" s="59"/>
      <c r="DB57" s="59"/>
      <c r="DC57" s="59"/>
      <c r="DD57" s="59"/>
      <c r="DE57" s="59"/>
      <c r="DF57" s="59"/>
      <c r="DG57" s="59"/>
      <c r="DH57" s="13"/>
    </row>
    <row r="58" spans="1:112" x14ac:dyDescent="0.25">
      <c r="A58" s="56"/>
      <c r="B58" s="56"/>
      <c r="C58" s="56"/>
      <c r="D58" s="56"/>
      <c r="E58" s="56"/>
      <c r="F58" s="56"/>
      <c r="G58" s="56"/>
      <c r="H58" s="56"/>
      <c r="I58" s="55"/>
      <c r="J58" s="7"/>
      <c r="K58" s="64" t="s">
        <v>499</v>
      </c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9"/>
      <c r="AZ58" s="59"/>
      <c r="BA58" s="59"/>
      <c r="BB58" s="59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59"/>
      <c r="BW58" s="59"/>
      <c r="BX58" s="59"/>
      <c r="BY58" s="59"/>
      <c r="BZ58" s="59"/>
      <c r="CA58" s="59"/>
      <c r="CB58" s="59"/>
      <c r="CC58" s="59"/>
      <c r="CD58" s="59"/>
      <c r="CE58" s="59"/>
      <c r="CF58" s="59"/>
      <c r="CG58" s="59"/>
      <c r="CH58" s="59"/>
      <c r="CI58" s="59"/>
      <c r="CJ58" s="59"/>
      <c r="CK58" s="59"/>
      <c r="CL58" s="59"/>
      <c r="CM58" s="59"/>
      <c r="CN58" s="59"/>
      <c r="CO58" s="59"/>
      <c r="CP58" s="59"/>
      <c r="CQ58" s="59"/>
      <c r="CR58" s="59"/>
      <c r="CS58" s="59"/>
      <c r="CT58" s="59"/>
      <c r="CU58" s="59"/>
      <c r="CV58" s="59"/>
      <c r="CW58" s="59"/>
      <c r="CX58" s="59"/>
      <c r="CY58" s="59"/>
      <c r="CZ58" s="59"/>
      <c r="DA58" s="59"/>
      <c r="DB58" s="59"/>
      <c r="DC58" s="59"/>
      <c r="DD58" s="59"/>
      <c r="DE58" s="59"/>
      <c r="DF58" s="59"/>
      <c r="DG58" s="59"/>
      <c r="DH58" s="13"/>
    </row>
    <row r="59" spans="1:112" x14ac:dyDescent="0.25">
      <c r="A59" s="56"/>
      <c r="B59" s="56"/>
      <c r="C59" s="56"/>
      <c r="D59" s="56"/>
      <c r="E59" s="56"/>
      <c r="F59" s="56"/>
      <c r="G59" s="56"/>
      <c r="H59" s="56"/>
      <c r="I59" s="55"/>
      <c r="J59" s="7"/>
      <c r="K59" s="64" t="s">
        <v>500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9"/>
      <c r="AZ59" s="59"/>
      <c r="BA59" s="59"/>
      <c r="BB59" s="59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59"/>
      <c r="BW59" s="59"/>
      <c r="BX59" s="59"/>
      <c r="BY59" s="59"/>
      <c r="BZ59" s="59"/>
      <c r="CA59" s="59"/>
      <c r="CB59" s="59"/>
      <c r="CC59" s="59"/>
      <c r="CD59" s="59"/>
      <c r="CE59" s="59"/>
      <c r="CF59" s="59"/>
      <c r="CG59" s="59"/>
      <c r="CH59" s="59"/>
      <c r="CI59" s="59"/>
      <c r="CJ59" s="59"/>
      <c r="CK59" s="59"/>
      <c r="CL59" s="59"/>
      <c r="CM59" s="59"/>
      <c r="CN59" s="59"/>
      <c r="CO59" s="59"/>
      <c r="CP59" s="59"/>
      <c r="CQ59" s="59"/>
      <c r="CR59" s="59"/>
      <c r="CS59" s="59"/>
      <c r="CT59" s="59"/>
      <c r="CU59" s="59"/>
      <c r="CV59" s="59"/>
      <c r="CW59" s="59"/>
      <c r="CX59" s="59"/>
      <c r="CY59" s="59"/>
      <c r="CZ59" s="59"/>
      <c r="DA59" s="59"/>
      <c r="DB59" s="59"/>
      <c r="DC59" s="59"/>
      <c r="DD59" s="59"/>
      <c r="DE59" s="59"/>
      <c r="DF59" s="59"/>
      <c r="DG59" s="59"/>
      <c r="DH59" s="13"/>
    </row>
    <row r="60" spans="1:112" x14ac:dyDescent="0.25">
      <c r="A60" s="56"/>
      <c r="B60" s="56"/>
      <c r="C60" s="56"/>
      <c r="D60" s="56"/>
      <c r="E60" s="56"/>
      <c r="F60" s="56"/>
      <c r="G60" s="56"/>
      <c r="H60" s="56"/>
      <c r="I60" s="55"/>
      <c r="J60" s="7"/>
      <c r="K60" s="64" t="s">
        <v>501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9"/>
      <c r="AZ60" s="59"/>
      <c r="BA60" s="59"/>
      <c r="BB60" s="59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59"/>
      <c r="BW60" s="59"/>
      <c r="BX60" s="59"/>
      <c r="BY60" s="59"/>
      <c r="BZ60" s="59"/>
      <c r="CA60" s="59"/>
      <c r="CB60" s="59"/>
      <c r="CC60" s="59"/>
      <c r="CD60" s="59"/>
      <c r="CE60" s="59"/>
      <c r="CF60" s="59"/>
      <c r="CG60" s="59"/>
      <c r="CH60" s="59"/>
      <c r="CI60" s="59"/>
      <c r="CJ60" s="59"/>
      <c r="CK60" s="59"/>
      <c r="CL60" s="59"/>
      <c r="CM60" s="59"/>
      <c r="CN60" s="59"/>
      <c r="CO60" s="59"/>
      <c r="CP60" s="59"/>
      <c r="CQ60" s="59"/>
      <c r="CR60" s="59"/>
      <c r="CS60" s="59"/>
      <c r="CT60" s="59"/>
      <c r="CU60" s="59"/>
      <c r="CV60" s="59"/>
      <c r="CW60" s="59"/>
      <c r="CX60" s="59"/>
      <c r="CY60" s="59"/>
      <c r="CZ60" s="59"/>
      <c r="DA60" s="59"/>
      <c r="DB60" s="59"/>
      <c r="DC60" s="59"/>
      <c r="DD60" s="59"/>
      <c r="DE60" s="59"/>
      <c r="DF60" s="59"/>
      <c r="DG60" s="59"/>
      <c r="DH60" s="13"/>
    </row>
    <row r="61" spans="1:112" x14ac:dyDescent="0.25">
      <c r="A61" s="56"/>
      <c r="B61" s="56"/>
      <c r="C61" s="56"/>
      <c r="D61" s="56"/>
      <c r="E61" s="56"/>
      <c r="F61" s="56"/>
      <c r="G61" s="56"/>
      <c r="H61" s="56"/>
      <c r="I61" s="55"/>
      <c r="J61" s="7"/>
      <c r="K61" s="64" t="s">
        <v>502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9"/>
      <c r="AZ61" s="59"/>
      <c r="BA61" s="59"/>
      <c r="BB61" s="59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59"/>
      <c r="BW61" s="59"/>
      <c r="BX61" s="59"/>
      <c r="BY61" s="59"/>
      <c r="BZ61" s="59"/>
      <c r="CA61" s="59"/>
      <c r="CB61" s="59"/>
      <c r="CC61" s="59"/>
      <c r="CD61" s="59"/>
      <c r="CE61" s="59"/>
      <c r="CF61" s="59"/>
      <c r="CG61" s="59"/>
      <c r="CH61" s="59"/>
      <c r="CI61" s="59"/>
      <c r="CJ61" s="59"/>
      <c r="CK61" s="59"/>
      <c r="CL61" s="59"/>
      <c r="CM61" s="59"/>
      <c r="CN61" s="59"/>
      <c r="CO61" s="59"/>
      <c r="CP61" s="59"/>
      <c r="CQ61" s="59"/>
      <c r="CR61" s="59"/>
      <c r="CS61" s="59"/>
      <c r="CT61" s="59"/>
      <c r="CU61" s="59"/>
      <c r="CV61" s="59"/>
      <c r="CW61" s="59"/>
      <c r="CX61" s="59"/>
      <c r="CY61" s="59"/>
      <c r="CZ61" s="59"/>
      <c r="DA61" s="59"/>
      <c r="DB61" s="59"/>
      <c r="DC61" s="59"/>
      <c r="DD61" s="59"/>
      <c r="DE61" s="59"/>
      <c r="DF61" s="59"/>
      <c r="DG61" s="59"/>
      <c r="DH61" s="13"/>
    </row>
    <row r="62" spans="1:112" x14ac:dyDescent="0.25">
      <c r="A62" s="56"/>
      <c r="B62" s="56"/>
      <c r="C62" s="56"/>
      <c r="D62" s="56"/>
      <c r="E62" s="56"/>
      <c r="F62" s="56"/>
      <c r="G62" s="56"/>
      <c r="H62" s="56"/>
      <c r="I62" s="55"/>
      <c r="J62" s="7"/>
      <c r="K62" s="64" t="s">
        <v>503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59"/>
      <c r="BR62" s="59"/>
      <c r="BS62" s="59"/>
      <c r="BT62" s="59"/>
      <c r="BU62" s="59"/>
      <c r="BV62" s="59"/>
      <c r="BW62" s="59"/>
      <c r="BX62" s="59"/>
      <c r="BY62" s="59"/>
      <c r="BZ62" s="59"/>
      <c r="CA62" s="59"/>
      <c r="CB62" s="59"/>
      <c r="CC62" s="59"/>
      <c r="CD62" s="59"/>
      <c r="CE62" s="59"/>
      <c r="CF62" s="59"/>
      <c r="CG62" s="59"/>
      <c r="CH62" s="59"/>
      <c r="CI62" s="59"/>
      <c r="CJ62" s="59"/>
      <c r="CK62" s="59"/>
      <c r="CL62" s="59"/>
      <c r="CM62" s="59"/>
      <c r="CN62" s="59"/>
      <c r="CO62" s="59"/>
      <c r="CP62" s="59"/>
      <c r="CQ62" s="59"/>
      <c r="CR62" s="59"/>
      <c r="CS62" s="59"/>
      <c r="CT62" s="59"/>
      <c r="CU62" s="59"/>
      <c r="CV62" s="59"/>
      <c r="CW62" s="59"/>
      <c r="CX62" s="59"/>
      <c r="CY62" s="59"/>
      <c r="CZ62" s="59"/>
      <c r="DA62" s="59"/>
      <c r="DB62" s="59"/>
      <c r="DC62" s="59"/>
      <c r="DD62" s="59"/>
      <c r="DE62" s="59"/>
      <c r="DF62" s="59"/>
      <c r="DG62" s="59"/>
      <c r="DH62" s="13"/>
    </row>
    <row r="63" spans="1:112" x14ac:dyDescent="0.25">
      <c r="A63" s="56"/>
      <c r="B63" s="56"/>
      <c r="C63" s="56"/>
      <c r="D63" s="56"/>
      <c r="E63" s="56"/>
      <c r="F63" s="56"/>
      <c r="G63" s="56"/>
      <c r="H63" s="56"/>
      <c r="I63" s="55"/>
      <c r="J63" s="7"/>
      <c r="K63" s="64" t="s">
        <v>504</v>
      </c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9"/>
      <c r="AZ63" s="59"/>
      <c r="BA63" s="59"/>
      <c r="BB63" s="59"/>
      <c r="BC63" s="59"/>
      <c r="BD63" s="59"/>
      <c r="BE63" s="59"/>
      <c r="BF63" s="59"/>
      <c r="BG63" s="59"/>
      <c r="BH63" s="59"/>
      <c r="BI63" s="59"/>
      <c r="BJ63" s="59"/>
      <c r="BK63" s="59"/>
      <c r="BL63" s="59"/>
      <c r="BM63" s="59"/>
      <c r="BN63" s="59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  <c r="CG63" s="59"/>
      <c r="CH63" s="59"/>
      <c r="CI63" s="59"/>
      <c r="CJ63" s="59"/>
      <c r="CK63" s="59"/>
      <c r="CL63" s="59"/>
      <c r="CM63" s="59"/>
      <c r="CN63" s="59"/>
      <c r="CO63" s="59"/>
      <c r="CP63" s="59"/>
      <c r="CQ63" s="59"/>
      <c r="CR63" s="59"/>
      <c r="CS63" s="59"/>
      <c r="CT63" s="59"/>
      <c r="CU63" s="59"/>
      <c r="CV63" s="59"/>
      <c r="CW63" s="59"/>
      <c r="CX63" s="59"/>
      <c r="CY63" s="59"/>
      <c r="CZ63" s="59"/>
      <c r="DA63" s="59"/>
      <c r="DB63" s="59"/>
      <c r="DC63" s="59"/>
      <c r="DD63" s="59"/>
      <c r="DE63" s="59"/>
      <c r="DF63" s="59"/>
      <c r="DG63" s="59"/>
      <c r="DH63" s="13"/>
    </row>
    <row r="64" spans="1:112" x14ac:dyDescent="0.25">
      <c r="A64" s="56"/>
      <c r="B64" s="56"/>
      <c r="C64" s="56"/>
      <c r="D64" s="56"/>
      <c r="E64" s="56"/>
      <c r="F64" s="56"/>
      <c r="G64" s="56"/>
      <c r="H64" s="56"/>
      <c r="I64" s="55"/>
      <c r="J64" s="7"/>
      <c r="K64" s="64" t="s">
        <v>505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9"/>
      <c r="AZ64" s="59"/>
      <c r="BA64" s="59"/>
      <c r="BB64" s="59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  <c r="CG64" s="59"/>
      <c r="CH64" s="59"/>
      <c r="CI64" s="59"/>
      <c r="CJ64" s="59"/>
      <c r="CK64" s="59"/>
      <c r="CL64" s="59"/>
      <c r="CM64" s="59"/>
      <c r="CN64" s="59"/>
      <c r="CO64" s="59"/>
      <c r="CP64" s="59"/>
      <c r="CQ64" s="59"/>
      <c r="CR64" s="59"/>
      <c r="CS64" s="59"/>
      <c r="CT64" s="59"/>
      <c r="CU64" s="59"/>
      <c r="CV64" s="59"/>
      <c r="CW64" s="59"/>
      <c r="CX64" s="59"/>
      <c r="CY64" s="59"/>
      <c r="CZ64" s="59"/>
      <c r="DA64" s="59"/>
      <c r="DB64" s="59"/>
      <c r="DC64" s="59"/>
      <c r="DD64" s="59"/>
      <c r="DE64" s="59"/>
      <c r="DF64" s="59"/>
      <c r="DG64" s="59"/>
      <c r="DH64" s="13"/>
    </row>
    <row r="65" spans="1:112" x14ac:dyDescent="0.25">
      <c r="A65" s="56"/>
      <c r="B65" s="56"/>
      <c r="C65" s="56"/>
      <c r="D65" s="56"/>
      <c r="E65" s="56"/>
      <c r="F65" s="56"/>
      <c r="G65" s="56"/>
      <c r="H65" s="56"/>
      <c r="I65" s="55"/>
      <c r="J65" s="7"/>
      <c r="K65" s="64" t="s">
        <v>506</v>
      </c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59"/>
      <c r="CT65" s="59"/>
      <c r="CU65" s="59"/>
      <c r="CV65" s="59"/>
      <c r="CW65" s="59"/>
      <c r="CX65" s="59"/>
      <c r="CY65" s="59"/>
      <c r="CZ65" s="59"/>
      <c r="DA65" s="59"/>
      <c r="DB65" s="59"/>
      <c r="DC65" s="59"/>
      <c r="DD65" s="59"/>
      <c r="DE65" s="59"/>
      <c r="DF65" s="59"/>
      <c r="DG65" s="59"/>
      <c r="DH65" s="13"/>
    </row>
    <row r="66" spans="1:112" x14ac:dyDescent="0.25">
      <c r="A66" s="56"/>
      <c r="B66" s="56"/>
      <c r="C66" s="56"/>
      <c r="D66" s="56"/>
      <c r="E66" s="56"/>
      <c r="F66" s="56"/>
      <c r="G66" s="56"/>
      <c r="H66" s="56"/>
      <c r="I66" s="55"/>
      <c r="J66" s="7"/>
      <c r="K66" s="64" t="s">
        <v>507</v>
      </c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13"/>
    </row>
    <row r="67" spans="1:112" x14ac:dyDescent="0.25">
      <c r="A67" s="56"/>
      <c r="B67" s="56"/>
      <c r="C67" s="56"/>
      <c r="D67" s="56"/>
      <c r="E67" s="56"/>
      <c r="F67" s="56"/>
      <c r="G67" s="56"/>
      <c r="H67" s="56"/>
      <c r="I67" s="55"/>
      <c r="J67" s="7"/>
      <c r="K67" s="64" t="s">
        <v>508</v>
      </c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9"/>
      <c r="AZ67" s="59"/>
      <c r="BA67" s="59"/>
      <c r="BB67" s="59"/>
      <c r="BC67" s="59"/>
      <c r="BD67" s="59"/>
      <c r="BE67" s="59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13"/>
    </row>
    <row r="68" spans="1:112" x14ac:dyDescent="0.25">
      <c r="A68" s="56"/>
      <c r="B68" s="56"/>
      <c r="C68" s="56"/>
      <c r="D68" s="56"/>
      <c r="E68" s="56"/>
      <c r="F68" s="56"/>
      <c r="G68" s="56"/>
      <c r="H68" s="56"/>
      <c r="I68" s="55"/>
      <c r="J68" s="7"/>
      <c r="K68" s="64" t="s">
        <v>509</v>
      </c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9"/>
      <c r="AZ68" s="59"/>
      <c r="BA68" s="59"/>
      <c r="BB68" s="59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13"/>
    </row>
    <row r="69" spans="1:112" x14ac:dyDescent="0.25">
      <c r="A69" s="56"/>
      <c r="B69" s="56"/>
      <c r="C69" s="56"/>
      <c r="D69" s="56"/>
      <c r="E69" s="56"/>
      <c r="F69" s="56"/>
      <c r="G69" s="56"/>
      <c r="H69" s="56"/>
      <c r="I69" s="55"/>
      <c r="J69" s="7"/>
      <c r="K69" s="64" t="s">
        <v>510</v>
      </c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9"/>
      <c r="AZ69" s="59"/>
      <c r="BA69" s="59"/>
      <c r="BB69" s="59"/>
      <c r="BC69" s="59"/>
      <c r="BD69" s="59"/>
      <c r="BE69" s="5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13"/>
    </row>
    <row r="70" spans="1:112" x14ac:dyDescent="0.25">
      <c r="A70" s="56"/>
      <c r="B70" s="56"/>
      <c r="C70" s="56"/>
      <c r="D70" s="56"/>
      <c r="E70" s="56"/>
      <c r="F70" s="56"/>
      <c r="G70" s="56"/>
      <c r="H70" s="56"/>
      <c r="I70" s="55"/>
      <c r="J70" s="7"/>
      <c r="K70" s="64" t="s">
        <v>511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9"/>
      <c r="AZ70" s="59"/>
      <c r="BA70" s="59"/>
      <c r="BB70" s="59"/>
      <c r="BC70" s="59"/>
      <c r="BD70" s="59"/>
      <c r="BE70" s="59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13"/>
    </row>
    <row r="71" spans="1:112" x14ac:dyDescent="0.25">
      <c r="A71" s="56"/>
      <c r="B71" s="56"/>
      <c r="C71" s="56"/>
      <c r="D71" s="56"/>
      <c r="E71" s="56"/>
      <c r="F71" s="56"/>
      <c r="G71" s="56"/>
      <c r="H71" s="56"/>
      <c r="I71" s="55"/>
      <c r="J71" s="7"/>
      <c r="K71" s="64" t="s">
        <v>512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13"/>
    </row>
    <row r="72" spans="1:112" x14ac:dyDescent="0.25">
      <c r="A72" s="56"/>
      <c r="B72" s="56"/>
      <c r="C72" s="56"/>
      <c r="D72" s="56"/>
      <c r="E72" s="56"/>
      <c r="F72" s="56"/>
      <c r="G72" s="56"/>
      <c r="H72" s="56"/>
      <c r="I72" s="55"/>
      <c r="J72" s="7"/>
      <c r="K72" s="64" t="s">
        <v>513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9"/>
      <c r="AZ72" s="59"/>
      <c r="BA72" s="59"/>
      <c r="BB72" s="59"/>
      <c r="BC72" s="59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13"/>
    </row>
    <row r="73" spans="1:112" x14ac:dyDescent="0.25">
      <c r="A73" s="56"/>
      <c r="B73" s="56"/>
      <c r="C73" s="56"/>
      <c r="D73" s="56"/>
      <c r="E73" s="56"/>
      <c r="F73" s="56"/>
      <c r="G73" s="56"/>
      <c r="H73" s="56"/>
      <c r="I73" s="55"/>
      <c r="J73" s="7"/>
      <c r="K73" s="64" t="s">
        <v>514</v>
      </c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9"/>
      <c r="AZ73" s="59"/>
      <c r="BA73" s="59"/>
      <c r="BB73" s="59"/>
      <c r="BC73" s="59"/>
      <c r="BD73" s="59"/>
      <c r="BE73" s="59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13"/>
    </row>
    <row r="74" spans="1:112" x14ac:dyDescent="0.25">
      <c r="A74" s="56"/>
      <c r="B74" s="56"/>
      <c r="C74" s="56"/>
      <c r="D74" s="56"/>
      <c r="E74" s="56"/>
      <c r="F74" s="56"/>
      <c r="G74" s="56"/>
      <c r="H74" s="56"/>
      <c r="I74" s="55"/>
      <c r="J74" s="7"/>
      <c r="K74" s="64" t="s">
        <v>515</v>
      </c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9"/>
      <c r="AZ74" s="59"/>
      <c r="BA74" s="59"/>
      <c r="BB74" s="59"/>
      <c r="BC74" s="59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13"/>
    </row>
    <row r="75" spans="1:112" x14ac:dyDescent="0.25">
      <c r="A75" s="56"/>
      <c r="B75" s="56"/>
      <c r="C75" s="56"/>
      <c r="D75" s="56"/>
      <c r="E75" s="56"/>
      <c r="F75" s="56"/>
      <c r="G75" s="56"/>
      <c r="H75" s="56"/>
      <c r="I75" s="55"/>
      <c r="J75" s="7"/>
      <c r="K75" s="64" t="s">
        <v>516</v>
      </c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9"/>
      <c r="AZ75" s="59"/>
      <c r="BA75" s="59"/>
      <c r="BB75" s="59"/>
      <c r="BC75" s="59"/>
      <c r="BD75" s="59"/>
      <c r="BE75" s="59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13"/>
    </row>
    <row r="76" spans="1:112" x14ac:dyDescent="0.25">
      <c r="A76" s="56"/>
      <c r="B76" s="56"/>
      <c r="C76" s="56"/>
      <c r="D76" s="56"/>
      <c r="E76" s="56"/>
      <c r="F76" s="56"/>
      <c r="G76" s="56"/>
      <c r="H76" s="56"/>
      <c r="I76" s="55"/>
      <c r="J76" s="7"/>
      <c r="K76" s="64" t="s">
        <v>517</v>
      </c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13"/>
    </row>
    <row r="77" spans="1:112" x14ac:dyDescent="0.25">
      <c r="A77" s="56"/>
      <c r="B77" s="56"/>
      <c r="C77" s="56"/>
      <c r="D77" s="56"/>
      <c r="E77" s="56"/>
      <c r="F77" s="56"/>
      <c r="G77" s="56"/>
      <c r="H77" s="56"/>
      <c r="I77" s="55"/>
      <c r="J77" s="7"/>
      <c r="K77" s="64" t="s">
        <v>518</v>
      </c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9"/>
      <c r="AZ77" s="59"/>
      <c r="BA77" s="59"/>
      <c r="BB77" s="59"/>
      <c r="BC77" s="59"/>
      <c r="BD77" s="59"/>
      <c r="BE77" s="59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13"/>
    </row>
    <row r="78" spans="1:112" x14ac:dyDescent="0.25">
      <c r="A78" s="56"/>
      <c r="B78" s="56"/>
      <c r="C78" s="56"/>
      <c r="D78" s="56"/>
      <c r="E78" s="56"/>
      <c r="F78" s="56"/>
      <c r="G78" s="56"/>
      <c r="H78" s="56"/>
      <c r="I78" s="55"/>
      <c r="J78" s="7"/>
      <c r="K78" s="64" t="s">
        <v>519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9"/>
      <c r="AZ78" s="59"/>
      <c r="BA78" s="59"/>
      <c r="BB78" s="59"/>
      <c r="BC78" s="59"/>
      <c r="BD78" s="59"/>
      <c r="BE78" s="59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13"/>
    </row>
    <row r="79" spans="1:112" x14ac:dyDescent="0.25">
      <c r="A79" s="56"/>
      <c r="B79" s="56"/>
      <c r="C79" s="56"/>
      <c r="D79" s="56"/>
      <c r="E79" s="56"/>
      <c r="F79" s="56"/>
      <c r="G79" s="56"/>
      <c r="H79" s="56"/>
      <c r="I79" s="55"/>
      <c r="J79" s="7"/>
      <c r="K79" s="64" t="s">
        <v>520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13"/>
    </row>
    <row r="80" spans="1:112" x14ac:dyDescent="0.25">
      <c r="A80" s="56"/>
      <c r="B80" s="56"/>
      <c r="C80" s="56"/>
      <c r="D80" s="56"/>
      <c r="E80" s="56"/>
      <c r="F80" s="56"/>
      <c r="G80" s="56"/>
      <c r="H80" s="56"/>
      <c r="I80" s="55"/>
      <c r="J80" s="7"/>
      <c r="K80" s="64" t="s">
        <v>521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9"/>
      <c r="AZ80" s="59"/>
      <c r="BA80" s="59"/>
      <c r="BB80" s="59"/>
      <c r="BC80" s="59"/>
      <c r="BD80" s="59"/>
      <c r="BE80" s="59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13"/>
    </row>
    <row r="81" spans="1:112" x14ac:dyDescent="0.25">
      <c r="A81" s="56"/>
      <c r="B81" s="56"/>
      <c r="C81" s="56"/>
      <c r="D81" s="56"/>
      <c r="E81" s="56"/>
      <c r="F81" s="56"/>
      <c r="G81" s="56"/>
      <c r="H81" s="56"/>
      <c r="I81" s="55"/>
      <c r="J81" s="7"/>
      <c r="K81" s="64" t="s">
        <v>522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9"/>
      <c r="AZ81" s="59"/>
      <c r="BA81" s="59"/>
      <c r="BB81" s="59"/>
      <c r="BC81" s="59"/>
      <c r="BD81" s="59"/>
      <c r="BE81" s="59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13"/>
    </row>
    <row r="82" spans="1:112" x14ac:dyDescent="0.25">
      <c r="A82" s="56"/>
      <c r="B82" s="56"/>
      <c r="C82" s="56"/>
      <c r="D82" s="56"/>
      <c r="E82" s="56"/>
      <c r="F82" s="56"/>
      <c r="G82" s="56"/>
      <c r="H82" s="56"/>
      <c r="I82" s="55"/>
      <c r="J82" s="7"/>
      <c r="K82" s="64" t="s">
        <v>523</v>
      </c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9"/>
      <c r="AZ82" s="59"/>
      <c r="BA82" s="59"/>
      <c r="BB82" s="59"/>
      <c r="BC82" s="59"/>
      <c r="BD82" s="59"/>
      <c r="BE82" s="59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13"/>
    </row>
    <row r="83" spans="1:112" x14ac:dyDescent="0.25">
      <c r="A83" s="56"/>
      <c r="B83" s="56"/>
      <c r="C83" s="56"/>
      <c r="D83" s="56"/>
      <c r="E83" s="56"/>
      <c r="F83" s="56"/>
      <c r="G83" s="56"/>
      <c r="H83" s="56"/>
      <c r="I83" s="55"/>
      <c r="J83" s="7"/>
      <c r="K83" s="64" t="s">
        <v>524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9"/>
      <c r="AZ83" s="59"/>
      <c r="BA83" s="59"/>
      <c r="BB83" s="59"/>
      <c r="BC83" s="59"/>
      <c r="BD83" s="59"/>
      <c r="BE83" s="59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13"/>
    </row>
    <row r="84" spans="1:112" x14ac:dyDescent="0.25">
      <c r="A84" s="56"/>
      <c r="B84" s="56"/>
      <c r="C84" s="56"/>
      <c r="D84" s="56"/>
      <c r="E84" s="56"/>
      <c r="F84" s="56"/>
      <c r="G84" s="56"/>
      <c r="H84" s="56"/>
      <c r="I84" s="55"/>
      <c r="J84" s="7"/>
      <c r="K84" s="64" t="s">
        <v>525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9"/>
      <c r="AZ84" s="59"/>
      <c r="BA84" s="59"/>
      <c r="BB84" s="59"/>
      <c r="BC84" s="59"/>
      <c r="BD84" s="59"/>
      <c r="BE84" s="59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13"/>
    </row>
    <row r="85" spans="1:112" x14ac:dyDescent="0.25">
      <c r="A85" s="56"/>
      <c r="B85" s="56"/>
      <c r="C85" s="56"/>
      <c r="D85" s="56"/>
      <c r="E85" s="56"/>
      <c r="F85" s="56"/>
      <c r="G85" s="56"/>
      <c r="H85" s="56"/>
      <c r="I85" s="55"/>
      <c r="J85" s="7"/>
      <c r="K85" s="64" t="s">
        <v>526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9"/>
      <c r="AZ85" s="59"/>
      <c r="BA85" s="59"/>
      <c r="BB85" s="59"/>
      <c r="BC85" s="59"/>
      <c r="BD85" s="59"/>
      <c r="BE85" s="59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13"/>
    </row>
    <row r="86" spans="1:112" x14ac:dyDescent="0.25">
      <c r="A86" s="56"/>
      <c r="B86" s="56"/>
      <c r="C86" s="56"/>
      <c r="D86" s="56"/>
      <c r="E86" s="56"/>
      <c r="F86" s="56"/>
      <c r="G86" s="56"/>
      <c r="H86" s="56"/>
      <c r="I86" s="55"/>
      <c r="J86" s="7"/>
      <c r="K86" s="64" t="s">
        <v>527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13"/>
    </row>
    <row r="87" spans="1:112" x14ac:dyDescent="0.25">
      <c r="A87" s="56"/>
      <c r="B87" s="56"/>
      <c r="C87" s="56"/>
      <c r="D87" s="56"/>
      <c r="E87" s="56"/>
      <c r="F87" s="56"/>
      <c r="G87" s="56"/>
      <c r="H87" s="56"/>
      <c r="I87" s="55"/>
      <c r="J87" s="7"/>
      <c r="K87" s="64" t="s">
        <v>528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13"/>
    </row>
    <row r="88" spans="1:112" x14ac:dyDescent="0.25">
      <c r="A88" s="56"/>
      <c r="B88" s="56"/>
      <c r="C88" s="56"/>
      <c r="D88" s="56"/>
      <c r="E88" s="56"/>
      <c r="F88" s="56"/>
      <c r="G88" s="56"/>
      <c r="H88" s="56"/>
      <c r="I88" s="55"/>
      <c r="J88" s="7"/>
      <c r="K88" s="64" t="s">
        <v>529</v>
      </c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  <c r="BN88" s="59"/>
      <c r="BO88" s="59"/>
      <c r="BP88" s="59"/>
      <c r="BQ88" s="59"/>
      <c r="BR88" s="59"/>
      <c r="BS88" s="59"/>
      <c r="BT88" s="59"/>
      <c r="BU88" s="59"/>
      <c r="BV88" s="59"/>
      <c r="BW88" s="59"/>
      <c r="BX88" s="59"/>
      <c r="BY88" s="59"/>
      <c r="BZ88" s="59"/>
      <c r="CA88" s="59"/>
      <c r="CB88" s="59"/>
      <c r="CC88" s="59"/>
      <c r="CD88" s="59"/>
      <c r="CE88" s="59"/>
      <c r="CF88" s="59"/>
      <c r="CG88" s="59"/>
      <c r="CH88" s="59"/>
      <c r="CI88" s="59"/>
      <c r="CJ88" s="59"/>
      <c r="CK88" s="59"/>
      <c r="CL88" s="59"/>
      <c r="CM88" s="59"/>
      <c r="CN88" s="59"/>
      <c r="CO88" s="59"/>
      <c r="CP88" s="59"/>
      <c r="CQ88" s="59"/>
      <c r="CR88" s="59"/>
      <c r="CS88" s="59"/>
      <c r="CT88" s="59"/>
      <c r="CU88" s="59"/>
      <c r="CV88" s="59"/>
      <c r="CW88" s="59"/>
      <c r="CX88" s="59"/>
      <c r="CY88" s="59"/>
      <c r="CZ88" s="59"/>
      <c r="DA88" s="59"/>
      <c r="DB88" s="59"/>
      <c r="DC88" s="59"/>
      <c r="DD88" s="59"/>
      <c r="DE88" s="59"/>
      <c r="DF88" s="59"/>
      <c r="DG88" s="59"/>
      <c r="DH88" s="13"/>
    </row>
    <row r="89" spans="1:112" x14ac:dyDescent="0.25">
      <c r="A89" s="56"/>
      <c r="B89" s="56"/>
      <c r="C89" s="56"/>
      <c r="D89" s="56"/>
      <c r="E89" s="56"/>
      <c r="F89" s="56"/>
      <c r="G89" s="56"/>
      <c r="H89" s="56"/>
      <c r="I89" s="55"/>
      <c r="J89" s="7"/>
      <c r="K89" s="64" t="s">
        <v>530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  <c r="BK89" s="59"/>
      <c r="BL89" s="59"/>
      <c r="BM89" s="59"/>
      <c r="BN89" s="59"/>
      <c r="BO89" s="59"/>
      <c r="BP89" s="59"/>
      <c r="BQ89" s="59"/>
      <c r="BR89" s="59"/>
      <c r="BS89" s="59"/>
      <c r="BT89" s="59"/>
      <c r="BU89" s="59"/>
      <c r="BV89" s="59"/>
      <c r="BW89" s="59"/>
      <c r="BX89" s="59"/>
      <c r="BY89" s="59"/>
      <c r="BZ89" s="59"/>
      <c r="CA89" s="59"/>
      <c r="CB89" s="59"/>
      <c r="CC89" s="59"/>
      <c r="CD89" s="59"/>
      <c r="CE89" s="59"/>
      <c r="CF89" s="59"/>
      <c r="CG89" s="59"/>
      <c r="CH89" s="59"/>
      <c r="CI89" s="59"/>
      <c r="CJ89" s="59"/>
      <c r="CK89" s="59"/>
      <c r="CL89" s="59"/>
      <c r="CM89" s="59"/>
      <c r="CN89" s="59"/>
      <c r="CO89" s="59"/>
      <c r="CP89" s="59"/>
      <c r="CQ89" s="59"/>
      <c r="CR89" s="59"/>
      <c r="CS89" s="59"/>
      <c r="CT89" s="59"/>
      <c r="CU89" s="59"/>
      <c r="CV89" s="59"/>
      <c r="CW89" s="59"/>
      <c r="CX89" s="59"/>
      <c r="CY89" s="59"/>
      <c r="CZ89" s="59"/>
      <c r="DA89" s="59"/>
      <c r="DB89" s="59"/>
      <c r="DC89" s="59"/>
      <c r="DD89" s="59"/>
      <c r="DE89" s="59"/>
      <c r="DF89" s="59"/>
      <c r="DG89" s="59"/>
      <c r="DH89" s="13"/>
    </row>
    <row r="90" spans="1:112" x14ac:dyDescent="0.25">
      <c r="A90" s="56"/>
      <c r="B90" s="56"/>
      <c r="C90" s="56"/>
      <c r="D90" s="56"/>
      <c r="E90" s="56"/>
      <c r="F90" s="56"/>
      <c r="G90" s="56"/>
      <c r="H90" s="56"/>
      <c r="I90" s="55"/>
      <c r="J90" s="7"/>
      <c r="K90" s="64" t="s">
        <v>531</v>
      </c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  <c r="BK90" s="59"/>
      <c r="BL90" s="59"/>
      <c r="BM90" s="59"/>
      <c r="BN90" s="59"/>
      <c r="BO90" s="59"/>
      <c r="BP90" s="59"/>
      <c r="BQ90" s="59"/>
      <c r="BR90" s="59"/>
      <c r="BS90" s="59"/>
      <c r="BT90" s="59"/>
      <c r="BU90" s="59"/>
      <c r="BV90" s="59"/>
      <c r="BW90" s="59"/>
      <c r="BX90" s="59"/>
      <c r="BY90" s="59"/>
      <c r="BZ90" s="59"/>
      <c r="CA90" s="59"/>
      <c r="CB90" s="59"/>
      <c r="CC90" s="59"/>
      <c r="CD90" s="59"/>
      <c r="CE90" s="59"/>
      <c r="CF90" s="59"/>
      <c r="CG90" s="59"/>
      <c r="CH90" s="59"/>
      <c r="CI90" s="59"/>
      <c r="CJ90" s="59"/>
      <c r="CK90" s="59"/>
      <c r="CL90" s="59"/>
      <c r="CM90" s="59"/>
      <c r="CN90" s="59"/>
      <c r="CO90" s="59"/>
      <c r="CP90" s="59"/>
      <c r="CQ90" s="59"/>
      <c r="CR90" s="59"/>
      <c r="CS90" s="59"/>
      <c r="CT90" s="59"/>
      <c r="CU90" s="59"/>
      <c r="CV90" s="59"/>
      <c r="CW90" s="59"/>
      <c r="CX90" s="59"/>
      <c r="CY90" s="59"/>
      <c r="CZ90" s="59"/>
      <c r="DA90" s="59"/>
      <c r="DB90" s="59"/>
      <c r="DC90" s="59"/>
      <c r="DD90" s="59"/>
      <c r="DE90" s="59"/>
      <c r="DF90" s="59"/>
      <c r="DG90" s="59"/>
      <c r="DH90" s="13"/>
    </row>
    <row r="91" spans="1:112" x14ac:dyDescent="0.25">
      <c r="A91" s="56"/>
      <c r="B91" s="56"/>
      <c r="C91" s="56"/>
      <c r="D91" s="56"/>
      <c r="E91" s="56"/>
      <c r="F91" s="56"/>
      <c r="G91" s="56"/>
      <c r="H91" s="56"/>
      <c r="I91" s="55"/>
      <c r="J91" s="7"/>
      <c r="K91" s="64" t="s">
        <v>532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  <c r="BK91" s="59"/>
      <c r="BL91" s="59"/>
      <c r="BM91" s="59"/>
      <c r="BN91" s="59"/>
      <c r="BO91" s="59"/>
      <c r="BP91" s="59"/>
      <c r="BQ91" s="59"/>
      <c r="BR91" s="59"/>
      <c r="BS91" s="59"/>
      <c r="BT91" s="59"/>
      <c r="BU91" s="59"/>
      <c r="BV91" s="59"/>
      <c r="BW91" s="59"/>
      <c r="BX91" s="59"/>
      <c r="BY91" s="59"/>
      <c r="BZ91" s="59"/>
      <c r="CA91" s="59"/>
      <c r="CB91" s="59"/>
      <c r="CC91" s="59"/>
      <c r="CD91" s="59"/>
      <c r="CE91" s="59"/>
      <c r="CF91" s="59"/>
      <c r="CG91" s="59"/>
      <c r="CH91" s="59"/>
      <c r="CI91" s="59"/>
      <c r="CJ91" s="59"/>
      <c r="CK91" s="59"/>
      <c r="CL91" s="59"/>
      <c r="CM91" s="59"/>
      <c r="CN91" s="59"/>
      <c r="CO91" s="59"/>
      <c r="CP91" s="59"/>
      <c r="CQ91" s="59"/>
      <c r="CR91" s="59"/>
      <c r="CS91" s="59"/>
      <c r="CT91" s="59"/>
      <c r="CU91" s="59"/>
      <c r="CV91" s="59"/>
      <c r="CW91" s="59"/>
      <c r="CX91" s="59"/>
      <c r="CY91" s="59"/>
      <c r="CZ91" s="59"/>
      <c r="DA91" s="59"/>
      <c r="DB91" s="59"/>
      <c r="DC91" s="59"/>
      <c r="DD91" s="59"/>
      <c r="DE91" s="59"/>
      <c r="DF91" s="59"/>
      <c r="DG91" s="59"/>
      <c r="DH91" s="13"/>
    </row>
    <row r="92" spans="1:112" x14ac:dyDescent="0.25">
      <c r="A92" s="56"/>
      <c r="B92" s="56"/>
      <c r="C92" s="56"/>
      <c r="D92" s="56"/>
      <c r="E92" s="56"/>
      <c r="F92" s="56"/>
      <c r="G92" s="56"/>
      <c r="H92" s="56"/>
      <c r="I92" s="55"/>
      <c r="J92" s="7"/>
      <c r="K92" s="64" t="s">
        <v>533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9"/>
      <c r="AZ92" s="59"/>
      <c r="BA92" s="59"/>
      <c r="BB92" s="59"/>
      <c r="BC92" s="59"/>
      <c r="BD92" s="59"/>
      <c r="BE92" s="59"/>
      <c r="BF92" s="59"/>
      <c r="BG92" s="59"/>
      <c r="BH92" s="59"/>
      <c r="BI92" s="59"/>
      <c r="BJ92" s="59"/>
      <c r="BK92" s="59"/>
      <c r="BL92" s="59"/>
      <c r="BM92" s="59"/>
      <c r="BN92" s="59"/>
      <c r="BO92" s="59"/>
      <c r="BP92" s="59"/>
      <c r="BQ92" s="59"/>
      <c r="BR92" s="59"/>
      <c r="BS92" s="59"/>
      <c r="BT92" s="59"/>
      <c r="BU92" s="59"/>
      <c r="BV92" s="59"/>
      <c r="BW92" s="59"/>
      <c r="BX92" s="59"/>
      <c r="BY92" s="59"/>
      <c r="BZ92" s="59"/>
      <c r="CA92" s="59"/>
      <c r="CB92" s="59"/>
      <c r="CC92" s="59"/>
      <c r="CD92" s="59"/>
      <c r="CE92" s="59"/>
      <c r="CF92" s="59"/>
      <c r="CG92" s="59"/>
      <c r="CH92" s="59"/>
      <c r="CI92" s="59"/>
      <c r="CJ92" s="59"/>
      <c r="CK92" s="59"/>
      <c r="CL92" s="59"/>
      <c r="CM92" s="59"/>
      <c r="CN92" s="59"/>
      <c r="CO92" s="59"/>
      <c r="CP92" s="59"/>
      <c r="CQ92" s="59"/>
      <c r="CR92" s="59"/>
      <c r="CS92" s="59"/>
      <c r="CT92" s="59"/>
      <c r="CU92" s="59"/>
      <c r="CV92" s="59"/>
      <c r="CW92" s="59"/>
      <c r="CX92" s="59"/>
      <c r="CY92" s="59"/>
      <c r="CZ92" s="59"/>
      <c r="DA92" s="59"/>
      <c r="DB92" s="59"/>
      <c r="DC92" s="59"/>
      <c r="DD92" s="59"/>
      <c r="DE92" s="59"/>
      <c r="DF92" s="59"/>
      <c r="DG92" s="59"/>
      <c r="DH92" s="13"/>
    </row>
    <row r="93" spans="1:112" x14ac:dyDescent="0.25">
      <c r="A93" s="56"/>
      <c r="B93" s="56"/>
      <c r="C93" s="56"/>
      <c r="D93" s="56"/>
      <c r="E93" s="56"/>
      <c r="F93" s="56"/>
      <c r="G93" s="56"/>
      <c r="H93" s="56"/>
      <c r="I93" s="55"/>
      <c r="J93" s="7"/>
      <c r="K93" s="64" t="s">
        <v>534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  <c r="BK93" s="59"/>
      <c r="BL93" s="59"/>
      <c r="BM93" s="59"/>
      <c r="BN93" s="59"/>
      <c r="BO93" s="59"/>
      <c r="BP93" s="59"/>
      <c r="BQ93" s="59"/>
      <c r="BR93" s="59"/>
      <c r="BS93" s="59"/>
      <c r="BT93" s="59"/>
      <c r="BU93" s="59"/>
      <c r="BV93" s="59"/>
      <c r="BW93" s="59"/>
      <c r="BX93" s="59"/>
      <c r="BY93" s="59"/>
      <c r="BZ93" s="59"/>
      <c r="CA93" s="59"/>
      <c r="CB93" s="59"/>
      <c r="CC93" s="59"/>
      <c r="CD93" s="59"/>
      <c r="CE93" s="59"/>
      <c r="CF93" s="59"/>
      <c r="CG93" s="59"/>
      <c r="CH93" s="59"/>
      <c r="CI93" s="59"/>
      <c r="CJ93" s="59"/>
      <c r="CK93" s="59"/>
      <c r="CL93" s="59"/>
      <c r="CM93" s="59"/>
      <c r="CN93" s="59"/>
      <c r="CO93" s="59"/>
      <c r="CP93" s="59"/>
      <c r="CQ93" s="59"/>
      <c r="CR93" s="59"/>
      <c r="CS93" s="59"/>
      <c r="CT93" s="59"/>
      <c r="CU93" s="59"/>
      <c r="CV93" s="59"/>
      <c r="CW93" s="59"/>
      <c r="CX93" s="59"/>
      <c r="CY93" s="59"/>
      <c r="CZ93" s="59"/>
      <c r="DA93" s="59"/>
      <c r="DB93" s="59"/>
      <c r="DC93" s="59"/>
      <c r="DD93" s="59"/>
      <c r="DE93" s="59"/>
      <c r="DF93" s="59"/>
      <c r="DG93" s="59"/>
      <c r="DH93" s="13"/>
    </row>
    <row r="94" spans="1:112" x14ac:dyDescent="0.25">
      <c r="A94" s="56"/>
      <c r="B94" s="56"/>
      <c r="C94" s="56"/>
      <c r="D94" s="56"/>
      <c r="E94" s="56"/>
      <c r="F94" s="56"/>
      <c r="G94" s="56"/>
      <c r="H94" s="56"/>
      <c r="I94" s="55"/>
      <c r="J94" s="7"/>
      <c r="K94" s="64" t="s">
        <v>535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  <c r="BK94" s="59"/>
      <c r="BL94" s="59"/>
      <c r="BM94" s="59"/>
      <c r="BN94" s="59"/>
      <c r="BO94" s="59"/>
      <c r="BP94" s="59"/>
      <c r="BQ94" s="59"/>
      <c r="BR94" s="59"/>
      <c r="BS94" s="59"/>
      <c r="BT94" s="59"/>
      <c r="BU94" s="59"/>
      <c r="BV94" s="59"/>
      <c r="BW94" s="59"/>
      <c r="BX94" s="59"/>
      <c r="BY94" s="59"/>
      <c r="BZ94" s="59"/>
      <c r="CA94" s="59"/>
      <c r="CB94" s="59"/>
      <c r="CC94" s="59"/>
      <c r="CD94" s="59"/>
      <c r="CE94" s="59"/>
      <c r="CF94" s="59"/>
      <c r="CG94" s="59"/>
      <c r="CH94" s="59"/>
      <c r="CI94" s="59"/>
      <c r="CJ94" s="59"/>
      <c r="CK94" s="59"/>
      <c r="CL94" s="59"/>
      <c r="CM94" s="59"/>
      <c r="CN94" s="59"/>
      <c r="CO94" s="59"/>
      <c r="CP94" s="59"/>
      <c r="CQ94" s="59"/>
      <c r="CR94" s="59"/>
      <c r="CS94" s="59"/>
      <c r="CT94" s="59"/>
      <c r="CU94" s="59"/>
      <c r="CV94" s="59"/>
      <c r="CW94" s="59"/>
      <c r="CX94" s="59"/>
      <c r="CY94" s="59"/>
      <c r="CZ94" s="59"/>
      <c r="DA94" s="59"/>
      <c r="DB94" s="59"/>
      <c r="DC94" s="59"/>
      <c r="DD94" s="59"/>
      <c r="DE94" s="59"/>
      <c r="DF94" s="59"/>
      <c r="DG94" s="59"/>
      <c r="DH94" s="13"/>
    </row>
    <row r="95" spans="1:112" x14ac:dyDescent="0.25">
      <c r="A95" s="56"/>
      <c r="B95" s="56"/>
      <c r="C95" s="56"/>
      <c r="D95" s="56"/>
      <c r="E95" s="56"/>
      <c r="F95" s="56"/>
      <c r="G95" s="56"/>
      <c r="H95" s="56"/>
      <c r="I95" s="55"/>
      <c r="J95" s="7"/>
      <c r="K95" s="64" t="s">
        <v>536</v>
      </c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  <c r="BK95" s="59"/>
      <c r="BL95" s="59"/>
      <c r="BM95" s="59"/>
      <c r="BN95" s="59"/>
      <c r="BO95" s="59"/>
      <c r="BP95" s="59"/>
      <c r="BQ95" s="59"/>
      <c r="BR95" s="59"/>
      <c r="BS95" s="59"/>
      <c r="BT95" s="59"/>
      <c r="BU95" s="59"/>
      <c r="BV95" s="59"/>
      <c r="BW95" s="59"/>
      <c r="BX95" s="59"/>
      <c r="BY95" s="59"/>
      <c r="BZ95" s="59"/>
      <c r="CA95" s="59"/>
      <c r="CB95" s="59"/>
      <c r="CC95" s="59"/>
      <c r="CD95" s="59"/>
      <c r="CE95" s="59"/>
      <c r="CF95" s="59"/>
      <c r="CG95" s="59"/>
      <c r="CH95" s="59"/>
      <c r="CI95" s="59"/>
      <c r="CJ95" s="59"/>
      <c r="CK95" s="59"/>
      <c r="CL95" s="59"/>
      <c r="CM95" s="59"/>
      <c r="CN95" s="59"/>
      <c r="CO95" s="59"/>
      <c r="CP95" s="59"/>
      <c r="CQ95" s="59"/>
      <c r="CR95" s="59"/>
      <c r="CS95" s="59"/>
      <c r="CT95" s="59"/>
      <c r="CU95" s="59"/>
      <c r="CV95" s="59"/>
      <c r="CW95" s="59"/>
      <c r="CX95" s="59"/>
      <c r="CY95" s="59"/>
      <c r="CZ95" s="59"/>
      <c r="DA95" s="59"/>
      <c r="DB95" s="59"/>
      <c r="DC95" s="59"/>
      <c r="DD95" s="59"/>
      <c r="DE95" s="59"/>
      <c r="DF95" s="59"/>
      <c r="DG95" s="59"/>
      <c r="DH95" s="13"/>
    </row>
    <row r="96" spans="1:112" x14ac:dyDescent="0.25">
      <c r="A96" s="56"/>
      <c r="B96" s="56"/>
      <c r="C96" s="56"/>
      <c r="D96" s="56"/>
      <c r="E96" s="56"/>
      <c r="F96" s="56"/>
      <c r="G96" s="56"/>
      <c r="H96" s="56"/>
      <c r="I96" s="55"/>
      <c r="J96" s="7"/>
      <c r="K96" s="64" t="s">
        <v>537</v>
      </c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  <c r="BN96" s="59"/>
      <c r="BO96" s="59"/>
      <c r="BP96" s="59"/>
      <c r="BQ96" s="59"/>
      <c r="BR96" s="59"/>
      <c r="BS96" s="59"/>
      <c r="BT96" s="59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59"/>
      <c r="CG96" s="59"/>
      <c r="CH96" s="59"/>
      <c r="CI96" s="59"/>
      <c r="CJ96" s="59"/>
      <c r="CK96" s="59"/>
      <c r="CL96" s="59"/>
      <c r="CM96" s="59"/>
      <c r="CN96" s="59"/>
      <c r="CO96" s="59"/>
      <c r="CP96" s="59"/>
      <c r="CQ96" s="59"/>
      <c r="CR96" s="59"/>
      <c r="CS96" s="59"/>
      <c r="CT96" s="59"/>
      <c r="CU96" s="59"/>
      <c r="CV96" s="59"/>
      <c r="CW96" s="59"/>
      <c r="CX96" s="59"/>
      <c r="CY96" s="59"/>
      <c r="CZ96" s="59"/>
      <c r="DA96" s="59"/>
      <c r="DB96" s="59"/>
      <c r="DC96" s="59"/>
      <c r="DD96" s="59"/>
      <c r="DE96" s="59"/>
      <c r="DF96" s="59"/>
      <c r="DG96" s="59"/>
      <c r="DH96" s="13"/>
    </row>
    <row r="97" spans="1:112" x14ac:dyDescent="0.25">
      <c r="A97" s="56"/>
      <c r="B97" s="56"/>
      <c r="C97" s="56"/>
      <c r="D97" s="56"/>
      <c r="E97" s="56"/>
      <c r="F97" s="56"/>
      <c r="G97" s="56"/>
      <c r="H97" s="56"/>
      <c r="I97" s="55"/>
      <c r="J97" s="7"/>
      <c r="K97" s="64" t="s">
        <v>538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  <c r="BK97" s="59"/>
      <c r="BL97" s="59"/>
      <c r="BM97" s="59"/>
      <c r="BN97" s="59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  <c r="CG97" s="59"/>
      <c r="CH97" s="59"/>
      <c r="CI97" s="59"/>
      <c r="CJ97" s="59"/>
      <c r="CK97" s="59"/>
      <c r="CL97" s="59"/>
      <c r="CM97" s="59"/>
      <c r="CN97" s="59"/>
      <c r="CO97" s="59"/>
      <c r="CP97" s="59"/>
      <c r="CQ97" s="59"/>
      <c r="CR97" s="59"/>
      <c r="CS97" s="59"/>
      <c r="CT97" s="59"/>
      <c r="CU97" s="59"/>
      <c r="CV97" s="59"/>
      <c r="CW97" s="59"/>
      <c r="CX97" s="59"/>
      <c r="CY97" s="59"/>
      <c r="CZ97" s="59"/>
      <c r="DA97" s="59"/>
      <c r="DB97" s="59"/>
      <c r="DC97" s="59"/>
      <c r="DD97" s="59"/>
      <c r="DE97" s="59"/>
      <c r="DF97" s="59"/>
      <c r="DG97" s="59"/>
      <c r="DH97" s="13"/>
    </row>
    <row r="98" spans="1:112" x14ac:dyDescent="0.25">
      <c r="A98" s="56"/>
      <c r="B98" s="56"/>
      <c r="C98" s="56"/>
      <c r="D98" s="56"/>
      <c r="E98" s="56"/>
      <c r="F98" s="56"/>
      <c r="G98" s="56"/>
      <c r="H98" s="56"/>
      <c r="I98" s="55"/>
      <c r="J98" s="7"/>
      <c r="K98" s="64" t="s">
        <v>539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  <c r="BK98" s="59"/>
      <c r="BL98" s="59"/>
      <c r="BM98" s="59"/>
      <c r="BN98" s="59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  <c r="CG98" s="59"/>
      <c r="CH98" s="59"/>
      <c r="CI98" s="59"/>
      <c r="CJ98" s="59"/>
      <c r="CK98" s="59"/>
      <c r="CL98" s="59"/>
      <c r="CM98" s="59"/>
      <c r="CN98" s="59"/>
      <c r="CO98" s="59"/>
      <c r="CP98" s="59"/>
      <c r="CQ98" s="59"/>
      <c r="CR98" s="59"/>
      <c r="CS98" s="59"/>
      <c r="CT98" s="59"/>
      <c r="CU98" s="59"/>
      <c r="CV98" s="59"/>
      <c r="CW98" s="59"/>
      <c r="CX98" s="59"/>
      <c r="CY98" s="59"/>
      <c r="CZ98" s="59"/>
      <c r="DA98" s="59"/>
      <c r="DB98" s="59"/>
      <c r="DC98" s="59"/>
      <c r="DD98" s="59"/>
      <c r="DE98" s="59"/>
      <c r="DF98" s="59"/>
      <c r="DG98" s="59"/>
      <c r="DH98" s="13"/>
    </row>
    <row r="99" spans="1:112" x14ac:dyDescent="0.25">
      <c r="A99" s="56"/>
      <c r="B99" s="56"/>
      <c r="C99" s="56"/>
      <c r="D99" s="56"/>
      <c r="E99" s="56"/>
      <c r="F99" s="56"/>
      <c r="G99" s="56"/>
      <c r="H99" s="56"/>
      <c r="I99" s="55"/>
      <c r="J99" s="7"/>
      <c r="K99" s="64" t="s">
        <v>540</v>
      </c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  <c r="BK99" s="59"/>
      <c r="BL99" s="59"/>
      <c r="BM99" s="59"/>
      <c r="BN99" s="59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59"/>
      <c r="CL99" s="59"/>
      <c r="CM99" s="59"/>
      <c r="CN99" s="59"/>
      <c r="CO99" s="59"/>
      <c r="CP99" s="59"/>
      <c r="CQ99" s="59"/>
      <c r="CR99" s="59"/>
      <c r="CS99" s="59"/>
      <c r="CT99" s="59"/>
      <c r="CU99" s="59"/>
      <c r="CV99" s="59"/>
      <c r="CW99" s="59"/>
      <c r="CX99" s="59"/>
      <c r="CY99" s="59"/>
      <c r="CZ99" s="59"/>
      <c r="DA99" s="59"/>
      <c r="DB99" s="59"/>
      <c r="DC99" s="59"/>
      <c r="DD99" s="59"/>
      <c r="DE99" s="59"/>
      <c r="DF99" s="59"/>
      <c r="DG99" s="59"/>
      <c r="DH99" s="13"/>
    </row>
    <row r="100" spans="1:112" x14ac:dyDescent="0.25">
      <c r="A100" s="56"/>
      <c r="B100" s="56"/>
      <c r="C100" s="56"/>
      <c r="D100" s="56"/>
      <c r="E100" s="56"/>
      <c r="F100" s="56"/>
      <c r="G100" s="56"/>
      <c r="H100" s="56"/>
      <c r="I100" s="55"/>
      <c r="J100" s="7"/>
      <c r="K100" s="64" t="s">
        <v>541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59"/>
      <c r="CL100" s="59"/>
      <c r="CM100" s="59"/>
      <c r="CN100" s="59"/>
      <c r="CO100" s="59"/>
      <c r="CP100" s="59"/>
      <c r="CQ100" s="59"/>
      <c r="CR100" s="59"/>
      <c r="CS100" s="59"/>
      <c r="CT100" s="59"/>
      <c r="CU100" s="59"/>
      <c r="CV100" s="59"/>
      <c r="CW100" s="59"/>
      <c r="CX100" s="59"/>
      <c r="CY100" s="59"/>
      <c r="CZ100" s="59"/>
      <c r="DA100" s="59"/>
      <c r="DB100" s="59"/>
      <c r="DC100" s="59"/>
      <c r="DD100" s="59"/>
      <c r="DE100" s="59"/>
      <c r="DF100" s="59"/>
      <c r="DG100" s="59"/>
      <c r="DH100" s="13"/>
    </row>
    <row r="101" spans="1:112" x14ac:dyDescent="0.25">
      <c r="A101" s="56"/>
      <c r="B101" s="56"/>
      <c r="C101" s="56"/>
      <c r="D101" s="56"/>
      <c r="E101" s="56"/>
      <c r="F101" s="56"/>
      <c r="G101" s="56"/>
      <c r="H101" s="56"/>
      <c r="I101" s="55"/>
      <c r="J101" s="7"/>
      <c r="K101" s="64" t="s">
        <v>542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N101" s="59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59"/>
      <c r="CL101" s="59"/>
      <c r="CM101" s="59"/>
      <c r="CN101" s="59"/>
      <c r="CO101" s="59"/>
      <c r="CP101" s="59"/>
      <c r="CQ101" s="59"/>
      <c r="CR101" s="59"/>
      <c r="CS101" s="59"/>
      <c r="CT101" s="59"/>
      <c r="CU101" s="59"/>
      <c r="CV101" s="59"/>
      <c r="CW101" s="59"/>
      <c r="CX101" s="59"/>
      <c r="CY101" s="59"/>
      <c r="CZ101" s="59"/>
      <c r="DA101" s="59"/>
      <c r="DB101" s="59"/>
      <c r="DC101" s="59"/>
      <c r="DD101" s="59"/>
      <c r="DE101" s="59"/>
      <c r="DF101" s="59"/>
      <c r="DG101" s="59"/>
      <c r="DH101" s="13"/>
    </row>
    <row r="102" spans="1:112" x14ac:dyDescent="0.25">
      <c r="L102" s="15">
        <f t="shared" ref="L102:AQ102" si="0">SUM(L2:L101)</f>
        <v>0</v>
      </c>
      <c r="M102" s="15">
        <f t="shared" si="0"/>
        <v>0</v>
      </c>
      <c r="N102" s="15">
        <f t="shared" si="0"/>
        <v>0</v>
      </c>
      <c r="O102" s="15">
        <f t="shared" si="0"/>
        <v>0</v>
      </c>
      <c r="P102" s="15">
        <f t="shared" si="0"/>
        <v>0</v>
      </c>
      <c r="Q102" s="15">
        <f t="shared" si="0"/>
        <v>0</v>
      </c>
      <c r="R102" s="15">
        <f t="shared" si="0"/>
        <v>0</v>
      </c>
      <c r="S102" s="15">
        <f t="shared" si="0"/>
        <v>0</v>
      </c>
      <c r="T102" s="15">
        <f t="shared" si="0"/>
        <v>0</v>
      </c>
      <c r="U102" s="15">
        <f t="shared" si="0"/>
        <v>0</v>
      </c>
      <c r="V102" s="15">
        <f t="shared" si="0"/>
        <v>0</v>
      </c>
      <c r="W102" s="15">
        <f t="shared" si="0"/>
        <v>0</v>
      </c>
      <c r="X102" s="15">
        <f t="shared" si="0"/>
        <v>0</v>
      </c>
      <c r="Y102" s="15">
        <f t="shared" si="0"/>
        <v>0</v>
      </c>
      <c r="Z102" s="15">
        <f t="shared" si="0"/>
        <v>0</v>
      </c>
      <c r="AA102" s="15">
        <f t="shared" si="0"/>
        <v>0</v>
      </c>
      <c r="AB102" s="15">
        <f t="shared" si="0"/>
        <v>0</v>
      </c>
      <c r="AC102" s="15">
        <f t="shared" si="0"/>
        <v>0</v>
      </c>
      <c r="AD102" s="15">
        <f t="shared" si="0"/>
        <v>0</v>
      </c>
      <c r="AE102" s="15">
        <f t="shared" si="0"/>
        <v>0</v>
      </c>
      <c r="AF102" s="15">
        <f t="shared" si="0"/>
        <v>0</v>
      </c>
      <c r="AG102" s="15">
        <f t="shared" si="0"/>
        <v>0</v>
      </c>
      <c r="AH102" s="15">
        <f t="shared" si="0"/>
        <v>0</v>
      </c>
      <c r="AI102" s="15">
        <f t="shared" si="0"/>
        <v>0</v>
      </c>
      <c r="AJ102" s="15">
        <f t="shared" si="0"/>
        <v>0</v>
      </c>
      <c r="AK102" s="15">
        <f t="shared" si="0"/>
        <v>0</v>
      </c>
      <c r="AL102" s="15">
        <f t="shared" si="0"/>
        <v>0</v>
      </c>
      <c r="AM102" s="15">
        <f t="shared" si="0"/>
        <v>0</v>
      </c>
      <c r="AN102" s="15">
        <f t="shared" si="0"/>
        <v>0</v>
      </c>
      <c r="AO102" s="15">
        <f t="shared" si="0"/>
        <v>0</v>
      </c>
      <c r="AP102" s="15">
        <f t="shared" si="0"/>
        <v>0</v>
      </c>
      <c r="AQ102" s="15">
        <f t="shared" si="0"/>
        <v>0</v>
      </c>
      <c r="AR102" s="15">
        <f t="shared" ref="AR102:BW102" si="1">SUM(AR2:AR101)</f>
        <v>0</v>
      </c>
      <c r="AS102" s="15">
        <f t="shared" si="1"/>
        <v>0</v>
      </c>
      <c r="AT102" s="15">
        <f t="shared" si="1"/>
        <v>0</v>
      </c>
      <c r="AU102" s="15">
        <f t="shared" si="1"/>
        <v>0</v>
      </c>
      <c r="AV102" s="15">
        <f t="shared" si="1"/>
        <v>0</v>
      </c>
      <c r="AW102" s="15">
        <f t="shared" si="1"/>
        <v>0</v>
      </c>
      <c r="AX102" s="15">
        <f t="shared" si="1"/>
        <v>0</v>
      </c>
      <c r="AY102" s="15">
        <f t="shared" si="1"/>
        <v>0</v>
      </c>
      <c r="AZ102" s="15">
        <f t="shared" si="1"/>
        <v>0</v>
      </c>
      <c r="BA102" s="15">
        <f t="shared" si="1"/>
        <v>0</v>
      </c>
      <c r="BB102" s="15">
        <f t="shared" si="1"/>
        <v>0</v>
      </c>
      <c r="BC102" s="15">
        <f t="shared" si="1"/>
        <v>0</v>
      </c>
      <c r="BD102" s="15">
        <f t="shared" si="1"/>
        <v>0</v>
      </c>
      <c r="BE102" s="15">
        <f t="shared" si="1"/>
        <v>0</v>
      </c>
      <c r="BF102" s="15">
        <f t="shared" si="1"/>
        <v>0</v>
      </c>
      <c r="BG102" s="15">
        <f t="shared" si="1"/>
        <v>0</v>
      </c>
      <c r="BH102" s="15">
        <f t="shared" si="1"/>
        <v>0</v>
      </c>
      <c r="BI102" s="15">
        <f t="shared" si="1"/>
        <v>0</v>
      </c>
      <c r="BJ102" s="15">
        <f t="shared" si="1"/>
        <v>0</v>
      </c>
      <c r="BK102" s="15">
        <f t="shared" si="1"/>
        <v>0</v>
      </c>
      <c r="BL102" s="15">
        <f t="shared" si="1"/>
        <v>0</v>
      </c>
      <c r="BM102" s="15">
        <f t="shared" si="1"/>
        <v>0</v>
      </c>
      <c r="BN102" s="15">
        <f t="shared" si="1"/>
        <v>0</v>
      </c>
      <c r="BO102" s="15">
        <f t="shared" si="1"/>
        <v>0</v>
      </c>
      <c r="BP102" s="15">
        <f t="shared" si="1"/>
        <v>0</v>
      </c>
      <c r="BQ102" s="15">
        <f t="shared" si="1"/>
        <v>0</v>
      </c>
      <c r="BR102" s="15">
        <f t="shared" si="1"/>
        <v>0</v>
      </c>
      <c r="BS102" s="15">
        <f t="shared" si="1"/>
        <v>0</v>
      </c>
      <c r="BT102" s="15">
        <f t="shared" si="1"/>
        <v>0</v>
      </c>
      <c r="BU102" s="15">
        <f t="shared" si="1"/>
        <v>0</v>
      </c>
      <c r="BV102" s="15">
        <f t="shared" si="1"/>
        <v>0</v>
      </c>
      <c r="BW102" s="15">
        <f t="shared" si="1"/>
        <v>0</v>
      </c>
      <c r="BX102" s="15">
        <f t="shared" ref="BX102:DC102" si="2">SUM(BX2:BX101)</f>
        <v>0</v>
      </c>
      <c r="BY102" s="15">
        <f t="shared" si="2"/>
        <v>0</v>
      </c>
      <c r="BZ102" s="15">
        <f t="shared" si="2"/>
        <v>0</v>
      </c>
      <c r="CA102" s="15">
        <f t="shared" si="2"/>
        <v>0</v>
      </c>
      <c r="CB102" s="15">
        <f t="shared" si="2"/>
        <v>0</v>
      </c>
      <c r="CC102" s="15">
        <f t="shared" si="2"/>
        <v>0</v>
      </c>
      <c r="CD102" s="15">
        <f t="shared" si="2"/>
        <v>0</v>
      </c>
      <c r="CE102" s="15">
        <f t="shared" si="2"/>
        <v>0</v>
      </c>
      <c r="CF102" s="15">
        <f t="shared" si="2"/>
        <v>0</v>
      </c>
      <c r="CG102" s="15">
        <f t="shared" si="2"/>
        <v>0</v>
      </c>
      <c r="CH102" s="15">
        <f t="shared" si="2"/>
        <v>0</v>
      </c>
      <c r="CI102" s="15">
        <f t="shared" si="2"/>
        <v>0</v>
      </c>
      <c r="CJ102" s="15">
        <f t="shared" si="2"/>
        <v>0</v>
      </c>
      <c r="CK102" s="15">
        <f t="shared" si="2"/>
        <v>0</v>
      </c>
      <c r="CL102" s="15">
        <f t="shared" si="2"/>
        <v>0</v>
      </c>
      <c r="CM102" s="15">
        <f t="shared" si="2"/>
        <v>0</v>
      </c>
      <c r="CN102" s="15">
        <f t="shared" si="2"/>
        <v>0</v>
      </c>
      <c r="CO102" s="15">
        <f t="shared" si="2"/>
        <v>0</v>
      </c>
      <c r="CP102" s="15">
        <f t="shared" si="2"/>
        <v>0</v>
      </c>
      <c r="CQ102" s="15">
        <f t="shared" si="2"/>
        <v>0</v>
      </c>
      <c r="CR102" s="15">
        <f t="shared" si="2"/>
        <v>0</v>
      </c>
      <c r="CS102" s="15">
        <f t="shared" si="2"/>
        <v>0</v>
      </c>
      <c r="CT102" s="15">
        <f t="shared" si="2"/>
        <v>0</v>
      </c>
      <c r="CU102" s="15">
        <f t="shared" si="2"/>
        <v>0</v>
      </c>
      <c r="CV102" s="15">
        <f t="shared" si="2"/>
        <v>0</v>
      </c>
      <c r="CW102" s="15">
        <f t="shared" si="2"/>
        <v>0</v>
      </c>
      <c r="CX102" s="15">
        <f t="shared" si="2"/>
        <v>0</v>
      </c>
      <c r="CY102" s="15">
        <f t="shared" si="2"/>
        <v>0</v>
      </c>
      <c r="CZ102" s="15">
        <f t="shared" si="2"/>
        <v>0</v>
      </c>
      <c r="DA102" s="15">
        <f t="shared" si="2"/>
        <v>0</v>
      </c>
      <c r="DB102" s="15">
        <f t="shared" si="2"/>
        <v>0</v>
      </c>
      <c r="DC102" s="15">
        <f t="shared" si="2"/>
        <v>0</v>
      </c>
      <c r="DD102" s="15">
        <f>SUM(DD2:DD101)</f>
        <v>0</v>
      </c>
      <c r="DE102" s="15">
        <f>SUM(DE2:DE101)</f>
        <v>0</v>
      </c>
      <c r="DF102" s="15">
        <f>SUM(DF2:DF101)</f>
        <v>0</v>
      </c>
      <c r="DG102" s="15">
        <f>SUM(DG2:DG101)</f>
        <v>0</v>
      </c>
      <c r="DH102" s="15"/>
    </row>
    <row r="103" spans="1:112" x14ac:dyDescent="0.25">
      <c r="L103" s="16">
        <f t="shared" ref="L103:AQ103" si="3">COUNTIF(L2:L101,"&gt;0")</f>
        <v>0</v>
      </c>
      <c r="M103" s="16">
        <f t="shared" si="3"/>
        <v>0</v>
      </c>
      <c r="N103" s="16">
        <f t="shared" si="3"/>
        <v>0</v>
      </c>
      <c r="O103" s="16">
        <f t="shared" si="3"/>
        <v>0</v>
      </c>
      <c r="P103" s="16">
        <f t="shared" si="3"/>
        <v>0</v>
      </c>
      <c r="Q103" s="16">
        <f t="shared" si="3"/>
        <v>0</v>
      </c>
      <c r="R103" s="16">
        <f t="shared" si="3"/>
        <v>0</v>
      </c>
      <c r="S103" s="16">
        <f t="shared" si="3"/>
        <v>0</v>
      </c>
      <c r="T103" s="16">
        <f t="shared" si="3"/>
        <v>0</v>
      </c>
      <c r="U103" s="16">
        <f t="shared" si="3"/>
        <v>0</v>
      </c>
      <c r="V103" s="16">
        <f t="shared" si="3"/>
        <v>0</v>
      </c>
      <c r="W103" s="16">
        <f t="shared" si="3"/>
        <v>0</v>
      </c>
      <c r="X103" s="16">
        <f t="shared" si="3"/>
        <v>0</v>
      </c>
      <c r="Y103" s="16">
        <f t="shared" si="3"/>
        <v>0</v>
      </c>
      <c r="Z103" s="16">
        <f t="shared" si="3"/>
        <v>0</v>
      </c>
      <c r="AA103" s="16">
        <f t="shared" si="3"/>
        <v>0</v>
      </c>
      <c r="AB103" s="16">
        <f t="shared" si="3"/>
        <v>0</v>
      </c>
      <c r="AC103" s="16">
        <f t="shared" si="3"/>
        <v>0</v>
      </c>
      <c r="AD103" s="16">
        <f t="shared" si="3"/>
        <v>0</v>
      </c>
      <c r="AE103" s="16">
        <f t="shared" si="3"/>
        <v>0</v>
      </c>
      <c r="AF103" s="16">
        <f t="shared" si="3"/>
        <v>0</v>
      </c>
      <c r="AG103" s="16">
        <f t="shared" si="3"/>
        <v>0</v>
      </c>
      <c r="AH103" s="16">
        <f t="shared" si="3"/>
        <v>0</v>
      </c>
      <c r="AI103" s="16">
        <f t="shared" si="3"/>
        <v>0</v>
      </c>
      <c r="AJ103" s="16">
        <f t="shared" si="3"/>
        <v>0</v>
      </c>
      <c r="AK103" s="16">
        <f t="shared" si="3"/>
        <v>0</v>
      </c>
      <c r="AL103" s="16">
        <f t="shared" si="3"/>
        <v>0</v>
      </c>
      <c r="AM103" s="16">
        <f t="shared" si="3"/>
        <v>0</v>
      </c>
      <c r="AN103" s="16">
        <f t="shared" si="3"/>
        <v>0</v>
      </c>
      <c r="AO103" s="16">
        <f t="shared" si="3"/>
        <v>0</v>
      </c>
      <c r="AP103" s="16">
        <f t="shared" si="3"/>
        <v>0</v>
      </c>
      <c r="AQ103" s="16">
        <f t="shared" si="3"/>
        <v>0</v>
      </c>
      <c r="AR103" s="16">
        <f t="shared" ref="AR103:BW103" si="4">COUNTIF(AR2:AR101,"&gt;0")</f>
        <v>0</v>
      </c>
      <c r="AS103" s="16">
        <f t="shared" si="4"/>
        <v>0</v>
      </c>
      <c r="AT103" s="16">
        <f t="shared" si="4"/>
        <v>0</v>
      </c>
      <c r="AU103" s="16">
        <f t="shared" si="4"/>
        <v>0</v>
      </c>
      <c r="AV103" s="16">
        <f t="shared" si="4"/>
        <v>0</v>
      </c>
      <c r="AW103" s="16">
        <f t="shared" si="4"/>
        <v>0</v>
      </c>
      <c r="AX103" s="16">
        <f t="shared" si="4"/>
        <v>0</v>
      </c>
      <c r="AY103" s="16">
        <f t="shared" si="4"/>
        <v>0</v>
      </c>
      <c r="AZ103" s="16">
        <f t="shared" si="4"/>
        <v>0</v>
      </c>
      <c r="BA103" s="16">
        <f t="shared" si="4"/>
        <v>0</v>
      </c>
      <c r="BB103" s="16">
        <f t="shared" si="4"/>
        <v>0</v>
      </c>
      <c r="BC103" s="16">
        <f t="shared" si="4"/>
        <v>0</v>
      </c>
      <c r="BD103" s="16">
        <f t="shared" si="4"/>
        <v>0</v>
      </c>
      <c r="BE103" s="16">
        <f t="shared" si="4"/>
        <v>0</v>
      </c>
      <c r="BF103" s="16">
        <f t="shared" si="4"/>
        <v>0</v>
      </c>
      <c r="BG103" s="16">
        <f t="shared" si="4"/>
        <v>0</v>
      </c>
      <c r="BH103" s="16">
        <f t="shared" si="4"/>
        <v>0</v>
      </c>
      <c r="BI103" s="16">
        <f t="shared" si="4"/>
        <v>0</v>
      </c>
      <c r="BJ103" s="16">
        <f t="shared" si="4"/>
        <v>0</v>
      </c>
      <c r="BK103" s="16">
        <f t="shared" si="4"/>
        <v>0</v>
      </c>
      <c r="BL103" s="16">
        <f t="shared" si="4"/>
        <v>0</v>
      </c>
      <c r="BM103" s="16">
        <f t="shared" si="4"/>
        <v>0</v>
      </c>
      <c r="BN103" s="16">
        <f t="shared" si="4"/>
        <v>0</v>
      </c>
      <c r="BO103" s="16">
        <f t="shared" si="4"/>
        <v>0</v>
      </c>
      <c r="BP103" s="16">
        <f t="shared" si="4"/>
        <v>0</v>
      </c>
      <c r="BQ103" s="16">
        <f t="shared" si="4"/>
        <v>0</v>
      </c>
      <c r="BR103" s="16">
        <f t="shared" si="4"/>
        <v>0</v>
      </c>
      <c r="BS103" s="16">
        <f t="shared" si="4"/>
        <v>0</v>
      </c>
      <c r="BT103" s="16">
        <f t="shared" si="4"/>
        <v>0</v>
      </c>
      <c r="BU103" s="16">
        <f t="shared" si="4"/>
        <v>0</v>
      </c>
      <c r="BV103" s="16">
        <f t="shared" si="4"/>
        <v>0</v>
      </c>
      <c r="BW103" s="16">
        <f t="shared" si="4"/>
        <v>0</v>
      </c>
      <c r="BX103" s="16">
        <f t="shared" ref="BX103:DG103" si="5">COUNTIF(BX2:BX101,"&gt;0")</f>
        <v>0</v>
      </c>
      <c r="BY103" s="16">
        <f t="shared" si="5"/>
        <v>0</v>
      </c>
      <c r="BZ103" s="16">
        <f t="shared" si="5"/>
        <v>0</v>
      </c>
      <c r="CA103" s="16">
        <f t="shared" si="5"/>
        <v>0</v>
      </c>
      <c r="CB103" s="16">
        <f t="shared" si="5"/>
        <v>0</v>
      </c>
      <c r="CC103" s="16">
        <f t="shared" si="5"/>
        <v>0</v>
      </c>
      <c r="CD103" s="16">
        <f t="shared" si="5"/>
        <v>0</v>
      </c>
      <c r="CE103" s="16">
        <f t="shared" si="5"/>
        <v>0</v>
      </c>
      <c r="CF103" s="16">
        <f t="shared" si="5"/>
        <v>0</v>
      </c>
      <c r="CG103" s="16">
        <f t="shared" si="5"/>
        <v>0</v>
      </c>
      <c r="CH103" s="16">
        <f t="shared" si="5"/>
        <v>0</v>
      </c>
      <c r="CI103" s="16">
        <f t="shared" si="5"/>
        <v>0</v>
      </c>
      <c r="CJ103" s="16">
        <f t="shared" si="5"/>
        <v>0</v>
      </c>
      <c r="CK103" s="16">
        <f t="shared" si="5"/>
        <v>0</v>
      </c>
      <c r="CL103" s="16">
        <f t="shared" si="5"/>
        <v>0</v>
      </c>
      <c r="CM103" s="16">
        <f t="shared" si="5"/>
        <v>0</v>
      </c>
      <c r="CN103" s="16">
        <f t="shared" si="5"/>
        <v>0</v>
      </c>
      <c r="CO103" s="16">
        <f t="shared" si="5"/>
        <v>0</v>
      </c>
      <c r="CP103" s="16">
        <f t="shared" si="5"/>
        <v>0</v>
      </c>
      <c r="CQ103" s="16">
        <f t="shared" si="5"/>
        <v>0</v>
      </c>
      <c r="CR103" s="16">
        <f t="shared" si="5"/>
        <v>0</v>
      </c>
      <c r="CS103" s="16">
        <f t="shared" si="5"/>
        <v>0</v>
      </c>
      <c r="CT103" s="16">
        <f t="shared" si="5"/>
        <v>0</v>
      </c>
      <c r="CU103" s="16">
        <f t="shared" si="5"/>
        <v>0</v>
      </c>
      <c r="CV103" s="16">
        <f t="shared" si="5"/>
        <v>0</v>
      </c>
      <c r="CW103" s="16">
        <f t="shared" si="5"/>
        <v>0</v>
      </c>
      <c r="CX103" s="16">
        <f t="shared" si="5"/>
        <v>0</v>
      </c>
      <c r="CY103" s="16">
        <f t="shared" si="5"/>
        <v>0</v>
      </c>
      <c r="CZ103" s="16">
        <f t="shared" si="5"/>
        <v>0</v>
      </c>
      <c r="DA103" s="16">
        <f t="shared" si="5"/>
        <v>0</v>
      </c>
      <c r="DB103" s="16">
        <f t="shared" si="5"/>
        <v>0</v>
      </c>
      <c r="DC103" s="16">
        <f t="shared" si="5"/>
        <v>0</v>
      </c>
      <c r="DD103" s="16">
        <f t="shared" si="5"/>
        <v>0</v>
      </c>
      <c r="DE103" s="16">
        <f t="shared" si="5"/>
        <v>0</v>
      </c>
      <c r="DF103" s="16">
        <f t="shared" si="5"/>
        <v>0</v>
      </c>
      <c r="DG103" s="16">
        <f t="shared" si="5"/>
        <v>0</v>
      </c>
      <c r="DH103" s="15">
        <f>COUNTIF(L103:DG103,"&gt;0")</f>
        <v>0</v>
      </c>
    </row>
  </sheetData>
  <sheetProtection algorithmName="SHA-512" hashValue="pEIiBh9MM46eTHNKe4wJ9fiknPmGkUGhxio29Qm+kniHlLzPakEdLli3V39iwwrh8t4BotKst9KOayZDyx6gVw==" saltValue="GIul/WDUCYU4SKztHiDBbg==" spinCount="100000" sheet="1" objects="1" scenarios="1"/>
  <dataConsolidate link="1"/>
  <conditionalFormatting sqref="L1:DG1">
    <cfRule type="cellIs" dxfId="12" priority="8" operator="equal">
      <formula>"Öğrenci"</formula>
    </cfRule>
  </conditionalFormatting>
  <conditionalFormatting sqref="A1:H1">
    <cfRule type="cellIs" dxfId="11" priority="7" operator="equal">
      <formula>"Öğrenci"</formula>
    </cfRule>
  </conditionalFormatting>
  <conditionalFormatting sqref="J2:J101">
    <cfRule type="cellIs" dxfId="10" priority="6" operator="equal">
      <formula>"Soru No"</formula>
    </cfRule>
  </conditionalFormatting>
  <conditionalFormatting sqref="K1">
    <cfRule type="cellIs" dxfId="9" priority="5" operator="equal">
      <formula>"Öğrenci"</formula>
    </cfRule>
  </conditionalFormatting>
  <conditionalFormatting sqref="K1">
    <cfRule type="cellIs" dxfId="8" priority="4" operator="equal">
      <formula>"Soru No"</formula>
    </cfRule>
  </conditionalFormatting>
  <conditionalFormatting sqref="K2:K101">
    <cfRule type="cellIs" dxfId="7" priority="3" operator="equal">
      <formula>"Soru No"</formula>
    </cfRule>
  </conditionalFormatting>
  <conditionalFormatting sqref="K2:K101">
    <cfRule type="expression" dxfId="6" priority="2">
      <formula>I2&lt;&gt;""</formula>
    </cfRule>
  </conditionalFormatting>
  <conditionalFormatting sqref="A2:K101">
    <cfRule type="expression" dxfId="5" priority="1">
      <formula>ROW()=CELL("sat")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12"/>
  <dimension ref="A1:DN606"/>
  <sheetViews>
    <sheetView showRowColHeaders="0" zoomScale="65" zoomScaleNormal="65" workbookViewId="0">
      <pane ySplit="1" topLeftCell="A507" activePane="bottomLeft" state="frozen"/>
      <selection activeCell="BG1" sqref="BG1"/>
      <selection pane="bottomLeft" activeCell="DN507" sqref="DN507"/>
    </sheetView>
  </sheetViews>
  <sheetFormatPr defaultRowHeight="12" x14ac:dyDescent="0.2"/>
  <cols>
    <col min="1" max="37" width="3.85546875" style="31" bestFit="1" customWidth="1"/>
    <col min="38" max="100" width="3.85546875" style="31" customWidth="1"/>
    <col min="101" max="101" width="6" style="31" bestFit="1" customWidth="1"/>
    <col min="102" max="102" width="4.140625" style="12" bestFit="1" customWidth="1"/>
    <col min="103" max="109" width="4" style="12" customWidth="1"/>
    <col min="110" max="110" width="3.85546875" style="24" customWidth="1"/>
    <col min="111" max="111" width="9.42578125" style="12" bestFit="1" customWidth="1"/>
    <col min="112" max="112" width="9.28515625" style="31" bestFit="1" customWidth="1"/>
    <col min="113" max="114" width="9.42578125" style="31" bestFit="1" customWidth="1"/>
    <col min="115" max="115" width="9.28515625" style="31" bestFit="1" customWidth="1"/>
    <col min="116" max="116" width="9.42578125" style="31" bestFit="1" customWidth="1"/>
    <col min="117" max="118" width="9.28515625" style="31" bestFit="1" customWidth="1"/>
    <col min="119" max="16384" width="9.140625" style="31"/>
  </cols>
  <sheetData>
    <row r="1" spans="1:118" ht="54.95" customHeight="1" thickBot="1" x14ac:dyDescent="0.25">
      <c r="A1" s="10" t="str">
        <f>'1.vize'!L1</f>
        <v>Öğrenci</v>
      </c>
      <c r="B1" s="10" t="str">
        <f>'1.vize'!M1</f>
        <v>Öğrenci</v>
      </c>
      <c r="C1" s="10" t="str">
        <f>'1.vize'!N1</f>
        <v>Öğrenci</v>
      </c>
      <c r="D1" s="10" t="str">
        <f>'1.vize'!O1</f>
        <v>Öğrenci</v>
      </c>
      <c r="E1" s="10" t="str">
        <f>'1.vize'!P1</f>
        <v>Öğrenci</v>
      </c>
      <c r="F1" s="10" t="str">
        <f>'1.vize'!Q1</f>
        <v>Öğrenci</v>
      </c>
      <c r="G1" s="10" t="str">
        <f>'1.vize'!R1</f>
        <v>Öğrenci</v>
      </c>
      <c r="H1" s="10" t="str">
        <f>'1.vize'!S1</f>
        <v>Öğrenci</v>
      </c>
      <c r="I1" s="10" t="str">
        <f>'1.vize'!T1</f>
        <v>Öğrenci</v>
      </c>
      <c r="J1" s="10" t="str">
        <f>'1.vize'!U1</f>
        <v>Öğrenci</v>
      </c>
      <c r="K1" s="10" t="str">
        <f>'1.vize'!V1</f>
        <v>Öğrenci</v>
      </c>
      <c r="L1" s="10" t="str">
        <f>'1.vize'!W1</f>
        <v>Öğrenci</v>
      </c>
      <c r="M1" s="10" t="str">
        <f>'1.vize'!X1</f>
        <v>Öğrenci</v>
      </c>
      <c r="N1" s="10" t="str">
        <f>'1.vize'!Y1</f>
        <v>Öğrenci</v>
      </c>
      <c r="O1" s="10" t="str">
        <f>'1.vize'!Z1</f>
        <v>Öğrenci</v>
      </c>
      <c r="P1" s="10" t="str">
        <f>'1.vize'!AA1</f>
        <v>Öğrenci</v>
      </c>
      <c r="Q1" s="10" t="str">
        <f>'1.vize'!AB1</f>
        <v>Öğrenci</v>
      </c>
      <c r="R1" s="10" t="str">
        <f>'1.vize'!AC1</f>
        <v>Öğrenci</v>
      </c>
      <c r="S1" s="10" t="str">
        <f>'1.vize'!AD1</f>
        <v>Öğrenci</v>
      </c>
      <c r="T1" s="10" t="str">
        <f>'1.vize'!AE1</f>
        <v>Öğrenci</v>
      </c>
      <c r="U1" s="10" t="str">
        <f>'1.vize'!AF1</f>
        <v>Öğrenci</v>
      </c>
      <c r="V1" s="10" t="str">
        <f>'1.vize'!AG1</f>
        <v>Öğrenci</v>
      </c>
      <c r="W1" s="10" t="str">
        <f>'1.vize'!AH1</f>
        <v>Öğrenci</v>
      </c>
      <c r="X1" s="10" t="str">
        <f>'1.vize'!AI1</f>
        <v>Öğrenci</v>
      </c>
      <c r="Y1" s="10" t="str">
        <f>'1.vize'!AJ1</f>
        <v>Öğrenci</v>
      </c>
      <c r="Z1" s="10" t="str">
        <f>'1.vize'!AK1</f>
        <v>Öğrenci</v>
      </c>
      <c r="AA1" s="10" t="str">
        <f>'1.vize'!AL1</f>
        <v>Öğrenci</v>
      </c>
      <c r="AB1" s="10" t="str">
        <f>'1.vize'!AM1</f>
        <v>Öğrenci</v>
      </c>
      <c r="AC1" s="10" t="str">
        <f>'1.vize'!AN1</f>
        <v>Öğrenci</v>
      </c>
      <c r="AD1" s="10" t="str">
        <f>'1.vize'!AO1</f>
        <v>Öğrenci</v>
      </c>
      <c r="AE1" s="10" t="str">
        <f>'1.vize'!AP1</f>
        <v>Öğrenci</v>
      </c>
      <c r="AF1" s="10" t="str">
        <f>'1.vize'!AQ1</f>
        <v>Öğrenci</v>
      </c>
      <c r="AG1" s="10" t="str">
        <f>'1.vize'!AR1</f>
        <v>Öğrenci</v>
      </c>
      <c r="AH1" s="10" t="str">
        <f>'1.vize'!AS1</f>
        <v>Öğrenci</v>
      </c>
      <c r="AI1" s="10" t="str">
        <f>'1.vize'!AT1</f>
        <v>Öğrenci</v>
      </c>
      <c r="AJ1" s="10" t="str">
        <f>'1.vize'!AU1</f>
        <v>Öğrenci</v>
      </c>
      <c r="AK1" s="10" t="str">
        <f>'1.vize'!AV1</f>
        <v>Öğrenci</v>
      </c>
      <c r="AL1" s="10" t="str">
        <f>'1.vize'!AW1</f>
        <v>Öğrenci</v>
      </c>
      <c r="AM1" s="10" t="str">
        <f>'1.vize'!AX1</f>
        <v>Öğrenci</v>
      </c>
      <c r="AN1" s="10" t="str">
        <f>'1.vize'!AY1</f>
        <v>Öğrenci</v>
      </c>
      <c r="AO1" s="10" t="str">
        <f>'1.vize'!AZ1</f>
        <v>Öğrenci</v>
      </c>
      <c r="AP1" s="10" t="str">
        <f>'1.vize'!BA1</f>
        <v>Öğrenci</v>
      </c>
      <c r="AQ1" s="10" t="str">
        <f>'1.vize'!BB1</f>
        <v>Öğrenci</v>
      </c>
      <c r="AR1" s="10" t="str">
        <f>'1.vize'!BC1</f>
        <v>Öğrenci</v>
      </c>
      <c r="AS1" s="10" t="str">
        <f>'1.vize'!BD1</f>
        <v>Öğrenci</v>
      </c>
      <c r="AT1" s="10" t="str">
        <f>'1.vize'!BE1</f>
        <v>Öğrenci</v>
      </c>
      <c r="AU1" s="10" t="str">
        <f>'1.vize'!BF1</f>
        <v>Öğrenci</v>
      </c>
      <c r="AV1" s="10" t="str">
        <f>'1.vize'!BG1</f>
        <v>Öğrenci</v>
      </c>
      <c r="AW1" s="10" t="str">
        <f>'1.vize'!BH1</f>
        <v>Öğrenci</v>
      </c>
      <c r="AX1" s="10" t="str">
        <f>'1.vize'!BI1</f>
        <v>Öğrenci</v>
      </c>
      <c r="AY1" s="10" t="str">
        <f>'1.vize'!BJ1</f>
        <v>Öğrenci</v>
      </c>
      <c r="AZ1" s="10" t="str">
        <f>'1.vize'!BK1</f>
        <v>Öğrenci</v>
      </c>
      <c r="BA1" s="10" t="str">
        <f>'1.vize'!BL1</f>
        <v>Öğrenci</v>
      </c>
      <c r="BB1" s="10" t="str">
        <f>'1.vize'!BM1</f>
        <v>Öğrenci</v>
      </c>
      <c r="BC1" s="10" t="str">
        <f>'1.vize'!BN1</f>
        <v>Öğrenci</v>
      </c>
      <c r="BD1" s="10" t="str">
        <f>'1.vize'!BO1</f>
        <v>Öğrenci</v>
      </c>
      <c r="BE1" s="10" t="str">
        <f>'1.vize'!BP1</f>
        <v>Öğrenci</v>
      </c>
      <c r="BF1" s="10" t="str">
        <f>'1.vize'!BQ1</f>
        <v>Öğrenci</v>
      </c>
      <c r="BG1" s="10" t="str">
        <f>'1.vize'!BR1</f>
        <v>Öğrenci</v>
      </c>
      <c r="BH1" s="10" t="str">
        <f>'1.vize'!BS1</f>
        <v>Öğrenci</v>
      </c>
      <c r="BI1" s="10" t="str">
        <f>'1.vize'!BT1</f>
        <v>Öğrenci</v>
      </c>
      <c r="BJ1" s="10" t="str">
        <f>'1.vize'!BU1</f>
        <v>Öğrenci</v>
      </c>
      <c r="BK1" s="10" t="str">
        <f>'1.vize'!BV1</f>
        <v>Öğrenci</v>
      </c>
      <c r="BL1" s="10" t="str">
        <f>'1.vize'!BW1</f>
        <v>Öğrenci</v>
      </c>
      <c r="BM1" s="10" t="str">
        <f>'1.vize'!BX1</f>
        <v>Öğrenci</v>
      </c>
      <c r="BN1" s="10" t="str">
        <f>'1.vize'!BY1</f>
        <v>Öğrenci</v>
      </c>
      <c r="BO1" s="10" t="str">
        <f>'1.vize'!BZ1</f>
        <v>Öğrenci</v>
      </c>
      <c r="BP1" s="10" t="str">
        <f>'1.vize'!CA1</f>
        <v>Öğrenci</v>
      </c>
      <c r="BQ1" s="10" t="str">
        <f>'1.vize'!CB1</f>
        <v>Öğrenci</v>
      </c>
      <c r="BR1" s="10" t="str">
        <f>'1.vize'!CC1</f>
        <v>Öğrenci</v>
      </c>
      <c r="BS1" s="10" t="str">
        <f>'1.vize'!CD1</f>
        <v>Öğrenci</v>
      </c>
      <c r="BT1" s="10" t="str">
        <f>'1.vize'!CE1</f>
        <v>Öğrenci</v>
      </c>
      <c r="BU1" s="10" t="str">
        <f>'1.vize'!CF1</f>
        <v>Öğrenci</v>
      </c>
      <c r="BV1" s="10" t="str">
        <f>'1.vize'!CG1</f>
        <v>Öğrenci</v>
      </c>
      <c r="BW1" s="10" t="str">
        <f>'1.vize'!CH1</f>
        <v>Öğrenci</v>
      </c>
      <c r="BX1" s="10" t="str">
        <f>'1.vize'!CI1</f>
        <v>Öğrenci</v>
      </c>
      <c r="BY1" s="10" t="str">
        <f>'1.vize'!CJ1</f>
        <v>Öğrenci</v>
      </c>
      <c r="BZ1" s="10" t="str">
        <f>'1.vize'!CK1</f>
        <v>Öğrenci</v>
      </c>
      <c r="CA1" s="10" t="str">
        <f>'1.vize'!CL1</f>
        <v>Öğrenci</v>
      </c>
      <c r="CB1" s="10" t="str">
        <f>'1.vize'!CM1</f>
        <v>Öğrenci</v>
      </c>
      <c r="CC1" s="10" t="str">
        <f>'1.vize'!CN1</f>
        <v>Öğrenci</v>
      </c>
      <c r="CD1" s="10" t="str">
        <f>'1.vize'!CO1</f>
        <v>Öğrenci</v>
      </c>
      <c r="CE1" s="10" t="str">
        <f>'1.vize'!CP1</f>
        <v>Öğrenci</v>
      </c>
      <c r="CF1" s="10" t="str">
        <f>'1.vize'!CQ1</f>
        <v>Öğrenci</v>
      </c>
      <c r="CG1" s="10" t="str">
        <f>'1.vize'!CR1</f>
        <v>Öğrenci</v>
      </c>
      <c r="CH1" s="10" t="str">
        <f>'1.vize'!CS1</f>
        <v>Öğrenci</v>
      </c>
      <c r="CI1" s="10" t="str">
        <f>'1.vize'!CT1</f>
        <v>Öğrenci</v>
      </c>
      <c r="CJ1" s="10" t="str">
        <f>'1.vize'!CU1</f>
        <v>Öğrenci</v>
      </c>
      <c r="CK1" s="10" t="str">
        <f>'1.vize'!CV1</f>
        <v>Öğrenci</v>
      </c>
      <c r="CL1" s="10" t="str">
        <f>'1.vize'!CW1</f>
        <v>Öğrenci</v>
      </c>
      <c r="CM1" s="10" t="str">
        <f>'1.vize'!CX1</f>
        <v>Öğrenci</v>
      </c>
      <c r="CN1" s="10" t="str">
        <f>'1.vize'!CY1</f>
        <v>Öğrenci</v>
      </c>
      <c r="CO1" s="10" t="str">
        <f>'1.vize'!CZ1</f>
        <v>Öğrenci</v>
      </c>
      <c r="CP1" s="10" t="str">
        <f>'1.vize'!DA1</f>
        <v>Öğrenci</v>
      </c>
      <c r="CQ1" s="10" t="str">
        <f>'1.vize'!DB1</f>
        <v>Öğrenci</v>
      </c>
      <c r="CR1" s="10" t="str">
        <f>'1.vize'!DC1</f>
        <v>Öğrenci</v>
      </c>
      <c r="CS1" s="10" t="str">
        <f>'1.vize'!DD1</f>
        <v>Öğrenci</v>
      </c>
      <c r="CT1" s="10" t="str">
        <f>'1.vize'!DE1</f>
        <v>Öğrenci</v>
      </c>
      <c r="CU1" s="10" t="str">
        <f>'1.vize'!DF1</f>
        <v>Öğrenci</v>
      </c>
      <c r="CV1" s="10" t="str">
        <f>'1.vize'!DG1</f>
        <v>Öğrenci</v>
      </c>
      <c r="CW1" s="41" t="s">
        <v>112</v>
      </c>
      <c r="CX1" s="6" t="s">
        <v>122</v>
      </c>
      <c r="CY1" s="6" t="s">
        <v>123</v>
      </c>
      <c r="CZ1" s="6" t="s">
        <v>124</v>
      </c>
      <c r="DA1" s="6" t="s">
        <v>125</v>
      </c>
      <c r="DB1" s="6" t="s">
        <v>126</v>
      </c>
      <c r="DC1" s="6" t="s">
        <v>127</v>
      </c>
      <c r="DD1" s="6" t="s">
        <v>128</v>
      </c>
      <c r="DE1" s="6" t="s">
        <v>129</v>
      </c>
      <c r="DF1" s="29"/>
      <c r="DG1" s="30" t="str">
        <f t="shared" ref="DG1:DN1" si="0">IFERROR(AVERAGE(DG2:DG606),"-")</f>
        <v>-</v>
      </c>
      <c r="DH1" s="30" t="str">
        <f t="shared" si="0"/>
        <v>-</v>
      </c>
      <c r="DI1" s="30" t="str">
        <f t="shared" si="0"/>
        <v>-</v>
      </c>
      <c r="DJ1" s="30" t="str">
        <f t="shared" si="0"/>
        <v>-</v>
      </c>
      <c r="DK1" s="30" t="str">
        <f t="shared" si="0"/>
        <v>-</v>
      </c>
      <c r="DL1" s="30" t="str">
        <f t="shared" si="0"/>
        <v>-</v>
      </c>
      <c r="DM1" s="30" t="str">
        <f t="shared" si="0"/>
        <v>-</v>
      </c>
      <c r="DN1" s="30" t="str">
        <f t="shared" si="0"/>
        <v>-</v>
      </c>
    </row>
    <row r="2" spans="1:118" x14ac:dyDescent="0.2">
      <c r="A2" s="38" t="str">
        <f>IFERROR('1.vize'!L2*100/'1.vize'!$I2,"")</f>
        <v/>
      </c>
      <c r="B2" s="38" t="str">
        <f>IFERROR('1.vize'!M2*100/'1.vize'!$I2,"")</f>
        <v/>
      </c>
      <c r="C2" s="38" t="str">
        <f>IFERROR('1.vize'!N2*100/'1.vize'!$I2,"")</f>
        <v/>
      </c>
      <c r="D2" s="38" t="str">
        <f>IFERROR('1.vize'!O2*100/'1.vize'!$I2,"")</f>
        <v/>
      </c>
      <c r="E2" s="38" t="str">
        <f>IFERROR('1.vize'!P2*100/'1.vize'!$I2,"")</f>
        <v/>
      </c>
      <c r="F2" s="38" t="str">
        <f>IFERROR('1.vize'!Q2*100/'1.vize'!$I2,"")</f>
        <v/>
      </c>
      <c r="G2" s="38" t="str">
        <f>IFERROR('1.vize'!R2*100/'1.vize'!$I2,"")</f>
        <v/>
      </c>
      <c r="H2" s="38" t="str">
        <f>IFERROR('1.vize'!S2*100/'1.vize'!$I2,"")</f>
        <v/>
      </c>
      <c r="I2" s="38" t="str">
        <f>IFERROR('1.vize'!T2*100/'1.vize'!$I2,"")</f>
        <v/>
      </c>
      <c r="J2" s="38" t="str">
        <f>IFERROR('1.vize'!U2*100/'1.vize'!$I2,"")</f>
        <v/>
      </c>
      <c r="K2" s="38" t="str">
        <f>IFERROR('1.vize'!V2*100/'1.vize'!$I2,"")</f>
        <v/>
      </c>
      <c r="L2" s="38" t="str">
        <f>IFERROR('1.vize'!W2*100/'1.vize'!$I2,"")</f>
        <v/>
      </c>
      <c r="M2" s="38" t="str">
        <f>IFERROR('1.vize'!X2*100/'1.vize'!$I2,"")</f>
        <v/>
      </c>
      <c r="N2" s="38" t="str">
        <f>IFERROR('1.vize'!Y2*100/'1.vize'!$I2,"")</f>
        <v/>
      </c>
      <c r="O2" s="38" t="str">
        <f>IFERROR('1.vize'!Z2*100/'1.vize'!$I2,"")</f>
        <v/>
      </c>
      <c r="P2" s="38" t="str">
        <f>IFERROR('1.vize'!AA2*100/'1.vize'!$I2,"")</f>
        <v/>
      </c>
      <c r="Q2" s="38" t="str">
        <f>IFERROR('1.vize'!AB2*100/'1.vize'!$I2,"")</f>
        <v/>
      </c>
      <c r="R2" s="38" t="str">
        <f>IFERROR('1.vize'!AC2*100/'1.vize'!$I2,"")</f>
        <v/>
      </c>
      <c r="S2" s="38" t="str">
        <f>IFERROR('1.vize'!AD2*100/'1.vize'!$I2,"")</f>
        <v/>
      </c>
      <c r="T2" s="38" t="str">
        <f>IFERROR('1.vize'!AE2*100/'1.vize'!$I2,"")</f>
        <v/>
      </c>
      <c r="U2" s="38" t="str">
        <f>IFERROR('1.vize'!AF2*100/'1.vize'!$I2,"")</f>
        <v/>
      </c>
      <c r="V2" s="38" t="str">
        <f>IFERROR('1.vize'!AG2*100/'1.vize'!$I2,"")</f>
        <v/>
      </c>
      <c r="W2" s="38" t="str">
        <f>IFERROR('1.vize'!AH2*100/'1.vize'!$I2,"")</f>
        <v/>
      </c>
      <c r="X2" s="38" t="str">
        <f>IFERROR('1.vize'!AI2*100/'1.vize'!$I2,"")</f>
        <v/>
      </c>
      <c r="Y2" s="38" t="str">
        <f>IFERROR('1.vize'!AJ2*100/'1.vize'!$I2,"")</f>
        <v/>
      </c>
      <c r="Z2" s="38" t="str">
        <f>IFERROR('1.vize'!AK2*100/'1.vize'!$I2,"")</f>
        <v/>
      </c>
      <c r="AA2" s="38" t="str">
        <f>IFERROR('1.vize'!AL2*100/'1.vize'!$I2,"")</f>
        <v/>
      </c>
      <c r="AB2" s="38" t="str">
        <f>IFERROR('1.vize'!AM2*100/'1.vize'!$I2,"")</f>
        <v/>
      </c>
      <c r="AC2" s="38" t="str">
        <f>IFERROR('1.vize'!AN2*100/'1.vize'!$I2,"")</f>
        <v/>
      </c>
      <c r="AD2" s="38" t="str">
        <f>IFERROR('1.vize'!AO2*100/'1.vize'!$I2,"")</f>
        <v/>
      </c>
      <c r="AE2" s="38" t="str">
        <f>IFERROR('1.vize'!AP2*100/'1.vize'!$I2,"")</f>
        <v/>
      </c>
      <c r="AF2" s="38" t="str">
        <f>IFERROR('1.vize'!AQ2*100/'1.vize'!$I2,"")</f>
        <v/>
      </c>
      <c r="AG2" s="38" t="str">
        <f>IFERROR('1.vize'!AR2*100/'1.vize'!$I2,"")</f>
        <v/>
      </c>
      <c r="AH2" s="38" t="str">
        <f>IFERROR('1.vize'!AS2*100/'1.vize'!$I2,"")</f>
        <v/>
      </c>
      <c r="AI2" s="38" t="str">
        <f>IFERROR('1.vize'!AT2*100/'1.vize'!$I2,"")</f>
        <v/>
      </c>
      <c r="AJ2" s="38" t="str">
        <f>IFERROR('1.vize'!AU2*100/'1.vize'!$I2,"")</f>
        <v/>
      </c>
      <c r="AK2" s="38" t="str">
        <f>IFERROR('1.vize'!AV2*100/'1.vize'!$I2,"")</f>
        <v/>
      </c>
      <c r="AL2" s="38" t="str">
        <f>IFERROR('1.vize'!AW2*100/'1.vize'!$I2,"")</f>
        <v/>
      </c>
      <c r="AM2" s="38" t="str">
        <f>IFERROR('1.vize'!AX2*100/'1.vize'!$I2,"")</f>
        <v/>
      </c>
      <c r="AN2" s="38" t="str">
        <f>IFERROR('1.vize'!AY2*100/'1.vize'!$I2,"")</f>
        <v/>
      </c>
      <c r="AO2" s="38" t="str">
        <f>IFERROR('1.vize'!AZ2*100/'1.vize'!$I2,"")</f>
        <v/>
      </c>
      <c r="AP2" s="38" t="str">
        <f>IFERROR('1.vize'!BA2*100/'1.vize'!$I2,"")</f>
        <v/>
      </c>
      <c r="AQ2" s="38" t="str">
        <f>IFERROR('1.vize'!BB2*100/'1.vize'!$I2,"")</f>
        <v/>
      </c>
      <c r="AR2" s="38" t="str">
        <f>IFERROR('1.vize'!BC2*100/'1.vize'!$I2,"")</f>
        <v/>
      </c>
      <c r="AS2" s="38" t="str">
        <f>IFERROR('1.vize'!BD2*100/'1.vize'!$I2,"")</f>
        <v/>
      </c>
      <c r="AT2" s="38" t="str">
        <f>IFERROR('1.vize'!BE2*100/'1.vize'!$I2,"")</f>
        <v/>
      </c>
      <c r="AU2" s="38" t="str">
        <f>IFERROR('1.vize'!BF2*100/'1.vize'!$I2,"")</f>
        <v/>
      </c>
      <c r="AV2" s="38" t="str">
        <f>IFERROR('1.vize'!BG2*100/'1.vize'!$I2,"")</f>
        <v/>
      </c>
      <c r="AW2" s="38" t="str">
        <f>IFERROR('1.vize'!BH2*100/'1.vize'!$I2,"")</f>
        <v/>
      </c>
      <c r="AX2" s="38" t="str">
        <f>IFERROR('1.vize'!BI2*100/'1.vize'!$I2,"")</f>
        <v/>
      </c>
      <c r="AY2" s="38" t="str">
        <f>IFERROR('1.vize'!BJ2*100/'1.vize'!$I2,"")</f>
        <v/>
      </c>
      <c r="AZ2" s="38" t="str">
        <f>IFERROR('1.vize'!BK2*100/'1.vize'!$I2,"")</f>
        <v/>
      </c>
      <c r="BA2" s="38" t="str">
        <f>IFERROR('1.vize'!BL2*100/'1.vize'!$I2,"")</f>
        <v/>
      </c>
      <c r="BB2" s="38" t="str">
        <f>IFERROR('1.vize'!BM2*100/'1.vize'!$I2,"")</f>
        <v/>
      </c>
      <c r="BC2" s="38" t="str">
        <f>IFERROR('1.vize'!BN2*100/'1.vize'!$I2,"")</f>
        <v/>
      </c>
      <c r="BD2" s="38" t="str">
        <f>IFERROR('1.vize'!BO2*100/'1.vize'!$I2,"")</f>
        <v/>
      </c>
      <c r="BE2" s="38" t="str">
        <f>IFERROR('1.vize'!BP2*100/'1.vize'!$I2,"")</f>
        <v/>
      </c>
      <c r="BF2" s="38" t="str">
        <f>IFERROR('1.vize'!BQ2*100/'1.vize'!$I2,"")</f>
        <v/>
      </c>
      <c r="BG2" s="38" t="str">
        <f>IFERROR('1.vize'!BR2*100/'1.vize'!$I2,"")</f>
        <v/>
      </c>
      <c r="BH2" s="38" t="str">
        <f>IFERROR('1.vize'!BS2*100/'1.vize'!$I2,"")</f>
        <v/>
      </c>
      <c r="BI2" s="38" t="str">
        <f>IFERROR('1.vize'!BT2*100/'1.vize'!$I2,"")</f>
        <v/>
      </c>
      <c r="BJ2" s="38" t="str">
        <f>IFERROR('1.vize'!BU2*100/'1.vize'!$I2,"")</f>
        <v/>
      </c>
      <c r="BK2" s="38" t="str">
        <f>IFERROR('1.vize'!BV2*100/'1.vize'!$I2,"")</f>
        <v/>
      </c>
      <c r="BL2" s="38" t="str">
        <f>IFERROR('1.vize'!BW2*100/'1.vize'!$I2,"")</f>
        <v/>
      </c>
      <c r="BM2" s="38" t="str">
        <f>IFERROR('1.vize'!BX2*100/'1.vize'!$I2,"")</f>
        <v/>
      </c>
      <c r="BN2" s="38" t="str">
        <f>IFERROR('1.vize'!BY2*100/'1.vize'!$I2,"")</f>
        <v/>
      </c>
      <c r="BO2" s="38" t="str">
        <f>IFERROR('1.vize'!BZ2*100/'1.vize'!$I2,"")</f>
        <v/>
      </c>
      <c r="BP2" s="38" t="str">
        <f>IFERROR('1.vize'!CA2*100/'1.vize'!$I2,"")</f>
        <v/>
      </c>
      <c r="BQ2" s="38" t="str">
        <f>IFERROR('1.vize'!CB2*100/'1.vize'!$I2,"")</f>
        <v/>
      </c>
      <c r="BR2" s="38" t="str">
        <f>IFERROR('1.vize'!CC2*100/'1.vize'!$I2,"")</f>
        <v/>
      </c>
      <c r="BS2" s="38" t="str">
        <f>IFERROR('1.vize'!CD2*100/'1.vize'!$I2,"")</f>
        <v/>
      </c>
      <c r="BT2" s="38" t="str">
        <f>IFERROR('1.vize'!CE2*100/'1.vize'!$I2,"")</f>
        <v/>
      </c>
      <c r="BU2" s="38" t="str">
        <f>IFERROR('1.vize'!CF2*100/'1.vize'!$I2,"")</f>
        <v/>
      </c>
      <c r="BV2" s="38" t="str">
        <f>IFERROR('1.vize'!CG2*100/'1.vize'!$I2,"")</f>
        <v/>
      </c>
      <c r="BW2" s="38" t="str">
        <f>IFERROR('1.vize'!CH2*100/'1.vize'!$I2,"")</f>
        <v/>
      </c>
      <c r="BX2" s="38" t="str">
        <f>IFERROR('1.vize'!CI2*100/'1.vize'!$I2,"")</f>
        <v/>
      </c>
      <c r="BY2" s="38" t="str">
        <f>IFERROR('1.vize'!CJ2*100/'1.vize'!$I2,"")</f>
        <v/>
      </c>
      <c r="BZ2" s="38" t="str">
        <f>IFERROR('1.vize'!CK2*100/'1.vize'!$I2,"")</f>
        <v/>
      </c>
      <c r="CA2" s="38" t="str">
        <f>IFERROR('1.vize'!CL2*100/'1.vize'!$I2,"")</f>
        <v/>
      </c>
      <c r="CB2" s="38" t="str">
        <f>IFERROR('1.vize'!CM2*100/'1.vize'!$I2,"")</f>
        <v/>
      </c>
      <c r="CC2" s="38" t="str">
        <f>IFERROR('1.vize'!CN2*100/'1.vize'!$I2,"")</f>
        <v/>
      </c>
      <c r="CD2" s="38" t="str">
        <f>IFERROR('1.vize'!CO2*100/'1.vize'!$I2,"")</f>
        <v/>
      </c>
      <c r="CE2" s="38" t="str">
        <f>IFERROR('1.vize'!CP2*100/'1.vize'!$I2,"")</f>
        <v/>
      </c>
      <c r="CF2" s="38" t="str">
        <f>IFERROR('1.vize'!CQ2*100/'1.vize'!$I2,"")</f>
        <v/>
      </c>
      <c r="CG2" s="38" t="str">
        <f>IFERROR('1.vize'!CR2*100/'1.vize'!$I2,"")</f>
        <v/>
      </c>
      <c r="CH2" s="38" t="str">
        <f>IFERROR('1.vize'!CS2*100/'1.vize'!$I2,"")</f>
        <v/>
      </c>
      <c r="CI2" s="38" t="str">
        <f>IFERROR('1.vize'!CT2*100/'1.vize'!$I2,"")</f>
        <v/>
      </c>
      <c r="CJ2" s="38" t="str">
        <f>IFERROR('1.vize'!CU2*100/'1.vize'!$I2,"")</f>
        <v/>
      </c>
      <c r="CK2" s="38" t="str">
        <f>IFERROR('1.vize'!CV2*100/'1.vize'!$I2,"")</f>
        <v/>
      </c>
      <c r="CL2" s="38" t="str">
        <f>IFERROR('1.vize'!CW2*100/'1.vize'!$I2,"")</f>
        <v/>
      </c>
      <c r="CM2" s="38" t="str">
        <f>IFERROR('1.vize'!CX2*100/'1.vize'!$I2,"")</f>
        <v/>
      </c>
      <c r="CN2" s="38" t="str">
        <f>IFERROR('1.vize'!CY2*100/'1.vize'!$I2,"")</f>
        <v/>
      </c>
      <c r="CO2" s="38" t="str">
        <f>IFERROR('1.vize'!CZ2*100/'1.vize'!$I2,"")</f>
        <v/>
      </c>
      <c r="CP2" s="38" t="str">
        <f>IFERROR('1.vize'!DA2*100/'1.vize'!$I2,"")</f>
        <v/>
      </c>
      <c r="CQ2" s="38" t="str">
        <f>IFERROR('1.vize'!DB2*100/'1.vize'!$I2,"")</f>
        <v/>
      </c>
      <c r="CR2" s="38" t="str">
        <f>IFERROR('1.vize'!DC2*100/'1.vize'!$I2,"")</f>
        <v/>
      </c>
      <c r="CS2" s="38" t="str">
        <f>IFERROR('1.vize'!DD2*100/'1.vize'!$I2,"")</f>
        <v/>
      </c>
      <c r="CT2" s="38" t="str">
        <f>IFERROR('1.vize'!DE2*100/'1.vize'!$I2,"")</f>
        <v/>
      </c>
      <c r="CU2" s="38" t="str">
        <f>IFERROR('1.vize'!DF2*100/'1.vize'!$I2,"")</f>
        <v/>
      </c>
      <c r="CV2" s="38" t="str">
        <f>IFERROR('1.vize'!DG2*100/'1.vize'!$I2,"")</f>
        <v/>
      </c>
      <c r="CW2" s="32" t="str">
        <f>IFERROR(SUM(A2:CV2)/'1.vize'!$DH$103,"")</f>
        <v/>
      </c>
      <c r="CX2" s="14" t="str">
        <f>IF(COUNTA('1.vize'!A2),'1.vize'!A2,"")</f>
        <v/>
      </c>
      <c r="CY2" s="14" t="str">
        <f>IF(COUNTA('1.vize'!B2),'1.vize'!B2,"")</f>
        <v/>
      </c>
      <c r="CZ2" s="14" t="str">
        <f>IF(COUNTA('1.vize'!C2),'1.vize'!C2,"")</f>
        <v/>
      </c>
      <c r="DA2" s="14" t="str">
        <f>IF(COUNTA('1.vize'!D2),'1.vize'!D2,"")</f>
        <v/>
      </c>
      <c r="DB2" s="14" t="str">
        <f>IF(COUNTA('1.vize'!E2),'1.vize'!E2,"")</f>
        <v/>
      </c>
      <c r="DC2" s="14" t="str">
        <f>IF(COUNTA('1.vize'!F2),'1.vize'!F2,"")</f>
        <v/>
      </c>
      <c r="DD2" s="14" t="str">
        <f>IF(COUNTA('1.vize'!G2),'1.vize'!G2,"")</f>
        <v/>
      </c>
      <c r="DE2" s="14" t="str">
        <f>IF(COUNTA('1.vize'!H2),'1.vize'!H2,"")</f>
        <v/>
      </c>
      <c r="DF2" s="33"/>
      <c r="DG2" s="34" t="str">
        <f>IFERROR(AVERAGEIFS($CW$2:$CW$101,$CX$2:$CX$101,1),"")</f>
        <v/>
      </c>
      <c r="DH2" s="34" t="str">
        <f>IFERROR(AVERAGEIFS($CW$2:$CW$101,$CY$2:$CY$101,2),"")</f>
        <v/>
      </c>
      <c r="DI2" s="34" t="str">
        <f>IFERROR(AVERAGEIFS($CW$2:$CW$101,$CZ$2:$CZ$101,3),"")</f>
        <v/>
      </c>
      <c r="DJ2" s="34" t="str">
        <f>IFERROR(AVERAGEIFS($CW$2:$CW$101,$DA$2:$DA$101,4),"")</f>
        <v/>
      </c>
      <c r="DK2" s="34" t="str">
        <f>IFERROR(AVERAGEIFS($CW$2:$CW$101,$DB$2:$DB$101,5),"")</f>
        <v/>
      </c>
      <c r="DL2" s="34" t="str">
        <f>IFERROR(AVERAGEIFS($CW$2:$CW$101,$DC$2:$DC$101,6),"")</f>
        <v/>
      </c>
      <c r="DM2" s="34" t="str">
        <f>IFERROR(AVERAGEIFS($CW$2:$CW$101,$DD$2:$DD$101,7),"")</f>
        <v/>
      </c>
      <c r="DN2" s="34" t="str">
        <f>IFERROR(AVERAGEIFS($CW$2:$CW$101,$DE$2:$DE$101,8),"")</f>
        <v/>
      </c>
    </row>
    <row r="3" spans="1:118" x14ac:dyDescent="0.2">
      <c r="A3" s="38" t="str">
        <f>IFERROR('1.vize'!L3*100/'1.vize'!$I3,"")</f>
        <v/>
      </c>
      <c r="B3" s="38" t="str">
        <f>IFERROR('1.vize'!M3*100/'1.vize'!$I3,"")</f>
        <v/>
      </c>
      <c r="C3" s="38" t="str">
        <f>IFERROR('1.vize'!N3*100/'1.vize'!$I3,"")</f>
        <v/>
      </c>
      <c r="D3" s="38" t="str">
        <f>IFERROR('1.vize'!O3*100/'1.vize'!$I3,"")</f>
        <v/>
      </c>
      <c r="E3" s="38" t="str">
        <f>IFERROR('1.vize'!P3*100/'1.vize'!$I3,"")</f>
        <v/>
      </c>
      <c r="F3" s="38" t="str">
        <f>IFERROR('1.vize'!Q3*100/'1.vize'!$I3,"")</f>
        <v/>
      </c>
      <c r="G3" s="38" t="str">
        <f>IFERROR('1.vize'!R3*100/'1.vize'!$I3,"")</f>
        <v/>
      </c>
      <c r="H3" s="38" t="str">
        <f>IFERROR('1.vize'!S3*100/'1.vize'!$I3,"")</f>
        <v/>
      </c>
      <c r="I3" s="38" t="str">
        <f>IFERROR('1.vize'!T3*100/'1.vize'!$I3,"")</f>
        <v/>
      </c>
      <c r="J3" s="38" t="str">
        <f>IFERROR('1.vize'!U3*100/'1.vize'!$I3,"")</f>
        <v/>
      </c>
      <c r="K3" s="38" t="str">
        <f>IFERROR('1.vize'!V3*100/'1.vize'!$I3,"")</f>
        <v/>
      </c>
      <c r="L3" s="38" t="str">
        <f>IFERROR('1.vize'!W3*100/'1.vize'!$I3,"")</f>
        <v/>
      </c>
      <c r="M3" s="38" t="str">
        <f>IFERROR('1.vize'!X3*100/'1.vize'!$I3,"")</f>
        <v/>
      </c>
      <c r="N3" s="38" t="str">
        <f>IFERROR('1.vize'!Y3*100/'1.vize'!$I3,"")</f>
        <v/>
      </c>
      <c r="O3" s="38" t="str">
        <f>IFERROR('1.vize'!Z3*100/'1.vize'!$I3,"")</f>
        <v/>
      </c>
      <c r="P3" s="38" t="str">
        <f>IFERROR('1.vize'!AA3*100/'1.vize'!$I3,"")</f>
        <v/>
      </c>
      <c r="Q3" s="38" t="str">
        <f>IFERROR('1.vize'!AB3*100/'1.vize'!$I3,"")</f>
        <v/>
      </c>
      <c r="R3" s="38" t="str">
        <f>IFERROR('1.vize'!AC3*100/'1.vize'!$I3,"")</f>
        <v/>
      </c>
      <c r="S3" s="38" t="str">
        <f>IFERROR('1.vize'!AD3*100/'1.vize'!$I3,"")</f>
        <v/>
      </c>
      <c r="T3" s="38" t="str">
        <f>IFERROR('1.vize'!AE3*100/'1.vize'!$I3,"")</f>
        <v/>
      </c>
      <c r="U3" s="38" t="str">
        <f>IFERROR('1.vize'!AF3*100/'1.vize'!$I3,"")</f>
        <v/>
      </c>
      <c r="V3" s="38" t="str">
        <f>IFERROR('1.vize'!AG3*100/'1.vize'!$I3,"")</f>
        <v/>
      </c>
      <c r="W3" s="38" t="str">
        <f>IFERROR('1.vize'!AH3*100/'1.vize'!$I3,"")</f>
        <v/>
      </c>
      <c r="X3" s="38" t="str">
        <f>IFERROR('1.vize'!AI3*100/'1.vize'!$I3,"")</f>
        <v/>
      </c>
      <c r="Y3" s="38" t="str">
        <f>IFERROR('1.vize'!AJ3*100/'1.vize'!$I3,"")</f>
        <v/>
      </c>
      <c r="Z3" s="38" t="str">
        <f>IFERROR('1.vize'!AK3*100/'1.vize'!$I3,"")</f>
        <v/>
      </c>
      <c r="AA3" s="38" t="str">
        <f>IFERROR('1.vize'!AL3*100/'1.vize'!$I3,"")</f>
        <v/>
      </c>
      <c r="AB3" s="38" t="str">
        <f>IFERROR('1.vize'!AM3*100/'1.vize'!$I3,"")</f>
        <v/>
      </c>
      <c r="AC3" s="38" t="str">
        <f>IFERROR('1.vize'!AN3*100/'1.vize'!$I3,"")</f>
        <v/>
      </c>
      <c r="AD3" s="38" t="str">
        <f>IFERROR('1.vize'!AO3*100/'1.vize'!$I3,"")</f>
        <v/>
      </c>
      <c r="AE3" s="38" t="str">
        <f>IFERROR('1.vize'!AP3*100/'1.vize'!$I3,"")</f>
        <v/>
      </c>
      <c r="AF3" s="38" t="str">
        <f>IFERROR('1.vize'!AQ3*100/'1.vize'!$I3,"")</f>
        <v/>
      </c>
      <c r="AG3" s="38" t="str">
        <f>IFERROR('1.vize'!AR3*100/'1.vize'!$I3,"")</f>
        <v/>
      </c>
      <c r="AH3" s="38" t="str">
        <f>IFERROR('1.vize'!AS3*100/'1.vize'!$I3,"")</f>
        <v/>
      </c>
      <c r="AI3" s="38" t="str">
        <f>IFERROR('1.vize'!AT3*100/'1.vize'!$I3,"")</f>
        <v/>
      </c>
      <c r="AJ3" s="38" t="str">
        <f>IFERROR('1.vize'!AU3*100/'1.vize'!$I3,"")</f>
        <v/>
      </c>
      <c r="AK3" s="38" t="str">
        <f>IFERROR('1.vize'!AV3*100/'1.vize'!$I3,"")</f>
        <v/>
      </c>
      <c r="AL3" s="38" t="str">
        <f>IFERROR('1.vize'!AW3*100/'1.vize'!$I3,"")</f>
        <v/>
      </c>
      <c r="AM3" s="38" t="str">
        <f>IFERROR('1.vize'!AX3*100/'1.vize'!$I3,"")</f>
        <v/>
      </c>
      <c r="AN3" s="38" t="str">
        <f>IFERROR('1.vize'!AY3*100/'1.vize'!$I3,"")</f>
        <v/>
      </c>
      <c r="AO3" s="38" t="str">
        <f>IFERROR('1.vize'!AZ3*100/'1.vize'!$I3,"")</f>
        <v/>
      </c>
      <c r="AP3" s="38" t="str">
        <f>IFERROR('1.vize'!BA3*100/'1.vize'!$I3,"")</f>
        <v/>
      </c>
      <c r="AQ3" s="38" t="str">
        <f>IFERROR('1.vize'!BB3*100/'1.vize'!$I3,"")</f>
        <v/>
      </c>
      <c r="AR3" s="38" t="str">
        <f>IFERROR('1.vize'!BC3*100/'1.vize'!$I3,"")</f>
        <v/>
      </c>
      <c r="AS3" s="38" t="str">
        <f>IFERROR('1.vize'!BD3*100/'1.vize'!$I3,"")</f>
        <v/>
      </c>
      <c r="AT3" s="38" t="str">
        <f>IFERROR('1.vize'!BE3*100/'1.vize'!$I3,"")</f>
        <v/>
      </c>
      <c r="AU3" s="38" t="str">
        <f>IFERROR('1.vize'!BF3*100/'1.vize'!$I3,"")</f>
        <v/>
      </c>
      <c r="AV3" s="38" t="str">
        <f>IFERROR('1.vize'!BG3*100/'1.vize'!$I3,"")</f>
        <v/>
      </c>
      <c r="AW3" s="38" t="str">
        <f>IFERROR('1.vize'!BH3*100/'1.vize'!$I3,"")</f>
        <v/>
      </c>
      <c r="AX3" s="38" t="str">
        <f>IFERROR('1.vize'!BI3*100/'1.vize'!$I3,"")</f>
        <v/>
      </c>
      <c r="AY3" s="38" t="str">
        <f>IFERROR('1.vize'!BJ3*100/'1.vize'!$I3,"")</f>
        <v/>
      </c>
      <c r="AZ3" s="38" t="str">
        <f>IFERROR('1.vize'!BK3*100/'1.vize'!$I3,"")</f>
        <v/>
      </c>
      <c r="BA3" s="38" t="str">
        <f>IFERROR('1.vize'!BL3*100/'1.vize'!$I3,"")</f>
        <v/>
      </c>
      <c r="BB3" s="38" t="str">
        <f>IFERROR('1.vize'!BM3*100/'1.vize'!$I3,"")</f>
        <v/>
      </c>
      <c r="BC3" s="38" t="str">
        <f>IFERROR('1.vize'!BN3*100/'1.vize'!$I3,"")</f>
        <v/>
      </c>
      <c r="BD3" s="38" t="str">
        <f>IFERROR('1.vize'!BO3*100/'1.vize'!$I3,"")</f>
        <v/>
      </c>
      <c r="BE3" s="38" t="str">
        <f>IFERROR('1.vize'!BP3*100/'1.vize'!$I3,"")</f>
        <v/>
      </c>
      <c r="BF3" s="38" t="str">
        <f>IFERROR('1.vize'!BQ3*100/'1.vize'!$I3,"")</f>
        <v/>
      </c>
      <c r="BG3" s="38" t="str">
        <f>IFERROR('1.vize'!BR3*100/'1.vize'!$I3,"")</f>
        <v/>
      </c>
      <c r="BH3" s="38" t="str">
        <f>IFERROR('1.vize'!BS3*100/'1.vize'!$I3,"")</f>
        <v/>
      </c>
      <c r="BI3" s="38" t="str">
        <f>IFERROR('1.vize'!BT3*100/'1.vize'!$I3,"")</f>
        <v/>
      </c>
      <c r="BJ3" s="38" t="str">
        <f>IFERROR('1.vize'!BU3*100/'1.vize'!$I3,"")</f>
        <v/>
      </c>
      <c r="BK3" s="38" t="str">
        <f>IFERROR('1.vize'!BV3*100/'1.vize'!$I3,"")</f>
        <v/>
      </c>
      <c r="BL3" s="38" t="str">
        <f>IFERROR('1.vize'!BW3*100/'1.vize'!$I3,"")</f>
        <v/>
      </c>
      <c r="BM3" s="38" t="str">
        <f>IFERROR('1.vize'!BX3*100/'1.vize'!$I3,"")</f>
        <v/>
      </c>
      <c r="BN3" s="38" t="str">
        <f>IFERROR('1.vize'!BY3*100/'1.vize'!$I3,"")</f>
        <v/>
      </c>
      <c r="BO3" s="38" t="str">
        <f>IFERROR('1.vize'!BZ3*100/'1.vize'!$I3,"")</f>
        <v/>
      </c>
      <c r="BP3" s="38" t="str">
        <f>IFERROR('1.vize'!CA3*100/'1.vize'!$I3,"")</f>
        <v/>
      </c>
      <c r="BQ3" s="38" t="str">
        <f>IFERROR('1.vize'!CB3*100/'1.vize'!$I3,"")</f>
        <v/>
      </c>
      <c r="BR3" s="38" t="str">
        <f>IFERROR('1.vize'!CC3*100/'1.vize'!$I3,"")</f>
        <v/>
      </c>
      <c r="BS3" s="38" t="str">
        <f>IFERROR('1.vize'!CD3*100/'1.vize'!$I3,"")</f>
        <v/>
      </c>
      <c r="BT3" s="38" t="str">
        <f>IFERROR('1.vize'!CE3*100/'1.vize'!$I3,"")</f>
        <v/>
      </c>
      <c r="BU3" s="38" t="str">
        <f>IFERROR('1.vize'!CF3*100/'1.vize'!$I3,"")</f>
        <v/>
      </c>
      <c r="BV3" s="38" t="str">
        <f>IFERROR('1.vize'!CG3*100/'1.vize'!$I3,"")</f>
        <v/>
      </c>
      <c r="BW3" s="38" t="str">
        <f>IFERROR('1.vize'!CH3*100/'1.vize'!$I3,"")</f>
        <v/>
      </c>
      <c r="BX3" s="38" t="str">
        <f>IFERROR('1.vize'!CI3*100/'1.vize'!$I3,"")</f>
        <v/>
      </c>
      <c r="BY3" s="38" t="str">
        <f>IFERROR('1.vize'!CJ3*100/'1.vize'!$I3,"")</f>
        <v/>
      </c>
      <c r="BZ3" s="38" t="str">
        <f>IFERROR('1.vize'!CK3*100/'1.vize'!$I3,"")</f>
        <v/>
      </c>
      <c r="CA3" s="38" t="str">
        <f>IFERROR('1.vize'!CL3*100/'1.vize'!$I3,"")</f>
        <v/>
      </c>
      <c r="CB3" s="38" t="str">
        <f>IFERROR('1.vize'!CM3*100/'1.vize'!$I3,"")</f>
        <v/>
      </c>
      <c r="CC3" s="38" t="str">
        <f>IFERROR('1.vize'!CN3*100/'1.vize'!$I3,"")</f>
        <v/>
      </c>
      <c r="CD3" s="38" t="str">
        <f>IFERROR('1.vize'!CO3*100/'1.vize'!$I3,"")</f>
        <v/>
      </c>
      <c r="CE3" s="38" t="str">
        <f>IFERROR('1.vize'!CP3*100/'1.vize'!$I3,"")</f>
        <v/>
      </c>
      <c r="CF3" s="38" t="str">
        <f>IFERROR('1.vize'!CQ3*100/'1.vize'!$I3,"")</f>
        <v/>
      </c>
      <c r="CG3" s="38" t="str">
        <f>IFERROR('1.vize'!CR3*100/'1.vize'!$I3,"")</f>
        <v/>
      </c>
      <c r="CH3" s="38" t="str">
        <f>IFERROR('1.vize'!CS3*100/'1.vize'!$I3,"")</f>
        <v/>
      </c>
      <c r="CI3" s="38" t="str">
        <f>IFERROR('1.vize'!CT3*100/'1.vize'!$I3,"")</f>
        <v/>
      </c>
      <c r="CJ3" s="38" t="str">
        <f>IFERROR('1.vize'!CU3*100/'1.vize'!$I3,"")</f>
        <v/>
      </c>
      <c r="CK3" s="38" t="str">
        <f>IFERROR('1.vize'!CV3*100/'1.vize'!$I3,"")</f>
        <v/>
      </c>
      <c r="CL3" s="38" t="str">
        <f>IFERROR('1.vize'!CW3*100/'1.vize'!$I3,"")</f>
        <v/>
      </c>
      <c r="CM3" s="38" t="str">
        <f>IFERROR('1.vize'!CX3*100/'1.vize'!$I3,"")</f>
        <v/>
      </c>
      <c r="CN3" s="38" t="str">
        <f>IFERROR('1.vize'!CY3*100/'1.vize'!$I3,"")</f>
        <v/>
      </c>
      <c r="CO3" s="38" t="str">
        <f>IFERROR('1.vize'!CZ3*100/'1.vize'!$I3,"")</f>
        <v/>
      </c>
      <c r="CP3" s="38" t="str">
        <f>IFERROR('1.vize'!DA3*100/'1.vize'!$I3,"")</f>
        <v/>
      </c>
      <c r="CQ3" s="38" t="str">
        <f>IFERROR('1.vize'!DB3*100/'1.vize'!$I3,"")</f>
        <v/>
      </c>
      <c r="CR3" s="38" t="str">
        <f>IFERROR('1.vize'!DC3*100/'1.vize'!$I3,"")</f>
        <v/>
      </c>
      <c r="CS3" s="38" t="str">
        <f>IFERROR('1.vize'!DD3*100/'1.vize'!$I3,"")</f>
        <v/>
      </c>
      <c r="CT3" s="38" t="str">
        <f>IFERROR('1.vize'!DE3*100/'1.vize'!$I3,"")</f>
        <v/>
      </c>
      <c r="CU3" s="38" t="str">
        <f>IFERROR('1.vize'!DF3*100/'1.vize'!$I3,"")</f>
        <v/>
      </c>
      <c r="CV3" s="38" t="str">
        <f>IFERROR('1.vize'!DG3*100/'1.vize'!$I3,"")</f>
        <v/>
      </c>
      <c r="CW3" s="32" t="str">
        <f>IFERROR(SUM(A3:CV3)/'1.vize'!$DH$103,"")</f>
        <v/>
      </c>
      <c r="CX3" s="14" t="str">
        <f>IF(COUNTA('1.vize'!A3),'1.vize'!A3,"")</f>
        <v/>
      </c>
      <c r="CY3" s="14" t="str">
        <f>IF(COUNTA('1.vize'!B3),'1.vize'!B3,"")</f>
        <v/>
      </c>
      <c r="CZ3" s="14" t="str">
        <f>IF(COUNTA('1.vize'!C3),'1.vize'!C3,"")</f>
        <v/>
      </c>
      <c r="DA3" s="14" t="str">
        <f>IF(COUNTA('1.vize'!D3),'1.vize'!D3,"")</f>
        <v/>
      </c>
      <c r="DB3" s="14" t="str">
        <f>IF(COUNTA('1.vize'!E3),'1.vize'!E3,"")</f>
        <v/>
      </c>
      <c r="DC3" s="14" t="str">
        <f>IF(COUNTA('1.vize'!F3),'1.vize'!F3,"")</f>
        <v/>
      </c>
      <c r="DD3" s="14" t="str">
        <f>IF(COUNTA('1.vize'!G3),'1.vize'!G3,"")</f>
        <v/>
      </c>
      <c r="DE3" s="14" t="str">
        <f>IF(COUNTA('1.vize'!H3),'1.vize'!H3,"")</f>
        <v/>
      </c>
      <c r="DF3" s="33"/>
    </row>
    <row r="4" spans="1:118" x14ac:dyDescent="0.2">
      <c r="A4" s="38" t="str">
        <f>IFERROR('1.vize'!L4*100/'1.vize'!$I4,"")</f>
        <v/>
      </c>
      <c r="B4" s="38" t="str">
        <f>IFERROR('1.vize'!M4*100/'1.vize'!$I4,"")</f>
        <v/>
      </c>
      <c r="C4" s="38" t="str">
        <f>IFERROR('1.vize'!N4*100/'1.vize'!$I4,"")</f>
        <v/>
      </c>
      <c r="D4" s="38" t="str">
        <f>IFERROR('1.vize'!O4*100/'1.vize'!$I4,"")</f>
        <v/>
      </c>
      <c r="E4" s="38" t="str">
        <f>IFERROR('1.vize'!P4*100/'1.vize'!$I4,"")</f>
        <v/>
      </c>
      <c r="F4" s="38" t="str">
        <f>IFERROR('1.vize'!Q4*100/'1.vize'!$I4,"")</f>
        <v/>
      </c>
      <c r="G4" s="38" t="str">
        <f>IFERROR('1.vize'!R4*100/'1.vize'!$I4,"")</f>
        <v/>
      </c>
      <c r="H4" s="38" t="str">
        <f>IFERROR('1.vize'!S4*100/'1.vize'!$I4,"")</f>
        <v/>
      </c>
      <c r="I4" s="38" t="str">
        <f>IFERROR('1.vize'!T4*100/'1.vize'!$I4,"")</f>
        <v/>
      </c>
      <c r="J4" s="38" t="str">
        <f>IFERROR('1.vize'!U4*100/'1.vize'!$I4,"")</f>
        <v/>
      </c>
      <c r="K4" s="38" t="str">
        <f>IFERROR('1.vize'!V4*100/'1.vize'!$I4,"")</f>
        <v/>
      </c>
      <c r="L4" s="38" t="str">
        <f>IFERROR('1.vize'!W4*100/'1.vize'!$I4,"")</f>
        <v/>
      </c>
      <c r="M4" s="38" t="str">
        <f>IFERROR('1.vize'!X4*100/'1.vize'!$I4,"")</f>
        <v/>
      </c>
      <c r="N4" s="38" t="str">
        <f>IFERROR('1.vize'!Y4*100/'1.vize'!$I4,"")</f>
        <v/>
      </c>
      <c r="O4" s="38" t="str">
        <f>IFERROR('1.vize'!Z4*100/'1.vize'!$I4,"")</f>
        <v/>
      </c>
      <c r="P4" s="38" t="str">
        <f>IFERROR('1.vize'!AA4*100/'1.vize'!$I4,"")</f>
        <v/>
      </c>
      <c r="Q4" s="38" t="str">
        <f>IFERROR('1.vize'!AB4*100/'1.vize'!$I4,"")</f>
        <v/>
      </c>
      <c r="R4" s="38" t="str">
        <f>IFERROR('1.vize'!AC4*100/'1.vize'!$I4,"")</f>
        <v/>
      </c>
      <c r="S4" s="38" t="str">
        <f>IFERROR('1.vize'!AD4*100/'1.vize'!$I4,"")</f>
        <v/>
      </c>
      <c r="T4" s="38" t="str">
        <f>IFERROR('1.vize'!AE4*100/'1.vize'!$I4,"")</f>
        <v/>
      </c>
      <c r="U4" s="38" t="str">
        <f>IFERROR('1.vize'!AF4*100/'1.vize'!$I4,"")</f>
        <v/>
      </c>
      <c r="V4" s="38" t="str">
        <f>IFERROR('1.vize'!AG4*100/'1.vize'!$I4,"")</f>
        <v/>
      </c>
      <c r="W4" s="38" t="str">
        <f>IFERROR('1.vize'!AH4*100/'1.vize'!$I4,"")</f>
        <v/>
      </c>
      <c r="X4" s="38" t="str">
        <f>IFERROR('1.vize'!AI4*100/'1.vize'!$I4,"")</f>
        <v/>
      </c>
      <c r="Y4" s="38" t="str">
        <f>IFERROR('1.vize'!AJ4*100/'1.vize'!$I4,"")</f>
        <v/>
      </c>
      <c r="Z4" s="38" t="str">
        <f>IFERROR('1.vize'!AK4*100/'1.vize'!$I4,"")</f>
        <v/>
      </c>
      <c r="AA4" s="38" t="str">
        <f>IFERROR('1.vize'!AL4*100/'1.vize'!$I4,"")</f>
        <v/>
      </c>
      <c r="AB4" s="38" t="str">
        <f>IFERROR('1.vize'!AM4*100/'1.vize'!$I4,"")</f>
        <v/>
      </c>
      <c r="AC4" s="38" t="str">
        <f>IFERROR('1.vize'!AN4*100/'1.vize'!$I4,"")</f>
        <v/>
      </c>
      <c r="AD4" s="38" t="str">
        <f>IFERROR('1.vize'!AO4*100/'1.vize'!$I4,"")</f>
        <v/>
      </c>
      <c r="AE4" s="38" t="str">
        <f>IFERROR('1.vize'!AP4*100/'1.vize'!$I4,"")</f>
        <v/>
      </c>
      <c r="AF4" s="38" t="str">
        <f>IFERROR('1.vize'!AQ4*100/'1.vize'!$I4,"")</f>
        <v/>
      </c>
      <c r="AG4" s="38" t="str">
        <f>IFERROR('1.vize'!AR4*100/'1.vize'!$I4,"")</f>
        <v/>
      </c>
      <c r="AH4" s="38" t="str">
        <f>IFERROR('1.vize'!AS4*100/'1.vize'!$I4,"")</f>
        <v/>
      </c>
      <c r="AI4" s="38" t="str">
        <f>IFERROR('1.vize'!AT4*100/'1.vize'!$I4,"")</f>
        <v/>
      </c>
      <c r="AJ4" s="38" t="str">
        <f>IFERROR('1.vize'!AU4*100/'1.vize'!$I4,"")</f>
        <v/>
      </c>
      <c r="AK4" s="38" t="str">
        <f>IFERROR('1.vize'!AV4*100/'1.vize'!$I4,"")</f>
        <v/>
      </c>
      <c r="AL4" s="38" t="str">
        <f>IFERROR('1.vize'!AW4*100/'1.vize'!$I4,"")</f>
        <v/>
      </c>
      <c r="AM4" s="38" t="str">
        <f>IFERROR('1.vize'!AX4*100/'1.vize'!$I4,"")</f>
        <v/>
      </c>
      <c r="AN4" s="38" t="str">
        <f>IFERROR('1.vize'!AY4*100/'1.vize'!$I4,"")</f>
        <v/>
      </c>
      <c r="AO4" s="38" t="str">
        <f>IFERROR('1.vize'!AZ4*100/'1.vize'!$I4,"")</f>
        <v/>
      </c>
      <c r="AP4" s="38" t="str">
        <f>IFERROR('1.vize'!BA4*100/'1.vize'!$I4,"")</f>
        <v/>
      </c>
      <c r="AQ4" s="38" t="str">
        <f>IFERROR('1.vize'!BB4*100/'1.vize'!$I4,"")</f>
        <v/>
      </c>
      <c r="AR4" s="38" t="str">
        <f>IFERROR('1.vize'!BC4*100/'1.vize'!$I4,"")</f>
        <v/>
      </c>
      <c r="AS4" s="38" t="str">
        <f>IFERROR('1.vize'!BD4*100/'1.vize'!$I4,"")</f>
        <v/>
      </c>
      <c r="AT4" s="38" t="str">
        <f>IFERROR('1.vize'!BE4*100/'1.vize'!$I4,"")</f>
        <v/>
      </c>
      <c r="AU4" s="38" t="str">
        <f>IFERROR('1.vize'!BF4*100/'1.vize'!$I4,"")</f>
        <v/>
      </c>
      <c r="AV4" s="38" t="str">
        <f>IFERROR('1.vize'!BG4*100/'1.vize'!$I4,"")</f>
        <v/>
      </c>
      <c r="AW4" s="38" t="str">
        <f>IFERROR('1.vize'!BH4*100/'1.vize'!$I4,"")</f>
        <v/>
      </c>
      <c r="AX4" s="38" t="str">
        <f>IFERROR('1.vize'!BI4*100/'1.vize'!$I4,"")</f>
        <v/>
      </c>
      <c r="AY4" s="38" t="str">
        <f>IFERROR('1.vize'!BJ4*100/'1.vize'!$I4,"")</f>
        <v/>
      </c>
      <c r="AZ4" s="38" t="str">
        <f>IFERROR('1.vize'!BK4*100/'1.vize'!$I4,"")</f>
        <v/>
      </c>
      <c r="BA4" s="38" t="str">
        <f>IFERROR('1.vize'!BL4*100/'1.vize'!$I4,"")</f>
        <v/>
      </c>
      <c r="BB4" s="38" t="str">
        <f>IFERROR('1.vize'!BM4*100/'1.vize'!$I4,"")</f>
        <v/>
      </c>
      <c r="BC4" s="38" t="str">
        <f>IFERROR('1.vize'!BN4*100/'1.vize'!$I4,"")</f>
        <v/>
      </c>
      <c r="BD4" s="38" t="str">
        <f>IFERROR('1.vize'!BO4*100/'1.vize'!$I4,"")</f>
        <v/>
      </c>
      <c r="BE4" s="38" t="str">
        <f>IFERROR('1.vize'!BP4*100/'1.vize'!$I4,"")</f>
        <v/>
      </c>
      <c r="BF4" s="38" t="str">
        <f>IFERROR('1.vize'!BQ4*100/'1.vize'!$I4,"")</f>
        <v/>
      </c>
      <c r="BG4" s="38" t="str">
        <f>IFERROR('1.vize'!BR4*100/'1.vize'!$I4,"")</f>
        <v/>
      </c>
      <c r="BH4" s="38" t="str">
        <f>IFERROR('1.vize'!BS4*100/'1.vize'!$I4,"")</f>
        <v/>
      </c>
      <c r="BI4" s="38" t="str">
        <f>IFERROR('1.vize'!BT4*100/'1.vize'!$I4,"")</f>
        <v/>
      </c>
      <c r="BJ4" s="38" t="str">
        <f>IFERROR('1.vize'!BU4*100/'1.vize'!$I4,"")</f>
        <v/>
      </c>
      <c r="BK4" s="38" t="str">
        <f>IFERROR('1.vize'!BV4*100/'1.vize'!$I4,"")</f>
        <v/>
      </c>
      <c r="BL4" s="38" t="str">
        <f>IFERROR('1.vize'!BW4*100/'1.vize'!$I4,"")</f>
        <v/>
      </c>
      <c r="BM4" s="38" t="str">
        <f>IFERROR('1.vize'!BX4*100/'1.vize'!$I4,"")</f>
        <v/>
      </c>
      <c r="BN4" s="38" t="str">
        <f>IFERROR('1.vize'!BY4*100/'1.vize'!$I4,"")</f>
        <v/>
      </c>
      <c r="BO4" s="38" t="str">
        <f>IFERROR('1.vize'!BZ4*100/'1.vize'!$I4,"")</f>
        <v/>
      </c>
      <c r="BP4" s="38" t="str">
        <f>IFERROR('1.vize'!CA4*100/'1.vize'!$I4,"")</f>
        <v/>
      </c>
      <c r="BQ4" s="38" t="str">
        <f>IFERROR('1.vize'!CB4*100/'1.vize'!$I4,"")</f>
        <v/>
      </c>
      <c r="BR4" s="38" t="str">
        <f>IFERROR('1.vize'!CC4*100/'1.vize'!$I4,"")</f>
        <v/>
      </c>
      <c r="BS4" s="38" t="str">
        <f>IFERROR('1.vize'!CD4*100/'1.vize'!$I4,"")</f>
        <v/>
      </c>
      <c r="BT4" s="38" t="str">
        <f>IFERROR('1.vize'!CE4*100/'1.vize'!$I4,"")</f>
        <v/>
      </c>
      <c r="BU4" s="38" t="str">
        <f>IFERROR('1.vize'!CF4*100/'1.vize'!$I4,"")</f>
        <v/>
      </c>
      <c r="BV4" s="38" t="str">
        <f>IFERROR('1.vize'!CG4*100/'1.vize'!$I4,"")</f>
        <v/>
      </c>
      <c r="BW4" s="38" t="str">
        <f>IFERROR('1.vize'!CH4*100/'1.vize'!$I4,"")</f>
        <v/>
      </c>
      <c r="BX4" s="38" t="str">
        <f>IFERROR('1.vize'!CI4*100/'1.vize'!$I4,"")</f>
        <v/>
      </c>
      <c r="BY4" s="38" t="str">
        <f>IFERROR('1.vize'!CJ4*100/'1.vize'!$I4,"")</f>
        <v/>
      </c>
      <c r="BZ4" s="38" t="str">
        <f>IFERROR('1.vize'!CK4*100/'1.vize'!$I4,"")</f>
        <v/>
      </c>
      <c r="CA4" s="38" t="str">
        <f>IFERROR('1.vize'!CL4*100/'1.vize'!$I4,"")</f>
        <v/>
      </c>
      <c r="CB4" s="38" t="str">
        <f>IFERROR('1.vize'!CM4*100/'1.vize'!$I4,"")</f>
        <v/>
      </c>
      <c r="CC4" s="38" t="str">
        <f>IFERROR('1.vize'!CN4*100/'1.vize'!$I4,"")</f>
        <v/>
      </c>
      <c r="CD4" s="38" t="str">
        <f>IFERROR('1.vize'!CO4*100/'1.vize'!$I4,"")</f>
        <v/>
      </c>
      <c r="CE4" s="38" t="str">
        <f>IFERROR('1.vize'!CP4*100/'1.vize'!$I4,"")</f>
        <v/>
      </c>
      <c r="CF4" s="38" t="str">
        <f>IFERROR('1.vize'!CQ4*100/'1.vize'!$I4,"")</f>
        <v/>
      </c>
      <c r="CG4" s="38" t="str">
        <f>IFERROR('1.vize'!CR4*100/'1.vize'!$I4,"")</f>
        <v/>
      </c>
      <c r="CH4" s="38" t="str">
        <f>IFERROR('1.vize'!CS4*100/'1.vize'!$I4,"")</f>
        <v/>
      </c>
      <c r="CI4" s="38" t="str">
        <f>IFERROR('1.vize'!CT4*100/'1.vize'!$I4,"")</f>
        <v/>
      </c>
      <c r="CJ4" s="38" t="str">
        <f>IFERROR('1.vize'!CU4*100/'1.vize'!$I4,"")</f>
        <v/>
      </c>
      <c r="CK4" s="38" t="str">
        <f>IFERROR('1.vize'!CV4*100/'1.vize'!$I4,"")</f>
        <v/>
      </c>
      <c r="CL4" s="38" t="str">
        <f>IFERROR('1.vize'!CW4*100/'1.vize'!$I4,"")</f>
        <v/>
      </c>
      <c r="CM4" s="38" t="str">
        <f>IFERROR('1.vize'!CX4*100/'1.vize'!$I4,"")</f>
        <v/>
      </c>
      <c r="CN4" s="38" t="str">
        <f>IFERROR('1.vize'!CY4*100/'1.vize'!$I4,"")</f>
        <v/>
      </c>
      <c r="CO4" s="38" t="str">
        <f>IFERROR('1.vize'!CZ4*100/'1.vize'!$I4,"")</f>
        <v/>
      </c>
      <c r="CP4" s="38" t="str">
        <f>IFERROR('1.vize'!DA4*100/'1.vize'!$I4,"")</f>
        <v/>
      </c>
      <c r="CQ4" s="38" t="str">
        <f>IFERROR('1.vize'!DB4*100/'1.vize'!$I4,"")</f>
        <v/>
      </c>
      <c r="CR4" s="38" t="str">
        <f>IFERROR('1.vize'!DC4*100/'1.vize'!$I4,"")</f>
        <v/>
      </c>
      <c r="CS4" s="38" t="str">
        <f>IFERROR('1.vize'!DD4*100/'1.vize'!$I4,"")</f>
        <v/>
      </c>
      <c r="CT4" s="38" t="str">
        <f>IFERROR('1.vize'!DE4*100/'1.vize'!$I4,"")</f>
        <v/>
      </c>
      <c r="CU4" s="38" t="str">
        <f>IFERROR('1.vize'!DF4*100/'1.vize'!$I4,"")</f>
        <v/>
      </c>
      <c r="CV4" s="38" t="str">
        <f>IFERROR('1.vize'!DG4*100/'1.vize'!$I4,"")</f>
        <v/>
      </c>
      <c r="CW4" s="32" t="str">
        <f>IFERROR(SUM(A4:CV4)/'1.vize'!$DH$103,"")</f>
        <v/>
      </c>
      <c r="CX4" s="14" t="str">
        <f>IF(COUNTA('1.vize'!A4),'1.vize'!A4,"")</f>
        <v/>
      </c>
      <c r="CY4" s="14" t="str">
        <f>IF(COUNTA('1.vize'!B4),'1.vize'!B4,"")</f>
        <v/>
      </c>
      <c r="CZ4" s="14" t="str">
        <f>IF(COUNTA('1.vize'!C4),'1.vize'!C4,"")</f>
        <v/>
      </c>
      <c r="DA4" s="14" t="str">
        <f>IF(COUNTA('1.vize'!D4),'1.vize'!D4,"")</f>
        <v/>
      </c>
      <c r="DB4" s="14" t="str">
        <f>IF(COUNTA('1.vize'!E4),'1.vize'!E4,"")</f>
        <v/>
      </c>
      <c r="DC4" s="14" t="str">
        <f>IF(COUNTA('1.vize'!F4),'1.vize'!F4,"")</f>
        <v/>
      </c>
      <c r="DD4" s="14" t="str">
        <f>IF(COUNTA('1.vize'!G4),'1.vize'!G4,"")</f>
        <v/>
      </c>
      <c r="DE4" s="14" t="str">
        <f>IF(COUNTA('1.vize'!H4),'1.vize'!H4,"")</f>
        <v/>
      </c>
      <c r="DF4" s="33"/>
    </row>
    <row r="5" spans="1:118" x14ac:dyDescent="0.2">
      <c r="A5" s="38" t="str">
        <f>IFERROR('1.vize'!L5*100/'1.vize'!$I5,"")</f>
        <v/>
      </c>
      <c r="B5" s="38" t="str">
        <f>IFERROR('1.vize'!M5*100/'1.vize'!$I5,"")</f>
        <v/>
      </c>
      <c r="C5" s="38" t="str">
        <f>IFERROR('1.vize'!N5*100/'1.vize'!$I5,"")</f>
        <v/>
      </c>
      <c r="D5" s="38" t="str">
        <f>IFERROR('1.vize'!O5*100/'1.vize'!$I5,"")</f>
        <v/>
      </c>
      <c r="E5" s="38" t="str">
        <f>IFERROR('1.vize'!P5*100/'1.vize'!$I5,"")</f>
        <v/>
      </c>
      <c r="F5" s="38" t="str">
        <f>IFERROR('1.vize'!Q5*100/'1.vize'!$I5,"")</f>
        <v/>
      </c>
      <c r="G5" s="38" t="str">
        <f>IFERROR('1.vize'!R5*100/'1.vize'!$I5,"")</f>
        <v/>
      </c>
      <c r="H5" s="38" t="str">
        <f>IFERROR('1.vize'!S5*100/'1.vize'!$I5,"")</f>
        <v/>
      </c>
      <c r="I5" s="38" t="str">
        <f>IFERROR('1.vize'!T5*100/'1.vize'!$I5,"")</f>
        <v/>
      </c>
      <c r="J5" s="38" t="str">
        <f>IFERROR('1.vize'!U5*100/'1.vize'!$I5,"")</f>
        <v/>
      </c>
      <c r="K5" s="38" t="str">
        <f>IFERROR('1.vize'!V5*100/'1.vize'!$I5,"")</f>
        <v/>
      </c>
      <c r="L5" s="38" t="str">
        <f>IFERROR('1.vize'!W5*100/'1.vize'!$I5,"")</f>
        <v/>
      </c>
      <c r="M5" s="38" t="str">
        <f>IFERROR('1.vize'!X5*100/'1.vize'!$I5,"")</f>
        <v/>
      </c>
      <c r="N5" s="38" t="str">
        <f>IFERROR('1.vize'!Y5*100/'1.vize'!$I5,"")</f>
        <v/>
      </c>
      <c r="O5" s="38" t="str">
        <f>IFERROR('1.vize'!Z5*100/'1.vize'!$I5,"")</f>
        <v/>
      </c>
      <c r="P5" s="38" t="str">
        <f>IFERROR('1.vize'!AA5*100/'1.vize'!$I5,"")</f>
        <v/>
      </c>
      <c r="Q5" s="38" t="str">
        <f>IFERROR('1.vize'!AB5*100/'1.vize'!$I5,"")</f>
        <v/>
      </c>
      <c r="R5" s="38" t="str">
        <f>IFERROR('1.vize'!AC5*100/'1.vize'!$I5,"")</f>
        <v/>
      </c>
      <c r="S5" s="38" t="str">
        <f>IFERROR('1.vize'!AD5*100/'1.vize'!$I5,"")</f>
        <v/>
      </c>
      <c r="T5" s="38" t="str">
        <f>IFERROR('1.vize'!AE5*100/'1.vize'!$I5,"")</f>
        <v/>
      </c>
      <c r="U5" s="38" t="str">
        <f>IFERROR('1.vize'!AF5*100/'1.vize'!$I5,"")</f>
        <v/>
      </c>
      <c r="V5" s="38" t="str">
        <f>IFERROR('1.vize'!AG5*100/'1.vize'!$I5,"")</f>
        <v/>
      </c>
      <c r="W5" s="38" t="str">
        <f>IFERROR('1.vize'!AH5*100/'1.vize'!$I5,"")</f>
        <v/>
      </c>
      <c r="X5" s="38" t="str">
        <f>IFERROR('1.vize'!AI5*100/'1.vize'!$I5,"")</f>
        <v/>
      </c>
      <c r="Y5" s="38" t="str">
        <f>IFERROR('1.vize'!AJ5*100/'1.vize'!$I5,"")</f>
        <v/>
      </c>
      <c r="Z5" s="38" t="str">
        <f>IFERROR('1.vize'!AK5*100/'1.vize'!$I5,"")</f>
        <v/>
      </c>
      <c r="AA5" s="38" t="str">
        <f>IFERROR('1.vize'!AL5*100/'1.vize'!$I5,"")</f>
        <v/>
      </c>
      <c r="AB5" s="38" t="str">
        <f>IFERROR('1.vize'!AM5*100/'1.vize'!$I5,"")</f>
        <v/>
      </c>
      <c r="AC5" s="38" t="str">
        <f>IFERROR('1.vize'!AN5*100/'1.vize'!$I5,"")</f>
        <v/>
      </c>
      <c r="AD5" s="38" t="str">
        <f>IFERROR('1.vize'!AO5*100/'1.vize'!$I5,"")</f>
        <v/>
      </c>
      <c r="AE5" s="38" t="str">
        <f>IFERROR('1.vize'!AP5*100/'1.vize'!$I5,"")</f>
        <v/>
      </c>
      <c r="AF5" s="38" t="str">
        <f>IFERROR('1.vize'!AQ5*100/'1.vize'!$I5,"")</f>
        <v/>
      </c>
      <c r="AG5" s="38" t="str">
        <f>IFERROR('1.vize'!AR5*100/'1.vize'!$I5,"")</f>
        <v/>
      </c>
      <c r="AH5" s="38" t="str">
        <f>IFERROR('1.vize'!AS5*100/'1.vize'!$I5,"")</f>
        <v/>
      </c>
      <c r="AI5" s="38" t="str">
        <f>IFERROR('1.vize'!AT5*100/'1.vize'!$I5,"")</f>
        <v/>
      </c>
      <c r="AJ5" s="38" t="str">
        <f>IFERROR('1.vize'!AU5*100/'1.vize'!$I5,"")</f>
        <v/>
      </c>
      <c r="AK5" s="38" t="str">
        <f>IFERROR('1.vize'!AV5*100/'1.vize'!$I5,"")</f>
        <v/>
      </c>
      <c r="AL5" s="38" t="str">
        <f>IFERROR('1.vize'!AW5*100/'1.vize'!$I5,"")</f>
        <v/>
      </c>
      <c r="AM5" s="38" t="str">
        <f>IFERROR('1.vize'!AX5*100/'1.vize'!$I5,"")</f>
        <v/>
      </c>
      <c r="AN5" s="38" t="str">
        <f>IFERROR('1.vize'!AY5*100/'1.vize'!$I5,"")</f>
        <v/>
      </c>
      <c r="AO5" s="38" t="str">
        <f>IFERROR('1.vize'!AZ5*100/'1.vize'!$I5,"")</f>
        <v/>
      </c>
      <c r="AP5" s="38" t="str">
        <f>IFERROR('1.vize'!BA5*100/'1.vize'!$I5,"")</f>
        <v/>
      </c>
      <c r="AQ5" s="38" t="str">
        <f>IFERROR('1.vize'!BB5*100/'1.vize'!$I5,"")</f>
        <v/>
      </c>
      <c r="AR5" s="38" t="str">
        <f>IFERROR('1.vize'!BC5*100/'1.vize'!$I5,"")</f>
        <v/>
      </c>
      <c r="AS5" s="38" t="str">
        <f>IFERROR('1.vize'!BD5*100/'1.vize'!$I5,"")</f>
        <v/>
      </c>
      <c r="AT5" s="38" t="str">
        <f>IFERROR('1.vize'!BE5*100/'1.vize'!$I5,"")</f>
        <v/>
      </c>
      <c r="AU5" s="38" t="str">
        <f>IFERROR('1.vize'!BF5*100/'1.vize'!$I5,"")</f>
        <v/>
      </c>
      <c r="AV5" s="38" t="str">
        <f>IFERROR('1.vize'!BG5*100/'1.vize'!$I5,"")</f>
        <v/>
      </c>
      <c r="AW5" s="38" t="str">
        <f>IFERROR('1.vize'!BH5*100/'1.vize'!$I5,"")</f>
        <v/>
      </c>
      <c r="AX5" s="38" t="str">
        <f>IFERROR('1.vize'!BI5*100/'1.vize'!$I5,"")</f>
        <v/>
      </c>
      <c r="AY5" s="38" t="str">
        <f>IFERROR('1.vize'!BJ5*100/'1.vize'!$I5,"")</f>
        <v/>
      </c>
      <c r="AZ5" s="38" t="str">
        <f>IFERROR('1.vize'!BK5*100/'1.vize'!$I5,"")</f>
        <v/>
      </c>
      <c r="BA5" s="38" t="str">
        <f>IFERROR('1.vize'!BL5*100/'1.vize'!$I5,"")</f>
        <v/>
      </c>
      <c r="BB5" s="38" t="str">
        <f>IFERROR('1.vize'!BM5*100/'1.vize'!$I5,"")</f>
        <v/>
      </c>
      <c r="BC5" s="38" t="str">
        <f>IFERROR('1.vize'!BN5*100/'1.vize'!$I5,"")</f>
        <v/>
      </c>
      <c r="BD5" s="38" t="str">
        <f>IFERROR('1.vize'!BO5*100/'1.vize'!$I5,"")</f>
        <v/>
      </c>
      <c r="BE5" s="38" t="str">
        <f>IFERROR('1.vize'!BP5*100/'1.vize'!$I5,"")</f>
        <v/>
      </c>
      <c r="BF5" s="38" t="str">
        <f>IFERROR('1.vize'!BQ5*100/'1.vize'!$I5,"")</f>
        <v/>
      </c>
      <c r="BG5" s="38" t="str">
        <f>IFERROR('1.vize'!BR5*100/'1.vize'!$I5,"")</f>
        <v/>
      </c>
      <c r="BH5" s="38" t="str">
        <f>IFERROR('1.vize'!BS5*100/'1.vize'!$I5,"")</f>
        <v/>
      </c>
      <c r="BI5" s="38" t="str">
        <f>IFERROR('1.vize'!BT5*100/'1.vize'!$I5,"")</f>
        <v/>
      </c>
      <c r="BJ5" s="38" t="str">
        <f>IFERROR('1.vize'!BU5*100/'1.vize'!$I5,"")</f>
        <v/>
      </c>
      <c r="BK5" s="38" t="str">
        <f>IFERROR('1.vize'!BV5*100/'1.vize'!$I5,"")</f>
        <v/>
      </c>
      <c r="BL5" s="38" t="str">
        <f>IFERROR('1.vize'!BW5*100/'1.vize'!$I5,"")</f>
        <v/>
      </c>
      <c r="BM5" s="38" t="str">
        <f>IFERROR('1.vize'!BX5*100/'1.vize'!$I5,"")</f>
        <v/>
      </c>
      <c r="BN5" s="38" t="str">
        <f>IFERROR('1.vize'!BY5*100/'1.vize'!$I5,"")</f>
        <v/>
      </c>
      <c r="BO5" s="38" t="str">
        <f>IFERROR('1.vize'!BZ5*100/'1.vize'!$I5,"")</f>
        <v/>
      </c>
      <c r="BP5" s="38" t="str">
        <f>IFERROR('1.vize'!CA5*100/'1.vize'!$I5,"")</f>
        <v/>
      </c>
      <c r="BQ5" s="38" t="str">
        <f>IFERROR('1.vize'!CB5*100/'1.vize'!$I5,"")</f>
        <v/>
      </c>
      <c r="BR5" s="38" t="str">
        <f>IFERROR('1.vize'!CC5*100/'1.vize'!$I5,"")</f>
        <v/>
      </c>
      <c r="BS5" s="38" t="str">
        <f>IFERROR('1.vize'!CD5*100/'1.vize'!$I5,"")</f>
        <v/>
      </c>
      <c r="BT5" s="38" t="str">
        <f>IFERROR('1.vize'!CE5*100/'1.vize'!$I5,"")</f>
        <v/>
      </c>
      <c r="BU5" s="38" t="str">
        <f>IFERROR('1.vize'!CF5*100/'1.vize'!$I5,"")</f>
        <v/>
      </c>
      <c r="BV5" s="38" t="str">
        <f>IFERROR('1.vize'!CG5*100/'1.vize'!$I5,"")</f>
        <v/>
      </c>
      <c r="BW5" s="38" t="str">
        <f>IFERROR('1.vize'!CH5*100/'1.vize'!$I5,"")</f>
        <v/>
      </c>
      <c r="BX5" s="38" t="str">
        <f>IFERROR('1.vize'!CI5*100/'1.vize'!$I5,"")</f>
        <v/>
      </c>
      <c r="BY5" s="38" t="str">
        <f>IFERROR('1.vize'!CJ5*100/'1.vize'!$I5,"")</f>
        <v/>
      </c>
      <c r="BZ5" s="38" t="str">
        <f>IFERROR('1.vize'!CK5*100/'1.vize'!$I5,"")</f>
        <v/>
      </c>
      <c r="CA5" s="38" t="str">
        <f>IFERROR('1.vize'!CL5*100/'1.vize'!$I5,"")</f>
        <v/>
      </c>
      <c r="CB5" s="38" t="str">
        <f>IFERROR('1.vize'!CM5*100/'1.vize'!$I5,"")</f>
        <v/>
      </c>
      <c r="CC5" s="38" t="str">
        <f>IFERROR('1.vize'!CN5*100/'1.vize'!$I5,"")</f>
        <v/>
      </c>
      <c r="CD5" s="38" t="str">
        <f>IFERROR('1.vize'!CO5*100/'1.vize'!$I5,"")</f>
        <v/>
      </c>
      <c r="CE5" s="38" t="str">
        <f>IFERROR('1.vize'!CP5*100/'1.vize'!$I5,"")</f>
        <v/>
      </c>
      <c r="CF5" s="38" t="str">
        <f>IFERROR('1.vize'!CQ5*100/'1.vize'!$I5,"")</f>
        <v/>
      </c>
      <c r="CG5" s="38" t="str">
        <f>IFERROR('1.vize'!CR5*100/'1.vize'!$I5,"")</f>
        <v/>
      </c>
      <c r="CH5" s="38" t="str">
        <f>IFERROR('1.vize'!CS5*100/'1.vize'!$I5,"")</f>
        <v/>
      </c>
      <c r="CI5" s="38" t="str">
        <f>IFERROR('1.vize'!CT5*100/'1.vize'!$I5,"")</f>
        <v/>
      </c>
      <c r="CJ5" s="38" t="str">
        <f>IFERROR('1.vize'!CU5*100/'1.vize'!$I5,"")</f>
        <v/>
      </c>
      <c r="CK5" s="38" t="str">
        <f>IFERROR('1.vize'!CV5*100/'1.vize'!$I5,"")</f>
        <v/>
      </c>
      <c r="CL5" s="38" t="str">
        <f>IFERROR('1.vize'!CW5*100/'1.vize'!$I5,"")</f>
        <v/>
      </c>
      <c r="CM5" s="38" t="str">
        <f>IFERROR('1.vize'!CX5*100/'1.vize'!$I5,"")</f>
        <v/>
      </c>
      <c r="CN5" s="38" t="str">
        <f>IFERROR('1.vize'!CY5*100/'1.vize'!$I5,"")</f>
        <v/>
      </c>
      <c r="CO5" s="38" t="str">
        <f>IFERROR('1.vize'!CZ5*100/'1.vize'!$I5,"")</f>
        <v/>
      </c>
      <c r="CP5" s="38" t="str">
        <f>IFERROR('1.vize'!DA5*100/'1.vize'!$I5,"")</f>
        <v/>
      </c>
      <c r="CQ5" s="38" t="str">
        <f>IFERROR('1.vize'!DB5*100/'1.vize'!$I5,"")</f>
        <v/>
      </c>
      <c r="CR5" s="38" t="str">
        <f>IFERROR('1.vize'!DC5*100/'1.vize'!$I5,"")</f>
        <v/>
      </c>
      <c r="CS5" s="38" t="str">
        <f>IFERROR('1.vize'!DD5*100/'1.vize'!$I5,"")</f>
        <v/>
      </c>
      <c r="CT5" s="38" t="str">
        <f>IFERROR('1.vize'!DE5*100/'1.vize'!$I5,"")</f>
        <v/>
      </c>
      <c r="CU5" s="38" t="str">
        <f>IFERROR('1.vize'!DF5*100/'1.vize'!$I5,"")</f>
        <v/>
      </c>
      <c r="CV5" s="38" t="str">
        <f>IFERROR('1.vize'!DG5*100/'1.vize'!$I5,"")</f>
        <v/>
      </c>
      <c r="CW5" s="32" t="str">
        <f>IFERROR(SUM(A5:CV5)/'1.vize'!$DH$103,"")</f>
        <v/>
      </c>
      <c r="CX5" s="14" t="str">
        <f>IF(COUNTA('1.vize'!A5),'1.vize'!A5,"")</f>
        <v/>
      </c>
      <c r="CY5" s="14" t="str">
        <f>IF(COUNTA('1.vize'!B5),'1.vize'!B5,"")</f>
        <v/>
      </c>
      <c r="CZ5" s="14" t="str">
        <f>IF(COUNTA('1.vize'!C5),'1.vize'!C5,"")</f>
        <v/>
      </c>
      <c r="DA5" s="14" t="str">
        <f>IF(COUNTA('1.vize'!D5),'1.vize'!D5,"")</f>
        <v/>
      </c>
      <c r="DB5" s="14" t="str">
        <f>IF(COUNTA('1.vize'!E5),'1.vize'!E5,"")</f>
        <v/>
      </c>
      <c r="DC5" s="14" t="str">
        <f>IF(COUNTA('1.vize'!F5),'1.vize'!F5,"")</f>
        <v/>
      </c>
      <c r="DD5" s="14" t="str">
        <f>IF(COUNTA('1.vize'!G5),'1.vize'!G5,"")</f>
        <v/>
      </c>
      <c r="DE5" s="14" t="str">
        <f>IF(COUNTA('1.vize'!H5),'1.vize'!H5,"")</f>
        <v/>
      </c>
      <c r="DF5" s="33"/>
    </row>
    <row r="6" spans="1:118" x14ac:dyDescent="0.2">
      <c r="A6" s="38" t="str">
        <f>IFERROR('1.vize'!L6*100/'1.vize'!$I6,"")</f>
        <v/>
      </c>
      <c r="B6" s="38" t="str">
        <f>IFERROR('1.vize'!M6*100/'1.vize'!$I6,"")</f>
        <v/>
      </c>
      <c r="C6" s="38" t="str">
        <f>IFERROR('1.vize'!N6*100/'1.vize'!$I6,"")</f>
        <v/>
      </c>
      <c r="D6" s="38" t="str">
        <f>IFERROR('1.vize'!O6*100/'1.vize'!$I6,"")</f>
        <v/>
      </c>
      <c r="E6" s="38" t="str">
        <f>IFERROR('1.vize'!P6*100/'1.vize'!$I6,"")</f>
        <v/>
      </c>
      <c r="F6" s="38" t="str">
        <f>IFERROR('1.vize'!Q6*100/'1.vize'!$I6,"")</f>
        <v/>
      </c>
      <c r="G6" s="38" t="str">
        <f>IFERROR('1.vize'!R6*100/'1.vize'!$I6,"")</f>
        <v/>
      </c>
      <c r="H6" s="38" t="str">
        <f>IFERROR('1.vize'!S6*100/'1.vize'!$I6,"")</f>
        <v/>
      </c>
      <c r="I6" s="38" t="str">
        <f>IFERROR('1.vize'!T6*100/'1.vize'!$I6,"")</f>
        <v/>
      </c>
      <c r="J6" s="38" t="str">
        <f>IFERROR('1.vize'!U6*100/'1.vize'!$I6,"")</f>
        <v/>
      </c>
      <c r="K6" s="38" t="str">
        <f>IFERROR('1.vize'!V6*100/'1.vize'!$I6,"")</f>
        <v/>
      </c>
      <c r="L6" s="38" t="str">
        <f>IFERROR('1.vize'!W6*100/'1.vize'!$I6,"")</f>
        <v/>
      </c>
      <c r="M6" s="38" t="str">
        <f>IFERROR('1.vize'!X6*100/'1.vize'!$I6,"")</f>
        <v/>
      </c>
      <c r="N6" s="38" t="str">
        <f>IFERROR('1.vize'!Y6*100/'1.vize'!$I6,"")</f>
        <v/>
      </c>
      <c r="O6" s="38" t="str">
        <f>IFERROR('1.vize'!Z6*100/'1.vize'!$I6,"")</f>
        <v/>
      </c>
      <c r="P6" s="38" t="str">
        <f>IFERROR('1.vize'!AA6*100/'1.vize'!$I6,"")</f>
        <v/>
      </c>
      <c r="Q6" s="38" t="str">
        <f>IFERROR('1.vize'!AB6*100/'1.vize'!$I6,"")</f>
        <v/>
      </c>
      <c r="R6" s="38" t="str">
        <f>IFERROR('1.vize'!AC6*100/'1.vize'!$I6,"")</f>
        <v/>
      </c>
      <c r="S6" s="38" t="str">
        <f>IFERROR('1.vize'!AD6*100/'1.vize'!$I6,"")</f>
        <v/>
      </c>
      <c r="T6" s="38" t="str">
        <f>IFERROR('1.vize'!AE6*100/'1.vize'!$I6,"")</f>
        <v/>
      </c>
      <c r="U6" s="38" t="str">
        <f>IFERROR('1.vize'!AF6*100/'1.vize'!$I6,"")</f>
        <v/>
      </c>
      <c r="V6" s="38" t="str">
        <f>IFERROR('1.vize'!AG6*100/'1.vize'!$I6,"")</f>
        <v/>
      </c>
      <c r="W6" s="38" t="str">
        <f>IFERROR('1.vize'!AH6*100/'1.vize'!$I6,"")</f>
        <v/>
      </c>
      <c r="X6" s="38" t="str">
        <f>IFERROR('1.vize'!AI6*100/'1.vize'!$I6,"")</f>
        <v/>
      </c>
      <c r="Y6" s="38" t="str">
        <f>IFERROR('1.vize'!AJ6*100/'1.vize'!$I6,"")</f>
        <v/>
      </c>
      <c r="Z6" s="38" t="str">
        <f>IFERROR('1.vize'!AK6*100/'1.vize'!$I6,"")</f>
        <v/>
      </c>
      <c r="AA6" s="38" t="str">
        <f>IFERROR('1.vize'!AL6*100/'1.vize'!$I6,"")</f>
        <v/>
      </c>
      <c r="AB6" s="38" t="str">
        <f>IFERROR('1.vize'!AM6*100/'1.vize'!$I6,"")</f>
        <v/>
      </c>
      <c r="AC6" s="38" t="str">
        <f>IFERROR('1.vize'!AN6*100/'1.vize'!$I6,"")</f>
        <v/>
      </c>
      <c r="AD6" s="38" t="str">
        <f>IFERROR('1.vize'!AO6*100/'1.vize'!$I6,"")</f>
        <v/>
      </c>
      <c r="AE6" s="38" t="str">
        <f>IFERROR('1.vize'!AP6*100/'1.vize'!$I6,"")</f>
        <v/>
      </c>
      <c r="AF6" s="38" t="str">
        <f>IFERROR('1.vize'!AQ6*100/'1.vize'!$I6,"")</f>
        <v/>
      </c>
      <c r="AG6" s="38" t="str">
        <f>IFERROR('1.vize'!AR6*100/'1.vize'!$I6,"")</f>
        <v/>
      </c>
      <c r="AH6" s="38" t="str">
        <f>IFERROR('1.vize'!AS6*100/'1.vize'!$I6,"")</f>
        <v/>
      </c>
      <c r="AI6" s="38" t="str">
        <f>IFERROR('1.vize'!AT6*100/'1.vize'!$I6,"")</f>
        <v/>
      </c>
      <c r="AJ6" s="38" t="str">
        <f>IFERROR('1.vize'!AU6*100/'1.vize'!$I6,"")</f>
        <v/>
      </c>
      <c r="AK6" s="38" t="str">
        <f>IFERROR('1.vize'!AV6*100/'1.vize'!$I6,"")</f>
        <v/>
      </c>
      <c r="AL6" s="38" t="str">
        <f>IFERROR('1.vize'!AW6*100/'1.vize'!$I6,"")</f>
        <v/>
      </c>
      <c r="AM6" s="38" t="str">
        <f>IFERROR('1.vize'!AX6*100/'1.vize'!$I6,"")</f>
        <v/>
      </c>
      <c r="AN6" s="38" t="str">
        <f>IFERROR('1.vize'!AY6*100/'1.vize'!$I6,"")</f>
        <v/>
      </c>
      <c r="AO6" s="38" t="str">
        <f>IFERROR('1.vize'!AZ6*100/'1.vize'!$I6,"")</f>
        <v/>
      </c>
      <c r="AP6" s="38" t="str">
        <f>IFERROR('1.vize'!BA6*100/'1.vize'!$I6,"")</f>
        <v/>
      </c>
      <c r="AQ6" s="38" t="str">
        <f>IFERROR('1.vize'!BB6*100/'1.vize'!$I6,"")</f>
        <v/>
      </c>
      <c r="AR6" s="38" t="str">
        <f>IFERROR('1.vize'!BC6*100/'1.vize'!$I6,"")</f>
        <v/>
      </c>
      <c r="AS6" s="38" t="str">
        <f>IFERROR('1.vize'!BD6*100/'1.vize'!$I6,"")</f>
        <v/>
      </c>
      <c r="AT6" s="38" t="str">
        <f>IFERROR('1.vize'!BE6*100/'1.vize'!$I6,"")</f>
        <v/>
      </c>
      <c r="AU6" s="38" t="str">
        <f>IFERROR('1.vize'!BF6*100/'1.vize'!$I6,"")</f>
        <v/>
      </c>
      <c r="AV6" s="38" t="str">
        <f>IFERROR('1.vize'!BG6*100/'1.vize'!$I6,"")</f>
        <v/>
      </c>
      <c r="AW6" s="38" t="str">
        <f>IFERROR('1.vize'!BH6*100/'1.vize'!$I6,"")</f>
        <v/>
      </c>
      <c r="AX6" s="38" t="str">
        <f>IFERROR('1.vize'!BI6*100/'1.vize'!$I6,"")</f>
        <v/>
      </c>
      <c r="AY6" s="38" t="str">
        <f>IFERROR('1.vize'!BJ6*100/'1.vize'!$I6,"")</f>
        <v/>
      </c>
      <c r="AZ6" s="38" t="str">
        <f>IFERROR('1.vize'!BK6*100/'1.vize'!$I6,"")</f>
        <v/>
      </c>
      <c r="BA6" s="38" t="str">
        <f>IFERROR('1.vize'!BL6*100/'1.vize'!$I6,"")</f>
        <v/>
      </c>
      <c r="BB6" s="38" t="str">
        <f>IFERROR('1.vize'!BM6*100/'1.vize'!$I6,"")</f>
        <v/>
      </c>
      <c r="BC6" s="38" t="str">
        <f>IFERROR('1.vize'!BN6*100/'1.vize'!$I6,"")</f>
        <v/>
      </c>
      <c r="BD6" s="38" t="str">
        <f>IFERROR('1.vize'!BO6*100/'1.vize'!$I6,"")</f>
        <v/>
      </c>
      <c r="BE6" s="38" t="str">
        <f>IFERROR('1.vize'!BP6*100/'1.vize'!$I6,"")</f>
        <v/>
      </c>
      <c r="BF6" s="38" t="str">
        <f>IFERROR('1.vize'!BQ6*100/'1.vize'!$I6,"")</f>
        <v/>
      </c>
      <c r="BG6" s="38" t="str">
        <f>IFERROR('1.vize'!BR6*100/'1.vize'!$I6,"")</f>
        <v/>
      </c>
      <c r="BH6" s="38" t="str">
        <f>IFERROR('1.vize'!BS6*100/'1.vize'!$I6,"")</f>
        <v/>
      </c>
      <c r="BI6" s="38" t="str">
        <f>IFERROR('1.vize'!BT6*100/'1.vize'!$I6,"")</f>
        <v/>
      </c>
      <c r="BJ6" s="38" t="str">
        <f>IFERROR('1.vize'!BU6*100/'1.vize'!$I6,"")</f>
        <v/>
      </c>
      <c r="BK6" s="38" t="str">
        <f>IFERROR('1.vize'!BV6*100/'1.vize'!$I6,"")</f>
        <v/>
      </c>
      <c r="BL6" s="38" t="str">
        <f>IFERROR('1.vize'!BW6*100/'1.vize'!$I6,"")</f>
        <v/>
      </c>
      <c r="BM6" s="38" t="str">
        <f>IFERROR('1.vize'!BX6*100/'1.vize'!$I6,"")</f>
        <v/>
      </c>
      <c r="BN6" s="38" t="str">
        <f>IFERROR('1.vize'!BY6*100/'1.vize'!$I6,"")</f>
        <v/>
      </c>
      <c r="BO6" s="38" t="str">
        <f>IFERROR('1.vize'!BZ6*100/'1.vize'!$I6,"")</f>
        <v/>
      </c>
      <c r="BP6" s="38" t="str">
        <f>IFERROR('1.vize'!CA6*100/'1.vize'!$I6,"")</f>
        <v/>
      </c>
      <c r="BQ6" s="38" t="str">
        <f>IFERROR('1.vize'!CB6*100/'1.vize'!$I6,"")</f>
        <v/>
      </c>
      <c r="BR6" s="38" t="str">
        <f>IFERROR('1.vize'!CC6*100/'1.vize'!$I6,"")</f>
        <v/>
      </c>
      <c r="BS6" s="38" t="str">
        <f>IFERROR('1.vize'!CD6*100/'1.vize'!$I6,"")</f>
        <v/>
      </c>
      <c r="BT6" s="38" t="str">
        <f>IFERROR('1.vize'!CE6*100/'1.vize'!$I6,"")</f>
        <v/>
      </c>
      <c r="BU6" s="38" t="str">
        <f>IFERROR('1.vize'!CF6*100/'1.vize'!$I6,"")</f>
        <v/>
      </c>
      <c r="BV6" s="38" t="str">
        <f>IFERROR('1.vize'!CG6*100/'1.vize'!$I6,"")</f>
        <v/>
      </c>
      <c r="BW6" s="38" t="str">
        <f>IFERROR('1.vize'!CH6*100/'1.vize'!$I6,"")</f>
        <v/>
      </c>
      <c r="BX6" s="38" t="str">
        <f>IFERROR('1.vize'!CI6*100/'1.vize'!$I6,"")</f>
        <v/>
      </c>
      <c r="BY6" s="38" t="str">
        <f>IFERROR('1.vize'!CJ6*100/'1.vize'!$I6,"")</f>
        <v/>
      </c>
      <c r="BZ6" s="38" t="str">
        <f>IFERROR('1.vize'!CK6*100/'1.vize'!$I6,"")</f>
        <v/>
      </c>
      <c r="CA6" s="38" t="str">
        <f>IFERROR('1.vize'!CL6*100/'1.vize'!$I6,"")</f>
        <v/>
      </c>
      <c r="CB6" s="38" t="str">
        <f>IFERROR('1.vize'!CM6*100/'1.vize'!$I6,"")</f>
        <v/>
      </c>
      <c r="CC6" s="38" t="str">
        <f>IFERROR('1.vize'!CN6*100/'1.vize'!$I6,"")</f>
        <v/>
      </c>
      <c r="CD6" s="38" t="str">
        <f>IFERROR('1.vize'!CO6*100/'1.vize'!$I6,"")</f>
        <v/>
      </c>
      <c r="CE6" s="38" t="str">
        <f>IFERROR('1.vize'!CP6*100/'1.vize'!$I6,"")</f>
        <v/>
      </c>
      <c r="CF6" s="38" t="str">
        <f>IFERROR('1.vize'!CQ6*100/'1.vize'!$I6,"")</f>
        <v/>
      </c>
      <c r="CG6" s="38" t="str">
        <f>IFERROR('1.vize'!CR6*100/'1.vize'!$I6,"")</f>
        <v/>
      </c>
      <c r="CH6" s="38" t="str">
        <f>IFERROR('1.vize'!CS6*100/'1.vize'!$I6,"")</f>
        <v/>
      </c>
      <c r="CI6" s="38" t="str">
        <f>IFERROR('1.vize'!CT6*100/'1.vize'!$I6,"")</f>
        <v/>
      </c>
      <c r="CJ6" s="38" t="str">
        <f>IFERROR('1.vize'!CU6*100/'1.vize'!$I6,"")</f>
        <v/>
      </c>
      <c r="CK6" s="38" t="str">
        <f>IFERROR('1.vize'!CV6*100/'1.vize'!$I6,"")</f>
        <v/>
      </c>
      <c r="CL6" s="38" t="str">
        <f>IFERROR('1.vize'!CW6*100/'1.vize'!$I6,"")</f>
        <v/>
      </c>
      <c r="CM6" s="38" t="str">
        <f>IFERROR('1.vize'!CX6*100/'1.vize'!$I6,"")</f>
        <v/>
      </c>
      <c r="CN6" s="38" t="str">
        <f>IFERROR('1.vize'!CY6*100/'1.vize'!$I6,"")</f>
        <v/>
      </c>
      <c r="CO6" s="38" t="str">
        <f>IFERROR('1.vize'!CZ6*100/'1.vize'!$I6,"")</f>
        <v/>
      </c>
      <c r="CP6" s="38" t="str">
        <f>IFERROR('1.vize'!DA6*100/'1.vize'!$I6,"")</f>
        <v/>
      </c>
      <c r="CQ6" s="38" t="str">
        <f>IFERROR('1.vize'!DB6*100/'1.vize'!$I6,"")</f>
        <v/>
      </c>
      <c r="CR6" s="38" t="str">
        <f>IFERROR('1.vize'!DC6*100/'1.vize'!$I6,"")</f>
        <v/>
      </c>
      <c r="CS6" s="38" t="str">
        <f>IFERROR('1.vize'!DD6*100/'1.vize'!$I6,"")</f>
        <v/>
      </c>
      <c r="CT6" s="38" t="str">
        <f>IFERROR('1.vize'!DE6*100/'1.vize'!$I6,"")</f>
        <v/>
      </c>
      <c r="CU6" s="38" t="str">
        <f>IFERROR('1.vize'!DF6*100/'1.vize'!$I6,"")</f>
        <v/>
      </c>
      <c r="CV6" s="38" t="str">
        <f>IFERROR('1.vize'!DG6*100/'1.vize'!$I6,"")</f>
        <v/>
      </c>
      <c r="CW6" s="32" t="str">
        <f>IFERROR(SUM(A6:CV6)/'1.vize'!$DH$103,"")</f>
        <v/>
      </c>
      <c r="CX6" s="14" t="str">
        <f>IF(COUNTA('1.vize'!A6),'1.vize'!A6,"")</f>
        <v/>
      </c>
      <c r="CY6" s="14" t="str">
        <f>IF(COUNTA('1.vize'!B6),'1.vize'!B6,"")</f>
        <v/>
      </c>
      <c r="CZ6" s="14" t="str">
        <f>IF(COUNTA('1.vize'!C6),'1.vize'!C6,"")</f>
        <v/>
      </c>
      <c r="DA6" s="14" t="str">
        <f>IF(COUNTA('1.vize'!D6),'1.vize'!D6,"")</f>
        <v/>
      </c>
      <c r="DB6" s="14" t="str">
        <f>IF(COUNTA('1.vize'!E6),'1.vize'!E6,"")</f>
        <v/>
      </c>
      <c r="DC6" s="14" t="str">
        <f>IF(COUNTA('1.vize'!F6),'1.vize'!F6,"")</f>
        <v/>
      </c>
      <c r="DD6" s="14" t="str">
        <f>IF(COUNTA('1.vize'!G6),'1.vize'!G6,"")</f>
        <v/>
      </c>
      <c r="DE6" s="14" t="str">
        <f>IF(COUNTA('1.vize'!H6),'1.vize'!H6,"")</f>
        <v/>
      </c>
      <c r="DF6" s="33"/>
    </row>
    <row r="7" spans="1:118" x14ac:dyDescent="0.2">
      <c r="A7" s="38" t="str">
        <f>IFERROR('1.vize'!L7*100/'1.vize'!$I7,"")</f>
        <v/>
      </c>
      <c r="B7" s="38" t="str">
        <f>IFERROR('1.vize'!M7*100/'1.vize'!$I7,"")</f>
        <v/>
      </c>
      <c r="C7" s="38" t="str">
        <f>IFERROR('1.vize'!N7*100/'1.vize'!$I7,"")</f>
        <v/>
      </c>
      <c r="D7" s="38" t="str">
        <f>IFERROR('1.vize'!O7*100/'1.vize'!$I7,"")</f>
        <v/>
      </c>
      <c r="E7" s="38" t="str">
        <f>IFERROR('1.vize'!P7*100/'1.vize'!$I7,"")</f>
        <v/>
      </c>
      <c r="F7" s="38" t="str">
        <f>IFERROR('1.vize'!Q7*100/'1.vize'!$I7,"")</f>
        <v/>
      </c>
      <c r="G7" s="38" t="str">
        <f>IFERROR('1.vize'!R7*100/'1.vize'!$I7,"")</f>
        <v/>
      </c>
      <c r="H7" s="38" t="str">
        <f>IFERROR('1.vize'!S7*100/'1.vize'!$I7,"")</f>
        <v/>
      </c>
      <c r="I7" s="38" t="str">
        <f>IFERROR('1.vize'!T7*100/'1.vize'!$I7,"")</f>
        <v/>
      </c>
      <c r="J7" s="38" t="str">
        <f>IFERROR('1.vize'!U7*100/'1.vize'!$I7,"")</f>
        <v/>
      </c>
      <c r="K7" s="38" t="str">
        <f>IFERROR('1.vize'!V7*100/'1.vize'!$I7,"")</f>
        <v/>
      </c>
      <c r="L7" s="38" t="str">
        <f>IFERROR('1.vize'!W7*100/'1.vize'!$I7,"")</f>
        <v/>
      </c>
      <c r="M7" s="38" t="str">
        <f>IFERROR('1.vize'!X7*100/'1.vize'!$I7,"")</f>
        <v/>
      </c>
      <c r="N7" s="38" t="str">
        <f>IFERROR('1.vize'!Y7*100/'1.vize'!$I7,"")</f>
        <v/>
      </c>
      <c r="O7" s="38" t="str">
        <f>IFERROR('1.vize'!Z7*100/'1.vize'!$I7,"")</f>
        <v/>
      </c>
      <c r="P7" s="38" t="str">
        <f>IFERROR('1.vize'!AA7*100/'1.vize'!$I7,"")</f>
        <v/>
      </c>
      <c r="Q7" s="38" t="str">
        <f>IFERROR('1.vize'!AB7*100/'1.vize'!$I7,"")</f>
        <v/>
      </c>
      <c r="R7" s="38" t="str">
        <f>IFERROR('1.vize'!AC7*100/'1.vize'!$I7,"")</f>
        <v/>
      </c>
      <c r="S7" s="38" t="str">
        <f>IFERROR('1.vize'!AD7*100/'1.vize'!$I7,"")</f>
        <v/>
      </c>
      <c r="T7" s="38" t="str">
        <f>IFERROR('1.vize'!AE7*100/'1.vize'!$I7,"")</f>
        <v/>
      </c>
      <c r="U7" s="38" t="str">
        <f>IFERROR('1.vize'!AF7*100/'1.vize'!$I7,"")</f>
        <v/>
      </c>
      <c r="V7" s="38" t="str">
        <f>IFERROR('1.vize'!AG7*100/'1.vize'!$I7,"")</f>
        <v/>
      </c>
      <c r="W7" s="38" t="str">
        <f>IFERROR('1.vize'!AH7*100/'1.vize'!$I7,"")</f>
        <v/>
      </c>
      <c r="X7" s="38" t="str">
        <f>IFERROR('1.vize'!AI7*100/'1.vize'!$I7,"")</f>
        <v/>
      </c>
      <c r="Y7" s="38" t="str">
        <f>IFERROR('1.vize'!AJ7*100/'1.vize'!$I7,"")</f>
        <v/>
      </c>
      <c r="Z7" s="38" t="str">
        <f>IFERROR('1.vize'!AK7*100/'1.vize'!$I7,"")</f>
        <v/>
      </c>
      <c r="AA7" s="38" t="str">
        <f>IFERROR('1.vize'!AL7*100/'1.vize'!$I7,"")</f>
        <v/>
      </c>
      <c r="AB7" s="38" t="str">
        <f>IFERROR('1.vize'!AM7*100/'1.vize'!$I7,"")</f>
        <v/>
      </c>
      <c r="AC7" s="38" t="str">
        <f>IFERROR('1.vize'!AN7*100/'1.vize'!$I7,"")</f>
        <v/>
      </c>
      <c r="AD7" s="38" t="str">
        <f>IFERROR('1.vize'!AO7*100/'1.vize'!$I7,"")</f>
        <v/>
      </c>
      <c r="AE7" s="38" t="str">
        <f>IFERROR('1.vize'!AP7*100/'1.vize'!$I7,"")</f>
        <v/>
      </c>
      <c r="AF7" s="38" t="str">
        <f>IFERROR('1.vize'!AQ7*100/'1.vize'!$I7,"")</f>
        <v/>
      </c>
      <c r="AG7" s="38" t="str">
        <f>IFERROR('1.vize'!AR7*100/'1.vize'!$I7,"")</f>
        <v/>
      </c>
      <c r="AH7" s="38" t="str">
        <f>IFERROR('1.vize'!AS7*100/'1.vize'!$I7,"")</f>
        <v/>
      </c>
      <c r="AI7" s="38" t="str">
        <f>IFERROR('1.vize'!AT7*100/'1.vize'!$I7,"")</f>
        <v/>
      </c>
      <c r="AJ7" s="38" t="str">
        <f>IFERROR('1.vize'!AU7*100/'1.vize'!$I7,"")</f>
        <v/>
      </c>
      <c r="AK7" s="38" t="str">
        <f>IFERROR('1.vize'!AV7*100/'1.vize'!$I7,"")</f>
        <v/>
      </c>
      <c r="AL7" s="38" t="str">
        <f>IFERROR('1.vize'!AW7*100/'1.vize'!$I7,"")</f>
        <v/>
      </c>
      <c r="AM7" s="38" t="str">
        <f>IFERROR('1.vize'!AX7*100/'1.vize'!$I7,"")</f>
        <v/>
      </c>
      <c r="AN7" s="38" t="str">
        <f>IFERROR('1.vize'!AY7*100/'1.vize'!$I7,"")</f>
        <v/>
      </c>
      <c r="AO7" s="38" t="str">
        <f>IFERROR('1.vize'!AZ7*100/'1.vize'!$I7,"")</f>
        <v/>
      </c>
      <c r="AP7" s="38" t="str">
        <f>IFERROR('1.vize'!BA7*100/'1.vize'!$I7,"")</f>
        <v/>
      </c>
      <c r="AQ7" s="38" t="str">
        <f>IFERROR('1.vize'!BB7*100/'1.vize'!$I7,"")</f>
        <v/>
      </c>
      <c r="AR7" s="38" t="str">
        <f>IFERROR('1.vize'!BC7*100/'1.vize'!$I7,"")</f>
        <v/>
      </c>
      <c r="AS7" s="38" t="str">
        <f>IFERROR('1.vize'!BD7*100/'1.vize'!$I7,"")</f>
        <v/>
      </c>
      <c r="AT7" s="38" t="str">
        <f>IFERROR('1.vize'!BE7*100/'1.vize'!$I7,"")</f>
        <v/>
      </c>
      <c r="AU7" s="38" t="str">
        <f>IFERROR('1.vize'!BF7*100/'1.vize'!$I7,"")</f>
        <v/>
      </c>
      <c r="AV7" s="38" t="str">
        <f>IFERROR('1.vize'!BG7*100/'1.vize'!$I7,"")</f>
        <v/>
      </c>
      <c r="AW7" s="38" t="str">
        <f>IFERROR('1.vize'!BH7*100/'1.vize'!$I7,"")</f>
        <v/>
      </c>
      <c r="AX7" s="38" t="str">
        <f>IFERROR('1.vize'!BI7*100/'1.vize'!$I7,"")</f>
        <v/>
      </c>
      <c r="AY7" s="38" t="str">
        <f>IFERROR('1.vize'!BJ7*100/'1.vize'!$I7,"")</f>
        <v/>
      </c>
      <c r="AZ7" s="38" t="str">
        <f>IFERROR('1.vize'!BK7*100/'1.vize'!$I7,"")</f>
        <v/>
      </c>
      <c r="BA7" s="38" t="str">
        <f>IFERROR('1.vize'!BL7*100/'1.vize'!$I7,"")</f>
        <v/>
      </c>
      <c r="BB7" s="38" t="str">
        <f>IFERROR('1.vize'!BM7*100/'1.vize'!$I7,"")</f>
        <v/>
      </c>
      <c r="BC7" s="38" t="str">
        <f>IFERROR('1.vize'!BN7*100/'1.vize'!$I7,"")</f>
        <v/>
      </c>
      <c r="BD7" s="38" t="str">
        <f>IFERROR('1.vize'!BO7*100/'1.vize'!$I7,"")</f>
        <v/>
      </c>
      <c r="BE7" s="38" t="str">
        <f>IFERROR('1.vize'!BP7*100/'1.vize'!$I7,"")</f>
        <v/>
      </c>
      <c r="BF7" s="38" t="str">
        <f>IFERROR('1.vize'!BQ7*100/'1.vize'!$I7,"")</f>
        <v/>
      </c>
      <c r="BG7" s="38" t="str">
        <f>IFERROR('1.vize'!BR7*100/'1.vize'!$I7,"")</f>
        <v/>
      </c>
      <c r="BH7" s="38" t="str">
        <f>IFERROR('1.vize'!BS7*100/'1.vize'!$I7,"")</f>
        <v/>
      </c>
      <c r="BI7" s="38" t="str">
        <f>IFERROR('1.vize'!BT7*100/'1.vize'!$I7,"")</f>
        <v/>
      </c>
      <c r="BJ7" s="38" t="str">
        <f>IFERROR('1.vize'!BU7*100/'1.vize'!$I7,"")</f>
        <v/>
      </c>
      <c r="BK7" s="38" t="str">
        <f>IFERROR('1.vize'!BV7*100/'1.vize'!$I7,"")</f>
        <v/>
      </c>
      <c r="BL7" s="38" t="str">
        <f>IFERROR('1.vize'!BW7*100/'1.vize'!$I7,"")</f>
        <v/>
      </c>
      <c r="BM7" s="38" t="str">
        <f>IFERROR('1.vize'!BX7*100/'1.vize'!$I7,"")</f>
        <v/>
      </c>
      <c r="BN7" s="38" t="str">
        <f>IFERROR('1.vize'!BY7*100/'1.vize'!$I7,"")</f>
        <v/>
      </c>
      <c r="BO7" s="38" t="str">
        <f>IFERROR('1.vize'!BZ7*100/'1.vize'!$I7,"")</f>
        <v/>
      </c>
      <c r="BP7" s="38" t="str">
        <f>IFERROR('1.vize'!CA7*100/'1.vize'!$I7,"")</f>
        <v/>
      </c>
      <c r="BQ7" s="38" t="str">
        <f>IFERROR('1.vize'!CB7*100/'1.vize'!$I7,"")</f>
        <v/>
      </c>
      <c r="BR7" s="38" t="str">
        <f>IFERROR('1.vize'!CC7*100/'1.vize'!$I7,"")</f>
        <v/>
      </c>
      <c r="BS7" s="38" t="str">
        <f>IFERROR('1.vize'!CD7*100/'1.vize'!$I7,"")</f>
        <v/>
      </c>
      <c r="BT7" s="38" t="str">
        <f>IFERROR('1.vize'!CE7*100/'1.vize'!$I7,"")</f>
        <v/>
      </c>
      <c r="BU7" s="38" t="str">
        <f>IFERROR('1.vize'!CF7*100/'1.vize'!$I7,"")</f>
        <v/>
      </c>
      <c r="BV7" s="38" t="str">
        <f>IFERROR('1.vize'!CG7*100/'1.vize'!$I7,"")</f>
        <v/>
      </c>
      <c r="BW7" s="38" t="str">
        <f>IFERROR('1.vize'!CH7*100/'1.vize'!$I7,"")</f>
        <v/>
      </c>
      <c r="BX7" s="38" t="str">
        <f>IFERROR('1.vize'!CI7*100/'1.vize'!$I7,"")</f>
        <v/>
      </c>
      <c r="BY7" s="38" t="str">
        <f>IFERROR('1.vize'!CJ7*100/'1.vize'!$I7,"")</f>
        <v/>
      </c>
      <c r="BZ7" s="38" t="str">
        <f>IFERROR('1.vize'!CK7*100/'1.vize'!$I7,"")</f>
        <v/>
      </c>
      <c r="CA7" s="38" t="str">
        <f>IFERROR('1.vize'!CL7*100/'1.vize'!$I7,"")</f>
        <v/>
      </c>
      <c r="CB7" s="38" t="str">
        <f>IFERROR('1.vize'!CM7*100/'1.vize'!$I7,"")</f>
        <v/>
      </c>
      <c r="CC7" s="38" t="str">
        <f>IFERROR('1.vize'!CN7*100/'1.vize'!$I7,"")</f>
        <v/>
      </c>
      <c r="CD7" s="38" t="str">
        <f>IFERROR('1.vize'!CO7*100/'1.vize'!$I7,"")</f>
        <v/>
      </c>
      <c r="CE7" s="38" t="str">
        <f>IFERROR('1.vize'!CP7*100/'1.vize'!$I7,"")</f>
        <v/>
      </c>
      <c r="CF7" s="38" t="str">
        <f>IFERROR('1.vize'!CQ7*100/'1.vize'!$I7,"")</f>
        <v/>
      </c>
      <c r="CG7" s="38" t="str">
        <f>IFERROR('1.vize'!CR7*100/'1.vize'!$I7,"")</f>
        <v/>
      </c>
      <c r="CH7" s="38" t="str">
        <f>IFERROR('1.vize'!CS7*100/'1.vize'!$I7,"")</f>
        <v/>
      </c>
      <c r="CI7" s="38" t="str">
        <f>IFERROR('1.vize'!CT7*100/'1.vize'!$I7,"")</f>
        <v/>
      </c>
      <c r="CJ7" s="38" t="str">
        <f>IFERROR('1.vize'!CU7*100/'1.vize'!$I7,"")</f>
        <v/>
      </c>
      <c r="CK7" s="38" t="str">
        <f>IFERROR('1.vize'!CV7*100/'1.vize'!$I7,"")</f>
        <v/>
      </c>
      <c r="CL7" s="38" t="str">
        <f>IFERROR('1.vize'!CW7*100/'1.vize'!$I7,"")</f>
        <v/>
      </c>
      <c r="CM7" s="38" t="str">
        <f>IFERROR('1.vize'!CX7*100/'1.vize'!$I7,"")</f>
        <v/>
      </c>
      <c r="CN7" s="38" t="str">
        <f>IFERROR('1.vize'!CY7*100/'1.vize'!$I7,"")</f>
        <v/>
      </c>
      <c r="CO7" s="38" t="str">
        <f>IFERROR('1.vize'!CZ7*100/'1.vize'!$I7,"")</f>
        <v/>
      </c>
      <c r="CP7" s="38" t="str">
        <f>IFERROR('1.vize'!DA7*100/'1.vize'!$I7,"")</f>
        <v/>
      </c>
      <c r="CQ7" s="38" t="str">
        <f>IFERROR('1.vize'!DB7*100/'1.vize'!$I7,"")</f>
        <v/>
      </c>
      <c r="CR7" s="38" t="str">
        <f>IFERROR('1.vize'!DC7*100/'1.vize'!$I7,"")</f>
        <v/>
      </c>
      <c r="CS7" s="38" t="str">
        <f>IFERROR('1.vize'!DD7*100/'1.vize'!$I7,"")</f>
        <v/>
      </c>
      <c r="CT7" s="38" t="str">
        <f>IFERROR('1.vize'!DE7*100/'1.vize'!$I7,"")</f>
        <v/>
      </c>
      <c r="CU7" s="38" t="str">
        <f>IFERROR('1.vize'!DF7*100/'1.vize'!$I7,"")</f>
        <v/>
      </c>
      <c r="CV7" s="38" t="str">
        <f>IFERROR('1.vize'!DG7*100/'1.vize'!$I7,"")</f>
        <v/>
      </c>
      <c r="CW7" s="32" t="str">
        <f>IFERROR(SUM(A7:CV7)/'1.vize'!$DH$103,"")</f>
        <v/>
      </c>
      <c r="CX7" s="14" t="str">
        <f>IF(COUNTA('1.vize'!A7),'1.vize'!A7,"")</f>
        <v/>
      </c>
      <c r="CY7" s="14" t="str">
        <f>IF(COUNTA('1.vize'!B7),'1.vize'!B7,"")</f>
        <v/>
      </c>
      <c r="CZ7" s="14" t="str">
        <f>IF(COUNTA('1.vize'!C7),'1.vize'!C7,"")</f>
        <v/>
      </c>
      <c r="DA7" s="14" t="str">
        <f>IF(COUNTA('1.vize'!D7),'1.vize'!D7,"")</f>
        <v/>
      </c>
      <c r="DB7" s="14" t="str">
        <f>IF(COUNTA('1.vize'!E7),'1.vize'!E7,"")</f>
        <v/>
      </c>
      <c r="DC7" s="14" t="str">
        <f>IF(COUNTA('1.vize'!F7),'1.vize'!F7,"")</f>
        <v/>
      </c>
      <c r="DD7" s="14" t="str">
        <f>IF(COUNTA('1.vize'!G7),'1.vize'!G7,"")</f>
        <v/>
      </c>
      <c r="DE7" s="14" t="str">
        <f>IF(COUNTA('1.vize'!H7),'1.vize'!H7,"")</f>
        <v/>
      </c>
      <c r="DF7" s="33"/>
    </row>
    <row r="8" spans="1:118" x14ac:dyDescent="0.2">
      <c r="A8" s="38" t="str">
        <f>IFERROR('1.vize'!L8*100/'1.vize'!$I8,"")</f>
        <v/>
      </c>
      <c r="B8" s="38" t="str">
        <f>IFERROR('1.vize'!M8*100/'1.vize'!$I8,"")</f>
        <v/>
      </c>
      <c r="C8" s="38" t="str">
        <f>IFERROR('1.vize'!N8*100/'1.vize'!$I8,"")</f>
        <v/>
      </c>
      <c r="D8" s="38" t="str">
        <f>IFERROR('1.vize'!O8*100/'1.vize'!$I8,"")</f>
        <v/>
      </c>
      <c r="E8" s="38" t="str">
        <f>IFERROR('1.vize'!P8*100/'1.vize'!$I8,"")</f>
        <v/>
      </c>
      <c r="F8" s="38" t="str">
        <f>IFERROR('1.vize'!Q8*100/'1.vize'!$I8,"")</f>
        <v/>
      </c>
      <c r="G8" s="38" t="str">
        <f>IFERROR('1.vize'!R8*100/'1.vize'!$I8,"")</f>
        <v/>
      </c>
      <c r="H8" s="38" t="str">
        <f>IFERROR('1.vize'!S8*100/'1.vize'!$I8,"")</f>
        <v/>
      </c>
      <c r="I8" s="38" t="str">
        <f>IFERROR('1.vize'!T8*100/'1.vize'!$I8,"")</f>
        <v/>
      </c>
      <c r="J8" s="38" t="str">
        <f>IFERROR('1.vize'!U8*100/'1.vize'!$I8,"")</f>
        <v/>
      </c>
      <c r="K8" s="38" t="str">
        <f>IFERROR('1.vize'!V8*100/'1.vize'!$I8,"")</f>
        <v/>
      </c>
      <c r="L8" s="38" t="str">
        <f>IFERROR('1.vize'!W8*100/'1.vize'!$I8,"")</f>
        <v/>
      </c>
      <c r="M8" s="38" t="str">
        <f>IFERROR('1.vize'!X8*100/'1.vize'!$I8,"")</f>
        <v/>
      </c>
      <c r="N8" s="38" t="str">
        <f>IFERROR('1.vize'!Y8*100/'1.vize'!$I8,"")</f>
        <v/>
      </c>
      <c r="O8" s="38" t="str">
        <f>IFERROR('1.vize'!Z8*100/'1.vize'!$I8,"")</f>
        <v/>
      </c>
      <c r="P8" s="38" t="str">
        <f>IFERROR('1.vize'!AA8*100/'1.vize'!$I8,"")</f>
        <v/>
      </c>
      <c r="Q8" s="38" t="str">
        <f>IFERROR('1.vize'!AB8*100/'1.vize'!$I8,"")</f>
        <v/>
      </c>
      <c r="R8" s="38" t="str">
        <f>IFERROR('1.vize'!AC8*100/'1.vize'!$I8,"")</f>
        <v/>
      </c>
      <c r="S8" s="38" t="str">
        <f>IFERROR('1.vize'!AD8*100/'1.vize'!$I8,"")</f>
        <v/>
      </c>
      <c r="T8" s="38" t="str">
        <f>IFERROR('1.vize'!AE8*100/'1.vize'!$I8,"")</f>
        <v/>
      </c>
      <c r="U8" s="38" t="str">
        <f>IFERROR('1.vize'!AF8*100/'1.vize'!$I8,"")</f>
        <v/>
      </c>
      <c r="V8" s="38" t="str">
        <f>IFERROR('1.vize'!AG8*100/'1.vize'!$I8,"")</f>
        <v/>
      </c>
      <c r="W8" s="38" t="str">
        <f>IFERROR('1.vize'!AH8*100/'1.vize'!$I8,"")</f>
        <v/>
      </c>
      <c r="X8" s="38" t="str">
        <f>IFERROR('1.vize'!AI8*100/'1.vize'!$I8,"")</f>
        <v/>
      </c>
      <c r="Y8" s="38" t="str">
        <f>IFERROR('1.vize'!AJ8*100/'1.vize'!$I8,"")</f>
        <v/>
      </c>
      <c r="Z8" s="38" t="str">
        <f>IFERROR('1.vize'!AK8*100/'1.vize'!$I8,"")</f>
        <v/>
      </c>
      <c r="AA8" s="38" t="str">
        <f>IFERROR('1.vize'!AL8*100/'1.vize'!$I8,"")</f>
        <v/>
      </c>
      <c r="AB8" s="38" t="str">
        <f>IFERROR('1.vize'!AM8*100/'1.vize'!$I8,"")</f>
        <v/>
      </c>
      <c r="AC8" s="38" t="str">
        <f>IFERROR('1.vize'!AN8*100/'1.vize'!$I8,"")</f>
        <v/>
      </c>
      <c r="AD8" s="38" t="str">
        <f>IFERROR('1.vize'!AO8*100/'1.vize'!$I8,"")</f>
        <v/>
      </c>
      <c r="AE8" s="38" t="str">
        <f>IFERROR('1.vize'!AP8*100/'1.vize'!$I8,"")</f>
        <v/>
      </c>
      <c r="AF8" s="38" t="str">
        <f>IFERROR('1.vize'!AQ8*100/'1.vize'!$I8,"")</f>
        <v/>
      </c>
      <c r="AG8" s="38" t="str">
        <f>IFERROR('1.vize'!AR8*100/'1.vize'!$I8,"")</f>
        <v/>
      </c>
      <c r="AH8" s="38" t="str">
        <f>IFERROR('1.vize'!AS8*100/'1.vize'!$I8,"")</f>
        <v/>
      </c>
      <c r="AI8" s="38" t="str">
        <f>IFERROR('1.vize'!AT8*100/'1.vize'!$I8,"")</f>
        <v/>
      </c>
      <c r="AJ8" s="38" t="str">
        <f>IFERROR('1.vize'!AU8*100/'1.vize'!$I8,"")</f>
        <v/>
      </c>
      <c r="AK8" s="38" t="str">
        <f>IFERROR('1.vize'!AV8*100/'1.vize'!$I8,"")</f>
        <v/>
      </c>
      <c r="AL8" s="38" t="str">
        <f>IFERROR('1.vize'!AW8*100/'1.vize'!$I8,"")</f>
        <v/>
      </c>
      <c r="AM8" s="38" t="str">
        <f>IFERROR('1.vize'!AX8*100/'1.vize'!$I8,"")</f>
        <v/>
      </c>
      <c r="AN8" s="38" t="str">
        <f>IFERROR('1.vize'!AY8*100/'1.vize'!$I8,"")</f>
        <v/>
      </c>
      <c r="AO8" s="38" t="str">
        <f>IFERROR('1.vize'!AZ8*100/'1.vize'!$I8,"")</f>
        <v/>
      </c>
      <c r="AP8" s="38" t="str">
        <f>IFERROR('1.vize'!BA8*100/'1.vize'!$I8,"")</f>
        <v/>
      </c>
      <c r="AQ8" s="38" t="str">
        <f>IFERROR('1.vize'!BB8*100/'1.vize'!$I8,"")</f>
        <v/>
      </c>
      <c r="AR8" s="38" t="str">
        <f>IFERROR('1.vize'!BC8*100/'1.vize'!$I8,"")</f>
        <v/>
      </c>
      <c r="AS8" s="38" t="str">
        <f>IFERROR('1.vize'!BD8*100/'1.vize'!$I8,"")</f>
        <v/>
      </c>
      <c r="AT8" s="38" t="str">
        <f>IFERROR('1.vize'!BE8*100/'1.vize'!$I8,"")</f>
        <v/>
      </c>
      <c r="AU8" s="38" t="str">
        <f>IFERROR('1.vize'!BF8*100/'1.vize'!$I8,"")</f>
        <v/>
      </c>
      <c r="AV8" s="38" t="str">
        <f>IFERROR('1.vize'!BG8*100/'1.vize'!$I8,"")</f>
        <v/>
      </c>
      <c r="AW8" s="38" t="str">
        <f>IFERROR('1.vize'!BH8*100/'1.vize'!$I8,"")</f>
        <v/>
      </c>
      <c r="AX8" s="38" t="str">
        <f>IFERROR('1.vize'!BI8*100/'1.vize'!$I8,"")</f>
        <v/>
      </c>
      <c r="AY8" s="38" t="str">
        <f>IFERROR('1.vize'!BJ8*100/'1.vize'!$I8,"")</f>
        <v/>
      </c>
      <c r="AZ8" s="38" t="str">
        <f>IFERROR('1.vize'!BK8*100/'1.vize'!$I8,"")</f>
        <v/>
      </c>
      <c r="BA8" s="38" t="str">
        <f>IFERROR('1.vize'!BL8*100/'1.vize'!$I8,"")</f>
        <v/>
      </c>
      <c r="BB8" s="38" t="str">
        <f>IFERROR('1.vize'!BM8*100/'1.vize'!$I8,"")</f>
        <v/>
      </c>
      <c r="BC8" s="38" t="str">
        <f>IFERROR('1.vize'!BN8*100/'1.vize'!$I8,"")</f>
        <v/>
      </c>
      <c r="BD8" s="38" t="str">
        <f>IFERROR('1.vize'!BO8*100/'1.vize'!$I8,"")</f>
        <v/>
      </c>
      <c r="BE8" s="38" t="str">
        <f>IFERROR('1.vize'!BP8*100/'1.vize'!$I8,"")</f>
        <v/>
      </c>
      <c r="BF8" s="38" t="str">
        <f>IFERROR('1.vize'!BQ8*100/'1.vize'!$I8,"")</f>
        <v/>
      </c>
      <c r="BG8" s="38" t="str">
        <f>IFERROR('1.vize'!BR8*100/'1.vize'!$I8,"")</f>
        <v/>
      </c>
      <c r="BH8" s="38" t="str">
        <f>IFERROR('1.vize'!BS8*100/'1.vize'!$I8,"")</f>
        <v/>
      </c>
      <c r="BI8" s="38" t="str">
        <f>IFERROR('1.vize'!BT8*100/'1.vize'!$I8,"")</f>
        <v/>
      </c>
      <c r="BJ8" s="38" t="str">
        <f>IFERROR('1.vize'!BU8*100/'1.vize'!$I8,"")</f>
        <v/>
      </c>
      <c r="BK8" s="38" t="str">
        <f>IFERROR('1.vize'!BV8*100/'1.vize'!$I8,"")</f>
        <v/>
      </c>
      <c r="BL8" s="38" t="str">
        <f>IFERROR('1.vize'!BW8*100/'1.vize'!$I8,"")</f>
        <v/>
      </c>
      <c r="BM8" s="38" t="str">
        <f>IFERROR('1.vize'!BX8*100/'1.vize'!$I8,"")</f>
        <v/>
      </c>
      <c r="BN8" s="38" t="str">
        <f>IFERROR('1.vize'!BY8*100/'1.vize'!$I8,"")</f>
        <v/>
      </c>
      <c r="BO8" s="38" t="str">
        <f>IFERROR('1.vize'!BZ8*100/'1.vize'!$I8,"")</f>
        <v/>
      </c>
      <c r="BP8" s="38" t="str">
        <f>IFERROR('1.vize'!CA8*100/'1.vize'!$I8,"")</f>
        <v/>
      </c>
      <c r="BQ8" s="38" t="str">
        <f>IFERROR('1.vize'!CB8*100/'1.vize'!$I8,"")</f>
        <v/>
      </c>
      <c r="BR8" s="38" t="str">
        <f>IFERROR('1.vize'!CC8*100/'1.vize'!$I8,"")</f>
        <v/>
      </c>
      <c r="BS8" s="38" t="str">
        <f>IFERROR('1.vize'!CD8*100/'1.vize'!$I8,"")</f>
        <v/>
      </c>
      <c r="BT8" s="38" t="str">
        <f>IFERROR('1.vize'!CE8*100/'1.vize'!$I8,"")</f>
        <v/>
      </c>
      <c r="BU8" s="38" t="str">
        <f>IFERROR('1.vize'!CF8*100/'1.vize'!$I8,"")</f>
        <v/>
      </c>
      <c r="BV8" s="38" t="str">
        <f>IFERROR('1.vize'!CG8*100/'1.vize'!$I8,"")</f>
        <v/>
      </c>
      <c r="BW8" s="38" t="str">
        <f>IFERROR('1.vize'!CH8*100/'1.vize'!$I8,"")</f>
        <v/>
      </c>
      <c r="BX8" s="38" t="str">
        <f>IFERROR('1.vize'!CI8*100/'1.vize'!$I8,"")</f>
        <v/>
      </c>
      <c r="BY8" s="38" t="str">
        <f>IFERROR('1.vize'!CJ8*100/'1.vize'!$I8,"")</f>
        <v/>
      </c>
      <c r="BZ8" s="38" t="str">
        <f>IFERROR('1.vize'!CK8*100/'1.vize'!$I8,"")</f>
        <v/>
      </c>
      <c r="CA8" s="38" t="str">
        <f>IFERROR('1.vize'!CL8*100/'1.vize'!$I8,"")</f>
        <v/>
      </c>
      <c r="CB8" s="38" t="str">
        <f>IFERROR('1.vize'!CM8*100/'1.vize'!$I8,"")</f>
        <v/>
      </c>
      <c r="CC8" s="38" t="str">
        <f>IFERROR('1.vize'!CN8*100/'1.vize'!$I8,"")</f>
        <v/>
      </c>
      <c r="CD8" s="38" t="str">
        <f>IFERROR('1.vize'!CO8*100/'1.vize'!$I8,"")</f>
        <v/>
      </c>
      <c r="CE8" s="38" t="str">
        <f>IFERROR('1.vize'!CP8*100/'1.vize'!$I8,"")</f>
        <v/>
      </c>
      <c r="CF8" s="38" t="str">
        <f>IFERROR('1.vize'!CQ8*100/'1.vize'!$I8,"")</f>
        <v/>
      </c>
      <c r="CG8" s="38" t="str">
        <f>IFERROR('1.vize'!CR8*100/'1.vize'!$I8,"")</f>
        <v/>
      </c>
      <c r="CH8" s="38" t="str">
        <f>IFERROR('1.vize'!CS8*100/'1.vize'!$I8,"")</f>
        <v/>
      </c>
      <c r="CI8" s="38" t="str">
        <f>IFERROR('1.vize'!CT8*100/'1.vize'!$I8,"")</f>
        <v/>
      </c>
      <c r="CJ8" s="38" t="str">
        <f>IFERROR('1.vize'!CU8*100/'1.vize'!$I8,"")</f>
        <v/>
      </c>
      <c r="CK8" s="38" t="str">
        <f>IFERROR('1.vize'!CV8*100/'1.vize'!$I8,"")</f>
        <v/>
      </c>
      <c r="CL8" s="38" t="str">
        <f>IFERROR('1.vize'!CW8*100/'1.vize'!$I8,"")</f>
        <v/>
      </c>
      <c r="CM8" s="38" t="str">
        <f>IFERROR('1.vize'!CX8*100/'1.vize'!$I8,"")</f>
        <v/>
      </c>
      <c r="CN8" s="38" t="str">
        <f>IFERROR('1.vize'!CY8*100/'1.vize'!$I8,"")</f>
        <v/>
      </c>
      <c r="CO8" s="38" t="str">
        <f>IFERROR('1.vize'!CZ8*100/'1.vize'!$I8,"")</f>
        <v/>
      </c>
      <c r="CP8" s="38" t="str">
        <f>IFERROR('1.vize'!DA8*100/'1.vize'!$I8,"")</f>
        <v/>
      </c>
      <c r="CQ8" s="38" t="str">
        <f>IFERROR('1.vize'!DB8*100/'1.vize'!$I8,"")</f>
        <v/>
      </c>
      <c r="CR8" s="38" t="str">
        <f>IFERROR('1.vize'!DC8*100/'1.vize'!$I8,"")</f>
        <v/>
      </c>
      <c r="CS8" s="38" t="str">
        <f>IFERROR('1.vize'!DD8*100/'1.vize'!$I8,"")</f>
        <v/>
      </c>
      <c r="CT8" s="38" t="str">
        <f>IFERROR('1.vize'!DE8*100/'1.vize'!$I8,"")</f>
        <v/>
      </c>
      <c r="CU8" s="38" t="str">
        <f>IFERROR('1.vize'!DF8*100/'1.vize'!$I8,"")</f>
        <v/>
      </c>
      <c r="CV8" s="38" t="str">
        <f>IFERROR('1.vize'!DG8*100/'1.vize'!$I8,"")</f>
        <v/>
      </c>
      <c r="CW8" s="32" t="str">
        <f>IFERROR(SUM(A8:CV8)/'1.vize'!$DH$103,"")</f>
        <v/>
      </c>
      <c r="CX8" s="14" t="str">
        <f>IF(COUNTA('1.vize'!A8),'1.vize'!A8,"")</f>
        <v/>
      </c>
      <c r="CY8" s="14" t="str">
        <f>IF(COUNTA('1.vize'!B8),'1.vize'!B8,"")</f>
        <v/>
      </c>
      <c r="CZ8" s="14" t="str">
        <f>IF(COUNTA('1.vize'!C8),'1.vize'!C8,"")</f>
        <v/>
      </c>
      <c r="DA8" s="14" t="str">
        <f>IF(COUNTA('1.vize'!D8),'1.vize'!D8,"")</f>
        <v/>
      </c>
      <c r="DB8" s="14" t="str">
        <f>IF(COUNTA('1.vize'!E8),'1.vize'!E8,"")</f>
        <v/>
      </c>
      <c r="DC8" s="14" t="str">
        <f>IF(COUNTA('1.vize'!F8),'1.vize'!F8,"")</f>
        <v/>
      </c>
      <c r="DD8" s="14" t="str">
        <f>IF(COUNTA('1.vize'!G8),'1.vize'!G8,"")</f>
        <v/>
      </c>
      <c r="DE8" s="14" t="str">
        <f>IF(COUNTA('1.vize'!H8),'1.vize'!H8,"")</f>
        <v/>
      </c>
      <c r="DF8" s="33"/>
    </row>
    <row r="9" spans="1:118" x14ac:dyDescent="0.2">
      <c r="A9" s="38" t="str">
        <f>IFERROR('1.vize'!L9*100/'1.vize'!$I9,"")</f>
        <v/>
      </c>
      <c r="B9" s="38" t="str">
        <f>IFERROR('1.vize'!M9*100/'1.vize'!$I9,"")</f>
        <v/>
      </c>
      <c r="C9" s="38" t="str">
        <f>IFERROR('1.vize'!N9*100/'1.vize'!$I9,"")</f>
        <v/>
      </c>
      <c r="D9" s="38" t="str">
        <f>IFERROR('1.vize'!O9*100/'1.vize'!$I9,"")</f>
        <v/>
      </c>
      <c r="E9" s="38" t="str">
        <f>IFERROR('1.vize'!P9*100/'1.vize'!$I9,"")</f>
        <v/>
      </c>
      <c r="F9" s="38" t="str">
        <f>IFERROR('1.vize'!Q9*100/'1.vize'!$I9,"")</f>
        <v/>
      </c>
      <c r="G9" s="38" t="str">
        <f>IFERROR('1.vize'!R9*100/'1.vize'!$I9,"")</f>
        <v/>
      </c>
      <c r="H9" s="38" t="str">
        <f>IFERROR('1.vize'!S9*100/'1.vize'!$I9,"")</f>
        <v/>
      </c>
      <c r="I9" s="38" t="str">
        <f>IFERROR('1.vize'!T9*100/'1.vize'!$I9,"")</f>
        <v/>
      </c>
      <c r="J9" s="38" t="str">
        <f>IFERROR('1.vize'!U9*100/'1.vize'!$I9,"")</f>
        <v/>
      </c>
      <c r="K9" s="38" t="str">
        <f>IFERROR('1.vize'!V9*100/'1.vize'!$I9,"")</f>
        <v/>
      </c>
      <c r="L9" s="38" t="str">
        <f>IFERROR('1.vize'!W9*100/'1.vize'!$I9,"")</f>
        <v/>
      </c>
      <c r="M9" s="38" t="str">
        <f>IFERROR('1.vize'!X9*100/'1.vize'!$I9,"")</f>
        <v/>
      </c>
      <c r="N9" s="38" t="str">
        <f>IFERROR('1.vize'!Y9*100/'1.vize'!$I9,"")</f>
        <v/>
      </c>
      <c r="O9" s="38" t="str">
        <f>IFERROR('1.vize'!Z9*100/'1.vize'!$I9,"")</f>
        <v/>
      </c>
      <c r="P9" s="38" t="str">
        <f>IFERROR('1.vize'!AA9*100/'1.vize'!$I9,"")</f>
        <v/>
      </c>
      <c r="Q9" s="38" t="str">
        <f>IFERROR('1.vize'!AB9*100/'1.vize'!$I9,"")</f>
        <v/>
      </c>
      <c r="R9" s="38" t="str">
        <f>IFERROR('1.vize'!AC9*100/'1.vize'!$I9,"")</f>
        <v/>
      </c>
      <c r="S9" s="38" t="str">
        <f>IFERROR('1.vize'!AD9*100/'1.vize'!$I9,"")</f>
        <v/>
      </c>
      <c r="T9" s="38" t="str">
        <f>IFERROR('1.vize'!AE9*100/'1.vize'!$I9,"")</f>
        <v/>
      </c>
      <c r="U9" s="38" t="str">
        <f>IFERROR('1.vize'!AF9*100/'1.vize'!$I9,"")</f>
        <v/>
      </c>
      <c r="V9" s="38" t="str">
        <f>IFERROR('1.vize'!AG9*100/'1.vize'!$I9,"")</f>
        <v/>
      </c>
      <c r="W9" s="38" t="str">
        <f>IFERROR('1.vize'!AH9*100/'1.vize'!$I9,"")</f>
        <v/>
      </c>
      <c r="X9" s="38" t="str">
        <f>IFERROR('1.vize'!AI9*100/'1.vize'!$I9,"")</f>
        <v/>
      </c>
      <c r="Y9" s="38" t="str">
        <f>IFERROR('1.vize'!AJ9*100/'1.vize'!$I9,"")</f>
        <v/>
      </c>
      <c r="Z9" s="38" t="str">
        <f>IFERROR('1.vize'!AK9*100/'1.vize'!$I9,"")</f>
        <v/>
      </c>
      <c r="AA9" s="38" t="str">
        <f>IFERROR('1.vize'!AL9*100/'1.vize'!$I9,"")</f>
        <v/>
      </c>
      <c r="AB9" s="38" t="str">
        <f>IFERROR('1.vize'!AM9*100/'1.vize'!$I9,"")</f>
        <v/>
      </c>
      <c r="AC9" s="38" t="str">
        <f>IFERROR('1.vize'!AN9*100/'1.vize'!$I9,"")</f>
        <v/>
      </c>
      <c r="AD9" s="38" t="str">
        <f>IFERROR('1.vize'!AO9*100/'1.vize'!$I9,"")</f>
        <v/>
      </c>
      <c r="AE9" s="38" t="str">
        <f>IFERROR('1.vize'!AP9*100/'1.vize'!$I9,"")</f>
        <v/>
      </c>
      <c r="AF9" s="38" t="str">
        <f>IFERROR('1.vize'!AQ9*100/'1.vize'!$I9,"")</f>
        <v/>
      </c>
      <c r="AG9" s="38" t="str">
        <f>IFERROR('1.vize'!AR9*100/'1.vize'!$I9,"")</f>
        <v/>
      </c>
      <c r="AH9" s="38" t="str">
        <f>IFERROR('1.vize'!AS9*100/'1.vize'!$I9,"")</f>
        <v/>
      </c>
      <c r="AI9" s="38" t="str">
        <f>IFERROR('1.vize'!AT9*100/'1.vize'!$I9,"")</f>
        <v/>
      </c>
      <c r="AJ9" s="38" t="str">
        <f>IFERROR('1.vize'!AU9*100/'1.vize'!$I9,"")</f>
        <v/>
      </c>
      <c r="AK9" s="38" t="str">
        <f>IFERROR('1.vize'!AV9*100/'1.vize'!$I9,"")</f>
        <v/>
      </c>
      <c r="AL9" s="38" t="str">
        <f>IFERROR('1.vize'!AW9*100/'1.vize'!$I9,"")</f>
        <v/>
      </c>
      <c r="AM9" s="38" t="str">
        <f>IFERROR('1.vize'!AX9*100/'1.vize'!$I9,"")</f>
        <v/>
      </c>
      <c r="AN9" s="38" t="str">
        <f>IFERROR('1.vize'!AY9*100/'1.vize'!$I9,"")</f>
        <v/>
      </c>
      <c r="AO9" s="38" t="str">
        <f>IFERROR('1.vize'!AZ9*100/'1.vize'!$I9,"")</f>
        <v/>
      </c>
      <c r="AP9" s="38" t="str">
        <f>IFERROR('1.vize'!BA9*100/'1.vize'!$I9,"")</f>
        <v/>
      </c>
      <c r="AQ9" s="38" t="str">
        <f>IFERROR('1.vize'!BB9*100/'1.vize'!$I9,"")</f>
        <v/>
      </c>
      <c r="AR9" s="38" t="str">
        <f>IFERROR('1.vize'!BC9*100/'1.vize'!$I9,"")</f>
        <v/>
      </c>
      <c r="AS9" s="38" t="str">
        <f>IFERROR('1.vize'!BD9*100/'1.vize'!$I9,"")</f>
        <v/>
      </c>
      <c r="AT9" s="38" t="str">
        <f>IFERROR('1.vize'!BE9*100/'1.vize'!$I9,"")</f>
        <v/>
      </c>
      <c r="AU9" s="38" t="str">
        <f>IFERROR('1.vize'!BF9*100/'1.vize'!$I9,"")</f>
        <v/>
      </c>
      <c r="AV9" s="38" t="str">
        <f>IFERROR('1.vize'!BG9*100/'1.vize'!$I9,"")</f>
        <v/>
      </c>
      <c r="AW9" s="38" t="str">
        <f>IFERROR('1.vize'!BH9*100/'1.vize'!$I9,"")</f>
        <v/>
      </c>
      <c r="AX9" s="38" t="str">
        <f>IFERROR('1.vize'!BI9*100/'1.vize'!$I9,"")</f>
        <v/>
      </c>
      <c r="AY9" s="38" t="str">
        <f>IFERROR('1.vize'!BJ9*100/'1.vize'!$I9,"")</f>
        <v/>
      </c>
      <c r="AZ9" s="38" t="str">
        <f>IFERROR('1.vize'!BK9*100/'1.vize'!$I9,"")</f>
        <v/>
      </c>
      <c r="BA9" s="38" t="str">
        <f>IFERROR('1.vize'!BL9*100/'1.vize'!$I9,"")</f>
        <v/>
      </c>
      <c r="BB9" s="38" t="str">
        <f>IFERROR('1.vize'!BM9*100/'1.vize'!$I9,"")</f>
        <v/>
      </c>
      <c r="BC9" s="38" t="str">
        <f>IFERROR('1.vize'!BN9*100/'1.vize'!$I9,"")</f>
        <v/>
      </c>
      <c r="BD9" s="38" t="str">
        <f>IFERROR('1.vize'!BO9*100/'1.vize'!$I9,"")</f>
        <v/>
      </c>
      <c r="BE9" s="38" t="str">
        <f>IFERROR('1.vize'!BP9*100/'1.vize'!$I9,"")</f>
        <v/>
      </c>
      <c r="BF9" s="38" t="str">
        <f>IFERROR('1.vize'!BQ9*100/'1.vize'!$I9,"")</f>
        <v/>
      </c>
      <c r="BG9" s="38" t="str">
        <f>IFERROR('1.vize'!BR9*100/'1.vize'!$I9,"")</f>
        <v/>
      </c>
      <c r="BH9" s="38" t="str">
        <f>IFERROR('1.vize'!BS9*100/'1.vize'!$I9,"")</f>
        <v/>
      </c>
      <c r="BI9" s="38" t="str">
        <f>IFERROR('1.vize'!BT9*100/'1.vize'!$I9,"")</f>
        <v/>
      </c>
      <c r="BJ9" s="38" t="str">
        <f>IFERROR('1.vize'!BU9*100/'1.vize'!$I9,"")</f>
        <v/>
      </c>
      <c r="BK9" s="38" t="str">
        <f>IFERROR('1.vize'!BV9*100/'1.vize'!$I9,"")</f>
        <v/>
      </c>
      <c r="BL9" s="38" t="str">
        <f>IFERROR('1.vize'!BW9*100/'1.vize'!$I9,"")</f>
        <v/>
      </c>
      <c r="BM9" s="38" t="str">
        <f>IFERROR('1.vize'!BX9*100/'1.vize'!$I9,"")</f>
        <v/>
      </c>
      <c r="BN9" s="38" t="str">
        <f>IFERROR('1.vize'!BY9*100/'1.vize'!$I9,"")</f>
        <v/>
      </c>
      <c r="BO9" s="38" t="str">
        <f>IFERROR('1.vize'!BZ9*100/'1.vize'!$I9,"")</f>
        <v/>
      </c>
      <c r="BP9" s="38" t="str">
        <f>IFERROR('1.vize'!CA9*100/'1.vize'!$I9,"")</f>
        <v/>
      </c>
      <c r="BQ9" s="38" t="str">
        <f>IFERROR('1.vize'!CB9*100/'1.vize'!$I9,"")</f>
        <v/>
      </c>
      <c r="BR9" s="38" t="str">
        <f>IFERROR('1.vize'!CC9*100/'1.vize'!$I9,"")</f>
        <v/>
      </c>
      <c r="BS9" s="38" t="str">
        <f>IFERROR('1.vize'!CD9*100/'1.vize'!$I9,"")</f>
        <v/>
      </c>
      <c r="BT9" s="38" t="str">
        <f>IFERROR('1.vize'!CE9*100/'1.vize'!$I9,"")</f>
        <v/>
      </c>
      <c r="BU9" s="38" t="str">
        <f>IFERROR('1.vize'!CF9*100/'1.vize'!$I9,"")</f>
        <v/>
      </c>
      <c r="BV9" s="38" t="str">
        <f>IFERROR('1.vize'!CG9*100/'1.vize'!$I9,"")</f>
        <v/>
      </c>
      <c r="BW9" s="38" t="str">
        <f>IFERROR('1.vize'!CH9*100/'1.vize'!$I9,"")</f>
        <v/>
      </c>
      <c r="BX9" s="38" t="str">
        <f>IFERROR('1.vize'!CI9*100/'1.vize'!$I9,"")</f>
        <v/>
      </c>
      <c r="BY9" s="38" t="str">
        <f>IFERROR('1.vize'!CJ9*100/'1.vize'!$I9,"")</f>
        <v/>
      </c>
      <c r="BZ9" s="38" t="str">
        <f>IFERROR('1.vize'!CK9*100/'1.vize'!$I9,"")</f>
        <v/>
      </c>
      <c r="CA9" s="38" t="str">
        <f>IFERROR('1.vize'!CL9*100/'1.vize'!$I9,"")</f>
        <v/>
      </c>
      <c r="CB9" s="38" t="str">
        <f>IFERROR('1.vize'!CM9*100/'1.vize'!$I9,"")</f>
        <v/>
      </c>
      <c r="CC9" s="38" t="str">
        <f>IFERROR('1.vize'!CN9*100/'1.vize'!$I9,"")</f>
        <v/>
      </c>
      <c r="CD9" s="38" t="str">
        <f>IFERROR('1.vize'!CO9*100/'1.vize'!$I9,"")</f>
        <v/>
      </c>
      <c r="CE9" s="38" t="str">
        <f>IFERROR('1.vize'!CP9*100/'1.vize'!$I9,"")</f>
        <v/>
      </c>
      <c r="CF9" s="38" t="str">
        <f>IFERROR('1.vize'!CQ9*100/'1.vize'!$I9,"")</f>
        <v/>
      </c>
      <c r="CG9" s="38" t="str">
        <f>IFERROR('1.vize'!CR9*100/'1.vize'!$I9,"")</f>
        <v/>
      </c>
      <c r="CH9" s="38" t="str">
        <f>IFERROR('1.vize'!CS9*100/'1.vize'!$I9,"")</f>
        <v/>
      </c>
      <c r="CI9" s="38" t="str">
        <f>IFERROR('1.vize'!CT9*100/'1.vize'!$I9,"")</f>
        <v/>
      </c>
      <c r="CJ9" s="38" t="str">
        <f>IFERROR('1.vize'!CU9*100/'1.vize'!$I9,"")</f>
        <v/>
      </c>
      <c r="CK9" s="38" t="str">
        <f>IFERROR('1.vize'!CV9*100/'1.vize'!$I9,"")</f>
        <v/>
      </c>
      <c r="CL9" s="38" t="str">
        <f>IFERROR('1.vize'!CW9*100/'1.vize'!$I9,"")</f>
        <v/>
      </c>
      <c r="CM9" s="38" t="str">
        <f>IFERROR('1.vize'!CX9*100/'1.vize'!$I9,"")</f>
        <v/>
      </c>
      <c r="CN9" s="38" t="str">
        <f>IFERROR('1.vize'!CY9*100/'1.vize'!$I9,"")</f>
        <v/>
      </c>
      <c r="CO9" s="38" t="str">
        <f>IFERROR('1.vize'!CZ9*100/'1.vize'!$I9,"")</f>
        <v/>
      </c>
      <c r="CP9" s="38" t="str">
        <f>IFERROR('1.vize'!DA9*100/'1.vize'!$I9,"")</f>
        <v/>
      </c>
      <c r="CQ9" s="38" t="str">
        <f>IFERROR('1.vize'!DB9*100/'1.vize'!$I9,"")</f>
        <v/>
      </c>
      <c r="CR9" s="38" t="str">
        <f>IFERROR('1.vize'!DC9*100/'1.vize'!$I9,"")</f>
        <v/>
      </c>
      <c r="CS9" s="38" t="str">
        <f>IFERROR('1.vize'!DD9*100/'1.vize'!$I9,"")</f>
        <v/>
      </c>
      <c r="CT9" s="38" t="str">
        <f>IFERROR('1.vize'!DE9*100/'1.vize'!$I9,"")</f>
        <v/>
      </c>
      <c r="CU9" s="38" t="str">
        <f>IFERROR('1.vize'!DF9*100/'1.vize'!$I9,"")</f>
        <v/>
      </c>
      <c r="CV9" s="38" t="str">
        <f>IFERROR('1.vize'!DG9*100/'1.vize'!$I9,"")</f>
        <v/>
      </c>
      <c r="CW9" s="32" t="str">
        <f>IFERROR(SUM(A9:CV9)/'1.vize'!$DH$103,"")</f>
        <v/>
      </c>
      <c r="CX9" s="14" t="str">
        <f>IF(COUNTA('1.vize'!A9),'1.vize'!A9,"")</f>
        <v/>
      </c>
      <c r="CY9" s="14" t="str">
        <f>IF(COUNTA('1.vize'!B9),'1.vize'!B9,"")</f>
        <v/>
      </c>
      <c r="CZ9" s="14" t="str">
        <f>IF(COUNTA('1.vize'!C9),'1.vize'!C9,"")</f>
        <v/>
      </c>
      <c r="DA9" s="14" t="str">
        <f>IF(COUNTA('1.vize'!D9),'1.vize'!D9,"")</f>
        <v/>
      </c>
      <c r="DB9" s="14" t="str">
        <f>IF(COUNTA('1.vize'!E9),'1.vize'!E9,"")</f>
        <v/>
      </c>
      <c r="DC9" s="14" t="str">
        <f>IF(COUNTA('1.vize'!F9),'1.vize'!F9,"")</f>
        <v/>
      </c>
      <c r="DD9" s="14" t="str">
        <f>IF(COUNTA('1.vize'!G9),'1.vize'!G9,"")</f>
        <v/>
      </c>
      <c r="DE9" s="14" t="str">
        <f>IF(COUNTA('1.vize'!H9),'1.vize'!H9,"")</f>
        <v/>
      </c>
      <c r="DF9" s="33"/>
    </row>
    <row r="10" spans="1:118" x14ac:dyDescent="0.2">
      <c r="A10" s="38" t="str">
        <f>IFERROR('1.vize'!L10*100/'1.vize'!$I10,"")</f>
        <v/>
      </c>
      <c r="B10" s="38" t="str">
        <f>IFERROR('1.vize'!M10*100/'1.vize'!$I10,"")</f>
        <v/>
      </c>
      <c r="C10" s="38" t="str">
        <f>IFERROR('1.vize'!N10*100/'1.vize'!$I10,"")</f>
        <v/>
      </c>
      <c r="D10" s="38" t="str">
        <f>IFERROR('1.vize'!O10*100/'1.vize'!$I10,"")</f>
        <v/>
      </c>
      <c r="E10" s="38" t="str">
        <f>IFERROR('1.vize'!P10*100/'1.vize'!$I10,"")</f>
        <v/>
      </c>
      <c r="F10" s="38" t="str">
        <f>IFERROR('1.vize'!Q10*100/'1.vize'!$I10,"")</f>
        <v/>
      </c>
      <c r="G10" s="38" t="str">
        <f>IFERROR('1.vize'!R10*100/'1.vize'!$I10,"")</f>
        <v/>
      </c>
      <c r="H10" s="38" t="str">
        <f>IFERROR('1.vize'!S10*100/'1.vize'!$I10,"")</f>
        <v/>
      </c>
      <c r="I10" s="38" t="str">
        <f>IFERROR('1.vize'!T10*100/'1.vize'!$I10,"")</f>
        <v/>
      </c>
      <c r="J10" s="38" t="str">
        <f>IFERROR('1.vize'!U10*100/'1.vize'!$I10,"")</f>
        <v/>
      </c>
      <c r="K10" s="38" t="str">
        <f>IFERROR('1.vize'!V10*100/'1.vize'!$I10,"")</f>
        <v/>
      </c>
      <c r="L10" s="38" t="str">
        <f>IFERROR('1.vize'!W10*100/'1.vize'!$I10,"")</f>
        <v/>
      </c>
      <c r="M10" s="38" t="str">
        <f>IFERROR('1.vize'!X10*100/'1.vize'!$I10,"")</f>
        <v/>
      </c>
      <c r="N10" s="38" t="str">
        <f>IFERROR('1.vize'!Y10*100/'1.vize'!$I10,"")</f>
        <v/>
      </c>
      <c r="O10" s="38" t="str">
        <f>IFERROR('1.vize'!Z10*100/'1.vize'!$I10,"")</f>
        <v/>
      </c>
      <c r="P10" s="38" t="str">
        <f>IFERROR('1.vize'!AA10*100/'1.vize'!$I10,"")</f>
        <v/>
      </c>
      <c r="Q10" s="38" t="str">
        <f>IFERROR('1.vize'!AB10*100/'1.vize'!$I10,"")</f>
        <v/>
      </c>
      <c r="R10" s="38" t="str">
        <f>IFERROR('1.vize'!AC10*100/'1.vize'!$I10,"")</f>
        <v/>
      </c>
      <c r="S10" s="38" t="str">
        <f>IFERROR('1.vize'!AD10*100/'1.vize'!$I10,"")</f>
        <v/>
      </c>
      <c r="T10" s="38" t="str">
        <f>IFERROR('1.vize'!AE10*100/'1.vize'!$I10,"")</f>
        <v/>
      </c>
      <c r="U10" s="38" t="str">
        <f>IFERROR('1.vize'!AF10*100/'1.vize'!$I10,"")</f>
        <v/>
      </c>
      <c r="V10" s="38" t="str">
        <f>IFERROR('1.vize'!AG10*100/'1.vize'!$I10,"")</f>
        <v/>
      </c>
      <c r="W10" s="38" t="str">
        <f>IFERROR('1.vize'!AH10*100/'1.vize'!$I10,"")</f>
        <v/>
      </c>
      <c r="X10" s="38" t="str">
        <f>IFERROR('1.vize'!AI10*100/'1.vize'!$I10,"")</f>
        <v/>
      </c>
      <c r="Y10" s="38" t="str">
        <f>IFERROR('1.vize'!AJ10*100/'1.vize'!$I10,"")</f>
        <v/>
      </c>
      <c r="Z10" s="38" t="str">
        <f>IFERROR('1.vize'!AK10*100/'1.vize'!$I10,"")</f>
        <v/>
      </c>
      <c r="AA10" s="38" t="str">
        <f>IFERROR('1.vize'!AL10*100/'1.vize'!$I10,"")</f>
        <v/>
      </c>
      <c r="AB10" s="38" t="str">
        <f>IFERROR('1.vize'!AM10*100/'1.vize'!$I10,"")</f>
        <v/>
      </c>
      <c r="AC10" s="38" t="str">
        <f>IFERROR('1.vize'!AN10*100/'1.vize'!$I10,"")</f>
        <v/>
      </c>
      <c r="AD10" s="38" t="str">
        <f>IFERROR('1.vize'!AO10*100/'1.vize'!$I10,"")</f>
        <v/>
      </c>
      <c r="AE10" s="38" t="str">
        <f>IFERROR('1.vize'!AP10*100/'1.vize'!$I10,"")</f>
        <v/>
      </c>
      <c r="AF10" s="38" t="str">
        <f>IFERROR('1.vize'!AQ10*100/'1.vize'!$I10,"")</f>
        <v/>
      </c>
      <c r="AG10" s="38" t="str">
        <f>IFERROR('1.vize'!AR10*100/'1.vize'!$I10,"")</f>
        <v/>
      </c>
      <c r="AH10" s="38" t="str">
        <f>IFERROR('1.vize'!AS10*100/'1.vize'!$I10,"")</f>
        <v/>
      </c>
      <c r="AI10" s="38" t="str">
        <f>IFERROR('1.vize'!AT10*100/'1.vize'!$I10,"")</f>
        <v/>
      </c>
      <c r="AJ10" s="38" t="str">
        <f>IFERROR('1.vize'!AU10*100/'1.vize'!$I10,"")</f>
        <v/>
      </c>
      <c r="AK10" s="38" t="str">
        <f>IFERROR('1.vize'!AV10*100/'1.vize'!$I10,"")</f>
        <v/>
      </c>
      <c r="AL10" s="38" t="str">
        <f>IFERROR('1.vize'!AW10*100/'1.vize'!$I10,"")</f>
        <v/>
      </c>
      <c r="AM10" s="38" t="str">
        <f>IFERROR('1.vize'!AX10*100/'1.vize'!$I10,"")</f>
        <v/>
      </c>
      <c r="AN10" s="38" t="str">
        <f>IFERROR('1.vize'!AY10*100/'1.vize'!$I10,"")</f>
        <v/>
      </c>
      <c r="AO10" s="38" t="str">
        <f>IFERROR('1.vize'!AZ10*100/'1.vize'!$I10,"")</f>
        <v/>
      </c>
      <c r="AP10" s="38" t="str">
        <f>IFERROR('1.vize'!BA10*100/'1.vize'!$I10,"")</f>
        <v/>
      </c>
      <c r="AQ10" s="38" t="str">
        <f>IFERROR('1.vize'!BB10*100/'1.vize'!$I10,"")</f>
        <v/>
      </c>
      <c r="AR10" s="38" t="str">
        <f>IFERROR('1.vize'!BC10*100/'1.vize'!$I10,"")</f>
        <v/>
      </c>
      <c r="AS10" s="38" t="str">
        <f>IFERROR('1.vize'!BD10*100/'1.vize'!$I10,"")</f>
        <v/>
      </c>
      <c r="AT10" s="38" t="str">
        <f>IFERROR('1.vize'!BE10*100/'1.vize'!$I10,"")</f>
        <v/>
      </c>
      <c r="AU10" s="38" t="str">
        <f>IFERROR('1.vize'!BF10*100/'1.vize'!$I10,"")</f>
        <v/>
      </c>
      <c r="AV10" s="38" t="str">
        <f>IFERROR('1.vize'!BG10*100/'1.vize'!$I10,"")</f>
        <v/>
      </c>
      <c r="AW10" s="38" t="str">
        <f>IFERROR('1.vize'!BH10*100/'1.vize'!$I10,"")</f>
        <v/>
      </c>
      <c r="AX10" s="38" t="str">
        <f>IFERROR('1.vize'!BI10*100/'1.vize'!$I10,"")</f>
        <v/>
      </c>
      <c r="AY10" s="38" t="str">
        <f>IFERROR('1.vize'!BJ10*100/'1.vize'!$I10,"")</f>
        <v/>
      </c>
      <c r="AZ10" s="38" t="str">
        <f>IFERROR('1.vize'!BK10*100/'1.vize'!$I10,"")</f>
        <v/>
      </c>
      <c r="BA10" s="38" t="str">
        <f>IFERROR('1.vize'!BL10*100/'1.vize'!$I10,"")</f>
        <v/>
      </c>
      <c r="BB10" s="38" t="str">
        <f>IFERROR('1.vize'!BM10*100/'1.vize'!$I10,"")</f>
        <v/>
      </c>
      <c r="BC10" s="38" t="str">
        <f>IFERROR('1.vize'!BN10*100/'1.vize'!$I10,"")</f>
        <v/>
      </c>
      <c r="BD10" s="38" t="str">
        <f>IFERROR('1.vize'!BO10*100/'1.vize'!$I10,"")</f>
        <v/>
      </c>
      <c r="BE10" s="38" t="str">
        <f>IFERROR('1.vize'!BP10*100/'1.vize'!$I10,"")</f>
        <v/>
      </c>
      <c r="BF10" s="38" t="str">
        <f>IFERROR('1.vize'!BQ10*100/'1.vize'!$I10,"")</f>
        <v/>
      </c>
      <c r="BG10" s="38" t="str">
        <f>IFERROR('1.vize'!BR10*100/'1.vize'!$I10,"")</f>
        <v/>
      </c>
      <c r="BH10" s="38" t="str">
        <f>IFERROR('1.vize'!BS10*100/'1.vize'!$I10,"")</f>
        <v/>
      </c>
      <c r="BI10" s="38" t="str">
        <f>IFERROR('1.vize'!BT10*100/'1.vize'!$I10,"")</f>
        <v/>
      </c>
      <c r="BJ10" s="38" t="str">
        <f>IFERROR('1.vize'!BU10*100/'1.vize'!$I10,"")</f>
        <v/>
      </c>
      <c r="BK10" s="38" t="str">
        <f>IFERROR('1.vize'!BV10*100/'1.vize'!$I10,"")</f>
        <v/>
      </c>
      <c r="BL10" s="38" t="str">
        <f>IFERROR('1.vize'!BW10*100/'1.vize'!$I10,"")</f>
        <v/>
      </c>
      <c r="BM10" s="38" t="str">
        <f>IFERROR('1.vize'!BX10*100/'1.vize'!$I10,"")</f>
        <v/>
      </c>
      <c r="BN10" s="38" t="str">
        <f>IFERROR('1.vize'!BY10*100/'1.vize'!$I10,"")</f>
        <v/>
      </c>
      <c r="BO10" s="38" t="str">
        <f>IFERROR('1.vize'!BZ10*100/'1.vize'!$I10,"")</f>
        <v/>
      </c>
      <c r="BP10" s="38" t="str">
        <f>IFERROR('1.vize'!CA10*100/'1.vize'!$I10,"")</f>
        <v/>
      </c>
      <c r="BQ10" s="38" t="str">
        <f>IFERROR('1.vize'!CB10*100/'1.vize'!$I10,"")</f>
        <v/>
      </c>
      <c r="BR10" s="38" t="str">
        <f>IFERROR('1.vize'!CC10*100/'1.vize'!$I10,"")</f>
        <v/>
      </c>
      <c r="BS10" s="38" t="str">
        <f>IFERROR('1.vize'!CD10*100/'1.vize'!$I10,"")</f>
        <v/>
      </c>
      <c r="BT10" s="38" t="str">
        <f>IFERROR('1.vize'!CE10*100/'1.vize'!$I10,"")</f>
        <v/>
      </c>
      <c r="BU10" s="38" t="str">
        <f>IFERROR('1.vize'!CF10*100/'1.vize'!$I10,"")</f>
        <v/>
      </c>
      <c r="BV10" s="38" t="str">
        <f>IFERROR('1.vize'!CG10*100/'1.vize'!$I10,"")</f>
        <v/>
      </c>
      <c r="BW10" s="38" t="str">
        <f>IFERROR('1.vize'!CH10*100/'1.vize'!$I10,"")</f>
        <v/>
      </c>
      <c r="BX10" s="38" t="str">
        <f>IFERROR('1.vize'!CI10*100/'1.vize'!$I10,"")</f>
        <v/>
      </c>
      <c r="BY10" s="38" t="str">
        <f>IFERROR('1.vize'!CJ10*100/'1.vize'!$I10,"")</f>
        <v/>
      </c>
      <c r="BZ10" s="38" t="str">
        <f>IFERROR('1.vize'!CK10*100/'1.vize'!$I10,"")</f>
        <v/>
      </c>
      <c r="CA10" s="38" t="str">
        <f>IFERROR('1.vize'!CL10*100/'1.vize'!$I10,"")</f>
        <v/>
      </c>
      <c r="CB10" s="38" t="str">
        <f>IFERROR('1.vize'!CM10*100/'1.vize'!$I10,"")</f>
        <v/>
      </c>
      <c r="CC10" s="38" t="str">
        <f>IFERROR('1.vize'!CN10*100/'1.vize'!$I10,"")</f>
        <v/>
      </c>
      <c r="CD10" s="38" t="str">
        <f>IFERROR('1.vize'!CO10*100/'1.vize'!$I10,"")</f>
        <v/>
      </c>
      <c r="CE10" s="38" t="str">
        <f>IFERROR('1.vize'!CP10*100/'1.vize'!$I10,"")</f>
        <v/>
      </c>
      <c r="CF10" s="38" t="str">
        <f>IFERROR('1.vize'!CQ10*100/'1.vize'!$I10,"")</f>
        <v/>
      </c>
      <c r="CG10" s="38" t="str">
        <f>IFERROR('1.vize'!CR10*100/'1.vize'!$I10,"")</f>
        <v/>
      </c>
      <c r="CH10" s="38" t="str">
        <f>IFERROR('1.vize'!CS10*100/'1.vize'!$I10,"")</f>
        <v/>
      </c>
      <c r="CI10" s="38" t="str">
        <f>IFERROR('1.vize'!CT10*100/'1.vize'!$I10,"")</f>
        <v/>
      </c>
      <c r="CJ10" s="38" t="str">
        <f>IFERROR('1.vize'!CU10*100/'1.vize'!$I10,"")</f>
        <v/>
      </c>
      <c r="CK10" s="38" t="str">
        <f>IFERROR('1.vize'!CV10*100/'1.vize'!$I10,"")</f>
        <v/>
      </c>
      <c r="CL10" s="38" t="str">
        <f>IFERROR('1.vize'!CW10*100/'1.vize'!$I10,"")</f>
        <v/>
      </c>
      <c r="CM10" s="38" t="str">
        <f>IFERROR('1.vize'!CX10*100/'1.vize'!$I10,"")</f>
        <v/>
      </c>
      <c r="CN10" s="38" t="str">
        <f>IFERROR('1.vize'!CY10*100/'1.vize'!$I10,"")</f>
        <v/>
      </c>
      <c r="CO10" s="38" t="str">
        <f>IFERROR('1.vize'!CZ10*100/'1.vize'!$I10,"")</f>
        <v/>
      </c>
      <c r="CP10" s="38" t="str">
        <f>IFERROR('1.vize'!DA10*100/'1.vize'!$I10,"")</f>
        <v/>
      </c>
      <c r="CQ10" s="38" t="str">
        <f>IFERROR('1.vize'!DB10*100/'1.vize'!$I10,"")</f>
        <v/>
      </c>
      <c r="CR10" s="38" t="str">
        <f>IFERROR('1.vize'!DC10*100/'1.vize'!$I10,"")</f>
        <v/>
      </c>
      <c r="CS10" s="38" t="str">
        <f>IFERROR('1.vize'!DD10*100/'1.vize'!$I10,"")</f>
        <v/>
      </c>
      <c r="CT10" s="38" t="str">
        <f>IFERROR('1.vize'!DE10*100/'1.vize'!$I10,"")</f>
        <v/>
      </c>
      <c r="CU10" s="38" t="str">
        <f>IFERROR('1.vize'!DF10*100/'1.vize'!$I10,"")</f>
        <v/>
      </c>
      <c r="CV10" s="38" t="str">
        <f>IFERROR('1.vize'!DG10*100/'1.vize'!$I10,"")</f>
        <v/>
      </c>
      <c r="CW10" s="32" t="str">
        <f>IFERROR(SUM(A10:CV10)/'1.vize'!$DH$103,"")</f>
        <v/>
      </c>
      <c r="CX10" s="14" t="str">
        <f>IF(COUNTA('1.vize'!A10),'1.vize'!A10,"")</f>
        <v/>
      </c>
      <c r="CY10" s="14" t="str">
        <f>IF(COUNTA('1.vize'!B10),'1.vize'!B10,"")</f>
        <v/>
      </c>
      <c r="CZ10" s="14" t="str">
        <f>IF(COUNTA('1.vize'!C10),'1.vize'!C10,"")</f>
        <v/>
      </c>
      <c r="DA10" s="14" t="str">
        <f>IF(COUNTA('1.vize'!D10),'1.vize'!D10,"")</f>
        <v/>
      </c>
      <c r="DB10" s="14" t="str">
        <f>IF(COUNTA('1.vize'!E10),'1.vize'!E10,"")</f>
        <v/>
      </c>
      <c r="DC10" s="14" t="str">
        <f>IF(COUNTA('1.vize'!F10),'1.vize'!F10,"")</f>
        <v/>
      </c>
      <c r="DD10" s="14" t="str">
        <f>IF(COUNTA('1.vize'!G10),'1.vize'!G10,"")</f>
        <v/>
      </c>
      <c r="DE10" s="14" t="str">
        <f>IF(COUNTA('1.vize'!H10),'1.vize'!H10,"")</f>
        <v/>
      </c>
      <c r="DF10" s="33"/>
    </row>
    <row r="11" spans="1:118" x14ac:dyDescent="0.2">
      <c r="A11" s="38" t="str">
        <f>IFERROR('1.vize'!L11*100/'1.vize'!$I11,"")</f>
        <v/>
      </c>
      <c r="B11" s="38" t="str">
        <f>IFERROR('1.vize'!M11*100/'1.vize'!$I11,"")</f>
        <v/>
      </c>
      <c r="C11" s="38" t="str">
        <f>IFERROR('1.vize'!N11*100/'1.vize'!$I11,"")</f>
        <v/>
      </c>
      <c r="D11" s="38" t="str">
        <f>IFERROR('1.vize'!O11*100/'1.vize'!$I11,"")</f>
        <v/>
      </c>
      <c r="E11" s="38" t="str">
        <f>IFERROR('1.vize'!P11*100/'1.vize'!$I11,"")</f>
        <v/>
      </c>
      <c r="F11" s="38" t="str">
        <f>IFERROR('1.vize'!Q11*100/'1.vize'!$I11,"")</f>
        <v/>
      </c>
      <c r="G11" s="38" t="str">
        <f>IFERROR('1.vize'!R11*100/'1.vize'!$I11,"")</f>
        <v/>
      </c>
      <c r="H11" s="38" t="str">
        <f>IFERROR('1.vize'!S11*100/'1.vize'!$I11,"")</f>
        <v/>
      </c>
      <c r="I11" s="38" t="str">
        <f>IFERROR('1.vize'!T11*100/'1.vize'!$I11,"")</f>
        <v/>
      </c>
      <c r="J11" s="38" t="str">
        <f>IFERROR('1.vize'!U11*100/'1.vize'!$I11,"")</f>
        <v/>
      </c>
      <c r="K11" s="38" t="str">
        <f>IFERROR('1.vize'!V11*100/'1.vize'!$I11,"")</f>
        <v/>
      </c>
      <c r="L11" s="38" t="str">
        <f>IFERROR('1.vize'!W11*100/'1.vize'!$I11,"")</f>
        <v/>
      </c>
      <c r="M11" s="38" t="str">
        <f>IFERROR('1.vize'!X11*100/'1.vize'!$I11,"")</f>
        <v/>
      </c>
      <c r="N11" s="38" t="str">
        <f>IFERROR('1.vize'!Y11*100/'1.vize'!$I11,"")</f>
        <v/>
      </c>
      <c r="O11" s="38" t="str">
        <f>IFERROR('1.vize'!Z11*100/'1.vize'!$I11,"")</f>
        <v/>
      </c>
      <c r="P11" s="38" t="str">
        <f>IFERROR('1.vize'!AA11*100/'1.vize'!$I11,"")</f>
        <v/>
      </c>
      <c r="Q11" s="38" t="str">
        <f>IFERROR('1.vize'!AB11*100/'1.vize'!$I11,"")</f>
        <v/>
      </c>
      <c r="R11" s="38" t="str">
        <f>IFERROR('1.vize'!AC11*100/'1.vize'!$I11,"")</f>
        <v/>
      </c>
      <c r="S11" s="38" t="str">
        <f>IFERROR('1.vize'!AD11*100/'1.vize'!$I11,"")</f>
        <v/>
      </c>
      <c r="T11" s="38" t="str">
        <f>IFERROR('1.vize'!AE11*100/'1.vize'!$I11,"")</f>
        <v/>
      </c>
      <c r="U11" s="38" t="str">
        <f>IFERROR('1.vize'!AF11*100/'1.vize'!$I11,"")</f>
        <v/>
      </c>
      <c r="V11" s="38" t="str">
        <f>IFERROR('1.vize'!AG11*100/'1.vize'!$I11,"")</f>
        <v/>
      </c>
      <c r="W11" s="38" t="str">
        <f>IFERROR('1.vize'!AH11*100/'1.vize'!$I11,"")</f>
        <v/>
      </c>
      <c r="X11" s="38" t="str">
        <f>IFERROR('1.vize'!AI11*100/'1.vize'!$I11,"")</f>
        <v/>
      </c>
      <c r="Y11" s="38" t="str">
        <f>IFERROR('1.vize'!AJ11*100/'1.vize'!$I11,"")</f>
        <v/>
      </c>
      <c r="Z11" s="38" t="str">
        <f>IFERROR('1.vize'!AK11*100/'1.vize'!$I11,"")</f>
        <v/>
      </c>
      <c r="AA11" s="38" t="str">
        <f>IFERROR('1.vize'!AL11*100/'1.vize'!$I11,"")</f>
        <v/>
      </c>
      <c r="AB11" s="38" t="str">
        <f>IFERROR('1.vize'!AM11*100/'1.vize'!$I11,"")</f>
        <v/>
      </c>
      <c r="AC11" s="38" t="str">
        <f>IFERROR('1.vize'!AN11*100/'1.vize'!$I11,"")</f>
        <v/>
      </c>
      <c r="AD11" s="38" t="str">
        <f>IFERROR('1.vize'!AO11*100/'1.vize'!$I11,"")</f>
        <v/>
      </c>
      <c r="AE11" s="38" t="str">
        <f>IFERROR('1.vize'!AP11*100/'1.vize'!$I11,"")</f>
        <v/>
      </c>
      <c r="AF11" s="38" t="str">
        <f>IFERROR('1.vize'!AQ11*100/'1.vize'!$I11,"")</f>
        <v/>
      </c>
      <c r="AG11" s="38" t="str">
        <f>IFERROR('1.vize'!AR11*100/'1.vize'!$I11,"")</f>
        <v/>
      </c>
      <c r="AH11" s="38" t="str">
        <f>IFERROR('1.vize'!AS11*100/'1.vize'!$I11,"")</f>
        <v/>
      </c>
      <c r="AI11" s="38" t="str">
        <f>IFERROR('1.vize'!AT11*100/'1.vize'!$I11,"")</f>
        <v/>
      </c>
      <c r="AJ11" s="38" t="str">
        <f>IFERROR('1.vize'!AU11*100/'1.vize'!$I11,"")</f>
        <v/>
      </c>
      <c r="AK11" s="38" t="str">
        <f>IFERROR('1.vize'!AV11*100/'1.vize'!$I11,"")</f>
        <v/>
      </c>
      <c r="AL11" s="38" t="str">
        <f>IFERROR('1.vize'!AW11*100/'1.vize'!$I11,"")</f>
        <v/>
      </c>
      <c r="AM11" s="38" t="str">
        <f>IFERROR('1.vize'!AX11*100/'1.vize'!$I11,"")</f>
        <v/>
      </c>
      <c r="AN11" s="38" t="str">
        <f>IFERROR('1.vize'!AY11*100/'1.vize'!$I11,"")</f>
        <v/>
      </c>
      <c r="AO11" s="38" t="str">
        <f>IFERROR('1.vize'!AZ11*100/'1.vize'!$I11,"")</f>
        <v/>
      </c>
      <c r="AP11" s="38" t="str">
        <f>IFERROR('1.vize'!BA11*100/'1.vize'!$I11,"")</f>
        <v/>
      </c>
      <c r="AQ11" s="38" t="str">
        <f>IFERROR('1.vize'!BB11*100/'1.vize'!$I11,"")</f>
        <v/>
      </c>
      <c r="AR11" s="38" t="str">
        <f>IFERROR('1.vize'!BC11*100/'1.vize'!$I11,"")</f>
        <v/>
      </c>
      <c r="AS11" s="38" t="str">
        <f>IFERROR('1.vize'!BD11*100/'1.vize'!$I11,"")</f>
        <v/>
      </c>
      <c r="AT11" s="38" t="str">
        <f>IFERROR('1.vize'!BE11*100/'1.vize'!$I11,"")</f>
        <v/>
      </c>
      <c r="AU11" s="38" t="str">
        <f>IFERROR('1.vize'!BF11*100/'1.vize'!$I11,"")</f>
        <v/>
      </c>
      <c r="AV11" s="38" t="str">
        <f>IFERROR('1.vize'!BG11*100/'1.vize'!$I11,"")</f>
        <v/>
      </c>
      <c r="AW11" s="38" t="str">
        <f>IFERROR('1.vize'!BH11*100/'1.vize'!$I11,"")</f>
        <v/>
      </c>
      <c r="AX11" s="38" t="str">
        <f>IFERROR('1.vize'!BI11*100/'1.vize'!$I11,"")</f>
        <v/>
      </c>
      <c r="AY11" s="38" t="str">
        <f>IFERROR('1.vize'!BJ11*100/'1.vize'!$I11,"")</f>
        <v/>
      </c>
      <c r="AZ11" s="38" t="str">
        <f>IFERROR('1.vize'!BK11*100/'1.vize'!$I11,"")</f>
        <v/>
      </c>
      <c r="BA11" s="38" t="str">
        <f>IFERROR('1.vize'!BL11*100/'1.vize'!$I11,"")</f>
        <v/>
      </c>
      <c r="BB11" s="38" t="str">
        <f>IFERROR('1.vize'!BM11*100/'1.vize'!$I11,"")</f>
        <v/>
      </c>
      <c r="BC11" s="38" t="str">
        <f>IFERROR('1.vize'!BN11*100/'1.vize'!$I11,"")</f>
        <v/>
      </c>
      <c r="BD11" s="38" t="str">
        <f>IFERROR('1.vize'!BO11*100/'1.vize'!$I11,"")</f>
        <v/>
      </c>
      <c r="BE11" s="38" t="str">
        <f>IFERROR('1.vize'!BP11*100/'1.vize'!$I11,"")</f>
        <v/>
      </c>
      <c r="BF11" s="38" t="str">
        <f>IFERROR('1.vize'!BQ11*100/'1.vize'!$I11,"")</f>
        <v/>
      </c>
      <c r="BG11" s="38" t="str">
        <f>IFERROR('1.vize'!BR11*100/'1.vize'!$I11,"")</f>
        <v/>
      </c>
      <c r="BH11" s="38" t="str">
        <f>IFERROR('1.vize'!BS11*100/'1.vize'!$I11,"")</f>
        <v/>
      </c>
      <c r="BI11" s="38" t="str">
        <f>IFERROR('1.vize'!BT11*100/'1.vize'!$I11,"")</f>
        <v/>
      </c>
      <c r="BJ11" s="38" t="str">
        <f>IFERROR('1.vize'!BU11*100/'1.vize'!$I11,"")</f>
        <v/>
      </c>
      <c r="BK11" s="38" t="str">
        <f>IFERROR('1.vize'!BV11*100/'1.vize'!$I11,"")</f>
        <v/>
      </c>
      <c r="BL11" s="38" t="str">
        <f>IFERROR('1.vize'!BW11*100/'1.vize'!$I11,"")</f>
        <v/>
      </c>
      <c r="BM11" s="38" t="str">
        <f>IFERROR('1.vize'!BX11*100/'1.vize'!$I11,"")</f>
        <v/>
      </c>
      <c r="BN11" s="38" t="str">
        <f>IFERROR('1.vize'!BY11*100/'1.vize'!$I11,"")</f>
        <v/>
      </c>
      <c r="BO11" s="38" t="str">
        <f>IFERROR('1.vize'!BZ11*100/'1.vize'!$I11,"")</f>
        <v/>
      </c>
      <c r="BP11" s="38" t="str">
        <f>IFERROR('1.vize'!CA11*100/'1.vize'!$I11,"")</f>
        <v/>
      </c>
      <c r="BQ11" s="38" t="str">
        <f>IFERROR('1.vize'!CB11*100/'1.vize'!$I11,"")</f>
        <v/>
      </c>
      <c r="BR11" s="38" t="str">
        <f>IFERROR('1.vize'!CC11*100/'1.vize'!$I11,"")</f>
        <v/>
      </c>
      <c r="BS11" s="38" t="str">
        <f>IFERROR('1.vize'!CD11*100/'1.vize'!$I11,"")</f>
        <v/>
      </c>
      <c r="BT11" s="38" t="str">
        <f>IFERROR('1.vize'!CE11*100/'1.vize'!$I11,"")</f>
        <v/>
      </c>
      <c r="BU11" s="38" t="str">
        <f>IFERROR('1.vize'!CF11*100/'1.vize'!$I11,"")</f>
        <v/>
      </c>
      <c r="BV11" s="38" t="str">
        <f>IFERROR('1.vize'!CG11*100/'1.vize'!$I11,"")</f>
        <v/>
      </c>
      <c r="BW11" s="38" t="str">
        <f>IFERROR('1.vize'!CH11*100/'1.vize'!$I11,"")</f>
        <v/>
      </c>
      <c r="BX11" s="38" t="str">
        <f>IFERROR('1.vize'!CI11*100/'1.vize'!$I11,"")</f>
        <v/>
      </c>
      <c r="BY11" s="38" t="str">
        <f>IFERROR('1.vize'!CJ11*100/'1.vize'!$I11,"")</f>
        <v/>
      </c>
      <c r="BZ11" s="38" t="str">
        <f>IFERROR('1.vize'!CK11*100/'1.vize'!$I11,"")</f>
        <v/>
      </c>
      <c r="CA11" s="38" t="str">
        <f>IFERROR('1.vize'!CL11*100/'1.vize'!$I11,"")</f>
        <v/>
      </c>
      <c r="CB11" s="38" t="str">
        <f>IFERROR('1.vize'!CM11*100/'1.vize'!$I11,"")</f>
        <v/>
      </c>
      <c r="CC11" s="38" t="str">
        <f>IFERROR('1.vize'!CN11*100/'1.vize'!$I11,"")</f>
        <v/>
      </c>
      <c r="CD11" s="38" t="str">
        <f>IFERROR('1.vize'!CO11*100/'1.vize'!$I11,"")</f>
        <v/>
      </c>
      <c r="CE11" s="38" t="str">
        <f>IFERROR('1.vize'!CP11*100/'1.vize'!$I11,"")</f>
        <v/>
      </c>
      <c r="CF11" s="38" t="str">
        <f>IFERROR('1.vize'!CQ11*100/'1.vize'!$I11,"")</f>
        <v/>
      </c>
      <c r="CG11" s="38" t="str">
        <f>IFERROR('1.vize'!CR11*100/'1.vize'!$I11,"")</f>
        <v/>
      </c>
      <c r="CH11" s="38" t="str">
        <f>IFERROR('1.vize'!CS11*100/'1.vize'!$I11,"")</f>
        <v/>
      </c>
      <c r="CI11" s="38" t="str">
        <f>IFERROR('1.vize'!CT11*100/'1.vize'!$I11,"")</f>
        <v/>
      </c>
      <c r="CJ11" s="38" t="str">
        <f>IFERROR('1.vize'!CU11*100/'1.vize'!$I11,"")</f>
        <v/>
      </c>
      <c r="CK11" s="38" t="str">
        <f>IFERROR('1.vize'!CV11*100/'1.vize'!$I11,"")</f>
        <v/>
      </c>
      <c r="CL11" s="38" t="str">
        <f>IFERROR('1.vize'!CW11*100/'1.vize'!$I11,"")</f>
        <v/>
      </c>
      <c r="CM11" s="38" t="str">
        <f>IFERROR('1.vize'!CX11*100/'1.vize'!$I11,"")</f>
        <v/>
      </c>
      <c r="CN11" s="38" t="str">
        <f>IFERROR('1.vize'!CY11*100/'1.vize'!$I11,"")</f>
        <v/>
      </c>
      <c r="CO11" s="38" t="str">
        <f>IFERROR('1.vize'!CZ11*100/'1.vize'!$I11,"")</f>
        <v/>
      </c>
      <c r="CP11" s="38" t="str">
        <f>IFERROR('1.vize'!DA11*100/'1.vize'!$I11,"")</f>
        <v/>
      </c>
      <c r="CQ11" s="38" t="str">
        <f>IFERROR('1.vize'!DB11*100/'1.vize'!$I11,"")</f>
        <v/>
      </c>
      <c r="CR11" s="38" t="str">
        <f>IFERROR('1.vize'!DC11*100/'1.vize'!$I11,"")</f>
        <v/>
      </c>
      <c r="CS11" s="38" t="str">
        <f>IFERROR('1.vize'!DD11*100/'1.vize'!$I11,"")</f>
        <v/>
      </c>
      <c r="CT11" s="38" t="str">
        <f>IFERROR('1.vize'!DE11*100/'1.vize'!$I11,"")</f>
        <v/>
      </c>
      <c r="CU11" s="38" t="str">
        <f>IFERROR('1.vize'!DF11*100/'1.vize'!$I11,"")</f>
        <v/>
      </c>
      <c r="CV11" s="38" t="str">
        <f>IFERROR('1.vize'!DG11*100/'1.vize'!$I11,"")</f>
        <v/>
      </c>
      <c r="CW11" s="32" t="str">
        <f>IFERROR(SUM(A11:CV11)/'1.vize'!$DH$103,"")</f>
        <v/>
      </c>
      <c r="CX11" s="14" t="str">
        <f>IF(COUNTA('1.vize'!A11),'1.vize'!A11,"")</f>
        <v/>
      </c>
      <c r="CY11" s="14" t="str">
        <f>IF(COUNTA('1.vize'!B11),'1.vize'!B11,"")</f>
        <v/>
      </c>
      <c r="CZ11" s="14" t="str">
        <f>IF(COUNTA('1.vize'!C11),'1.vize'!C11,"")</f>
        <v/>
      </c>
      <c r="DA11" s="14" t="str">
        <f>IF(COUNTA('1.vize'!D11),'1.vize'!D11,"")</f>
        <v/>
      </c>
      <c r="DB11" s="14" t="str">
        <f>IF(COUNTA('1.vize'!E11),'1.vize'!E11,"")</f>
        <v/>
      </c>
      <c r="DC11" s="14" t="str">
        <f>IF(COUNTA('1.vize'!F11),'1.vize'!F11,"")</f>
        <v/>
      </c>
      <c r="DD11" s="14" t="str">
        <f>IF(COUNTA('1.vize'!G11),'1.vize'!G11,"")</f>
        <v/>
      </c>
      <c r="DE11" s="14" t="str">
        <f>IF(COUNTA('1.vize'!H11),'1.vize'!H11,"")</f>
        <v/>
      </c>
      <c r="DF11" s="33"/>
    </row>
    <row r="12" spans="1:118" x14ac:dyDescent="0.2">
      <c r="A12" s="38" t="str">
        <f>IFERROR('1.vize'!L12*100/'1.vize'!$I12,"")</f>
        <v/>
      </c>
      <c r="B12" s="38" t="str">
        <f>IFERROR('1.vize'!M12*100/'1.vize'!$I12,"")</f>
        <v/>
      </c>
      <c r="C12" s="38" t="str">
        <f>IFERROR('1.vize'!N12*100/'1.vize'!$I12,"")</f>
        <v/>
      </c>
      <c r="D12" s="38" t="str">
        <f>IFERROR('1.vize'!O12*100/'1.vize'!$I12,"")</f>
        <v/>
      </c>
      <c r="E12" s="38" t="str">
        <f>IFERROR('1.vize'!P12*100/'1.vize'!$I12,"")</f>
        <v/>
      </c>
      <c r="F12" s="38" t="str">
        <f>IFERROR('1.vize'!Q12*100/'1.vize'!$I12,"")</f>
        <v/>
      </c>
      <c r="G12" s="38" t="str">
        <f>IFERROR('1.vize'!R12*100/'1.vize'!$I12,"")</f>
        <v/>
      </c>
      <c r="H12" s="38" t="str">
        <f>IFERROR('1.vize'!S12*100/'1.vize'!$I12,"")</f>
        <v/>
      </c>
      <c r="I12" s="38" t="str">
        <f>IFERROR('1.vize'!T12*100/'1.vize'!$I12,"")</f>
        <v/>
      </c>
      <c r="J12" s="38" t="str">
        <f>IFERROR('1.vize'!U12*100/'1.vize'!$I12,"")</f>
        <v/>
      </c>
      <c r="K12" s="38" t="str">
        <f>IFERROR('1.vize'!V12*100/'1.vize'!$I12,"")</f>
        <v/>
      </c>
      <c r="L12" s="38" t="str">
        <f>IFERROR('1.vize'!W12*100/'1.vize'!$I12,"")</f>
        <v/>
      </c>
      <c r="M12" s="38" t="str">
        <f>IFERROR('1.vize'!X12*100/'1.vize'!$I12,"")</f>
        <v/>
      </c>
      <c r="N12" s="38" t="str">
        <f>IFERROR('1.vize'!Y12*100/'1.vize'!$I12,"")</f>
        <v/>
      </c>
      <c r="O12" s="38" t="str">
        <f>IFERROR('1.vize'!Z12*100/'1.vize'!$I12,"")</f>
        <v/>
      </c>
      <c r="P12" s="38" t="str">
        <f>IFERROR('1.vize'!AA12*100/'1.vize'!$I12,"")</f>
        <v/>
      </c>
      <c r="Q12" s="38" t="str">
        <f>IFERROR('1.vize'!AB12*100/'1.vize'!$I12,"")</f>
        <v/>
      </c>
      <c r="R12" s="38" t="str">
        <f>IFERROR('1.vize'!AC12*100/'1.vize'!$I12,"")</f>
        <v/>
      </c>
      <c r="S12" s="38" t="str">
        <f>IFERROR('1.vize'!AD12*100/'1.vize'!$I12,"")</f>
        <v/>
      </c>
      <c r="T12" s="38" t="str">
        <f>IFERROR('1.vize'!AE12*100/'1.vize'!$I12,"")</f>
        <v/>
      </c>
      <c r="U12" s="38" t="str">
        <f>IFERROR('1.vize'!AF12*100/'1.vize'!$I12,"")</f>
        <v/>
      </c>
      <c r="V12" s="38" t="str">
        <f>IFERROR('1.vize'!AG12*100/'1.vize'!$I12,"")</f>
        <v/>
      </c>
      <c r="W12" s="38" t="str">
        <f>IFERROR('1.vize'!AH12*100/'1.vize'!$I12,"")</f>
        <v/>
      </c>
      <c r="X12" s="38" t="str">
        <f>IFERROR('1.vize'!AI12*100/'1.vize'!$I12,"")</f>
        <v/>
      </c>
      <c r="Y12" s="38" t="str">
        <f>IFERROR('1.vize'!AJ12*100/'1.vize'!$I12,"")</f>
        <v/>
      </c>
      <c r="Z12" s="38" t="str">
        <f>IFERROR('1.vize'!AK12*100/'1.vize'!$I12,"")</f>
        <v/>
      </c>
      <c r="AA12" s="38" t="str">
        <f>IFERROR('1.vize'!AL12*100/'1.vize'!$I12,"")</f>
        <v/>
      </c>
      <c r="AB12" s="38" t="str">
        <f>IFERROR('1.vize'!AM12*100/'1.vize'!$I12,"")</f>
        <v/>
      </c>
      <c r="AC12" s="38" t="str">
        <f>IFERROR('1.vize'!AN12*100/'1.vize'!$I12,"")</f>
        <v/>
      </c>
      <c r="AD12" s="38" t="str">
        <f>IFERROR('1.vize'!AO12*100/'1.vize'!$I12,"")</f>
        <v/>
      </c>
      <c r="AE12" s="38" t="str">
        <f>IFERROR('1.vize'!AP12*100/'1.vize'!$I12,"")</f>
        <v/>
      </c>
      <c r="AF12" s="38" t="str">
        <f>IFERROR('1.vize'!AQ12*100/'1.vize'!$I12,"")</f>
        <v/>
      </c>
      <c r="AG12" s="38" t="str">
        <f>IFERROR('1.vize'!AR12*100/'1.vize'!$I12,"")</f>
        <v/>
      </c>
      <c r="AH12" s="38" t="str">
        <f>IFERROR('1.vize'!AS12*100/'1.vize'!$I12,"")</f>
        <v/>
      </c>
      <c r="AI12" s="38" t="str">
        <f>IFERROR('1.vize'!AT12*100/'1.vize'!$I12,"")</f>
        <v/>
      </c>
      <c r="AJ12" s="38" t="str">
        <f>IFERROR('1.vize'!AU12*100/'1.vize'!$I12,"")</f>
        <v/>
      </c>
      <c r="AK12" s="38" t="str">
        <f>IFERROR('1.vize'!AV12*100/'1.vize'!$I12,"")</f>
        <v/>
      </c>
      <c r="AL12" s="38" t="str">
        <f>IFERROR('1.vize'!AW12*100/'1.vize'!$I12,"")</f>
        <v/>
      </c>
      <c r="AM12" s="38" t="str">
        <f>IFERROR('1.vize'!AX12*100/'1.vize'!$I12,"")</f>
        <v/>
      </c>
      <c r="AN12" s="38" t="str">
        <f>IFERROR('1.vize'!AY12*100/'1.vize'!$I12,"")</f>
        <v/>
      </c>
      <c r="AO12" s="38" t="str">
        <f>IFERROR('1.vize'!AZ12*100/'1.vize'!$I12,"")</f>
        <v/>
      </c>
      <c r="AP12" s="38" t="str">
        <f>IFERROR('1.vize'!BA12*100/'1.vize'!$I12,"")</f>
        <v/>
      </c>
      <c r="AQ12" s="38" t="str">
        <f>IFERROR('1.vize'!BB12*100/'1.vize'!$I12,"")</f>
        <v/>
      </c>
      <c r="AR12" s="38" t="str">
        <f>IFERROR('1.vize'!BC12*100/'1.vize'!$I12,"")</f>
        <v/>
      </c>
      <c r="AS12" s="38" t="str">
        <f>IFERROR('1.vize'!BD12*100/'1.vize'!$I12,"")</f>
        <v/>
      </c>
      <c r="AT12" s="38" t="str">
        <f>IFERROR('1.vize'!BE12*100/'1.vize'!$I12,"")</f>
        <v/>
      </c>
      <c r="AU12" s="38" t="str">
        <f>IFERROR('1.vize'!BF12*100/'1.vize'!$I12,"")</f>
        <v/>
      </c>
      <c r="AV12" s="38" t="str">
        <f>IFERROR('1.vize'!BG12*100/'1.vize'!$I12,"")</f>
        <v/>
      </c>
      <c r="AW12" s="38" t="str">
        <f>IFERROR('1.vize'!BH12*100/'1.vize'!$I12,"")</f>
        <v/>
      </c>
      <c r="AX12" s="38" t="str">
        <f>IFERROR('1.vize'!BI12*100/'1.vize'!$I12,"")</f>
        <v/>
      </c>
      <c r="AY12" s="38" t="str">
        <f>IFERROR('1.vize'!BJ12*100/'1.vize'!$I12,"")</f>
        <v/>
      </c>
      <c r="AZ12" s="38" t="str">
        <f>IFERROR('1.vize'!BK12*100/'1.vize'!$I12,"")</f>
        <v/>
      </c>
      <c r="BA12" s="38" t="str">
        <f>IFERROR('1.vize'!BL12*100/'1.vize'!$I12,"")</f>
        <v/>
      </c>
      <c r="BB12" s="38" t="str">
        <f>IFERROR('1.vize'!BM12*100/'1.vize'!$I12,"")</f>
        <v/>
      </c>
      <c r="BC12" s="38" t="str">
        <f>IFERROR('1.vize'!BN12*100/'1.vize'!$I12,"")</f>
        <v/>
      </c>
      <c r="BD12" s="38" t="str">
        <f>IFERROR('1.vize'!BO12*100/'1.vize'!$I12,"")</f>
        <v/>
      </c>
      <c r="BE12" s="38" t="str">
        <f>IFERROR('1.vize'!BP12*100/'1.vize'!$I12,"")</f>
        <v/>
      </c>
      <c r="BF12" s="38" t="str">
        <f>IFERROR('1.vize'!BQ12*100/'1.vize'!$I12,"")</f>
        <v/>
      </c>
      <c r="BG12" s="38" t="str">
        <f>IFERROR('1.vize'!BR12*100/'1.vize'!$I12,"")</f>
        <v/>
      </c>
      <c r="BH12" s="38" t="str">
        <f>IFERROR('1.vize'!BS12*100/'1.vize'!$I12,"")</f>
        <v/>
      </c>
      <c r="BI12" s="38" t="str">
        <f>IFERROR('1.vize'!BT12*100/'1.vize'!$I12,"")</f>
        <v/>
      </c>
      <c r="BJ12" s="38" t="str">
        <f>IFERROR('1.vize'!BU12*100/'1.vize'!$I12,"")</f>
        <v/>
      </c>
      <c r="BK12" s="38" t="str">
        <f>IFERROR('1.vize'!BV12*100/'1.vize'!$I12,"")</f>
        <v/>
      </c>
      <c r="BL12" s="38" t="str">
        <f>IFERROR('1.vize'!BW12*100/'1.vize'!$I12,"")</f>
        <v/>
      </c>
      <c r="BM12" s="38" t="str">
        <f>IFERROR('1.vize'!BX12*100/'1.vize'!$I12,"")</f>
        <v/>
      </c>
      <c r="BN12" s="38" t="str">
        <f>IFERROR('1.vize'!BY12*100/'1.vize'!$I12,"")</f>
        <v/>
      </c>
      <c r="BO12" s="38" t="str">
        <f>IFERROR('1.vize'!BZ12*100/'1.vize'!$I12,"")</f>
        <v/>
      </c>
      <c r="BP12" s="38" t="str">
        <f>IFERROR('1.vize'!CA12*100/'1.vize'!$I12,"")</f>
        <v/>
      </c>
      <c r="BQ12" s="38" t="str">
        <f>IFERROR('1.vize'!CB12*100/'1.vize'!$I12,"")</f>
        <v/>
      </c>
      <c r="BR12" s="38" t="str">
        <f>IFERROR('1.vize'!CC12*100/'1.vize'!$I12,"")</f>
        <v/>
      </c>
      <c r="BS12" s="38" t="str">
        <f>IFERROR('1.vize'!CD12*100/'1.vize'!$I12,"")</f>
        <v/>
      </c>
      <c r="BT12" s="38" t="str">
        <f>IFERROR('1.vize'!CE12*100/'1.vize'!$I12,"")</f>
        <v/>
      </c>
      <c r="BU12" s="38" t="str">
        <f>IFERROR('1.vize'!CF12*100/'1.vize'!$I12,"")</f>
        <v/>
      </c>
      <c r="BV12" s="38" t="str">
        <f>IFERROR('1.vize'!CG12*100/'1.vize'!$I12,"")</f>
        <v/>
      </c>
      <c r="BW12" s="38" t="str">
        <f>IFERROR('1.vize'!CH12*100/'1.vize'!$I12,"")</f>
        <v/>
      </c>
      <c r="BX12" s="38" t="str">
        <f>IFERROR('1.vize'!CI12*100/'1.vize'!$I12,"")</f>
        <v/>
      </c>
      <c r="BY12" s="38" t="str">
        <f>IFERROR('1.vize'!CJ12*100/'1.vize'!$I12,"")</f>
        <v/>
      </c>
      <c r="BZ12" s="38" t="str">
        <f>IFERROR('1.vize'!CK12*100/'1.vize'!$I12,"")</f>
        <v/>
      </c>
      <c r="CA12" s="38" t="str">
        <f>IFERROR('1.vize'!CL12*100/'1.vize'!$I12,"")</f>
        <v/>
      </c>
      <c r="CB12" s="38" t="str">
        <f>IFERROR('1.vize'!CM12*100/'1.vize'!$I12,"")</f>
        <v/>
      </c>
      <c r="CC12" s="38" t="str">
        <f>IFERROR('1.vize'!CN12*100/'1.vize'!$I12,"")</f>
        <v/>
      </c>
      <c r="CD12" s="38" t="str">
        <f>IFERROR('1.vize'!CO12*100/'1.vize'!$I12,"")</f>
        <v/>
      </c>
      <c r="CE12" s="38" t="str">
        <f>IFERROR('1.vize'!CP12*100/'1.vize'!$I12,"")</f>
        <v/>
      </c>
      <c r="CF12" s="38" t="str">
        <f>IFERROR('1.vize'!CQ12*100/'1.vize'!$I12,"")</f>
        <v/>
      </c>
      <c r="CG12" s="38" t="str">
        <f>IFERROR('1.vize'!CR12*100/'1.vize'!$I12,"")</f>
        <v/>
      </c>
      <c r="CH12" s="38" t="str">
        <f>IFERROR('1.vize'!CS12*100/'1.vize'!$I12,"")</f>
        <v/>
      </c>
      <c r="CI12" s="38" t="str">
        <f>IFERROR('1.vize'!CT12*100/'1.vize'!$I12,"")</f>
        <v/>
      </c>
      <c r="CJ12" s="38" t="str">
        <f>IFERROR('1.vize'!CU12*100/'1.vize'!$I12,"")</f>
        <v/>
      </c>
      <c r="CK12" s="38" t="str">
        <f>IFERROR('1.vize'!CV12*100/'1.vize'!$I12,"")</f>
        <v/>
      </c>
      <c r="CL12" s="38" t="str">
        <f>IFERROR('1.vize'!CW12*100/'1.vize'!$I12,"")</f>
        <v/>
      </c>
      <c r="CM12" s="38" t="str">
        <f>IFERROR('1.vize'!CX12*100/'1.vize'!$I12,"")</f>
        <v/>
      </c>
      <c r="CN12" s="38" t="str">
        <f>IFERROR('1.vize'!CY12*100/'1.vize'!$I12,"")</f>
        <v/>
      </c>
      <c r="CO12" s="38" t="str">
        <f>IFERROR('1.vize'!CZ12*100/'1.vize'!$I12,"")</f>
        <v/>
      </c>
      <c r="CP12" s="38" t="str">
        <f>IFERROR('1.vize'!DA12*100/'1.vize'!$I12,"")</f>
        <v/>
      </c>
      <c r="CQ12" s="38" t="str">
        <f>IFERROR('1.vize'!DB12*100/'1.vize'!$I12,"")</f>
        <v/>
      </c>
      <c r="CR12" s="38" t="str">
        <f>IFERROR('1.vize'!DC12*100/'1.vize'!$I12,"")</f>
        <v/>
      </c>
      <c r="CS12" s="38" t="str">
        <f>IFERROR('1.vize'!DD12*100/'1.vize'!$I12,"")</f>
        <v/>
      </c>
      <c r="CT12" s="38" t="str">
        <f>IFERROR('1.vize'!DE12*100/'1.vize'!$I12,"")</f>
        <v/>
      </c>
      <c r="CU12" s="38" t="str">
        <f>IFERROR('1.vize'!DF12*100/'1.vize'!$I12,"")</f>
        <v/>
      </c>
      <c r="CV12" s="38" t="str">
        <f>IFERROR('1.vize'!DG12*100/'1.vize'!$I12,"")</f>
        <v/>
      </c>
      <c r="CW12" s="32" t="str">
        <f>IFERROR(SUM(A12:CV12)/'1.vize'!$DH$103,"")</f>
        <v/>
      </c>
      <c r="CX12" s="14" t="str">
        <f>IF(COUNTA('1.vize'!A12),'1.vize'!A12,"")</f>
        <v/>
      </c>
      <c r="CY12" s="14" t="str">
        <f>IF(COUNTA('1.vize'!B12),'1.vize'!B12,"")</f>
        <v/>
      </c>
      <c r="CZ12" s="14" t="str">
        <f>IF(COUNTA('1.vize'!C12),'1.vize'!C12,"")</f>
        <v/>
      </c>
      <c r="DA12" s="14" t="str">
        <f>IF(COUNTA('1.vize'!D12),'1.vize'!D12,"")</f>
        <v/>
      </c>
      <c r="DB12" s="14" t="str">
        <f>IF(COUNTA('1.vize'!E12),'1.vize'!E12,"")</f>
        <v/>
      </c>
      <c r="DC12" s="14" t="str">
        <f>IF(COUNTA('1.vize'!F12),'1.vize'!F12,"")</f>
        <v/>
      </c>
      <c r="DD12" s="14" t="str">
        <f>IF(COUNTA('1.vize'!G12),'1.vize'!G12,"")</f>
        <v/>
      </c>
      <c r="DE12" s="14" t="str">
        <f>IF(COUNTA('1.vize'!H12),'1.vize'!H12,"")</f>
        <v/>
      </c>
      <c r="DF12" s="33"/>
    </row>
    <row r="13" spans="1:118" x14ac:dyDescent="0.2">
      <c r="A13" s="38" t="str">
        <f>IFERROR('1.vize'!L13*100/'1.vize'!$I13,"")</f>
        <v/>
      </c>
      <c r="B13" s="38" t="str">
        <f>IFERROR('1.vize'!M13*100/'1.vize'!$I13,"")</f>
        <v/>
      </c>
      <c r="C13" s="38" t="str">
        <f>IFERROR('1.vize'!N13*100/'1.vize'!$I13,"")</f>
        <v/>
      </c>
      <c r="D13" s="38" t="str">
        <f>IFERROR('1.vize'!O13*100/'1.vize'!$I13,"")</f>
        <v/>
      </c>
      <c r="E13" s="38" t="str">
        <f>IFERROR('1.vize'!P13*100/'1.vize'!$I13,"")</f>
        <v/>
      </c>
      <c r="F13" s="38" t="str">
        <f>IFERROR('1.vize'!Q13*100/'1.vize'!$I13,"")</f>
        <v/>
      </c>
      <c r="G13" s="38" t="str">
        <f>IFERROR('1.vize'!R13*100/'1.vize'!$I13,"")</f>
        <v/>
      </c>
      <c r="H13" s="38" t="str">
        <f>IFERROR('1.vize'!S13*100/'1.vize'!$I13,"")</f>
        <v/>
      </c>
      <c r="I13" s="38" t="str">
        <f>IFERROR('1.vize'!T13*100/'1.vize'!$I13,"")</f>
        <v/>
      </c>
      <c r="J13" s="38" t="str">
        <f>IFERROR('1.vize'!U13*100/'1.vize'!$I13,"")</f>
        <v/>
      </c>
      <c r="K13" s="38" t="str">
        <f>IFERROR('1.vize'!V13*100/'1.vize'!$I13,"")</f>
        <v/>
      </c>
      <c r="L13" s="38" t="str">
        <f>IFERROR('1.vize'!W13*100/'1.vize'!$I13,"")</f>
        <v/>
      </c>
      <c r="M13" s="38" t="str">
        <f>IFERROR('1.vize'!X13*100/'1.vize'!$I13,"")</f>
        <v/>
      </c>
      <c r="N13" s="38" t="str">
        <f>IFERROR('1.vize'!Y13*100/'1.vize'!$I13,"")</f>
        <v/>
      </c>
      <c r="O13" s="38" t="str">
        <f>IFERROR('1.vize'!Z13*100/'1.vize'!$I13,"")</f>
        <v/>
      </c>
      <c r="P13" s="38" t="str">
        <f>IFERROR('1.vize'!AA13*100/'1.vize'!$I13,"")</f>
        <v/>
      </c>
      <c r="Q13" s="38" t="str">
        <f>IFERROR('1.vize'!AB13*100/'1.vize'!$I13,"")</f>
        <v/>
      </c>
      <c r="R13" s="38" t="str">
        <f>IFERROR('1.vize'!AC13*100/'1.vize'!$I13,"")</f>
        <v/>
      </c>
      <c r="S13" s="38" t="str">
        <f>IFERROR('1.vize'!AD13*100/'1.vize'!$I13,"")</f>
        <v/>
      </c>
      <c r="T13" s="38" t="str">
        <f>IFERROR('1.vize'!AE13*100/'1.vize'!$I13,"")</f>
        <v/>
      </c>
      <c r="U13" s="38" t="str">
        <f>IFERROR('1.vize'!AF13*100/'1.vize'!$I13,"")</f>
        <v/>
      </c>
      <c r="V13" s="38" t="str">
        <f>IFERROR('1.vize'!AG13*100/'1.vize'!$I13,"")</f>
        <v/>
      </c>
      <c r="W13" s="38" t="str">
        <f>IFERROR('1.vize'!AH13*100/'1.vize'!$I13,"")</f>
        <v/>
      </c>
      <c r="X13" s="38" t="str">
        <f>IFERROR('1.vize'!AI13*100/'1.vize'!$I13,"")</f>
        <v/>
      </c>
      <c r="Y13" s="38" t="str">
        <f>IFERROR('1.vize'!AJ13*100/'1.vize'!$I13,"")</f>
        <v/>
      </c>
      <c r="Z13" s="38" t="str">
        <f>IFERROR('1.vize'!AK13*100/'1.vize'!$I13,"")</f>
        <v/>
      </c>
      <c r="AA13" s="38" t="str">
        <f>IFERROR('1.vize'!AL13*100/'1.vize'!$I13,"")</f>
        <v/>
      </c>
      <c r="AB13" s="38" t="str">
        <f>IFERROR('1.vize'!AM13*100/'1.vize'!$I13,"")</f>
        <v/>
      </c>
      <c r="AC13" s="38" t="str">
        <f>IFERROR('1.vize'!AN13*100/'1.vize'!$I13,"")</f>
        <v/>
      </c>
      <c r="AD13" s="38" t="str">
        <f>IFERROR('1.vize'!AO13*100/'1.vize'!$I13,"")</f>
        <v/>
      </c>
      <c r="AE13" s="38" t="str">
        <f>IFERROR('1.vize'!AP13*100/'1.vize'!$I13,"")</f>
        <v/>
      </c>
      <c r="AF13" s="38" t="str">
        <f>IFERROR('1.vize'!AQ13*100/'1.vize'!$I13,"")</f>
        <v/>
      </c>
      <c r="AG13" s="38" t="str">
        <f>IFERROR('1.vize'!AR13*100/'1.vize'!$I13,"")</f>
        <v/>
      </c>
      <c r="AH13" s="38" t="str">
        <f>IFERROR('1.vize'!AS13*100/'1.vize'!$I13,"")</f>
        <v/>
      </c>
      <c r="AI13" s="38" t="str">
        <f>IFERROR('1.vize'!AT13*100/'1.vize'!$I13,"")</f>
        <v/>
      </c>
      <c r="AJ13" s="38" t="str">
        <f>IFERROR('1.vize'!AU13*100/'1.vize'!$I13,"")</f>
        <v/>
      </c>
      <c r="AK13" s="38" t="str">
        <f>IFERROR('1.vize'!AV13*100/'1.vize'!$I13,"")</f>
        <v/>
      </c>
      <c r="AL13" s="38" t="str">
        <f>IFERROR('1.vize'!AW13*100/'1.vize'!$I13,"")</f>
        <v/>
      </c>
      <c r="AM13" s="38" t="str">
        <f>IFERROR('1.vize'!AX13*100/'1.vize'!$I13,"")</f>
        <v/>
      </c>
      <c r="AN13" s="38" t="str">
        <f>IFERROR('1.vize'!AY13*100/'1.vize'!$I13,"")</f>
        <v/>
      </c>
      <c r="AO13" s="38" t="str">
        <f>IFERROR('1.vize'!AZ13*100/'1.vize'!$I13,"")</f>
        <v/>
      </c>
      <c r="AP13" s="38" t="str">
        <f>IFERROR('1.vize'!BA13*100/'1.vize'!$I13,"")</f>
        <v/>
      </c>
      <c r="AQ13" s="38" t="str">
        <f>IFERROR('1.vize'!BB13*100/'1.vize'!$I13,"")</f>
        <v/>
      </c>
      <c r="AR13" s="38" t="str">
        <f>IFERROR('1.vize'!BC13*100/'1.vize'!$I13,"")</f>
        <v/>
      </c>
      <c r="AS13" s="38" t="str">
        <f>IFERROR('1.vize'!BD13*100/'1.vize'!$I13,"")</f>
        <v/>
      </c>
      <c r="AT13" s="38" t="str">
        <f>IFERROR('1.vize'!BE13*100/'1.vize'!$I13,"")</f>
        <v/>
      </c>
      <c r="AU13" s="38" t="str">
        <f>IFERROR('1.vize'!BF13*100/'1.vize'!$I13,"")</f>
        <v/>
      </c>
      <c r="AV13" s="38" t="str">
        <f>IFERROR('1.vize'!BG13*100/'1.vize'!$I13,"")</f>
        <v/>
      </c>
      <c r="AW13" s="38" t="str">
        <f>IFERROR('1.vize'!BH13*100/'1.vize'!$I13,"")</f>
        <v/>
      </c>
      <c r="AX13" s="38" t="str">
        <f>IFERROR('1.vize'!BI13*100/'1.vize'!$I13,"")</f>
        <v/>
      </c>
      <c r="AY13" s="38" t="str">
        <f>IFERROR('1.vize'!BJ13*100/'1.vize'!$I13,"")</f>
        <v/>
      </c>
      <c r="AZ13" s="38" t="str">
        <f>IFERROR('1.vize'!BK13*100/'1.vize'!$I13,"")</f>
        <v/>
      </c>
      <c r="BA13" s="38" t="str">
        <f>IFERROR('1.vize'!BL13*100/'1.vize'!$I13,"")</f>
        <v/>
      </c>
      <c r="BB13" s="38" t="str">
        <f>IFERROR('1.vize'!BM13*100/'1.vize'!$I13,"")</f>
        <v/>
      </c>
      <c r="BC13" s="38" t="str">
        <f>IFERROR('1.vize'!BN13*100/'1.vize'!$I13,"")</f>
        <v/>
      </c>
      <c r="BD13" s="38" t="str">
        <f>IFERROR('1.vize'!BO13*100/'1.vize'!$I13,"")</f>
        <v/>
      </c>
      <c r="BE13" s="38" t="str">
        <f>IFERROR('1.vize'!BP13*100/'1.vize'!$I13,"")</f>
        <v/>
      </c>
      <c r="BF13" s="38" t="str">
        <f>IFERROR('1.vize'!BQ13*100/'1.vize'!$I13,"")</f>
        <v/>
      </c>
      <c r="BG13" s="38" t="str">
        <f>IFERROR('1.vize'!BR13*100/'1.vize'!$I13,"")</f>
        <v/>
      </c>
      <c r="BH13" s="38" t="str">
        <f>IFERROR('1.vize'!BS13*100/'1.vize'!$I13,"")</f>
        <v/>
      </c>
      <c r="BI13" s="38" t="str">
        <f>IFERROR('1.vize'!BT13*100/'1.vize'!$I13,"")</f>
        <v/>
      </c>
      <c r="BJ13" s="38" t="str">
        <f>IFERROR('1.vize'!BU13*100/'1.vize'!$I13,"")</f>
        <v/>
      </c>
      <c r="BK13" s="38" t="str">
        <f>IFERROR('1.vize'!BV13*100/'1.vize'!$I13,"")</f>
        <v/>
      </c>
      <c r="BL13" s="38" t="str">
        <f>IFERROR('1.vize'!BW13*100/'1.vize'!$I13,"")</f>
        <v/>
      </c>
      <c r="BM13" s="38" t="str">
        <f>IFERROR('1.vize'!BX13*100/'1.vize'!$I13,"")</f>
        <v/>
      </c>
      <c r="BN13" s="38" t="str">
        <f>IFERROR('1.vize'!BY13*100/'1.vize'!$I13,"")</f>
        <v/>
      </c>
      <c r="BO13" s="38" t="str">
        <f>IFERROR('1.vize'!BZ13*100/'1.vize'!$I13,"")</f>
        <v/>
      </c>
      <c r="BP13" s="38" t="str">
        <f>IFERROR('1.vize'!CA13*100/'1.vize'!$I13,"")</f>
        <v/>
      </c>
      <c r="BQ13" s="38" t="str">
        <f>IFERROR('1.vize'!CB13*100/'1.vize'!$I13,"")</f>
        <v/>
      </c>
      <c r="BR13" s="38" t="str">
        <f>IFERROR('1.vize'!CC13*100/'1.vize'!$I13,"")</f>
        <v/>
      </c>
      <c r="BS13" s="38" t="str">
        <f>IFERROR('1.vize'!CD13*100/'1.vize'!$I13,"")</f>
        <v/>
      </c>
      <c r="BT13" s="38" t="str">
        <f>IFERROR('1.vize'!CE13*100/'1.vize'!$I13,"")</f>
        <v/>
      </c>
      <c r="BU13" s="38" t="str">
        <f>IFERROR('1.vize'!CF13*100/'1.vize'!$I13,"")</f>
        <v/>
      </c>
      <c r="BV13" s="38" t="str">
        <f>IFERROR('1.vize'!CG13*100/'1.vize'!$I13,"")</f>
        <v/>
      </c>
      <c r="BW13" s="38" t="str">
        <f>IFERROR('1.vize'!CH13*100/'1.vize'!$I13,"")</f>
        <v/>
      </c>
      <c r="BX13" s="38" t="str">
        <f>IFERROR('1.vize'!CI13*100/'1.vize'!$I13,"")</f>
        <v/>
      </c>
      <c r="BY13" s="38" t="str">
        <f>IFERROR('1.vize'!CJ13*100/'1.vize'!$I13,"")</f>
        <v/>
      </c>
      <c r="BZ13" s="38" t="str">
        <f>IFERROR('1.vize'!CK13*100/'1.vize'!$I13,"")</f>
        <v/>
      </c>
      <c r="CA13" s="38" t="str">
        <f>IFERROR('1.vize'!CL13*100/'1.vize'!$I13,"")</f>
        <v/>
      </c>
      <c r="CB13" s="38" t="str">
        <f>IFERROR('1.vize'!CM13*100/'1.vize'!$I13,"")</f>
        <v/>
      </c>
      <c r="CC13" s="38" t="str">
        <f>IFERROR('1.vize'!CN13*100/'1.vize'!$I13,"")</f>
        <v/>
      </c>
      <c r="CD13" s="38" t="str">
        <f>IFERROR('1.vize'!CO13*100/'1.vize'!$I13,"")</f>
        <v/>
      </c>
      <c r="CE13" s="38" t="str">
        <f>IFERROR('1.vize'!CP13*100/'1.vize'!$I13,"")</f>
        <v/>
      </c>
      <c r="CF13" s="38" t="str">
        <f>IFERROR('1.vize'!CQ13*100/'1.vize'!$I13,"")</f>
        <v/>
      </c>
      <c r="CG13" s="38" t="str">
        <f>IFERROR('1.vize'!CR13*100/'1.vize'!$I13,"")</f>
        <v/>
      </c>
      <c r="CH13" s="38" t="str">
        <f>IFERROR('1.vize'!CS13*100/'1.vize'!$I13,"")</f>
        <v/>
      </c>
      <c r="CI13" s="38" t="str">
        <f>IFERROR('1.vize'!CT13*100/'1.vize'!$I13,"")</f>
        <v/>
      </c>
      <c r="CJ13" s="38" t="str">
        <f>IFERROR('1.vize'!CU13*100/'1.vize'!$I13,"")</f>
        <v/>
      </c>
      <c r="CK13" s="38" t="str">
        <f>IFERROR('1.vize'!CV13*100/'1.vize'!$I13,"")</f>
        <v/>
      </c>
      <c r="CL13" s="38" t="str">
        <f>IFERROR('1.vize'!CW13*100/'1.vize'!$I13,"")</f>
        <v/>
      </c>
      <c r="CM13" s="38" t="str">
        <f>IFERROR('1.vize'!CX13*100/'1.vize'!$I13,"")</f>
        <v/>
      </c>
      <c r="CN13" s="38" t="str">
        <f>IFERROR('1.vize'!CY13*100/'1.vize'!$I13,"")</f>
        <v/>
      </c>
      <c r="CO13" s="38" t="str">
        <f>IFERROR('1.vize'!CZ13*100/'1.vize'!$I13,"")</f>
        <v/>
      </c>
      <c r="CP13" s="38" t="str">
        <f>IFERROR('1.vize'!DA13*100/'1.vize'!$I13,"")</f>
        <v/>
      </c>
      <c r="CQ13" s="38" t="str">
        <f>IFERROR('1.vize'!DB13*100/'1.vize'!$I13,"")</f>
        <v/>
      </c>
      <c r="CR13" s="38" t="str">
        <f>IFERROR('1.vize'!DC13*100/'1.vize'!$I13,"")</f>
        <v/>
      </c>
      <c r="CS13" s="38" t="str">
        <f>IFERROR('1.vize'!DD13*100/'1.vize'!$I13,"")</f>
        <v/>
      </c>
      <c r="CT13" s="38" t="str">
        <f>IFERROR('1.vize'!DE13*100/'1.vize'!$I13,"")</f>
        <v/>
      </c>
      <c r="CU13" s="38" t="str">
        <f>IFERROR('1.vize'!DF13*100/'1.vize'!$I13,"")</f>
        <v/>
      </c>
      <c r="CV13" s="38" t="str">
        <f>IFERROR('1.vize'!DG13*100/'1.vize'!$I13,"")</f>
        <v/>
      </c>
      <c r="CW13" s="32" t="str">
        <f>IFERROR(SUM(A13:CV13)/'1.vize'!$DH$103,"")</f>
        <v/>
      </c>
      <c r="CX13" s="14" t="str">
        <f>IF(COUNTA('1.vize'!A13),'1.vize'!A13,"")</f>
        <v/>
      </c>
      <c r="CY13" s="14" t="str">
        <f>IF(COUNTA('1.vize'!B13),'1.vize'!B13,"")</f>
        <v/>
      </c>
      <c r="CZ13" s="14" t="str">
        <f>IF(COUNTA('1.vize'!C13),'1.vize'!C13,"")</f>
        <v/>
      </c>
      <c r="DA13" s="14" t="str">
        <f>IF(COUNTA('1.vize'!D13),'1.vize'!D13,"")</f>
        <v/>
      </c>
      <c r="DB13" s="14" t="str">
        <f>IF(COUNTA('1.vize'!E13),'1.vize'!E13,"")</f>
        <v/>
      </c>
      <c r="DC13" s="14" t="str">
        <f>IF(COUNTA('1.vize'!F13),'1.vize'!F13,"")</f>
        <v/>
      </c>
      <c r="DD13" s="14" t="str">
        <f>IF(COUNTA('1.vize'!G13),'1.vize'!G13,"")</f>
        <v/>
      </c>
      <c r="DE13" s="14" t="str">
        <f>IF(COUNTA('1.vize'!H13),'1.vize'!H13,"")</f>
        <v/>
      </c>
      <c r="DF13" s="33"/>
    </row>
    <row r="14" spans="1:118" x14ac:dyDescent="0.2">
      <c r="A14" s="38" t="str">
        <f>IFERROR('1.vize'!L14*100/'1.vize'!$I14,"")</f>
        <v/>
      </c>
      <c r="B14" s="38" t="str">
        <f>IFERROR('1.vize'!M14*100/'1.vize'!$I14,"")</f>
        <v/>
      </c>
      <c r="C14" s="38" t="str">
        <f>IFERROR('1.vize'!N14*100/'1.vize'!$I14,"")</f>
        <v/>
      </c>
      <c r="D14" s="38" t="str">
        <f>IFERROR('1.vize'!O14*100/'1.vize'!$I14,"")</f>
        <v/>
      </c>
      <c r="E14" s="38" t="str">
        <f>IFERROR('1.vize'!P14*100/'1.vize'!$I14,"")</f>
        <v/>
      </c>
      <c r="F14" s="38" t="str">
        <f>IFERROR('1.vize'!Q14*100/'1.vize'!$I14,"")</f>
        <v/>
      </c>
      <c r="G14" s="38" t="str">
        <f>IFERROR('1.vize'!R14*100/'1.vize'!$I14,"")</f>
        <v/>
      </c>
      <c r="H14" s="38" t="str">
        <f>IFERROR('1.vize'!S14*100/'1.vize'!$I14,"")</f>
        <v/>
      </c>
      <c r="I14" s="38" t="str">
        <f>IFERROR('1.vize'!T14*100/'1.vize'!$I14,"")</f>
        <v/>
      </c>
      <c r="J14" s="38" t="str">
        <f>IFERROR('1.vize'!U14*100/'1.vize'!$I14,"")</f>
        <v/>
      </c>
      <c r="K14" s="38" t="str">
        <f>IFERROR('1.vize'!V14*100/'1.vize'!$I14,"")</f>
        <v/>
      </c>
      <c r="L14" s="38" t="str">
        <f>IFERROR('1.vize'!W14*100/'1.vize'!$I14,"")</f>
        <v/>
      </c>
      <c r="M14" s="38" t="str">
        <f>IFERROR('1.vize'!X14*100/'1.vize'!$I14,"")</f>
        <v/>
      </c>
      <c r="N14" s="38" t="str">
        <f>IFERROR('1.vize'!Y14*100/'1.vize'!$I14,"")</f>
        <v/>
      </c>
      <c r="O14" s="38" t="str">
        <f>IFERROR('1.vize'!Z14*100/'1.vize'!$I14,"")</f>
        <v/>
      </c>
      <c r="P14" s="38" t="str">
        <f>IFERROR('1.vize'!AA14*100/'1.vize'!$I14,"")</f>
        <v/>
      </c>
      <c r="Q14" s="38" t="str">
        <f>IFERROR('1.vize'!AB14*100/'1.vize'!$I14,"")</f>
        <v/>
      </c>
      <c r="R14" s="38" t="str">
        <f>IFERROR('1.vize'!AC14*100/'1.vize'!$I14,"")</f>
        <v/>
      </c>
      <c r="S14" s="38" t="str">
        <f>IFERROR('1.vize'!AD14*100/'1.vize'!$I14,"")</f>
        <v/>
      </c>
      <c r="T14" s="38" t="str">
        <f>IFERROR('1.vize'!AE14*100/'1.vize'!$I14,"")</f>
        <v/>
      </c>
      <c r="U14" s="38" t="str">
        <f>IFERROR('1.vize'!AF14*100/'1.vize'!$I14,"")</f>
        <v/>
      </c>
      <c r="V14" s="38" t="str">
        <f>IFERROR('1.vize'!AG14*100/'1.vize'!$I14,"")</f>
        <v/>
      </c>
      <c r="W14" s="38" t="str">
        <f>IFERROR('1.vize'!AH14*100/'1.vize'!$I14,"")</f>
        <v/>
      </c>
      <c r="X14" s="38" t="str">
        <f>IFERROR('1.vize'!AI14*100/'1.vize'!$I14,"")</f>
        <v/>
      </c>
      <c r="Y14" s="38" t="str">
        <f>IFERROR('1.vize'!AJ14*100/'1.vize'!$I14,"")</f>
        <v/>
      </c>
      <c r="Z14" s="38" t="str">
        <f>IFERROR('1.vize'!AK14*100/'1.vize'!$I14,"")</f>
        <v/>
      </c>
      <c r="AA14" s="38" t="str">
        <f>IFERROR('1.vize'!AL14*100/'1.vize'!$I14,"")</f>
        <v/>
      </c>
      <c r="AB14" s="38" t="str">
        <f>IFERROR('1.vize'!AM14*100/'1.vize'!$I14,"")</f>
        <v/>
      </c>
      <c r="AC14" s="38" t="str">
        <f>IFERROR('1.vize'!AN14*100/'1.vize'!$I14,"")</f>
        <v/>
      </c>
      <c r="AD14" s="38" t="str">
        <f>IFERROR('1.vize'!AO14*100/'1.vize'!$I14,"")</f>
        <v/>
      </c>
      <c r="AE14" s="38" t="str">
        <f>IFERROR('1.vize'!AP14*100/'1.vize'!$I14,"")</f>
        <v/>
      </c>
      <c r="AF14" s="38" t="str">
        <f>IFERROR('1.vize'!AQ14*100/'1.vize'!$I14,"")</f>
        <v/>
      </c>
      <c r="AG14" s="38" t="str">
        <f>IFERROR('1.vize'!AR14*100/'1.vize'!$I14,"")</f>
        <v/>
      </c>
      <c r="AH14" s="38" t="str">
        <f>IFERROR('1.vize'!AS14*100/'1.vize'!$I14,"")</f>
        <v/>
      </c>
      <c r="AI14" s="38" t="str">
        <f>IFERROR('1.vize'!AT14*100/'1.vize'!$I14,"")</f>
        <v/>
      </c>
      <c r="AJ14" s="38" t="str">
        <f>IFERROR('1.vize'!AU14*100/'1.vize'!$I14,"")</f>
        <v/>
      </c>
      <c r="AK14" s="38" t="str">
        <f>IFERROR('1.vize'!AV14*100/'1.vize'!$I14,"")</f>
        <v/>
      </c>
      <c r="AL14" s="38" t="str">
        <f>IFERROR('1.vize'!AW14*100/'1.vize'!$I14,"")</f>
        <v/>
      </c>
      <c r="AM14" s="38" t="str">
        <f>IFERROR('1.vize'!AX14*100/'1.vize'!$I14,"")</f>
        <v/>
      </c>
      <c r="AN14" s="38" t="str">
        <f>IFERROR('1.vize'!AY14*100/'1.vize'!$I14,"")</f>
        <v/>
      </c>
      <c r="AO14" s="38" t="str">
        <f>IFERROR('1.vize'!AZ14*100/'1.vize'!$I14,"")</f>
        <v/>
      </c>
      <c r="AP14" s="38" t="str">
        <f>IFERROR('1.vize'!BA14*100/'1.vize'!$I14,"")</f>
        <v/>
      </c>
      <c r="AQ14" s="38" t="str">
        <f>IFERROR('1.vize'!BB14*100/'1.vize'!$I14,"")</f>
        <v/>
      </c>
      <c r="AR14" s="38" t="str">
        <f>IFERROR('1.vize'!BC14*100/'1.vize'!$I14,"")</f>
        <v/>
      </c>
      <c r="AS14" s="38" t="str">
        <f>IFERROR('1.vize'!BD14*100/'1.vize'!$I14,"")</f>
        <v/>
      </c>
      <c r="AT14" s="38" t="str">
        <f>IFERROR('1.vize'!BE14*100/'1.vize'!$I14,"")</f>
        <v/>
      </c>
      <c r="AU14" s="38" t="str">
        <f>IFERROR('1.vize'!BF14*100/'1.vize'!$I14,"")</f>
        <v/>
      </c>
      <c r="AV14" s="38" t="str">
        <f>IFERROR('1.vize'!BG14*100/'1.vize'!$I14,"")</f>
        <v/>
      </c>
      <c r="AW14" s="38" t="str">
        <f>IFERROR('1.vize'!BH14*100/'1.vize'!$I14,"")</f>
        <v/>
      </c>
      <c r="AX14" s="38" t="str">
        <f>IFERROR('1.vize'!BI14*100/'1.vize'!$I14,"")</f>
        <v/>
      </c>
      <c r="AY14" s="38" t="str">
        <f>IFERROR('1.vize'!BJ14*100/'1.vize'!$I14,"")</f>
        <v/>
      </c>
      <c r="AZ14" s="38" t="str">
        <f>IFERROR('1.vize'!BK14*100/'1.vize'!$I14,"")</f>
        <v/>
      </c>
      <c r="BA14" s="38" t="str">
        <f>IFERROR('1.vize'!BL14*100/'1.vize'!$I14,"")</f>
        <v/>
      </c>
      <c r="BB14" s="38" t="str">
        <f>IFERROR('1.vize'!BM14*100/'1.vize'!$I14,"")</f>
        <v/>
      </c>
      <c r="BC14" s="38" t="str">
        <f>IFERROR('1.vize'!BN14*100/'1.vize'!$I14,"")</f>
        <v/>
      </c>
      <c r="BD14" s="38" t="str">
        <f>IFERROR('1.vize'!BO14*100/'1.vize'!$I14,"")</f>
        <v/>
      </c>
      <c r="BE14" s="38" t="str">
        <f>IFERROR('1.vize'!BP14*100/'1.vize'!$I14,"")</f>
        <v/>
      </c>
      <c r="BF14" s="38" t="str">
        <f>IFERROR('1.vize'!BQ14*100/'1.vize'!$I14,"")</f>
        <v/>
      </c>
      <c r="BG14" s="38" t="str">
        <f>IFERROR('1.vize'!BR14*100/'1.vize'!$I14,"")</f>
        <v/>
      </c>
      <c r="BH14" s="38" t="str">
        <f>IFERROR('1.vize'!BS14*100/'1.vize'!$I14,"")</f>
        <v/>
      </c>
      <c r="BI14" s="38" t="str">
        <f>IFERROR('1.vize'!BT14*100/'1.vize'!$I14,"")</f>
        <v/>
      </c>
      <c r="BJ14" s="38" t="str">
        <f>IFERROR('1.vize'!BU14*100/'1.vize'!$I14,"")</f>
        <v/>
      </c>
      <c r="BK14" s="38" t="str">
        <f>IFERROR('1.vize'!BV14*100/'1.vize'!$I14,"")</f>
        <v/>
      </c>
      <c r="BL14" s="38" t="str">
        <f>IFERROR('1.vize'!BW14*100/'1.vize'!$I14,"")</f>
        <v/>
      </c>
      <c r="BM14" s="38" t="str">
        <f>IFERROR('1.vize'!BX14*100/'1.vize'!$I14,"")</f>
        <v/>
      </c>
      <c r="BN14" s="38" t="str">
        <f>IFERROR('1.vize'!BY14*100/'1.vize'!$I14,"")</f>
        <v/>
      </c>
      <c r="BO14" s="38" t="str">
        <f>IFERROR('1.vize'!BZ14*100/'1.vize'!$I14,"")</f>
        <v/>
      </c>
      <c r="BP14" s="38" t="str">
        <f>IFERROR('1.vize'!CA14*100/'1.vize'!$I14,"")</f>
        <v/>
      </c>
      <c r="BQ14" s="38" t="str">
        <f>IFERROR('1.vize'!CB14*100/'1.vize'!$I14,"")</f>
        <v/>
      </c>
      <c r="BR14" s="38" t="str">
        <f>IFERROR('1.vize'!CC14*100/'1.vize'!$I14,"")</f>
        <v/>
      </c>
      <c r="BS14" s="38" t="str">
        <f>IFERROR('1.vize'!CD14*100/'1.vize'!$I14,"")</f>
        <v/>
      </c>
      <c r="BT14" s="38" t="str">
        <f>IFERROR('1.vize'!CE14*100/'1.vize'!$I14,"")</f>
        <v/>
      </c>
      <c r="BU14" s="38" t="str">
        <f>IFERROR('1.vize'!CF14*100/'1.vize'!$I14,"")</f>
        <v/>
      </c>
      <c r="BV14" s="38" t="str">
        <f>IFERROR('1.vize'!CG14*100/'1.vize'!$I14,"")</f>
        <v/>
      </c>
      <c r="BW14" s="38" t="str">
        <f>IFERROR('1.vize'!CH14*100/'1.vize'!$I14,"")</f>
        <v/>
      </c>
      <c r="BX14" s="38" t="str">
        <f>IFERROR('1.vize'!CI14*100/'1.vize'!$I14,"")</f>
        <v/>
      </c>
      <c r="BY14" s="38" t="str">
        <f>IFERROR('1.vize'!CJ14*100/'1.vize'!$I14,"")</f>
        <v/>
      </c>
      <c r="BZ14" s="38" t="str">
        <f>IFERROR('1.vize'!CK14*100/'1.vize'!$I14,"")</f>
        <v/>
      </c>
      <c r="CA14" s="38" t="str">
        <f>IFERROR('1.vize'!CL14*100/'1.vize'!$I14,"")</f>
        <v/>
      </c>
      <c r="CB14" s="38" t="str">
        <f>IFERROR('1.vize'!CM14*100/'1.vize'!$I14,"")</f>
        <v/>
      </c>
      <c r="CC14" s="38" t="str">
        <f>IFERROR('1.vize'!CN14*100/'1.vize'!$I14,"")</f>
        <v/>
      </c>
      <c r="CD14" s="38" t="str">
        <f>IFERROR('1.vize'!CO14*100/'1.vize'!$I14,"")</f>
        <v/>
      </c>
      <c r="CE14" s="38" t="str">
        <f>IFERROR('1.vize'!CP14*100/'1.vize'!$I14,"")</f>
        <v/>
      </c>
      <c r="CF14" s="38" t="str">
        <f>IFERROR('1.vize'!CQ14*100/'1.vize'!$I14,"")</f>
        <v/>
      </c>
      <c r="CG14" s="38" t="str">
        <f>IFERROR('1.vize'!CR14*100/'1.vize'!$I14,"")</f>
        <v/>
      </c>
      <c r="CH14" s="38" t="str">
        <f>IFERROR('1.vize'!CS14*100/'1.vize'!$I14,"")</f>
        <v/>
      </c>
      <c r="CI14" s="38" t="str">
        <f>IFERROR('1.vize'!CT14*100/'1.vize'!$I14,"")</f>
        <v/>
      </c>
      <c r="CJ14" s="38" t="str">
        <f>IFERROR('1.vize'!CU14*100/'1.vize'!$I14,"")</f>
        <v/>
      </c>
      <c r="CK14" s="38" t="str">
        <f>IFERROR('1.vize'!CV14*100/'1.vize'!$I14,"")</f>
        <v/>
      </c>
      <c r="CL14" s="38" t="str">
        <f>IFERROR('1.vize'!CW14*100/'1.vize'!$I14,"")</f>
        <v/>
      </c>
      <c r="CM14" s="38" t="str">
        <f>IFERROR('1.vize'!CX14*100/'1.vize'!$I14,"")</f>
        <v/>
      </c>
      <c r="CN14" s="38" t="str">
        <f>IFERROR('1.vize'!CY14*100/'1.vize'!$I14,"")</f>
        <v/>
      </c>
      <c r="CO14" s="38" t="str">
        <f>IFERROR('1.vize'!CZ14*100/'1.vize'!$I14,"")</f>
        <v/>
      </c>
      <c r="CP14" s="38" t="str">
        <f>IFERROR('1.vize'!DA14*100/'1.vize'!$I14,"")</f>
        <v/>
      </c>
      <c r="CQ14" s="38" t="str">
        <f>IFERROR('1.vize'!DB14*100/'1.vize'!$I14,"")</f>
        <v/>
      </c>
      <c r="CR14" s="38" t="str">
        <f>IFERROR('1.vize'!DC14*100/'1.vize'!$I14,"")</f>
        <v/>
      </c>
      <c r="CS14" s="38" t="str">
        <f>IFERROR('1.vize'!DD14*100/'1.vize'!$I14,"")</f>
        <v/>
      </c>
      <c r="CT14" s="38" t="str">
        <f>IFERROR('1.vize'!DE14*100/'1.vize'!$I14,"")</f>
        <v/>
      </c>
      <c r="CU14" s="38" t="str">
        <f>IFERROR('1.vize'!DF14*100/'1.vize'!$I14,"")</f>
        <v/>
      </c>
      <c r="CV14" s="38" t="str">
        <f>IFERROR('1.vize'!DG14*100/'1.vize'!$I14,"")</f>
        <v/>
      </c>
      <c r="CW14" s="32" t="str">
        <f>IFERROR(SUM(A14:CV14)/'1.vize'!$DH$103,"")</f>
        <v/>
      </c>
      <c r="CX14" s="14" t="str">
        <f>IF(COUNTA('1.vize'!A14),'1.vize'!A14,"")</f>
        <v/>
      </c>
      <c r="CY14" s="14" t="str">
        <f>IF(COUNTA('1.vize'!B14),'1.vize'!B14,"")</f>
        <v/>
      </c>
      <c r="CZ14" s="14" t="str">
        <f>IF(COUNTA('1.vize'!C14),'1.vize'!C14,"")</f>
        <v/>
      </c>
      <c r="DA14" s="14" t="str">
        <f>IF(COUNTA('1.vize'!D14),'1.vize'!D14,"")</f>
        <v/>
      </c>
      <c r="DB14" s="14" t="str">
        <f>IF(COUNTA('1.vize'!E14),'1.vize'!E14,"")</f>
        <v/>
      </c>
      <c r="DC14" s="14" t="str">
        <f>IF(COUNTA('1.vize'!F14),'1.vize'!F14,"")</f>
        <v/>
      </c>
      <c r="DD14" s="14" t="str">
        <f>IF(COUNTA('1.vize'!G14),'1.vize'!G14,"")</f>
        <v/>
      </c>
      <c r="DE14" s="14" t="str">
        <f>IF(COUNTA('1.vize'!H14),'1.vize'!H14,"")</f>
        <v/>
      </c>
      <c r="DF14" s="33"/>
    </row>
    <row r="15" spans="1:118" x14ac:dyDescent="0.2">
      <c r="A15" s="38" t="str">
        <f>IFERROR('1.vize'!L15*100/'1.vize'!$I15,"")</f>
        <v/>
      </c>
      <c r="B15" s="38" t="str">
        <f>IFERROR('1.vize'!M15*100/'1.vize'!$I15,"")</f>
        <v/>
      </c>
      <c r="C15" s="38" t="str">
        <f>IFERROR('1.vize'!N15*100/'1.vize'!$I15,"")</f>
        <v/>
      </c>
      <c r="D15" s="38" t="str">
        <f>IFERROR('1.vize'!O15*100/'1.vize'!$I15,"")</f>
        <v/>
      </c>
      <c r="E15" s="38" t="str">
        <f>IFERROR('1.vize'!P15*100/'1.vize'!$I15,"")</f>
        <v/>
      </c>
      <c r="F15" s="38" t="str">
        <f>IFERROR('1.vize'!Q15*100/'1.vize'!$I15,"")</f>
        <v/>
      </c>
      <c r="G15" s="38" t="str">
        <f>IFERROR('1.vize'!R15*100/'1.vize'!$I15,"")</f>
        <v/>
      </c>
      <c r="H15" s="38" t="str">
        <f>IFERROR('1.vize'!S15*100/'1.vize'!$I15,"")</f>
        <v/>
      </c>
      <c r="I15" s="38" t="str">
        <f>IFERROR('1.vize'!T15*100/'1.vize'!$I15,"")</f>
        <v/>
      </c>
      <c r="J15" s="38" t="str">
        <f>IFERROR('1.vize'!U15*100/'1.vize'!$I15,"")</f>
        <v/>
      </c>
      <c r="K15" s="38" t="str">
        <f>IFERROR('1.vize'!V15*100/'1.vize'!$I15,"")</f>
        <v/>
      </c>
      <c r="L15" s="38" t="str">
        <f>IFERROR('1.vize'!W15*100/'1.vize'!$I15,"")</f>
        <v/>
      </c>
      <c r="M15" s="38" t="str">
        <f>IFERROR('1.vize'!X15*100/'1.vize'!$I15,"")</f>
        <v/>
      </c>
      <c r="N15" s="38" t="str">
        <f>IFERROR('1.vize'!Y15*100/'1.vize'!$I15,"")</f>
        <v/>
      </c>
      <c r="O15" s="38" t="str">
        <f>IFERROR('1.vize'!Z15*100/'1.vize'!$I15,"")</f>
        <v/>
      </c>
      <c r="P15" s="38" t="str">
        <f>IFERROR('1.vize'!AA15*100/'1.vize'!$I15,"")</f>
        <v/>
      </c>
      <c r="Q15" s="38" t="str">
        <f>IFERROR('1.vize'!AB15*100/'1.vize'!$I15,"")</f>
        <v/>
      </c>
      <c r="R15" s="38" t="str">
        <f>IFERROR('1.vize'!AC15*100/'1.vize'!$I15,"")</f>
        <v/>
      </c>
      <c r="S15" s="38" t="str">
        <f>IFERROR('1.vize'!AD15*100/'1.vize'!$I15,"")</f>
        <v/>
      </c>
      <c r="T15" s="38" t="str">
        <f>IFERROR('1.vize'!AE15*100/'1.vize'!$I15,"")</f>
        <v/>
      </c>
      <c r="U15" s="38" t="str">
        <f>IFERROR('1.vize'!AF15*100/'1.vize'!$I15,"")</f>
        <v/>
      </c>
      <c r="V15" s="38" t="str">
        <f>IFERROR('1.vize'!AG15*100/'1.vize'!$I15,"")</f>
        <v/>
      </c>
      <c r="W15" s="38" t="str">
        <f>IFERROR('1.vize'!AH15*100/'1.vize'!$I15,"")</f>
        <v/>
      </c>
      <c r="X15" s="38" t="str">
        <f>IFERROR('1.vize'!AI15*100/'1.vize'!$I15,"")</f>
        <v/>
      </c>
      <c r="Y15" s="38" t="str">
        <f>IFERROR('1.vize'!AJ15*100/'1.vize'!$I15,"")</f>
        <v/>
      </c>
      <c r="Z15" s="38" t="str">
        <f>IFERROR('1.vize'!AK15*100/'1.vize'!$I15,"")</f>
        <v/>
      </c>
      <c r="AA15" s="38" t="str">
        <f>IFERROR('1.vize'!AL15*100/'1.vize'!$I15,"")</f>
        <v/>
      </c>
      <c r="AB15" s="38" t="str">
        <f>IFERROR('1.vize'!AM15*100/'1.vize'!$I15,"")</f>
        <v/>
      </c>
      <c r="AC15" s="38" t="str">
        <f>IFERROR('1.vize'!AN15*100/'1.vize'!$I15,"")</f>
        <v/>
      </c>
      <c r="AD15" s="38" t="str">
        <f>IFERROR('1.vize'!AO15*100/'1.vize'!$I15,"")</f>
        <v/>
      </c>
      <c r="AE15" s="38" t="str">
        <f>IFERROR('1.vize'!AP15*100/'1.vize'!$I15,"")</f>
        <v/>
      </c>
      <c r="AF15" s="38" t="str">
        <f>IFERROR('1.vize'!AQ15*100/'1.vize'!$I15,"")</f>
        <v/>
      </c>
      <c r="AG15" s="38" t="str">
        <f>IFERROR('1.vize'!AR15*100/'1.vize'!$I15,"")</f>
        <v/>
      </c>
      <c r="AH15" s="38" t="str">
        <f>IFERROR('1.vize'!AS15*100/'1.vize'!$I15,"")</f>
        <v/>
      </c>
      <c r="AI15" s="38" t="str">
        <f>IFERROR('1.vize'!AT15*100/'1.vize'!$I15,"")</f>
        <v/>
      </c>
      <c r="AJ15" s="38" t="str">
        <f>IFERROR('1.vize'!AU15*100/'1.vize'!$I15,"")</f>
        <v/>
      </c>
      <c r="AK15" s="38" t="str">
        <f>IFERROR('1.vize'!AV15*100/'1.vize'!$I15,"")</f>
        <v/>
      </c>
      <c r="AL15" s="38" t="str">
        <f>IFERROR('1.vize'!AW15*100/'1.vize'!$I15,"")</f>
        <v/>
      </c>
      <c r="AM15" s="38" t="str">
        <f>IFERROR('1.vize'!AX15*100/'1.vize'!$I15,"")</f>
        <v/>
      </c>
      <c r="AN15" s="38" t="str">
        <f>IFERROR('1.vize'!AY15*100/'1.vize'!$I15,"")</f>
        <v/>
      </c>
      <c r="AO15" s="38" t="str">
        <f>IFERROR('1.vize'!AZ15*100/'1.vize'!$I15,"")</f>
        <v/>
      </c>
      <c r="AP15" s="38" t="str">
        <f>IFERROR('1.vize'!BA15*100/'1.vize'!$I15,"")</f>
        <v/>
      </c>
      <c r="AQ15" s="38" t="str">
        <f>IFERROR('1.vize'!BB15*100/'1.vize'!$I15,"")</f>
        <v/>
      </c>
      <c r="AR15" s="38" t="str">
        <f>IFERROR('1.vize'!BC15*100/'1.vize'!$I15,"")</f>
        <v/>
      </c>
      <c r="AS15" s="38" t="str">
        <f>IFERROR('1.vize'!BD15*100/'1.vize'!$I15,"")</f>
        <v/>
      </c>
      <c r="AT15" s="38" t="str">
        <f>IFERROR('1.vize'!BE15*100/'1.vize'!$I15,"")</f>
        <v/>
      </c>
      <c r="AU15" s="38" t="str">
        <f>IFERROR('1.vize'!BF15*100/'1.vize'!$I15,"")</f>
        <v/>
      </c>
      <c r="AV15" s="38" t="str">
        <f>IFERROR('1.vize'!BG15*100/'1.vize'!$I15,"")</f>
        <v/>
      </c>
      <c r="AW15" s="38" t="str">
        <f>IFERROR('1.vize'!BH15*100/'1.vize'!$I15,"")</f>
        <v/>
      </c>
      <c r="AX15" s="38" t="str">
        <f>IFERROR('1.vize'!BI15*100/'1.vize'!$I15,"")</f>
        <v/>
      </c>
      <c r="AY15" s="38" t="str">
        <f>IFERROR('1.vize'!BJ15*100/'1.vize'!$I15,"")</f>
        <v/>
      </c>
      <c r="AZ15" s="38" t="str">
        <f>IFERROR('1.vize'!BK15*100/'1.vize'!$I15,"")</f>
        <v/>
      </c>
      <c r="BA15" s="38" t="str">
        <f>IFERROR('1.vize'!BL15*100/'1.vize'!$I15,"")</f>
        <v/>
      </c>
      <c r="BB15" s="38" t="str">
        <f>IFERROR('1.vize'!BM15*100/'1.vize'!$I15,"")</f>
        <v/>
      </c>
      <c r="BC15" s="38" t="str">
        <f>IFERROR('1.vize'!BN15*100/'1.vize'!$I15,"")</f>
        <v/>
      </c>
      <c r="BD15" s="38" t="str">
        <f>IFERROR('1.vize'!BO15*100/'1.vize'!$I15,"")</f>
        <v/>
      </c>
      <c r="BE15" s="38" t="str">
        <f>IFERROR('1.vize'!BP15*100/'1.vize'!$I15,"")</f>
        <v/>
      </c>
      <c r="BF15" s="38" t="str">
        <f>IFERROR('1.vize'!BQ15*100/'1.vize'!$I15,"")</f>
        <v/>
      </c>
      <c r="BG15" s="38" t="str">
        <f>IFERROR('1.vize'!BR15*100/'1.vize'!$I15,"")</f>
        <v/>
      </c>
      <c r="BH15" s="38" t="str">
        <f>IFERROR('1.vize'!BS15*100/'1.vize'!$I15,"")</f>
        <v/>
      </c>
      <c r="BI15" s="38" t="str">
        <f>IFERROR('1.vize'!BT15*100/'1.vize'!$I15,"")</f>
        <v/>
      </c>
      <c r="BJ15" s="38" t="str">
        <f>IFERROR('1.vize'!BU15*100/'1.vize'!$I15,"")</f>
        <v/>
      </c>
      <c r="BK15" s="38" t="str">
        <f>IFERROR('1.vize'!BV15*100/'1.vize'!$I15,"")</f>
        <v/>
      </c>
      <c r="BL15" s="38" t="str">
        <f>IFERROR('1.vize'!BW15*100/'1.vize'!$I15,"")</f>
        <v/>
      </c>
      <c r="BM15" s="38" t="str">
        <f>IFERROR('1.vize'!BX15*100/'1.vize'!$I15,"")</f>
        <v/>
      </c>
      <c r="BN15" s="38" t="str">
        <f>IFERROR('1.vize'!BY15*100/'1.vize'!$I15,"")</f>
        <v/>
      </c>
      <c r="BO15" s="38" t="str">
        <f>IFERROR('1.vize'!BZ15*100/'1.vize'!$I15,"")</f>
        <v/>
      </c>
      <c r="BP15" s="38" t="str">
        <f>IFERROR('1.vize'!CA15*100/'1.vize'!$I15,"")</f>
        <v/>
      </c>
      <c r="BQ15" s="38" t="str">
        <f>IFERROR('1.vize'!CB15*100/'1.vize'!$I15,"")</f>
        <v/>
      </c>
      <c r="BR15" s="38" t="str">
        <f>IFERROR('1.vize'!CC15*100/'1.vize'!$I15,"")</f>
        <v/>
      </c>
      <c r="BS15" s="38" t="str">
        <f>IFERROR('1.vize'!CD15*100/'1.vize'!$I15,"")</f>
        <v/>
      </c>
      <c r="BT15" s="38" t="str">
        <f>IFERROR('1.vize'!CE15*100/'1.vize'!$I15,"")</f>
        <v/>
      </c>
      <c r="BU15" s="38" t="str">
        <f>IFERROR('1.vize'!CF15*100/'1.vize'!$I15,"")</f>
        <v/>
      </c>
      <c r="BV15" s="38" t="str">
        <f>IFERROR('1.vize'!CG15*100/'1.vize'!$I15,"")</f>
        <v/>
      </c>
      <c r="BW15" s="38" t="str">
        <f>IFERROR('1.vize'!CH15*100/'1.vize'!$I15,"")</f>
        <v/>
      </c>
      <c r="BX15" s="38" t="str">
        <f>IFERROR('1.vize'!CI15*100/'1.vize'!$I15,"")</f>
        <v/>
      </c>
      <c r="BY15" s="38" t="str">
        <f>IFERROR('1.vize'!CJ15*100/'1.vize'!$I15,"")</f>
        <v/>
      </c>
      <c r="BZ15" s="38" t="str">
        <f>IFERROR('1.vize'!CK15*100/'1.vize'!$I15,"")</f>
        <v/>
      </c>
      <c r="CA15" s="38" t="str">
        <f>IFERROR('1.vize'!CL15*100/'1.vize'!$I15,"")</f>
        <v/>
      </c>
      <c r="CB15" s="38" t="str">
        <f>IFERROR('1.vize'!CM15*100/'1.vize'!$I15,"")</f>
        <v/>
      </c>
      <c r="CC15" s="38" t="str">
        <f>IFERROR('1.vize'!CN15*100/'1.vize'!$I15,"")</f>
        <v/>
      </c>
      <c r="CD15" s="38" t="str">
        <f>IFERROR('1.vize'!CO15*100/'1.vize'!$I15,"")</f>
        <v/>
      </c>
      <c r="CE15" s="38" t="str">
        <f>IFERROR('1.vize'!CP15*100/'1.vize'!$I15,"")</f>
        <v/>
      </c>
      <c r="CF15" s="38" t="str">
        <f>IFERROR('1.vize'!CQ15*100/'1.vize'!$I15,"")</f>
        <v/>
      </c>
      <c r="CG15" s="38" t="str">
        <f>IFERROR('1.vize'!CR15*100/'1.vize'!$I15,"")</f>
        <v/>
      </c>
      <c r="CH15" s="38" t="str">
        <f>IFERROR('1.vize'!CS15*100/'1.vize'!$I15,"")</f>
        <v/>
      </c>
      <c r="CI15" s="38" t="str">
        <f>IFERROR('1.vize'!CT15*100/'1.vize'!$I15,"")</f>
        <v/>
      </c>
      <c r="CJ15" s="38" t="str">
        <f>IFERROR('1.vize'!CU15*100/'1.vize'!$I15,"")</f>
        <v/>
      </c>
      <c r="CK15" s="38" t="str">
        <f>IFERROR('1.vize'!CV15*100/'1.vize'!$I15,"")</f>
        <v/>
      </c>
      <c r="CL15" s="38" t="str">
        <f>IFERROR('1.vize'!CW15*100/'1.vize'!$I15,"")</f>
        <v/>
      </c>
      <c r="CM15" s="38" t="str">
        <f>IFERROR('1.vize'!CX15*100/'1.vize'!$I15,"")</f>
        <v/>
      </c>
      <c r="CN15" s="38" t="str">
        <f>IFERROR('1.vize'!CY15*100/'1.vize'!$I15,"")</f>
        <v/>
      </c>
      <c r="CO15" s="38" t="str">
        <f>IFERROR('1.vize'!CZ15*100/'1.vize'!$I15,"")</f>
        <v/>
      </c>
      <c r="CP15" s="38" t="str">
        <f>IFERROR('1.vize'!DA15*100/'1.vize'!$I15,"")</f>
        <v/>
      </c>
      <c r="CQ15" s="38" t="str">
        <f>IFERROR('1.vize'!DB15*100/'1.vize'!$I15,"")</f>
        <v/>
      </c>
      <c r="CR15" s="38" t="str">
        <f>IFERROR('1.vize'!DC15*100/'1.vize'!$I15,"")</f>
        <v/>
      </c>
      <c r="CS15" s="38" t="str">
        <f>IFERROR('1.vize'!DD15*100/'1.vize'!$I15,"")</f>
        <v/>
      </c>
      <c r="CT15" s="38" t="str">
        <f>IFERROR('1.vize'!DE15*100/'1.vize'!$I15,"")</f>
        <v/>
      </c>
      <c r="CU15" s="38" t="str">
        <f>IFERROR('1.vize'!DF15*100/'1.vize'!$I15,"")</f>
        <v/>
      </c>
      <c r="CV15" s="38" t="str">
        <f>IFERROR('1.vize'!DG15*100/'1.vize'!$I15,"")</f>
        <v/>
      </c>
      <c r="CW15" s="32" t="str">
        <f>IFERROR(SUM(A15:CV15)/'1.vize'!$DH$103,"")</f>
        <v/>
      </c>
      <c r="CX15" s="14" t="str">
        <f>IF(COUNTA('1.vize'!A15),'1.vize'!A15,"")</f>
        <v/>
      </c>
      <c r="CY15" s="14" t="str">
        <f>IF(COUNTA('1.vize'!B15),'1.vize'!B15,"")</f>
        <v/>
      </c>
      <c r="CZ15" s="14" t="str">
        <f>IF(COUNTA('1.vize'!C15),'1.vize'!C15,"")</f>
        <v/>
      </c>
      <c r="DA15" s="14" t="str">
        <f>IF(COUNTA('1.vize'!D15),'1.vize'!D15,"")</f>
        <v/>
      </c>
      <c r="DB15" s="14" t="str">
        <f>IF(COUNTA('1.vize'!E15),'1.vize'!E15,"")</f>
        <v/>
      </c>
      <c r="DC15" s="14" t="str">
        <f>IF(COUNTA('1.vize'!F15),'1.vize'!F15,"")</f>
        <v/>
      </c>
      <c r="DD15" s="14" t="str">
        <f>IF(COUNTA('1.vize'!G15),'1.vize'!G15,"")</f>
        <v/>
      </c>
      <c r="DE15" s="14" t="str">
        <f>IF(COUNTA('1.vize'!H15),'1.vize'!H15,"")</f>
        <v/>
      </c>
      <c r="DF15" s="33"/>
    </row>
    <row r="16" spans="1:118" x14ac:dyDescent="0.2">
      <c r="A16" s="38" t="str">
        <f>IFERROR('1.vize'!L16*100/'1.vize'!$I16,"")</f>
        <v/>
      </c>
      <c r="B16" s="38" t="str">
        <f>IFERROR('1.vize'!M16*100/'1.vize'!$I16,"")</f>
        <v/>
      </c>
      <c r="C16" s="38" t="str">
        <f>IFERROR('1.vize'!N16*100/'1.vize'!$I16,"")</f>
        <v/>
      </c>
      <c r="D16" s="38" t="str">
        <f>IFERROR('1.vize'!O16*100/'1.vize'!$I16,"")</f>
        <v/>
      </c>
      <c r="E16" s="38" t="str">
        <f>IFERROR('1.vize'!P16*100/'1.vize'!$I16,"")</f>
        <v/>
      </c>
      <c r="F16" s="38" t="str">
        <f>IFERROR('1.vize'!Q16*100/'1.vize'!$I16,"")</f>
        <v/>
      </c>
      <c r="G16" s="38" t="str">
        <f>IFERROR('1.vize'!R16*100/'1.vize'!$I16,"")</f>
        <v/>
      </c>
      <c r="H16" s="38" t="str">
        <f>IFERROR('1.vize'!S16*100/'1.vize'!$I16,"")</f>
        <v/>
      </c>
      <c r="I16" s="38" t="str">
        <f>IFERROR('1.vize'!T16*100/'1.vize'!$I16,"")</f>
        <v/>
      </c>
      <c r="J16" s="38" t="str">
        <f>IFERROR('1.vize'!U16*100/'1.vize'!$I16,"")</f>
        <v/>
      </c>
      <c r="K16" s="38" t="str">
        <f>IFERROR('1.vize'!V16*100/'1.vize'!$I16,"")</f>
        <v/>
      </c>
      <c r="L16" s="38" t="str">
        <f>IFERROR('1.vize'!W16*100/'1.vize'!$I16,"")</f>
        <v/>
      </c>
      <c r="M16" s="38" t="str">
        <f>IFERROR('1.vize'!X16*100/'1.vize'!$I16,"")</f>
        <v/>
      </c>
      <c r="N16" s="38" t="str">
        <f>IFERROR('1.vize'!Y16*100/'1.vize'!$I16,"")</f>
        <v/>
      </c>
      <c r="O16" s="38" t="str">
        <f>IFERROR('1.vize'!Z16*100/'1.vize'!$I16,"")</f>
        <v/>
      </c>
      <c r="P16" s="38" t="str">
        <f>IFERROR('1.vize'!AA16*100/'1.vize'!$I16,"")</f>
        <v/>
      </c>
      <c r="Q16" s="38" t="str">
        <f>IFERROR('1.vize'!AB16*100/'1.vize'!$I16,"")</f>
        <v/>
      </c>
      <c r="R16" s="38" t="str">
        <f>IFERROR('1.vize'!AC16*100/'1.vize'!$I16,"")</f>
        <v/>
      </c>
      <c r="S16" s="38" t="str">
        <f>IFERROR('1.vize'!AD16*100/'1.vize'!$I16,"")</f>
        <v/>
      </c>
      <c r="T16" s="38" t="str">
        <f>IFERROR('1.vize'!AE16*100/'1.vize'!$I16,"")</f>
        <v/>
      </c>
      <c r="U16" s="38" t="str">
        <f>IFERROR('1.vize'!AF16*100/'1.vize'!$I16,"")</f>
        <v/>
      </c>
      <c r="V16" s="38" t="str">
        <f>IFERROR('1.vize'!AG16*100/'1.vize'!$I16,"")</f>
        <v/>
      </c>
      <c r="W16" s="38" t="str">
        <f>IFERROR('1.vize'!AH16*100/'1.vize'!$I16,"")</f>
        <v/>
      </c>
      <c r="X16" s="38" t="str">
        <f>IFERROR('1.vize'!AI16*100/'1.vize'!$I16,"")</f>
        <v/>
      </c>
      <c r="Y16" s="38" t="str">
        <f>IFERROR('1.vize'!AJ16*100/'1.vize'!$I16,"")</f>
        <v/>
      </c>
      <c r="Z16" s="38" t="str">
        <f>IFERROR('1.vize'!AK16*100/'1.vize'!$I16,"")</f>
        <v/>
      </c>
      <c r="AA16" s="38" t="str">
        <f>IFERROR('1.vize'!AL16*100/'1.vize'!$I16,"")</f>
        <v/>
      </c>
      <c r="AB16" s="38" t="str">
        <f>IFERROR('1.vize'!AM16*100/'1.vize'!$I16,"")</f>
        <v/>
      </c>
      <c r="AC16" s="38" t="str">
        <f>IFERROR('1.vize'!AN16*100/'1.vize'!$I16,"")</f>
        <v/>
      </c>
      <c r="AD16" s="38" t="str">
        <f>IFERROR('1.vize'!AO16*100/'1.vize'!$I16,"")</f>
        <v/>
      </c>
      <c r="AE16" s="38" t="str">
        <f>IFERROR('1.vize'!AP16*100/'1.vize'!$I16,"")</f>
        <v/>
      </c>
      <c r="AF16" s="38" t="str">
        <f>IFERROR('1.vize'!AQ16*100/'1.vize'!$I16,"")</f>
        <v/>
      </c>
      <c r="AG16" s="38" t="str">
        <f>IFERROR('1.vize'!AR16*100/'1.vize'!$I16,"")</f>
        <v/>
      </c>
      <c r="AH16" s="38" t="str">
        <f>IFERROR('1.vize'!AS16*100/'1.vize'!$I16,"")</f>
        <v/>
      </c>
      <c r="AI16" s="38" t="str">
        <f>IFERROR('1.vize'!AT16*100/'1.vize'!$I16,"")</f>
        <v/>
      </c>
      <c r="AJ16" s="38" t="str">
        <f>IFERROR('1.vize'!AU16*100/'1.vize'!$I16,"")</f>
        <v/>
      </c>
      <c r="AK16" s="38" t="str">
        <f>IFERROR('1.vize'!AV16*100/'1.vize'!$I16,"")</f>
        <v/>
      </c>
      <c r="AL16" s="38" t="str">
        <f>IFERROR('1.vize'!AW16*100/'1.vize'!$I16,"")</f>
        <v/>
      </c>
      <c r="AM16" s="38" t="str">
        <f>IFERROR('1.vize'!AX16*100/'1.vize'!$I16,"")</f>
        <v/>
      </c>
      <c r="AN16" s="38" t="str">
        <f>IFERROR('1.vize'!AY16*100/'1.vize'!$I16,"")</f>
        <v/>
      </c>
      <c r="AO16" s="38" t="str">
        <f>IFERROR('1.vize'!AZ16*100/'1.vize'!$I16,"")</f>
        <v/>
      </c>
      <c r="AP16" s="38" t="str">
        <f>IFERROR('1.vize'!BA16*100/'1.vize'!$I16,"")</f>
        <v/>
      </c>
      <c r="AQ16" s="38" t="str">
        <f>IFERROR('1.vize'!BB16*100/'1.vize'!$I16,"")</f>
        <v/>
      </c>
      <c r="AR16" s="38" t="str">
        <f>IFERROR('1.vize'!BC16*100/'1.vize'!$I16,"")</f>
        <v/>
      </c>
      <c r="AS16" s="38" t="str">
        <f>IFERROR('1.vize'!BD16*100/'1.vize'!$I16,"")</f>
        <v/>
      </c>
      <c r="AT16" s="38" t="str">
        <f>IFERROR('1.vize'!BE16*100/'1.vize'!$I16,"")</f>
        <v/>
      </c>
      <c r="AU16" s="38" t="str">
        <f>IFERROR('1.vize'!BF16*100/'1.vize'!$I16,"")</f>
        <v/>
      </c>
      <c r="AV16" s="38" t="str">
        <f>IFERROR('1.vize'!BG16*100/'1.vize'!$I16,"")</f>
        <v/>
      </c>
      <c r="AW16" s="38" t="str">
        <f>IFERROR('1.vize'!BH16*100/'1.vize'!$I16,"")</f>
        <v/>
      </c>
      <c r="AX16" s="38" t="str">
        <f>IFERROR('1.vize'!BI16*100/'1.vize'!$I16,"")</f>
        <v/>
      </c>
      <c r="AY16" s="38" t="str">
        <f>IFERROR('1.vize'!BJ16*100/'1.vize'!$I16,"")</f>
        <v/>
      </c>
      <c r="AZ16" s="38" t="str">
        <f>IFERROR('1.vize'!BK16*100/'1.vize'!$I16,"")</f>
        <v/>
      </c>
      <c r="BA16" s="38" t="str">
        <f>IFERROR('1.vize'!BL16*100/'1.vize'!$I16,"")</f>
        <v/>
      </c>
      <c r="BB16" s="38" t="str">
        <f>IFERROR('1.vize'!BM16*100/'1.vize'!$I16,"")</f>
        <v/>
      </c>
      <c r="BC16" s="38" t="str">
        <f>IFERROR('1.vize'!BN16*100/'1.vize'!$I16,"")</f>
        <v/>
      </c>
      <c r="BD16" s="38" t="str">
        <f>IFERROR('1.vize'!BO16*100/'1.vize'!$I16,"")</f>
        <v/>
      </c>
      <c r="BE16" s="38" t="str">
        <f>IFERROR('1.vize'!BP16*100/'1.vize'!$I16,"")</f>
        <v/>
      </c>
      <c r="BF16" s="38" t="str">
        <f>IFERROR('1.vize'!BQ16*100/'1.vize'!$I16,"")</f>
        <v/>
      </c>
      <c r="BG16" s="38" t="str">
        <f>IFERROR('1.vize'!BR16*100/'1.vize'!$I16,"")</f>
        <v/>
      </c>
      <c r="BH16" s="38" t="str">
        <f>IFERROR('1.vize'!BS16*100/'1.vize'!$I16,"")</f>
        <v/>
      </c>
      <c r="BI16" s="38" t="str">
        <f>IFERROR('1.vize'!BT16*100/'1.vize'!$I16,"")</f>
        <v/>
      </c>
      <c r="BJ16" s="38" t="str">
        <f>IFERROR('1.vize'!BU16*100/'1.vize'!$I16,"")</f>
        <v/>
      </c>
      <c r="BK16" s="38" t="str">
        <f>IFERROR('1.vize'!BV16*100/'1.vize'!$I16,"")</f>
        <v/>
      </c>
      <c r="BL16" s="38" t="str">
        <f>IFERROR('1.vize'!BW16*100/'1.vize'!$I16,"")</f>
        <v/>
      </c>
      <c r="BM16" s="38" t="str">
        <f>IFERROR('1.vize'!BX16*100/'1.vize'!$I16,"")</f>
        <v/>
      </c>
      <c r="BN16" s="38" t="str">
        <f>IFERROR('1.vize'!BY16*100/'1.vize'!$I16,"")</f>
        <v/>
      </c>
      <c r="BO16" s="38" t="str">
        <f>IFERROR('1.vize'!BZ16*100/'1.vize'!$I16,"")</f>
        <v/>
      </c>
      <c r="BP16" s="38" t="str">
        <f>IFERROR('1.vize'!CA16*100/'1.vize'!$I16,"")</f>
        <v/>
      </c>
      <c r="BQ16" s="38" t="str">
        <f>IFERROR('1.vize'!CB16*100/'1.vize'!$I16,"")</f>
        <v/>
      </c>
      <c r="BR16" s="38" t="str">
        <f>IFERROR('1.vize'!CC16*100/'1.vize'!$I16,"")</f>
        <v/>
      </c>
      <c r="BS16" s="38" t="str">
        <f>IFERROR('1.vize'!CD16*100/'1.vize'!$I16,"")</f>
        <v/>
      </c>
      <c r="BT16" s="38" t="str">
        <f>IFERROR('1.vize'!CE16*100/'1.vize'!$I16,"")</f>
        <v/>
      </c>
      <c r="BU16" s="38" t="str">
        <f>IFERROR('1.vize'!CF16*100/'1.vize'!$I16,"")</f>
        <v/>
      </c>
      <c r="BV16" s="38" t="str">
        <f>IFERROR('1.vize'!CG16*100/'1.vize'!$I16,"")</f>
        <v/>
      </c>
      <c r="BW16" s="38" t="str">
        <f>IFERROR('1.vize'!CH16*100/'1.vize'!$I16,"")</f>
        <v/>
      </c>
      <c r="BX16" s="38" t="str">
        <f>IFERROR('1.vize'!CI16*100/'1.vize'!$I16,"")</f>
        <v/>
      </c>
      <c r="BY16" s="38" t="str">
        <f>IFERROR('1.vize'!CJ16*100/'1.vize'!$I16,"")</f>
        <v/>
      </c>
      <c r="BZ16" s="38" t="str">
        <f>IFERROR('1.vize'!CK16*100/'1.vize'!$I16,"")</f>
        <v/>
      </c>
      <c r="CA16" s="38" t="str">
        <f>IFERROR('1.vize'!CL16*100/'1.vize'!$I16,"")</f>
        <v/>
      </c>
      <c r="CB16" s="38" t="str">
        <f>IFERROR('1.vize'!CM16*100/'1.vize'!$I16,"")</f>
        <v/>
      </c>
      <c r="CC16" s="38" t="str">
        <f>IFERROR('1.vize'!CN16*100/'1.vize'!$I16,"")</f>
        <v/>
      </c>
      <c r="CD16" s="38" t="str">
        <f>IFERROR('1.vize'!CO16*100/'1.vize'!$I16,"")</f>
        <v/>
      </c>
      <c r="CE16" s="38" t="str">
        <f>IFERROR('1.vize'!CP16*100/'1.vize'!$I16,"")</f>
        <v/>
      </c>
      <c r="CF16" s="38" t="str">
        <f>IFERROR('1.vize'!CQ16*100/'1.vize'!$I16,"")</f>
        <v/>
      </c>
      <c r="CG16" s="38" t="str">
        <f>IFERROR('1.vize'!CR16*100/'1.vize'!$I16,"")</f>
        <v/>
      </c>
      <c r="CH16" s="38" t="str">
        <f>IFERROR('1.vize'!CS16*100/'1.vize'!$I16,"")</f>
        <v/>
      </c>
      <c r="CI16" s="38" t="str">
        <f>IFERROR('1.vize'!CT16*100/'1.vize'!$I16,"")</f>
        <v/>
      </c>
      <c r="CJ16" s="38" t="str">
        <f>IFERROR('1.vize'!CU16*100/'1.vize'!$I16,"")</f>
        <v/>
      </c>
      <c r="CK16" s="38" t="str">
        <f>IFERROR('1.vize'!CV16*100/'1.vize'!$I16,"")</f>
        <v/>
      </c>
      <c r="CL16" s="38" t="str">
        <f>IFERROR('1.vize'!CW16*100/'1.vize'!$I16,"")</f>
        <v/>
      </c>
      <c r="CM16" s="38" t="str">
        <f>IFERROR('1.vize'!CX16*100/'1.vize'!$I16,"")</f>
        <v/>
      </c>
      <c r="CN16" s="38" t="str">
        <f>IFERROR('1.vize'!CY16*100/'1.vize'!$I16,"")</f>
        <v/>
      </c>
      <c r="CO16" s="38" t="str">
        <f>IFERROR('1.vize'!CZ16*100/'1.vize'!$I16,"")</f>
        <v/>
      </c>
      <c r="CP16" s="38" t="str">
        <f>IFERROR('1.vize'!DA16*100/'1.vize'!$I16,"")</f>
        <v/>
      </c>
      <c r="CQ16" s="38" t="str">
        <f>IFERROR('1.vize'!DB16*100/'1.vize'!$I16,"")</f>
        <v/>
      </c>
      <c r="CR16" s="38" t="str">
        <f>IFERROR('1.vize'!DC16*100/'1.vize'!$I16,"")</f>
        <v/>
      </c>
      <c r="CS16" s="38" t="str">
        <f>IFERROR('1.vize'!DD16*100/'1.vize'!$I16,"")</f>
        <v/>
      </c>
      <c r="CT16" s="38" t="str">
        <f>IFERROR('1.vize'!DE16*100/'1.vize'!$I16,"")</f>
        <v/>
      </c>
      <c r="CU16" s="38" t="str">
        <f>IFERROR('1.vize'!DF16*100/'1.vize'!$I16,"")</f>
        <v/>
      </c>
      <c r="CV16" s="38" t="str">
        <f>IFERROR('1.vize'!DG16*100/'1.vize'!$I16,"")</f>
        <v/>
      </c>
      <c r="CW16" s="32" t="str">
        <f>IFERROR(SUM(A16:CV16)/'1.vize'!$DH$103,"")</f>
        <v/>
      </c>
      <c r="CX16" s="14" t="str">
        <f>IF(COUNTA('1.vize'!A16),'1.vize'!A16,"")</f>
        <v/>
      </c>
      <c r="CY16" s="14" t="str">
        <f>IF(COUNTA('1.vize'!B16),'1.vize'!B16,"")</f>
        <v/>
      </c>
      <c r="CZ16" s="14" t="str">
        <f>IF(COUNTA('1.vize'!C16),'1.vize'!C16,"")</f>
        <v/>
      </c>
      <c r="DA16" s="14" t="str">
        <f>IF(COUNTA('1.vize'!D16),'1.vize'!D16,"")</f>
        <v/>
      </c>
      <c r="DB16" s="14" t="str">
        <f>IF(COUNTA('1.vize'!E16),'1.vize'!E16,"")</f>
        <v/>
      </c>
      <c r="DC16" s="14" t="str">
        <f>IF(COUNTA('1.vize'!F16),'1.vize'!F16,"")</f>
        <v/>
      </c>
      <c r="DD16" s="14" t="str">
        <f>IF(COUNTA('1.vize'!G16),'1.vize'!G16,"")</f>
        <v/>
      </c>
      <c r="DE16" s="14" t="str">
        <f>IF(COUNTA('1.vize'!H16),'1.vize'!H16,"")</f>
        <v/>
      </c>
      <c r="DF16" s="33"/>
    </row>
    <row r="17" spans="1:110" x14ac:dyDescent="0.2">
      <c r="A17" s="38" t="str">
        <f>IFERROR('1.vize'!L17*100/'1.vize'!$I17,"")</f>
        <v/>
      </c>
      <c r="B17" s="38" t="str">
        <f>IFERROR('1.vize'!M17*100/'1.vize'!$I17,"")</f>
        <v/>
      </c>
      <c r="C17" s="38" t="str">
        <f>IFERROR('1.vize'!N17*100/'1.vize'!$I17,"")</f>
        <v/>
      </c>
      <c r="D17" s="38" t="str">
        <f>IFERROR('1.vize'!O17*100/'1.vize'!$I17,"")</f>
        <v/>
      </c>
      <c r="E17" s="38" t="str">
        <f>IFERROR('1.vize'!P17*100/'1.vize'!$I17,"")</f>
        <v/>
      </c>
      <c r="F17" s="38" t="str">
        <f>IFERROR('1.vize'!Q17*100/'1.vize'!$I17,"")</f>
        <v/>
      </c>
      <c r="G17" s="38" t="str">
        <f>IFERROR('1.vize'!R17*100/'1.vize'!$I17,"")</f>
        <v/>
      </c>
      <c r="H17" s="38" t="str">
        <f>IFERROR('1.vize'!S17*100/'1.vize'!$I17,"")</f>
        <v/>
      </c>
      <c r="I17" s="38" t="str">
        <f>IFERROR('1.vize'!T17*100/'1.vize'!$I17,"")</f>
        <v/>
      </c>
      <c r="J17" s="38" t="str">
        <f>IFERROR('1.vize'!U17*100/'1.vize'!$I17,"")</f>
        <v/>
      </c>
      <c r="K17" s="38" t="str">
        <f>IFERROR('1.vize'!V17*100/'1.vize'!$I17,"")</f>
        <v/>
      </c>
      <c r="L17" s="38" t="str">
        <f>IFERROR('1.vize'!W17*100/'1.vize'!$I17,"")</f>
        <v/>
      </c>
      <c r="M17" s="38" t="str">
        <f>IFERROR('1.vize'!X17*100/'1.vize'!$I17,"")</f>
        <v/>
      </c>
      <c r="N17" s="38" t="str">
        <f>IFERROR('1.vize'!Y17*100/'1.vize'!$I17,"")</f>
        <v/>
      </c>
      <c r="O17" s="38" t="str">
        <f>IFERROR('1.vize'!Z17*100/'1.vize'!$I17,"")</f>
        <v/>
      </c>
      <c r="P17" s="38" t="str">
        <f>IFERROR('1.vize'!AA17*100/'1.vize'!$I17,"")</f>
        <v/>
      </c>
      <c r="Q17" s="38" t="str">
        <f>IFERROR('1.vize'!AB17*100/'1.vize'!$I17,"")</f>
        <v/>
      </c>
      <c r="R17" s="38" t="str">
        <f>IFERROR('1.vize'!AC17*100/'1.vize'!$I17,"")</f>
        <v/>
      </c>
      <c r="S17" s="38" t="str">
        <f>IFERROR('1.vize'!AD17*100/'1.vize'!$I17,"")</f>
        <v/>
      </c>
      <c r="T17" s="38" t="str">
        <f>IFERROR('1.vize'!AE17*100/'1.vize'!$I17,"")</f>
        <v/>
      </c>
      <c r="U17" s="38" t="str">
        <f>IFERROR('1.vize'!AF17*100/'1.vize'!$I17,"")</f>
        <v/>
      </c>
      <c r="V17" s="38" t="str">
        <f>IFERROR('1.vize'!AG17*100/'1.vize'!$I17,"")</f>
        <v/>
      </c>
      <c r="W17" s="38" t="str">
        <f>IFERROR('1.vize'!AH17*100/'1.vize'!$I17,"")</f>
        <v/>
      </c>
      <c r="X17" s="38" t="str">
        <f>IFERROR('1.vize'!AI17*100/'1.vize'!$I17,"")</f>
        <v/>
      </c>
      <c r="Y17" s="38" t="str">
        <f>IFERROR('1.vize'!AJ17*100/'1.vize'!$I17,"")</f>
        <v/>
      </c>
      <c r="Z17" s="38" t="str">
        <f>IFERROR('1.vize'!AK17*100/'1.vize'!$I17,"")</f>
        <v/>
      </c>
      <c r="AA17" s="38" t="str">
        <f>IFERROR('1.vize'!AL17*100/'1.vize'!$I17,"")</f>
        <v/>
      </c>
      <c r="AB17" s="38" t="str">
        <f>IFERROR('1.vize'!AM17*100/'1.vize'!$I17,"")</f>
        <v/>
      </c>
      <c r="AC17" s="38" t="str">
        <f>IFERROR('1.vize'!AN17*100/'1.vize'!$I17,"")</f>
        <v/>
      </c>
      <c r="AD17" s="38" t="str">
        <f>IFERROR('1.vize'!AO17*100/'1.vize'!$I17,"")</f>
        <v/>
      </c>
      <c r="AE17" s="38" t="str">
        <f>IFERROR('1.vize'!AP17*100/'1.vize'!$I17,"")</f>
        <v/>
      </c>
      <c r="AF17" s="38" t="str">
        <f>IFERROR('1.vize'!AQ17*100/'1.vize'!$I17,"")</f>
        <v/>
      </c>
      <c r="AG17" s="38" t="str">
        <f>IFERROR('1.vize'!AR17*100/'1.vize'!$I17,"")</f>
        <v/>
      </c>
      <c r="AH17" s="38" t="str">
        <f>IFERROR('1.vize'!AS17*100/'1.vize'!$I17,"")</f>
        <v/>
      </c>
      <c r="AI17" s="38" t="str">
        <f>IFERROR('1.vize'!AT17*100/'1.vize'!$I17,"")</f>
        <v/>
      </c>
      <c r="AJ17" s="38" t="str">
        <f>IFERROR('1.vize'!AU17*100/'1.vize'!$I17,"")</f>
        <v/>
      </c>
      <c r="AK17" s="38" t="str">
        <f>IFERROR('1.vize'!AV17*100/'1.vize'!$I17,"")</f>
        <v/>
      </c>
      <c r="AL17" s="38" t="str">
        <f>IFERROR('1.vize'!AW17*100/'1.vize'!$I17,"")</f>
        <v/>
      </c>
      <c r="AM17" s="38" t="str">
        <f>IFERROR('1.vize'!AX17*100/'1.vize'!$I17,"")</f>
        <v/>
      </c>
      <c r="AN17" s="38" t="str">
        <f>IFERROR('1.vize'!AY17*100/'1.vize'!$I17,"")</f>
        <v/>
      </c>
      <c r="AO17" s="38" t="str">
        <f>IFERROR('1.vize'!AZ17*100/'1.vize'!$I17,"")</f>
        <v/>
      </c>
      <c r="AP17" s="38" t="str">
        <f>IFERROR('1.vize'!BA17*100/'1.vize'!$I17,"")</f>
        <v/>
      </c>
      <c r="AQ17" s="38" t="str">
        <f>IFERROR('1.vize'!BB17*100/'1.vize'!$I17,"")</f>
        <v/>
      </c>
      <c r="AR17" s="38" t="str">
        <f>IFERROR('1.vize'!BC17*100/'1.vize'!$I17,"")</f>
        <v/>
      </c>
      <c r="AS17" s="38" t="str">
        <f>IFERROR('1.vize'!BD17*100/'1.vize'!$I17,"")</f>
        <v/>
      </c>
      <c r="AT17" s="38" t="str">
        <f>IFERROR('1.vize'!BE17*100/'1.vize'!$I17,"")</f>
        <v/>
      </c>
      <c r="AU17" s="38" t="str">
        <f>IFERROR('1.vize'!BF17*100/'1.vize'!$I17,"")</f>
        <v/>
      </c>
      <c r="AV17" s="38" t="str">
        <f>IFERROR('1.vize'!BG17*100/'1.vize'!$I17,"")</f>
        <v/>
      </c>
      <c r="AW17" s="38" t="str">
        <f>IFERROR('1.vize'!BH17*100/'1.vize'!$I17,"")</f>
        <v/>
      </c>
      <c r="AX17" s="38" t="str">
        <f>IFERROR('1.vize'!BI17*100/'1.vize'!$I17,"")</f>
        <v/>
      </c>
      <c r="AY17" s="38" t="str">
        <f>IFERROR('1.vize'!BJ17*100/'1.vize'!$I17,"")</f>
        <v/>
      </c>
      <c r="AZ17" s="38" t="str">
        <f>IFERROR('1.vize'!BK17*100/'1.vize'!$I17,"")</f>
        <v/>
      </c>
      <c r="BA17" s="38" t="str">
        <f>IFERROR('1.vize'!BL17*100/'1.vize'!$I17,"")</f>
        <v/>
      </c>
      <c r="BB17" s="38" t="str">
        <f>IFERROR('1.vize'!BM17*100/'1.vize'!$I17,"")</f>
        <v/>
      </c>
      <c r="BC17" s="38" t="str">
        <f>IFERROR('1.vize'!BN17*100/'1.vize'!$I17,"")</f>
        <v/>
      </c>
      <c r="BD17" s="38" t="str">
        <f>IFERROR('1.vize'!BO17*100/'1.vize'!$I17,"")</f>
        <v/>
      </c>
      <c r="BE17" s="38" t="str">
        <f>IFERROR('1.vize'!BP17*100/'1.vize'!$I17,"")</f>
        <v/>
      </c>
      <c r="BF17" s="38" t="str">
        <f>IFERROR('1.vize'!BQ17*100/'1.vize'!$I17,"")</f>
        <v/>
      </c>
      <c r="BG17" s="38" t="str">
        <f>IFERROR('1.vize'!BR17*100/'1.vize'!$I17,"")</f>
        <v/>
      </c>
      <c r="BH17" s="38" t="str">
        <f>IFERROR('1.vize'!BS17*100/'1.vize'!$I17,"")</f>
        <v/>
      </c>
      <c r="BI17" s="38" t="str">
        <f>IFERROR('1.vize'!BT17*100/'1.vize'!$I17,"")</f>
        <v/>
      </c>
      <c r="BJ17" s="38" t="str">
        <f>IFERROR('1.vize'!BU17*100/'1.vize'!$I17,"")</f>
        <v/>
      </c>
      <c r="BK17" s="38" t="str">
        <f>IFERROR('1.vize'!BV17*100/'1.vize'!$I17,"")</f>
        <v/>
      </c>
      <c r="BL17" s="38" t="str">
        <f>IFERROR('1.vize'!BW17*100/'1.vize'!$I17,"")</f>
        <v/>
      </c>
      <c r="BM17" s="38" t="str">
        <f>IFERROR('1.vize'!BX17*100/'1.vize'!$I17,"")</f>
        <v/>
      </c>
      <c r="BN17" s="38" t="str">
        <f>IFERROR('1.vize'!BY17*100/'1.vize'!$I17,"")</f>
        <v/>
      </c>
      <c r="BO17" s="38" t="str">
        <f>IFERROR('1.vize'!BZ17*100/'1.vize'!$I17,"")</f>
        <v/>
      </c>
      <c r="BP17" s="38" t="str">
        <f>IFERROR('1.vize'!CA17*100/'1.vize'!$I17,"")</f>
        <v/>
      </c>
      <c r="BQ17" s="38" t="str">
        <f>IFERROR('1.vize'!CB17*100/'1.vize'!$I17,"")</f>
        <v/>
      </c>
      <c r="BR17" s="38" t="str">
        <f>IFERROR('1.vize'!CC17*100/'1.vize'!$I17,"")</f>
        <v/>
      </c>
      <c r="BS17" s="38" t="str">
        <f>IFERROR('1.vize'!CD17*100/'1.vize'!$I17,"")</f>
        <v/>
      </c>
      <c r="BT17" s="38" t="str">
        <f>IFERROR('1.vize'!CE17*100/'1.vize'!$I17,"")</f>
        <v/>
      </c>
      <c r="BU17" s="38" t="str">
        <f>IFERROR('1.vize'!CF17*100/'1.vize'!$I17,"")</f>
        <v/>
      </c>
      <c r="BV17" s="38" t="str">
        <f>IFERROR('1.vize'!CG17*100/'1.vize'!$I17,"")</f>
        <v/>
      </c>
      <c r="BW17" s="38" t="str">
        <f>IFERROR('1.vize'!CH17*100/'1.vize'!$I17,"")</f>
        <v/>
      </c>
      <c r="BX17" s="38" t="str">
        <f>IFERROR('1.vize'!CI17*100/'1.vize'!$I17,"")</f>
        <v/>
      </c>
      <c r="BY17" s="38" t="str">
        <f>IFERROR('1.vize'!CJ17*100/'1.vize'!$I17,"")</f>
        <v/>
      </c>
      <c r="BZ17" s="38" t="str">
        <f>IFERROR('1.vize'!CK17*100/'1.vize'!$I17,"")</f>
        <v/>
      </c>
      <c r="CA17" s="38" t="str">
        <f>IFERROR('1.vize'!CL17*100/'1.vize'!$I17,"")</f>
        <v/>
      </c>
      <c r="CB17" s="38" t="str">
        <f>IFERROR('1.vize'!CM17*100/'1.vize'!$I17,"")</f>
        <v/>
      </c>
      <c r="CC17" s="38" t="str">
        <f>IFERROR('1.vize'!CN17*100/'1.vize'!$I17,"")</f>
        <v/>
      </c>
      <c r="CD17" s="38" t="str">
        <f>IFERROR('1.vize'!CO17*100/'1.vize'!$I17,"")</f>
        <v/>
      </c>
      <c r="CE17" s="38" t="str">
        <f>IFERROR('1.vize'!CP17*100/'1.vize'!$I17,"")</f>
        <v/>
      </c>
      <c r="CF17" s="38" t="str">
        <f>IFERROR('1.vize'!CQ17*100/'1.vize'!$I17,"")</f>
        <v/>
      </c>
      <c r="CG17" s="38" t="str">
        <f>IFERROR('1.vize'!CR17*100/'1.vize'!$I17,"")</f>
        <v/>
      </c>
      <c r="CH17" s="38" t="str">
        <f>IFERROR('1.vize'!CS17*100/'1.vize'!$I17,"")</f>
        <v/>
      </c>
      <c r="CI17" s="38" t="str">
        <f>IFERROR('1.vize'!CT17*100/'1.vize'!$I17,"")</f>
        <v/>
      </c>
      <c r="CJ17" s="38" t="str">
        <f>IFERROR('1.vize'!CU17*100/'1.vize'!$I17,"")</f>
        <v/>
      </c>
      <c r="CK17" s="38" t="str">
        <f>IFERROR('1.vize'!CV17*100/'1.vize'!$I17,"")</f>
        <v/>
      </c>
      <c r="CL17" s="38" t="str">
        <f>IFERROR('1.vize'!CW17*100/'1.vize'!$I17,"")</f>
        <v/>
      </c>
      <c r="CM17" s="38" t="str">
        <f>IFERROR('1.vize'!CX17*100/'1.vize'!$I17,"")</f>
        <v/>
      </c>
      <c r="CN17" s="38" t="str">
        <f>IFERROR('1.vize'!CY17*100/'1.vize'!$I17,"")</f>
        <v/>
      </c>
      <c r="CO17" s="38" t="str">
        <f>IFERROR('1.vize'!CZ17*100/'1.vize'!$I17,"")</f>
        <v/>
      </c>
      <c r="CP17" s="38" t="str">
        <f>IFERROR('1.vize'!DA17*100/'1.vize'!$I17,"")</f>
        <v/>
      </c>
      <c r="CQ17" s="38" t="str">
        <f>IFERROR('1.vize'!DB17*100/'1.vize'!$I17,"")</f>
        <v/>
      </c>
      <c r="CR17" s="38" t="str">
        <f>IFERROR('1.vize'!DC17*100/'1.vize'!$I17,"")</f>
        <v/>
      </c>
      <c r="CS17" s="38" t="str">
        <f>IFERROR('1.vize'!DD17*100/'1.vize'!$I17,"")</f>
        <v/>
      </c>
      <c r="CT17" s="38" t="str">
        <f>IFERROR('1.vize'!DE17*100/'1.vize'!$I17,"")</f>
        <v/>
      </c>
      <c r="CU17" s="38" t="str">
        <f>IFERROR('1.vize'!DF17*100/'1.vize'!$I17,"")</f>
        <v/>
      </c>
      <c r="CV17" s="38" t="str">
        <f>IFERROR('1.vize'!DG17*100/'1.vize'!$I17,"")</f>
        <v/>
      </c>
      <c r="CW17" s="32" t="str">
        <f>IFERROR(SUM(A17:CV17)/'1.vize'!$DH$103,"")</f>
        <v/>
      </c>
      <c r="CX17" s="14" t="str">
        <f>IF(COUNTA('1.vize'!A17),'1.vize'!A17,"")</f>
        <v/>
      </c>
      <c r="CY17" s="14" t="str">
        <f>IF(COUNTA('1.vize'!B17),'1.vize'!B17,"")</f>
        <v/>
      </c>
      <c r="CZ17" s="14" t="str">
        <f>IF(COUNTA('1.vize'!C17),'1.vize'!C17,"")</f>
        <v/>
      </c>
      <c r="DA17" s="14" t="str">
        <f>IF(COUNTA('1.vize'!D17),'1.vize'!D17,"")</f>
        <v/>
      </c>
      <c r="DB17" s="14" t="str">
        <f>IF(COUNTA('1.vize'!E17),'1.vize'!E17,"")</f>
        <v/>
      </c>
      <c r="DC17" s="14" t="str">
        <f>IF(COUNTA('1.vize'!F17),'1.vize'!F17,"")</f>
        <v/>
      </c>
      <c r="DD17" s="14" t="str">
        <f>IF(COUNTA('1.vize'!G17),'1.vize'!G17,"")</f>
        <v/>
      </c>
      <c r="DE17" s="14" t="str">
        <f>IF(COUNTA('1.vize'!H17),'1.vize'!H17,"")</f>
        <v/>
      </c>
      <c r="DF17" s="33"/>
    </row>
    <row r="18" spans="1:110" x14ac:dyDescent="0.2">
      <c r="A18" s="38" t="str">
        <f>IFERROR('1.vize'!L18*100/'1.vize'!$I18,"")</f>
        <v/>
      </c>
      <c r="B18" s="38" t="str">
        <f>IFERROR('1.vize'!M18*100/'1.vize'!$I18,"")</f>
        <v/>
      </c>
      <c r="C18" s="38" t="str">
        <f>IFERROR('1.vize'!N18*100/'1.vize'!$I18,"")</f>
        <v/>
      </c>
      <c r="D18" s="38" t="str">
        <f>IFERROR('1.vize'!O18*100/'1.vize'!$I18,"")</f>
        <v/>
      </c>
      <c r="E18" s="38" t="str">
        <f>IFERROR('1.vize'!P18*100/'1.vize'!$I18,"")</f>
        <v/>
      </c>
      <c r="F18" s="38" t="str">
        <f>IFERROR('1.vize'!Q18*100/'1.vize'!$I18,"")</f>
        <v/>
      </c>
      <c r="G18" s="38" t="str">
        <f>IFERROR('1.vize'!R18*100/'1.vize'!$I18,"")</f>
        <v/>
      </c>
      <c r="H18" s="38" t="str">
        <f>IFERROR('1.vize'!S18*100/'1.vize'!$I18,"")</f>
        <v/>
      </c>
      <c r="I18" s="38" t="str">
        <f>IFERROR('1.vize'!T18*100/'1.vize'!$I18,"")</f>
        <v/>
      </c>
      <c r="J18" s="38" t="str">
        <f>IFERROR('1.vize'!U18*100/'1.vize'!$I18,"")</f>
        <v/>
      </c>
      <c r="K18" s="38" t="str">
        <f>IFERROR('1.vize'!V18*100/'1.vize'!$I18,"")</f>
        <v/>
      </c>
      <c r="L18" s="38" t="str">
        <f>IFERROR('1.vize'!W18*100/'1.vize'!$I18,"")</f>
        <v/>
      </c>
      <c r="M18" s="38" t="str">
        <f>IFERROR('1.vize'!X18*100/'1.vize'!$I18,"")</f>
        <v/>
      </c>
      <c r="N18" s="38" t="str">
        <f>IFERROR('1.vize'!Y18*100/'1.vize'!$I18,"")</f>
        <v/>
      </c>
      <c r="O18" s="38" t="str">
        <f>IFERROR('1.vize'!Z18*100/'1.vize'!$I18,"")</f>
        <v/>
      </c>
      <c r="P18" s="38" t="str">
        <f>IFERROR('1.vize'!AA18*100/'1.vize'!$I18,"")</f>
        <v/>
      </c>
      <c r="Q18" s="38" t="str">
        <f>IFERROR('1.vize'!AB18*100/'1.vize'!$I18,"")</f>
        <v/>
      </c>
      <c r="R18" s="38" t="str">
        <f>IFERROR('1.vize'!AC18*100/'1.vize'!$I18,"")</f>
        <v/>
      </c>
      <c r="S18" s="38" t="str">
        <f>IFERROR('1.vize'!AD18*100/'1.vize'!$I18,"")</f>
        <v/>
      </c>
      <c r="T18" s="38" t="str">
        <f>IFERROR('1.vize'!AE18*100/'1.vize'!$I18,"")</f>
        <v/>
      </c>
      <c r="U18" s="38" t="str">
        <f>IFERROR('1.vize'!AF18*100/'1.vize'!$I18,"")</f>
        <v/>
      </c>
      <c r="V18" s="38" t="str">
        <f>IFERROR('1.vize'!AG18*100/'1.vize'!$I18,"")</f>
        <v/>
      </c>
      <c r="W18" s="38" t="str">
        <f>IFERROR('1.vize'!AH18*100/'1.vize'!$I18,"")</f>
        <v/>
      </c>
      <c r="X18" s="38" t="str">
        <f>IFERROR('1.vize'!AI18*100/'1.vize'!$I18,"")</f>
        <v/>
      </c>
      <c r="Y18" s="38" t="str">
        <f>IFERROR('1.vize'!AJ18*100/'1.vize'!$I18,"")</f>
        <v/>
      </c>
      <c r="Z18" s="38" t="str">
        <f>IFERROR('1.vize'!AK18*100/'1.vize'!$I18,"")</f>
        <v/>
      </c>
      <c r="AA18" s="38" t="str">
        <f>IFERROR('1.vize'!AL18*100/'1.vize'!$I18,"")</f>
        <v/>
      </c>
      <c r="AB18" s="38" t="str">
        <f>IFERROR('1.vize'!AM18*100/'1.vize'!$I18,"")</f>
        <v/>
      </c>
      <c r="AC18" s="38" t="str">
        <f>IFERROR('1.vize'!AN18*100/'1.vize'!$I18,"")</f>
        <v/>
      </c>
      <c r="AD18" s="38" t="str">
        <f>IFERROR('1.vize'!AO18*100/'1.vize'!$I18,"")</f>
        <v/>
      </c>
      <c r="AE18" s="38" t="str">
        <f>IFERROR('1.vize'!AP18*100/'1.vize'!$I18,"")</f>
        <v/>
      </c>
      <c r="AF18" s="38" t="str">
        <f>IFERROR('1.vize'!AQ18*100/'1.vize'!$I18,"")</f>
        <v/>
      </c>
      <c r="AG18" s="38" t="str">
        <f>IFERROR('1.vize'!AR18*100/'1.vize'!$I18,"")</f>
        <v/>
      </c>
      <c r="AH18" s="38" t="str">
        <f>IFERROR('1.vize'!AS18*100/'1.vize'!$I18,"")</f>
        <v/>
      </c>
      <c r="AI18" s="38" t="str">
        <f>IFERROR('1.vize'!AT18*100/'1.vize'!$I18,"")</f>
        <v/>
      </c>
      <c r="AJ18" s="38" t="str">
        <f>IFERROR('1.vize'!AU18*100/'1.vize'!$I18,"")</f>
        <v/>
      </c>
      <c r="AK18" s="38" t="str">
        <f>IFERROR('1.vize'!AV18*100/'1.vize'!$I18,"")</f>
        <v/>
      </c>
      <c r="AL18" s="38" t="str">
        <f>IFERROR('1.vize'!AW18*100/'1.vize'!$I18,"")</f>
        <v/>
      </c>
      <c r="AM18" s="38" t="str">
        <f>IFERROR('1.vize'!AX18*100/'1.vize'!$I18,"")</f>
        <v/>
      </c>
      <c r="AN18" s="38" t="str">
        <f>IFERROR('1.vize'!AY18*100/'1.vize'!$I18,"")</f>
        <v/>
      </c>
      <c r="AO18" s="38" t="str">
        <f>IFERROR('1.vize'!AZ18*100/'1.vize'!$I18,"")</f>
        <v/>
      </c>
      <c r="AP18" s="38" t="str">
        <f>IFERROR('1.vize'!BA18*100/'1.vize'!$I18,"")</f>
        <v/>
      </c>
      <c r="AQ18" s="38" t="str">
        <f>IFERROR('1.vize'!BB18*100/'1.vize'!$I18,"")</f>
        <v/>
      </c>
      <c r="AR18" s="38" t="str">
        <f>IFERROR('1.vize'!BC18*100/'1.vize'!$I18,"")</f>
        <v/>
      </c>
      <c r="AS18" s="38" t="str">
        <f>IFERROR('1.vize'!BD18*100/'1.vize'!$I18,"")</f>
        <v/>
      </c>
      <c r="AT18" s="38" t="str">
        <f>IFERROR('1.vize'!BE18*100/'1.vize'!$I18,"")</f>
        <v/>
      </c>
      <c r="AU18" s="38" t="str">
        <f>IFERROR('1.vize'!BF18*100/'1.vize'!$I18,"")</f>
        <v/>
      </c>
      <c r="AV18" s="38" t="str">
        <f>IFERROR('1.vize'!BG18*100/'1.vize'!$I18,"")</f>
        <v/>
      </c>
      <c r="AW18" s="38" t="str">
        <f>IFERROR('1.vize'!BH18*100/'1.vize'!$I18,"")</f>
        <v/>
      </c>
      <c r="AX18" s="38" t="str">
        <f>IFERROR('1.vize'!BI18*100/'1.vize'!$I18,"")</f>
        <v/>
      </c>
      <c r="AY18" s="38" t="str">
        <f>IFERROR('1.vize'!BJ18*100/'1.vize'!$I18,"")</f>
        <v/>
      </c>
      <c r="AZ18" s="38" t="str">
        <f>IFERROR('1.vize'!BK18*100/'1.vize'!$I18,"")</f>
        <v/>
      </c>
      <c r="BA18" s="38" t="str">
        <f>IFERROR('1.vize'!BL18*100/'1.vize'!$I18,"")</f>
        <v/>
      </c>
      <c r="BB18" s="38" t="str">
        <f>IFERROR('1.vize'!BM18*100/'1.vize'!$I18,"")</f>
        <v/>
      </c>
      <c r="BC18" s="38" t="str">
        <f>IFERROR('1.vize'!BN18*100/'1.vize'!$I18,"")</f>
        <v/>
      </c>
      <c r="BD18" s="38" t="str">
        <f>IFERROR('1.vize'!BO18*100/'1.vize'!$I18,"")</f>
        <v/>
      </c>
      <c r="BE18" s="38" t="str">
        <f>IFERROR('1.vize'!BP18*100/'1.vize'!$I18,"")</f>
        <v/>
      </c>
      <c r="BF18" s="38" t="str">
        <f>IFERROR('1.vize'!BQ18*100/'1.vize'!$I18,"")</f>
        <v/>
      </c>
      <c r="BG18" s="38" t="str">
        <f>IFERROR('1.vize'!BR18*100/'1.vize'!$I18,"")</f>
        <v/>
      </c>
      <c r="BH18" s="38" t="str">
        <f>IFERROR('1.vize'!BS18*100/'1.vize'!$I18,"")</f>
        <v/>
      </c>
      <c r="BI18" s="38" t="str">
        <f>IFERROR('1.vize'!BT18*100/'1.vize'!$I18,"")</f>
        <v/>
      </c>
      <c r="BJ18" s="38" t="str">
        <f>IFERROR('1.vize'!BU18*100/'1.vize'!$I18,"")</f>
        <v/>
      </c>
      <c r="BK18" s="38" t="str">
        <f>IFERROR('1.vize'!BV18*100/'1.vize'!$I18,"")</f>
        <v/>
      </c>
      <c r="BL18" s="38" t="str">
        <f>IFERROR('1.vize'!BW18*100/'1.vize'!$I18,"")</f>
        <v/>
      </c>
      <c r="BM18" s="38" t="str">
        <f>IFERROR('1.vize'!BX18*100/'1.vize'!$I18,"")</f>
        <v/>
      </c>
      <c r="BN18" s="38" t="str">
        <f>IFERROR('1.vize'!BY18*100/'1.vize'!$I18,"")</f>
        <v/>
      </c>
      <c r="BO18" s="38" t="str">
        <f>IFERROR('1.vize'!BZ18*100/'1.vize'!$I18,"")</f>
        <v/>
      </c>
      <c r="BP18" s="38" t="str">
        <f>IFERROR('1.vize'!CA18*100/'1.vize'!$I18,"")</f>
        <v/>
      </c>
      <c r="BQ18" s="38" t="str">
        <f>IFERROR('1.vize'!CB18*100/'1.vize'!$I18,"")</f>
        <v/>
      </c>
      <c r="BR18" s="38" t="str">
        <f>IFERROR('1.vize'!CC18*100/'1.vize'!$I18,"")</f>
        <v/>
      </c>
      <c r="BS18" s="38" t="str">
        <f>IFERROR('1.vize'!CD18*100/'1.vize'!$I18,"")</f>
        <v/>
      </c>
      <c r="BT18" s="38" t="str">
        <f>IFERROR('1.vize'!CE18*100/'1.vize'!$I18,"")</f>
        <v/>
      </c>
      <c r="BU18" s="38" t="str">
        <f>IFERROR('1.vize'!CF18*100/'1.vize'!$I18,"")</f>
        <v/>
      </c>
      <c r="BV18" s="38" t="str">
        <f>IFERROR('1.vize'!CG18*100/'1.vize'!$I18,"")</f>
        <v/>
      </c>
      <c r="BW18" s="38" t="str">
        <f>IFERROR('1.vize'!CH18*100/'1.vize'!$I18,"")</f>
        <v/>
      </c>
      <c r="BX18" s="38" t="str">
        <f>IFERROR('1.vize'!CI18*100/'1.vize'!$I18,"")</f>
        <v/>
      </c>
      <c r="BY18" s="38" t="str">
        <f>IFERROR('1.vize'!CJ18*100/'1.vize'!$I18,"")</f>
        <v/>
      </c>
      <c r="BZ18" s="38" t="str">
        <f>IFERROR('1.vize'!CK18*100/'1.vize'!$I18,"")</f>
        <v/>
      </c>
      <c r="CA18" s="38" t="str">
        <f>IFERROR('1.vize'!CL18*100/'1.vize'!$I18,"")</f>
        <v/>
      </c>
      <c r="CB18" s="38" t="str">
        <f>IFERROR('1.vize'!CM18*100/'1.vize'!$I18,"")</f>
        <v/>
      </c>
      <c r="CC18" s="38" t="str">
        <f>IFERROR('1.vize'!CN18*100/'1.vize'!$I18,"")</f>
        <v/>
      </c>
      <c r="CD18" s="38" t="str">
        <f>IFERROR('1.vize'!CO18*100/'1.vize'!$I18,"")</f>
        <v/>
      </c>
      <c r="CE18" s="38" t="str">
        <f>IFERROR('1.vize'!CP18*100/'1.vize'!$I18,"")</f>
        <v/>
      </c>
      <c r="CF18" s="38" t="str">
        <f>IFERROR('1.vize'!CQ18*100/'1.vize'!$I18,"")</f>
        <v/>
      </c>
      <c r="CG18" s="38" t="str">
        <f>IFERROR('1.vize'!CR18*100/'1.vize'!$I18,"")</f>
        <v/>
      </c>
      <c r="CH18" s="38" t="str">
        <f>IFERROR('1.vize'!CS18*100/'1.vize'!$I18,"")</f>
        <v/>
      </c>
      <c r="CI18" s="38" t="str">
        <f>IFERROR('1.vize'!CT18*100/'1.vize'!$I18,"")</f>
        <v/>
      </c>
      <c r="CJ18" s="38" t="str">
        <f>IFERROR('1.vize'!CU18*100/'1.vize'!$I18,"")</f>
        <v/>
      </c>
      <c r="CK18" s="38" t="str">
        <f>IFERROR('1.vize'!CV18*100/'1.vize'!$I18,"")</f>
        <v/>
      </c>
      <c r="CL18" s="38" t="str">
        <f>IFERROR('1.vize'!CW18*100/'1.vize'!$I18,"")</f>
        <v/>
      </c>
      <c r="CM18" s="38" t="str">
        <f>IFERROR('1.vize'!CX18*100/'1.vize'!$I18,"")</f>
        <v/>
      </c>
      <c r="CN18" s="38" t="str">
        <f>IFERROR('1.vize'!CY18*100/'1.vize'!$I18,"")</f>
        <v/>
      </c>
      <c r="CO18" s="38" t="str">
        <f>IFERROR('1.vize'!CZ18*100/'1.vize'!$I18,"")</f>
        <v/>
      </c>
      <c r="CP18" s="38" t="str">
        <f>IFERROR('1.vize'!DA18*100/'1.vize'!$I18,"")</f>
        <v/>
      </c>
      <c r="CQ18" s="38" t="str">
        <f>IFERROR('1.vize'!DB18*100/'1.vize'!$I18,"")</f>
        <v/>
      </c>
      <c r="CR18" s="38" t="str">
        <f>IFERROR('1.vize'!DC18*100/'1.vize'!$I18,"")</f>
        <v/>
      </c>
      <c r="CS18" s="38" t="str">
        <f>IFERROR('1.vize'!DD18*100/'1.vize'!$I18,"")</f>
        <v/>
      </c>
      <c r="CT18" s="38" t="str">
        <f>IFERROR('1.vize'!DE18*100/'1.vize'!$I18,"")</f>
        <v/>
      </c>
      <c r="CU18" s="38" t="str">
        <f>IFERROR('1.vize'!DF18*100/'1.vize'!$I18,"")</f>
        <v/>
      </c>
      <c r="CV18" s="38" t="str">
        <f>IFERROR('1.vize'!DG18*100/'1.vize'!$I18,"")</f>
        <v/>
      </c>
      <c r="CW18" s="32" t="str">
        <f>IFERROR(SUM(A18:CV18)/'1.vize'!$DH$103,"")</f>
        <v/>
      </c>
      <c r="CX18" s="14" t="str">
        <f>IF(COUNTA('1.vize'!A18),'1.vize'!A18,"")</f>
        <v/>
      </c>
      <c r="CY18" s="14" t="str">
        <f>IF(COUNTA('1.vize'!B18),'1.vize'!B18,"")</f>
        <v/>
      </c>
      <c r="CZ18" s="14" t="str">
        <f>IF(COUNTA('1.vize'!C18),'1.vize'!C18,"")</f>
        <v/>
      </c>
      <c r="DA18" s="14" t="str">
        <f>IF(COUNTA('1.vize'!D18),'1.vize'!D18,"")</f>
        <v/>
      </c>
      <c r="DB18" s="14" t="str">
        <f>IF(COUNTA('1.vize'!E18),'1.vize'!E18,"")</f>
        <v/>
      </c>
      <c r="DC18" s="14" t="str">
        <f>IF(COUNTA('1.vize'!F18),'1.vize'!F18,"")</f>
        <v/>
      </c>
      <c r="DD18" s="14" t="str">
        <f>IF(COUNTA('1.vize'!G18),'1.vize'!G18,"")</f>
        <v/>
      </c>
      <c r="DE18" s="14" t="str">
        <f>IF(COUNTA('1.vize'!H18),'1.vize'!H18,"")</f>
        <v/>
      </c>
      <c r="DF18" s="33"/>
    </row>
    <row r="19" spans="1:110" x14ac:dyDescent="0.2">
      <c r="A19" s="38" t="str">
        <f>IFERROR('1.vize'!L19*100/'1.vize'!$I19,"")</f>
        <v/>
      </c>
      <c r="B19" s="38" t="str">
        <f>IFERROR('1.vize'!M19*100/'1.vize'!$I19,"")</f>
        <v/>
      </c>
      <c r="C19" s="38" t="str">
        <f>IFERROR('1.vize'!N19*100/'1.vize'!$I19,"")</f>
        <v/>
      </c>
      <c r="D19" s="38" t="str">
        <f>IFERROR('1.vize'!O19*100/'1.vize'!$I19,"")</f>
        <v/>
      </c>
      <c r="E19" s="38" t="str">
        <f>IFERROR('1.vize'!P19*100/'1.vize'!$I19,"")</f>
        <v/>
      </c>
      <c r="F19" s="38" t="str">
        <f>IFERROR('1.vize'!Q19*100/'1.vize'!$I19,"")</f>
        <v/>
      </c>
      <c r="G19" s="38" t="str">
        <f>IFERROR('1.vize'!R19*100/'1.vize'!$I19,"")</f>
        <v/>
      </c>
      <c r="H19" s="38" t="str">
        <f>IFERROR('1.vize'!S19*100/'1.vize'!$I19,"")</f>
        <v/>
      </c>
      <c r="I19" s="38" t="str">
        <f>IFERROR('1.vize'!T19*100/'1.vize'!$I19,"")</f>
        <v/>
      </c>
      <c r="J19" s="38" t="str">
        <f>IFERROR('1.vize'!U19*100/'1.vize'!$I19,"")</f>
        <v/>
      </c>
      <c r="K19" s="38" t="str">
        <f>IFERROR('1.vize'!V19*100/'1.vize'!$I19,"")</f>
        <v/>
      </c>
      <c r="L19" s="38" t="str">
        <f>IFERROR('1.vize'!W19*100/'1.vize'!$I19,"")</f>
        <v/>
      </c>
      <c r="M19" s="38" t="str">
        <f>IFERROR('1.vize'!X19*100/'1.vize'!$I19,"")</f>
        <v/>
      </c>
      <c r="N19" s="38" t="str">
        <f>IFERROR('1.vize'!Y19*100/'1.vize'!$I19,"")</f>
        <v/>
      </c>
      <c r="O19" s="38" t="str">
        <f>IFERROR('1.vize'!Z19*100/'1.vize'!$I19,"")</f>
        <v/>
      </c>
      <c r="P19" s="38" t="str">
        <f>IFERROR('1.vize'!AA19*100/'1.vize'!$I19,"")</f>
        <v/>
      </c>
      <c r="Q19" s="38" t="str">
        <f>IFERROR('1.vize'!AB19*100/'1.vize'!$I19,"")</f>
        <v/>
      </c>
      <c r="R19" s="38" t="str">
        <f>IFERROR('1.vize'!AC19*100/'1.vize'!$I19,"")</f>
        <v/>
      </c>
      <c r="S19" s="38" t="str">
        <f>IFERROR('1.vize'!AD19*100/'1.vize'!$I19,"")</f>
        <v/>
      </c>
      <c r="T19" s="38" t="str">
        <f>IFERROR('1.vize'!AE19*100/'1.vize'!$I19,"")</f>
        <v/>
      </c>
      <c r="U19" s="38" t="str">
        <f>IFERROR('1.vize'!AF19*100/'1.vize'!$I19,"")</f>
        <v/>
      </c>
      <c r="V19" s="38" t="str">
        <f>IFERROR('1.vize'!AG19*100/'1.vize'!$I19,"")</f>
        <v/>
      </c>
      <c r="W19" s="38" t="str">
        <f>IFERROR('1.vize'!AH19*100/'1.vize'!$I19,"")</f>
        <v/>
      </c>
      <c r="X19" s="38" t="str">
        <f>IFERROR('1.vize'!AI19*100/'1.vize'!$I19,"")</f>
        <v/>
      </c>
      <c r="Y19" s="38" t="str">
        <f>IFERROR('1.vize'!AJ19*100/'1.vize'!$I19,"")</f>
        <v/>
      </c>
      <c r="Z19" s="38" t="str">
        <f>IFERROR('1.vize'!AK19*100/'1.vize'!$I19,"")</f>
        <v/>
      </c>
      <c r="AA19" s="38" t="str">
        <f>IFERROR('1.vize'!AL19*100/'1.vize'!$I19,"")</f>
        <v/>
      </c>
      <c r="AB19" s="38" t="str">
        <f>IFERROR('1.vize'!AM19*100/'1.vize'!$I19,"")</f>
        <v/>
      </c>
      <c r="AC19" s="38" t="str">
        <f>IFERROR('1.vize'!AN19*100/'1.vize'!$I19,"")</f>
        <v/>
      </c>
      <c r="AD19" s="38" t="str">
        <f>IFERROR('1.vize'!AO19*100/'1.vize'!$I19,"")</f>
        <v/>
      </c>
      <c r="AE19" s="38" t="str">
        <f>IFERROR('1.vize'!AP19*100/'1.vize'!$I19,"")</f>
        <v/>
      </c>
      <c r="AF19" s="38" t="str">
        <f>IFERROR('1.vize'!AQ19*100/'1.vize'!$I19,"")</f>
        <v/>
      </c>
      <c r="AG19" s="38" t="str">
        <f>IFERROR('1.vize'!AR19*100/'1.vize'!$I19,"")</f>
        <v/>
      </c>
      <c r="AH19" s="38" t="str">
        <f>IFERROR('1.vize'!AS19*100/'1.vize'!$I19,"")</f>
        <v/>
      </c>
      <c r="AI19" s="38" t="str">
        <f>IFERROR('1.vize'!AT19*100/'1.vize'!$I19,"")</f>
        <v/>
      </c>
      <c r="AJ19" s="38" t="str">
        <f>IFERROR('1.vize'!AU19*100/'1.vize'!$I19,"")</f>
        <v/>
      </c>
      <c r="AK19" s="38" t="str">
        <f>IFERROR('1.vize'!AV19*100/'1.vize'!$I19,"")</f>
        <v/>
      </c>
      <c r="AL19" s="38" t="str">
        <f>IFERROR('1.vize'!AW19*100/'1.vize'!$I19,"")</f>
        <v/>
      </c>
      <c r="AM19" s="38" t="str">
        <f>IFERROR('1.vize'!AX19*100/'1.vize'!$I19,"")</f>
        <v/>
      </c>
      <c r="AN19" s="38" t="str">
        <f>IFERROR('1.vize'!AY19*100/'1.vize'!$I19,"")</f>
        <v/>
      </c>
      <c r="AO19" s="38" t="str">
        <f>IFERROR('1.vize'!AZ19*100/'1.vize'!$I19,"")</f>
        <v/>
      </c>
      <c r="AP19" s="38" t="str">
        <f>IFERROR('1.vize'!BA19*100/'1.vize'!$I19,"")</f>
        <v/>
      </c>
      <c r="AQ19" s="38" t="str">
        <f>IFERROR('1.vize'!BB19*100/'1.vize'!$I19,"")</f>
        <v/>
      </c>
      <c r="AR19" s="38" t="str">
        <f>IFERROR('1.vize'!BC19*100/'1.vize'!$I19,"")</f>
        <v/>
      </c>
      <c r="AS19" s="38" t="str">
        <f>IFERROR('1.vize'!BD19*100/'1.vize'!$I19,"")</f>
        <v/>
      </c>
      <c r="AT19" s="38" t="str">
        <f>IFERROR('1.vize'!BE19*100/'1.vize'!$I19,"")</f>
        <v/>
      </c>
      <c r="AU19" s="38" t="str">
        <f>IFERROR('1.vize'!BF19*100/'1.vize'!$I19,"")</f>
        <v/>
      </c>
      <c r="AV19" s="38" t="str">
        <f>IFERROR('1.vize'!BG19*100/'1.vize'!$I19,"")</f>
        <v/>
      </c>
      <c r="AW19" s="38" t="str">
        <f>IFERROR('1.vize'!BH19*100/'1.vize'!$I19,"")</f>
        <v/>
      </c>
      <c r="AX19" s="38" t="str">
        <f>IFERROR('1.vize'!BI19*100/'1.vize'!$I19,"")</f>
        <v/>
      </c>
      <c r="AY19" s="38" t="str">
        <f>IFERROR('1.vize'!BJ19*100/'1.vize'!$I19,"")</f>
        <v/>
      </c>
      <c r="AZ19" s="38" t="str">
        <f>IFERROR('1.vize'!BK19*100/'1.vize'!$I19,"")</f>
        <v/>
      </c>
      <c r="BA19" s="38" t="str">
        <f>IFERROR('1.vize'!BL19*100/'1.vize'!$I19,"")</f>
        <v/>
      </c>
      <c r="BB19" s="38" t="str">
        <f>IFERROR('1.vize'!BM19*100/'1.vize'!$I19,"")</f>
        <v/>
      </c>
      <c r="BC19" s="38" t="str">
        <f>IFERROR('1.vize'!BN19*100/'1.vize'!$I19,"")</f>
        <v/>
      </c>
      <c r="BD19" s="38" t="str">
        <f>IFERROR('1.vize'!BO19*100/'1.vize'!$I19,"")</f>
        <v/>
      </c>
      <c r="BE19" s="38" t="str">
        <f>IFERROR('1.vize'!BP19*100/'1.vize'!$I19,"")</f>
        <v/>
      </c>
      <c r="BF19" s="38" t="str">
        <f>IFERROR('1.vize'!BQ19*100/'1.vize'!$I19,"")</f>
        <v/>
      </c>
      <c r="BG19" s="38" t="str">
        <f>IFERROR('1.vize'!BR19*100/'1.vize'!$I19,"")</f>
        <v/>
      </c>
      <c r="BH19" s="38" t="str">
        <f>IFERROR('1.vize'!BS19*100/'1.vize'!$I19,"")</f>
        <v/>
      </c>
      <c r="BI19" s="38" t="str">
        <f>IFERROR('1.vize'!BT19*100/'1.vize'!$I19,"")</f>
        <v/>
      </c>
      <c r="BJ19" s="38" t="str">
        <f>IFERROR('1.vize'!BU19*100/'1.vize'!$I19,"")</f>
        <v/>
      </c>
      <c r="BK19" s="38" t="str">
        <f>IFERROR('1.vize'!BV19*100/'1.vize'!$I19,"")</f>
        <v/>
      </c>
      <c r="BL19" s="38" t="str">
        <f>IFERROR('1.vize'!BW19*100/'1.vize'!$I19,"")</f>
        <v/>
      </c>
      <c r="BM19" s="38" t="str">
        <f>IFERROR('1.vize'!BX19*100/'1.vize'!$I19,"")</f>
        <v/>
      </c>
      <c r="BN19" s="38" t="str">
        <f>IFERROR('1.vize'!BY19*100/'1.vize'!$I19,"")</f>
        <v/>
      </c>
      <c r="BO19" s="38" t="str">
        <f>IFERROR('1.vize'!BZ19*100/'1.vize'!$I19,"")</f>
        <v/>
      </c>
      <c r="BP19" s="38" t="str">
        <f>IFERROR('1.vize'!CA19*100/'1.vize'!$I19,"")</f>
        <v/>
      </c>
      <c r="BQ19" s="38" t="str">
        <f>IFERROR('1.vize'!CB19*100/'1.vize'!$I19,"")</f>
        <v/>
      </c>
      <c r="BR19" s="38" t="str">
        <f>IFERROR('1.vize'!CC19*100/'1.vize'!$I19,"")</f>
        <v/>
      </c>
      <c r="BS19" s="38" t="str">
        <f>IFERROR('1.vize'!CD19*100/'1.vize'!$I19,"")</f>
        <v/>
      </c>
      <c r="BT19" s="38" t="str">
        <f>IFERROR('1.vize'!CE19*100/'1.vize'!$I19,"")</f>
        <v/>
      </c>
      <c r="BU19" s="38" t="str">
        <f>IFERROR('1.vize'!CF19*100/'1.vize'!$I19,"")</f>
        <v/>
      </c>
      <c r="BV19" s="38" t="str">
        <f>IFERROR('1.vize'!CG19*100/'1.vize'!$I19,"")</f>
        <v/>
      </c>
      <c r="BW19" s="38" t="str">
        <f>IFERROR('1.vize'!CH19*100/'1.vize'!$I19,"")</f>
        <v/>
      </c>
      <c r="BX19" s="38" t="str">
        <f>IFERROR('1.vize'!CI19*100/'1.vize'!$I19,"")</f>
        <v/>
      </c>
      <c r="BY19" s="38" t="str">
        <f>IFERROR('1.vize'!CJ19*100/'1.vize'!$I19,"")</f>
        <v/>
      </c>
      <c r="BZ19" s="38" t="str">
        <f>IFERROR('1.vize'!CK19*100/'1.vize'!$I19,"")</f>
        <v/>
      </c>
      <c r="CA19" s="38" t="str">
        <f>IFERROR('1.vize'!CL19*100/'1.vize'!$I19,"")</f>
        <v/>
      </c>
      <c r="CB19" s="38" t="str">
        <f>IFERROR('1.vize'!CM19*100/'1.vize'!$I19,"")</f>
        <v/>
      </c>
      <c r="CC19" s="38" t="str">
        <f>IFERROR('1.vize'!CN19*100/'1.vize'!$I19,"")</f>
        <v/>
      </c>
      <c r="CD19" s="38" t="str">
        <f>IFERROR('1.vize'!CO19*100/'1.vize'!$I19,"")</f>
        <v/>
      </c>
      <c r="CE19" s="38" t="str">
        <f>IFERROR('1.vize'!CP19*100/'1.vize'!$I19,"")</f>
        <v/>
      </c>
      <c r="CF19" s="38" t="str">
        <f>IFERROR('1.vize'!CQ19*100/'1.vize'!$I19,"")</f>
        <v/>
      </c>
      <c r="CG19" s="38" t="str">
        <f>IFERROR('1.vize'!CR19*100/'1.vize'!$I19,"")</f>
        <v/>
      </c>
      <c r="CH19" s="38" t="str">
        <f>IFERROR('1.vize'!CS19*100/'1.vize'!$I19,"")</f>
        <v/>
      </c>
      <c r="CI19" s="38" t="str">
        <f>IFERROR('1.vize'!CT19*100/'1.vize'!$I19,"")</f>
        <v/>
      </c>
      <c r="CJ19" s="38" t="str">
        <f>IFERROR('1.vize'!CU19*100/'1.vize'!$I19,"")</f>
        <v/>
      </c>
      <c r="CK19" s="38" t="str">
        <f>IFERROR('1.vize'!CV19*100/'1.vize'!$I19,"")</f>
        <v/>
      </c>
      <c r="CL19" s="38" t="str">
        <f>IFERROR('1.vize'!CW19*100/'1.vize'!$I19,"")</f>
        <v/>
      </c>
      <c r="CM19" s="38" t="str">
        <f>IFERROR('1.vize'!CX19*100/'1.vize'!$I19,"")</f>
        <v/>
      </c>
      <c r="CN19" s="38" t="str">
        <f>IFERROR('1.vize'!CY19*100/'1.vize'!$I19,"")</f>
        <v/>
      </c>
      <c r="CO19" s="38" t="str">
        <f>IFERROR('1.vize'!CZ19*100/'1.vize'!$I19,"")</f>
        <v/>
      </c>
      <c r="CP19" s="38" t="str">
        <f>IFERROR('1.vize'!DA19*100/'1.vize'!$I19,"")</f>
        <v/>
      </c>
      <c r="CQ19" s="38" t="str">
        <f>IFERROR('1.vize'!DB19*100/'1.vize'!$I19,"")</f>
        <v/>
      </c>
      <c r="CR19" s="38" t="str">
        <f>IFERROR('1.vize'!DC19*100/'1.vize'!$I19,"")</f>
        <v/>
      </c>
      <c r="CS19" s="38" t="str">
        <f>IFERROR('1.vize'!DD19*100/'1.vize'!$I19,"")</f>
        <v/>
      </c>
      <c r="CT19" s="38" t="str">
        <f>IFERROR('1.vize'!DE19*100/'1.vize'!$I19,"")</f>
        <v/>
      </c>
      <c r="CU19" s="38" t="str">
        <f>IFERROR('1.vize'!DF19*100/'1.vize'!$I19,"")</f>
        <v/>
      </c>
      <c r="CV19" s="38" t="str">
        <f>IFERROR('1.vize'!DG19*100/'1.vize'!$I19,"")</f>
        <v/>
      </c>
      <c r="CW19" s="32" t="str">
        <f>IFERROR(SUM(A19:CV19)/'1.vize'!$DH$103,"")</f>
        <v/>
      </c>
      <c r="CX19" s="14" t="str">
        <f>IF(COUNTA('1.vize'!A19),'1.vize'!A19,"")</f>
        <v/>
      </c>
      <c r="CY19" s="14" t="str">
        <f>IF(COUNTA('1.vize'!B19),'1.vize'!B19,"")</f>
        <v/>
      </c>
      <c r="CZ19" s="14" t="str">
        <f>IF(COUNTA('1.vize'!C19),'1.vize'!C19,"")</f>
        <v/>
      </c>
      <c r="DA19" s="14" t="str">
        <f>IF(COUNTA('1.vize'!D19),'1.vize'!D19,"")</f>
        <v/>
      </c>
      <c r="DB19" s="14" t="str">
        <f>IF(COUNTA('1.vize'!E19),'1.vize'!E19,"")</f>
        <v/>
      </c>
      <c r="DC19" s="14" t="str">
        <f>IF(COUNTA('1.vize'!F19),'1.vize'!F19,"")</f>
        <v/>
      </c>
      <c r="DD19" s="14" t="str">
        <f>IF(COUNTA('1.vize'!G19),'1.vize'!G19,"")</f>
        <v/>
      </c>
      <c r="DE19" s="14" t="str">
        <f>IF(COUNTA('1.vize'!H19),'1.vize'!H19,"")</f>
        <v/>
      </c>
      <c r="DF19" s="33"/>
    </row>
    <row r="20" spans="1:110" x14ac:dyDescent="0.2">
      <c r="A20" s="38" t="str">
        <f>IFERROR('1.vize'!L20*100/'1.vize'!$I20,"")</f>
        <v/>
      </c>
      <c r="B20" s="38" t="str">
        <f>IFERROR('1.vize'!M20*100/'1.vize'!$I20,"")</f>
        <v/>
      </c>
      <c r="C20" s="38" t="str">
        <f>IFERROR('1.vize'!N20*100/'1.vize'!$I20,"")</f>
        <v/>
      </c>
      <c r="D20" s="38" t="str">
        <f>IFERROR('1.vize'!O20*100/'1.vize'!$I20,"")</f>
        <v/>
      </c>
      <c r="E20" s="38" t="str">
        <f>IFERROR('1.vize'!P20*100/'1.vize'!$I20,"")</f>
        <v/>
      </c>
      <c r="F20" s="38" t="str">
        <f>IFERROR('1.vize'!Q20*100/'1.vize'!$I20,"")</f>
        <v/>
      </c>
      <c r="G20" s="38" t="str">
        <f>IFERROR('1.vize'!R20*100/'1.vize'!$I20,"")</f>
        <v/>
      </c>
      <c r="H20" s="38" t="str">
        <f>IFERROR('1.vize'!S20*100/'1.vize'!$I20,"")</f>
        <v/>
      </c>
      <c r="I20" s="38" t="str">
        <f>IFERROR('1.vize'!T20*100/'1.vize'!$I20,"")</f>
        <v/>
      </c>
      <c r="J20" s="38" t="str">
        <f>IFERROR('1.vize'!U20*100/'1.vize'!$I20,"")</f>
        <v/>
      </c>
      <c r="K20" s="38" t="str">
        <f>IFERROR('1.vize'!V20*100/'1.vize'!$I20,"")</f>
        <v/>
      </c>
      <c r="L20" s="38" t="str">
        <f>IFERROR('1.vize'!W20*100/'1.vize'!$I20,"")</f>
        <v/>
      </c>
      <c r="M20" s="38" t="str">
        <f>IFERROR('1.vize'!X20*100/'1.vize'!$I20,"")</f>
        <v/>
      </c>
      <c r="N20" s="38" t="str">
        <f>IFERROR('1.vize'!Y20*100/'1.vize'!$I20,"")</f>
        <v/>
      </c>
      <c r="O20" s="38" t="str">
        <f>IFERROR('1.vize'!Z20*100/'1.vize'!$I20,"")</f>
        <v/>
      </c>
      <c r="P20" s="38" t="str">
        <f>IFERROR('1.vize'!AA20*100/'1.vize'!$I20,"")</f>
        <v/>
      </c>
      <c r="Q20" s="38" t="str">
        <f>IFERROR('1.vize'!AB20*100/'1.vize'!$I20,"")</f>
        <v/>
      </c>
      <c r="R20" s="38" t="str">
        <f>IFERROR('1.vize'!AC20*100/'1.vize'!$I20,"")</f>
        <v/>
      </c>
      <c r="S20" s="38" t="str">
        <f>IFERROR('1.vize'!AD20*100/'1.vize'!$I20,"")</f>
        <v/>
      </c>
      <c r="T20" s="38" t="str">
        <f>IFERROR('1.vize'!AE20*100/'1.vize'!$I20,"")</f>
        <v/>
      </c>
      <c r="U20" s="38" t="str">
        <f>IFERROR('1.vize'!AF20*100/'1.vize'!$I20,"")</f>
        <v/>
      </c>
      <c r="V20" s="38" t="str">
        <f>IFERROR('1.vize'!AG20*100/'1.vize'!$I20,"")</f>
        <v/>
      </c>
      <c r="W20" s="38" t="str">
        <f>IFERROR('1.vize'!AH20*100/'1.vize'!$I20,"")</f>
        <v/>
      </c>
      <c r="X20" s="38" t="str">
        <f>IFERROR('1.vize'!AI20*100/'1.vize'!$I20,"")</f>
        <v/>
      </c>
      <c r="Y20" s="38" t="str">
        <f>IFERROR('1.vize'!AJ20*100/'1.vize'!$I20,"")</f>
        <v/>
      </c>
      <c r="Z20" s="38" t="str">
        <f>IFERROR('1.vize'!AK20*100/'1.vize'!$I20,"")</f>
        <v/>
      </c>
      <c r="AA20" s="38" t="str">
        <f>IFERROR('1.vize'!AL20*100/'1.vize'!$I20,"")</f>
        <v/>
      </c>
      <c r="AB20" s="38" t="str">
        <f>IFERROR('1.vize'!AM20*100/'1.vize'!$I20,"")</f>
        <v/>
      </c>
      <c r="AC20" s="38" t="str">
        <f>IFERROR('1.vize'!AN20*100/'1.vize'!$I20,"")</f>
        <v/>
      </c>
      <c r="AD20" s="38" t="str">
        <f>IFERROR('1.vize'!AO20*100/'1.vize'!$I20,"")</f>
        <v/>
      </c>
      <c r="AE20" s="38" t="str">
        <f>IFERROR('1.vize'!AP20*100/'1.vize'!$I20,"")</f>
        <v/>
      </c>
      <c r="AF20" s="38" t="str">
        <f>IFERROR('1.vize'!AQ20*100/'1.vize'!$I20,"")</f>
        <v/>
      </c>
      <c r="AG20" s="38" t="str">
        <f>IFERROR('1.vize'!AR20*100/'1.vize'!$I20,"")</f>
        <v/>
      </c>
      <c r="AH20" s="38" t="str">
        <f>IFERROR('1.vize'!AS20*100/'1.vize'!$I20,"")</f>
        <v/>
      </c>
      <c r="AI20" s="38" t="str">
        <f>IFERROR('1.vize'!AT20*100/'1.vize'!$I20,"")</f>
        <v/>
      </c>
      <c r="AJ20" s="38" t="str">
        <f>IFERROR('1.vize'!AU20*100/'1.vize'!$I20,"")</f>
        <v/>
      </c>
      <c r="AK20" s="38" t="str">
        <f>IFERROR('1.vize'!AV20*100/'1.vize'!$I20,"")</f>
        <v/>
      </c>
      <c r="AL20" s="38" t="str">
        <f>IFERROR('1.vize'!AW20*100/'1.vize'!$I20,"")</f>
        <v/>
      </c>
      <c r="AM20" s="38" t="str">
        <f>IFERROR('1.vize'!AX20*100/'1.vize'!$I20,"")</f>
        <v/>
      </c>
      <c r="AN20" s="38" t="str">
        <f>IFERROR('1.vize'!AY20*100/'1.vize'!$I20,"")</f>
        <v/>
      </c>
      <c r="AO20" s="38" t="str">
        <f>IFERROR('1.vize'!AZ20*100/'1.vize'!$I20,"")</f>
        <v/>
      </c>
      <c r="AP20" s="38" t="str">
        <f>IFERROR('1.vize'!BA20*100/'1.vize'!$I20,"")</f>
        <v/>
      </c>
      <c r="AQ20" s="38" t="str">
        <f>IFERROR('1.vize'!BB20*100/'1.vize'!$I20,"")</f>
        <v/>
      </c>
      <c r="AR20" s="38" t="str">
        <f>IFERROR('1.vize'!BC20*100/'1.vize'!$I20,"")</f>
        <v/>
      </c>
      <c r="AS20" s="38" t="str">
        <f>IFERROR('1.vize'!BD20*100/'1.vize'!$I20,"")</f>
        <v/>
      </c>
      <c r="AT20" s="38" t="str">
        <f>IFERROR('1.vize'!BE20*100/'1.vize'!$I20,"")</f>
        <v/>
      </c>
      <c r="AU20" s="38" t="str">
        <f>IFERROR('1.vize'!BF20*100/'1.vize'!$I20,"")</f>
        <v/>
      </c>
      <c r="AV20" s="38" t="str">
        <f>IFERROR('1.vize'!BG20*100/'1.vize'!$I20,"")</f>
        <v/>
      </c>
      <c r="AW20" s="38" t="str">
        <f>IFERROR('1.vize'!BH20*100/'1.vize'!$I20,"")</f>
        <v/>
      </c>
      <c r="AX20" s="38" t="str">
        <f>IFERROR('1.vize'!BI20*100/'1.vize'!$I20,"")</f>
        <v/>
      </c>
      <c r="AY20" s="38" t="str">
        <f>IFERROR('1.vize'!BJ20*100/'1.vize'!$I20,"")</f>
        <v/>
      </c>
      <c r="AZ20" s="38" t="str">
        <f>IFERROR('1.vize'!BK20*100/'1.vize'!$I20,"")</f>
        <v/>
      </c>
      <c r="BA20" s="38" t="str">
        <f>IFERROR('1.vize'!BL20*100/'1.vize'!$I20,"")</f>
        <v/>
      </c>
      <c r="BB20" s="38" t="str">
        <f>IFERROR('1.vize'!BM20*100/'1.vize'!$I20,"")</f>
        <v/>
      </c>
      <c r="BC20" s="38" t="str">
        <f>IFERROR('1.vize'!BN20*100/'1.vize'!$I20,"")</f>
        <v/>
      </c>
      <c r="BD20" s="38" t="str">
        <f>IFERROR('1.vize'!BO20*100/'1.vize'!$I20,"")</f>
        <v/>
      </c>
      <c r="BE20" s="38" t="str">
        <f>IFERROR('1.vize'!BP20*100/'1.vize'!$I20,"")</f>
        <v/>
      </c>
      <c r="BF20" s="38" t="str">
        <f>IFERROR('1.vize'!BQ20*100/'1.vize'!$I20,"")</f>
        <v/>
      </c>
      <c r="BG20" s="38" t="str">
        <f>IFERROR('1.vize'!BR20*100/'1.vize'!$I20,"")</f>
        <v/>
      </c>
      <c r="BH20" s="38" t="str">
        <f>IFERROR('1.vize'!BS20*100/'1.vize'!$I20,"")</f>
        <v/>
      </c>
      <c r="BI20" s="38" t="str">
        <f>IFERROR('1.vize'!BT20*100/'1.vize'!$I20,"")</f>
        <v/>
      </c>
      <c r="BJ20" s="38" t="str">
        <f>IFERROR('1.vize'!BU20*100/'1.vize'!$I20,"")</f>
        <v/>
      </c>
      <c r="BK20" s="38" t="str">
        <f>IFERROR('1.vize'!BV20*100/'1.vize'!$I20,"")</f>
        <v/>
      </c>
      <c r="BL20" s="38" t="str">
        <f>IFERROR('1.vize'!BW20*100/'1.vize'!$I20,"")</f>
        <v/>
      </c>
      <c r="BM20" s="38" t="str">
        <f>IFERROR('1.vize'!BX20*100/'1.vize'!$I20,"")</f>
        <v/>
      </c>
      <c r="BN20" s="38" t="str">
        <f>IFERROR('1.vize'!BY20*100/'1.vize'!$I20,"")</f>
        <v/>
      </c>
      <c r="BO20" s="38" t="str">
        <f>IFERROR('1.vize'!BZ20*100/'1.vize'!$I20,"")</f>
        <v/>
      </c>
      <c r="BP20" s="38" t="str">
        <f>IFERROR('1.vize'!CA20*100/'1.vize'!$I20,"")</f>
        <v/>
      </c>
      <c r="BQ20" s="38" t="str">
        <f>IFERROR('1.vize'!CB20*100/'1.vize'!$I20,"")</f>
        <v/>
      </c>
      <c r="BR20" s="38" t="str">
        <f>IFERROR('1.vize'!CC20*100/'1.vize'!$I20,"")</f>
        <v/>
      </c>
      <c r="BS20" s="38" t="str">
        <f>IFERROR('1.vize'!CD20*100/'1.vize'!$I20,"")</f>
        <v/>
      </c>
      <c r="BT20" s="38" t="str">
        <f>IFERROR('1.vize'!CE20*100/'1.vize'!$I20,"")</f>
        <v/>
      </c>
      <c r="BU20" s="38" t="str">
        <f>IFERROR('1.vize'!CF20*100/'1.vize'!$I20,"")</f>
        <v/>
      </c>
      <c r="BV20" s="38" t="str">
        <f>IFERROR('1.vize'!CG20*100/'1.vize'!$I20,"")</f>
        <v/>
      </c>
      <c r="BW20" s="38" t="str">
        <f>IFERROR('1.vize'!CH20*100/'1.vize'!$I20,"")</f>
        <v/>
      </c>
      <c r="BX20" s="38" t="str">
        <f>IFERROR('1.vize'!CI20*100/'1.vize'!$I20,"")</f>
        <v/>
      </c>
      <c r="BY20" s="38" t="str">
        <f>IFERROR('1.vize'!CJ20*100/'1.vize'!$I20,"")</f>
        <v/>
      </c>
      <c r="BZ20" s="38" t="str">
        <f>IFERROR('1.vize'!CK20*100/'1.vize'!$I20,"")</f>
        <v/>
      </c>
      <c r="CA20" s="38" t="str">
        <f>IFERROR('1.vize'!CL20*100/'1.vize'!$I20,"")</f>
        <v/>
      </c>
      <c r="CB20" s="38" t="str">
        <f>IFERROR('1.vize'!CM20*100/'1.vize'!$I20,"")</f>
        <v/>
      </c>
      <c r="CC20" s="38" t="str">
        <f>IFERROR('1.vize'!CN20*100/'1.vize'!$I20,"")</f>
        <v/>
      </c>
      <c r="CD20" s="38" t="str">
        <f>IFERROR('1.vize'!CO20*100/'1.vize'!$I20,"")</f>
        <v/>
      </c>
      <c r="CE20" s="38" t="str">
        <f>IFERROR('1.vize'!CP20*100/'1.vize'!$I20,"")</f>
        <v/>
      </c>
      <c r="CF20" s="38" t="str">
        <f>IFERROR('1.vize'!CQ20*100/'1.vize'!$I20,"")</f>
        <v/>
      </c>
      <c r="CG20" s="38" t="str">
        <f>IFERROR('1.vize'!CR20*100/'1.vize'!$I20,"")</f>
        <v/>
      </c>
      <c r="CH20" s="38" t="str">
        <f>IFERROR('1.vize'!CS20*100/'1.vize'!$I20,"")</f>
        <v/>
      </c>
      <c r="CI20" s="38" t="str">
        <f>IFERROR('1.vize'!CT20*100/'1.vize'!$I20,"")</f>
        <v/>
      </c>
      <c r="CJ20" s="38" t="str">
        <f>IFERROR('1.vize'!CU20*100/'1.vize'!$I20,"")</f>
        <v/>
      </c>
      <c r="CK20" s="38" t="str">
        <f>IFERROR('1.vize'!CV20*100/'1.vize'!$I20,"")</f>
        <v/>
      </c>
      <c r="CL20" s="38" t="str">
        <f>IFERROR('1.vize'!CW20*100/'1.vize'!$I20,"")</f>
        <v/>
      </c>
      <c r="CM20" s="38" t="str">
        <f>IFERROR('1.vize'!CX20*100/'1.vize'!$I20,"")</f>
        <v/>
      </c>
      <c r="CN20" s="38" t="str">
        <f>IFERROR('1.vize'!CY20*100/'1.vize'!$I20,"")</f>
        <v/>
      </c>
      <c r="CO20" s="38" t="str">
        <f>IFERROR('1.vize'!CZ20*100/'1.vize'!$I20,"")</f>
        <v/>
      </c>
      <c r="CP20" s="38" t="str">
        <f>IFERROR('1.vize'!DA20*100/'1.vize'!$I20,"")</f>
        <v/>
      </c>
      <c r="CQ20" s="38" t="str">
        <f>IFERROR('1.vize'!DB20*100/'1.vize'!$I20,"")</f>
        <v/>
      </c>
      <c r="CR20" s="38" t="str">
        <f>IFERROR('1.vize'!DC20*100/'1.vize'!$I20,"")</f>
        <v/>
      </c>
      <c r="CS20" s="38" t="str">
        <f>IFERROR('1.vize'!DD20*100/'1.vize'!$I20,"")</f>
        <v/>
      </c>
      <c r="CT20" s="38" t="str">
        <f>IFERROR('1.vize'!DE20*100/'1.vize'!$I20,"")</f>
        <v/>
      </c>
      <c r="CU20" s="38" t="str">
        <f>IFERROR('1.vize'!DF20*100/'1.vize'!$I20,"")</f>
        <v/>
      </c>
      <c r="CV20" s="38" t="str">
        <f>IFERROR('1.vize'!DG20*100/'1.vize'!$I20,"")</f>
        <v/>
      </c>
      <c r="CW20" s="32" t="str">
        <f>IFERROR(SUM(A20:CV20)/'1.vize'!$DH$103,"")</f>
        <v/>
      </c>
      <c r="CX20" s="14" t="str">
        <f>IF(COUNTA('1.vize'!A20),'1.vize'!A20,"")</f>
        <v/>
      </c>
      <c r="CY20" s="14" t="str">
        <f>IF(COUNTA('1.vize'!B20),'1.vize'!B20,"")</f>
        <v/>
      </c>
      <c r="CZ20" s="14" t="str">
        <f>IF(COUNTA('1.vize'!C20),'1.vize'!C20,"")</f>
        <v/>
      </c>
      <c r="DA20" s="14" t="str">
        <f>IF(COUNTA('1.vize'!D20),'1.vize'!D20,"")</f>
        <v/>
      </c>
      <c r="DB20" s="14" t="str">
        <f>IF(COUNTA('1.vize'!E20),'1.vize'!E20,"")</f>
        <v/>
      </c>
      <c r="DC20" s="14" t="str">
        <f>IF(COUNTA('1.vize'!F20),'1.vize'!F20,"")</f>
        <v/>
      </c>
      <c r="DD20" s="14" t="str">
        <f>IF(COUNTA('1.vize'!G20),'1.vize'!G20,"")</f>
        <v/>
      </c>
      <c r="DE20" s="14" t="str">
        <f>IF(COUNTA('1.vize'!H20),'1.vize'!H20,"")</f>
        <v/>
      </c>
      <c r="DF20" s="33"/>
    </row>
    <row r="21" spans="1:110" x14ac:dyDescent="0.2">
      <c r="A21" s="38" t="str">
        <f>IFERROR('1.vize'!L21*100/'1.vize'!$I21,"")</f>
        <v/>
      </c>
      <c r="B21" s="38" t="str">
        <f>IFERROR('1.vize'!M21*100/'1.vize'!$I21,"")</f>
        <v/>
      </c>
      <c r="C21" s="38" t="str">
        <f>IFERROR('1.vize'!N21*100/'1.vize'!$I21,"")</f>
        <v/>
      </c>
      <c r="D21" s="38" t="str">
        <f>IFERROR('1.vize'!O21*100/'1.vize'!$I21,"")</f>
        <v/>
      </c>
      <c r="E21" s="38" t="str">
        <f>IFERROR('1.vize'!P21*100/'1.vize'!$I21,"")</f>
        <v/>
      </c>
      <c r="F21" s="38" t="str">
        <f>IFERROR('1.vize'!Q21*100/'1.vize'!$I21,"")</f>
        <v/>
      </c>
      <c r="G21" s="38" t="str">
        <f>IFERROR('1.vize'!R21*100/'1.vize'!$I21,"")</f>
        <v/>
      </c>
      <c r="H21" s="38" t="str">
        <f>IFERROR('1.vize'!S21*100/'1.vize'!$I21,"")</f>
        <v/>
      </c>
      <c r="I21" s="38" t="str">
        <f>IFERROR('1.vize'!T21*100/'1.vize'!$I21,"")</f>
        <v/>
      </c>
      <c r="J21" s="38" t="str">
        <f>IFERROR('1.vize'!U21*100/'1.vize'!$I21,"")</f>
        <v/>
      </c>
      <c r="K21" s="38" t="str">
        <f>IFERROR('1.vize'!V21*100/'1.vize'!$I21,"")</f>
        <v/>
      </c>
      <c r="L21" s="38" t="str">
        <f>IFERROR('1.vize'!W21*100/'1.vize'!$I21,"")</f>
        <v/>
      </c>
      <c r="M21" s="38" t="str">
        <f>IFERROR('1.vize'!X21*100/'1.vize'!$I21,"")</f>
        <v/>
      </c>
      <c r="N21" s="38" t="str">
        <f>IFERROR('1.vize'!Y21*100/'1.vize'!$I21,"")</f>
        <v/>
      </c>
      <c r="O21" s="38" t="str">
        <f>IFERROR('1.vize'!Z21*100/'1.vize'!$I21,"")</f>
        <v/>
      </c>
      <c r="P21" s="38" t="str">
        <f>IFERROR('1.vize'!AA21*100/'1.vize'!$I21,"")</f>
        <v/>
      </c>
      <c r="Q21" s="38" t="str">
        <f>IFERROR('1.vize'!AB21*100/'1.vize'!$I21,"")</f>
        <v/>
      </c>
      <c r="R21" s="38" t="str">
        <f>IFERROR('1.vize'!AC21*100/'1.vize'!$I21,"")</f>
        <v/>
      </c>
      <c r="S21" s="38" t="str">
        <f>IFERROR('1.vize'!AD21*100/'1.vize'!$I21,"")</f>
        <v/>
      </c>
      <c r="T21" s="38" t="str">
        <f>IFERROR('1.vize'!AE21*100/'1.vize'!$I21,"")</f>
        <v/>
      </c>
      <c r="U21" s="38" t="str">
        <f>IFERROR('1.vize'!AF21*100/'1.vize'!$I21,"")</f>
        <v/>
      </c>
      <c r="V21" s="38" t="str">
        <f>IFERROR('1.vize'!AG21*100/'1.vize'!$I21,"")</f>
        <v/>
      </c>
      <c r="W21" s="38" t="str">
        <f>IFERROR('1.vize'!AH21*100/'1.vize'!$I21,"")</f>
        <v/>
      </c>
      <c r="X21" s="38" t="str">
        <f>IFERROR('1.vize'!AI21*100/'1.vize'!$I21,"")</f>
        <v/>
      </c>
      <c r="Y21" s="38" t="str">
        <f>IFERROR('1.vize'!AJ21*100/'1.vize'!$I21,"")</f>
        <v/>
      </c>
      <c r="Z21" s="38" t="str">
        <f>IFERROR('1.vize'!AK21*100/'1.vize'!$I21,"")</f>
        <v/>
      </c>
      <c r="AA21" s="38" t="str">
        <f>IFERROR('1.vize'!AL21*100/'1.vize'!$I21,"")</f>
        <v/>
      </c>
      <c r="AB21" s="38" t="str">
        <f>IFERROR('1.vize'!AM21*100/'1.vize'!$I21,"")</f>
        <v/>
      </c>
      <c r="AC21" s="38" t="str">
        <f>IFERROR('1.vize'!AN21*100/'1.vize'!$I21,"")</f>
        <v/>
      </c>
      <c r="AD21" s="38" t="str">
        <f>IFERROR('1.vize'!AO21*100/'1.vize'!$I21,"")</f>
        <v/>
      </c>
      <c r="AE21" s="38" t="str">
        <f>IFERROR('1.vize'!AP21*100/'1.vize'!$I21,"")</f>
        <v/>
      </c>
      <c r="AF21" s="38" t="str">
        <f>IFERROR('1.vize'!AQ21*100/'1.vize'!$I21,"")</f>
        <v/>
      </c>
      <c r="AG21" s="38" t="str">
        <f>IFERROR('1.vize'!AR21*100/'1.vize'!$I21,"")</f>
        <v/>
      </c>
      <c r="AH21" s="38" t="str">
        <f>IFERROR('1.vize'!AS21*100/'1.vize'!$I21,"")</f>
        <v/>
      </c>
      <c r="AI21" s="38" t="str">
        <f>IFERROR('1.vize'!AT21*100/'1.vize'!$I21,"")</f>
        <v/>
      </c>
      <c r="AJ21" s="38" t="str">
        <f>IFERROR('1.vize'!AU21*100/'1.vize'!$I21,"")</f>
        <v/>
      </c>
      <c r="AK21" s="38" t="str">
        <f>IFERROR('1.vize'!AV21*100/'1.vize'!$I21,"")</f>
        <v/>
      </c>
      <c r="AL21" s="38" t="str">
        <f>IFERROR('1.vize'!AW21*100/'1.vize'!$I21,"")</f>
        <v/>
      </c>
      <c r="AM21" s="38" t="str">
        <f>IFERROR('1.vize'!AX21*100/'1.vize'!$I21,"")</f>
        <v/>
      </c>
      <c r="AN21" s="38" t="str">
        <f>IFERROR('1.vize'!AY21*100/'1.vize'!$I21,"")</f>
        <v/>
      </c>
      <c r="AO21" s="38" t="str">
        <f>IFERROR('1.vize'!AZ21*100/'1.vize'!$I21,"")</f>
        <v/>
      </c>
      <c r="AP21" s="38" t="str">
        <f>IFERROR('1.vize'!BA21*100/'1.vize'!$I21,"")</f>
        <v/>
      </c>
      <c r="AQ21" s="38" t="str">
        <f>IFERROR('1.vize'!BB21*100/'1.vize'!$I21,"")</f>
        <v/>
      </c>
      <c r="AR21" s="38" t="str">
        <f>IFERROR('1.vize'!BC21*100/'1.vize'!$I21,"")</f>
        <v/>
      </c>
      <c r="AS21" s="38" t="str">
        <f>IFERROR('1.vize'!BD21*100/'1.vize'!$I21,"")</f>
        <v/>
      </c>
      <c r="AT21" s="38" t="str">
        <f>IFERROR('1.vize'!BE21*100/'1.vize'!$I21,"")</f>
        <v/>
      </c>
      <c r="AU21" s="38" t="str">
        <f>IFERROR('1.vize'!BF21*100/'1.vize'!$I21,"")</f>
        <v/>
      </c>
      <c r="AV21" s="38" t="str">
        <f>IFERROR('1.vize'!BG21*100/'1.vize'!$I21,"")</f>
        <v/>
      </c>
      <c r="AW21" s="38" t="str">
        <f>IFERROR('1.vize'!BH21*100/'1.vize'!$I21,"")</f>
        <v/>
      </c>
      <c r="AX21" s="38" t="str">
        <f>IFERROR('1.vize'!BI21*100/'1.vize'!$I21,"")</f>
        <v/>
      </c>
      <c r="AY21" s="38" t="str">
        <f>IFERROR('1.vize'!BJ21*100/'1.vize'!$I21,"")</f>
        <v/>
      </c>
      <c r="AZ21" s="38" t="str">
        <f>IFERROR('1.vize'!BK21*100/'1.vize'!$I21,"")</f>
        <v/>
      </c>
      <c r="BA21" s="38" t="str">
        <f>IFERROR('1.vize'!BL21*100/'1.vize'!$I21,"")</f>
        <v/>
      </c>
      <c r="BB21" s="38" t="str">
        <f>IFERROR('1.vize'!BM21*100/'1.vize'!$I21,"")</f>
        <v/>
      </c>
      <c r="BC21" s="38" t="str">
        <f>IFERROR('1.vize'!BN21*100/'1.vize'!$I21,"")</f>
        <v/>
      </c>
      <c r="BD21" s="38" t="str">
        <f>IFERROR('1.vize'!BO21*100/'1.vize'!$I21,"")</f>
        <v/>
      </c>
      <c r="BE21" s="38" t="str">
        <f>IFERROR('1.vize'!BP21*100/'1.vize'!$I21,"")</f>
        <v/>
      </c>
      <c r="BF21" s="38" t="str">
        <f>IFERROR('1.vize'!BQ21*100/'1.vize'!$I21,"")</f>
        <v/>
      </c>
      <c r="BG21" s="38" t="str">
        <f>IFERROR('1.vize'!BR21*100/'1.vize'!$I21,"")</f>
        <v/>
      </c>
      <c r="BH21" s="38" t="str">
        <f>IFERROR('1.vize'!BS21*100/'1.vize'!$I21,"")</f>
        <v/>
      </c>
      <c r="BI21" s="38" t="str">
        <f>IFERROR('1.vize'!BT21*100/'1.vize'!$I21,"")</f>
        <v/>
      </c>
      <c r="BJ21" s="38" t="str">
        <f>IFERROR('1.vize'!BU21*100/'1.vize'!$I21,"")</f>
        <v/>
      </c>
      <c r="BK21" s="38" t="str">
        <f>IFERROR('1.vize'!BV21*100/'1.vize'!$I21,"")</f>
        <v/>
      </c>
      <c r="BL21" s="38" t="str">
        <f>IFERROR('1.vize'!BW21*100/'1.vize'!$I21,"")</f>
        <v/>
      </c>
      <c r="BM21" s="38" t="str">
        <f>IFERROR('1.vize'!BX21*100/'1.vize'!$I21,"")</f>
        <v/>
      </c>
      <c r="BN21" s="38" t="str">
        <f>IFERROR('1.vize'!BY21*100/'1.vize'!$I21,"")</f>
        <v/>
      </c>
      <c r="BO21" s="38" t="str">
        <f>IFERROR('1.vize'!BZ21*100/'1.vize'!$I21,"")</f>
        <v/>
      </c>
      <c r="BP21" s="38" t="str">
        <f>IFERROR('1.vize'!CA21*100/'1.vize'!$I21,"")</f>
        <v/>
      </c>
      <c r="BQ21" s="38" t="str">
        <f>IFERROR('1.vize'!CB21*100/'1.vize'!$I21,"")</f>
        <v/>
      </c>
      <c r="BR21" s="38" t="str">
        <f>IFERROR('1.vize'!CC21*100/'1.vize'!$I21,"")</f>
        <v/>
      </c>
      <c r="BS21" s="38" t="str">
        <f>IFERROR('1.vize'!CD21*100/'1.vize'!$I21,"")</f>
        <v/>
      </c>
      <c r="BT21" s="38" t="str">
        <f>IFERROR('1.vize'!CE21*100/'1.vize'!$I21,"")</f>
        <v/>
      </c>
      <c r="BU21" s="38" t="str">
        <f>IFERROR('1.vize'!CF21*100/'1.vize'!$I21,"")</f>
        <v/>
      </c>
      <c r="BV21" s="38" t="str">
        <f>IFERROR('1.vize'!CG21*100/'1.vize'!$I21,"")</f>
        <v/>
      </c>
      <c r="BW21" s="38" t="str">
        <f>IFERROR('1.vize'!CH21*100/'1.vize'!$I21,"")</f>
        <v/>
      </c>
      <c r="BX21" s="38" t="str">
        <f>IFERROR('1.vize'!CI21*100/'1.vize'!$I21,"")</f>
        <v/>
      </c>
      <c r="BY21" s="38" t="str">
        <f>IFERROR('1.vize'!CJ21*100/'1.vize'!$I21,"")</f>
        <v/>
      </c>
      <c r="BZ21" s="38" t="str">
        <f>IFERROR('1.vize'!CK21*100/'1.vize'!$I21,"")</f>
        <v/>
      </c>
      <c r="CA21" s="38" t="str">
        <f>IFERROR('1.vize'!CL21*100/'1.vize'!$I21,"")</f>
        <v/>
      </c>
      <c r="CB21" s="38" t="str">
        <f>IFERROR('1.vize'!CM21*100/'1.vize'!$I21,"")</f>
        <v/>
      </c>
      <c r="CC21" s="38" t="str">
        <f>IFERROR('1.vize'!CN21*100/'1.vize'!$I21,"")</f>
        <v/>
      </c>
      <c r="CD21" s="38" t="str">
        <f>IFERROR('1.vize'!CO21*100/'1.vize'!$I21,"")</f>
        <v/>
      </c>
      <c r="CE21" s="38" t="str">
        <f>IFERROR('1.vize'!CP21*100/'1.vize'!$I21,"")</f>
        <v/>
      </c>
      <c r="CF21" s="38" t="str">
        <f>IFERROR('1.vize'!CQ21*100/'1.vize'!$I21,"")</f>
        <v/>
      </c>
      <c r="CG21" s="38" t="str">
        <f>IFERROR('1.vize'!CR21*100/'1.vize'!$I21,"")</f>
        <v/>
      </c>
      <c r="CH21" s="38" t="str">
        <f>IFERROR('1.vize'!CS21*100/'1.vize'!$I21,"")</f>
        <v/>
      </c>
      <c r="CI21" s="38" t="str">
        <f>IFERROR('1.vize'!CT21*100/'1.vize'!$I21,"")</f>
        <v/>
      </c>
      <c r="CJ21" s="38" t="str">
        <f>IFERROR('1.vize'!CU21*100/'1.vize'!$I21,"")</f>
        <v/>
      </c>
      <c r="CK21" s="38" t="str">
        <f>IFERROR('1.vize'!CV21*100/'1.vize'!$I21,"")</f>
        <v/>
      </c>
      <c r="CL21" s="38" t="str">
        <f>IFERROR('1.vize'!CW21*100/'1.vize'!$I21,"")</f>
        <v/>
      </c>
      <c r="CM21" s="38" t="str">
        <f>IFERROR('1.vize'!CX21*100/'1.vize'!$I21,"")</f>
        <v/>
      </c>
      <c r="CN21" s="38" t="str">
        <f>IFERROR('1.vize'!CY21*100/'1.vize'!$I21,"")</f>
        <v/>
      </c>
      <c r="CO21" s="38" t="str">
        <f>IFERROR('1.vize'!CZ21*100/'1.vize'!$I21,"")</f>
        <v/>
      </c>
      <c r="CP21" s="38" t="str">
        <f>IFERROR('1.vize'!DA21*100/'1.vize'!$I21,"")</f>
        <v/>
      </c>
      <c r="CQ21" s="38" t="str">
        <f>IFERROR('1.vize'!DB21*100/'1.vize'!$I21,"")</f>
        <v/>
      </c>
      <c r="CR21" s="38" t="str">
        <f>IFERROR('1.vize'!DC21*100/'1.vize'!$I21,"")</f>
        <v/>
      </c>
      <c r="CS21" s="38" t="str">
        <f>IFERROR('1.vize'!DD21*100/'1.vize'!$I21,"")</f>
        <v/>
      </c>
      <c r="CT21" s="38" t="str">
        <f>IFERROR('1.vize'!DE21*100/'1.vize'!$I21,"")</f>
        <v/>
      </c>
      <c r="CU21" s="38" t="str">
        <f>IFERROR('1.vize'!DF21*100/'1.vize'!$I21,"")</f>
        <v/>
      </c>
      <c r="CV21" s="38" t="str">
        <f>IFERROR('1.vize'!DG21*100/'1.vize'!$I21,"")</f>
        <v/>
      </c>
      <c r="CW21" s="32" t="str">
        <f>IFERROR(SUM(A21:CV21)/'1.vize'!$DH$103,"")</f>
        <v/>
      </c>
      <c r="CX21" s="14" t="str">
        <f>IF(COUNTA('1.vize'!A21),'1.vize'!A21,"")</f>
        <v/>
      </c>
      <c r="CY21" s="14" t="str">
        <f>IF(COUNTA('1.vize'!B21),'1.vize'!B21,"")</f>
        <v/>
      </c>
      <c r="CZ21" s="14" t="str">
        <f>IF(COUNTA('1.vize'!C21),'1.vize'!C21,"")</f>
        <v/>
      </c>
      <c r="DA21" s="14" t="str">
        <f>IF(COUNTA('1.vize'!D21),'1.vize'!D21,"")</f>
        <v/>
      </c>
      <c r="DB21" s="14" t="str">
        <f>IF(COUNTA('1.vize'!E21),'1.vize'!E21,"")</f>
        <v/>
      </c>
      <c r="DC21" s="14" t="str">
        <f>IF(COUNTA('1.vize'!F21),'1.vize'!F21,"")</f>
        <v/>
      </c>
      <c r="DD21" s="14" t="str">
        <f>IF(COUNTA('1.vize'!G21),'1.vize'!G21,"")</f>
        <v/>
      </c>
      <c r="DE21" s="14" t="str">
        <f>IF(COUNTA('1.vize'!H21),'1.vize'!H21,"")</f>
        <v/>
      </c>
      <c r="DF21" s="33"/>
    </row>
    <row r="22" spans="1:110" x14ac:dyDescent="0.2">
      <c r="A22" s="38" t="str">
        <f>IFERROR('1.vize'!L22*100/'1.vize'!$I22,"")</f>
        <v/>
      </c>
      <c r="B22" s="38" t="str">
        <f>IFERROR('1.vize'!M22*100/'1.vize'!$I22,"")</f>
        <v/>
      </c>
      <c r="C22" s="38" t="str">
        <f>IFERROR('1.vize'!N22*100/'1.vize'!$I22,"")</f>
        <v/>
      </c>
      <c r="D22" s="38" t="str">
        <f>IFERROR('1.vize'!O22*100/'1.vize'!$I22,"")</f>
        <v/>
      </c>
      <c r="E22" s="38" t="str">
        <f>IFERROR('1.vize'!P22*100/'1.vize'!$I22,"")</f>
        <v/>
      </c>
      <c r="F22" s="38" t="str">
        <f>IFERROR('1.vize'!Q22*100/'1.vize'!$I22,"")</f>
        <v/>
      </c>
      <c r="G22" s="38" t="str">
        <f>IFERROR('1.vize'!R22*100/'1.vize'!$I22,"")</f>
        <v/>
      </c>
      <c r="H22" s="38" t="str">
        <f>IFERROR('1.vize'!S22*100/'1.vize'!$I22,"")</f>
        <v/>
      </c>
      <c r="I22" s="38" t="str">
        <f>IFERROR('1.vize'!T22*100/'1.vize'!$I22,"")</f>
        <v/>
      </c>
      <c r="J22" s="38" t="str">
        <f>IFERROR('1.vize'!U22*100/'1.vize'!$I22,"")</f>
        <v/>
      </c>
      <c r="K22" s="38" t="str">
        <f>IFERROR('1.vize'!V22*100/'1.vize'!$I22,"")</f>
        <v/>
      </c>
      <c r="L22" s="38" t="str">
        <f>IFERROR('1.vize'!W22*100/'1.vize'!$I22,"")</f>
        <v/>
      </c>
      <c r="M22" s="38" t="str">
        <f>IFERROR('1.vize'!X22*100/'1.vize'!$I22,"")</f>
        <v/>
      </c>
      <c r="N22" s="38" t="str">
        <f>IFERROR('1.vize'!Y22*100/'1.vize'!$I22,"")</f>
        <v/>
      </c>
      <c r="O22" s="38" t="str">
        <f>IFERROR('1.vize'!Z22*100/'1.vize'!$I22,"")</f>
        <v/>
      </c>
      <c r="P22" s="38" t="str">
        <f>IFERROR('1.vize'!AA22*100/'1.vize'!$I22,"")</f>
        <v/>
      </c>
      <c r="Q22" s="38" t="str">
        <f>IFERROR('1.vize'!AB22*100/'1.vize'!$I22,"")</f>
        <v/>
      </c>
      <c r="R22" s="38" t="str">
        <f>IFERROR('1.vize'!AC22*100/'1.vize'!$I22,"")</f>
        <v/>
      </c>
      <c r="S22" s="38" t="str">
        <f>IFERROR('1.vize'!AD22*100/'1.vize'!$I22,"")</f>
        <v/>
      </c>
      <c r="T22" s="38" t="str">
        <f>IFERROR('1.vize'!AE22*100/'1.vize'!$I22,"")</f>
        <v/>
      </c>
      <c r="U22" s="38" t="str">
        <f>IFERROR('1.vize'!AF22*100/'1.vize'!$I22,"")</f>
        <v/>
      </c>
      <c r="V22" s="38" t="str">
        <f>IFERROR('1.vize'!AG22*100/'1.vize'!$I22,"")</f>
        <v/>
      </c>
      <c r="W22" s="38" t="str">
        <f>IFERROR('1.vize'!AH22*100/'1.vize'!$I22,"")</f>
        <v/>
      </c>
      <c r="X22" s="38" t="str">
        <f>IFERROR('1.vize'!AI22*100/'1.vize'!$I22,"")</f>
        <v/>
      </c>
      <c r="Y22" s="38" t="str">
        <f>IFERROR('1.vize'!AJ22*100/'1.vize'!$I22,"")</f>
        <v/>
      </c>
      <c r="Z22" s="38" t="str">
        <f>IFERROR('1.vize'!AK22*100/'1.vize'!$I22,"")</f>
        <v/>
      </c>
      <c r="AA22" s="38" t="str">
        <f>IFERROR('1.vize'!AL22*100/'1.vize'!$I22,"")</f>
        <v/>
      </c>
      <c r="AB22" s="38" t="str">
        <f>IFERROR('1.vize'!AM22*100/'1.vize'!$I22,"")</f>
        <v/>
      </c>
      <c r="AC22" s="38" t="str">
        <f>IFERROR('1.vize'!AN22*100/'1.vize'!$I22,"")</f>
        <v/>
      </c>
      <c r="AD22" s="38" t="str">
        <f>IFERROR('1.vize'!AO22*100/'1.vize'!$I22,"")</f>
        <v/>
      </c>
      <c r="AE22" s="38" t="str">
        <f>IFERROR('1.vize'!AP22*100/'1.vize'!$I22,"")</f>
        <v/>
      </c>
      <c r="AF22" s="38" t="str">
        <f>IFERROR('1.vize'!AQ22*100/'1.vize'!$I22,"")</f>
        <v/>
      </c>
      <c r="AG22" s="38" t="str">
        <f>IFERROR('1.vize'!AR22*100/'1.vize'!$I22,"")</f>
        <v/>
      </c>
      <c r="AH22" s="38" t="str">
        <f>IFERROR('1.vize'!AS22*100/'1.vize'!$I22,"")</f>
        <v/>
      </c>
      <c r="AI22" s="38" t="str">
        <f>IFERROR('1.vize'!AT22*100/'1.vize'!$I22,"")</f>
        <v/>
      </c>
      <c r="AJ22" s="38" t="str">
        <f>IFERROR('1.vize'!AU22*100/'1.vize'!$I22,"")</f>
        <v/>
      </c>
      <c r="AK22" s="38" t="str">
        <f>IFERROR('1.vize'!AV22*100/'1.vize'!$I22,"")</f>
        <v/>
      </c>
      <c r="AL22" s="38" t="str">
        <f>IFERROR('1.vize'!AW22*100/'1.vize'!$I22,"")</f>
        <v/>
      </c>
      <c r="AM22" s="38" t="str">
        <f>IFERROR('1.vize'!AX22*100/'1.vize'!$I22,"")</f>
        <v/>
      </c>
      <c r="AN22" s="38" t="str">
        <f>IFERROR('1.vize'!AY22*100/'1.vize'!$I22,"")</f>
        <v/>
      </c>
      <c r="AO22" s="38" t="str">
        <f>IFERROR('1.vize'!AZ22*100/'1.vize'!$I22,"")</f>
        <v/>
      </c>
      <c r="AP22" s="38" t="str">
        <f>IFERROR('1.vize'!BA22*100/'1.vize'!$I22,"")</f>
        <v/>
      </c>
      <c r="AQ22" s="38" t="str">
        <f>IFERROR('1.vize'!BB22*100/'1.vize'!$I22,"")</f>
        <v/>
      </c>
      <c r="AR22" s="38" t="str">
        <f>IFERROR('1.vize'!BC22*100/'1.vize'!$I22,"")</f>
        <v/>
      </c>
      <c r="AS22" s="38" t="str">
        <f>IFERROR('1.vize'!BD22*100/'1.vize'!$I22,"")</f>
        <v/>
      </c>
      <c r="AT22" s="38" t="str">
        <f>IFERROR('1.vize'!BE22*100/'1.vize'!$I22,"")</f>
        <v/>
      </c>
      <c r="AU22" s="38" t="str">
        <f>IFERROR('1.vize'!BF22*100/'1.vize'!$I22,"")</f>
        <v/>
      </c>
      <c r="AV22" s="38" t="str">
        <f>IFERROR('1.vize'!BG22*100/'1.vize'!$I22,"")</f>
        <v/>
      </c>
      <c r="AW22" s="38" t="str">
        <f>IFERROR('1.vize'!BH22*100/'1.vize'!$I22,"")</f>
        <v/>
      </c>
      <c r="AX22" s="38" t="str">
        <f>IFERROR('1.vize'!BI22*100/'1.vize'!$I22,"")</f>
        <v/>
      </c>
      <c r="AY22" s="38" t="str">
        <f>IFERROR('1.vize'!BJ22*100/'1.vize'!$I22,"")</f>
        <v/>
      </c>
      <c r="AZ22" s="38" t="str">
        <f>IFERROR('1.vize'!BK22*100/'1.vize'!$I22,"")</f>
        <v/>
      </c>
      <c r="BA22" s="38" t="str">
        <f>IFERROR('1.vize'!BL22*100/'1.vize'!$I22,"")</f>
        <v/>
      </c>
      <c r="BB22" s="38" t="str">
        <f>IFERROR('1.vize'!BM22*100/'1.vize'!$I22,"")</f>
        <v/>
      </c>
      <c r="BC22" s="38" t="str">
        <f>IFERROR('1.vize'!BN22*100/'1.vize'!$I22,"")</f>
        <v/>
      </c>
      <c r="BD22" s="38" t="str">
        <f>IFERROR('1.vize'!BO22*100/'1.vize'!$I22,"")</f>
        <v/>
      </c>
      <c r="BE22" s="38" t="str">
        <f>IFERROR('1.vize'!BP22*100/'1.vize'!$I22,"")</f>
        <v/>
      </c>
      <c r="BF22" s="38" t="str">
        <f>IFERROR('1.vize'!BQ22*100/'1.vize'!$I22,"")</f>
        <v/>
      </c>
      <c r="BG22" s="38" t="str">
        <f>IFERROR('1.vize'!BR22*100/'1.vize'!$I22,"")</f>
        <v/>
      </c>
      <c r="BH22" s="38" t="str">
        <f>IFERROR('1.vize'!BS22*100/'1.vize'!$I22,"")</f>
        <v/>
      </c>
      <c r="BI22" s="38" t="str">
        <f>IFERROR('1.vize'!BT22*100/'1.vize'!$I22,"")</f>
        <v/>
      </c>
      <c r="BJ22" s="38" t="str">
        <f>IFERROR('1.vize'!BU22*100/'1.vize'!$I22,"")</f>
        <v/>
      </c>
      <c r="BK22" s="38" t="str">
        <f>IFERROR('1.vize'!BV22*100/'1.vize'!$I22,"")</f>
        <v/>
      </c>
      <c r="BL22" s="38" t="str">
        <f>IFERROR('1.vize'!BW22*100/'1.vize'!$I22,"")</f>
        <v/>
      </c>
      <c r="BM22" s="38" t="str">
        <f>IFERROR('1.vize'!BX22*100/'1.vize'!$I22,"")</f>
        <v/>
      </c>
      <c r="BN22" s="38" t="str">
        <f>IFERROR('1.vize'!BY22*100/'1.vize'!$I22,"")</f>
        <v/>
      </c>
      <c r="BO22" s="38" t="str">
        <f>IFERROR('1.vize'!BZ22*100/'1.vize'!$I22,"")</f>
        <v/>
      </c>
      <c r="BP22" s="38" t="str">
        <f>IFERROR('1.vize'!CA22*100/'1.vize'!$I22,"")</f>
        <v/>
      </c>
      <c r="BQ22" s="38" t="str">
        <f>IFERROR('1.vize'!CB22*100/'1.vize'!$I22,"")</f>
        <v/>
      </c>
      <c r="BR22" s="38" t="str">
        <f>IFERROR('1.vize'!CC22*100/'1.vize'!$I22,"")</f>
        <v/>
      </c>
      <c r="BS22" s="38" t="str">
        <f>IFERROR('1.vize'!CD22*100/'1.vize'!$I22,"")</f>
        <v/>
      </c>
      <c r="BT22" s="38" t="str">
        <f>IFERROR('1.vize'!CE22*100/'1.vize'!$I22,"")</f>
        <v/>
      </c>
      <c r="BU22" s="38" t="str">
        <f>IFERROR('1.vize'!CF22*100/'1.vize'!$I22,"")</f>
        <v/>
      </c>
      <c r="BV22" s="38" t="str">
        <f>IFERROR('1.vize'!CG22*100/'1.vize'!$I22,"")</f>
        <v/>
      </c>
      <c r="BW22" s="38" t="str">
        <f>IFERROR('1.vize'!CH22*100/'1.vize'!$I22,"")</f>
        <v/>
      </c>
      <c r="BX22" s="38" t="str">
        <f>IFERROR('1.vize'!CI22*100/'1.vize'!$I22,"")</f>
        <v/>
      </c>
      <c r="BY22" s="38" t="str">
        <f>IFERROR('1.vize'!CJ22*100/'1.vize'!$I22,"")</f>
        <v/>
      </c>
      <c r="BZ22" s="38" t="str">
        <f>IFERROR('1.vize'!CK22*100/'1.vize'!$I22,"")</f>
        <v/>
      </c>
      <c r="CA22" s="38" t="str">
        <f>IFERROR('1.vize'!CL22*100/'1.vize'!$I22,"")</f>
        <v/>
      </c>
      <c r="CB22" s="38" t="str">
        <f>IFERROR('1.vize'!CM22*100/'1.vize'!$I22,"")</f>
        <v/>
      </c>
      <c r="CC22" s="38" t="str">
        <f>IFERROR('1.vize'!CN22*100/'1.vize'!$I22,"")</f>
        <v/>
      </c>
      <c r="CD22" s="38" t="str">
        <f>IFERROR('1.vize'!CO22*100/'1.vize'!$I22,"")</f>
        <v/>
      </c>
      <c r="CE22" s="38" t="str">
        <f>IFERROR('1.vize'!CP22*100/'1.vize'!$I22,"")</f>
        <v/>
      </c>
      <c r="CF22" s="38" t="str">
        <f>IFERROR('1.vize'!CQ22*100/'1.vize'!$I22,"")</f>
        <v/>
      </c>
      <c r="CG22" s="38" t="str">
        <f>IFERROR('1.vize'!CR22*100/'1.vize'!$I22,"")</f>
        <v/>
      </c>
      <c r="CH22" s="38" t="str">
        <f>IFERROR('1.vize'!CS22*100/'1.vize'!$I22,"")</f>
        <v/>
      </c>
      <c r="CI22" s="38" t="str">
        <f>IFERROR('1.vize'!CT22*100/'1.vize'!$I22,"")</f>
        <v/>
      </c>
      <c r="CJ22" s="38" t="str">
        <f>IFERROR('1.vize'!CU22*100/'1.vize'!$I22,"")</f>
        <v/>
      </c>
      <c r="CK22" s="38" t="str">
        <f>IFERROR('1.vize'!CV22*100/'1.vize'!$I22,"")</f>
        <v/>
      </c>
      <c r="CL22" s="38" t="str">
        <f>IFERROR('1.vize'!CW22*100/'1.vize'!$I22,"")</f>
        <v/>
      </c>
      <c r="CM22" s="38" t="str">
        <f>IFERROR('1.vize'!CX22*100/'1.vize'!$I22,"")</f>
        <v/>
      </c>
      <c r="CN22" s="38" t="str">
        <f>IFERROR('1.vize'!CY22*100/'1.vize'!$I22,"")</f>
        <v/>
      </c>
      <c r="CO22" s="38" t="str">
        <f>IFERROR('1.vize'!CZ22*100/'1.vize'!$I22,"")</f>
        <v/>
      </c>
      <c r="CP22" s="38" t="str">
        <f>IFERROR('1.vize'!DA22*100/'1.vize'!$I22,"")</f>
        <v/>
      </c>
      <c r="CQ22" s="38" t="str">
        <f>IFERROR('1.vize'!DB22*100/'1.vize'!$I22,"")</f>
        <v/>
      </c>
      <c r="CR22" s="38" t="str">
        <f>IFERROR('1.vize'!DC22*100/'1.vize'!$I22,"")</f>
        <v/>
      </c>
      <c r="CS22" s="38" t="str">
        <f>IFERROR('1.vize'!DD22*100/'1.vize'!$I22,"")</f>
        <v/>
      </c>
      <c r="CT22" s="38" t="str">
        <f>IFERROR('1.vize'!DE22*100/'1.vize'!$I22,"")</f>
        <v/>
      </c>
      <c r="CU22" s="38" t="str">
        <f>IFERROR('1.vize'!DF22*100/'1.vize'!$I22,"")</f>
        <v/>
      </c>
      <c r="CV22" s="38" t="str">
        <f>IFERROR('1.vize'!DG22*100/'1.vize'!$I22,"")</f>
        <v/>
      </c>
      <c r="CW22" s="32" t="str">
        <f>IFERROR(SUM(A22:CV22)/'1.vize'!$DH$103,"")</f>
        <v/>
      </c>
      <c r="CX22" s="14" t="str">
        <f>IF(COUNTA('1.vize'!A22),'1.vize'!A22,"")</f>
        <v/>
      </c>
      <c r="CY22" s="14" t="str">
        <f>IF(COUNTA('1.vize'!B22),'1.vize'!B22,"")</f>
        <v/>
      </c>
      <c r="CZ22" s="14" t="str">
        <f>IF(COUNTA('1.vize'!C22),'1.vize'!C22,"")</f>
        <v/>
      </c>
      <c r="DA22" s="14" t="str">
        <f>IF(COUNTA('1.vize'!D22),'1.vize'!D22,"")</f>
        <v/>
      </c>
      <c r="DB22" s="14" t="str">
        <f>IF(COUNTA('1.vize'!E22),'1.vize'!E22,"")</f>
        <v/>
      </c>
      <c r="DC22" s="14" t="str">
        <f>IF(COUNTA('1.vize'!F22),'1.vize'!F22,"")</f>
        <v/>
      </c>
      <c r="DD22" s="14" t="str">
        <f>IF(COUNTA('1.vize'!G22),'1.vize'!G22,"")</f>
        <v/>
      </c>
      <c r="DE22" s="14" t="str">
        <f>IF(COUNTA('1.vize'!H22),'1.vize'!H22,"")</f>
        <v/>
      </c>
      <c r="DF22" s="33"/>
    </row>
    <row r="23" spans="1:110" x14ac:dyDescent="0.2">
      <c r="A23" s="38" t="str">
        <f>IFERROR('1.vize'!L23*100/'1.vize'!$I23,"")</f>
        <v/>
      </c>
      <c r="B23" s="38" t="str">
        <f>IFERROR('1.vize'!M23*100/'1.vize'!$I23,"")</f>
        <v/>
      </c>
      <c r="C23" s="38" t="str">
        <f>IFERROR('1.vize'!N23*100/'1.vize'!$I23,"")</f>
        <v/>
      </c>
      <c r="D23" s="38" t="str">
        <f>IFERROR('1.vize'!O23*100/'1.vize'!$I23,"")</f>
        <v/>
      </c>
      <c r="E23" s="38" t="str">
        <f>IFERROR('1.vize'!P23*100/'1.vize'!$I23,"")</f>
        <v/>
      </c>
      <c r="F23" s="38" t="str">
        <f>IFERROR('1.vize'!Q23*100/'1.vize'!$I23,"")</f>
        <v/>
      </c>
      <c r="G23" s="38" t="str">
        <f>IFERROR('1.vize'!R23*100/'1.vize'!$I23,"")</f>
        <v/>
      </c>
      <c r="H23" s="38" t="str">
        <f>IFERROR('1.vize'!S23*100/'1.vize'!$I23,"")</f>
        <v/>
      </c>
      <c r="I23" s="38" t="str">
        <f>IFERROR('1.vize'!T23*100/'1.vize'!$I23,"")</f>
        <v/>
      </c>
      <c r="J23" s="38" t="str">
        <f>IFERROR('1.vize'!U23*100/'1.vize'!$I23,"")</f>
        <v/>
      </c>
      <c r="K23" s="38" t="str">
        <f>IFERROR('1.vize'!V23*100/'1.vize'!$I23,"")</f>
        <v/>
      </c>
      <c r="L23" s="38" t="str">
        <f>IFERROR('1.vize'!W23*100/'1.vize'!$I23,"")</f>
        <v/>
      </c>
      <c r="M23" s="38" t="str">
        <f>IFERROR('1.vize'!X23*100/'1.vize'!$I23,"")</f>
        <v/>
      </c>
      <c r="N23" s="38" t="str">
        <f>IFERROR('1.vize'!Y23*100/'1.vize'!$I23,"")</f>
        <v/>
      </c>
      <c r="O23" s="38" t="str">
        <f>IFERROR('1.vize'!Z23*100/'1.vize'!$I23,"")</f>
        <v/>
      </c>
      <c r="P23" s="38" t="str">
        <f>IFERROR('1.vize'!AA23*100/'1.vize'!$I23,"")</f>
        <v/>
      </c>
      <c r="Q23" s="38" t="str">
        <f>IFERROR('1.vize'!AB23*100/'1.vize'!$I23,"")</f>
        <v/>
      </c>
      <c r="R23" s="38" t="str">
        <f>IFERROR('1.vize'!AC23*100/'1.vize'!$I23,"")</f>
        <v/>
      </c>
      <c r="S23" s="38" t="str">
        <f>IFERROR('1.vize'!AD23*100/'1.vize'!$I23,"")</f>
        <v/>
      </c>
      <c r="T23" s="38" t="str">
        <f>IFERROR('1.vize'!AE23*100/'1.vize'!$I23,"")</f>
        <v/>
      </c>
      <c r="U23" s="38" t="str">
        <f>IFERROR('1.vize'!AF23*100/'1.vize'!$I23,"")</f>
        <v/>
      </c>
      <c r="V23" s="38" t="str">
        <f>IFERROR('1.vize'!AG23*100/'1.vize'!$I23,"")</f>
        <v/>
      </c>
      <c r="W23" s="38" t="str">
        <f>IFERROR('1.vize'!AH23*100/'1.vize'!$I23,"")</f>
        <v/>
      </c>
      <c r="X23" s="38" t="str">
        <f>IFERROR('1.vize'!AI23*100/'1.vize'!$I23,"")</f>
        <v/>
      </c>
      <c r="Y23" s="38" t="str">
        <f>IFERROR('1.vize'!AJ23*100/'1.vize'!$I23,"")</f>
        <v/>
      </c>
      <c r="Z23" s="38" t="str">
        <f>IFERROR('1.vize'!AK23*100/'1.vize'!$I23,"")</f>
        <v/>
      </c>
      <c r="AA23" s="38" t="str">
        <f>IFERROR('1.vize'!AL23*100/'1.vize'!$I23,"")</f>
        <v/>
      </c>
      <c r="AB23" s="38" t="str">
        <f>IFERROR('1.vize'!AM23*100/'1.vize'!$I23,"")</f>
        <v/>
      </c>
      <c r="AC23" s="38" t="str">
        <f>IFERROR('1.vize'!AN23*100/'1.vize'!$I23,"")</f>
        <v/>
      </c>
      <c r="AD23" s="38" t="str">
        <f>IFERROR('1.vize'!AO23*100/'1.vize'!$I23,"")</f>
        <v/>
      </c>
      <c r="AE23" s="38" t="str">
        <f>IFERROR('1.vize'!AP23*100/'1.vize'!$I23,"")</f>
        <v/>
      </c>
      <c r="AF23" s="38" t="str">
        <f>IFERROR('1.vize'!AQ23*100/'1.vize'!$I23,"")</f>
        <v/>
      </c>
      <c r="AG23" s="38" t="str">
        <f>IFERROR('1.vize'!AR23*100/'1.vize'!$I23,"")</f>
        <v/>
      </c>
      <c r="AH23" s="38" t="str">
        <f>IFERROR('1.vize'!AS23*100/'1.vize'!$I23,"")</f>
        <v/>
      </c>
      <c r="AI23" s="38" t="str">
        <f>IFERROR('1.vize'!AT23*100/'1.vize'!$I23,"")</f>
        <v/>
      </c>
      <c r="AJ23" s="38" t="str">
        <f>IFERROR('1.vize'!AU23*100/'1.vize'!$I23,"")</f>
        <v/>
      </c>
      <c r="AK23" s="38" t="str">
        <f>IFERROR('1.vize'!AV23*100/'1.vize'!$I23,"")</f>
        <v/>
      </c>
      <c r="AL23" s="38" t="str">
        <f>IFERROR('1.vize'!AW23*100/'1.vize'!$I23,"")</f>
        <v/>
      </c>
      <c r="AM23" s="38" t="str">
        <f>IFERROR('1.vize'!AX23*100/'1.vize'!$I23,"")</f>
        <v/>
      </c>
      <c r="AN23" s="38" t="str">
        <f>IFERROR('1.vize'!AY23*100/'1.vize'!$I23,"")</f>
        <v/>
      </c>
      <c r="AO23" s="38" t="str">
        <f>IFERROR('1.vize'!AZ23*100/'1.vize'!$I23,"")</f>
        <v/>
      </c>
      <c r="AP23" s="38" t="str">
        <f>IFERROR('1.vize'!BA23*100/'1.vize'!$I23,"")</f>
        <v/>
      </c>
      <c r="AQ23" s="38" t="str">
        <f>IFERROR('1.vize'!BB23*100/'1.vize'!$I23,"")</f>
        <v/>
      </c>
      <c r="AR23" s="38" t="str">
        <f>IFERROR('1.vize'!BC23*100/'1.vize'!$I23,"")</f>
        <v/>
      </c>
      <c r="AS23" s="38" t="str">
        <f>IFERROR('1.vize'!BD23*100/'1.vize'!$I23,"")</f>
        <v/>
      </c>
      <c r="AT23" s="38" t="str">
        <f>IFERROR('1.vize'!BE23*100/'1.vize'!$I23,"")</f>
        <v/>
      </c>
      <c r="AU23" s="38" t="str">
        <f>IFERROR('1.vize'!BF23*100/'1.vize'!$I23,"")</f>
        <v/>
      </c>
      <c r="AV23" s="38" t="str">
        <f>IFERROR('1.vize'!BG23*100/'1.vize'!$I23,"")</f>
        <v/>
      </c>
      <c r="AW23" s="38" t="str">
        <f>IFERROR('1.vize'!BH23*100/'1.vize'!$I23,"")</f>
        <v/>
      </c>
      <c r="AX23" s="38" t="str">
        <f>IFERROR('1.vize'!BI23*100/'1.vize'!$I23,"")</f>
        <v/>
      </c>
      <c r="AY23" s="38" t="str">
        <f>IFERROR('1.vize'!BJ23*100/'1.vize'!$I23,"")</f>
        <v/>
      </c>
      <c r="AZ23" s="38" t="str">
        <f>IFERROR('1.vize'!BK23*100/'1.vize'!$I23,"")</f>
        <v/>
      </c>
      <c r="BA23" s="38" t="str">
        <f>IFERROR('1.vize'!BL23*100/'1.vize'!$I23,"")</f>
        <v/>
      </c>
      <c r="BB23" s="38" t="str">
        <f>IFERROR('1.vize'!BM23*100/'1.vize'!$I23,"")</f>
        <v/>
      </c>
      <c r="BC23" s="38" t="str">
        <f>IFERROR('1.vize'!BN23*100/'1.vize'!$I23,"")</f>
        <v/>
      </c>
      <c r="BD23" s="38" t="str">
        <f>IFERROR('1.vize'!BO23*100/'1.vize'!$I23,"")</f>
        <v/>
      </c>
      <c r="BE23" s="38" t="str">
        <f>IFERROR('1.vize'!BP23*100/'1.vize'!$I23,"")</f>
        <v/>
      </c>
      <c r="BF23" s="38" t="str">
        <f>IFERROR('1.vize'!BQ23*100/'1.vize'!$I23,"")</f>
        <v/>
      </c>
      <c r="BG23" s="38" t="str">
        <f>IFERROR('1.vize'!BR23*100/'1.vize'!$I23,"")</f>
        <v/>
      </c>
      <c r="BH23" s="38" t="str">
        <f>IFERROR('1.vize'!BS23*100/'1.vize'!$I23,"")</f>
        <v/>
      </c>
      <c r="BI23" s="38" t="str">
        <f>IFERROR('1.vize'!BT23*100/'1.vize'!$I23,"")</f>
        <v/>
      </c>
      <c r="BJ23" s="38" t="str">
        <f>IFERROR('1.vize'!BU23*100/'1.vize'!$I23,"")</f>
        <v/>
      </c>
      <c r="BK23" s="38" t="str">
        <f>IFERROR('1.vize'!BV23*100/'1.vize'!$I23,"")</f>
        <v/>
      </c>
      <c r="BL23" s="38" t="str">
        <f>IFERROR('1.vize'!BW23*100/'1.vize'!$I23,"")</f>
        <v/>
      </c>
      <c r="BM23" s="38" t="str">
        <f>IFERROR('1.vize'!BX23*100/'1.vize'!$I23,"")</f>
        <v/>
      </c>
      <c r="BN23" s="38" t="str">
        <f>IFERROR('1.vize'!BY23*100/'1.vize'!$I23,"")</f>
        <v/>
      </c>
      <c r="BO23" s="38" t="str">
        <f>IFERROR('1.vize'!BZ23*100/'1.vize'!$I23,"")</f>
        <v/>
      </c>
      <c r="BP23" s="38" t="str">
        <f>IFERROR('1.vize'!CA23*100/'1.vize'!$I23,"")</f>
        <v/>
      </c>
      <c r="BQ23" s="38" t="str">
        <f>IFERROR('1.vize'!CB23*100/'1.vize'!$I23,"")</f>
        <v/>
      </c>
      <c r="BR23" s="38" t="str">
        <f>IFERROR('1.vize'!CC23*100/'1.vize'!$I23,"")</f>
        <v/>
      </c>
      <c r="BS23" s="38" t="str">
        <f>IFERROR('1.vize'!CD23*100/'1.vize'!$I23,"")</f>
        <v/>
      </c>
      <c r="BT23" s="38" t="str">
        <f>IFERROR('1.vize'!CE23*100/'1.vize'!$I23,"")</f>
        <v/>
      </c>
      <c r="BU23" s="38" t="str">
        <f>IFERROR('1.vize'!CF23*100/'1.vize'!$I23,"")</f>
        <v/>
      </c>
      <c r="BV23" s="38" t="str">
        <f>IFERROR('1.vize'!CG23*100/'1.vize'!$I23,"")</f>
        <v/>
      </c>
      <c r="BW23" s="38" t="str">
        <f>IFERROR('1.vize'!CH23*100/'1.vize'!$I23,"")</f>
        <v/>
      </c>
      <c r="BX23" s="38" t="str">
        <f>IFERROR('1.vize'!CI23*100/'1.vize'!$I23,"")</f>
        <v/>
      </c>
      <c r="BY23" s="38" t="str">
        <f>IFERROR('1.vize'!CJ23*100/'1.vize'!$I23,"")</f>
        <v/>
      </c>
      <c r="BZ23" s="38" t="str">
        <f>IFERROR('1.vize'!CK23*100/'1.vize'!$I23,"")</f>
        <v/>
      </c>
      <c r="CA23" s="38" t="str">
        <f>IFERROR('1.vize'!CL23*100/'1.vize'!$I23,"")</f>
        <v/>
      </c>
      <c r="CB23" s="38" t="str">
        <f>IFERROR('1.vize'!CM23*100/'1.vize'!$I23,"")</f>
        <v/>
      </c>
      <c r="CC23" s="38" t="str">
        <f>IFERROR('1.vize'!CN23*100/'1.vize'!$I23,"")</f>
        <v/>
      </c>
      <c r="CD23" s="38" t="str">
        <f>IFERROR('1.vize'!CO23*100/'1.vize'!$I23,"")</f>
        <v/>
      </c>
      <c r="CE23" s="38" t="str">
        <f>IFERROR('1.vize'!CP23*100/'1.vize'!$I23,"")</f>
        <v/>
      </c>
      <c r="CF23" s="38" t="str">
        <f>IFERROR('1.vize'!CQ23*100/'1.vize'!$I23,"")</f>
        <v/>
      </c>
      <c r="CG23" s="38" t="str">
        <f>IFERROR('1.vize'!CR23*100/'1.vize'!$I23,"")</f>
        <v/>
      </c>
      <c r="CH23" s="38" t="str">
        <f>IFERROR('1.vize'!CS23*100/'1.vize'!$I23,"")</f>
        <v/>
      </c>
      <c r="CI23" s="38" t="str">
        <f>IFERROR('1.vize'!CT23*100/'1.vize'!$I23,"")</f>
        <v/>
      </c>
      <c r="CJ23" s="38" t="str">
        <f>IFERROR('1.vize'!CU23*100/'1.vize'!$I23,"")</f>
        <v/>
      </c>
      <c r="CK23" s="38" t="str">
        <f>IFERROR('1.vize'!CV23*100/'1.vize'!$I23,"")</f>
        <v/>
      </c>
      <c r="CL23" s="38" t="str">
        <f>IFERROR('1.vize'!CW23*100/'1.vize'!$I23,"")</f>
        <v/>
      </c>
      <c r="CM23" s="38" t="str">
        <f>IFERROR('1.vize'!CX23*100/'1.vize'!$I23,"")</f>
        <v/>
      </c>
      <c r="CN23" s="38" t="str">
        <f>IFERROR('1.vize'!CY23*100/'1.vize'!$I23,"")</f>
        <v/>
      </c>
      <c r="CO23" s="38" t="str">
        <f>IFERROR('1.vize'!CZ23*100/'1.vize'!$I23,"")</f>
        <v/>
      </c>
      <c r="CP23" s="38" t="str">
        <f>IFERROR('1.vize'!DA23*100/'1.vize'!$I23,"")</f>
        <v/>
      </c>
      <c r="CQ23" s="38" t="str">
        <f>IFERROR('1.vize'!DB23*100/'1.vize'!$I23,"")</f>
        <v/>
      </c>
      <c r="CR23" s="38" t="str">
        <f>IFERROR('1.vize'!DC23*100/'1.vize'!$I23,"")</f>
        <v/>
      </c>
      <c r="CS23" s="38" t="str">
        <f>IFERROR('1.vize'!DD23*100/'1.vize'!$I23,"")</f>
        <v/>
      </c>
      <c r="CT23" s="38" t="str">
        <f>IFERROR('1.vize'!DE23*100/'1.vize'!$I23,"")</f>
        <v/>
      </c>
      <c r="CU23" s="38" t="str">
        <f>IFERROR('1.vize'!DF23*100/'1.vize'!$I23,"")</f>
        <v/>
      </c>
      <c r="CV23" s="38" t="str">
        <f>IFERROR('1.vize'!DG23*100/'1.vize'!$I23,"")</f>
        <v/>
      </c>
      <c r="CW23" s="32" t="str">
        <f>IFERROR(SUM(A23:CV23)/'1.vize'!$DH$103,"")</f>
        <v/>
      </c>
      <c r="CX23" s="14" t="str">
        <f>IF(COUNTA('1.vize'!A23),'1.vize'!A23,"")</f>
        <v/>
      </c>
      <c r="CY23" s="14" t="str">
        <f>IF(COUNTA('1.vize'!B23),'1.vize'!B23,"")</f>
        <v/>
      </c>
      <c r="CZ23" s="14" t="str">
        <f>IF(COUNTA('1.vize'!C23),'1.vize'!C23,"")</f>
        <v/>
      </c>
      <c r="DA23" s="14" t="str">
        <f>IF(COUNTA('1.vize'!D23),'1.vize'!D23,"")</f>
        <v/>
      </c>
      <c r="DB23" s="14" t="str">
        <f>IF(COUNTA('1.vize'!E23),'1.vize'!E23,"")</f>
        <v/>
      </c>
      <c r="DC23" s="14" t="str">
        <f>IF(COUNTA('1.vize'!F23),'1.vize'!F23,"")</f>
        <v/>
      </c>
      <c r="DD23" s="14" t="str">
        <f>IF(COUNTA('1.vize'!G23),'1.vize'!G23,"")</f>
        <v/>
      </c>
      <c r="DE23" s="14" t="str">
        <f>IF(COUNTA('1.vize'!H23),'1.vize'!H23,"")</f>
        <v/>
      </c>
      <c r="DF23" s="33"/>
    </row>
    <row r="24" spans="1:110" x14ac:dyDescent="0.2">
      <c r="A24" s="38" t="str">
        <f>IFERROR('1.vize'!L24*100/'1.vize'!$I24,"")</f>
        <v/>
      </c>
      <c r="B24" s="38" t="str">
        <f>IFERROR('1.vize'!M24*100/'1.vize'!$I24,"")</f>
        <v/>
      </c>
      <c r="C24" s="38" t="str">
        <f>IFERROR('1.vize'!N24*100/'1.vize'!$I24,"")</f>
        <v/>
      </c>
      <c r="D24" s="38" t="str">
        <f>IFERROR('1.vize'!O24*100/'1.vize'!$I24,"")</f>
        <v/>
      </c>
      <c r="E24" s="38" t="str">
        <f>IFERROR('1.vize'!P24*100/'1.vize'!$I24,"")</f>
        <v/>
      </c>
      <c r="F24" s="38" t="str">
        <f>IFERROR('1.vize'!Q24*100/'1.vize'!$I24,"")</f>
        <v/>
      </c>
      <c r="G24" s="38" t="str">
        <f>IFERROR('1.vize'!R24*100/'1.vize'!$I24,"")</f>
        <v/>
      </c>
      <c r="H24" s="38" t="str">
        <f>IFERROR('1.vize'!S24*100/'1.vize'!$I24,"")</f>
        <v/>
      </c>
      <c r="I24" s="38" t="str">
        <f>IFERROR('1.vize'!T24*100/'1.vize'!$I24,"")</f>
        <v/>
      </c>
      <c r="J24" s="38" t="str">
        <f>IFERROR('1.vize'!U24*100/'1.vize'!$I24,"")</f>
        <v/>
      </c>
      <c r="K24" s="38" t="str">
        <f>IFERROR('1.vize'!V24*100/'1.vize'!$I24,"")</f>
        <v/>
      </c>
      <c r="L24" s="38" t="str">
        <f>IFERROR('1.vize'!W24*100/'1.vize'!$I24,"")</f>
        <v/>
      </c>
      <c r="M24" s="38" t="str">
        <f>IFERROR('1.vize'!X24*100/'1.vize'!$I24,"")</f>
        <v/>
      </c>
      <c r="N24" s="38" t="str">
        <f>IFERROR('1.vize'!Y24*100/'1.vize'!$I24,"")</f>
        <v/>
      </c>
      <c r="O24" s="38" t="str">
        <f>IFERROR('1.vize'!Z24*100/'1.vize'!$I24,"")</f>
        <v/>
      </c>
      <c r="P24" s="38" t="str">
        <f>IFERROR('1.vize'!AA24*100/'1.vize'!$I24,"")</f>
        <v/>
      </c>
      <c r="Q24" s="38" t="str">
        <f>IFERROR('1.vize'!AB24*100/'1.vize'!$I24,"")</f>
        <v/>
      </c>
      <c r="R24" s="38" t="str">
        <f>IFERROR('1.vize'!AC24*100/'1.vize'!$I24,"")</f>
        <v/>
      </c>
      <c r="S24" s="38" t="str">
        <f>IFERROR('1.vize'!AD24*100/'1.vize'!$I24,"")</f>
        <v/>
      </c>
      <c r="T24" s="38" t="str">
        <f>IFERROR('1.vize'!AE24*100/'1.vize'!$I24,"")</f>
        <v/>
      </c>
      <c r="U24" s="38" t="str">
        <f>IFERROR('1.vize'!AF24*100/'1.vize'!$I24,"")</f>
        <v/>
      </c>
      <c r="V24" s="38" t="str">
        <f>IFERROR('1.vize'!AG24*100/'1.vize'!$I24,"")</f>
        <v/>
      </c>
      <c r="W24" s="38" t="str">
        <f>IFERROR('1.vize'!AH24*100/'1.vize'!$I24,"")</f>
        <v/>
      </c>
      <c r="X24" s="38" t="str">
        <f>IFERROR('1.vize'!AI24*100/'1.vize'!$I24,"")</f>
        <v/>
      </c>
      <c r="Y24" s="38" t="str">
        <f>IFERROR('1.vize'!AJ24*100/'1.vize'!$I24,"")</f>
        <v/>
      </c>
      <c r="Z24" s="38" t="str">
        <f>IFERROR('1.vize'!AK24*100/'1.vize'!$I24,"")</f>
        <v/>
      </c>
      <c r="AA24" s="38" t="str">
        <f>IFERROR('1.vize'!AL24*100/'1.vize'!$I24,"")</f>
        <v/>
      </c>
      <c r="AB24" s="38" t="str">
        <f>IFERROR('1.vize'!AM24*100/'1.vize'!$I24,"")</f>
        <v/>
      </c>
      <c r="AC24" s="38" t="str">
        <f>IFERROR('1.vize'!AN24*100/'1.vize'!$I24,"")</f>
        <v/>
      </c>
      <c r="AD24" s="38" t="str">
        <f>IFERROR('1.vize'!AO24*100/'1.vize'!$I24,"")</f>
        <v/>
      </c>
      <c r="AE24" s="38" t="str">
        <f>IFERROR('1.vize'!AP24*100/'1.vize'!$I24,"")</f>
        <v/>
      </c>
      <c r="AF24" s="38" t="str">
        <f>IFERROR('1.vize'!AQ24*100/'1.vize'!$I24,"")</f>
        <v/>
      </c>
      <c r="AG24" s="38" t="str">
        <f>IFERROR('1.vize'!AR24*100/'1.vize'!$I24,"")</f>
        <v/>
      </c>
      <c r="AH24" s="38" t="str">
        <f>IFERROR('1.vize'!AS24*100/'1.vize'!$I24,"")</f>
        <v/>
      </c>
      <c r="AI24" s="38" t="str">
        <f>IFERROR('1.vize'!AT24*100/'1.vize'!$I24,"")</f>
        <v/>
      </c>
      <c r="AJ24" s="38" t="str">
        <f>IFERROR('1.vize'!AU24*100/'1.vize'!$I24,"")</f>
        <v/>
      </c>
      <c r="AK24" s="38" t="str">
        <f>IFERROR('1.vize'!AV24*100/'1.vize'!$I24,"")</f>
        <v/>
      </c>
      <c r="AL24" s="38" t="str">
        <f>IFERROR('1.vize'!AW24*100/'1.vize'!$I24,"")</f>
        <v/>
      </c>
      <c r="AM24" s="38" t="str">
        <f>IFERROR('1.vize'!AX24*100/'1.vize'!$I24,"")</f>
        <v/>
      </c>
      <c r="AN24" s="38" t="str">
        <f>IFERROR('1.vize'!AY24*100/'1.vize'!$I24,"")</f>
        <v/>
      </c>
      <c r="AO24" s="38" t="str">
        <f>IFERROR('1.vize'!AZ24*100/'1.vize'!$I24,"")</f>
        <v/>
      </c>
      <c r="AP24" s="38" t="str">
        <f>IFERROR('1.vize'!BA24*100/'1.vize'!$I24,"")</f>
        <v/>
      </c>
      <c r="AQ24" s="38" t="str">
        <f>IFERROR('1.vize'!BB24*100/'1.vize'!$I24,"")</f>
        <v/>
      </c>
      <c r="AR24" s="38" t="str">
        <f>IFERROR('1.vize'!BC24*100/'1.vize'!$I24,"")</f>
        <v/>
      </c>
      <c r="AS24" s="38" t="str">
        <f>IFERROR('1.vize'!BD24*100/'1.vize'!$I24,"")</f>
        <v/>
      </c>
      <c r="AT24" s="38" t="str">
        <f>IFERROR('1.vize'!BE24*100/'1.vize'!$I24,"")</f>
        <v/>
      </c>
      <c r="AU24" s="38" t="str">
        <f>IFERROR('1.vize'!BF24*100/'1.vize'!$I24,"")</f>
        <v/>
      </c>
      <c r="AV24" s="38" t="str">
        <f>IFERROR('1.vize'!BG24*100/'1.vize'!$I24,"")</f>
        <v/>
      </c>
      <c r="AW24" s="38" t="str">
        <f>IFERROR('1.vize'!BH24*100/'1.vize'!$I24,"")</f>
        <v/>
      </c>
      <c r="AX24" s="38" t="str">
        <f>IFERROR('1.vize'!BI24*100/'1.vize'!$I24,"")</f>
        <v/>
      </c>
      <c r="AY24" s="38" t="str">
        <f>IFERROR('1.vize'!BJ24*100/'1.vize'!$I24,"")</f>
        <v/>
      </c>
      <c r="AZ24" s="38" t="str">
        <f>IFERROR('1.vize'!BK24*100/'1.vize'!$I24,"")</f>
        <v/>
      </c>
      <c r="BA24" s="38" t="str">
        <f>IFERROR('1.vize'!BL24*100/'1.vize'!$I24,"")</f>
        <v/>
      </c>
      <c r="BB24" s="38" t="str">
        <f>IFERROR('1.vize'!BM24*100/'1.vize'!$I24,"")</f>
        <v/>
      </c>
      <c r="BC24" s="38" t="str">
        <f>IFERROR('1.vize'!BN24*100/'1.vize'!$I24,"")</f>
        <v/>
      </c>
      <c r="BD24" s="38" t="str">
        <f>IFERROR('1.vize'!BO24*100/'1.vize'!$I24,"")</f>
        <v/>
      </c>
      <c r="BE24" s="38" t="str">
        <f>IFERROR('1.vize'!BP24*100/'1.vize'!$I24,"")</f>
        <v/>
      </c>
      <c r="BF24" s="38" t="str">
        <f>IFERROR('1.vize'!BQ24*100/'1.vize'!$I24,"")</f>
        <v/>
      </c>
      <c r="BG24" s="38" t="str">
        <f>IFERROR('1.vize'!BR24*100/'1.vize'!$I24,"")</f>
        <v/>
      </c>
      <c r="BH24" s="38" t="str">
        <f>IFERROR('1.vize'!BS24*100/'1.vize'!$I24,"")</f>
        <v/>
      </c>
      <c r="BI24" s="38" t="str">
        <f>IFERROR('1.vize'!BT24*100/'1.vize'!$I24,"")</f>
        <v/>
      </c>
      <c r="BJ24" s="38" t="str">
        <f>IFERROR('1.vize'!BU24*100/'1.vize'!$I24,"")</f>
        <v/>
      </c>
      <c r="BK24" s="38" t="str">
        <f>IFERROR('1.vize'!BV24*100/'1.vize'!$I24,"")</f>
        <v/>
      </c>
      <c r="BL24" s="38" t="str">
        <f>IFERROR('1.vize'!BW24*100/'1.vize'!$I24,"")</f>
        <v/>
      </c>
      <c r="BM24" s="38" t="str">
        <f>IFERROR('1.vize'!BX24*100/'1.vize'!$I24,"")</f>
        <v/>
      </c>
      <c r="BN24" s="38" t="str">
        <f>IFERROR('1.vize'!BY24*100/'1.vize'!$I24,"")</f>
        <v/>
      </c>
      <c r="BO24" s="38" t="str">
        <f>IFERROR('1.vize'!BZ24*100/'1.vize'!$I24,"")</f>
        <v/>
      </c>
      <c r="BP24" s="38" t="str">
        <f>IFERROR('1.vize'!CA24*100/'1.vize'!$I24,"")</f>
        <v/>
      </c>
      <c r="BQ24" s="38" t="str">
        <f>IFERROR('1.vize'!CB24*100/'1.vize'!$I24,"")</f>
        <v/>
      </c>
      <c r="BR24" s="38" t="str">
        <f>IFERROR('1.vize'!CC24*100/'1.vize'!$I24,"")</f>
        <v/>
      </c>
      <c r="BS24" s="38" t="str">
        <f>IFERROR('1.vize'!CD24*100/'1.vize'!$I24,"")</f>
        <v/>
      </c>
      <c r="BT24" s="38" t="str">
        <f>IFERROR('1.vize'!CE24*100/'1.vize'!$I24,"")</f>
        <v/>
      </c>
      <c r="BU24" s="38" t="str">
        <f>IFERROR('1.vize'!CF24*100/'1.vize'!$I24,"")</f>
        <v/>
      </c>
      <c r="BV24" s="38" t="str">
        <f>IFERROR('1.vize'!CG24*100/'1.vize'!$I24,"")</f>
        <v/>
      </c>
      <c r="BW24" s="38" t="str">
        <f>IFERROR('1.vize'!CH24*100/'1.vize'!$I24,"")</f>
        <v/>
      </c>
      <c r="BX24" s="38" t="str">
        <f>IFERROR('1.vize'!CI24*100/'1.vize'!$I24,"")</f>
        <v/>
      </c>
      <c r="BY24" s="38" t="str">
        <f>IFERROR('1.vize'!CJ24*100/'1.vize'!$I24,"")</f>
        <v/>
      </c>
      <c r="BZ24" s="38" t="str">
        <f>IFERROR('1.vize'!CK24*100/'1.vize'!$I24,"")</f>
        <v/>
      </c>
      <c r="CA24" s="38" t="str">
        <f>IFERROR('1.vize'!CL24*100/'1.vize'!$I24,"")</f>
        <v/>
      </c>
      <c r="CB24" s="38" t="str">
        <f>IFERROR('1.vize'!CM24*100/'1.vize'!$I24,"")</f>
        <v/>
      </c>
      <c r="CC24" s="38" t="str">
        <f>IFERROR('1.vize'!CN24*100/'1.vize'!$I24,"")</f>
        <v/>
      </c>
      <c r="CD24" s="38" t="str">
        <f>IFERROR('1.vize'!CO24*100/'1.vize'!$I24,"")</f>
        <v/>
      </c>
      <c r="CE24" s="38" t="str">
        <f>IFERROR('1.vize'!CP24*100/'1.vize'!$I24,"")</f>
        <v/>
      </c>
      <c r="CF24" s="38" t="str">
        <f>IFERROR('1.vize'!CQ24*100/'1.vize'!$I24,"")</f>
        <v/>
      </c>
      <c r="CG24" s="38" t="str">
        <f>IFERROR('1.vize'!CR24*100/'1.vize'!$I24,"")</f>
        <v/>
      </c>
      <c r="CH24" s="38" t="str">
        <f>IFERROR('1.vize'!CS24*100/'1.vize'!$I24,"")</f>
        <v/>
      </c>
      <c r="CI24" s="38" t="str">
        <f>IFERROR('1.vize'!CT24*100/'1.vize'!$I24,"")</f>
        <v/>
      </c>
      <c r="CJ24" s="38" t="str">
        <f>IFERROR('1.vize'!CU24*100/'1.vize'!$I24,"")</f>
        <v/>
      </c>
      <c r="CK24" s="38" t="str">
        <f>IFERROR('1.vize'!CV24*100/'1.vize'!$I24,"")</f>
        <v/>
      </c>
      <c r="CL24" s="38" t="str">
        <f>IFERROR('1.vize'!CW24*100/'1.vize'!$I24,"")</f>
        <v/>
      </c>
      <c r="CM24" s="38" t="str">
        <f>IFERROR('1.vize'!CX24*100/'1.vize'!$I24,"")</f>
        <v/>
      </c>
      <c r="CN24" s="38" t="str">
        <f>IFERROR('1.vize'!CY24*100/'1.vize'!$I24,"")</f>
        <v/>
      </c>
      <c r="CO24" s="38" t="str">
        <f>IFERROR('1.vize'!CZ24*100/'1.vize'!$I24,"")</f>
        <v/>
      </c>
      <c r="CP24" s="38" t="str">
        <f>IFERROR('1.vize'!DA24*100/'1.vize'!$I24,"")</f>
        <v/>
      </c>
      <c r="CQ24" s="38" t="str">
        <f>IFERROR('1.vize'!DB24*100/'1.vize'!$I24,"")</f>
        <v/>
      </c>
      <c r="CR24" s="38" t="str">
        <f>IFERROR('1.vize'!DC24*100/'1.vize'!$I24,"")</f>
        <v/>
      </c>
      <c r="CS24" s="38" t="str">
        <f>IFERROR('1.vize'!DD24*100/'1.vize'!$I24,"")</f>
        <v/>
      </c>
      <c r="CT24" s="38" t="str">
        <f>IFERROR('1.vize'!DE24*100/'1.vize'!$I24,"")</f>
        <v/>
      </c>
      <c r="CU24" s="38" t="str">
        <f>IFERROR('1.vize'!DF24*100/'1.vize'!$I24,"")</f>
        <v/>
      </c>
      <c r="CV24" s="38" t="str">
        <f>IFERROR('1.vize'!DG24*100/'1.vize'!$I24,"")</f>
        <v/>
      </c>
      <c r="CW24" s="32" t="str">
        <f>IFERROR(SUM(A24:CV24)/'1.vize'!$DH$103,"")</f>
        <v/>
      </c>
      <c r="CX24" s="14" t="str">
        <f>IF(COUNTA('1.vize'!A24),'1.vize'!A24,"")</f>
        <v/>
      </c>
      <c r="CY24" s="14" t="str">
        <f>IF(COUNTA('1.vize'!B24),'1.vize'!B24,"")</f>
        <v/>
      </c>
      <c r="CZ24" s="14" t="str">
        <f>IF(COUNTA('1.vize'!C24),'1.vize'!C24,"")</f>
        <v/>
      </c>
      <c r="DA24" s="14" t="str">
        <f>IF(COUNTA('1.vize'!D24),'1.vize'!D24,"")</f>
        <v/>
      </c>
      <c r="DB24" s="14" t="str">
        <f>IF(COUNTA('1.vize'!E24),'1.vize'!E24,"")</f>
        <v/>
      </c>
      <c r="DC24" s="14" t="str">
        <f>IF(COUNTA('1.vize'!F24),'1.vize'!F24,"")</f>
        <v/>
      </c>
      <c r="DD24" s="14" t="str">
        <f>IF(COUNTA('1.vize'!G24),'1.vize'!G24,"")</f>
        <v/>
      </c>
      <c r="DE24" s="14" t="str">
        <f>IF(COUNTA('1.vize'!H24),'1.vize'!H24,"")</f>
        <v/>
      </c>
      <c r="DF24" s="33"/>
    </row>
    <row r="25" spans="1:110" x14ac:dyDescent="0.2">
      <c r="A25" s="38" t="str">
        <f>IFERROR('1.vize'!L25*100/'1.vize'!$I25,"")</f>
        <v/>
      </c>
      <c r="B25" s="38" t="str">
        <f>IFERROR('1.vize'!M25*100/'1.vize'!$I25,"")</f>
        <v/>
      </c>
      <c r="C25" s="38" t="str">
        <f>IFERROR('1.vize'!N25*100/'1.vize'!$I25,"")</f>
        <v/>
      </c>
      <c r="D25" s="38" t="str">
        <f>IFERROR('1.vize'!O25*100/'1.vize'!$I25,"")</f>
        <v/>
      </c>
      <c r="E25" s="38" t="str">
        <f>IFERROR('1.vize'!P25*100/'1.vize'!$I25,"")</f>
        <v/>
      </c>
      <c r="F25" s="38" t="str">
        <f>IFERROR('1.vize'!Q25*100/'1.vize'!$I25,"")</f>
        <v/>
      </c>
      <c r="G25" s="38" t="str">
        <f>IFERROR('1.vize'!R25*100/'1.vize'!$I25,"")</f>
        <v/>
      </c>
      <c r="H25" s="38" t="str">
        <f>IFERROR('1.vize'!S25*100/'1.vize'!$I25,"")</f>
        <v/>
      </c>
      <c r="I25" s="38" t="str">
        <f>IFERROR('1.vize'!T25*100/'1.vize'!$I25,"")</f>
        <v/>
      </c>
      <c r="J25" s="38" t="str">
        <f>IFERROR('1.vize'!U25*100/'1.vize'!$I25,"")</f>
        <v/>
      </c>
      <c r="K25" s="38" t="str">
        <f>IFERROR('1.vize'!V25*100/'1.vize'!$I25,"")</f>
        <v/>
      </c>
      <c r="L25" s="38" t="str">
        <f>IFERROR('1.vize'!W25*100/'1.vize'!$I25,"")</f>
        <v/>
      </c>
      <c r="M25" s="38" t="str">
        <f>IFERROR('1.vize'!X25*100/'1.vize'!$I25,"")</f>
        <v/>
      </c>
      <c r="N25" s="38" t="str">
        <f>IFERROR('1.vize'!Y25*100/'1.vize'!$I25,"")</f>
        <v/>
      </c>
      <c r="O25" s="38" t="str">
        <f>IFERROR('1.vize'!Z25*100/'1.vize'!$I25,"")</f>
        <v/>
      </c>
      <c r="P25" s="38" t="str">
        <f>IFERROR('1.vize'!AA25*100/'1.vize'!$I25,"")</f>
        <v/>
      </c>
      <c r="Q25" s="38" t="str">
        <f>IFERROR('1.vize'!AB25*100/'1.vize'!$I25,"")</f>
        <v/>
      </c>
      <c r="R25" s="38" t="str">
        <f>IFERROR('1.vize'!AC25*100/'1.vize'!$I25,"")</f>
        <v/>
      </c>
      <c r="S25" s="38" t="str">
        <f>IFERROR('1.vize'!AD25*100/'1.vize'!$I25,"")</f>
        <v/>
      </c>
      <c r="T25" s="38" t="str">
        <f>IFERROR('1.vize'!AE25*100/'1.vize'!$I25,"")</f>
        <v/>
      </c>
      <c r="U25" s="38" t="str">
        <f>IFERROR('1.vize'!AF25*100/'1.vize'!$I25,"")</f>
        <v/>
      </c>
      <c r="V25" s="38" t="str">
        <f>IFERROR('1.vize'!AG25*100/'1.vize'!$I25,"")</f>
        <v/>
      </c>
      <c r="W25" s="38" t="str">
        <f>IFERROR('1.vize'!AH25*100/'1.vize'!$I25,"")</f>
        <v/>
      </c>
      <c r="X25" s="38" t="str">
        <f>IFERROR('1.vize'!AI25*100/'1.vize'!$I25,"")</f>
        <v/>
      </c>
      <c r="Y25" s="38" t="str">
        <f>IFERROR('1.vize'!AJ25*100/'1.vize'!$I25,"")</f>
        <v/>
      </c>
      <c r="Z25" s="38" t="str">
        <f>IFERROR('1.vize'!AK25*100/'1.vize'!$I25,"")</f>
        <v/>
      </c>
      <c r="AA25" s="38" t="str">
        <f>IFERROR('1.vize'!AL25*100/'1.vize'!$I25,"")</f>
        <v/>
      </c>
      <c r="AB25" s="38" t="str">
        <f>IFERROR('1.vize'!AM25*100/'1.vize'!$I25,"")</f>
        <v/>
      </c>
      <c r="AC25" s="38" t="str">
        <f>IFERROR('1.vize'!AN25*100/'1.vize'!$I25,"")</f>
        <v/>
      </c>
      <c r="AD25" s="38" t="str">
        <f>IFERROR('1.vize'!AO25*100/'1.vize'!$I25,"")</f>
        <v/>
      </c>
      <c r="AE25" s="38" t="str">
        <f>IFERROR('1.vize'!AP25*100/'1.vize'!$I25,"")</f>
        <v/>
      </c>
      <c r="AF25" s="38" t="str">
        <f>IFERROR('1.vize'!AQ25*100/'1.vize'!$I25,"")</f>
        <v/>
      </c>
      <c r="AG25" s="38" t="str">
        <f>IFERROR('1.vize'!AR25*100/'1.vize'!$I25,"")</f>
        <v/>
      </c>
      <c r="AH25" s="38" t="str">
        <f>IFERROR('1.vize'!AS25*100/'1.vize'!$I25,"")</f>
        <v/>
      </c>
      <c r="AI25" s="38" t="str">
        <f>IFERROR('1.vize'!AT25*100/'1.vize'!$I25,"")</f>
        <v/>
      </c>
      <c r="AJ25" s="38" t="str">
        <f>IFERROR('1.vize'!AU25*100/'1.vize'!$I25,"")</f>
        <v/>
      </c>
      <c r="AK25" s="38" t="str">
        <f>IFERROR('1.vize'!AV25*100/'1.vize'!$I25,"")</f>
        <v/>
      </c>
      <c r="AL25" s="38" t="str">
        <f>IFERROR('1.vize'!AW25*100/'1.vize'!$I25,"")</f>
        <v/>
      </c>
      <c r="AM25" s="38" t="str">
        <f>IFERROR('1.vize'!AX25*100/'1.vize'!$I25,"")</f>
        <v/>
      </c>
      <c r="AN25" s="38" t="str">
        <f>IFERROR('1.vize'!AY25*100/'1.vize'!$I25,"")</f>
        <v/>
      </c>
      <c r="AO25" s="38" t="str">
        <f>IFERROR('1.vize'!AZ25*100/'1.vize'!$I25,"")</f>
        <v/>
      </c>
      <c r="AP25" s="38" t="str">
        <f>IFERROR('1.vize'!BA25*100/'1.vize'!$I25,"")</f>
        <v/>
      </c>
      <c r="AQ25" s="38" t="str">
        <f>IFERROR('1.vize'!BB25*100/'1.vize'!$I25,"")</f>
        <v/>
      </c>
      <c r="AR25" s="38" t="str">
        <f>IFERROR('1.vize'!BC25*100/'1.vize'!$I25,"")</f>
        <v/>
      </c>
      <c r="AS25" s="38" t="str">
        <f>IFERROR('1.vize'!BD25*100/'1.vize'!$I25,"")</f>
        <v/>
      </c>
      <c r="AT25" s="38" t="str">
        <f>IFERROR('1.vize'!BE25*100/'1.vize'!$I25,"")</f>
        <v/>
      </c>
      <c r="AU25" s="38" t="str">
        <f>IFERROR('1.vize'!BF25*100/'1.vize'!$I25,"")</f>
        <v/>
      </c>
      <c r="AV25" s="38" t="str">
        <f>IFERROR('1.vize'!BG25*100/'1.vize'!$I25,"")</f>
        <v/>
      </c>
      <c r="AW25" s="38" t="str">
        <f>IFERROR('1.vize'!BH25*100/'1.vize'!$I25,"")</f>
        <v/>
      </c>
      <c r="AX25" s="38" t="str">
        <f>IFERROR('1.vize'!BI25*100/'1.vize'!$I25,"")</f>
        <v/>
      </c>
      <c r="AY25" s="38" t="str">
        <f>IFERROR('1.vize'!BJ25*100/'1.vize'!$I25,"")</f>
        <v/>
      </c>
      <c r="AZ25" s="38" t="str">
        <f>IFERROR('1.vize'!BK25*100/'1.vize'!$I25,"")</f>
        <v/>
      </c>
      <c r="BA25" s="38" t="str">
        <f>IFERROR('1.vize'!BL25*100/'1.vize'!$I25,"")</f>
        <v/>
      </c>
      <c r="BB25" s="38" t="str">
        <f>IFERROR('1.vize'!BM25*100/'1.vize'!$I25,"")</f>
        <v/>
      </c>
      <c r="BC25" s="38" t="str">
        <f>IFERROR('1.vize'!BN25*100/'1.vize'!$I25,"")</f>
        <v/>
      </c>
      <c r="BD25" s="38" t="str">
        <f>IFERROR('1.vize'!BO25*100/'1.vize'!$I25,"")</f>
        <v/>
      </c>
      <c r="BE25" s="38" t="str">
        <f>IFERROR('1.vize'!BP25*100/'1.vize'!$I25,"")</f>
        <v/>
      </c>
      <c r="BF25" s="38" t="str">
        <f>IFERROR('1.vize'!BQ25*100/'1.vize'!$I25,"")</f>
        <v/>
      </c>
      <c r="BG25" s="38" t="str">
        <f>IFERROR('1.vize'!BR25*100/'1.vize'!$I25,"")</f>
        <v/>
      </c>
      <c r="BH25" s="38" t="str">
        <f>IFERROR('1.vize'!BS25*100/'1.vize'!$I25,"")</f>
        <v/>
      </c>
      <c r="BI25" s="38" t="str">
        <f>IFERROR('1.vize'!BT25*100/'1.vize'!$I25,"")</f>
        <v/>
      </c>
      <c r="BJ25" s="38" t="str">
        <f>IFERROR('1.vize'!BU25*100/'1.vize'!$I25,"")</f>
        <v/>
      </c>
      <c r="BK25" s="38" t="str">
        <f>IFERROR('1.vize'!BV25*100/'1.vize'!$I25,"")</f>
        <v/>
      </c>
      <c r="BL25" s="38" t="str">
        <f>IFERROR('1.vize'!BW25*100/'1.vize'!$I25,"")</f>
        <v/>
      </c>
      <c r="BM25" s="38" t="str">
        <f>IFERROR('1.vize'!BX25*100/'1.vize'!$I25,"")</f>
        <v/>
      </c>
      <c r="BN25" s="38" t="str">
        <f>IFERROR('1.vize'!BY25*100/'1.vize'!$I25,"")</f>
        <v/>
      </c>
      <c r="BO25" s="38" t="str">
        <f>IFERROR('1.vize'!BZ25*100/'1.vize'!$I25,"")</f>
        <v/>
      </c>
      <c r="BP25" s="38" t="str">
        <f>IFERROR('1.vize'!CA25*100/'1.vize'!$I25,"")</f>
        <v/>
      </c>
      <c r="BQ25" s="38" t="str">
        <f>IFERROR('1.vize'!CB25*100/'1.vize'!$I25,"")</f>
        <v/>
      </c>
      <c r="BR25" s="38" t="str">
        <f>IFERROR('1.vize'!CC25*100/'1.vize'!$I25,"")</f>
        <v/>
      </c>
      <c r="BS25" s="38" t="str">
        <f>IFERROR('1.vize'!CD25*100/'1.vize'!$I25,"")</f>
        <v/>
      </c>
      <c r="BT25" s="38" t="str">
        <f>IFERROR('1.vize'!CE25*100/'1.vize'!$I25,"")</f>
        <v/>
      </c>
      <c r="BU25" s="38" t="str">
        <f>IFERROR('1.vize'!CF25*100/'1.vize'!$I25,"")</f>
        <v/>
      </c>
      <c r="BV25" s="38" t="str">
        <f>IFERROR('1.vize'!CG25*100/'1.vize'!$I25,"")</f>
        <v/>
      </c>
      <c r="BW25" s="38" t="str">
        <f>IFERROR('1.vize'!CH25*100/'1.vize'!$I25,"")</f>
        <v/>
      </c>
      <c r="BX25" s="38" t="str">
        <f>IFERROR('1.vize'!CI25*100/'1.vize'!$I25,"")</f>
        <v/>
      </c>
      <c r="BY25" s="38" t="str">
        <f>IFERROR('1.vize'!CJ25*100/'1.vize'!$I25,"")</f>
        <v/>
      </c>
      <c r="BZ25" s="38" t="str">
        <f>IFERROR('1.vize'!CK25*100/'1.vize'!$I25,"")</f>
        <v/>
      </c>
      <c r="CA25" s="38" t="str">
        <f>IFERROR('1.vize'!CL25*100/'1.vize'!$I25,"")</f>
        <v/>
      </c>
      <c r="CB25" s="38" t="str">
        <f>IFERROR('1.vize'!CM25*100/'1.vize'!$I25,"")</f>
        <v/>
      </c>
      <c r="CC25" s="38" t="str">
        <f>IFERROR('1.vize'!CN25*100/'1.vize'!$I25,"")</f>
        <v/>
      </c>
      <c r="CD25" s="38" t="str">
        <f>IFERROR('1.vize'!CO25*100/'1.vize'!$I25,"")</f>
        <v/>
      </c>
      <c r="CE25" s="38" t="str">
        <f>IFERROR('1.vize'!CP25*100/'1.vize'!$I25,"")</f>
        <v/>
      </c>
      <c r="CF25" s="38" t="str">
        <f>IFERROR('1.vize'!CQ25*100/'1.vize'!$I25,"")</f>
        <v/>
      </c>
      <c r="CG25" s="38" t="str">
        <f>IFERROR('1.vize'!CR25*100/'1.vize'!$I25,"")</f>
        <v/>
      </c>
      <c r="CH25" s="38" t="str">
        <f>IFERROR('1.vize'!CS25*100/'1.vize'!$I25,"")</f>
        <v/>
      </c>
      <c r="CI25" s="38" t="str">
        <f>IFERROR('1.vize'!CT25*100/'1.vize'!$I25,"")</f>
        <v/>
      </c>
      <c r="CJ25" s="38" t="str">
        <f>IFERROR('1.vize'!CU25*100/'1.vize'!$I25,"")</f>
        <v/>
      </c>
      <c r="CK25" s="38" t="str">
        <f>IFERROR('1.vize'!CV25*100/'1.vize'!$I25,"")</f>
        <v/>
      </c>
      <c r="CL25" s="38" t="str">
        <f>IFERROR('1.vize'!CW25*100/'1.vize'!$I25,"")</f>
        <v/>
      </c>
      <c r="CM25" s="38" t="str">
        <f>IFERROR('1.vize'!CX25*100/'1.vize'!$I25,"")</f>
        <v/>
      </c>
      <c r="CN25" s="38" t="str">
        <f>IFERROR('1.vize'!CY25*100/'1.vize'!$I25,"")</f>
        <v/>
      </c>
      <c r="CO25" s="38" t="str">
        <f>IFERROR('1.vize'!CZ25*100/'1.vize'!$I25,"")</f>
        <v/>
      </c>
      <c r="CP25" s="38" t="str">
        <f>IFERROR('1.vize'!DA25*100/'1.vize'!$I25,"")</f>
        <v/>
      </c>
      <c r="CQ25" s="38" t="str">
        <f>IFERROR('1.vize'!DB25*100/'1.vize'!$I25,"")</f>
        <v/>
      </c>
      <c r="CR25" s="38" t="str">
        <f>IFERROR('1.vize'!DC25*100/'1.vize'!$I25,"")</f>
        <v/>
      </c>
      <c r="CS25" s="38" t="str">
        <f>IFERROR('1.vize'!DD25*100/'1.vize'!$I25,"")</f>
        <v/>
      </c>
      <c r="CT25" s="38" t="str">
        <f>IFERROR('1.vize'!DE25*100/'1.vize'!$I25,"")</f>
        <v/>
      </c>
      <c r="CU25" s="38" t="str">
        <f>IFERROR('1.vize'!DF25*100/'1.vize'!$I25,"")</f>
        <v/>
      </c>
      <c r="CV25" s="38" t="str">
        <f>IFERROR('1.vize'!DG25*100/'1.vize'!$I25,"")</f>
        <v/>
      </c>
      <c r="CW25" s="32" t="str">
        <f>IFERROR(SUM(A25:CV25)/'1.vize'!$DH$103,"")</f>
        <v/>
      </c>
      <c r="CX25" s="14" t="str">
        <f>IF(COUNTA('1.vize'!A25),'1.vize'!A25,"")</f>
        <v/>
      </c>
      <c r="CY25" s="14" t="str">
        <f>IF(COUNTA('1.vize'!B25),'1.vize'!B25,"")</f>
        <v/>
      </c>
      <c r="CZ25" s="14" t="str">
        <f>IF(COUNTA('1.vize'!C25),'1.vize'!C25,"")</f>
        <v/>
      </c>
      <c r="DA25" s="14" t="str">
        <f>IF(COUNTA('1.vize'!D25),'1.vize'!D25,"")</f>
        <v/>
      </c>
      <c r="DB25" s="14" t="str">
        <f>IF(COUNTA('1.vize'!E25),'1.vize'!E25,"")</f>
        <v/>
      </c>
      <c r="DC25" s="14" t="str">
        <f>IF(COUNTA('1.vize'!F25),'1.vize'!F25,"")</f>
        <v/>
      </c>
      <c r="DD25" s="14" t="str">
        <f>IF(COUNTA('1.vize'!G25),'1.vize'!G25,"")</f>
        <v/>
      </c>
      <c r="DE25" s="14" t="str">
        <f>IF(COUNTA('1.vize'!H25),'1.vize'!H25,"")</f>
        <v/>
      </c>
      <c r="DF25" s="33"/>
    </row>
    <row r="26" spans="1:110" x14ac:dyDescent="0.2">
      <c r="A26" s="38" t="str">
        <f>IFERROR('1.vize'!L26*100/'1.vize'!$I26,"")</f>
        <v/>
      </c>
      <c r="B26" s="38" t="str">
        <f>IFERROR('1.vize'!M26*100/'1.vize'!$I26,"")</f>
        <v/>
      </c>
      <c r="C26" s="38" t="str">
        <f>IFERROR('1.vize'!N26*100/'1.vize'!$I26,"")</f>
        <v/>
      </c>
      <c r="D26" s="38" t="str">
        <f>IFERROR('1.vize'!O26*100/'1.vize'!$I26,"")</f>
        <v/>
      </c>
      <c r="E26" s="38" t="str">
        <f>IFERROR('1.vize'!P26*100/'1.vize'!$I26,"")</f>
        <v/>
      </c>
      <c r="F26" s="38" t="str">
        <f>IFERROR('1.vize'!Q26*100/'1.vize'!$I26,"")</f>
        <v/>
      </c>
      <c r="G26" s="38" t="str">
        <f>IFERROR('1.vize'!R26*100/'1.vize'!$I26,"")</f>
        <v/>
      </c>
      <c r="H26" s="38" t="str">
        <f>IFERROR('1.vize'!S26*100/'1.vize'!$I26,"")</f>
        <v/>
      </c>
      <c r="I26" s="38" t="str">
        <f>IFERROR('1.vize'!T26*100/'1.vize'!$I26,"")</f>
        <v/>
      </c>
      <c r="J26" s="38" t="str">
        <f>IFERROR('1.vize'!U26*100/'1.vize'!$I26,"")</f>
        <v/>
      </c>
      <c r="K26" s="38" t="str">
        <f>IFERROR('1.vize'!V26*100/'1.vize'!$I26,"")</f>
        <v/>
      </c>
      <c r="L26" s="38" t="str">
        <f>IFERROR('1.vize'!W26*100/'1.vize'!$I26,"")</f>
        <v/>
      </c>
      <c r="M26" s="38" t="str">
        <f>IFERROR('1.vize'!X26*100/'1.vize'!$I26,"")</f>
        <v/>
      </c>
      <c r="N26" s="38" t="str">
        <f>IFERROR('1.vize'!Y26*100/'1.vize'!$I26,"")</f>
        <v/>
      </c>
      <c r="O26" s="38" t="str">
        <f>IFERROR('1.vize'!Z26*100/'1.vize'!$I26,"")</f>
        <v/>
      </c>
      <c r="P26" s="38" t="str">
        <f>IFERROR('1.vize'!AA26*100/'1.vize'!$I26,"")</f>
        <v/>
      </c>
      <c r="Q26" s="38" t="str">
        <f>IFERROR('1.vize'!AB26*100/'1.vize'!$I26,"")</f>
        <v/>
      </c>
      <c r="R26" s="38" t="str">
        <f>IFERROR('1.vize'!AC26*100/'1.vize'!$I26,"")</f>
        <v/>
      </c>
      <c r="S26" s="38" t="str">
        <f>IFERROR('1.vize'!AD26*100/'1.vize'!$I26,"")</f>
        <v/>
      </c>
      <c r="T26" s="38" t="str">
        <f>IFERROR('1.vize'!AE26*100/'1.vize'!$I26,"")</f>
        <v/>
      </c>
      <c r="U26" s="38" t="str">
        <f>IFERROR('1.vize'!AF26*100/'1.vize'!$I26,"")</f>
        <v/>
      </c>
      <c r="V26" s="38" t="str">
        <f>IFERROR('1.vize'!AG26*100/'1.vize'!$I26,"")</f>
        <v/>
      </c>
      <c r="W26" s="38" t="str">
        <f>IFERROR('1.vize'!AH26*100/'1.vize'!$I26,"")</f>
        <v/>
      </c>
      <c r="X26" s="38" t="str">
        <f>IFERROR('1.vize'!AI26*100/'1.vize'!$I26,"")</f>
        <v/>
      </c>
      <c r="Y26" s="38" t="str">
        <f>IFERROR('1.vize'!AJ26*100/'1.vize'!$I26,"")</f>
        <v/>
      </c>
      <c r="Z26" s="38" t="str">
        <f>IFERROR('1.vize'!AK26*100/'1.vize'!$I26,"")</f>
        <v/>
      </c>
      <c r="AA26" s="38" t="str">
        <f>IFERROR('1.vize'!AL26*100/'1.vize'!$I26,"")</f>
        <v/>
      </c>
      <c r="AB26" s="38" t="str">
        <f>IFERROR('1.vize'!AM26*100/'1.vize'!$I26,"")</f>
        <v/>
      </c>
      <c r="AC26" s="38" t="str">
        <f>IFERROR('1.vize'!AN26*100/'1.vize'!$I26,"")</f>
        <v/>
      </c>
      <c r="AD26" s="38" t="str">
        <f>IFERROR('1.vize'!AO26*100/'1.vize'!$I26,"")</f>
        <v/>
      </c>
      <c r="AE26" s="38" t="str">
        <f>IFERROR('1.vize'!AP26*100/'1.vize'!$I26,"")</f>
        <v/>
      </c>
      <c r="AF26" s="38" t="str">
        <f>IFERROR('1.vize'!AQ26*100/'1.vize'!$I26,"")</f>
        <v/>
      </c>
      <c r="AG26" s="38" t="str">
        <f>IFERROR('1.vize'!AR26*100/'1.vize'!$I26,"")</f>
        <v/>
      </c>
      <c r="AH26" s="38" t="str">
        <f>IFERROR('1.vize'!AS26*100/'1.vize'!$I26,"")</f>
        <v/>
      </c>
      <c r="AI26" s="38" t="str">
        <f>IFERROR('1.vize'!AT26*100/'1.vize'!$I26,"")</f>
        <v/>
      </c>
      <c r="AJ26" s="38" t="str">
        <f>IFERROR('1.vize'!AU26*100/'1.vize'!$I26,"")</f>
        <v/>
      </c>
      <c r="AK26" s="38" t="str">
        <f>IFERROR('1.vize'!AV26*100/'1.vize'!$I26,"")</f>
        <v/>
      </c>
      <c r="AL26" s="38" t="str">
        <f>IFERROR('1.vize'!AW26*100/'1.vize'!$I26,"")</f>
        <v/>
      </c>
      <c r="AM26" s="38" t="str">
        <f>IFERROR('1.vize'!AX26*100/'1.vize'!$I26,"")</f>
        <v/>
      </c>
      <c r="AN26" s="38" t="str">
        <f>IFERROR('1.vize'!AY26*100/'1.vize'!$I26,"")</f>
        <v/>
      </c>
      <c r="AO26" s="38" t="str">
        <f>IFERROR('1.vize'!AZ26*100/'1.vize'!$I26,"")</f>
        <v/>
      </c>
      <c r="AP26" s="38" t="str">
        <f>IFERROR('1.vize'!BA26*100/'1.vize'!$I26,"")</f>
        <v/>
      </c>
      <c r="AQ26" s="38" t="str">
        <f>IFERROR('1.vize'!BB26*100/'1.vize'!$I26,"")</f>
        <v/>
      </c>
      <c r="AR26" s="38" t="str">
        <f>IFERROR('1.vize'!BC26*100/'1.vize'!$I26,"")</f>
        <v/>
      </c>
      <c r="AS26" s="38" t="str">
        <f>IFERROR('1.vize'!BD26*100/'1.vize'!$I26,"")</f>
        <v/>
      </c>
      <c r="AT26" s="38" t="str">
        <f>IFERROR('1.vize'!BE26*100/'1.vize'!$I26,"")</f>
        <v/>
      </c>
      <c r="AU26" s="38" t="str">
        <f>IFERROR('1.vize'!BF26*100/'1.vize'!$I26,"")</f>
        <v/>
      </c>
      <c r="AV26" s="38" t="str">
        <f>IFERROR('1.vize'!BG26*100/'1.vize'!$I26,"")</f>
        <v/>
      </c>
      <c r="AW26" s="38" t="str">
        <f>IFERROR('1.vize'!BH26*100/'1.vize'!$I26,"")</f>
        <v/>
      </c>
      <c r="AX26" s="38" t="str">
        <f>IFERROR('1.vize'!BI26*100/'1.vize'!$I26,"")</f>
        <v/>
      </c>
      <c r="AY26" s="38" t="str">
        <f>IFERROR('1.vize'!BJ26*100/'1.vize'!$I26,"")</f>
        <v/>
      </c>
      <c r="AZ26" s="38" t="str">
        <f>IFERROR('1.vize'!BK26*100/'1.vize'!$I26,"")</f>
        <v/>
      </c>
      <c r="BA26" s="38" t="str">
        <f>IFERROR('1.vize'!BL26*100/'1.vize'!$I26,"")</f>
        <v/>
      </c>
      <c r="BB26" s="38" t="str">
        <f>IFERROR('1.vize'!BM26*100/'1.vize'!$I26,"")</f>
        <v/>
      </c>
      <c r="BC26" s="38" t="str">
        <f>IFERROR('1.vize'!BN26*100/'1.vize'!$I26,"")</f>
        <v/>
      </c>
      <c r="BD26" s="38" t="str">
        <f>IFERROR('1.vize'!BO26*100/'1.vize'!$I26,"")</f>
        <v/>
      </c>
      <c r="BE26" s="38" t="str">
        <f>IFERROR('1.vize'!BP26*100/'1.vize'!$I26,"")</f>
        <v/>
      </c>
      <c r="BF26" s="38" t="str">
        <f>IFERROR('1.vize'!BQ26*100/'1.vize'!$I26,"")</f>
        <v/>
      </c>
      <c r="BG26" s="38" t="str">
        <f>IFERROR('1.vize'!BR26*100/'1.vize'!$I26,"")</f>
        <v/>
      </c>
      <c r="BH26" s="38" t="str">
        <f>IFERROR('1.vize'!BS26*100/'1.vize'!$I26,"")</f>
        <v/>
      </c>
      <c r="BI26" s="38" t="str">
        <f>IFERROR('1.vize'!BT26*100/'1.vize'!$I26,"")</f>
        <v/>
      </c>
      <c r="BJ26" s="38" t="str">
        <f>IFERROR('1.vize'!BU26*100/'1.vize'!$I26,"")</f>
        <v/>
      </c>
      <c r="BK26" s="38" t="str">
        <f>IFERROR('1.vize'!BV26*100/'1.vize'!$I26,"")</f>
        <v/>
      </c>
      <c r="BL26" s="38" t="str">
        <f>IFERROR('1.vize'!BW26*100/'1.vize'!$I26,"")</f>
        <v/>
      </c>
      <c r="BM26" s="38" t="str">
        <f>IFERROR('1.vize'!BX26*100/'1.vize'!$I26,"")</f>
        <v/>
      </c>
      <c r="BN26" s="38" t="str">
        <f>IFERROR('1.vize'!BY26*100/'1.vize'!$I26,"")</f>
        <v/>
      </c>
      <c r="BO26" s="38" t="str">
        <f>IFERROR('1.vize'!BZ26*100/'1.vize'!$I26,"")</f>
        <v/>
      </c>
      <c r="BP26" s="38" t="str">
        <f>IFERROR('1.vize'!CA26*100/'1.vize'!$I26,"")</f>
        <v/>
      </c>
      <c r="BQ26" s="38" t="str">
        <f>IFERROR('1.vize'!CB26*100/'1.vize'!$I26,"")</f>
        <v/>
      </c>
      <c r="BR26" s="38" t="str">
        <f>IFERROR('1.vize'!CC26*100/'1.vize'!$I26,"")</f>
        <v/>
      </c>
      <c r="BS26" s="38" t="str">
        <f>IFERROR('1.vize'!CD26*100/'1.vize'!$I26,"")</f>
        <v/>
      </c>
      <c r="BT26" s="38" t="str">
        <f>IFERROR('1.vize'!CE26*100/'1.vize'!$I26,"")</f>
        <v/>
      </c>
      <c r="BU26" s="38" t="str">
        <f>IFERROR('1.vize'!CF26*100/'1.vize'!$I26,"")</f>
        <v/>
      </c>
      <c r="BV26" s="38" t="str">
        <f>IFERROR('1.vize'!CG26*100/'1.vize'!$I26,"")</f>
        <v/>
      </c>
      <c r="BW26" s="38" t="str">
        <f>IFERROR('1.vize'!CH26*100/'1.vize'!$I26,"")</f>
        <v/>
      </c>
      <c r="BX26" s="38" t="str">
        <f>IFERROR('1.vize'!CI26*100/'1.vize'!$I26,"")</f>
        <v/>
      </c>
      <c r="BY26" s="38" t="str">
        <f>IFERROR('1.vize'!CJ26*100/'1.vize'!$I26,"")</f>
        <v/>
      </c>
      <c r="BZ26" s="38" t="str">
        <f>IFERROR('1.vize'!CK26*100/'1.vize'!$I26,"")</f>
        <v/>
      </c>
      <c r="CA26" s="38" t="str">
        <f>IFERROR('1.vize'!CL26*100/'1.vize'!$I26,"")</f>
        <v/>
      </c>
      <c r="CB26" s="38" t="str">
        <f>IFERROR('1.vize'!CM26*100/'1.vize'!$I26,"")</f>
        <v/>
      </c>
      <c r="CC26" s="38" t="str">
        <f>IFERROR('1.vize'!CN26*100/'1.vize'!$I26,"")</f>
        <v/>
      </c>
      <c r="CD26" s="38" t="str">
        <f>IFERROR('1.vize'!CO26*100/'1.vize'!$I26,"")</f>
        <v/>
      </c>
      <c r="CE26" s="38" t="str">
        <f>IFERROR('1.vize'!CP26*100/'1.vize'!$I26,"")</f>
        <v/>
      </c>
      <c r="CF26" s="38" t="str">
        <f>IFERROR('1.vize'!CQ26*100/'1.vize'!$I26,"")</f>
        <v/>
      </c>
      <c r="CG26" s="38" t="str">
        <f>IFERROR('1.vize'!CR26*100/'1.vize'!$I26,"")</f>
        <v/>
      </c>
      <c r="CH26" s="38" t="str">
        <f>IFERROR('1.vize'!CS26*100/'1.vize'!$I26,"")</f>
        <v/>
      </c>
      <c r="CI26" s="38" t="str">
        <f>IFERROR('1.vize'!CT26*100/'1.vize'!$I26,"")</f>
        <v/>
      </c>
      <c r="CJ26" s="38" t="str">
        <f>IFERROR('1.vize'!CU26*100/'1.vize'!$I26,"")</f>
        <v/>
      </c>
      <c r="CK26" s="38" t="str">
        <f>IFERROR('1.vize'!CV26*100/'1.vize'!$I26,"")</f>
        <v/>
      </c>
      <c r="CL26" s="38" t="str">
        <f>IFERROR('1.vize'!CW26*100/'1.vize'!$I26,"")</f>
        <v/>
      </c>
      <c r="CM26" s="38" t="str">
        <f>IFERROR('1.vize'!CX26*100/'1.vize'!$I26,"")</f>
        <v/>
      </c>
      <c r="CN26" s="38" t="str">
        <f>IFERROR('1.vize'!CY26*100/'1.vize'!$I26,"")</f>
        <v/>
      </c>
      <c r="CO26" s="38" t="str">
        <f>IFERROR('1.vize'!CZ26*100/'1.vize'!$I26,"")</f>
        <v/>
      </c>
      <c r="CP26" s="38" t="str">
        <f>IFERROR('1.vize'!DA26*100/'1.vize'!$I26,"")</f>
        <v/>
      </c>
      <c r="CQ26" s="38" t="str">
        <f>IFERROR('1.vize'!DB26*100/'1.vize'!$I26,"")</f>
        <v/>
      </c>
      <c r="CR26" s="38" t="str">
        <f>IFERROR('1.vize'!DC26*100/'1.vize'!$I26,"")</f>
        <v/>
      </c>
      <c r="CS26" s="38" t="str">
        <f>IFERROR('1.vize'!DD26*100/'1.vize'!$I26,"")</f>
        <v/>
      </c>
      <c r="CT26" s="38" t="str">
        <f>IFERROR('1.vize'!DE26*100/'1.vize'!$I26,"")</f>
        <v/>
      </c>
      <c r="CU26" s="38" t="str">
        <f>IFERROR('1.vize'!DF26*100/'1.vize'!$I26,"")</f>
        <v/>
      </c>
      <c r="CV26" s="38" t="str">
        <f>IFERROR('1.vize'!DG26*100/'1.vize'!$I26,"")</f>
        <v/>
      </c>
      <c r="CW26" s="32" t="str">
        <f>IFERROR(SUM(A26:CV26)/'1.vize'!$DH$103,"")</f>
        <v/>
      </c>
      <c r="CX26" s="14" t="str">
        <f>IF(COUNTA('1.vize'!A26),'1.vize'!A26,"")</f>
        <v/>
      </c>
      <c r="CY26" s="14" t="str">
        <f>IF(COUNTA('1.vize'!B26),'1.vize'!B26,"")</f>
        <v/>
      </c>
      <c r="CZ26" s="14" t="str">
        <f>IF(COUNTA('1.vize'!C26),'1.vize'!C26,"")</f>
        <v/>
      </c>
      <c r="DA26" s="14" t="str">
        <f>IF(COUNTA('1.vize'!D26),'1.vize'!D26,"")</f>
        <v/>
      </c>
      <c r="DB26" s="14" t="str">
        <f>IF(COUNTA('1.vize'!E26),'1.vize'!E26,"")</f>
        <v/>
      </c>
      <c r="DC26" s="14" t="str">
        <f>IF(COUNTA('1.vize'!F26),'1.vize'!F26,"")</f>
        <v/>
      </c>
      <c r="DD26" s="14" t="str">
        <f>IF(COUNTA('1.vize'!G26),'1.vize'!G26,"")</f>
        <v/>
      </c>
      <c r="DE26" s="14" t="str">
        <f>IF(COUNTA('1.vize'!H26),'1.vize'!H26,"")</f>
        <v/>
      </c>
      <c r="DF26" s="33"/>
    </row>
    <row r="27" spans="1:110" x14ac:dyDescent="0.2">
      <c r="A27" s="38" t="str">
        <f>IFERROR('1.vize'!L27*100/'1.vize'!$I27,"")</f>
        <v/>
      </c>
      <c r="B27" s="38" t="str">
        <f>IFERROR('1.vize'!M27*100/'1.vize'!$I27,"")</f>
        <v/>
      </c>
      <c r="C27" s="38" t="str">
        <f>IFERROR('1.vize'!N27*100/'1.vize'!$I27,"")</f>
        <v/>
      </c>
      <c r="D27" s="38" t="str">
        <f>IFERROR('1.vize'!O27*100/'1.vize'!$I27,"")</f>
        <v/>
      </c>
      <c r="E27" s="38" t="str">
        <f>IFERROR('1.vize'!P27*100/'1.vize'!$I27,"")</f>
        <v/>
      </c>
      <c r="F27" s="38" t="str">
        <f>IFERROR('1.vize'!Q27*100/'1.vize'!$I27,"")</f>
        <v/>
      </c>
      <c r="G27" s="38" t="str">
        <f>IFERROR('1.vize'!R27*100/'1.vize'!$I27,"")</f>
        <v/>
      </c>
      <c r="H27" s="38" t="str">
        <f>IFERROR('1.vize'!S27*100/'1.vize'!$I27,"")</f>
        <v/>
      </c>
      <c r="I27" s="38" t="str">
        <f>IFERROR('1.vize'!T27*100/'1.vize'!$I27,"")</f>
        <v/>
      </c>
      <c r="J27" s="38" t="str">
        <f>IFERROR('1.vize'!U27*100/'1.vize'!$I27,"")</f>
        <v/>
      </c>
      <c r="K27" s="38" t="str">
        <f>IFERROR('1.vize'!V27*100/'1.vize'!$I27,"")</f>
        <v/>
      </c>
      <c r="L27" s="38" t="str">
        <f>IFERROR('1.vize'!W27*100/'1.vize'!$I27,"")</f>
        <v/>
      </c>
      <c r="M27" s="38" t="str">
        <f>IFERROR('1.vize'!X27*100/'1.vize'!$I27,"")</f>
        <v/>
      </c>
      <c r="N27" s="38" t="str">
        <f>IFERROR('1.vize'!Y27*100/'1.vize'!$I27,"")</f>
        <v/>
      </c>
      <c r="O27" s="38" t="str">
        <f>IFERROR('1.vize'!Z27*100/'1.vize'!$I27,"")</f>
        <v/>
      </c>
      <c r="P27" s="38" t="str">
        <f>IFERROR('1.vize'!AA27*100/'1.vize'!$I27,"")</f>
        <v/>
      </c>
      <c r="Q27" s="38" t="str">
        <f>IFERROR('1.vize'!AB27*100/'1.vize'!$I27,"")</f>
        <v/>
      </c>
      <c r="R27" s="38" t="str">
        <f>IFERROR('1.vize'!AC27*100/'1.vize'!$I27,"")</f>
        <v/>
      </c>
      <c r="S27" s="38" t="str">
        <f>IFERROR('1.vize'!AD27*100/'1.vize'!$I27,"")</f>
        <v/>
      </c>
      <c r="T27" s="38" t="str">
        <f>IFERROR('1.vize'!AE27*100/'1.vize'!$I27,"")</f>
        <v/>
      </c>
      <c r="U27" s="38" t="str">
        <f>IFERROR('1.vize'!AF27*100/'1.vize'!$I27,"")</f>
        <v/>
      </c>
      <c r="V27" s="38" t="str">
        <f>IFERROR('1.vize'!AG27*100/'1.vize'!$I27,"")</f>
        <v/>
      </c>
      <c r="W27" s="38" t="str">
        <f>IFERROR('1.vize'!AH27*100/'1.vize'!$I27,"")</f>
        <v/>
      </c>
      <c r="X27" s="38" t="str">
        <f>IFERROR('1.vize'!AI27*100/'1.vize'!$I27,"")</f>
        <v/>
      </c>
      <c r="Y27" s="38" t="str">
        <f>IFERROR('1.vize'!AJ27*100/'1.vize'!$I27,"")</f>
        <v/>
      </c>
      <c r="Z27" s="38" t="str">
        <f>IFERROR('1.vize'!AK27*100/'1.vize'!$I27,"")</f>
        <v/>
      </c>
      <c r="AA27" s="38" t="str">
        <f>IFERROR('1.vize'!AL27*100/'1.vize'!$I27,"")</f>
        <v/>
      </c>
      <c r="AB27" s="38" t="str">
        <f>IFERROR('1.vize'!AM27*100/'1.vize'!$I27,"")</f>
        <v/>
      </c>
      <c r="AC27" s="38" t="str">
        <f>IFERROR('1.vize'!AN27*100/'1.vize'!$I27,"")</f>
        <v/>
      </c>
      <c r="AD27" s="38" t="str">
        <f>IFERROR('1.vize'!AO27*100/'1.vize'!$I27,"")</f>
        <v/>
      </c>
      <c r="AE27" s="38" t="str">
        <f>IFERROR('1.vize'!AP27*100/'1.vize'!$I27,"")</f>
        <v/>
      </c>
      <c r="AF27" s="38" t="str">
        <f>IFERROR('1.vize'!AQ27*100/'1.vize'!$I27,"")</f>
        <v/>
      </c>
      <c r="AG27" s="38" t="str">
        <f>IFERROR('1.vize'!AR27*100/'1.vize'!$I27,"")</f>
        <v/>
      </c>
      <c r="AH27" s="38" t="str">
        <f>IFERROR('1.vize'!AS27*100/'1.vize'!$I27,"")</f>
        <v/>
      </c>
      <c r="AI27" s="38" t="str">
        <f>IFERROR('1.vize'!AT27*100/'1.vize'!$I27,"")</f>
        <v/>
      </c>
      <c r="AJ27" s="38" t="str">
        <f>IFERROR('1.vize'!AU27*100/'1.vize'!$I27,"")</f>
        <v/>
      </c>
      <c r="AK27" s="38" t="str">
        <f>IFERROR('1.vize'!AV27*100/'1.vize'!$I27,"")</f>
        <v/>
      </c>
      <c r="AL27" s="38" t="str">
        <f>IFERROR('1.vize'!AW27*100/'1.vize'!$I27,"")</f>
        <v/>
      </c>
      <c r="AM27" s="38" t="str">
        <f>IFERROR('1.vize'!AX27*100/'1.vize'!$I27,"")</f>
        <v/>
      </c>
      <c r="AN27" s="38" t="str">
        <f>IFERROR('1.vize'!AY27*100/'1.vize'!$I27,"")</f>
        <v/>
      </c>
      <c r="AO27" s="38" t="str">
        <f>IFERROR('1.vize'!AZ27*100/'1.vize'!$I27,"")</f>
        <v/>
      </c>
      <c r="AP27" s="38" t="str">
        <f>IFERROR('1.vize'!BA27*100/'1.vize'!$I27,"")</f>
        <v/>
      </c>
      <c r="AQ27" s="38" t="str">
        <f>IFERROR('1.vize'!BB27*100/'1.vize'!$I27,"")</f>
        <v/>
      </c>
      <c r="AR27" s="38" t="str">
        <f>IFERROR('1.vize'!BC27*100/'1.vize'!$I27,"")</f>
        <v/>
      </c>
      <c r="AS27" s="38" t="str">
        <f>IFERROR('1.vize'!BD27*100/'1.vize'!$I27,"")</f>
        <v/>
      </c>
      <c r="AT27" s="38" t="str">
        <f>IFERROR('1.vize'!BE27*100/'1.vize'!$I27,"")</f>
        <v/>
      </c>
      <c r="AU27" s="38" t="str">
        <f>IFERROR('1.vize'!BF27*100/'1.vize'!$I27,"")</f>
        <v/>
      </c>
      <c r="AV27" s="38" t="str">
        <f>IFERROR('1.vize'!BG27*100/'1.vize'!$I27,"")</f>
        <v/>
      </c>
      <c r="AW27" s="38" t="str">
        <f>IFERROR('1.vize'!BH27*100/'1.vize'!$I27,"")</f>
        <v/>
      </c>
      <c r="AX27" s="38" t="str">
        <f>IFERROR('1.vize'!BI27*100/'1.vize'!$I27,"")</f>
        <v/>
      </c>
      <c r="AY27" s="38" t="str">
        <f>IFERROR('1.vize'!BJ27*100/'1.vize'!$I27,"")</f>
        <v/>
      </c>
      <c r="AZ27" s="38" t="str">
        <f>IFERROR('1.vize'!BK27*100/'1.vize'!$I27,"")</f>
        <v/>
      </c>
      <c r="BA27" s="38" t="str">
        <f>IFERROR('1.vize'!BL27*100/'1.vize'!$I27,"")</f>
        <v/>
      </c>
      <c r="BB27" s="38" t="str">
        <f>IFERROR('1.vize'!BM27*100/'1.vize'!$I27,"")</f>
        <v/>
      </c>
      <c r="BC27" s="38" t="str">
        <f>IFERROR('1.vize'!BN27*100/'1.vize'!$I27,"")</f>
        <v/>
      </c>
      <c r="BD27" s="38" t="str">
        <f>IFERROR('1.vize'!BO27*100/'1.vize'!$I27,"")</f>
        <v/>
      </c>
      <c r="BE27" s="38" t="str">
        <f>IFERROR('1.vize'!BP27*100/'1.vize'!$I27,"")</f>
        <v/>
      </c>
      <c r="BF27" s="38" t="str">
        <f>IFERROR('1.vize'!BQ27*100/'1.vize'!$I27,"")</f>
        <v/>
      </c>
      <c r="BG27" s="38" t="str">
        <f>IFERROR('1.vize'!BR27*100/'1.vize'!$I27,"")</f>
        <v/>
      </c>
      <c r="BH27" s="38" t="str">
        <f>IFERROR('1.vize'!BS27*100/'1.vize'!$I27,"")</f>
        <v/>
      </c>
      <c r="BI27" s="38" t="str">
        <f>IFERROR('1.vize'!BT27*100/'1.vize'!$I27,"")</f>
        <v/>
      </c>
      <c r="BJ27" s="38" t="str">
        <f>IFERROR('1.vize'!BU27*100/'1.vize'!$I27,"")</f>
        <v/>
      </c>
      <c r="BK27" s="38" t="str">
        <f>IFERROR('1.vize'!BV27*100/'1.vize'!$I27,"")</f>
        <v/>
      </c>
      <c r="BL27" s="38" t="str">
        <f>IFERROR('1.vize'!BW27*100/'1.vize'!$I27,"")</f>
        <v/>
      </c>
      <c r="BM27" s="38" t="str">
        <f>IFERROR('1.vize'!BX27*100/'1.vize'!$I27,"")</f>
        <v/>
      </c>
      <c r="BN27" s="38" t="str">
        <f>IFERROR('1.vize'!BY27*100/'1.vize'!$I27,"")</f>
        <v/>
      </c>
      <c r="BO27" s="38" t="str">
        <f>IFERROR('1.vize'!BZ27*100/'1.vize'!$I27,"")</f>
        <v/>
      </c>
      <c r="BP27" s="38" t="str">
        <f>IFERROR('1.vize'!CA27*100/'1.vize'!$I27,"")</f>
        <v/>
      </c>
      <c r="BQ27" s="38" t="str">
        <f>IFERROR('1.vize'!CB27*100/'1.vize'!$I27,"")</f>
        <v/>
      </c>
      <c r="BR27" s="38" t="str">
        <f>IFERROR('1.vize'!CC27*100/'1.vize'!$I27,"")</f>
        <v/>
      </c>
      <c r="BS27" s="38" t="str">
        <f>IFERROR('1.vize'!CD27*100/'1.vize'!$I27,"")</f>
        <v/>
      </c>
      <c r="BT27" s="38" t="str">
        <f>IFERROR('1.vize'!CE27*100/'1.vize'!$I27,"")</f>
        <v/>
      </c>
      <c r="BU27" s="38" t="str">
        <f>IFERROR('1.vize'!CF27*100/'1.vize'!$I27,"")</f>
        <v/>
      </c>
      <c r="BV27" s="38" t="str">
        <f>IFERROR('1.vize'!CG27*100/'1.vize'!$I27,"")</f>
        <v/>
      </c>
      <c r="BW27" s="38" t="str">
        <f>IFERROR('1.vize'!CH27*100/'1.vize'!$I27,"")</f>
        <v/>
      </c>
      <c r="BX27" s="38" t="str">
        <f>IFERROR('1.vize'!CI27*100/'1.vize'!$I27,"")</f>
        <v/>
      </c>
      <c r="BY27" s="38" t="str">
        <f>IFERROR('1.vize'!CJ27*100/'1.vize'!$I27,"")</f>
        <v/>
      </c>
      <c r="BZ27" s="38" t="str">
        <f>IFERROR('1.vize'!CK27*100/'1.vize'!$I27,"")</f>
        <v/>
      </c>
      <c r="CA27" s="38" t="str">
        <f>IFERROR('1.vize'!CL27*100/'1.vize'!$I27,"")</f>
        <v/>
      </c>
      <c r="CB27" s="38" t="str">
        <f>IFERROR('1.vize'!CM27*100/'1.vize'!$I27,"")</f>
        <v/>
      </c>
      <c r="CC27" s="38" t="str">
        <f>IFERROR('1.vize'!CN27*100/'1.vize'!$I27,"")</f>
        <v/>
      </c>
      <c r="CD27" s="38" t="str">
        <f>IFERROR('1.vize'!CO27*100/'1.vize'!$I27,"")</f>
        <v/>
      </c>
      <c r="CE27" s="38" t="str">
        <f>IFERROR('1.vize'!CP27*100/'1.vize'!$I27,"")</f>
        <v/>
      </c>
      <c r="CF27" s="38" t="str">
        <f>IFERROR('1.vize'!CQ27*100/'1.vize'!$I27,"")</f>
        <v/>
      </c>
      <c r="CG27" s="38" t="str">
        <f>IFERROR('1.vize'!CR27*100/'1.vize'!$I27,"")</f>
        <v/>
      </c>
      <c r="CH27" s="38" t="str">
        <f>IFERROR('1.vize'!CS27*100/'1.vize'!$I27,"")</f>
        <v/>
      </c>
      <c r="CI27" s="38" t="str">
        <f>IFERROR('1.vize'!CT27*100/'1.vize'!$I27,"")</f>
        <v/>
      </c>
      <c r="CJ27" s="38" t="str">
        <f>IFERROR('1.vize'!CU27*100/'1.vize'!$I27,"")</f>
        <v/>
      </c>
      <c r="CK27" s="38" t="str">
        <f>IFERROR('1.vize'!CV27*100/'1.vize'!$I27,"")</f>
        <v/>
      </c>
      <c r="CL27" s="38" t="str">
        <f>IFERROR('1.vize'!CW27*100/'1.vize'!$I27,"")</f>
        <v/>
      </c>
      <c r="CM27" s="38" t="str">
        <f>IFERROR('1.vize'!CX27*100/'1.vize'!$I27,"")</f>
        <v/>
      </c>
      <c r="CN27" s="38" t="str">
        <f>IFERROR('1.vize'!CY27*100/'1.vize'!$I27,"")</f>
        <v/>
      </c>
      <c r="CO27" s="38" t="str">
        <f>IFERROR('1.vize'!CZ27*100/'1.vize'!$I27,"")</f>
        <v/>
      </c>
      <c r="CP27" s="38" t="str">
        <f>IFERROR('1.vize'!DA27*100/'1.vize'!$I27,"")</f>
        <v/>
      </c>
      <c r="CQ27" s="38" t="str">
        <f>IFERROR('1.vize'!DB27*100/'1.vize'!$I27,"")</f>
        <v/>
      </c>
      <c r="CR27" s="38" t="str">
        <f>IFERROR('1.vize'!DC27*100/'1.vize'!$I27,"")</f>
        <v/>
      </c>
      <c r="CS27" s="38" t="str">
        <f>IFERROR('1.vize'!DD27*100/'1.vize'!$I27,"")</f>
        <v/>
      </c>
      <c r="CT27" s="38" t="str">
        <f>IFERROR('1.vize'!DE27*100/'1.vize'!$I27,"")</f>
        <v/>
      </c>
      <c r="CU27" s="38" t="str">
        <f>IFERROR('1.vize'!DF27*100/'1.vize'!$I27,"")</f>
        <v/>
      </c>
      <c r="CV27" s="38" t="str">
        <f>IFERROR('1.vize'!DG27*100/'1.vize'!$I27,"")</f>
        <v/>
      </c>
      <c r="CW27" s="32" t="str">
        <f>IFERROR(SUM(A27:CV27)/'1.vize'!$DH$103,"")</f>
        <v/>
      </c>
      <c r="CX27" s="14" t="str">
        <f>IF(COUNTA('1.vize'!A27),'1.vize'!A27,"")</f>
        <v/>
      </c>
      <c r="CY27" s="14" t="str">
        <f>IF(COUNTA('1.vize'!B27),'1.vize'!B27,"")</f>
        <v/>
      </c>
      <c r="CZ27" s="14" t="str">
        <f>IF(COUNTA('1.vize'!C27),'1.vize'!C27,"")</f>
        <v/>
      </c>
      <c r="DA27" s="14" t="str">
        <f>IF(COUNTA('1.vize'!D27),'1.vize'!D27,"")</f>
        <v/>
      </c>
      <c r="DB27" s="14" t="str">
        <f>IF(COUNTA('1.vize'!E27),'1.vize'!E27,"")</f>
        <v/>
      </c>
      <c r="DC27" s="14" t="str">
        <f>IF(COUNTA('1.vize'!F27),'1.vize'!F27,"")</f>
        <v/>
      </c>
      <c r="DD27" s="14" t="str">
        <f>IF(COUNTA('1.vize'!G27),'1.vize'!G27,"")</f>
        <v/>
      </c>
      <c r="DE27" s="14" t="str">
        <f>IF(COUNTA('1.vize'!H27),'1.vize'!H27,"")</f>
        <v/>
      </c>
      <c r="DF27" s="33"/>
    </row>
    <row r="28" spans="1:110" x14ac:dyDescent="0.2">
      <c r="A28" s="38" t="str">
        <f>IFERROR('1.vize'!L28*100/'1.vize'!$I28,"")</f>
        <v/>
      </c>
      <c r="B28" s="38" t="str">
        <f>IFERROR('1.vize'!M28*100/'1.vize'!$I28,"")</f>
        <v/>
      </c>
      <c r="C28" s="38" t="str">
        <f>IFERROR('1.vize'!N28*100/'1.vize'!$I28,"")</f>
        <v/>
      </c>
      <c r="D28" s="38" t="str">
        <f>IFERROR('1.vize'!O28*100/'1.vize'!$I28,"")</f>
        <v/>
      </c>
      <c r="E28" s="38" t="str">
        <f>IFERROR('1.vize'!P28*100/'1.vize'!$I28,"")</f>
        <v/>
      </c>
      <c r="F28" s="38" t="str">
        <f>IFERROR('1.vize'!Q28*100/'1.vize'!$I28,"")</f>
        <v/>
      </c>
      <c r="G28" s="38" t="str">
        <f>IFERROR('1.vize'!R28*100/'1.vize'!$I28,"")</f>
        <v/>
      </c>
      <c r="H28" s="38" t="str">
        <f>IFERROR('1.vize'!S28*100/'1.vize'!$I28,"")</f>
        <v/>
      </c>
      <c r="I28" s="38" t="str">
        <f>IFERROR('1.vize'!T28*100/'1.vize'!$I28,"")</f>
        <v/>
      </c>
      <c r="J28" s="38" t="str">
        <f>IFERROR('1.vize'!U28*100/'1.vize'!$I28,"")</f>
        <v/>
      </c>
      <c r="K28" s="38" t="str">
        <f>IFERROR('1.vize'!V28*100/'1.vize'!$I28,"")</f>
        <v/>
      </c>
      <c r="L28" s="38" t="str">
        <f>IFERROR('1.vize'!W28*100/'1.vize'!$I28,"")</f>
        <v/>
      </c>
      <c r="M28" s="38" t="str">
        <f>IFERROR('1.vize'!X28*100/'1.vize'!$I28,"")</f>
        <v/>
      </c>
      <c r="N28" s="38" t="str">
        <f>IFERROR('1.vize'!Y28*100/'1.vize'!$I28,"")</f>
        <v/>
      </c>
      <c r="O28" s="38" t="str">
        <f>IFERROR('1.vize'!Z28*100/'1.vize'!$I28,"")</f>
        <v/>
      </c>
      <c r="P28" s="38" t="str">
        <f>IFERROR('1.vize'!AA28*100/'1.vize'!$I28,"")</f>
        <v/>
      </c>
      <c r="Q28" s="38" t="str">
        <f>IFERROR('1.vize'!AB28*100/'1.vize'!$I28,"")</f>
        <v/>
      </c>
      <c r="R28" s="38" t="str">
        <f>IFERROR('1.vize'!AC28*100/'1.vize'!$I28,"")</f>
        <v/>
      </c>
      <c r="S28" s="38" t="str">
        <f>IFERROR('1.vize'!AD28*100/'1.vize'!$I28,"")</f>
        <v/>
      </c>
      <c r="T28" s="38" t="str">
        <f>IFERROR('1.vize'!AE28*100/'1.vize'!$I28,"")</f>
        <v/>
      </c>
      <c r="U28" s="38" t="str">
        <f>IFERROR('1.vize'!AF28*100/'1.vize'!$I28,"")</f>
        <v/>
      </c>
      <c r="V28" s="38" t="str">
        <f>IFERROR('1.vize'!AG28*100/'1.vize'!$I28,"")</f>
        <v/>
      </c>
      <c r="W28" s="38" t="str">
        <f>IFERROR('1.vize'!AH28*100/'1.vize'!$I28,"")</f>
        <v/>
      </c>
      <c r="X28" s="38" t="str">
        <f>IFERROR('1.vize'!AI28*100/'1.vize'!$I28,"")</f>
        <v/>
      </c>
      <c r="Y28" s="38" t="str">
        <f>IFERROR('1.vize'!AJ28*100/'1.vize'!$I28,"")</f>
        <v/>
      </c>
      <c r="Z28" s="38" t="str">
        <f>IFERROR('1.vize'!AK28*100/'1.vize'!$I28,"")</f>
        <v/>
      </c>
      <c r="AA28" s="38" t="str">
        <f>IFERROR('1.vize'!AL28*100/'1.vize'!$I28,"")</f>
        <v/>
      </c>
      <c r="AB28" s="38" t="str">
        <f>IFERROR('1.vize'!AM28*100/'1.vize'!$I28,"")</f>
        <v/>
      </c>
      <c r="AC28" s="38" t="str">
        <f>IFERROR('1.vize'!AN28*100/'1.vize'!$I28,"")</f>
        <v/>
      </c>
      <c r="AD28" s="38" t="str">
        <f>IFERROR('1.vize'!AO28*100/'1.vize'!$I28,"")</f>
        <v/>
      </c>
      <c r="AE28" s="38" t="str">
        <f>IFERROR('1.vize'!AP28*100/'1.vize'!$I28,"")</f>
        <v/>
      </c>
      <c r="AF28" s="38" t="str">
        <f>IFERROR('1.vize'!AQ28*100/'1.vize'!$I28,"")</f>
        <v/>
      </c>
      <c r="AG28" s="38" t="str">
        <f>IFERROR('1.vize'!AR28*100/'1.vize'!$I28,"")</f>
        <v/>
      </c>
      <c r="AH28" s="38" t="str">
        <f>IFERROR('1.vize'!AS28*100/'1.vize'!$I28,"")</f>
        <v/>
      </c>
      <c r="AI28" s="38" t="str">
        <f>IFERROR('1.vize'!AT28*100/'1.vize'!$I28,"")</f>
        <v/>
      </c>
      <c r="AJ28" s="38" t="str">
        <f>IFERROR('1.vize'!AU28*100/'1.vize'!$I28,"")</f>
        <v/>
      </c>
      <c r="AK28" s="38" t="str">
        <f>IFERROR('1.vize'!AV28*100/'1.vize'!$I28,"")</f>
        <v/>
      </c>
      <c r="AL28" s="38" t="str">
        <f>IFERROR('1.vize'!AW28*100/'1.vize'!$I28,"")</f>
        <v/>
      </c>
      <c r="AM28" s="38" t="str">
        <f>IFERROR('1.vize'!AX28*100/'1.vize'!$I28,"")</f>
        <v/>
      </c>
      <c r="AN28" s="38" t="str">
        <f>IFERROR('1.vize'!AY28*100/'1.vize'!$I28,"")</f>
        <v/>
      </c>
      <c r="AO28" s="38" t="str">
        <f>IFERROR('1.vize'!AZ28*100/'1.vize'!$I28,"")</f>
        <v/>
      </c>
      <c r="AP28" s="38" t="str">
        <f>IFERROR('1.vize'!BA28*100/'1.vize'!$I28,"")</f>
        <v/>
      </c>
      <c r="AQ28" s="38" t="str">
        <f>IFERROR('1.vize'!BB28*100/'1.vize'!$I28,"")</f>
        <v/>
      </c>
      <c r="AR28" s="38" t="str">
        <f>IFERROR('1.vize'!BC28*100/'1.vize'!$I28,"")</f>
        <v/>
      </c>
      <c r="AS28" s="38" t="str">
        <f>IFERROR('1.vize'!BD28*100/'1.vize'!$I28,"")</f>
        <v/>
      </c>
      <c r="AT28" s="38" t="str">
        <f>IFERROR('1.vize'!BE28*100/'1.vize'!$I28,"")</f>
        <v/>
      </c>
      <c r="AU28" s="38" t="str">
        <f>IFERROR('1.vize'!BF28*100/'1.vize'!$I28,"")</f>
        <v/>
      </c>
      <c r="AV28" s="38" t="str">
        <f>IFERROR('1.vize'!BG28*100/'1.vize'!$I28,"")</f>
        <v/>
      </c>
      <c r="AW28" s="38" t="str">
        <f>IFERROR('1.vize'!BH28*100/'1.vize'!$I28,"")</f>
        <v/>
      </c>
      <c r="AX28" s="38" t="str">
        <f>IFERROR('1.vize'!BI28*100/'1.vize'!$I28,"")</f>
        <v/>
      </c>
      <c r="AY28" s="38" t="str">
        <f>IFERROR('1.vize'!BJ28*100/'1.vize'!$I28,"")</f>
        <v/>
      </c>
      <c r="AZ28" s="38" t="str">
        <f>IFERROR('1.vize'!BK28*100/'1.vize'!$I28,"")</f>
        <v/>
      </c>
      <c r="BA28" s="38" t="str">
        <f>IFERROR('1.vize'!BL28*100/'1.vize'!$I28,"")</f>
        <v/>
      </c>
      <c r="BB28" s="38" t="str">
        <f>IFERROR('1.vize'!BM28*100/'1.vize'!$I28,"")</f>
        <v/>
      </c>
      <c r="BC28" s="38" t="str">
        <f>IFERROR('1.vize'!BN28*100/'1.vize'!$I28,"")</f>
        <v/>
      </c>
      <c r="BD28" s="38" t="str">
        <f>IFERROR('1.vize'!BO28*100/'1.vize'!$I28,"")</f>
        <v/>
      </c>
      <c r="BE28" s="38" t="str">
        <f>IFERROR('1.vize'!BP28*100/'1.vize'!$I28,"")</f>
        <v/>
      </c>
      <c r="BF28" s="38" t="str">
        <f>IFERROR('1.vize'!BQ28*100/'1.vize'!$I28,"")</f>
        <v/>
      </c>
      <c r="BG28" s="38" t="str">
        <f>IFERROR('1.vize'!BR28*100/'1.vize'!$I28,"")</f>
        <v/>
      </c>
      <c r="BH28" s="38" t="str">
        <f>IFERROR('1.vize'!BS28*100/'1.vize'!$I28,"")</f>
        <v/>
      </c>
      <c r="BI28" s="38" t="str">
        <f>IFERROR('1.vize'!BT28*100/'1.vize'!$I28,"")</f>
        <v/>
      </c>
      <c r="BJ28" s="38" t="str">
        <f>IFERROR('1.vize'!BU28*100/'1.vize'!$I28,"")</f>
        <v/>
      </c>
      <c r="BK28" s="38" t="str">
        <f>IFERROR('1.vize'!BV28*100/'1.vize'!$I28,"")</f>
        <v/>
      </c>
      <c r="BL28" s="38" t="str">
        <f>IFERROR('1.vize'!BW28*100/'1.vize'!$I28,"")</f>
        <v/>
      </c>
      <c r="BM28" s="38" t="str">
        <f>IFERROR('1.vize'!BX28*100/'1.vize'!$I28,"")</f>
        <v/>
      </c>
      <c r="BN28" s="38" t="str">
        <f>IFERROR('1.vize'!BY28*100/'1.vize'!$I28,"")</f>
        <v/>
      </c>
      <c r="BO28" s="38" t="str">
        <f>IFERROR('1.vize'!BZ28*100/'1.vize'!$I28,"")</f>
        <v/>
      </c>
      <c r="BP28" s="38" t="str">
        <f>IFERROR('1.vize'!CA28*100/'1.vize'!$I28,"")</f>
        <v/>
      </c>
      <c r="BQ28" s="38" t="str">
        <f>IFERROR('1.vize'!CB28*100/'1.vize'!$I28,"")</f>
        <v/>
      </c>
      <c r="BR28" s="38" t="str">
        <f>IFERROR('1.vize'!CC28*100/'1.vize'!$I28,"")</f>
        <v/>
      </c>
      <c r="BS28" s="38" t="str">
        <f>IFERROR('1.vize'!CD28*100/'1.vize'!$I28,"")</f>
        <v/>
      </c>
      <c r="BT28" s="38" t="str">
        <f>IFERROR('1.vize'!CE28*100/'1.vize'!$I28,"")</f>
        <v/>
      </c>
      <c r="BU28" s="38" t="str">
        <f>IFERROR('1.vize'!CF28*100/'1.vize'!$I28,"")</f>
        <v/>
      </c>
      <c r="BV28" s="38" t="str">
        <f>IFERROR('1.vize'!CG28*100/'1.vize'!$I28,"")</f>
        <v/>
      </c>
      <c r="BW28" s="38" t="str">
        <f>IFERROR('1.vize'!CH28*100/'1.vize'!$I28,"")</f>
        <v/>
      </c>
      <c r="BX28" s="38" t="str">
        <f>IFERROR('1.vize'!CI28*100/'1.vize'!$I28,"")</f>
        <v/>
      </c>
      <c r="BY28" s="38" t="str">
        <f>IFERROR('1.vize'!CJ28*100/'1.vize'!$I28,"")</f>
        <v/>
      </c>
      <c r="BZ28" s="38" t="str">
        <f>IFERROR('1.vize'!CK28*100/'1.vize'!$I28,"")</f>
        <v/>
      </c>
      <c r="CA28" s="38" t="str">
        <f>IFERROR('1.vize'!CL28*100/'1.vize'!$I28,"")</f>
        <v/>
      </c>
      <c r="CB28" s="38" t="str">
        <f>IFERROR('1.vize'!CM28*100/'1.vize'!$I28,"")</f>
        <v/>
      </c>
      <c r="CC28" s="38" t="str">
        <f>IFERROR('1.vize'!CN28*100/'1.vize'!$I28,"")</f>
        <v/>
      </c>
      <c r="CD28" s="38" t="str">
        <f>IFERROR('1.vize'!CO28*100/'1.vize'!$I28,"")</f>
        <v/>
      </c>
      <c r="CE28" s="38" t="str">
        <f>IFERROR('1.vize'!CP28*100/'1.vize'!$I28,"")</f>
        <v/>
      </c>
      <c r="CF28" s="38" t="str">
        <f>IFERROR('1.vize'!CQ28*100/'1.vize'!$I28,"")</f>
        <v/>
      </c>
      <c r="CG28" s="38" t="str">
        <f>IFERROR('1.vize'!CR28*100/'1.vize'!$I28,"")</f>
        <v/>
      </c>
      <c r="CH28" s="38" t="str">
        <f>IFERROR('1.vize'!CS28*100/'1.vize'!$I28,"")</f>
        <v/>
      </c>
      <c r="CI28" s="38" t="str">
        <f>IFERROR('1.vize'!CT28*100/'1.vize'!$I28,"")</f>
        <v/>
      </c>
      <c r="CJ28" s="38" t="str">
        <f>IFERROR('1.vize'!CU28*100/'1.vize'!$I28,"")</f>
        <v/>
      </c>
      <c r="CK28" s="38" t="str">
        <f>IFERROR('1.vize'!CV28*100/'1.vize'!$I28,"")</f>
        <v/>
      </c>
      <c r="CL28" s="38" t="str">
        <f>IFERROR('1.vize'!CW28*100/'1.vize'!$I28,"")</f>
        <v/>
      </c>
      <c r="CM28" s="38" t="str">
        <f>IFERROR('1.vize'!CX28*100/'1.vize'!$I28,"")</f>
        <v/>
      </c>
      <c r="CN28" s="38" t="str">
        <f>IFERROR('1.vize'!CY28*100/'1.vize'!$I28,"")</f>
        <v/>
      </c>
      <c r="CO28" s="38" t="str">
        <f>IFERROR('1.vize'!CZ28*100/'1.vize'!$I28,"")</f>
        <v/>
      </c>
      <c r="CP28" s="38" t="str">
        <f>IFERROR('1.vize'!DA28*100/'1.vize'!$I28,"")</f>
        <v/>
      </c>
      <c r="CQ28" s="38" t="str">
        <f>IFERROR('1.vize'!DB28*100/'1.vize'!$I28,"")</f>
        <v/>
      </c>
      <c r="CR28" s="38" t="str">
        <f>IFERROR('1.vize'!DC28*100/'1.vize'!$I28,"")</f>
        <v/>
      </c>
      <c r="CS28" s="38" t="str">
        <f>IFERROR('1.vize'!DD28*100/'1.vize'!$I28,"")</f>
        <v/>
      </c>
      <c r="CT28" s="38" t="str">
        <f>IFERROR('1.vize'!DE28*100/'1.vize'!$I28,"")</f>
        <v/>
      </c>
      <c r="CU28" s="38" t="str">
        <f>IFERROR('1.vize'!DF28*100/'1.vize'!$I28,"")</f>
        <v/>
      </c>
      <c r="CV28" s="38" t="str">
        <f>IFERROR('1.vize'!DG28*100/'1.vize'!$I28,"")</f>
        <v/>
      </c>
      <c r="CW28" s="32" t="str">
        <f>IFERROR(SUM(A28:CV28)/'1.vize'!$DH$103,"")</f>
        <v/>
      </c>
      <c r="CX28" s="14" t="str">
        <f>IF(COUNTA('1.vize'!A28),'1.vize'!A28,"")</f>
        <v/>
      </c>
      <c r="CY28" s="14" t="str">
        <f>IF(COUNTA('1.vize'!B28),'1.vize'!B28,"")</f>
        <v/>
      </c>
      <c r="CZ28" s="14" t="str">
        <f>IF(COUNTA('1.vize'!C28),'1.vize'!C28,"")</f>
        <v/>
      </c>
      <c r="DA28" s="14" t="str">
        <f>IF(COUNTA('1.vize'!D28),'1.vize'!D28,"")</f>
        <v/>
      </c>
      <c r="DB28" s="14" t="str">
        <f>IF(COUNTA('1.vize'!E28),'1.vize'!E28,"")</f>
        <v/>
      </c>
      <c r="DC28" s="14" t="str">
        <f>IF(COUNTA('1.vize'!F28),'1.vize'!F28,"")</f>
        <v/>
      </c>
      <c r="DD28" s="14" t="str">
        <f>IF(COUNTA('1.vize'!G28),'1.vize'!G28,"")</f>
        <v/>
      </c>
      <c r="DE28" s="14" t="str">
        <f>IF(COUNTA('1.vize'!H28),'1.vize'!H28,"")</f>
        <v/>
      </c>
      <c r="DF28" s="33"/>
    </row>
    <row r="29" spans="1:110" x14ac:dyDescent="0.2">
      <c r="A29" s="38" t="str">
        <f>IFERROR('1.vize'!L29*100/'1.vize'!$I29,"")</f>
        <v/>
      </c>
      <c r="B29" s="38" t="str">
        <f>IFERROR('1.vize'!M29*100/'1.vize'!$I29,"")</f>
        <v/>
      </c>
      <c r="C29" s="38" t="str">
        <f>IFERROR('1.vize'!N29*100/'1.vize'!$I29,"")</f>
        <v/>
      </c>
      <c r="D29" s="38" t="str">
        <f>IFERROR('1.vize'!O29*100/'1.vize'!$I29,"")</f>
        <v/>
      </c>
      <c r="E29" s="38" t="str">
        <f>IFERROR('1.vize'!P29*100/'1.vize'!$I29,"")</f>
        <v/>
      </c>
      <c r="F29" s="38" t="str">
        <f>IFERROR('1.vize'!Q29*100/'1.vize'!$I29,"")</f>
        <v/>
      </c>
      <c r="G29" s="38" t="str">
        <f>IFERROR('1.vize'!R29*100/'1.vize'!$I29,"")</f>
        <v/>
      </c>
      <c r="H29" s="38" t="str">
        <f>IFERROR('1.vize'!S29*100/'1.vize'!$I29,"")</f>
        <v/>
      </c>
      <c r="I29" s="38" t="str">
        <f>IFERROR('1.vize'!T29*100/'1.vize'!$I29,"")</f>
        <v/>
      </c>
      <c r="J29" s="38" t="str">
        <f>IFERROR('1.vize'!U29*100/'1.vize'!$I29,"")</f>
        <v/>
      </c>
      <c r="K29" s="38" t="str">
        <f>IFERROR('1.vize'!V29*100/'1.vize'!$I29,"")</f>
        <v/>
      </c>
      <c r="L29" s="38" t="str">
        <f>IFERROR('1.vize'!W29*100/'1.vize'!$I29,"")</f>
        <v/>
      </c>
      <c r="M29" s="38" t="str">
        <f>IFERROR('1.vize'!X29*100/'1.vize'!$I29,"")</f>
        <v/>
      </c>
      <c r="N29" s="38" t="str">
        <f>IFERROR('1.vize'!Y29*100/'1.vize'!$I29,"")</f>
        <v/>
      </c>
      <c r="O29" s="38" t="str">
        <f>IFERROR('1.vize'!Z29*100/'1.vize'!$I29,"")</f>
        <v/>
      </c>
      <c r="P29" s="38" t="str">
        <f>IFERROR('1.vize'!AA29*100/'1.vize'!$I29,"")</f>
        <v/>
      </c>
      <c r="Q29" s="38" t="str">
        <f>IFERROR('1.vize'!AB29*100/'1.vize'!$I29,"")</f>
        <v/>
      </c>
      <c r="R29" s="38" t="str">
        <f>IFERROR('1.vize'!AC29*100/'1.vize'!$I29,"")</f>
        <v/>
      </c>
      <c r="S29" s="38" t="str">
        <f>IFERROR('1.vize'!AD29*100/'1.vize'!$I29,"")</f>
        <v/>
      </c>
      <c r="T29" s="38" t="str">
        <f>IFERROR('1.vize'!AE29*100/'1.vize'!$I29,"")</f>
        <v/>
      </c>
      <c r="U29" s="38" t="str">
        <f>IFERROR('1.vize'!AF29*100/'1.vize'!$I29,"")</f>
        <v/>
      </c>
      <c r="V29" s="38" t="str">
        <f>IFERROR('1.vize'!AG29*100/'1.vize'!$I29,"")</f>
        <v/>
      </c>
      <c r="W29" s="38" t="str">
        <f>IFERROR('1.vize'!AH29*100/'1.vize'!$I29,"")</f>
        <v/>
      </c>
      <c r="X29" s="38" t="str">
        <f>IFERROR('1.vize'!AI29*100/'1.vize'!$I29,"")</f>
        <v/>
      </c>
      <c r="Y29" s="38" t="str">
        <f>IFERROR('1.vize'!AJ29*100/'1.vize'!$I29,"")</f>
        <v/>
      </c>
      <c r="Z29" s="38" t="str">
        <f>IFERROR('1.vize'!AK29*100/'1.vize'!$I29,"")</f>
        <v/>
      </c>
      <c r="AA29" s="38" t="str">
        <f>IFERROR('1.vize'!AL29*100/'1.vize'!$I29,"")</f>
        <v/>
      </c>
      <c r="AB29" s="38" t="str">
        <f>IFERROR('1.vize'!AM29*100/'1.vize'!$I29,"")</f>
        <v/>
      </c>
      <c r="AC29" s="38" t="str">
        <f>IFERROR('1.vize'!AN29*100/'1.vize'!$I29,"")</f>
        <v/>
      </c>
      <c r="AD29" s="38" t="str">
        <f>IFERROR('1.vize'!AO29*100/'1.vize'!$I29,"")</f>
        <v/>
      </c>
      <c r="AE29" s="38" t="str">
        <f>IFERROR('1.vize'!AP29*100/'1.vize'!$I29,"")</f>
        <v/>
      </c>
      <c r="AF29" s="38" t="str">
        <f>IFERROR('1.vize'!AQ29*100/'1.vize'!$I29,"")</f>
        <v/>
      </c>
      <c r="AG29" s="38" t="str">
        <f>IFERROR('1.vize'!AR29*100/'1.vize'!$I29,"")</f>
        <v/>
      </c>
      <c r="AH29" s="38" t="str">
        <f>IFERROR('1.vize'!AS29*100/'1.vize'!$I29,"")</f>
        <v/>
      </c>
      <c r="AI29" s="38" t="str">
        <f>IFERROR('1.vize'!AT29*100/'1.vize'!$I29,"")</f>
        <v/>
      </c>
      <c r="AJ29" s="38" t="str">
        <f>IFERROR('1.vize'!AU29*100/'1.vize'!$I29,"")</f>
        <v/>
      </c>
      <c r="AK29" s="38" t="str">
        <f>IFERROR('1.vize'!AV29*100/'1.vize'!$I29,"")</f>
        <v/>
      </c>
      <c r="AL29" s="38" t="str">
        <f>IFERROR('1.vize'!AW29*100/'1.vize'!$I29,"")</f>
        <v/>
      </c>
      <c r="AM29" s="38" t="str">
        <f>IFERROR('1.vize'!AX29*100/'1.vize'!$I29,"")</f>
        <v/>
      </c>
      <c r="AN29" s="38" t="str">
        <f>IFERROR('1.vize'!AY29*100/'1.vize'!$I29,"")</f>
        <v/>
      </c>
      <c r="AO29" s="38" t="str">
        <f>IFERROR('1.vize'!AZ29*100/'1.vize'!$I29,"")</f>
        <v/>
      </c>
      <c r="AP29" s="38" t="str">
        <f>IFERROR('1.vize'!BA29*100/'1.vize'!$I29,"")</f>
        <v/>
      </c>
      <c r="AQ29" s="38" t="str">
        <f>IFERROR('1.vize'!BB29*100/'1.vize'!$I29,"")</f>
        <v/>
      </c>
      <c r="AR29" s="38" t="str">
        <f>IFERROR('1.vize'!BC29*100/'1.vize'!$I29,"")</f>
        <v/>
      </c>
      <c r="AS29" s="38" t="str">
        <f>IFERROR('1.vize'!BD29*100/'1.vize'!$I29,"")</f>
        <v/>
      </c>
      <c r="AT29" s="38" t="str">
        <f>IFERROR('1.vize'!BE29*100/'1.vize'!$I29,"")</f>
        <v/>
      </c>
      <c r="AU29" s="38" t="str">
        <f>IFERROR('1.vize'!BF29*100/'1.vize'!$I29,"")</f>
        <v/>
      </c>
      <c r="AV29" s="38" t="str">
        <f>IFERROR('1.vize'!BG29*100/'1.vize'!$I29,"")</f>
        <v/>
      </c>
      <c r="AW29" s="38" t="str">
        <f>IFERROR('1.vize'!BH29*100/'1.vize'!$I29,"")</f>
        <v/>
      </c>
      <c r="AX29" s="38" t="str">
        <f>IFERROR('1.vize'!BI29*100/'1.vize'!$I29,"")</f>
        <v/>
      </c>
      <c r="AY29" s="38" t="str">
        <f>IFERROR('1.vize'!BJ29*100/'1.vize'!$I29,"")</f>
        <v/>
      </c>
      <c r="AZ29" s="38" t="str">
        <f>IFERROR('1.vize'!BK29*100/'1.vize'!$I29,"")</f>
        <v/>
      </c>
      <c r="BA29" s="38" t="str">
        <f>IFERROR('1.vize'!BL29*100/'1.vize'!$I29,"")</f>
        <v/>
      </c>
      <c r="BB29" s="38" t="str">
        <f>IFERROR('1.vize'!BM29*100/'1.vize'!$I29,"")</f>
        <v/>
      </c>
      <c r="BC29" s="38" t="str">
        <f>IFERROR('1.vize'!BN29*100/'1.vize'!$I29,"")</f>
        <v/>
      </c>
      <c r="BD29" s="38" t="str">
        <f>IFERROR('1.vize'!BO29*100/'1.vize'!$I29,"")</f>
        <v/>
      </c>
      <c r="BE29" s="38" t="str">
        <f>IFERROR('1.vize'!BP29*100/'1.vize'!$I29,"")</f>
        <v/>
      </c>
      <c r="BF29" s="38" t="str">
        <f>IFERROR('1.vize'!BQ29*100/'1.vize'!$I29,"")</f>
        <v/>
      </c>
      <c r="BG29" s="38" t="str">
        <f>IFERROR('1.vize'!BR29*100/'1.vize'!$I29,"")</f>
        <v/>
      </c>
      <c r="BH29" s="38" t="str">
        <f>IFERROR('1.vize'!BS29*100/'1.vize'!$I29,"")</f>
        <v/>
      </c>
      <c r="BI29" s="38" t="str">
        <f>IFERROR('1.vize'!BT29*100/'1.vize'!$I29,"")</f>
        <v/>
      </c>
      <c r="BJ29" s="38" t="str">
        <f>IFERROR('1.vize'!BU29*100/'1.vize'!$I29,"")</f>
        <v/>
      </c>
      <c r="BK29" s="38" t="str">
        <f>IFERROR('1.vize'!BV29*100/'1.vize'!$I29,"")</f>
        <v/>
      </c>
      <c r="BL29" s="38" t="str">
        <f>IFERROR('1.vize'!BW29*100/'1.vize'!$I29,"")</f>
        <v/>
      </c>
      <c r="BM29" s="38" t="str">
        <f>IFERROR('1.vize'!BX29*100/'1.vize'!$I29,"")</f>
        <v/>
      </c>
      <c r="BN29" s="38" t="str">
        <f>IFERROR('1.vize'!BY29*100/'1.vize'!$I29,"")</f>
        <v/>
      </c>
      <c r="BO29" s="38" t="str">
        <f>IFERROR('1.vize'!BZ29*100/'1.vize'!$I29,"")</f>
        <v/>
      </c>
      <c r="BP29" s="38" t="str">
        <f>IFERROR('1.vize'!CA29*100/'1.vize'!$I29,"")</f>
        <v/>
      </c>
      <c r="BQ29" s="38" t="str">
        <f>IFERROR('1.vize'!CB29*100/'1.vize'!$I29,"")</f>
        <v/>
      </c>
      <c r="BR29" s="38" t="str">
        <f>IFERROR('1.vize'!CC29*100/'1.vize'!$I29,"")</f>
        <v/>
      </c>
      <c r="BS29" s="38" t="str">
        <f>IFERROR('1.vize'!CD29*100/'1.vize'!$I29,"")</f>
        <v/>
      </c>
      <c r="BT29" s="38" t="str">
        <f>IFERROR('1.vize'!CE29*100/'1.vize'!$I29,"")</f>
        <v/>
      </c>
      <c r="BU29" s="38" t="str">
        <f>IFERROR('1.vize'!CF29*100/'1.vize'!$I29,"")</f>
        <v/>
      </c>
      <c r="BV29" s="38" t="str">
        <f>IFERROR('1.vize'!CG29*100/'1.vize'!$I29,"")</f>
        <v/>
      </c>
      <c r="BW29" s="38" t="str">
        <f>IFERROR('1.vize'!CH29*100/'1.vize'!$I29,"")</f>
        <v/>
      </c>
      <c r="BX29" s="38" t="str">
        <f>IFERROR('1.vize'!CI29*100/'1.vize'!$I29,"")</f>
        <v/>
      </c>
      <c r="BY29" s="38" t="str">
        <f>IFERROR('1.vize'!CJ29*100/'1.vize'!$I29,"")</f>
        <v/>
      </c>
      <c r="BZ29" s="38" t="str">
        <f>IFERROR('1.vize'!CK29*100/'1.vize'!$I29,"")</f>
        <v/>
      </c>
      <c r="CA29" s="38" t="str">
        <f>IFERROR('1.vize'!CL29*100/'1.vize'!$I29,"")</f>
        <v/>
      </c>
      <c r="CB29" s="38" t="str">
        <f>IFERROR('1.vize'!CM29*100/'1.vize'!$I29,"")</f>
        <v/>
      </c>
      <c r="CC29" s="38" t="str">
        <f>IFERROR('1.vize'!CN29*100/'1.vize'!$I29,"")</f>
        <v/>
      </c>
      <c r="CD29" s="38" t="str">
        <f>IFERROR('1.vize'!CO29*100/'1.vize'!$I29,"")</f>
        <v/>
      </c>
      <c r="CE29" s="38" t="str">
        <f>IFERROR('1.vize'!CP29*100/'1.vize'!$I29,"")</f>
        <v/>
      </c>
      <c r="CF29" s="38" t="str">
        <f>IFERROR('1.vize'!CQ29*100/'1.vize'!$I29,"")</f>
        <v/>
      </c>
      <c r="CG29" s="38" t="str">
        <f>IFERROR('1.vize'!CR29*100/'1.vize'!$I29,"")</f>
        <v/>
      </c>
      <c r="CH29" s="38" t="str">
        <f>IFERROR('1.vize'!CS29*100/'1.vize'!$I29,"")</f>
        <v/>
      </c>
      <c r="CI29" s="38" t="str">
        <f>IFERROR('1.vize'!CT29*100/'1.vize'!$I29,"")</f>
        <v/>
      </c>
      <c r="CJ29" s="38" t="str">
        <f>IFERROR('1.vize'!CU29*100/'1.vize'!$I29,"")</f>
        <v/>
      </c>
      <c r="CK29" s="38" t="str">
        <f>IFERROR('1.vize'!CV29*100/'1.vize'!$I29,"")</f>
        <v/>
      </c>
      <c r="CL29" s="38" t="str">
        <f>IFERROR('1.vize'!CW29*100/'1.vize'!$I29,"")</f>
        <v/>
      </c>
      <c r="CM29" s="38" t="str">
        <f>IFERROR('1.vize'!CX29*100/'1.vize'!$I29,"")</f>
        <v/>
      </c>
      <c r="CN29" s="38" t="str">
        <f>IFERROR('1.vize'!CY29*100/'1.vize'!$I29,"")</f>
        <v/>
      </c>
      <c r="CO29" s="38" t="str">
        <f>IFERROR('1.vize'!CZ29*100/'1.vize'!$I29,"")</f>
        <v/>
      </c>
      <c r="CP29" s="38" t="str">
        <f>IFERROR('1.vize'!DA29*100/'1.vize'!$I29,"")</f>
        <v/>
      </c>
      <c r="CQ29" s="38" t="str">
        <f>IFERROR('1.vize'!DB29*100/'1.vize'!$I29,"")</f>
        <v/>
      </c>
      <c r="CR29" s="38" t="str">
        <f>IFERROR('1.vize'!DC29*100/'1.vize'!$I29,"")</f>
        <v/>
      </c>
      <c r="CS29" s="38" t="str">
        <f>IFERROR('1.vize'!DD29*100/'1.vize'!$I29,"")</f>
        <v/>
      </c>
      <c r="CT29" s="38" t="str">
        <f>IFERROR('1.vize'!DE29*100/'1.vize'!$I29,"")</f>
        <v/>
      </c>
      <c r="CU29" s="38" t="str">
        <f>IFERROR('1.vize'!DF29*100/'1.vize'!$I29,"")</f>
        <v/>
      </c>
      <c r="CV29" s="38" t="str">
        <f>IFERROR('1.vize'!DG29*100/'1.vize'!$I29,"")</f>
        <v/>
      </c>
      <c r="CW29" s="32" t="str">
        <f>IFERROR(SUM(A29:CV29)/'1.vize'!$DH$103,"")</f>
        <v/>
      </c>
      <c r="CX29" s="14" t="str">
        <f>IF(COUNTA('1.vize'!A29),'1.vize'!A29,"")</f>
        <v/>
      </c>
      <c r="CY29" s="14" t="str">
        <f>IF(COUNTA('1.vize'!B29),'1.vize'!B29,"")</f>
        <v/>
      </c>
      <c r="CZ29" s="14" t="str">
        <f>IF(COUNTA('1.vize'!C29),'1.vize'!C29,"")</f>
        <v/>
      </c>
      <c r="DA29" s="14" t="str">
        <f>IF(COUNTA('1.vize'!D29),'1.vize'!D29,"")</f>
        <v/>
      </c>
      <c r="DB29" s="14" t="str">
        <f>IF(COUNTA('1.vize'!E29),'1.vize'!E29,"")</f>
        <v/>
      </c>
      <c r="DC29" s="14" t="str">
        <f>IF(COUNTA('1.vize'!F29),'1.vize'!F29,"")</f>
        <v/>
      </c>
      <c r="DD29" s="14" t="str">
        <f>IF(COUNTA('1.vize'!G29),'1.vize'!G29,"")</f>
        <v/>
      </c>
      <c r="DE29" s="14" t="str">
        <f>IF(COUNTA('1.vize'!H29),'1.vize'!H29,"")</f>
        <v/>
      </c>
      <c r="DF29" s="33"/>
    </row>
    <row r="30" spans="1:110" x14ac:dyDescent="0.2">
      <c r="A30" s="38" t="str">
        <f>IFERROR('1.vize'!L30*100/'1.vize'!$I30,"")</f>
        <v/>
      </c>
      <c r="B30" s="38" t="str">
        <f>IFERROR('1.vize'!M30*100/'1.vize'!$I30,"")</f>
        <v/>
      </c>
      <c r="C30" s="38" t="str">
        <f>IFERROR('1.vize'!N30*100/'1.vize'!$I30,"")</f>
        <v/>
      </c>
      <c r="D30" s="38" t="str">
        <f>IFERROR('1.vize'!O30*100/'1.vize'!$I30,"")</f>
        <v/>
      </c>
      <c r="E30" s="38" t="str">
        <f>IFERROR('1.vize'!P30*100/'1.vize'!$I30,"")</f>
        <v/>
      </c>
      <c r="F30" s="38" t="str">
        <f>IFERROR('1.vize'!Q30*100/'1.vize'!$I30,"")</f>
        <v/>
      </c>
      <c r="G30" s="38" t="str">
        <f>IFERROR('1.vize'!R30*100/'1.vize'!$I30,"")</f>
        <v/>
      </c>
      <c r="H30" s="38" t="str">
        <f>IFERROR('1.vize'!S30*100/'1.vize'!$I30,"")</f>
        <v/>
      </c>
      <c r="I30" s="38" t="str">
        <f>IFERROR('1.vize'!T30*100/'1.vize'!$I30,"")</f>
        <v/>
      </c>
      <c r="J30" s="38" t="str">
        <f>IFERROR('1.vize'!U30*100/'1.vize'!$I30,"")</f>
        <v/>
      </c>
      <c r="K30" s="38" t="str">
        <f>IFERROR('1.vize'!V30*100/'1.vize'!$I30,"")</f>
        <v/>
      </c>
      <c r="L30" s="38" t="str">
        <f>IFERROR('1.vize'!W30*100/'1.vize'!$I30,"")</f>
        <v/>
      </c>
      <c r="M30" s="38" t="str">
        <f>IFERROR('1.vize'!X30*100/'1.vize'!$I30,"")</f>
        <v/>
      </c>
      <c r="N30" s="38" t="str">
        <f>IFERROR('1.vize'!Y30*100/'1.vize'!$I30,"")</f>
        <v/>
      </c>
      <c r="O30" s="38" t="str">
        <f>IFERROR('1.vize'!Z30*100/'1.vize'!$I30,"")</f>
        <v/>
      </c>
      <c r="P30" s="38" t="str">
        <f>IFERROR('1.vize'!AA30*100/'1.vize'!$I30,"")</f>
        <v/>
      </c>
      <c r="Q30" s="38" t="str">
        <f>IFERROR('1.vize'!AB30*100/'1.vize'!$I30,"")</f>
        <v/>
      </c>
      <c r="R30" s="38" t="str">
        <f>IFERROR('1.vize'!AC30*100/'1.vize'!$I30,"")</f>
        <v/>
      </c>
      <c r="S30" s="38" t="str">
        <f>IFERROR('1.vize'!AD30*100/'1.vize'!$I30,"")</f>
        <v/>
      </c>
      <c r="T30" s="38" t="str">
        <f>IFERROR('1.vize'!AE30*100/'1.vize'!$I30,"")</f>
        <v/>
      </c>
      <c r="U30" s="38" t="str">
        <f>IFERROR('1.vize'!AF30*100/'1.vize'!$I30,"")</f>
        <v/>
      </c>
      <c r="V30" s="38" t="str">
        <f>IFERROR('1.vize'!AG30*100/'1.vize'!$I30,"")</f>
        <v/>
      </c>
      <c r="W30" s="38" t="str">
        <f>IFERROR('1.vize'!AH30*100/'1.vize'!$I30,"")</f>
        <v/>
      </c>
      <c r="X30" s="38" t="str">
        <f>IFERROR('1.vize'!AI30*100/'1.vize'!$I30,"")</f>
        <v/>
      </c>
      <c r="Y30" s="38" t="str">
        <f>IFERROR('1.vize'!AJ30*100/'1.vize'!$I30,"")</f>
        <v/>
      </c>
      <c r="Z30" s="38" t="str">
        <f>IFERROR('1.vize'!AK30*100/'1.vize'!$I30,"")</f>
        <v/>
      </c>
      <c r="AA30" s="38" t="str">
        <f>IFERROR('1.vize'!AL30*100/'1.vize'!$I30,"")</f>
        <v/>
      </c>
      <c r="AB30" s="38" t="str">
        <f>IFERROR('1.vize'!AM30*100/'1.vize'!$I30,"")</f>
        <v/>
      </c>
      <c r="AC30" s="38" t="str">
        <f>IFERROR('1.vize'!AN30*100/'1.vize'!$I30,"")</f>
        <v/>
      </c>
      <c r="AD30" s="38" t="str">
        <f>IFERROR('1.vize'!AO30*100/'1.vize'!$I30,"")</f>
        <v/>
      </c>
      <c r="AE30" s="38" t="str">
        <f>IFERROR('1.vize'!AP30*100/'1.vize'!$I30,"")</f>
        <v/>
      </c>
      <c r="AF30" s="38" t="str">
        <f>IFERROR('1.vize'!AQ30*100/'1.vize'!$I30,"")</f>
        <v/>
      </c>
      <c r="AG30" s="38" t="str">
        <f>IFERROR('1.vize'!AR30*100/'1.vize'!$I30,"")</f>
        <v/>
      </c>
      <c r="AH30" s="38" t="str">
        <f>IFERROR('1.vize'!AS30*100/'1.vize'!$I30,"")</f>
        <v/>
      </c>
      <c r="AI30" s="38" t="str">
        <f>IFERROR('1.vize'!AT30*100/'1.vize'!$I30,"")</f>
        <v/>
      </c>
      <c r="AJ30" s="38" t="str">
        <f>IFERROR('1.vize'!AU30*100/'1.vize'!$I30,"")</f>
        <v/>
      </c>
      <c r="AK30" s="38" t="str">
        <f>IFERROR('1.vize'!AV30*100/'1.vize'!$I30,"")</f>
        <v/>
      </c>
      <c r="AL30" s="38" t="str">
        <f>IFERROR('1.vize'!AW30*100/'1.vize'!$I30,"")</f>
        <v/>
      </c>
      <c r="AM30" s="38" t="str">
        <f>IFERROR('1.vize'!AX30*100/'1.vize'!$I30,"")</f>
        <v/>
      </c>
      <c r="AN30" s="38" t="str">
        <f>IFERROR('1.vize'!AY30*100/'1.vize'!$I30,"")</f>
        <v/>
      </c>
      <c r="AO30" s="38" t="str">
        <f>IFERROR('1.vize'!AZ30*100/'1.vize'!$I30,"")</f>
        <v/>
      </c>
      <c r="AP30" s="38" t="str">
        <f>IFERROR('1.vize'!BA30*100/'1.vize'!$I30,"")</f>
        <v/>
      </c>
      <c r="AQ30" s="38" t="str">
        <f>IFERROR('1.vize'!BB30*100/'1.vize'!$I30,"")</f>
        <v/>
      </c>
      <c r="AR30" s="38" t="str">
        <f>IFERROR('1.vize'!BC30*100/'1.vize'!$I30,"")</f>
        <v/>
      </c>
      <c r="AS30" s="38" t="str">
        <f>IFERROR('1.vize'!BD30*100/'1.vize'!$I30,"")</f>
        <v/>
      </c>
      <c r="AT30" s="38" t="str">
        <f>IFERROR('1.vize'!BE30*100/'1.vize'!$I30,"")</f>
        <v/>
      </c>
      <c r="AU30" s="38" t="str">
        <f>IFERROR('1.vize'!BF30*100/'1.vize'!$I30,"")</f>
        <v/>
      </c>
      <c r="AV30" s="38" t="str">
        <f>IFERROR('1.vize'!BG30*100/'1.vize'!$I30,"")</f>
        <v/>
      </c>
      <c r="AW30" s="38" t="str">
        <f>IFERROR('1.vize'!BH30*100/'1.vize'!$I30,"")</f>
        <v/>
      </c>
      <c r="AX30" s="38" t="str">
        <f>IFERROR('1.vize'!BI30*100/'1.vize'!$I30,"")</f>
        <v/>
      </c>
      <c r="AY30" s="38" t="str">
        <f>IFERROR('1.vize'!BJ30*100/'1.vize'!$I30,"")</f>
        <v/>
      </c>
      <c r="AZ30" s="38" t="str">
        <f>IFERROR('1.vize'!BK30*100/'1.vize'!$I30,"")</f>
        <v/>
      </c>
      <c r="BA30" s="38" t="str">
        <f>IFERROR('1.vize'!BL30*100/'1.vize'!$I30,"")</f>
        <v/>
      </c>
      <c r="BB30" s="38" t="str">
        <f>IFERROR('1.vize'!BM30*100/'1.vize'!$I30,"")</f>
        <v/>
      </c>
      <c r="BC30" s="38" t="str">
        <f>IFERROR('1.vize'!BN30*100/'1.vize'!$I30,"")</f>
        <v/>
      </c>
      <c r="BD30" s="38" t="str">
        <f>IFERROR('1.vize'!BO30*100/'1.vize'!$I30,"")</f>
        <v/>
      </c>
      <c r="BE30" s="38" t="str">
        <f>IFERROR('1.vize'!BP30*100/'1.vize'!$I30,"")</f>
        <v/>
      </c>
      <c r="BF30" s="38" t="str">
        <f>IFERROR('1.vize'!BQ30*100/'1.vize'!$I30,"")</f>
        <v/>
      </c>
      <c r="BG30" s="38" t="str">
        <f>IFERROR('1.vize'!BR30*100/'1.vize'!$I30,"")</f>
        <v/>
      </c>
      <c r="BH30" s="38" t="str">
        <f>IFERROR('1.vize'!BS30*100/'1.vize'!$I30,"")</f>
        <v/>
      </c>
      <c r="BI30" s="38" t="str">
        <f>IFERROR('1.vize'!BT30*100/'1.vize'!$I30,"")</f>
        <v/>
      </c>
      <c r="BJ30" s="38" t="str">
        <f>IFERROR('1.vize'!BU30*100/'1.vize'!$I30,"")</f>
        <v/>
      </c>
      <c r="BK30" s="38" t="str">
        <f>IFERROR('1.vize'!BV30*100/'1.vize'!$I30,"")</f>
        <v/>
      </c>
      <c r="BL30" s="38" t="str">
        <f>IFERROR('1.vize'!BW30*100/'1.vize'!$I30,"")</f>
        <v/>
      </c>
      <c r="BM30" s="38" t="str">
        <f>IFERROR('1.vize'!BX30*100/'1.vize'!$I30,"")</f>
        <v/>
      </c>
      <c r="BN30" s="38" t="str">
        <f>IFERROR('1.vize'!BY30*100/'1.vize'!$I30,"")</f>
        <v/>
      </c>
      <c r="BO30" s="38" t="str">
        <f>IFERROR('1.vize'!BZ30*100/'1.vize'!$I30,"")</f>
        <v/>
      </c>
      <c r="BP30" s="38" t="str">
        <f>IFERROR('1.vize'!CA30*100/'1.vize'!$I30,"")</f>
        <v/>
      </c>
      <c r="BQ30" s="38" t="str">
        <f>IFERROR('1.vize'!CB30*100/'1.vize'!$I30,"")</f>
        <v/>
      </c>
      <c r="BR30" s="38" t="str">
        <f>IFERROR('1.vize'!CC30*100/'1.vize'!$I30,"")</f>
        <v/>
      </c>
      <c r="BS30" s="38" t="str">
        <f>IFERROR('1.vize'!CD30*100/'1.vize'!$I30,"")</f>
        <v/>
      </c>
      <c r="BT30" s="38" t="str">
        <f>IFERROR('1.vize'!CE30*100/'1.vize'!$I30,"")</f>
        <v/>
      </c>
      <c r="BU30" s="38" t="str">
        <f>IFERROR('1.vize'!CF30*100/'1.vize'!$I30,"")</f>
        <v/>
      </c>
      <c r="BV30" s="38" t="str">
        <f>IFERROR('1.vize'!CG30*100/'1.vize'!$I30,"")</f>
        <v/>
      </c>
      <c r="BW30" s="38" t="str">
        <f>IFERROR('1.vize'!CH30*100/'1.vize'!$I30,"")</f>
        <v/>
      </c>
      <c r="BX30" s="38" t="str">
        <f>IFERROR('1.vize'!CI30*100/'1.vize'!$I30,"")</f>
        <v/>
      </c>
      <c r="BY30" s="38" t="str">
        <f>IFERROR('1.vize'!CJ30*100/'1.vize'!$I30,"")</f>
        <v/>
      </c>
      <c r="BZ30" s="38" t="str">
        <f>IFERROR('1.vize'!CK30*100/'1.vize'!$I30,"")</f>
        <v/>
      </c>
      <c r="CA30" s="38" t="str">
        <f>IFERROR('1.vize'!CL30*100/'1.vize'!$I30,"")</f>
        <v/>
      </c>
      <c r="CB30" s="38" t="str">
        <f>IFERROR('1.vize'!CM30*100/'1.vize'!$I30,"")</f>
        <v/>
      </c>
      <c r="CC30" s="38" t="str">
        <f>IFERROR('1.vize'!CN30*100/'1.vize'!$I30,"")</f>
        <v/>
      </c>
      <c r="CD30" s="38" t="str">
        <f>IFERROR('1.vize'!CO30*100/'1.vize'!$I30,"")</f>
        <v/>
      </c>
      <c r="CE30" s="38" t="str">
        <f>IFERROR('1.vize'!CP30*100/'1.vize'!$I30,"")</f>
        <v/>
      </c>
      <c r="CF30" s="38" t="str">
        <f>IFERROR('1.vize'!CQ30*100/'1.vize'!$I30,"")</f>
        <v/>
      </c>
      <c r="CG30" s="38" t="str">
        <f>IFERROR('1.vize'!CR30*100/'1.vize'!$I30,"")</f>
        <v/>
      </c>
      <c r="CH30" s="38" t="str">
        <f>IFERROR('1.vize'!CS30*100/'1.vize'!$I30,"")</f>
        <v/>
      </c>
      <c r="CI30" s="38" t="str">
        <f>IFERROR('1.vize'!CT30*100/'1.vize'!$I30,"")</f>
        <v/>
      </c>
      <c r="CJ30" s="38" t="str">
        <f>IFERROR('1.vize'!CU30*100/'1.vize'!$I30,"")</f>
        <v/>
      </c>
      <c r="CK30" s="38" t="str">
        <f>IFERROR('1.vize'!CV30*100/'1.vize'!$I30,"")</f>
        <v/>
      </c>
      <c r="CL30" s="38" t="str">
        <f>IFERROR('1.vize'!CW30*100/'1.vize'!$I30,"")</f>
        <v/>
      </c>
      <c r="CM30" s="38" t="str">
        <f>IFERROR('1.vize'!CX30*100/'1.vize'!$I30,"")</f>
        <v/>
      </c>
      <c r="CN30" s="38" t="str">
        <f>IFERROR('1.vize'!CY30*100/'1.vize'!$I30,"")</f>
        <v/>
      </c>
      <c r="CO30" s="38" t="str">
        <f>IFERROR('1.vize'!CZ30*100/'1.vize'!$I30,"")</f>
        <v/>
      </c>
      <c r="CP30" s="38" t="str">
        <f>IFERROR('1.vize'!DA30*100/'1.vize'!$I30,"")</f>
        <v/>
      </c>
      <c r="CQ30" s="38" t="str">
        <f>IFERROR('1.vize'!DB30*100/'1.vize'!$I30,"")</f>
        <v/>
      </c>
      <c r="CR30" s="38" t="str">
        <f>IFERROR('1.vize'!DC30*100/'1.vize'!$I30,"")</f>
        <v/>
      </c>
      <c r="CS30" s="38" t="str">
        <f>IFERROR('1.vize'!DD30*100/'1.vize'!$I30,"")</f>
        <v/>
      </c>
      <c r="CT30" s="38" t="str">
        <f>IFERROR('1.vize'!DE30*100/'1.vize'!$I30,"")</f>
        <v/>
      </c>
      <c r="CU30" s="38" t="str">
        <f>IFERROR('1.vize'!DF30*100/'1.vize'!$I30,"")</f>
        <v/>
      </c>
      <c r="CV30" s="38" t="str">
        <f>IFERROR('1.vize'!DG30*100/'1.vize'!$I30,"")</f>
        <v/>
      </c>
      <c r="CW30" s="32" t="str">
        <f>IFERROR(SUM(A30:CV30)/'1.vize'!$DH$103,"")</f>
        <v/>
      </c>
      <c r="CX30" s="14" t="str">
        <f>IF(COUNTA('1.vize'!A30),'1.vize'!A30,"")</f>
        <v/>
      </c>
      <c r="CY30" s="14" t="str">
        <f>IF(COUNTA('1.vize'!B30),'1.vize'!B30,"")</f>
        <v/>
      </c>
      <c r="CZ30" s="14" t="str">
        <f>IF(COUNTA('1.vize'!C30),'1.vize'!C30,"")</f>
        <v/>
      </c>
      <c r="DA30" s="14" t="str">
        <f>IF(COUNTA('1.vize'!D30),'1.vize'!D30,"")</f>
        <v/>
      </c>
      <c r="DB30" s="14" t="str">
        <f>IF(COUNTA('1.vize'!E30),'1.vize'!E30,"")</f>
        <v/>
      </c>
      <c r="DC30" s="14" t="str">
        <f>IF(COUNTA('1.vize'!F30),'1.vize'!F30,"")</f>
        <v/>
      </c>
      <c r="DD30" s="14" t="str">
        <f>IF(COUNTA('1.vize'!G30),'1.vize'!G30,"")</f>
        <v/>
      </c>
      <c r="DE30" s="14" t="str">
        <f>IF(COUNTA('1.vize'!H30),'1.vize'!H30,"")</f>
        <v/>
      </c>
      <c r="DF30" s="33"/>
    </row>
    <row r="31" spans="1:110" x14ac:dyDescent="0.2">
      <c r="A31" s="38" t="str">
        <f>IFERROR('1.vize'!L31*100/'1.vize'!$I31,"")</f>
        <v/>
      </c>
      <c r="B31" s="38" t="str">
        <f>IFERROR('1.vize'!M31*100/'1.vize'!$I31,"")</f>
        <v/>
      </c>
      <c r="C31" s="38" t="str">
        <f>IFERROR('1.vize'!N31*100/'1.vize'!$I31,"")</f>
        <v/>
      </c>
      <c r="D31" s="38" t="str">
        <f>IFERROR('1.vize'!O31*100/'1.vize'!$I31,"")</f>
        <v/>
      </c>
      <c r="E31" s="38" t="str">
        <f>IFERROR('1.vize'!P31*100/'1.vize'!$I31,"")</f>
        <v/>
      </c>
      <c r="F31" s="38" t="str">
        <f>IFERROR('1.vize'!Q31*100/'1.vize'!$I31,"")</f>
        <v/>
      </c>
      <c r="G31" s="38" t="str">
        <f>IFERROR('1.vize'!R31*100/'1.vize'!$I31,"")</f>
        <v/>
      </c>
      <c r="H31" s="38" t="str">
        <f>IFERROR('1.vize'!S31*100/'1.vize'!$I31,"")</f>
        <v/>
      </c>
      <c r="I31" s="38" t="str">
        <f>IFERROR('1.vize'!T31*100/'1.vize'!$I31,"")</f>
        <v/>
      </c>
      <c r="J31" s="38" t="str">
        <f>IFERROR('1.vize'!U31*100/'1.vize'!$I31,"")</f>
        <v/>
      </c>
      <c r="K31" s="38" t="str">
        <f>IFERROR('1.vize'!V31*100/'1.vize'!$I31,"")</f>
        <v/>
      </c>
      <c r="L31" s="38" t="str">
        <f>IFERROR('1.vize'!W31*100/'1.vize'!$I31,"")</f>
        <v/>
      </c>
      <c r="M31" s="38" t="str">
        <f>IFERROR('1.vize'!X31*100/'1.vize'!$I31,"")</f>
        <v/>
      </c>
      <c r="N31" s="38" t="str">
        <f>IFERROR('1.vize'!Y31*100/'1.vize'!$I31,"")</f>
        <v/>
      </c>
      <c r="O31" s="38" t="str">
        <f>IFERROR('1.vize'!Z31*100/'1.vize'!$I31,"")</f>
        <v/>
      </c>
      <c r="P31" s="38" t="str">
        <f>IFERROR('1.vize'!AA31*100/'1.vize'!$I31,"")</f>
        <v/>
      </c>
      <c r="Q31" s="38" t="str">
        <f>IFERROR('1.vize'!AB31*100/'1.vize'!$I31,"")</f>
        <v/>
      </c>
      <c r="R31" s="38" t="str">
        <f>IFERROR('1.vize'!AC31*100/'1.vize'!$I31,"")</f>
        <v/>
      </c>
      <c r="S31" s="38" t="str">
        <f>IFERROR('1.vize'!AD31*100/'1.vize'!$I31,"")</f>
        <v/>
      </c>
      <c r="T31" s="38" t="str">
        <f>IFERROR('1.vize'!AE31*100/'1.vize'!$I31,"")</f>
        <v/>
      </c>
      <c r="U31" s="38" t="str">
        <f>IFERROR('1.vize'!AF31*100/'1.vize'!$I31,"")</f>
        <v/>
      </c>
      <c r="V31" s="38" t="str">
        <f>IFERROR('1.vize'!AG31*100/'1.vize'!$I31,"")</f>
        <v/>
      </c>
      <c r="W31" s="38" t="str">
        <f>IFERROR('1.vize'!AH31*100/'1.vize'!$I31,"")</f>
        <v/>
      </c>
      <c r="X31" s="38" t="str">
        <f>IFERROR('1.vize'!AI31*100/'1.vize'!$I31,"")</f>
        <v/>
      </c>
      <c r="Y31" s="38" t="str">
        <f>IFERROR('1.vize'!AJ31*100/'1.vize'!$I31,"")</f>
        <v/>
      </c>
      <c r="Z31" s="38" t="str">
        <f>IFERROR('1.vize'!AK31*100/'1.vize'!$I31,"")</f>
        <v/>
      </c>
      <c r="AA31" s="38" t="str">
        <f>IFERROR('1.vize'!AL31*100/'1.vize'!$I31,"")</f>
        <v/>
      </c>
      <c r="AB31" s="38" t="str">
        <f>IFERROR('1.vize'!AM31*100/'1.vize'!$I31,"")</f>
        <v/>
      </c>
      <c r="AC31" s="38" t="str">
        <f>IFERROR('1.vize'!AN31*100/'1.vize'!$I31,"")</f>
        <v/>
      </c>
      <c r="AD31" s="38" t="str">
        <f>IFERROR('1.vize'!AO31*100/'1.vize'!$I31,"")</f>
        <v/>
      </c>
      <c r="AE31" s="38" t="str">
        <f>IFERROR('1.vize'!AP31*100/'1.vize'!$I31,"")</f>
        <v/>
      </c>
      <c r="AF31" s="38" t="str">
        <f>IFERROR('1.vize'!AQ31*100/'1.vize'!$I31,"")</f>
        <v/>
      </c>
      <c r="AG31" s="38" t="str">
        <f>IFERROR('1.vize'!AR31*100/'1.vize'!$I31,"")</f>
        <v/>
      </c>
      <c r="AH31" s="38" t="str">
        <f>IFERROR('1.vize'!AS31*100/'1.vize'!$I31,"")</f>
        <v/>
      </c>
      <c r="AI31" s="38" t="str">
        <f>IFERROR('1.vize'!AT31*100/'1.vize'!$I31,"")</f>
        <v/>
      </c>
      <c r="AJ31" s="38" t="str">
        <f>IFERROR('1.vize'!AU31*100/'1.vize'!$I31,"")</f>
        <v/>
      </c>
      <c r="AK31" s="38" t="str">
        <f>IFERROR('1.vize'!AV31*100/'1.vize'!$I31,"")</f>
        <v/>
      </c>
      <c r="AL31" s="38" t="str">
        <f>IFERROR('1.vize'!AW31*100/'1.vize'!$I31,"")</f>
        <v/>
      </c>
      <c r="AM31" s="38" t="str">
        <f>IFERROR('1.vize'!AX31*100/'1.vize'!$I31,"")</f>
        <v/>
      </c>
      <c r="AN31" s="38" t="str">
        <f>IFERROR('1.vize'!AY31*100/'1.vize'!$I31,"")</f>
        <v/>
      </c>
      <c r="AO31" s="38" t="str">
        <f>IFERROR('1.vize'!AZ31*100/'1.vize'!$I31,"")</f>
        <v/>
      </c>
      <c r="AP31" s="38" t="str">
        <f>IFERROR('1.vize'!BA31*100/'1.vize'!$I31,"")</f>
        <v/>
      </c>
      <c r="AQ31" s="38" t="str">
        <f>IFERROR('1.vize'!BB31*100/'1.vize'!$I31,"")</f>
        <v/>
      </c>
      <c r="AR31" s="38" t="str">
        <f>IFERROR('1.vize'!BC31*100/'1.vize'!$I31,"")</f>
        <v/>
      </c>
      <c r="AS31" s="38" t="str">
        <f>IFERROR('1.vize'!BD31*100/'1.vize'!$I31,"")</f>
        <v/>
      </c>
      <c r="AT31" s="38" t="str">
        <f>IFERROR('1.vize'!BE31*100/'1.vize'!$I31,"")</f>
        <v/>
      </c>
      <c r="AU31" s="38" t="str">
        <f>IFERROR('1.vize'!BF31*100/'1.vize'!$I31,"")</f>
        <v/>
      </c>
      <c r="AV31" s="38" t="str">
        <f>IFERROR('1.vize'!BG31*100/'1.vize'!$I31,"")</f>
        <v/>
      </c>
      <c r="AW31" s="38" t="str">
        <f>IFERROR('1.vize'!BH31*100/'1.vize'!$I31,"")</f>
        <v/>
      </c>
      <c r="AX31" s="38" t="str">
        <f>IFERROR('1.vize'!BI31*100/'1.vize'!$I31,"")</f>
        <v/>
      </c>
      <c r="AY31" s="38" t="str">
        <f>IFERROR('1.vize'!BJ31*100/'1.vize'!$I31,"")</f>
        <v/>
      </c>
      <c r="AZ31" s="38" t="str">
        <f>IFERROR('1.vize'!BK31*100/'1.vize'!$I31,"")</f>
        <v/>
      </c>
      <c r="BA31" s="38" t="str">
        <f>IFERROR('1.vize'!BL31*100/'1.vize'!$I31,"")</f>
        <v/>
      </c>
      <c r="BB31" s="38" t="str">
        <f>IFERROR('1.vize'!BM31*100/'1.vize'!$I31,"")</f>
        <v/>
      </c>
      <c r="BC31" s="38" t="str">
        <f>IFERROR('1.vize'!BN31*100/'1.vize'!$I31,"")</f>
        <v/>
      </c>
      <c r="BD31" s="38" t="str">
        <f>IFERROR('1.vize'!BO31*100/'1.vize'!$I31,"")</f>
        <v/>
      </c>
      <c r="BE31" s="38" t="str">
        <f>IFERROR('1.vize'!BP31*100/'1.vize'!$I31,"")</f>
        <v/>
      </c>
      <c r="BF31" s="38" t="str">
        <f>IFERROR('1.vize'!BQ31*100/'1.vize'!$I31,"")</f>
        <v/>
      </c>
      <c r="BG31" s="38" t="str">
        <f>IFERROR('1.vize'!BR31*100/'1.vize'!$I31,"")</f>
        <v/>
      </c>
      <c r="BH31" s="38" t="str">
        <f>IFERROR('1.vize'!BS31*100/'1.vize'!$I31,"")</f>
        <v/>
      </c>
      <c r="BI31" s="38" t="str">
        <f>IFERROR('1.vize'!BT31*100/'1.vize'!$I31,"")</f>
        <v/>
      </c>
      <c r="BJ31" s="38" t="str">
        <f>IFERROR('1.vize'!BU31*100/'1.vize'!$I31,"")</f>
        <v/>
      </c>
      <c r="BK31" s="38" t="str">
        <f>IFERROR('1.vize'!BV31*100/'1.vize'!$I31,"")</f>
        <v/>
      </c>
      <c r="BL31" s="38" t="str">
        <f>IFERROR('1.vize'!BW31*100/'1.vize'!$I31,"")</f>
        <v/>
      </c>
      <c r="BM31" s="38" t="str">
        <f>IFERROR('1.vize'!BX31*100/'1.vize'!$I31,"")</f>
        <v/>
      </c>
      <c r="BN31" s="38" t="str">
        <f>IFERROR('1.vize'!BY31*100/'1.vize'!$I31,"")</f>
        <v/>
      </c>
      <c r="BO31" s="38" t="str">
        <f>IFERROR('1.vize'!BZ31*100/'1.vize'!$I31,"")</f>
        <v/>
      </c>
      <c r="BP31" s="38" t="str">
        <f>IFERROR('1.vize'!CA31*100/'1.vize'!$I31,"")</f>
        <v/>
      </c>
      <c r="BQ31" s="38" t="str">
        <f>IFERROR('1.vize'!CB31*100/'1.vize'!$I31,"")</f>
        <v/>
      </c>
      <c r="BR31" s="38" t="str">
        <f>IFERROR('1.vize'!CC31*100/'1.vize'!$I31,"")</f>
        <v/>
      </c>
      <c r="BS31" s="38" t="str">
        <f>IFERROR('1.vize'!CD31*100/'1.vize'!$I31,"")</f>
        <v/>
      </c>
      <c r="BT31" s="38" t="str">
        <f>IFERROR('1.vize'!CE31*100/'1.vize'!$I31,"")</f>
        <v/>
      </c>
      <c r="BU31" s="38" t="str">
        <f>IFERROR('1.vize'!CF31*100/'1.vize'!$I31,"")</f>
        <v/>
      </c>
      <c r="BV31" s="38" t="str">
        <f>IFERROR('1.vize'!CG31*100/'1.vize'!$I31,"")</f>
        <v/>
      </c>
      <c r="BW31" s="38" t="str">
        <f>IFERROR('1.vize'!CH31*100/'1.vize'!$I31,"")</f>
        <v/>
      </c>
      <c r="BX31" s="38" t="str">
        <f>IFERROR('1.vize'!CI31*100/'1.vize'!$I31,"")</f>
        <v/>
      </c>
      <c r="BY31" s="38" t="str">
        <f>IFERROR('1.vize'!CJ31*100/'1.vize'!$I31,"")</f>
        <v/>
      </c>
      <c r="BZ31" s="38" t="str">
        <f>IFERROR('1.vize'!CK31*100/'1.vize'!$I31,"")</f>
        <v/>
      </c>
      <c r="CA31" s="38" t="str">
        <f>IFERROR('1.vize'!CL31*100/'1.vize'!$I31,"")</f>
        <v/>
      </c>
      <c r="CB31" s="38" t="str">
        <f>IFERROR('1.vize'!CM31*100/'1.vize'!$I31,"")</f>
        <v/>
      </c>
      <c r="CC31" s="38" t="str">
        <f>IFERROR('1.vize'!CN31*100/'1.vize'!$I31,"")</f>
        <v/>
      </c>
      <c r="CD31" s="38" t="str">
        <f>IFERROR('1.vize'!CO31*100/'1.vize'!$I31,"")</f>
        <v/>
      </c>
      <c r="CE31" s="38" t="str">
        <f>IFERROR('1.vize'!CP31*100/'1.vize'!$I31,"")</f>
        <v/>
      </c>
      <c r="CF31" s="38" t="str">
        <f>IFERROR('1.vize'!CQ31*100/'1.vize'!$I31,"")</f>
        <v/>
      </c>
      <c r="CG31" s="38" t="str">
        <f>IFERROR('1.vize'!CR31*100/'1.vize'!$I31,"")</f>
        <v/>
      </c>
      <c r="CH31" s="38" t="str">
        <f>IFERROR('1.vize'!CS31*100/'1.vize'!$I31,"")</f>
        <v/>
      </c>
      <c r="CI31" s="38" t="str">
        <f>IFERROR('1.vize'!CT31*100/'1.vize'!$I31,"")</f>
        <v/>
      </c>
      <c r="CJ31" s="38" t="str">
        <f>IFERROR('1.vize'!CU31*100/'1.vize'!$I31,"")</f>
        <v/>
      </c>
      <c r="CK31" s="38" t="str">
        <f>IFERROR('1.vize'!CV31*100/'1.vize'!$I31,"")</f>
        <v/>
      </c>
      <c r="CL31" s="38" t="str">
        <f>IFERROR('1.vize'!CW31*100/'1.vize'!$I31,"")</f>
        <v/>
      </c>
      <c r="CM31" s="38" t="str">
        <f>IFERROR('1.vize'!CX31*100/'1.vize'!$I31,"")</f>
        <v/>
      </c>
      <c r="CN31" s="38" t="str">
        <f>IFERROR('1.vize'!CY31*100/'1.vize'!$I31,"")</f>
        <v/>
      </c>
      <c r="CO31" s="38" t="str">
        <f>IFERROR('1.vize'!CZ31*100/'1.vize'!$I31,"")</f>
        <v/>
      </c>
      <c r="CP31" s="38" t="str">
        <f>IFERROR('1.vize'!DA31*100/'1.vize'!$I31,"")</f>
        <v/>
      </c>
      <c r="CQ31" s="38" t="str">
        <f>IFERROR('1.vize'!DB31*100/'1.vize'!$I31,"")</f>
        <v/>
      </c>
      <c r="CR31" s="38" t="str">
        <f>IFERROR('1.vize'!DC31*100/'1.vize'!$I31,"")</f>
        <v/>
      </c>
      <c r="CS31" s="38" t="str">
        <f>IFERROR('1.vize'!DD31*100/'1.vize'!$I31,"")</f>
        <v/>
      </c>
      <c r="CT31" s="38" t="str">
        <f>IFERROR('1.vize'!DE31*100/'1.vize'!$I31,"")</f>
        <v/>
      </c>
      <c r="CU31" s="38" t="str">
        <f>IFERROR('1.vize'!DF31*100/'1.vize'!$I31,"")</f>
        <v/>
      </c>
      <c r="CV31" s="38" t="str">
        <f>IFERROR('1.vize'!DG31*100/'1.vize'!$I31,"")</f>
        <v/>
      </c>
      <c r="CW31" s="32" t="str">
        <f>IFERROR(SUM(A31:CV31)/'1.vize'!$DH$103,"")</f>
        <v/>
      </c>
      <c r="CX31" s="14" t="str">
        <f>IF(COUNTA('1.vize'!A31),'1.vize'!A31,"")</f>
        <v/>
      </c>
      <c r="CY31" s="14" t="str">
        <f>IF(COUNTA('1.vize'!B31),'1.vize'!B31,"")</f>
        <v/>
      </c>
      <c r="CZ31" s="14" t="str">
        <f>IF(COUNTA('1.vize'!C31),'1.vize'!C31,"")</f>
        <v/>
      </c>
      <c r="DA31" s="14" t="str">
        <f>IF(COUNTA('1.vize'!D31),'1.vize'!D31,"")</f>
        <v/>
      </c>
      <c r="DB31" s="14" t="str">
        <f>IF(COUNTA('1.vize'!E31),'1.vize'!E31,"")</f>
        <v/>
      </c>
      <c r="DC31" s="14" t="str">
        <f>IF(COUNTA('1.vize'!F31),'1.vize'!F31,"")</f>
        <v/>
      </c>
      <c r="DD31" s="14" t="str">
        <f>IF(COUNTA('1.vize'!G31),'1.vize'!G31,"")</f>
        <v/>
      </c>
      <c r="DE31" s="14" t="str">
        <f>IF(COUNTA('1.vize'!H31),'1.vize'!H31,"")</f>
        <v/>
      </c>
      <c r="DF31" s="33"/>
    </row>
    <row r="32" spans="1:110" x14ac:dyDescent="0.2">
      <c r="A32" s="38" t="str">
        <f>IFERROR('1.vize'!L32*100/'1.vize'!$I32,"")</f>
        <v/>
      </c>
      <c r="B32" s="38" t="str">
        <f>IFERROR('1.vize'!M32*100/'1.vize'!$I32,"")</f>
        <v/>
      </c>
      <c r="C32" s="38" t="str">
        <f>IFERROR('1.vize'!N32*100/'1.vize'!$I32,"")</f>
        <v/>
      </c>
      <c r="D32" s="38" t="str">
        <f>IFERROR('1.vize'!O32*100/'1.vize'!$I32,"")</f>
        <v/>
      </c>
      <c r="E32" s="38" t="str">
        <f>IFERROR('1.vize'!P32*100/'1.vize'!$I32,"")</f>
        <v/>
      </c>
      <c r="F32" s="38" t="str">
        <f>IFERROR('1.vize'!Q32*100/'1.vize'!$I32,"")</f>
        <v/>
      </c>
      <c r="G32" s="38" t="str">
        <f>IFERROR('1.vize'!R32*100/'1.vize'!$I32,"")</f>
        <v/>
      </c>
      <c r="H32" s="38" t="str">
        <f>IFERROR('1.vize'!S32*100/'1.vize'!$I32,"")</f>
        <v/>
      </c>
      <c r="I32" s="38" t="str">
        <f>IFERROR('1.vize'!T32*100/'1.vize'!$I32,"")</f>
        <v/>
      </c>
      <c r="J32" s="38" t="str">
        <f>IFERROR('1.vize'!U32*100/'1.vize'!$I32,"")</f>
        <v/>
      </c>
      <c r="K32" s="38" t="str">
        <f>IFERROR('1.vize'!V32*100/'1.vize'!$I32,"")</f>
        <v/>
      </c>
      <c r="L32" s="38" t="str">
        <f>IFERROR('1.vize'!W32*100/'1.vize'!$I32,"")</f>
        <v/>
      </c>
      <c r="M32" s="38" t="str">
        <f>IFERROR('1.vize'!X32*100/'1.vize'!$I32,"")</f>
        <v/>
      </c>
      <c r="N32" s="38" t="str">
        <f>IFERROR('1.vize'!Y32*100/'1.vize'!$I32,"")</f>
        <v/>
      </c>
      <c r="O32" s="38" t="str">
        <f>IFERROR('1.vize'!Z32*100/'1.vize'!$I32,"")</f>
        <v/>
      </c>
      <c r="P32" s="38" t="str">
        <f>IFERROR('1.vize'!AA32*100/'1.vize'!$I32,"")</f>
        <v/>
      </c>
      <c r="Q32" s="38" t="str">
        <f>IFERROR('1.vize'!AB32*100/'1.vize'!$I32,"")</f>
        <v/>
      </c>
      <c r="R32" s="38" t="str">
        <f>IFERROR('1.vize'!AC32*100/'1.vize'!$I32,"")</f>
        <v/>
      </c>
      <c r="S32" s="38" t="str">
        <f>IFERROR('1.vize'!AD32*100/'1.vize'!$I32,"")</f>
        <v/>
      </c>
      <c r="T32" s="38" t="str">
        <f>IFERROR('1.vize'!AE32*100/'1.vize'!$I32,"")</f>
        <v/>
      </c>
      <c r="U32" s="38" t="str">
        <f>IFERROR('1.vize'!AF32*100/'1.vize'!$I32,"")</f>
        <v/>
      </c>
      <c r="V32" s="38" t="str">
        <f>IFERROR('1.vize'!AG32*100/'1.vize'!$I32,"")</f>
        <v/>
      </c>
      <c r="W32" s="38" t="str">
        <f>IFERROR('1.vize'!AH32*100/'1.vize'!$I32,"")</f>
        <v/>
      </c>
      <c r="X32" s="38" t="str">
        <f>IFERROR('1.vize'!AI32*100/'1.vize'!$I32,"")</f>
        <v/>
      </c>
      <c r="Y32" s="38" t="str">
        <f>IFERROR('1.vize'!AJ32*100/'1.vize'!$I32,"")</f>
        <v/>
      </c>
      <c r="Z32" s="38" t="str">
        <f>IFERROR('1.vize'!AK32*100/'1.vize'!$I32,"")</f>
        <v/>
      </c>
      <c r="AA32" s="38" t="str">
        <f>IFERROR('1.vize'!AL32*100/'1.vize'!$I32,"")</f>
        <v/>
      </c>
      <c r="AB32" s="38" t="str">
        <f>IFERROR('1.vize'!AM32*100/'1.vize'!$I32,"")</f>
        <v/>
      </c>
      <c r="AC32" s="38" t="str">
        <f>IFERROR('1.vize'!AN32*100/'1.vize'!$I32,"")</f>
        <v/>
      </c>
      <c r="AD32" s="38" t="str">
        <f>IFERROR('1.vize'!AO32*100/'1.vize'!$I32,"")</f>
        <v/>
      </c>
      <c r="AE32" s="38" t="str">
        <f>IFERROR('1.vize'!AP32*100/'1.vize'!$I32,"")</f>
        <v/>
      </c>
      <c r="AF32" s="38" t="str">
        <f>IFERROR('1.vize'!AQ32*100/'1.vize'!$I32,"")</f>
        <v/>
      </c>
      <c r="AG32" s="38" t="str">
        <f>IFERROR('1.vize'!AR32*100/'1.vize'!$I32,"")</f>
        <v/>
      </c>
      <c r="AH32" s="38" t="str">
        <f>IFERROR('1.vize'!AS32*100/'1.vize'!$I32,"")</f>
        <v/>
      </c>
      <c r="AI32" s="38" t="str">
        <f>IFERROR('1.vize'!AT32*100/'1.vize'!$I32,"")</f>
        <v/>
      </c>
      <c r="AJ32" s="38" t="str">
        <f>IFERROR('1.vize'!AU32*100/'1.vize'!$I32,"")</f>
        <v/>
      </c>
      <c r="AK32" s="38" t="str">
        <f>IFERROR('1.vize'!AV32*100/'1.vize'!$I32,"")</f>
        <v/>
      </c>
      <c r="AL32" s="38" t="str">
        <f>IFERROR('1.vize'!AW32*100/'1.vize'!$I32,"")</f>
        <v/>
      </c>
      <c r="AM32" s="38" t="str">
        <f>IFERROR('1.vize'!AX32*100/'1.vize'!$I32,"")</f>
        <v/>
      </c>
      <c r="AN32" s="38" t="str">
        <f>IFERROR('1.vize'!AY32*100/'1.vize'!$I32,"")</f>
        <v/>
      </c>
      <c r="AO32" s="38" t="str">
        <f>IFERROR('1.vize'!AZ32*100/'1.vize'!$I32,"")</f>
        <v/>
      </c>
      <c r="AP32" s="38" t="str">
        <f>IFERROR('1.vize'!BA32*100/'1.vize'!$I32,"")</f>
        <v/>
      </c>
      <c r="AQ32" s="38" t="str">
        <f>IFERROR('1.vize'!BB32*100/'1.vize'!$I32,"")</f>
        <v/>
      </c>
      <c r="AR32" s="38" t="str">
        <f>IFERROR('1.vize'!BC32*100/'1.vize'!$I32,"")</f>
        <v/>
      </c>
      <c r="AS32" s="38" t="str">
        <f>IFERROR('1.vize'!BD32*100/'1.vize'!$I32,"")</f>
        <v/>
      </c>
      <c r="AT32" s="38" t="str">
        <f>IFERROR('1.vize'!BE32*100/'1.vize'!$I32,"")</f>
        <v/>
      </c>
      <c r="AU32" s="38" t="str">
        <f>IFERROR('1.vize'!BF32*100/'1.vize'!$I32,"")</f>
        <v/>
      </c>
      <c r="AV32" s="38" t="str">
        <f>IFERROR('1.vize'!BG32*100/'1.vize'!$I32,"")</f>
        <v/>
      </c>
      <c r="AW32" s="38" t="str">
        <f>IFERROR('1.vize'!BH32*100/'1.vize'!$I32,"")</f>
        <v/>
      </c>
      <c r="AX32" s="38" t="str">
        <f>IFERROR('1.vize'!BI32*100/'1.vize'!$I32,"")</f>
        <v/>
      </c>
      <c r="AY32" s="38" t="str">
        <f>IFERROR('1.vize'!BJ32*100/'1.vize'!$I32,"")</f>
        <v/>
      </c>
      <c r="AZ32" s="38" t="str">
        <f>IFERROR('1.vize'!BK32*100/'1.vize'!$I32,"")</f>
        <v/>
      </c>
      <c r="BA32" s="38" t="str">
        <f>IFERROR('1.vize'!BL32*100/'1.vize'!$I32,"")</f>
        <v/>
      </c>
      <c r="BB32" s="38" t="str">
        <f>IFERROR('1.vize'!BM32*100/'1.vize'!$I32,"")</f>
        <v/>
      </c>
      <c r="BC32" s="38" t="str">
        <f>IFERROR('1.vize'!BN32*100/'1.vize'!$I32,"")</f>
        <v/>
      </c>
      <c r="BD32" s="38" t="str">
        <f>IFERROR('1.vize'!BO32*100/'1.vize'!$I32,"")</f>
        <v/>
      </c>
      <c r="BE32" s="38" t="str">
        <f>IFERROR('1.vize'!BP32*100/'1.vize'!$I32,"")</f>
        <v/>
      </c>
      <c r="BF32" s="38" t="str">
        <f>IFERROR('1.vize'!BQ32*100/'1.vize'!$I32,"")</f>
        <v/>
      </c>
      <c r="BG32" s="38" t="str">
        <f>IFERROR('1.vize'!BR32*100/'1.vize'!$I32,"")</f>
        <v/>
      </c>
      <c r="BH32" s="38" t="str">
        <f>IFERROR('1.vize'!BS32*100/'1.vize'!$I32,"")</f>
        <v/>
      </c>
      <c r="BI32" s="38" t="str">
        <f>IFERROR('1.vize'!BT32*100/'1.vize'!$I32,"")</f>
        <v/>
      </c>
      <c r="BJ32" s="38" t="str">
        <f>IFERROR('1.vize'!BU32*100/'1.vize'!$I32,"")</f>
        <v/>
      </c>
      <c r="BK32" s="38" t="str">
        <f>IFERROR('1.vize'!BV32*100/'1.vize'!$I32,"")</f>
        <v/>
      </c>
      <c r="BL32" s="38" t="str">
        <f>IFERROR('1.vize'!BW32*100/'1.vize'!$I32,"")</f>
        <v/>
      </c>
      <c r="BM32" s="38" t="str">
        <f>IFERROR('1.vize'!BX32*100/'1.vize'!$I32,"")</f>
        <v/>
      </c>
      <c r="BN32" s="38" t="str">
        <f>IFERROR('1.vize'!BY32*100/'1.vize'!$I32,"")</f>
        <v/>
      </c>
      <c r="BO32" s="38" t="str">
        <f>IFERROR('1.vize'!BZ32*100/'1.vize'!$I32,"")</f>
        <v/>
      </c>
      <c r="BP32" s="38" t="str">
        <f>IFERROR('1.vize'!CA32*100/'1.vize'!$I32,"")</f>
        <v/>
      </c>
      <c r="BQ32" s="38" t="str">
        <f>IFERROR('1.vize'!CB32*100/'1.vize'!$I32,"")</f>
        <v/>
      </c>
      <c r="BR32" s="38" t="str">
        <f>IFERROR('1.vize'!CC32*100/'1.vize'!$I32,"")</f>
        <v/>
      </c>
      <c r="BS32" s="38" t="str">
        <f>IFERROR('1.vize'!CD32*100/'1.vize'!$I32,"")</f>
        <v/>
      </c>
      <c r="BT32" s="38" t="str">
        <f>IFERROR('1.vize'!CE32*100/'1.vize'!$I32,"")</f>
        <v/>
      </c>
      <c r="BU32" s="38" t="str">
        <f>IFERROR('1.vize'!CF32*100/'1.vize'!$I32,"")</f>
        <v/>
      </c>
      <c r="BV32" s="38" t="str">
        <f>IFERROR('1.vize'!CG32*100/'1.vize'!$I32,"")</f>
        <v/>
      </c>
      <c r="BW32" s="38" t="str">
        <f>IFERROR('1.vize'!CH32*100/'1.vize'!$I32,"")</f>
        <v/>
      </c>
      <c r="BX32" s="38" t="str">
        <f>IFERROR('1.vize'!CI32*100/'1.vize'!$I32,"")</f>
        <v/>
      </c>
      <c r="BY32" s="38" t="str">
        <f>IFERROR('1.vize'!CJ32*100/'1.vize'!$I32,"")</f>
        <v/>
      </c>
      <c r="BZ32" s="38" t="str">
        <f>IFERROR('1.vize'!CK32*100/'1.vize'!$I32,"")</f>
        <v/>
      </c>
      <c r="CA32" s="38" t="str">
        <f>IFERROR('1.vize'!CL32*100/'1.vize'!$I32,"")</f>
        <v/>
      </c>
      <c r="CB32" s="38" t="str">
        <f>IFERROR('1.vize'!CM32*100/'1.vize'!$I32,"")</f>
        <v/>
      </c>
      <c r="CC32" s="38" t="str">
        <f>IFERROR('1.vize'!CN32*100/'1.vize'!$I32,"")</f>
        <v/>
      </c>
      <c r="CD32" s="38" t="str">
        <f>IFERROR('1.vize'!CO32*100/'1.vize'!$I32,"")</f>
        <v/>
      </c>
      <c r="CE32" s="38" t="str">
        <f>IFERROR('1.vize'!CP32*100/'1.vize'!$I32,"")</f>
        <v/>
      </c>
      <c r="CF32" s="38" t="str">
        <f>IFERROR('1.vize'!CQ32*100/'1.vize'!$I32,"")</f>
        <v/>
      </c>
      <c r="CG32" s="38" t="str">
        <f>IFERROR('1.vize'!CR32*100/'1.vize'!$I32,"")</f>
        <v/>
      </c>
      <c r="CH32" s="38" t="str">
        <f>IFERROR('1.vize'!CS32*100/'1.vize'!$I32,"")</f>
        <v/>
      </c>
      <c r="CI32" s="38" t="str">
        <f>IFERROR('1.vize'!CT32*100/'1.vize'!$I32,"")</f>
        <v/>
      </c>
      <c r="CJ32" s="38" t="str">
        <f>IFERROR('1.vize'!CU32*100/'1.vize'!$I32,"")</f>
        <v/>
      </c>
      <c r="CK32" s="38" t="str">
        <f>IFERROR('1.vize'!CV32*100/'1.vize'!$I32,"")</f>
        <v/>
      </c>
      <c r="CL32" s="38" t="str">
        <f>IFERROR('1.vize'!CW32*100/'1.vize'!$I32,"")</f>
        <v/>
      </c>
      <c r="CM32" s="38" t="str">
        <f>IFERROR('1.vize'!CX32*100/'1.vize'!$I32,"")</f>
        <v/>
      </c>
      <c r="CN32" s="38" t="str">
        <f>IFERROR('1.vize'!CY32*100/'1.vize'!$I32,"")</f>
        <v/>
      </c>
      <c r="CO32" s="38" t="str">
        <f>IFERROR('1.vize'!CZ32*100/'1.vize'!$I32,"")</f>
        <v/>
      </c>
      <c r="CP32" s="38" t="str">
        <f>IFERROR('1.vize'!DA32*100/'1.vize'!$I32,"")</f>
        <v/>
      </c>
      <c r="CQ32" s="38" t="str">
        <f>IFERROR('1.vize'!DB32*100/'1.vize'!$I32,"")</f>
        <v/>
      </c>
      <c r="CR32" s="38" t="str">
        <f>IFERROR('1.vize'!DC32*100/'1.vize'!$I32,"")</f>
        <v/>
      </c>
      <c r="CS32" s="38" t="str">
        <f>IFERROR('1.vize'!DD32*100/'1.vize'!$I32,"")</f>
        <v/>
      </c>
      <c r="CT32" s="38" t="str">
        <f>IFERROR('1.vize'!DE32*100/'1.vize'!$I32,"")</f>
        <v/>
      </c>
      <c r="CU32" s="38" t="str">
        <f>IFERROR('1.vize'!DF32*100/'1.vize'!$I32,"")</f>
        <v/>
      </c>
      <c r="CV32" s="38" t="str">
        <f>IFERROR('1.vize'!DG32*100/'1.vize'!$I32,"")</f>
        <v/>
      </c>
      <c r="CW32" s="32" t="str">
        <f>IFERROR(SUM(A32:CV32)/'1.vize'!$DH$103,"")</f>
        <v/>
      </c>
      <c r="CX32" s="14" t="str">
        <f>IF(COUNTA('1.vize'!A32),'1.vize'!A32,"")</f>
        <v/>
      </c>
      <c r="CY32" s="14" t="str">
        <f>IF(COUNTA('1.vize'!B32),'1.vize'!B32,"")</f>
        <v/>
      </c>
      <c r="CZ32" s="14" t="str">
        <f>IF(COUNTA('1.vize'!C32),'1.vize'!C32,"")</f>
        <v/>
      </c>
      <c r="DA32" s="14" t="str">
        <f>IF(COUNTA('1.vize'!D32),'1.vize'!D32,"")</f>
        <v/>
      </c>
      <c r="DB32" s="14" t="str">
        <f>IF(COUNTA('1.vize'!E32),'1.vize'!E32,"")</f>
        <v/>
      </c>
      <c r="DC32" s="14" t="str">
        <f>IF(COUNTA('1.vize'!F32),'1.vize'!F32,"")</f>
        <v/>
      </c>
      <c r="DD32" s="14" t="str">
        <f>IF(COUNTA('1.vize'!G32),'1.vize'!G32,"")</f>
        <v/>
      </c>
      <c r="DE32" s="14" t="str">
        <f>IF(COUNTA('1.vize'!H32),'1.vize'!H32,"")</f>
        <v/>
      </c>
      <c r="DF32" s="33"/>
    </row>
    <row r="33" spans="1:110" x14ac:dyDescent="0.2">
      <c r="A33" s="38" t="str">
        <f>IFERROR('1.vize'!L33*100/'1.vize'!$I33,"")</f>
        <v/>
      </c>
      <c r="B33" s="38" t="str">
        <f>IFERROR('1.vize'!M33*100/'1.vize'!$I33,"")</f>
        <v/>
      </c>
      <c r="C33" s="38" t="str">
        <f>IFERROR('1.vize'!N33*100/'1.vize'!$I33,"")</f>
        <v/>
      </c>
      <c r="D33" s="38" t="str">
        <f>IFERROR('1.vize'!O33*100/'1.vize'!$I33,"")</f>
        <v/>
      </c>
      <c r="E33" s="38" t="str">
        <f>IFERROR('1.vize'!P33*100/'1.vize'!$I33,"")</f>
        <v/>
      </c>
      <c r="F33" s="38" t="str">
        <f>IFERROR('1.vize'!Q33*100/'1.vize'!$I33,"")</f>
        <v/>
      </c>
      <c r="G33" s="38" t="str">
        <f>IFERROR('1.vize'!R33*100/'1.vize'!$I33,"")</f>
        <v/>
      </c>
      <c r="H33" s="38" t="str">
        <f>IFERROR('1.vize'!S33*100/'1.vize'!$I33,"")</f>
        <v/>
      </c>
      <c r="I33" s="38" t="str">
        <f>IFERROR('1.vize'!T33*100/'1.vize'!$I33,"")</f>
        <v/>
      </c>
      <c r="J33" s="38" t="str">
        <f>IFERROR('1.vize'!U33*100/'1.vize'!$I33,"")</f>
        <v/>
      </c>
      <c r="K33" s="38" t="str">
        <f>IFERROR('1.vize'!V33*100/'1.vize'!$I33,"")</f>
        <v/>
      </c>
      <c r="L33" s="38" t="str">
        <f>IFERROR('1.vize'!W33*100/'1.vize'!$I33,"")</f>
        <v/>
      </c>
      <c r="M33" s="38" t="str">
        <f>IFERROR('1.vize'!X33*100/'1.vize'!$I33,"")</f>
        <v/>
      </c>
      <c r="N33" s="38" t="str">
        <f>IFERROR('1.vize'!Y33*100/'1.vize'!$I33,"")</f>
        <v/>
      </c>
      <c r="O33" s="38" t="str">
        <f>IFERROR('1.vize'!Z33*100/'1.vize'!$I33,"")</f>
        <v/>
      </c>
      <c r="P33" s="38" t="str">
        <f>IFERROR('1.vize'!AA33*100/'1.vize'!$I33,"")</f>
        <v/>
      </c>
      <c r="Q33" s="38" t="str">
        <f>IFERROR('1.vize'!AB33*100/'1.vize'!$I33,"")</f>
        <v/>
      </c>
      <c r="R33" s="38" t="str">
        <f>IFERROR('1.vize'!AC33*100/'1.vize'!$I33,"")</f>
        <v/>
      </c>
      <c r="S33" s="38" t="str">
        <f>IFERROR('1.vize'!AD33*100/'1.vize'!$I33,"")</f>
        <v/>
      </c>
      <c r="T33" s="38" t="str">
        <f>IFERROR('1.vize'!AE33*100/'1.vize'!$I33,"")</f>
        <v/>
      </c>
      <c r="U33" s="38" t="str">
        <f>IFERROR('1.vize'!AF33*100/'1.vize'!$I33,"")</f>
        <v/>
      </c>
      <c r="V33" s="38" t="str">
        <f>IFERROR('1.vize'!AG33*100/'1.vize'!$I33,"")</f>
        <v/>
      </c>
      <c r="W33" s="38" t="str">
        <f>IFERROR('1.vize'!AH33*100/'1.vize'!$I33,"")</f>
        <v/>
      </c>
      <c r="X33" s="38" t="str">
        <f>IFERROR('1.vize'!AI33*100/'1.vize'!$I33,"")</f>
        <v/>
      </c>
      <c r="Y33" s="38" t="str">
        <f>IFERROR('1.vize'!AJ33*100/'1.vize'!$I33,"")</f>
        <v/>
      </c>
      <c r="Z33" s="38" t="str">
        <f>IFERROR('1.vize'!AK33*100/'1.vize'!$I33,"")</f>
        <v/>
      </c>
      <c r="AA33" s="38" t="str">
        <f>IFERROR('1.vize'!AL33*100/'1.vize'!$I33,"")</f>
        <v/>
      </c>
      <c r="AB33" s="38" t="str">
        <f>IFERROR('1.vize'!AM33*100/'1.vize'!$I33,"")</f>
        <v/>
      </c>
      <c r="AC33" s="38" t="str">
        <f>IFERROR('1.vize'!AN33*100/'1.vize'!$I33,"")</f>
        <v/>
      </c>
      <c r="AD33" s="38" t="str">
        <f>IFERROR('1.vize'!AO33*100/'1.vize'!$I33,"")</f>
        <v/>
      </c>
      <c r="AE33" s="38" t="str">
        <f>IFERROR('1.vize'!AP33*100/'1.vize'!$I33,"")</f>
        <v/>
      </c>
      <c r="AF33" s="38" t="str">
        <f>IFERROR('1.vize'!AQ33*100/'1.vize'!$I33,"")</f>
        <v/>
      </c>
      <c r="AG33" s="38" t="str">
        <f>IFERROR('1.vize'!AR33*100/'1.vize'!$I33,"")</f>
        <v/>
      </c>
      <c r="AH33" s="38" t="str">
        <f>IFERROR('1.vize'!AS33*100/'1.vize'!$I33,"")</f>
        <v/>
      </c>
      <c r="AI33" s="38" t="str">
        <f>IFERROR('1.vize'!AT33*100/'1.vize'!$I33,"")</f>
        <v/>
      </c>
      <c r="AJ33" s="38" t="str">
        <f>IFERROR('1.vize'!AU33*100/'1.vize'!$I33,"")</f>
        <v/>
      </c>
      <c r="AK33" s="38" t="str">
        <f>IFERROR('1.vize'!AV33*100/'1.vize'!$I33,"")</f>
        <v/>
      </c>
      <c r="AL33" s="38" t="str">
        <f>IFERROR('1.vize'!AW33*100/'1.vize'!$I33,"")</f>
        <v/>
      </c>
      <c r="AM33" s="38" t="str">
        <f>IFERROR('1.vize'!AX33*100/'1.vize'!$I33,"")</f>
        <v/>
      </c>
      <c r="AN33" s="38" t="str">
        <f>IFERROR('1.vize'!AY33*100/'1.vize'!$I33,"")</f>
        <v/>
      </c>
      <c r="AO33" s="38" t="str">
        <f>IFERROR('1.vize'!AZ33*100/'1.vize'!$I33,"")</f>
        <v/>
      </c>
      <c r="AP33" s="38" t="str">
        <f>IFERROR('1.vize'!BA33*100/'1.vize'!$I33,"")</f>
        <v/>
      </c>
      <c r="AQ33" s="38" t="str">
        <f>IFERROR('1.vize'!BB33*100/'1.vize'!$I33,"")</f>
        <v/>
      </c>
      <c r="AR33" s="38" t="str">
        <f>IFERROR('1.vize'!BC33*100/'1.vize'!$I33,"")</f>
        <v/>
      </c>
      <c r="AS33" s="38" t="str">
        <f>IFERROR('1.vize'!BD33*100/'1.vize'!$I33,"")</f>
        <v/>
      </c>
      <c r="AT33" s="38" t="str">
        <f>IFERROR('1.vize'!BE33*100/'1.vize'!$I33,"")</f>
        <v/>
      </c>
      <c r="AU33" s="38" t="str">
        <f>IFERROR('1.vize'!BF33*100/'1.vize'!$I33,"")</f>
        <v/>
      </c>
      <c r="AV33" s="38" t="str">
        <f>IFERROR('1.vize'!BG33*100/'1.vize'!$I33,"")</f>
        <v/>
      </c>
      <c r="AW33" s="38" t="str">
        <f>IFERROR('1.vize'!BH33*100/'1.vize'!$I33,"")</f>
        <v/>
      </c>
      <c r="AX33" s="38" t="str">
        <f>IFERROR('1.vize'!BI33*100/'1.vize'!$I33,"")</f>
        <v/>
      </c>
      <c r="AY33" s="38" t="str">
        <f>IFERROR('1.vize'!BJ33*100/'1.vize'!$I33,"")</f>
        <v/>
      </c>
      <c r="AZ33" s="38" t="str">
        <f>IFERROR('1.vize'!BK33*100/'1.vize'!$I33,"")</f>
        <v/>
      </c>
      <c r="BA33" s="38" t="str">
        <f>IFERROR('1.vize'!BL33*100/'1.vize'!$I33,"")</f>
        <v/>
      </c>
      <c r="BB33" s="38" t="str">
        <f>IFERROR('1.vize'!BM33*100/'1.vize'!$I33,"")</f>
        <v/>
      </c>
      <c r="BC33" s="38" t="str">
        <f>IFERROR('1.vize'!BN33*100/'1.vize'!$I33,"")</f>
        <v/>
      </c>
      <c r="BD33" s="38" t="str">
        <f>IFERROR('1.vize'!BO33*100/'1.vize'!$I33,"")</f>
        <v/>
      </c>
      <c r="BE33" s="38" t="str">
        <f>IFERROR('1.vize'!BP33*100/'1.vize'!$I33,"")</f>
        <v/>
      </c>
      <c r="BF33" s="38" t="str">
        <f>IFERROR('1.vize'!BQ33*100/'1.vize'!$I33,"")</f>
        <v/>
      </c>
      <c r="BG33" s="38" t="str">
        <f>IFERROR('1.vize'!BR33*100/'1.vize'!$I33,"")</f>
        <v/>
      </c>
      <c r="BH33" s="38" t="str">
        <f>IFERROR('1.vize'!BS33*100/'1.vize'!$I33,"")</f>
        <v/>
      </c>
      <c r="BI33" s="38" t="str">
        <f>IFERROR('1.vize'!BT33*100/'1.vize'!$I33,"")</f>
        <v/>
      </c>
      <c r="BJ33" s="38" t="str">
        <f>IFERROR('1.vize'!BU33*100/'1.vize'!$I33,"")</f>
        <v/>
      </c>
      <c r="BK33" s="38" t="str">
        <f>IFERROR('1.vize'!BV33*100/'1.vize'!$I33,"")</f>
        <v/>
      </c>
      <c r="BL33" s="38" t="str">
        <f>IFERROR('1.vize'!BW33*100/'1.vize'!$I33,"")</f>
        <v/>
      </c>
      <c r="BM33" s="38" t="str">
        <f>IFERROR('1.vize'!BX33*100/'1.vize'!$I33,"")</f>
        <v/>
      </c>
      <c r="BN33" s="38" t="str">
        <f>IFERROR('1.vize'!BY33*100/'1.vize'!$I33,"")</f>
        <v/>
      </c>
      <c r="BO33" s="38" t="str">
        <f>IFERROR('1.vize'!BZ33*100/'1.vize'!$I33,"")</f>
        <v/>
      </c>
      <c r="BP33" s="38" t="str">
        <f>IFERROR('1.vize'!CA33*100/'1.vize'!$I33,"")</f>
        <v/>
      </c>
      <c r="BQ33" s="38" t="str">
        <f>IFERROR('1.vize'!CB33*100/'1.vize'!$I33,"")</f>
        <v/>
      </c>
      <c r="BR33" s="38" t="str">
        <f>IFERROR('1.vize'!CC33*100/'1.vize'!$I33,"")</f>
        <v/>
      </c>
      <c r="BS33" s="38" t="str">
        <f>IFERROR('1.vize'!CD33*100/'1.vize'!$I33,"")</f>
        <v/>
      </c>
      <c r="BT33" s="38" t="str">
        <f>IFERROR('1.vize'!CE33*100/'1.vize'!$I33,"")</f>
        <v/>
      </c>
      <c r="BU33" s="38" t="str">
        <f>IFERROR('1.vize'!CF33*100/'1.vize'!$I33,"")</f>
        <v/>
      </c>
      <c r="BV33" s="38" t="str">
        <f>IFERROR('1.vize'!CG33*100/'1.vize'!$I33,"")</f>
        <v/>
      </c>
      <c r="BW33" s="38" t="str">
        <f>IFERROR('1.vize'!CH33*100/'1.vize'!$I33,"")</f>
        <v/>
      </c>
      <c r="BX33" s="38" t="str">
        <f>IFERROR('1.vize'!CI33*100/'1.vize'!$I33,"")</f>
        <v/>
      </c>
      <c r="BY33" s="38" t="str">
        <f>IFERROR('1.vize'!CJ33*100/'1.vize'!$I33,"")</f>
        <v/>
      </c>
      <c r="BZ33" s="38" t="str">
        <f>IFERROR('1.vize'!CK33*100/'1.vize'!$I33,"")</f>
        <v/>
      </c>
      <c r="CA33" s="38" t="str">
        <f>IFERROR('1.vize'!CL33*100/'1.vize'!$I33,"")</f>
        <v/>
      </c>
      <c r="CB33" s="38" t="str">
        <f>IFERROR('1.vize'!CM33*100/'1.vize'!$I33,"")</f>
        <v/>
      </c>
      <c r="CC33" s="38" t="str">
        <f>IFERROR('1.vize'!CN33*100/'1.vize'!$I33,"")</f>
        <v/>
      </c>
      <c r="CD33" s="38" t="str">
        <f>IFERROR('1.vize'!CO33*100/'1.vize'!$I33,"")</f>
        <v/>
      </c>
      <c r="CE33" s="38" t="str">
        <f>IFERROR('1.vize'!CP33*100/'1.vize'!$I33,"")</f>
        <v/>
      </c>
      <c r="CF33" s="38" t="str">
        <f>IFERROR('1.vize'!CQ33*100/'1.vize'!$I33,"")</f>
        <v/>
      </c>
      <c r="CG33" s="38" t="str">
        <f>IFERROR('1.vize'!CR33*100/'1.vize'!$I33,"")</f>
        <v/>
      </c>
      <c r="CH33" s="38" t="str">
        <f>IFERROR('1.vize'!CS33*100/'1.vize'!$I33,"")</f>
        <v/>
      </c>
      <c r="CI33" s="38" t="str">
        <f>IFERROR('1.vize'!CT33*100/'1.vize'!$I33,"")</f>
        <v/>
      </c>
      <c r="CJ33" s="38" t="str">
        <f>IFERROR('1.vize'!CU33*100/'1.vize'!$I33,"")</f>
        <v/>
      </c>
      <c r="CK33" s="38" t="str">
        <f>IFERROR('1.vize'!CV33*100/'1.vize'!$I33,"")</f>
        <v/>
      </c>
      <c r="CL33" s="38" t="str">
        <f>IFERROR('1.vize'!CW33*100/'1.vize'!$I33,"")</f>
        <v/>
      </c>
      <c r="CM33" s="38" t="str">
        <f>IFERROR('1.vize'!CX33*100/'1.vize'!$I33,"")</f>
        <v/>
      </c>
      <c r="CN33" s="38" t="str">
        <f>IFERROR('1.vize'!CY33*100/'1.vize'!$I33,"")</f>
        <v/>
      </c>
      <c r="CO33" s="38" t="str">
        <f>IFERROR('1.vize'!CZ33*100/'1.vize'!$I33,"")</f>
        <v/>
      </c>
      <c r="CP33" s="38" t="str">
        <f>IFERROR('1.vize'!DA33*100/'1.vize'!$I33,"")</f>
        <v/>
      </c>
      <c r="CQ33" s="38" t="str">
        <f>IFERROR('1.vize'!DB33*100/'1.vize'!$I33,"")</f>
        <v/>
      </c>
      <c r="CR33" s="38" t="str">
        <f>IFERROR('1.vize'!DC33*100/'1.vize'!$I33,"")</f>
        <v/>
      </c>
      <c r="CS33" s="38" t="str">
        <f>IFERROR('1.vize'!DD33*100/'1.vize'!$I33,"")</f>
        <v/>
      </c>
      <c r="CT33" s="38" t="str">
        <f>IFERROR('1.vize'!DE33*100/'1.vize'!$I33,"")</f>
        <v/>
      </c>
      <c r="CU33" s="38" t="str">
        <f>IFERROR('1.vize'!DF33*100/'1.vize'!$I33,"")</f>
        <v/>
      </c>
      <c r="CV33" s="38" t="str">
        <f>IFERROR('1.vize'!DG33*100/'1.vize'!$I33,"")</f>
        <v/>
      </c>
      <c r="CW33" s="32" t="str">
        <f>IFERROR(SUM(A33:CV33)/'1.vize'!$DH$103,"")</f>
        <v/>
      </c>
      <c r="CX33" s="14" t="str">
        <f>IF(COUNTA('1.vize'!A33),'1.vize'!A33,"")</f>
        <v/>
      </c>
      <c r="CY33" s="14" t="str">
        <f>IF(COUNTA('1.vize'!B33),'1.vize'!B33,"")</f>
        <v/>
      </c>
      <c r="CZ33" s="14" t="str">
        <f>IF(COUNTA('1.vize'!C33),'1.vize'!C33,"")</f>
        <v/>
      </c>
      <c r="DA33" s="14" t="str">
        <f>IF(COUNTA('1.vize'!D33),'1.vize'!D33,"")</f>
        <v/>
      </c>
      <c r="DB33" s="14" t="str">
        <f>IF(COUNTA('1.vize'!E33),'1.vize'!E33,"")</f>
        <v/>
      </c>
      <c r="DC33" s="14" t="str">
        <f>IF(COUNTA('1.vize'!F33),'1.vize'!F33,"")</f>
        <v/>
      </c>
      <c r="DD33" s="14" t="str">
        <f>IF(COUNTA('1.vize'!G33),'1.vize'!G33,"")</f>
        <v/>
      </c>
      <c r="DE33" s="14" t="str">
        <f>IF(COUNTA('1.vize'!H33),'1.vize'!H33,"")</f>
        <v/>
      </c>
      <c r="DF33" s="33"/>
    </row>
    <row r="34" spans="1:110" x14ac:dyDescent="0.2">
      <c r="A34" s="38" t="str">
        <f>IFERROR('1.vize'!L34*100/'1.vize'!$I34,"")</f>
        <v/>
      </c>
      <c r="B34" s="38" t="str">
        <f>IFERROR('1.vize'!M34*100/'1.vize'!$I34,"")</f>
        <v/>
      </c>
      <c r="C34" s="38" t="str">
        <f>IFERROR('1.vize'!N34*100/'1.vize'!$I34,"")</f>
        <v/>
      </c>
      <c r="D34" s="38" t="str">
        <f>IFERROR('1.vize'!O34*100/'1.vize'!$I34,"")</f>
        <v/>
      </c>
      <c r="E34" s="38" t="str">
        <f>IFERROR('1.vize'!P34*100/'1.vize'!$I34,"")</f>
        <v/>
      </c>
      <c r="F34" s="38" t="str">
        <f>IFERROR('1.vize'!Q34*100/'1.vize'!$I34,"")</f>
        <v/>
      </c>
      <c r="G34" s="38" t="str">
        <f>IFERROR('1.vize'!R34*100/'1.vize'!$I34,"")</f>
        <v/>
      </c>
      <c r="H34" s="38" t="str">
        <f>IFERROR('1.vize'!S34*100/'1.vize'!$I34,"")</f>
        <v/>
      </c>
      <c r="I34" s="38" t="str">
        <f>IFERROR('1.vize'!T34*100/'1.vize'!$I34,"")</f>
        <v/>
      </c>
      <c r="J34" s="38" t="str">
        <f>IFERROR('1.vize'!U34*100/'1.vize'!$I34,"")</f>
        <v/>
      </c>
      <c r="K34" s="38" t="str">
        <f>IFERROR('1.vize'!V34*100/'1.vize'!$I34,"")</f>
        <v/>
      </c>
      <c r="L34" s="38" t="str">
        <f>IFERROR('1.vize'!W34*100/'1.vize'!$I34,"")</f>
        <v/>
      </c>
      <c r="M34" s="38" t="str">
        <f>IFERROR('1.vize'!X34*100/'1.vize'!$I34,"")</f>
        <v/>
      </c>
      <c r="N34" s="38" t="str">
        <f>IFERROR('1.vize'!Y34*100/'1.vize'!$I34,"")</f>
        <v/>
      </c>
      <c r="O34" s="38" t="str">
        <f>IFERROR('1.vize'!Z34*100/'1.vize'!$I34,"")</f>
        <v/>
      </c>
      <c r="P34" s="38" t="str">
        <f>IFERROR('1.vize'!AA34*100/'1.vize'!$I34,"")</f>
        <v/>
      </c>
      <c r="Q34" s="38" t="str">
        <f>IFERROR('1.vize'!AB34*100/'1.vize'!$I34,"")</f>
        <v/>
      </c>
      <c r="R34" s="38" t="str">
        <f>IFERROR('1.vize'!AC34*100/'1.vize'!$I34,"")</f>
        <v/>
      </c>
      <c r="S34" s="38" t="str">
        <f>IFERROR('1.vize'!AD34*100/'1.vize'!$I34,"")</f>
        <v/>
      </c>
      <c r="T34" s="38" t="str">
        <f>IFERROR('1.vize'!AE34*100/'1.vize'!$I34,"")</f>
        <v/>
      </c>
      <c r="U34" s="38" t="str">
        <f>IFERROR('1.vize'!AF34*100/'1.vize'!$I34,"")</f>
        <v/>
      </c>
      <c r="V34" s="38" t="str">
        <f>IFERROR('1.vize'!AG34*100/'1.vize'!$I34,"")</f>
        <v/>
      </c>
      <c r="W34" s="38" t="str">
        <f>IFERROR('1.vize'!AH34*100/'1.vize'!$I34,"")</f>
        <v/>
      </c>
      <c r="X34" s="38" t="str">
        <f>IFERROR('1.vize'!AI34*100/'1.vize'!$I34,"")</f>
        <v/>
      </c>
      <c r="Y34" s="38" t="str">
        <f>IFERROR('1.vize'!AJ34*100/'1.vize'!$I34,"")</f>
        <v/>
      </c>
      <c r="Z34" s="38" t="str">
        <f>IFERROR('1.vize'!AK34*100/'1.vize'!$I34,"")</f>
        <v/>
      </c>
      <c r="AA34" s="38" t="str">
        <f>IFERROR('1.vize'!AL34*100/'1.vize'!$I34,"")</f>
        <v/>
      </c>
      <c r="AB34" s="38" t="str">
        <f>IFERROR('1.vize'!AM34*100/'1.vize'!$I34,"")</f>
        <v/>
      </c>
      <c r="AC34" s="38" t="str">
        <f>IFERROR('1.vize'!AN34*100/'1.vize'!$I34,"")</f>
        <v/>
      </c>
      <c r="AD34" s="38" t="str">
        <f>IFERROR('1.vize'!AO34*100/'1.vize'!$I34,"")</f>
        <v/>
      </c>
      <c r="AE34" s="38" t="str">
        <f>IFERROR('1.vize'!AP34*100/'1.vize'!$I34,"")</f>
        <v/>
      </c>
      <c r="AF34" s="38" t="str">
        <f>IFERROR('1.vize'!AQ34*100/'1.vize'!$I34,"")</f>
        <v/>
      </c>
      <c r="AG34" s="38" t="str">
        <f>IFERROR('1.vize'!AR34*100/'1.vize'!$I34,"")</f>
        <v/>
      </c>
      <c r="AH34" s="38" t="str">
        <f>IFERROR('1.vize'!AS34*100/'1.vize'!$I34,"")</f>
        <v/>
      </c>
      <c r="AI34" s="38" t="str">
        <f>IFERROR('1.vize'!AT34*100/'1.vize'!$I34,"")</f>
        <v/>
      </c>
      <c r="AJ34" s="38" t="str">
        <f>IFERROR('1.vize'!AU34*100/'1.vize'!$I34,"")</f>
        <v/>
      </c>
      <c r="AK34" s="38" t="str">
        <f>IFERROR('1.vize'!AV34*100/'1.vize'!$I34,"")</f>
        <v/>
      </c>
      <c r="AL34" s="38" t="str">
        <f>IFERROR('1.vize'!AW34*100/'1.vize'!$I34,"")</f>
        <v/>
      </c>
      <c r="AM34" s="38" t="str">
        <f>IFERROR('1.vize'!AX34*100/'1.vize'!$I34,"")</f>
        <v/>
      </c>
      <c r="AN34" s="38" t="str">
        <f>IFERROR('1.vize'!AY34*100/'1.vize'!$I34,"")</f>
        <v/>
      </c>
      <c r="AO34" s="38" t="str">
        <f>IFERROR('1.vize'!AZ34*100/'1.vize'!$I34,"")</f>
        <v/>
      </c>
      <c r="AP34" s="38" t="str">
        <f>IFERROR('1.vize'!BA34*100/'1.vize'!$I34,"")</f>
        <v/>
      </c>
      <c r="AQ34" s="38" t="str">
        <f>IFERROR('1.vize'!BB34*100/'1.vize'!$I34,"")</f>
        <v/>
      </c>
      <c r="AR34" s="38" t="str">
        <f>IFERROR('1.vize'!BC34*100/'1.vize'!$I34,"")</f>
        <v/>
      </c>
      <c r="AS34" s="38" t="str">
        <f>IFERROR('1.vize'!BD34*100/'1.vize'!$I34,"")</f>
        <v/>
      </c>
      <c r="AT34" s="38" t="str">
        <f>IFERROR('1.vize'!BE34*100/'1.vize'!$I34,"")</f>
        <v/>
      </c>
      <c r="AU34" s="38" t="str">
        <f>IFERROR('1.vize'!BF34*100/'1.vize'!$I34,"")</f>
        <v/>
      </c>
      <c r="AV34" s="38" t="str">
        <f>IFERROR('1.vize'!BG34*100/'1.vize'!$I34,"")</f>
        <v/>
      </c>
      <c r="AW34" s="38" t="str">
        <f>IFERROR('1.vize'!BH34*100/'1.vize'!$I34,"")</f>
        <v/>
      </c>
      <c r="AX34" s="38" t="str">
        <f>IFERROR('1.vize'!BI34*100/'1.vize'!$I34,"")</f>
        <v/>
      </c>
      <c r="AY34" s="38" t="str">
        <f>IFERROR('1.vize'!BJ34*100/'1.vize'!$I34,"")</f>
        <v/>
      </c>
      <c r="AZ34" s="38" t="str">
        <f>IFERROR('1.vize'!BK34*100/'1.vize'!$I34,"")</f>
        <v/>
      </c>
      <c r="BA34" s="38" t="str">
        <f>IFERROR('1.vize'!BL34*100/'1.vize'!$I34,"")</f>
        <v/>
      </c>
      <c r="BB34" s="38" t="str">
        <f>IFERROR('1.vize'!BM34*100/'1.vize'!$I34,"")</f>
        <v/>
      </c>
      <c r="BC34" s="38" t="str">
        <f>IFERROR('1.vize'!BN34*100/'1.vize'!$I34,"")</f>
        <v/>
      </c>
      <c r="BD34" s="38" t="str">
        <f>IFERROR('1.vize'!BO34*100/'1.vize'!$I34,"")</f>
        <v/>
      </c>
      <c r="BE34" s="38" t="str">
        <f>IFERROR('1.vize'!BP34*100/'1.vize'!$I34,"")</f>
        <v/>
      </c>
      <c r="BF34" s="38" t="str">
        <f>IFERROR('1.vize'!BQ34*100/'1.vize'!$I34,"")</f>
        <v/>
      </c>
      <c r="BG34" s="38" t="str">
        <f>IFERROR('1.vize'!BR34*100/'1.vize'!$I34,"")</f>
        <v/>
      </c>
      <c r="BH34" s="38" t="str">
        <f>IFERROR('1.vize'!BS34*100/'1.vize'!$I34,"")</f>
        <v/>
      </c>
      <c r="BI34" s="38" t="str">
        <f>IFERROR('1.vize'!BT34*100/'1.vize'!$I34,"")</f>
        <v/>
      </c>
      <c r="BJ34" s="38" t="str">
        <f>IFERROR('1.vize'!BU34*100/'1.vize'!$I34,"")</f>
        <v/>
      </c>
      <c r="BK34" s="38" t="str">
        <f>IFERROR('1.vize'!BV34*100/'1.vize'!$I34,"")</f>
        <v/>
      </c>
      <c r="BL34" s="38" t="str">
        <f>IFERROR('1.vize'!BW34*100/'1.vize'!$I34,"")</f>
        <v/>
      </c>
      <c r="BM34" s="38" t="str">
        <f>IFERROR('1.vize'!BX34*100/'1.vize'!$I34,"")</f>
        <v/>
      </c>
      <c r="BN34" s="38" t="str">
        <f>IFERROR('1.vize'!BY34*100/'1.vize'!$I34,"")</f>
        <v/>
      </c>
      <c r="BO34" s="38" t="str">
        <f>IFERROR('1.vize'!BZ34*100/'1.vize'!$I34,"")</f>
        <v/>
      </c>
      <c r="BP34" s="38" t="str">
        <f>IFERROR('1.vize'!CA34*100/'1.vize'!$I34,"")</f>
        <v/>
      </c>
      <c r="BQ34" s="38" t="str">
        <f>IFERROR('1.vize'!CB34*100/'1.vize'!$I34,"")</f>
        <v/>
      </c>
      <c r="BR34" s="38" t="str">
        <f>IFERROR('1.vize'!CC34*100/'1.vize'!$I34,"")</f>
        <v/>
      </c>
      <c r="BS34" s="38" t="str">
        <f>IFERROR('1.vize'!CD34*100/'1.vize'!$I34,"")</f>
        <v/>
      </c>
      <c r="BT34" s="38" t="str">
        <f>IFERROR('1.vize'!CE34*100/'1.vize'!$I34,"")</f>
        <v/>
      </c>
      <c r="BU34" s="38" t="str">
        <f>IFERROR('1.vize'!CF34*100/'1.vize'!$I34,"")</f>
        <v/>
      </c>
      <c r="BV34" s="38" t="str">
        <f>IFERROR('1.vize'!CG34*100/'1.vize'!$I34,"")</f>
        <v/>
      </c>
      <c r="BW34" s="38" t="str">
        <f>IFERROR('1.vize'!CH34*100/'1.vize'!$I34,"")</f>
        <v/>
      </c>
      <c r="BX34" s="38" t="str">
        <f>IFERROR('1.vize'!CI34*100/'1.vize'!$I34,"")</f>
        <v/>
      </c>
      <c r="BY34" s="38" t="str">
        <f>IFERROR('1.vize'!CJ34*100/'1.vize'!$I34,"")</f>
        <v/>
      </c>
      <c r="BZ34" s="38" t="str">
        <f>IFERROR('1.vize'!CK34*100/'1.vize'!$I34,"")</f>
        <v/>
      </c>
      <c r="CA34" s="38" t="str">
        <f>IFERROR('1.vize'!CL34*100/'1.vize'!$I34,"")</f>
        <v/>
      </c>
      <c r="CB34" s="38" t="str">
        <f>IFERROR('1.vize'!CM34*100/'1.vize'!$I34,"")</f>
        <v/>
      </c>
      <c r="CC34" s="38" t="str">
        <f>IFERROR('1.vize'!CN34*100/'1.vize'!$I34,"")</f>
        <v/>
      </c>
      <c r="CD34" s="38" t="str">
        <f>IFERROR('1.vize'!CO34*100/'1.vize'!$I34,"")</f>
        <v/>
      </c>
      <c r="CE34" s="38" t="str">
        <f>IFERROR('1.vize'!CP34*100/'1.vize'!$I34,"")</f>
        <v/>
      </c>
      <c r="CF34" s="38" t="str">
        <f>IFERROR('1.vize'!CQ34*100/'1.vize'!$I34,"")</f>
        <v/>
      </c>
      <c r="CG34" s="38" t="str">
        <f>IFERROR('1.vize'!CR34*100/'1.vize'!$I34,"")</f>
        <v/>
      </c>
      <c r="CH34" s="38" t="str">
        <f>IFERROR('1.vize'!CS34*100/'1.vize'!$I34,"")</f>
        <v/>
      </c>
      <c r="CI34" s="38" t="str">
        <f>IFERROR('1.vize'!CT34*100/'1.vize'!$I34,"")</f>
        <v/>
      </c>
      <c r="CJ34" s="38" t="str">
        <f>IFERROR('1.vize'!CU34*100/'1.vize'!$I34,"")</f>
        <v/>
      </c>
      <c r="CK34" s="38" t="str">
        <f>IFERROR('1.vize'!CV34*100/'1.vize'!$I34,"")</f>
        <v/>
      </c>
      <c r="CL34" s="38" t="str">
        <f>IFERROR('1.vize'!CW34*100/'1.vize'!$I34,"")</f>
        <v/>
      </c>
      <c r="CM34" s="38" t="str">
        <f>IFERROR('1.vize'!CX34*100/'1.vize'!$I34,"")</f>
        <v/>
      </c>
      <c r="CN34" s="38" t="str">
        <f>IFERROR('1.vize'!CY34*100/'1.vize'!$I34,"")</f>
        <v/>
      </c>
      <c r="CO34" s="38" t="str">
        <f>IFERROR('1.vize'!CZ34*100/'1.vize'!$I34,"")</f>
        <v/>
      </c>
      <c r="CP34" s="38" t="str">
        <f>IFERROR('1.vize'!DA34*100/'1.vize'!$I34,"")</f>
        <v/>
      </c>
      <c r="CQ34" s="38" t="str">
        <f>IFERROR('1.vize'!DB34*100/'1.vize'!$I34,"")</f>
        <v/>
      </c>
      <c r="CR34" s="38" t="str">
        <f>IFERROR('1.vize'!DC34*100/'1.vize'!$I34,"")</f>
        <v/>
      </c>
      <c r="CS34" s="38" t="str">
        <f>IFERROR('1.vize'!DD34*100/'1.vize'!$I34,"")</f>
        <v/>
      </c>
      <c r="CT34" s="38" t="str">
        <f>IFERROR('1.vize'!DE34*100/'1.vize'!$I34,"")</f>
        <v/>
      </c>
      <c r="CU34" s="38" t="str">
        <f>IFERROR('1.vize'!DF34*100/'1.vize'!$I34,"")</f>
        <v/>
      </c>
      <c r="CV34" s="38" t="str">
        <f>IFERROR('1.vize'!DG34*100/'1.vize'!$I34,"")</f>
        <v/>
      </c>
      <c r="CW34" s="32" t="str">
        <f>IFERROR(SUM(A34:CV34)/'1.vize'!$DH$103,"")</f>
        <v/>
      </c>
      <c r="CX34" s="14" t="str">
        <f>IF(COUNTA('1.vize'!A34),'1.vize'!A34,"")</f>
        <v/>
      </c>
      <c r="CY34" s="14" t="str">
        <f>IF(COUNTA('1.vize'!B34),'1.vize'!B34,"")</f>
        <v/>
      </c>
      <c r="CZ34" s="14" t="str">
        <f>IF(COUNTA('1.vize'!C34),'1.vize'!C34,"")</f>
        <v/>
      </c>
      <c r="DA34" s="14" t="str">
        <f>IF(COUNTA('1.vize'!D34),'1.vize'!D34,"")</f>
        <v/>
      </c>
      <c r="DB34" s="14" t="str">
        <f>IF(COUNTA('1.vize'!E34),'1.vize'!E34,"")</f>
        <v/>
      </c>
      <c r="DC34" s="14" t="str">
        <f>IF(COUNTA('1.vize'!F34),'1.vize'!F34,"")</f>
        <v/>
      </c>
      <c r="DD34" s="14" t="str">
        <f>IF(COUNTA('1.vize'!G34),'1.vize'!G34,"")</f>
        <v/>
      </c>
      <c r="DE34" s="14" t="str">
        <f>IF(COUNTA('1.vize'!H34),'1.vize'!H34,"")</f>
        <v/>
      </c>
      <c r="DF34" s="33"/>
    </row>
    <row r="35" spans="1:110" x14ac:dyDescent="0.2">
      <c r="A35" s="38" t="str">
        <f>IFERROR('1.vize'!L35*100/'1.vize'!$I35,"")</f>
        <v/>
      </c>
      <c r="B35" s="38" t="str">
        <f>IFERROR('1.vize'!M35*100/'1.vize'!$I35,"")</f>
        <v/>
      </c>
      <c r="C35" s="38" t="str">
        <f>IFERROR('1.vize'!N35*100/'1.vize'!$I35,"")</f>
        <v/>
      </c>
      <c r="D35" s="38" t="str">
        <f>IFERROR('1.vize'!O35*100/'1.vize'!$I35,"")</f>
        <v/>
      </c>
      <c r="E35" s="38" t="str">
        <f>IFERROR('1.vize'!P35*100/'1.vize'!$I35,"")</f>
        <v/>
      </c>
      <c r="F35" s="38" t="str">
        <f>IFERROR('1.vize'!Q35*100/'1.vize'!$I35,"")</f>
        <v/>
      </c>
      <c r="G35" s="38" t="str">
        <f>IFERROR('1.vize'!R35*100/'1.vize'!$I35,"")</f>
        <v/>
      </c>
      <c r="H35" s="38" t="str">
        <f>IFERROR('1.vize'!S35*100/'1.vize'!$I35,"")</f>
        <v/>
      </c>
      <c r="I35" s="38" t="str">
        <f>IFERROR('1.vize'!T35*100/'1.vize'!$I35,"")</f>
        <v/>
      </c>
      <c r="J35" s="38" t="str">
        <f>IFERROR('1.vize'!U35*100/'1.vize'!$I35,"")</f>
        <v/>
      </c>
      <c r="K35" s="38" t="str">
        <f>IFERROR('1.vize'!V35*100/'1.vize'!$I35,"")</f>
        <v/>
      </c>
      <c r="L35" s="38" t="str">
        <f>IFERROR('1.vize'!W35*100/'1.vize'!$I35,"")</f>
        <v/>
      </c>
      <c r="M35" s="38" t="str">
        <f>IFERROR('1.vize'!X35*100/'1.vize'!$I35,"")</f>
        <v/>
      </c>
      <c r="N35" s="38" t="str">
        <f>IFERROR('1.vize'!Y35*100/'1.vize'!$I35,"")</f>
        <v/>
      </c>
      <c r="O35" s="38" t="str">
        <f>IFERROR('1.vize'!Z35*100/'1.vize'!$I35,"")</f>
        <v/>
      </c>
      <c r="P35" s="38" t="str">
        <f>IFERROR('1.vize'!AA35*100/'1.vize'!$I35,"")</f>
        <v/>
      </c>
      <c r="Q35" s="38" t="str">
        <f>IFERROR('1.vize'!AB35*100/'1.vize'!$I35,"")</f>
        <v/>
      </c>
      <c r="R35" s="38" t="str">
        <f>IFERROR('1.vize'!AC35*100/'1.vize'!$I35,"")</f>
        <v/>
      </c>
      <c r="S35" s="38" t="str">
        <f>IFERROR('1.vize'!AD35*100/'1.vize'!$I35,"")</f>
        <v/>
      </c>
      <c r="T35" s="38" t="str">
        <f>IFERROR('1.vize'!AE35*100/'1.vize'!$I35,"")</f>
        <v/>
      </c>
      <c r="U35" s="38" t="str">
        <f>IFERROR('1.vize'!AF35*100/'1.vize'!$I35,"")</f>
        <v/>
      </c>
      <c r="V35" s="38" t="str">
        <f>IFERROR('1.vize'!AG35*100/'1.vize'!$I35,"")</f>
        <v/>
      </c>
      <c r="W35" s="38" t="str">
        <f>IFERROR('1.vize'!AH35*100/'1.vize'!$I35,"")</f>
        <v/>
      </c>
      <c r="X35" s="38" t="str">
        <f>IFERROR('1.vize'!AI35*100/'1.vize'!$I35,"")</f>
        <v/>
      </c>
      <c r="Y35" s="38" t="str">
        <f>IFERROR('1.vize'!AJ35*100/'1.vize'!$I35,"")</f>
        <v/>
      </c>
      <c r="Z35" s="38" t="str">
        <f>IFERROR('1.vize'!AK35*100/'1.vize'!$I35,"")</f>
        <v/>
      </c>
      <c r="AA35" s="38" t="str">
        <f>IFERROR('1.vize'!AL35*100/'1.vize'!$I35,"")</f>
        <v/>
      </c>
      <c r="AB35" s="38" t="str">
        <f>IFERROR('1.vize'!AM35*100/'1.vize'!$I35,"")</f>
        <v/>
      </c>
      <c r="AC35" s="38" t="str">
        <f>IFERROR('1.vize'!AN35*100/'1.vize'!$I35,"")</f>
        <v/>
      </c>
      <c r="AD35" s="38" t="str">
        <f>IFERROR('1.vize'!AO35*100/'1.vize'!$I35,"")</f>
        <v/>
      </c>
      <c r="AE35" s="38" t="str">
        <f>IFERROR('1.vize'!AP35*100/'1.vize'!$I35,"")</f>
        <v/>
      </c>
      <c r="AF35" s="38" t="str">
        <f>IFERROR('1.vize'!AQ35*100/'1.vize'!$I35,"")</f>
        <v/>
      </c>
      <c r="AG35" s="38" t="str">
        <f>IFERROR('1.vize'!AR35*100/'1.vize'!$I35,"")</f>
        <v/>
      </c>
      <c r="AH35" s="38" t="str">
        <f>IFERROR('1.vize'!AS35*100/'1.vize'!$I35,"")</f>
        <v/>
      </c>
      <c r="AI35" s="38" t="str">
        <f>IFERROR('1.vize'!AT35*100/'1.vize'!$I35,"")</f>
        <v/>
      </c>
      <c r="AJ35" s="38" t="str">
        <f>IFERROR('1.vize'!AU35*100/'1.vize'!$I35,"")</f>
        <v/>
      </c>
      <c r="AK35" s="38" t="str">
        <f>IFERROR('1.vize'!AV35*100/'1.vize'!$I35,"")</f>
        <v/>
      </c>
      <c r="AL35" s="38" t="str">
        <f>IFERROR('1.vize'!AW35*100/'1.vize'!$I35,"")</f>
        <v/>
      </c>
      <c r="AM35" s="38" t="str">
        <f>IFERROR('1.vize'!AX35*100/'1.vize'!$I35,"")</f>
        <v/>
      </c>
      <c r="AN35" s="38" t="str">
        <f>IFERROR('1.vize'!AY35*100/'1.vize'!$I35,"")</f>
        <v/>
      </c>
      <c r="AO35" s="38" t="str">
        <f>IFERROR('1.vize'!AZ35*100/'1.vize'!$I35,"")</f>
        <v/>
      </c>
      <c r="AP35" s="38" t="str">
        <f>IFERROR('1.vize'!BA35*100/'1.vize'!$I35,"")</f>
        <v/>
      </c>
      <c r="AQ35" s="38" t="str">
        <f>IFERROR('1.vize'!BB35*100/'1.vize'!$I35,"")</f>
        <v/>
      </c>
      <c r="AR35" s="38" t="str">
        <f>IFERROR('1.vize'!BC35*100/'1.vize'!$I35,"")</f>
        <v/>
      </c>
      <c r="AS35" s="38" t="str">
        <f>IFERROR('1.vize'!BD35*100/'1.vize'!$I35,"")</f>
        <v/>
      </c>
      <c r="AT35" s="38" t="str">
        <f>IFERROR('1.vize'!BE35*100/'1.vize'!$I35,"")</f>
        <v/>
      </c>
      <c r="AU35" s="38" t="str">
        <f>IFERROR('1.vize'!BF35*100/'1.vize'!$I35,"")</f>
        <v/>
      </c>
      <c r="AV35" s="38" t="str">
        <f>IFERROR('1.vize'!BG35*100/'1.vize'!$I35,"")</f>
        <v/>
      </c>
      <c r="AW35" s="38" t="str">
        <f>IFERROR('1.vize'!BH35*100/'1.vize'!$I35,"")</f>
        <v/>
      </c>
      <c r="AX35" s="38" t="str">
        <f>IFERROR('1.vize'!BI35*100/'1.vize'!$I35,"")</f>
        <v/>
      </c>
      <c r="AY35" s="38" t="str">
        <f>IFERROR('1.vize'!BJ35*100/'1.vize'!$I35,"")</f>
        <v/>
      </c>
      <c r="AZ35" s="38" t="str">
        <f>IFERROR('1.vize'!BK35*100/'1.vize'!$I35,"")</f>
        <v/>
      </c>
      <c r="BA35" s="38" t="str">
        <f>IFERROR('1.vize'!BL35*100/'1.vize'!$I35,"")</f>
        <v/>
      </c>
      <c r="BB35" s="38" t="str">
        <f>IFERROR('1.vize'!BM35*100/'1.vize'!$I35,"")</f>
        <v/>
      </c>
      <c r="BC35" s="38" t="str">
        <f>IFERROR('1.vize'!BN35*100/'1.vize'!$I35,"")</f>
        <v/>
      </c>
      <c r="BD35" s="38" t="str">
        <f>IFERROR('1.vize'!BO35*100/'1.vize'!$I35,"")</f>
        <v/>
      </c>
      <c r="BE35" s="38" t="str">
        <f>IFERROR('1.vize'!BP35*100/'1.vize'!$I35,"")</f>
        <v/>
      </c>
      <c r="BF35" s="38" t="str">
        <f>IFERROR('1.vize'!BQ35*100/'1.vize'!$I35,"")</f>
        <v/>
      </c>
      <c r="BG35" s="38" t="str">
        <f>IFERROR('1.vize'!BR35*100/'1.vize'!$I35,"")</f>
        <v/>
      </c>
      <c r="BH35" s="38" t="str">
        <f>IFERROR('1.vize'!BS35*100/'1.vize'!$I35,"")</f>
        <v/>
      </c>
      <c r="BI35" s="38" t="str">
        <f>IFERROR('1.vize'!BT35*100/'1.vize'!$I35,"")</f>
        <v/>
      </c>
      <c r="BJ35" s="38" t="str">
        <f>IFERROR('1.vize'!BU35*100/'1.vize'!$I35,"")</f>
        <v/>
      </c>
      <c r="BK35" s="38" t="str">
        <f>IFERROR('1.vize'!BV35*100/'1.vize'!$I35,"")</f>
        <v/>
      </c>
      <c r="BL35" s="38" t="str">
        <f>IFERROR('1.vize'!BW35*100/'1.vize'!$I35,"")</f>
        <v/>
      </c>
      <c r="BM35" s="38" t="str">
        <f>IFERROR('1.vize'!BX35*100/'1.vize'!$I35,"")</f>
        <v/>
      </c>
      <c r="BN35" s="38" t="str">
        <f>IFERROR('1.vize'!BY35*100/'1.vize'!$I35,"")</f>
        <v/>
      </c>
      <c r="BO35" s="38" t="str">
        <f>IFERROR('1.vize'!BZ35*100/'1.vize'!$I35,"")</f>
        <v/>
      </c>
      <c r="BP35" s="38" t="str">
        <f>IFERROR('1.vize'!CA35*100/'1.vize'!$I35,"")</f>
        <v/>
      </c>
      <c r="BQ35" s="38" t="str">
        <f>IFERROR('1.vize'!CB35*100/'1.vize'!$I35,"")</f>
        <v/>
      </c>
      <c r="BR35" s="38" t="str">
        <f>IFERROR('1.vize'!CC35*100/'1.vize'!$I35,"")</f>
        <v/>
      </c>
      <c r="BS35" s="38" t="str">
        <f>IFERROR('1.vize'!CD35*100/'1.vize'!$I35,"")</f>
        <v/>
      </c>
      <c r="BT35" s="38" t="str">
        <f>IFERROR('1.vize'!CE35*100/'1.vize'!$I35,"")</f>
        <v/>
      </c>
      <c r="BU35" s="38" t="str">
        <f>IFERROR('1.vize'!CF35*100/'1.vize'!$I35,"")</f>
        <v/>
      </c>
      <c r="BV35" s="38" t="str">
        <f>IFERROR('1.vize'!CG35*100/'1.vize'!$I35,"")</f>
        <v/>
      </c>
      <c r="BW35" s="38" t="str">
        <f>IFERROR('1.vize'!CH35*100/'1.vize'!$I35,"")</f>
        <v/>
      </c>
      <c r="BX35" s="38" t="str">
        <f>IFERROR('1.vize'!CI35*100/'1.vize'!$I35,"")</f>
        <v/>
      </c>
      <c r="BY35" s="38" t="str">
        <f>IFERROR('1.vize'!CJ35*100/'1.vize'!$I35,"")</f>
        <v/>
      </c>
      <c r="BZ35" s="38" t="str">
        <f>IFERROR('1.vize'!CK35*100/'1.vize'!$I35,"")</f>
        <v/>
      </c>
      <c r="CA35" s="38" t="str">
        <f>IFERROR('1.vize'!CL35*100/'1.vize'!$I35,"")</f>
        <v/>
      </c>
      <c r="CB35" s="38" t="str">
        <f>IFERROR('1.vize'!CM35*100/'1.vize'!$I35,"")</f>
        <v/>
      </c>
      <c r="CC35" s="38" t="str">
        <f>IFERROR('1.vize'!CN35*100/'1.vize'!$I35,"")</f>
        <v/>
      </c>
      <c r="CD35" s="38" t="str">
        <f>IFERROR('1.vize'!CO35*100/'1.vize'!$I35,"")</f>
        <v/>
      </c>
      <c r="CE35" s="38" t="str">
        <f>IFERROR('1.vize'!CP35*100/'1.vize'!$I35,"")</f>
        <v/>
      </c>
      <c r="CF35" s="38" t="str">
        <f>IFERROR('1.vize'!CQ35*100/'1.vize'!$I35,"")</f>
        <v/>
      </c>
      <c r="CG35" s="38" t="str">
        <f>IFERROR('1.vize'!CR35*100/'1.vize'!$I35,"")</f>
        <v/>
      </c>
      <c r="CH35" s="38" t="str">
        <f>IFERROR('1.vize'!CS35*100/'1.vize'!$I35,"")</f>
        <v/>
      </c>
      <c r="CI35" s="38" t="str">
        <f>IFERROR('1.vize'!CT35*100/'1.vize'!$I35,"")</f>
        <v/>
      </c>
      <c r="CJ35" s="38" t="str">
        <f>IFERROR('1.vize'!CU35*100/'1.vize'!$I35,"")</f>
        <v/>
      </c>
      <c r="CK35" s="38" t="str">
        <f>IFERROR('1.vize'!CV35*100/'1.vize'!$I35,"")</f>
        <v/>
      </c>
      <c r="CL35" s="38" t="str">
        <f>IFERROR('1.vize'!CW35*100/'1.vize'!$I35,"")</f>
        <v/>
      </c>
      <c r="CM35" s="38" t="str">
        <f>IFERROR('1.vize'!CX35*100/'1.vize'!$I35,"")</f>
        <v/>
      </c>
      <c r="CN35" s="38" t="str">
        <f>IFERROR('1.vize'!CY35*100/'1.vize'!$I35,"")</f>
        <v/>
      </c>
      <c r="CO35" s="38" t="str">
        <f>IFERROR('1.vize'!CZ35*100/'1.vize'!$I35,"")</f>
        <v/>
      </c>
      <c r="CP35" s="38" t="str">
        <f>IFERROR('1.vize'!DA35*100/'1.vize'!$I35,"")</f>
        <v/>
      </c>
      <c r="CQ35" s="38" t="str">
        <f>IFERROR('1.vize'!DB35*100/'1.vize'!$I35,"")</f>
        <v/>
      </c>
      <c r="CR35" s="38" t="str">
        <f>IFERROR('1.vize'!DC35*100/'1.vize'!$I35,"")</f>
        <v/>
      </c>
      <c r="CS35" s="38" t="str">
        <f>IFERROR('1.vize'!DD35*100/'1.vize'!$I35,"")</f>
        <v/>
      </c>
      <c r="CT35" s="38" t="str">
        <f>IFERROR('1.vize'!DE35*100/'1.vize'!$I35,"")</f>
        <v/>
      </c>
      <c r="CU35" s="38" t="str">
        <f>IFERROR('1.vize'!DF35*100/'1.vize'!$I35,"")</f>
        <v/>
      </c>
      <c r="CV35" s="38" t="str">
        <f>IFERROR('1.vize'!DG35*100/'1.vize'!$I35,"")</f>
        <v/>
      </c>
      <c r="CW35" s="32" t="str">
        <f>IFERROR(SUM(A35:CV35)/'1.vize'!$DH$103,"")</f>
        <v/>
      </c>
      <c r="CX35" s="14" t="str">
        <f>IF(COUNTA('1.vize'!A35),'1.vize'!A35,"")</f>
        <v/>
      </c>
      <c r="CY35" s="14" t="str">
        <f>IF(COUNTA('1.vize'!B35),'1.vize'!B35,"")</f>
        <v/>
      </c>
      <c r="CZ35" s="14" t="str">
        <f>IF(COUNTA('1.vize'!C35),'1.vize'!C35,"")</f>
        <v/>
      </c>
      <c r="DA35" s="14" t="str">
        <f>IF(COUNTA('1.vize'!D35),'1.vize'!D35,"")</f>
        <v/>
      </c>
      <c r="DB35" s="14" t="str">
        <f>IF(COUNTA('1.vize'!E35),'1.vize'!E35,"")</f>
        <v/>
      </c>
      <c r="DC35" s="14" t="str">
        <f>IF(COUNTA('1.vize'!F35),'1.vize'!F35,"")</f>
        <v/>
      </c>
      <c r="DD35" s="14" t="str">
        <f>IF(COUNTA('1.vize'!G35),'1.vize'!G35,"")</f>
        <v/>
      </c>
      <c r="DE35" s="14" t="str">
        <f>IF(COUNTA('1.vize'!H35),'1.vize'!H35,"")</f>
        <v/>
      </c>
      <c r="DF35" s="33"/>
    </row>
    <row r="36" spans="1:110" x14ac:dyDescent="0.2">
      <c r="A36" s="38" t="str">
        <f>IFERROR('1.vize'!L36*100/'1.vize'!$I36,"")</f>
        <v/>
      </c>
      <c r="B36" s="38" t="str">
        <f>IFERROR('1.vize'!M36*100/'1.vize'!$I36,"")</f>
        <v/>
      </c>
      <c r="C36" s="38" t="str">
        <f>IFERROR('1.vize'!N36*100/'1.vize'!$I36,"")</f>
        <v/>
      </c>
      <c r="D36" s="38" t="str">
        <f>IFERROR('1.vize'!O36*100/'1.vize'!$I36,"")</f>
        <v/>
      </c>
      <c r="E36" s="38" t="str">
        <f>IFERROR('1.vize'!P36*100/'1.vize'!$I36,"")</f>
        <v/>
      </c>
      <c r="F36" s="38" t="str">
        <f>IFERROR('1.vize'!Q36*100/'1.vize'!$I36,"")</f>
        <v/>
      </c>
      <c r="G36" s="38" t="str">
        <f>IFERROR('1.vize'!R36*100/'1.vize'!$I36,"")</f>
        <v/>
      </c>
      <c r="H36" s="38" t="str">
        <f>IFERROR('1.vize'!S36*100/'1.vize'!$I36,"")</f>
        <v/>
      </c>
      <c r="I36" s="38" t="str">
        <f>IFERROR('1.vize'!T36*100/'1.vize'!$I36,"")</f>
        <v/>
      </c>
      <c r="J36" s="38" t="str">
        <f>IFERROR('1.vize'!U36*100/'1.vize'!$I36,"")</f>
        <v/>
      </c>
      <c r="K36" s="38" t="str">
        <f>IFERROR('1.vize'!V36*100/'1.vize'!$I36,"")</f>
        <v/>
      </c>
      <c r="L36" s="38" t="str">
        <f>IFERROR('1.vize'!W36*100/'1.vize'!$I36,"")</f>
        <v/>
      </c>
      <c r="M36" s="38" t="str">
        <f>IFERROR('1.vize'!X36*100/'1.vize'!$I36,"")</f>
        <v/>
      </c>
      <c r="N36" s="38" t="str">
        <f>IFERROR('1.vize'!Y36*100/'1.vize'!$I36,"")</f>
        <v/>
      </c>
      <c r="O36" s="38" t="str">
        <f>IFERROR('1.vize'!Z36*100/'1.vize'!$I36,"")</f>
        <v/>
      </c>
      <c r="P36" s="38" t="str">
        <f>IFERROR('1.vize'!AA36*100/'1.vize'!$I36,"")</f>
        <v/>
      </c>
      <c r="Q36" s="38" t="str">
        <f>IFERROR('1.vize'!AB36*100/'1.vize'!$I36,"")</f>
        <v/>
      </c>
      <c r="R36" s="38" t="str">
        <f>IFERROR('1.vize'!AC36*100/'1.vize'!$I36,"")</f>
        <v/>
      </c>
      <c r="S36" s="38" t="str">
        <f>IFERROR('1.vize'!AD36*100/'1.vize'!$I36,"")</f>
        <v/>
      </c>
      <c r="T36" s="38" t="str">
        <f>IFERROR('1.vize'!AE36*100/'1.vize'!$I36,"")</f>
        <v/>
      </c>
      <c r="U36" s="38" t="str">
        <f>IFERROR('1.vize'!AF36*100/'1.vize'!$I36,"")</f>
        <v/>
      </c>
      <c r="V36" s="38" t="str">
        <f>IFERROR('1.vize'!AG36*100/'1.vize'!$I36,"")</f>
        <v/>
      </c>
      <c r="W36" s="38" t="str">
        <f>IFERROR('1.vize'!AH36*100/'1.vize'!$I36,"")</f>
        <v/>
      </c>
      <c r="X36" s="38" t="str">
        <f>IFERROR('1.vize'!AI36*100/'1.vize'!$I36,"")</f>
        <v/>
      </c>
      <c r="Y36" s="38" t="str">
        <f>IFERROR('1.vize'!AJ36*100/'1.vize'!$I36,"")</f>
        <v/>
      </c>
      <c r="Z36" s="38" t="str">
        <f>IFERROR('1.vize'!AK36*100/'1.vize'!$I36,"")</f>
        <v/>
      </c>
      <c r="AA36" s="38" t="str">
        <f>IFERROR('1.vize'!AL36*100/'1.vize'!$I36,"")</f>
        <v/>
      </c>
      <c r="AB36" s="38" t="str">
        <f>IFERROR('1.vize'!AM36*100/'1.vize'!$I36,"")</f>
        <v/>
      </c>
      <c r="AC36" s="38" t="str">
        <f>IFERROR('1.vize'!AN36*100/'1.vize'!$I36,"")</f>
        <v/>
      </c>
      <c r="AD36" s="38" t="str">
        <f>IFERROR('1.vize'!AO36*100/'1.vize'!$I36,"")</f>
        <v/>
      </c>
      <c r="AE36" s="38" t="str">
        <f>IFERROR('1.vize'!AP36*100/'1.vize'!$I36,"")</f>
        <v/>
      </c>
      <c r="AF36" s="38" t="str">
        <f>IFERROR('1.vize'!AQ36*100/'1.vize'!$I36,"")</f>
        <v/>
      </c>
      <c r="AG36" s="38" t="str">
        <f>IFERROR('1.vize'!AR36*100/'1.vize'!$I36,"")</f>
        <v/>
      </c>
      <c r="AH36" s="38" t="str">
        <f>IFERROR('1.vize'!AS36*100/'1.vize'!$I36,"")</f>
        <v/>
      </c>
      <c r="AI36" s="38" t="str">
        <f>IFERROR('1.vize'!AT36*100/'1.vize'!$I36,"")</f>
        <v/>
      </c>
      <c r="AJ36" s="38" t="str">
        <f>IFERROR('1.vize'!AU36*100/'1.vize'!$I36,"")</f>
        <v/>
      </c>
      <c r="AK36" s="38" t="str">
        <f>IFERROR('1.vize'!AV36*100/'1.vize'!$I36,"")</f>
        <v/>
      </c>
      <c r="AL36" s="38" t="str">
        <f>IFERROR('1.vize'!AW36*100/'1.vize'!$I36,"")</f>
        <v/>
      </c>
      <c r="AM36" s="38" t="str">
        <f>IFERROR('1.vize'!AX36*100/'1.vize'!$I36,"")</f>
        <v/>
      </c>
      <c r="AN36" s="38" t="str">
        <f>IFERROR('1.vize'!AY36*100/'1.vize'!$I36,"")</f>
        <v/>
      </c>
      <c r="AO36" s="38" t="str">
        <f>IFERROR('1.vize'!AZ36*100/'1.vize'!$I36,"")</f>
        <v/>
      </c>
      <c r="AP36" s="38" t="str">
        <f>IFERROR('1.vize'!BA36*100/'1.vize'!$I36,"")</f>
        <v/>
      </c>
      <c r="AQ36" s="38" t="str">
        <f>IFERROR('1.vize'!BB36*100/'1.vize'!$I36,"")</f>
        <v/>
      </c>
      <c r="AR36" s="38" t="str">
        <f>IFERROR('1.vize'!BC36*100/'1.vize'!$I36,"")</f>
        <v/>
      </c>
      <c r="AS36" s="38" t="str">
        <f>IFERROR('1.vize'!BD36*100/'1.vize'!$I36,"")</f>
        <v/>
      </c>
      <c r="AT36" s="38" t="str">
        <f>IFERROR('1.vize'!BE36*100/'1.vize'!$I36,"")</f>
        <v/>
      </c>
      <c r="AU36" s="38" t="str">
        <f>IFERROR('1.vize'!BF36*100/'1.vize'!$I36,"")</f>
        <v/>
      </c>
      <c r="AV36" s="38" t="str">
        <f>IFERROR('1.vize'!BG36*100/'1.vize'!$I36,"")</f>
        <v/>
      </c>
      <c r="AW36" s="38" t="str">
        <f>IFERROR('1.vize'!BH36*100/'1.vize'!$I36,"")</f>
        <v/>
      </c>
      <c r="AX36" s="38" t="str">
        <f>IFERROR('1.vize'!BI36*100/'1.vize'!$I36,"")</f>
        <v/>
      </c>
      <c r="AY36" s="38" t="str">
        <f>IFERROR('1.vize'!BJ36*100/'1.vize'!$I36,"")</f>
        <v/>
      </c>
      <c r="AZ36" s="38" t="str">
        <f>IFERROR('1.vize'!BK36*100/'1.vize'!$I36,"")</f>
        <v/>
      </c>
      <c r="BA36" s="38" t="str">
        <f>IFERROR('1.vize'!BL36*100/'1.vize'!$I36,"")</f>
        <v/>
      </c>
      <c r="BB36" s="38" t="str">
        <f>IFERROR('1.vize'!BM36*100/'1.vize'!$I36,"")</f>
        <v/>
      </c>
      <c r="BC36" s="38" t="str">
        <f>IFERROR('1.vize'!BN36*100/'1.vize'!$I36,"")</f>
        <v/>
      </c>
      <c r="BD36" s="38" t="str">
        <f>IFERROR('1.vize'!BO36*100/'1.vize'!$I36,"")</f>
        <v/>
      </c>
      <c r="BE36" s="38" t="str">
        <f>IFERROR('1.vize'!BP36*100/'1.vize'!$I36,"")</f>
        <v/>
      </c>
      <c r="BF36" s="38" t="str">
        <f>IFERROR('1.vize'!BQ36*100/'1.vize'!$I36,"")</f>
        <v/>
      </c>
      <c r="BG36" s="38" t="str">
        <f>IFERROR('1.vize'!BR36*100/'1.vize'!$I36,"")</f>
        <v/>
      </c>
      <c r="BH36" s="38" t="str">
        <f>IFERROR('1.vize'!BS36*100/'1.vize'!$I36,"")</f>
        <v/>
      </c>
      <c r="BI36" s="38" t="str">
        <f>IFERROR('1.vize'!BT36*100/'1.vize'!$I36,"")</f>
        <v/>
      </c>
      <c r="BJ36" s="38" t="str">
        <f>IFERROR('1.vize'!BU36*100/'1.vize'!$I36,"")</f>
        <v/>
      </c>
      <c r="BK36" s="38" t="str">
        <f>IFERROR('1.vize'!BV36*100/'1.vize'!$I36,"")</f>
        <v/>
      </c>
      <c r="BL36" s="38" t="str">
        <f>IFERROR('1.vize'!BW36*100/'1.vize'!$I36,"")</f>
        <v/>
      </c>
      <c r="BM36" s="38" t="str">
        <f>IFERROR('1.vize'!BX36*100/'1.vize'!$I36,"")</f>
        <v/>
      </c>
      <c r="BN36" s="38" t="str">
        <f>IFERROR('1.vize'!BY36*100/'1.vize'!$I36,"")</f>
        <v/>
      </c>
      <c r="BO36" s="38" t="str">
        <f>IFERROR('1.vize'!BZ36*100/'1.vize'!$I36,"")</f>
        <v/>
      </c>
      <c r="BP36" s="38" t="str">
        <f>IFERROR('1.vize'!CA36*100/'1.vize'!$I36,"")</f>
        <v/>
      </c>
      <c r="BQ36" s="38" t="str">
        <f>IFERROR('1.vize'!CB36*100/'1.vize'!$I36,"")</f>
        <v/>
      </c>
      <c r="BR36" s="38" t="str">
        <f>IFERROR('1.vize'!CC36*100/'1.vize'!$I36,"")</f>
        <v/>
      </c>
      <c r="BS36" s="38" t="str">
        <f>IFERROR('1.vize'!CD36*100/'1.vize'!$I36,"")</f>
        <v/>
      </c>
      <c r="BT36" s="38" t="str">
        <f>IFERROR('1.vize'!CE36*100/'1.vize'!$I36,"")</f>
        <v/>
      </c>
      <c r="BU36" s="38" t="str">
        <f>IFERROR('1.vize'!CF36*100/'1.vize'!$I36,"")</f>
        <v/>
      </c>
      <c r="BV36" s="38" t="str">
        <f>IFERROR('1.vize'!CG36*100/'1.vize'!$I36,"")</f>
        <v/>
      </c>
      <c r="BW36" s="38" t="str">
        <f>IFERROR('1.vize'!CH36*100/'1.vize'!$I36,"")</f>
        <v/>
      </c>
      <c r="BX36" s="38" t="str">
        <f>IFERROR('1.vize'!CI36*100/'1.vize'!$I36,"")</f>
        <v/>
      </c>
      <c r="BY36" s="38" t="str">
        <f>IFERROR('1.vize'!CJ36*100/'1.vize'!$I36,"")</f>
        <v/>
      </c>
      <c r="BZ36" s="38" t="str">
        <f>IFERROR('1.vize'!CK36*100/'1.vize'!$I36,"")</f>
        <v/>
      </c>
      <c r="CA36" s="38" t="str">
        <f>IFERROR('1.vize'!CL36*100/'1.vize'!$I36,"")</f>
        <v/>
      </c>
      <c r="CB36" s="38" t="str">
        <f>IFERROR('1.vize'!CM36*100/'1.vize'!$I36,"")</f>
        <v/>
      </c>
      <c r="CC36" s="38" t="str">
        <f>IFERROR('1.vize'!CN36*100/'1.vize'!$I36,"")</f>
        <v/>
      </c>
      <c r="CD36" s="38" t="str">
        <f>IFERROR('1.vize'!CO36*100/'1.vize'!$I36,"")</f>
        <v/>
      </c>
      <c r="CE36" s="38" t="str">
        <f>IFERROR('1.vize'!CP36*100/'1.vize'!$I36,"")</f>
        <v/>
      </c>
      <c r="CF36" s="38" t="str">
        <f>IFERROR('1.vize'!CQ36*100/'1.vize'!$I36,"")</f>
        <v/>
      </c>
      <c r="CG36" s="38" t="str">
        <f>IFERROR('1.vize'!CR36*100/'1.vize'!$I36,"")</f>
        <v/>
      </c>
      <c r="CH36" s="38" t="str">
        <f>IFERROR('1.vize'!CS36*100/'1.vize'!$I36,"")</f>
        <v/>
      </c>
      <c r="CI36" s="38" t="str">
        <f>IFERROR('1.vize'!CT36*100/'1.vize'!$I36,"")</f>
        <v/>
      </c>
      <c r="CJ36" s="38" t="str">
        <f>IFERROR('1.vize'!CU36*100/'1.vize'!$I36,"")</f>
        <v/>
      </c>
      <c r="CK36" s="38" t="str">
        <f>IFERROR('1.vize'!CV36*100/'1.vize'!$I36,"")</f>
        <v/>
      </c>
      <c r="CL36" s="38" t="str">
        <f>IFERROR('1.vize'!CW36*100/'1.vize'!$I36,"")</f>
        <v/>
      </c>
      <c r="CM36" s="38" t="str">
        <f>IFERROR('1.vize'!CX36*100/'1.vize'!$I36,"")</f>
        <v/>
      </c>
      <c r="CN36" s="38" t="str">
        <f>IFERROR('1.vize'!CY36*100/'1.vize'!$I36,"")</f>
        <v/>
      </c>
      <c r="CO36" s="38" t="str">
        <f>IFERROR('1.vize'!CZ36*100/'1.vize'!$I36,"")</f>
        <v/>
      </c>
      <c r="CP36" s="38" t="str">
        <f>IFERROR('1.vize'!DA36*100/'1.vize'!$I36,"")</f>
        <v/>
      </c>
      <c r="CQ36" s="38" t="str">
        <f>IFERROR('1.vize'!DB36*100/'1.vize'!$I36,"")</f>
        <v/>
      </c>
      <c r="CR36" s="38" t="str">
        <f>IFERROR('1.vize'!DC36*100/'1.vize'!$I36,"")</f>
        <v/>
      </c>
      <c r="CS36" s="38" t="str">
        <f>IFERROR('1.vize'!DD36*100/'1.vize'!$I36,"")</f>
        <v/>
      </c>
      <c r="CT36" s="38" t="str">
        <f>IFERROR('1.vize'!DE36*100/'1.vize'!$I36,"")</f>
        <v/>
      </c>
      <c r="CU36" s="38" t="str">
        <f>IFERROR('1.vize'!DF36*100/'1.vize'!$I36,"")</f>
        <v/>
      </c>
      <c r="CV36" s="38" t="str">
        <f>IFERROR('1.vize'!DG36*100/'1.vize'!$I36,"")</f>
        <v/>
      </c>
      <c r="CW36" s="32" t="str">
        <f>IFERROR(SUM(A36:CV36)/'1.vize'!$DH$103,"")</f>
        <v/>
      </c>
      <c r="CX36" s="14" t="str">
        <f>IF(COUNTA('1.vize'!A36),'1.vize'!A36,"")</f>
        <v/>
      </c>
      <c r="CY36" s="14" t="str">
        <f>IF(COUNTA('1.vize'!B36),'1.vize'!B36,"")</f>
        <v/>
      </c>
      <c r="CZ36" s="14" t="str">
        <f>IF(COUNTA('1.vize'!C36),'1.vize'!C36,"")</f>
        <v/>
      </c>
      <c r="DA36" s="14" t="str">
        <f>IF(COUNTA('1.vize'!D36),'1.vize'!D36,"")</f>
        <v/>
      </c>
      <c r="DB36" s="14" t="str">
        <f>IF(COUNTA('1.vize'!E36),'1.vize'!E36,"")</f>
        <v/>
      </c>
      <c r="DC36" s="14" t="str">
        <f>IF(COUNTA('1.vize'!F36),'1.vize'!F36,"")</f>
        <v/>
      </c>
      <c r="DD36" s="14" t="str">
        <f>IF(COUNTA('1.vize'!G36),'1.vize'!G36,"")</f>
        <v/>
      </c>
      <c r="DE36" s="14" t="str">
        <f>IF(COUNTA('1.vize'!H36),'1.vize'!H36,"")</f>
        <v/>
      </c>
      <c r="DF36" s="33"/>
    </row>
    <row r="37" spans="1:110" x14ac:dyDescent="0.2">
      <c r="A37" s="38" t="str">
        <f>IFERROR('1.vize'!L37*100/'1.vize'!$I37,"")</f>
        <v/>
      </c>
      <c r="B37" s="38" t="str">
        <f>IFERROR('1.vize'!M37*100/'1.vize'!$I37,"")</f>
        <v/>
      </c>
      <c r="C37" s="38" t="str">
        <f>IFERROR('1.vize'!N37*100/'1.vize'!$I37,"")</f>
        <v/>
      </c>
      <c r="D37" s="38" t="str">
        <f>IFERROR('1.vize'!O37*100/'1.vize'!$I37,"")</f>
        <v/>
      </c>
      <c r="E37" s="38" t="str">
        <f>IFERROR('1.vize'!P37*100/'1.vize'!$I37,"")</f>
        <v/>
      </c>
      <c r="F37" s="38" t="str">
        <f>IFERROR('1.vize'!Q37*100/'1.vize'!$I37,"")</f>
        <v/>
      </c>
      <c r="G37" s="38" t="str">
        <f>IFERROR('1.vize'!R37*100/'1.vize'!$I37,"")</f>
        <v/>
      </c>
      <c r="H37" s="38" t="str">
        <f>IFERROR('1.vize'!S37*100/'1.vize'!$I37,"")</f>
        <v/>
      </c>
      <c r="I37" s="38" t="str">
        <f>IFERROR('1.vize'!T37*100/'1.vize'!$I37,"")</f>
        <v/>
      </c>
      <c r="J37" s="38" t="str">
        <f>IFERROR('1.vize'!U37*100/'1.vize'!$I37,"")</f>
        <v/>
      </c>
      <c r="K37" s="38" t="str">
        <f>IFERROR('1.vize'!V37*100/'1.vize'!$I37,"")</f>
        <v/>
      </c>
      <c r="L37" s="38" t="str">
        <f>IFERROR('1.vize'!W37*100/'1.vize'!$I37,"")</f>
        <v/>
      </c>
      <c r="M37" s="38" t="str">
        <f>IFERROR('1.vize'!X37*100/'1.vize'!$I37,"")</f>
        <v/>
      </c>
      <c r="N37" s="38" t="str">
        <f>IFERROR('1.vize'!Y37*100/'1.vize'!$I37,"")</f>
        <v/>
      </c>
      <c r="O37" s="38" t="str">
        <f>IFERROR('1.vize'!Z37*100/'1.vize'!$I37,"")</f>
        <v/>
      </c>
      <c r="P37" s="38" t="str">
        <f>IFERROR('1.vize'!AA37*100/'1.vize'!$I37,"")</f>
        <v/>
      </c>
      <c r="Q37" s="38" t="str">
        <f>IFERROR('1.vize'!AB37*100/'1.vize'!$I37,"")</f>
        <v/>
      </c>
      <c r="R37" s="38" t="str">
        <f>IFERROR('1.vize'!AC37*100/'1.vize'!$I37,"")</f>
        <v/>
      </c>
      <c r="S37" s="38" t="str">
        <f>IFERROR('1.vize'!AD37*100/'1.vize'!$I37,"")</f>
        <v/>
      </c>
      <c r="T37" s="38" t="str">
        <f>IFERROR('1.vize'!AE37*100/'1.vize'!$I37,"")</f>
        <v/>
      </c>
      <c r="U37" s="38" t="str">
        <f>IFERROR('1.vize'!AF37*100/'1.vize'!$I37,"")</f>
        <v/>
      </c>
      <c r="V37" s="38" t="str">
        <f>IFERROR('1.vize'!AG37*100/'1.vize'!$I37,"")</f>
        <v/>
      </c>
      <c r="W37" s="38" t="str">
        <f>IFERROR('1.vize'!AH37*100/'1.vize'!$I37,"")</f>
        <v/>
      </c>
      <c r="X37" s="38" t="str">
        <f>IFERROR('1.vize'!AI37*100/'1.vize'!$I37,"")</f>
        <v/>
      </c>
      <c r="Y37" s="38" t="str">
        <f>IFERROR('1.vize'!AJ37*100/'1.vize'!$I37,"")</f>
        <v/>
      </c>
      <c r="Z37" s="38" t="str">
        <f>IFERROR('1.vize'!AK37*100/'1.vize'!$I37,"")</f>
        <v/>
      </c>
      <c r="AA37" s="38" t="str">
        <f>IFERROR('1.vize'!AL37*100/'1.vize'!$I37,"")</f>
        <v/>
      </c>
      <c r="AB37" s="38" t="str">
        <f>IFERROR('1.vize'!AM37*100/'1.vize'!$I37,"")</f>
        <v/>
      </c>
      <c r="AC37" s="38" t="str">
        <f>IFERROR('1.vize'!AN37*100/'1.vize'!$I37,"")</f>
        <v/>
      </c>
      <c r="AD37" s="38" t="str">
        <f>IFERROR('1.vize'!AO37*100/'1.vize'!$I37,"")</f>
        <v/>
      </c>
      <c r="AE37" s="38" t="str">
        <f>IFERROR('1.vize'!AP37*100/'1.vize'!$I37,"")</f>
        <v/>
      </c>
      <c r="AF37" s="38" t="str">
        <f>IFERROR('1.vize'!AQ37*100/'1.vize'!$I37,"")</f>
        <v/>
      </c>
      <c r="AG37" s="38" t="str">
        <f>IFERROR('1.vize'!AR37*100/'1.vize'!$I37,"")</f>
        <v/>
      </c>
      <c r="AH37" s="38" t="str">
        <f>IFERROR('1.vize'!AS37*100/'1.vize'!$I37,"")</f>
        <v/>
      </c>
      <c r="AI37" s="38" t="str">
        <f>IFERROR('1.vize'!AT37*100/'1.vize'!$I37,"")</f>
        <v/>
      </c>
      <c r="AJ37" s="38" t="str">
        <f>IFERROR('1.vize'!AU37*100/'1.vize'!$I37,"")</f>
        <v/>
      </c>
      <c r="AK37" s="38" t="str">
        <f>IFERROR('1.vize'!AV37*100/'1.vize'!$I37,"")</f>
        <v/>
      </c>
      <c r="AL37" s="38" t="str">
        <f>IFERROR('1.vize'!AW37*100/'1.vize'!$I37,"")</f>
        <v/>
      </c>
      <c r="AM37" s="38" t="str">
        <f>IFERROR('1.vize'!AX37*100/'1.vize'!$I37,"")</f>
        <v/>
      </c>
      <c r="AN37" s="38" t="str">
        <f>IFERROR('1.vize'!AY37*100/'1.vize'!$I37,"")</f>
        <v/>
      </c>
      <c r="AO37" s="38" t="str">
        <f>IFERROR('1.vize'!AZ37*100/'1.vize'!$I37,"")</f>
        <v/>
      </c>
      <c r="AP37" s="38" t="str">
        <f>IFERROR('1.vize'!BA37*100/'1.vize'!$I37,"")</f>
        <v/>
      </c>
      <c r="AQ37" s="38" t="str">
        <f>IFERROR('1.vize'!BB37*100/'1.vize'!$I37,"")</f>
        <v/>
      </c>
      <c r="AR37" s="38" t="str">
        <f>IFERROR('1.vize'!BC37*100/'1.vize'!$I37,"")</f>
        <v/>
      </c>
      <c r="AS37" s="38" t="str">
        <f>IFERROR('1.vize'!BD37*100/'1.vize'!$I37,"")</f>
        <v/>
      </c>
      <c r="AT37" s="38" t="str">
        <f>IFERROR('1.vize'!BE37*100/'1.vize'!$I37,"")</f>
        <v/>
      </c>
      <c r="AU37" s="38" t="str">
        <f>IFERROR('1.vize'!BF37*100/'1.vize'!$I37,"")</f>
        <v/>
      </c>
      <c r="AV37" s="38" t="str">
        <f>IFERROR('1.vize'!BG37*100/'1.vize'!$I37,"")</f>
        <v/>
      </c>
      <c r="AW37" s="38" t="str">
        <f>IFERROR('1.vize'!BH37*100/'1.vize'!$I37,"")</f>
        <v/>
      </c>
      <c r="AX37" s="38" t="str">
        <f>IFERROR('1.vize'!BI37*100/'1.vize'!$I37,"")</f>
        <v/>
      </c>
      <c r="AY37" s="38" t="str">
        <f>IFERROR('1.vize'!BJ37*100/'1.vize'!$I37,"")</f>
        <v/>
      </c>
      <c r="AZ37" s="38" t="str">
        <f>IFERROR('1.vize'!BK37*100/'1.vize'!$I37,"")</f>
        <v/>
      </c>
      <c r="BA37" s="38" t="str">
        <f>IFERROR('1.vize'!BL37*100/'1.vize'!$I37,"")</f>
        <v/>
      </c>
      <c r="BB37" s="38" t="str">
        <f>IFERROR('1.vize'!BM37*100/'1.vize'!$I37,"")</f>
        <v/>
      </c>
      <c r="BC37" s="38" t="str">
        <f>IFERROR('1.vize'!BN37*100/'1.vize'!$I37,"")</f>
        <v/>
      </c>
      <c r="BD37" s="38" t="str">
        <f>IFERROR('1.vize'!BO37*100/'1.vize'!$I37,"")</f>
        <v/>
      </c>
      <c r="BE37" s="38" t="str">
        <f>IFERROR('1.vize'!BP37*100/'1.vize'!$I37,"")</f>
        <v/>
      </c>
      <c r="BF37" s="38" t="str">
        <f>IFERROR('1.vize'!BQ37*100/'1.vize'!$I37,"")</f>
        <v/>
      </c>
      <c r="BG37" s="38" t="str">
        <f>IFERROR('1.vize'!BR37*100/'1.vize'!$I37,"")</f>
        <v/>
      </c>
      <c r="BH37" s="38" t="str">
        <f>IFERROR('1.vize'!BS37*100/'1.vize'!$I37,"")</f>
        <v/>
      </c>
      <c r="BI37" s="38" t="str">
        <f>IFERROR('1.vize'!BT37*100/'1.vize'!$I37,"")</f>
        <v/>
      </c>
      <c r="BJ37" s="38" t="str">
        <f>IFERROR('1.vize'!BU37*100/'1.vize'!$I37,"")</f>
        <v/>
      </c>
      <c r="BK37" s="38" t="str">
        <f>IFERROR('1.vize'!BV37*100/'1.vize'!$I37,"")</f>
        <v/>
      </c>
      <c r="BL37" s="38" t="str">
        <f>IFERROR('1.vize'!BW37*100/'1.vize'!$I37,"")</f>
        <v/>
      </c>
      <c r="BM37" s="38" t="str">
        <f>IFERROR('1.vize'!BX37*100/'1.vize'!$I37,"")</f>
        <v/>
      </c>
      <c r="BN37" s="38" t="str">
        <f>IFERROR('1.vize'!BY37*100/'1.vize'!$I37,"")</f>
        <v/>
      </c>
      <c r="BO37" s="38" t="str">
        <f>IFERROR('1.vize'!BZ37*100/'1.vize'!$I37,"")</f>
        <v/>
      </c>
      <c r="BP37" s="38" t="str">
        <f>IFERROR('1.vize'!CA37*100/'1.vize'!$I37,"")</f>
        <v/>
      </c>
      <c r="BQ37" s="38" t="str">
        <f>IFERROR('1.vize'!CB37*100/'1.vize'!$I37,"")</f>
        <v/>
      </c>
      <c r="BR37" s="38" t="str">
        <f>IFERROR('1.vize'!CC37*100/'1.vize'!$I37,"")</f>
        <v/>
      </c>
      <c r="BS37" s="38" t="str">
        <f>IFERROR('1.vize'!CD37*100/'1.vize'!$I37,"")</f>
        <v/>
      </c>
      <c r="BT37" s="38" t="str">
        <f>IFERROR('1.vize'!CE37*100/'1.vize'!$I37,"")</f>
        <v/>
      </c>
      <c r="BU37" s="38" t="str">
        <f>IFERROR('1.vize'!CF37*100/'1.vize'!$I37,"")</f>
        <v/>
      </c>
      <c r="BV37" s="38" t="str">
        <f>IFERROR('1.vize'!CG37*100/'1.vize'!$I37,"")</f>
        <v/>
      </c>
      <c r="BW37" s="38" t="str">
        <f>IFERROR('1.vize'!CH37*100/'1.vize'!$I37,"")</f>
        <v/>
      </c>
      <c r="BX37" s="38" t="str">
        <f>IFERROR('1.vize'!CI37*100/'1.vize'!$I37,"")</f>
        <v/>
      </c>
      <c r="BY37" s="38" t="str">
        <f>IFERROR('1.vize'!CJ37*100/'1.vize'!$I37,"")</f>
        <v/>
      </c>
      <c r="BZ37" s="38" t="str">
        <f>IFERROR('1.vize'!CK37*100/'1.vize'!$I37,"")</f>
        <v/>
      </c>
      <c r="CA37" s="38" t="str">
        <f>IFERROR('1.vize'!CL37*100/'1.vize'!$I37,"")</f>
        <v/>
      </c>
      <c r="CB37" s="38" t="str">
        <f>IFERROR('1.vize'!CM37*100/'1.vize'!$I37,"")</f>
        <v/>
      </c>
      <c r="CC37" s="38" t="str">
        <f>IFERROR('1.vize'!CN37*100/'1.vize'!$I37,"")</f>
        <v/>
      </c>
      <c r="CD37" s="38" t="str">
        <f>IFERROR('1.vize'!CO37*100/'1.vize'!$I37,"")</f>
        <v/>
      </c>
      <c r="CE37" s="38" t="str">
        <f>IFERROR('1.vize'!CP37*100/'1.vize'!$I37,"")</f>
        <v/>
      </c>
      <c r="CF37" s="38" t="str">
        <f>IFERROR('1.vize'!CQ37*100/'1.vize'!$I37,"")</f>
        <v/>
      </c>
      <c r="CG37" s="38" t="str">
        <f>IFERROR('1.vize'!CR37*100/'1.vize'!$I37,"")</f>
        <v/>
      </c>
      <c r="CH37" s="38" t="str">
        <f>IFERROR('1.vize'!CS37*100/'1.vize'!$I37,"")</f>
        <v/>
      </c>
      <c r="CI37" s="38" t="str">
        <f>IFERROR('1.vize'!CT37*100/'1.vize'!$I37,"")</f>
        <v/>
      </c>
      <c r="CJ37" s="38" t="str">
        <f>IFERROR('1.vize'!CU37*100/'1.vize'!$I37,"")</f>
        <v/>
      </c>
      <c r="CK37" s="38" t="str">
        <f>IFERROR('1.vize'!CV37*100/'1.vize'!$I37,"")</f>
        <v/>
      </c>
      <c r="CL37" s="38" t="str">
        <f>IFERROR('1.vize'!CW37*100/'1.vize'!$I37,"")</f>
        <v/>
      </c>
      <c r="CM37" s="38" t="str">
        <f>IFERROR('1.vize'!CX37*100/'1.vize'!$I37,"")</f>
        <v/>
      </c>
      <c r="CN37" s="38" t="str">
        <f>IFERROR('1.vize'!CY37*100/'1.vize'!$I37,"")</f>
        <v/>
      </c>
      <c r="CO37" s="38" t="str">
        <f>IFERROR('1.vize'!CZ37*100/'1.vize'!$I37,"")</f>
        <v/>
      </c>
      <c r="CP37" s="38" t="str">
        <f>IFERROR('1.vize'!DA37*100/'1.vize'!$I37,"")</f>
        <v/>
      </c>
      <c r="CQ37" s="38" t="str">
        <f>IFERROR('1.vize'!DB37*100/'1.vize'!$I37,"")</f>
        <v/>
      </c>
      <c r="CR37" s="38" t="str">
        <f>IFERROR('1.vize'!DC37*100/'1.vize'!$I37,"")</f>
        <v/>
      </c>
      <c r="CS37" s="38" t="str">
        <f>IFERROR('1.vize'!DD37*100/'1.vize'!$I37,"")</f>
        <v/>
      </c>
      <c r="CT37" s="38" t="str">
        <f>IFERROR('1.vize'!DE37*100/'1.vize'!$I37,"")</f>
        <v/>
      </c>
      <c r="CU37" s="38" t="str">
        <f>IFERROR('1.vize'!DF37*100/'1.vize'!$I37,"")</f>
        <v/>
      </c>
      <c r="CV37" s="38" t="str">
        <f>IFERROR('1.vize'!DG37*100/'1.vize'!$I37,"")</f>
        <v/>
      </c>
      <c r="CW37" s="32" t="str">
        <f>IFERROR(SUM(A37:CV37)/'1.vize'!$DH$103,"")</f>
        <v/>
      </c>
      <c r="CX37" s="14" t="str">
        <f>IF(COUNTA('1.vize'!A37),'1.vize'!A37,"")</f>
        <v/>
      </c>
      <c r="CY37" s="14" t="str">
        <f>IF(COUNTA('1.vize'!B37),'1.vize'!B37,"")</f>
        <v/>
      </c>
      <c r="CZ37" s="14" t="str">
        <f>IF(COUNTA('1.vize'!C37),'1.vize'!C37,"")</f>
        <v/>
      </c>
      <c r="DA37" s="14" t="str">
        <f>IF(COUNTA('1.vize'!D37),'1.vize'!D37,"")</f>
        <v/>
      </c>
      <c r="DB37" s="14" t="str">
        <f>IF(COUNTA('1.vize'!E37),'1.vize'!E37,"")</f>
        <v/>
      </c>
      <c r="DC37" s="14" t="str">
        <f>IF(COUNTA('1.vize'!F37),'1.vize'!F37,"")</f>
        <v/>
      </c>
      <c r="DD37" s="14" t="str">
        <f>IF(COUNTA('1.vize'!G37),'1.vize'!G37,"")</f>
        <v/>
      </c>
      <c r="DE37" s="14" t="str">
        <f>IF(COUNTA('1.vize'!H37),'1.vize'!H37,"")</f>
        <v/>
      </c>
      <c r="DF37" s="33"/>
    </row>
    <row r="38" spans="1:110" x14ac:dyDescent="0.2">
      <c r="A38" s="38" t="str">
        <f>IFERROR('1.vize'!L38*100/'1.vize'!$I38,"")</f>
        <v/>
      </c>
      <c r="B38" s="38" t="str">
        <f>IFERROR('1.vize'!M38*100/'1.vize'!$I38,"")</f>
        <v/>
      </c>
      <c r="C38" s="38" t="str">
        <f>IFERROR('1.vize'!N38*100/'1.vize'!$I38,"")</f>
        <v/>
      </c>
      <c r="D38" s="38" t="str">
        <f>IFERROR('1.vize'!O38*100/'1.vize'!$I38,"")</f>
        <v/>
      </c>
      <c r="E38" s="38" t="str">
        <f>IFERROR('1.vize'!P38*100/'1.vize'!$I38,"")</f>
        <v/>
      </c>
      <c r="F38" s="38" t="str">
        <f>IFERROR('1.vize'!Q38*100/'1.vize'!$I38,"")</f>
        <v/>
      </c>
      <c r="G38" s="38" t="str">
        <f>IFERROR('1.vize'!R38*100/'1.vize'!$I38,"")</f>
        <v/>
      </c>
      <c r="H38" s="38" t="str">
        <f>IFERROR('1.vize'!S38*100/'1.vize'!$I38,"")</f>
        <v/>
      </c>
      <c r="I38" s="38" t="str">
        <f>IFERROR('1.vize'!T38*100/'1.vize'!$I38,"")</f>
        <v/>
      </c>
      <c r="J38" s="38" t="str">
        <f>IFERROR('1.vize'!U38*100/'1.vize'!$I38,"")</f>
        <v/>
      </c>
      <c r="K38" s="38" t="str">
        <f>IFERROR('1.vize'!V38*100/'1.vize'!$I38,"")</f>
        <v/>
      </c>
      <c r="L38" s="38" t="str">
        <f>IFERROR('1.vize'!W38*100/'1.vize'!$I38,"")</f>
        <v/>
      </c>
      <c r="M38" s="38" t="str">
        <f>IFERROR('1.vize'!X38*100/'1.vize'!$I38,"")</f>
        <v/>
      </c>
      <c r="N38" s="38" t="str">
        <f>IFERROR('1.vize'!Y38*100/'1.vize'!$I38,"")</f>
        <v/>
      </c>
      <c r="O38" s="38" t="str">
        <f>IFERROR('1.vize'!Z38*100/'1.vize'!$I38,"")</f>
        <v/>
      </c>
      <c r="P38" s="38" t="str">
        <f>IFERROR('1.vize'!AA38*100/'1.vize'!$I38,"")</f>
        <v/>
      </c>
      <c r="Q38" s="38" t="str">
        <f>IFERROR('1.vize'!AB38*100/'1.vize'!$I38,"")</f>
        <v/>
      </c>
      <c r="R38" s="38" t="str">
        <f>IFERROR('1.vize'!AC38*100/'1.vize'!$I38,"")</f>
        <v/>
      </c>
      <c r="S38" s="38" t="str">
        <f>IFERROR('1.vize'!AD38*100/'1.vize'!$I38,"")</f>
        <v/>
      </c>
      <c r="T38" s="38" t="str">
        <f>IFERROR('1.vize'!AE38*100/'1.vize'!$I38,"")</f>
        <v/>
      </c>
      <c r="U38" s="38" t="str">
        <f>IFERROR('1.vize'!AF38*100/'1.vize'!$I38,"")</f>
        <v/>
      </c>
      <c r="V38" s="38" t="str">
        <f>IFERROR('1.vize'!AG38*100/'1.vize'!$I38,"")</f>
        <v/>
      </c>
      <c r="W38" s="38" t="str">
        <f>IFERROR('1.vize'!AH38*100/'1.vize'!$I38,"")</f>
        <v/>
      </c>
      <c r="X38" s="38" t="str">
        <f>IFERROR('1.vize'!AI38*100/'1.vize'!$I38,"")</f>
        <v/>
      </c>
      <c r="Y38" s="38" t="str">
        <f>IFERROR('1.vize'!AJ38*100/'1.vize'!$I38,"")</f>
        <v/>
      </c>
      <c r="Z38" s="38" t="str">
        <f>IFERROR('1.vize'!AK38*100/'1.vize'!$I38,"")</f>
        <v/>
      </c>
      <c r="AA38" s="38" t="str">
        <f>IFERROR('1.vize'!AL38*100/'1.vize'!$I38,"")</f>
        <v/>
      </c>
      <c r="AB38" s="38" t="str">
        <f>IFERROR('1.vize'!AM38*100/'1.vize'!$I38,"")</f>
        <v/>
      </c>
      <c r="AC38" s="38" t="str">
        <f>IFERROR('1.vize'!AN38*100/'1.vize'!$I38,"")</f>
        <v/>
      </c>
      <c r="AD38" s="38" t="str">
        <f>IFERROR('1.vize'!AO38*100/'1.vize'!$I38,"")</f>
        <v/>
      </c>
      <c r="AE38" s="38" t="str">
        <f>IFERROR('1.vize'!AP38*100/'1.vize'!$I38,"")</f>
        <v/>
      </c>
      <c r="AF38" s="38" t="str">
        <f>IFERROR('1.vize'!AQ38*100/'1.vize'!$I38,"")</f>
        <v/>
      </c>
      <c r="AG38" s="38" t="str">
        <f>IFERROR('1.vize'!AR38*100/'1.vize'!$I38,"")</f>
        <v/>
      </c>
      <c r="AH38" s="38" t="str">
        <f>IFERROR('1.vize'!AS38*100/'1.vize'!$I38,"")</f>
        <v/>
      </c>
      <c r="AI38" s="38" t="str">
        <f>IFERROR('1.vize'!AT38*100/'1.vize'!$I38,"")</f>
        <v/>
      </c>
      <c r="AJ38" s="38" t="str">
        <f>IFERROR('1.vize'!AU38*100/'1.vize'!$I38,"")</f>
        <v/>
      </c>
      <c r="AK38" s="38" t="str">
        <f>IFERROR('1.vize'!AV38*100/'1.vize'!$I38,"")</f>
        <v/>
      </c>
      <c r="AL38" s="38" t="str">
        <f>IFERROR('1.vize'!AW38*100/'1.vize'!$I38,"")</f>
        <v/>
      </c>
      <c r="AM38" s="38" t="str">
        <f>IFERROR('1.vize'!AX38*100/'1.vize'!$I38,"")</f>
        <v/>
      </c>
      <c r="AN38" s="38" t="str">
        <f>IFERROR('1.vize'!AY38*100/'1.vize'!$I38,"")</f>
        <v/>
      </c>
      <c r="AO38" s="38" t="str">
        <f>IFERROR('1.vize'!AZ38*100/'1.vize'!$I38,"")</f>
        <v/>
      </c>
      <c r="AP38" s="38" t="str">
        <f>IFERROR('1.vize'!BA38*100/'1.vize'!$I38,"")</f>
        <v/>
      </c>
      <c r="AQ38" s="38" t="str">
        <f>IFERROR('1.vize'!BB38*100/'1.vize'!$I38,"")</f>
        <v/>
      </c>
      <c r="AR38" s="38" t="str">
        <f>IFERROR('1.vize'!BC38*100/'1.vize'!$I38,"")</f>
        <v/>
      </c>
      <c r="AS38" s="38" t="str">
        <f>IFERROR('1.vize'!BD38*100/'1.vize'!$I38,"")</f>
        <v/>
      </c>
      <c r="AT38" s="38" t="str">
        <f>IFERROR('1.vize'!BE38*100/'1.vize'!$I38,"")</f>
        <v/>
      </c>
      <c r="AU38" s="38" t="str">
        <f>IFERROR('1.vize'!BF38*100/'1.vize'!$I38,"")</f>
        <v/>
      </c>
      <c r="AV38" s="38" t="str">
        <f>IFERROR('1.vize'!BG38*100/'1.vize'!$I38,"")</f>
        <v/>
      </c>
      <c r="AW38" s="38" t="str">
        <f>IFERROR('1.vize'!BH38*100/'1.vize'!$I38,"")</f>
        <v/>
      </c>
      <c r="AX38" s="38" t="str">
        <f>IFERROR('1.vize'!BI38*100/'1.vize'!$I38,"")</f>
        <v/>
      </c>
      <c r="AY38" s="38" t="str">
        <f>IFERROR('1.vize'!BJ38*100/'1.vize'!$I38,"")</f>
        <v/>
      </c>
      <c r="AZ38" s="38" t="str">
        <f>IFERROR('1.vize'!BK38*100/'1.vize'!$I38,"")</f>
        <v/>
      </c>
      <c r="BA38" s="38" t="str">
        <f>IFERROR('1.vize'!BL38*100/'1.vize'!$I38,"")</f>
        <v/>
      </c>
      <c r="BB38" s="38" t="str">
        <f>IFERROR('1.vize'!BM38*100/'1.vize'!$I38,"")</f>
        <v/>
      </c>
      <c r="BC38" s="38" t="str">
        <f>IFERROR('1.vize'!BN38*100/'1.vize'!$I38,"")</f>
        <v/>
      </c>
      <c r="BD38" s="38" t="str">
        <f>IFERROR('1.vize'!BO38*100/'1.vize'!$I38,"")</f>
        <v/>
      </c>
      <c r="BE38" s="38" t="str">
        <f>IFERROR('1.vize'!BP38*100/'1.vize'!$I38,"")</f>
        <v/>
      </c>
      <c r="BF38" s="38" t="str">
        <f>IFERROR('1.vize'!BQ38*100/'1.vize'!$I38,"")</f>
        <v/>
      </c>
      <c r="BG38" s="38" t="str">
        <f>IFERROR('1.vize'!BR38*100/'1.vize'!$I38,"")</f>
        <v/>
      </c>
      <c r="BH38" s="38" t="str">
        <f>IFERROR('1.vize'!BS38*100/'1.vize'!$I38,"")</f>
        <v/>
      </c>
      <c r="BI38" s="38" t="str">
        <f>IFERROR('1.vize'!BT38*100/'1.vize'!$I38,"")</f>
        <v/>
      </c>
      <c r="BJ38" s="38" t="str">
        <f>IFERROR('1.vize'!BU38*100/'1.vize'!$I38,"")</f>
        <v/>
      </c>
      <c r="BK38" s="38" t="str">
        <f>IFERROR('1.vize'!BV38*100/'1.vize'!$I38,"")</f>
        <v/>
      </c>
      <c r="BL38" s="38" t="str">
        <f>IFERROR('1.vize'!BW38*100/'1.vize'!$I38,"")</f>
        <v/>
      </c>
      <c r="BM38" s="38" t="str">
        <f>IFERROR('1.vize'!BX38*100/'1.vize'!$I38,"")</f>
        <v/>
      </c>
      <c r="BN38" s="38" t="str">
        <f>IFERROR('1.vize'!BY38*100/'1.vize'!$I38,"")</f>
        <v/>
      </c>
      <c r="BO38" s="38" t="str">
        <f>IFERROR('1.vize'!BZ38*100/'1.vize'!$I38,"")</f>
        <v/>
      </c>
      <c r="BP38" s="38" t="str">
        <f>IFERROR('1.vize'!CA38*100/'1.vize'!$I38,"")</f>
        <v/>
      </c>
      <c r="BQ38" s="38" t="str">
        <f>IFERROR('1.vize'!CB38*100/'1.vize'!$I38,"")</f>
        <v/>
      </c>
      <c r="BR38" s="38" t="str">
        <f>IFERROR('1.vize'!CC38*100/'1.vize'!$I38,"")</f>
        <v/>
      </c>
      <c r="BS38" s="38" t="str">
        <f>IFERROR('1.vize'!CD38*100/'1.vize'!$I38,"")</f>
        <v/>
      </c>
      <c r="BT38" s="38" t="str">
        <f>IFERROR('1.vize'!CE38*100/'1.vize'!$I38,"")</f>
        <v/>
      </c>
      <c r="BU38" s="38" t="str">
        <f>IFERROR('1.vize'!CF38*100/'1.vize'!$I38,"")</f>
        <v/>
      </c>
      <c r="BV38" s="38" t="str">
        <f>IFERROR('1.vize'!CG38*100/'1.vize'!$I38,"")</f>
        <v/>
      </c>
      <c r="BW38" s="38" t="str">
        <f>IFERROR('1.vize'!CH38*100/'1.vize'!$I38,"")</f>
        <v/>
      </c>
      <c r="BX38" s="38" t="str">
        <f>IFERROR('1.vize'!CI38*100/'1.vize'!$I38,"")</f>
        <v/>
      </c>
      <c r="BY38" s="38" t="str">
        <f>IFERROR('1.vize'!CJ38*100/'1.vize'!$I38,"")</f>
        <v/>
      </c>
      <c r="BZ38" s="38" t="str">
        <f>IFERROR('1.vize'!CK38*100/'1.vize'!$I38,"")</f>
        <v/>
      </c>
      <c r="CA38" s="38" t="str">
        <f>IFERROR('1.vize'!CL38*100/'1.vize'!$I38,"")</f>
        <v/>
      </c>
      <c r="CB38" s="38" t="str">
        <f>IFERROR('1.vize'!CM38*100/'1.vize'!$I38,"")</f>
        <v/>
      </c>
      <c r="CC38" s="38" t="str">
        <f>IFERROR('1.vize'!CN38*100/'1.vize'!$I38,"")</f>
        <v/>
      </c>
      <c r="CD38" s="38" t="str">
        <f>IFERROR('1.vize'!CO38*100/'1.vize'!$I38,"")</f>
        <v/>
      </c>
      <c r="CE38" s="38" t="str">
        <f>IFERROR('1.vize'!CP38*100/'1.vize'!$I38,"")</f>
        <v/>
      </c>
      <c r="CF38" s="38" t="str">
        <f>IFERROR('1.vize'!CQ38*100/'1.vize'!$I38,"")</f>
        <v/>
      </c>
      <c r="CG38" s="38" t="str">
        <f>IFERROR('1.vize'!CR38*100/'1.vize'!$I38,"")</f>
        <v/>
      </c>
      <c r="CH38" s="38" t="str">
        <f>IFERROR('1.vize'!CS38*100/'1.vize'!$I38,"")</f>
        <v/>
      </c>
      <c r="CI38" s="38" t="str">
        <f>IFERROR('1.vize'!CT38*100/'1.vize'!$I38,"")</f>
        <v/>
      </c>
      <c r="CJ38" s="38" t="str">
        <f>IFERROR('1.vize'!CU38*100/'1.vize'!$I38,"")</f>
        <v/>
      </c>
      <c r="CK38" s="38" t="str">
        <f>IFERROR('1.vize'!CV38*100/'1.vize'!$I38,"")</f>
        <v/>
      </c>
      <c r="CL38" s="38" t="str">
        <f>IFERROR('1.vize'!CW38*100/'1.vize'!$I38,"")</f>
        <v/>
      </c>
      <c r="CM38" s="38" t="str">
        <f>IFERROR('1.vize'!CX38*100/'1.vize'!$I38,"")</f>
        <v/>
      </c>
      <c r="CN38" s="38" t="str">
        <f>IFERROR('1.vize'!CY38*100/'1.vize'!$I38,"")</f>
        <v/>
      </c>
      <c r="CO38" s="38" t="str">
        <f>IFERROR('1.vize'!CZ38*100/'1.vize'!$I38,"")</f>
        <v/>
      </c>
      <c r="CP38" s="38" t="str">
        <f>IFERROR('1.vize'!DA38*100/'1.vize'!$I38,"")</f>
        <v/>
      </c>
      <c r="CQ38" s="38" t="str">
        <f>IFERROR('1.vize'!DB38*100/'1.vize'!$I38,"")</f>
        <v/>
      </c>
      <c r="CR38" s="38" t="str">
        <f>IFERROR('1.vize'!DC38*100/'1.vize'!$I38,"")</f>
        <v/>
      </c>
      <c r="CS38" s="38" t="str">
        <f>IFERROR('1.vize'!DD38*100/'1.vize'!$I38,"")</f>
        <v/>
      </c>
      <c r="CT38" s="38" t="str">
        <f>IFERROR('1.vize'!DE38*100/'1.vize'!$I38,"")</f>
        <v/>
      </c>
      <c r="CU38" s="38" t="str">
        <f>IFERROR('1.vize'!DF38*100/'1.vize'!$I38,"")</f>
        <v/>
      </c>
      <c r="CV38" s="38" t="str">
        <f>IFERROR('1.vize'!DG38*100/'1.vize'!$I38,"")</f>
        <v/>
      </c>
      <c r="CW38" s="32" t="str">
        <f>IFERROR(SUM(A38:CV38)/'1.vize'!$DH$103,"")</f>
        <v/>
      </c>
      <c r="CX38" s="14" t="str">
        <f>IF(COUNTA('1.vize'!A38),'1.vize'!A38,"")</f>
        <v/>
      </c>
      <c r="CY38" s="14" t="str">
        <f>IF(COUNTA('1.vize'!B38),'1.vize'!B38,"")</f>
        <v/>
      </c>
      <c r="CZ38" s="14" t="str">
        <f>IF(COUNTA('1.vize'!C38),'1.vize'!C38,"")</f>
        <v/>
      </c>
      <c r="DA38" s="14" t="str">
        <f>IF(COUNTA('1.vize'!D38),'1.vize'!D38,"")</f>
        <v/>
      </c>
      <c r="DB38" s="14" t="str">
        <f>IF(COUNTA('1.vize'!E38),'1.vize'!E38,"")</f>
        <v/>
      </c>
      <c r="DC38" s="14" t="str">
        <f>IF(COUNTA('1.vize'!F38),'1.vize'!F38,"")</f>
        <v/>
      </c>
      <c r="DD38" s="14" t="str">
        <f>IF(COUNTA('1.vize'!G38),'1.vize'!G38,"")</f>
        <v/>
      </c>
      <c r="DE38" s="14" t="str">
        <f>IF(COUNTA('1.vize'!H38),'1.vize'!H38,"")</f>
        <v/>
      </c>
      <c r="DF38" s="33"/>
    </row>
    <row r="39" spans="1:110" x14ac:dyDescent="0.2">
      <c r="A39" s="38" t="str">
        <f>IFERROR('1.vize'!L39*100/'1.vize'!$I39,"")</f>
        <v/>
      </c>
      <c r="B39" s="38" t="str">
        <f>IFERROR('1.vize'!M39*100/'1.vize'!$I39,"")</f>
        <v/>
      </c>
      <c r="C39" s="38" t="str">
        <f>IFERROR('1.vize'!N39*100/'1.vize'!$I39,"")</f>
        <v/>
      </c>
      <c r="D39" s="38" t="str">
        <f>IFERROR('1.vize'!O39*100/'1.vize'!$I39,"")</f>
        <v/>
      </c>
      <c r="E39" s="38" t="str">
        <f>IFERROR('1.vize'!P39*100/'1.vize'!$I39,"")</f>
        <v/>
      </c>
      <c r="F39" s="38" t="str">
        <f>IFERROR('1.vize'!Q39*100/'1.vize'!$I39,"")</f>
        <v/>
      </c>
      <c r="G39" s="38" t="str">
        <f>IFERROR('1.vize'!R39*100/'1.vize'!$I39,"")</f>
        <v/>
      </c>
      <c r="H39" s="38" t="str">
        <f>IFERROR('1.vize'!S39*100/'1.vize'!$I39,"")</f>
        <v/>
      </c>
      <c r="I39" s="38" t="str">
        <f>IFERROR('1.vize'!T39*100/'1.vize'!$I39,"")</f>
        <v/>
      </c>
      <c r="J39" s="38" t="str">
        <f>IFERROR('1.vize'!U39*100/'1.vize'!$I39,"")</f>
        <v/>
      </c>
      <c r="K39" s="38" t="str">
        <f>IFERROR('1.vize'!V39*100/'1.vize'!$I39,"")</f>
        <v/>
      </c>
      <c r="L39" s="38" t="str">
        <f>IFERROR('1.vize'!W39*100/'1.vize'!$I39,"")</f>
        <v/>
      </c>
      <c r="M39" s="38" t="str">
        <f>IFERROR('1.vize'!X39*100/'1.vize'!$I39,"")</f>
        <v/>
      </c>
      <c r="N39" s="38" t="str">
        <f>IFERROR('1.vize'!Y39*100/'1.vize'!$I39,"")</f>
        <v/>
      </c>
      <c r="O39" s="38" t="str">
        <f>IFERROR('1.vize'!Z39*100/'1.vize'!$I39,"")</f>
        <v/>
      </c>
      <c r="P39" s="38" t="str">
        <f>IFERROR('1.vize'!AA39*100/'1.vize'!$I39,"")</f>
        <v/>
      </c>
      <c r="Q39" s="38" t="str">
        <f>IFERROR('1.vize'!AB39*100/'1.vize'!$I39,"")</f>
        <v/>
      </c>
      <c r="R39" s="38" t="str">
        <f>IFERROR('1.vize'!AC39*100/'1.vize'!$I39,"")</f>
        <v/>
      </c>
      <c r="S39" s="38" t="str">
        <f>IFERROR('1.vize'!AD39*100/'1.vize'!$I39,"")</f>
        <v/>
      </c>
      <c r="T39" s="38" t="str">
        <f>IFERROR('1.vize'!AE39*100/'1.vize'!$I39,"")</f>
        <v/>
      </c>
      <c r="U39" s="38" t="str">
        <f>IFERROR('1.vize'!AF39*100/'1.vize'!$I39,"")</f>
        <v/>
      </c>
      <c r="V39" s="38" t="str">
        <f>IFERROR('1.vize'!AG39*100/'1.vize'!$I39,"")</f>
        <v/>
      </c>
      <c r="W39" s="38" t="str">
        <f>IFERROR('1.vize'!AH39*100/'1.vize'!$I39,"")</f>
        <v/>
      </c>
      <c r="X39" s="38" t="str">
        <f>IFERROR('1.vize'!AI39*100/'1.vize'!$I39,"")</f>
        <v/>
      </c>
      <c r="Y39" s="38" t="str">
        <f>IFERROR('1.vize'!AJ39*100/'1.vize'!$I39,"")</f>
        <v/>
      </c>
      <c r="Z39" s="38" t="str">
        <f>IFERROR('1.vize'!AK39*100/'1.vize'!$I39,"")</f>
        <v/>
      </c>
      <c r="AA39" s="38" t="str">
        <f>IFERROR('1.vize'!AL39*100/'1.vize'!$I39,"")</f>
        <v/>
      </c>
      <c r="AB39" s="38" t="str">
        <f>IFERROR('1.vize'!AM39*100/'1.vize'!$I39,"")</f>
        <v/>
      </c>
      <c r="AC39" s="38" t="str">
        <f>IFERROR('1.vize'!AN39*100/'1.vize'!$I39,"")</f>
        <v/>
      </c>
      <c r="AD39" s="38" t="str">
        <f>IFERROR('1.vize'!AO39*100/'1.vize'!$I39,"")</f>
        <v/>
      </c>
      <c r="AE39" s="38" t="str">
        <f>IFERROR('1.vize'!AP39*100/'1.vize'!$I39,"")</f>
        <v/>
      </c>
      <c r="AF39" s="38" t="str">
        <f>IFERROR('1.vize'!AQ39*100/'1.vize'!$I39,"")</f>
        <v/>
      </c>
      <c r="AG39" s="38" t="str">
        <f>IFERROR('1.vize'!AR39*100/'1.vize'!$I39,"")</f>
        <v/>
      </c>
      <c r="AH39" s="38" t="str">
        <f>IFERROR('1.vize'!AS39*100/'1.vize'!$I39,"")</f>
        <v/>
      </c>
      <c r="AI39" s="38" t="str">
        <f>IFERROR('1.vize'!AT39*100/'1.vize'!$I39,"")</f>
        <v/>
      </c>
      <c r="AJ39" s="38" t="str">
        <f>IFERROR('1.vize'!AU39*100/'1.vize'!$I39,"")</f>
        <v/>
      </c>
      <c r="AK39" s="38" t="str">
        <f>IFERROR('1.vize'!AV39*100/'1.vize'!$I39,"")</f>
        <v/>
      </c>
      <c r="AL39" s="38" t="str">
        <f>IFERROR('1.vize'!AW39*100/'1.vize'!$I39,"")</f>
        <v/>
      </c>
      <c r="AM39" s="38" t="str">
        <f>IFERROR('1.vize'!AX39*100/'1.vize'!$I39,"")</f>
        <v/>
      </c>
      <c r="AN39" s="38" t="str">
        <f>IFERROR('1.vize'!AY39*100/'1.vize'!$I39,"")</f>
        <v/>
      </c>
      <c r="AO39" s="38" t="str">
        <f>IFERROR('1.vize'!AZ39*100/'1.vize'!$I39,"")</f>
        <v/>
      </c>
      <c r="AP39" s="38" t="str">
        <f>IFERROR('1.vize'!BA39*100/'1.vize'!$I39,"")</f>
        <v/>
      </c>
      <c r="AQ39" s="38" t="str">
        <f>IFERROR('1.vize'!BB39*100/'1.vize'!$I39,"")</f>
        <v/>
      </c>
      <c r="AR39" s="38" t="str">
        <f>IFERROR('1.vize'!BC39*100/'1.vize'!$I39,"")</f>
        <v/>
      </c>
      <c r="AS39" s="38" t="str">
        <f>IFERROR('1.vize'!BD39*100/'1.vize'!$I39,"")</f>
        <v/>
      </c>
      <c r="AT39" s="38" t="str">
        <f>IFERROR('1.vize'!BE39*100/'1.vize'!$I39,"")</f>
        <v/>
      </c>
      <c r="AU39" s="38" t="str">
        <f>IFERROR('1.vize'!BF39*100/'1.vize'!$I39,"")</f>
        <v/>
      </c>
      <c r="AV39" s="38" t="str">
        <f>IFERROR('1.vize'!BG39*100/'1.vize'!$I39,"")</f>
        <v/>
      </c>
      <c r="AW39" s="38" t="str">
        <f>IFERROR('1.vize'!BH39*100/'1.vize'!$I39,"")</f>
        <v/>
      </c>
      <c r="AX39" s="38" t="str">
        <f>IFERROR('1.vize'!BI39*100/'1.vize'!$I39,"")</f>
        <v/>
      </c>
      <c r="AY39" s="38" t="str">
        <f>IFERROR('1.vize'!BJ39*100/'1.vize'!$I39,"")</f>
        <v/>
      </c>
      <c r="AZ39" s="38" t="str">
        <f>IFERROR('1.vize'!BK39*100/'1.vize'!$I39,"")</f>
        <v/>
      </c>
      <c r="BA39" s="38" t="str">
        <f>IFERROR('1.vize'!BL39*100/'1.vize'!$I39,"")</f>
        <v/>
      </c>
      <c r="BB39" s="38" t="str">
        <f>IFERROR('1.vize'!BM39*100/'1.vize'!$I39,"")</f>
        <v/>
      </c>
      <c r="BC39" s="38" t="str">
        <f>IFERROR('1.vize'!BN39*100/'1.vize'!$I39,"")</f>
        <v/>
      </c>
      <c r="BD39" s="38" t="str">
        <f>IFERROR('1.vize'!BO39*100/'1.vize'!$I39,"")</f>
        <v/>
      </c>
      <c r="BE39" s="38" t="str">
        <f>IFERROR('1.vize'!BP39*100/'1.vize'!$I39,"")</f>
        <v/>
      </c>
      <c r="BF39" s="38" t="str">
        <f>IFERROR('1.vize'!BQ39*100/'1.vize'!$I39,"")</f>
        <v/>
      </c>
      <c r="BG39" s="38" t="str">
        <f>IFERROR('1.vize'!BR39*100/'1.vize'!$I39,"")</f>
        <v/>
      </c>
      <c r="BH39" s="38" t="str">
        <f>IFERROR('1.vize'!BS39*100/'1.vize'!$I39,"")</f>
        <v/>
      </c>
      <c r="BI39" s="38" t="str">
        <f>IFERROR('1.vize'!BT39*100/'1.vize'!$I39,"")</f>
        <v/>
      </c>
      <c r="BJ39" s="38" t="str">
        <f>IFERROR('1.vize'!BU39*100/'1.vize'!$I39,"")</f>
        <v/>
      </c>
      <c r="BK39" s="38" t="str">
        <f>IFERROR('1.vize'!BV39*100/'1.vize'!$I39,"")</f>
        <v/>
      </c>
      <c r="BL39" s="38" t="str">
        <f>IFERROR('1.vize'!BW39*100/'1.vize'!$I39,"")</f>
        <v/>
      </c>
      <c r="BM39" s="38" t="str">
        <f>IFERROR('1.vize'!BX39*100/'1.vize'!$I39,"")</f>
        <v/>
      </c>
      <c r="BN39" s="38" t="str">
        <f>IFERROR('1.vize'!BY39*100/'1.vize'!$I39,"")</f>
        <v/>
      </c>
      <c r="BO39" s="38" t="str">
        <f>IFERROR('1.vize'!BZ39*100/'1.vize'!$I39,"")</f>
        <v/>
      </c>
      <c r="BP39" s="38" t="str">
        <f>IFERROR('1.vize'!CA39*100/'1.vize'!$I39,"")</f>
        <v/>
      </c>
      <c r="BQ39" s="38" t="str">
        <f>IFERROR('1.vize'!CB39*100/'1.vize'!$I39,"")</f>
        <v/>
      </c>
      <c r="BR39" s="38" t="str">
        <f>IFERROR('1.vize'!CC39*100/'1.vize'!$I39,"")</f>
        <v/>
      </c>
      <c r="BS39" s="38" t="str">
        <f>IFERROR('1.vize'!CD39*100/'1.vize'!$I39,"")</f>
        <v/>
      </c>
      <c r="BT39" s="38" t="str">
        <f>IFERROR('1.vize'!CE39*100/'1.vize'!$I39,"")</f>
        <v/>
      </c>
      <c r="BU39" s="38" t="str">
        <f>IFERROR('1.vize'!CF39*100/'1.vize'!$I39,"")</f>
        <v/>
      </c>
      <c r="BV39" s="38" t="str">
        <f>IFERROR('1.vize'!CG39*100/'1.vize'!$I39,"")</f>
        <v/>
      </c>
      <c r="BW39" s="38" t="str">
        <f>IFERROR('1.vize'!CH39*100/'1.vize'!$I39,"")</f>
        <v/>
      </c>
      <c r="BX39" s="38" t="str">
        <f>IFERROR('1.vize'!CI39*100/'1.vize'!$I39,"")</f>
        <v/>
      </c>
      <c r="BY39" s="38" t="str">
        <f>IFERROR('1.vize'!CJ39*100/'1.vize'!$I39,"")</f>
        <v/>
      </c>
      <c r="BZ39" s="38" t="str">
        <f>IFERROR('1.vize'!CK39*100/'1.vize'!$I39,"")</f>
        <v/>
      </c>
      <c r="CA39" s="38" t="str">
        <f>IFERROR('1.vize'!CL39*100/'1.vize'!$I39,"")</f>
        <v/>
      </c>
      <c r="CB39" s="38" t="str">
        <f>IFERROR('1.vize'!CM39*100/'1.vize'!$I39,"")</f>
        <v/>
      </c>
      <c r="CC39" s="38" t="str">
        <f>IFERROR('1.vize'!CN39*100/'1.vize'!$I39,"")</f>
        <v/>
      </c>
      <c r="CD39" s="38" t="str">
        <f>IFERROR('1.vize'!CO39*100/'1.vize'!$I39,"")</f>
        <v/>
      </c>
      <c r="CE39" s="38" t="str">
        <f>IFERROR('1.vize'!CP39*100/'1.vize'!$I39,"")</f>
        <v/>
      </c>
      <c r="CF39" s="38" t="str">
        <f>IFERROR('1.vize'!CQ39*100/'1.vize'!$I39,"")</f>
        <v/>
      </c>
      <c r="CG39" s="38" t="str">
        <f>IFERROR('1.vize'!CR39*100/'1.vize'!$I39,"")</f>
        <v/>
      </c>
      <c r="CH39" s="38" t="str">
        <f>IFERROR('1.vize'!CS39*100/'1.vize'!$I39,"")</f>
        <v/>
      </c>
      <c r="CI39" s="38" t="str">
        <f>IFERROR('1.vize'!CT39*100/'1.vize'!$I39,"")</f>
        <v/>
      </c>
      <c r="CJ39" s="38" t="str">
        <f>IFERROR('1.vize'!CU39*100/'1.vize'!$I39,"")</f>
        <v/>
      </c>
      <c r="CK39" s="38" t="str">
        <f>IFERROR('1.vize'!CV39*100/'1.vize'!$I39,"")</f>
        <v/>
      </c>
      <c r="CL39" s="38" t="str">
        <f>IFERROR('1.vize'!CW39*100/'1.vize'!$I39,"")</f>
        <v/>
      </c>
      <c r="CM39" s="38" t="str">
        <f>IFERROR('1.vize'!CX39*100/'1.vize'!$I39,"")</f>
        <v/>
      </c>
      <c r="CN39" s="38" t="str">
        <f>IFERROR('1.vize'!CY39*100/'1.vize'!$I39,"")</f>
        <v/>
      </c>
      <c r="CO39" s="38" t="str">
        <f>IFERROR('1.vize'!CZ39*100/'1.vize'!$I39,"")</f>
        <v/>
      </c>
      <c r="CP39" s="38" t="str">
        <f>IFERROR('1.vize'!DA39*100/'1.vize'!$I39,"")</f>
        <v/>
      </c>
      <c r="CQ39" s="38" t="str">
        <f>IFERROR('1.vize'!DB39*100/'1.vize'!$I39,"")</f>
        <v/>
      </c>
      <c r="CR39" s="38" t="str">
        <f>IFERROR('1.vize'!DC39*100/'1.vize'!$I39,"")</f>
        <v/>
      </c>
      <c r="CS39" s="38" t="str">
        <f>IFERROR('1.vize'!DD39*100/'1.vize'!$I39,"")</f>
        <v/>
      </c>
      <c r="CT39" s="38" t="str">
        <f>IFERROR('1.vize'!DE39*100/'1.vize'!$I39,"")</f>
        <v/>
      </c>
      <c r="CU39" s="38" t="str">
        <f>IFERROR('1.vize'!DF39*100/'1.vize'!$I39,"")</f>
        <v/>
      </c>
      <c r="CV39" s="38" t="str">
        <f>IFERROR('1.vize'!DG39*100/'1.vize'!$I39,"")</f>
        <v/>
      </c>
      <c r="CW39" s="32" t="str">
        <f>IFERROR(SUM(A39:CV39)/'1.vize'!$DH$103,"")</f>
        <v/>
      </c>
      <c r="CX39" s="14" t="str">
        <f>IF(COUNTA('1.vize'!A39),'1.vize'!A39,"")</f>
        <v/>
      </c>
      <c r="CY39" s="14" t="str">
        <f>IF(COUNTA('1.vize'!B39),'1.vize'!B39,"")</f>
        <v/>
      </c>
      <c r="CZ39" s="14" t="str">
        <f>IF(COUNTA('1.vize'!C39),'1.vize'!C39,"")</f>
        <v/>
      </c>
      <c r="DA39" s="14" t="str">
        <f>IF(COUNTA('1.vize'!D39),'1.vize'!D39,"")</f>
        <v/>
      </c>
      <c r="DB39" s="14" t="str">
        <f>IF(COUNTA('1.vize'!E39),'1.vize'!E39,"")</f>
        <v/>
      </c>
      <c r="DC39" s="14" t="str">
        <f>IF(COUNTA('1.vize'!F39),'1.vize'!F39,"")</f>
        <v/>
      </c>
      <c r="DD39" s="14" t="str">
        <f>IF(COUNTA('1.vize'!G39),'1.vize'!G39,"")</f>
        <v/>
      </c>
      <c r="DE39" s="14" t="str">
        <f>IF(COUNTA('1.vize'!H39),'1.vize'!H39,"")</f>
        <v/>
      </c>
      <c r="DF39" s="33"/>
    </row>
    <row r="40" spans="1:110" x14ac:dyDescent="0.2">
      <c r="A40" s="38" t="str">
        <f>IFERROR('1.vize'!L40*100/'1.vize'!$I40,"")</f>
        <v/>
      </c>
      <c r="B40" s="38" t="str">
        <f>IFERROR('1.vize'!M40*100/'1.vize'!$I40,"")</f>
        <v/>
      </c>
      <c r="C40" s="38" t="str">
        <f>IFERROR('1.vize'!N40*100/'1.vize'!$I40,"")</f>
        <v/>
      </c>
      <c r="D40" s="38" t="str">
        <f>IFERROR('1.vize'!O40*100/'1.vize'!$I40,"")</f>
        <v/>
      </c>
      <c r="E40" s="38" t="str">
        <f>IFERROR('1.vize'!P40*100/'1.vize'!$I40,"")</f>
        <v/>
      </c>
      <c r="F40" s="38" t="str">
        <f>IFERROR('1.vize'!Q40*100/'1.vize'!$I40,"")</f>
        <v/>
      </c>
      <c r="G40" s="38" t="str">
        <f>IFERROR('1.vize'!R40*100/'1.vize'!$I40,"")</f>
        <v/>
      </c>
      <c r="H40" s="38" t="str">
        <f>IFERROR('1.vize'!S40*100/'1.vize'!$I40,"")</f>
        <v/>
      </c>
      <c r="I40" s="38" t="str">
        <f>IFERROR('1.vize'!T40*100/'1.vize'!$I40,"")</f>
        <v/>
      </c>
      <c r="J40" s="38" t="str">
        <f>IFERROR('1.vize'!U40*100/'1.vize'!$I40,"")</f>
        <v/>
      </c>
      <c r="K40" s="38" t="str">
        <f>IFERROR('1.vize'!V40*100/'1.vize'!$I40,"")</f>
        <v/>
      </c>
      <c r="L40" s="38" t="str">
        <f>IFERROR('1.vize'!W40*100/'1.vize'!$I40,"")</f>
        <v/>
      </c>
      <c r="M40" s="38" t="str">
        <f>IFERROR('1.vize'!X40*100/'1.vize'!$I40,"")</f>
        <v/>
      </c>
      <c r="N40" s="38" t="str">
        <f>IFERROR('1.vize'!Y40*100/'1.vize'!$I40,"")</f>
        <v/>
      </c>
      <c r="O40" s="38" t="str">
        <f>IFERROR('1.vize'!Z40*100/'1.vize'!$I40,"")</f>
        <v/>
      </c>
      <c r="P40" s="38" t="str">
        <f>IFERROR('1.vize'!AA40*100/'1.vize'!$I40,"")</f>
        <v/>
      </c>
      <c r="Q40" s="38" t="str">
        <f>IFERROR('1.vize'!AB40*100/'1.vize'!$I40,"")</f>
        <v/>
      </c>
      <c r="R40" s="38" t="str">
        <f>IFERROR('1.vize'!AC40*100/'1.vize'!$I40,"")</f>
        <v/>
      </c>
      <c r="S40" s="38" t="str">
        <f>IFERROR('1.vize'!AD40*100/'1.vize'!$I40,"")</f>
        <v/>
      </c>
      <c r="T40" s="38" t="str">
        <f>IFERROR('1.vize'!AE40*100/'1.vize'!$I40,"")</f>
        <v/>
      </c>
      <c r="U40" s="38" t="str">
        <f>IFERROR('1.vize'!AF40*100/'1.vize'!$I40,"")</f>
        <v/>
      </c>
      <c r="V40" s="38" t="str">
        <f>IFERROR('1.vize'!AG40*100/'1.vize'!$I40,"")</f>
        <v/>
      </c>
      <c r="W40" s="38" t="str">
        <f>IFERROR('1.vize'!AH40*100/'1.vize'!$I40,"")</f>
        <v/>
      </c>
      <c r="X40" s="38" t="str">
        <f>IFERROR('1.vize'!AI40*100/'1.vize'!$I40,"")</f>
        <v/>
      </c>
      <c r="Y40" s="38" t="str">
        <f>IFERROR('1.vize'!AJ40*100/'1.vize'!$I40,"")</f>
        <v/>
      </c>
      <c r="Z40" s="38" t="str">
        <f>IFERROR('1.vize'!AK40*100/'1.vize'!$I40,"")</f>
        <v/>
      </c>
      <c r="AA40" s="38" t="str">
        <f>IFERROR('1.vize'!AL40*100/'1.vize'!$I40,"")</f>
        <v/>
      </c>
      <c r="AB40" s="38" t="str">
        <f>IFERROR('1.vize'!AM40*100/'1.vize'!$I40,"")</f>
        <v/>
      </c>
      <c r="AC40" s="38" t="str">
        <f>IFERROR('1.vize'!AN40*100/'1.vize'!$I40,"")</f>
        <v/>
      </c>
      <c r="AD40" s="38" t="str">
        <f>IFERROR('1.vize'!AO40*100/'1.vize'!$I40,"")</f>
        <v/>
      </c>
      <c r="AE40" s="38" t="str">
        <f>IFERROR('1.vize'!AP40*100/'1.vize'!$I40,"")</f>
        <v/>
      </c>
      <c r="AF40" s="38" t="str">
        <f>IFERROR('1.vize'!AQ40*100/'1.vize'!$I40,"")</f>
        <v/>
      </c>
      <c r="AG40" s="38" t="str">
        <f>IFERROR('1.vize'!AR40*100/'1.vize'!$I40,"")</f>
        <v/>
      </c>
      <c r="AH40" s="38" t="str">
        <f>IFERROR('1.vize'!AS40*100/'1.vize'!$I40,"")</f>
        <v/>
      </c>
      <c r="AI40" s="38" t="str">
        <f>IFERROR('1.vize'!AT40*100/'1.vize'!$I40,"")</f>
        <v/>
      </c>
      <c r="AJ40" s="38" t="str">
        <f>IFERROR('1.vize'!AU40*100/'1.vize'!$I40,"")</f>
        <v/>
      </c>
      <c r="AK40" s="38" t="str">
        <f>IFERROR('1.vize'!AV40*100/'1.vize'!$I40,"")</f>
        <v/>
      </c>
      <c r="AL40" s="38" t="str">
        <f>IFERROR('1.vize'!AW40*100/'1.vize'!$I40,"")</f>
        <v/>
      </c>
      <c r="AM40" s="38" t="str">
        <f>IFERROR('1.vize'!AX40*100/'1.vize'!$I40,"")</f>
        <v/>
      </c>
      <c r="AN40" s="38" t="str">
        <f>IFERROR('1.vize'!AY40*100/'1.vize'!$I40,"")</f>
        <v/>
      </c>
      <c r="AO40" s="38" t="str">
        <f>IFERROR('1.vize'!AZ40*100/'1.vize'!$I40,"")</f>
        <v/>
      </c>
      <c r="AP40" s="38" t="str">
        <f>IFERROR('1.vize'!BA40*100/'1.vize'!$I40,"")</f>
        <v/>
      </c>
      <c r="AQ40" s="38" t="str">
        <f>IFERROR('1.vize'!BB40*100/'1.vize'!$I40,"")</f>
        <v/>
      </c>
      <c r="AR40" s="38" t="str">
        <f>IFERROR('1.vize'!BC40*100/'1.vize'!$I40,"")</f>
        <v/>
      </c>
      <c r="AS40" s="38" t="str">
        <f>IFERROR('1.vize'!BD40*100/'1.vize'!$I40,"")</f>
        <v/>
      </c>
      <c r="AT40" s="38" t="str">
        <f>IFERROR('1.vize'!BE40*100/'1.vize'!$I40,"")</f>
        <v/>
      </c>
      <c r="AU40" s="38" t="str">
        <f>IFERROR('1.vize'!BF40*100/'1.vize'!$I40,"")</f>
        <v/>
      </c>
      <c r="AV40" s="38" t="str">
        <f>IFERROR('1.vize'!BG40*100/'1.vize'!$I40,"")</f>
        <v/>
      </c>
      <c r="AW40" s="38" t="str">
        <f>IFERROR('1.vize'!BH40*100/'1.vize'!$I40,"")</f>
        <v/>
      </c>
      <c r="AX40" s="38" t="str">
        <f>IFERROR('1.vize'!BI40*100/'1.vize'!$I40,"")</f>
        <v/>
      </c>
      <c r="AY40" s="38" t="str">
        <f>IFERROR('1.vize'!BJ40*100/'1.vize'!$I40,"")</f>
        <v/>
      </c>
      <c r="AZ40" s="38" t="str">
        <f>IFERROR('1.vize'!BK40*100/'1.vize'!$I40,"")</f>
        <v/>
      </c>
      <c r="BA40" s="38" t="str">
        <f>IFERROR('1.vize'!BL40*100/'1.vize'!$I40,"")</f>
        <v/>
      </c>
      <c r="BB40" s="38" t="str">
        <f>IFERROR('1.vize'!BM40*100/'1.vize'!$I40,"")</f>
        <v/>
      </c>
      <c r="BC40" s="38" t="str">
        <f>IFERROR('1.vize'!BN40*100/'1.vize'!$I40,"")</f>
        <v/>
      </c>
      <c r="BD40" s="38" t="str">
        <f>IFERROR('1.vize'!BO40*100/'1.vize'!$I40,"")</f>
        <v/>
      </c>
      <c r="BE40" s="38" t="str">
        <f>IFERROR('1.vize'!BP40*100/'1.vize'!$I40,"")</f>
        <v/>
      </c>
      <c r="BF40" s="38" t="str">
        <f>IFERROR('1.vize'!BQ40*100/'1.vize'!$I40,"")</f>
        <v/>
      </c>
      <c r="BG40" s="38" t="str">
        <f>IFERROR('1.vize'!BR40*100/'1.vize'!$I40,"")</f>
        <v/>
      </c>
      <c r="BH40" s="38" t="str">
        <f>IFERROR('1.vize'!BS40*100/'1.vize'!$I40,"")</f>
        <v/>
      </c>
      <c r="BI40" s="38" t="str">
        <f>IFERROR('1.vize'!BT40*100/'1.vize'!$I40,"")</f>
        <v/>
      </c>
      <c r="BJ40" s="38" t="str">
        <f>IFERROR('1.vize'!BU40*100/'1.vize'!$I40,"")</f>
        <v/>
      </c>
      <c r="BK40" s="38" t="str">
        <f>IFERROR('1.vize'!BV40*100/'1.vize'!$I40,"")</f>
        <v/>
      </c>
      <c r="BL40" s="38" t="str">
        <f>IFERROR('1.vize'!BW40*100/'1.vize'!$I40,"")</f>
        <v/>
      </c>
      <c r="BM40" s="38" t="str">
        <f>IFERROR('1.vize'!BX40*100/'1.vize'!$I40,"")</f>
        <v/>
      </c>
      <c r="BN40" s="38" t="str">
        <f>IFERROR('1.vize'!BY40*100/'1.vize'!$I40,"")</f>
        <v/>
      </c>
      <c r="BO40" s="38" t="str">
        <f>IFERROR('1.vize'!BZ40*100/'1.vize'!$I40,"")</f>
        <v/>
      </c>
      <c r="BP40" s="38" t="str">
        <f>IFERROR('1.vize'!CA40*100/'1.vize'!$I40,"")</f>
        <v/>
      </c>
      <c r="BQ40" s="38" t="str">
        <f>IFERROR('1.vize'!CB40*100/'1.vize'!$I40,"")</f>
        <v/>
      </c>
      <c r="BR40" s="38" t="str">
        <f>IFERROR('1.vize'!CC40*100/'1.vize'!$I40,"")</f>
        <v/>
      </c>
      <c r="BS40" s="38" t="str">
        <f>IFERROR('1.vize'!CD40*100/'1.vize'!$I40,"")</f>
        <v/>
      </c>
      <c r="BT40" s="38" t="str">
        <f>IFERROR('1.vize'!CE40*100/'1.vize'!$I40,"")</f>
        <v/>
      </c>
      <c r="BU40" s="38" t="str">
        <f>IFERROR('1.vize'!CF40*100/'1.vize'!$I40,"")</f>
        <v/>
      </c>
      <c r="BV40" s="38" t="str">
        <f>IFERROR('1.vize'!CG40*100/'1.vize'!$I40,"")</f>
        <v/>
      </c>
      <c r="BW40" s="38" t="str">
        <f>IFERROR('1.vize'!CH40*100/'1.vize'!$I40,"")</f>
        <v/>
      </c>
      <c r="BX40" s="38" t="str">
        <f>IFERROR('1.vize'!CI40*100/'1.vize'!$I40,"")</f>
        <v/>
      </c>
      <c r="BY40" s="38" t="str">
        <f>IFERROR('1.vize'!CJ40*100/'1.vize'!$I40,"")</f>
        <v/>
      </c>
      <c r="BZ40" s="38" t="str">
        <f>IFERROR('1.vize'!CK40*100/'1.vize'!$I40,"")</f>
        <v/>
      </c>
      <c r="CA40" s="38" t="str">
        <f>IFERROR('1.vize'!CL40*100/'1.vize'!$I40,"")</f>
        <v/>
      </c>
      <c r="CB40" s="38" t="str">
        <f>IFERROR('1.vize'!CM40*100/'1.vize'!$I40,"")</f>
        <v/>
      </c>
      <c r="CC40" s="38" t="str">
        <f>IFERROR('1.vize'!CN40*100/'1.vize'!$I40,"")</f>
        <v/>
      </c>
      <c r="CD40" s="38" t="str">
        <f>IFERROR('1.vize'!CO40*100/'1.vize'!$I40,"")</f>
        <v/>
      </c>
      <c r="CE40" s="38" t="str">
        <f>IFERROR('1.vize'!CP40*100/'1.vize'!$I40,"")</f>
        <v/>
      </c>
      <c r="CF40" s="38" t="str">
        <f>IFERROR('1.vize'!CQ40*100/'1.vize'!$I40,"")</f>
        <v/>
      </c>
      <c r="CG40" s="38" t="str">
        <f>IFERROR('1.vize'!CR40*100/'1.vize'!$I40,"")</f>
        <v/>
      </c>
      <c r="CH40" s="38" t="str">
        <f>IFERROR('1.vize'!CS40*100/'1.vize'!$I40,"")</f>
        <v/>
      </c>
      <c r="CI40" s="38" t="str">
        <f>IFERROR('1.vize'!CT40*100/'1.vize'!$I40,"")</f>
        <v/>
      </c>
      <c r="CJ40" s="38" t="str">
        <f>IFERROR('1.vize'!CU40*100/'1.vize'!$I40,"")</f>
        <v/>
      </c>
      <c r="CK40" s="38" t="str">
        <f>IFERROR('1.vize'!CV40*100/'1.vize'!$I40,"")</f>
        <v/>
      </c>
      <c r="CL40" s="38" t="str">
        <f>IFERROR('1.vize'!CW40*100/'1.vize'!$I40,"")</f>
        <v/>
      </c>
      <c r="CM40" s="38" t="str">
        <f>IFERROR('1.vize'!CX40*100/'1.vize'!$I40,"")</f>
        <v/>
      </c>
      <c r="CN40" s="38" t="str">
        <f>IFERROR('1.vize'!CY40*100/'1.vize'!$I40,"")</f>
        <v/>
      </c>
      <c r="CO40" s="38" t="str">
        <f>IFERROR('1.vize'!CZ40*100/'1.vize'!$I40,"")</f>
        <v/>
      </c>
      <c r="CP40" s="38" t="str">
        <f>IFERROR('1.vize'!DA40*100/'1.vize'!$I40,"")</f>
        <v/>
      </c>
      <c r="CQ40" s="38" t="str">
        <f>IFERROR('1.vize'!DB40*100/'1.vize'!$I40,"")</f>
        <v/>
      </c>
      <c r="CR40" s="38" t="str">
        <f>IFERROR('1.vize'!DC40*100/'1.vize'!$I40,"")</f>
        <v/>
      </c>
      <c r="CS40" s="38" t="str">
        <f>IFERROR('1.vize'!DD40*100/'1.vize'!$I40,"")</f>
        <v/>
      </c>
      <c r="CT40" s="38" t="str">
        <f>IFERROR('1.vize'!DE40*100/'1.vize'!$I40,"")</f>
        <v/>
      </c>
      <c r="CU40" s="38" t="str">
        <f>IFERROR('1.vize'!DF40*100/'1.vize'!$I40,"")</f>
        <v/>
      </c>
      <c r="CV40" s="38" t="str">
        <f>IFERROR('1.vize'!DG40*100/'1.vize'!$I40,"")</f>
        <v/>
      </c>
      <c r="CW40" s="32" t="str">
        <f>IFERROR(SUM(A40:CV40)/'1.vize'!$DH$103,"")</f>
        <v/>
      </c>
      <c r="CX40" s="14" t="str">
        <f>IF(COUNTA('1.vize'!A40),'1.vize'!A40,"")</f>
        <v/>
      </c>
      <c r="CY40" s="14" t="str">
        <f>IF(COUNTA('1.vize'!B40),'1.vize'!B40,"")</f>
        <v/>
      </c>
      <c r="CZ40" s="14" t="str">
        <f>IF(COUNTA('1.vize'!C40),'1.vize'!C40,"")</f>
        <v/>
      </c>
      <c r="DA40" s="14" t="str">
        <f>IF(COUNTA('1.vize'!D40),'1.vize'!D40,"")</f>
        <v/>
      </c>
      <c r="DB40" s="14" t="str">
        <f>IF(COUNTA('1.vize'!E40),'1.vize'!E40,"")</f>
        <v/>
      </c>
      <c r="DC40" s="14" t="str">
        <f>IF(COUNTA('1.vize'!F40),'1.vize'!F40,"")</f>
        <v/>
      </c>
      <c r="DD40" s="14" t="str">
        <f>IF(COUNTA('1.vize'!G40),'1.vize'!G40,"")</f>
        <v/>
      </c>
      <c r="DE40" s="14" t="str">
        <f>IF(COUNTA('1.vize'!H40),'1.vize'!H40,"")</f>
        <v/>
      </c>
      <c r="DF40" s="33"/>
    </row>
    <row r="41" spans="1:110" x14ac:dyDescent="0.2">
      <c r="A41" s="38" t="str">
        <f>IFERROR('1.vize'!L41*100/'1.vize'!$I41,"")</f>
        <v/>
      </c>
      <c r="B41" s="38" t="str">
        <f>IFERROR('1.vize'!M41*100/'1.vize'!$I41,"")</f>
        <v/>
      </c>
      <c r="C41" s="38" t="str">
        <f>IFERROR('1.vize'!N41*100/'1.vize'!$I41,"")</f>
        <v/>
      </c>
      <c r="D41" s="38" t="str">
        <f>IFERROR('1.vize'!O41*100/'1.vize'!$I41,"")</f>
        <v/>
      </c>
      <c r="E41" s="38" t="str">
        <f>IFERROR('1.vize'!P41*100/'1.vize'!$I41,"")</f>
        <v/>
      </c>
      <c r="F41" s="38" t="str">
        <f>IFERROR('1.vize'!Q41*100/'1.vize'!$I41,"")</f>
        <v/>
      </c>
      <c r="G41" s="38" t="str">
        <f>IFERROR('1.vize'!R41*100/'1.vize'!$I41,"")</f>
        <v/>
      </c>
      <c r="H41" s="38" t="str">
        <f>IFERROR('1.vize'!S41*100/'1.vize'!$I41,"")</f>
        <v/>
      </c>
      <c r="I41" s="38" t="str">
        <f>IFERROR('1.vize'!T41*100/'1.vize'!$I41,"")</f>
        <v/>
      </c>
      <c r="J41" s="38" t="str">
        <f>IFERROR('1.vize'!U41*100/'1.vize'!$I41,"")</f>
        <v/>
      </c>
      <c r="K41" s="38" t="str">
        <f>IFERROR('1.vize'!V41*100/'1.vize'!$I41,"")</f>
        <v/>
      </c>
      <c r="L41" s="38" t="str">
        <f>IFERROR('1.vize'!W41*100/'1.vize'!$I41,"")</f>
        <v/>
      </c>
      <c r="M41" s="38" t="str">
        <f>IFERROR('1.vize'!X41*100/'1.vize'!$I41,"")</f>
        <v/>
      </c>
      <c r="N41" s="38" t="str">
        <f>IFERROR('1.vize'!Y41*100/'1.vize'!$I41,"")</f>
        <v/>
      </c>
      <c r="O41" s="38" t="str">
        <f>IFERROR('1.vize'!Z41*100/'1.vize'!$I41,"")</f>
        <v/>
      </c>
      <c r="P41" s="38" t="str">
        <f>IFERROR('1.vize'!AA41*100/'1.vize'!$I41,"")</f>
        <v/>
      </c>
      <c r="Q41" s="38" t="str">
        <f>IFERROR('1.vize'!AB41*100/'1.vize'!$I41,"")</f>
        <v/>
      </c>
      <c r="R41" s="38" t="str">
        <f>IFERROR('1.vize'!AC41*100/'1.vize'!$I41,"")</f>
        <v/>
      </c>
      <c r="S41" s="38" t="str">
        <f>IFERROR('1.vize'!AD41*100/'1.vize'!$I41,"")</f>
        <v/>
      </c>
      <c r="T41" s="38" t="str">
        <f>IFERROR('1.vize'!AE41*100/'1.vize'!$I41,"")</f>
        <v/>
      </c>
      <c r="U41" s="38" t="str">
        <f>IFERROR('1.vize'!AF41*100/'1.vize'!$I41,"")</f>
        <v/>
      </c>
      <c r="V41" s="38" t="str">
        <f>IFERROR('1.vize'!AG41*100/'1.vize'!$I41,"")</f>
        <v/>
      </c>
      <c r="W41" s="38" t="str">
        <f>IFERROR('1.vize'!AH41*100/'1.vize'!$I41,"")</f>
        <v/>
      </c>
      <c r="X41" s="38" t="str">
        <f>IFERROR('1.vize'!AI41*100/'1.vize'!$I41,"")</f>
        <v/>
      </c>
      <c r="Y41" s="38" t="str">
        <f>IFERROR('1.vize'!AJ41*100/'1.vize'!$I41,"")</f>
        <v/>
      </c>
      <c r="Z41" s="38" t="str">
        <f>IFERROR('1.vize'!AK41*100/'1.vize'!$I41,"")</f>
        <v/>
      </c>
      <c r="AA41" s="38" t="str">
        <f>IFERROR('1.vize'!AL41*100/'1.vize'!$I41,"")</f>
        <v/>
      </c>
      <c r="AB41" s="38" t="str">
        <f>IFERROR('1.vize'!AM41*100/'1.vize'!$I41,"")</f>
        <v/>
      </c>
      <c r="AC41" s="38" t="str">
        <f>IFERROR('1.vize'!AN41*100/'1.vize'!$I41,"")</f>
        <v/>
      </c>
      <c r="AD41" s="38" t="str">
        <f>IFERROR('1.vize'!AO41*100/'1.vize'!$I41,"")</f>
        <v/>
      </c>
      <c r="AE41" s="38" t="str">
        <f>IFERROR('1.vize'!AP41*100/'1.vize'!$I41,"")</f>
        <v/>
      </c>
      <c r="AF41" s="38" t="str">
        <f>IFERROR('1.vize'!AQ41*100/'1.vize'!$I41,"")</f>
        <v/>
      </c>
      <c r="AG41" s="38" t="str">
        <f>IFERROR('1.vize'!AR41*100/'1.vize'!$I41,"")</f>
        <v/>
      </c>
      <c r="AH41" s="38" t="str">
        <f>IFERROR('1.vize'!AS41*100/'1.vize'!$I41,"")</f>
        <v/>
      </c>
      <c r="AI41" s="38" t="str">
        <f>IFERROR('1.vize'!AT41*100/'1.vize'!$I41,"")</f>
        <v/>
      </c>
      <c r="AJ41" s="38" t="str">
        <f>IFERROR('1.vize'!AU41*100/'1.vize'!$I41,"")</f>
        <v/>
      </c>
      <c r="AK41" s="38" t="str">
        <f>IFERROR('1.vize'!AV41*100/'1.vize'!$I41,"")</f>
        <v/>
      </c>
      <c r="AL41" s="38" t="str">
        <f>IFERROR('1.vize'!AW41*100/'1.vize'!$I41,"")</f>
        <v/>
      </c>
      <c r="AM41" s="38" t="str">
        <f>IFERROR('1.vize'!AX41*100/'1.vize'!$I41,"")</f>
        <v/>
      </c>
      <c r="AN41" s="38" t="str">
        <f>IFERROR('1.vize'!AY41*100/'1.vize'!$I41,"")</f>
        <v/>
      </c>
      <c r="AO41" s="38" t="str">
        <f>IFERROR('1.vize'!AZ41*100/'1.vize'!$I41,"")</f>
        <v/>
      </c>
      <c r="AP41" s="38" t="str">
        <f>IFERROR('1.vize'!BA41*100/'1.vize'!$I41,"")</f>
        <v/>
      </c>
      <c r="AQ41" s="38" t="str">
        <f>IFERROR('1.vize'!BB41*100/'1.vize'!$I41,"")</f>
        <v/>
      </c>
      <c r="AR41" s="38" t="str">
        <f>IFERROR('1.vize'!BC41*100/'1.vize'!$I41,"")</f>
        <v/>
      </c>
      <c r="AS41" s="38" t="str">
        <f>IFERROR('1.vize'!BD41*100/'1.vize'!$I41,"")</f>
        <v/>
      </c>
      <c r="AT41" s="38" t="str">
        <f>IFERROR('1.vize'!BE41*100/'1.vize'!$I41,"")</f>
        <v/>
      </c>
      <c r="AU41" s="38" t="str">
        <f>IFERROR('1.vize'!BF41*100/'1.vize'!$I41,"")</f>
        <v/>
      </c>
      <c r="AV41" s="38" t="str">
        <f>IFERROR('1.vize'!BG41*100/'1.vize'!$I41,"")</f>
        <v/>
      </c>
      <c r="AW41" s="38" t="str">
        <f>IFERROR('1.vize'!BH41*100/'1.vize'!$I41,"")</f>
        <v/>
      </c>
      <c r="AX41" s="38" t="str">
        <f>IFERROR('1.vize'!BI41*100/'1.vize'!$I41,"")</f>
        <v/>
      </c>
      <c r="AY41" s="38" t="str">
        <f>IFERROR('1.vize'!BJ41*100/'1.vize'!$I41,"")</f>
        <v/>
      </c>
      <c r="AZ41" s="38" t="str">
        <f>IFERROR('1.vize'!BK41*100/'1.vize'!$I41,"")</f>
        <v/>
      </c>
      <c r="BA41" s="38" t="str">
        <f>IFERROR('1.vize'!BL41*100/'1.vize'!$I41,"")</f>
        <v/>
      </c>
      <c r="BB41" s="38" t="str">
        <f>IFERROR('1.vize'!BM41*100/'1.vize'!$I41,"")</f>
        <v/>
      </c>
      <c r="BC41" s="38" t="str">
        <f>IFERROR('1.vize'!BN41*100/'1.vize'!$I41,"")</f>
        <v/>
      </c>
      <c r="BD41" s="38" t="str">
        <f>IFERROR('1.vize'!BO41*100/'1.vize'!$I41,"")</f>
        <v/>
      </c>
      <c r="BE41" s="38" t="str">
        <f>IFERROR('1.vize'!BP41*100/'1.vize'!$I41,"")</f>
        <v/>
      </c>
      <c r="BF41" s="38" t="str">
        <f>IFERROR('1.vize'!BQ41*100/'1.vize'!$I41,"")</f>
        <v/>
      </c>
      <c r="BG41" s="38" t="str">
        <f>IFERROR('1.vize'!BR41*100/'1.vize'!$I41,"")</f>
        <v/>
      </c>
      <c r="BH41" s="38" t="str">
        <f>IFERROR('1.vize'!BS41*100/'1.vize'!$I41,"")</f>
        <v/>
      </c>
      <c r="BI41" s="38" t="str">
        <f>IFERROR('1.vize'!BT41*100/'1.vize'!$I41,"")</f>
        <v/>
      </c>
      <c r="BJ41" s="38" t="str">
        <f>IFERROR('1.vize'!BU41*100/'1.vize'!$I41,"")</f>
        <v/>
      </c>
      <c r="BK41" s="38" t="str">
        <f>IFERROR('1.vize'!BV41*100/'1.vize'!$I41,"")</f>
        <v/>
      </c>
      <c r="BL41" s="38" t="str">
        <f>IFERROR('1.vize'!BW41*100/'1.vize'!$I41,"")</f>
        <v/>
      </c>
      <c r="BM41" s="38" t="str">
        <f>IFERROR('1.vize'!BX41*100/'1.vize'!$I41,"")</f>
        <v/>
      </c>
      <c r="BN41" s="38" t="str">
        <f>IFERROR('1.vize'!BY41*100/'1.vize'!$I41,"")</f>
        <v/>
      </c>
      <c r="BO41" s="38" t="str">
        <f>IFERROR('1.vize'!BZ41*100/'1.vize'!$I41,"")</f>
        <v/>
      </c>
      <c r="BP41" s="38" t="str">
        <f>IFERROR('1.vize'!CA41*100/'1.vize'!$I41,"")</f>
        <v/>
      </c>
      <c r="BQ41" s="38" t="str">
        <f>IFERROR('1.vize'!CB41*100/'1.vize'!$I41,"")</f>
        <v/>
      </c>
      <c r="BR41" s="38" t="str">
        <f>IFERROR('1.vize'!CC41*100/'1.vize'!$I41,"")</f>
        <v/>
      </c>
      <c r="BS41" s="38" t="str">
        <f>IFERROR('1.vize'!CD41*100/'1.vize'!$I41,"")</f>
        <v/>
      </c>
      <c r="BT41" s="38" t="str">
        <f>IFERROR('1.vize'!CE41*100/'1.vize'!$I41,"")</f>
        <v/>
      </c>
      <c r="BU41" s="38" t="str">
        <f>IFERROR('1.vize'!CF41*100/'1.vize'!$I41,"")</f>
        <v/>
      </c>
      <c r="BV41" s="38" t="str">
        <f>IFERROR('1.vize'!CG41*100/'1.vize'!$I41,"")</f>
        <v/>
      </c>
      <c r="BW41" s="38" t="str">
        <f>IFERROR('1.vize'!CH41*100/'1.vize'!$I41,"")</f>
        <v/>
      </c>
      <c r="BX41" s="38" t="str">
        <f>IFERROR('1.vize'!CI41*100/'1.vize'!$I41,"")</f>
        <v/>
      </c>
      <c r="BY41" s="38" t="str">
        <f>IFERROR('1.vize'!CJ41*100/'1.vize'!$I41,"")</f>
        <v/>
      </c>
      <c r="BZ41" s="38" t="str">
        <f>IFERROR('1.vize'!CK41*100/'1.vize'!$I41,"")</f>
        <v/>
      </c>
      <c r="CA41" s="38" t="str">
        <f>IFERROR('1.vize'!CL41*100/'1.vize'!$I41,"")</f>
        <v/>
      </c>
      <c r="CB41" s="38" t="str">
        <f>IFERROR('1.vize'!CM41*100/'1.vize'!$I41,"")</f>
        <v/>
      </c>
      <c r="CC41" s="38" t="str">
        <f>IFERROR('1.vize'!CN41*100/'1.vize'!$I41,"")</f>
        <v/>
      </c>
      <c r="CD41" s="38" t="str">
        <f>IFERROR('1.vize'!CO41*100/'1.vize'!$I41,"")</f>
        <v/>
      </c>
      <c r="CE41" s="38" t="str">
        <f>IFERROR('1.vize'!CP41*100/'1.vize'!$I41,"")</f>
        <v/>
      </c>
      <c r="CF41" s="38" t="str">
        <f>IFERROR('1.vize'!CQ41*100/'1.vize'!$I41,"")</f>
        <v/>
      </c>
      <c r="CG41" s="38" t="str">
        <f>IFERROR('1.vize'!CR41*100/'1.vize'!$I41,"")</f>
        <v/>
      </c>
      <c r="CH41" s="38" t="str">
        <f>IFERROR('1.vize'!CS41*100/'1.vize'!$I41,"")</f>
        <v/>
      </c>
      <c r="CI41" s="38" t="str">
        <f>IFERROR('1.vize'!CT41*100/'1.vize'!$I41,"")</f>
        <v/>
      </c>
      <c r="CJ41" s="38" t="str">
        <f>IFERROR('1.vize'!CU41*100/'1.vize'!$I41,"")</f>
        <v/>
      </c>
      <c r="CK41" s="38" t="str">
        <f>IFERROR('1.vize'!CV41*100/'1.vize'!$I41,"")</f>
        <v/>
      </c>
      <c r="CL41" s="38" t="str">
        <f>IFERROR('1.vize'!CW41*100/'1.vize'!$I41,"")</f>
        <v/>
      </c>
      <c r="CM41" s="38" t="str">
        <f>IFERROR('1.vize'!CX41*100/'1.vize'!$I41,"")</f>
        <v/>
      </c>
      <c r="CN41" s="38" t="str">
        <f>IFERROR('1.vize'!CY41*100/'1.vize'!$I41,"")</f>
        <v/>
      </c>
      <c r="CO41" s="38" t="str">
        <f>IFERROR('1.vize'!CZ41*100/'1.vize'!$I41,"")</f>
        <v/>
      </c>
      <c r="CP41" s="38" t="str">
        <f>IFERROR('1.vize'!DA41*100/'1.vize'!$I41,"")</f>
        <v/>
      </c>
      <c r="CQ41" s="38" t="str">
        <f>IFERROR('1.vize'!DB41*100/'1.vize'!$I41,"")</f>
        <v/>
      </c>
      <c r="CR41" s="38" t="str">
        <f>IFERROR('1.vize'!DC41*100/'1.vize'!$I41,"")</f>
        <v/>
      </c>
      <c r="CS41" s="38" t="str">
        <f>IFERROR('1.vize'!DD41*100/'1.vize'!$I41,"")</f>
        <v/>
      </c>
      <c r="CT41" s="38" t="str">
        <f>IFERROR('1.vize'!DE41*100/'1.vize'!$I41,"")</f>
        <v/>
      </c>
      <c r="CU41" s="38" t="str">
        <f>IFERROR('1.vize'!DF41*100/'1.vize'!$I41,"")</f>
        <v/>
      </c>
      <c r="CV41" s="38" t="str">
        <f>IFERROR('1.vize'!DG41*100/'1.vize'!$I41,"")</f>
        <v/>
      </c>
      <c r="CW41" s="32" t="str">
        <f>IFERROR(SUM(A41:CV41)/'1.vize'!$DH$103,"")</f>
        <v/>
      </c>
      <c r="CX41" s="14" t="str">
        <f>IF(COUNTA('1.vize'!A41),'1.vize'!A41,"")</f>
        <v/>
      </c>
      <c r="CY41" s="14" t="str">
        <f>IF(COUNTA('1.vize'!B41),'1.vize'!B41,"")</f>
        <v/>
      </c>
      <c r="CZ41" s="14" t="str">
        <f>IF(COUNTA('1.vize'!C41),'1.vize'!C41,"")</f>
        <v/>
      </c>
      <c r="DA41" s="14" t="str">
        <f>IF(COUNTA('1.vize'!D41),'1.vize'!D41,"")</f>
        <v/>
      </c>
      <c r="DB41" s="14" t="str">
        <f>IF(COUNTA('1.vize'!E41),'1.vize'!E41,"")</f>
        <v/>
      </c>
      <c r="DC41" s="14" t="str">
        <f>IF(COUNTA('1.vize'!F41),'1.vize'!F41,"")</f>
        <v/>
      </c>
      <c r="DD41" s="14" t="str">
        <f>IF(COUNTA('1.vize'!G41),'1.vize'!G41,"")</f>
        <v/>
      </c>
      <c r="DE41" s="14" t="str">
        <f>IF(COUNTA('1.vize'!H41),'1.vize'!H41,"")</f>
        <v/>
      </c>
      <c r="DF41" s="33"/>
    </row>
    <row r="42" spans="1:110" x14ac:dyDescent="0.2">
      <c r="A42" s="38" t="str">
        <f>IFERROR('1.vize'!L42*100/'1.vize'!$I42,"")</f>
        <v/>
      </c>
      <c r="B42" s="38" t="str">
        <f>IFERROR('1.vize'!M42*100/'1.vize'!$I42,"")</f>
        <v/>
      </c>
      <c r="C42" s="38" t="str">
        <f>IFERROR('1.vize'!N42*100/'1.vize'!$I42,"")</f>
        <v/>
      </c>
      <c r="D42" s="38" t="str">
        <f>IFERROR('1.vize'!O42*100/'1.vize'!$I42,"")</f>
        <v/>
      </c>
      <c r="E42" s="38" t="str">
        <f>IFERROR('1.vize'!P42*100/'1.vize'!$I42,"")</f>
        <v/>
      </c>
      <c r="F42" s="38" t="str">
        <f>IFERROR('1.vize'!Q42*100/'1.vize'!$I42,"")</f>
        <v/>
      </c>
      <c r="G42" s="38" t="str">
        <f>IFERROR('1.vize'!R42*100/'1.vize'!$I42,"")</f>
        <v/>
      </c>
      <c r="H42" s="38" t="str">
        <f>IFERROR('1.vize'!S42*100/'1.vize'!$I42,"")</f>
        <v/>
      </c>
      <c r="I42" s="38" t="str">
        <f>IFERROR('1.vize'!T42*100/'1.vize'!$I42,"")</f>
        <v/>
      </c>
      <c r="J42" s="38" t="str">
        <f>IFERROR('1.vize'!U42*100/'1.vize'!$I42,"")</f>
        <v/>
      </c>
      <c r="K42" s="38" t="str">
        <f>IFERROR('1.vize'!V42*100/'1.vize'!$I42,"")</f>
        <v/>
      </c>
      <c r="L42" s="38" t="str">
        <f>IFERROR('1.vize'!W42*100/'1.vize'!$I42,"")</f>
        <v/>
      </c>
      <c r="M42" s="38" t="str">
        <f>IFERROR('1.vize'!X42*100/'1.vize'!$I42,"")</f>
        <v/>
      </c>
      <c r="N42" s="38" t="str">
        <f>IFERROR('1.vize'!Y42*100/'1.vize'!$I42,"")</f>
        <v/>
      </c>
      <c r="O42" s="38" t="str">
        <f>IFERROR('1.vize'!Z42*100/'1.vize'!$I42,"")</f>
        <v/>
      </c>
      <c r="P42" s="38" t="str">
        <f>IFERROR('1.vize'!AA42*100/'1.vize'!$I42,"")</f>
        <v/>
      </c>
      <c r="Q42" s="38" t="str">
        <f>IFERROR('1.vize'!AB42*100/'1.vize'!$I42,"")</f>
        <v/>
      </c>
      <c r="R42" s="38" t="str">
        <f>IFERROR('1.vize'!AC42*100/'1.vize'!$I42,"")</f>
        <v/>
      </c>
      <c r="S42" s="38" t="str">
        <f>IFERROR('1.vize'!AD42*100/'1.vize'!$I42,"")</f>
        <v/>
      </c>
      <c r="T42" s="38" t="str">
        <f>IFERROR('1.vize'!AE42*100/'1.vize'!$I42,"")</f>
        <v/>
      </c>
      <c r="U42" s="38" t="str">
        <f>IFERROR('1.vize'!AF42*100/'1.vize'!$I42,"")</f>
        <v/>
      </c>
      <c r="V42" s="38" t="str">
        <f>IFERROR('1.vize'!AG42*100/'1.vize'!$I42,"")</f>
        <v/>
      </c>
      <c r="W42" s="38" t="str">
        <f>IFERROR('1.vize'!AH42*100/'1.vize'!$I42,"")</f>
        <v/>
      </c>
      <c r="X42" s="38" t="str">
        <f>IFERROR('1.vize'!AI42*100/'1.vize'!$I42,"")</f>
        <v/>
      </c>
      <c r="Y42" s="38" t="str">
        <f>IFERROR('1.vize'!AJ42*100/'1.vize'!$I42,"")</f>
        <v/>
      </c>
      <c r="Z42" s="38" t="str">
        <f>IFERROR('1.vize'!AK42*100/'1.vize'!$I42,"")</f>
        <v/>
      </c>
      <c r="AA42" s="38" t="str">
        <f>IFERROR('1.vize'!AL42*100/'1.vize'!$I42,"")</f>
        <v/>
      </c>
      <c r="AB42" s="38" t="str">
        <f>IFERROR('1.vize'!AM42*100/'1.vize'!$I42,"")</f>
        <v/>
      </c>
      <c r="AC42" s="38" t="str">
        <f>IFERROR('1.vize'!AN42*100/'1.vize'!$I42,"")</f>
        <v/>
      </c>
      <c r="AD42" s="38" t="str">
        <f>IFERROR('1.vize'!AO42*100/'1.vize'!$I42,"")</f>
        <v/>
      </c>
      <c r="AE42" s="38" t="str">
        <f>IFERROR('1.vize'!AP42*100/'1.vize'!$I42,"")</f>
        <v/>
      </c>
      <c r="AF42" s="38" t="str">
        <f>IFERROR('1.vize'!AQ42*100/'1.vize'!$I42,"")</f>
        <v/>
      </c>
      <c r="AG42" s="38" t="str">
        <f>IFERROR('1.vize'!AR42*100/'1.vize'!$I42,"")</f>
        <v/>
      </c>
      <c r="AH42" s="38" t="str">
        <f>IFERROR('1.vize'!AS42*100/'1.vize'!$I42,"")</f>
        <v/>
      </c>
      <c r="AI42" s="38" t="str">
        <f>IFERROR('1.vize'!AT42*100/'1.vize'!$I42,"")</f>
        <v/>
      </c>
      <c r="AJ42" s="38" t="str">
        <f>IFERROR('1.vize'!AU42*100/'1.vize'!$I42,"")</f>
        <v/>
      </c>
      <c r="AK42" s="38" t="str">
        <f>IFERROR('1.vize'!AV42*100/'1.vize'!$I42,"")</f>
        <v/>
      </c>
      <c r="AL42" s="38" t="str">
        <f>IFERROR('1.vize'!AW42*100/'1.vize'!$I42,"")</f>
        <v/>
      </c>
      <c r="AM42" s="38" t="str">
        <f>IFERROR('1.vize'!AX42*100/'1.vize'!$I42,"")</f>
        <v/>
      </c>
      <c r="AN42" s="38" t="str">
        <f>IFERROR('1.vize'!AY42*100/'1.vize'!$I42,"")</f>
        <v/>
      </c>
      <c r="AO42" s="38" t="str">
        <f>IFERROR('1.vize'!AZ42*100/'1.vize'!$I42,"")</f>
        <v/>
      </c>
      <c r="AP42" s="38" t="str">
        <f>IFERROR('1.vize'!BA42*100/'1.vize'!$I42,"")</f>
        <v/>
      </c>
      <c r="AQ42" s="38" t="str">
        <f>IFERROR('1.vize'!BB42*100/'1.vize'!$I42,"")</f>
        <v/>
      </c>
      <c r="AR42" s="38" t="str">
        <f>IFERROR('1.vize'!BC42*100/'1.vize'!$I42,"")</f>
        <v/>
      </c>
      <c r="AS42" s="38" t="str">
        <f>IFERROR('1.vize'!BD42*100/'1.vize'!$I42,"")</f>
        <v/>
      </c>
      <c r="AT42" s="38" t="str">
        <f>IFERROR('1.vize'!BE42*100/'1.vize'!$I42,"")</f>
        <v/>
      </c>
      <c r="AU42" s="38" t="str">
        <f>IFERROR('1.vize'!BF42*100/'1.vize'!$I42,"")</f>
        <v/>
      </c>
      <c r="AV42" s="38" t="str">
        <f>IFERROR('1.vize'!BG42*100/'1.vize'!$I42,"")</f>
        <v/>
      </c>
      <c r="AW42" s="38" t="str">
        <f>IFERROR('1.vize'!BH42*100/'1.vize'!$I42,"")</f>
        <v/>
      </c>
      <c r="AX42" s="38" t="str">
        <f>IFERROR('1.vize'!BI42*100/'1.vize'!$I42,"")</f>
        <v/>
      </c>
      <c r="AY42" s="38" t="str">
        <f>IFERROR('1.vize'!BJ42*100/'1.vize'!$I42,"")</f>
        <v/>
      </c>
      <c r="AZ42" s="38" t="str">
        <f>IFERROR('1.vize'!BK42*100/'1.vize'!$I42,"")</f>
        <v/>
      </c>
      <c r="BA42" s="38" t="str">
        <f>IFERROR('1.vize'!BL42*100/'1.vize'!$I42,"")</f>
        <v/>
      </c>
      <c r="BB42" s="38" t="str">
        <f>IFERROR('1.vize'!BM42*100/'1.vize'!$I42,"")</f>
        <v/>
      </c>
      <c r="BC42" s="38" t="str">
        <f>IFERROR('1.vize'!BN42*100/'1.vize'!$I42,"")</f>
        <v/>
      </c>
      <c r="BD42" s="38" t="str">
        <f>IFERROR('1.vize'!BO42*100/'1.vize'!$I42,"")</f>
        <v/>
      </c>
      <c r="BE42" s="38" t="str">
        <f>IFERROR('1.vize'!BP42*100/'1.vize'!$I42,"")</f>
        <v/>
      </c>
      <c r="BF42" s="38" t="str">
        <f>IFERROR('1.vize'!BQ42*100/'1.vize'!$I42,"")</f>
        <v/>
      </c>
      <c r="BG42" s="38" t="str">
        <f>IFERROR('1.vize'!BR42*100/'1.vize'!$I42,"")</f>
        <v/>
      </c>
      <c r="BH42" s="38" t="str">
        <f>IFERROR('1.vize'!BS42*100/'1.vize'!$I42,"")</f>
        <v/>
      </c>
      <c r="BI42" s="38" t="str">
        <f>IFERROR('1.vize'!BT42*100/'1.vize'!$I42,"")</f>
        <v/>
      </c>
      <c r="BJ42" s="38" t="str">
        <f>IFERROR('1.vize'!BU42*100/'1.vize'!$I42,"")</f>
        <v/>
      </c>
      <c r="BK42" s="38" t="str">
        <f>IFERROR('1.vize'!BV42*100/'1.vize'!$I42,"")</f>
        <v/>
      </c>
      <c r="BL42" s="38" t="str">
        <f>IFERROR('1.vize'!BW42*100/'1.vize'!$I42,"")</f>
        <v/>
      </c>
      <c r="BM42" s="38" t="str">
        <f>IFERROR('1.vize'!BX42*100/'1.vize'!$I42,"")</f>
        <v/>
      </c>
      <c r="BN42" s="38" t="str">
        <f>IFERROR('1.vize'!BY42*100/'1.vize'!$I42,"")</f>
        <v/>
      </c>
      <c r="BO42" s="38" t="str">
        <f>IFERROR('1.vize'!BZ42*100/'1.vize'!$I42,"")</f>
        <v/>
      </c>
      <c r="BP42" s="38" t="str">
        <f>IFERROR('1.vize'!CA42*100/'1.vize'!$I42,"")</f>
        <v/>
      </c>
      <c r="BQ42" s="38" t="str">
        <f>IFERROR('1.vize'!CB42*100/'1.vize'!$I42,"")</f>
        <v/>
      </c>
      <c r="BR42" s="38" t="str">
        <f>IFERROR('1.vize'!CC42*100/'1.vize'!$I42,"")</f>
        <v/>
      </c>
      <c r="BS42" s="38" t="str">
        <f>IFERROR('1.vize'!CD42*100/'1.vize'!$I42,"")</f>
        <v/>
      </c>
      <c r="BT42" s="38" t="str">
        <f>IFERROR('1.vize'!CE42*100/'1.vize'!$I42,"")</f>
        <v/>
      </c>
      <c r="BU42" s="38" t="str">
        <f>IFERROR('1.vize'!CF42*100/'1.vize'!$I42,"")</f>
        <v/>
      </c>
      <c r="BV42" s="38" t="str">
        <f>IFERROR('1.vize'!CG42*100/'1.vize'!$I42,"")</f>
        <v/>
      </c>
      <c r="BW42" s="38" t="str">
        <f>IFERROR('1.vize'!CH42*100/'1.vize'!$I42,"")</f>
        <v/>
      </c>
      <c r="BX42" s="38" t="str">
        <f>IFERROR('1.vize'!CI42*100/'1.vize'!$I42,"")</f>
        <v/>
      </c>
      <c r="BY42" s="38" t="str">
        <f>IFERROR('1.vize'!CJ42*100/'1.vize'!$I42,"")</f>
        <v/>
      </c>
      <c r="BZ42" s="38" t="str">
        <f>IFERROR('1.vize'!CK42*100/'1.vize'!$I42,"")</f>
        <v/>
      </c>
      <c r="CA42" s="38" t="str">
        <f>IFERROR('1.vize'!CL42*100/'1.vize'!$I42,"")</f>
        <v/>
      </c>
      <c r="CB42" s="38" t="str">
        <f>IFERROR('1.vize'!CM42*100/'1.vize'!$I42,"")</f>
        <v/>
      </c>
      <c r="CC42" s="38" t="str">
        <f>IFERROR('1.vize'!CN42*100/'1.vize'!$I42,"")</f>
        <v/>
      </c>
      <c r="CD42" s="38" t="str">
        <f>IFERROR('1.vize'!CO42*100/'1.vize'!$I42,"")</f>
        <v/>
      </c>
      <c r="CE42" s="38" t="str">
        <f>IFERROR('1.vize'!CP42*100/'1.vize'!$I42,"")</f>
        <v/>
      </c>
      <c r="CF42" s="38" t="str">
        <f>IFERROR('1.vize'!CQ42*100/'1.vize'!$I42,"")</f>
        <v/>
      </c>
      <c r="CG42" s="38" t="str">
        <f>IFERROR('1.vize'!CR42*100/'1.vize'!$I42,"")</f>
        <v/>
      </c>
      <c r="CH42" s="38" t="str">
        <f>IFERROR('1.vize'!CS42*100/'1.vize'!$I42,"")</f>
        <v/>
      </c>
      <c r="CI42" s="38" t="str">
        <f>IFERROR('1.vize'!CT42*100/'1.vize'!$I42,"")</f>
        <v/>
      </c>
      <c r="CJ42" s="38" t="str">
        <f>IFERROR('1.vize'!CU42*100/'1.vize'!$I42,"")</f>
        <v/>
      </c>
      <c r="CK42" s="38" t="str">
        <f>IFERROR('1.vize'!CV42*100/'1.vize'!$I42,"")</f>
        <v/>
      </c>
      <c r="CL42" s="38" t="str">
        <f>IFERROR('1.vize'!CW42*100/'1.vize'!$I42,"")</f>
        <v/>
      </c>
      <c r="CM42" s="38" t="str">
        <f>IFERROR('1.vize'!CX42*100/'1.vize'!$I42,"")</f>
        <v/>
      </c>
      <c r="CN42" s="38" t="str">
        <f>IFERROR('1.vize'!CY42*100/'1.vize'!$I42,"")</f>
        <v/>
      </c>
      <c r="CO42" s="38" t="str">
        <f>IFERROR('1.vize'!CZ42*100/'1.vize'!$I42,"")</f>
        <v/>
      </c>
      <c r="CP42" s="38" t="str">
        <f>IFERROR('1.vize'!DA42*100/'1.vize'!$I42,"")</f>
        <v/>
      </c>
      <c r="CQ42" s="38" t="str">
        <f>IFERROR('1.vize'!DB42*100/'1.vize'!$I42,"")</f>
        <v/>
      </c>
      <c r="CR42" s="38" t="str">
        <f>IFERROR('1.vize'!DC42*100/'1.vize'!$I42,"")</f>
        <v/>
      </c>
      <c r="CS42" s="38" t="str">
        <f>IFERROR('1.vize'!DD42*100/'1.vize'!$I42,"")</f>
        <v/>
      </c>
      <c r="CT42" s="38" t="str">
        <f>IFERROR('1.vize'!DE42*100/'1.vize'!$I42,"")</f>
        <v/>
      </c>
      <c r="CU42" s="38" t="str">
        <f>IFERROR('1.vize'!DF42*100/'1.vize'!$I42,"")</f>
        <v/>
      </c>
      <c r="CV42" s="38" t="str">
        <f>IFERROR('1.vize'!DG42*100/'1.vize'!$I42,"")</f>
        <v/>
      </c>
      <c r="CW42" s="32" t="str">
        <f>IFERROR(SUM(A42:CV42)/'1.vize'!$DH$103,"")</f>
        <v/>
      </c>
      <c r="CX42" s="14" t="str">
        <f>IF(COUNTA('1.vize'!A42),'1.vize'!A42,"")</f>
        <v/>
      </c>
      <c r="CY42" s="14" t="str">
        <f>IF(COUNTA('1.vize'!B42),'1.vize'!B42,"")</f>
        <v/>
      </c>
      <c r="CZ42" s="14" t="str">
        <f>IF(COUNTA('1.vize'!C42),'1.vize'!C42,"")</f>
        <v/>
      </c>
      <c r="DA42" s="14" t="str">
        <f>IF(COUNTA('1.vize'!D42),'1.vize'!D42,"")</f>
        <v/>
      </c>
      <c r="DB42" s="14" t="str">
        <f>IF(COUNTA('1.vize'!E42),'1.vize'!E42,"")</f>
        <v/>
      </c>
      <c r="DC42" s="14" t="str">
        <f>IF(COUNTA('1.vize'!F42),'1.vize'!F42,"")</f>
        <v/>
      </c>
      <c r="DD42" s="14" t="str">
        <f>IF(COUNTA('1.vize'!G42),'1.vize'!G42,"")</f>
        <v/>
      </c>
      <c r="DE42" s="14" t="str">
        <f>IF(COUNTA('1.vize'!H42),'1.vize'!H42,"")</f>
        <v/>
      </c>
      <c r="DF42" s="33"/>
    </row>
    <row r="43" spans="1:110" x14ac:dyDescent="0.2">
      <c r="A43" s="38" t="str">
        <f>IFERROR('1.vize'!L43*100/'1.vize'!$I43,"")</f>
        <v/>
      </c>
      <c r="B43" s="38" t="str">
        <f>IFERROR('1.vize'!M43*100/'1.vize'!$I43,"")</f>
        <v/>
      </c>
      <c r="C43" s="38" t="str">
        <f>IFERROR('1.vize'!N43*100/'1.vize'!$I43,"")</f>
        <v/>
      </c>
      <c r="D43" s="38" t="str">
        <f>IFERROR('1.vize'!O43*100/'1.vize'!$I43,"")</f>
        <v/>
      </c>
      <c r="E43" s="38" t="str">
        <f>IFERROR('1.vize'!P43*100/'1.vize'!$I43,"")</f>
        <v/>
      </c>
      <c r="F43" s="38" t="str">
        <f>IFERROR('1.vize'!Q43*100/'1.vize'!$I43,"")</f>
        <v/>
      </c>
      <c r="G43" s="38" t="str">
        <f>IFERROR('1.vize'!R43*100/'1.vize'!$I43,"")</f>
        <v/>
      </c>
      <c r="H43" s="38" t="str">
        <f>IFERROR('1.vize'!S43*100/'1.vize'!$I43,"")</f>
        <v/>
      </c>
      <c r="I43" s="38" t="str">
        <f>IFERROR('1.vize'!T43*100/'1.vize'!$I43,"")</f>
        <v/>
      </c>
      <c r="J43" s="38" t="str">
        <f>IFERROR('1.vize'!U43*100/'1.vize'!$I43,"")</f>
        <v/>
      </c>
      <c r="K43" s="38" t="str">
        <f>IFERROR('1.vize'!V43*100/'1.vize'!$I43,"")</f>
        <v/>
      </c>
      <c r="L43" s="38" t="str">
        <f>IFERROR('1.vize'!W43*100/'1.vize'!$I43,"")</f>
        <v/>
      </c>
      <c r="M43" s="38" t="str">
        <f>IFERROR('1.vize'!X43*100/'1.vize'!$I43,"")</f>
        <v/>
      </c>
      <c r="N43" s="38" t="str">
        <f>IFERROR('1.vize'!Y43*100/'1.vize'!$I43,"")</f>
        <v/>
      </c>
      <c r="O43" s="38" t="str">
        <f>IFERROR('1.vize'!Z43*100/'1.vize'!$I43,"")</f>
        <v/>
      </c>
      <c r="P43" s="38" t="str">
        <f>IFERROR('1.vize'!AA43*100/'1.vize'!$I43,"")</f>
        <v/>
      </c>
      <c r="Q43" s="38" t="str">
        <f>IFERROR('1.vize'!AB43*100/'1.vize'!$I43,"")</f>
        <v/>
      </c>
      <c r="R43" s="38" t="str">
        <f>IFERROR('1.vize'!AC43*100/'1.vize'!$I43,"")</f>
        <v/>
      </c>
      <c r="S43" s="38" t="str">
        <f>IFERROR('1.vize'!AD43*100/'1.vize'!$I43,"")</f>
        <v/>
      </c>
      <c r="T43" s="38" t="str">
        <f>IFERROR('1.vize'!AE43*100/'1.vize'!$I43,"")</f>
        <v/>
      </c>
      <c r="U43" s="38" t="str">
        <f>IFERROR('1.vize'!AF43*100/'1.vize'!$I43,"")</f>
        <v/>
      </c>
      <c r="V43" s="38" t="str">
        <f>IFERROR('1.vize'!AG43*100/'1.vize'!$I43,"")</f>
        <v/>
      </c>
      <c r="W43" s="38" t="str">
        <f>IFERROR('1.vize'!AH43*100/'1.vize'!$I43,"")</f>
        <v/>
      </c>
      <c r="X43" s="38" t="str">
        <f>IFERROR('1.vize'!AI43*100/'1.vize'!$I43,"")</f>
        <v/>
      </c>
      <c r="Y43" s="38" t="str">
        <f>IFERROR('1.vize'!AJ43*100/'1.vize'!$I43,"")</f>
        <v/>
      </c>
      <c r="Z43" s="38" t="str">
        <f>IFERROR('1.vize'!AK43*100/'1.vize'!$I43,"")</f>
        <v/>
      </c>
      <c r="AA43" s="38" t="str">
        <f>IFERROR('1.vize'!AL43*100/'1.vize'!$I43,"")</f>
        <v/>
      </c>
      <c r="AB43" s="38" t="str">
        <f>IFERROR('1.vize'!AM43*100/'1.vize'!$I43,"")</f>
        <v/>
      </c>
      <c r="AC43" s="38" t="str">
        <f>IFERROR('1.vize'!AN43*100/'1.vize'!$I43,"")</f>
        <v/>
      </c>
      <c r="AD43" s="38" t="str">
        <f>IFERROR('1.vize'!AO43*100/'1.vize'!$I43,"")</f>
        <v/>
      </c>
      <c r="AE43" s="38" t="str">
        <f>IFERROR('1.vize'!AP43*100/'1.vize'!$I43,"")</f>
        <v/>
      </c>
      <c r="AF43" s="38" t="str">
        <f>IFERROR('1.vize'!AQ43*100/'1.vize'!$I43,"")</f>
        <v/>
      </c>
      <c r="AG43" s="38" t="str">
        <f>IFERROR('1.vize'!AR43*100/'1.vize'!$I43,"")</f>
        <v/>
      </c>
      <c r="AH43" s="38" t="str">
        <f>IFERROR('1.vize'!AS43*100/'1.vize'!$I43,"")</f>
        <v/>
      </c>
      <c r="AI43" s="38" t="str">
        <f>IFERROR('1.vize'!AT43*100/'1.vize'!$I43,"")</f>
        <v/>
      </c>
      <c r="AJ43" s="38" t="str">
        <f>IFERROR('1.vize'!AU43*100/'1.vize'!$I43,"")</f>
        <v/>
      </c>
      <c r="AK43" s="38" t="str">
        <f>IFERROR('1.vize'!AV43*100/'1.vize'!$I43,"")</f>
        <v/>
      </c>
      <c r="AL43" s="38" t="str">
        <f>IFERROR('1.vize'!AW43*100/'1.vize'!$I43,"")</f>
        <v/>
      </c>
      <c r="AM43" s="38" t="str">
        <f>IFERROR('1.vize'!AX43*100/'1.vize'!$I43,"")</f>
        <v/>
      </c>
      <c r="AN43" s="38" t="str">
        <f>IFERROR('1.vize'!AY43*100/'1.vize'!$I43,"")</f>
        <v/>
      </c>
      <c r="AO43" s="38" t="str">
        <f>IFERROR('1.vize'!AZ43*100/'1.vize'!$I43,"")</f>
        <v/>
      </c>
      <c r="AP43" s="38" t="str">
        <f>IFERROR('1.vize'!BA43*100/'1.vize'!$I43,"")</f>
        <v/>
      </c>
      <c r="AQ43" s="38" t="str">
        <f>IFERROR('1.vize'!BB43*100/'1.vize'!$I43,"")</f>
        <v/>
      </c>
      <c r="AR43" s="38" t="str">
        <f>IFERROR('1.vize'!BC43*100/'1.vize'!$I43,"")</f>
        <v/>
      </c>
      <c r="AS43" s="38" t="str">
        <f>IFERROR('1.vize'!BD43*100/'1.vize'!$I43,"")</f>
        <v/>
      </c>
      <c r="AT43" s="38" t="str">
        <f>IFERROR('1.vize'!BE43*100/'1.vize'!$I43,"")</f>
        <v/>
      </c>
      <c r="AU43" s="38" t="str">
        <f>IFERROR('1.vize'!BF43*100/'1.vize'!$I43,"")</f>
        <v/>
      </c>
      <c r="AV43" s="38" t="str">
        <f>IFERROR('1.vize'!BG43*100/'1.vize'!$I43,"")</f>
        <v/>
      </c>
      <c r="AW43" s="38" t="str">
        <f>IFERROR('1.vize'!BH43*100/'1.vize'!$I43,"")</f>
        <v/>
      </c>
      <c r="AX43" s="38" t="str">
        <f>IFERROR('1.vize'!BI43*100/'1.vize'!$I43,"")</f>
        <v/>
      </c>
      <c r="AY43" s="38" t="str">
        <f>IFERROR('1.vize'!BJ43*100/'1.vize'!$I43,"")</f>
        <v/>
      </c>
      <c r="AZ43" s="38" t="str">
        <f>IFERROR('1.vize'!BK43*100/'1.vize'!$I43,"")</f>
        <v/>
      </c>
      <c r="BA43" s="38" t="str">
        <f>IFERROR('1.vize'!BL43*100/'1.vize'!$I43,"")</f>
        <v/>
      </c>
      <c r="BB43" s="38" t="str">
        <f>IFERROR('1.vize'!BM43*100/'1.vize'!$I43,"")</f>
        <v/>
      </c>
      <c r="BC43" s="38" t="str">
        <f>IFERROR('1.vize'!BN43*100/'1.vize'!$I43,"")</f>
        <v/>
      </c>
      <c r="BD43" s="38" t="str">
        <f>IFERROR('1.vize'!BO43*100/'1.vize'!$I43,"")</f>
        <v/>
      </c>
      <c r="BE43" s="38" t="str">
        <f>IFERROR('1.vize'!BP43*100/'1.vize'!$I43,"")</f>
        <v/>
      </c>
      <c r="BF43" s="38" t="str">
        <f>IFERROR('1.vize'!BQ43*100/'1.vize'!$I43,"")</f>
        <v/>
      </c>
      <c r="BG43" s="38" t="str">
        <f>IFERROR('1.vize'!BR43*100/'1.vize'!$I43,"")</f>
        <v/>
      </c>
      <c r="BH43" s="38" t="str">
        <f>IFERROR('1.vize'!BS43*100/'1.vize'!$I43,"")</f>
        <v/>
      </c>
      <c r="BI43" s="38" t="str">
        <f>IFERROR('1.vize'!BT43*100/'1.vize'!$I43,"")</f>
        <v/>
      </c>
      <c r="BJ43" s="38" t="str">
        <f>IFERROR('1.vize'!BU43*100/'1.vize'!$I43,"")</f>
        <v/>
      </c>
      <c r="BK43" s="38" t="str">
        <f>IFERROR('1.vize'!BV43*100/'1.vize'!$I43,"")</f>
        <v/>
      </c>
      <c r="BL43" s="38" t="str">
        <f>IFERROR('1.vize'!BW43*100/'1.vize'!$I43,"")</f>
        <v/>
      </c>
      <c r="BM43" s="38" t="str">
        <f>IFERROR('1.vize'!BX43*100/'1.vize'!$I43,"")</f>
        <v/>
      </c>
      <c r="BN43" s="38" t="str">
        <f>IFERROR('1.vize'!BY43*100/'1.vize'!$I43,"")</f>
        <v/>
      </c>
      <c r="BO43" s="38" t="str">
        <f>IFERROR('1.vize'!BZ43*100/'1.vize'!$I43,"")</f>
        <v/>
      </c>
      <c r="BP43" s="38" t="str">
        <f>IFERROR('1.vize'!CA43*100/'1.vize'!$I43,"")</f>
        <v/>
      </c>
      <c r="BQ43" s="38" t="str">
        <f>IFERROR('1.vize'!CB43*100/'1.vize'!$I43,"")</f>
        <v/>
      </c>
      <c r="BR43" s="38" t="str">
        <f>IFERROR('1.vize'!CC43*100/'1.vize'!$I43,"")</f>
        <v/>
      </c>
      <c r="BS43" s="38" t="str">
        <f>IFERROR('1.vize'!CD43*100/'1.vize'!$I43,"")</f>
        <v/>
      </c>
      <c r="BT43" s="38" t="str">
        <f>IFERROR('1.vize'!CE43*100/'1.vize'!$I43,"")</f>
        <v/>
      </c>
      <c r="BU43" s="38" t="str">
        <f>IFERROR('1.vize'!CF43*100/'1.vize'!$I43,"")</f>
        <v/>
      </c>
      <c r="BV43" s="38" t="str">
        <f>IFERROR('1.vize'!CG43*100/'1.vize'!$I43,"")</f>
        <v/>
      </c>
      <c r="BW43" s="38" t="str">
        <f>IFERROR('1.vize'!CH43*100/'1.vize'!$I43,"")</f>
        <v/>
      </c>
      <c r="BX43" s="38" t="str">
        <f>IFERROR('1.vize'!CI43*100/'1.vize'!$I43,"")</f>
        <v/>
      </c>
      <c r="BY43" s="38" t="str">
        <f>IFERROR('1.vize'!CJ43*100/'1.vize'!$I43,"")</f>
        <v/>
      </c>
      <c r="BZ43" s="38" t="str">
        <f>IFERROR('1.vize'!CK43*100/'1.vize'!$I43,"")</f>
        <v/>
      </c>
      <c r="CA43" s="38" t="str">
        <f>IFERROR('1.vize'!CL43*100/'1.vize'!$I43,"")</f>
        <v/>
      </c>
      <c r="CB43" s="38" t="str">
        <f>IFERROR('1.vize'!CM43*100/'1.vize'!$I43,"")</f>
        <v/>
      </c>
      <c r="CC43" s="38" t="str">
        <f>IFERROR('1.vize'!CN43*100/'1.vize'!$I43,"")</f>
        <v/>
      </c>
      <c r="CD43" s="38" t="str">
        <f>IFERROR('1.vize'!CO43*100/'1.vize'!$I43,"")</f>
        <v/>
      </c>
      <c r="CE43" s="38" t="str">
        <f>IFERROR('1.vize'!CP43*100/'1.vize'!$I43,"")</f>
        <v/>
      </c>
      <c r="CF43" s="38" t="str">
        <f>IFERROR('1.vize'!CQ43*100/'1.vize'!$I43,"")</f>
        <v/>
      </c>
      <c r="CG43" s="38" t="str">
        <f>IFERROR('1.vize'!CR43*100/'1.vize'!$I43,"")</f>
        <v/>
      </c>
      <c r="CH43" s="38" t="str">
        <f>IFERROR('1.vize'!CS43*100/'1.vize'!$I43,"")</f>
        <v/>
      </c>
      <c r="CI43" s="38" t="str">
        <f>IFERROR('1.vize'!CT43*100/'1.vize'!$I43,"")</f>
        <v/>
      </c>
      <c r="CJ43" s="38" t="str">
        <f>IFERROR('1.vize'!CU43*100/'1.vize'!$I43,"")</f>
        <v/>
      </c>
      <c r="CK43" s="38" t="str">
        <f>IFERROR('1.vize'!CV43*100/'1.vize'!$I43,"")</f>
        <v/>
      </c>
      <c r="CL43" s="38" t="str">
        <f>IFERROR('1.vize'!CW43*100/'1.vize'!$I43,"")</f>
        <v/>
      </c>
      <c r="CM43" s="38" t="str">
        <f>IFERROR('1.vize'!CX43*100/'1.vize'!$I43,"")</f>
        <v/>
      </c>
      <c r="CN43" s="38" t="str">
        <f>IFERROR('1.vize'!CY43*100/'1.vize'!$I43,"")</f>
        <v/>
      </c>
      <c r="CO43" s="38" t="str">
        <f>IFERROR('1.vize'!CZ43*100/'1.vize'!$I43,"")</f>
        <v/>
      </c>
      <c r="CP43" s="38" t="str">
        <f>IFERROR('1.vize'!DA43*100/'1.vize'!$I43,"")</f>
        <v/>
      </c>
      <c r="CQ43" s="38" t="str">
        <f>IFERROR('1.vize'!DB43*100/'1.vize'!$I43,"")</f>
        <v/>
      </c>
      <c r="CR43" s="38" t="str">
        <f>IFERROR('1.vize'!DC43*100/'1.vize'!$I43,"")</f>
        <v/>
      </c>
      <c r="CS43" s="38" t="str">
        <f>IFERROR('1.vize'!DD43*100/'1.vize'!$I43,"")</f>
        <v/>
      </c>
      <c r="CT43" s="38" t="str">
        <f>IFERROR('1.vize'!DE43*100/'1.vize'!$I43,"")</f>
        <v/>
      </c>
      <c r="CU43" s="38" t="str">
        <f>IFERROR('1.vize'!DF43*100/'1.vize'!$I43,"")</f>
        <v/>
      </c>
      <c r="CV43" s="38" t="str">
        <f>IFERROR('1.vize'!DG43*100/'1.vize'!$I43,"")</f>
        <v/>
      </c>
      <c r="CW43" s="32" t="str">
        <f>IFERROR(SUM(A43:CV43)/'1.vize'!$DH$103,"")</f>
        <v/>
      </c>
      <c r="CX43" s="14" t="str">
        <f>IF(COUNTA('1.vize'!A43),'1.vize'!A43,"")</f>
        <v/>
      </c>
      <c r="CY43" s="14" t="str">
        <f>IF(COUNTA('1.vize'!B43),'1.vize'!B43,"")</f>
        <v/>
      </c>
      <c r="CZ43" s="14" t="str">
        <f>IF(COUNTA('1.vize'!C43),'1.vize'!C43,"")</f>
        <v/>
      </c>
      <c r="DA43" s="14" t="str">
        <f>IF(COUNTA('1.vize'!D43),'1.vize'!D43,"")</f>
        <v/>
      </c>
      <c r="DB43" s="14" t="str">
        <f>IF(COUNTA('1.vize'!E43),'1.vize'!E43,"")</f>
        <v/>
      </c>
      <c r="DC43" s="14" t="str">
        <f>IF(COUNTA('1.vize'!F43),'1.vize'!F43,"")</f>
        <v/>
      </c>
      <c r="DD43" s="14" t="str">
        <f>IF(COUNTA('1.vize'!G43),'1.vize'!G43,"")</f>
        <v/>
      </c>
      <c r="DE43" s="14" t="str">
        <f>IF(COUNTA('1.vize'!H43),'1.vize'!H43,"")</f>
        <v/>
      </c>
      <c r="DF43" s="33"/>
    </row>
    <row r="44" spans="1:110" x14ac:dyDescent="0.2">
      <c r="A44" s="38" t="str">
        <f>IFERROR('1.vize'!L44*100/'1.vize'!$I44,"")</f>
        <v/>
      </c>
      <c r="B44" s="38" t="str">
        <f>IFERROR('1.vize'!M44*100/'1.vize'!$I44,"")</f>
        <v/>
      </c>
      <c r="C44" s="38" t="str">
        <f>IFERROR('1.vize'!N44*100/'1.vize'!$I44,"")</f>
        <v/>
      </c>
      <c r="D44" s="38" t="str">
        <f>IFERROR('1.vize'!O44*100/'1.vize'!$I44,"")</f>
        <v/>
      </c>
      <c r="E44" s="38" t="str">
        <f>IFERROR('1.vize'!P44*100/'1.vize'!$I44,"")</f>
        <v/>
      </c>
      <c r="F44" s="38" t="str">
        <f>IFERROR('1.vize'!Q44*100/'1.vize'!$I44,"")</f>
        <v/>
      </c>
      <c r="G44" s="38" t="str">
        <f>IFERROR('1.vize'!R44*100/'1.vize'!$I44,"")</f>
        <v/>
      </c>
      <c r="H44" s="38" t="str">
        <f>IFERROR('1.vize'!S44*100/'1.vize'!$I44,"")</f>
        <v/>
      </c>
      <c r="I44" s="38" t="str">
        <f>IFERROR('1.vize'!T44*100/'1.vize'!$I44,"")</f>
        <v/>
      </c>
      <c r="J44" s="38" t="str">
        <f>IFERROR('1.vize'!U44*100/'1.vize'!$I44,"")</f>
        <v/>
      </c>
      <c r="K44" s="38" t="str">
        <f>IFERROR('1.vize'!V44*100/'1.vize'!$I44,"")</f>
        <v/>
      </c>
      <c r="L44" s="38" t="str">
        <f>IFERROR('1.vize'!W44*100/'1.vize'!$I44,"")</f>
        <v/>
      </c>
      <c r="M44" s="38" t="str">
        <f>IFERROR('1.vize'!X44*100/'1.vize'!$I44,"")</f>
        <v/>
      </c>
      <c r="N44" s="38" t="str">
        <f>IFERROR('1.vize'!Y44*100/'1.vize'!$I44,"")</f>
        <v/>
      </c>
      <c r="O44" s="38" t="str">
        <f>IFERROR('1.vize'!Z44*100/'1.vize'!$I44,"")</f>
        <v/>
      </c>
      <c r="P44" s="38" t="str">
        <f>IFERROR('1.vize'!AA44*100/'1.vize'!$I44,"")</f>
        <v/>
      </c>
      <c r="Q44" s="38" t="str">
        <f>IFERROR('1.vize'!AB44*100/'1.vize'!$I44,"")</f>
        <v/>
      </c>
      <c r="R44" s="38" t="str">
        <f>IFERROR('1.vize'!AC44*100/'1.vize'!$I44,"")</f>
        <v/>
      </c>
      <c r="S44" s="38" t="str">
        <f>IFERROR('1.vize'!AD44*100/'1.vize'!$I44,"")</f>
        <v/>
      </c>
      <c r="T44" s="38" t="str">
        <f>IFERROR('1.vize'!AE44*100/'1.vize'!$I44,"")</f>
        <v/>
      </c>
      <c r="U44" s="38" t="str">
        <f>IFERROR('1.vize'!AF44*100/'1.vize'!$I44,"")</f>
        <v/>
      </c>
      <c r="V44" s="38" t="str">
        <f>IFERROR('1.vize'!AG44*100/'1.vize'!$I44,"")</f>
        <v/>
      </c>
      <c r="W44" s="38" t="str">
        <f>IFERROR('1.vize'!AH44*100/'1.vize'!$I44,"")</f>
        <v/>
      </c>
      <c r="X44" s="38" t="str">
        <f>IFERROR('1.vize'!AI44*100/'1.vize'!$I44,"")</f>
        <v/>
      </c>
      <c r="Y44" s="38" t="str">
        <f>IFERROR('1.vize'!AJ44*100/'1.vize'!$I44,"")</f>
        <v/>
      </c>
      <c r="Z44" s="38" t="str">
        <f>IFERROR('1.vize'!AK44*100/'1.vize'!$I44,"")</f>
        <v/>
      </c>
      <c r="AA44" s="38" t="str">
        <f>IFERROR('1.vize'!AL44*100/'1.vize'!$I44,"")</f>
        <v/>
      </c>
      <c r="AB44" s="38" t="str">
        <f>IFERROR('1.vize'!AM44*100/'1.vize'!$I44,"")</f>
        <v/>
      </c>
      <c r="AC44" s="38" t="str">
        <f>IFERROR('1.vize'!AN44*100/'1.vize'!$I44,"")</f>
        <v/>
      </c>
      <c r="AD44" s="38" t="str">
        <f>IFERROR('1.vize'!AO44*100/'1.vize'!$I44,"")</f>
        <v/>
      </c>
      <c r="AE44" s="38" t="str">
        <f>IFERROR('1.vize'!AP44*100/'1.vize'!$I44,"")</f>
        <v/>
      </c>
      <c r="AF44" s="38" t="str">
        <f>IFERROR('1.vize'!AQ44*100/'1.vize'!$I44,"")</f>
        <v/>
      </c>
      <c r="AG44" s="38" t="str">
        <f>IFERROR('1.vize'!AR44*100/'1.vize'!$I44,"")</f>
        <v/>
      </c>
      <c r="AH44" s="38" t="str">
        <f>IFERROR('1.vize'!AS44*100/'1.vize'!$I44,"")</f>
        <v/>
      </c>
      <c r="AI44" s="38" t="str">
        <f>IFERROR('1.vize'!AT44*100/'1.vize'!$I44,"")</f>
        <v/>
      </c>
      <c r="AJ44" s="38" t="str">
        <f>IFERROR('1.vize'!AU44*100/'1.vize'!$I44,"")</f>
        <v/>
      </c>
      <c r="AK44" s="38" t="str">
        <f>IFERROR('1.vize'!AV44*100/'1.vize'!$I44,"")</f>
        <v/>
      </c>
      <c r="AL44" s="38" t="str">
        <f>IFERROR('1.vize'!AW44*100/'1.vize'!$I44,"")</f>
        <v/>
      </c>
      <c r="AM44" s="38" t="str">
        <f>IFERROR('1.vize'!AX44*100/'1.vize'!$I44,"")</f>
        <v/>
      </c>
      <c r="AN44" s="38" t="str">
        <f>IFERROR('1.vize'!AY44*100/'1.vize'!$I44,"")</f>
        <v/>
      </c>
      <c r="AO44" s="38" t="str">
        <f>IFERROR('1.vize'!AZ44*100/'1.vize'!$I44,"")</f>
        <v/>
      </c>
      <c r="AP44" s="38" t="str">
        <f>IFERROR('1.vize'!BA44*100/'1.vize'!$I44,"")</f>
        <v/>
      </c>
      <c r="AQ44" s="38" t="str">
        <f>IFERROR('1.vize'!BB44*100/'1.vize'!$I44,"")</f>
        <v/>
      </c>
      <c r="AR44" s="38" t="str">
        <f>IFERROR('1.vize'!BC44*100/'1.vize'!$I44,"")</f>
        <v/>
      </c>
      <c r="AS44" s="38" t="str">
        <f>IFERROR('1.vize'!BD44*100/'1.vize'!$I44,"")</f>
        <v/>
      </c>
      <c r="AT44" s="38" t="str">
        <f>IFERROR('1.vize'!BE44*100/'1.vize'!$I44,"")</f>
        <v/>
      </c>
      <c r="AU44" s="38" t="str">
        <f>IFERROR('1.vize'!BF44*100/'1.vize'!$I44,"")</f>
        <v/>
      </c>
      <c r="AV44" s="38" t="str">
        <f>IFERROR('1.vize'!BG44*100/'1.vize'!$I44,"")</f>
        <v/>
      </c>
      <c r="AW44" s="38" t="str">
        <f>IFERROR('1.vize'!BH44*100/'1.vize'!$I44,"")</f>
        <v/>
      </c>
      <c r="AX44" s="38" t="str">
        <f>IFERROR('1.vize'!BI44*100/'1.vize'!$I44,"")</f>
        <v/>
      </c>
      <c r="AY44" s="38" t="str">
        <f>IFERROR('1.vize'!BJ44*100/'1.vize'!$I44,"")</f>
        <v/>
      </c>
      <c r="AZ44" s="38" t="str">
        <f>IFERROR('1.vize'!BK44*100/'1.vize'!$I44,"")</f>
        <v/>
      </c>
      <c r="BA44" s="38" t="str">
        <f>IFERROR('1.vize'!BL44*100/'1.vize'!$I44,"")</f>
        <v/>
      </c>
      <c r="BB44" s="38" t="str">
        <f>IFERROR('1.vize'!BM44*100/'1.vize'!$I44,"")</f>
        <v/>
      </c>
      <c r="BC44" s="38" t="str">
        <f>IFERROR('1.vize'!BN44*100/'1.vize'!$I44,"")</f>
        <v/>
      </c>
      <c r="BD44" s="38" t="str">
        <f>IFERROR('1.vize'!BO44*100/'1.vize'!$I44,"")</f>
        <v/>
      </c>
      <c r="BE44" s="38" t="str">
        <f>IFERROR('1.vize'!BP44*100/'1.vize'!$I44,"")</f>
        <v/>
      </c>
      <c r="BF44" s="38" t="str">
        <f>IFERROR('1.vize'!BQ44*100/'1.vize'!$I44,"")</f>
        <v/>
      </c>
      <c r="BG44" s="38" t="str">
        <f>IFERROR('1.vize'!BR44*100/'1.vize'!$I44,"")</f>
        <v/>
      </c>
      <c r="BH44" s="38" t="str">
        <f>IFERROR('1.vize'!BS44*100/'1.vize'!$I44,"")</f>
        <v/>
      </c>
      <c r="BI44" s="38" t="str">
        <f>IFERROR('1.vize'!BT44*100/'1.vize'!$I44,"")</f>
        <v/>
      </c>
      <c r="BJ44" s="38" t="str">
        <f>IFERROR('1.vize'!BU44*100/'1.vize'!$I44,"")</f>
        <v/>
      </c>
      <c r="BK44" s="38" t="str">
        <f>IFERROR('1.vize'!BV44*100/'1.vize'!$I44,"")</f>
        <v/>
      </c>
      <c r="BL44" s="38" t="str">
        <f>IFERROR('1.vize'!BW44*100/'1.vize'!$I44,"")</f>
        <v/>
      </c>
      <c r="BM44" s="38" t="str">
        <f>IFERROR('1.vize'!BX44*100/'1.vize'!$I44,"")</f>
        <v/>
      </c>
      <c r="BN44" s="38" t="str">
        <f>IFERROR('1.vize'!BY44*100/'1.vize'!$I44,"")</f>
        <v/>
      </c>
      <c r="BO44" s="38" t="str">
        <f>IFERROR('1.vize'!BZ44*100/'1.vize'!$I44,"")</f>
        <v/>
      </c>
      <c r="BP44" s="38" t="str">
        <f>IFERROR('1.vize'!CA44*100/'1.vize'!$I44,"")</f>
        <v/>
      </c>
      <c r="BQ44" s="38" t="str">
        <f>IFERROR('1.vize'!CB44*100/'1.vize'!$I44,"")</f>
        <v/>
      </c>
      <c r="BR44" s="38" t="str">
        <f>IFERROR('1.vize'!CC44*100/'1.vize'!$I44,"")</f>
        <v/>
      </c>
      <c r="BS44" s="38" t="str">
        <f>IFERROR('1.vize'!CD44*100/'1.vize'!$I44,"")</f>
        <v/>
      </c>
      <c r="BT44" s="38" t="str">
        <f>IFERROR('1.vize'!CE44*100/'1.vize'!$I44,"")</f>
        <v/>
      </c>
      <c r="BU44" s="38" t="str">
        <f>IFERROR('1.vize'!CF44*100/'1.vize'!$I44,"")</f>
        <v/>
      </c>
      <c r="BV44" s="38" t="str">
        <f>IFERROR('1.vize'!CG44*100/'1.vize'!$I44,"")</f>
        <v/>
      </c>
      <c r="BW44" s="38" t="str">
        <f>IFERROR('1.vize'!CH44*100/'1.vize'!$I44,"")</f>
        <v/>
      </c>
      <c r="BX44" s="38" t="str">
        <f>IFERROR('1.vize'!CI44*100/'1.vize'!$I44,"")</f>
        <v/>
      </c>
      <c r="BY44" s="38" t="str">
        <f>IFERROR('1.vize'!CJ44*100/'1.vize'!$I44,"")</f>
        <v/>
      </c>
      <c r="BZ44" s="38" t="str">
        <f>IFERROR('1.vize'!CK44*100/'1.vize'!$I44,"")</f>
        <v/>
      </c>
      <c r="CA44" s="38" t="str">
        <f>IFERROR('1.vize'!CL44*100/'1.vize'!$I44,"")</f>
        <v/>
      </c>
      <c r="CB44" s="38" t="str">
        <f>IFERROR('1.vize'!CM44*100/'1.vize'!$I44,"")</f>
        <v/>
      </c>
      <c r="CC44" s="38" t="str">
        <f>IFERROR('1.vize'!CN44*100/'1.vize'!$I44,"")</f>
        <v/>
      </c>
      <c r="CD44" s="38" t="str">
        <f>IFERROR('1.vize'!CO44*100/'1.vize'!$I44,"")</f>
        <v/>
      </c>
      <c r="CE44" s="38" t="str">
        <f>IFERROR('1.vize'!CP44*100/'1.vize'!$I44,"")</f>
        <v/>
      </c>
      <c r="CF44" s="38" t="str">
        <f>IFERROR('1.vize'!CQ44*100/'1.vize'!$I44,"")</f>
        <v/>
      </c>
      <c r="CG44" s="38" t="str">
        <f>IFERROR('1.vize'!CR44*100/'1.vize'!$I44,"")</f>
        <v/>
      </c>
      <c r="CH44" s="38" t="str">
        <f>IFERROR('1.vize'!CS44*100/'1.vize'!$I44,"")</f>
        <v/>
      </c>
      <c r="CI44" s="38" t="str">
        <f>IFERROR('1.vize'!CT44*100/'1.vize'!$I44,"")</f>
        <v/>
      </c>
      <c r="CJ44" s="38" t="str">
        <f>IFERROR('1.vize'!CU44*100/'1.vize'!$I44,"")</f>
        <v/>
      </c>
      <c r="CK44" s="38" t="str">
        <f>IFERROR('1.vize'!CV44*100/'1.vize'!$I44,"")</f>
        <v/>
      </c>
      <c r="CL44" s="38" t="str">
        <f>IFERROR('1.vize'!CW44*100/'1.vize'!$I44,"")</f>
        <v/>
      </c>
      <c r="CM44" s="38" t="str">
        <f>IFERROR('1.vize'!CX44*100/'1.vize'!$I44,"")</f>
        <v/>
      </c>
      <c r="CN44" s="38" t="str">
        <f>IFERROR('1.vize'!CY44*100/'1.vize'!$I44,"")</f>
        <v/>
      </c>
      <c r="CO44" s="38" t="str">
        <f>IFERROR('1.vize'!CZ44*100/'1.vize'!$I44,"")</f>
        <v/>
      </c>
      <c r="CP44" s="38" t="str">
        <f>IFERROR('1.vize'!DA44*100/'1.vize'!$I44,"")</f>
        <v/>
      </c>
      <c r="CQ44" s="38" t="str">
        <f>IFERROR('1.vize'!DB44*100/'1.vize'!$I44,"")</f>
        <v/>
      </c>
      <c r="CR44" s="38" t="str">
        <f>IFERROR('1.vize'!DC44*100/'1.vize'!$I44,"")</f>
        <v/>
      </c>
      <c r="CS44" s="38" t="str">
        <f>IFERROR('1.vize'!DD44*100/'1.vize'!$I44,"")</f>
        <v/>
      </c>
      <c r="CT44" s="38" t="str">
        <f>IFERROR('1.vize'!DE44*100/'1.vize'!$I44,"")</f>
        <v/>
      </c>
      <c r="CU44" s="38" t="str">
        <f>IFERROR('1.vize'!DF44*100/'1.vize'!$I44,"")</f>
        <v/>
      </c>
      <c r="CV44" s="38" t="str">
        <f>IFERROR('1.vize'!DG44*100/'1.vize'!$I44,"")</f>
        <v/>
      </c>
      <c r="CW44" s="32" t="str">
        <f>IFERROR(SUM(A44:CV44)/'1.vize'!$DH$103,"")</f>
        <v/>
      </c>
      <c r="CX44" s="14" t="str">
        <f>IF(COUNTA('1.vize'!A44),'1.vize'!A44,"")</f>
        <v/>
      </c>
      <c r="CY44" s="14" t="str">
        <f>IF(COUNTA('1.vize'!B44),'1.vize'!B44,"")</f>
        <v/>
      </c>
      <c r="CZ44" s="14" t="str">
        <f>IF(COUNTA('1.vize'!C44),'1.vize'!C44,"")</f>
        <v/>
      </c>
      <c r="DA44" s="14" t="str">
        <f>IF(COUNTA('1.vize'!D44),'1.vize'!D44,"")</f>
        <v/>
      </c>
      <c r="DB44" s="14" t="str">
        <f>IF(COUNTA('1.vize'!E44),'1.vize'!E44,"")</f>
        <v/>
      </c>
      <c r="DC44" s="14" t="str">
        <f>IF(COUNTA('1.vize'!F44),'1.vize'!F44,"")</f>
        <v/>
      </c>
      <c r="DD44" s="14" t="str">
        <f>IF(COUNTA('1.vize'!G44),'1.vize'!G44,"")</f>
        <v/>
      </c>
      <c r="DE44" s="14" t="str">
        <f>IF(COUNTA('1.vize'!H44),'1.vize'!H44,"")</f>
        <v/>
      </c>
      <c r="DF44" s="33"/>
    </row>
    <row r="45" spans="1:110" x14ac:dyDescent="0.2">
      <c r="A45" s="38" t="str">
        <f>IFERROR('1.vize'!L45*100/'1.vize'!$I45,"")</f>
        <v/>
      </c>
      <c r="B45" s="38" t="str">
        <f>IFERROR('1.vize'!M45*100/'1.vize'!$I45,"")</f>
        <v/>
      </c>
      <c r="C45" s="38" t="str">
        <f>IFERROR('1.vize'!N45*100/'1.vize'!$I45,"")</f>
        <v/>
      </c>
      <c r="D45" s="38" t="str">
        <f>IFERROR('1.vize'!O45*100/'1.vize'!$I45,"")</f>
        <v/>
      </c>
      <c r="E45" s="38" t="str">
        <f>IFERROR('1.vize'!P45*100/'1.vize'!$I45,"")</f>
        <v/>
      </c>
      <c r="F45" s="38" t="str">
        <f>IFERROR('1.vize'!Q45*100/'1.vize'!$I45,"")</f>
        <v/>
      </c>
      <c r="G45" s="38" t="str">
        <f>IFERROR('1.vize'!R45*100/'1.vize'!$I45,"")</f>
        <v/>
      </c>
      <c r="H45" s="38" t="str">
        <f>IFERROR('1.vize'!S45*100/'1.vize'!$I45,"")</f>
        <v/>
      </c>
      <c r="I45" s="38" t="str">
        <f>IFERROR('1.vize'!T45*100/'1.vize'!$I45,"")</f>
        <v/>
      </c>
      <c r="J45" s="38" t="str">
        <f>IFERROR('1.vize'!U45*100/'1.vize'!$I45,"")</f>
        <v/>
      </c>
      <c r="K45" s="38" t="str">
        <f>IFERROR('1.vize'!V45*100/'1.vize'!$I45,"")</f>
        <v/>
      </c>
      <c r="L45" s="38" t="str">
        <f>IFERROR('1.vize'!W45*100/'1.vize'!$I45,"")</f>
        <v/>
      </c>
      <c r="M45" s="38" t="str">
        <f>IFERROR('1.vize'!X45*100/'1.vize'!$I45,"")</f>
        <v/>
      </c>
      <c r="N45" s="38" t="str">
        <f>IFERROR('1.vize'!Y45*100/'1.vize'!$I45,"")</f>
        <v/>
      </c>
      <c r="O45" s="38" t="str">
        <f>IFERROR('1.vize'!Z45*100/'1.vize'!$I45,"")</f>
        <v/>
      </c>
      <c r="P45" s="38" t="str">
        <f>IFERROR('1.vize'!AA45*100/'1.vize'!$I45,"")</f>
        <v/>
      </c>
      <c r="Q45" s="38" t="str">
        <f>IFERROR('1.vize'!AB45*100/'1.vize'!$I45,"")</f>
        <v/>
      </c>
      <c r="R45" s="38" t="str">
        <f>IFERROR('1.vize'!AC45*100/'1.vize'!$I45,"")</f>
        <v/>
      </c>
      <c r="S45" s="38" t="str">
        <f>IFERROR('1.vize'!AD45*100/'1.vize'!$I45,"")</f>
        <v/>
      </c>
      <c r="T45" s="38" t="str">
        <f>IFERROR('1.vize'!AE45*100/'1.vize'!$I45,"")</f>
        <v/>
      </c>
      <c r="U45" s="38" t="str">
        <f>IFERROR('1.vize'!AF45*100/'1.vize'!$I45,"")</f>
        <v/>
      </c>
      <c r="V45" s="38" t="str">
        <f>IFERROR('1.vize'!AG45*100/'1.vize'!$I45,"")</f>
        <v/>
      </c>
      <c r="W45" s="38" t="str">
        <f>IFERROR('1.vize'!AH45*100/'1.vize'!$I45,"")</f>
        <v/>
      </c>
      <c r="X45" s="38" t="str">
        <f>IFERROR('1.vize'!AI45*100/'1.vize'!$I45,"")</f>
        <v/>
      </c>
      <c r="Y45" s="38" t="str">
        <f>IFERROR('1.vize'!AJ45*100/'1.vize'!$I45,"")</f>
        <v/>
      </c>
      <c r="Z45" s="38" t="str">
        <f>IFERROR('1.vize'!AK45*100/'1.vize'!$I45,"")</f>
        <v/>
      </c>
      <c r="AA45" s="38" t="str">
        <f>IFERROR('1.vize'!AL45*100/'1.vize'!$I45,"")</f>
        <v/>
      </c>
      <c r="AB45" s="38" t="str">
        <f>IFERROR('1.vize'!AM45*100/'1.vize'!$I45,"")</f>
        <v/>
      </c>
      <c r="AC45" s="38" t="str">
        <f>IFERROR('1.vize'!AN45*100/'1.vize'!$I45,"")</f>
        <v/>
      </c>
      <c r="AD45" s="38" t="str">
        <f>IFERROR('1.vize'!AO45*100/'1.vize'!$I45,"")</f>
        <v/>
      </c>
      <c r="AE45" s="38" t="str">
        <f>IFERROR('1.vize'!AP45*100/'1.vize'!$I45,"")</f>
        <v/>
      </c>
      <c r="AF45" s="38" t="str">
        <f>IFERROR('1.vize'!AQ45*100/'1.vize'!$I45,"")</f>
        <v/>
      </c>
      <c r="AG45" s="38" t="str">
        <f>IFERROR('1.vize'!AR45*100/'1.vize'!$I45,"")</f>
        <v/>
      </c>
      <c r="AH45" s="38" t="str">
        <f>IFERROR('1.vize'!AS45*100/'1.vize'!$I45,"")</f>
        <v/>
      </c>
      <c r="AI45" s="38" t="str">
        <f>IFERROR('1.vize'!AT45*100/'1.vize'!$I45,"")</f>
        <v/>
      </c>
      <c r="AJ45" s="38" t="str">
        <f>IFERROR('1.vize'!AU45*100/'1.vize'!$I45,"")</f>
        <v/>
      </c>
      <c r="AK45" s="38" t="str">
        <f>IFERROR('1.vize'!AV45*100/'1.vize'!$I45,"")</f>
        <v/>
      </c>
      <c r="AL45" s="38" t="str">
        <f>IFERROR('1.vize'!AW45*100/'1.vize'!$I45,"")</f>
        <v/>
      </c>
      <c r="AM45" s="38" t="str">
        <f>IFERROR('1.vize'!AX45*100/'1.vize'!$I45,"")</f>
        <v/>
      </c>
      <c r="AN45" s="38" t="str">
        <f>IFERROR('1.vize'!AY45*100/'1.vize'!$I45,"")</f>
        <v/>
      </c>
      <c r="AO45" s="38" t="str">
        <f>IFERROR('1.vize'!AZ45*100/'1.vize'!$I45,"")</f>
        <v/>
      </c>
      <c r="AP45" s="38" t="str">
        <f>IFERROR('1.vize'!BA45*100/'1.vize'!$I45,"")</f>
        <v/>
      </c>
      <c r="AQ45" s="38" t="str">
        <f>IFERROR('1.vize'!BB45*100/'1.vize'!$I45,"")</f>
        <v/>
      </c>
      <c r="AR45" s="38" t="str">
        <f>IFERROR('1.vize'!BC45*100/'1.vize'!$I45,"")</f>
        <v/>
      </c>
      <c r="AS45" s="38" t="str">
        <f>IFERROR('1.vize'!BD45*100/'1.vize'!$I45,"")</f>
        <v/>
      </c>
      <c r="AT45" s="38" t="str">
        <f>IFERROR('1.vize'!BE45*100/'1.vize'!$I45,"")</f>
        <v/>
      </c>
      <c r="AU45" s="38" t="str">
        <f>IFERROR('1.vize'!BF45*100/'1.vize'!$I45,"")</f>
        <v/>
      </c>
      <c r="AV45" s="38" t="str">
        <f>IFERROR('1.vize'!BG45*100/'1.vize'!$I45,"")</f>
        <v/>
      </c>
      <c r="AW45" s="38" t="str">
        <f>IFERROR('1.vize'!BH45*100/'1.vize'!$I45,"")</f>
        <v/>
      </c>
      <c r="AX45" s="38" t="str">
        <f>IFERROR('1.vize'!BI45*100/'1.vize'!$I45,"")</f>
        <v/>
      </c>
      <c r="AY45" s="38" t="str">
        <f>IFERROR('1.vize'!BJ45*100/'1.vize'!$I45,"")</f>
        <v/>
      </c>
      <c r="AZ45" s="38" t="str">
        <f>IFERROR('1.vize'!BK45*100/'1.vize'!$I45,"")</f>
        <v/>
      </c>
      <c r="BA45" s="38" t="str">
        <f>IFERROR('1.vize'!BL45*100/'1.vize'!$I45,"")</f>
        <v/>
      </c>
      <c r="BB45" s="38" t="str">
        <f>IFERROR('1.vize'!BM45*100/'1.vize'!$I45,"")</f>
        <v/>
      </c>
      <c r="BC45" s="38" t="str">
        <f>IFERROR('1.vize'!BN45*100/'1.vize'!$I45,"")</f>
        <v/>
      </c>
      <c r="BD45" s="38" t="str">
        <f>IFERROR('1.vize'!BO45*100/'1.vize'!$I45,"")</f>
        <v/>
      </c>
      <c r="BE45" s="38" t="str">
        <f>IFERROR('1.vize'!BP45*100/'1.vize'!$I45,"")</f>
        <v/>
      </c>
      <c r="BF45" s="38" t="str">
        <f>IFERROR('1.vize'!BQ45*100/'1.vize'!$I45,"")</f>
        <v/>
      </c>
      <c r="BG45" s="38" t="str">
        <f>IFERROR('1.vize'!BR45*100/'1.vize'!$I45,"")</f>
        <v/>
      </c>
      <c r="BH45" s="38" t="str">
        <f>IFERROR('1.vize'!BS45*100/'1.vize'!$I45,"")</f>
        <v/>
      </c>
      <c r="BI45" s="38" t="str">
        <f>IFERROR('1.vize'!BT45*100/'1.vize'!$I45,"")</f>
        <v/>
      </c>
      <c r="BJ45" s="38" t="str">
        <f>IFERROR('1.vize'!BU45*100/'1.vize'!$I45,"")</f>
        <v/>
      </c>
      <c r="BK45" s="38" t="str">
        <f>IFERROR('1.vize'!BV45*100/'1.vize'!$I45,"")</f>
        <v/>
      </c>
      <c r="BL45" s="38" t="str">
        <f>IFERROR('1.vize'!BW45*100/'1.vize'!$I45,"")</f>
        <v/>
      </c>
      <c r="BM45" s="38" t="str">
        <f>IFERROR('1.vize'!BX45*100/'1.vize'!$I45,"")</f>
        <v/>
      </c>
      <c r="BN45" s="38" t="str">
        <f>IFERROR('1.vize'!BY45*100/'1.vize'!$I45,"")</f>
        <v/>
      </c>
      <c r="BO45" s="38" t="str">
        <f>IFERROR('1.vize'!BZ45*100/'1.vize'!$I45,"")</f>
        <v/>
      </c>
      <c r="BP45" s="38" t="str">
        <f>IFERROR('1.vize'!CA45*100/'1.vize'!$I45,"")</f>
        <v/>
      </c>
      <c r="BQ45" s="38" t="str">
        <f>IFERROR('1.vize'!CB45*100/'1.vize'!$I45,"")</f>
        <v/>
      </c>
      <c r="BR45" s="38" t="str">
        <f>IFERROR('1.vize'!CC45*100/'1.vize'!$I45,"")</f>
        <v/>
      </c>
      <c r="BS45" s="38" t="str">
        <f>IFERROR('1.vize'!CD45*100/'1.vize'!$I45,"")</f>
        <v/>
      </c>
      <c r="BT45" s="38" t="str">
        <f>IFERROR('1.vize'!CE45*100/'1.vize'!$I45,"")</f>
        <v/>
      </c>
      <c r="BU45" s="38" t="str">
        <f>IFERROR('1.vize'!CF45*100/'1.vize'!$I45,"")</f>
        <v/>
      </c>
      <c r="BV45" s="38" t="str">
        <f>IFERROR('1.vize'!CG45*100/'1.vize'!$I45,"")</f>
        <v/>
      </c>
      <c r="BW45" s="38" t="str">
        <f>IFERROR('1.vize'!CH45*100/'1.vize'!$I45,"")</f>
        <v/>
      </c>
      <c r="BX45" s="38" t="str">
        <f>IFERROR('1.vize'!CI45*100/'1.vize'!$I45,"")</f>
        <v/>
      </c>
      <c r="BY45" s="38" t="str">
        <f>IFERROR('1.vize'!CJ45*100/'1.vize'!$I45,"")</f>
        <v/>
      </c>
      <c r="BZ45" s="38" t="str">
        <f>IFERROR('1.vize'!CK45*100/'1.vize'!$I45,"")</f>
        <v/>
      </c>
      <c r="CA45" s="38" t="str">
        <f>IFERROR('1.vize'!CL45*100/'1.vize'!$I45,"")</f>
        <v/>
      </c>
      <c r="CB45" s="38" t="str">
        <f>IFERROR('1.vize'!CM45*100/'1.vize'!$I45,"")</f>
        <v/>
      </c>
      <c r="CC45" s="38" t="str">
        <f>IFERROR('1.vize'!CN45*100/'1.vize'!$I45,"")</f>
        <v/>
      </c>
      <c r="CD45" s="38" t="str">
        <f>IFERROR('1.vize'!CO45*100/'1.vize'!$I45,"")</f>
        <v/>
      </c>
      <c r="CE45" s="38" t="str">
        <f>IFERROR('1.vize'!CP45*100/'1.vize'!$I45,"")</f>
        <v/>
      </c>
      <c r="CF45" s="38" t="str">
        <f>IFERROR('1.vize'!CQ45*100/'1.vize'!$I45,"")</f>
        <v/>
      </c>
      <c r="CG45" s="38" t="str">
        <f>IFERROR('1.vize'!CR45*100/'1.vize'!$I45,"")</f>
        <v/>
      </c>
      <c r="CH45" s="38" t="str">
        <f>IFERROR('1.vize'!CS45*100/'1.vize'!$I45,"")</f>
        <v/>
      </c>
      <c r="CI45" s="38" t="str">
        <f>IFERROR('1.vize'!CT45*100/'1.vize'!$I45,"")</f>
        <v/>
      </c>
      <c r="CJ45" s="38" t="str">
        <f>IFERROR('1.vize'!CU45*100/'1.vize'!$I45,"")</f>
        <v/>
      </c>
      <c r="CK45" s="38" t="str">
        <f>IFERROR('1.vize'!CV45*100/'1.vize'!$I45,"")</f>
        <v/>
      </c>
      <c r="CL45" s="38" t="str">
        <f>IFERROR('1.vize'!CW45*100/'1.vize'!$I45,"")</f>
        <v/>
      </c>
      <c r="CM45" s="38" t="str">
        <f>IFERROR('1.vize'!CX45*100/'1.vize'!$I45,"")</f>
        <v/>
      </c>
      <c r="CN45" s="38" t="str">
        <f>IFERROR('1.vize'!CY45*100/'1.vize'!$I45,"")</f>
        <v/>
      </c>
      <c r="CO45" s="38" t="str">
        <f>IFERROR('1.vize'!CZ45*100/'1.vize'!$I45,"")</f>
        <v/>
      </c>
      <c r="CP45" s="38" t="str">
        <f>IFERROR('1.vize'!DA45*100/'1.vize'!$I45,"")</f>
        <v/>
      </c>
      <c r="CQ45" s="38" t="str">
        <f>IFERROR('1.vize'!DB45*100/'1.vize'!$I45,"")</f>
        <v/>
      </c>
      <c r="CR45" s="38" t="str">
        <f>IFERROR('1.vize'!DC45*100/'1.vize'!$I45,"")</f>
        <v/>
      </c>
      <c r="CS45" s="38" t="str">
        <f>IFERROR('1.vize'!DD45*100/'1.vize'!$I45,"")</f>
        <v/>
      </c>
      <c r="CT45" s="38" t="str">
        <f>IFERROR('1.vize'!DE45*100/'1.vize'!$I45,"")</f>
        <v/>
      </c>
      <c r="CU45" s="38" t="str">
        <f>IFERROR('1.vize'!DF45*100/'1.vize'!$I45,"")</f>
        <v/>
      </c>
      <c r="CV45" s="38" t="str">
        <f>IFERROR('1.vize'!DG45*100/'1.vize'!$I45,"")</f>
        <v/>
      </c>
      <c r="CW45" s="32" t="str">
        <f>IFERROR(SUM(A45:CV45)/'1.vize'!$DH$103,"")</f>
        <v/>
      </c>
      <c r="CX45" s="14" t="str">
        <f>IF(COUNTA('1.vize'!A45),'1.vize'!A45,"")</f>
        <v/>
      </c>
      <c r="CY45" s="14" t="str">
        <f>IF(COUNTA('1.vize'!B45),'1.vize'!B45,"")</f>
        <v/>
      </c>
      <c r="CZ45" s="14" t="str">
        <f>IF(COUNTA('1.vize'!C45),'1.vize'!C45,"")</f>
        <v/>
      </c>
      <c r="DA45" s="14" t="str">
        <f>IF(COUNTA('1.vize'!D45),'1.vize'!D45,"")</f>
        <v/>
      </c>
      <c r="DB45" s="14" t="str">
        <f>IF(COUNTA('1.vize'!E45),'1.vize'!E45,"")</f>
        <v/>
      </c>
      <c r="DC45" s="14" t="str">
        <f>IF(COUNTA('1.vize'!F45),'1.vize'!F45,"")</f>
        <v/>
      </c>
      <c r="DD45" s="14" t="str">
        <f>IF(COUNTA('1.vize'!G45),'1.vize'!G45,"")</f>
        <v/>
      </c>
      <c r="DE45" s="14" t="str">
        <f>IF(COUNTA('1.vize'!H45),'1.vize'!H45,"")</f>
        <v/>
      </c>
      <c r="DF45" s="33"/>
    </row>
    <row r="46" spans="1:110" x14ac:dyDescent="0.2">
      <c r="A46" s="38" t="str">
        <f>IFERROR('1.vize'!L46*100/'1.vize'!$I46,"")</f>
        <v/>
      </c>
      <c r="B46" s="38" t="str">
        <f>IFERROR('1.vize'!M46*100/'1.vize'!$I46,"")</f>
        <v/>
      </c>
      <c r="C46" s="38" t="str">
        <f>IFERROR('1.vize'!N46*100/'1.vize'!$I46,"")</f>
        <v/>
      </c>
      <c r="D46" s="38" t="str">
        <f>IFERROR('1.vize'!O46*100/'1.vize'!$I46,"")</f>
        <v/>
      </c>
      <c r="E46" s="38" t="str">
        <f>IFERROR('1.vize'!P46*100/'1.vize'!$I46,"")</f>
        <v/>
      </c>
      <c r="F46" s="38" t="str">
        <f>IFERROR('1.vize'!Q46*100/'1.vize'!$I46,"")</f>
        <v/>
      </c>
      <c r="G46" s="38" t="str">
        <f>IFERROR('1.vize'!R46*100/'1.vize'!$I46,"")</f>
        <v/>
      </c>
      <c r="H46" s="38" t="str">
        <f>IFERROR('1.vize'!S46*100/'1.vize'!$I46,"")</f>
        <v/>
      </c>
      <c r="I46" s="38" t="str">
        <f>IFERROR('1.vize'!T46*100/'1.vize'!$I46,"")</f>
        <v/>
      </c>
      <c r="J46" s="38" t="str">
        <f>IFERROR('1.vize'!U46*100/'1.vize'!$I46,"")</f>
        <v/>
      </c>
      <c r="K46" s="38" t="str">
        <f>IFERROR('1.vize'!V46*100/'1.vize'!$I46,"")</f>
        <v/>
      </c>
      <c r="L46" s="38" t="str">
        <f>IFERROR('1.vize'!W46*100/'1.vize'!$I46,"")</f>
        <v/>
      </c>
      <c r="M46" s="38" t="str">
        <f>IFERROR('1.vize'!X46*100/'1.vize'!$I46,"")</f>
        <v/>
      </c>
      <c r="N46" s="38" t="str">
        <f>IFERROR('1.vize'!Y46*100/'1.vize'!$I46,"")</f>
        <v/>
      </c>
      <c r="O46" s="38" t="str">
        <f>IFERROR('1.vize'!Z46*100/'1.vize'!$I46,"")</f>
        <v/>
      </c>
      <c r="P46" s="38" t="str">
        <f>IFERROR('1.vize'!AA46*100/'1.vize'!$I46,"")</f>
        <v/>
      </c>
      <c r="Q46" s="38" t="str">
        <f>IFERROR('1.vize'!AB46*100/'1.vize'!$I46,"")</f>
        <v/>
      </c>
      <c r="R46" s="38" t="str">
        <f>IFERROR('1.vize'!AC46*100/'1.vize'!$I46,"")</f>
        <v/>
      </c>
      <c r="S46" s="38" t="str">
        <f>IFERROR('1.vize'!AD46*100/'1.vize'!$I46,"")</f>
        <v/>
      </c>
      <c r="T46" s="38" t="str">
        <f>IFERROR('1.vize'!AE46*100/'1.vize'!$I46,"")</f>
        <v/>
      </c>
      <c r="U46" s="38" t="str">
        <f>IFERROR('1.vize'!AF46*100/'1.vize'!$I46,"")</f>
        <v/>
      </c>
      <c r="V46" s="38" t="str">
        <f>IFERROR('1.vize'!AG46*100/'1.vize'!$I46,"")</f>
        <v/>
      </c>
      <c r="W46" s="38" t="str">
        <f>IFERROR('1.vize'!AH46*100/'1.vize'!$I46,"")</f>
        <v/>
      </c>
      <c r="X46" s="38" t="str">
        <f>IFERROR('1.vize'!AI46*100/'1.vize'!$I46,"")</f>
        <v/>
      </c>
      <c r="Y46" s="38" t="str">
        <f>IFERROR('1.vize'!AJ46*100/'1.vize'!$I46,"")</f>
        <v/>
      </c>
      <c r="Z46" s="38" t="str">
        <f>IFERROR('1.vize'!AK46*100/'1.vize'!$I46,"")</f>
        <v/>
      </c>
      <c r="AA46" s="38" t="str">
        <f>IFERROR('1.vize'!AL46*100/'1.vize'!$I46,"")</f>
        <v/>
      </c>
      <c r="AB46" s="38" t="str">
        <f>IFERROR('1.vize'!AM46*100/'1.vize'!$I46,"")</f>
        <v/>
      </c>
      <c r="AC46" s="38" t="str">
        <f>IFERROR('1.vize'!AN46*100/'1.vize'!$I46,"")</f>
        <v/>
      </c>
      <c r="AD46" s="38" t="str">
        <f>IFERROR('1.vize'!AO46*100/'1.vize'!$I46,"")</f>
        <v/>
      </c>
      <c r="AE46" s="38" t="str">
        <f>IFERROR('1.vize'!AP46*100/'1.vize'!$I46,"")</f>
        <v/>
      </c>
      <c r="AF46" s="38" t="str">
        <f>IFERROR('1.vize'!AQ46*100/'1.vize'!$I46,"")</f>
        <v/>
      </c>
      <c r="AG46" s="38" t="str">
        <f>IFERROR('1.vize'!AR46*100/'1.vize'!$I46,"")</f>
        <v/>
      </c>
      <c r="AH46" s="38" t="str">
        <f>IFERROR('1.vize'!AS46*100/'1.vize'!$I46,"")</f>
        <v/>
      </c>
      <c r="AI46" s="38" t="str">
        <f>IFERROR('1.vize'!AT46*100/'1.vize'!$I46,"")</f>
        <v/>
      </c>
      <c r="AJ46" s="38" t="str">
        <f>IFERROR('1.vize'!AU46*100/'1.vize'!$I46,"")</f>
        <v/>
      </c>
      <c r="AK46" s="38" t="str">
        <f>IFERROR('1.vize'!AV46*100/'1.vize'!$I46,"")</f>
        <v/>
      </c>
      <c r="AL46" s="38" t="str">
        <f>IFERROR('1.vize'!AW46*100/'1.vize'!$I46,"")</f>
        <v/>
      </c>
      <c r="AM46" s="38" t="str">
        <f>IFERROR('1.vize'!AX46*100/'1.vize'!$I46,"")</f>
        <v/>
      </c>
      <c r="AN46" s="38" t="str">
        <f>IFERROR('1.vize'!AY46*100/'1.vize'!$I46,"")</f>
        <v/>
      </c>
      <c r="AO46" s="38" t="str">
        <f>IFERROR('1.vize'!AZ46*100/'1.vize'!$I46,"")</f>
        <v/>
      </c>
      <c r="AP46" s="38" t="str">
        <f>IFERROR('1.vize'!BA46*100/'1.vize'!$I46,"")</f>
        <v/>
      </c>
      <c r="AQ46" s="38" t="str">
        <f>IFERROR('1.vize'!BB46*100/'1.vize'!$I46,"")</f>
        <v/>
      </c>
      <c r="AR46" s="38" t="str">
        <f>IFERROR('1.vize'!BC46*100/'1.vize'!$I46,"")</f>
        <v/>
      </c>
      <c r="AS46" s="38" t="str">
        <f>IFERROR('1.vize'!BD46*100/'1.vize'!$I46,"")</f>
        <v/>
      </c>
      <c r="AT46" s="38" t="str">
        <f>IFERROR('1.vize'!BE46*100/'1.vize'!$I46,"")</f>
        <v/>
      </c>
      <c r="AU46" s="38" t="str">
        <f>IFERROR('1.vize'!BF46*100/'1.vize'!$I46,"")</f>
        <v/>
      </c>
      <c r="AV46" s="38" t="str">
        <f>IFERROR('1.vize'!BG46*100/'1.vize'!$I46,"")</f>
        <v/>
      </c>
      <c r="AW46" s="38" t="str">
        <f>IFERROR('1.vize'!BH46*100/'1.vize'!$I46,"")</f>
        <v/>
      </c>
      <c r="AX46" s="38" t="str">
        <f>IFERROR('1.vize'!BI46*100/'1.vize'!$I46,"")</f>
        <v/>
      </c>
      <c r="AY46" s="38" t="str">
        <f>IFERROR('1.vize'!BJ46*100/'1.vize'!$I46,"")</f>
        <v/>
      </c>
      <c r="AZ46" s="38" t="str">
        <f>IFERROR('1.vize'!BK46*100/'1.vize'!$I46,"")</f>
        <v/>
      </c>
      <c r="BA46" s="38" t="str">
        <f>IFERROR('1.vize'!BL46*100/'1.vize'!$I46,"")</f>
        <v/>
      </c>
      <c r="BB46" s="38" t="str">
        <f>IFERROR('1.vize'!BM46*100/'1.vize'!$I46,"")</f>
        <v/>
      </c>
      <c r="BC46" s="38" t="str">
        <f>IFERROR('1.vize'!BN46*100/'1.vize'!$I46,"")</f>
        <v/>
      </c>
      <c r="BD46" s="38" t="str">
        <f>IFERROR('1.vize'!BO46*100/'1.vize'!$I46,"")</f>
        <v/>
      </c>
      <c r="BE46" s="38" t="str">
        <f>IFERROR('1.vize'!BP46*100/'1.vize'!$I46,"")</f>
        <v/>
      </c>
      <c r="BF46" s="38" t="str">
        <f>IFERROR('1.vize'!BQ46*100/'1.vize'!$I46,"")</f>
        <v/>
      </c>
      <c r="BG46" s="38" t="str">
        <f>IFERROR('1.vize'!BR46*100/'1.vize'!$I46,"")</f>
        <v/>
      </c>
      <c r="BH46" s="38" t="str">
        <f>IFERROR('1.vize'!BS46*100/'1.vize'!$I46,"")</f>
        <v/>
      </c>
      <c r="BI46" s="38" t="str">
        <f>IFERROR('1.vize'!BT46*100/'1.vize'!$I46,"")</f>
        <v/>
      </c>
      <c r="BJ46" s="38" t="str">
        <f>IFERROR('1.vize'!BU46*100/'1.vize'!$I46,"")</f>
        <v/>
      </c>
      <c r="BK46" s="38" t="str">
        <f>IFERROR('1.vize'!BV46*100/'1.vize'!$I46,"")</f>
        <v/>
      </c>
      <c r="BL46" s="38" t="str">
        <f>IFERROR('1.vize'!BW46*100/'1.vize'!$I46,"")</f>
        <v/>
      </c>
      <c r="BM46" s="38" t="str">
        <f>IFERROR('1.vize'!BX46*100/'1.vize'!$I46,"")</f>
        <v/>
      </c>
      <c r="BN46" s="38" t="str">
        <f>IFERROR('1.vize'!BY46*100/'1.vize'!$I46,"")</f>
        <v/>
      </c>
      <c r="BO46" s="38" t="str">
        <f>IFERROR('1.vize'!BZ46*100/'1.vize'!$I46,"")</f>
        <v/>
      </c>
      <c r="BP46" s="38" t="str">
        <f>IFERROR('1.vize'!CA46*100/'1.vize'!$I46,"")</f>
        <v/>
      </c>
      <c r="BQ46" s="38" t="str">
        <f>IFERROR('1.vize'!CB46*100/'1.vize'!$I46,"")</f>
        <v/>
      </c>
      <c r="BR46" s="38" t="str">
        <f>IFERROR('1.vize'!CC46*100/'1.vize'!$I46,"")</f>
        <v/>
      </c>
      <c r="BS46" s="38" t="str">
        <f>IFERROR('1.vize'!CD46*100/'1.vize'!$I46,"")</f>
        <v/>
      </c>
      <c r="BT46" s="38" t="str">
        <f>IFERROR('1.vize'!CE46*100/'1.vize'!$I46,"")</f>
        <v/>
      </c>
      <c r="BU46" s="38" t="str">
        <f>IFERROR('1.vize'!CF46*100/'1.vize'!$I46,"")</f>
        <v/>
      </c>
      <c r="BV46" s="38" t="str">
        <f>IFERROR('1.vize'!CG46*100/'1.vize'!$I46,"")</f>
        <v/>
      </c>
      <c r="BW46" s="38" t="str">
        <f>IFERROR('1.vize'!CH46*100/'1.vize'!$I46,"")</f>
        <v/>
      </c>
      <c r="BX46" s="38" t="str">
        <f>IFERROR('1.vize'!CI46*100/'1.vize'!$I46,"")</f>
        <v/>
      </c>
      <c r="BY46" s="38" t="str">
        <f>IFERROR('1.vize'!CJ46*100/'1.vize'!$I46,"")</f>
        <v/>
      </c>
      <c r="BZ46" s="38" t="str">
        <f>IFERROR('1.vize'!CK46*100/'1.vize'!$I46,"")</f>
        <v/>
      </c>
      <c r="CA46" s="38" t="str">
        <f>IFERROR('1.vize'!CL46*100/'1.vize'!$I46,"")</f>
        <v/>
      </c>
      <c r="CB46" s="38" t="str">
        <f>IFERROR('1.vize'!CM46*100/'1.vize'!$I46,"")</f>
        <v/>
      </c>
      <c r="CC46" s="38" t="str">
        <f>IFERROR('1.vize'!CN46*100/'1.vize'!$I46,"")</f>
        <v/>
      </c>
      <c r="CD46" s="38" t="str">
        <f>IFERROR('1.vize'!CO46*100/'1.vize'!$I46,"")</f>
        <v/>
      </c>
      <c r="CE46" s="38" t="str">
        <f>IFERROR('1.vize'!CP46*100/'1.vize'!$I46,"")</f>
        <v/>
      </c>
      <c r="CF46" s="38" t="str">
        <f>IFERROR('1.vize'!CQ46*100/'1.vize'!$I46,"")</f>
        <v/>
      </c>
      <c r="CG46" s="38" t="str">
        <f>IFERROR('1.vize'!CR46*100/'1.vize'!$I46,"")</f>
        <v/>
      </c>
      <c r="CH46" s="38" t="str">
        <f>IFERROR('1.vize'!CS46*100/'1.vize'!$I46,"")</f>
        <v/>
      </c>
      <c r="CI46" s="38" t="str">
        <f>IFERROR('1.vize'!CT46*100/'1.vize'!$I46,"")</f>
        <v/>
      </c>
      <c r="CJ46" s="38" t="str">
        <f>IFERROR('1.vize'!CU46*100/'1.vize'!$I46,"")</f>
        <v/>
      </c>
      <c r="CK46" s="38" t="str">
        <f>IFERROR('1.vize'!CV46*100/'1.vize'!$I46,"")</f>
        <v/>
      </c>
      <c r="CL46" s="38" t="str">
        <f>IFERROR('1.vize'!CW46*100/'1.vize'!$I46,"")</f>
        <v/>
      </c>
      <c r="CM46" s="38" t="str">
        <f>IFERROR('1.vize'!CX46*100/'1.vize'!$I46,"")</f>
        <v/>
      </c>
      <c r="CN46" s="38" t="str">
        <f>IFERROR('1.vize'!CY46*100/'1.vize'!$I46,"")</f>
        <v/>
      </c>
      <c r="CO46" s="38" t="str">
        <f>IFERROR('1.vize'!CZ46*100/'1.vize'!$I46,"")</f>
        <v/>
      </c>
      <c r="CP46" s="38" t="str">
        <f>IFERROR('1.vize'!DA46*100/'1.vize'!$I46,"")</f>
        <v/>
      </c>
      <c r="CQ46" s="38" t="str">
        <f>IFERROR('1.vize'!DB46*100/'1.vize'!$I46,"")</f>
        <v/>
      </c>
      <c r="CR46" s="38" t="str">
        <f>IFERROR('1.vize'!DC46*100/'1.vize'!$I46,"")</f>
        <v/>
      </c>
      <c r="CS46" s="38" t="str">
        <f>IFERROR('1.vize'!DD46*100/'1.vize'!$I46,"")</f>
        <v/>
      </c>
      <c r="CT46" s="38" t="str">
        <f>IFERROR('1.vize'!DE46*100/'1.vize'!$I46,"")</f>
        <v/>
      </c>
      <c r="CU46" s="38" t="str">
        <f>IFERROR('1.vize'!DF46*100/'1.vize'!$I46,"")</f>
        <v/>
      </c>
      <c r="CV46" s="38" t="str">
        <f>IFERROR('1.vize'!DG46*100/'1.vize'!$I46,"")</f>
        <v/>
      </c>
      <c r="CW46" s="32" t="str">
        <f>IFERROR(SUM(A46:CV46)/'1.vize'!$DH$103,"")</f>
        <v/>
      </c>
      <c r="CX46" s="14" t="str">
        <f>IF(COUNTA('1.vize'!A46),'1.vize'!A46,"")</f>
        <v/>
      </c>
      <c r="CY46" s="14" t="str">
        <f>IF(COUNTA('1.vize'!B46),'1.vize'!B46,"")</f>
        <v/>
      </c>
      <c r="CZ46" s="14" t="str">
        <f>IF(COUNTA('1.vize'!C46),'1.vize'!C46,"")</f>
        <v/>
      </c>
      <c r="DA46" s="14" t="str">
        <f>IF(COUNTA('1.vize'!D46),'1.vize'!D46,"")</f>
        <v/>
      </c>
      <c r="DB46" s="14" t="str">
        <f>IF(COUNTA('1.vize'!E46),'1.vize'!E46,"")</f>
        <v/>
      </c>
      <c r="DC46" s="14" t="str">
        <f>IF(COUNTA('1.vize'!F46),'1.vize'!F46,"")</f>
        <v/>
      </c>
      <c r="DD46" s="14" t="str">
        <f>IF(COUNTA('1.vize'!G46),'1.vize'!G46,"")</f>
        <v/>
      </c>
      <c r="DE46" s="14" t="str">
        <f>IF(COUNTA('1.vize'!H46),'1.vize'!H46,"")</f>
        <v/>
      </c>
      <c r="DF46" s="33"/>
    </row>
    <row r="47" spans="1:110" x14ac:dyDescent="0.2">
      <c r="A47" s="38" t="str">
        <f>IFERROR('1.vize'!L47*100/'1.vize'!$I47,"")</f>
        <v/>
      </c>
      <c r="B47" s="38" t="str">
        <f>IFERROR('1.vize'!M47*100/'1.vize'!$I47,"")</f>
        <v/>
      </c>
      <c r="C47" s="38" t="str">
        <f>IFERROR('1.vize'!N47*100/'1.vize'!$I47,"")</f>
        <v/>
      </c>
      <c r="D47" s="38" t="str">
        <f>IFERROR('1.vize'!O47*100/'1.vize'!$I47,"")</f>
        <v/>
      </c>
      <c r="E47" s="38" t="str">
        <f>IFERROR('1.vize'!P47*100/'1.vize'!$I47,"")</f>
        <v/>
      </c>
      <c r="F47" s="38" t="str">
        <f>IFERROR('1.vize'!Q47*100/'1.vize'!$I47,"")</f>
        <v/>
      </c>
      <c r="G47" s="38" t="str">
        <f>IFERROR('1.vize'!R47*100/'1.vize'!$I47,"")</f>
        <v/>
      </c>
      <c r="H47" s="38" t="str">
        <f>IFERROR('1.vize'!S47*100/'1.vize'!$I47,"")</f>
        <v/>
      </c>
      <c r="I47" s="38" t="str">
        <f>IFERROR('1.vize'!T47*100/'1.vize'!$I47,"")</f>
        <v/>
      </c>
      <c r="J47" s="38" t="str">
        <f>IFERROR('1.vize'!U47*100/'1.vize'!$I47,"")</f>
        <v/>
      </c>
      <c r="K47" s="38" t="str">
        <f>IFERROR('1.vize'!V47*100/'1.vize'!$I47,"")</f>
        <v/>
      </c>
      <c r="L47" s="38" t="str">
        <f>IFERROR('1.vize'!W47*100/'1.vize'!$I47,"")</f>
        <v/>
      </c>
      <c r="M47" s="38" t="str">
        <f>IFERROR('1.vize'!X47*100/'1.vize'!$I47,"")</f>
        <v/>
      </c>
      <c r="N47" s="38" t="str">
        <f>IFERROR('1.vize'!Y47*100/'1.vize'!$I47,"")</f>
        <v/>
      </c>
      <c r="O47" s="38" t="str">
        <f>IFERROR('1.vize'!Z47*100/'1.vize'!$I47,"")</f>
        <v/>
      </c>
      <c r="P47" s="38" t="str">
        <f>IFERROR('1.vize'!AA47*100/'1.vize'!$I47,"")</f>
        <v/>
      </c>
      <c r="Q47" s="38" t="str">
        <f>IFERROR('1.vize'!AB47*100/'1.vize'!$I47,"")</f>
        <v/>
      </c>
      <c r="R47" s="38" t="str">
        <f>IFERROR('1.vize'!AC47*100/'1.vize'!$I47,"")</f>
        <v/>
      </c>
      <c r="S47" s="38" t="str">
        <f>IFERROR('1.vize'!AD47*100/'1.vize'!$I47,"")</f>
        <v/>
      </c>
      <c r="T47" s="38" t="str">
        <f>IFERROR('1.vize'!AE47*100/'1.vize'!$I47,"")</f>
        <v/>
      </c>
      <c r="U47" s="38" t="str">
        <f>IFERROR('1.vize'!AF47*100/'1.vize'!$I47,"")</f>
        <v/>
      </c>
      <c r="V47" s="38" t="str">
        <f>IFERROR('1.vize'!AG47*100/'1.vize'!$I47,"")</f>
        <v/>
      </c>
      <c r="W47" s="38" t="str">
        <f>IFERROR('1.vize'!AH47*100/'1.vize'!$I47,"")</f>
        <v/>
      </c>
      <c r="X47" s="38" t="str">
        <f>IFERROR('1.vize'!AI47*100/'1.vize'!$I47,"")</f>
        <v/>
      </c>
      <c r="Y47" s="38" t="str">
        <f>IFERROR('1.vize'!AJ47*100/'1.vize'!$I47,"")</f>
        <v/>
      </c>
      <c r="Z47" s="38" t="str">
        <f>IFERROR('1.vize'!AK47*100/'1.vize'!$I47,"")</f>
        <v/>
      </c>
      <c r="AA47" s="38" t="str">
        <f>IFERROR('1.vize'!AL47*100/'1.vize'!$I47,"")</f>
        <v/>
      </c>
      <c r="AB47" s="38" t="str">
        <f>IFERROR('1.vize'!AM47*100/'1.vize'!$I47,"")</f>
        <v/>
      </c>
      <c r="AC47" s="38" t="str">
        <f>IFERROR('1.vize'!AN47*100/'1.vize'!$I47,"")</f>
        <v/>
      </c>
      <c r="AD47" s="38" t="str">
        <f>IFERROR('1.vize'!AO47*100/'1.vize'!$I47,"")</f>
        <v/>
      </c>
      <c r="AE47" s="38" t="str">
        <f>IFERROR('1.vize'!AP47*100/'1.vize'!$I47,"")</f>
        <v/>
      </c>
      <c r="AF47" s="38" t="str">
        <f>IFERROR('1.vize'!AQ47*100/'1.vize'!$I47,"")</f>
        <v/>
      </c>
      <c r="AG47" s="38" t="str">
        <f>IFERROR('1.vize'!AR47*100/'1.vize'!$I47,"")</f>
        <v/>
      </c>
      <c r="AH47" s="38" t="str">
        <f>IFERROR('1.vize'!AS47*100/'1.vize'!$I47,"")</f>
        <v/>
      </c>
      <c r="AI47" s="38" t="str">
        <f>IFERROR('1.vize'!AT47*100/'1.vize'!$I47,"")</f>
        <v/>
      </c>
      <c r="AJ47" s="38" t="str">
        <f>IFERROR('1.vize'!AU47*100/'1.vize'!$I47,"")</f>
        <v/>
      </c>
      <c r="AK47" s="38" t="str">
        <f>IFERROR('1.vize'!AV47*100/'1.vize'!$I47,"")</f>
        <v/>
      </c>
      <c r="AL47" s="38" t="str">
        <f>IFERROR('1.vize'!AW47*100/'1.vize'!$I47,"")</f>
        <v/>
      </c>
      <c r="AM47" s="38" t="str">
        <f>IFERROR('1.vize'!AX47*100/'1.vize'!$I47,"")</f>
        <v/>
      </c>
      <c r="AN47" s="38" t="str">
        <f>IFERROR('1.vize'!AY47*100/'1.vize'!$I47,"")</f>
        <v/>
      </c>
      <c r="AO47" s="38" t="str">
        <f>IFERROR('1.vize'!AZ47*100/'1.vize'!$I47,"")</f>
        <v/>
      </c>
      <c r="AP47" s="38" t="str">
        <f>IFERROR('1.vize'!BA47*100/'1.vize'!$I47,"")</f>
        <v/>
      </c>
      <c r="AQ47" s="38" t="str">
        <f>IFERROR('1.vize'!BB47*100/'1.vize'!$I47,"")</f>
        <v/>
      </c>
      <c r="AR47" s="38" t="str">
        <f>IFERROR('1.vize'!BC47*100/'1.vize'!$I47,"")</f>
        <v/>
      </c>
      <c r="AS47" s="38" t="str">
        <f>IFERROR('1.vize'!BD47*100/'1.vize'!$I47,"")</f>
        <v/>
      </c>
      <c r="AT47" s="38" t="str">
        <f>IFERROR('1.vize'!BE47*100/'1.vize'!$I47,"")</f>
        <v/>
      </c>
      <c r="AU47" s="38" t="str">
        <f>IFERROR('1.vize'!BF47*100/'1.vize'!$I47,"")</f>
        <v/>
      </c>
      <c r="AV47" s="38" t="str">
        <f>IFERROR('1.vize'!BG47*100/'1.vize'!$I47,"")</f>
        <v/>
      </c>
      <c r="AW47" s="38" t="str">
        <f>IFERROR('1.vize'!BH47*100/'1.vize'!$I47,"")</f>
        <v/>
      </c>
      <c r="AX47" s="38" t="str">
        <f>IFERROR('1.vize'!BI47*100/'1.vize'!$I47,"")</f>
        <v/>
      </c>
      <c r="AY47" s="38" t="str">
        <f>IFERROR('1.vize'!BJ47*100/'1.vize'!$I47,"")</f>
        <v/>
      </c>
      <c r="AZ47" s="38" t="str">
        <f>IFERROR('1.vize'!BK47*100/'1.vize'!$I47,"")</f>
        <v/>
      </c>
      <c r="BA47" s="38" t="str">
        <f>IFERROR('1.vize'!BL47*100/'1.vize'!$I47,"")</f>
        <v/>
      </c>
      <c r="BB47" s="38" t="str">
        <f>IFERROR('1.vize'!BM47*100/'1.vize'!$I47,"")</f>
        <v/>
      </c>
      <c r="BC47" s="38" t="str">
        <f>IFERROR('1.vize'!BN47*100/'1.vize'!$I47,"")</f>
        <v/>
      </c>
      <c r="BD47" s="38" t="str">
        <f>IFERROR('1.vize'!BO47*100/'1.vize'!$I47,"")</f>
        <v/>
      </c>
      <c r="BE47" s="38" t="str">
        <f>IFERROR('1.vize'!BP47*100/'1.vize'!$I47,"")</f>
        <v/>
      </c>
      <c r="BF47" s="38" t="str">
        <f>IFERROR('1.vize'!BQ47*100/'1.vize'!$I47,"")</f>
        <v/>
      </c>
      <c r="BG47" s="38" t="str">
        <f>IFERROR('1.vize'!BR47*100/'1.vize'!$I47,"")</f>
        <v/>
      </c>
      <c r="BH47" s="38" t="str">
        <f>IFERROR('1.vize'!BS47*100/'1.vize'!$I47,"")</f>
        <v/>
      </c>
      <c r="BI47" s="38" t="str">
        <f>IFERROR('1.vize'!BT47*100/'1.vize'!$I47,"")</f>
        <v/>
      </c>
      <c r="BJ47" s="38" t="str">
        <f>IFERROR('1.vize'!BU47*100/'1.vize'!$I47,"")</f>
        <v/>
      </c>
      <c r="BK47" s="38" t="str">
        <f>IFERROR('1.vize'!BV47*100/'1.vize'!$I47,"")</f>
        <v/>
      </c>
      <c r="BL47" s="38" t="str">
        <f>IFERROR('1.vize'!BW47*100/'1.vize'!$I47,"")</f>
        <v/>
      </c>
      <c r="BM47" s="38" t="str">
        <f>IFERROR('1.vize'!BX47*100/'1.vize'!$I47,"")</f>
        <v/>
      </c>
      <c r="BN47" s="38" t="str">
        <f>IFERROR('1.vize'!BY47*100/'1.vize'!$I47,"")</f>
        <v/>
      </c>
      <c r="BO47" s="38" t="str">
        <f>IFERROR('1.vize'!BZ47*100/'1.vize'!$I47,"")</f>
        <v/>
      </c>
      <c r="BP47" s="38" t="str">
        <f>IFERROR('1.vize'!CA47*100/'1.vize'!$I47,"")</f>
        <v/>
      </c>
      <c r="BQ47" s="38" t="str">
        <f>IFERROR('1.vize'!CB47*100/'1.vize'!$I47,"")</f>
        <v/>
      </c>
      <c r="BR47" s="38" t="str">
        <f>IFERROR('1.vize'!CC47*100/'1.vize'!$I47,"")</f>
        <v/>
      </c>
      <c r="BS47" s="38" t="str">
        <f>IFERROR('1.vize'!CD47*100/'1.vize'!$I47,"")</f>
        <v/>
      </c>
      <c r="BT47" s="38" t="str">
        <f>IFERROR('1.vize'!CE47*100/'1.vize'!$I47,"")</f>
        <v/>
      </c>
      <c r="BU47" s="38" t="str">
        <f>IFERROR('1.vize'!CF47*100/'1.vize'!$I47,"")</f>
        <v/>
      </c>
      <c r="BV47" s="38" t="str">
        <f>IFERROR('1.vize'!CG47*100/'1.vize'!$I47,"")</f>
        <v/>
      </c>
      <c r="BW47" s="38" t="str">
        <f>IFERROR('1.vize'!CH47*100/'1.vize'!$I47,"")</f>
        <v/>
      </c>
      <c r="BX47" s="38" t="str">
        <f>IFERROR('1.vize'!CI47*100/'1.vize'!$I47,"")</f>
        <v/>
      </c>
      <c r="BY47" s="38" t="str">
        <f>IFERROR('1.vize'!CJ47*100/'1.vize'!$I47,"")</f>
        <v/>
      </c>
      <c r="BZ47" s="38" t="str">
        <f>IFERROR('1.vize'!CK47*100/'1.vize'!$I47,"")</f>
        <v/>
      </c>
      <c r="CA47" s="38" t="str">
        <f>IFERROR('1.vize'!CL47*100/'1.vize'!$I47,"")</f>
        <v/>
      </c>
      <c r="CB47" s="38" t="str">
        <f>IFERROR('1.vize'!CM47*100/'1.vize'!$I47,"")</f>
        <v/>
      </c>
      <c r="CC47" s="38" t="str">
        <f>IFERROR('1.vize'!CN47*100/'1.vize'!$I47,"")</f>
        <v/>
      </c>
      <c r="CD47" s="38" t="str">
        <f>IFERROR('1.vize'!CO47*100/'1.vize'!$I47,"")</f>
        <v/>
      </c>
      <c r="CE47" s="38" t="str">
        <f>IFERROR('1.vize'!CP47*100/'1.vize'!$I47,"")</f>
        <v/>
      </c>
      <c r="CF47" s="38" t="str">
        <f>IFERROR('1.vize'!CQ47*100/'1.vize'!$I47,"")</f>
        <v/>
      </c>
      <c r="CG47" s="38" t="str">
        <f>IFERROR('1.vize'!CR47*100/'1.vize'!$I47,"")</f>
        <v/>
      </c>
      <c r="CH47" s="38" t="str">
        <f>IFERROR('1.vize'!CS47*100/'1.vize'!$I47,"")</f>
        <v/>
      </c>
      <c r="CI47" s="38" t="str">
        <f>IFERROR('1.vize'!CT47*100/'1.vize'!$I47,"")</f>
        <v/>
      </c>
      <c r="CJ47" s="38" t="str">
        <f>IFERROR('1.vize'!CU47*100/'1.vize'!$I47,"")</f>
        <v/>
      </c>
      <c r="CK47" s="38" t="str">
        <f>IFERROR('1.vize'!CV47*100/'1.vize'!$I47,"")</f>
        <v/>
      </c>
      <c r="CL47" s="38" t="str">
        <f>IFERROR('1.vize'!CW47*100/'1.vize'!$I47,"")</f>
        <v/>
      </c>
      <c r="CM47" s="38" t="str">
        <f>IFERROR('1.vize'!CX47*100/'1.vize'!$I47,"")</f>
        <v/>
      </c>
      <c r="CN47" s="38" t="str">
        <f>IFERROR('1.vize'!CY47*100/'1.vize'!$I47,"")</f>
        <v/>
      </c>
      <c r="CO47" s="38" t="str">
        <f>IFERROR('1.vize'!CZ47*100/'1.vize'!$I47,"")</f>
        <v/>
      </c>
      <c r="CP47" s="38" t="str">
        <f>IFERROR('1.vize'!DA47*100/'1.vize'!$I47,"")</f>
        <v/>
      </c>
      <c r="CQ47" s="38" t="str">
        <f>IFERROR('1.vize'!DB47*100/'1.vize'!$I47,"")</f>
        <v/>
      </c>
      <c r="CR47" s="38" t="str">
        <f>IFERROR('1.vize'!DC47*100/'1.vize'!$I47,"")</f>
        <v/>
      </c>
      <c r="CS47" s="38" t="str">
        <f>IFERROR('1.vize'!DD47*100/'1.vize'!$I47,"")</f>
        <v/>
      </c>
      <c r="CT47" s="38" t="str">
        <f>IFERROR('1.vize'!DE47*100/'1.vize'!$I47,"")</f>
        <v/>
      </c>
      <c r="CU47" s="38" t="str">
        <f>IFERROR('1.vize'!DF47*100/'1.vize'!$I47,"")</f>
        <v/>
      </c>
      <c r="CV47" s="38" t="str">
        <f>IFERROR('1.vize'!DG47*100/'1.vize'!$I47,"")</f>
        <v/>
      </c>
      <c r="CW47" s="32" t="str">
        <f>IFERROR(SUM(A47:CV47)/'1.vize'!$DH$103,"")</f>
        <v/>
      </c>
      <c r="CX47" s="14" t="str">
        <f>IF(COUNTA('1.vize'!A47),'1.vize'!A47,"")</f>
        <v/>
      </c>
      <c r="CY47" s="14" t="str">
        <f>IF(COUNTA('1.vize'!B47),'1.vize'!B47,"")</f>
        <v/>
      </c>
      <c r="CZ47" s="14" t="str">
        <f>IF(COUNTA('1.vize'!C47),'1.vize'!C47,"")</f>
        <v/>
      </c>
      <c r="DA47" s="14" t="str">
        <f>IF(COUNTA('1.vize'!D47),'1.vize'!D47,"")</f>
        <v/>
      </c>
      <c r="DB47" s="14" t="str">
        <f>IF(COUNTA('1.vize'!E47),'1.vize'!E47,"")</f>
        <v/>
      </c>
      <c r="DC47" s="14" t="str">
        <f>IF(COUNTA('1.vize'!F47),'1.vize'!F47,"")</f>
        <v/>
      </c>
      <c r="DD47" s="14" t="str">
        <f>IF(COUNTA('1.vize'!G47),'1.vize'!G47,"")</f>
        <v/>
      </c>
      <c r="DE47" s="14" t="str">
        <f>IF(COUNTA('1.vize'!H47),'1.vize'!H47,"")</f>
        <v/>
      </c>
      <c r="DF47" s="33"/>
    </row>
    <row r="48" spans="1:110" x14ac:dyDescent="0.2">
      <c r="A48" s="38" t="str">
        <f>IFERROR('1.vize'!L48*100/'1.vize'!$I48,"")</f>
        <v/>
      </c>
      <c r="B48" s="38" t="str">
        <f>IFERROR('1.vize'!M48*100/'1.vize'!$I48,"")</f>
        <v/>
      </c>
      <c r="C48" s="38" t="str">
        <f>IFERROR('1.vize'!N48*100/'1.vize'!$I48,"")</f>
        <v/>
      </c>
      <c r="D48" s="38" t="str">
        <f>IFERROR('1.vize'!O48*100/'1.vize'!$I48,"")</f>
        <v/>
      </c>
      <c r="E48" s="38" t="str">
        <f>IFERROR('1.vize'!P48*100/'1.vize'!$I48,"")</f>
        <v/>
      </c>
      <c r="F48" s="38" t="str">
        <f>IFERROR('1.vize'!Q48*100/'1.vize'!$I48,"")</f>
        <v/>
      </c>
      <c r="G48" s="38" t="str">
        <f>IFERROR('1.vize'!R48*100/'1.vize'!$I48,"")</f>
        <v/>
      </c>
      <c r="H48" s="38" t="str">
        <f>IFERROR('1.vize'!S48*100/'1.vize'!$I48,"")</f>
        <v/>
      </c>
      <c r="I48" s="38" t="str">
        <f>IFERROR('1.vize'!T48*100/'1.vize'!$I48,"")</f>
        <v/>
      </c>
      <c r="J48" s="38" t="str">
        <f>IFERROR('1.vize'!U48*100/'1.vize'!$I48,"")</f>
        <v/>
      </c>
      <c r="K48" s="38" t="str">
        <f>IFERROR('1.vize'!V48*100/'1.vize'!$I48,"")</f>
        <v/>
      </c>
      <c r="L48" s="38" t="str">
        <f>IFERROR('1.vize'!W48*100/'1.vize'!$I48,"")</f>
        <v/>
      </c>
      <c r="M48" s="38" t="str">
        <f>IFERROR('1.vize'!X48*100/'1.vize'!$I48,"")</f>
        <v/>
      </c>
      <c r="N48" s="38" t="str">
        <f>IFERROR('1.vize'!Y48*100/'1.vize'!$I48,"")</f>
        <v/>
      </c>
      <c r="O48" s="38" t="str">
        <f>IFERROR('1.vize'!Z48*100/'1.vize'!$I48,"")</f>
        <v/>
      </c>
      <c r="P48" s="38" t="str">
        <f>IFERROR('1.vize'!AA48*100/'1.vize'!$I48,"")</f>
        <v/>
      </c>
      <c r="Q48" s="38" t="str">
        <f>IFERROR('1.vize'!AB48*100/'1.vize'!$I48,"")</f>
        <v/>
      </c>
      <c r="R48" s="38" t="str">
        <f>IFERROR('1.vize'!AC48*100/'1.vize'!$I48,"")</f>
        <v/>
      </c>
      <c r="S48" s="38" t="str">
        <f>IFERROR('1.vize'!AD48*100/'1.vize'!$I48,"")</f>
        <v/>
      </c>
      <c r="T48" s="38" t="str">
        <f>IFERROR('1.vize'!AE48*100/'1.vize'!$I48,"")</f>
        <v/>
      </c>
      <c r="U48" s="38" t="str">
        <f>IFERROR('1.vize'!AF48*100/'1.vize'!$I48,"")</f>
        <v/>
      </c>
      <c r="V48" s="38" t="str">
        <f>IFERROR('1.vize'!AG48*100/'1.vize'!$I48,"")</f>
        <v/>
      </c>
      <c r="W48" s="38" t="str">
        <f>IFERROR('1.vize'!AH48*100/'1.vize'!$I48,"")</f>
        <v/>
      </c>
      <c r="X48" s="38" t="str">
        <f>IFERROR('1.vize'!AI48*100/'1.vize'!$I48,"")</f>
        <v/>
      </c>
      <c r="Y48" s="38" t="str">
        <f>IFERROR('1.vize'!AJ48*100/'1.vize'!$I48,"")</f>
        <v/>
      </c>
      <c r="Z48" s="38" t="str">
        <f>IFERROR('1.vize'!AK48*100/'1.vize'!$I48,"")</f>
        <v/>
      </c>
      <c r="AA48" s="38" t="str">
        <f>IFERROR('1.vize'!AL48*100/'1.vize'!$I48,"")</f>
        <v/>
      </c>
      <c r="AB48" s="38" t="str">
        <f>IFERROR('1.vize'!AM48*100/'1.vize'!$I48,"")</f>
        <v/>
      </c>
      <c r="AC48" s="38" t="str">
        <f>IFERROR('1.vize'!AN48*100/'1.vize'!$I48,"")</f>
        <v/>
      </c>
      <c r="AD48" s="38" t="str">
        <f>IFERROR('1.vize'!AO48*100/'1.vize'!$I48,"")</f>
        <v/>
      </c>
      <c r="AE48" s="38" t="str">
        <f>IFERROR('1.vize'!AP48*100/'1.vize'!$I48,"")</f>
        <v/>
      </c>
      <c r="AF48" s="38" t="str">
        <f>IFERROR('1.vize'!AQ48*100/'1.vize'!$I48,"")</f>
        <v/>
      </c>
      <c r="AG48" s="38" t="str">
        <f>IFERROR('1.vize'!AR48*100/'1.vize'!$I48,"")</f>
        <v/>
      </c>
      <c r="AH48" s="38" t="str">
        <f>IFERROR('1.vize'!AS48*100/'1.vize'!$I48,"")</f>
        <v/>
      </c>
      <c r="AI48" s="38" t="str">
        <f>IFERROR('1.vize'!AT48*100/'1.vize'!$I48,"")</f>
        <v/>
      </c>
      <c r="AJ48" s="38" t="str">
        <f>IFERROR('1.vize'!AU48*100/'1.vize'!$I48,"")</f>
        <v/>
      </c>
      <c r="AK48" s="38" t="str">
        <f>IFERROR('1.vize'!AV48*100/'1.vize'!$I48,"")</f>
        <v/>
      </c>
      <c r="AL48" s="38" t="str">
        <f>IFERROR('1.vize'!AW48*100/'1.vize'!$I48,"")</f>
        <v/>
      </c>
      <c r="AM48" s="38" t="str">
        <f>IFERROR('1.vize'!AX48*100/'1.vize'!$I48,"")</f>
        <v/>
      </c>
      <c r="AN48" s="38" t="str">
        <f>IFERROR('1.vize'!AY48*100/'1.vize'!$I48,"")</f>
        <v/>
      </c>
      <c r="AO48" s="38" t="str">
        <f>IFERROR('1.vize'!AZ48*100/'1.vize'!$I48,"")</f>
        <v/>
      </c>
      <c r="AP48" s="38" t="str">
        <f>IFERROR('1.vize'!BA48*100/'1.vize'!$I48,"")</f>
        <v/>
      </c>
      <c r="AQ48" s="38" t="str">
        <f>IFERROR('1.vize'!BB48*100/'1.vize'!$I48,"")</f>
        <v/>
      </c>
      <c r="AR48" s="38" t="str">
        <f>IFERROR('1.vize'!BC48*100/'1.vize'!$I48,"")</f>
        <v/>
      </c>
      <c r="AS48" s="38" t="str">
        <f>IFERROR('1.vize'!BD48*100/'1.vize'!$I48,"")</f>
        <v/>
      </c>
      <c r="AT48" s="38" t="str">
        <f>IFERROR('1.vize'!BE48*100/'1.vize'!$I48,"")</f>
        <v/>
      </c>
      <c r="AU48" s="38" t="str">
        <f>IFERROR('1.vize'!BF48*100/'1.vize'!$I48,"")</f>
        <v/>
      </c>
      <c r="AV48" s="38" t="str">
        <f>IFERROR('1.vize'!BG48*100/'1.vize'!$I48,"")</f>
        <v/>
      </c>
      <c r="AW48" s="38" t="str">
        <f>IFERROR('1.vize'!BH48*100/'1.vize'!$I48,"")</f>
        <v/>
      </c>
      <c r="AX48" s="38" t="str">
        <f>IFERROR('1.vize'!BI48*100/'1.vize'!$I48,"")</f>
        <v/>
      </c>
      <c r="AY48" s="38" t="str">
        <f>IFERROR('1.vize'!BJ48*100/'1.vize'!$I48,"")</f>
        <v/>
      </c>
      <c r="AZ48" s="38" t="str">
        <f>IFERROR('1.vize'!BK48*100/'1.vize'!$I48,"")</f>
        <v/>
      </c>
      <c r="BA48" s="38" t="str">
        <f>IFERROR('1.vize'!BL48*100/'1.vize'!$I48,"")</f>
        <v/>
      </c>
      <c r="BB48" s="38" t="str">
        <f>IFERROR('1.vize'!BM48*100/'1.vize'!$I48,"")</f>
        <v/>
      </c>
      <c r="BC48" s="38" t="str">
        <f>IFERROR('1.vize'!BN48*100/'1.vize'!$I48,"")</f>
        <v/>
      </c>
      <c r="BD48" s="38" t="str">
        <f>IFERROR('1.vize'!BO48*100/'1.vize'!$I48,"")</f>
        <v/>
      </c>
      <c r="BE48" s="38" t="str">
        <f>IFERROR('1.vize'!BP48*100/'1.vize'!$I48,"")</f>
        <v/>
      </c>
      <c r="BF48" s="38" t="str">
        <f>IFERROR('1.vize'!BQ48*100/'1.vize'!$I48,"")</f>
        <v/>
      </c>
      <c r="BG48" s="38" t="str">
        <f>IFERROR('1.vize'!BR48*100/'1.vize'!$I48,"")</f>
        <v/>
      </c>
      <c r="BH48" s="38" t="str">
        <f>IFERROR('1.vize'!BS48*100/'1.vize'!$I48,"")</f>
        <v/>
      </c>
      <c r="BI48" s="38" t="str">
        <f>IFERROR('1.vize'!BT48*100/'1.vize'!$I48,"")</f>
        <v/>
      </c>
      <c r="BJ48" s="38" t="str">
        <f>IFERROR('1.vize'!BU48*100/'1.vize'!$I48,"")</f>
        <v/>
      </c>
      <c r="BK48" s="38" t="str">
        <f>IFERROR('1.vize'!BV48*100/'1.vize'!$I48,"")</f>
        <v/>
      </c>
      <c r="BL48" s="38" t="str">
        <f>IFERROR('1.vize'!BW48*100/'1.vize'!$I48,"")</f>
        <v/>
      </c>
      <c r="BM48" s="38" t="str">
        <f>IFERROR('1.vize'!BX48*100/'1.vize'!$I48,"")</f>
        <v/>
      </c>
      <c r="BN48" s="38" t="str">
        <f>IFERROR('1.vize'!BY48*100/'1.vize'!$I48,"")</f>
        <v/>
      </c>
      <c r="BO48" s="38" t="str">
        <f>IFERROR('1.vize'!BZ48*100/'1.vize'!$I48,"")</f>
        <v/>
      </c>
      <c r="BP48" s="38" t="str">
        <f>IFERROR('1.vize'!CA48*100/'1.vize'!$I48,"")</f>
        <v/>
      </c>
      <c r="BQ48" s="38" t="str">
        <f>IFERROR('1.vize'!CB48*100/'1.vize'!$I48,"")</f>
        <v/>
      </c>
      <c r="BR48" s="38" t="str">
        <f>IFERROR('1.vize'!CC48*100/'1.vize'!$I48,"")</f>
        <v/>
      </c>
      <c r="BS48" s="38" t="str">
        <f>IFERROR('1.vize'!CD48*100/'1.vize'!$I48,"")</f>
        <v/>
      </c>
      <c r="BT48" s="38" t="str">
        <f>IFERROR('1.vize'!CE48*100/'1.vize'!$I48,"")</f>
        <v/>
      </c>
      <c r="BU48" s="38" t="str">
        <f>IFERROR('1.vize'!CF48*100/'1.vize'!$I48,"")</f>
        <v/>
      </c>
      <c r="BV48" s="38" t="str">
        <f>IFERROR('1.vize'!CG48*100/'1.vize'!$I48,"")</f>
        <v/>
      </c>
      <c r="BW48" s="38" t="str">
        <f>IFERROR('1.vize'!CH48*100/'1.vize'!$I48,"")</f>
        <v/>
      </c>
      <c r="BX48" s="38" t="str">
        <f>IFERROR('1.vize'!CI48*100/'1.vize'!$I48,"")</f>
        <v/>
      </c>
      <c r="BY48" s="38" t="str">
        <f>IFERROR('1.vize'!CJ48*100/'1.vize'!$I48,"")</f>
        <v/>
      </c>
      <c r="BZ48" s="38" t="str">
        <f>IFERROR('1.vize'!CK48*100/'1.vize'!$I48,"")</f>
        <v/>
      </c>
      <c r="CA48" s="38" t="str">
        <f>IFERROR('1.vize'!CL48*100/'1.vize'!$I48,"")</f>
        <v/>
      </c>
      <c r="CB48" s="38" t="str">
        <f>IFERROR('1.vize'!CM48*100/'1.vize'!$I48,"")</f>
        <v/>
      </c>
      <c r="CC48" s="38" t="str">
        <f>IFERROR('1.vize'!CN48*100/'1.vize'!$I48,"")</f>
        <v/>
      </c>
      <c r="CD48" s="38" t="str">
        <f>IFERROR('1.vize'!CO48*100/'1.vize'!$I48,"")</f>
        <v/>
      </c>
      <c r="CE48" s="38" t="str">
        <f>IFERROR('1.vize'!CP48*100/'1.vize'!$I48,"")</f>
        <v/>
      </c>
      <c r="CF48" s="38" t="str">
        <f>IFERROR('1.vize'!CQ48*100/'1.vize'!$I48,"")</f>
        <v/>
      </c>
      <c r="CG48" s="38" t="str">
        <f>IFERROR('1.vize'!CR48*100/'1.vize'!$I48,"")</f>
        <v/>
      </c>
      <c r="CH48" s="38" t="str">
        <f>IFERROR('1.vize'!CS48*100/'1.vize'!$I48,"")</f>
        <v/>
      </c>
      <c r="CI48" s="38" t="str">
        <f>IFERROR('1.vize'!CT48*100/'1.vize'!$I48,"")</f>
        <v/>
      </c>
      <c r="CJ48" s="38" t="str">
        <f>IFERROR('1.vize'!CU48*100/'1.vize'!$I48,"")</f>
        <v/>
      </c>
      <c r="CK48" s="38" t="str">
        <f>IFERROR('1.vize'!CV48*100/'1.vize'!$I48,"")</f>
        <v/>
      </c>
      <c r="CL48" s="38" t="str">
        <f>IFERROR('1.vize'!CW48*100/'1.vize'!$I48,"")</f>
        <v/>
      </c>
      <c r="CM48" s="38" t="str">
        <f>IFERROR('1.vize'!CX48*100/'1.vize'!$I48,"")</f>
        <v/>
      </c>
      <c r="CN48" s="38" t="str">
        <f>IFERROR('1.vize'!CY48*100/'1.vize'!$I48,"")</f>
        <v/>
      </c>
      <c r="CO48" s="38" t="str">
        <f>IFERROR('1.vize'!CZ48*100/'1.vize'!$I48,"")</f>
        <v/>
      </c>
      <c r="CP48" s="38" t="str">
        <f>IFERROR('1.vize'!DA48*100/'1.vize'!$I48,"")</f>
        <v/>
      </c>
      <c r="CQ48" s="38" t="str">
        <f>IFERROR('1.vize'!DB48*100/'1.vize'!$I48,"")</f>
        <v/>
      </c>
      <c r="CR48" s="38" t="str">
        <f>IFERROR('1.vize'!DC48*100/'1.vize'!$I48,"")</f>
        <v/>
      </c>
      <c r="CS48" s="38" t="str">
        <f>IFERROR('1.vize'!DD48*100/'1.vize'!$I48,"")</f>
        <v/>
      </c>
      <c r="CT48" s="38" t="str">
        <f>IFERROR('1.vize'!DE48*100/'1.vize'!$I48,"")</f>
        <v/>
      </c>
      <c r="CU48" s="38" t="str">
        <f>IFERROR('1.vize'!DF48*100/'1.vize'!$I48,"")</f>
        <v/>
      </c>
      <c r="CV48" s="38" t="str">
        <f>IFERROR('1.vize'!DG48*100/'1.vize'!$I48,"")</f>
        <v/>
      </c>
      <c r="CW48" s="32" t="str">
        <f>IFERROR(SUM(A48:CV48)/'1.vize'!$DH$103,"")</f>
        <v/>
      </c>
      <c r="CX48" s="14" t="str">
        <f>IF(COUNTA('1.vize'!A48),'1.vize'!A48,"")</f>
        <v/>
      </c>
      <c r="CY48" s="14" t="str">
        <f>IF(COUNTA('1.vize'!B48),'1.vize'!B48,"")</f>
        <v/>
      </c>
      <c r="CZ48" s="14" t="str">
        <f>IF(COUNTA('1.vize'!C48),'1.vize'!C48,"")</f>
        <v/>
      </c>
      <c r="DA48" s="14" t="str">
        <f>IF(COUNTA('1.vize'!D48),'1.vize'!D48,"")</f>
        <v/>
      </c>
      <c r="DB48" s="14" t="str">
        <f>IF(COUNTA('1.vize'!E48),'1.vize'!E48,"")</f>
        <v/>
      </c>
      <c r="DC48" s="14" t="str">
        <f>IF(COUNTA('1.vize'!F48),'1.vize'!F48,"")</f>
        <v/>
      </c>
      <c r="DD48" s="14" t="str">
        <f>IF(COUNTA('1.vize'!G48),'1.vize'!G48,"")</f>
        <v/>
      </c>
      <c r="DE48" s="14" t="str">
        <f>IF(COUNTA('1.vize'!H48),'1.vize'!H48,"")</f>
        <v/>
      </c>
      <c r="DF48" s="33"/>
    </row>
    <row r="49" spans="1:110" x14ac:dyDescent="0.2">
      <c r="A49" s="38" t="str">
        <f>IFERROR('1.vize'!L49*100/'1.vize'!$I49,"")</f>
        <v/>
      </c>
      <c r="B49" s="38" t="str">
        <f>IFERROR('1.vize'!M49*100/'1.vize'!$I49,"")</f>
        <v/>
      </c>
      <c r="C49" s="38" t="str">
        <f>IFERROR('1.vize'!N49*100/'1.vize'!$I49,"")</f>
        <v/>
      </c>
      <c r="D49" s="38" t="str">
        <f>IFERROR('1.vize'!O49*100/'1.vize'!$I49,"")</f>
        <v/>
      </c>
      <c r="E49" s="38" t="str">
        <f>IFERROR('1.vize'!P49*100/'1.vize'!$I49,"")</f>
        <v/>
      </c>
      <c r="F49" s="38" t="str">
        <f>IFERROR('1.vize'!Q49*100/'1.vize'!$I49,"")</f>
        <v/>
      </c>
      <c r="G49" s="38" t="str">
        <f>IFERROR('1.vize'!R49*100/'1.vize'!$I49,"")</f>
        <v/>
      </c>
      <c r="H49" s="38" t="str">
        <f>IFERROR('1.vize'!S49*100/'1.vize'!$I49,"")</f>
        <v/>
      </c>
      <c r="I49" s="38" t="str">
        <f>IFERROR('1.vize'!T49*100/'1.vize'!$I49,"")</f>
        <v/>
      </c>
      <c r="J49" s="38" t="str">
        <f>IFERROR('1.vize'!U49*100/'1.vize'!$I49,"")</f>
        <v/>
      </c>
      <c r="K49" s="38" t="str">
        <f>IFERROR('1.vize'!V49*100/'1.vize'!$I49,"")</f>
        <v/>
      </c>
      <c r="L49" s="38" t="str">
        <f>IFERROR('1.vize'!W49*100/'1.vize'!$I49,"")</f>
        <v/>
      </c>
      <c r="M49" s="38" t="str">
        <f>IFERROR('1.vize'!X49*100/'1.vize'!$I49,"")</f>
        <v/>
      </c>
      <c r="N49" s="38" t="str">
        <f>IFERROR('1.vize'!Y49*100/'1.vize'!$I49,"")</f>
        <v/>
      </c>
      <c r="O49" s="38" t="str">
        <f>IFERROR('1.vize'!Z49*100/'1.vize'!$I49,"")</f>
        <v/>
      </c>
      <c r="P49" s="38" t="str">
        <f>IFERROR('1.vize'!AA49*100/'1.vize'!$I49,"")</f>
        <v/>
      </c>
      <c r="Q49" s="38" t="str">
        <f>IFERROR('1.vize'!AB49*100/'1.vize'!$I49,"")</f>
        <v/>
      </c>
      <c r="R49" s="38" t="str">
        <f>IFERROR('1.vize'!AC49*100/'1.vize'!$I49,"")</f>
        <v/>
      </c>
      <c r="S49" s="38" t="str">
        <f>IFERROR('1.vize'!AD49*100/'1.vize'!$I49,"")</f>
        <v/>
      </c>
      <c r="T49" s="38" t="str">
        <f>IFERROR('1.vize'!AE49*100/'1.vize'!$I49,"")</f>
        <v/>
      </c>
      <c r="U49" s="38" t="str">
        <f>IFERROR('1.vize'!AF49*100/'1.vize'!$I49,"")</f>
        <v/>
      </c>
      <c r="V49" s="38" t="str">
        <f>IFERROR('1.vize'!AG49*100/'1.vize'!$I49,"")</f>
        <v/>
      </c>
      <c r="W49" s="38" t="str">
        <f>IFERROR('1.vize'!AH49*100/'1.vize'!$I49,"")</f>
        <v/>
      </c>
      <c r="X49" s="38" t="str">
        <f>IFERROR('1.vize'!AI49*100/'1.vize'!$I49,"")</f>
        <v/>
      </c>
      <c r="Y49" s="38" t="str">
        <f>IFERROR('1.vize'!AJ49*100/'1.vize'!$I49,"")</f>
        <v/>
      </c>
      <c r="Z49" s="38" t="str">
        <f>IFERROR('1.vize'!AK49*100/'1.vize'!$I49,"")</f>
        <v/>
      </c>
      <c r="AA49" s="38" t="str">
        <f>IFERROR('1.vize'!AL49*100/'1.vize'!$I49,"")</f>
        <v/>
      </c>
      <c r="AB49" s="38" t="str">
        <f>IFERROR('1.vize'!AM49*100/'1.vize'!$I49,"")</f>
        <v/>
      </c>
      <c r="AC49" s="38" t="str">
        <f>IFERROR('1.vize'!AN49*100/'1.vize'!$I49,"")</f>
        <v/>
      </c>
      <c r="AD49" s="38" t="str">
        <f>IFERROR('1.vize'!AO49*100/'1.vize'!$I49,"")</f>
        <v/>
      </c>
      <c r="AE49" s="38" t="str">
        <f>IFERROR('1.vize'!AP49*100/'1.vize'!$I49,"")</f>
        <v/>
      </c>
      <c r="AF49" s="38" t="str">
        <f>IFERROR('1.vize'!AQ49*100/'1.vize'!$I49,"")</f>
        <v/>
      </c>
      <c r="AG49" s="38" t="str">
        <f>IFERROR('1.vize'!AR49*100/'1.vize'!$I49,"")</f>
        <v/>
      </c>
      <c r="AH49" s="38" t="str">
        <f>IFERROR('1.vize'!AS49*100/'1.vize'!$I49,"")</f>
        <v/>
      </c>
      <c r="AI49" s="38" t="str">
        <f>IFERROR('1.vize'!AT49*100/'1.vize'!$I49,"")</f>
        <v/>
      </c>
      <c r="AJ49" s="38" t="str">
        <f>IFERROR('1.vize'!AU49*100/'1.vize'!$I49,"")</f>
        <v/>
      </c>
      <c r="AK49" s="38" t="str">
        <f>IFERROR('1.vize'!AV49*100/'1.vize'!$I49,"")</f>
        <v/>
      </c>
      <c r="AL49" s="38" t="str">
        <f>IFERROR('1.vize'!AW49*100/'1.vize'!$I49,"")</f>
        <v/>
      </c>
      <c r="AM49" s="38" t="str">
        <f>IFERROR('1.vize'!AX49*100/'1.vize'!$I49,"")</f>
        <v/>
      </c>
      <c r="AN49" s="38" t="str">
        <f>IFERROR('1.vize'!AY49*100/'1.vize'!$I49,"")</f>
        <v/>
      </c>
      <c r="AO49" s="38" t="str">
        <f>IFERROR('1.vize'!AZ49*100/'1.vize'!$I49,"")</f>
        <v/>
      </c>
      <c r="AP49" s="38" t="str">
        <f>IFERROR('1.vize'!BA49*100/'1.vize'!$I49,"")</f>
        <v/>
      </c>
      <c r="AQ49" s="38" t="str">
        <f>IFERROR('1.vize'!BB49*100/'1.vize'!$I49,"")</f>
        <v/>
      </c>
      <c r="AR49" s="38" t="str">
        <f>IFERROR('1.vize'!BC49*100/'1.vize'!$I49,"")</f>
        <v/>
      </c>
      <c r="AS49" s="38" t="str">
        <f>IFERROR('1.vize'!BD49*100/'1.vize'!$I49,"")</f>
        <v/>
      </c>
      <c r="AT49" s="38" t="str">
        <f>IFERROR('1.vize'!BE49*100/'1.vize'!$I49,"")</f>
        <v/>
      </c>
      <c r="AU49" s="38" t="str">
        <f>IFERROR('1.vize'!BF49*100/'1.vize'!$I49,"")</f>
        <v/>
      </c>
      <c r="AV49" s="38" t="str">
        <f>IFERROR('1.vize'!BG49*100/'1.vize'!$I49,"")</f>
        <v/>
      </c>
      <c r="AW49" s="38" t="str">
        <f>IFERROR('1.vize'!BH49*100/'1.vize'!$I49,"")</f>
        <v/>
      </c>
      <c r="AX49" s="38" t="str">
        <f>IFERROR('1.vize'!BI49*100/'1.vize'!$I49,"")</f>
        <v/>
      </c>
      <c r="AY49" s="38" t="str">
        <f>IFERROR('1.vize'!BJ49*100/'1.vize'!$I49,"")</f>
        <v/>
      </c>
      <c r="AZ49" s="38" t="str">
        <f>IFERROR('1.vize'!BK49*100/'1.vize'!$I49,"")</f>
        <v/>
      </c>
      <c r="BA49" s="38" t="str">
        <f>IFERROR('1.vize'!BL49*100/'1.vize'!$I49,"")</f>
        <v/>
      </c>
      <c r="BB49" s="38" t="str">
        <f>IFERROR('1.vize'!BM49*100/'1.vize'!$I49,"")</f>
        <v/>
      </c>
      <c r="BC49" s="38" t="str">
        <f>IFERROR('1.vize'!BN49*100/'1.vize'!$I49,"")</f>
        <v/>
      </c>
      <c r="BD49" s="38" t="str">
        <f>IFERROR('1.vize'!BO49*100/'1.vize'!$I49,"")</f>
        <v/>
      </c>
      <c r="BE49" s="38" t="str">
        <f>IFERROR('1.vize'!BP49*100/'1.vize'!$I49,"")</f>
        <v/>
      </c>
      <c r="BF49" s="38" t="str">
        <f>IFERROR('1.vize'!BQ49*100/'1.vize'!$I49,"")</f>
        <v/>
      </c>
      <c r="BG49" s="38" t="str">
        <f>IFERROR('1.vize'!BR49*100/'1.vize'!$I49,"")</f>
        <v/>
      </c>
      <c r="BH49" s="38" t="str">
        <f>IFERROR('1.vize'!BS49*100/'1.vize'!$I49,"")</f>
        <v/>
      </c>
      <c r="BI49" s="38" t="str">
        <f>IFERROR('1.vize'!BT49*100/'1.vize'!$I49,"")</f>
        <v/>
      </c>
      <c r="BJ49" s="38" t="str">
        <f>IFERROR('1.vize'!BU49*100/'1.vize'!$I49,"")</f>
        <v/>
      </c>
      <c r="BK49" s="38" t="str">
        <f>IFERROR('1.vize'!BV49*100/'1.vize'!$I49,"")</f>
        <v/>
      </c>
      <c r="BL49" s="38" t="str">
        <f>IFERROR('1.vize'!BW49*100/'1.vize'!$I49,"")</f>
        <v/>
      </c>
      <c r="BM49" s="38" t="str">
        <f>IFERROR('1.vize'!BX49*100/'1.vize'!$I49,"")</f>
        <v/>
      </c>
      <c r="BN49" s="38" t="str">
        <f>IFERROR('1.vize'!BY49*100/'1.vize'!$I49,"")</f>
        <v/>
      </c>
      <c r="BO49" s="38" t="str">
        <f>IFERROR('1.vize'!BZ49*100/'1.vize'!$I49,"")</f>
        <v/>
      </c>
      <c r="BP49" s="38" t="str">
        <f>IFERROR('1.vize'!CA49*100/'1.vize'!$I49,"")</f>
        <v/>
      </c>
      <c r="BQ49" s="38" t="str">
        <f>IFERROR('1.vize'!CB49*100/'1.vize'!$I49,"")</f>
        <v/>
      </c>
      <c r="BR49" s="38" t="str">
        <f>IFERROR('1.vize'!CC49*100/'1.vize'!$I49,"")</f>
        <v/>
      </c>
      <c r="BS49" s="38" t="str">
        <f>IFERROR('1.vize'!CD49*100/'1.vize'!$I49,"")</f>
        <v/>
      </c>
      <c r="BT49" s="38" t="str">
        <f>IFERROR('1.vize'!CE49*100/'1.vize'!$I49,"")</f>
        <v/>
      </c>
      <c r="BU49" s="38" t="str">
        <f>IFERROR('1.vize'!CF49*100/'1.vize'!$I49,"")</f>
        <v/>
      </c>
      <c r="BV49" s="38" t="str">
        <f>IFERROR('1.vize'!CG49*100/'1.vize'!$I49,"")</f>
        <v/>
      </c>
      <c r="BW49" s="38" t="str">
        <f>IFERROR('1.vize'!CH49*100/'1.vize'!$I49,"")</f>
        <v/>
      </c>
      <c r="BX49" s="38" t="str">
        <f>IFERROR('1.vize'!CI49*100/'1.vize'!$I49,"")</f>
        <v/>
      </c>
      <c r="BY49" s="38" t="str">
        <f>IFERROR('1.vize'!CJ49*100/'1.vize'!$I49,"")</f>
        <v/>
      </c>
      <c r="BZ49" s="38" t="str">
        <f>IFERROR('1.vize'!CK49*100/'1.vize'!$I49,"")</f>
        <v/>
      </c>
      <c r="CA49" s="38" t="str">
        <f>IFERROR('1.vize'!CL49*100/'1.vize'!$I49,"")</f>
        <v/>
      </c>
      <c r="CB49" s="38" t="str">
        <f>IFERROR('1.vize'!CM49*100/'1.vize'!$I49,"")</f>
        <v/>
      </c>
      <c r="CC49" s="38" t="str">
        <f>IFERROR('1.vize'!CN49*100/'1.vize'!$I49,"")</f>
        <v/>
      </c>
      <c r="CD49" s="38" t="str">
        <f>IFERROR('1.vize'!CO49*100/'1.vize'!$I49,"")</f>
        <v/>
      </c>
      <c r="CE49" s="38" t="str">
        <f>IFERROR('1.vize'!CP49*100/'1.vize'!$I49,"")</f>
        <v/>
      </c>
      <c r="CF49" s="38" t="str">
        <f>IFERROR('1.vize'!CQ49*100/'1.vize'!$I49,"")</f>
        <v/>
      </c>
      <c r="CG49" s="38" t="str">
        <f>IFERROR('1.vize'!CR49*100/'1.vize'!$I49,"")</f>
        <v/>
      </c>
      <c r="CH49" s="38" t="str">
        <f>IFERROR('1.vize'!CS49*100/'1.vize'!$I49,"")</f>
        <v/>
      </c>
      <c r="CI49" s="38" t="str">
        <f>IFERROR('1.vize'!CT49*100/'1.vize'!$I49,"")</f>
        <v/>
      </c>
      <c r="CJ49" s="38" t="str">
        <f>IFERROR('1.vize'!CU49*100/'1.vize'!$I49,"")</f>
        <v/>
      </c>
      <c r="CK49" s="38" t="str">
        <f>IFERROR('1.vize'!CV49*100/'1.vize'!$I49,"")</f>
        <v/>
      </c>
      <c r="CL49" s="38" t="str">
        <f>IFERROR('1.vize'!CW49*100/'1.vize'!$I49,"")</f>
        <v/>
      </c>
      <c r="CM49" s="38" t="str">
        <f>IFERROR('1.vize'!CX49*100/'1.vize'!$I49,"")</f>
        <v/>
      </c>
      <c r="CN49" s="38" t="str">
        <f>IFERROR('1.vize'!CY49*100/'1.vize'!$I49,"")</f>
        <v/>
      </c>
      <c r="CO49" s="38" t="str">
        <f>IFERROR('1.vize'!CZ49*100/'1.vize'!$I49,"")</f>
        <v/>
      </c>
      <c r="CP49" s="38" t="str">
        <f>IFERROR('1.vize'!DA49*100/'1.vize'!$I49,"")</f>
        <v/>
      </c>
      <c r="CQ49" s="38" t="str">
        <f>IFERROR('1.vize'!DB49*100/'1.vize'!$I49,"")</f>
        <v/>
      </c>
      <c r="CR49" s="38" t="str">
        <f>IFERROR('1.vize'!DC49*100/'1.vize'!$I49,"")</f>
        <v/>
      </c>
      <c r="CS49" s="38" t="str">
        <f>IFERROR('1.vize'!DD49*100/'1.vize'!$I49,"")</f>
        <v/>
      </c>
      <c r="CT49" s="38" t="str">
        <f>IFERROR('1.vize'!DE49*100/'1.vize'!$I49,"")</f>
        <v/>
      </c>
      <c r="CU49" s="38" t="str">
        <f>IFERROR('1.vize'!DF49*100/'1.vize'!$I49,"")</f>
        <v/>
      </c>
      <c r="CV49" s="38" t="str">
        <f>IFERROR('1.vize'!DG49*100/'1.vize'!$I49,"")</f>
        <v/>
      </c>
      <c r="CW49" s="32" t="str">
        <f>IFERROR(SUM(A49:CV49)/'1.vize'!$DH$103,"")</f>
        <v/>
      </c>
      <c r="CX49" s="14" t="str">
        <f>IF(COUNTA('1.vize'!A49),'1.vize'!A49,"")</f>
        <v/>
      </c>
      <c r="CY49" s="14" t="str">
        <f>IF(COUNTA('1.vize'!B49),'1.vize'!B49,"")</f>
        <v/>
      </c>
      <c r="CZ49" s="14" t="str">
        <f>IF(COUNTA('1.vize'!C49),'1.vize'!C49,"")</f>
        <v/>
      </c>
      <c r="DA49" s="14" t="str">
        <f>IF(COUNTA('1.vize'!D49),'1.vize'!D49,"")</f>
        <v/>
      </c>
      <c r="DB49" s="14" t="str">
        <f>IF(COUNTA('1.vize'!E49),'1.vize'!E49,"")</f>
        <v/>
      </c>
      <c r="DC49" s="14" t="str">
        <f>IF(COUNTA('1.vize'!F49),'1.vize'!F49,"")</f>
        <v/>
      </c>
      <c r="DD49" s="14" t="str">
        <f>IF(COUNTA('1.vize'!G49),'1.vize'!G49,"")</f>
        <v/>
      </c>
      <c r="DE49" s="14" t="str">
        <f>IF(COUNTA('1.vize'!H49),'1.vize'!H49,"")</f>
        <v/>
      </c>
      <c r="DF49" s="33"/>
    </row>
    <row r="50" spans="1:110" x14ac:dyDescent="0.2">
      <c r="A50" s="38" t="str">
        <f>IFERROR('1.vize'!L50*100/'1.vize'!$I50,"")</f>
        <v/>
      </c>
      <c r="B50" s="38" t="str">
        <f>IFERROR('1.vize'!M50*100/'1.vize'!$I50,"")</f>
        <v/>
      </c>
      <c r="C50" s="38" t="str">
        <f>IFERROR('1.vize'!N50*100/'1.vize'!$I50,"")</f>
        <v/>
      </c>
      <c r="D50" s="38" t="str">
        <f>IFERROR('1.vize'!O50*100/'1.vize'!$I50,"")</f>
        <v/>
      </c>
      <c r="E50" s="38" t="str">
        <f>IFERROR('1.vize'!P50*100/'1.vize'!$I50,"")</f>
        <v/>
      </c>
      <c r="F50" s="38" t="str">
        <f>IFERROR('1.vize'!Q50*100/'1.vize'!$I50,"")</f>
        <v/>
      </c>
      <c r="G50" s="38" t="str">
        <f>IFERROR('1.vize'!R50*100/'1.vize'!$I50,"")</f>
        <v/>
      </c>
      <c r="H50" s="38" t="str">
        <f>IFERROR('1.vize'!S50*100/'1.vize'!$I50,"")</f>
        <v/>
      </c>
      <c r="I50" s="38" t="str">
        <f>IFERROR('1.vize'!T50*100/'1.vize'!$I50,"")</f>
        <v/>
      </c>
      <c r="J50" s="38" t="str">
        <f>IFERROR('1.vize'!U50*100/'1.vize'!$I50,"")</f>
        <v/>
      </c>
      <c r="K50" s="38" t="str">
        <f>IFERROR('1.vize'!V50*100/'1.vize'!$I50,"")</f>
        <v/>
      </c>
      <c r="L50" s="38" t="str">
        <f>IFERROR('1.vize'!W50*100/'1.vize'!$I50,"")</f>
        <v/>
      </c>
      <c r="M50" s="38" t="str">
        <f>IFERROR('1.vize'!X50*100/'1.vize'!$I50,"")</f>
        <v/>
      </c>
      <c r="N50" s="38" t="str">
        <f>IFERROR('1.vize'!Y50*100/'1.vize'!$I50,"")</f>
        <v/>
      </c>
      <c r="O50" s="38" t="str">
        <f>IFERROR('1.vize'!Z50*100/'1.vize'!$I50,"")</f>
        <v/>
      </c>
      <c r="P50" s="38" t="str">
        <f>IFERROR('1.vize'!AA50*100/'1.vize'!$I50,"")</f>
        <v/>
      </c>
      <c r="Q50" s="38" t="str">
        <f>IFERROR('1.vize'!AB50*100/'1.vize'!$I50,"")</f>
        <v/>
      </c>
      <c r="R50" s="38" t="str">
        <f>IFERROR('1.vize'!AC50*100/'1.vize'!$I50,"")</f>
        <v/>
      </c>
      <c r="S50" s="38" t="str">
        <f>IFERROR('1.vize'!AD50*100/'1.vize'!$I50,"")</f>
        <v/>
      </c>
      <c r="T50" s="38" t="str">
        <f>IFERROR('1.vize'!AE50*100/'1.vize'!$I50,"")</f>
        <v/>
      </c>
      <c r="U50" s="38" t="str">
        <f>IFERROR('1.vize'!AF50*100/'1.vize'!$I50,"")</f>
        <v/>
      </c>
      <c r="V50" s="38" t="str">
        <f>IFERROR('1.vize'!AG50*100/'1.vize'!$I50,"")</f>
        <v/>
      </c>
      <c r="W50" s="38" t="str">
        <f>IFERROR('1.vize'!AH50*100/'1.vize'!$I50,"")</f>
        <v/>
      </c>
      <c r="X50" s="38" t="str">
        <f>IFERROR('1.vize'!AI50*100/'1.vize'!$I50,"")</f>
        <v/>
      </c>
      <c r="Y50" s="38" t="str">
        <f>IFERROR('1.vize'!AJ50*100/'1.vize'!$I50,"")</f>
        <v/>
      </c>
      <c r="Z50" s="38" t="str">
        <f>IFERROR('1.vize'!AK50*100/'1.vize'!$I50,"")</f>
        <v/>
      </c>
      <c r="AA50" s="38" t="str">
        <f>IFERROR('1.vize'!AL50*100/'1.vize'!$I50,"")</f>
        <v/>
      </c>
      <c r="AB50" s="38" t="str">
        <f>IFERROR('1.vize'!AM50*100/'1.vize'!$I50,"")</f>
        <v/>
      </c>
      <c r="AC50" s="38" t="str">
        <f>IFERROR('1.vize'!AN50*100/'1.vize'!$I50,"")</f>
        <v/>
      </c>
      <c r="AD50" s="38" t="str">
        <f>IFERROR('1.vize'!AO50*100/'1.vize'!$I50,"")</f>
        <v/>
      </c>
      <c r="AE50" s="38" t="str">
        <f>IFERROR('1.vize'!AP50*100/'1.vize'!$I50,"")</f>
        <v/>
      </c>
      <c r="AF50" s="38" t="str">
        <f>IFERROR('1.vize'!AQ50*100/'1.vize'!$I50,"")</f>
        <v/>
      </c>
      <c r="AG50" s="38" t="str">
        <f>IFERROR('1.vize'!AR50*100/'1.vize'!$I50,"")</f>
        <v/>
      </c>
      <c r="AH50" s="38" t="str">
        <f>IFERROR('1.vize'!AS50*100/'1.vize'!$I50,"")</f>
        <v/>
      </c>
      <c r="AI50" s="38" t="str">
        <f>IFERROR('1.vize'!AT50*100/'1.vize'!$I50,"")</f>
        <v/>
      </c>
      <c r="AJ50" s="38" t="str">
        <f>IFERROR('1.vize'!AU50*100/'1.vize'!$I50,"")</f>
        <v/>
      </c>
      <c r="AK50" s="38" t="str">
        <f>IFERROR('1.vize'!AV50*100/'1.vize'!$I50,"")</f>
        <v/>
      </c>
      <c r="AL50" s="38" t="str">
        <f>IFERROR('1.vize'!AW50*100/'1.vize'!$I50,"")</f>
        <v/>
      </c>
      <c r="AM50" s="38" t="str">
        <f>IFERROR('1.vize'!AX50*100/'1.vize'!$I50,"")</f>
        <v/>
      </c>
      <c r="AN50" s="38" t="str">
        <f>IFERROR('1.vize'!AY50*100/'1.vize'!$I50,"")</f>
        <v/>
      </c>
      <c r="AO50" s="38" t="str">
        <f>IFERROR('1.vize'!AZ50*100/'1.vize'!$I50,"")</f>
        <v/>
      </c>
      <c r="AP50" s="38" t="str">
        <f>IFERROR('1.vize'!BA50*100/'1.vize'!$I50,"")</f>
        <v/>
      </c>
      <c r="AQ50" s="38" t="str">
        <f>IFERROR('1.vize'!BB50*100/'1.vize'!$I50,"")</f>
        <v/>
      </c>
      <c r="AR50" s="38" t="str">
        <f>IFERROR('1.vize'!BC50*100/'1.vize'!$I50,"")</f>
        <v/>
      </c>
      <c r="AS50" s="38" t="str">
        <f>IFERROR('1.vize'!BD50*100/'1.vize'!$I50,"")</f>
        <v/>
      </c>
      <c r="AT50" s="38" t="str">
        <f>IFERROR('1.vize'!BE50*100/'1.vize'!$I50,"")</f>
        <v/>
      </c>
      <c r="AU50" s="38" t="str">
        <f>IFERROR('1.vize'!BF50*100/'1.vize'!$I50,"")</f>
        <v/>
      </c>
      <c r="AV50" s="38" t="str">
        <f>IFERROR('1.vize'!BG50*100/'1.vize'!$I50,"")</f>
        <v/>
      </c>
      <c r="AW50" s="38" t="str">
        <f>IFERROR('1.vize'!BH50*100/'1.vize'!$I50,"")</f>
        <v/>
      </c>
      <c r="AX50" s="38" t="str">
        <f>IFERROR('1.vize'!BI50*100/'1.vize'!$I50,"")</f>
        <v/>
      </c>
      <c r="AY50" s="38" t="str">
        <f>IFERROR('1.vize'!BJ50*100/'1.vize'!$I50,"")</f>
        <v/>
      </c>
      <c r="AZ50" s="38" t="str">
        <f>IFERROR('1.vize'!BK50*100/'1.vize'!$I50,"")</f>
        <v/>
      </c>
      <c r="BA50" s="38" t="str">
        <f>IFERROR('1.vize'!BL50*100/'1.vize'!$I50,"")</f>
        <v/>
      </c>
      <c r="BB50" s="38" t="str">
        <f>IFERROR('1.vize'!BM50*100/'1.vize'!$I50,"")</f>
        <v/>
      </c>
      <c r="BC50" s="38" t="str">
        <f>IFERROR('1.vize'!BN50*100/'1.vize'!$I50,"")</f>
        <v/>
      </c>
      <c r="BD50" s="38" t="str">
        <f>IFERROR('1.vize'!BO50*100/'1.vize'!$I50,"")</f>
        <v/>
      </c>
      <c r="BE50" s="38" t="str">
        <f>IFERROR('1.vize'!BP50*100/'1.vize'!$I50,"")</f>
        <v/>
      </c>
      <c r="BF50" s="38" t="str">
        <f>IFERROR('1.vize'!BQ50*100/'1.vize'!$I50,"")</f>
        <v/>
      </c>
      <c r="BG50" s="38" t="str">
        <f>IFERROR('1.vize'!BR50*100/'1.vize'!$I50,"")</f>
        <v/>
      </c>
      <c r="BH50" s="38" t="str">
        <f>IFERROR('1.vize'!BS50*100/'1.vize'!$I50,"")</f>
        <v/>
      </c>
      <c r="BI50" s="38" t="str">
        <f>IFERROR('1.vize'!BT50*100/'1.vize'!$I50,"")</f>
        <v/>
      </c>
      <c r="BJ50" s="38" t="str">
        <f>IFERROR('1.vize'!BU50*100/'1.vize'!$I50,"")</f>
        <v/>
      </c>
      <c r="BK50" s="38" t="str">
        <f>IFERROR('1.vize'!BV50*100/'1.vize'!$I50,"")</f>
        <v/>
      </c>
      <c r="BL50" s="38" t="str">
        <f>IFERROR('1.vize'!BW50*100/'1.vize'!$I50,"")</f>
        <v/>
      </c>
      <c r="BM50" s="38" t="str">
        <f>IFERROR('1.vize'!BX50*100/'1.vize'!$I50,"")</f>
        <v/>
      </c>
      <c r="BN50" s="38" t="str">
        <f>IFERROR('1.vize'!BY50*100/'1.vize'!$I50,"")</f>
        <v/>
      </c>
      <c r="BO50" s="38" t="str">
        <f>IFERROR('1.vize'!BZ50*100/'1.vize'!$I50,"")</f>
        <v/>
      </c>
      <c r="BP50" s="38" t="str">
        <f>IFERROR('1.vize'!CA50*100/'1.vize'!$I50,"")</f>
        <v/>
      </c>
      <c r="BQ50" s="38" t="str">
        <f>IFERROR('1.vize'!CB50*100/'1.vize'!$I50,"")</f>
        <v/>
      </c>
      <c r="BR50" s="38" t="str">
        <f>IFERROR('1.vize'!CC50*100/'1.vize'!$I50,"")</f>
        <v/>
      </c>
      <c r="BS50" s="38" t="str">
        <f>IFERROR('1.vize'!CD50*100/'1.vize'!$I50,"")</f>
        <v/>
      </c>
      <c r="BT50" s="38" t="str">
        <f>IFERROR('1.vize'!CE50*100/'1.vize'!$I50,"")</f>
        <v/>
      </c>
      <c r="BU50" s="38" t="str">
        <f>IFERROR('1.vize'!CF50*100/'1.vize'!$I50,"")</f>
        <v/>
      </c>
      <c r="BV50" s="38" t="str">
        <f>IFERROR('1.vize'!CG50*100/'1.vize'!$I50,"")</f>
        <v/>
      </c>
      <c r="BW50" s="38" t="str">
        <f>IFERROR('1.vize'!CH50*100/'1.vize'!$I50,"")</f>
        <v/>
      </c>
      <c r="BX50" s="38" t="str">
        <f>IFERROR('1.vize'!CI50*100/'1.vize'!$I50,"")</f>
        <v/>
      </c>
      <c r="BY50" s="38" t="str">
        <f>IFERROR('1.vize'!CJ50*100/'1.vize'!$I50,"")</f>
        <v/>
      </c>
      <c r="BZ50" s="38" t="str">
        <f>IFERROR('1.vize'!CK50*100/'1.vize'!$I50,"")</f>
        <v/>
      </c>
      <c r="CA50" s="38" t="str">
        <f>IFERROR('1.vize'!CL50*100/'1.vize'!$I50,"")</f>
        <v/>
      </c>
      <c r="CB50" s="38" t="str">
        <f>IFERROR('1.vize'!CM50*100/'1.vize'!$I50,"")</f>
        <v/>
      </c>
      <c r="CC50" s="38" t="str">
        <f>IFERROR('1.vize'!CN50*100/'1.vize'!$I50,"")</f>
        <v/>
      </c>
      <c r="CD50" s="38" t="str">
        <f>IFERROR('1.vize'!CO50*100/'1.vize'!$I50,"")</f>
        <v/>
      </c>
      <c r="CE50" s="38" t="str">
        <f>IFERROR('1.vize'!CP50*100/'1.vize'!$I50,"")</f>
        <v/>
      </c>
      <c r="CF50" s="38" t="str">
        <f>IFERROR('1.vize'!CQ50*100/'1.vize'!$I50,"")</f>
        <v/>
      </c>
      <c r="CG50" s="38" t="str">
        <f>IFERROR('1.vize'!CR50*100/'1.vize'!$I50,"")</f>
        <v/>
      </c>
      <c r="CH50" s="38" t="str">
        <f>IFERROR('1.vize'!CS50*100/'1.vize'!$I50,"")</f>
        <v/>
      </c>
      <c r="CI50" s="38" t="str">
        <f>IFERROR('1.vize'!CT50*100/'1.vize'!$I50,"")</f>
        <v/>
      </c>
      <c r="CJ50" s="38" t="str">
        <f>IFERROR('1.vize'!CU50*100/'1.vize'!$I50,"")</f>
        <v/>
      </c>
      <c r="CK50" s="38" t="str">
        <f>IFERROR('1.vize'!CV50*100/'1.vize'!$I50,"")</f>
        <v/>
      </c>
      <c r="CL50" s="38" t="str">
        <f>IFERROR('1.vize'!CW50*100/'1.vize'!$I50,"")</f>
        <v/>
      </c>
      <c r="CM50" s="38" t="str">
        <f>IFERROR('1.vize'!CX50*100/'1.vize'!$I50,"")</f>
        <v/>
      </c>
      <c r="CN50" s="38" t="str">
        <f>IFERROR('1.vize'!CY50*100/'1.vize'!$I50,"")</f>
        <v/>
      </c>
      <c r="CO50" s="38" t="str">
        <f>IFERROR('1.vize'!CZ50*100/'1.vize'!$I50,"")</f>
        <v/>
      </c>
      <c r="CP50" s="38" t="str">
        <f>IFERROR('1.vize'!DA50*100/'1.vize'!$I50,"")</f>
        <v/>
      </c>
      <c r="CQ50" s="38" t="str">
        <f>IFERROR('1.vize'!DB50*100/'1.vize'!$I50,"")</f>
        <v/>
      </c>
      <c r="CR50" s="38" t="str">
        <f>IFERROR('1.vize'!DC50*100/'1.vize'!$I50,"")</f>
        <v/>
      </c>
      <c r="CS50" s="38" t="str">
        <f>IFERROR('1.vize'!DD50*100/'1.vize'!$I50,"")</f>
        <v/>
      </c>
      <c r="CT50" s="38" t="str">
        <f>IFERROR('1.vize'!DE50*100/'1.vize'!$I50,"")</f>
        <v/>
      </c>
      <c r="CU50" s="38" t="str">
        <f>IFERROR('1.vize'!DF50*100/'1.vize'!$I50,"")</f>
        <v/>
      </c>
      <c r="CV50" s="38" t="str">
        <f>IFERROR('1.vize'!DG50*100/'1.vize'!$I50,"")</f>
        <v/>
      </c>
      <c r="CW50" s="32" t="str">
        <f>IFERROR(SUM(A50:CV50)/'1.vize'!$DH$103,"")</f>
        <v/>
      </c>
      <c r="CX50" s="14" t="str">
        <f>IF(COUNTA('1.vize'!A50),'1.vize'!A50,"")</f>
        <v/>
      </c>
      <c r="CY50" s="14" t="str">
        <f>IF(COUNTA('1.vize'!B50),'1.vize'!B50,"")</f>
        <v/>
      </c>
      <c r="CZ50" s="14" t="str">
        <f>IF(COUNTA('1.vize'!C50),'1.vize'!C50,"")</f>
        <v/>
      </c>
      <c r="DA50" s="14" t="str">
        <f>IF(COUNTA('1.vize'!D50),'1.vize'!D50,"")</f>
        <v/>
      </c>
      <c r="DB50" s="14" t="str">
        <f>IF(COUNTA('1.vize'!E50),'1.vize'!E50,"")</f>
        <v/>
      </c>
      <c r="DC50" s="14" t="str">
        <f>IF(COUNTA('1.vize'!F50),'1.vize'!F50,"")</f>
        <v/>
      </c>
      <c r="DD50" s="14" t="str">
        <f>IF(COUNTA('1.vize'!G50),'1.vize'!G50,"")</f>
        <v/>
      </c>
      <c r="DE50" s="14" t="str">
        <f>IF(COUNTA('1.vize'!H50),'1.vize'!H50,"")</f>
        <v/>
      </c>
      <c r="DF50" s="33"/>
    </row>
    <row r="51" spans="1:110" x14ac:dyDescent="0.2">
      <c r="A51" s="38" t="str">
        <f>IFERROR('1.vize'!L51*100/'1.vize'!$I51,"")</f>
        <v/>
      </c>
      <c r="B51" s="38" t="str">
        <f>IFERROR('1.vize'!M51*100/'1.vize'!$I51,"")</f>
        <v/>
      </c>
      <c r="C51" s="38" t="str">
        <f>IFERROR('1.vize'!N51*100/'1.vize'!$I51,"")</f>
        <v/>
      </c>
      <c r="D51" s="38" t="str">
        <f>IFERROR('1.vize'!O51*100/'1.vize'!$I51,"")</f>
        <v/>
      </c>
      <c r="E51" s="38" t="str">
        <f>IFERROR('1.vize'!P51*100/'1.vize'!$I51,"")</f>
        <v/>
      </c>
      <c r="F51" s="38" t="str">
        <f>IFERROR('1.vize'!Q51*100/'1.vize'!$I51,"")</f>
        <v/>
      </c>
      <c r="G51" s="38" t="str">
        <f>IFERROR('1.vize'!R51*100/'1.vize'!$I51,"")</f>
        <v/>
      </c>
      <c r="H51" s="38" t="str">
        <f>IFERROR('1.vize'!S51*100/'1.vize'!$I51,"")</f>
        <v/>
      </c>
      <c r="I51" s="38" t="str">
        <f>IFERROR('1.vize'!T51*100/'1.vize'!$I51,"")</f>
        <v/>
      </c>
      <c r="J51" s="38" t="str">
        <f>IFERROR('1.vize'!U51*100/'1.vize'!$I51,"")</f>
        <v/>
      </c>
      <c r="K51" s="38" t="str">
        <f>IFERROR('1.vize'!V51*100/'1.vize'!$I51,"")</f>
        <v/>
      </c>
      <c r="L51" s="38" t="str">
        <f>IFERROR('1.vize'!W51*100/'1.vize'!$I51,"")</f>
        <v/>
      </c>
      <c r="M51" s="38" t="str">
        <f>IFERROR('1.vize'!X51*100/'1.vize'!$I51,"")</f>
        <v/>
      </c>
      <c r="N51" s="38" t="str">
        <f>IFERROR('1.vize'!Y51*100/'1.vize'!$I51,"")</f>
        <v/>
      </c>
      <c r="O51" s="38" t="str">
        <f>IFERROR('1.vize'!Z51*100/'1.vize'!$I51,"")</f>
        <v/>
      </c>
      <c r="P51" s="38" t="str">
        <f>IFERROR('1.vize'!AA51*100/'1.vize'!$I51,"")</f>
        <v/>
      </c>
      <c r="Q51" s="38" t="str">
        <f>IFERROR('1.vize'!AB51*100/'1.vize'!$I51,"")</f>
        <v/>
      </c>
      <c r="R51" s="38" t="str">
        <f>IFERROR('1.vize'!AC51*100/'1.vize'!$I51,"")</f>
        <v/>
      </c>
      <c r="S51" s="38" t="str">
        <f>IFERROR('1.vize'!AD51*100/'1.vize'!$I51,"")</f>
        <v/>
      </c>
      <c r="T51" s="38" t="str">
        <f>IFERROR('1.vize'!AE51*100/'1.vize'!$I51,"")</f>
        <v/>
      </c>
      <c r="U51" s="38" t="str">
        <f>IFERROR('1.vize'!AF51*100/'1.vize'!$I51,"")</f>
        <v/>
      </c>
      <c r="V51" s="38" t="str">
        <f>IFERROR('1.vize'!AG51*100/'1.vize'!$I51,"")</f>
        <v/>
      </c>
      <c r="W51" s="38" t="str">
        <f>IFERROR('1.vize'!AH51*100/'1.vize'!$I51,"")</f>
        <v/>
      </c>
      <c r="X51" s="38" t="str">
        <f>IFERROR('1.vize'!AI51*100/'1.vize'!$I51,"")</f>
        <v/>
      </c>
      <c r="Y51" s="38" t="str">
        <f>IFERROR('1.vize'!AJ51*100/'1.vize'!$I51,"")</f>
        <v/>
      </c>
      <c r="Z51" s="38" t="str">
        <f>IFERROR('1.vize'!AK51*100/'1.vize'!$I51,"")</f>
        <v/>
      </c>
      <c r="AA51" s="38" t="str">
        <f>IFERROR('1.vize'!AL51*100/'1.vize'!$I51,"")</f>
        <v/>
      </c>
      <c r="AB51" s="38" t="str">
        <f>IFERROR('1.vize'!AM51*100/'1.vize'!$I51,"")</f>
        <v/>
      </c>
      <c r="AC51" s="38" t="str">
        <f>IFERROR('1.vize'!AN51*100/'1.vize'!$I51,"")</f>
        <v/>
      </c>
      <c r="AD51" s="38" t="str">
        <f>IFERROR('1.vize'!AO51*100/'1.vize'!$I51,"")</f>
        <v/>
      </c>
      <c r="AE51" s="38" t="str">
        <f>IFERROR('1.vize'!AP51*100/'1.vize'!$I51,"")</f>
        <v/>
      </c>
      <c r="AF51" s="38" t="str">
        <f>IFERROR('1.vize'!AQ51*100/'1.vize'!$I51,"")</f>
        <v/>
      </c>
      <c r="AG51" s="38" t="str">
        <f>IFERROR('1.vize'!AR51*100/'1.vize'!$I51,"")</f>
        <v/>
      </c>
      <c r="AH51" s="38" t="str">
        <f>IFERROR('1.vize'!AS51*100/'1.vize'!$I51,"")</f>
        <v/>
      </c>
      <c r="AI51" s="38" t="str">
        <f>IFERROR('1.vize'!AT51*100/'1.vize'!$I51,"")</f>
        <v/>
      </c>
      <c r="AJ51" s="38" t="str">
        <f>IFERROR('1.vize'!AU51*100/'1.vize'!$I51,"")</f>
        <v/>
      </c>
      <c r="AK51" s="38" t="str">
        <f>IFERROR('1.vize'!AV51*100/'1.vize'!$I51,"")</f>
        <v/>
      </c>
      <c r="AL51" s="38" t="str">
        <f>IFERROR('1.vize'!AW51*100/'1.vize'!$I51,"")</f>
        <v/>
      </c>
      <c r="AM51" s="38" t="str">
        <f>IFERROR('1.vize'!AX51*100/'1.vize'!$I51,"")</f>
        <v/>
      </c>
      <c r="AN51" s="38" t="str">
        <f>IFERROR('1.vize'!AY51*100/'1.vize'!$I51,"")</f>
        <v/>
      </c>
      <c r="AO51" s="38" t="str">
        <f>IFERROR('1.vize'!AZ51*100/'1.vize'!$I51,"")</f>
        <v/>
      </c>
      <c r="AP51" s="38" t="str">
        <f>IFERROR('1.vize'!BA51*100/'1.vize'!$I51,"")</f>
        <v/>
      </c>
      <c r="AQ51" s="38" t="str">
        <f>IFERROR('1.vize'!BB51*100/'1.vize'!$I51,"")</f>
        <v/>
      </c>
      <c r="AR51" s="38" t="str">
        <f>IFERROR('1.vize'!BC51*100/'1.vize'!$I51,"")</f>
        <v/>
      </c>
      <c r="AS51" s="38" t="str">
        <f>IFERROR('1.vize'!BD51*100/'1.vize'!$I51,"")</f>
        <v/>
      </c>
      <c r="AT51" s="38" t="str">
        <f>IFERROR('1.vize'!BE51*100/'1.vize'!$I51,"")</f>
        <v/>
      </c>
      <c r="AU51" s="38" t="str">
        <f>IFERROR('1.vize'!BF51*100/'1.vize'!$I51,"")</f>
        <v/>
      </c>
      <c r="AV51" s="38" t="str">
        <f>IFERROR('1.vize'!BG51*100/'1.vize'!$I51,"")</f>
        <v/>
      </c>
      <c r="AW51" s="38" t="str">
        <f>IFERROR('1.vize'!BH51*100/'1.vize'!$I51,"")</f>
        <v/>
      </c>
      <c r="AX51" s="38" t="str">
        <f>IFERROR('1.vize'!BI51*100/'1.vize'!$I51,"")</f>
        <v/>
      </c>
      <c r="AY51" s="38" t="str">
        <f>IFERROR('1.vize'!BJ51*100/'1.vize'!$I51,"")</f>
        <v/>
      </c>
      <c r="AZ51" s="38" t="str">
        <f>IFERROR('1.vize'!BK51*100/'1.vize'!$I51,"")</f>
        <v/>
      </c>
      <c r="BA51" s="38" t="str">
        <f>IFERROR('1.vize'!BL51*100/'1.vize'!$I51,"")</f>
        <v/>
      </c>
      <c r="BB51" s="38" t="str">
        <f>IFERROR('1.vize'!BM51*100/'1.vize'!$I51,"")</f>
        <v/>
      </c>
      <c r="BC51" s="38" t="str">
        <f>IFERROR('1.vize'!BN51*100/'1.vize'!$I51,"")</f>
        <v/>
      </c>
      <c r="BD51" s="38" t="str">
        <f>IFERROR('1.vize'!BO51*100/'1.vize'!$I51,"")</f>
        <v/>
      </c>
      <c r="BE51" s="38" t="str">
        <f>IFERROR('1.vize'!BP51*100/'1.vize'!$I51,"")</f>
        <v/>
      </c>
      <c r="BF51" s="38" t="str">
        <f>IFERROR('1.vize'!BQ51*100/'1.vize'!$I51,"")</f>
        <v/>
      </c>
      <c r="BG51" s="38" t="str">
        <f>IFERROR('1.vize'!BR51*100/'1.vize'!$I51,"")</f>
        <v/>
      </c>
      <c r="BH51" s="38" t="str">
        <f>IFERROR('1.vize'!BS51*100/'1.vize'!$I51,"")</f>
        <v/>
      </c>
      <c r="BI51" s="38" t="str">
        <f>IFERROR('1.vize'!BT51*100/'1.vize'!$I51,"")</f>
        <v/>
      </c>
      <c r="BJ51" s="38" t="str">
        <f>IFERROR('1.vize'!BU51*100/'1.vize'!$I51,"")</f>
        <v/>
      </c>
      <c r="BK51" s="38" t="str">
        <f>IFERROR('1.vize'!BV51*100/'1.vize'!$I51,"")</f>
        <v/>
      </c>
      <c r="BL51" s="38" t="str">
        <f>IFERROR('1.vize'!BW51*100/'1.vize'!$I51,"")</f>
        <v/>
      </c>
      <c r="BM51" s="38" t="str">
        <f>IFERROR('1.vize'!BX51*100/'1.vize'!$I51,"")</f>
        <v/>
      </c>
      <c r="BN51" s="38" t="str">
        <f>IFERROR('1.vize'!BY51*100/'1.vize'!$I51,"")</f>
        <v/>
      </c>
      <c r="BO51" s="38" t="str">
        <f>IFERROR('1.vize'!BZ51*100/'1.vize'!$I51,"")</f>
        <v/>
      </c>
      <c r="BP51" s="38" t="str">
        <f>IFERROR('1.vize'!CA51*100/'1.vize'!$I51,"")</f>
        <v/>
      </c>
      <c r="BQ51" s="38" t="str">
        <f>IFERROR('1.vize'!CB51*100/'1.vize'!$I51,"")</f>
        <v/>
      </c>
      <c r="BR51" s="38" t="str">
        <f>IFERROR('1.vize'!CC51*100/'1.vize'!$I51,"")</f>
        <v/>
      </c>
      <c r="BS51" s="38" t="str">
        <f>IFERROR('1.vize'!CD51*100/'1.vize'!$I51,"")</f>
        <v/>
      </c>
      <c r="BT51" s="38" t="str">
        <f>IFERROR('1.vize'!CE51*100/'1.vize'!$I51,"")</f>
        <v/>
      </c>
      <c r="BU51" s="38" t="str">
        <f>IFERROR('1.vize'!CF51*100/'1.vize'!$I51,"")</f>
        <v/>
      </c>
      <c r="BV51" s="38" t="str">
        <f>IFERROR('1.vize'!CG51*100/'1.vize'!$I51,"")</f>
        <v/>
      </c>
      <c r="BW51" s="38" t="str">
        <f>IFERROR('1.vize'!CH51*100/'1.vize'!$I51,"")</f>
        <v/>
      </c>
      <c r="BX51" s="38" t="str">
        <f>IFERROR('1.vize'!CI51*100/'1.vize'!$I51,"")</f>
        <v/>
      </c>
      <c r="BY51" s="38" t="str">
        <f>IFERROR('1.vize'!CJ51*100/'1.vize'!$I51,"")</f>
        <v/>
      </c>
      <c r="BZ51" s="38" t="str">
        <f>IFERROR('1.vize'!CK51*100/'1.vize'!$I51,"")</f>
        <v/>
      </c>
      <c r="CA51" s="38" t="str">
        <f>IFERROR('1.vize'!CL51*100/'1.vize'!$I51,"")</f>
        <v/>
      </c>
      <c r="CB51" s="38" t="str">
        <f>IFERROR('1.vize'!CM51*100/'1.vize'!$I51,"")</f>
        <v/>
      </c>
      <c r="CC51" s="38" t="str">
        <f>IFERROR('1.vize'!CN51*100/'1.vize'!$I51,"")</f>
        <v/>
      </c>
      <c r="CD51" s="38" t="str">
        <f>IFERROR('1.vize'!CO51*100/'1.vize'!$I51,"")</f>
        <v/>
      </c>
      <c r="CE51" s="38" t="str">
        <f>IFERROR('1.vize'!CP51*100/'1.vize'!$I51,"")</f>
        <v/>
      </c>
      <c r="CF51" s="38" t="str">
        <f>IFERROR('1.vize'!CQ51*100/'1.vize'!$I51,"")</f>
        <v/>
      </c>
      <c r="CG51" s="38" t="str">
        <f>IFERROR('1.vize'!CR51*100/'1.vize'!$I51,"")</f>
        <v/>
      </c>
      <c r="CH51" s="38" t="str">
        <f>IFERROR('1.vize'!CS51*100/'1.vize'!$I51,"")</f>
        <v/>
      </c>
      <c r="CI51" s="38" t="str">
        <f>IFERROR('1.vize'!CT51*100/'1.vize'!$I51,"")</f>
        <v/>
      </c>
      <c r="CJ51" s="38" t="str">
        <f>IFERROR('1.vize'!CU51*100/'1.vize'!$I51,"")</f>
        <v/>
      </c>
      <c r="CK51" s="38" t="str">
        <f>IFERROR('1.vize'!CV51*100/'1.vize'!$I51,"")</f>
        <v/>
      </c>
      <c r="CL51" s="38" t="str">
        <f>IFERROR('1.vize'!CW51*100/'1.vize'!$I51,"")</f>
        <v/>
      </c>
      <c r="CM51" s="38" t="str">
        <f>IFERROR('1.vize'!CX51*100/'1.vize'!$I51,"")</f>
        <v/>
      </c>
      <c r="CN51" s="38" t="str">
        <f>IFERROR('1.vize'!CY51*100/'1.vize'!$I51,"")</f>
        <v/>
      </c>
      <c r="CO51" s="38" t="str">
        <f>IFERROR('1.vize'!CZ51*100/'1.vize'!$I51,"")</f>
        <v/>
      </c>
      <c r="CP51" s="38" t="str">
        <f>IFERROR('1.vize'!DA51*100/'1.vize'!$I51,"")</f>
        <v/>
      </c>
      <c r="CQ51" s="38" t="str">
        <f>IFERROR('1.vize'!DB51*100/'1.vize'!$I51,"")</f>
        <v/>
      </c>
      <c r="CR51" s="38" t="str">
        <f>IFERROR('1.vize'!DC51*100/'1.vize'!$I51,"")</f>
        <v/>
      </c>
      <c r="CS51" s="38" t="str">
        <f>IFERROR('1.vize'!DD51*100/'1.vize'!$I51,"")</f>
        <v/>
      </c>
      <c r="CT51" s="38" t="str">
        <f>IFERROR('1.vize'!DE51*100/'1.vize'!$I51,"")</f>
        <v/>
      </c>
      <c r="CU51" s="38" t="str">
        <f>IFERROR('1.vize'!DF51*100/'1.vize'!$I51,"")</f>
        <v/>
      </c>
      <c r="CV51" s="38" t="str">
        <f>IFERROR('1.vize'!DG51*100/'1.vize'!$I51,"")</f>
        <v/>
      </c>
      <c r="CW51" s="32" t="str">
        <f>IFERROR(SUM(A51:CV51)/'1.vize'!$DH$103,"")</f>
        <v/>
      </c>
      <c r="CX51" s="14" t="str">
        <f>IF(COUNTA('1.vize'!A51),'1.vize'!A51,"")</f>
        <v/>
      </c>
      <c r="CY51" s="14" t="str">
        <f>IF(COUNTA('1.vize'!B51),'1.vize'!B51,"")</f>
        <v/>
      </c>
      <c r="CZ51" s="14" t="str">
        <f>IF(COUNTA('1.vize'!C51),'1.vize'!C51,"")</f>
        <v/>
      </c>
      <c r="DA51" s="14" t="str">
        <f>IF(COUNTA('1.vize'!D51),'1.vize'!D51,"")</f>
        <v/>
      </c>
      <c r="DB51" s="14" t="str">
        <f>IF(COUNTA('1.vize'!E51),'1.vize'!E51,"")</f>
        <v/>
      </c>
      <c r="DC51" s="14" t="str">
        <f>IF(COUNTA('1.vize'!F51),'1.vize'!F51,"")</f>
        <v/>
      </c>
      <c r="DD51" s="14" t="str">
        <f>IF(COUNTA('1.vize'!G51),'1.vize'!G51,"")</f>
        <v/>
      </c>
      <c r="DE51" s="14" t="str">
        <f>IF(COUNTA('1.vize'!H51),'1.vize'!H51,"")</f>
        <v/>
      </c>
      <c r="DF51" s="33"/>
    </row>
    <row r="52" spans="1:110" x14ac:dyDescent="0.2">
      <c r="A52" s="38" t="str">
        <f>IFERROR('1.vize'!L52*100/'1.vize'!$I52,"")</f>
        <v/>
      </c>
      <c r="B52" s="38" t="str">
        <f>IFERROR('1.vize'!M52*100/'1.vize'!$I52,"")</f>
        <v/>
      </c>
      <c r="C52" s="38" t="str">
        <f>IFERROR('1.vize'!N52*100/'1.vize'!$I52,"")</f>
        <v/>
      </c>
      <c r="D52" s="38" t="str">
        <f>IFERROR('1.vize'!O52*100/'1.vize'!$I52,"")</f>
        <v/>
      </c>
      <c r="E52" s="38" t="str">
        <f>IFERROR('1.vize'!P52*100/'1.vize'!$I52,"")</f>
        <v/>
      </c>
      <c r="F52" s="38" t="str">
        <f>IFERROR('1.vize'!Q52*100/'1.vize'!$I52,"")</f>
        <v/>
      </c>
      <c r="G52" s="38" t="str">
        <f>IFERROR('1.vize'!R52*100/'1.vize'!$I52,"")</f>
        <v/>
      </c>
      <c r="H52" s="38" t="str">
        <f>IFERROR('1.vize'!S52*100/'1.vize'!$I52,"")</f>
        <v/>
      </c>
      <c r="I52" s="38" t="str">
        <f>IFERROR('1.vize'!T52*100/'1.vize'!$I52,"")</f>
        <v/>
      </c>
      <c r="J52" s="38" t="str">
        <f>IFERROR('1.vize'!U52*100/'1.vize'!$I52,"")</f>
        <v/>
      </c>
      <c r="K52" s="38" t="str">
        <f>IFERROR('1.vize'!V52*100/'1.vize'!$I52,"")</f>
        <v/>
      </c>
      <c r="L52" s="38" t="str">
        <f>IFERROR('1.vize'!W52*100/'1.vize'!$I52,"")</f>
        <v/>
      </c>
      <c r="M52" s="38" t="str">
        <f>IFERROR('1.vize'!X52*100/'1.vize'!$I52,"")</f>
        <v/>
      </c>
      <c r="N52" s="38" t="str">
        <f>IFERROR('1.vize'!Y52*100/'1.vize'!$I52,"")</f>
        <v/>
      </c>
      <c r="O52" s="38" t="str">
        <f>IFERROR('1.vize'!Z52*100/'1.vize'!$I52,"")</f>
        <v/>
      </c>
      <c r="P52" s="38" t="str">
        <f>IFERROR('1.vize'!AA52*100/'1.vize'!$I52,"")</f>
        <v/>
      </c>
      <c r="Q52" s="38" t="str">
        <f>IFERROR('1.vize'!AB52*100/'1.vize'!$I52,"")</f>
        <v/>
      </c>
      <c r="R52" s="38" t="str">
        <f>IFERROR('1.vize'!AC52*100/'1.vize'!$I52,"")</f>
        <v/>
      </c>
      <c r="S52" s="38" t="str">
        <f>IFERROR('1.vize'!AD52*100/'1.vize'!$I52,"")</f>
        <v/>
      </c>
      <c r="T52" s="38" t="str">
        <f>IFERROR('1.vize'!AE52*100/'1.vize'!$I52,"")</f>
        <v/>
      </c>
      <c r="U52" s="38" t="str">
        <f>IFERROR('1.vize'!AF52*100/'1.vize'!$I52,"")</f>
        <v/>
      </c>
      <c r="V52" s="38" t="str">
        <f>IFERROR('1.vize'!AG52*100/'1.vize'!$I52,"")</f>
        <v/>
      </c>
      <c r="W52" s="38" t="str">
        <f>IFERROR('1.vize'!AH52*100/'1.vize'!$I52,"")</f>
        <v/>
      </c>
      <c r="X52" s="38" t="str">
        <f>IFERROR('1.vize'!AI52*100/'1.vize'!$I52,"")</f>
        <v/>
      </c>
      <c r="Y52" s="38" t="str">
        <f>IFERROR('1.vize'!AJ52*100/'1.vize'!$I52,"")</f>
        <v/>
      </c>
      <c r="Z52" s="38" t="str">
        <f>IFERROR('1.vize'!AK52*100/'1.vize'!$I52,"")</f>
        <v/>
      </c>
      <c r="AA52" s="38" t="str">
        <f>IFERROR('1.vize'!AL52*100/'1.vize'!$I52,"")</f>
        <v/>
      </c>
      <c r="AB52" s="38" t="str">
        <f>IFERROR('1.vize'!AM52*100/'1.vize'!$I52,"")</f>
        <v/>
      </c>
      <c r="AC52" s="38" t="str">
        <f>IFERROR('1.vize'!AN52*100/'1.vize'!$I52,"")</f>
        <v/>
      </c>
      <c r="AD52" s="38" t="str">
        <f>IFERROR('1.vize'!AO52*100/'1.vize'!$I52,"")</f>
        <v/>
      </c>
      <c r="AE52" s="38" t="str">
        <f>IFERROR('1.vize'!AP52*100/'1.vize'!$I52,"")</f>
        <v/>
      </c>
      <c r="AF52" s="38" t="str">
        <f>IFERROR('1.vize'!AQ52*100/'1.vize'!$I52,"")</f>
        <v/>
      </c>
      <c r="AG52" s="38" t="str">
        <f>IFERROR('1.vize'!AR52*100/'1.vize'!$I52,"")</f>
        <v/>
      </c>
      <c r="AH52" s="38" t="str">
        <f>IFERROR('1.vize'!AS52*100/'1.vize'!$I52,"")</f>
        <v/>
      </c>
      <c r="AI52" s="38" t="str">
        <f>IFERROR('1.vize'!AT52*100/'1.vize'!$I52,"")</f>
        <v/>
      </c>
      <c r="AJ52" s="38" t="str">
        <f>IFERROR('1.vize'!AU52*100/'1.vize'!$I52,"")</f>
        <v/>
      </c>
      <c r="AK52" s="38" t="str">
        <f>IFERROR('1.vize'!AV52*100/'1.vize'!$I52,"")</f>
        <v/>
      </c>
      <c r="AL52" s="38" t="str">
        <f>IFERROR('1.vize'!AW52*100/'1.vize'!$I52,"")</f>
        <v/>
      </c>
      <c r="AM52" s="38" t="str">
        <f>IFERROR('1.vize'!AX52*100/'1.vize'!$I52,"")</f>
        <v/>
      </c>
      <c r="AN52" s="38" t="str">
        <f>IFERROR('1.vize'!AY52*100/'1.vize'!$I52,"")</f>
        <v/>
      </c>
      <c r="AO52" s="38" t="str">
        <f>IFERROR('1.vize'!AZ52*100/'1.vize'!$I52,"")</f>
        <v/>
      </c>
      <c r="AP52" s="38" t="str">
        <f>IFERROR('1.vize'!BA52*100/'1.vize'!$I52,"")</f>
        <v/>
      </c>
      <c r="AQ52" s="38" t="str">
        <f>IFERROR('1.vize'!BB52*100/'1.vize'!$I52,"")</f>
        <v/>
      </c>
      <c r="AR52" s="38" t="str">
        <f>IFERROR('1.vize'!BC52*100/'1.vize'!$I52,"")</f>
        <v/>
      </c>
      <c r="AS52" s="38" t="str">
        <f>IFERROR('1.vize'!BD52*100/'1.vize'!$I52,"")</f>
        <v/>
      </c>
      <c r="AT52" s="38" t="str">
        <f>IFERROR('1.vize'!BE52*100/'1.vize'!$I52,"")</f>
        <v/>
      </c>
      <c r="AU52" s="38" t="str">
        <f>IFERROR('1.vize'!BF52*100/'1.vize'!$I52,"")</f>
        <v/>
      </c>
      <c r="AV52" s="38" t="str">
        <f>IFERROR('1.vize'!BG52*100/'1.vize'!$I52,"")</f>
        <v/>
      </c>
      <c r="AW52" s="38" t="str">
        <f>IFERROR('1.vize'!BH52*100/'1.vize'!$I52,"")</f>
        <v/>
      </c>
      <c r="AX52" s="38" t="str">
        <f>IFERROR('1.vize'!BI52*100/'1.vize'!$I52,"")</f>
        <v/>
      </c>
      <c r="AY52" s="38" t="str">
        <f>IFERROR('1.vize'!BJ52*100/'1.vize'!$I52,"")</f>
        <v/>
      </c>
      <c r="AZ52" s="38" t="str">
        <f>IFERROR('1.vize'!BK52*100/'1.vize'!$I52,"")</f>
        <v/>
      </c>
      <c r="BA52" s="38" t="str">
        <f>IFERROR('1.vize'!BL52*100/'1.vize'!$I52,"")</f>
        <v/>
      </c>
      <c r="BB52" s="38" t="str">
        <f>IFERROR('1.vize'!BM52*100/'1.vize'!$I52,"")</f>
        <v/>
      </c>
      <c r="BC52" s="38" t="str">
        <f>IFERROR('1.vize'!BN52*100/'1.vize'!$I52,"")</f>
        <v/>
      </c>
      <c r="BD52" s="38" t="str">
        <f>IFERROR('1.vize'!BO52*100/'1.vize'!$I52,"")</f>
        <v/>
      </c>
      <c r="BE52" s="38" t="str">
        <f>IFERROR('1.vize'!BP52*100/'1.vize'!$I52,"")</f>
        <v/>
      </c>
      <c r="BF52" s="38" t="str">
        <f>IFERROR('1.vize'!BQ52*100/'1.vize'!$I52,"")</f>
        <v/>
      </c>
      <c r="BG52" s="38" t="str">
        <f>IFERROR('1.vize'!BR52*100/'1.vize'!$I52,"")</f>
        <v/>
      </c>
      <c r="BH52" s="38" t="str">
        <f>IFERROR('1.vize'!BS52*100/'1.vize'!$I52,"")</f>
        <v/>
      </c>
      <c r="BI52" s="38" t="str">
        <f>IFERROR('1.vize'!BT52*100/'1.vize'!$I52,"")</f>
        <v/>
      </c>
      <c r="BJ52" s="38" t="str">
        <f>IFERROR('1.vize'!BU52*100/'1.vize'!$I52,"")</f>
        <v/>
      </c>
      <c r="BK52" s="38" t="str">
        <f>IFERROR('1.vize'!BV52*100/'1.vize'!$I52,"")</f>
        <v/>
      </c>
      <c r="BL52" s="38" t="str">
        <f>IFERROR('1.vize'!BW52*100/'1.vize'!$I52,"")</f>
        <v/>
      </c>
      <c r="BM52" s="38" t="str">
        <f>IFERROR('1.vize'!BX52*100/'1.vize'!$I52,"")</f>
        <v/>
      </c>
      <c r="BN52" s="38" t="str">
        <f>IFERROR('1.vize'!BY52*100/'1.vize'!$I52,"")</f>
        <v/>
      </c>
      <c r="BO52" s="38" t="str">
        <f>IFERROR('1.vize'!BZ52*100/'1.vize'!$I52,"")</f>
        <v/>
      </c>
      <c r="BP52" s="38" t="str">
        <f>IFERROR('1.vize'!CA52*100/'1.vize'!$I52,"")</f>
        <v/>
      </c>
      <c r="BQ52" s="38" t="str">
        <f>IFERROR('1.vize'!CB52*100/'1.vize'!$I52,"")</f>
        <v/>
      </c>
      <c r="BR52" s="38" t="str">
        <f>IFERROR('1.vize'!CC52*100/'1.vize'!$I52,"")</f>
        <v/>
      </c>
      <c r="BS52" s="38" t="str">
        <f>IFERROR('1.vize'!CD52*100/'1.vize'!$I52,"")</f>
        <v/>
      </c>
      <c r="BT52" s="38" t="str">
        <f>IFERROR('1.vize'!CE52*100/'1.vize'!$I52,"")</f>
        <v/>
      </c>
      <c r="BU52" s="38" t="str">
        <f>IFERROR('1.vize'!CF52*100/'1.vize'!$I52,"")</f>
        <v/>
      </c>
      <c r="BV52" s="38" t="str">
        <f>IFERROR('1.vize'!CG52*100/'1.vize'!$I52,"")</f>
        <v/>
      </c>
      <c r="BW52" s="38" t="str">
        <f>IFERROR('1.vize'!CH52*100/'1.vize'!$I52,"")</f>
        <v/>
      </c>
      <c r="BX52" s="38" t="str">
        <f>IFERROR('1.vize'!CI52*100/'1.vize'!$I52,"")</f>
        <v/>
      </c>
      <c r="BY52" s="38" t="str">
        <f>IFERROR('1.vize'!CJ52*100/'1.vize'!$I52,"")</f>
        <v/>
      </c>
      <c r="BZ52" s="38" t="str">
        <f>IFERROR('1.vize'!CK52*100/'1.vize'!$I52,"")</f>
        <v/>
      </c>
      <c r="CA52" s="38" t="str">
        <f>IFERROR('1.vize'!CL52*100/'1.vize'!$I52,"")</f>
        <v/>
      </c>
      <c r="CB52" s="38" t="str">
        <f>IFERROR('1.vize'!CM52*100/'1.vize'!$I52,"")</f>
        <v/>
      </c>
      <c r="CC52" s="38" t="str">
        <f>IFERROR('1.vize'!CN52*100/'1.vize'!$I52,"")</f>
        <v/>
      </c>
      <c r="CD52" s="38" t="str">
        <f>IFERROR('1.vize'!CO52*100/'1.vize'!$I52,"")</f>
        <v/>
      </c>
      <c r="CE52" s="38" t="str">
        <f>IFERROR('1.vize'!CP52*100/'1.vize'!$I52,"")</f>
        <v/>
      </c>
      <c r="CF52" s="38" t="str">
        <f>IFERROR('1.vize'!CQ52*100/'1.vize'!$I52,"")</f>
        <v/>
      </c>
      <c r="CG52" s="38" t="str">
        <f>IFERROR('1.vize'!CR52*100/'1.vize'!$I52,"")</f>
        <v/>
      </c>
      <c r="CH52" s="38" t="str">
        <f>IFERROR('1.vize'!CS52*100/'1.vize'!$I52,"")</f>
        <v/>
      </c>
      <c r="CI52" s="38" t="str">
        <f>IFERROR('1.vize'!CT52*100/'1.vize'!$I52,"")</f>
        <v/>
      </c>
      <c r="CJ52" s="38" t="str">
        <f>IFERROR('1.vize'!CU52*100/'1.vize'!$I52,"")</f>
        <v/>
      </c>
      <c r="CK52" s="38" t="str">
        <f>IFERROR('1.vize'!CV52*100/'1.vize'!$I52,"")</f>
        <v/>
      </c>
      <c r="CL52" s="38" t="str">
        <f>IFERROR('1.vize'!CW52*100/'1.vize'!$I52,"")</f>
        <v/>
      </c>
      <c r="CM52" s="38" t="str">
        <f>IFERROR('1.vize'!CX52*100/'1.vize'!$I52,"")</f>
        <v/>
      </c>
      <c r="CN52" s="38" t="str">
        <f>IFERROR('1.vize'!CY52*100/'1.vize'!$I52,"")</f>
        <v/>
      </c>
      <c r="CO52" s="38" t="str">
        <f>IFERROR('1.vize'!CZ52*100/'1.vize'!$I52,"")</f>
        <v/>
      </c>
      <c r="CP52" s="38" t="str">
        <f>IFERROR('1.vize'!DA52*100/'1.vize'!$I52,"")</f>
        <v/>
      </c>
      <c r="CQ52" s="38" t="str">
        <f>IFERROR('1.vize'!DB52*100/'1.vize'!$I52,"")</f>
        <v/>
      </c>
      <c r="CR52" s="38" t="str">
        <f>IFERROR('1.vize'!DC52*100/'1.vize'!$I52,"")</f>
        <v/>
      </c>
      <c r="CS52" s="38" t="str">
        <f>IFERROR('1.vize'!DD52*100/'1.vize'!$I52,"")</f>
        <v/>
      </c>
      <c r="CT52" s="38" t="str">
        <f>IFERROR('1.vize'!DE52*100/'1.vize'!$I52,"")</f>
        <v/>
      </c>
      <c r="CU52" s="38" t="str">
        <f>IFERROR('1.vize'!DF52*100/'1.vize'!$I52,"")</f>
        <v/>
      </c>
      <c r="CV52" s="38" t="str">
        <f>IFERROR('1.vize'!DG52*100/'1.vize'!$I52,"")</f>
        <v/>
      </c>
      <c r="CW52" s="32" t="str">
        <f>IFERROR(SUM(A52:CV52)/'1.vize'!$DH$103,"")</f>
        <v/>
      </c>
      <c r="CX52" s="14" t="str">
        <f>IF(COUNTA('1.vize'!A52),'1.vize'!A52,"")</f>
        <v/>
      </c>
      <c r="CY52" s="14" t="str">
        <f>IF(COUNTA('1.vize'!B52),'1.vize'!B52,"")</f>
        <v/>
      </c>
      <c r="CZ52" s="14" t="str">
        <f>IF(COUNTA('1.vize'!C52),'1.vize'!C52,"")</f>
        <v/>
      </c>
      <c r="DA52" s="14" t="str">
        <f>IF(COUNTA('1.vize'!D52),'1.vize'!D52,"")</f>
        <v/>
      </c>
      <c r="DB52" s="14" t="str">
        <f>IF(COUNTA('1.vize'!E52),'1.vize'!E52,"")</f>
        <v/>
      </c>
      <c r="DC52" s="14" t="str">
        <f>IF(COUNTA('1.vize'!F52),'1.vize'!F52,"")</f>
        <v/>
      </c>
      <c r="DD52" s="14" t="str">
        <f>IF(COUNTA('1.vize'!G52),'1.vize'!G52,"")</f>
        <v/>
      </c>
      <c r="DE52" s="14" t="str">
        <f>IF(COUNTA('1.vize'!H52),'1.vize'!H52,"")</f>
        <v/>
      </c>
      <c r="DF52" s="33"/>
    </row>
    <row r="53" spans="1:110" x14ac:dyDescent="0.2">
      <c r="A53" s="38" t="str">
        <f>IFERROR('1.vize'!L53*100/'1.vize'!$I53,"")</f>
        <v/>
      </c>
      <c r="B53" s="38" t="str">
        <f>IFERROR('1.vize'!M53*100/'1.vize'!$I53,"")</f>
        <v/>
      </c>
      <c r="C53" s="38" t="str">
        <f>IFERROR('1.vize'!N53*100/'1.vize'!$I53,"")</f>
        <v/>
      </c>
      <c r="D53" s="38" t="str">
        <f>IFERROR('1.vize'!O53*100/'1.vize'!$I53,"")</f>
        <v/>
      </c>
      <c r="E53" s="38" t="str">
        <f>IFERROR('1.vize'!P53*100/'1.vize'!$I53,"")</f>
        <v/>
      </c>
      <c r="F53" s="38" t="str">
        <f>IFERROR('1.vize'!Q53*100/'1.vize'!$I53,"")</f>
        <v/>
      </c>
      <c r="G53" s="38" t="str">
        <f>IFERROR('1.vize'!R53*100/'1.vize'!$I53,"")</f>
        <v/>
      </c>
      <c r="H53" s="38" t="str">
        <f>IFERROR('1.vize'!S53*100/'1.vize'!$I53,"")</f>
        <v/>
      </c>
      <c r="I53" s="38" t="str">
        <f>IFERROR('1.vize'!T53*100/'1.vize'!$I53,"")</f>
        <v/>
      </c>
      <c r="J53" s="38" t="str">
        <f>IFERROR('1.vize'!U53*100/'1.vize'!$I53,"")</f>
        <v/>
      </c>
      <c r="K53" s="38" t="str">
        <f>IFERROR('1.vize'!V53*100/'1.vize'!$I53,"")</f>
        <v/>
      </c>
      <c r="L53" s="38" t="str">
        <f>IFERROR('1.vize'!W53*100/'1.vize'!$I53,"")</f>
        <v/>
      </c>
      <c r="M53" s="38" t="str">
        <f>IFERROR('1.vize'!X53*100/'1.vize'!$I53,"")</f>
        <v/>
      </c>
      <c r="N53" s="38" t="str">
        <f>IFERROR('1.vize'!Y53*100/'1.vize'!$I53,"")</f>
        <v/>
      </c>
      <c r="O53" s="38" t="str">
        <f>IFERROR('1.vize'!Z53*100/'1.vize'!$I53,"")</f>
        <v/>
      </c>
      <c r="P53" s="38" t="str">
        <f>IFERROR('1.vize'!AA53*100/'1.vize'!$I53,"")</f>
        <v/>
      </c>
      <c r="Q53" s="38" t="str">
        <f>IFERROR('1.vize'!AB53*100/'1.vize'!$I53,"")</f>
        <v/>
      </c>
      <c r="R53" s="38" t="str">
        <f>IFERROR('1.vize'!AC53*100/'1.vize'!$I53,"")</f>
        <v/>
      </c>
      <c r="S53" s="38" t="str">
        <f>IFERROR('1.vize'!AD53*100/'1.vize'!$I53,"")</f>
        <v/>
      </c>
      <c r="T53" s="38" t="str">
        <f>IFERROR('1.vize'!AE53*100/'1.vize'!$I53,"")</f>
        <v/>
      </c>
      <c r="U53" s="38" t="str">
        <f>IFERROR('1.vize'!AF53*100/'1.vize'!$I53,"")</f>
        <v/>
      </c>
      <c r="V53" s="38" t="str">
        <f>IFERROR('1.vize'!AG53*100/'1.vize'!$I53,"")</f>
        <v/>
      </c>
      <c r="W53" s="38" t="str">
        <f>IFERROR('1.vize'!AH53*100/'1.vize'!$I53,"")</f>
        <v/>
      </c>
      <c r="X53" s="38" t="str">
        <f>IFERROR('1.vize'!AI53*100/'1.vize'!$I53,"")</f>
        <v/>
      </c>
      <c r="Y53" s="38" t="str">
        <f>IFERROR('1.vize'!AJ53*100/'1.vize'!$I53,"")</f>
        <v/>
      </c>
      <c r="Z53" s="38" t="str">
        <f>IFERROR('1.vize'!AK53*100/'1.vize'!$I53,"")</f>
        <v/>
      </c>
      <c r="AA53" s="38" t="str">
        <f>IFERROR('1.vize'!AL53*100/'1.vize'!$I53,"")</f>
        <v/>
      </c>
      <c r="AB53" s="38" t="str">
        <f>IFERROR('1.vize'!AM53*100/'1.vize'!$I53,"")</f>
        <v/>
      </c>
      <c r="AC53" s="38" t="str">
        <f>IFERROR('1.vize'!AN53*100/'1.vize'!$I53,"")</f>
        <v/>
      </c>
      <c r="AD53" s="38" t="str">
        <f>IFERROR('1.vize'!AO53*100/'1.vize'!$I53,"")</f>
        <v/>
      </c>
      <c r="AE53" s="38" t="str">
        <f>IFERROR('1.vize'!AP53*100/'1.vize'!$I53,"")</f>
        <v/>
      </c>
      <c r="AF53" s="38" t="str">
        <f>IFERROR('1.vize'!AQ53*100/'1.vize'!$I53,"")</f>
        <v/>
      </c>
      <c r="AG53" s="38" t="str">
        <f>IFERROR('1.vize'!AR53*100/'1.vize'!$I53,"")</f>
        <v/>
      </c>
      <c r="AH53" s="38" t="str">
        <f>IFERROR('1.vize'!AS53*100/'1.vize'!$I53,"")</f>
        <v/>
      </c>
      <c r="AI53" s="38" t="str">
        <f>IFERROR('1.vize'!AT53*100/'1.vize'!$I53,"")</f>
        <v/>
      </c>
      <c r="AJ53" s="38" t="str">
        <f>IFERROR('1.vize'!AU53*100/'1.vize'!$I53,"")</f>
        <v/>
      </c>
      <c r="AK53" s="38" t="str">
        <f>IFERROR('1.vize'!AV53*100/'1.vize'!$I53,"")</f>
        <v/>
      </c>
      <c r="AL53" s="38" t="str">
        <f>IFERROR('1.vize'!AW53*100/'1.vize'!$I53,"")</f>
        <v/>
      </c>
      <c r="AM53" s="38" t="str">
        <f>IFERROR('1.vize'!AX53*100/'1.vize'!$I53,"")</f>
        <v/>
      </c>
      <c r="AN53" s="38" t="str">
        <f>IFERROR('1.vize'!AY53*100/'1.vize'!$I53,"")</f>
        <v/>
      </c>
      <c r="AO53" s="38" t="str">
        <f>IFERROR('1.vize'!AZ53*100/'1.vize'!$I53,"")</f>
        <v/>
      </c>
      <c r="AP53" s="38" t="str">
        <f>IFERROR('1.vize'!BA53*100/'1.vize'!$I53,"")</f>
        <v/>
      </c>
      <c r="AQ53" s="38" t="str">
        <f>IFERROR('1.vize'!BB53*100/'1.vize'!$I53,"")</f>
        <v/>
      </c>
      <c r="AR53" s="38" t="str">
        <f>IFERROR('1.vize'!BC53*100/'1.vize'!$I53,"")</f>
        <v/>
      </c>
      <c r="AS53" s="38" t="str">
        <f>IFERROR('1.vize'!BD53*100/'1.vize'!$I53,"")</f>
        <v/>
      </c>
      <c r="AT53" s="38" t="str">
        <f>IFERROR('1.vize'!BE53*100/'1.vize'!$I53,"")</f>
        <v/>
      </c>
      <c r="AU53" s="38" t="str">
        <f>IFERROR('1.vize'!BF53*100/'1.vize'!$I53,"")</f>
        <v/>
      </c>
      <c r="AV53" s="38" t="str">
        <f>IFERROR('1.vize'!BG53*100/'1.vize'!$I53,"")</f>
        <v/>
      </c>
      <c r="AW53" s="38" t="str">
        <f>IFERROR('1.vize'!BH53*100/'1.vize'!$I53,"")</f>
        <v/>
      </c>
      <c r="AX53" s="38" t="str">
        <f>IFERROR('1.vize'!BI53*100/'1.vize'!$I53,"")</f>
        <v/>
      </c>
      <c r="AY53" s="38" t="str">
        <f>IFERROR('1.vize'!BJ53*100/'1.vize'!$I53,"")</f>
        <v/>
      </c>
      <c r="AZ53" s="38" t="str">
        <f>IFERROR('1.vize'!BK53*100/'1.vize'!$I53,"")</f>
        <v/>
      </c>
      <c r="BA53" s="38" t="str">
        <f>IFERROR('1.vize'!BL53*100/'1.vize'!$I53,"")</f>
        <v/>
      </c>
      <c r="BB53" s="38" t="str">
        <f>IFERROR('1.vize'!BM53*100/'1.vize'!$I53,"")</f>
        <v/>
      </c>
      <c r="BC53" s="38" t="str">
        <f>IFERROR('1.vize'!BN53*100/'1.vize'!$I53,"")</f>
        <v/>
      </c>
      <c r="BD53" s="38" t="str">
        <f>IFERROR('1.vize'!BO53*100/'1.vize'!$I53,"")</f>
        <v/>
      </c>
      <c r="BE53" s="38" t="str">
        <f>IFERROR('1.vize'!BP53*100/'1.vize'!$I53,"")</f>
        <v/>
      </c>
      <c r="BF53" s="38" t="str">
        <f>IFERROR('1.vize'!BQ53*100/'1.vize'!$I53,"")</f>
        <v/>
      </c>
      <c r="BG53" s="38" t="str">
        <f>IFERROR('1.vize'!BR53*100/'1.vize'!$I53,"")</f>
        <v/>
      </c>
      <c r="BH53" s="38" t="str">
        <f>IFERROR('1.vize'!BS53*100/'1.vize'!$I53,"")</f>
        <v/>
      </c>
      <c r="BI53" s="38" t="str">
        <f>IFERROR('1.vize'!BT53*100/'1.vize'!$I53,"")</f>
        <v/>
      </c>
      <c r="BJ53" s="38" t="str">
        <f>IFERROR('1.vize'!BU53*100/'1.vize'!$I53,"")</f>
        <v/>
      </c>
      <c r="BK53" s="38" t="str">
        <f>IFERROR('1.vize'!BV53*100/'1.vize'!$I53,"")</f>
        <v/>
      </c>
      <c r="BL53" s="38" t="str">
        <f>IFERROR('1.vize'!BW53*100/'1.vize'!$I53,"")</f>
        <v/>
      </c>
      <c r="BM53" s="38" t="str">
        <f>IFERROR('1.vize'!BX53*100/'1.vize'!$I53,"")</f>
        <v/>
      </c>
      <c r="BN53" s="38" t="str">
        <f>IFERROR('1.vize'!BY53*100/'1.vize'!$I53,"")</f>
        <v/>
      </c>
      <c r="BO53" s="38" t="str">
        <f>IFERROR('1.vize'!BZ53*100/'1.vize'!$I53,"")</f>
        <v/>
      </c>
      <c r="BP53" s="38" t="str">
        <f>IFERROR('1.vize'!CA53*100/'1.vize'!$I53,"")</f>
        <v/>
      </c>
      <c r="BQ53" s="38" t="str">
        <f>IFERROR('1.vize'!CB53*100/'1.vize'!$I53,"")</f>
        <v/>
      </c>
      <c r="BR53" s="38" t="str">
        <f>IFERROR('1.vize'!CC53*100/'1.vize'!$I53,"")</f>
        <v/>
      </c>
      <c r="BS53" s="38" t="str">
        <f>IFERROR('1.vize'!CD53*100/'1.vize'!$I53,"")</f>
        <v/>
      </c>
      <c r="BT53" s="38" t="str">
        <f>IFERROR('1.vize'!CE53*100/'1.vize'!$I53,"")</f>
        <v/>
      </c>
      <c r="BU53" s="38" t="str">
        <f>IFERROR('1.vize'!CF53*100/'1.vize'!$I53,"")</f>
        <v/>
      </c>
      <c r="BV53" s="38" t="str">
        <f>IFERROR('1.vize'!CG53*100/'1.vize'!$I53,"")</f>
        <v/>
      </c>
      <c r="BW53" s="38" t="str">
        <f>IFERROR('1.vize'!CH53*100/'1.vize'!$I53,"")</f>
        <v/>
      </c>
      <c r="BX53" s="38" t="str">
        <f>IFERROR('1.vize'!CI53*100/'1.vize'!$I53,"")</f>
        <v/>
      </c>
      <c r="BY53" s="38" t="str">
        <f>IFERROR('1.vize'!CJ53*100/'1.vize'!$I53,"")</f>
        <v/>
      </c>
      <c r="BZ53" s="38" t="str">
        <f>IFERROR('1.vize'!CK53*100/'1.vize'!$I53,"")</f>
        <v/>
      </c>
      <c r="CA53" s="38" t="str">
        <f>IFERROR('1.vize'!CL53*100/'1.vize'!$I53,"")</f>
        <v/>
      </c>
      <c r="CB53" s="38" t="str">
        <f>IFERROR('1.vize'!CM53*100/'1.vize'!$I53,"")</f>
        <v/>
      </c>
      <c r="CC53" s="38" t="str">
        <f>IFERROR('1.vize'!CN53*100/'1.vize'!$I53,"")</f>
        <v/>
      </c>
      <c r="CD53" s="38" t="str">
        <f>IFERROR('1.vize'!CO53*100/'1.vize'!$I53,"")</f>
        <v/>
      </c>
      <c r="CE53" s="38" t="str">
        <f>IFERROR('1.vize'!CP53*100/'1.vize'!$I53,"")</f>
        <v/>
      </c>
      <c r="CF53" s="38" t="str">
        <f>IFERROR('1.vize'!CQ53*100/'1.vize'!$I53,"")</f>
        <v/>
      </c>
      <c r="CG53" s="38" t="str">
        <f>IFERROR('1.vize'!CR53*100/'1.vize'!$I53,"")</f>
        <v/>
      </c>
      <c r="CH53" s="38" t="str">
        <f>IFERROR('1.vize'!CS53*100/'1.vize'!$I53,"")</f>
        <v/>
      </c>
      <c r="CI53" s="38" t="str">
        <f>IFERROR('1.vize'!CT53*100/'1.vize'!$I53,"")</f>
        <v/>
      </c>
      <c r="CJ53" s="38" t="str">
        <f>IFERROR('1.vize'!CU53*100/'1.vize'!$I53,"")</f>
        <v/>
      </c>
      <c r="CK53" s="38" t="str">
        <f>IFERROR('1.vize'!CV53*100/'1.vize'!$I53,"")</f>
        <v/>
      </c>
      <c r="CL53" s="38" t="str">
        <f>IFERROR('1.vize'!CW53*100/'1.vize'!$I53,"")</f>
        <v/>
      </c>
      <c r="CM53" s="38" t="str">
        <f>IFERROR('1.vize'!CX53*100/'1.vize'!$I53,"")</f>
        <v/>
      </c>
      <c r="CN53" s="38" t="str">
        <f>IFERROR('1.vize'!CY53*100/'1.vize'!$I53,"")</f>
        <v/>
      </c>
      <c r="CO53" s="38" t="str">
        <f>IFERROR('1.vize'!CZ53*100/'1.vize'!$I53,"")</f>
        <v/>
      </c>
      <c r="CP53" s="38" t="str">
        <f>IFERROR('1.vize'!DA53*100/'1.vize'!$I53,"")</f>
        <v/>
      </c>
      <c r="CQ53" s="38" t="str">
        <f>IFERROR('1.vize'!DB53*100/'1.vize'!$I53,"")</f>
        <v/>
      </c>
      <c r="CR53" s="38" t="str">
        <f>IFERROR('1.vize'!DC53*100/'1.vize'!$I53,"")</f>
        <v/>
      </c>
      <c r="CS53" s="38" t="str">
        <f>IFERROR('1.vize'!DD53*100/'1.vize'!$I53,"")</f>
        <v/>
      </c>
      <c r="CT53" s="38" t="str">
        <f>IFERROR('1.vize'!DE53*100/'1.vize'!$I53,"")</f>
        <v/>
      </c>
      <c r="CU53" s="38" t="str">
        <f>IFERROR('1.vize'!DF53*100/'1.vize'!$I53,"")</f>
        <v/>
      </c>
      <c r="CV53" s="38" t="str">
        <f>IFERROR('1.vize'!DG53*100/'1.vize'!$I53,"")</f>
        <v/>
      </c>
      <c r="CW53" s="32" t="str">
        <f>IFERROR(SUM(A53:CV53)/'1.vize'!$DH$103,"")</f>
        <v/>
      </c>
      <c r="CX53" s="14" t="str">
        <f>IF(COUNTA('1.vize'!A53),'1.vize'!A53,"")</f>
        <v/>
      </c>
      <c r="CY53" s="14" t="str">
        <f>IF(COUNTA('1.vize'!B53),'1.vize'!B53,"")</f>
        <v/>
      </c>
      <c r="CZ53" s="14" t="str">
        <f>IF(COUNTA('1.vize'!C53),'1.vize'!C53,"")</f>
        <v/>
      </c>
      <c r="DA53" s="14" t="str">
        <f>IF(COUNTA('1.vize'!D53),'1.vize'!D53,"")</f>
        <v/>
      </c>
      <c r="DB53" s="14" t="str">
        <f>IF(COUNTA('1.vize'!E53),'1.vize'!E53,"")</f>
        <v/>
      </c>
      <c r="DC53" s="14" t="str">
        <f>IF(COUNTA('1.vize'!F53),'1.vize'!F53,"")</f>
        <v/>
      </c>
      <c r="DD53" s="14" t="str">
        <f>IF(COUNTA('1.vize'!G53),'1.vize'!G53,"")</f>
        <v/>
      </c>
      <c r="DE53" s="14" t="str">
        <f>IF(COUNTA('1.vize'!H53),'1.vize'!H53,"")</f>
        <v/>
      </c>
      <c r="DF53" s="33"/>
    </row>
    <row r="54" spans="1:110" x14ac:dyDescent="0.2">
      <c r="A54" s="38" t="str">
        <f>IFERROR('1.vize'!L54*100/'1.vize'!$I54,"")</f>
        <v/>
      </c>
      <c r="B54" s="38" t="str">
        <f>IFERROR('1.vize'!M54*100/'1.vize'!$I54,"")</f>
        <v/>
      </c>
      <c r="C54" s="38" t="str">
        <f>IFERROR('1.vize'!N54*100/'1.vize'!$I54,"")</f>
        <v/>
      </c>
      <c r="D54" s="38" t="str">
        <f>IFERROR('1.vize'!O54*100/'1.vize'!$I54,"")</f>
        <v/>
      </c>
      <c r="E54" s="38" t="str">
        <f>IFERROR('1.vize'!P54*100/'1.vize'!$I54,"")</f>
        <v/>
      </c>
      <c r="F54" s="38" t="str">
        <f>IFERROR('1.vize'!Q54*100/'1.vize'!$I54,"")</f>
        <v/>
      </c>
      <c r="G54" s="38" t="str">
        <f>IFERROR('1.vize'!R54*100/'1.vize'!$I54,"")</f>
        <v/>
      </c>
      <c r="H54" s="38" t="str">
        <f>IFERROR('1.vize'!S54*100/'1.vize'!$I54,"")</f>
        <v/>
      </c>
      <c r="I54" s="38" t="str">
        <f>IFERROR('1.vize'!T54*100/'1.vize'!$I54,"")</f>
        <v/>
      </c>
      <c r="J54" s="38" t="str">
        <f>IFERROR('1.vize'!U54*100/'1.vize'!$I54,"")</f>
        <v/>
      </c>
      <c r="K54" s="38" t="str">
        <f>IFERROR('1.vize'!V54*100/'1.vize'!$I54,"")</f>
        <v/>
      </c>
      <c r="L54" s="38" t="str">
        <f>IFERROR('1.vize'!W54*100/'1.vize'!$I54,"")</f>
        <v/>
      </c>
      <c r="M54" s="38" t="str">
        <f>IFERROR('1.vize'!X54*100/'1.vize'!$I54,"")</f>
        <v/>
      </c>
      <c r="N54" s="38" t="str">
        <f>IFERROR('1.vize'!Y54*100/'1.vize'!$I54,"")</f>
        <v/>
      </c>
      <c r="O54" s="38" t="str">
        <f>IFERROR('1.vize'!Z54*100/'1.vize'!$I54,"")</f>
        <v/>
      </c>
      <c r="P54" s="38" t="str">
        <f>IFERROR('1.vize'!AA54*100/'1.vize'!$I54,"")</f>
        <v/>
      </c>
      <c r="Q54" s="38" t="str">
        <f>IFERROR('1.vize'!AB54*100/'1.vize'!$I54,"")</f>
        <v/>
      </c>
      <c r="R54" s="38" t="str">
        <f>IFERROR('1.vize'!AC54*100/'1.vize'!$I54,"")</f>
        <v/>
      </c>
      <c r="S54" s="38" t="str">
        <f>IFERROR('1.vize'!AD54*100/'1.vize'!$I54,"")</f>
        <v/>
      </c>
      <c r="T54" s="38" t="str">
        <f>IFERROR('1.vize'!AE54*100/'1.vize'!$I54,"")</f>
        <v/>
      </c>
      <c r="U54" s="38" t="str">
        <f>IFERROR('1.vize'!AF54*100/'1.vize'!$I54,"")</f>
        <v/>
      </c>
      <c r="V54" s="38" t="str">
        <f>IFERROR('1.vize'!AG54*100/'1.vize'!$I54,"")</f>
        <v/>
      </c>
      <c r="W54" s="38" t="str">
        <f>IFERROR('1.vize'!AH54*100/'1.vize'!$I54,"")</f>
        <v/>
      </c>
      <c r="X54" s="38" t="str">
        <f>IFERROR('1.vize'!AI54*100/'1.vize'!$I54,"")</f>
        <v/>
      </c>
      <c r="Y54" s="38" t="str">
        <f>IFERROR('1.vize'!AJ54*100/'1.vize'!$I54,"")</f>
        <v/>
      </c>
      <c r="Z54" s="38" t="str">
        <f>IFERROR('1.vize'!AK54*100/'1.vize'!$I54,"")</f>
        <v/>
      </c>
      <c r="AA54" s="38" t="str">
        <f>IFERROR('1.vize'!AL54*100/'1.vize'!$I54,"")</f>
        <v/>
      </c>
      <c r="AB54" s="38" t="str">
        <f>IFERROR('1.vize'!AM54*100/'1.vize'!$I54,"")</f>
        <v/>
      </c>
      <c r="AC54" s="38" t="str">
        <f>IFERROR('1.vize'!AN54*100/'1.vize'!$I54,"")</f>
        <v/>
      </c>
      <c r="AD54" s="38" t="str">
        <f>IFERROR('1.vize'!AO54*100/'1.vize'!$I54,"")</f>
        <v/>
      </c>
      <c r="AE54" s="38" t="str">
        <f>IFERROR('1.vize'!AP54*100/'1.vize'!$I54,"")</f>
        <v/>
      </c>
      <c r="AF54" s="38" t="str">
        <f>IFERROR('1.vize'!AQ54*100/'1.vize'!$I54,"")</f>
        <v/>
      </c>
      <c r="AG54" s="38" t="str">
        <f>IFERROR('1.vize'!AR54*100/'1.vize'!$I54,"")</f>
        <v/>
      </c>
      <c r="AH54" s="38" t="str">
        <f>IFERROR('1.vize'!AS54*100/'1.vize'!$I54,"")</f>
        <v/>
      </c>
      <c r="AI54" s="38" t="str">
        <f>IFERROR('1.vize'!AT54*100/'1.vize'!$I54,"")</f>
        <v/>
      </c>
      <c r="AJ54" s="38" t="str">
        <f>IFERROR('1.vize'!AU54*100/'1.vize'!$I54,"")</f>
        <v/>
      </c>
      <c r="AK54" s="38" t="str">
        <f>IFERROR('1.vize'!AV54*100/'1.vize'!$I54,"")</f>
        <v/>
      </c>
      <c r="AL54" s="38" t="str">
        <f>IFERROR('1.vize'!AW54*100/'1.vize'!$I54,"")</f>
        <v/>
      </c>
      <c r="AM54" s="38" t="str">
        <f>IFERROR('1.vize'!AX54*100/'1.vize'!$I54,"")</f>
        <v/>
      </c>
      <c r="AN54" s="38" t="str">
        <f>IFERROR('1.vize'!AY54*100/'1.vize'!$I54,"")</f>
        <v/>
      </c>
      <c r="AO54" s="38" t="str">
        <f>IFERROR('1.vize'!AZ54*100/'1.vize'!$I54,"")</f>
        <v/>
      </c>
      <c r="AP54" s="38" t="str">
        <f>IFERROR('1.vize'!BA54*100/'1.vize'!$I54,"")</f>
        <v/>
      </c>
      <c r="AQ54" s="38" t="str">
        <f>IFERROR('1.vize'!BB54*100/'1.vize'!$I54,"")</f>
        <v/>
      </c>
      <c r="AR54" s="38" t="str">
        <f>IFERROR('1.vize'!BC54*100/'1.vize'!$I54,"")</f>
        <v/>
      </c>
      <c r="AS54" s="38" t="str">
        <f>IFERROR('1.vize'!BD54*100/'1.vize'!$I54,"")</f>
        <v/>
      </c>
      <c r="AT54" s="38" t="str">
        <f>IFERROR('1.vize'!BE54*100/'1.vize'!$I54,"")</f>
        <v/>
      </c>
      <c r="AU54" s="38" t="str">
        <f>IFERROR('1.vize'!BF54*100/'1.vize'!$I54,"")</f>
        <v/>
      </c>
      <c r="AV54" s="38" t="str">
        <f>IFERROR('1.vize'!BG54*100/'1.vize'!$I54,"")</f>
        <v/>
      </c>
      <c r="AW54" s="38" t="str">
        <f>IFERROR('1.vize'!BH54*100/'1.vize'!$I54,"")</f>
        <v/>
      </c>
      <c r="AX54" s="38" t="str">
        <f>IFERROR('1.vize'!BI54*100/'1.vize'!$I54,"")</f>
        <v/>
      </c>
      <c r="AY54" s="38" t="str">
        <f>IFERROR('1.vize'!BJ54*100/'1.vize'!$I54,"")</f>
        <v/>
      </c>
      <c r="AZ54" s="38" t="str">
        <f>IFERROR('1.vize'!BK54*100/'1.vize'!$I54,"")</f>
        <v/>
      </c>
      <c r="BA54" s="38" t="str">
        <f>IFERROR('1.vize'!BL54*100/'1.vize'!$I54,"")</f>
        <v/>
      </c>
      <c r="BB54" s="38" t="str">
        <f>IFERROR('1.vize'!BM54*100/'1.vize'!$I54,"")</f>
        <v/>
      </c>
      <c r="BC54" s="38" t="str">
        <f>IFERROR('1.vize'!BN54*100/'1.vize'!$I54,"")</f>
        <v/>
      </c>
      <c r="BD54" s="38" t="str">
        <f>IFERROR('1.vize'!BO54*100/'1.vize'!$I54,"")</f>
        <v/>
      </c>
      <c r="BE54" s="38" t="str">
        <f>IFERROR('1.vize'!BP54*100/'1.vize'!$I54,"")</f>
        <v/>
      </c>
      <c r="BF54" s="38" t="str">
        <f>IFERROR('1.vize'!BQ54*100/'1.vize'!$I54,"")</f>
        <v/>
      </c>
      <c r="BG54" s="38" t="str">
        <f>IFERROR('1.vize'!BR54*100/'1.vize'!$I54,"")</f>
        <v/>
      </c>
      <c r="BH54" s="38" t="str">
        <f>IFERROR('1.vize'!BS54*100/'1.vize'!$I54,"")</f>
        <v/>
      </c>
      <c r="BI54" s="38" t="str">
        <f>IFERROR('1.vize'!BT54*100/'1.vize'!$I54,"")</f>
        <v/>
      </c>
      <c r="BJ54" s="38" t="str">
        <f>IFERROR('1.vize'!BU54*100/'1.vize'!$I54,"")</f>
        <v/>
      </c>
      <c r="BK54" s="38" t="str">
        <f>IFERROR('1.vize'!BV54*100/'1.vize'!$I54,"")</f>
        <v/>
      </c>
      <c r="BL54" s="38" t="str">
        <f>IFERROR('1.vize'!BW54*100/'1.vize'!$I54,"")</f>
        <v/>
      </c>
      <c r="BM54" s="38" t="str">
        <f>IFERROR('1.vize'!BX54*100/'1.vize'!$I54,"")</f>
        <v/>
      </c>
      <c r="BN54" s="38" t="str">
        <f>IFERROR('1.vize'!BY54*100/'1.vize'!$I54,"")</f>
        <v/>
      </c>
      <c r="BO54" s="38" t="str">
        <f>IFERROR('1.vize'!BZ54*100/'1.vize'!$I54,"")</f>
        <v/>
      </c>
      <c r="BP54" s="38" t="str">
        <f>IFERROR('1.vize'!CA54*100/'1.vize'!$I54,"")</f>
        <v/>
      </c>
      <c r="BQ54" s="38" t="str">
        <f>IFERROR('1.vize'!CB54*100/'1.vize'!$I54,"")</f>
        <v/>
      </c>
      <c r="BR54" s="38" t="str">
        <f>IFERROR('1.vize'!CC54*100/'1.vize'!$I54,"")</f>
        <v/>
      </c>
      <c r="BS54" s="38" t="str">
        <f>IFERROR('1.vize'!CD54*100/'1.vize'!$I54,"")</f>
        <v/>
      </c>
      <c r="BT54" s="38" t="str">
        <f>IFERROR('1.vize'!CE54*100/'1.vize'!$I54,"")</f>
        <v/>
      </c>
      <c r="BU54" s="38" t="str">
        <f>IFERROR('1.vize'!CF54*100/'1.vize'!$I54,"")</f>
        <v/>
      </c>
      <c r="BV54" s="38" t="str">
        <f>IFERROR('1.vize'!CG54*100/'1.vize'!$I54,"")</f>
        <v/>
      </c>
      <c r="BW54" s="38" t="str">
        <f>IFERROR('1.vize'!CH54*100/'1.vize'!$I54,"")</f>
        <v/>
      </c>
      <c r="BX54" s="38" t="str">
        <f>IFERROR('1.vize'!CI54*100/'1.vize'!$I54,"")</f>
        <v/>
      </c>
      <c r="BY54" s="38" t="str">
        <f>IFERROR('1.vize'!CJ54*100/'1.vize'!$I54,"")</f>
        <v/>
      </c>
      <c r="BZ54" s="38" t="str">
        <f>IFERROR('1.vize'!CK54*100/'1.vize'!$I54,"")</f>
        <v/>
      </c>
      <c r="CA54" s="38" t="str">
        <f>IFERROR('1.vize'!CL54*100/'1.vize'!$I54,"")</f>
        <v/>
      </c>
      <c r="CB54" s="38" t="str">
        <f>IFERROR('1.vize'!CM54*100/'1.vize'!$I54,"")</f>
        <v/>
      </c>
      <c r="CC54" s="38" t="str">
        <f>IFERROR('1.vize'!CN54*100/'1.vize'!$I54,"")</f>
        <v/>
      </c>
      <c r="CD54" s="38" t="str">
        <f>IFERROR('1.vize'!CO54*100/'1.vize'!$I54,"")</f>
        <v/>
      </c>
      <c r="CE54" s="38" t="str">
        <f>IFERROR('1.vize'!CP54*100/'1.vize'!$I54,"")</f>
        <v/>
      </c>
      <c r="CF54" s="38" t="str">
        <f>IFERROR('1.vize'!CQ54*100/'1.vize'!$I54,"")</f>
        <v/>
      </c>
      <c r="CG54" s="38" t="str">
        <f>IFERROR('1.vize'!CR54*100/'1.vize'!$I54,"")</f>
        <v/>
      </c>
      <c r="CH54" s="38" t="str">
        <f>IFERROR('1.vize'!CS54*100/'1.vize'!$I54,"")</f>
        <v/>
      </c>
      <c r="CI54" s="38" t="str">
        <f>IFERROR('1.vize'!CT54*100/'1.vize'!$I54,"")</f>
        <v/>
      </c>
      <c r="CJ54" s="38" t="str">
        <f>IFERROR('1.vize'!CU54*100/'1.vize'!$I54,"")</f>
        <v/>
      </c>
      <c r="CK54" s="38" t="str">
        <f>IFERROR('1.vize'!CV54*100/'1.vize'!$I54,"")</f>
        <v/>
      </c>
      <c r="CL54" s="38" t="str">
        <f>IFERROR('1.vize'!CW54*100/'1.vize'!$I54,"")</f>
        <v/>
      </c>
      <c r="CM54" s="38" t="str">
        <f>IFERROR('1.vize'!CX54*100/'1.vize'!$I54,"")</f>
        <v/>
      </c>
      <c r="CN54" s="38" t="str">
        <f>IFERROR('1.vize'!CY54*100/'1.vize'!$I54,"")</f>
        <v/>
      </c>
      <c r="CO54" s="38" t="str">
        <f>IFERROR('1.vize'!CZ54*100/'1.vize'!$I54,"")</f>
        <v/>
      </c>
      <c r="CP54" s="38" t="str">
        <f>IFERROR('1.vize'!DA54*100/'1.vize'!$I54,"")</f>
        <v/>
      </c>
      <c r="CQ54" s="38" t="str">
        <f>IFERROR('1.vize'!DB54*100/'1.vize'!$I54,"")</f>
        <v/>
      </c>
      <c r="CR54" s="38" t="str">
        <f>IFERROR('1.vize'!DC54*100/'1.vize'!$I54,"")</f>
        <v/>
      </c>
      <c r="CS54" s="38" t="str">
        <f>IFERROR('1.vize'!DD54*100/'1.vize'!$I54,"")</f>
        <v/>
      </c>
      <c r="CT54" s="38" t="str">
        <f>IFERROR('1.vize'!DE54*100/'1.vize'!$I54,"")</f>
        <v/>
      </c>
      <c r="CU54" s="38" t="str">
        <f>IFERROR('1.vize'!DF54*100/'1.vize'!$I54,"")</f>
        <v/>
      </c>
      <c r="CV54" s="38" t="str">
        <f>IFERROR('1.vize'!DG54*100/'1.vize'!$I54,"")</f>
        <v/>
      </c>
      <c r="CW54" s="32" t="str">
        <f>IFERROR(SUM(A54:CV54)/'1.vize'!$DH$103,"")</f>
        <v/>
      </c>
      <c r="CX54" s="14" t="str">
        <f>IF(COUNTA('1.vize'!A54),'1.vize'!A54,"")</f>
        <v/>
      </c>
      <c r="CY54" s="14" t="str">
        <f>IF(COUNTA('1.vize'!B54),'1.vize'!B54,"")</f>
        <v/>
      </c>
      <c r="CZ54" s="14" t="str">
        <f>IF(COUNTA('1.vize'!C54),'1.vize'!C54,"")</f>
        <v/>
      </c>
      <c r="DA54" s="14" t="str">
        <f>IF(COUNTA('1.vize'!D54),'1.vize'!D54,"")</f>
        <v/>
      </c>
      <c r="DB54" s="14" t="str">
        <f>IF(COUNTA('1.vize'!E54),'1.vize'!E54,"")</f>
        <v/>
      </c>
      <c r="DC54" s="14" t="str">
        <f>IF(COUNTA('1.vize'!F54),'1.vize'!F54,"")</f>
        <v/>
      </c>
      <c r="DD54" s="14" t="str">
        <f>IF(COUNTA('1.vize'!G54),'1.vize'!G54,"")</f>
        <v/>
      </c>
      <c r="DE54" s="14" t="str">
        <f>IF(COUNTA('1.vize'!H54),'1.vize'!H54,"")</f>
        <v/>
      </c>
      <c r="DF54" s="33"/>
    </row>
    <row r="55" spans="1:110" x14ac:dyDescent="0.2">
      <c r="A55" s="38" t="str">
        <f>IFERROR('1.vize'!L55*100/'1.vize'!$I55,"")</f>
        <v/>
      </c>
      <c r="B55" s="38" t="str">
        <f>IFERROR('1.vize'!M55*100/'1.vize'!$I55,"")</f>
        <v/>
      </c>
      <c r="C55" s="38" t="str">
        <f>IFERROR('1.vize'!N55*100/'1.vize'!$I55,"")</f>
        <v/>
      </c>
      <c r="D55" s="38" t="str">
        <f>IFERROR('1.vize'!O55*100/'1.vize'!$I55,"")</f>
        <v/>
      </c>
      <c r="E55" s="38" t="str">
        <f>IFERROR('1.vize'!P55*100/'1.vize'!$I55,"")</f>
        <v/>
      </c>
      <c r="F55" s="38" t="str">
        <f>IFERROR('1.vize'!Q55*100/'1.vize'!$I55,"")</f>
        <v/>
      </c>
      <c r="G55" s="38" t="str">
        <f>IFERROR('1.vize'!R55*100/'1.vize'!$I55,"")</f>
        <v/>
      </c>
      <c r="H55" s="38" t="str">
        <f>IFERROR('1.vize'!S55*100/'1.vize'!$I55,"")</f>
        <v/>
      </c>
      <c r="I55" s="38" t="str">
        <f>IFERROR('1.vize'!T55*100/'1.vize'!$I55,"")</f>
        <v/>
      </c>
      <c r="J55" s="38" t="str">
        <f>IFERROR('1.vize'!U55*100/'1.vize'!$I55,"")</f>
        <v/>
      </c>
      <c r="K55" s="38" t="str">
        <f>IFERROR('1.vize'!V55*100/'1.vize'!$I55,"")</f>
        <v/>
      </c>
      <c r="L55" s="38" t="str">
        <f>IFERROR('1.vize'!W55*100/'1.vize'!$I55,"")</f>
        <v/>
      </c>
      <c r="M55" s="38" t="str">
        <f>IFERROR('1.vize'!X55*100/'1.vize'!$I55,"")</f>
        <v/>
      </c>
      <c r="N55" s="38" t="str">
        <f>IFERROR('1.vize'!Y55*100/'1.vize'!$I55,"")</f>
        <v/>
      </c>
      <c r="O55" s="38" t="str">
        <f>IFERROR('1.vize'!Z55*100/'1.vize'!$I55,"")</f>
        <v/>
      </c>
      <c r="P55" s="38" t="str">
        <f>IFERROR('1.vize'!AA55*100/'1.vize'!$I55,"")</f>
        <v/>
      </c>
      <c r="Q55" s="38" t="str">
        <f>IFERROR('1.vize'!AB55*100/'1.vize'!$I55,"")</f>
        <v/>
      </c>
      <c r="R55" s="38" t="str">
        <f>IFERROR('1.vize'!AC55*100/'1.vize'!$I55,"")</f>
        <v/>
      </c>
      <c r="S55" s="38" t="str">
        <f>IFERROR('1.vize'!AD55*100/'1.vize'!$I55,"")</f>
        <v/>
      </c>
      <c r="T55" s="38" t="str">
        <f>IFERROR('1.vize'!AE55*100/'1.vize'!$I55,"")</f>
        <v/>
      </c>
      <c r="U55" s="38" t="str">
        <f>IFERROR('1.vize'!AF55*100/'1.vize'!$I55,"")</f>
        <v/>
      </c>
      <c r="V55" s="38" t="str">
        <f>IFERROR('1.vize'!AG55*100/'1.vize'!$I55,"")</f>
        <v/>
      </c>
      <c r="W55" s="38" t="str">
        <f>IFERROR('1.vize'!AH55*100/'1.vize'!$I55,"")</f>
        <v/>
      </c>
      <c r="X55" s="38" t="str">
        <f>IFERROR('1.vize'!AI55*100/'1.vize'!$I55,"")</f>
        <v/>
      </c>
      <c r="Y55" s="38" t="str">
        <f>IFERROR('1.vize'!AJ55*100/'1.vize'!$I55,"")</f>
        <v/>
      </c>
      <c r="Z55" s="38" t="str">
        <f>IFERROR('1.vize'!AK55*100/'1.vize'!$I55,"")</f>
        <v/>
      </c>
      <c r="AA55" s="38" t="str">
        <f>IFERROR('1.vize'!AL55*100/'1.vize'!$I55,"")</f>
        <v/>
      </c>
      <c r="AB55" s="38" t="str">
        <f>IFERROR('1.vize'!AM55*100/'1.vize'!$I55,"")</f>
        <v/>
      </c>
      <c r="AC55" s="38" t="str">
        <f>IFERROR('1.vize'!AN55*100/'1.vize'!$I55,"")</f>
        <v/>
      </c>
      <c r="AD55" s="38" t="str">
        <f>IFERROR('1.vize'!AO55*100/'1.vize'!$I55,"")</f>
        <v/>
      </c>
      <c r="AE55" s="38" t="str">
        <f>IFERROR('1.vize'!AP55*100/'1.vize'!$I55,"")</f>
        <v/>
      </c>
      <c r="AF55" s="38" t="str">
        <f>IFERROR('1.vize'!AQ55*100/'1.vize'!$I55,"")</f>
        <v/>
      </c>
      <c r="AG55" s="38" t="str">
        <f>IFERROR('1.vize'!AR55*100/'1.vize'!$I55,"")</f>
        <v/>
      </c>
      <c r="AH55" s="38" t="str">
        <f>IFERROR('1.vize'!AS55*100/'1.vize'!$I55,"")</f>
        <v/>
      </c>
      <c r="AI55" s="38" t="str">
        <f>IFERROR('1.vize'!AT55*100/'1.vize'!$I55,"")</f>
        <v/>
      </c>
      <c r="AJ55" s="38" t="str">
        <f>IFERROR('1.vize'!AU55*100/'1.vize'!$I55,"")</f>
        <v/>
      </c>
      <c r="AK55" s="38" t="str">
        <f>IFERROR('1.vize'!AV55*100/'1.vize'!$I55,"")</f>
        <v/>
      </c>
      <c r="AL55" s="38" t="str">
        <f>IFERROR('1.vize'!AW55*100/'1.vize'!$I55,"")</f>
        <v/>
      </c>
      <c r="AM55" s="38" t="str">
        <f>IFERROR('1.vize'!AX55*100/'1.vize'!$I55,"")</f>
        <v/>
      </c>
      <c r="AN55" s="38" t="str">
        <f>IFERROR('1.vize'!AY55*100/'1.vize'!$I55,"")</f>
        <v/>
      </c>
      <c r="AO55" s="38" t="str">
        <f>IFERROR('1.vize'!AZ55*100/'1.vize'!$I55,"")</f>
        <v/>
      </c>
      <c r="AP55" s="38" t="str">
        <f>IFERROR('1.vize'!BA55*100/'1.vize'!$I55,"")</f>
        <v/>
      </c>
      <c r="AQ55" s="38" t="str">
        <f>IFERROR('1.vize'!BB55*100/'1.vize'!$I55,"")</f>
        <v/>
      </c>
      <c r="AR55" s="38" t="str">
        <f>IFERROR('1.vize'!BC55*100/'1.vize'!$I55,"")</f>
        <v/>
      </c>
      <c r="AS55" s="38" t="str">
        <f>IFERROR('1.vize'!BD55*100/'1.vize'!$I55,"")</f>
        <v/>
      </c>
      <c r="AT55" s="38" t="str">
        <f>IFERROR('1.vize'!BE55*100/'1.vize'!$I55,"")</f>
        <v/>
      </c>
      <c r="AU55" s="38" t="str">
        <f>IFERROR('1.vize'!BF55*100/'1.vize'!$I55,"")</f>
        <v/>
      </c>
      <c r="AV55" s="38" t="str">
        <f>IFERROR('1.vize'!BG55*100/'1.vize'!$I55,"")</f>
        <v/>
      </c>
      <c r="AW55" s="38" t="str">
        <f>IFERROR('1.vize'!BH55*100/'1.vize'!$I55,"")</f>
        <v/>
      </c>
      <c r="AX55" s="38" t="str">
        <f>IFERROR('1.vize'!BI55*100/'1.vize'!$I55,"")</f>
        <v/>
      </c>
      <c r="AY55" s="38" t="str">
        <f>IFERROR('1.vize'!BJ55*100/'1.vize'!$I55,"")</f>
        <v/>
      </c>
      <c r="AZ55" s="38" t="str">
        <f>IFERROR('1.vize'!BK55*100/'1.vize'!$I55,"")</f>
        <v/>
      </c>
      <c r="BA55" s="38" t="str">
        <f>IFERROR('1.vize'!BL55*100/'1.vize'!$I55,"")</f>
        <v/>
      </c>
      <c r="BB55" s="38" t="str">
        <f>IFERROR('1.vize'!BM55*100/'1.vize'!$I55,"")</f>
        <v/>
      </c>
      <c r="BC55" s="38" t="str">
        <f>IFERROR('1.vize'!BN55*100/'1.vize'!$I55,"")</f>
        <v/>
      </c>
      <c r="BD55" s="38" t="str">
        <f>IFERROR('1.vize'!BO55*100/'1.vize'!$I55,"")</f>
        <v/>
      </c>
      <c r="BE55" s="38" t="str">
        <f>IFERROR('1.vize'!BP55*100/'1.vize'!$I55,"")</f>
        <v/>
      </c>
      <c r="BF55" s="38" t="str">
        <f>IFERROR('1.vize'!BQ55*100/'1.vize'!$I55,"")</f>
        <v/>
      </c>
      <c r="BG55" s="38" t="str">
        <f>IFERROR('1.vize'!BR55*100/'1.vize'!$I55,"")</f>
        <v/>
      </c>
      <c r="BH55" s="38" t="str">
        <f>IFERROR('1.vize'!BS55*100/'1.vize'!$I55,"")</f>
        <v/>
      </c>
      <c r="BI55" s="38" t="str">
        <f>IFERROR('1.vize'!BT55*100/'1.vize'!$I55,"")</f>
        <v/>
      </c>
      <c r="BJ55" s="38" t="str">
        <f>IFERROR('1.vize'!BU55*100/'1.vize'!$I55,"")</f>
        <v/>
      </c>
      <c r="BK55" s="38" t="str">
        <f>IFERROR('1.vize'!BV55*100/'1.vize'!$I55,"")</f>
        <v/>
      </c>
      <c r="BL55" s="38" t="str">
        <f>IFERROR('1.vize'!BW55*100/'1.vize'!$I55,"")</f>
        <v/>
      </c>
      <c r="BM55" s="38" t="str">
        <f>IFERROR('1.vize'!BX55*100/'1.vize'!$I55,"")</f>
        <v/>
      </c>
      <c r="BN55" s="38" t="str">
        <f>IFERROR('1.vize'!BY55*100/'1.vize'!$I55,"")</f>
        <v/>
      </c>
      <c r="BO55" s="38" t="str">
        <f>IFERROR('1.vize'!BZ55*100/'1.vize'!$I55,"")</f>
        <v/>
      </c>
      <c r="BP55" s="38" t="str">
        <f>IFERROR('1.vize'!CA55*100/'1.vize'!$I55,"")</f>
        <v/>
      </c>
      <c r="BQ55" s="38" t="str">
        <f>IFERROR('1.vize'!CB55*100/'1.vize'!$I55,"")</f>
        <v/>
      </c>
      <c r="BR55" s="38" t="str">
        <f>IFERROR('1.vize'!CC55*100/'1.vize'!$I55,"")</f>
        <v/>
      </c>
      <c r="BS55" s="38" t="str">
        <f>IFERROR('1.vize'!CD55*100/'1.vize'!$I55,"")</f>
        <v/>
      </c>
      <c r="BT55" s="38" t="str">
        <f>IFERROR('1.vize'!CE55*100/'1.vize'!$I55,"")</f>
        <v/>
      </c>
      <c r="BU55" s="38" t="str">
        <f>IFERROR('1.vize'!CF55*100/'1.vize'!$I55,"")</f>
        <v/>
      </c>
      <c r="BV55" s="38" t="str">
        <f>IFERROR('1.vize'!CG55*100/'1.vize'!$I55,"")</f>
        <v/>
      </c>
      <c r="BW55" s="38" t="str">
        <f>IFERROR('1.vize'!CH55*100/'1.vize'!$I55,"")</f>
        <v/>
      </c>
      <c r="BX55" s="38" t="str">
        <f>IFERROR('1.vize'!CI55*100/'1.vize'!$I55,"")</f>
        <v/>
      </c>
      <c r="BY55" s="38" t="str">
        <f>IFERROR('1.vize'!CJ55*100/'1.vize'!$I55,"")</f>
        <v/>
      </c>
      <c r="BZ55" s="38" t="str">
        <f>IFERROR('1.vize'!CK55*100/'1.vize'!$I55,"")</f>
        <v/>
      </c>
      <c r="CA55" s="38" t="str">
        <f>IFERROR('1.vize'!CL55*100/'1.vize'!$I55,"")</f>
        <v/>
      </c>
      <c r="CB55" s="38" t="str">
        <f>IFERROR('1.vize'!CM55*100/'1.vize'!$I55,"")</f>
        <v/>
      </c>
      <c r="CC55" s="38" t="str">
        <f>IFERROR('1.vize'!CN55*100/'1.vize'!$I55,"")</f>
        <v/>
      </c>
      <c r="CD55" s="38" t="str">
        <f>IFERROR('1.vize'!CO55*100/'1.vize'!$I55,"")</f>
        <v/>
      </c>
      <c r="CE55" s="38" t="str">
        <f>IFERROR('1.vize'!CP55*100/'1.vize'!$I55,"")</f>
        <v/>
      </c>
      <c r="CF55" s="38" t="str">
        <f>IFERROR('1.vize'!CQ55*100/'1.vize'!$I55,"")</f>
        <v/>
      </c>
      <c r="CG55" s="38" t="str">
        <f>IFERROR('1.vize'!CR55*100/'1.vize'!$I55,"")</f>
        <v/>
      </c>
      <c r="CH55" s="38" t="str">
        <f>IFERROR('1.vize'!CS55*100/'1.vize'!$I55,"")</f>
        <v/>
      </c>
      <c r="CI55" s="38" t="str">
        <f>IFERROR('1.vize'!CT55*100/'1.vize'!$I55,"")</f>
        <v/>
      </c>
      <c r="CJ55" s="38" t="str">
        <f>IFERROR('1.vize'!CU55*100/'1.vize'!$I55,"")</f>
        <v/>
      </c>
      <c r="CK55" s="38" t="str">
        <f>IFERROR('1.vize'!CV55*100/'1.vize'!$I55,"")</f>
        <v/>
      </c>
      <c r="CL55" s="38" t="str">
        <f>IFERROR('1.vize'!CW55*100/'1.vize'!$I55,"")</f>
        <v/>
      </c>
      <c r="CM55" s="38" t="str">
        <f>IFERROR('1.vize'!CX55*100/'1.vize'!$I55,"")</f>
        <v/>
      </c>
      <c r="CN55" s="38" t="str">
        <f>IFERROR('1.vize'!CY55*100/'1.vize'!$I55,"")</f>
        <v/>
      </c>
      <c r="CO55" s="38" t="str">
        <f>IFERROR('1.vize'!CZ55*100/'1.vize'!$I55,"")</f>
        <v/>
      </c>
      <c r="CP55" s="38" t="str">
        <f>IFERROR('1.vize'!DA55*100/'1.vize'!$I55,"")</f>
        <v/>
      </c>
      <c r="CQ55" s="38" t="str">
        <f>IFERROR('1.vize'!DB55*100/'1.vize'!$I55,"")</f>
        <v/>
      </c>
      <c r="CR55" s="38" t="str">
        <f>IFERROR('1.vize'!DC55*100/'1.vize'!$I55,"")</f>
        <v/>
      </c>
      <c r="CS55" s="38" t="str">
        <f>IFERROR('1.vize'!DD55*100/'1.vize'!$I55,"")</f>
        <v/>
      </c>
      <c r="CT55" s="38" t="str">
        <f>IFERROR('1.vize'!DE55*100/'1.vize'!$I55,"")</f>
        <v/>
      </c>
      <c r="CU55" s="38" t="str">
        <f>IFERROR('1.vize'!DF55*100/'1.vize'!$I55,"")</f>
        <v/>
      </c>
      <c r="CV55" s="38" t="str">
        <f>IFERROR('1.vize'!DG55*100/'1.vize'!$I55,"")</f>
        <v/>
      </c>
      <c r="CW55" s="32" t="str">
        <f>IFERROR(SUM(A55:CV55)/'1.vize'!$DH$103,"")</f>
        <v/>
      </c>
      <c r="CX55" s="14" t="str">
        <f>IF(COUNTA('1.vize'!A55),'1.vize'!A55,"")</f>
        <v/>
      </c>
      <c r="CY55" s="14" t="str">
        <f>IF(COUNTA('1.vize'!B55),'1.vize'!B55,"")</f>
        <v/>
      </c>
      <c r="CZ55" s="14" t="str">
        <f>IF(COUNTA('1.vize'!C55),'1.vize'!C55,"")</f>
        <v/>
      </c>
      <c r="DA55" s="14" t="str">
        <f>IF(COUNTA('1.vize'!D55),'1.vize'!D55,"")</f>
        <v/>
      </c>
      <c r="DB55" s="14" t="str">
        <f>IF(COUNTA('1.vize'!E55),'1.vize'!E55,"")</f>
        <v/>
      </c>
      <c r="DC55" s="14" t="str">
        <f>IF(COUNTA('1.vize'!F55),'1.vize'!F55,"")</f>
        <v/>
      </c>
      <c r="DD55" s="14" t="str">
        <f>IF(COUNTA('1.vize'!G55),'1.vize'!G55,"")</f>
        <v/>
      </c>
      <c r="DE55" s="14" t="str">
        <f>IF(COUNTA('1.vize'!H55),'1.vize'!H55,"")</f>
        <v/>
      </c>
      <c r="DF55" s="33"/>
    </row>
    <row r="56" spans="1:110" x14ac:dyDescent="0.2">
      <c r="A56" s="38" t="str">
        <f>IFERROR('1.vize'!L56*100/'1.vize'!$I56,"")</f>
        <v/>
      </c>
      <c r="B56" s="38" t="str">
        <f>IFERROR('1.vize'!M56*100/'1.vize'!$I56,"")</f>
        <v/>
      </c>
      <c r="C56" s="38" t="str">
        <f>IFERROR('1.vize'!N56*100/'1.vize'!$I56,"")</f>
        <v/>
      </c>
      <c r="D56" s="38" t="str">
        <f>IFERROR('1.vize'!O56*100/'1.vize'!$I56,"")</f>
        <v/>
      </c>
      <c r="E56" s="38" t="str">
        <f>IFERROR('1.vize'!P56*100/'1.vize'!$I56,"")</f>
        <v/>
      </c>
      <c r="F56" s="38" t="str">
        <f>IFERROR('1.vize'!Q56*100/'1.vize'!$I56,"")</f>
        <v/>
      </c>
      <c r="G56" s="38" t="str">
        <f>IFERROR('1.vize'!R56*100/'1.vize'!$I56,"")</f>
        <v/>
      </c>
      <c r="H56" s="38" t="str">
        <f>IFERROR('1.vize'!S56*100/'1.vize'!$I56,"")</f>
        <v/>
      </c>
      <c r="I56" s="38" t="str">
        <f>IFERROR('1.vize'!T56*100/'1.vize'!$I56,"")</f>
        <v/>
      </c>
      <c r="J56" s="38" t="str">
        <f>IFERROR('1.vize'!U56*100/'1.vize'!$I56,"")</f>
        <v/>
      </c>
      <c r="K56" s="38" t="str">
        <f>IFERROR('1.vize'!V56*100/'1.vize'!$I56,"")</f>
        <v/>
      </c>
      <c r="L56" s="38" t="str">
        <f>IFERROR('1.vize'!W56*100/'1.vize'!$I56,"")</f>
        <v/>
      </c>
      <c r="M56" s="38" t="str">
        <f>IFERROR('1.vize'!X56*100/'1.vize'!$I56,"")</f>
        <v/>
      </c>
      <c r="N56" s="38" t="str">
        <f>IFERROR('1.vize'!Y56*100/'1.vize'!$I56,"")</f>
        <v/>
      </c>
      <c r="O56" s="38" t="str">
        <f>IFERROR('1.vize'!Z56*100/'1.vize'!$I56,"")</f>
        <v/>
      </c>
      <c r="P56" s="38" t="str">
        <f>IFERROR('1.vize'!AA56*100/'1.vize'!$I56,"")</f>
        <v/>
      </c>
      <c r="Q56" s="38" t="str">
        <f>IFERROR('1.vize'!AB56*100/'1.vize'!$I56,"")</f>
        <v/>
      </c>
      <c r="R56" s="38" t="str">
        <f>IFERROR('1.vize'!AC56*100/'1.vize'!$I56,"")</f>
        <v/>
      </c>
      <c r="S56" s="38" t="str">
        <f>IFERROR('1.vize'!AD56*100/'1.vize'!$I56,"")</f>
        <v/>
      </c>
      <c r="T56" s="38" t="str">
        <f>IFERROR('1.vize'!AE56*100/'1.vize'!$I56,"")</f>
        <v/>
      </c>
      <c r="U56" s="38" t="str">
        <f>IFERROR('1.vize'!AF56*100/'1.vize'!$I56,"")</f>
        <v/>
      </c>
      <c r="V56" s="38" t="str">
        <f>IFERROR('1.vize'!AG56*100/'1.vize'!$I56,"")</f>
        <v/>
      </c>
      <c r="W56" s="38" t="str">
        <f>IFERROR('1.vize'!AH56*100/'1.vize'!$I56,"")</f>
        <v/>
      </c>
      <c r="X56" s="38" t="str">
        <f>IFERROR('1.vize'!AI56*100/'1.vize'!$I56,"")</f>
        <v/>
      </c>
      <c r="Y56" s="38" t="str">
        <f>IFERROR('1.vize'!AJ56*100/'1.vize'!$I56,"")</f>
        <v/>
      </c>
      <c r="Z56" s="38" t="str">
        <f>IFERROR('1.vize'!AK56*100/'1.vize'!$I56,"")</f>
        <v/>
      </c>
      <c r="AA56" s="38" t="str">
        <f>IFERROR('1.vize'!AL56*100/'1.vize'!$I56,"")</f>
        <v/>
      </c>
      <c r="AB56" s="38" t="str">
        <f>IFERROR('1.vize'!AM56*100/'1.vize'!$I56,"")</f>
        <v/>
      </c>
      <c r="AC56" s="38" t="str">
        <f>IFERROR('1.vize'!AN56*100/'1.vize'!$I56,"")</f>
        <v/>
      </c>
      <c r="AD56" s="38" t="str">
        <f>IFERROR('1.vize'!AO56*100/'1.vize'!$I56,"")</f>
        <v/>
      </c>
      <c r="AE56" s="38" t="str">
        <f>IFERROR('1.vize'!AP56*100/'1.vize'!$I56,"")</f>
        <v/>
      </c>
      <c r="AF56" s="38" t="str">
        <f>IFERROR('1.vize'!AQ56*100/'1.vize'!$I56,"")</f>
        <v/>
      </c>
      <c r="AG56" s="38" t="str">
        <f>IFERROR('1.vize'!AR56*100/'1.vize'!$I56,"")</f>
        <v/>
      </c>
      <c r="AH56" s="38" t="str">
        <f>IFERROR('1.vize'!AS56*100/'1.vize'!$I56,"")</f>
        <v/>
      </c>
      <c r="AI56" s="38" t="str">
        <f>IFERROR('1.vize'!AT56*100/'1.vize'!$I56,"")</f>
        <v/>
      </c>
      <c r="AJ56" s="38" t="str">
        <f>IFERROR('1.vize'!AU56*100/'1.vize'!$I56,"")</f>
        <v/>
      </c>
      <c r="AK56" s="38" t="str">
        <f>IFERROR('1.vize'!AV56*100/'1.vize'!$I56,"")</f>
        <v/>
      </c>
      <c r="AL56" s="38" t="str">
        <f>IFERROR('1.vize'!AW56*100/'1.vize'!$I56,"")</f>
        <v/>
      </c>
      <c r="AM56" s="38" t="str">
        <f>IFERROR('1.vize'!AX56*100/'1.vize'!$I56,"")</f>
        <v/>
      </c>
      <c r="AN56" s="38" t="str">
        <f>IFERROR('1.vize'!AY56*100/'1.vize'!$I56,"")</f>
        <v/>
      </c>
      <c r="AO56" s="38" t="str">
        <f>IFERROR('1.vize'!AZ56*100/'1.vize'!$I56,"")</f>
        <v/>
      </c>
      <c r="AP56" s="38" t="str">
        <f>IFERROR('1.vize'!BA56*100/'1.vize'!$I56,"")</f>
        <v/>
      </c>
      <c r="AQ56" s="38" t="str">
        <f>IFERROR('1.vize'!BB56*100/'1.vize'!$I56,"")</f>
        <v/>
      </c>
      <c r="AR56" s="38" t="str">
        <f>IFERROR('1.vize'!BC56*100/'1.vize'!$I56,"")</f>
        <v/>
      </c>
      <c r="AS56" s="38" t="str">
        <f>IFERROR('1.vize'!BD56*100/'1.vize'!$I56,"")</f>
        <v/>
      </c>
      <c r="AT56" s="38" t="str">
        <f>IFERROR('1.vize'!BE56*100/'1.vize'!$I56,"")</f>
        <v/>
      </c>
      <c r="AU56" s="38" t="str">
        <f>IFERROR('1.vize'!BF56*100/'1.vize'!$I56,"")</f>
        <v/>
      </c>
      <c r="AV56" s="38" t="str">
        <f>IFERROR('1.vize'!BG56*100/'1.vize'!$I56,"")</f>
        <v/>
      </c>
      <c r="AW56" s="38" t="str">
        <f>IFERROR('1.vize'!BH56*100/'1.vize'!$I56,"")</f>
        <v/>
      </c>
      <c r="AX56" s="38" t="str">
        <f>IFERROR('1.vize'!BI56*100/'1.vize'!$I56,"")</f>
        <v/>
      </c>
      <c r="AY56" s="38" t="str">
        <f>IFERROR('1.vize'!BJ56*100/'1.vize'!$I56,"")</f>
        <v/>
      </c>
      <c r="AZ56" s="38" t="str">
        <f>IFERROR('1.vize'!BK56*100/'1.vize'!$I56,"")</f>
        <v/>
      </c>
      <c r="BA56" s="38" t="str">
        <f>IFERROR('1.vize'!BL56*100/'1.vize'!$I56,"")</f>
        <v/>
      </c>
      <c r="BB56" s="38" t="str">
        <f>IFERROR('1.vize'!BM56*100/'1.vize'!$I56,"")</f>
        <v/>
      </c>
      <c r="BC56" s="38" t="str">
        <f>IFERROR('1.vize'!BN56*100/'1.vize'!$I56,"")</f>
        <v/>
      </c>
      <c r="BD56" s="38" t="str">
        <f>IFERROR('1.vize'!BO56*100/'1.vize'!$I56,"")</f>
        <v/>
      </c>
      <c r="BE56" s="38" t="str">
        <f>IFERROR('1.vize'!BP56*100/'1.vize'!$I56,"")</f>
        <v/>
      </c>
      <c r="BF56" s="38" t="str">
        <f>IFERROR('1.vize'!BQ56*100/'1.vize'!$I56,"")</f>
        <v/>
      </c>
      <c r="BG56" s="38" t="str">
        <f>IFERROR('1.vize'!BR56*100/'1.vize'!$I56,"")</f>
        <v/>
      </c>
      <c r="BH56" s="38" t="str">
        <f>IFERROR('1.vize'!BS56*100/'1.vize'!$I56,"")</f>
        <v/>
      </c>
      <c r="BI56" s="38" t="str">
        <f>IFERROR('1.vize'!BT56*100/'1.vize'!$I56,"")</f>
        <v/>
      </c>
      <c r="BJ56" s="38" t="str">
        <f>IFERROR('1.vize'!BU56*100/'1.vize'!$I56,"")</f>
        <v/>
      </c>
      <c r="BK56" s="38" t="str">
        <f>IFERROR('1.vize'!BV56*100/'1.vize'!$I56,"")</f>
        <v/>
      </c>
      <c r="BL56" s="38" t="str">
        <f>IFERROR('1.vize'!BW56*100/'1.vize'!$I56,"")</f>
        <v/>
      </c>
      <c r="BM56" s="38" t="str">
        <f>IFERROR('1.vize'!BX56*100/'1.vize'!$I56,"")</f>
        <v/>
      </c>
      <c r="BN56" s="38" t="str">
        <f>IFERROR('1.vize'!BY56*100/'1.vize'!$I56,"")</f>
        <v/>
      </c>
      <c r="BO56" s="38" t="str">
        <f>IFERROR('1.vize'!BZ56*100/'1.vize'!$I56,"")</f>
        <v/>
      </c>
      <c r="BP56" s="38" t="str">
        <f>IFERROR('1.vize'!CA56*100/'1.vize'!$I56,"")</f>
        <v/>
      </c>
      <c r="BQ56" s="38" t="str">
        <f>IFERROR('1.vize'!CB56*100/'1.vize'!$I56,"")</f>
        <v/>
      </c>
      <c r="BR56" s="38" t="str">
        <f>IFERROR('1.vize'!CC56*100/'1.vize'!$I56,"")</f>
        <v/>
      </c>
      <c r="BS56" s="38" t="str">
        <f>IFERROR('1.vize'!CD56*100/'1.vize'!$I56,"")</f>
        <v/>
      </c>
      <c r="BT56" s="38" t="str">
        <f>IFERROR('1.vize'!CE56*100/'1.vize'!$I56,"")</f>
        <v/>
      </c>
      <c r="BU56" s="38" t="str">
        <f>IFERROR('1.vize'!CF56*100/'1.vize'!$I56,"")</f>
        <v/>
      </c>
      <c r="BV56" s="38" t="str">
        <f>IFERROR('1.vize'!CG56*100/'1.vize'!$I56,"")</f>
        <v/>
      </c>
      <c r="BW56" s="38" t="str">
        <f>IFERROR('1.vize'!CH56*100/'1.vize'!$I56,"")</f>
        <v/>
      </c>
      <c r="BX56" s="38" t="str">
        <f>IFERROR('1.vize'!CI56*100/'1.vize'!$I56,"")</f>
        <v/>
      </c>
      <c r="BY56" s="38" t="str">
        <f>IFERROR('1.vize'!CJ56*100/'1.vize'!$I56,"")</f>
        <v/>
      </c>
      <c r="BZ56" s="38" t="str">
        <f>IFERROR('1.vize'!CK56*100/'1.vize'!$I56,"")</f>
        <v/>
      </c>
      <c r="CA56" s="38" t="str">
        <f>IFERROR('1.vize'!CL56*100/'1.vize'!$I56,"")</f>
        <v/>
      </c>
      <c r="CB56" s="38" t="str">
        <f>IFERROR('1.vize'!CM56*100/'1.vize'!$I56,"")</f>
        <v/>
      </c>
      <c r="CC56" s="38" t="str">
        <f>IFERROR('1.vize'!CN56*100/'1.vize'!$I56,"")</f>
        <v/>
      </c>
      <c r="CD56" s="38" t="str">
        <f>IFERROR('1.vize'!CO56*100/'1.vize'!$I56,"")</f>
        <v/>
      </c>
      <c r="CE56" s="38" t="str">
        <f>IFERROR('1.vize'!CP56*100/'1.vize'!$I56,"")</f>
        <v/>
      </c>
      <c r="CF56" s="38" t="str">
        <f>IFERROR('1.vize'!CQ56*100/'1.vize'!$I56,"")</f>
        <v/>
      </c>
      <c r="CG56" s="38" t="str">
        <f>IFERROR('1.vize'!CR56*100/'1.vize'!$I56,"")</f>
        <v/>
      </c>
      <c r="CH56" s="38" t="str">
        <f>IFERROR('1.vize'!CS56*100/'1.vize'!$I56,"")</f>
        <v/>
      </c>
      <c r="CI56" s="38" t="str">
        <f>IFERROR('1.vize'!CT56*100/'1.vize'!$I56,"")</f>
        <v/>
      </c>
      <c r="CJ56" s="38" t="str">
        <f>IFERROR('1.vize'!CU56*100/'1.vize'!$I56,"")</f>
        <v/>
      </c>
      <c r="CK56" s="38" t="str">
        <f>IFERROR('1.vize'!CV56*100/'1.vize'!$I56,"")</f>
        <v/>
      </c>
      <c r="CL56" s="38" t="str">
        <f>IFERROR('1.vize'!CW56*100/'1.vize'!$I56,"")</f>
        <v/>
      </c>
      <c r="CM56" s="38" t="str">
        <f>IFERROR('1.vize'!CX56*100/'1.vize'!$I56,"")</f>
        <v/>
      </c>
      <c r="CN56" s="38" t="str">
        <f>IFERROR('1.vize'!CY56*100/'1.vize'!$I56,"")</f>
        <v/>
      </c>
      <c r="CO56" s="38" t="str">
        <f>IFERROR('1.vize'!CZ56*100/'1.vize'!$I56,"")</f>
        <v/>
      </c>
      <c r="CP56" s="38" t="str">
        <f>IFERROR('1.vize'!DA56*100/'1.vize'!$I56,"")</f>
        <v/>
      </c>
      <c r="CQ56" s="38" t="str">
        <f>IFERROR('1.vize'!DB56*100/'1.vize'!$I56,"")</f>
        <v/>
      </c>
      <c r="CR56" s="38" t="str">
        <f>IFERROR('1.vize'!DC56*100/'1.vize'!$I56,"")</f>
        <v/>
      </c>
      <c r="CS56" s="38" t="str">
        <f>IFERROR('1.vize'!DD56*100/'1.vize'!$I56,"")</f>
        <v/>
      </c>
      <c r="CT56" s="38" t="str">
        <f>IFERROR('1.vize'!DE56*100/'1.vize'!$I56,"")</f>
        <v/>
      </c>
      <c r="CU56" s="38" t="str">
        <f>IFERROR('1.vize'!DF56*100/'1.vize'!$I56,"")</f>
        <v/>
      </c>
      <c r="CV56" s="38" t="str">
        <f>IFERROR('1.vize'!DG56*100/'1.vize'!$I56,"")</f>
        <v/>
      </c>
      <c r="CW56" s="32" t="str">
        <f>IFERROR(SUM(A56:CV56)/'1.vize'!$DH$103,"")</f>
        <v/>
      </c>
      <c r="CX56" s="14" t="str">
        <f>IF(COUNTA('1.vize'!A56),'1.vize'!A56,"")</f>
        <v/>
      </c>
      <c r="CY56" s="14" t="str">
        <f>IF(COUNTA('1.vize'!B56),'1.vize'!B56,"")</f>
        <v/>
      </c>
      <c r="CZ56" s="14" t="str">
        <f>IF(COUNTA('1.vize'!C56),'1.vize'!C56,"")</f>
        <v/>
      </c>
      <c r="DA56" s="14" t="str">
        <f>IF(COUNTA('1.vize'!D56),'1.vize'!D56,"")</f>
        <v/>
      </c>
      <c r="DB56" s="14" t="str">
        <f>IF(COUNTA('1.vize'!E56),'1.vize'!E56,"")</f>
        <v/>
      </c>
      <c r="DC56" s="14" t="str">
        <f>IF(COUNTA('1.vize'!F56),'1.vize'!F56,"")</f>
        <v/>
      </c>
      <c r="DD56" s="14" t="str">
        <f>IF(COUNTA('1.vize'!G56),'1.vize'!G56,"")</f>
        <v/>
      </c>
      <c r="DE56" s="14" t="str">
        <f>IF(COUNTA('1.vize'!H56),'1.vize'!H56,"")</f>
        <v/>
      </c>
      <c r="DF56" s="33"/>
    </row>
    <row r="57" spans="1:110" x14ac:dyDescent="0.2">
      <c r="A57" s="38" t="str">
        <f>IFERROR('1.vize'!L57*100/'1.vize'!$I57,"")</f>
        <v/>
      </c>
      <c r="B57" s="38" t="str">
        <f>IFERROR('1.vize'!M57*100/'1.vize'!$I57,"")</f>
        <v/>
      </c>
      <c r="C57" s="38" t="str">
        <f>IFERROR('1.vize'!N57*100/'1.vize'!$I57,"")</f>
        <v/>
      </c>
      <c r="D57" s="38" t="str">
        <f>IFERROR('1.vize'!O57*100/'1.vize'!$I57,"")</f>
        <v/>
      </c>
      <c r="E57" s="38" t="str">
        <f>IFERROR('1.vize'!P57*100/'1.vize'!$I57,"")</f>
        <v/>
      </c>
      <c r="F57" s="38" t="str">
        <f>IFERROR('1.vize'!Q57*100/'1.vize'!$I57,"")</f>
        <v/>
      </c>
      <c r="G57" s="38" t="str">
        <f>IFERROR('1.vize'!R57*100/'1.vize'!$I57,"")</f>
        <v/>
      </c>
      <c r="H57" s="38" t="str">
        <f>IFERROR('1.vize'!S57*100/'1.vize'!$I57,"")</f>
        <v/>
      </c>
      <c r="I57" s="38" t="str">
        <f>IFERROR('1.vize'!T57*100/'1.vize'!$I57,"")</f>
        <v/>
      </c>
      <c r="J57" s="38" t="str">
        <f>IFERROR('1.vize'!U57*100/'1.vize'!$I57,"")</f>
        <v/>
      </c>
      <c r="K57" s="38" t="str">
        <f>IFERROR('1.vize'!V57*100/'1.vize'!$I57,"")</f>
        <v/>
      </c>
      <c r="L57" s="38" t="str">
        <f>IFERROR('1.vize'!W57*100/'1.vize'!$I57,"")</f>
        <v/>
      </c>
      <c r="M57" s="38" t="str">
        <f>IFERROR('1.vize'!X57*100/'1.vize'!$I57,"")</f>
        <v/>
      </c>
      <c r="N57" s="38" t="str">
        <f>IFERROR('1.vize'!Y57*100/'1.vize'!$I57,"")</f>
        <v/>
      </c>
      <c r="O57" s="38" t="str">
        <f>IFERROR('1.vize'!Z57*100/'1.vize'!$I57,"")</f>
        <v/>
      </c>
      <c r="P57" s="38" t="str">
        <f>IFERROR('1.vize'!AA57*100/'1.vize'!$I57,"")</f>
        <v/>
      </c>
      <c r="Q57" s="38" t="str">
        <f>IFERROR('1.vize'!AB57*100/'1.vize'!$I57,"")</f>
        <v/>
      </c>
      <c r="R57" s="38" t="str">
        <f>IFERROR('1.vize'!AC57*100/'1.vize'!$I57,"")</f>
        <v/>
      </c>
      <c r="S57" s="38" t="str">
        <f>IFERROR('1.vize'!AD57*100/'1.vize'!$I57,"")</f>
        <v/>
      </c>
      <c r="T57" s="38" t="str">
        <f>IFERROR('1.vize'!AE57*100/'1.vize'!$I57,"")</f>
        <v/>
      </c>
      <c r="U57" s="38" t="str">
        <f>IFERROR('1.vize'!AF57*100/'1.vize'!$I57,"")</f>
        <v/>
      </c>
      <c r="V57" s="38" t="str">
        <f>IFERROR('1.vize'!AG57*100/'1.vize'!$I57,"")</f>
        <v/>
      </c>
      <c r="W57" s="38" t="str">
        <f>IFERROR('1.vize'!AH57*100/'1.vize'!$I57,"")</f>
        <v/>
      </c>
      <c r="X57" s="38" t="str">
        <f>IFERROR('1.vize'!AI57*100/'1.vize'!$I57,"")</f>
        <v/>
      </c>
      <c r="Y57" s="38" t="str">
        <f>IFERROR('1.vize'!AJ57*100/'1.vize'!$I57,"")</f>
        <v/>
      </c>
      <c r="Z57" s="38" t="str">
        <f>IFERROR('1.vize'!AK57*100/'1.vize'!$I57,"")</f>
        <v/>
      </c>
      <c r="AA57" s="38" t="str">
        <f>IFERROR('1.vize'!AL57*100/'1.vize'!$I57,"")</f>
        <v/>
      </c>
      <c r="AB57" s="38" t="str">
        <f>IFERROR('1.vize'!AM57*100/'1.vize'!$I57,"")</f>
        <v/>
      </c>
      <c r="AC57" s="38" t="str">
        <f>IFERROR('1.vize'!AN57*100/'1.vize'!$I57,"")</f>
        <v/>
      </c>
      <c r="AD57" s="38" t="str">
        <f>IFERROR('1.vize'!AO57*100/'1.vize'!$I57,"")</f>
        <v/>
      </c>
      <c r="AE57" s="38" t="str">
        <f>IFERROR('1.vize'!AP57*100/'1.vize'!$I57,"")</f>
        <v/>
      </c>
      <c r="AF57" s="38" t="str">
        <f>IFERROR('1.vize'!AQ57*100/'1.vize'!$I57,"")</f>
        <v/>
      </c>
      <c r="AG57" s="38" t="str">
        <f>IFERROR('1.vize'!AR57*100/'1.vize'!$I57,"")</f>
        <v/>
      </c>
      <c r="AH57" s="38" t="str">
        <f>IFERROR('1.vize'!AS57*100/'1.vize'!$I57,"")</f>
        <v/>
      </c>
      <c r="AI57" s="38" t="str">
        <f>IFERROR('1.vize'!AT57*100/'1.vize'!$I57,"")</f>
        <v/>
      </c>
      <c r="AJ57" s="38" t="str">
        <f>IFERROR('1.vize'!AU57*100/'1.vize'!$I57,"")</f>
        <v/>
      </c>
      <c r="AK57" s="38" t="str">
        <f>IFERROR('1.vize'!AV57*100/'1.vize'!$I57,"")</f>
        <v/>
      </c>
      <c r="AL57" s="38" t="str">
        <f>IFERROR('1.vize'!AW57*100/'1.vize'!$I57,"")</f>
        <v/>
      </c>
      <c r="AM57" s="38" t="str">
        <f>IFERROR('1.vize'!AX57*100/'1.vize'!$I57,"")</f>
        <v/>
      </c>
      <c r="AN57" s="38" t="str">
        <f>IFERROR('1.vize'!AY57*100/'1.vize'!$I57,"")</f>
        <v/>
      </c>
      <c r="AO57" s="38" t="str">
        <f>IFERROR('1.vize'!AZ57*100/'1.vize'!$I57,"")</f>
        <v/>
      </c>
      <c r="AP57" s="38" t="str">
        <f>IFERROR('1.vize'!BA57*100/'1.vize'!$I57,"")</f>
        <v/>
      </c>
      <c r="AQ57" s="38" t="str">
        <f>IFERROR('1.vize'!BB57*100/'1.vize'!$I57,"")</f>
        <v/>
      </c>
      <c r="AR57" s="38" t="str">
        <f>IFERROR('1.vize'!BC57*100/'1.vize'!$I57,"")</f>
        <v/>
      </c>
      <c r="AS57" s="38" t="str">
        <f>IFERROR('1.vize'!BD57*100/'1.vize'!$I57,"")</f>
        <v/>
      </c>
      <c r="AT57" s="38" t="str">
        <f>IFERROR('1.vize'!BE57*100/'1.vize'!$I57,"")</f>
        <v/>
      </c>
      <c r="AU57" s="38" t="str">
        <f>IFERROR('1.vize'!BF57*100/'1.vize'!$I57,"")</f>
        <v/>
      </c>
      <c r="AV57" s="38" t="str">
        <f>IFERROR('1.vize'!BG57*100/'1.vize'!$I57,"")</f>
        <v/>
      </c>
      <c r="AW57" s="38" t="str">
        <f>IFERROR('1.vize'!BH57*100/'1.vize'!$I57,"")</f>
        <v/>
      </c>
      <c r="AX57" s="38" t="str">
        <f>IFERROR('1.vize'!BI57*100/'1.vize'!$I57,"")</f>
        <v/>
      </c>
      <c r="AY57" s="38" t="str">
        <f>IFERROR('1.vize'!BJ57*100/'1.vize'!$I57,"")</f>
        <v/>
      </c>
      <c r="AZ57" s="38" t="str">
        <f>IFERROR('1.vize'!BK57*100/'1.vize'!$I57,"")</f>
        <v/>
      </c>
      <c r="BA57" s="38" t="str">
        <f>IFERROR('1.vize'!BL57*100/'1.vize'!$I57,"")</f>
        <v/>
      </c>
      <c r="BB57" s="38" t="str">
        <f>IFERROR('1.vize'!BM57*100/'1.vize'!$I57,"")</f>
        <v/>
      </c>
      <c r="BC57" s="38" t="str">
        <f>IFERROR('1.vize'!BN57*100/'1.vize'!$I57,"")</f>
        <v/>
      </c>
      <c r="BD57" s="38" t="str">
        <f>IFERROR('1.vize'!BO57*100/'1.vize'!$I57,"")</f>
        <v/>
      </c>
      <c r="BE57" s="38" t="str">
        <f>IFERROR('1.vize'!BP57*100/'1.vize'!$I57,"")</f>
        <v/>
      </c>
      <c r="BF57" s="38" t="str">
        <f>IFERROR('1.vize'!BQ57*100/'1.vize'!$I57,"")</f>
        <v/>
      </c>
      <c r="BG57" s="38" t="str">
        <f>IFERROR('1.vize'!BR57*100/'1.vize'!$I57,"")</f>
        <v/>
      </c>
      <c r="BH57" s="38" t="str">
        <f>IFERROR('1.vize'!BS57*100/'1.vize'!$I57,"")</f>
        <v/>
      </c>
      <c r="BI57" s="38" t="str">
        <f>IFERROR('1.vize'!BT57*100/'1.vize'!$I57,"")</f>
        <v/>
      </c>
      <c r="BJ57" s="38" t="str">
        <f>IFERROR('1.vize'!BU57*100/'1.vize'!$I57,"")</f>
        <v/>
      </c>
      <c r="BK57" s="38" t="str">
        <f>IFERROR('1.vize'!BV57*100/'1.vize'!$I57,"")</f>
        <v/>
      </c>
      <c r="BL57" s="38" t="str">
        <f>IFERROR('1.vize'!BW57*100/'1.vize'!$I57,"")</f>
        <v/>
      </c>
      <c r="BM57" s="38" t="str">
        <f>IFERROR('1.vize'!BX57*100/'1.vize'!$I57,"")</f>
        <v/>
      </c>
      <c r="BN57" s="38" t="str">
        <f>IFERROR('1.vize'!BY57*100/'1.vize'!$I57,"")</f>
        <v/>
      </c>
      <c r="BO57" s="38" t="str">
        <f>IFERROR('1.vize'!BZ57*100/'1.vize'!$I57,"")</f>
        <v/>
      </c>
      <c r="BP57" s="38" t="str">
        <f>IFERROR('1.vize'!CA57*100/'1.vize'!$I57,"")</f>
        <v/>
      </c>
      <c r="BQ57" s="38" t="str">
        <f>IFERROR('1.vize'!CB57*100/'1.vize'!$I57,"")</f>
        <v/>
      </c>
      <c r="BR57" s="38" t="str">
        <f>IFERROR('1.vize'!CC57*100/'1.vize'!$I57,"")</f>
        <v/>
      </c>
      <c r="BS57" s="38" t="str">
        <f>IFERROR('1.vize'!CD57*100/'1.vize'!$I57,"")</f>
        <v/>
      </c>
      <c r="BT57" s="38" t="str">
        <f>IFERROR('1.vize'!CE57*100/'1.vize'!$I57,"")</f>
        <v/>
      </c>
      <c r="BU57" s="38" t="str">
        <f>IFERROR('1.vize'!CF57*100/'1.vize'!$I57,"")</f>
        <v/>
      </c>
      <c r="BV57" s="38" t="str">
        <f>IFERROR('1.vize'!CG57*100/'1.vize'!$I57,"")</f>
        <v/>
      </c>
      <c r="BW57" s="38" t="str">
        <f>IFERROR('1.vize'!CH57*100/'1.vize'!$I57,"")</f>
        <v/>
      </c>
      <c r="BX57" s="38" t="str">
        <f>IFERROR('1.vize'!CI57*100/'1.vize'!$I57,"")</f>
        <v/>
      </c>
      <c r="BY57" s="38" t="str">
        <f>IFERROR('1.vize'!CJ57*100/'1.vize'!$I57,"")</f>
        <v/>
      </c>
      <c r="BZ57" s="38" t="str">
        <f>IFERROR('1.vize'!CK57*100/'1.vize'!$I57,"")</f>
        <v/>
      </c>
      <c r="CA57" s="38" t="str">
        <f>IFERROR('1.vize'!CL57*100/'1.vize'!$I57,"")</f>
        <v/>
      </c>
      <c r="CB57" s="38" t="str">
        <f>IFERROR('1.vize'!CM57*100/'1.vize'!$I57,"")</f>
        <v/>
      </c>
      <c r="CC57" s="38" t="str">
        <f>IFERROR('1.vize'!CN57*100/'1.vize'!$I57,"")</f>
        <v/>
      </c>
      <c r="CD57" s="38" t="str">
        <f>IFERROR('1.vize'!CO57*100/'1.vize'!$I57,"")</f>
        <v/>
      </c>
      <c r="CE57" s="38" t="str">
        <f>IFERROR('1.vize'!CP57*100/'1.vize'!$I57,"")</f>
        <v/>
      </c>
      <c r="CF57" s="38" t="str">
        <f>IFERROR('1.vize'!CQ57*100/'1.vize'!$I57,"")</f>
        <v/>
      </c>
      <c r="CG57" s="38" t="str">
        <f>IFERROR('1.vize'!CR57*100/'1.vize'!$I57,"")</f>
        <v/>
      </c>
      <c r="CH57" s="38" t="str">
        <f>IFERROR('1.vize'!CS57*100/'1.vize'!$I57,"")</f>
        <v/>
      </c>
      <c r="CI57" s="38" t="str">
        <f>IFERROR('1.vize'!CT57*100/'1.vize'!$I57,"")</f>
        <v/>
      </c>
      <c r="CJ57" s="38" t="str">
        <f>IFERROR('1.vize'!CU57*100/'1.vize'!$I57,"")</f>
        <v/>
      </c>
      <c r="CK57" s="38" t="str">
        <f>IFERROR('1.vize'!CV57*100/'1.vize'!$I57,"")</f>
        <v/>
      </c>
      <c r="CL57" s="38" t="str">
        <f>IFERROR('1.vize'!CW57*100/'1.vize'!$I57,"")</f>
        <v/>
      </c>
      <c r="CM57" s="38" t="str">
        <f>IFERROR('1.vize'!CX57*100/'1.vize'!$I57,"")</f>
        <v/>
      </c>
      <c r="CN57" s="38" t="str">
        <f>IFERROR('1.vize'!CY57*100/'1.vize'!$I57,"")</f>
        <v/>
      </c>
      <c r="CO57" s="38" t="str">
        <f>IFERROR('1.vize'!CZ57*100/'1.vize'!$I57,"")</f>
        <v/>
      </c>
      <c r="CP57" s="38" t="str">
        <f>IFERROR('1.vize'!DA57*100/'1.vize'!$I57,"")</f>
        <v/>
      </c>
      <c r="CQ57" s="38" t="str">
        <f>IFERROR('1.vize'!DB57*100/'1.vize'!$I57,"")</f>
        <v/>
      </c>
      <c r="CR57" s="38" t="str">
        <f>IFERROR('1.vize'!DC57*100/'1.vize'!$I57,"")</f>
        <v/>
      </c>
      <c r="CS57" s="38" t="str">
        <f>IFERROR('1.vize'!DD57*100/'1.vize'!$I57,"")</f>
        <v/>
      </c>
      <c r="CT57" s="38" t="str">
        <f>IFERROR('1.vize'!DE57*100/'1.vize'!$I57,"")</f>
        <v/>
      </c>
      <c r="CU57" s="38" t="str">
        <f>IFERROR('1.vize'!DF57*100/'1.vize'!$I57,"")</f>
        <v/>
      </c>
      <c r="CV57" s="38" t="str">
        <f>IFERROR('1.vize'!DG57*100/'1.vize'!$I57,"")</f>
        <v/>
      </c>
      <c r="CW57" s="32" t="str">
        <f>IFERROR(SUM(A57:CV57)/'1.vize'!$DH$103,"")</f>
        <v/>
      </c>
      <c r="CX57" s="14" t="str">
        <f>IF(COUNTA('1.vize'!A57),'1.vize'!A57,"")</f>
        <v/>
      </c>
      <c r="CY57" s="14" t="str">
        <f>IF(COUNTA('1.vize'!B57),'1.vize'!B57,"")</f>
        <v/>
      </c>
      <c r="CZ57" s="14" t="str">
        <f>IF(COUNTA('1.vize'!C57),'1.vize'!C57,"")</f>
        <v/>
      </c>
      <c r="DA57" s="14" t="str">
        <f>IF(COUNTA('1.vize'!D57),'1.vize'!D57,"")</f>
        <v/>
      </c>
      <c r="DB57" s="14" t="str">
        <f>IF(COUNTA('1.vize'!E57),'1.vize'!E57,"")</f>
        <v/>
      </c>
      <c r="DC57" s="14" t="str">
        <f>IF(COUNTA('1.vize'!F57),'1.vize'!F57,"")</f>
        <v/>
      </c>
      <c r="DD57" s="14" t="str">
        <f>IF(COUNTA('1.vize'!G57),'1.vize'!G57,"")</f>
        <v/>
      </c>
      <c r="DE57" s="14" t="str">
        <f>IF(COUNTA('1.vize'!H57),'1.vize'!H57,"")</f>
        <v/>
      </c>
      <c r="DF57" s="33"/>
    </row>
    <row r="58" spans="1:110" x14ac:dyDescent="0.2">
      <c r="A58" s="38" t="str">
        <f>IFERROR('1.vize'!L58*100/'1.vize'!$I58,"")</f>
        <v/>
      </c>
      <c r="B58" s="38" t="str">
        <f>IFERROR('1.vize'!M58*100/'1.vize'!$I58,"")</f>
        <v/>
      </c>
      <c r="C58" s="38" t="str">
        <f>IFERROR('1.vize'!N58*100/'1.vize'!$I58,"")</f>
        <v/>
      </c>
      <c r="D58" s="38" t="str">
        <f>IFERROR('1.vize'!O58*100/'1.vize'!$I58,"")</f>
        <v/>
      </c>
      <c r="E58" s="38" t="str">
        <f>IFERROR('1.vize'!P58*100/'1.vize'!$I58,"")</f>
        <v/>
      </c>
      <c r="F58" s="38" t="str">
        <f>IFERROR('1.vize'!Q58*100/'1.vize'!$I58,"")</f>
        <v/>
      </c>
      <c r="G58" s="38" t="str">
        <f>IFERROR('1.vize'!R58*100/'1.vize'!$I58,"")</f>
        <v/>
      </c>
      <c r="H58" s="38" t="str">
        <f>IFERROR('1.vize'!S58*100/'1.vize'!$I58,"")</f>
        <v/>
      </c>
      <c r="I58" s="38" t="str">
        <f>IFERROR('1.vize'!T58*100/'1.vize'!$I58,"")</f>
        <v/>
      </c>
      <c r="J58" s="38" t="str">
        <f>IFERROR('1.vize'!U58*100/'1.vize'!$I58,"")</f>
        <v/>
      </c>
      <c r="K58" s="38" t="str">
        <f>IFERROR('1.vize'!V58*100/'1.vize'!$I58,"")</f>
        <v/>
      </c>
      <c r="L58" s="38" t="str">
        <f>IFERROR('1.vize'!W58*100/'1.vize'!$I58,"")</f>
        <v/>
      </c>
      <c r="M58" s="38" t="str">
        <f>IFERROR('1.vize'!X58*100/'1.vize'!$I58,"")</f>
        <v/>
      </c>
      <c r="N58" s="38" t="str">
        <f>IFERROR('1.vize'!Y58*100/'1.vize'!$I58,"")</f>
        <v/>
      </c>
      <c r="O58" s="38" t="str">
        <f>IFERROR('1.vize'!Z58*100/'1.vize'!$I58,"")</f>
        <v/>
      </c>
      <c r="P58" s="38" t="str">
        <f>IFERROR('1.vize'!AA58*100/'1.vize'!$I58,"")</f>
        <v/>
      </c>
      <c r="Q58" s="38" t="str">
        <f>IFERROR('1.vize'!AB58*100/'1.vize'!$I58,"")</f>
        <v/>
      </c>
      <c r="R58" s="38" t="str">
        <f>IFERROR('1.vize'!AC58*100/'1.vize'!$I58,"")</f>
        <v/>
      </c>
      <c r="S58" s="38" t="str">
        <f>IFERROR('1.vize'!AD58*100/'1.vize'!$I58,"")</f>
        <v/>
      </c>
      <c r="T58" s="38" t="str">
        <f>IFERROR('1.vize'!AE58*100/'1.vize'!$I58,"")</f>
        <v/>
      </c>
      <c r="U58" s="38" t="str">
        <f>IFERROR('1.vize'!AF58*100/'1.vize'!$I58,"")</f>
        <v/>
      </c>
      <c r="V58" s="38" t="str">
        <f>IFERROR('1.vize'!AG58*100/'1.vize'!$I58,"")</f>
        <v/>
      </c>
      <c r="W58" s="38" t="str">
        <f>IFERROR('1.vize'!AH58*100/'1.vize'!$I58,"")</f>
        <v/>
      </c>
      <c r="X58" s="38" t="str">
        <f>IFERROR('1.vize'!AI58*100/'1.vize'!$I58,"")</f>
        <v/>
      </c>
      <c r="Y58" s="38" t="str">
        <f>IFERROR('1.vize'!AJ58*100/'1.vize'!$I58,"")</f>
        <v/>
      </c>
      <c r="Z58" s="38" t="str">
        <f>IFERROR('1.vize'!AK58*100/'1.vize'!$I58,"")</f>
        <v/>
      </c>
      <c r="AA58" s="38" t="str">
        <f>IFERROR('1.vize'!AL58*100/'1.vize'!$I58,"")</f>
        <v/>
      </c>
      <c r="AB58" s="38" t="str">
        <f>IFERROR('1.vize'!AM58*100/'1.vize'!$I58,"")</f>
        <v/>
      </c>
      <c r="AC58" s="38" t="str">
        <f>IFERROR('1.vize'!AN58*100/'1.vize'!$I58,"")</f>
        <v/>
      </c>
      <c r="AD58" s="38" t="str">
        <f>IFERROR('1.vize'!AO58*100/'1.vize'!$I58,"")</f>
        <v/>
      </c>
      <c r="AE58" s="38" t="str">
        <f>IFERROR('1.vize'!AP58*100/'1.vize'!$I58,"")</f>
        <v/>
      </c>
      <c r="AF58" s="38" t="str">
        <f>IFERROR('1.vize'!AQ58*100/'1.vize'!$I58,"")</f>
        <v/>
      </c>
      <c r="AG58" s="38" t="str">
        <f>IFERROR('1.vize'!AR58*100/'1.vize'!$I58,"")</f>
        <v/>
      </c>
      <c r="AH58" s="38" t="str">
        <f>IFERROR('1.vize'!AS58*100/'1.vize'!$I58,"")</f>
        <v/>
      </c>
      <c r="AI58" s="38" t="str">
        <f>IFERROR('1.vize'!AT58*100/'1.vize'!$I58,"")</f>
        <v/>
      </c>
      <c r="AJ58" s="38" t="str">
        <f>IFERROR('1.vize'!AU58*100/'1.vize'!$I58,"")</f>
        <v/>
      </c>
      <c r="AK58" s="38" t="str">
        <f>IFERROR('1.vize'!AV58*100/'1.vize'!$I58,"")</f>
        <v/>
      </c>
      <c r="AL58" s="38" t="str">
        <f>IFERROR('1.vize'!AW58*100/'1.vize'!$I58,"")</f>
        <v/>
      </c>
      <c r="AM58" s="38" t="str">
        <f>IFERROR('1.vize'!AX58*100/'1.vize'!$I58,"")</f>
        <v/>
      </c>
      <c r="AN58" s="38" t="str">
        <f>IFERROR('1.vize'!AY58*100/'1.vize'!$I58,"")</f>
        <v/>
      </c>
      <c r="AO58" s="38" t="str">
        <f>IFERROR('1.vize'!AZ58*100/'1.vize'!$I58,"")</f>
        <v/>
      </c>
      <c r="AP58" s="38" t="str">
        <f>IFERROR('1.vize'!BA58*100/'1.vize'!$I58,"")</f>
        <v/>
      </c>
      <c r="AQ58" s="38" t="str">
        <f>IFERROR('1.vize'!BB58*100/'1.vize'!$I58,"")</f>
        <v/>
      </c>
      <c r="AR58" s="38" t="str">
        <f>IFERROR('1.vize'!BC58*100/'1.vize'!$I58,"")</f>
        <v/>
      </c>
      <c r="AS58" s="38" t="str">
        <f>IFERROR('1.vize'!BD58*100/'1.vize'!$I58,"")</f>
        <v/>
      </c>
      <c r="AT58" s="38" t="str">
        <f>IFERROR('1.vize'!BE58*100/'1.vize'!$I58,"")</f>
        <v/>
      </c>
      <c r="AU58" s="38" t="str">
        <f>IFERROR('1.vize'!BF58*100/'1.vize'!$I58,"")</f>
        <v/>
      </c>
      <c r="AV58" s="38" t="str">
        <f>IFERROR('1.vize'!BG58*100/'1.vize'!$I58,"")</f>
        <v/>
      </c>
      <c r="AW58" s="38" t="str">
        <f>IFERROR('1.vize'!BH58*100/'1.vize'!$I58,"")</f>
        <v/>
      </c>
      <c r="AX58" s="38" t="str">
        <f>IFERROR('1.vize'!BI58*100/'1.vize'!$I58,"")</f>
        <v/>
      </c>
      <c r="AY58" s="38" t="str">
        <f>IFERROR('1.vize'!BJ58*100/'1.vize'!$I58,"")</f>
        <v/>
      </c>
      <c r="AZ58" s="38" t="str">
        <f>IFERROR('1.vize'!BK58*100/'1.vize'!$I58,"")</f>
        <v/>
      </c>
      <c r="BA58" s="38" t="str">
        <f>IFERROR('1.vize'!BL58*100/'1.vize'!$I58,"")</f>
        <v/>
      </c>
      <c r="BB58" s="38" t="str">
        <f>IFERROR('1.vize'!BM58*100/'1.vize'!$I58,"")</f>
        <v/>
      </c>
      <c r="BC58" s="38" t="str">
        <f>IFERROR('1.vize'!BN58*100/'1.vize'!$I58,"")</f>
        <v/>
      </c>
      <c r="BD58" s="38" t="str">
        <f>IFERROR('1.vize'!BO58*100/'1.vize'!$I58,"")</f>
        <v/>
      </c>
      <c r="BE58" s="38" t="str">
        <f>IFERROR('1.vize'!BP58*100/'1.vize'!$I58,"")</f>
        <v/>
      </c>
      <c r="BF58" s="38" t="str">
        <f>IFERROR('1.vize'!BQ58*100/'1.vize'!$I58,"")</f>
        <v/>
      </c>
      <c r="BG58" s="38" t="str">
        <f>IFERROR('1.vize'!BR58*100/'1.vize'!$I58,"")</f>
        <v/>
      </c>
      <c r="BH58" s="38" t="str">
        <f>IFERROR('1.vize'!BS58*100/'1.vize'!$I58,"")</f>
        <v/>
      </c>
      <c r="BI58" s="38" t="str">
        <f>IFERROR('1.vize'!BT58*100/'1.vize'!$I58,"")</f>
        <v/>
      </c>
      <c r="BJ58" s="38" t="str">
        <f>IFERROR('1.vize'!BU58*100/'1.vize'!$I58,"")</f>
        <v/>
      </c>
      <c r="BK58" s="38" t="str">
        <f>IFERROR('1.vize'!BV58*100/'1.vize'!$I58,"")</f>
        <v/>
      </c>
      <c r="BL58" s="38" t="str">
        <f>IFERROR('1.vize'!BW58*100/'1.vize'!$I58,"")</f>
        <v/>
      </c>
      <c r="BM58" s="38" t="str">
        <f>IFERROR('1.vize'!BX58*100/'1.vize'!$I58,"")</f>
        <v/>
      </c>
      <c r="BN58" s="38" t="str">
        <f>IFERROR('1.vize'!BY58*100/'1.vize'!$I58,"")</f>
        <v/>
      </c>
      <c r="BO58" s="38" t="str">
        <f>IFERROR('1.vize'!BZ58*100/'1.vize'!$I58,"")</f>
        <v/>
      </c>
      <c r="BP58" s="38" t="str">
        <f>IFERROR('1.vize'!CA58*100/'1.vize'!$I58,"")</f>
        <v/>
      </c>
      <c r="BQ58" s="38" t="str">
        <f>IFERROR('1.vize'!CB58*100/'1.vize'!$I58,"")</f>
        <v/>
      </c>
      <c r="BR58" s="38" t="str">
        <f>IFERROR('1.vize'!CC58*100/'1.vize'!$I58,"")</f>
        <v/>
      </c>
      <c r="BS58" s="38" t="str">
        <f>IFERROR('1.vize'!CD58*100/'1.vize'!$I58,"")</f>
        <v/>
      </c>
      <c r="BT58" s="38" t="str">
        <f>IFERROR('1.vize'!CE58*100/'1.vize'!$I58,"")</f>
        <v/>
      </c>
      <c r="BU58" s="38" t="str">
        <f>IFERROR('1.vize'!CF58*100/'1.vize'!$I58,"")</f>
        <v/>
      </c>
      <c r="BV58" s="38" t="str">
        <f>IFERROR('1.vize'!CG58*100/'1.vize'!$I58,"")</f>
        <v/>
      </c>
      <c r="BW58" s="38" t="str">
        <f>IFERROR('1.vize'!CH58*100/'1.vize'!$I58,"")</f>
        <v/>
      </c>
      <c r="BX58" s="38" t="str">
        <f>IFERROR('1.vize'!CI58*100/'1.vize'!$I58,"")</f>
        <v/>
      </c>
      <c r="BY58" s="38" t="str">
        <f>IFERROR('1.vize'!CJ58*100/'1.vize'!$I58,"")</f>
        <v/>
      </c>
      <c r="BZ58" s="38" t="str">
        <f>IFERROR('1.vize'!CK58*100/'1.vize'!$I58,"")</f>
        <v/>
      </c>
      <c r="CA58" s="38" t="str">
        <f>IFERROR('1.vize'!CL58*100/'1.vize'!$I58,"")</f>
        <v/>
      </c>
      <c r="CB58" s="38" t="str">
        <f>IFERROR('1.vize'!CM58*100/'1.vize'!$I58,"")</f>
        <v/>
      </c>
      <c r="CC58" s="38" t="str">
        <f>IFERROR('1.vize'!CN58*100/'1.vize'!$I58,"")</f>
        <v/>
      </c>
      <c r="CD58" s="38" t="str">
        <f>IFERROR('1.vize'!CO58*100/'1.vize'!$I58,"")</f>
        <v/>
      </c>
      <c r="CE58" s="38" t="str">
        <f>IFERROR('1.vize'!CP58*100/'1.vize'!$I58,"")</f>
        <v/>
      </c>
      <c r="CF58" s="38" t="str">
        <f>IFERROR('1.vize'!CQ58*100/'1.vize'!$I58,"")</f>
        <v/>
      </c>
      <c r="CG58" s="38" t="str">
        <f>IFERROR('1.vize'!CR58*100/'1.vize'!$I58,"")</f>
        <v/>
      </c>
      <c r="CH58" s="38" t="str">
        <f>IFERROR('1.vize'!CS58*100/'1.vize'!$I58,"")</f>
        <v/>
      </c>
      <c r="CI58" s="38" t="str">
        <f>IFERROR('1.vize'!CT58*100/'1.vize'!$I58,"")</f>
        <v/>
      </c>
      <c r="CJ58" s="38" t="str">
        <f>IFERROR('1.vize'!CU58*100/'1.vize'!$I58,"")</f>
        <v/>
      </c>
      <c r="CK58" s="38" t="str">
        <f>IFERROR('1.vize'!CV58*100/'1.vize'!$I58,"")</f>
        <v/>
      </c>
      <c r="CL58" s="38" t="str">
        <f>IFERROR('1.vize'!CW58*100/'1.vize'!$I58,"")</f>
        <v/>
      </c>
      <c r="CM58" s="38" t="str">
        <f>IFERROR('1.vize'!CX58*100/'1.vize'!$I58,"")</f>
        <v/>
      </c>
      <c r="CN58" s="38" t="str">
        <f>IFERROR('1.vize'!CY58*100/'1.vize'!$I58,"")</f>
        <v/>
      </c>
      <c r="CO58" s="38" t="str">
        <f>IFERROR('1.vize'!CZ58*100/'1.vize'!$I58,"")</f>
        <v/>
      </c>
      <c r="CP58" s="38" t="str">
        <f>IFERROR('1.vize'!DA58*100/'1.vize'!$I58,"")</f>
        <v/>
      </c>
      <c r="CQ58" s="38" t="str">
        <f>IFERROR('1.vize'!DB58*100/'1.vize'!$I58,"")</f>
        <v/>
      </c>
      <c r="CR58" s="38" t="str">
        <f>IFERROR('1.vize'!DC58*100/'1.vize'!$I58,"")</f>
        <v/>
      </c>
      <c r="CS58" s="38" t="str">
        <f>IFERROR('1.vize'!DD58*100/'1.vize'!$I58,"")</f>
        <v/>
      </c>
      <c r="CT58" s="38" t="str">
        <f>IFERROR('1.vize'!DE58*100/'1.vize'!$I58,"")</f>
        <v/>
      </c>
      <c r="CU58" s="38" t="str">
        <f>IFERROR('1.vize'!DF58*100/'1.vize'!$I58,"")</f>
        <v/>
      </c>
      <c r="CV58" s="38" t="str">
        <f>IFERROR('1.vize'!DG58*100/'1.vize'!$I58,"")</f>
        <v/>
      </c>
      <c r="CW58" s="32" t="str">
        <f>IFERROR(SUM(A58:CV58)/'1.vize'!$DH$103,"")</f>
        <v/>
      </c>
      <c r="CX58" s="14" t="str">
        <f>IF(COUNTA('1.vize'!A58),'1.vize'!A58,"")</f>
        <v/>
      </c>
      <c r="CY58" s="14" t="str">
        <f>IF(COUNTA('1.vize'!B58),'1.vize'!B58,"")</f>
        <v/>
      </c>
      <c r="CZ58" s="14" t="str">
        <f>IF(COUNTA('1.vize'!C58),'1.vize'!C58,"")</f>
        <v/>
      </c>
      <c r="DA58" s="14" t="str">
        <f>IF(COUNTA('1.vize'!D58),'1.vize'!D58,"")</f>
        <v/>
      </c>
      <c r="DB58" s="14" t="str">
        <f>IF(COUNTA('1.vize'!E58),'1.vize'!E58,"")</f>
        <v/>
      </c>
      <c r="DC58" s="14" t="str">
        <f>IF(COUNTA('1.vize'!F58),'1.vize'!F58,"")</f>
        <v/>
      </c>
      <c r="DD58" s="14" t="str">
        <f>IF(COUNTA('1.vize'!G58),'1.vize'!G58,"")</f>
        <v/>
      </c>
      <c r="DE58" s="14" t="str">
        <f>IF(COUNTA('1.vize'!H58),'1.vize'!H58,"")</f>
        <v/>
      </c>
      <c r="DF58" s="33"/>
    </row>
    <row r="59" spans="1:110" x14ac:dyDescent="0.2">
      <c r="A59" s="38" t="str">
        <f>IFERROR('1.vize'!L59*100/'1.vize'!$I59,"")</f>
        <v/>
      </c>
      <c r="B59" s="38" t="str">
        <f>IFERROR('1.vize'!M59*100/'1.vize'!$I59,"")</f>
        <v/>
      </c>
      <c r="C59" s="38" t="str">
        <f>IFERROR('1.vize'!N59*100/'1.vize'!$I59,"")</f>
        <v/>
      </c>
      <c r="D59" s="38" t="str">
        <f>IFERROR('1.vize'!O59*100/'1.vize'!$I59,"")</f>
        <v/>
      </c>
      <c r="E59" s="38" t="str">
        <f>IFERROR('1.vize'!P59*100/'1.vize'!$I59,"")</f>
        <v/>
      </c>
      <c r="F59" s="38" t="str">
        <f>IFERROR('1.vize'!Q59*100/'1.vize'!$I59,"")</f>
        <v/>
      </c>
      <c r="G59" s="38" t="str">
        <f>IFERROR('1.vize'!R59*100/'1.vize'!$I59,"")</f>
        <v/>
      </c>
      <c r="H59" s="38" t="str">
        <f>IFERROR('1.vize'!S59*100/'1.vize'!$I59,"")</f>
        <v/>
      </c>
      <c r="I59" s="38" t="str">
        <f>IFERROR('1.vize'!T59*100/'1.vize'!$I59,"")</f>
        <v/>
      </c>
      <c r="J59" s="38" t="str">
        <f>IFERROR('1.vize'!U59*100/'1.vize'!$I59,"")</f>
        <v/>
      </c>
      <c r="K59" s="38" t="str">
        <f>IFERROR('1.vize'!V59*100/'1.vize'!$I59,"")</f>
        <v/>
      </c>
      <c r="L59" s="38" t="str">
        <f>IFERROR('1.vize'!W59*100/'1.vize'!$I59,"")</f>
        <v/>
      </c>
      <c r="M59" s="38" t="str">
        <f>IFERROR('1.vize'!X59*100/'1.vize'!$I59,"")</f>
        <v/>
      </c>
      <c r="N59" s="38" t="str">
        <f>IFERROR('1.vize'!Y59*100/'1.vize'!$I59,"")</f>
        <v/>
      </c>
      <c r="O59" s="38" t="str">
        <f>IFERROR('1.vize'!Z59*100/'1.vize'!$I59,"")</f>
        <v/>
      </c>
      <c r="P59" s="38" t="str">
        <f>IFERROR('1.vize'!AA59*100/'1.vize'!$I59,"")</f>
        <v/>
      </c>
      <c r="Q59" s="38" t="str">
        <f>IFERROR('1.vize'!AB59*100/'1.vize'!$I59,"")</f>
        <v/>
      </c>
      <c r="R59" s="38" t="str">
        <f>IFERROR('1.vize'!AC59*100/'1.vize'!$I59,"")</f>
        <v/>
      </c>
      <c r="S59" s="38" t="str">
        <f>IFERROR('1.vize'!AD59*100/'1.vize'!$I59,"")</f>
        <v/>
      </c>
      <c r="T59" s="38" t="str">
        <f>IFERROR('1.vize'!AE59*100/'1.vize'!$I59,"")</f>
        <v/>
      </c>
      <c r="U59" s="38" t="str">
        <f>IFERROR('1.vize'!AF59*100/'1.vize'!$I59,"")</f>
        <v/>
      </c>
      <c r="V59" s="38" t="str">
        <f>IFERROR('1.vize'!AG59*100/'1.vize'!$I59,"")</f>
        <v/>
      </c>
      <c r="W59" s="38" t="str">
        <f>IFERROR('1.vize'!AH59*100/'1.vize'!$I59,"")</f>
        <v/>
      </c>
      <c r="X59" s="38" t="str">
        <f>IFERROR('1.vize'!AI59*100/'1.vize'!$I59,"")</f>
        <v/>
      </c>
      <c r="Y59" s="38" t="str">
        <f>IFERROR('1.vize'!AJ59*100/'1.vize'!$I59,"")</f>
        <v/>
      </c>
      <c r="Z59" s="38" t="str">
        <f>IFERROR('1.vize'!AK59*100/'1.vize'!$I59,"")</f>
        <v/>
      </c>
      <c r="AA59" s="38" t="str">
        <f>IFERROR('1.vize'!AL59*100/'1.vize'!$I59,"")</f>
        <v/>
      </c>
      <c r="AB59" s="38" t="str">
        <f>IFERROR('1.vize'!AM59*100/'1.vize'!$I59,"")</f>
        <v/>
      </c>
      <c r="AC59" s="38" t="str">
        <f>IFERROR('1.vize'!AN59*100/'1.vize'!$I59,"")</f>
        <v/>
      </c>
      <c r="AD59" s="38" t="str">
        <f>IFERROR('1.vize'!AO59*100/'1.vize'!$I59,"")</f>
        <v/>
      </c>
      <c r="AE59" s="38" t="str">
        <f>IFERROR('1.vize'!AP59*100/'1.vize'!$I59,"")</f>
        <v/>
      </c>
      <c r="AF59" s="38" t="str">
        <f>IFERROR('1.vize'!AQ59*100/'1.vize'!$I59,"")</f>
        <v/>
      </c>
      <c r="AG59" s="38" t="str">
        <f>IFERROR('1.vize'!AR59*100/'1.vize'!$I59,"")</f>
        <v/>
      </c>
      <c r="AH59" s="38" t="str">
        <f>IFERROR('1.vize'!AS59*100/'1.vize'!$I59,"")</f>
        <v/>
      </c>
      <c r="AI59" s="38" t="str">
        <f>IFERROR('1.vize'!AT59*100/'1.vize'!$I59,"")</f>
        <v/>
      </c>
      <c r="AJ59" s="38" t="str">
        <f>IFERROR('1.vize'!AU59*100/'1.vize'!$I59,"")</f>
        <v/>
      </c>
      <c r="AK59" s="38" t="str">
        <f>IFERROR('1.vize'!AV59*100/'1.vize'!$I59,"")</f>
        <v/>
      </c>
      <c r="AL59" s="38" t="str">
        <f>IFERROR('1.vize'!AW59*100/'1.vize'!$I59,"")</f>
        <v/>
      </c>
      <c r="AM59" s="38" t="str">
        <f>IFERROR('1.vize'!AX59*100/'1.vize'!$I59,"")</f>
        <v/>
      </c>
      <c r="AN59" s="38" t="str">
        <f>IFERROR('1.vize'!AY59*100/'1.vize'!$I59,"")</f>
        <v/>
      </c>
      <c r="AO59" s="38" t="str">
        <f>IFERROR('1.vize'!AZ59*100/'1.vize'!$I59,"")</f>
        <v/>
      </c>
      <c r="AP59" s="38" t="str">
        <f>IFERROR('1.vize'!BA59*100/'1.vize'!$I59,"")</f>
        <v/>
      </c>
      <c r="AQ59" s="38" t="str">
        <f>IFERROR('1.vize'!BB59*100/'1.vize'!$I59,"")</f>
        <v/>
      </c>
      <c r="AR59" s="38" t="str">
        <f>IFERROR('1.vize'!BC59*100/'1.vize'!$I59,"")</f>
        <v/>
      </c>
      <c r="AS59" s="38" t="str">
        <f>IFERROR('1.vize'!BD59*100/'1.vize'!$I59,"")</f>
        <v/>
      </c>
      <c r="AT59" s="38" t="str">
        <f>IFERROR('1.vize'!BE59*100/'1.vize'!$I59,"")</f>
        <v/>
      </c>
      <c r="AU59" s="38" t="str">
        <f>IFERROR('1.vize'!BF59*100/'1.vize'!$I59,"")</f>
        <v/>
      </c>
      <c r="AV59" s="38" t="str">
        <f>IFERROR('1.vize'!BG59*100/'1.vize'!$I59,"")</f>
        <v/>
      </c>
      <c r="AW59" s="38" t="str">
        <f>IFERROR('1.vize'!BH59*100/'1.vize'!$I59,"")</f>
        <v/>
      </c>
      <c r="AX59" s="38" t="str">
        <f>IFERROR('1.vize'!BI59*100/'1.vize'!$I59,"")</f>
        <v/>
      </c>
      <c r="AY59" s="38" t="str">
        <f>IFERROR('1.vize'!BJ59*100/'1.vize'!$I59,"")</f>
        <v/>
      </c>
      <c r="AZ59" s="38" t="str">
        <f>IFERROR('1.vize'!BK59*100/'1.vize'!$I59,"")</f>
        <v/>
      </c>
      <c r="BA59" s="38" t="str">
        <f>IFERROR('1.vize'!BL59*100/'1.vize'!$I59,"")</f>
        <v/>
      </c>
      <c r="BB59" s="38" t="str">
        <f>IFERROR('1.vize'!BM59*100/'1.vize'!$I59,"")</f>
        <v/>
      </c>
      <c r="BC59" s="38" t="str">
        <f>IFERROR('1.vize'!BN59*100/'1.vize'!$I59,"")</f>
        <v/>
      </c>
      <c r="BD59" s="38" t="str">
        <f>IFERROR('1.vize'!BO59*100/'1.vize'!$I59,"")</f>
        <v/>
      </c>
      <c r="BE59" s="38" t="str">
        <f>IFERROR('1.vize'!BP59*100/'1.vize'!$I59,"")</f>
        <v/>
      </c>
      <c r="BF59" s="38" t="str">
        <f>IFERROR('1.vize'!BQ59*100/'1.vize'!$I59,"")</f>
        <v/>
      </c>
      <c r="BG59" s="38" t="str">
        <f>IFERROR('1.vize'!BR59*100/'1.vize'!$I59,"")</f>
        <v/>
      </c>
      <c r="BH59" s="38" t="str">
        <f>IFERROR('1.vize'!BS59*100/'1.vize'!$I59,"")</f>
        <v/>
      </c>
      <c r="BI59" s="38" t="str">
        <f>IFERROR('1.vize'!BT59*100/'1.vize'!$I59,"")</f>
        <v/>
      </c>
      <c r="BJ59" s="38" t="str">
        <f>IFERROR('1.vize'!BU59*100/'1.vize'!$I59,"")</f>
        <v/>
      </c>
      <c r="BK59" s="38" t="str">
        <f>IFERROR('1.vize'!BV59*100/'1.vize'!$I59,"")</f>
        <v/>
      </c>
      <c r="BL59" s="38" t="str">
        <f>IFERROR('1.vize'!BW59*100/'1.vize'!$I59,"")</f>
        <v/>
      </c>
      <c r="BM59" s="38" t="str">
        <f>IFERROR('1.vize'!BX59*100/'1.vize'!$I59,"")</f>
        <v/>
      </c>
      <c r="BN59" s="38" t="str">
        <f>IFERROR('1.vize'!BY59*100/'1.vize'!$I59,"")</f>
        <v/>
      </c>
      <c r="BO59" s="38" t="str">
        <f>IFERROR('1.vize'!BZ59*100/'1.vize'!$I59,"")</f>
        <v/>
      </c>
      <c r="BP59" s="38" t="str">
        <f>IFERROR('1.vize'!CA59*100/'1.vize'!$I59,"")</f>
        <v/>
      </c>
      <c r="BQ59" s="38" t="str">
        <f>IFERROR('1.vize'!CB59*100/'1.vize'!$I59,"")</f>
        <v/>
      </c>
      <c r="BR59" s="38" t="str">
        <f>IFERROR('1.vize'!CC59*100/'1.vize'!$I59,"")</f>
        <v/>
      </c>
      <c r="BS59" s="38" t="str">
        <f>IFERROR('1.vize'!CD59*100/'1.vize'!$I59,"")</f>
        <v/>
      </c>
      <c r="BT59" s="38" t="str">
        <f>IFERROR('1.vize'!CE59*100/'1.vize'!$I59,"")</f>
        <v/>
      </c>
      <c r="BU59" s="38" t="str">
        <f>IFERROR('1.vize'!CF59*100/'1.vize'!$I59,"")</f>
        <v/>
      </c>
      <c r="BV59" s="38" t="str">
        <f>IFERROR('1.vize'!CG59*100/'1.vize'!$I59,"")</f>
        <v/>
      </c>
      <c r="BW59" s="38" t="str">
        <f>IFERROR('1.vize'!CH59*100/'1.vize'!$I59,"")</f>
        <v/>
      </c>
      <c r="BX59" s="38" t="str">
        <f>IFERROR('1.vize'!CI59*100/'1.vize'!$I59,"")</f>
        <v/>
      </c>
      <c r="BY59" s="38" t="str">
        <f>IFERROR('1.vize'!CJ59*100/'1.vize'!$I59,"")</f>
        <v/>
      </c>
      <c r="BZ59" s="38" t="str">
        <f>IFERROR('1.vize'!CK59*100/'1.vize'!$I59,"")</f>
        <v/>
      </c>
      <c r="CA59" s="38" t="str">
        <f>IFERROR('1.vize'!CL59*100/'1.vize'!$I59,"")</f>
        <v/>
      </c>
      <c r="CB59" s="38" t="str">
        <f>IFERROR('1.vize'!CM59*100/'1.vize'!$I59,"")</f>
        <v/>
      </c>
      <c r="CC59" s="38" t="str">
        <f>IFERROR('1.vize'!CN59*100/'1.vize'!$I59,"")</f>
        <v/>
      </c>
      <c r="CD59" s="38" t="str">
        <f>IFERROR('1.vize'!CO59*100/'1.vize'!$I59,"")</f>
        <v/>
      </c>
      <c r="CE59" s="38" t="str">
        <f>IFERROR('1.vize'!CP59*100/'1.vize'!$I59,"")</f>
        <v/>
      </c>
      <c r="CF59" s="38" t="str">
        <f>IFERROR('1.vize'!CQ59*100/'1.vize'!$I59,"")</f>
        <v/>
      </c>
      <c r="CG59" s="38" t="str">
        <f>IFERROR('1.vize'!CR59*100/'1.vize'!$I59,"")</f>
        <v/>
      </c>
      <c r="CH59" s="38" t="str">
        <f>IFERROR('1.vize'!CS59*100/'1.vize'!$I59,"")</f>
        <v/>
      </c>
      <c r="CI59" s="38" t="str">
        <f>IFERROR('1.vize'!CT59*100/'1.vize'!$I59,"")</f>
        <v/>
      </c>
      <c r="CJ59" s="38" t="str">
        <f>IFERROR('1.vize'!CU59*100/'1.vize'!$I59,"")</f>
        <v/>
      </c>
      <c r="CK59" s="38" t="str">
        <f>IFERROR('1.vize'!CV59*100/'1.vize'!$I59,"")</f>
        <v/>
      </c>
      <c r="CL59" s="38" t="str">
        <f>IFERROR('1.vize'!CW59*100/'1.vize'!$I59,"")</f>
        <v/>
      </c>
      <c r="CM59" s="38" t="str">
        <f>IFERROR('1.vize'!CX59*100/'1.vize'!$I59,"")</f>
        <v/>
      </c>
      <c r="CN59" s="38" t="str">
        <f>IFERROR('1.vize'!CY59*100/'1.vize'!$I59,"")</f>
        <v/>
      </c>
      <c r="CO59" s="38" t="str">
        <f>IFERROR('1.vize'!CZ59*100/'1.vize'!$I59,"")</f>
        <v/>
      </c>
      <c r="CP59" s="38" t="str">
        <f>IFERROR('1.vize'!DA59*100/'1.vize'!$I59,"")</f>
        <v/>
      </c>
      <c r="CQ59" s="38" t="str">
        <f>IFERROR('1.vize'!DB59*100/'1.vize'!$I59,"")</f>
        <v/>
      </c>
      <c r="CR59" s="38" t="str">
        <f>IFERROR('1.vize'!DC59*100/'1.vize'!$I59,"")</f>
        <v/>
      </c>
      <c r="CS59" s="38" t="str">
        <f>IFERROR('1.vize'!DD59*100/'1.vize'!$I59,"")</f>
        <v/>
      </c>
      <c r="CT59" s="38" t="str">
        <f>IFERROR('1.vize'!DE59*100/'1.vize'!$I59,"")</f>
        <v/>
      </c>
      <c r="CU59" s="38" t="str">
        <f>IFERROR('1.vize'!DF59*100/'1.vize'!$I59,"")</f>
        <v/>
      </c>
      <c r="CV59" s="38" t="str">
        <f>IFERROR('1.vize'!DG59*100/'1.vize'!$I59,"")</f>
        <v/>
      </c>
      <c r="CW59" s="32" t="str">
        <f>IFERROR(SUM(A59:CV59)/'1.vize'!$DH$103,"")</f>
        <v/>
      </c>
      <c r="CX59" s="14" t="str">
        <f>IF(COUNTA('1.vize'!A59),'1.vize'!A59,"")</f>
        <v/>
      </c>
      <c r="CY59" s="14" t="str">
        <f>IF(COUNTA('1.vize'!B59),'1.vize'!B59,"")</f>
        <v/>
      </c>
      <c r="CZ59" s="14" t="str">
        <f>IF(COUNTA('1.vize'!C59),'1.vize'!C59,"")</f>
        <v/>
      </c>
      <c r="DA59" s="14" t="str">
        <f>IF(COUNTA('1.vize'!D59),'1.vize'!D59,"")</f>
        <v/>
      </c>
      <c r="DB59" s="14" t="str">
        <f>IF(COUNTA('1.vize'!E59),'1.vize'!E59,"")</f>
        <v/>
      </c>
      <c r="DC59" s="14" t="str">
        <f>IF(COUNTA('1.vize'!F59),'1.vize'!F59,"")</f>
        <v/>
      </c>
      <c r="DD59" s="14" t="str">
        <f>IF(COUNTA('1.vize'!G59),'1.vize'!G59,"")</f>
        <v/>
      </c>
      <c r="DE59" s="14" t="str">
        <f>IF(COUNTA('1.vize'!H59),'1.vize'!H59,"")</f>
        <v/>
      </c>
      <c r="DF59" s="33"/>
    </row>
    <row r="60" spans="1:110" x14ac:dyDescent="0.2">
      <c r="A60" s="38" t="str">
        <f>IFERROR('1.vize'!L60*100/'1.vize'!$I60,"")</f>
        <v/>
      </c>
      <c r="B60" s="38" t="str">
        <f>IFERROR('1.vize'!M60*100/'1.vize'!$I60,"")</f>
        <v/>
      </c>
      <c r="C60" s="38" t="str">
        <f>IFERROR('1.vize'!N60*100/'1.vize'!$I60,"")</f>
        <v/>
      </c>
      <c r="D60" s="38" t="str">
        <f>IFERROR('1.vize'!O60*100/'1.vize'!$I60,"")</f>
        <v/>
      </c>
      <c r="E60" s="38" t="str">
        <f>IFERROR('1.vize'!P60*100/'1.vize'!$I60,"")</f>
        <v/>
      </c>
      <c r="F60" s="38" t="str">
        <f>IFERROR('1.vize'!Q60*100/'1.vize'!$I60,"")</f>
        <v/>
      </c>
      <c r="G60" s="38" t="str">
        <f>IFERROR('1.vize'!R60*100/'1.vize'!$I60,"")</f>
        <v/>
      </c>
      <c r="H60" s="38" t="str">
        <f>IFERROR('1.vize'!S60*100/'1.vize'!$I60,"")</f>
        <v/>
      </c>
      <c r="I60" s="38" t="str">
        <f>IFERROR('1.vize'!T60*100/'1.vize'!$I60,"")</f>
        <v/>
      </c>
      <c r="J60" s="38" t="str">
        <f>IFERROR('1.vize'!U60*100/'1.vize'!$I60,"")</f>
        <v/>
      </c>
      <c r="K60" s="38" t="str">
        <f>IFERROR('1.vize'!V60*100/'1.vize'!$I60,"")</f>
        <v/>
      </c>
      <c r="L60" s="38" t="str">
        <f>IFERROR('1.vize'!W60*100/'1.vize'!$I60,"")</f>
        <v/>
      </c>
      <c r="M60" s="38" t="str">
        <f>IFERROR('1.vize'!X60*100/'1.vize'!$I60,"")</f>
        <v/>
      </c>
      <c r="N60" s="38" t="str">
        <f>IFERROR('1.vize'!Y60*100/'1.vize'!$I60,"")</f>
        <v/>
      </c>
      <c r="O60" s="38" t="str">
        <f>IFERROR('1.vize'!Z60*100/'1.vize'!$I60,"")</f>
        <v/>
      </c>
      <c r="P60" s="38" t="str">
        <f>IFERROR('1.vize'!AA60*100/'1.vize'!$I60,"")</f>
        <v/>
      </c>
      <c r="Q60" s="38" t="str">
        <f>IFERROR('1.vize'!AB60*100/'1.vize'!$I60,"")</f>
        <v/>
      </c>
      <c r="R60" s="38" t="str">
        <f>IFERROR('1.vize'!AC60*100/'1.vize'!$I60,"")</f>
        <v/>
      </c>
      <c r="S60" s="38" t="str">
        <f>IFERROR('1.vize'!AD60*100/'1.vize'!$I60,"")</f>
        <v/>
      </c>
      <c r="T60" s="38" t="str">
        <f>IFERROR('1.vize'!AE60*100/'1.vize'!$I60,"")</f>
        <v/>
      </c>
      <c r="U60" s="38" t="str">
        <f>IFERROR('1.vize'!AF60*100/'1.vize'!$I60,"")</f>
        <v/>
      </c>
      <c r="V60" s="38" t="str">
        <f>IFERROR('1.vize'!AG60*100/'1.vize'!$I60,"")</f>
        <v/>
      </c>
      <c r="W60" s="38" t="str">
        <f>IFERROR('1.vize'!AH60*100/'1.vize'!$I60,"")</f>
        <v/>
      </c>
      <c r="X60" s="38" t="str">
        <f>IFERROR('1.vize'!AI60*100/'1.vize'!$I60,"")</f>
        <v/>
      </c>
      <c r="Y60" s="38" t="str">
        <f>IFERROR('1.vize'!AJ60*100/'1.vize'!$I60,"")</f>
        <v/>
      </c>
      <c r="Z60" s="38" t="str">
        <f>IFERROR('1.vize'!AK60*100/'1.vize'!$I60,"")</f>
        <v/>
      </c>
      <c r="AA60" s="38" t="str">
        <f>IFERROR('1.vize'!AL60*100/'1.vize'!$I60,"")</f>
        <v/>
      </c>
      <c r="AB60" s="38" t="str">
        <f>IFERROR('1.vize'!AM60*100/'1.vize'!$I60,"")</f>
        <v/>
      </c>
      <c r="AC60" s="38" t="str">
        <f>IFERROR('1.vize'!AN60*100/'1.vize'!$I60,"")</f>
        <v/>
      </c>
      <c r="AD60" s="38" t="str">
        <f>IFERROR('1.vize'!AO60*100/'1.vize'!$I60,"")</f>
        <v/>
      </c>
      <c r="AE60" s="38" t="str">
        <f>IFERROR('1.vize'!AP60*100/'1.vize'!$I60,"")</f>
        <v/>
      </c>
      <c r="AF60" s="38" t="str">
        <f>IFERROR('1.vize'!AQ60*100/'1.vize'!$I60,"")</f>
        <v/>
      </c>
      <c r="AG60" s="38" t="str">
        <f>IFERROR('1.vize'!AR60*100/'1.vize'!$I60,"")</f>
        <v/>
      </c>
      <c r="AH60" s="38" t="str">
        <f>IFERROR('1.vize'!AS60*100/'1.vize'!$I60,"")</f>
        <v/>
      </c>
      <c r="AI60" s="38" t="str">
        <f>IFERROR('1.vize'!AT60*100/'1.vize'!$I60,"")</f>
        <v/>
      </c>
      <c r="AJ60" s="38" t="str">
        <f>IFERROR('1.vize'!AU60*100/'1.vize'!$I60,"")</f>
        <v/>
      </c>
      <c r="AK60" s="38" t="str">
        <f>IFERROR('1.vize'!AV60*100/'1.vize'!$I60,"")</f>
        <v/>
      </c>
      <c r="AL60" s="38" t="str">
        <f>IFERROR('1.vize'!AW60*100/'1.vize'!$I60,"")</f>
        <v/>
      </c>
      <c r="AM60" s="38" t="str">
        <f>IFERROR('1.vize'!AX60*100/'1.vize'!$I60,"")</f>
        <v/>
      </c>
      <c r="AN60" s="38" t="str">
        <f>IFERROR('1.vize'!AY60*100/'1.vize'!$I60,"")</f>
        <v/>
      </c>
      <c r="AO60" s="38" t="str">
        <f>IFERROR('1.vize'!AZ60*100/'1.vize'!$I60,"")</f>
        <v/>
      </c>
      <c r="AP60" s="38" t="str">
        <f>IFERROR('1.vize'!BA60*100/'1.vize'!$I60,"")</f>
        <v/>
      </c>
      <c r="AQ60" s="38" t="str">
        <f>IFERROR('1.vize'!BB60*100/'1.vize'!$I60,"")</f>
        <v/>
      </c>
      <c r="AR60" s="38" t="str">
        <f>IFERROR('1.vize'!BC60*100/'1.vize'!$I60,"")</f>
        <v/>
      </c>
      <c r="AS60" s="38" t="str">
        <f>IFERROR('1.vize'!BD60*100/'1.vize'!$I60,"")</f>
        <v/>
      </c>
      <c r="AT60" s="38" t="str">
        <f>IFERROR('1.vize'!BE60*100/'1.vize'!$I60,"")</f>
        <v/>
      </c>
      <c r="AU60" s="38" t="str">
        <f>IFERROR('1.vize'!BF60*100/'1.vize'!$I60,"")</f>
        <v/>
      </c>
      <c r="AV60" s="38" t="str">
        <f>IFERROR('1.vize'!BG60*100/'1.vize'!$I60,"")</f>
        <v/>
      </c>
      <c r="AW60" s="38" t="str">
        <f>IFERROR('1.vize'!BH60*100/'1.vize'!$I60,"")</f>
        <v/>
      </c>
      <c r="AX60" s="38" t="str">
        <f>IFERROR('1.vize'!BI60*100/'1.vize'!$I60,"")</f>
        <v/>
      </c>
      <c r="AY60" s="38" t="str">
        <f>IFERROR('1.vize'!BJ60*100/'1.vize'!$I60,"")</f>
        <v/>
      </c>
      <c r="AZ60" s="38" t="str">
        <f>IFERROR('1.vize'!BK60*100/'1.vize'!$I60,"")</f>
        <v/>
      </c>
      <c r="BA60" s="38" t="str">
        <f>IFERROR('1.vize'!BL60*100/'1.vize'!$I60,"")</f>
        <v/>
      </c>
      <c r="BB60" s="38" t="str">
        <f>IFERROR('1.vize'!BM60*100/'1.vize'!$I60,"")</f>
        <v/>
      </c>
      <c r="BC60" s="38" t="str">
        <f>IFERROR('1.vize'!BN60*100/'1.vize'!$I60,"")</f>
        <v/>
      </c>
      <c r="BD60" s="38" t="str">
        <f>IFERROR('1.vize'!BO60*100/'1.vize'!$I60,"")</f>
        <v/>
      </c>
      <c r="BE60" s="38" t="str">
        <f>IFERROR('1.vize'!BP60*100/'1.vize'!$I60,"")</f>
        <v/>
      </c>
      <c r="BF60" s="38" t="str">
        <f>IFERROR('1.vize'!BQ60*100/'1.vize'!$I60,"")</f>
        <v/>
      </c>
      <c r="BG60" s="38" t="str">
        <f>IFERROR('1.vize'!BR60*100/'1.vize'!$I60,"")</f>
        <v/>
      </c>
      <c r="BH60" s="38" t="str">
        <f>IFERROR('1.vize'!BS60*100/'1.vize'!$I60,"")</f>
        <v/>
      </c>
      <c r="BI60" s="38" t="str">
        <f>IFERROR('1.vize'!BT60*100/'1.vize'!$I60,"")</f>
        <v/>
      </c>
      <c r="BJ60" s="38" t="str">
        <f>IFERROR('1.vize'!BU60*100/'1.vize'!$I60,"")</f>
        <v/>
      </c>
      <c r="BK60" s="38" t="str">
        <f>IFERROR('1.vize'!BV60*100/'1.vize'!$I60,"")</f>
        <v/>
      </c>
      <c r="BL60" s="38" t="str">
        <f>IFERROR('1.vize'!BW60*100/'1.vize'!$I60,"")</f>
        <v/>
      </c>
      <c r="BM60" s="38" t="str">
        <f>IFERROR('1.vize'!BX60*100/'1.vize'!$I60,"")</f>
        <v/>
      </c>
      <c r="BN60" s="38" t="str">
        <f>IFERROR('1.vize'!BY60*100/'1.vize'!$I60,"")</f>
        <v/>
      </c>
      <c r="BO60" s="38" t="str">
        <f>IFERROR('1.vize'!BZ60*100/'1.vize'!$I60,"")</f>
        <v/>
      </c>
      <c r="BP60" s="38" t="str">
        <f>IFERROR('1.vize'!CA60*100/'1.vize'!$I60,"")</f>
        <v/>
      </c>
      <c r="BQ60" s="38" t="str">
        <f>IFERROR('1.vize'!CB60*100/'1.vize'!$I60,"")</f>
        <v/>
      </c>
      <c r="BR60" s="38" t="str">
        <f>IFERROR('1.vize'!CC60*100/'1.vize'!$I60,"")</f>
        <v/>
      </c>
      <c r="BS60" s="38" t="str">
        <f>IFERROR('1.vize'!CD60*100/'1.vize'!$I60,"")</f>
        <v/>
      </c>
      <c r="BT60" s="38" t="str">
        <f>IFERROR('1.vize'!CE60*100/'1.vize'!$I60,"")</f>
        <v/>
      </c>
      <c r="BU60" s="38" t="str">
        <f>IFERROR('1.vize'!CF60*100/'1.vize'!$I60,"")</f>
        <v/>
      </c>
      <c r="BV60" s="38" t="str">
        <f>IFERROR('1.vize'!CG60*100/'1.vize'!$I60,"")</f>
        <v/>
      </c>
      <c r="BW60" s="38" t="str">
        <f>IFERROR('1.vize'!CH60*100/'1.vize'!$I60,"")</f>
        <v/>
      </c>
      <c r="BX60" s="38" t="str">
        <f>IFERROR('1.vize'!CI60*100/'1.vize'!$I60,"")</f>
        <v/>
      </c>
      <c r="BY60" s="38" t="str">
        <f>IFERROR('1.vize'!CJ60*100/'1.vize'!$I60,"")</f>
        <v/>
      </c>
      <c r="BZ60" s="38" t="str">
        <f>IFERROR('1.vize'!CK60*100/'1.vize'!$I60,"")</f>
        <v/>
      </c>
      <c r="CA60" s="38" t="str">
        <f>IFERROR('1.vize'!CL60*100/'1.vize'!$I60,"")</f>
        <v/>
      </c>
      <c r="CB60" s="38" t="str">
        <f>IFERROR('1.vize'!CM60*100/'1.vize'!$I60,"")</f>
        <v/>
      </c>
      <c r="CC60" s="38" t="str">
        <f>IFERROR('1.vize'!CN60*100/'1.vize'!$I60,"")</f>
        <v/>
      </c>
      <c r="CD60" s="38" t="str">
        <f>IFERROR('1.vize'!CO60*100/'1.vize'!$I60,"")</f>
        <v/>
      </c>
      <c r="CE60" s="38" t="str">
        <f>IFERROR('1.vize'!CP60*100/'1.vize'!$I60,"")</f>
        <v/>
      </c>
      <c r="CF60" s="38" t="str">
        <f>IFERROR('1.vize'!CQ60*100/'1.vize'!$I60,"")</f>
        <v/>
      </c>
      <c r="CG60" s="38" t="str">
        <f>IFERROR('1.vize'!CR60*100/'1.vize'!$I60,"")</f>
        <v/>
      </c>
      <c r="CH60" s="38" t="str">
        <f>IFERROR('1.vize'!CS60*100/'1.vize'!$I60,"")</f>
        <v/>
      </c>
      <c r="CI60" s="38" t="str">
        <f>IFERROR('1.vize'!CT60*100/'1.vize'!$I60,"")</f>
        <v/>
      </c>
      <c r="CJ60" s="38" t="str">
        <f>IFERROR('1.vize'!CU60*100/'1.vize'!$I60,"")</f>
        <v/>
      </c>
      <c r="CK60" s="38" t="str">
        <f>IFERROR('1.vize'!CV60*100/'1.vize'!$I60,"")</f>
        <v/>
      </c>
      <c r="CL60" s="38" t="str">
        <f>IFERROR('1.vize'!CW60*100/'1.vize'!$I60,"")</f>
        <v/>
      </c>
      <c r="CM60" s="38" t="str">
        <f>IFERROR('1.vize'!CX60*100/'1.vize'!$I60,"")</f>
        <v/>
      </c>
      <c r="CN60" s="38" t="str">
        <f>IFERROR('1.vize'!CY60*100/'1.vize'!$I60,"")</f>
        <v/>
      </c>
      <c r="CO60" s="38" t="str">
        <f>IFERROR('1.vize'!CZ60*100/'1.vize'!$I60,"")</f>
        <v/>
      </c>
      <c r="CP60" s="38" t="str">
        <f>IFERROR('1.vize'!DA60*100/'1.vize'!$I60,"")</f>
        <v/>
      </c>
      <c r="CQ60" s="38" t="str">
        <f>IFERROR('1.vize'!DB60*100/'1.vize'!$I60,"")</f>
        <v/>
      </c>
      <c r="CR60" s="38" t="str">
        <f>IFERROR('1.vize'!DC60*100/'1.vize'!$I60,"")</f>
        <v/>
      </c>
      <c r="CS60" s="38" t="str">
        <f>IFERROR('1.vize'!DD60*100/'1.vize'!$I60,"")</f>
        <v/>
      </c>
      <c r="CT60" s="38" t="str">
        <f>IFERROR('1.vize'!DE60*100/'1.vize'!$I60,"")</f>
        <v/>
      </c>
      <c r="CU60" s="38" t="str">
        <f>IFERROR('1.vize'!DF60*100/'1.vize'!$I60,"")</f>
        <v/>
      </c>
      <c r="CV60" s="38" t="str">
        <f>IFERROR('1.vize'!DG60*100/'1.vize'!$I60,"")</f>
        <v/>
      </c>
      <c r="CW60" s="32" t="str">
        <f>IFERROR(SUM(A60:CV60)/'1.vize'!$DH$103,"")</f>
        <v/>
      </c>
      <c r="CX60" s="14" t="str">
        <f>IF(COUNTA('1.vize'!A60),'1.vize'!A60,"")</f>
        <v/>
      </c>
      <c r="CY60" s="14" t="str">
        <f>IF(COUNTA('1.vize'!B60),'1.vize'!B60,"")</f>
        <v/>
      </c>
      <c r="CZ60" s="14" t="str">
        <f>IF(COUNTA('1.vize'!C60),'1.vize'!C60,"")</f>
        <v/>
      </c>
      <c r="DA60" s="14" t="str">
        <f>IF(COUNTA('1.vize'!D60),'1.vize'!D60,"")</f>
        <v/>
      </c>
      <c r="DB60" s="14" t="str">
        <f>IF(COUNTA('1.vize'!E60),'1.vize'!E60,"")</f>
        <v/>
      </c>
      <c r="DC60" s="14" t="str">
        <f>IF(COUNTA('1.vize'!F60),'1.vize'!F60,"")</f>
        <v/>
      </c>
      <c r="DD60" s="14" t="str">
        <f>IF(COUNTA('1.vize'!G60),'1.vize'!G60,"")</f>
        <v/>
      </c>
      <c r="DE60" s="14" t="str">
        <f>IF(COUNTA('1.vize'!H60),'1.vize'!H60,"")</f>
        <v/>
      </c>
      <c r="DF60" s="33"/>
    </row>
    <row r="61" spans="1:110" x14ac:dyDescent="0.2">
      <c r="A61" s="38" t="str">
        <f>IFERROR('1.vize'!L61*100/'1.vize'!$I61,"")</f>
        <v/>
      </c>
      <c r="B61" s="38" t="str">
        <f>IFERROR('1.vize'!M61*100/'1.vize'!$I61,"")</f>
        <v/>
      </c>
      <c r="C61" s="38" t="str">
        <f>IFERROR('1.vize'!N61*100/'1.vize'!$I61,"")</f>
        <v/>
      </c>
      <c r="D61" s="38" t="str">
        <f>IFERROR('1.vize'!O61*100/'1.vize'!$I61,"")</f>
        <v/>
      </c>
      <c r="E61" s="38" t="str">
        <f>IFERROR('1.vize'!P61*100/'1.vize'!$I61,"")</f>
        <v/>
      </c>
      <c r="F61" s="38" t="str">
        <f>IFERROR('1.vize'!Q61*100/'1.vize'!$I61,"")</f>
        <v/>
      </c>
      <c r="G61" s="38" t="str">
        <f>IFERROR('1.vize'!R61*100/'1.vize'!$I61,"")</f>
        <v/>
      </c>
      <c r="H61" s="38" t="str">
        <f>IFERROR('1.vize'!S61*100/'1.vize'!$I61,"")</f>
        <v/>
      </c>
      <c r="I61" s="38" t="str">
        <f>IFERROR('1.vize'!T61*100/'1.vize'!$I61,"")</f>
        <v/>
      </c>
      <c r="J61" s="38" t="str">
        <f>IFERROR('1.vize'!U61*100/'1.vize'!$I61,"")</f>
        <v/>
      </c>
      <c r="K61" s="38" t="str">
        <f>IFERROR('1.vize'!V61*100/'1.vize'!$I61,"")</f>
        <v/>
      </c>
      <c r="L61" s="38" t="str">
        <f>IFERROR('1.vize'!W61*100/'1.vize'!$I61,"")</f>
        <v/>
      </c>
      <c r="M61" s="38" t="str">
        <f>IFERROR('1.vize'!X61*100/'1.vize'!$I61,"")</f>
        <v/>
      </c>
      <c r="N61" s="38" t="str">
        <f>IFERROR('1.vize'!Y61*100/'1.vize'!$I61,"")</f>
        <v/>
      </c>
      <c r="O61" s="38" t="str">
        <f>IFERROR('1.vize'!Z61*100/'1.vize'!$I61,"")</f>
        <v/>
      </c>
      <c r="P61" s="38" t="str">
        <f>IFERROR('1.vize'!AA61*100/'1.vize'!$I61,"")</f>
        <v/>
      </c>
      <c r="Q61" s="38" t="str">
        <f>IFERROR('1.vize'!AB61*100/'1.vize'!$I61,"")</f>
        <v/>
      </c>
      <c r="R61" s="38" t="str">
        <f>IFERROR('1.vize'!AC61*100/'1.vize'!$I61,"")</f>
        <v/>
      </c>
      <c r="S61" s="38" t="str">
        <f>IFERROR('1.vize'!AD61*100/'1.vize'!$I61,"")</f>
        <v/>
      </c>
      <c r="T61" s="38" t="str">
        <f>IFERROR('1.vize'!AE61*100/'1.vize'!$I61,"")</f>
        <v/>
      </c>
      <c r="U61" s="38" t="str">
        <f>IFERROR('1.vize'!AF61*100/'1.vize'!$I61,"")</f>
        <v/>
      </c>
      <c r="V61" s="38" t="str">
        <f>IFERROR('1.vize'!AG61*100/'1.vize'!$I61,"")</f>
        <v/>
      </c>
      <c r="W61" s="38" t="str">
        <f>IFERROR('1.vize'!AH61*100/'1.vize'!$I61,"")</f>
        <v/>
      </c>
      <c r="X61" s="38" t="str">
        <f>IFERROR('1.vize'!AI61*100/'1.vize'!$I61,"")</f>
        <v/>
      </c>
      <c r="Y61" s="38" t="str">
        <f>IFERROR('1.vize'!AJ61*100/'1.vize'!$I61,"")</f>
        <v/>
      </c>
      <c r="Z61" s="38" t="str">
        <f>IFERROR('1.vize'!AK61*100/'1.vize'!$I61,"")</f>
        <v/>
      </c>
      <c r="AA61" s="38" t="str">
        <f>IFERROR('1.vize'!AL61*100/'1.vize'!$I61,"")</f>
        <v/>
      </c>
      <c r="AB61" s="38" t="str">
        <f>IFERROR('1.vize'!AM61*100/'1.vize'!$I61,"")</f>
        <v/>
      </c>
      <c r="AC61" s="38" t="str">
        <f>IFERROR('1.vize'!AN61*100/'1.vize'!$I61,"")</f>
        <v/>
      </c>
      <c r="AD61" s="38" t="str">
        <f>IFERROR('1.vize'!AO61*100/'1.vize'!$I61,"")</f>
        <v/>
      </c>
      <c r="AE61" s="38" t="str">
        <f>IFERROR('1.vize'!AP61*100/'1.vize'!$I61,"")</f>
        <v/>
      </c>
      <c r="AF61" s="38" t="str">
        <f>IFERROR('1.vize'!AQ61*100/'1.vize'!$I61,"")</f>
        <v/>
      </c>
      <c r="AG61" s="38" t="str">
        <f>IFERROR('1.vize'!AR61*100/'1.vize'!$I61,"")</f>
        <v/>
      </c>
      <c r="AH61" s="38" t="str">
        <f>IFERROR('1.vize'!AS61*100/'1.vize'!$I61,"")</f>
        <v/>
      </c>
      <c r="AI61" s="38" t="str">
        <f>IFERROR('1.vize'!AT61*100/'1.vize'!$I61,"")</f>
        <v/>
      </c>
      <c r="AJ61" s="38" t="str">
        <f>IFERROR('1.vize'!AU61*100/'1.vize'!$I61,"")</f>
        <v/>
      </c>
      <c r="AK61" s="38" t="str">
        <f>IFERROR('1.vize'!AV61*100/'1.vize'!$I61,"")</f>
        <v/>
      </c>
      <c r="AL61" s="38" t="str">
        <f>IFERROR('1.vize'!AW61*100/'1.vize'!$I61,"")</f>
        <v/>
      </c>
      <c r="AM61" s="38" t="str">
        <f>IFERROR('1.vize'!AX61*100/'1.vize'!$I61,"")</f>
        <v/>
      </c>
      <c r="AN61" s="38" t="str">
        <f>IFERROR('1.vize'!AY61*100/'1.vize'!$I61,"")</f>
        <v/>
      </c>
      <c r="AO61" s="38" t="str">
        <f>IFERROR('1.vize'!AZ61*100/'1.vize'!$I61,"")</f>
        <v/>
      </c>
      <c r="AP61" s="38" t="str">
        <f>IFERROR('1.vize'!BA61*100/'1.vize'!$I61,"")</f>
        <v/>
      </c>
      <c r="AQ61" s="38" t="str">
        <f>IFERROR('1.vize'!BB61*100/'1.vize'!$I61,"")</f>
        <v/>
      </c>
      <c r="AR61" s="38" t="str">
        <f>IFERROR('1.vize'!BC61*100/'1.vize'!$I61,"")</f>
        <v/>
      </c>
      <c r="AS61" s="38" t="str">
        <f>IFERROR('1.vize'!BD61*100/'1.vize'!$I61,"")</f>
        <v/>
      </c>
      <c r="AT61" s="38" t="str">
        <f>IFERROR('1.vize'!BE61*100/'1.vize'!$I61,"")</f>
        <v/>
      </c>
      <c r="AU61" s="38" t="str">
        <f>IFERROR('1.vize'!BF61*100/'1.vize'!$I61,"")</f>
        <v/>
      </c>
      <c r="AV61" s="38" t="str">
        <f>IFERROR('1.vize'!BG61*100/'1.vize'!$I61,"")</f>
        <v/>
      </c>
      <c r="AW61" s="38" t="str">
        <f>IFERROR('1.vize'!BH61*100/'1.vize'!$I61,"")</f>
        <v/>
      </c>
      <c r="AX61" s="38" t="str">
        <f>IFERROR('1.vize'!BI61*100/'1.vize'!$I61,"")</f>
        <v/>
      </c>
      <c r="AY61" s="38" t="str">
        <f>IFERROR('1.vize'!BJ61*100/'1.vize'!$I61,"")</f>
        <v/>
      </c>
      <c r="AZ61" s="38" t="str">
        <f>IFERROR('1.vize'!BK61*100/'1.vize'!$I61,"")</f>
        <v/>
      </c>
      <c r="BA61" s="38" t="str">
        <f>IFERROR('1.vize'!BL61*100/'1.vize'!$I61,"")</f>
        <v/>
      </c>
      <c r="BB61" s="38" t="str">
        <f>IFERROR('1.vize'!BM61*100/'1.vize'!$I61,"")</f>
        <v/>
      </c>
      <c r="BC61" s="38" t="str">
        <f>IFERROR('1.vize'!BN61*100/'1.vize'!$I61,"")</f>
        <v/>
      </c>
      <c r="BD61" s="38" t="str">
        <f>IFERROR('1.vize'!BO61*100/'1.vize'!$I61,"")</f>
        <v/>
      </c>
      <c r="BE61" s="38" t="str">
        <f>IFERROR('1.vize'!BP61*100/'1.vize'!$I61,"")</f>
        <v/>
      </c>
      <c r="BF61" s="38" t="str">
        <f>IFERROR('1.vize'!BQ61*100/'1.vize'!$I61,"")</f>
        <v/>
      </c>
      <c r="BG61" s="38" t="str">
        <f>IFERROR('1.vize'!BR61*100/'1.vize'!$I61,"")</f>
        <v/>
      </c>
      <c r="BH61" s="38" t="str">
        <f>IFERROR('1.vize'!BS61*100/'1.vize'!$I61,"")</f>
        <v/>
      </c>
      <c r="BI61" s="38" t="str">
        <f>IFERROR('1.vize'!BT61*100/'1.vize'!$I61,"")</f>
        <v/>
      </c>
      <c r="BJ61" s="38" t="str">
        <f>IFERROR('1.vize'!BU61*100/'1.vize'!$I61,"")</f>
        <v/>
      </c>
      <c r="BK61" s="38" t="str">
        <f>IFERROR('1.vize'!BV61*100/'1.vize'!$I61,"")</f>
        <v/>
      </c>
      <c r="BL61" s="38" t="str">
        <f>IFERROR('1.vize'!BW61*100/'1.vize'!$I61,"")</f>
        <v/>
      </c>
      <c r="BM61" s="38" t="str">
        <f>IFERROR('1.vize'!BX61*100/'1.vize'!$I61,"")</f>
        <v/>
      </c>
      <c r="BN61" s="38" t="str">
        <f>IFERROR('1.vize'!BY61*100/'1.vize'!$I61,"")</f>
        <v/>
      </c>
      <c r="BO61" s="38" t="str">
        <f>IFERROR('1.vize'!BZ61*100/'1.vize'!$I61,"")</f>
        <v/>
      </c>
      <c r="BP61" s="38" t="str">
        <f>IFERROR('1.vize'!CA61*100/'1.vize'!$I61,"")</f>
        <v/>
      </c>
      <c r="BQ61" s="38" t="str">
        <f>IFERROR('1.vize'!CB61*100/'1.vize'!$I61,"")</f>
        <v/>
      </c>
      <c r="BR61" s="38" t="str">
        <f>IFERROR('1.vize'!CC61*100/'1.vize'!$I61,"")</f>
        <v/>
      </c>
      <c r="BS61" s="38" t="str">
        <f>IFERROR('1.vize'!CD61*100/'1.vize'!$I61,"")</f>
        <v/>
      </c>
      <c r="BT61" s="38" t="str">
        <f>IFERROR('1.vize'!CE61*100/'1.vize'!$I61,"")</f>
        <v/>
      </c>
      <c r="BU61" s="38" t="str">
        <f>IFERROR('1.vize'!CF61*100/'1.vize'!$I61,"")</f>
        <v/>
      </c>
      <c r="BV61" s="38" t="str">
        <f>IFERROR('1.vize'!CG61*100/'1.vize'!$I61,"")</f>
        <v/>
      </c>
      <c r="BW61" s="38" t="str">
        <f>IFERROR('1.vize'!CH61*100/'1.vize'!$I61,"")</f>
        <v/>
      </c>
      <c r="BX61" s="38" t="str">
        <f>IFERROR('1.vize'!CI61*100/'1.vize'!$I61,"")</f>
        <v/>
      </c>
      <c r="BY61" s="38" t="str">
        <f>IFERROR('1.vize'!CJ61*100/'1.vize'!$I61,"")</f>
        <v/>
      </c>
      <c r="BZ61" s="38" t="str">
        <f>IFERROR('1.vize'!CK61*100/'1.vize'!$I61,"")</f>
        <v/>
      </c>
      <c r="CA61" s="38" t="str">
        <f>IFERROR('1.vize'!CL61*100/'1.vize'!$I61,"")</f>
        <v/>
      </c>
      <c r="CB61" s="38" t="str">
        <f>IFERROR('1.vize'!CM61*100/'1.vize'!$I61,"")</f>
        <v/>
      </c>
      <c r="CC61" s="38" t="str">
        <f>IFERROR('1.vize'!CN61*100/'1.vize'!$I61,"")</f>
        <v/>
      </c>
      <c r="CD61" s="38" t="str">
        <f>IFERROR('1.vize'!CO61*100/'1.vize'!$I61,"")</f>
        <v/>
      </c>
      <c r="CE61" s="38" t="str">
        <f>IFERROR('1.vize'!CP61*100/'1.vize'!$I61,"")</f>
        <v/>
      </c>
      <c r="CF61" s="38" t="str">
        <f>IFERROR('1.vize'!CQ61*100/'1.vize'!$I61,"")</f>
        <v/>
      </c>
      <c r="CG61" s="38" t="str">
        <f>IFERROR('1.vize'!CR61*100/'1.vize'!$I61,"")</f>
        <v/>
      </c>
      <c r="CH61" s="38" t="str">
        <f>IFERROR('1.vize'!CS61*100/'1.vize'!$I61,"")</f>
        <v/>
      </c>
      <c r="CI61" s="38" t="str">
        <f>IFERROR('1.vize'!CT61*100/'1.vize'!$I61,"")</f>
        <v/>
      </c>
      <c r="CJ61" s="38" t="str">
        <f>IFERROR('1.vize'!CU61*100/'1.vize'!$I61,"")</f>
        <v/>
      </c>
      <c r="CK61" s="38" t="str">
        <f>IFERROR('1.vize'!CV61*100/'1.vize'!$I61,"")</f>
        <v/>
      </c>
      <c r="CL61" s="38" t="str">
        <f>IFERROR('1.vize'!CW61*100/'1.vize'!$I61,"")</f>
        <v/>
      </c>
      <c r="CM61" s="38" t="str">
        <f>IFERROR('1.vize'!CX61*100/'1.vize'!$I61,"")</f>
        <v/>
      </c>
      <c r="CN61" s="38" t="str">
        <f>IFERROR('1.vize'!CY61*100/'1.vize'!$I61,"")</f>
        <v/>
      </c>
      <c r="CO61" s="38" t="str">
        <f>IFERROR('1.vize'!CZ61*100/'1.vize'!$I61,"")</f>
        <v/>
      </c>
      <c r="CP61" s="38" t="str">
        <f>IFERROR('1.vize'!DA61*100/'1.vize'!$I61,"")</f>
        <v/>
      </c>
      <c r="CQ61" s="38" t="str">
        <f>IFERROR('1.vize'!DB61*100/'1.vize'!$I61,"")</f>
        <v/>
      </c>
      <c r="CR61" s="38" t="str">
        <f>IFERROR('1.vize'!DC61*100/'1.vize'!$I61,"")</f>
        <v/>
      </c>
      <c r="CS61" s="38" t="str">
        <f>IFERROR('1.vize'!DD61*100/'1.vize'!$I61,"")</f>
        <v/>
      </c>
      <c r="CT61" s="38" t="str">
        <f>IFERROR('1.vize'!DE61*100/'1.vize'!$I61,"")</f>
        <v/>
      </c>
      <c r="CU61" s="38" t="str">
        <f>IFERROR('1.vize'!DF61*100/'1.vize'!$I61,"")</f>
        <v/>
      </c>
      <c r="CV61" s="38" t="str">
        <f>IFERROR('1.vize'!DG61*100/'1.vize'!$I61,"")</f>
        <v/>
      </c>
      <c r="CW61" s="32" t="str">
        <f>IFERROR(SUM(A61:CV61)/'1.vize'!$DH$103,"")</f>
        <v/>
      </c>
      <c r="CX61" s="14" t="str">
        <f>IF(COUNTA('1.vize'!A61),'1.vize'!A61,"")</f>
        <v/>
      </c>
      <c r="CY61" s="14" t="str">
        <f>IF(COUNTA('1.vize'!B61),'1.vize'!B61,"")</f>
        <v/>
      </c>
      <c r="CZ61" s="14" t="str">
        <f>IF(COUNTA('1.vize'!C61),'1.vize'!C61,"")</f>
        <v/>
      </c>
      <c r="DA61" s="14" t="str">
        <f>IF(COUNTA('1.vize'!D61),'1.vize'!D61,"")</f>
        <v/>
      </c>
      <c r="DB61" s="14" t="str">
        <f>IF(COUNTA('1.vize'!E61),'1.vize'!E61,"")</f>
        <v/>
      </c>
      <c r="DC61" s="14" t="str">
        <f>IF(COUNTA('1.vize'!F61),'1.vize'!F61,"")</f>
        <v/>
      </c>
      <c r="DD61" s="14" t="str">
        <f>IF(COUNTA('1.vize'!G61),'1.vize'!G61,"")</f>
        <v/>
      </c>
      <c r="DE61" s="14" t="str">
        <f>IF(COUNTA('1.vize'!H61),'1.vize'!H61,"")</f>
        <v/>
      </c>
      <c r="DF61" s="33"/>
    </row>
    <row r="62" spans="1:110" x14ac:dyDescent="0.2">
      <c r="A62" s="38" t="str">
        <f>IFERROR('1.vize'!L62*100/'1.vize'!$I62,"")</f>
        <v/>
      </c>
      <c r="B62" s="38" t="str">
        <f>IFERROR('1.vize'!M62*100/'1.vize'!$I62,"")</f>
        <v/>
      </c>
      <c r="C62" s="38" t="str">
        <f>IFERROR('1.vize'!N62*100/'1.vize'!$I62,"")</f>
        <v/>
      </c>
      <c r="D62" s="38" t="str">
        <f>IFERROR('1.vize'!O62*100/'1.vize'!$I62,"")</f>
        <v/>
      </c>
      <c r="E62" s="38" t="str">
        <f>IFERROR('1.vize'!P62*100/'1.vize'!$I62,"")</f>
        <v/>
      </c>
      <c r="F62" s="38" t="str">
        <f>IFERROR('1.vize'!Q62*100/'1.vize'!$I62,"")</f>
        <v/>
      </c>
      <c r="G62" s="38" t="str">
        <f>IFERROR('1.vize'!R62*100/'1.vize'!$I62,"")</f>
        <v/>
      </c>
      <c r="H62" s="38" t="str">
        <f>IFERROR('1.vize'!S62*100/'1.vize'!$I62,"")</f>
        <v/>
      </c>
      <c r="I62" s="38" t="str">
        <f>IFERROR('1.vize'!T62*100/'1.vize'!$I62,"")</f>
        <v/>
      </c>
      <c r="J62" s="38" t="str">
        <f>IFERROR('1.vize'!U62*100/'1.vize'!$I62,"")</f>
        <v/>
      </c>
      <c r="K62" s="38" t="str">
        <f>IFERROR('1.vize'!V62*100/'1.vize'!$I62,"")</f>
        <v/>
      </c>
      <c r="L62" s="38" t="str">
        <f>IFERROR('1.vize'!W62*100/'1.vize'!$I62,"")</f>
        <v/>
      </c>
      <c r="M62" s="38" t="str">
        <f>IFERROR('1.vize'!X62*100/'1.vize'!$I62,"")</f>
        <v/>
      </c>
      <c r="N62" s="38" t="str">
        <f>IFERROR('1.vize'!Y62*100/'1.vize'!$I62,"")</f>
        <v/>
      </c>
      <c r="O62" s="38" t="str">
        <f>IFERROR('1.vize'!Z62*100/'1.vize'!$I62,"")</f>
        <v/>
      </c>
      <c r="P62" s="38" t="str">
        <f>IFERROR('1.vize'!AA62*100/'1.vize'!$I62,"")</f>
        <v/>
      </c>
      <c r="Q62" s="38" t="str">
        <f>IFERROR('1.vize'!AB62*100/'1.vize'!$I62,"")</f>
        <v/>
      </c>
      <c r="R62" s="38" t="str">
        <f>IFERROR('1.vize'!AC62*100/'1.vize'!$I62,"")</f>
        <v/>
      </c>
      <c r="S62" s="38" t="str">
        <f>IFERROR('1.vize'!AD62*100/'1.vize'!$I62,"")</f>
        <v/>
      </c>
      <c r="T62" s="38" t="str">
        <f>IFERROR('1.vize'!AE62*100/'1.vize'!$I62,"")</f>
        <v/>
      </c>
      <c r="U62" s="38" t="str">
        <f>IFERROR('1.vize'!AF62*100/'1.vize'!$I62,"")</f>
        <v/>
      </c>
      <c r="V62" s="38" t="str">
        <f>IFERROR('1.vize'!AG62*100/'1.vize'!$I62,"")</f>
        <v/>
      </c>
      <c r="W62" s="38" t="str">
        <f>IFERROR('1.vize'!AH62*100/'1.vize'!$I62,"")</f>
        <v/>
      </c>
      <c r="X62" s="38" t="str">
        <f>IFERROR('1.vize'!AI62*100/'1.vize'!$I62,"")</f>
        <v/>
      </c>
      <c r="Y62" s="38" t="str">
        <f>IFERROR('1.vize'!AJ62*100/'1.vize'!$I62,"")</f>
        <v/>
      </c>
      <c r="Z62" s="38" t="str">
        <f>IFERROR('1.vize'!AK62*100/'1.vize'!$I62,"")</f>
        <v/>
      </c>
      <c r="AA62" s="38" t="str">
        <f>IFERROR('1.vize'!AL62*100/'1.vize'!$I62,"")</f>
        <v/>
      </c>
      <c r="AB62" s="38" t="str">
        <f>IFERROR('1.vize'!AM62*100/'1.vize'!$I62,"")</f>
        <v/>
      </c>
      <c r="AC62" s="38" t="str">
        <f>IFERROR('1.vize'!AN62*100/'1.vize'!$I62,"")</f>
        <v/>
      </c>
      <c r="AD62" s="38" t="str">
        <f>IFERROR('1.vize'!AO62*100/'1.vize'!$I62,"")</f>
        <v/>
      </c>
      <c r="AE62" s="38" t="str">
        <f>IFERROR('1.vize'!AP62*100/'1.vize'!$I62,"")</f>
        <v/>
      </c>
      <c r="AF62" s="38" t="str">
        <f>IFERROR('1.vize'!AQ62*100/'1.vize'!$I62,"")</f>
        <v/>
      </c>
      <c r="AG62" s="38" t="str">
        <f>IFERROR('1.vize'!AR62*100/'1.vize'!$I62,"")</f>
        <v/>
      </c>
      <c r="AH62" s="38" t="str">
        <f>IFERROR('1.vize'!AS62*100/'1.vize'!$I62,"")</f>
        <v/>
      </c>
      <c r="AI62" s="38" t="str">
        <f>IFERROR('1.vize'!AT62*100/'1.vize'!$I62,"")</f>
        <v/>
      </c>
      <c r="AJ62" s="38" t="str">
        <f>IFERROR('1.vize'!AU62*100/'1.vize'!$I62,"")</f>
        <v/>
      </c>
      <c r="AK62" s="38" t="str">
        <f>IFERROR('1.vize'!AV62*100/'1.vize'!$I62,"")</f>
        <v/>
      </c>
      <c r="AL62" s="38" t="str">
        <f>IFERROR('1.vize'!AW62*100/'1.vize'!$I62,"")</f>
        <v/>
      </c>
      <c r="AM62" s="38" t="str">
        <f>IFERROR('1.vize'!AX62*100/'1.vize'!$I62,"")</f>
        <v/>
      </c>
      <c r="AN62" s="38" t="str">
        <f>IFERROR('1.vize'!AY62*100/'1.vize'!$I62,"")</f>
        <v/>
      </c>
      <c r="AO62" s="38" t="str">
        <f>IFERROR('1.vize'!AZ62*100/'1.vize'!$I62,"")</f>
        <v/>
      </c>
      <c r="AP62" s="38" t="str">
        <f>IFERROR('1.vize'!BA62*100/'1.vize'!$I62,"")</f>
        <v/>
      </c>
      <c r="AQ62" s="38" t="str">
        <f>IFERROR('1.vize'!BB62*100/'1.vize'!$I62,"")</f>
        <v/>
      </c>
      <c r="AR62" s="38" t="str">
        <f>IFERROR('1.vize'!BC62*100/'1.vize'!$I62,"")</f>
        <v/>
      </c>
      <c r="AS62" s="38" t="str">
        <f>IFERROR('1.vize'!BD62*100/'1.vize'!$I62,"")</f>
        <v/>
      </c>
      <c r="AT62" s="38" t="str">
        <f>IFERROR('1.vize'!BE62*100/'1.vize'!$I62,"")</f>
        <v/>
      </c>
      <c r="AU62" s="38" t="str">
        <f>IFERROR('1.vize'!BF62*100/'1.vize'!$I62,"")</f>
        <v/>
      </c>
      <c r="AV62" s="38" t="str">
        <f>IFERROR('1.vize'!BG62*100/'1.vize'!$I62,"")</f>
        <v/>
      </c>
      <c r="AW62" s="38" t="str">
        <f>IFERROR('1.vize'!BH62*100/'1.vize'!$I62,"")</f>
        <v/>
      </c>
      <c r="AX62" s="38" t="str">
        <f>IFERROR('1.vize'!BI62*100/'1.vize'!$I62,"")</f>
        <v/>
      </c>
      <c r="AY62" s="38" t="str">
        <f>IFERROR('1.vize'!BJ62*100/'1.vize'!$I62,"")</f>
        <v/>
      </c>
      <c r="AZ62" s="38" t="str">
        <f>IFERROR('1.vize'!BK62*100/'1.vize'!$I62,"")</f>
        <v/>
      </c>
      <c r="BA62" s="38" t="str">
        <f>IFERROR('1.vize'!BL62*100/'1.vize'!$I62,"")</f>
        <v/>
      </c>
      <c r="BB62" s="38" t="str">
        <f>IFERROR('1.vize'!BM62*100/'1.vize'!$I62,"")</f>
        <v/>
      </c>
      <c r="BC62" s="38" t="str">
        <f>IFERROR('1.vize'!BN62*100/'1.vize'!$I62,"")</f>
        <v/>
      </c>
      <c r="BD62" s="38" t="str">
        <f>IFERROR('1.vize'!BO62*100/'1.vize'!$I62,"")</f>
        <v/>
      </c>
      <c r="BE62" s="38" t="str">
        <f>IFERROR('1.vize'!BP62*100/'1.vize'!$I62,"")</f>
        <v/>
      </c>
      <c r="BF62" s="38" t="str">
        <f>IFERROR('1.vize'!BQ62*100/'1.vize'!$I62,"")</f>
        <v/>
      </c>
      <c r="BG62" s="38" t="str">
        <f>IFERROR('1.vize'!BR62*100/'1.vize'!$I62,"")</f>
        <v/>
      </c>
      <c r="BH62" s="38" t="str">
        <f>IFERROR('1.vize'!BS62*100/'1.vize'!$I62,"")</f>
        <v/>
      </c>
      <c r="BI62" s="38" t="str">
        <f>IFERROR('1.vize'!BT62*100/'1.vize'!$I62,"")</f>
        <v/>
      </c>
      <c r="BJ62" s="38" t="str">
        <f>IFERROR('1.vize'!BU62*100/'1.vize'!$I62,"")</f>
        <v/>
      </c>
      <c r="BK62" s="38" t="str">
        <f>IFERROR('1.vize'!BV62*100/'1.vize'!$I62,"")</f>
        <v/>
      </c>
      <c r="BL62" s="38" t="str">
        <f>IFERROR('1.vize'!BW62*100/'1.vize'!$I62,"")</f>
        <v/>
      </c>
      <c r="BM62" s="38" t="str">
        <f>IFERROR('1.vize'!BX62*100/'1.vize'!$I62,"")</f>
        <v/>
      </c>
      <c r="BN62" s="38" t="str">
        <f>IFERROR('1.vize'!BY62*100/'1.vize'!$I62,"")</f>
        <v/>
      </c>
      <c r="BO62" s="38" t="str">
        <f>IFERROR('1.vize'!BZ62*100/'1.vize'!$I62,"")</f>
        <v/>
      </c>
      <c r="BP62" s="38" t="str">
        <f>IFERROR('1.vize'!CA62*100/'1.vize'!$I62,"")</f>
        <v/>
      </c>
      <c r="BQ62" s="38" t="str">
        <f>IFERROR('1.vize'!CB62*100/'1.vize'!$I62,"")</f>
        <v/>
      </c>
      <c r="BR62" s="38" t="str">
        <f>IFERROR('1.vize'!CC62*100/'1.vize'!$I62,"")</f>
        <v/>
      </c>
      <c r="BS62" s="38" t="str">
        <f>IFERROR('1.vize'!CD62*100/'1.vize'!$I62,"")</f>
        <v/>
      </c>
      <c r="BT62" s="38" t="str">
        <f>IFERROR('1.vize'!CE62*100/'1.vize'!$I62,"")</f>
        <v/>
      </c>
      <c r="BU62" s="38" t="str">
        <f>IFERROR('1.vize'!CF62*100/'1.vize'!$I62,"")</f>
        <v/>
      </c>
      <c r="BV62" s="38" t="str">
        <f>IFERROR('1.vize'!CG62*100/'1.vize'!$I62,"")</f>
        <v/>
      </c>
      <c r="BW62" s="38" t="str">
        <f>IFERROR('1.vize'!CH62*100/'1.vize'!$I62,"")</f>
        <v/>
      </c>
      <c r="BX62" s="38" t="str">
        <f>IFERROR('1.vize'!CI62*100/'1.vize'!$I62,"")</f>
        <v/>
      </c>
      <c r="BY62" s="38" t="str">
        <f>IFERROR('1.vize'!CJ62*100/'1.vize'!$I62,"")</f>
        <v/>
      </c>
      <c r="BZ62" s="38" t="str">
        <f>IFERROR('1.vize'!CK62*100/'1.vize'!$I62,"")</f>
        <v/>
      </c>
      <c r="CA62" s="38" t="str">
        <f>IFERROR('1.vize'!CL62*100/'1.vize'!$I62,"")</f>
        <v/>
      </c>
      <c r="CB62" s="38" t="str">
        <f>IFERROR('1.vize'!CM62*100/'1.vize'!$I62,"")</f>
        <v/>
      </c>
      <c r="CC62" s="38" t="str">
        <f>IFERROR('1.vize'!CN62*100/'1.vize'!$I62,"")</f>
        <v/>
      </c>
      <c r="CD62" s="38" t="str">
        <f>IFERROR('1.vize'!CO62*100/'1.vize'!$I62,"")</f>
        <v/>
      </c>
      <c r="CE62" s="38" t="str">
        <f>IFERROR('1.vize'!CP62*100/'1.vize'!$I62,"")</f>
        <v/>
      </c>
      <c r="CF62" s="38" t="str">
        <f>IFERROR('1.vize'!CQ62*100/'1.vize'!$I62,"")</f>
        <v/>
      </c>
      <c r="CG62" s="38" t="str">
        <f>IFERROR('1.vize'!CR62*100/'1.vize'!$I62,"")</f>
        <v/>
      </c>
      <c r="CH62" s="38" t="str">
        <f>IFERROR('1.vize'!CS62*100/'1.vize'!$I62,"")</f>
        <v/>
      </c>
      <c r="CI62" s="38" t="str">
        <f>IFERROR('1.vize'!CT62*100/'1.vize'!$I62,"")</f>
        <v/>
      </c>
      <c r="CJ62" s="38" t="str">
        <f>IFERROR('1.vize'!CU62*100/'1.vize'!$I62,"")</f>
        <v/>
      </c>
      <c r="CK62" s="38" t="str">
        <f>IFERROR('1.vize'!CV62*100/'1.vize'!$I62,"")</f>
        <v/>
      </c>
      <c r="CL62" s="38" t="str">
        <f>IFERROR('1.vize'!CW62*100/'1.vize'!$I62,"")</f>
        <v/>
      </c>
      <c r="CM62" s="38" t="str">
        <f>IFERROR('1.vize'!CX62*100/'1.vize'!$I62,"")</f>
        <v/>
      </c>
      <c r="CN62" s="38" t="str">
        <f>IFERROR('1.vize'!CY62*100/'1.vize'!$I62,"")</f>
        <v/>
      </c>
      <c r="CO62" s="38" t="str">
        <f>IFERROR('1.vize'!CZ62*100/'1.vize'!$I62,"")</f>
        <v/>
      </c>
      <c r="CP62" s="38" t="str">
        <f>IFERROR('1.vize'!DA62*100/'1.vize'!$I62,"")</f>
        <v/>
      </c>
      <c r="CQ62" s="38" t="str">
        <f>IFERROR('1.vize'!DB62*100/'1.vize'!$I62,"")</f>
        <v/>
      </c>
      <c r="CR62" s="38" t="str">
        <f>IFERROR('1.vize'!DC62*100/'1.vize'!$I62,"")</f>
        <v/>
      </c>
      <c r="CS62" s="38" t="str">
        <f>IFERROR('1.vize'!DD62*100/'1.vize'!$I62,"")</f>
        <v/>
      </c>
      <c r="CT62" s="38" t="str">
        <f>IFERROR('1.vize'!DE62*100/'1.vize'!$I62,"")</f>
        <v/>
      </c>
      <c r="CU62" s="38" t="str">
        <f>IFERROR('1.vize'!DF62*100/'1.vize'!$I62,"")</f>
        <v/>
      </c>
      <c r="CV62" s="38" t="str">
        <f>IFERROR('1.vize'!DG62*100/'1.vize'!$I62,"")</f>
        <v/>
      </c>
      <c r="CW62" s="32" t="str">
        <f>IFERROR(SUM(A62:CV62)/'1.vize'!$DH$103,"")</f>
        <v/>
      </c>
      <c r="CX62" s="14" t="str">
        <f>IF(COUNTA('1.vize'!A62),'1.vize'!A62,"")</f>
        <v/>
      </c>
      <c r="CY62" s="14" t="str">
        <f>IF(COUNTA('1.vize'!B62),'1.vize'!B62,"")</f>
        <v/>
      </c>
      <c r="CZ62" s="14" t="str">
        <f>IF(COUNTA('1.vize'!C62),'1.vize'!C62,"")</f>
        <v/>
      </c>
      <c r="DA62" s="14" t="str">
        <f>IF(COUNTA('1.vize'!D62),'1.vize'!D62,"")</f>
        <v/>
      </c>
      <c r="DB62" s="14" t="str">
        <f>IF(COUNTA('1.vize'!E62),'1.vize'!E62,"")</f>
        <v/>
      </c>
      <c r="DC62" s="14" t="str">
        <f>IF(COUNTA('1.vize'!F62),'1.vize'!F62,"")</f>
        <v/>
      </c>
      <c r="DD62" s="14" t="str">
        <f>IF(COUNTA('1.vize'!G62),'1.vize'!G62,"")</f>
        <v/>
      </c>
      <c r="DE62" s="14" t="str">
        <f>IF(COUNTA('1.vize'!H62),'1.vize'!H62,"")</f>
        <v/>
      </c>
      <c r="DF62" s="33"/>
    </row>
    <row r="63" spans="1:110" x14ac:dyDescent="0.2">
      <c r="A63" s="38" t="str">
        <f>IFERROR('1.vize'!L63*100/'1.vize'!$I63,"")</f>
        <v/>
      </c>
      <c r="B63" s="38" t="str">
        <f>IFERROR('1.vize'!M63*100/'1.vize'!$I63,"")</f>
        <v/>
      </c>
      <c r="C63" s="38" t="str">
        <f>IFERROR('1.vize'!N63*100/'1.vize'!$I63,"")</f>
        <v/>
      </c>
      <c r="D63" s="38" t="str">
        <f>IFERROR('1.vize'!O63*100/'1.vize'!$I63,"")</f>
        <v/>
      </c>
      <c r="E63" s="38" t="str">
        <f>IFERROR('1.vize'!P63*100/'1.vize'!$I63,"")</f>
        <v/>
      </c>
      <c r="F63" s="38" t="str">
        <f>IFERROR('1.vize'!Q63*100/'1.vize'!$I63,"")</f>
        <v/>
      </c>
      <c r="G63" s="38" t="str">
        <f>IFERROR('1.vize'!R63*100/'1.vize'!$I63,"")</f>
        <v/>
      </c>
      <c r="H63" s="38" t="str">
        <f>IFERROR('1.vize'!S63*100/'1.vize'!$I63,"")</f>
        <v/>
      </c>
      <c r="I63" s="38" t="str">
        <f>IFERROR('1.vize'!T63*100/'1.vize'!$I63,"")</f>
        <v/>
      </c>
      <c r="J63" s="38" t="str">
        <f>IFERROR('1.vize'!U63*100/'1.vize'!$I63,"")</f>
        <v/>
      </c>
      <c r="K63" s="38" t="str">
        <f>IFERROR('1.vize'!V63*100/'1.vize'!$I63,"")</f>
        <v/>
      </c>
      <c r="L63" s="38" t="str">
        <f>IFERROR('1.vize'!W63*100/'1.vize'!$I63,"")</f>
        <v/>
      </c>
      <c r="M63" s="38" t="str">
        <f>IFERROR('1.vize'!X63*100/'1.vize'!$I63,"")</f>
        <v/>
      </c>
      <c r="N63" s="38" t="str">
        <f>IFERROR('1.vize'!Y63*100/'1.vize'!$I63,"")</f>
        <v/>
      </c>
      <c r="O63" s="38" t="str">
        <f>IFERROR('1.vize'!Z63*100/'1.vize'!$I63,"")</f>
        <v/>
      </c>
      <c r="P63" s="38" t="str">
        <f>IFERROR('1.vize'!AA63*100/'1.vize'!$I63,"")</f>
        <v/>
      </c>
      <c r="Q63" s="38" t="str">
        <f>IFERROR('1.vize'!AB63*100/'1.vize'!$I63,"")</f>
        <v/>
      </c>
      <c r="R63" s="38" t="str">
        <f>IFERROR('1.vize'!AC63*100/'1.vize'!$I63,"")</f>
        <v/>
      </c>
      <c r="S63" s="38" t="str">
        <f>IFERROR('1.vize'!AD63*100/'1.vize'!$I63,"")</f>
        <v/>
      </c>
      <c r="T63" s="38" t="str">
        <f>IFERROR('1.vize'!AE63*100/'1.vize'!$I63,"")</f>
        <v/>
      </c>
      <c r="U63" s="38" t="str">
        <f>IFERROR('1.vize'!AF63*100/'1.vize'!$I63,"")</f>
        <v/>
      </c>
      <c r="V63" s="38" t="str">
        <f>IFERROR('1.vize'!AG63*100/'1.vize'!$I63,"")</f>
        <v/>
      </c>
      <c r="W63" s="38" t="str">
        <f>IFERROR('1.vize'!AH63*100/'1.vize'!$I63,"")</f>
        <v/>
      </c>
      <c r="X63" s="38" t="str">
        <f>IFERROR('1.vize'!AI63*100/'1.vize'!$I63,"")</f>
        <v/>
      </c>
      <c r="Y63" s="38" t="str">
        <f>IFERROR('1.vize'!AJ63*100/'1.vize'!$I63,"")</f>
        <v/>
      </c>
      <c r="Z63" s="38" t="str">
        <f>IFERROR('1.vize'!AK63*100/'1.vize'!$I63,"")</f>
        <v/>
      </c>
      <c r="AA63" s="38" t="str">
        <f>IFERROR('1.vize'!AL63*100/'1.vize'!$I63,"")</f>
        <v/>
      </c>
      <c r="AB63" s="38" t="str">
        <f>IFERROR('1.vize'!AM63*100/'1.vize'!$I63,"")</f>
        <v/>
      </c>
      <c r="AC63" s="38" t="str">
        <f>IFERROR('1.vize'!AN63*100/'1.vize'!$I63,"")</f>
        <v/>
      </c>
      <c r="AD63" s="38" t="str">
        <f>IFERROR('1.vize'!AO63*100/'1.vize'!$I63,"")</f>
        <v/>
      </c>
      <c r="AE63" s="38" t="str">
        <f>IFERROR('1.vize'!AP63*100/'1.vize'!$I63,"")</f>
        <v/>
      </c>
      <c r="AF63" s="38" t="str">
        <f>IFERROR('1.vize'!AQ63*100/'1.vize'!$I63,"")</f>
        <v/>
      </c>
      <c r="AG63" s="38" t="str">
        <f>IFERROR('1.vize'!AR63*100/'1.vize'!$I63,"")</f>
        <v/>
      </c>
      <c r="AH63" s="38" t="str">
        <f>IFERROR('1.vize'!AS63*100/'1.vize'!$I63,"")</f>
        <v/>
      </c>
      <c r="AI63" s="38" t="str">
        <f>IFERROR('1.vize'!AT63*100/'1.vize'!$I63,"")</f>
        <v/>
      </c>
      <c r="AJ63" s="38" t="str">
        <f>IFERROR('1.vize'!AU63*100/'1.vize'!$I63,"")</f>
        <v/>
      </c>
      <c r="AK63" s="38" t="str">
        <f>IFERROR('1.vize'!AV63*100/'1.vize'!$I63,"")</f>
        <v/>
      </c>
      <c r="AL63" s="38" t="str">
        <f>IFERROR('1.vize'!AW63*100/'1.vize'!$I63,"")</f>
        <v/>
      </c>
      <c r="AM63" s="38" t="str">
        <f>IFERROR('1.vize'!AX63*100/'1.vize'!$I63,"")</f>
        <v/>
      </c>
      <c r="AN63" s="38" t="str">
        <f>IFERROR('1.vize'!AY63*100/'1.vize'!$I63,"")</f>
        <v/>
      </c>
      <c r="AO63" s="38" t="str">
        <f>IFERROR('1.vize'!AZ63*100/'1.vize'!$I63,"")</f>
        <v/>
      </c>
      <c r="AP63" s="38" t="str">
        <f>IFERROR('1.vize'!BA63*100/'1.vize'!$I63,"")</f>
        <v/>
      </c>
      <c r="AQ63" s="38" t="str">
        <f>IFERROR('1.vize'!BB63*100/'1.vize'!$I63,"")</f>
        <v/>
      </c>
      <c r="AR63" s="38" t="str">
        <f>IFERROR('1.vize'!BC63*100/'1.vize'!$I63,"")</f>
        <v/>
      </c>
      <c r="AS63" s="38" t="str">
        <f>IFERROR('1.vize'!BD63*100/'1.vize'!$I63,"")</f>
        <v/>
      </c>
      <c r="AT63" s="38" t="str">
        <f>IFERROR('1.vize'!BE63*100/'1.vize'!$I63,"")</f>
        <v/>
      </c>
      <c r="AU63" s="38" t="str">
        <f>IFERROR('1.vize'!BF63*100/'1.vize'!$I63,"")</f>
        <v/>
      </c>
      <c r="AV63" s="38" t="str">
        <f>IFERROR('1.vize'!BG63*100/'1.vize'!$I63,"")</f>
        <v/>
      </c>
      <c r="AW63" s="38" t="str">
        <f>IFERROR('1.vize'!BH63*100/'1.vize'!$I63,"")</f>
        <v/>
      </c>
      <c r="AX63" s="38" t="str">
        <f>IFERROR('1.vize'!BI63*100/'1.vize'!$I63,"")</f>
        <v/>
      </c>
      <c r="AY63" s="38" t="str">
        <f>IFERROR('1.vize'!BJ63*100/'1.vize'!$I63,"")</f>
        <v/>
      </c>
      <c r="AZ63" s="38" t="str">
        <f>IFERROR('1.vize'!BK63*100/'1.vize'!$I63,"")</f>
        <v/>
      </c>
      <c r="BA63" s="38" t="str">
        <f>IFERROR('1.vize'!BL63*100/'1.vize'!$I63,"")</f>
        <v/>
      </c>
      <c r="BB63" s="38" t="str">
        <f>IFERROR('1.vize'!BM63*100/'1.vize'!$I63,"")</f>
        <v/>
      </c>
      <c r="BC63" s="38" t="str">
        <f>IFERROR('1.vize'!BN63*100/'1.vize'!$I63,"")</f>
        <v/>
      </c>
      <c r="BD63" s="38" t="str">
        <f>IFERROR('1.vize'!BO63*100/'1.vize'!$I63,"")</f>
        <v/>
      </c>
      <c r="BE63" s="38" t="str">
        <f>IFERROR('1.vize'!BP63*100/'1.vize'!$I63,"")</f>
        <v/>
      </c>
      <c r="BF63" s="38" t="str">
        <f>IFERROR('1.vize'!BQ63*100/'1.vize'!$I63,"")</f>
        <v/>
      </c>
      <c r="BG63" s="38" t="str">
        <f>IFERROR('1.vize'!BR63*100/'1.vize'!$I63,"")</f>
        <v/>
      </c>
      <c r="BH63" s="38" t="str">
        <f>IFERROR('1.vize'!BS63*100/'1.vize'!$I63,"")</f>
        <v/>
      </c>
      <c r="BI63" s="38" t="str">
        <f>IFERROR('1.vize'!BT63*100/'1.vize'!$I63,"")</f>
        <v/>
      </c>
      <c r="BJ63" s="38" t="str">
        <f>IFERROR('1.vize'!BU63*100/'1.vize'!$I63,"")</f>
        <v/>
      </c>
      <c r="BK63" s="38" t="str">
        <f>IFERROR('1.vize'!BV63*100/'1.vize'!$I63,"")</f>
        <v/>
      </c>
      <c r="BL63" s="38" t="str">
        <f>IFERROR('1.vize'!BW63*100/'1.vize'!$I63,"")</f>
        <v/>
      </c>
      <c r="BM63" s="38" t="str">
        <f>IFERROR('1.vize'!BX63*100/'1.vize'!$I63,"")</f>
        <v/>
      </c>
      <c r="BN63" s="38" t="str">
        <f>IFERROR('1.vize'!BY63*100/'1.vize'!$I63,"")</f>
        <v/>
      </c>
      <c r="BO63" s="38" t="str">
        <f>IFERROR('1.vize'!BZ63*100/'1.vize'!$I63,"")</f>
        <v/>
      </c>
      <c r="BP63" s="38" t="str">
        <f>IFERROR('1.vize'!CA63*100/'1.vize'!$I63,"")</f>
        <v/>
      </c>
      <c r="BQ63" s="38" t="str">
        <f>IFERROR('1.vize'!CB63*100/'1.vize'!$I63,"")</f>
        <v/>
      </c>
      <c r="BR63" s="38" t="str">
        <f>IFERROR('1.vize'!CC63*100/'1.vize'!$I63,"")</f>
        <v/>
      </c>
      <c r="BS63" s="38" t="str">
        <f>IFERROR('1.vize'!CD63*100/'1.vize'!$I63,"")</f>
        <v/>
      </c>
      <c r="BT63" s="38" t="str">
        <f>IFERROR('1.vize'!CE63*100/'1.vize'!$I63,"")</f>
        <v/>
      </c>
      <c r="BU63" s="38" t="str">
        <f>IFERROR('1.vize'!CF63*100/'1.vize'!$I63,"")</f>
        <v/>
      </c>
      <c r="BV63" s="38" t="str">
        <f>IFERROR('1.vize'!CG63*100/'1.vize'!$I63,"")</f>
        <v/>
      </c>
      <c r="BW63" s="38" t="str">
        <f>IFERROR('1.vize'!CH63*100/'1.vize'!$I63,"")</f>
        <v/>
      </c>
      <c r="BX63" s="38" t="str">
        <f>IFERROR('1.vize'!CI63*100/'1.vize'!$I63,"")</f>
        <v/>
      </c>
      <c r="BY63" s="38" t="str">
        <f>IFERROR('1.vize'!CJ63*100/'1.vize'!$I63,"")</f>
        <v/>
      </c>
      <c r="BZ63" s="38" t="str">
        <f>IFERROR('1.vize'!CK63*100/'1.vize'!$I63,"")</f>
        <v/>
      </c>
      <c r="CA63" s="38" t="str">
        <f>IFERROR('1.vize'!CL63*100/'1.vize'!$I63,"")</f>
        <v/>
      </c>
      <c r="CB63" s="38" t="str">
        <f>IFERROR('1.vize'!CM63*100/'1.vize'!$I63,"")</f>
        <v/>
      </c>
      <c r="CC63" s="38" t="str">
        <f>IFERROR('1.vize'!CN63*100/'1.vize'!$I63,"")</f>
        <v/>
      </c>
      <c r="CD63" s="38" t="str">
        <f>IFERROR('1.vize'!CO63*100/'1.vize'!$I63,"")</f>
        <v/>
      </c>
      <c r="CE63" s="38" t="str">
        <f>IFERROR('1.vize'!CP63*100/'1.vize'!$I63,"")</f>
        <v/>
      </c>
      <c r="CF63" s="38" t="str">
        <f>IFERROR('1.vize'!CQ63*100/'1.vize'!$I63,"")</f>
        <v/>
      </c>
      <c r="CG63" s="38" t="str">
        <f>IFERROR('1.vize'!CR63*100/'1.vize'!$I63,"")</f>
        <v/>
      </c>
      <c r="CH63" s="38" t="str">
        <f>IFERROR('1.vize'!CS63*100/'1.vize'!$I63,"")</f>
        <v/>
      </c>
      <c r="CI63" s="38" t="str">
        <f>IFERROR('1.vize'!CT63*100/'1.vize'!$I63,"")</f>
        <v/>
      </c>
      <c r="CJ63" s="38" t="str">
        <f>IFERROR('1.vize'!CU63*100/'1.vize'!$I63,"")</f>
        <v/>
      </c>
      <c r="CK63" s="38" t="str">
        <f>IFERROR('1.vize'!CV63*100/'1.vize'!$I63,"")</f>
        <v/>
      </c>
      <c r="CL63" s="38" t="str">
        <f>IFERROR('1.vize'!CW63*100/'1.vize'!$I63,"")</f>
        <v/>
      </c>
      <c r="CM63" s="38" t="str">
        <f>IFERROR('1.vize'!CX63*100/'1.vize'!$I63,"")</f>
        <v/>
      </c>
      <c r="CN63" s="38" t="str">
        <f>IFERROR('1.vize'!CY63*100/'1.vize'!$I63,"")</f>
        <v/>
      </c>
      <c r="CO63" s="38" t="str">
        <f>IFERROR('1.vize'!CZ63*100/'1.vize'!$I63,"")</f>
        <v/>
      </c>
      <c r="CP63" s="38" t="str">
        <f>IFERROR('1.vize'!DA63*100/'1.vize'!$I63,"")</f>
        <v/>
      </c>
      <c r="CQ63" s="38" t="str">
        <f>IFERROR('1.vize'!DB63*100/'1.vize'!$I63,"")</f>
        <v/>
      </c>
      <c r="CR63" s="38" t="str">
        <f>IFERROR('1.vize'!DC63*100/'1.vize'!$I63,"")</f>
        <v/>
      </c>
      <c r="CS63" s="38" t="str">
        <f>IFERROR('1.vize'!DD63*100/'1.vize'!$I63,"")</f>
        <v/>
      </c>
      <c r="CT63" s="38" t="str">
        <f>IFERROR('1.vize'!DE63*100/'1.vize'!$I63,"")</f>
        <v/>
      </c>
      <c r="CU63" s="38" t="str">
        <f>IFERROR('1.vize'!DF63*100/'1.vize'!$I63,"")</f>
        <v/>
      </c>
      <c r="CV63" s="38" t="str">
        <f>IFERROR('1.vize'!DG63*100/'1.vize'!$I63,"")</f>
        <v/>
      </c>
      <c r="CW63" s="32" t="str">
        <f>IFERROR(SUM(A63:CV63)/'1.vize'!$DH$103,"")</f>
        <v/>
      </c>
      <c r="CX63" s="14" t="str">
        <f>IF(COUNTA('1.vize'!A63),'1.vize'!A63,"")</f>
        <v/>
      </c>
      <c r="CY63" s="14" t="str">
        <f>IF(COUNTA('1.vize'!B63),'1.vize'!B63,"")</f>
        <v/>
      </c>
      <c r="CZ63" s="14" t="str">
        <f>IF(COUNTA('1.vize'!C63),'1.vize'!C63,"")</f>
        <v/>
      </c>
      <c r="DA63" s="14" t="str">
        <f>IF(COUNTA('1.vize'!D63),'1.vize'!D63,"")</f>
        <v/>
      </c>
      <c r="DB63" s="14" t="str">
        <f>IF(COUNTA('1.vize'!E63),'1.vize'!E63,"")</f>
        <v/>
      </c>
      <c r="DC63" s="14" t="str">
        <f>IF(COUNTA('1.vize'!F63),'1.vize'!F63,"")</f>
        <v/>
      </c>
      <c r="DD63" s="14" t="str">
        <f>IF(COUNTA('1.vize'!G63),'1.vize'!G63,"")</f>
        <v/>
      </c>
      <c r="DE63" s="14" t="str">
        <f>IF(COUNTA('1.vize'!H63),'1.vize'!H63,"")</f>
        <v/>
      </c>
      <c r="DF63" s="33"/>
    </row>
    <row r="64" spans="1:110" x14ac:dyDescent="0.2">
      <c r="A64" s="38" t="str">
        <f>IFERROR('1.vize'!L64*100/'1.vize'!$I64,"")</f>
        <v/>
      </c>
      <c r="B64" s="38" t="str">
        <f>IFERROR('1.vize'!M64*100/'1.vize'!$I64,"")</f>
        <v/>
      </c>
      <c r="C64" s="38" t="str">
        <f>IFERROR('1.vize'!N64*100/'1.vize'!$I64,"")</f>
        <v/>
      </c>
      <c r="D64" s="38" t="str">
        <f>IFERROR('1.vize'!O64*100/'1.vize'!$I64,"")</f>
        <v/>
      </c>
      <c r="E64" s="38" t="str">
        <f>IFERROR('1.vize'!P64*100/'1.vize'!$I64,"")</f>
        <v/>
      </c>
      <c r="F64" s="38" t="str">
        <f>IFERROR('1.vize'!Q64*100/'1.vize'!$I64,"")</f>
        <v/>
      </c>
      <c r="G64" s="38" t="str">
        <f>IFERROR('1.vize'!R64*100/'1.vize'!$I64,"")</f>
        <v/>
      </c>
      <c r="H64" s="38" t="str">
        <f>IFERROR('1.vize'!S64*100/'1.vize'!$I64,"")</f>
        <v/>
      </c>
      <c r="I64" s="38" t="str">
        <f>IFERROR('1.vize'!T64*100/'1.vize'!$I64,"")</f>
        <v/>
      </c>
      <c r="J64" s="38" t="str">
        <f>IFERROR('1.vize'!U64*100/'1.vize'!$I64,"")</f>
        <v/>
      </c>
      <c r="K64" s="38" t="str">
        <f>IFERROR('1.vize'!V64*100/'1.vize'!$I64,"")</f>
        <v/>
      </c>
      <c r="L64" s="38" t="str">
        <f>IFERROR('1.vize'!W64*100/'1.vize'!$I64,"")</f>
        <v/>
      </c>
      <c r="M64" s="38" t="str">
        <f>IFERROR('1.vize'!X64*100/'1.vize'!$I64,"")</f>
        <v/>
      </c>
      <c r="N64" s="38" t="str">
        <f>IFERROR('1.vize'!Y64*100/'1.vize'!$I64,"")</f>
        <v/>
      </c>
      <c r="O64" s="38" t="str">
        <f>IFERROR('1.vize'!Z64*100/'1.vize'!$I64,"")</f>
        <v/>
      </c>
      <c r="P64" s="38" t="str">
        <f>IFERROR('1.vize'!AA64*100/'1.vize'!$I64,"")</f>
        <v/>
      </c>
      <c r="Q64" s="38" t="str">
        <f>IFERROR('1.vize'!AB64*100/'1.vize'!$I64,"")</f>
        <v/>
      </c>
      <c r="R64" s="38" t="str">
        <f>IFERROR('1.vize'!AC64*100/'1.vize'!$I64,"")</f>
        <v/>
      </c>
      <c r="S64" s="38" t="str">
        <f>IFERROR('1.vize'!AD64*100/'1.vize'!$I64,"")</f>
        <v/>
      </c>
      <c r="T64" s="38" t="str">
        <f>IFERROR('1.vize'!AE64*100/'1.vize'!$I64,"")</f>
        <v/>
      </c>
      <c r="U64" s="38" t="str">
        <f>IFERROR('1.vize'!AF64*100/'1.vize'!$I64,"")</f>
        <v/>
      </c>
      <c r="V64" s="38" t="str">
        <f>IFERROR('1.vize'!AG64*100/'1.vize'!$I64,"")</f>
        <v/>
      </c>
      <c r="W64" s="38" t="str">
        <f>IFERROR('1.vize'!AH64*100/'1.vize'!$I64,"")</f>
        <v/>
      </c>
      <c r="X64" s="38" t="str">
        <f>IFERROR('1.vize'!AI64*100/'1.vize'!$I64,"")</f>
        <v/>
      </c>
      <c r="Y64" s="38" t="str">
        <f>IFERROR('1.vize'!AJ64*100/'1.vize'!$I64,"")</f>
        <v/>
      </c>
      <c r="Z64" s="38" t="str">
        <f>IFERROR('1.vize'!AK64*100/'1.vize'!$I64,"")</f>
        <v/>
      </c>
      <c r="AA64" s="38" t="str">
        <f>IFERROR('1.vize'!AL64*100/'1.vize'!$I64,"")</f>
        <v/>
      </c>
      <c r="AB64" s="38" t="str">
        <f>IFERROR('1.vize'!AM64*100/'1.vize'!$I64,"")</f>
        <v/>
      </c>
      <c r="AC64" s="38" t="str">
        <f>IFERROR('1.vize'!AN64*100/'1.vize'!$I64,"")</f>
        <v/>
      </c>
      <c r="AD64" s="38" t="str">
        <f>IFERROR('1.vize'!AO64*100/'1.vize'!$I64,"")</f>
        <v/>
      </c>
      <c r="AE64" s="38" t="str">
        <f>IFERROR('1.vize'!AP64*100/'1.vize'!$I64,"")</f>
        <v/>
      </c>
      <c r="AF64" s="38" t="str">
        <f>IFERROR('1.vize'!AQ64*100/'1.vize'!$I64,"")</f>
        <v/>
      </c>
      <c r="AG64" s="38" t="str">
        <f>IFERROR('1.vize'!AR64*100/'1.vize'!$I64,"")</f>
        <v/>
      </c>
      <c r="AH64" s="38" t="str">
        <f>IFERROR('1.vize'!AS64*100/'1.vize'!$I64,"")</f>
        <v/>
      </c>
      <c r="AI64" s="38" t="str">
        <f>IFERROR('1.vize'!AT64*100/'1.vize'!$I64,"")</f>
        <v/>
      </c>
      <c r="AJ64" s="38" t="str">
        <f>IFERROR('1.vize'!AU64*100/'1.vize'!$I64,"")</f>
        <v/>
      </c>
      <c r="AK64" s="38" t="str">
        <f>IFERROR('1.vize'!AV64*100/'1.vize'!$I64,"")</f>
        <v/>
      </c>
      <c r="AL64" s="38" t="str">
        <f>IFERROR('1.vize'!AW64*100/'1.vize'!$I64,"")</f>
        <v/>
      </c>
      <c r="AM64" s="38" t="str">
        <f>IFERROR('1.vize'!AX64*100/'1.vize'!$I64,"")</f>
        <v/>
      </c>
      <c r="AN64" s="38" t="str">
        <f>IFERROR('1.vize'!AY64*100/'1.vize'!$I64,"")</f>
        <v/>
      </c>
      <c r="AO64" s="38" t="str">
        <f>IFERROR('1.vize'!AZ64*100/'1.vize'!$I64,"")</f>
        <v/>
      </c>
      <c r="AP64" s="38" t="str">
        <f>IFERROR('1.vize'!BA64*100/'1.vize'!$I64,"")</f>
        <v/>
      </c>
      <c r="AQ64" s="38" t="str">
        <f>IFERROR('1.vize'!BB64*100/'1.vize'!$I64,"")</f>
        <v/>
      </c>
      <c r="AR64" s="38" t="str">
        <f>IFERROR('1.vize'!BC64*100/'1.vize'!$I64,"")</f>
        <v/>
      </c>
      <c r="AS64" s="38" t="str">
        <f>IFERROR('1.vize'!BD64*100/'1.vize'!$I64,"")</f>
        <v/>
      </c>
      <c r="AT64" s="38" t="str">
        <f>IFERROR('1.vize'!BE64*100/'1.vize'!$I64,"")</f>
        <v/>
      </c>
      <c r="AU64" s="38" t="str">
        <f>IFERROR('1.vize'!BF64*100/'1.vize'!$I64,"")</f>
        <v/>
      </c>
      <c r="AV64" s="38" t="str">
        <f>IFERROR('1.vize'!BG64*100/'1.vize'!$I64,"")</f>
        <v/>
      </c>
      <c r="AW64" s="38" t="str">
        <f>IFERROR('1.vize'!BH64*100/'1.vize'!$I64,"")</f>
        <v/>
      </c>
      <c r="AX64" s="38" t="str">
        <f>IFERROR('1.vize'!BI64*100/'1.vize'!$I64,"")</f>
        <v/>
      </c>
      <c r="AY64" s="38" t="str">
        <f>IFERROR('1.vize'!BJ64*100/'1.vize'!$I64,"")</f>
        <v/>
      </c>
      <c r="AZ64" s="38" t="str">
        <f>IFERROR('1.vize'!BK64*100/'1.vize'!$I64,"")</f>
        <v/>
      </c>
      <c r="BA64" s="38" t="str">
        <f>IFERROR('1.vize'!BL64*100/'1.vize'!$I64,"")</f>
        <v/>
      </c>
      <c r="BB64" s="38" t="str">
        <f>IFERROR('1.vize'!BM64*100/'1.vize'!$I64,"")</f>
        <v/>
      </c>
      <c r="BC64" s="38" t="str">
        <f>IFERROR('1.vize'!BN64*100/'1.vize'!$I64,"")</f>
        <v/>
      </c>
      <c r="BD64" s="38" t="str">
        <f>IFERROR('1.vize'!BO64*100/'1.vize'!$I64,"")</f>
        <v/>
      </c>
      <c r="BE64" s="38" t="str">
        <f>IFERROR('1.vize'!BP64*100/'1.vize'!$I64,"")</f>
        <v/>
      </c>
      <c r="BF64" s="38" t="str">
        <f>IFERROR('1.vize'!BQ64*100/'1.vize'!$I64,"")</f>
        <v/>
      </c>
      <c r="BG64" s="38" t="str">
        <f>IFERROR('1.vize'!BR64*100/'1.vize'!$I64,"")</f>
        <v/>
      </c>
      <c r="BH64" s="38" t="str">
        <f>IFERROR('1.vize'!BS64*100/'1.vize'!$I64,"")</f>
        <v/>
      </c>
      <c r="BI64" s="38" t="str">
        <f>IFERROR('1.vize'!BT64*100/'1.vize'!$I64,"")</f>
        <v/>
      </c>
      <c r="BJ64" s="38" t="str">
        <f>IFERROR('1.vize'!BU64*100/'1.vize'!$I64,"")</f>
        <v/>
      </c>
      <c r="BK64" s="38" t="str">
        <f>IFERROR('1.vize'!BV64*100/'1.vize'!$I64,"")</f>
        <v/>
      </c>
      <c r="BL64" s="38" t="str">
        <f>IFERROR('1.vize'!BW64*100/'1.vize'!$I64,"")</f>
        <v/>
      </c>
      <c r="BM64" s="38" t="str">
        <f>IFERROR('1.vize'!BX64*100/'1.vize'!$I64,"")</f>
        <v/>
      </c>
      <c r="BN64" s="38" t="str">
        <f>IFERROR('1.vize'!BY64*100/'1.vize'!$I64,"")</f>
        <v/>
      </c>
      <c r="BO64" s="38" t="str">
        <f>IFERROR('1.vize'!BZ64*100/'1.vize'!$I64,"")</f>
        <v/>
      </c>
      <c r="BP64" s="38" t="str">
        <f>IFERROR('1.vize'!CA64*100/'1.vize'!$I64,"")</f>
        <v/>
      </c>
      <c r="BQ64" s="38" t="str">
        <f>IFERROR('1.vize'!CB64*100/'1.vize'!$I64,"")</f>
        <v/>
      </c>
      <c r="BR64" s="38" t="str">
        <f>IFERROR('1.vize'!CC64*100/'1.vize'!$I64,"")</f>
        <v/>
      </c>
      <c r="BS64" s="38" t="str">
        <f>IFERROR('1.vize'!CD64*100/'1.vize'!$I64,"")</f>
        <v/>
      </c>
      <c r="BT64" s="38" t="str">
        <f>IFERROR('1.vize'!CE64*100/'1.vize'!$I64,"")</f>
        <v/>
      </c>
      <c r="BU64" s="38" t="str">
        <f>IFERROR('1.vize'!CF64*100/'1.vize'!$I64,"")</f>
        <v/>
      </c>
      <c r="BV64" s="38" t="str">
        <f>IFERROR('1.vize'!CG64*100/'1.vize'!$I64,"")</f>
        <v/>
      </c>
      <c r="BW64" s="38" t="str">
        <f>IFERROR('1.vize'!CH64*100/'1.vize'!$I64,"")</f>
        <v/>
      </c>
      <c r="BX64" s="38" t="str">
        <f>IFERROR('1.vize'!CI64*100/'1.vize'!$I64,"")</f>
        <v/>
      </c>
      <c r="BY64" s="38" t="str">
        <f>IFERROR('1.vize'!CJ64*100/'1.vize'!$I64,"")</f>
        <v/>
      </c>
      <c r="BZ64" s="38" t="str">
        <f>IFERROR('1.vize'!CK64*100/'1.vize'!$I64,"")</f>
        <v/>
      </c>
      <c r="CA64" s="38" t="str">
        <f>IFERROR('1.vize'!CL64*100/'1.vize'!$I64,"")</f>
        <v/>
      </c>
      <c r="CB64" s="38" t="str">
        <f>IFERROR('1.vize'!CM64*100/'1.vize'!$I64,"")</f>
        <v/>
      </c>
      <c r="CC64" s="38" t="str">
        <f>IFERROR('1.vize'!CN64*100/'1.vize'!$I64,"")</f>
        <v/>
      </c>
      <c r="CD64" s="38" t="str">
        <f>IFERROR('1.vize'!CO64*100/'1.vize'!$I64,"")</f>
        <v/>
      </c>
      <c r="CE64" s="38" t="str">
        <f>IFERROR('1.vize'!CP64*100/'1.vize'!$I64,"")</f>
        <v/>
      </c>
      <c r="CF64" s="38" t="str">
        <f>IFERROR('1.vize'!CQ64*100/'1.vize'!$I64,"")</f>
        <v/>
      </c>
      <c r="CG64" s="38" t="str">
        <f>IFERROR('1.vize'!CR64*100/'1.vize'!$I64,"")</f>
        <v/>
      </c>
      <c r="CH64" s="38" t="str">
        <f>IFERROR('1.vize'!CS64*100/'1.vize'!$I64,"")</f>
        <v/>
      </c>
      <c r="CI64" s="38" t="str">
        <f>IFERROR('1.vize'!CT64*100/'1.vize'!$I64,"")</f>
        <v/>
      </c>
      <c r="CJ64" s="38" t="str">
        <f>IFERROR('1.vize'!CU64*100/'1.vize'!$I64,"")</f>
        <v/>
      </c>
      <c r="CK64" s="38" t="str">
        <f>IFERROR('1.vize'!CV64*100/'1.vize'!$I64,"")</f>
        <v/>
      </c>
      <c r="CL64" s="38" t="str">
        <f>IFERROR('1.vize'!CW64*100/'1.vize'!$I64,"")</f>
        <v/>
      </c>
      <c r="CM64" s="38" t="str">
        <f>IFERROR('1.vize'!CX64*100/'1.vize'!$I64,"")</f>
        <v/>
      </c>
      <c r="CN64" s="38" t="str">
        <f>IFERROR('1.vize'!CY64*100/'1.vize'!$I64,"")</f>
        <v/>
      </c>
      <c r="CO64" s="38" t="str">
        <f>IFERROR('1.vize'!CZ64*100/'1.vize'!$I64,"")</f>
        <v/>
      </c>
      <c r="CP64" s="38" t="str">
        <f>IFERROR('1.vize'!DA64*100/'1.vize'!$I64,"")</f>
        <v/>
      </c>
      <c r="CQ64" s="38" t="str">
        <f>IFERROR('1.vize'!DB64*100/'1.vize'!$I64,"")</f>
        <v/>
      </c>
      <c r="CR64" s="38" t="str">
        <f>IFERROR('1.vize'!DC64*100/'1.vize'!$I64,"")</f>
        <v/>
      </c>
      <c r="CS64" s="38" t="str">
        <f>IFERROR('1.vize'!DD64*100/'1.vize'!$I64,"")</f>
        <v/>
      </c>
      <c r="CT64" s="38" t="str">
        <f>IFERROR('1.vize'!DE64*100/'1.vize'!$I64,"")</f>
        <v/>
      </c>
      <c r="CU64" s="38" t="str">
        <f>IFERROR('1.vize'!DF64*100/'1.vize'!$I64,"")</f>
        <v/>
      </c>
      <c r="CV64" s="38" t="str">
        <f>IFERROR('1.vize'!DG64*100/'1.vize'!$I64,"")</f>
        <v/>
      </c>
      <c r="CW64" s="32" t="str">
        <f>IFERROR(SUM(A64:CV64)/'1.vize'!$DH$103,"")</f>
        <v/>
      </c>
      <c r="CX64" s="14" t="str">
        <f>IF(COUNTA('1.vize'!A64),'1.vize'!A64,"")</f>
        <v/>
      </c>
      <c r="CY64" s="14" t="str">
        <f>IF(COUNTA('1.vize'!B64),'1.vize'!B64,"")</f>
        <v/>
      </c>
      <c r="CZ64" s="14" t="str">
        <f>IF(COUNTA('1.vize'!C64),'1.vize'!C64,"")</f>
        <v/>
      </c>
      <c r="DA64" s="14" t="str">
        <f>IF(COUNTA('1.vize'!D64),'1.vize'!D64,"")</f>
        <v/>
      </c>
      <c r="DB64" s="14" t="str">
        <f>IF(COUNTA('1.vize'!E64),'1.vize'!E64,"")</f>
        <v/>
      </c>
      <c r="DC64" s="14" t="str">
        <f>IF(COUNTA('1.vize'!F64),'1.vize'!F64,"")</f>
        <v/>
      </c>
      <c r="DD64" s="14" t="str">
        <f>IF(COUNTA('1.vize'!G64),'1.vize'!G64,"")</f>
        <v/>
      </c>
      <c r="DE64" s="14" t="str">
        <f>IF(COUNTA('1.vize'!H64),'1.vize'!H64,"")</f>
        <v/>
      </c>
      <c r="DF64" s="33"/>
    </row>
    <row r="65" spans="1:110" x14ac:dyDescent="0.2">
      <c r="A65" s="38" t="str">
        <f>IFERROR('1.vize'!L65*100/'1.vize'!$I65,"")</f>
        <v/>
      </c>
      <c r="B65" s="38" t="str">
        <f>IFERROR('1.vize'!M65*100/'1.vize'!$I65,"")</f>
        <v/>
      </c>
      <c r="C65" s="38" t="str">
        <f>IFERROR('1.vize'!N65*100/'1.vize'!$I65,"")</f>
        <v/>
      </c>
      <c r="D65" s="38" t="str">
        <f>IFERROR('1.vize'!O65*100/'1.vize'!$I65,"")</f>
        <v/>
      </c>
      <c r="E65" s="38" t="str">
        <f>IFERROR('1.vize'!P65*100/'1.vize'!$I65,"")</f>
        <v/>
      </c>
      <c r="F65" s="38" t="str">
        <f>IFERROR('1.vize'!Q65*100/'1.vize'!$I65,"")</f>
        <v/>
      </c>
      <c r="G65" s="38" t="str">
        <f>IFERROR('1.vize'!R65*100/'1.vize'!$I65,"")</f>
        <v/>
      </c>
      <c r="H65" s="38" t="str">
        <f>IFERROR('1.vize'!S65*100/'1.vize'!$I65,"")</f>
        <v/>
      </c>
      <c r="I65" s="38" t="str">
        <f>IFERROR('1.vize'!T65*100/'1.vize'!$I65,"")</f>
        <v/>
      </c>
      <c r="J65" s="38" t="str">
        <f>IFERROR('1.vize'!U65*100/'1.vize'!$I65,"")</f>
        <v/>
      </c>
      <c r="K65" s="38" t="str">
        <f>IFERROR('1.vize'!V65*100/'1.vize'!$I65,"")</f>
        <v/>
      </c>
      <c r="L65" s="38" t="str">
        <f>IFERROR('1.vize'!W65*100/'1.vize'!$I65,"")</f>
        <v/>
      </c>
      <c r="M65" s="38" t="str">
        <f>IFERROR('1.vize'!X65*100/'1.vize'!$I65,"")</f>
        <v/>
      </c>
      <c r="N65" s="38" t="str">
        <f>IFERROR('1.vize'!Y65*100/'1.vize'!$I65,"")</f>
        <v/>
      </c>
      <c r="O65" s="38" t="str">
        <f>IFERROR('1.vize'!Z65*100/'1.vize'!$I65,"")</f>
        <v/>
      </c>
      <c r="P65" s="38" t="str">
        <f>IFERROR('1.vize'!AA65*100/'1.vize'!$I65,"")</f>
        <v/>
      </c>
      <c r="Q65" s="38" t="str">
        <f>IFERROR('1.vize'!AB65*100/'1.vize'!$I65,"")</f>
        <v/>
      </c>
      <c r="R65" s="38" t="str">
        <f>IFERROR('1.vize'!AC65*100/'1.vize'!$I65,"")</f>
        <v/>
      </c>
      <c r="S65" s="38" t="str">
        <f>IFERROR('1.vize'!AD65*100/'1.vize'!$I65,"")</f>
        <v/>
      </c>
      <c r="T65" s="38" t="str">
        <f>IFERROR('1.vize'!AE65*100/'1.vize'!$I65,"")</f>
        <v/>
      </c>
      <c r="U65" s="38" t="str">
        <f>IFERROR('1.vize'!AF65*100/'1.vize'!$I65,"")</f>
        <v/>
      </c>
      <c r="V65" s="38" t="str">
        <f>IFERROR('1.vize'!AG65*100/'1.vize'!$I65,"")</f>
        <v/>
      </c>
      <c r="W65" s="38" t="str">
        <f>IFERROR('1.vize'!AH65*100/'1.vize'!$I65,"")</f>
        <v/>
      </c>
      <c r="X65" s="38" t="str">
        <f>IFERROR('1.vize'!AI65*100/'1.vize'!$I65,"")</f>
        <v/>
      </c>
      <c r="Y65" s="38" t="str">
        <f>IFERROR('1.vize'!AJ65*100/'1.vize'!$I65,"")</f>
        <v/>
      </c>
      <c r="Z65" s="38" t="str">
        <f>IFERROR('1.vize'!AK65*100/'1.vize'!$I65,"")</f>
        <v/>
      </c>
      <c r="AA65" s="38" t="str">
        <f>IFERROR('1.vize'!AL65*100/'1.vize'!$I65,"")</f>
        <v/>
      </c>
      <c r="AB65" s="38" t="str">
        <f>IFERROR('1.vize'!AM65*100/'1.vize'!$I65,"")</f>
        <v/>
      </c>
      <c r="AC65" s="38" t="str">
        <f>IFERROR('1.vize'!AN65*100/'1.vize'!$I65,"")</f>
        <v/>
      </c>
      <c r="AD65" s="38" t="str">
        <f>IFERROR('1.vize'!AO65*100/'1.vize'!$I65,"")</f>
        <v/>
      </c>
      <c r="AE65" s="38" t="str">
        <f>IFERROR('1.vize'!AP65*100/'1.vize'!$I65,"")</f>
        <v/>
      </c>
      <c r="AF65" s="38" t="str">
        <f>IFERROR('1.vize'!AQ65*100/'1.vize'!$I65,"")</f>
        <v/>
      </c>
      <c r="AG65" s="38" t="str">
        <f>IFERROR('1.vize'!AR65*100/'1.vize'!$I65,"")</f>
        <v/>
      </c>
      <c r="AH65" s="38" t="str">
        <f>IFERROR('1.vize'!AS65*100/'1.vize'!$I65,"")</f>
        <v/>
      </c>
      <c r="AI65" s="38" t="str">
        <f>IFERROR('1.vize'!AT65*100/'1.vize'!$I65,"")</f>
        <v/>
      </c>
      <c r="AJ65" s="38" t="str">
        <f>IFERROR('1.vize'!AU65*100/'1.vize'!$I65,"")</f>
        <v/>
      </c>
      <c r="AK65" s="38" t="str">
        <f>IFERROR('1.vize'!AV65*100/'1.vize'!$I65,"")</f>
        <v/>
      </c>
      <c r="AL65" s="38" t="str">
        <f>IFERROR('1.vize'!AW65*100/'1.vize'!$I65,"")</f>
        <v/>
      </c>
      <c r="AM65" s="38" t="str">
        <f>IFERROR('1.vize'!AX65*100/'1.vize'!$I65,"")</f>
        <v/>
      </c>
      <c r="AN65" s="38" t="str">
        <f>IFERROR('1.vize'!AY65*100/'1.vize'!$I65,"")</f>
        <v/>
      </c>
      <c r="AO65" s="38" t="str">
        <f>IFERROR('1.vize'!AZ65*100/'1.vize'!$I65,"")</f>
        <v/>
      </c>
      <c r="AP65" s="38" t="str">
        <f>IFERROR('1.vize'!BA65*100/'1.vize'!$I65,"")</f>
        <v/>
      </c>
      <c r="AQ65" s="38" t="str">
        <f>IFERROR('1.vize'!BB65*100/'1.vize'!$I65,"")</f>
        <v/>
      </c>
      <c r="AR65" s="38" t="str">
        <f>IFERROR('1.vize'!BC65*100/'1.vize'!$I65,"")</f>
        <v/>
      </c>
      <c r="AS65" s="38" t="str">
        <f>IFERROR('1.vize'!BD65*100/'1.vize'!$I65,"")</f>
        <v/>
      </c>
      <c r="AT65" s="38" t="str">
        <f>IFERROR('1.vize'!BE65*100/'1.vize'!$I65,"")</f>
        <v/>
      </c>
      <c r="AU65" s="38" t="str">
        <f>IFERROR('1.vize'!BF65*100/'1.vize'!$I65,"")</f>
        <v/>
      </c>
      <c r="AV65" s="38" t="str">
        <f>IFERROR('1.vize'!BG65*100/'1.vize'!$I65,"")</f>
        <v/>
      </c>
      <c r="AW65" s="38" t="str">
        <f>IFERROR('1.vize'!BH65*100/'1.vize'!$I65,"")</f>
        <v/>
      </c>
      <c r="AX65" s="38" t="str">
        <f>IFERROR('1.vize'!BI65*100/'1.vize'!$I65,"")</f>
        <v/>
      </c>
      <c r="AY65" s="38" t="str">
        <f>IFERROR('1.vize'!BJ65*100/'1.vize'!$I65,"")</f>
        <v/>
      </c>
      <c r="AZ65" s="38" t="str">
        <f>IFERROR('1.vize'!BK65*100/'1.vize'!$I65,"")</f>
        <v/>
      </c>
      <c r="BA65" s="38" t="str">
        <f>IFERROR('1.vize'!BL65*100/'1.vize'!$I65,"")</f>
        <v/>
      </c>
      <c r="BB65" s="38" t="str">
        <f>IFERROR('1.vize'!BM65*100/'1.vize'!$I65,"")</f>
        <v/>
      </c>
      <c r="BC65" s="38" t="str">
        <f>IFERROR('1.vize'!BN65*100/'1.vize'!$I65,"")</f>
        <v/>
      </c>
      <c r="BD65" s="38" t="str">
        <f>IFERROR('1.vize'!BO65*100/'1.vize'!$I65,"")</f>
        <v/>
      </c>
      <c r="BE65" s="38" t="str">
        <f>IFERROR('1.vize'!BP65*100/'1.vize'!$I65,"")</f>
        <v/>
      </c>
      <c r="BF65" s="38" t="str">
        <f>IFERROR('1.vize'!BQ65*100/'1.vize'!$I65,"")</f>
        <v/>
      </c>
      <c r="BG65" s="38" t="str">
        <f>IFERROR('1.vize'!BR65*100/'1.vize'!$I65,"")</f>
        <v/>
      </c>
      <c r="BH65" s="38" t="str">
        <f>IFERROR('1.vize'!BS65*100/'1.vize'!$I65,"")</f>
        <v/>
      </c>
      <c r="BI65" s="38" t="str">
        <f>IFERROR('1.vize'!BT65*100/'1.vize'!$I65,"")</f>
        <v/>
      </c>
      <c r="BJ65" s="38" t="str">
        <f>IFERROR('1.vize'!BU65*100/'1.vize'!$I65,"")</f>
        <v/>
      </c>
      <c r="BK65" s="38" t="str">
        <f>IFERROR('1.vize'!BV65*100/'1.vize'!$I65,"")</f>
        <v/>
      </c>
      <c r="BL65" s="38" t="str">
        <f>IFERROR('1.vize'!BW65*100/'1.vize'!$I65,"")</f>
        <v/>
      </c>
      <c r="BM65" s="38" t="str">
        <f>IFERROR('1.vize'!BX65*100/'1.vize'!$I65,"")</f>
        <v/>
      </c>
      <c r="BN65" s="38" t="str">
        <f>IFERROR('1.vize'!BY65*100/'1.vize'!$I65,"")</f>
        <v/>
      </c>
      <c r="BO65" s="38" t="str">
        <f>IFERROR('1.vize'!BZ65*100/'1.vize'!$I65,"")</f>
        <v/>
      </c>
      <c r="BP65" s="38" t="str">
        <f>IFERROR('1.vize'!CA65*100/'1.vize'!$I65,"")</f>
        <v/>
      </c>
      <c r="BQ65" s="38" t="str">
        <f>IFERROR('1.vize'!CB65*100/'1.vize'!$I65,"")</f>
        <v/>
      </c>
      <c r="BR65" s="38" t="str">
        <f>IFERROR('1.vize'!CC65*100/'1.vize'!$I65,"")</f>
        <v/>
      </c>
      <c r="BS65" s="38" t="str">
        <f>IFERROR('1.vize'!CD65*100/'1.vize'!$I65,"")</f>
        <v/>
      </c>
      <c r="BT65" s="38" t="str">
        <f>IFERROR('1.vize'!CE65*100/'1.vize'!$I65,"")</f>
        <v/>
      </c>
      <c r="BU65" s="38" t="str">
        <f>IFERROR('1.vize'!CF65*100/'1.vize'!$I65,"")</f>
        <v/>
      </c>
      <c r="BV65" s="38" t="str">
        <f>IFERROR('1.vize'!CG65*100/'1.vize'!$I65,"")</f>
        <v/>
      </c>
      <c r="BW65" s="38" t="str">
        <f>IFERROR('1.vize'!CH65*100/'1.vize'!$I65,"")</f>
        <v/>
      </c>
      <c r="BX65" s="38" t="str">
        <f>IFERROR('1.vize'!CI65*100/'1.vize'!$I65,"")</f>
        <v/>
      </c>
      <c r="BY65" s="38" t="str">
        <f>IFERROR('1.vize'!CJ65*100/'1.vize'!$I65,"")</f>
        <v/>
      </c>
      <c r="BZ65" s="38" t="str">
        <f>IFERROR('1.vize'!CK65*100/'1.vize'!$I65,"")</f>
        <v/>
      </c>
      <c r="CA65" s="38" t="str">
        <f>IFERROR('1.vize'!CL65*100/'1.vize'!$I65,"")</f>
        <v/>
      </c>
      <c r="CB65" s="38" t="str">
        <f>IFERROR('1.vize'!CM65*100/'1.vize'!$I65,"")</f>
        <v/>
      </c>
      <c r="CC65" s="38" t="str">
        <f>IFERROR('1.vize'!CN65*100/'1.vize'!$I65,"")</f>
        <v/>
      </c>
      <c r="CD65" s="38" t="str">
        <f>IFERROR('1.vize'!CO65*100/'1.vize'!$I65,"")</f>
        <v/>
      </c>
      <c r="CE65" s="38" t="str">
        <f>IFERROR('1.vize'!CP65*100/'1.vize'!$I65,"")</f>
        <v/>
      </c>
      <c r="CF65" s="38" t="str">
        <f>IFERROR('1.vize'!CQ65*100/'1.vize'!$I65,"")</f>
        <v/>
      </c>
      <c r="CG65" s="38" t="str">
        <f>IFERROR('1.vize'!CR65*100/'1.vize'!$I65,"")</f>
        <v/>
      </c>
      <c r="CH65" s="38" t="str">
        <f>IFERROR('1.vize'!CS65*100/'1.vize'!$I65,"")</f>
        <v/>
      </c>
      <c r="CI65" s="38" t="str">
        <f>IFERROR('1.vize'!CT65*100/'1.vize'!$I65,"")</f>
        <v/>
      </c>
      <c r="CJ65" s="38" t="str">
        <f>IFERROR('1.vize'!CU65*100/'1.vize'!$I65,"")</f>
        <v/>
      </c>
      <c r="CK65" s="38" t="str">
        <f>IFERROR('1.vize'!CV65*100/'1.vize'!$I65,"")</f>
        <v/>
      </c>
      <c r="CL65" s="38" t="str">
        <f>IFERROR('1.vize'!CW65*100/'1.vize'!$I65,"")</f>
        <v/>
      </c>
      <c r="CM65" s="38" t="str">
        <f>IFERROR('1.vize'!CX65*100/'1.vize'!$I65,"")</f>
        <v/>
      </c>
      <c r="CN65" s="38" t="str">
        <f>IFERROR('1.vize'!CY65*100/'1.vize'!$I65,"")</f>
        <v/>
      </c>
      <c r="CO65" s="38" t="str">
        <f>IFERROR('1.vize'!CZ65*100/'1.vize'!$I65,"")</f>
        <v/>
      </c>
      <c r="CP65" s="38" t="str">
        <f>IFERROR('1.vize'!DA65*100/'1.vize'!$I65,"")</f>
        <v/>
      </c>
      <c r="CQ65" s="38" t="str">
        <f>IFERROR('1.vize'!DB65*100/'1.vize'!$I65,"")</f>
        <v/>
      </c>
      <c r="CR65" s="38" t="str">
        <f>IFERROR('1.vize'!DC65*100/'1.vize'!$I65,"")</f>
        <v/>
      </c>
      <c r="CS65" s="38" t="str">
        <f>IFERROR('1.vize'!DD65*100/'1.vize'!$I65,"")</f>
        <v/>
      </c>
      <c r="CT65" s="38" t="str">
        <f>IFERROR('1.vize'!DE65*100/'1.vize'!$I65,"")</f>
        <v/>
      </c>
      <c r="CU65" s="38" t="str">
        <f>IFERROR('1.vize'!DF65*100/'1.vize'!$I65,"")</f>
        <v/>
      </c>
      <c r="CV65" s="38" t="str">
        <f>IFERROR('1.vize'!DG65*100/'1.vize'!$I65,"")</f>
        <v/>
      </c>
      <c r="CW65" s="32" t="str">
        <f>IFERROR(SUM(A65:CV65)/'1.vize'!$DH$103,"")</f>
        <v/>
      </c>
      <c r="CX65" s="14" t="str">
        <f>IF(COUNTA('1.vize'!A65),'1.vize'!A65,"")</f>
        <v/>
      </c>
      <c r="CY65" s="14" t="str">
        <f>IF(COUNTA('1.vize'!B65),'1.vize'!B65,"")</f>
        <v/>
      </c>
      <c r="CZ65" s="14" t="str">
        <f>IF(COUNTA('1.vize'!C65),'1.vize'!C65,"")</f>
        <v/>
      </c>
      <c r="DA65" s="14" t="str">
        <f>IF(COUNTA('1.vize'!D65),'1.vize'!D65,"")</f>
        <v/>
      </c>
      <c r="DB65" s="14" t="str">
        <f>IF(COUNTA('1.vize'!E65),'1.vize'!E65,"")</f>
        <v/>
      </c>
      <c r="DC65" s="14" t="str">
        <f>IF(COUNTA('1.vize'!F65),'1.vize'!F65,"")</f>
        <v/>
      </c>
      <c r="DD65" s="14" t="str">
        <f>IF(COUNTA('1.vize'!G65),'1.vize'!G65,"")</f>
        <v/>
      </c>
      <c r="DE65" s="14" t="str">
        <f>IF(COUNTA('1.vize'!H65),'1.vize'!H65,"")</f>
        <v/>
      </c>
      <c r="DF65" s="33"/>
    </row>
    <row r="66" spans="1:110" x14ac:dyDescent="0.2">
      <c r="A66" s="38" t="str">
        <f>IFERROR('1.vize'!L66*100/'1.vize'!$I66,"")</f>
        <v/>
      </c>
      <c r="B66" s="38" t="str">
        <f>IFERROR('1.vize'!M66*100/'1.vize'!$I66,"")</f>
        <v/>
      </c>
      <c r="C66" s="38" t="str">
        <f>IFERROR('1.vize'!N66*100/'1.vize'!$I66,"")</f>
        <v/>
      </c>
      <c r="D66" s="38" t="str">
        <f>IFERROR('1.vize'!O66*100/'1.vize'!$I66,"")</f>
        <v/>
      </c>
      <c r="E66" s="38" t="str">
        <f>IFERROR('1.vize'!P66*100/'1.vize'!$I66,"")</f>
        <v/>
      </c>
      <c r="F66" s="38" t="str">
        <f>IFERROR('1.vize'!Q66*100/'1.vize'!$I66,"")</f>
        <v/>
      </c>
      <c r="G66" s="38" t="str">
        <f>IFERROR('1.vize'!R66*100/'1.vize'!$I66,"")</f>
        <v/>
      </c>
      <c r="H66" s="38" t="str">
        <f>IFERROR('1.vize'!S66*100/'1.vize'!$I66,"")</f>
        <v/>
      </c>
      <c r="I66" s="38" t="str">
        <f>IFERROR('1.vize'!T66*100/'1.vize'!$I66,"")</f>
        <v/>
      </c>
      <c r="J66" s="38" t="str">
        <f>IFERROR('1.vize'!U66*100/'1.vize'!$I66,"")</f>
        <v/>
      </c>
      <c r="K66" s="38" t="str">
        <f>IFERROR('1.vize'!V66*100/'1.vize'!$I66,"")</f>
        <v/>
      </c>
      <c r="L66" s="38" t="str">
        <f>IFERROR('1.vize'!W66*100/'1.vize'!$I66,"")</f>
        <v/>
      </c>
      <c r="M66" s="38" t="str">
        <f>IFERROR('1.vize'!X66*100/'1.vize'!$I66,"")</f>
        <v/>
      </c>
      <c r="N66" s="38" t="str">
        <f>IFERROR('1.vize'!Y66*100/'1.vize'!$I66,"")</f>
        <v/>
      </c>
      <c r="O66" s="38" t="str">
        <f>IFERROR('1.vize'!Z66*100/'1.vize'!$I66,"")</f>
        <v/>
      </c>
      <c r="P66" s="38" t="str">
        <f>IFERROR('1.vize'!AA66*100/'1.vize'!$I66,"")</f>
        <v/>
      </c>
      <c r="Q66" s="38" t="str">
        <f>IFERROR('1.vize'!AB66*100/'1.vize'!$I66,"")</f>
        <v/>
      </c>
      <c r="R66" s="38" t="str">
        <f>IFERROR('1.vize'!AC66*100/'1.vize'!$I66,"")</f>
        <v/>
      </c>
      <c r="S66" s="38" t="str">
        <f>IFERROR('1.vize'!AD66*100/'1.vize'!$I66,"")</f>
        <v/>
      </c>
      <c r="T66" s="38" t="str">
        <f>IFERROR('1.vize'!AE66*100/'1.vize'!$I66,"")</f>
        <v/>
      </c>
      <c r="U66" s="38" t="str">
        <f>IFERROR('1.vize'!AF66*100/'1.vize'!$I66,"")</f>
        <v/>
      </c>
      <c r="V66" s="38" t="str">
        <f>IFERROR('1.vize'!AG66*100/'1.vize'!$I66,"")</f>
        <v/>
      </c>
      <c r="W66" s="38" t="str">
        <f>IFERROR('1.vize'!AH66*100/'1.vize'!$I66,"")</f>
        <v/>
      </c>
      <c r="X66" s="38" t="str">
        <f>IFERROR('1.vize'!AI66*100/'1.vize'!$I66,"")</f>
        <v/>
      </c>
      <c r="Y66" s="38" t="str">
        <f>IFERROR('1.vize'!AJ66*100/'1.vize'!$I66,"")</f>
        <v/>
      </c>
      <c r="Z66" s="38" t="str">
        <f>IFERROR('1.vize'!AK66*100/'1.vize'!$I66,"")</f>
        <v/>
      </c>
      <c r="AA66" s="38" t="str">
        <f>IFERROR('1.vize'!AL66*100/'1.vize'!$I66,"")</f>
        <v/>
      </c>
      <c r="AB66" s="38" t="str">
        <f>IFERROR('1.vize'!AM66*100/'1.vize'!$I66,"")</f>
        <v/>
      </c>
      <c r="AC66" s="38" t="str">
        <f>IFERROR('1.vize'!AN66*100/'1.vize'!$I66,"")</f>
        <v/>
      </c>
      <c r="AD66" s="38" t="str">
        <f>IFERROR('1.vize'!AO66*100/'1.vize'!$I66,"")</f>
        <v/>
      </c>
      <c r="AE66" s="38" t="str">
        <f>IFERROR('1.vize'!AP66*100/'1.vize'!$I66,"")</f>
        <v/>
      </c>
      <c r="AF66" s="38" t="str">
        <f>IFERROR('1.vize'!AQ66*100/'1.vize'!$I66,"")</f>
        <v/>
      </c>
      <c r="AG66" s="38" t="str">
        <f>IFERROR('1.vize'!AR66*100/'1.vize'!$I66,"")</f>
        <v/>
      </c>
      <c r="AH66" s="38" t="str">
        <f>IFERROR('1.vize'!AS66*100/'1.vize'!$I66,"")</f>
        <v/>
      </c>
      <c r="AI66" s="38" t="str">
        <f>IFERROR('1.vize'!AT66*100/'1.vize'!$I66,"")</f>
        <v/>
      </c>
      <c r="AJ66" s="38" t="str">
        <f>IFERROR('1.vize'!AU66*100/'1.vize'!$I66,"")</f>
        <v/>
      </c>
      <c r="AK66" s="38" t="str">
        <f>IFERROR('1.vize'!AV66*100/'1.vize'!$I66,"")</f>
        <v/>
      </c>
      <c r="AL66" s="38" t="str">
        <f>IFERROR('1.vize'!AW66*100/'1.vize'!$I66,"")</f>
        <v/>
      </c>
      <c r="AM66" s="38" t="str">
        <f>IFERROR('1.vize'!AX66*100/'1.vize'!$I66,"")</f>
        <v/>
      </c>
      <c r="AN66" s="38" t="str">
        <f>IFERROR('1.vize'!AY66*100/'1.vize'!$I66,"")</f>
        <v/>
      </c>
      <c r="AO66" s="38" t="str">
        <f>IFERROR('1.vize'!AZ66*100/'1.vize'!$I66,"")</f>
        <v/>
      </c>
      <c r="AP66" s="38" t="str">
        <f>IFERROR('1.vize'!BA66*100/'1.vize'!$I66,"")</f>
        <v/>
      </c>
      <c r="AQ66" s="38" t="str">
        <f>IFERROR('1.vize'!BB66*100/'1.vize'!$I66,"")</f>
        <v/>
      </c>
      <c r="AR66" s="38" t="str">
        <f>IFERROR('1.vize'!BC66*100/'1.vize'!$I66,"")</f>
        <v/>
      </c>
      <c r="AS66" s="38" t="str">
        <f>IFERROR('1.vize'!BD66*100/'1.vize'!$I66,"")</f>
        <v/>
      </c>
      <c r="AT66" s="38" t="str">
        <f>IFERROR('1.vize'!BE66*100/'1.vize'!$I66,"")</f>
        <v/>
      </c>
      <c r="AU66" s="38" t="str">
        <f>IFERROR('1.vize'!BF66*100/'1.vize'!$I66,"")</f>
        <v/>
      </c>
      <c r="AV66" s="38" t="str">
        <f>IFERROR('1.vize'!BG66*100/'1.vize'!$I66,"")</f>
        <v/>
      </c>
      <c r="AW66" s="38" t="str">
        <f>IFERROR('1.vize'!BH66*100/'1.vize'!$I66,"")</f>
        <v/>
      </c>
      <c r="AX66" s="38" t="str">
        <f>IFERROR('1.vize'!BI66*100/'1.vize'!$I66,"")</f>
        <v/>
      </c>
      <c r="AY66" s="38" t="str">
        <f>IFERROR('1.vize'!BJ66*100/'1.vize'!$I66,"")</f>
        <v/>
      </c>
      <c r="AZ66" s="38" t="str">
        <f>IFERROR('1.vize'!BK66*100/'1.vize'!$I66,"")</f>
        <v/>
      </c>
      <c r="BA66" s="38" t="str">
        <f>IFERROR('1.vize'!BL66*100/'1.vize'!$I66,"")</f>
        <v/>
      </c>
      <c r="BB66" s="38" t="str">
        <f>IFERROR('1.vize'!BM66*100/'1.vize'!$I66,"")</f>
        <v/>
      </c>
      <c r="BC66" s="38" t="str">
        <f>IFERROR('1.vize'!BN66*100/'1.vize'!$I66,"")</f>
        <v/>
      </c>
      <c r="BD66" s="38" t="str">
        <f>IFERROR('1.vize'!BO66*100/'1.vize'!$I66,"")</f>
        <v/>
      </c>
      <c r="BE66" s="38" t="str">
        <f>IFERROR('1.vize'!BP66*100/'1.vize'!$I66,"")</f>
        <v/>
      </c>
      <c r="BF66" s="38" t="str">
        <f>IFERROR('1.vize'!BQ66*100/'1.vize'!$I66,"")</f>
        <v/>
      </c>
      <c r="BG66" s="38" t="str">
        <f>IFERROR('1.vize'!BR66*100/'1.vize'!$I66,"")</f>
        <v/>
      </c>
      <c r="BH66" s="38" t="str">
        <f>IFERROR('1.vize'!BS66*100/'1.vize'!$I66,"")</f>
        <v/>
      </c>
      <c r="BI66" s="38" t="str">
        <f>IFERROR('1.vize'!BT66*100/'1.vize'!$I66,"")</f>
        <v/>
      </c>
      <c r="BJ66" s="38" t="str">
        <f>IFERROR('1.vize'!BU66*100/'1.vize'!$I66,"")</f>
        <v/>
      </c>
      <c r="BK66" s="38" t="str">
        <f>IFERROR('1.vize'!BV66*100/'1.vize'!$I66,"")</f>
        <v/>
      </c>
      <c r="BL66" s="38" t="str">
        <f>IFERROR('1.vize'!BW66*100/'1.vize'!$I66,"")</f>
        <v/>
      </c>
      <c r="BM66" s="38" t="str">
        <f>IFERROR('1.vize'!BX66*100/'1.vize'!$I66,"")</f>
        <v/>
      </c>
      <c r="BN66" s="38" t="str">
        <f>IFERROR('1.vize'!BY66*100/'1.vize'!$I66,"")</f>
        <v/>
      </c>
      <c r="BO66" s="38" t="str">
        <f>IFERROR('1.vize'!BZ66*100/'1.vize'!$I66,"")</f>
        <v/>
      </c>
      <c r="BP66" s="38" t="str">
        <f>IFERROR('1.vize'!CA66*100/'1.vize'!$I66,"")</f>
        <v/>
      </c>
      <c r="BQ66" s="38" t="str">
        <f>IFERROR('1.vize'!CB66*100/'1.vize'!$I66,"")</f>
        <v/>
      </c>
      <c r="BR66" s="38" t="str">
        <f>IFERROR('1.vize'!CC66*100/'1.vize'!$I66,"")</f>
        <v/>
      </c>
      <c r="BS66" s="38" t="str">
        <f>IFERROR('1.vize'!CD66*100/'1.vize'!$I66,"")</f>
        <v/>
      </c>
      <c r="BT66" s="38" t="str">
        <f>IFERROR('1.vize'!CE66*100/'1.vize'!$I66,"")</f>
        <v/>
      </c>
      <c r="BU66" s="38" t="str">
        <f>IFERROR('1.vize'!CF66*100/'1.vize'!$I66,"")</f>
        <v/>
      </c>
      <c r="BV66" s="38" t="str">
        <f>IFERROR('1.vize'!CG66*100/'1.vize'!$I66,"")</f>
        <v/>
      </c>
      <c r="BW66" s="38" t="str">
        <f>IFERROR('1.vize'!CH66*100/'1.vize'!$I66,"")</f>
        <v/>
      </c>
      <c r="BX66" s="38" t="str">
        <f>IFERROR('1.vize'!CI66*100/'1.vize'!$I66,"")</f>
        <v/>
      </c>
      <c r="BY66" s="38" t="str">
        <f>IFERROR('1.vize'!CJ66*100/'1.vize'!$I66,"")</f>
        <v/>
      </c>
      <c r="BZ66" s="38" t="str">
        <f>IFERROR('1.vize'!CK66*100/'1.vize'!$I66,"")</f>
        <v/>
      </c>
      <c r="CA66" s="38" t="str">
        <f>IFERROR('1.vize'!CL66*100/'1.vize'!$I66,"")</f>
        <v/>
      </c>
      <c r="CB66" s="38" t="str">
        <f>IFERROR('1.vize'!CM66*100/'1.vize'!$I66,"")</f>
        <v/>
      </c>
      <c r="CC66" s="38" t="str">
        <f>IFERROR('1.vize'!CN66*100/'1.vize'!$I66,"")</f>
        <v/>
      </c>
      <c r="CD66" s="38" t="str">
        <f>IFERROR('1.vize'!CO66*100/'1.vize'!$I66,"")</f>
        <v/>
      </c>
      <c r="CE66" s="38" t="str">
        <f>IFERROR('1.vize'!CP66*100/'1.vize'!$I66,"")</f>
        <v/>
      </c>
      <c r="CF66" s="38" t="str">
        <f>IFERROR('1.vize'!CQ66*100/'1.vize'!$I66,"")</f>
        <v/>
      </c>
      <c r="CG66" s="38" t="str">
        <f>IFERROR('1.vize'!CR66*100/'1.vize'!$I66,"")</f>
        <v/>
      </c>
      <c r="CH66" s="38" t="str">
        <f>IFERROR('1.vize'!CS66*100/'1.vize'!$I66,"")</f>
        <v/>
      </c>
      <c r="CI66" s="38" t="str">
        <f>IFERROR('1.vize'!CT66*100/'1.vize'!$I66,"")</f>
        <v/>
      </c>
      <c r="CJ66" s="38" t="str">
        <f>IFERROR('1.vize'!CU66*100/'1.vize'!$I66,"")</f>
        <v/>
      </c>
      <c r="CK66" s="38" t="str">
        <f>IFERROR('1.vize'!CV66*100/'1.vize'!$I66,"")</f>
        <v/>
      </c>
      <c r="CL66" s="38" t="str">
        <f>IFERROR('1.vize'!CW66*100/'1.vize'!$I66,"")</f>
        <v/>
      </c>
      <c r="CM66" s="38" t="str">
        <f>IFERROR('1.vize'!CX66*100/'1.vize'!$I66,"")</f>
        <v/>
      </c>
      <c r="CN66" s="38" t="str">
        <f>IFERROR('1.vize'!CY66*100/'1.vize'!$I66,"")</f>
        <v/>
      </c>
      <c r="CO66" s="38" t="str">
        <f>IFERROR('1.vize'!CZ66*100/'1.vize'!$I66,"")</f>
        <v/>
      </c>
      <c r="CP66" s="38" t="str">
        <f>IFERROR('1.vize'!DA66*100/'1.vize'!$I66,"")</f>
        <v/>
      </c>
      <c r="CQ66" s="38" t="str">
        <f>IFERROR('1.vize'!DB66*100/'1.vize'!$I66,"")</f>
        <v/>
      </c>
      <c r="CR66" s="38" t="str">
        <f>IFERROR('1.vize'!DC66*100/'1.vize'!$I66,"")</f>
        <v/>
      </c>
      <c r="CS66" s="38" t="str">
        <f>IFERROR('1.vize'!DD66*100/'1.vize'!$I66,"")</f>
        <v/>
      </c>
      <c r="CT66" s="38" t="str">
        <f>IFERROR('1.vize'!DE66*100/'1.vize'!$I66,"")</f>
        <v/>
      </c>
      <c r="CU66" s="38" t="str">
        <f>IFERROR('1.vize'!DF66*100/'1.vize'!$I66,"")</f>
        <v/>
      </c>
      <c r="CV66" s="38" t="str">
        <f>IFERROR('1.vize'!DG66*100/'1.vize'!$I66,"")</f>
        <v/>
      </c>
      <c r="CW66" s="32" t="str">
        <f>IFERROR(SUM(A66:CV66)/'1.vize'!$DH$103,"")</f>
        <v/>
      </c>
      <c r="CX66" s="14" t="str">
        <f>IF(COUNTA('1.vize'!A66),'1.vize'!A66,"")</f>
        <v/>
      </c>
      <c r="CY66" s="14" t="str">
        <f>IF(COUNTA('1.vize'!B66),'1.vize'!B66,"")</f>
        <v/>
      </c>
      <c r="CZ66" s="14" t="str">
        <f>IF(COUNTA('1.vize'!C66),'1.vize'!C66,"")</f>
        <v/>
      </c>
      <c r="DA66" s="14" t="str">
        <f>IF(COUNTA('1.vize'!D66),'1.vize'!D66,"")</f>
        <v/>
      </c>
      <c r="DB66" s="14" t="str">
        <f>IF(COUNTA('1.vize'!E66),'1.vize'!E66,"")</f>
        <v/>
      </c>
      <c r="DC66" s="14" t="str">
        <f>IF(COUNTA('1.vize'!F66),'1.vize'!F66,"")</f>
        <v/>
      </c>
      <c r="DD66" s="14" t="str">
        <f>IF(COUNTA('1.vize'!G66),'1.vize'!G66,"")</f>
        <v/>
      </c>
      <c r="DE66" s="14" t="str">
        <f>IF(COUNTA('1.vize'!H66),'1.vize'!H66,"")</f>
        <v/>
      </c>
      <c r="DF66" s="33"/>
    </row>
    <row r="67" spans="1:110" x14ac:dyDescent="0.2">
      <c r="A67" s="38" t="str">
        <f>IFERROR('1.vize'!L67*100/'1.vize'!$I67,"")</f>
        <v/>
      </c>
      <c r="B67" s="38" t="str">
        <f>IFERROR('1.vize'!M67*100/'1.vize'!$I67,"")</f>
        <v/>
      </c>
      <c r="C67" s="38" t="str">
        <f>IFERROR('1.vize'!N67*100/'1.vize'!$I67,"")</f>
        <v/>
      </c>
      <c r="D67" s="38" t="str">
        <f>IFERROR('1.vize'!O67*100/'1.vize'!$I67,"")</f>
        <v/>
      </c>
      <c r="E67" s="38" t="str">
        <f>IFERROR('1.vize'!P67*100/'1.vize'!$I67,"")</f>
        <v/>
      </c>
      <c r="F67" s="38" t="str">
        <f>IFERROR('1.vize'!Q67*100/'1.vize'!$I67,"")</f>
        <v/>
      </c>
      <c r="G67" s="38" t="str">
        <f>IFERROR('1.vize'!R67*100/'1.vize'!$I67,"")</f>
        <v/>
      </c>
      <c r="H67" s="38" t="str">
        <f>IFERROR('1.vize'!S67*100/'1.vize'!$I67,"")</f>
        <v/>
      </c>
      <c r="I67" s="38" t="str">
        <f>IFERROR('1.vize'!T67*100/'1.vize'!$I67,"")</f>
        <v/>
      </c>
      <c r="J67" s="38" t="str">
        <f>IFERROR('1.vize'!U67*100/'1.vize'!$I67,"")</f>
        <v/>
      </c>
      <c r="K67" s="38" t="str">
        <f>IFERROR('1.vize'!V67*100/'1.vize'!$I67,"")</f>
        <v/>
      </c>
      <c r="L67" s="38" t="str">
        <f>IFERROR('1.vize'!W67*100/'1.vize'!$I67,"")</f>
        <v/>
      </c>
      <c r="M67" s="38" t="str">
        <f>IFERROR('1.vize'!X67*100/'1.vize'!$I67,"")</f>
        <v/>
      </c>
      <c r="N67" s="38" t="str">
        <f>IFERROR('1.vize'!Y67*100/'1.vize'!$I67,"")</f>
        <v/>
      </c>
      <c r="O67" s="38" t="str">
        <f>IFERROR('1.vize'!Z67*100/'1.vize'!$I67,"")</f>
        <v/>
      </c>
      <c r="P67" s="38" t="str">
        <f>IFERROR('1.vize'!AA67*100/'1.vize'!$I67,"")</f>
        <v/>
      </c>
      <c r="Q67" s="38" t="str">
        <f>IFERROR('1.vize'!AB67*100/'1.vize'!$I67,"")</f>
        <v/>
      </c>
      <c r="R67" s="38" t="str">
        <f>IFERROR('1.vize'!AC67*100/'1.vize'!$I67,"")</f>
        <v/>
      </c>
      <c r="S67" s="38" t="str">
        <f>IFERROR('1.vize'!AD67*100/'1.vize'!$I67,"")</f>
        <v/>
      </c>
      <c r="T67" s="38" t="str">
        <f>IFERROR('1.vize'!AE67*100/'1.vize'!$I67,"")</f>
        <v/>
      </c>
      <c r="U67" s="38" t="str">
        <f>IFERROR('1.vize'!AF67*100/'1.vize'!$I67,"")</f>
        <v/>
      </c>
      <c r="V67" s="38" t="str">
        <f>IFERROR('1.vize'!AG67*100/'1.vize'!$I67,"")</f>
        <v/>
      </c>
      <c r="W67" s="38" t="str">
        <f>IFERROR('1.vize'!AH67*100/'1.vize'!$I67,"")</f>
        <v/>
      </c>
      <c r="X67" s="38" t="str">
        <f>IFERROR('1.vize'!AI67*100/'1.vize'!$I67,"")</f>
        <v/>
      </c>
      <c r="Y67" s="38" t="str">
        <f>IFERROR('1.vize'!AJ67*100/'1.vize'!$I67,"")</f>
        <v/>
      </c>
      <c r="Z67" s="38" t="str">
        <f>IFERROR('1.vize'!AK67*100/'1.vize'!$I67,"")</f>
        <v/>
      </c>
      <c r="AA67" s="38" t="str">
        <f>IFERROR('1.vize'!AL67*100/'1.vize'!$I67,"")</f>
        <v/>
      </c>
      <c r="AB67" s="38" t="str">
        <f>IFERROR('1.vize'!AM67*100/'1.vize'!$I67,"")</f>
        <v/>
      </c>
      <c r="AC67" s="38" t="str">
        <f>IFERROR('1.vize'!AN67*100/'1.vize'!$I67,"")</f>
        <v/>
      </c>
      <c r="AD67" s="38" t="str">
        <f>IFERROR('1.vize'!AO67*100/'1.vize'!$I67,"")</f>
        <v/>
      </c>
      <c r="AE67" s="38" t="str">
        <f>IFERROR('1.vize'!AP67*100/'1.vize'!$I67,"")</f>
        <v/>
      </c>
      <c r="AF67" s="38" t="str">
        <f>IFERROR('1.vize'!AQ67*100/'1.vize'!$I67,"")</f>
        <v/>
      </c>
      <c r="AG67" s="38" t="str">
        <f>IFERROR('1.vize'!AR67*100/'1.vize'!$I67,"")</f>
        <v/>
      </c>
      <c r="AH67" s="38" t="str">
        <f>IFERROR('1.vize'!AS67*100/'1.vize'!$I67,"")</f>
        <v/>
      </c>
      <c r="AI67" s="38" t="str">
        <f>IFERROR('1.vize'!AT67*100/'1.vize'!$I67,"")</f>
        <v/>
      </c>
      <c r="AJ67" s="38" t="str">
        <f>IFERROR('1.vize'!AU67*100/'1.vize'!$I67,"")</f>
        <v/>
      </c>
      <c r="AK67" s="38" t="str">
        <f>IFERROR('1.vize'!AV67*100/'1.vize'!$I67,"")</f>
        <v/>
      </c>
      <c r="AL67" s="38" t="str">
        <f>IFERROR('1.vize'!AW67*100/'1.vize'!$I67,"")</f>
        <v/>
      </c>
      <c r="AM67" s="38" t="str">
        <f>IFERROR('1.vize'!AX67*100/'1.vize'!$I67,"")</f>
        <v/>
      </c>
      <c r="AN67" s="38" t="str">
        <f>IFERROR('1.vize'!AY67*100/'1.vize'!$I67,"")</f>
        <v/>
      </c>
      <c r="AO67" s="38" t="str">
        <f>IFERROR('1.vize'!AZ67*100/'1.vize'!$I67,"")</f>
        <v/>
      </c>
      <c r="AP67" s="38" t="str">
        <f>IFERROR('1.vize'!BA67*100/'1.vize'!$I67,"")</f>
        <v/>
      </c>
      <c r="AQ67" s="38" t="str">
        <f>IFERROR('1.vize'!BB67*100/'1.vize'!$I67,"")</f>
        <v/>
      </c>
      <c r="AR67" s="38" t="str">
        <f>IFERROR('1.vize'!BC67*100/'1.vize'!$I67,"")</f>
        <v/>
      </c>
      <c r="AS67" s="38" t="str">
        <f>IFERROR('1.vize'!BD67*100/'1.vize'!$I67,"")</f>
        <v/>
      </c>
      <c r="AT67" s="38" t="str">
        <f>IFERROR('1.vize'!BE67*100/'1.vize'!$I67,"")</f>
        <v/>
      </c>
      <c r="AU67" s="38" t="str">
        <f>IFERROR('1.vize'!BF67*100/'1.vize'!$I67,"")</f>
        <v/>
      </c>
      <c r="AV67" s="38" t="str">
        <f>IFERROR('1.vize'!BG67*100/'1.vize'!$I67,"")</f>
        <v/>
      </c>
      <c r="AW67" s="38" t="str">
        <f>IFERROR('1.vize'!BH67*100/'1.vize'!$I67,"")</f>
        <v/>
      </c>
      <c r="AX67" s="38" t="str">
        <f>IFERROR('1.vize'!BI67*100/'1.vize'!$I67,"")</f>
        <v/>
      </c>
      <c r="AY67" s="38" t="str">
        <f>IFERROR('1.vize'!BJ67*100/'1.vize'!$I67,"")</f>
        <v/>
      </c>
      <c r="AZ67" s="38" t="str">
        <f>IFERROR('1.vize'!BK67*100/'1.vize'!$I67,"")</f>
        <v/>
      </c>
      <c r="BA67" s="38" t="str">
        <f>IFERROR('1.vize'!BL67*100/'1.vize'!$I67,"")</f>
        <v/>
      </c>
      <c r="BB67" s="38" t="str">
        <f>IFERROR('1.vize'!BM67*100/'1.vize'!$I67,"")</f>
        <v/>
      </c>
      <c r="BC67" s="38" t="str">
        <f>IFERROR('1.vize'!BN67*100/'1.vize'!$I67,"")</f>
        <v/>
      </c>
      <c r="BD67" s="38" t="str">
        <f>IFERROR('1.vize'!BO67*100/'1.vize'!$I67,"")</f>
        <v/>
      </c>
      <c r="BE67" s="38" t="str">
        <f>IFERROR('1.vize'!BP67*100/'1.vize'!$I67,"")</f>
        <v/>
      </c>
      <c r="BF67" s="38" t="str">
        <f>IFERROR('1.vize'!BQ67*100/'1.vize'!$I67,"")</f>
        <v/>
      </c>
      <c r="BG67" s="38" t="str">
        <f>IFERROR('1.vize'!BR67*100/'1.vize'!$I67,"")</f>
        <v/>
      </c>
      <c r="BH67" s="38" t="str">
        <f>IFERROR('1.vize'!BS67*100/'1.vize'!$I67,"")</f>
        <v/>
      </c>
      <c r="BI67" s="38" t="str">
        <f>IFERROR('1.vize'!BT67*100/'1.vize'!$I67,"")</f>
        <v/>
      </c>
      <c r="BJ67" s="38" t="str">
        <f>IFERROR('1.vize'!BU67*100/'1.vize'!$I67,"")</f>
        <v/>
      </c>
      <c r="BK67" s="38" t="str">
        <f>IFERROR('1.vize'!BV67*100/'1.vize'!$I67,"")</f>
        <v/>
      </c>
      <c r="BL67" s="38" t="str">
        <f>IFERROR('1.vize'!BW67*100/'1.vize'!$I67,"")</f>
        <v/>
      </c>
      <c r="BM67" s="38" t="str">
        <f>IFERROR('1.vize'!BX67*100/'1.vize'!$I67,"")</f>
        <v/>
      </c>
      <c r="BN67" s="38" t="str">
        <f>IFERROR('1.vize'!BY67*100/'1.vize'!$I67,"")</f>
        <v/>
      </c>
      <c r="BO67" s="38" t="str">
        <f>IFERROR('1.vize'!BZ67*100/'1.vize'!$I67,"")</f>
        <v/>
      </c>
      <c r="BP67" s="38" t="str">
        <f>IFERROR('1.vize'!CA67*100/'1.vize'!$I67,"")</f>
        <v/>
      </c>
      <c r="BQ67" s="38" t="str">
        <f>IFERROR('1.vize'!CB67*100/'1.vize'!$I67,"")</f>
        <v/>
      </c>
      <c r="BR67" s="38" t="str">
        <f>IFERROR('1.vize'!CC67*100/'1.vize'!$I67,"")</f>
        <v/>
      </c>
      <c r="BS67" s="38" t="str">
        <f>IFERROR('1.vize'!CD67*100/'1.vize'!$I67,"")</f>
        <v/>
      </c>
      <c r="BT67" s="38" t="str">
        <f>IFERROR('1.vize'!CE67*100/'1.vize'!$I67,"")</f>
        <v/>
      </c>
      <c r="BU67" s="38" t="str">
        <f>IFERROR('1.vize'!CF67*100/'1.vize'!$I67,"")</f>
        <v/>
      </c>
      <c r="BV67" s="38" t="str">
        <f>IFERROR('1.vize'!CG67*100/'1.vize'!$I67,"")</f>
        <v/>
      </c>
      <c r="BW67" s="38" t="str">
        <f>IFERROR('1.vize'!CH67*100/'1.vize'!$I67,"")</f>
        <v/>
      </c>
      <c r="BX67" s="38" t="str">
        <f>IFERROR('1.vize'!CI67*100/'1.vize'!$I67,"")</f>
        <v/>
      </c>
      <c r="BY67" s="38" t="str">
        <f>IFERROR('1.vize'!CJ67*100/'1.vize'!$I67,"")</f>
        <v/>
      </c>
      <c r="BZ67" s="38" t="str">
        <f>IFERROR('1.vize'!CK67*100/'1.vize'!$I67,"")</f>
        <v/>
      </c>
      <c r="CA67" s="38" t="str">
        <f>IFERROR('1.vize'!CL67*100/'1.vize'!$I67,"")</f>
        <v/>
      </c>
      <c r="CB67" s="38" t="str">
        <f>IFERROR('1.vize'!CM67*100/'1.vize'!$I67,"")</f>
        <v/>
      </c>
      <c r="CC67" s="38" t="str">
        <f>IFERROR('1.vize'!CN67*100/'1.vize'!$I67,"")</f>
        <v/>
      </c>
      <c r="CD67" s="38" t="str">
        <f>IFERROR('1.vize'!CO67*100/'1.vize'!$I67,"")</f>
        <v/>
      </c>
      <c r="CE67" s="38" t="str">
        <f>IFERROR('1.vize'!CP67*100/'1.vize'!$I67,"")</f>
        <v/>
      </c>
      <c r="CF67" s="38" t="str">
        <f>IFERROR('1.vize'!CQ67*100/'1.vize'!$I67,"")</f>
        <v/>
      </c>
      <c r="CG67" s="38" t="str">
        <f>IFERROR('1.vize'!CR67*100/'1.vize'!$I67,"")</f>
        <v/>
      </c>
      <c r="CH67" s="38" t="str">
        <f>IFERROR('1.vize'!CS67*100/'1.vize'!$I67,"")</f>
        <v/>
      </c>
      <c r="CI67" s="38" t="str">
        <f>IFERROR('1.vize'!CT67*100/'1.vize'!$I67,"")</f>
        <v/>
      </c>
      <c r="CJ67" s="38" t="str">
        <f>IFERROR('1.vize'!CU67*100/'1.vize'!$I67,"")</f>
        <v/>
      </c>
      <c r="CK67" s="38" t="str">
        <f>IFERROR('1.vize'!CV67*100/'1.vize'!$I67,"")</f>
        <v/>
      </c>
      <c r="CL67" s="38" t="str">
        <f>IFERROR('1.vize'!CW67*100/'1.vize'!$I67,"")</f>
        <v/>
      </c>
      <c r="CM67" s="38" t="str">
        <f>IFERROR('1.vize'!CX67*100/'1.vize'!$I67,"")</f>
        <v/>
      </c>
      <c r="CN67" s="38" t="str">
        <f>IFERROR('1.vize'!CY67*100/'1.vize'!$I67,"")</f>
        <v/>
      </c>
      <c r="CO67" s="38" t="str">
        <f>IFERROR('1.vize'!CZ67*100/'1.vize'!$I67,"")</f>
        <v/>
      </c>
      <c r="CP67" s="38" t="str">
        <f>IFERROR('1.vize'!DA67*100/'1.vize'!$I67,"")</f>
        <v/>
      </c>
      <c r="CQ67" s="38" t="str">
        <f>IFERROR('1.vize'!DB67*100/'1.vize'!$I67,"")</f>
        <v/>
      </c>
      <c r="CR67" s="38" t="str">
        <f>IFERROR('1.vize'!DC67*100/'1.vize'!$I67,"")</f>
        <v/>
      </c>
      <c r="CS67" s="38" t="str">
        <f>IFERROR('1.vize'!DD67*100/'1.vize'!$I67,"")</f>
        <v/>
      </c>
      <c r="CT67" s="38" t="str">
        <f>IFERROR('1.vize'!DE67*100/'1.vize'!$I67,"")</f>
        <v/>
      </c>
      <c r="CU67" s="38" t="str">
        <f>IFERROR('1.vize'!DF67*100/'1.vize'!$I67,"")</f>
        <v/>
      </c>
      <c r="CV67" s="38" t="str">
        <f>IFERROR('1.vize'!DG67*100/'1.vize'!$I67,"")</f>
        <v/>
      </c>
      <c r="CW67" s="32" t="str">
        <f>IFERROR(SUM(A67:CV67)/'1.vize'!$DH$103,"")</f>
        <v/>
      </c>
      <c r="CX67" s="14" t="str">
        <f>IF(COUNTA('1.vize'!A67),'1.vize'!A67,"")</f>
        <v/>
      </c>
      <c r="CY67" s="14" t="str">
        <f>IF(COUNTA('1.vize'!B67),'1.vize'!B67,"")</f>
        <v/>
      </c>
      <c r="CZ67" s="14" t="str">
        <f>IF(COUNTA('1.vize'!C67),'1.vize'!C67,"")</f>
        <v/>
      </c>
      <c r="DA67" s="14" t="str">
        <f>IF(COUNTA('1.vize'!D67),'1.vize'!D67,"")</f>
        <v/>
      </c>
      <c r="DB67" s="14" t="str">
        <f>IF(COUNTA('1.vize'!E67),'1.vize'!E67,"")</f>
        <v/>
      </c>
      <c r="DC67" s="14" t="str">
        <f>IF(COUNTA('1.vize'!F67),'1.vize'!F67,"")</f>
        <v/>
      </c>
      <c r="DD67" s="14" t="str">
        <f>IF(COUNTA('1.vize'!G67),'1.vize'!G67,"")</f>
        <v/>
      </c>
      <c r="DE67" s="14" t="str">
        <f>IF(COUNTA('1.vize'!H67),'1.vize'!H67,"")</f>
        <v/>
      </c>
      <c r="DF67" s="33"/>
    </row>
    <row r="68" spans="1:110" x14ac:dyDescent="0.2">
      <c r="A68" s="38" t="str">
        <f>IFERROR('1.vize'!L68*100/'1.vize'!$I68,"")</f>
        <v/>
      </c>
      <c r="B68" s="38" t="str">
        <f>IFERROR('1.vize'!M68*100/'1.vize'!$I68,"")</f>
        <v/>
      </c>
      <c r="C68" s="38" t="str">
        <f>IFERROR('1.vize'!N68*100/'1.vize'!$I68,"")</f>
        <v/>
      </c>
      <c r="D68" s="38" t="str">
        <f>IFERROR('1.vize'!O68*100/'1.vize'!$I68,"")</f>
        <v/>
      </c>
      <c r="E68" s="38" t="str">
        <f>IFERROR('1.vize'!P68*100/'1.vize'!$I68,"")</f>
        <v/>
      </c>
      <c r="F68" s="38" t="str">
        <f>IFERROR('1.vize'!Q68*100/'1.vize'!$I68,"")</f>
        <v/>
      </c>
      <c r="G68" s="38" t="str">
        <f>IFERROR('1.vize'!R68*100/'1.vize'!$I68,"")</f>
        <v/>
      </c>
      <c r="H68" s="38" t="str">
        <f>IFERROR('1.vize'!S68*100/'1.vize'!$I68,"")</f>
        <v/>
      </c>
      <c r="I68" s="38" t="str">
        <f>IFERROR('1.vize'!T68*100/'1.vize'!$I68,"")</f>
        <v/>
      </c>
      <c r="J68" s="38" t="str">
        <f>IFERROR('1.vize'!U68*100/'1.vize'!$I68,"")</f>
        <v/>
      </c>
      <c r="K68" s="38" t="str">
        <f>IFERROR('1.vize'!V68*100/'1.vize'!$I68,"")</f>
        <v/>
      </c>
      <c r="L68" s="38" t="str">
        <f>IFERROR('1.vize'!W68*100/'1.vize'!$I68,"")</f>
        <v/>
      </c>
      <c r="M68" s="38" t="str">
        <f>IFERROR('1.vize'!X68*100/'1.vize'!$I68,"")</f>
        <v/>
      </c>
      <c r="N68" s="38" t="str">
        <f>IFERROR('1.vize'!Y68*100/'1.vize'!$I68,"")</f>
        <v/>
      </c>
      <c r="O68" s="38" t="str">
        <f>IFERROR('1.vize'!Z68*100/'1.vize'!$I68,"")</f>
        <v/>
      </c>
      <c r="P68" s="38" t="str">
        <f>IFERROR('1.vize'!AA68*100/'1.vize'!$I68,"")</f>
        <v/>
      </c>
      <c r="Q68" s="38" t="str">
        <f>IFERROR('1.vize'!AB68*100/'1.vize'!$I68,"")</f>
        <v/>
      </c>
      <c r="R68" s="38" t="str">
        <f>IFERROR('1.vize'!AC68*100/'1.vize'!$I68,"")</f>
        <v/>
      </c>
      <c r="S68" s="38" t="str">
        <f>IFERROR('1.vize'!AD68*100/'1.vize'!$I68,"")</f>
        <v/>
      </c>
      <c r="T68" s="38" t="str">
        <f>IFERROR('1.vize'!AE68*100/'1.vize'!$I68,"")</f>
        <v/>
      </c>
      <c r="U68" s="38" t="str">
        <f>IFERROR('1.vize'!AF68*100/'1.vize'!$I68,"")</f>
        <v/>
      </c>
      <c r="V68" s="38" t="str">
        <f>IFERROR('1.vize'!AG68*100/'1.vize'!$I68,"")</f>
        <v/>
      </c>
      <c r="W68" s="38" t="str">
        <f>IFERROR('1.vize'!AH68*100/'1.vize'!$I68,"")</f>
        <v/>
      </c>
      <c r="X68" s="38" t="str">
        <f>IFERROR('1.vize'!AI68*100/'1.vize'!$I68,"")</f>
        <v/>
      </c>
      <c r="Y68" s="38" t="str">
        <f>IFERROR('1.vize'!AJ68*100/'1.vize'!$I68,"")</f>
        <v/>
      </c>
      <c r="Z68" s="38" t="str">
        <f>IFERROR('1.vize'!AK68*100/'1.vize'!$I68,"")</f>
        <v/>
      </c>
      <c r="AA68" s="38" t="str">
        <f>IFERROR('1.vize'!AL68*100/'1.vize'!$I68,"")</f>
        <v/>
      </c>
      <c r="AB68" s="38" t="str">
        <f>IFERROR('1.vize'!AM68*100/'1.vize'!$I68,"")</f>
        <v/>
      </c>
      <c r="AC68" s="38" t="str">
        <f>IFERROR('1.vize'!AN68*100/'1.vize'!$I68,"")</f>
        <v/>
      </c>
      <c r="AD68" s="38" t="str">
        <f>IFERROR('1.vize'!AO68*100/'1.vize'!$I68,"")</f>
        <v/>
      </c>
      <c r="AE68" s="38" t="str">
        <f>IFERROR('1.vize'!AP68*100/'1.vize'!$I68,"")</f>
        <v/>
      </c>
      <c r="AF68" s="38" t="str">
        <f>IFERROR('1.vize'!AQ68*100/'1.vize'!$I68,"")</f>
        <v/>
      </c>
      <c r="AG68" s="38" t="str">
        <f>IFERROR('1.vize'!AR68*100/'1.vize'!$I68,"")</f>
        <v/>
      </c>
      <c r="AH68" s="38" t="str">
        <f>IFERROR('1.vize'!AS68*100/'1.vize'!$I68,"")</f>
        <v/>
      </c>
      <c r="AI68" s="38" t="str">
        <f>IFERROR('1.vize'!AT68*100/'1.vize'!$I68,"")</f>
        <v/>
      </c>
      <c r="AJ68" s="38" t="str">
        <f>IFERROR('1.vize'!AU68*100/'1.vize'!$I68,"")</f>
        <v/>
      </c>
      <c r="AK68" s="38" t="str">
        <f>IFERROR('1.vize'!AV68*100/'1.vize'!$I68,"")</f>
        <v/>
      </c>
      <c r="AL68" s="38" t="str">
        <f>IFERROR('1.vize'!AW68*100/'1.vize'!$I68,"")</f>
        <v/>
      </c>
      <c r="AM68" s="38" t="str">
        <f>IFERROR('1.vize'!AX68*100/'1.vize'!$I68,"")</f>
        <v/>
      </c>
      <c r="AN68" s="38" t="str">
        <f>IFERROR('1.vize'!AY68*100/'1.vize'!$I68,"")</f>
        <v/>
      </c>
      <c r="AO68" s="38" t="str">
        <f>IFERROR('1.vize'!AZ68*100/'1.vize'!$I68,"")</f>
        <v/>
      </c>
      <c r="AP68" s="38" t="str">
        <f>IFERROR('1.vize'!BA68*100/'1.vize'!$I68,"")</f>
        <v/>
      </c>
      <c r="AQ68" s="38" t="str">
        <f>IFERROR('1.vize'!BB68*100/'1.vize'!$I68,"")</f>
        <v/>
      </c>
      <c r="AR68" s="38" t="str">
        <f>IFERROR('1.vize'!BC68*100/'1.vize'!$I68,"")</f>
        <v/>
      </c>
      <c r="AS68" s="38" t="str">
        <f>IFERROR('1.vize'!BD68*100/'1.vize'!$I68,"")</f>
        <v/>
      </c>
      <c r="AT68" s="38" t="str">
        <f>IFERROR('1.vize'!BE68*100/'1.vize'!$I68,"")</f>
        <v/>
      </c>
      <c r="AU68" s="38" t="str">
        <f>IFERROR('1.vize'!BF68*100/'1.vize'!$I68,"")</f>
        <v/>
      </c>
      <c r="AV68" s="38" t="str">
        <f>IFERROR('1.vize'!BG68*100/'1.vize'!$I68,"")</f>
        <v/>
      </c>
      <c r="AW68" s="38" t="str">
        <f>IFERROR('1.vize'!BH68*100/'1.vize'!$I68,"")</f>
        <v/>
      </c>
      <c r="AX68" s="38" t="str">
        <f>IFERROR('1.vize'!BI68*100/'1.vize'!$I68,"")</f>
        <v/>
      </c>
      <c r="AY68" s="38" t="str">
        <f>IFERROR('1.vize'!BJ68*100/'1.vize'!$I68,"")</f>
        <v/>
      </c>
      <c r="AZ68" s="38" t="str">
        <f>IFERROR('1.vize'!BK68*100/'1.vize'!$I68,"")</f>
        <v/>
      </c>
      <c r="BA68" s="38" t="str">
        <f>IFERROR('1.vize'!BL68*100/'1.vize'!$I68,"")</f>
        <v/>
      </c>
      <c r="BB68" s="38" t="str">
        <f>IFERROR('1.vize'!BM68*100/'1.vize'!$I68,"")</f>
        <v/>
      </c>
      <c r="BC68" s="38" t="str">
        <f>IFERROR('1.vize'!BN68*100/'1.vize'!$I68,"")</f>
        <v/>
      </c>
      <c r="BD68" s="38" t="str">
        <f>IFERROR('1.vize'!BO68*100/'1.vize'!$I68,"")</f>
        <v/>
      </c>
      <c r="BE68" s="38" t="str">
        <f>IFERROR('1.vize'!BP68*100/'1.vize'!$I68,"")</f>
        <v/>
      </c>
      <c r="BF68" s="38" t="str">
        <f>IFERROR('1.vize'!BQ68*100/'1.vize'!$I68,"")</f>
        <v/>
      </c>
      <c r="BG68" s="38" t="str">
        <f>IFERROR('1.vize'!BR68*100/'1.vize'!$I68,"")</f>
        <v/>
      </c>
      <c r="BH68" s="38" t="str">
        <f>IFERROR('1.vize'!BS68*100/'1.vize'!$I68,"")</f>
        <v/>
      </c>
      <c r="BI68" s="38" t="str">
        <f>IFERROR('1.vize'!BT68*100/'1.vize'!$I68,"")</f>
        <v/>
      </c>
      <c r="BJ68" s="38" t="str">
        <f>IFERROR('1.vize'!BU68*100/'1.vize'!$I68,"")</f>
        <v/>
      </c>
      <c r="BK68" s="38" t="str">
        <f>IFERROR('1.vize'!BV68*100/'1.vize'!$I68,"")</f>
        <v/>
      </c>
      <c r="BL68" s="38" t="str">
        <f>IFERROR('1.vize'!BW68*100/'1.vize'!$I68,"")</f>
        <v/>
      </c>
      <c r="BM68" s="38" t="str">
        <f>IFERROR('1.vize'!BX68*100/'1.vize'!$I68,"")</f>
        <v/>
      </c>
      <c r="BN68" s="38" t="str">
        <f>IFERROR('1.vize'!BY68*100/'1.vize'!$I68,"")</f>
        <v/>
      </c>
      <c r="BO68" s="38" t="str">
        <f>IFERROR('1.vize'!BZ68*100/'1.vize'!$I68,"")</f>
        <v/>
      </c>
      <c r="BP68" s="38" t="str">
        <f>IFERROR('1.vize'!CA68*100/'1.vize'!$I68,"")</f>
        <v/>
      </c>
      <c r="BQ68" s="38" t="str">
        <f>IFERROR('1.vize'!CB68*100/'1.vize'!$I68,"")</f>
        <v/>
      </c>
      <c r="BR68" s="38" t="str">
        <f>IFERROR('1.vize'!CC68*100/'1.vize'!$I68,"")</f>
        <v/>
      </c>
      <c r="BS68" s="38" t="str">
        <f>IFERROR('1.vize'!CD68*100/'1.vize'!$I68,"")</f>
        <v/>
      </c>
      <c r="BT68" s="38" t="str">
        <f>IFERROR('1.vize'!CE68*100/'1.vize'!$I68,"")</f>
        <v/>
      </c>
      <c r="BU68" s="38" t="str">
        <f>IFERROR('1.vize'!CF68*100/'1.vize'!$I68,"")</f>
        <v/>
      </c>
      <c r="BV68" s="38" t="str">
        <f>IFERROR('1.vize'!CG68*100/'1.vize'!$I68,"")</f>
        <v/>
      </c>
      <c r="BW68" s="38" t="str">
        <f>IFERROR('1.vize'!CH68*100/'1.vize'!$I68,"")</f>
        <v/>
      </c>
      <c r="BX68" s="38" t="str">
        <f>IFERROR('1.vize'!CI68*100/'1.vize'!$I68,"")</f>
        <v/>
      </c>
      <c r="BY68" s="38" t="str">
        <f>IFERROR('1.vize'!CJ68*100/'1.vize'!$I68,"")</f>
        <v/>
      </c>
      <c r="BZ68" s="38" t="str">
        <f>IFERROR('1.vize'!CK68*100/'1.vize'!$I68,"")</f>
        <v/>
      </c>
      <c r="CA68" s="38" t="str">
        <f>IFERROR('1.vize'!CL68*100/'1.vize'!$I68,"")</f>
        <v/>
      </c>
      <c r="CB68" s="38" t="str">
        <f>IFERROR('1.vize'!CM68*100/'1.vize'!$I68,"")</f>
        <v/>
      </c>
      <c r="CC68" s="38" t="str">
        <f>IFERROR('1.vize'!CN68*100/'1.vize'!$I68,"")</f>
        <v/>
      </c>
      <c r="CD68" s="38" t="str">
        <f>IFERROR('1.vize'!CO68*100/'1.vize'!$I68,"")</f>
        <v/>
      </c>
      <c r="CE68" s="38" t="str">
        <f>IFERROR('1.vize'!CP68*100/'1.vize'!$I68,"")</f>
        <v/>
      </c>
      <c r="CF68" s="38" t="str">
        <f>IFERROR('1.vize'!CQ68*100/'1.vize'!$I68,"")</f>
        <v/>
      </c>
      <c r="CG68" s="38" t="str">
        <f>IFERROR('1.vize'!CR68*100/'1.vize'!$I68,"")</f>
        <v/>
      </c>
      <c r="CH68" s="38" t="str">
        <f>IFERROR('1.vize'!CS68*100/'1.vize'!$I68,"")</f>
        <v/>
      </c>
      <c r="CI68" s="38" t="str">
        <f>IFERROR('1.vize'!CT68*100/'1.vize'!$I68,"")</f>
        <v/>
      </c>
      <c r="CJ68" s="38" t="str">
        <f>IFERROR('1.vize'!CU68*100/'1.vize'!$I68,"")</f>
        <v/>
      </c>
      <c r="CK68" s="38" t="str">
        <f>IFERROR('1.vize'!CV68*100/'1.vize'!$I68,"")</f>
        <v/>
      </c>
      <c r="CL68" s="38" t="str">
        <f>IFERROR('1.vize'!CW68*100/'1.vize'!$I68,"")</f>
        <v/>
      </c>
      <c r="CM68" s="38" t="str">
        <f>IFERROR('1.vize'!CX68*100/'1.vize'!$I68,"")</f>
        <v/>
      </c>
      <c r="CN68" s="38" t="str">
        <f>IFERROR('1.vize'!CY68*100/'1.vize'!$I68,"")</f>
        <v/>
      </c>
      <c r="CO68" s="38" t="str">
        <f>IFERROR('1.vize'!CZ68*100/'1.vize'!$I68,"")</f>
        <v/>
      </c>
      <c r="CP68" s="38" t="str">
        <f>IFERROR('1.vize'!DA68*100/'1.vize'!$I68,"")</f>
        <v/>
      </c>
      <c r="CQ68" s="38" t="str">
        <f>IFERROR('1.vize'!DB68*100/'1.vize'!$I68,"")</f>
        <v/>
      </c>
      <c r="CR68" s="38" t="str">
        <f>IFERROR('1.vize'!DC68*100/'1.vize'!$I68,"")</f>
        <v/>
      </c>
      <c r="CS68" s="38" t="str">
        <f>IFERROR('1.vize'!DD68*100/'1.vize'!$I68,"")</f>
        <v/>
      </c>
      <c r="CT68" s="38" t="str">
        <f>IFERROR('1.vize'!DE68*100/'1.vize'!$I68,"")</f>
        <v/>
      </c>
      <c r="CU68" s="38" t="str">
        <f>IFERROR('1.vize'!DF68*100/'1.vize'!$I68,"")</f>
        <v/>
      </c>
      <c r="CV68" s="38" t="str">
        <f>IFERROR('1.vize'!DG68*100/'1.vize'!$I68,"")</f>
        <v/>
      </c>
      <c r="CW68" s="32" t="str">
        <f>IFERROR(SUM(A68:CV68)/'1.vize'!$DH$103,"")</f>
        <v/>
      </c>
      <c r="CX68" s="14" t="str">
        <f>IF(COUNTA('1.vize'!A68),'1.vize'!A68,"")</f>
        <v/>
      </c>
      <c r="CY68" s="14" t="str">
        <f>IF(COUNTA('1.vize'!B68),'1.vize'!B68,"")</f>
        <v/>
      </c>
      <c r="CZ68" s="14" t="str">
        <f>IF(COUNTA('1.vize'!C68),'1.vize'!C68,"")</f>
        <v/>
      </c>
      <c r="DA68" s="14" t="str">
        <f>IF(COUNTA('1.vize'!D68),'1.vize'!D68,"")</f>
        <v/>
      </c>
      <c r="DB68" s="14" t="str">
        <f>IF(COUNTA('1.vize'!E68),'1.vize'!E68,"")</f>
        <v/>
      </c>
      <c r="DC68" s="14" t="str">
        <f>IF(COUNTA('1.vize'!F68),'1.vize'!F68,"")</f>
        <v/>
      </c>
      <c r="DD68" s="14" t="str">
        <f>IF(COUNTA('1.vize'!G68),'1.vize'!G68,"")</f>
        <v/>
      </c>
      <c r="DE68" s="14" t="str">
        <f>IF(COUNTA('1.vize'!H68),'1.vize'!H68,"")</f>
        <v/>
      </c>
      <c r="DF68" s="33"/>
    </row>
    <row r="69" spans="1:110" x14ac:dyDescent="0.2">
      <c r="A69" s="38" t="str">
        <f>IFERROR('1.vize'!L69*100/'1.vize'!$I69,"")</f>
        <v/>
      </c>
      <c r="B69" s="38" t="str">
        <f>IFERROR('1.vize'!M69*100/'1.vize'!$I69,"")</f>
        <v/>
      </c>
      <c r="C69" s="38" t="str">
        <f>IFERROR('1.vize'!N69*100/'1.vize'!$I69,"")</f>
        <v/>
      </c>
      <c r="D69" s="38" t="str">
        <f>IFERROR('1.vize'!O69*100/'1.vize'!$I69,"")</f>
        <v/>
      </c>
      <c r="E69" s="38" t="str">
        <f>IFERROR('1.vize'!P69*100/'1.vize'!$I69,"")</f>
        <v/>
      </c>
      <c r="F69" s="38" t="str">
        <f>IFERROR('1.vize'!Q69*100/'1.vize'!$I69,"")</f>
        <v/>
      </c>
      <c r="G69" s="38" t="str">
        <f>IFERROR('1.vize'!R69*100/'1.vize'!$I69,"")</f>
        <v/>
      </c>
      <c r="H69" s="38" t="str">
        <f>IFERROR('1.vize'!S69*100/'1.vize'!$I69,"")</f>
        <v/>
      </c>
      <c r="I69" s="38" t="str">
        <f>IFERROR('1.vize'!T69*100/'1.vize'!$I69,"")</f>
        <v/>
      </c>
      <c r="J69" s="38" t="str">
        <f>IFERROR('1.vize'!U69*100/'1.vize'!$I69,"")</f>
        <v/>
      </c>
      <c r="K69" s="38" t="str">
        <f>IFERROR('1.vize'!V69*100/'1.vize'!$I69,"")</f>
        <v/>
      </c>
      <c r="L69" s="38" t="str">
        <f>IFERROR('1.vize'!W69*100/'1.vize'!$I69,"")</f>
        <v/>
      </c>
      <c r="M69" s="38" t="str">
        <f>IFERROR('1.vize'!X69*100/'1.vize'!$I69,"")</f>
        <v/>
      </c>
      <c r="N69" s="38" t="str">
        <f>IFERROR('1.vize'!Y69*100/'1.vize'!$I69,"")</f>
        <v/>
      </c>
      <c r="O69" s="38" t="str">
        <f>IFERROR('1.vize'!Z69*100/'1.vize'!$I69,"")</f>
        <v/>
      </c>
      <c r="P69" s="38" t="str">
        <f>IFERROR('1.vize'!AA69*100/'1.vize'!$I69,"")</f>
        <v/>
      </c>
      <c r="Q69" s="38" t="str">
        <f>IFERROR('1.vize'!AB69*100/'1.vize'!$I69,"")</f>
        <v/>
      </c>
      <c r="R69" s="38" t="str">
        <f>IFERROR('1.vize'!AC69*100/'1.vize'!$I69,"")</f>
        <v/>
      </c>
      <c r="S69" s="38" t="str">
        <f>IFERROR('1.vize'!AD69*100/'1.vize'!$I69,"")</f>
        <v/>
      </c>
      <c r="T69" s="38" t="str">
        <f>IFERROR('1.vize'!AE69*100/'1.vize'!$I69,"")</f>
        <v/>
      </c>
      <c r="U69" s="38" t="str">
        <f>IFERROR('1.vize'!AF69*100/'1.vize'!$I69,"")</f>
        <v/>
      </c>
      <c r="V69" s="38" t="str">
        <f>IFERROR('1.vize'!AG69*100/'1.vize'!$I69,"")</f>
        <v/>
      </c>
      <c r="W69" s="38" t="str">
        <f>IFERROR('1.vize'!AH69*100/'1.vize'!$I69,"")</f>
        <v/>
      </c>
      <c r="X69" s="38" t="str">
        <f>IFERROR('1.vize'!AI69*100/'1.vize'!$I69,"")</f>
        <v/>
      </c>
      <c r="Y69" s="38" t="str">
        <f>IFERROR('1.vize'!AJ69*100/'1.vize'!$I69,"")</f>
        <v/>
      </c>
      <c r="Z69" s="38" t="str">
        <f>IFERROR('1.vize'!AK69*100/'1.vize'!$I69,"")</f>
        <v/>
      </c>
      <c r="AA69" s="38" t="str">
        <f>IFERROR('1.vize'!AL69*100/'1.vize'!$I69,"")</f>
        <v/>
      </c>
      <c r="AB69" s="38" t="str">
        <f>IFERROR('1.vize'!AM69*100/'1.vize'!$I69,"")</f>
        <v/>
      </c>
      <c r="AC69" s="38" t="str">
        <f>IFERROR('1.vize'!AN69*100/'1.vize'!$I69,"")</f>
        <v/>
      </c>
      <c r="AD69" s="38" t="str">
        <f>IFERROR('1.vize'!AO69*100/'1.vize'!$I69,"")</f>
        <v/>
      </c>
      <c r="AE69" s="38" t="str">
        <f>IFERROR('1.vize'!AP69*100/'1.vize'!$I69,"")</f>
        <v/>
      </c>
      <c r="AF69" s="38" t="str">
        <f>IFERROR('1.vize'!AQ69*100/'1.vize'!$I69,"")</f>
        <v/>
      </c>
      <c r="AG69" s="38" t="str">
        <f>IFERROR('1.vize'!AR69*100/'1.vize'!$I69,"")</f>
        <v/>
      </c>
      <c r="AH69" s="38" t="str">
        <f>IFERROR('1.vize'!AS69*100/'1.vize'!$I69,"")</f>
        <v/>
      </c>
      <c r="AI69" s="38" t="str">
        <f>IFERROR('1.vize'!AT69*100/'1.vize'!$I69,"")</f>
        <v/>
      </c>
      <c r="AJ69" s="38" t="str">
        <f>IFERROR('1.vize'!AU69*100/'1.vize'!$I69,"")</f>
        <v/>
      </c>
      <c r="AK69" s="38" t="str">
        <f>IFERROR('1.vize'!AV69*100/'1.vize'!$I69,"")</f>
        <v/>
      </c>
      <c r="AL69" s="38" t="str">
        <f>IFERROR('1.vize'!AW69*100/'1.vize'!$I69,"")</f>
        <v/>
      </c>
      <c r="AM69" s="38" t="str">
        <f>IFERROR('1.vize'!AX69*100/'1.vize'!$I69,"")</f>
        <v/>
      </c>
      <c r="AN69" s="38" t="str">
        <f>IFERROR('1.vize'!AY69*100/'1.vize'!$I69,"")</f>
        <v/>
      </c>
      <c r="AO69" s="38" t="str">
        <f>IFERROR('1.vize'!AZ69*100/'1.vize'!$I69,"")</f>
        <v/>
      </c>
      <c r="AP69" s="38" t="str">
        <f>IFERROR('1.vize'!BA69*100/'1.vize'!$I69,"")</f>
        <v/>
      </c>
      <c r="AQ69" s="38" t="str">
        <f>IFERROR('1.vize'!BB69*100/'1.vize'!$I69,"")</f>
        <v/>
      </c>
      <c r="AR69" s="38" t="str">
        <f>IFERROR('1.vize'!BC69*100/'1.vize'!$I69,"")</f>
        <v/>
      </c>
      <c r="AS69" s="38" t="str">
        <f>IFERROR('1.vize'!BD69*100/'1.vize'!$I69,"")</f>
        <v/>
      </c>
      <c r="AT69" s="38" t="str">
        <f>IFERROR('1.vize'!BE69*100/'1.vize'!$I69,"")</f>
        <v/>
      </c>
      <c r="AU69" s="38" t="str">
        <f>IFERROR('1.vize'!BF69*100/'1.vize'!$I69,"")</f>
        <v/>
      </c>
      <c r="AV69" s="38" t="str">
        <f>IFERROR('1.vize'!BG69*100/'1.vize'!$I69,"")</f>
        <v/>
      </c>
      <c r="AW69" s="38" t="str">
        <f>IFERROR('1.vize'!BH69*100/'1.vize'!$I69,"")</f>
        <v/>
      </c>
      <c r="AX69" s="38" t="str">
        <f>IFERROR('1.vize'!BI69*100/'1.vize'!$I69,"")</f>
        <v/>
      </c>
      <c r="AY69" s="38" t="str">
        <f>IFERROR('1.vize'!BJ69*100/'1.vize'!$I69,"")</f>
        <v/>
      </c>
      <c r="AZ69" s="38" t="str">
        <f>IFERROR('1.vize'!BK69*100/'1.vize'!$I69,"")</f>
        <v/>
      </c>
      <c r="BA69" s="38" t="str">
        <f>IFERROR('1.vize'!BL69*100/'1.vize'!$I69,"")</f>
        <v/>
      </c>
      <c r="BB69" s="38" t="str">
        <f>IFERROR('1.vize'!BM69*100/'1.vize'!$I69,"")</f>
        <v/>
      </c>
      <c r="BC69" s="38" t="str">
        <f>IFERROR('1.vize'!BN69*100/'1.vize'!$I69,"")</f>
        <v/>
      </c>
      <c r="BD69" s="38" t="str">
        <f>IFERROR('1.vize'!BO69*100/'1.vize'!$I69,"")</f>
        <v/>
      </c>
      <c r="BE69" s="38" t="str">
        <f>IFERROR('1.vize'!BP69*100/'1.vize'!$I69,"")</f>
        <v/>
      </c>
      <c r="BF69" s="38" t="str">
        <f>IFERROR('1.vize'!BQ69*100/'1.vize'!$I69,"")</f>
        <v/>
      </c>
      <c r="BG69" s="38" t="str">
        <f>IFERROR('1.vize'!BR69*100/'1.vize'!$I69,"")</f>
        <v/>
      </c>
      <c r="BH69" s="38" t="str">
        <f>IFERROR('1.vize'!BS69*100/'1.vize'!$I69,"")</f>
        <v/>
      </c>
      <c r="BI69" s="38" t="str">
        <f>IFERROR('1.vize'!BT69*100/'1.vize'!$I69,"")</f>
        <v/>
      </c>
      <c r="BJ69" s="38" t="str">
        <f>IFERROR('1.vize'!BU69*100/'1.vize'!$I69,"")</f>
        <v/>
      </c>
      <c r="BK69" s="38" t="str">
        <f>IFERROR('1.vize'!BV69*100/'1.vize'!$I69,"")</f>
        <v/>
      </c>
      <c r="BL69" s="38" t="str">
        <f>IFERROR('1.vize'!BW69*100/'1.vize'!$I69,"")</f>
        <v/>
      </c>
      <c r="BM69" s="38" t="str">
        <f>IFERROR('1.vize'!BX69*100/'1.vize'!$I69,"")</f>
        <v/>
      </c>
      <c r="BN69" s="38" t="str">
        <f>IFERROR('1.vize'!BY69*100/'1.vize'!$I69,"")</f>
        <v/>
      </c>
      <c r="BO69" s="38" t="str">
        <f>IFERROR('1.vize'!BZ69*100/'1.vize'!$I69,"")</f>
        <v/>
      </c>
      <c r="BP69" s="38" t="str">
        <f>IFERROR('1.vize'!CA69*100/'1.vize'!$I69,"")</f>
        <v/>
      </c>
      <c r="BQ69" s="38" t="str">
        <f>IFERROR('1.vize'!CB69*100/'1.vize'!$I69,"")</f>
        <v/>
      </c>
      <c r="BR69" s="38" t="str">
        <f>IFERROR('1.vize'!CC69*100/'1.vize'!$I69,"")</f>
        <v/>
      </c>
      <c r="BS69" s="38" t="str">
        <f>IFERROR('1.vize'!CD69*100/'1.vize'!$I69,"")</f>
        <v/>
      </c>
      <c r="BT69" s="38" t="str">
        <f>IFERROR('1.vize'!CE69*100/'1.vize'!$I69,"")</f>
        <v/>
      </c>
      <c r="BU69" s="38" t="str">
        <f>IFERROR('1.vize'!CF69*100/'1.vize'!$I69,"")</f>
        <v/>
      </c>
      <c r="BV69" s="38" t="str">
        <f>IFERROR('1.vize'!CG69*100/'1.vize'!$I69,"")</f>
        <v/>
      </c>
      <c r="BW69" s="38" t="str">
        <f>IFERROR('1.vize'!CH69*100/'1.vize'!$I69,"")</f>
        <v/>
      </c>
      <c r="BX69" s="38" t="str">
        <f>IFERROR('1.vize'!CI69*100/'1.vize'!$I69,"")</f>
        <v/>
      </c>
      <c r="BY69" s="38" t="str">
        <f>IFERROR('1.vize'!CJ69*100/'1.vize'!$I69,"")</f>
        <v/>
      </c>
      <c r="BZ69" s="38" t="str">
        <f>IFERROR('1.vize'!CK69*100/'1.vize'!$I69,"")</f>
        <v/>
      </c>
      <c r="CA69" s="38" t="str">
        <f>IFERROR('1.vize'!CL69*100/'1.vize'!$I69,"")</f>
        <v/>
      </c>
      <c r="CB69" s="38" t="str">
        <f>IFERROR('1.vize'!CM69*100/'1.vize'!$I69,"")</f>
        <v/>
      </c>
      <c r="CC69" s="38" t="str">
        <f>IFERROR('1.vize'!CN69*100/'1.vize'!$I69,"")</f>
        <v/>
      </c>
      <c r="CD69" s="38" t="str">
        <f>IFERROR('1.vize'!CO69*100/'1.vize'!$I69,"")</f>
        <v/>
      </c>
      <c r="CE69" s="38" t="str">
        <f>IFERROR('1.vize'!CP69*100/'1.vize'!$I69,"")</f>
        <v/>
      </c>
      <c r="CF69" s="38" t="str">
        <f>IFERROR('1.vize'!CQ69*100/'1.vize'!$I69,"")</f>
        <v/>
      </c>
      <c r="CG69" s="38" t="str">
        <f>IFERROR('1.vize'!CR69*100/'1.vize'!$I69,"")</f>
        <v/>
      </c>
      <c r="CH69" s="38" t="str">
        <f>IFERROR('1.vize'!CS69*100/'1.vize'!$I69,"")</f>
        <v/>
      </c>
      <c r="CI69" s="38" t="str">
        <f>IFERROR('1.vize'!CT69*100/'1.vize'!$I69,"")</f>
        <v/>
      </c>
      <c r="CJ69" s="38" t="str">
        <f>IFERROR('1.vize'!CU69*100/'1.vize'!$I69,"")</f>
        <v/>
      </c>
      <c r="CK69" s="38" t="str">
        <f>IFERROR('1.vize'!CV69*100/'1.vize'!$I69,"")</f>
        <v/>
      </c>
      <c r="CL69" s="38" t="str">
        <f>IFERROR('1.vize'!CW69*100/'1.vize'!$I69,"")</f>
        <v/>
      </c>
      <c r="CM69" s="38" t="str">
        <f>IFERROR('1.vize'!CX69*100/'1.vize'!$I69,"")</f>
        <v/>
      </c>
      <c r="CN69" s="38" t="str">
        <f>IFERROR('1.vize'!CY69*100/'1.vize'!$I69,"")</f>
        <v/>
      </c>
      <c r="CO69" s="38" t="str">
        <f>IFERROR('1.vize'!CZ69*100/'1.vize'!$I69,"")</f>
        <v/>
      </c>
      <c r="CP69" s="38" t="str">
        <f>IFERROR('1.vize'!DA69*100/'1.vize'!$I69,"")</f>
        <v/>
      </c>
      <c r="CQ69" s="38" t="str">
        <f>IFERROR('1.vize'!DB69*100/'1.vize'!$I69,"")</f>
        <v/>
      </c>
      <c r="CR69" s="38" t="str">
        <f>IFERROR('1.vize'!DC69*100/'1.vize'!$I69,"")</f>
        <v/>
      </c>
      <c r="CS69" s="38" t="str">
        <f>IFERROR('1.vize'!DD69*100/'1.vize'!$I69,"")</f>
        <v/>
      </c>
      <c r="CT69" s="38" t="str">
        <f>IFERROR('1.vize'!DE69*100/'1.vize'!$I69,"")</f>
        <v/>
      </c>
      <c r="CU69" s="38" t="str">
        <f>IFERROR('1.vize'!DF69*100/'1.vize'!$I69,"")</f>
        <v/>
      </c>
      <c r="CV69" s="38" t="str">
        <f>IFERROR('1.vize'!DG69*100/'1.vize'!$I69,"")</f>
        <v/>
      </c>
      <c r="CW69" s="32" t="str">
        <f>IFERROR(SUM(A69:CV69)/'1.vize'!$DH$103,"")</f>
        <v/>
      </c>
      <c r="CX69" s="14" t="str">
        <f>IF(COUNTA('1.vize'!A69),'1.vize'!A69,"")</f>
        <v/>
      </c>
      <c r="CY69" s="14" t="str">
        <f>IF(COUNTA('1.vize'!B69),'1.vize'!B69,"")</f>
        <v/>
      </c>
      <c r="CZ69" s="14" t="str">
        <f>IF(COUNTA('1.vize'!C69),'1.vize'!C69,"")</f>
        <v/>
      </c>
      <c r="DA69" s="14" t="str">
        <f>IF(COUNTA('1.vize'!D69),'1.vize'!D69,"")</f>
        <v/>
      </c>
      <c r="DB69" s="14" t="str">
        <f>IF(COUNTA('1.vize'!E69),'1.vize'!E69,"")</f>
        <v/>
      </c>
      <c r="DC69" s="14" t="str">
        <f>IF(COUNTA('1.vize'!F69),'1.vize'!F69,"")</f>
        <v/>
      </c>
      <c r="DD69" s="14" t="str">
        <f>IF(COUNTA('1.vize'!G69),'1.vize'!G69,"")</f>
        <v/>
      </c>
      <c r="DE69" s="14" t="str">
        <f>IF(COUNTA('1.vize'!H69),'1.vize'!H69,"")</f>
        <v/>
      </c>
      <c r="DF69" s="33"/>
    </row>
    <row r="70" spans="1:110" x14ac:dyDescent="0.2">
      <c r="A70" s="38" t="str">
        <f>IFERROR('1.vize'!L70*100/'1.vize'!$I70,"")</f>
        <v/>
      </c>
      <c r="B70" s="38" t="str">
        <f>IFERROR('1.vize'!M70*100/'1.vize'!$I70,"")</f>
        <v/>
      </c>
      <c r="C70" s="38" t="str">
        <f>IFERROR('1.vize'!N70*100/'1.vize'!$I70,"")</f>
        <v/>
      </c>
      <c r="D70" s="38" t="str">
        <f>IFERROR('1.vize'!O70*100/'1.vize'!$I70,"")</f>
        <v/>
      </c>
      <c r="E70" s="38" t="str">
        <f>IFERROR('1.vize'!P70*100/'1.vize'!$I70,"")</f>
        <v/>
      </c>
      <c r="F70" s="38" t="str">
        <f>IFERROR('1.vize'!Q70*100/'1.vize'!$I70,"")</f>
        <v/>
      </c>
      <c r="G70" s="38" t="str">
        <f>IFERROR('1.vize'!R70*100/'1.vize'!$I70,"")</f>
        <v/>
      </c>
      <c r="H70" s="38" t="str">
        <f>IFERROR('1.vize'!S70*100/'1.vize'!$I70,"")</f>
        <v/>
      </c>
      <c r="I70" s="38" t="str">
        <f>IFERROR('1.vize'!T70*100/'1.vize'!$I70,"")</f>
        <v/>
      </c>
      <c r="J70" s="38" t="str">
        <f>IFERROR('1.vize'!U70*100/'1.vize'!$I70,"")</f>
        <v/>
      </c>
      <c r="K70" s="38" t="str">
        <f>IFERROR('1.vize'!V70*100/'1.vize'!$I70,"")</f>
        <v/>
      </c>
      <c r="L70" s="38" t="str">
        <f>IFERROR('1.vize'!W70*100/'1.vize'!$I70,"")</f>
        <v/>
      </c>
      <c r="M70" s="38" t="str">
        <f>IFERROR('1.vize'!X70*100/'1.vize'!$I70,"")</f>
        <v/>
      </c>
      <c r="N70" s="38" t="str">
        <f>IFERROR('1.vize'!Y70*100/'1.vize'!$I70,"")</f>
        <v/>
      </c>
      <c r="O70" s="38" t="str">
        <f>IFERROR('1.vize'!Z70*100/'1.vize'!$I70,"")</f>
        <v/>
      </c>
      <c r="P70" s="38" t="str">
        <f>IFERROR('1.vize'!AA70*100/'1.vize'!$I70,"")</f>
        <v/>
      </c>
      <c r="Q70" s="38" t="str">
        <f>IFERROR('1.vize'!AB70*100/'1.vize'!$I70,"")</f>
        <v/>
      </c>
      <c r="R70" s="38" t="str">
        <f>IFERROR('1.vize'!AC70*100/'1.vize'!$I70,"")</f>
        <v/>
      </c>
      <c r="S70" s="38" t="str">
        <f>IFERROR('1.vize'!AD70*100/'1.vize'!$I70,"")</f>
        <v/>
      </c>
      <c r="T70" s="38" t="str">
        <f>IFERROR('1.vize'!AE70*100/'1.vize'!$I70,"")</f>
        <v/>
      </c>
      <c r="U70" s="38" t="str">
        <f>IFERROR('1.vize'!AF70*100/'1.vize'!$I70,"")</f>
        <v/>
      </c>
      <c r="V70" s="38" t="str">
        <f>IFERROR('1.vize'!AG70*100/'1.vize'!$I70,"")</f>
        <v/>
      </c>
      <c r="W70" s="38" t="str">
        <f>IFERROR('1.vize'!AH70*100/'1.vize'!$I70,"")</f>
        <v/>
      </c>
      <c r="X70" s="38" t="str">
        <f>IFERROR('1.vize'!AI70*100/'1.vize'!$I70,"")</f>
        <v/>
      </c>
      <c r="Y70" s="38" t="str">
        <f>IFERROR('1.vize'!AJ70*100/'1.vize'!$I70,"")</f>
        <v/>
      </c>
      <c r="Z70" s="38" t="str">
        <f>IFERROR('1.vize'!AK70*100/'1.vize'!$I70,"")</f>
        <v/>
      </c>
      <c r="AA70" s="38" t="str">
        <f>IFERROR('1.vize'!AL70*100/'1.vize'!$I70,"")</f>
        <v/>
      </c>
      <c r="AB70" s="38" t="str">
        <f>IFERROR('1.vize'!AM70*100/'1.vize'!$I70,"")</f>
        <v/>
      </c>
      <c r="AC70" s="38" t="str">
        <f>IFERROR('1.vize'!AN70*100/'1.vize'!$I70,"")</f>
        <v/>
      </c>
      <c r="AD70" s="38" t="str">
        <f>IFERROR('1.vize'!AO70*100/'1.vize'!$I70,"")</f>
        <v/>
      </c>
      <c r="AE70" s="38" t="str">
        <f>IFERROR('1.vize'!AP70*100/'1.vize'!$I70,"")</f>
        <v/>
      </c>
      <c r="AF70" s="38" t="str">
        <f>IFERROR('1.vize'!AQ70*100/'1.vize'!$I70,"")</f>
        <v/>
      </c>
      <c r="AG70" s="38" t="str">
        <f>IFERROR('1.vize'!AR70*100/'1.vize'!$I70,"")</f>
        <v/>
      </c>
      <c r="AH70" s="38" t="str">
        <f>IFERROR('1.vize'!AS70*100/'1.vize'!$I70,"")</f>
        <v/>
      </c>
      <c r="AI70" s="38" t="str">
        <f>IFERROR('1.vize'!AT70*100/'1.vize'!$I70,"")</f>
        <v/>
      </c>
      <c r="AJ70" s="38" t="str">
        <f>IFERROR('1.vize'!AU70*100/'1.vize'!$I70,"")</f>
        <v/>
      </c>
      <c r="AK70" s="38" t="str">
        <f>IFERROR('1.vize'!AV70*100/'1.vize'!$I70,"")</f>
        <v/>
      </c>
      <c r="AL70" s="38" t="str">
        <f>IFERROR('1.vize'!AW70*100/'1.vize'!$I70,"")</f>
        <v/>
      </c>
      <c r="AM70" s="38" t="str">
        <f>IFERROR('1.vize'!AX70*100/'1.vize'!$I70,"")</f>
        <v/>
      </c>
      <c r="AN70" s="38" t="str">
        <f>IFERROR('1.vize'!AY70*100/'1.vize'!$I70,"")</f>
        <v/>
      </c>
      <c r="AO70" s="38" t="str">
        <f>IFERROR('1.vize'!AZ70*100/'1.vize'!$I70,"")</f>
        <v/>
      </c>
      <c r="AP70" s="38" t="str">
        <f>IFERROR('1.vize'!BA70*100/'1.vize'!$I70,"")</f>
        <v/>
      </c>
      <c r="AQ70" s="38" t="str">
        <f>IFERROR('1.vize'!BB70*100/'1.vize'!$I70,"")</f>
        <v/>
      </c>
      <c r="AR70" s="38" t="str">
        <f>IFERROR('1.vize'!BC70*100/'1.vize'!$I70,"")</f>
        <v/>
      </c>
      <c r="AS70" s="38" t="str">
        <f>IFERROR('1.vize'!BD70*100/'1.vize'!$I70,"")</f>
        <v/>
      </c>
      <c r="AT70" s="38" t="str">
        <f>IFERROR('1.vize'!BE70*100/'1.vize'!$I70,"")</f>
        <v/>
      </c>
      <c r="AU70" s="38" t="str">
        <f>IFERROR('1.vize'!BF70*100/'1.vize'!$I70,"")</f>
        <v/>
      </c>
      <c r="AV70" s="38" t="str">
        <f>IFERROR('1.vize'!BG70*100/'1.vize'!$I70,"")</f>
        <v/>
      </c>
      <c r="AW70" s="38" t="str">
        <f>IFERROR('1.vize'!BH70*100/'1.vize'!$I70,"")</f>
        <v/>
      </c>
      <c r="AX70" s="38" t="str">
        <f>IFERROR('1.vize'!BI70*100/'1.vize'!$I70,"")</f>
        <v/>
      </c>
      <c r="AY70" s="38" t="str">
        <f>IFERROR('1.vize'!BJ70*100/'1.vize'!$I70,"")</f>
        <v/>
      </c>
      <c r="AZ70" s="38" t="str">
        <f>IFERROR('1.vize'!BK70*100/'1.vize'!$I70,"")</f>
        <v/>
      </c>
      <c r="BA70" s="38" t="str">
        <f>IFERROR('1.vize'!BL70*100/'1.vize'!$I70,"")</f>
        <v/>
      </c>
      <c r="BB70" s="38" t="str">
        <f>IFERROR('1.vize'!BM70*100/'1.vize'!$I70,"")</f>
        <v/>
      </c>
      <c r="BC70" s="38" t="str">
        <f>IFERROR('1.vize'!BN70*100/'1.vize'!$I70,"")</f>
        <v/>
      </c>
      <c r="BD70" s="38" t="str">
        <f>IFERROR('1.vize'!BO70*100/'1.vize'!$I70,"")</f>
        <v/>
      </c>
      <c r="BE70" s="38" t="str">
        <f>IFERROR('1.vize'!BP70*100/'1.vize'!$I70,"")</f>
        <v/>
      </c>
      <c r="BF70" s="38" t="str">
        <f>IFERROR('1.vize'!BQ70*100/'1.vize'!$I70,"")</f>
        <v/>
      </c>
      <c r="BG70" s="38" t="str">
        <f>IFERROR('1.vize'!BR70*100/'1.vize'!$I70,"")</f>
        <v/>
      </c>
      <c r="BH70" s="38" t="str">
        <f>IFERROR('1.vize'!BS70*100/'1.vize'!$I70,"")</f>
        <v/>
      </c>
      <c r="BI70" s="38" t="str">
        <f>IFERROR('1.vize'!BT70*100/'1.vize'!$I70,"")</f>
        <v/>
      </c>
      <c r="BJ70" s="38" t="str">
        <f>IFERROR('1.vize'!BU70*100/'1.vize'!$I70,"")</f>
        <v/>
      </c>
      <c r="BK70" s="38" t="str">
        <f>IFERROR('1.vize'!BV70*100/'1.vize'!$I70,"")</f>
        <v/>
      </c>
      <c r="BL70" s="38" t="str">
        <f>IFERROR('1.vize'!BW70*100/'1.vize'!$I70,"")</f>
        <v/>
      </c>
      <c r="BM70" s="38" t="str">
        <f>IFERROR('1.vize'!BX70*100/'1.vize'!$I70,"")</f>
        <v/>
      </c>
      <c r="BN70" s="38" t="str">
        <f>IFERROR('1.vize'!BY70*100/'1.vize'!$I70,"")</f>
        <v/>
      </c>
      <c r="BO70" s="38" t="str">
        <f>IFERROR('1.vize'!BZ70*100/'1.vize'!$I70,"")</f>
        <v/>
      </c>
      <c r="BP70" s="38" t="str">
        <f>IFERROR('1.vize'!CA70*100/'1.vize'!$I70,"")</f>
        <v/>
      </c>
      <c r="BQ70" s="38" t="str">
        <f>IFERROR('1.vize'!CB70*100/'1.vize'!$I70,"")</f>
        <v/>
      </c>
      <c r="BR70" s="38" t="str">
        <f>IFERROR('1.vize'!CC70*100/'1.vize'!$I70,"")</f>
        <v/>
      </c>
      <c r="BS70" s="38" t="str">
        <f>IFERROR('1.vize'!CD70*100/'1.vize'!$I70,"")</f>
        <v/>
      </c>
      <c r="BT70" s="38" t="str">
        <f>IFERROR('1.vize'!CE70*100/'1.vize'!$I70,"")</f>
        <v/>
      </c>
      <c r="BU70" s="38" t="str">
        <f>IFERROR('1.vize'!CF70*100/'1.vize'!$I70,"")</f>
        <v/>
      </c>
      <c r="BV70" s="38" t="str">
        <f>IFERROR('1.vize'!CG70*100/'1.vize'!$I70,"")</f>
        <v/>
      </c>
      <c r="BW70" s="38" t="str">
        <f>IFERROR('1.vize'!CH70*100/'1.vize'!$I70,"")</f>
        <v/>
      </c>
      <c r="BX70" s="38" t="str">
        <f>IFERROR('1.vize'!CI70*100/'1.vize'!$I70,"")</f>
        <v/>
      </c>
      <c r="BY70" s="38" t="str">
        <f>IFERROR('1.vize'!CJ70*100/'1.vize'!$I70,"")</f>
        <v/>
      </c>
      <c r="BZ70" s="38" t="str">
        <f>IFERROR('1.vize'!CK70*100/'1.vize'!$I70,"")</f>
        <v/>
      </c>
      <c r="CA70" s="38" t="str">
        <f>IFERROR('1.vize'!CL70*100/'1.vize'!$I70,"")</f>
        <v/>
      </c>
      <c r="CB70" s="38" t="str">
        <f>IFERROR('1.vize'!CM70*100/'1.vize'!$I70,"")</f>
        <v/>
      </c>
      <c r="CC70" s="38" t="str">
        <f>IFERROR('1.vize'!CN70*100/'1.vize'!$I70,"")</f>
        <v/>
      </c>
      <c r="CD70" s="38" t="str">
        <f>IFERROR('1.vize'!CO70*100/'1.vize'!$I70,"")</f>
        <v/>
      </c>
      <c r="CE70" s="38" t="str">
        <f>IFERROR('1.vize'!CP70*100/'1.vize'!$I70,"")</f>
        <v/>
      </c>
      <c r="CF70" s="38" t="str">
        <f>IFERROR('1.vize'!CQ70*100/'1.vize'!$I70,"")</f>
        <v/>
      </c>
      <c r="CG70" s="38" t="str">
        <f>IFERROR('1.vize'!CR70*100/'1.vize'!$I70,"")</f>
        <v/>
      </c>
      <c r="CH70" s="38" t="str">
        <f>IFERROR('1.vize'!CS70*100/'1.vize'!$I70,"")</f>
        <v/>
      </c>
      <c r="CI70" s="38" t="str">
        <f>IFERROR('1.vize'!CT70*100/'1.vize'!$I70,"")</f>
        <v/>
      </c>
      <c r="CJ70" s="38" t="str">
        <f>IFERROR('1.vize'!CU70*100/'1.vize'!$I70,"")</f>
        <v/>
      </c>
      <c r="CK70" s="38" t="str">
        <f>IFERROR('1.vize'!CV70*100/'1.vize'!$I70,"")</f>
        <v/>
      </c>
      <c r="CL70" s="38" t="str">
        <f>IFERROR('1.vize'!CW70*100/'1.vize'!$I70,"")</f>
        <v/>
      </c>
      <c r="CM70" s="38" t="str">
        <f>IFERROR('1.vize'!CX70*100/'1.vize'!$I70,"")</f>
        <v/>
      </c>
      <c r="CN70" s="38" t="str">
        <f>IFERROR('1.vize'!CY70*100/'1.vize'!$I70,"")</f>
        <v/>
      </c>
      <c r="CO70" s="38" t="str">
        <f>IFERROR('1.vize'!CZ70*100/'1.vize'!$I70,"")</f>
        <v/>
      </c>
      <c r="CP70" s="38" t="str">
        <f>IFERROR('1.vize'!DA70*100/'1.vize'!$I70,"")</f>
        <v/>
      </c>
      <c r="CQ70" s="38" t="str">
        <f>IFERROR('1.vize'!DB70*100/'1.vize'!$I70,"")</f>
        <v/>
      </c>
      <c r="CR70" s="38" t="str">
        <f>IFERROR('1.vize'!DC70*100/'1.vize'!$I70,"")</f>
        <v/>
      </c>
      <c r="CS70" s="38" t="str">
        <f>IFERROR('1.vize'!DD70*100/'1.vize'!$I70,"")</f>
        <v/>
      </c>
      <c r="CT70" s="38" t="str">
        <f>IFERROR('1.vize'!DE70*100/'1.vize'!$I70,"")</f>
        <v/>
      </c>
      <c r="CU70" s="38" t="str">
        <f>IFERROR('1.vize'!DF70*100/'1.vize'!$I70,"")</f>
        <v/>
      </c>
      <c r="CV70" s="38" t="str">
        <f>IFERROR('1.vize'!DG70*100/'1.vize'!$I70,"")</f>
        <v/>
      </c>
      <c r="CW70" s="32" t="str">
        <f>IFERROR(SUM(A70:CV70)/'1.vize'!$DH$103,"")</f>
        <v/>
      </c>
      <c r="CX70" s="14" t="str">
        <f>IF(COUNTA('1.vize'!A70),'1.vize'!A70,"")</f>
        <v/>
      </c>
      <c r="CY70" s="14" t="str">
        <f>IF(COUNTA('1.vize'!B70),'1.vize'!B70,"")</f>
        <v/>
      </c>
      <c r="CZ70" s="14" t="str">
        <f>IF(COUNTA('1.vize'!C70),'1.vize'!C70,"")</f>
        <v/>
      </c>
      <c r="DA70" s="14" t="str">
        <f>IF(COUNTA('1.vize'!D70),'1.vize'!D70,"")</f>
        <v/>
      </c>
      <c r="DB70" s="14" t="str">
        <f>IF(COUNTA('1.vize'!E70),'1.vize'!E70,"")</f>
        <v/>
      </c>
      <c r="DC70" s="14" t="str">
        <f>IF(COUNTA('1.vize'!F70),'1.vize'!F70,"")</f>
        <v/>
      </c>
      <c r="DD70" s="14" t="str">
        <f>IF(COUNTA('1.vize'!G70),'1.vize'!G70,"")</f>
        <v/>
      </c>
      <c r="DE70" s="14" t="str">
        <f>IF(COUNTA('1.vize'!H70),'1.vize'!H70,"")</f>
        <v/>
      </c>
      <c r="DF70" s="33"/>
    </row>
    <row r="71" spans="1:110" x14ac:dyDescent="0.2">
      <c r="A71" s="38" t="str">
        <f>IFERROR('1.vize'!L71*100/'1.vize'!$I71,"")</f>
        <v/>
      </c>
      <c r="B71" s="38" t="str">
        <f>IFERROR('1.vize'!M71*100/'1.vize'!$I71,"")</f>
        <v/>
      </c>
      <c r="C71" s="38" t="str">
        <f>IFERROR('1.vize'!N71*100/'1.vize'!$I71,"")</f>
        <v/>
      </c>
      <c r="D71" s="38" t="str">
        <f>IFERROR('1.vize'!O71*100/'1.vize'!$I71,"")</f>
        <v/>
      </c>
      <c r="E71" s="38" t="str">
        <f>IFERROR('1.vize'!P71*100/'1.vize'!$I71,"")</f>
        <v/>
      </c>
      <c r="F71" s="38" t="str">
        <f>IFERROR('1.vize'!Q71*100/'1.vize'!$I71,"")</f>
        <v/>
      </c>
      <c r="G71" s="38" t="str">
        <f>IFERROR('1.vize'!R71*100/'1.vize'!$I71,"")</f>
        <v/>
      </c>
      <c r="H71" s="38" t="str">
        <f>IFERROR('1.vize'!S71*100/'1.vize'!$I71,"")</f>
        <v/>
      </c>
      <c r="I71" s="38" t="str">
        <f>IFERROR('1.vize'!T71*100/'1.vize'!$I71,"")</f>
        <v/>
      </c>
      <c r="J71" s="38" t="str">
        <f>IFERROR('1.vize'!U71*100/'1.vize'!$I71,"")</f>
        <v/>
      </c>
      <c r="K71" s="38" t="str">
        <f>IFERROR('1.vize'!V71*100/'1.vize'!$I71,"")</f>
        <v/>
      </c>
      <c r="L71" s="38" t="str">
        <f>IFERROR('1.vize'!W71*100/'1.vize'!$I71,"")</f>
        <v/>
      </c>
      <c r="M71" s="38" t="str">
        <f>IFERROR('1.vize'!X71*100/'1.vize'!$I71,"")</f>
        <v/>
      </c>
      <c r="N71" s="38" t="str">
        <f>IFERROR('1.vize'!Y71*100/'1.vize'!$I71,"")</f>
        <v/>
      </c>
      <c r="O71" s="38" t="str">
        <f>IFERROR('1.vize'!Z71*100/'1.vize'!$I71,"")</f>
        <v/>
      </c>
      <c r="P71" s="38" t="str">
        <f>IFERROR('1.vize'!AA71*100/'1.vize'!$I71,"")</f>
        <v/>
      </c>
      <c r="Q71" s="38" t="str">
        <f>IFERROR('1.vize'!AB71*100/'1.vize'!$I71,"")</f>
        <v/>
      </c>
      <c r="R71" s="38" t="str">
        <f>IFERROR('1.vize'!AC71*100/'1.vize'!$I71,"")</f>
        <v/>
      </c>
      <c r="S71" s="38" t="str">
        <f>IFERROR('1.vize'!AD71*100/'1.vize'!$I71,"")</f>
        <v/>
      </c>
      <c r="T71" s="38" t="str">
        <f>IFERROR('1.vize'!AE71*100/'1.vize'!$I71,"")</f>
        <v/>
      </c>
      <c r="U71" s="38" t="str">
        <f>IFERROR('1.vize'!AF71*100/'1.vize'!$I71,"")</f>
        <v/>
      </c>
      <c r="V71" s="38" t="str">
        <f>IFERROR('1.vize'!AG71*100/'1.vize'!$I71,"")</f>
        <v/>
      </c>
      <c r="W71" s="38" t="str">
        <f>IFERROR('1.vize'!AH71*100/'1.vize'!$I71,"")</f>
        <v/>
      </c>
      <c r="X71" s="38" t="str">
        <f>IFERROR('1.vize'!AI71*100/'1.vize'!$I71,"")</f>
        <v/>
      </c>
      <c r="Y71" s="38" t="str">
        <f>IFERROR('1.vize'!AJ71*100/'1.vize'!$I71,"")</f>
        <v/>
      </c>
      <c r="Z71" s="38" t="str">
        <f>IFERROR('1.vize'!AK71*100/'1.vize'!$I71,"")</f>
        <v/>
      </c>
      <c r="AA71" s="38" t="str">
        <f>IFERROR('1.vize'!AL71*100/'1.vize'!$I71,"")</f>
        <v/>
      </c>
      <c r="AB71" s="38" t="str">
        <f>IFERROR('1.vize'!AM71*100/'1.vize'!$I71,"")</f>
        <v/>
      </c>
      <c r="AC71" s="38" t="str">
        <f>IFERROR('1.vize'!AN71*100/'1.vize'!$I71,"")</f>
        <v/>
      </c>
      <c r="AD71" s="38" t="str">
        <f>IFERROR('1.vize'!AO71*100/'1.vize'!$I71,"")</f>
        <v/>
      </c>
      <c r="AE71" s="38" t="str">
        <f>IFERROR('1.vize'!AP71*100/'1.vize'!$I71,"")</f>
        <v/>
      </c>
      <c r="AF71" s="38" t="str">
        <f>IFERROR('1.vize'!AQ71*100/'1.vize'!$I71,"")</f>
        <v/>
      </c>
      <c r="AG71" s="38" t="str">
        <f>IFERROR('1.vize'!AR71*100/'1.vize'!$I71,"")</f>
        <v/>
      </c>
      <c r="AH71" s="38" t="str">
        <f>IFERROR('1.vize'!AS71*100/'1.vize'!$I71,"")</f>
        <v/>
      </c>
      <c r="AI71" s="38" t="str">
        <f>IFERROR('1.vize'!AT71*100/'1.vize'!$I71,"")</f>
        <v/>
      </c>
      <c r="AJ71" s="38" t="str">
        <f>IFERROR('1.vize'!AU71*100/'1.vize'!$I71,"")</f>
        <v/>
      </c>
      <c r="AK71" s="38" t="str">
        <f>IFERROR('1.vize'!AV71*100/'1.vize'!$I71,"")</f>
        <v/>
      </c>
      <c r="AL71" s="38" t="str">
        <f>IFERROR('1.vize'!AW71*100/'1.vize'!$I71,"")</f>
        <v/>
      </c>
      <c r="AM71" s="38" t="str">
        <f>IFERROR('1.vize'!AX71*100/'1.vize'!$I71,"")</f>
        <v/>
      </c>
      <c r="AN71" s="38" t="str">
        <f>IFERROR('1.vize'!AY71*100/'1.vize'!$I71,"")</f>
        <v/>
      </c>
      <c r="AO71" s="38" t="str">
        <f>IFERROR('1.vize'!AZ71*100/'1.vize'!$I71,"")</f>
        <v/>
      </c>
      <c r="AP71" s="38" t="str">
        <f>IFERROR('1.vize'!BA71*100/'1.vize'!$I71,"")</f>
        <v/>
      </c>
      <c r="AQ71" s="38" t="str">
        <f>IFERROR('1.vize'!BB71*100/'1.vize'!$I71,"")</f>
        <v/>
      </c>
      <c r="AR71" s="38" t="str">
        <f>IFERROR('1.vize'!BC71*100/'1.vize'!$I71,"")</f>
        <v/>
      </c>
      <c r="AS71" s="38" t="str">
        <f>IFERROR('1.vize'!BD71*100/'1.vize'!$I71,"")</f>
        <v/>
      </c>
      <c r="AT71" s="38" t="str">
        <f>IFERROR('1.vize'!BE71*100/'1.vize'!$I71,"")</f>
        <v/>
      </c>
      <c r="AU71" s="38" t="str">
        <f>IFERROR('1.vize'!BF71*100/'1.vize'!$I71,"")</f>
        <v/>
      </c>
      <c r="AV71" s="38" t="str">
        <f>IFERROR('1.vize'!BG71*100/'1.vize'!$I71,"")</f>
        <v/>
      </c>
      <c r="AW71" s="38" t="str">
        <f>IFERROR('1.vize'!BH71*100/'1.vize'!$I71,"")</f>
        <v/>
      </c>
      <c r="AX71" s="38" t="str">
        <f>IFERROR('1.vize'!BI71*100/'1.vize'!$I71,"")</f>
        <v/>
      </c>
      <c r="AY71" s="38" t="str">
        <f>IFERROR('1.vize'!BJ71*100/'1.vize'!$I71,"")</f>
        <v/>
      </c>
      <c r="AZ71" s="38" t="str">
        <f>IFERROR('1.vize'!BK71*100/'1.vize'!$I71,"")</f>
        <v/>
      </c>
      <c r="BA71" s="38" t="str">
        <f>IFERROR('1.vize'!BL71*100/'1.vize'!$I71,"")</f>
        <v/>
      </c>
      <c r="BB71" s="38" t="str">
        <f>IFERROR('1.vize'!BM71*100/'1.vize'!$I71,"")</f>
        <v/>
      </c>
      <c r="BC71" s="38" t="str">
        <f>IFERROR('1.vize'!BN71*100/'1.vize'!$I71,"")</f>
        <v/>
      </c>
      <c r="BD71" s="38" t="str">
        <f>IFERROR('1.vize'!BO71*100/'1.vize'!$I71,"")</f>
        <v/>
      </c>
      <c r="BE71" s="38" t="str">
        <f>IFERROR('1.vize'!BP71*100/'1.vize'!$I71,"")</f>
        <v/>
      </c>
      <c r="BF71" s="38" t="str">
        <f>IFERROR('1.vize'!BQ71*100/'1.vize'!$I71,"")</f>
        <v/>
      </c>
      <c r="BG71" s="38" t="str">
        <f>IFERROR('1.vize'!BR71*100/'1.vize'!$I71,"")</f>
        <v/>
      </c>
      <c r="BH71" s="38" t="str">
        <f>IFERROR('1.vize'!BS71*100/'1.vize'!$I71,"")</f>
        <v/>
      </c>
      <c r="BI71" s="38" t="str">
        <f>IFERROR('1.vize'!BT71*100/'1.vize'!$I71,"")</f>
        <v/>
      </c>
      <c r="BJ71" s="38" t="str">
        <f>IFERROR('1.vize'!BU71*100/'1.vize'!$I71,"")</f>
        <v/>
      </c>
      <c r="BK71" s="38" t="str">
        <f>IFERROR('1.vize'!BV71*100/'1.vize'!$I71,"")</f>
        <v/>
      </c>
      <c r="BL71" s="38" t="str">
        <f>IFERROR('1.vize'!BW71*100/'1.vize'!$I71,"")</f>
        <v/>
      </c>
      <c r="BM71" s="38" t="str">
        <f>IFERROR('1.vize'!BX71*100/'1.vize'!$I71,"")</f>
        <v/>
      </c>
      <c r="BN71" s="38" t="str">
        <f>IFERROR('1.vize'!BY71*100/'1.vize'!$I71,"")</f>
        <v/>
      </c>
      <c r="BO71" s="38" t="str">
        <f>IFERROR('1.vize'!BZ71*100/'1.vize'!$I71,"")</f>
        <v/>
      </c>
      <c r="BP71" s="38" t="str">
        <f>IFERROR('1.vize'!CA71*100/'1.vize'!$I71,"")</f>
        <v/>
      </c>
      <c r="BQ71" s="38" t="str">
        <f>IFERROR('1.vize'!CB71*100/'1.vize'!$I71,"")</f>
        <v/>
      </c>
      <c r="BR71" s="38" t="str">
        <f>IFERROR('1.vize'!CC71*100/'1.vize'!$I71,"")</f>
        <v/>
      </c>
      <c r="BS71" s="38" t="str">
        <f>IFERROR('1.vize'!CD71*100/'1.vize'!$I71,"")</f>
        <v/>
      </c>
      <c r="BT71" s="38" t="str">
        <f>IFERROR('1.vize'!CE71*100/'1.vize'!$I71,"")</f>
        <v/>
      </c>
      <c r="BU71" s="38" t="str">
        <f>IFERROR('1.vize'!CF71*100/'1.vize'!$I71,"")</f>
        <v/>
      </c>
      <c r="BV71" s="38" t="str">
        <f>IFERROR('1.vize'!CG71*100/'1.vize'!$I71,"")</f>
        <v/>
      </c>
      <c r="BW71" s="38" t="str">
        <f>IFERROR('1.vize'!CH71*100/'1.vize'!$I71,"")</f>
        <v/>
      </c>
      <c r="BX71" s="38" t="str">
        <f>IFERROR('1.vize'!CI71*100/'1.vize'!$I71,"")</f>
        <v/>
      </c>
      <c r="BY71" s="38" t="str">
        <f>IFERROR('1.vize'!CJ71*100/'1.vize'!$I71,"")</f>
        <v/>
      </c>
      <c r="BZ71" s="38" t="str">
        <f>IFERROR('1.vize'!CK71*100/'1.vize'!$I71,"")</f>
        <v/>
      </c>
      <c r="CA71" s="38" t="str">
        <f>IFERROR('1.vize'!CL71*100/'1.vize'!$I71,"")</f>
        <v/>
      </c>
      <c r="CB71" s="38" t="str">
        <f>IFERROR('1.vize'!CM71*100/'1.vize'!$I71,"")</f>
        <v/>
      </c>
      <c r="CC71" s="38" t="str">
        <f>IFERROR('1.vize'!CN71*100/'1.vize'!$I71,"")</f>
        <v/>
      </c>
      <c r="CD71" s="38" t="str">
        <f>IFERROR('1.vize'!CO71*100/'1.vize'!$I71,"")</f>
        <v/>
      </c>
      <c r="CE71" s="38" t="str">
        <f>IFERROR('1.vize'!CP71*100/'1.vize'!$I71,"")</f>
        <v/>
      </c>
      <c r="CF71" s="38" t="str">
        <f>IFERROR('1.vize'!CQ71*100/'1.vize'!$I71,"")</f>
        <v/>
      </c>
      <c r="CG71" s="38" t="str">
        <f>IFERROR('1.vize'!CR71*100/'1.vize'!$I71,"")</f>
        <v/>
      </c>
      <c r="CH71" s="38" t="str">
        <f>IFERROR('1.vize'!CS71*100/'1.vize'!$I71,"")</f>
        <v/>
      </c>
      <c r="CI71" s="38" t="str">
        <f>IFERROR('1.vize'!CT71*100/'1.vize'!$I71,"")</f>
        <v/>
      </c>
      <c r="CJ71" s="38" t="str">
        <f>IFERROR('1.vize'!CU71*100/'1.vize'!$I71,"")</f>
        <v/>
      </c>
      <c r="CK71" s="38" t="str">
        <f>IFERROR('1.vize'!CV71*100/'1.vize'!$I71,"")</f>
        <v/>
      </c>
      <c r="CL71" s="38" t="str">
        <f>IFERROR('1.vize'!CW71*100/'1.vize'!$I71,"")</f>
        <v/>
      </c>
      <c r="CM71" s="38" t="str">
        <f>IFERROR('1.vize'!CX71*100/'1.vize'!$I71,"")</f>
        <v/>
      </c>
      <c r="CN71" s="38" t="str">
        <f>IFERROR('1.vize'!CY71*100/'1.vize'!$I71,"")</f>
        <v/>
      </c>
      <c r="CO71" s="38" t="str">
        <f>IFERROR('1.vize'!CZ71*100/'1.vize'!$I71,"")</f>
        <v/>
      </c>
      <c r="CP71" s="38" t="str">
        <f>IFERROR('1.vize'!DA71*100/'1.vize'!$I71,"")</f>
        <v/>
      </c>
      <c r="CQ71" s="38" t="str">
        <f>IFERROR('1.vize'!DB71*100/'1.vize'!$I71,"")</f>
        <v/>
      </c>
      <c r="CR71" s="38" t="str">
        <f>IFERROR('1.vize'!DC71*100/'1.vize'!$I71,"")</f>
        <v/>
      </c>
      <c r="CS71" s="38" t="str">
        <f>IFERROR('1.vize'!DD71*100/'1.vize'!$I71,"")</f>
        <v/>
      </c>
      <c r="CT71" s="38" t="str">
        <f>IFERROR('1.vize'!DE71*100/'1.vize'!$I71,"")</f>
        <v/>
      </c>
      <c r="CU71" s="38" t="str">
        <f>IFERROR('1.vize'!DF71*100/'1.vize'!$I71,"")</f>
        <v/>
      </c>
      <c r="CV71" s="38" t="str">
        <f>IFERROR('1.vize'!DG71*100/'1.vize'!$I71,"")</f>
        <v/>
      </c>
      <c r="CW71" s="32" t="str">
        <f>IFERROR(SUM(A71:CV71)/'1.vize'!$DH$103,"")</f>
        <v/>
      </c>
      <c r="CX71" s="14" t="str">
        <f>IF(COUNTA('1.vize'!A71),'1.vize'!A71,"")</f>
        <v/>
      </c>
      <c r="CY71" s="14" t="str">
        <f>IF(COUNTA('1.vize'!B71),'1.vize'!B71,"")</f>
        <v/>
      </c>
      <c r="CZ71" s="14" t="str">
        <f>IF(COUNTA('1.vize'!C71),'1.vize'!C71,"")</f>
        <v/>
      </c>
      <c r="DA71" s="14" t="str">
        <f>IF(COUNTA('1.vize'!D71),'1.vize'!D71,"")</f>
        <v/>
      </c>
      <c r="DB71" s="14" t="str">
        <f>IF(COUNTA('1.vize'!E71),'1.vize'!E71,"")</f>
        <v/>
      </c>
      <c r="DC71" s="14" t="str">
        <f>IF(COUNTA('1.vize'!F71),'1.vize'!F71,"")</f>
        <v/>
      </c>
      <c r="DD71" s="14" t="str">
        <f>IF(COUNTA('1.vize'!G71),'1.vize'!G71,"")</f>
        <v/>
      </c>
      <c r="DE71" s="14" t="str">
        <f>IF(COUNTA('1.vize'!H71),'1.vize'!H71,"")</f>
        <v/>
      </c>
      <c r="DF71" s="33"/>
    </row>
    <row r="72" spans="1:110" x14ac:dyDescent="0.2">
      <c r="A72" s="38" t="str">
        <f>IFERROR('1.vize'!L72*100/'1.vize'!$I72,"")</f>
        <v/>
      </c>
      <c r="B72" s="38" t="str">
        <f>IFERROR('1.vize'!M72*100/'1.vize'!$I72,"")</f>
        <v/>
      </c>
      <c r="C72" s="38" t="str">
        <f>IFERROR('1.vize'!N72*100/'1.vize'!$I72,"")</f>
        <v/>
      </c>
      <c r="D72" s="38" t="str">
        <f>IFERROR('1.vize'!O72*100/'1.vize'!$I72,"")</f>
        <v/>
      </c>
      <c r="E72" s="38" t="str">
        <f>IFERROR('1.vize'!P72*100/'1.vize'!$I72,"")</f>
        <v/>
      </c>
      <c r="F72" s="38" t="str">
        <f>IFERROR('1.vize'!Q72*100/'1.vize'!$I72,"")</f>
        <v/>
      </c>
      <c r="G72" s="38" t="str">
        <f>IFERROR('1.vize'!R72*100/'1.vize'!$I72,"")</f>
        <v/>
      </c>
      <c r="H72" s="38" t="str">
        <f>IFERROR('1.vize'!S72*100/'1.vize'!$I72,"")</f>
        <v/>
      </c>
      <c r="I72" s="38" t="str">
        <f>IFERROR('1.vize'!T72*100/'1.vize'!$I72,"")</f>
        <v/>
      </c>
      <c r="J72" s="38" t="str">
        <f>IFERROR('1.vize'!U72*100/'1.vize'!$I72,"")</f>
        <v/>
      </c>
      <c r="K72" s="38" t="str">
        <f>IFERROR('1.vize'!V72*100/'1.vize'!$I72,"")</f>
        <v/>
      </c>
      <c r="L72" s="38" t="str">
        <f>IFERROR('1.vize'!W72*100/'1.vize'!$I72,"")</f>
        <v/>
      </c>
      <c r="M72" s="38" t="str">
        <f>IFERROR('1.vize'!X72*100/'1.vize'!$I72,"")</f>
        <v/>
      </c>
      <c r="N72" s="38" t="str">
        <f>IFERROR('1.vize'!Y72*100/'1.vize'!$I72,"")</f>
        <v/>
      </c>
      <c r="O72" s="38" t="str">
        <f>IFERROR('1.vize'!Z72*100/'1.vize'!$I72,"")</f>
        <v/>
      </c>
      <c r="P72" s="38" t="str">
        <f>IFERROR('1.vize'!AA72*100/'1.vize'!$I72,"")</f>
        <v/>
      </c>
      <c r="Q72" s="38" t="str">
        <f>IFERROR('1.vize'!AB72*100/'1.vize'!$I72,"")</f>
        <v/>
      </c>
      <c r="R72" s="38" t="str">
        <f>IFERROR('1.vize'!AC72*100/'1.vize'!$I72,"")</f>
        <v/>
      </c>
      <c r="S72" s="38" t="str">
        <f>IFERROR('1.vize'!AD72*100/'1.vize'!$I72,"")</f>
        <v/>
      </c>
      <c r="T72" s="38" t="str">
        <f>IFERROR('1.vize'!AE72*100/'1.vize'!$I72,"")</f>
        <v/>
      </c>
      <c r="U72" s="38" t="str">
        <f>IFERROR('1.vize'!AF72*100/'1.vize'!$I72,"")</f>
        <v/>
      </c>
      <c r="V72" s="38" t="str">
        <f>IFERROR('1.vize'!AG72*100/'1.vize'!$I72,"")</f>
        <v/>
      </c>
      <c r="W72" s="38" t="str">
        <f>IFERROR('1.vize'!AH72*100/'1.vize'!$I72,"")</f>
        <v/>
      </c>
      <c r="X72" s="38" t="str">
        <f>IFERROR('1.vize'!AI72*100/'1.vize'!$I72,"")</f>
        <v/>
      </c>
      <c r="Y72" s="38" t="str">
        <f>IFERROR('1.vize'!AJ72*100/'1.vize'!$I72,"")</f>
        <v/>
      </c>
      <c r="Z72" s="38" t="str">
        <f>IFERROR('1.vize'!AK72*100/'1.vize'!$I72,"")</f>
        <v/>
      </c>
      <c r="AA72" s="38" t="str">
        <f>IFERROR('1.vize'!AL72*100/'1.vize'!$I72,"")</f>
        <v/>
      </c>
      <c r="AB72" s="38" t="str">
        <f>IFERROR('1.vize'!AM72*100/'1.vize'!$I72,"")</f>
        <v/>
      </c>
      <c r="AC72" s="38" t="str">
        <f>IFERROR('1.vize'!AN72*100/'1.vize'!$I72,"")</f>
        <v/>
      </c>
      <c r="AD72" s="38" t="str">
        <f>IFERROR('1.vize'!AO72*100/'1.vize'!$I72,"")</f>
        <v/>
      </c>
      <c r="AE72" s="38" t="str">
        <f>IFERROR('1.vize'!AP72*100/'1.vize'!$I72,"")</f>
        <v/>
      </c>
      <c r="AF72" s="38" t="str">
        <f>IFERROR('1.vize'!AQ72*100/'1.vize'!$I72,"")</f>
        <v/>
      </c>
      <c r="AG72" s="38" t="str">
        <f>IFERROR('1.vize'!AR72*100/'1.vize'!$I72,"")</f>
        <v/>
      </c>
      <c r="AH72" s="38" t="str">
        <f>IFERROR('1.vize'!AS72*100/'1.vize'!$I72,"")</f>
        <v/>
      </c>
      <c r="AI72" s="38" t="str">
        <f>IFERROR('1.vize'!AT72*100/'1.vize'!$I72,"")</f>
        <v/>
      </c>
      <c r="AJ72" s="38" t="str">
        <f>IFERROR('1.vize'!AU72*100/'1.vize'!$I72,"")</f>
        <v/>
      </c>
      <c r="AK72" s="38" t="str">
        <f>IFERROR('1.vize'!AV72*100/'1.vize'!$I72,"")</f>
        <v/>
      </c>
      <c r="AL72" s="38" t="str">
        <f>IFERROR('1.vize'!AW72*100/'1.vize'!$I72,"")</f>
        <v/>
      </c>
      <c r="AM72" s="38" t="str">
        <f>IFERROR('1.vize'!AX72*100/'1.vize'!$I72,"")</f>
        <v/>
      </c>
      <c r="AN72" s="38" t="str">
        <f>IFERROR('1.vize'!AY72*100/'1.vize'!$I72,"")</f>
        <v/>
      </c>
      <c r="AO72" s="38" t="str">
        <f>IFERROR('1.vize'!AZ72*100/'1.vize'!$I72,"")</f>
        <v/>
      </c>
      <c r="AP72" s="38" t="str">
        <f>IFERROR('1.vize'!BA72*100/'1.vize'!$I72,"")</f>
        <v/>
      </c>
      <c r="AQ72" s="38" t="str">
        <f>IFERROR('1.vize'!BB72*100/'1.vize'!$I72,"")</f>
        <v/>
      </c>
      <c r="AR72" s="38" t="str">
        <f>IFERROR('1.vize'!BC72*100/'1.vize'!$I72,"")</f>
        <v/>
      </c>
      <c r="AS72" s="38" t="str">
        <f>IFERROR('1.vize'!BD72*100/'1.vize'!$I72,"")</f>
        <v/>
      </c>
      <c r="AT72" s="38" t="str">
        <f>IFERROR('1.vize'!BE72*100/'1.vize'!$I72,"")</f>
        <v/>
      </c>
      <c r="AU72" s="38" t="str">
        <f>IFERROR('1.vize'!BF72*100/'1.vize'!$I72,"")</f>
        <v/>
      </c>
      <c r="AV72" s="38" t="str">
        <f>IFERROR('1.vize'!BG72*100/'1.vize'!$I72,"")</f>
        <v/>
      </c>
      <c r="AW72" s="38" t="str">
        <f>IFERROR('1.vize'!BH72*100/'1.vize'!$I72,"")</f>
        <v/>
      </c>
      <c r="AX72" s="38" t="str">
        <f>IFERROR('1.vize'!BI72*100/'1.vize'!$I72,"")</f>
        <v/>
      </c>
      <c r="AY72" s="38" t="str">
        <f>IFERROR('1.vize'!BJ72*100/'1.vize'!$I72,"")</f>
        <v/>
      </c>
      <c r="AZ72" s="38" t="str">
        <f>IFERROR('1.vize'!BK72*100/'1.vize'!$I72,"")</f>
        <v/>
      </c>
      <c r="BA72" s="38" t="str">
        <f>IFERROR('1.vize'!BL72*100/'1.vize'!$I72,"")</f>
        <v/>
      </c>
      <c r="BB72" s="38" t="str">
        <f>IFERROR('1.vize'!BM72*100/'1.vize'!$I72,"")</f>
        <v/>
      </c>
      <c r="BC72" s="38" t="str">
        <f>IFERROR('1.vize'!BN72*100/'1.vize'!$I72,"")</f>
        <v/>
      </c>
      <c r="BD72" s="38" t="str">
        <f>IFERROR('1.vize'!BO72*100/'1.vize'!$I72,"")</f>
        <v/>
      </c>
      <c r="BE72" s="38" t="str">
        <f>IFERROR('1.vize'!BP72*100/'1.vize'!$I72,"")</f>
        <v/>
      </c>
      <c r="BF72" s="38" t="str">
        <f>IFERROR('1.vize'!BQ72*100/'1.vize'!$I72,"")</f>
        <v/>
      </c>
      <c r="BG72" s="38" t="str">
        <f>IFERROR('1.vize'!BR72*100/'1.vize'!$I72,"")</f>
        <v/>
      </c>
      <c r="BH72" s="38" t="str">
        <f>IFERROR('1.vize'!BS72*100/'1.vize'!$I72,"")</f>
        <v/>
      </c>
      <c r="BI72" s="38" t="str">
        <f>IFERROR('1.vize'!BT72*100/'1.vize'!$I72,"")</f>
        <v/>
      </c>
      <c r="BJ72" s="38" t="str">
        <f>IFERROR('1.vize'!BU72*100/'1.vize'!$I72,"")</f>
        <v/>
      </c>
      <c r="BK72" s="38" t="str">
        <f>IFERROR('1.vize'!BV72*100/'1.vize'!$I72,"")</f>
        <v/>
      </c>
      <c r="BL72" s="38" t="str">
        <f>IFERROR('1.vize'!BW72*100/'1.vize'!$I72,"")</f>
        <v/>
      </c>
      <c r="BM72" s="38" t="str">
        <f>IFERROR('1.vize'!BX72*100/'1.vize'!$I72,"")</f>
        <v/>
      </c>
      <c r="BN72" s="38" t="str">
        <f>IFERROR('1.vize'!BY72*100/'1.vize'!$I72,"")</f>
        <v/>
      </c>
      <c r="BO72" s="38" t="str">
        <f>IFERROR('1.vize'!BZ72*100/'1.vize'!$I72,"")</f>
        <v/>
      </c>
      <c r="BP72" s="38" t="str">
        <f>IFERROR('1.vize'!CA72*100/'1.vize'!$I72,"")</f>
        <v/>
      </c>
      <c r="BQ72" s="38" t="str">
        <f>IFERROR('1.vize'!CB72*100/'1.vize'!$I72,"")</f>
        <v/>
      </c>
      <c r="BR72" s="38" t="str">
        <f>IFERROR('1.vize'!CC72*100/'1.vize'!$I72,"")</f>
        <v/>
      </c>
      <c r="BS72" s="38" t="str">
        <f>IFERROR('1.vize'!CD72*100/'1.vize'!$I72,"")</f>
        <v/>
      </c>
      <c r="BT72" s="38" t="str">
        <f>IFERROR('1.vize'!CE72*100/'1.vize'!$I72,"")</f>
        <v/>
      </c>
      <c r="BU72" s="38" t="str">
        <f>IFERROR('1.vize'!CF72*100/'1.vize'!$I72,"")</f>
        <v/>
      </c>
      <c r="BV72" s="38" t="str">
        <f>IFERROR('1.vize'!CG72*100/'1.vize'!$I72,"")</f>
        <v/>
      </c>
      <c r="BW72" s="38" t="str">
        <f>IFERROR('1.vize'!CH72*100/'1.vize'!$I72,"")</f>
        <v/>
      </c>
      <c r="BX72" s="38" t="str">
        <f>IFERROR('1.vize'!CI72*100/'1.vize'!$I72,"")</f>
        <v/>
      </c>
      <c r="BY72" s="38" t="str">
        <f>IFERROR('1.vize'!CJ72*100/'1.vize'!$I72,"")</f>
        <v/>
      </c>
      <c r="BZ72" s="38" t="str">
        <f>IFERROR('1.vize'!CK72*100/'1.vize'!$I72,"")</f>
        <v/>
      </c>
      <c r="CA72" s="38" t="str">
        <f>IFERROR('1.vize'!CL72*100/'1.vize'!$I72,"")</f>
        <v/>
      </c>
      <c r="CB72" s="38" t="str">
        <f>IFERROR('1.vize'!CM72*100/'1.vize'!$I72,"")</f>
        <v/>
      </c>
      <c r="CC72" s="38" t="str">
        <f>IFERROR('1.vize'!CN72*100/'1.vize'!$I72,"")</f>
        <v/>
      </c>
      <c r="CD72" s="38" t="str">
        <f>IFERROR('1.vize'!CO72*100/'1.vize'!$I72,"")</f>
        <v/>
      </c>
      <c r="CE72" s="38" t="str">
        <f>IFERROR('1.vize'!CP72*100/'1.vize'!$I72,"")</f>
        <v/>
      </c>
      <c r="CF72" s="38" t="str">
        <f>IFERROR('1.vize'!CQ72*100/'1.vize'!$I72,"")</f>
        <v/>
      </c>
      <c r="CG72" s="38" t="str">
        <f>IFERROR('1.vize'!CR72*100/'1.vize'!$I72,"")</f>
        <v/>
      </c>
      <c r="CH72" s="38" t="str">
        <f>IFERROR('1.vize'!CS72*100/'1.vize'!$I72,"")</f>
        <v/>
      </c>
      <c r="CI72" s="38" t="str">
        <f>IFERROR('1.vize'!CT72*100/'1.vize'!$I72,"")</f>
        <v/>
      </c>
      <c r="CJ72" s="38" t="str">
        <f>IFERROR('1.vize'!CU72*100/'1.vize'!$I72,"")</f>
        <v/>
      </c>
      <c r="CK72" s="38" t="str">
        <f>IFERROR('1.vize'!CV72*100/'1.vize'!$I72,"")</f>
        <v/>
      </c>
      <c r="CL72" s="38" t="str">
        <f>IFERROR('1.vize'!CW72*100/'1.vize'!$I72,"")</f>
        <v/>
      </c>
      <c r="CM72" s="38" t="str">
        <f>IFERROR('1.vize'!CX72*100/'1.vize'!$I72,"")</f>
        <v/>
      </c>
      <c r="CN72" s="38" t="str">
        <f>IFERROR('1.vize'!CY72*100/'1.vize'!$I72,"")</f>
        <v/>
      </c>
      <c r="CO72" s="38" t="str">
        <f>IFERROR('1.vize'!CZ72*100/'1.vize'!$I72,"")</f>
        <v/>
      </c>
      <c r="CP72" s="38" t="str">
        <f>IFERROR('1.vize'!DA72*100/'1.vize'!$I72,"")</f>
        <v/>
      </c>
      <c r="CQ72" s="38" t="str">
        <f>IFERROR('1.vize'!DB72*100/'1.vize'!$I72,"")</f>
        <v/>
      </c>
      <c r="CR72" s="38" t="str">
        <f>IFERROR('1.vize'!DC72*100/'1.vize'!$I72,"")</f>
        <v/>
      </c>
      <c r="CS72" s="38" t="str">
        <f>IFERROR('1.vize'!DD72*100/'1.vize'!$I72,"")</f>
        <v/>
      </c>
      <c r="CT72" s="38" t="str">
        <f>IFERROR('1.vize'!DE72*100/'1.vize'!$I72,"")</f>
        <v/>
      </c>
      <c r="CU72" s="38" t="str">
        <f>IFERROR('1.vize'!DF72*100/'1.vize'!$I72,"")</f>
        <v/>
      </c>
      <c r="CV72" s="38" t="str">
        <f>IFERROR('1.vize'!DG72*100/'1.vize'!$I72,"")</f>
        <v/>
      </c>
      <c r="CW72" s="32" t="str">
        <f>IFERROR(SUM(A72:CV72)/'1.vize'!$DH$103,"")</f>
        <v/>
      </c>
      <c r="CX72" s="14" t="str">
        <f>IF(COUNTA('1.vize'!A72),'1.vize'!A72,"")</f>
        <v/>
      </c>
      <c r="CY72" s="14" t="str">
        <f>IF(COUNTA('1.vize'!B72),'1.vize'!B72,"")</f>
        <v/>
      </c>
      <c r="CZ72" s="14" t="str">
        <f>IF(COUNTA('1.vize'!C72),'1.vize'!C72,"")</f>
        <v/>
      </c>
      <c r="DA72" s="14" t="str">
        <f>IF(COUNTA('1.vize'!D72),'1.vize'!D72,"")</f>
        <v/>
      </c>
      <c r="DB72" s="14" t="str">
        <f>IF(COUNTA('1.vize'!E72),'1.vize'!E72,"")</f>
        <v/>
      </c>
      <c r="DC72" s="14" t="str">
        <f>IF(COUNTA('1.vize'!F72),'1.vize'!F72,"")</f>
        <v/>
      </c>
      <c r="DD72" s="14" t="str">
        <f>IF(COUNTA('1.vize'!G72),'1.vize'!G72,"")</f>
        <v/>
      </c>
      <c r="DE72" s="14" t="str">
        <f>IF(COUNTA('1.vize'!H72),'1.vize'!H72,"")</f>
        <v/>
      </c>
      <c r="DF72" s="33"/>
    </row>
    <row r="73" spans="1:110" x14ac:dyDescent="0.2">
      <c r="A73" s="38" t="str">
        <f>IFERROR('1.vize'!L73*100/'1.vize'!$I73,"")</f>
        <v/>
      </c>
      <c r="B73" s="38" t="str">
        <f>IFERROR('1.vize'!M73*100/'1.vize'!$I73,"")</f>
        <v/>
      </c>
      <c r="C73" s="38" t="str">
        <f>IFERROR('1.vize'!N73*100/'1.vize'!$I73,"")</f>
        <v/>
      </c>
      <c r="D73" s="38" t="str">
        <f>IFERROR('1.vize'!O73*100/'1.vize'!$I73,"")</f>
        <v/>
      </c>
      <c r="E73" s="38" t="str">
        <f>IFERROR('1.vize'!P73*100/'1.vize'!$I73,"")</f>
        <v/>
      </c>
      <c r="F73" s="38" t="str">
        <f>IFERROR('1.vize'!Q73*100/'1.vize'!$I73,"")</f>
        <v/>
      </c>
      <c r="G73" s="38" t="str">
        <f>IFERROR('1.vize'!R73*100/'1.vize'!$I73,"")</f>
        <v/>
      </c>
      <c r="H73" s="38" t="str">
        <f>IFERROR('1.vize'!S73*100/'1.vize'!$I73,"")</f>
        <v/>
      </c>
      <c r="I73" s="38" t="str">
        <f>IFERROR('1.vize'!T73*100/'1.vize'!$I73,"")</f>
        <v/>
      </c>
      <c r="J73" s="38" t="str">
        <f>IFERROR('1.vize'!U73*100/'1.vize'!$I73,"")</f>
        <v/>
      </c>
      <c r="K73" s="38" t="str">
        <f>IFERROR('1.vize'!V73*100/'1.vize'!$I73,"")</f>
        <v/>
      </c>
      <c r="L73" s="38" t="str">
        <f>IFERROR('1.vize'!W73*100/'1.vize'!$I73,"")</f>
        <v/>
      </c>
      <c r="M73" s="38" t="str">
        <f>IFERROR('1.vize'!X73*100/'1.vize'!$I73,"")</f>
        <v/>
      </c>
      <c r="N73" s="38" t="str">
        <f>IFERROR('1.vize'!Y73*100/'1.vize'!$I73,"")</f>
        <v/>
      </c>
      <c r="O73" s="38" t="str">
        <f>IFERROR('1.vize'!Z73*100/'1.vize'!$I73,"")</f>
        <v/>
      </c>
      <c r="P73" s="38" t="str">
        <f>IFERROR('1.vize'!AA73*100/'1.vize'!$I73,"")</f>
        <v/>
      </c>
      <c r="Q73" s="38" t="str">
        <f>IFERROR('1.vize'!AB73*100/'1.vize'!$I73,"")</f>
        <v/>
      </c>
      <c r="R73" s="38" t="str">
        <f>IFERROR('1.vize'!AC73*100/'1.vize'!$I73,"")</f>
        <v/>
      </c>
      <c r="S73" s="38" t="str">
        <f>IFERROR('1.vize'!AD73*100/'1.vize'!$I73,"")</f>
        <v/>
      </c>
      <c r="T73" s="38" t="str">
        <f>IFERROR('1.vize'!AE73*100/'1.vize'!$I73,"")</f>
        <v/>
      </c>
      <c r="U73" s="38" t="str">
        <f>IFERROR('1.vize'!AF73*100/'1.vize'!$I73,"")</f>
        <v/>
      </c>
      <c r="V73" s="38" t="str">
        <f>IFERROR('1.vize'!AG73*100/'1.vize'!$I73,"")</f>
        <v/>
      </c>
      <c r="W73" s="38" t="str">
        <f>IFERROR('1.vize'!AH73*100/'1.vize'!$I73,"")</f>
        <v/>
      </c>
      <c r="X73" s="38" t="str">
        <f>IFERROR('1.vize'!AI73*100/'1.vize'!$I73,"")</f>
        <v/>
      </c>
      <c r="Y73" s="38" t="str">
        <f>IFERROR('1.vize'!AJ73*100/'1.vize'!$I73,"")</f>
        <v/>
      </c>
      <c r="Z73" s="38" t="str">
        <f>IFERROR('1.vize'!AK73*100/'1.vize'!$I73,"")</f>
        <v/>
      </c>
      <c r="AA73" s="38" t="str">
        <f>IFERROR('1.vize'!AL73*100/'1.vize'!$I73,"")</f>
        <v/>
      </c>
      <c r="AB73" s="38" t="str">
        <f>IFERROR('1.vize'!AM73*100/'1.vize'!$I73,"")</f>
        <v/>
      </c>
      <c r="AC73" s="38" t="str">
        <f>IFERROR('1.vize'!AN73*100/'1.vize'!$I73,"")</f>
        <v/>
      </c>
      <c r="AD73" s="38" t="str">
        <f>IFERROR('1.vize'!AO73*100/'1.vize'!$I73,"")</f>
        <v/>
      </c>
      <c r="AE73" s="38" t="str">
        <f>IFERROR('1.vize'!AP73*100/'1.vize'!$I73,"")</f>
        <v/>
      </c>
      <c r="AF73" s="38" t="str">
        <f>IFERROR('1.vize'!AQ73*100/'1.vize'!$I73,"")</f>
        <v/>
      </c>
      <c r="AG73" s="38" t="str">
        <f>IFERROR('1.vize'!AR73*100/'1.vize'!$I73,"")</f>
        <v/>
      </c>
      <c r="AH73" s="38" t="str">
        <f>IFERROR('1.vize'!AS73*100/'1.vize'!$I73,"")</f>
        <v/>
      </c>
      <c r="AI73" s="38" t="str">
        <f>IFERROR('1.vize'!AT73*100/'1.vize'!$I73,"")</f>
        <v/>
      </c>
      <c r="AJ73" s="38" t="str">
        <f>IFERROR('1.vize'!AU73*100/'1.vize'!$I73,"")</f>
        <v/>
      </c>
      <c r="AK73" s="38" t="str">
        <f>IFERROR('1.vize'!AV73*100/'1.vize'!$I73,"")</f>
        <v/>
      </c>
      <c r="AL73" s="38" t="str">
        <f>IFERROR('1.vize'!AW73*100/'1.vize'!$I73,"")</f>
        <v/>
      </c>
      <c r="AM73" s="38" t="str">
        <f>IFERROR('1.vize'!AX73*100/'1.vize'!$I73,"")</f>
        <v/>
      </c>
      <c r="AN73" s="38" t="str">
        <f>IFERROR('1.vize'!AY73*100/'1.vize'!$I73,"")</f>
        <v/>
      </c>
      <c r="AO73" s="38" t="str">
        <f>IFERROR('1.vize'!AZ73*100/'1.vize'!$I73,"")</f>
        <v/>
      </c>
      <c r="AP73" s="38" t="str">
        <f>IFERROR('1.vize'!BA73*100/'1.vize'!$I73,"")</f>
        <v/>
      </c>
      <c r="AQ73" s="38" t="str">
        <f>IFERROR('1.vize'!BB73*100/'1.vize'!$I73,"")</f>
        <v/>
      </c>
      <c r="AR73" s="38" t="str">
        <f>IFERROR('1.vize'!BC73*100/'1.vize'!$I73,"")</f>
        <v/>
      </c>
      <c r="AS73" s="38" t="str">
        <f>IFERROR('1.vize'!BD73*100/'1.vize'!$I73,"")</f>
        <v/>
      </c>
      <c r="AT73" s="38" t="str">
        <f>IFERROR('1.vize'!BE73*100/'1.vize'!$I73,"")</f>
        <v/>
      </c>
      <c r="AU73" s="38" t="str">
        <f>IFERROR('1.vize'!BF73*100/'1.vize'!$I73,"")</f>
        <v/>
      </c>
      <c r="AV73" s="38" t="str">
        <f>IFERROR('1.vize'!BG73*100/'1.vize'!$I73,"")</f>
        <v/>
      </c>
      <c r="AW73" s="38" t="str">
        <f>IFERROR('1.vize'!BH73*100/'1.vize'!$I73,"")</f>
        <v/>
      </c>
      <c r="AX73" s="38" t="str">
        <f>IFERROR('1.vize'!BI73*100/'1.vize'!$I73,"")</f>
        <v/>
      </c>
      <c r="AY73" s="38" t="str">
        <f>IFERROR('1.vize'!BJ73*100/'1.vize'!$I73,"")</f>
        <v/>
      </c>
      <c r="AZ73" s="38" t="str">
        <f>IFERROR('1.vize'!BK73*100/'1.vize'!$I73,"")</f>
        <v/>
      </c>
      <c r="BA73" s="38" t="str">
        <f>IFERROR('1.vize'!BL73*100/'1.vize'!$I73,"")</f>
        <v/>
      </c>
      <c r="BB73" s="38" t="str">
        <f>IFERROR('1.vize'!BM73*100/'1.vize'!$I73,"")</f>
        <v/>
      </c>
      <c r="BC73" s="38" t="str">
        <f>IFERROR('1.vize'!BN73*100/'1.vize'!$I73,"")</f>
        <v/>
      </c>
      <c r="BD73" s="38" t="str">
        <f>IFERROR('1.vize'!BO73*100/'1.vize'!$I73,"")</f>
        <v/>
      </c>
      <c r="BE73" s="38" t="str">
        <f>IFERROR('1.vize'!BP73*100/'1.vize'!$I73,"")</f>
        <v/>
      </c>
      <c r="BF73" s="38" t="str">
        <f>IFERROR('1.vize'!BQ73*100/'1.vize'!$I73,"")</f>
        <v/>
      </c>
      <c r="BG73" s="38" t="str">
        <f>IFERROR('1.vize'!BR73*100/'1.vize'!$I73,"")</f>
        <v/>
      </c>
      <c r="BH73" s="38" t="str">
        <f>IFERROR('1.vize'!BS73*100/'1.vize'!$I73,"")</f>
        <v/>
      </c>
      <c r="BI73" s="38" t="str">
        <f>IFERROR('1.vize'!BT73*100/'1.vize'!$I73,"")</f>
        <v/>
      </c>
      <c r="BJ73" s="38" t="str">
        <f>IFERROR('1.vize'!BU73*100/'1.vize'!$I73,"")</f>
        <v/>
      </c>
      <c r="BK73" s="38" t="str">
        <f>IFERROR('1.vize'!BV73*100/'1.vize'!$I73,"")</f>
        <v/>
      </c>
      <c r="BL73" s="38" t="str">
        <f>IFERROR('1.vize'!BW73*100/'1.vize'!$I73,"")</f>
        <v/>
      </c>
      <c r="BM73" s="38" t="str">
        <f>IFERROR('1.vize'!BX73*100/'1.vize'!$I73,"")</f>
        <v/>
      </c>
      <c r="BN73" s="38" t="str">
        <f>IFERROR('1.vize'!BY73*100/'1.vize'!$I73,"")</f>
        <v/>
      </c>
      <c r="BO73" s="38" t="str">
        <f>IFERROR('1.vize'!BZ73*100/'1.vize'!$I73,"")</f>
        <v/>
      </c>
      <c r="BP73" s="38" t="str">
        <f>IFERROR('1.vize'!CA73*100/'1.vize'!$I73,"")</f>
        <v/>
      </c>
      <c r="BQ73" s="38" t="str">
        <f>IFERROR('1.vize'!CB73*100/'1.vize'!$I73,"")</f>
        <v/>
      </c>
      <c r="BR73" s="38" t="str">
        <f>IFERROR('1.vize'!CC73*100/'1.vize'!$I73,"")</f>
        <v/>
      </c>
      <c r="BS73" s="38" t="str">
        <f>IFERROR('1.vize'!CD73*100/'1.vize'!$I73,"")</f>
        <v/>
      </c>
      <c r="BT73" s="38" t="str">
        <f>IFERROR('1.vize'!CE73*100/'1.vize'!$I73,"")</f>
        <v/>
      </c>
      <c r="BU73" s="38" t="str">
        <f>IFERROR('1.vize'!CF73*100/'1.vize'!$I73,"")</f>
        <v/>
      </c>
      <c r="BV73" s="38" t="str">
        <f>IFERROR('1.vize'!CG73*100/'1.vize'!$I73,"")</f>
        <v/>
      </c>
      <c r="BW73" s="38" t="str">
        <f>IFERROR('1.vize'!CH73*100/'1.vize'!$I73,"")</f>
        <v/>
      </c>
      <c r="BX73" s="38" t="str">
        <f>IFERROR('1.vize'!CI73*100/'1.vize'!$I73,"")</f>
        <v/>
      </c>
      <c r="BY73" s="38" t="str">
        <f>IFERROR('1.vize'!CJ73*100/'1.vize'!$I73,"")</f>
        <v/>
      </c>
      <c r="BZ73" s="38" t="str">
        <f>IFERROR('1.vize'!CK73*100/'1.vize'!$I73,"")</f>
        <v/>
      </c>
      <c r="CA73" s="38" t="str">
        <f>IFERROR('1.vize'!CL73*100/'1.vize'!$I73,"")</f>
        <v/>
      </c>
      <c r="CB73" s="38" t="str">
        <f>IFERROR('1.vize'!CM73*100/'1.vize'!$I73,"")</f>
        <v/>
      </c>
      <c r="CC73" s="38" t="str">
        <f>IFERROR('1.vize'!CN73*100/'1.vize'!$I73,"")</f>
        <v/>
      </c>
      <c r="CD73" s="38" t="str">
        <f>IFERROR('1.vize'!CO73*100/'1.vize'!$I73,"")</f>
        <v/>
      </c>
      <c r="CE73" s="38" t="str">
        <f>IFERROR('1.vize'!CP73*100/'1.vize'!$I73,"")</f>
        <v/>
      </c>
      <c r="CF73" s="38" t="str">
        <f>IFERROR('1.vize'!CQ73*100/'1.vize'!$I73,"")</f>
        <v/>
      </c>
      <c r="CG73" s="38" t="str">
        <f>IFERROR('1.vize'!CR73*100/'1.vize'!$I73,"")</f>
        <v/>
      </c>
      <c r="CH73" s="38" t="str">
        <f>IFERROR('1.vize'!CS73*100/'1.vize'!$I73,"")</f>
        <v/>
      </c>
      <c r="CI73" s="38" t="str">
        <f>IFERROR('1.vize'!CT73*100/'1.vize'!$I73,"")</f>
        <v/>
      </c>
      <c r="CJ73" s="38" t="str">
        <f>IFERROR('1.vize'!CU73*100/'1.vize'!$I73,"")</f>
        <v/>
      </c>
      <c r="CK73" s="38" t="str">
        <f>IFERROR('1.vize'!CV73*100/'1.vize'!$I73,"")</f>
        <v/>
      </c>
      <c r="CL73" s="38" t="str">
        <f>IFERROR('1.vize'!CW73*100/'1.vize'!$I73,"")</f>
        <v/>
      </c>
      <c r="CM73" s="38" t="str">
        <f>IFERROR('1.vize'!CX73*100/'1.vize'!$I73,"")</f>
        <v/>
      </c>
      <c r="CN73" s="38" t="str">
        <f>IFERROR('1.vize'!CY73*100/'1.vize'!$I73,"")</f>
        <v/>
      </c>
      <c r="CO73" s="38" t="str">
        <f>IFERROR('1.vize'!CZ73*100/'1.vize'!$I73,"")</f>
        <v/>
      </c>
      <c r="CP73" s="38" t="str">
        <f>IFERROR('1.vize'!DA73*100/'1.vize'!$I73,"")</f>
        <v/>
      </c>
      <c r="CQ73" s="38" t="str">
        <f>IFERROR('1.vize'!DB73*100/'1.vize'!$I73,"")</f>
        <v/>
      </c>
      <c r="CR73" s="38" t="str">
        <f>IFERROR('1.vize'!DC73*100/'1.vize'!$I73,"")</f>
        <v/>
      </c>
      <c r="CS73" s="38" t="str">
        <f>IFERROR('1.vize'!DD73*100/'1.vize'!$I73,"")</f>
        <v/>
      </c>
      <c r="CT73" s="38" t="str">
        <f>IFERROR('1.vize'!DE73*100/'1.vize'!$I73,"")</f>
        <v/>
      </c>
      <c r="CU73" s="38" t="str">
        <f>IFERROR('1.vize'!DF73*100/'1.vize'!$I73,"")</f>
        <v/>
      </c>
      <c r="CV73" s="38" t="str">
        <f>IFERROR('1.vize'!DG73*100/'1.vize'!$I73,"")</f>
        <v/>
      </c>
      <c r="CW73" s="32" t="str">
        <f>IFERROR(SUM(A73:CV73)/'1.vize'!$DH$103,"")</f>
        <v/>
      </c>
      <c r="CX73" s="14" t="str">
        <f>IF(COUNTA('1.vize'!A73),'1.vize'!A73,"")</f>
        <v/>
      </c>
      <c r="CY73" s="14" t="str">
        <f>IF(COUNTA('1.vize'!B73),'1.vize'!B73,"")</f>
        <v/>
      </c>
      <c r="CZ73" s="14" t="str">
        <f>IF(COUNTA('1.vize'!C73),'1.vize'!C73,"")</f>
        <v/>
      </c>
      <c r="DA73" s="14" t="str">
        <f>IF(COUNTA('1.vize'!D73),'1.vize'!D73,"")</f>
        <v/>
      </c>
      <c r="DB73" s="14" t="str">
        <f>IF(COUNTA('1.vize'!E73),'1.vize'!E73,"")</f>
        <v/>
      </c>
      <c r="DC73" s="14" t="str">
        <f>IF(COUNTA('1.vize'!F73),'1.vize'!F73,"")</f>
        <v/>
      </c>
      <c r="DD73" s="14" t="str">
        <f>IF(COUNTA('1.vize'!G73),'1.vize'!G73,"")</f>
        <v/>
      </c>
      <c r="DE73" s="14" t="str">
        <f>IF(COUNTA('1.vize'!H73),'1.vize'!H73,"")</f>
        <v/>
      </c>
      <c r="DF73" s="33"/>
    </row>
    <row r="74" spans="1:110" x14ac:dyDescent="0.2">
      <c r="A74" s="38" t="str">
        <f>IFERROR('1.vize'!L74*100/'1.vize'!$I74,"")</f>
        <v/>
      </c>
      <c r="B74" s="38" t="str">
        <f>IFERROR('1.vize'!M74*100/'1.vize'!$I74,"")</f>
        <v/>
      </c>
      <c r="C74" s="38" t="str">
        <f>IFERROR('1.vize'!N74*100/'1.vize'!$I74,"")</f>
        <v/>
      </c>
      <c r="D74" s="38" t="str">
        <f>IFERROR('1.vize'!O74*100/'1.vize'!$I74,"")</f>
        <v/>
      </c>
      <c r="E74" s="38" t="str">
        <f>IFERROR('1.vize'!P74*100/'1.vize'!$I74,"")</f>
        <v/>
      </c>
      <c r="F74" s="38" t="str">
        <f>IFERROR('1.vize'!Q74*100/'1.vize'!$I74,"")</f>
        <v/>
      </c>
      <c r="G74" s="38" t="str">
        <f>IFERROR('1.vize'!R74*100/'1.vize'!$I74,"")</f>
        <v/>
      </c>
      <c r="H74" s="38" t="str">
        <f>IFERROR('1.vize'!S74*100/'1.vize'!$I74,"")</f>
        <v/>
      </c>
      <c r="I74" s="38" t="str">
        <f>IFERROR('1.vize'!T74*100/'1.vize'!$I74,"")</f>
        <v/>
      </c>
      <c r="J74" s="38" t="str">
        <f>IFERROR('1.vize'!U74*100/'1.vize'!$I74,"")</f>
        <v/>
      </c>
      <c r="K74" s="38" t="str">
        <f>IFERROR('1.vize'!V74*100/'1.vize'!$I74,"")</f>
        <v/>
      </c>
      <c r="L74" s="38" t="str">
        <f>IFERROR('1.vize'!W74*100/'1.vize'!$I74,"")</f>
        <v/>
      </c>
      <c r="M74" s="38" t="str">
        <f>IFERROR('1.vize'!X74*100/'1.vize'!$I74,"")</f>
        <v/>
      </c>
      <c r="N74" s="38" t="str">
        <f>IFERROR('1.vize'!Y74*100/'1.vize'!$I74,"")</f>
        <v/>
      </c>
      <c r="O74" s="38" t="str">
        <f>IFERROR('1.vize'!Z74*100/'1.vize'!$I74,"")</f>
        <v/>
      </c>
      <c r="P74" s="38" t="str">
        <f>IFERROR('1.vize'!AA74*100/'1.vize'!$I74,"")</f>
        <v/>
      </c>
      <c r="Q74" s="38" t="str">
        <f>IFERROR('1.vize'!AB74*100/'1.vize'!$I74,"")</f>
        <v/>
      </c>
      <c r="R74" s="38" t="str">
        <f>IFERROR('1.vize'!AC74*100/'1.vize'!$I74,"")</f>
        <v/>
      </c>
      <c r="S74" s="38" t="str">
        <f>IFERROR('1.vize'!AD74*100/'1.vize'!$I74,"")</f>
        <v/>
      </c>
      <c r="T74" s="38" t="str">
        <f>IFERROR('1.vize'!AE74*100/'1.vize'!$I74,"")</f>
        <v/>
      </c>
      <c r="U74" s="38" t="str">
        <f>IFERROR('1.vize'!AF74*100/'1.vize'!$I74,"")</f>
        <v/>
      </c>
      <c r="V74" s="38" t="str">
        <f>IFERROR('1.vize'!AG74*100/'1.vize'!$I74,"")</f>
        <v/>
      </c>
      <c r="W74" s="38" t="str">
        <f>IFERROR('1.vize'!AH74*100/'1.vize'!$I74,"")</f>
        <v/>
      </c>
      <c r="X74" s="38" t="str">
        <f>IFERROR('1.vize'!AI74*100/'1.vize'!$I74,"")</f>
        <v/>
      </c>
      <c r="Y74" s="38" t="str">
        <f>IFERROR('1.vize'!AJ74*100/'1.vize'!$I74,"")</f>
        <v/>
      </c>
      <c r="Z74" s="38" t="str">
        <f>IFERROR('1.vize'!AK74*100/'1.vize'!$I74,"")</f>
        <v/>
      </c>
      <c r="AA74" s="38" t="str">
        <f>IFERROR('1.vize'!AL74*100/'1.vize'!$I74,"")</f>
        <v/>
      </c>
      <c r="AB74" s="38" t="str">
        <f>IFERROR('1.vize'!AM74*100/'1.vize'!$I74,"")</f>
        <v/>
      </c>
      <c r="AC74" s="38" t="str">
        <f>IFERROR('1.vize'!AN74*100/'1.vize'!$I74,"")</f>
        <v/>
      </c>
      <c r="AD74" s="38" t="str">
        <f>IFERROR('1.vize'!AO74*100/'1.vize'!$I74,"")</f>
        <v/>
      </c>
      <c r="AE74" s="38" t="str">
        <f>IFERROR('1.vize'!AP74*100/'1.vize'!$I74,"")</f>
        <v/>
      </c>
      <c r="AF74" s="38" t="str">
        <f>IFERROR('1.vize'!AQ74*100/'1.vize'!$I74,"")</f>
        <v/>
      </c>
      <c r="AG74" s="38" t="str">
        <f>IFERROR('1.vize'!AR74*100/'1.vize'!$I74,"")</f>
        <v/>
      </c>
      <c r="AH74" s="38" t="str">
        <f>IFERROR('1.vize'!AS74*100/'1.vize'!$I74,"")</f>
        <v/>
      </c>
      <c r="AI74" s="38" t="str">
        <f>IFERROR('1.vize'!AT74*100/'1.vize'!$I74,"")</f>
        <v/>
      </c>
      <c r="AJ74" s="38" t="str">
        <f>IFERROR('1.vize'!AU74*100/'1.vize'!$I74,"")</f>
        <v/>
      </c>
      <c r="AK74" s="38" t="str">
        <f>IFERROR('1.vize'!AV74*100/'1.vize'!$I74,"")</f>
        <v/>
      </c>
      <c r="AL74" s="38" t="str">
        <f>IFERROR('1.vize'!AW74*100/'1.vize'!$I74,"")</f>
        <v/>
      </c>
      <c r="AM74" s="38" t="str">
        <f>IFERROR('1.vize'!AX74*100/'1.vize'!$I74,"")</f>
        <v/>
      </c>
      <c r="AN74" s="38" t="str">
        <f>IFERROR('1.vize'!AY74*100/'1.vize'!$I74,"")</f>
        <v/>
      </c>
      <c r="AO74" s="38" t="str">
        <f>IFERROR('1.vize'!AZ74*100/'1.vize'!$I74,"")</f>
        <v/>
      </c>
      <c r="AP74" s="38" t="str">
        <f>IFERROR('1.vize'!BA74*100/'1.vize'!$I74,"")</f>
        <v/>
      </c>
      <c r="AQ74" s="38" t="str">
        <f>IFERROR('1.vize'!BB74*100/'1.vize'!$I74,"")</f>
        <v/>
      </c>
      <c r="AR74" s="38" t="str">
        <f>IFERROR('1.vize'!BC74*100/'1.vize'!$I74,"")</f>
        <v/>
      </c>
      <c r="AS74" s="38" t="str">
        <f>IFERROR('1.vize'!BD74*100/'1.vize'!$I74,"")</f>
        <v/>
      </c>
      <c r="AT74" s="38" t="str">
        <f>IFERROR('1.vize'!BE74*100/'1.vize'!$I74,"")</f>
        <v/>
      </c>
      <c r="AU74" s="38" t="str">
        <f>IFERROR('1.vize'!BF74*100/'1.vize'!$I74,"")</f>
        <v/>
      </c>
      <c r="AV74" s="38" t="str">
        <f>IFERROR('1.vize'!BG74*100/'1.vize'!$I74,"")</f>
        <v/>
      </c>
      <c r="AW74" s="38" t="str">
        <f>IFERROR('1.vize'!BH74*100/'1.vize'!$I74,"")</f>
        <v/>
      </c>
      <c r="AX74" s="38" t="str">
        <f>IFERROR('1.vize'!BI74*100/'1.vize'!$I74,"")</f>
        <v/>
      </c>
      <c r="AY74" s="38" t="str">
        <f>IFERROR('1.vize'!BJ74*100/'1.vize'!$I74,"")</f>
        <v/>
      </c>
      <c r="AZ74" s="38" t="str">
        <f>IFERROR('1.vize'!BK74*100/'1.vize'!$I74,"")</f>
        <v/>
      </c>
      <c r="BA74" s="38" t="str">
        <f>IFERROR('1.vize'!BL74*100/'1.vize'!$I74,"")</f>
        <v/>
      </c>
      <c r="BB74" s="38" t="str">
        <f>IFERROR('1.vize'!BM74*100/'1.vize'!$I74,"")</f>
        <v/>
      </c>
      <c r="BC74" s="38" t="str">
        <f>IFERROR('1.vize'!BN74*100/'1.vize'!$I74,"")</f>
        <v/>
      </c>
      <c r="BD74" s="38" t="str">
        <f>IFERROR('1.vize'!BO74*100/'1.vize'!$I74,"")</f>
        <v/>
      </c>
      <c r="BE74" s="38" t="str">
        <f>IFERROR('1.vize'!BP74*100/'1.vize'!$I74,"")</f>
        <v/>
      </c>
      <c r="BF74" s="38" t="str">
        <f>IFERROR('1.vize'!BQ74*100/'1.vize'!$I74,"")</f>
        <v/>
      </c>
      <c r="BG74" s="38" t="str">
        <f>IFERROR('1.vize'!BR74*100/'1.vize'!$I74,"")</f>
        <v/>
      </c>
      <c r="BH74" s="38" t="str">
        <f>IFERROR('1.vize'!BS74*100/'1.vize'!$I74,"")</f>
        <v/>
      </c>
      <c r="BI74" s="38" t="str">
        <f>IFERROR('1.vize'!BT74*100/'1.vize'!$I74,"")</f>
        <v/>
      </c>
      <c r="BJ74" s="38" t="str">
        <f>IFERROR('1.vize'!BU74*100/'1.vize'!$I74,"")</f>
        <v/>
      </c>
      <c r="BK74" s="38" t="str">
        <f>IFERROR('1.vize'!BV74*100/'1.vize'!$I74,"")</f>
        <v/>
      </c>
      <c r="BL74" s="38" t="str">
        <f>IFERROR('1.vize'!BW74*100/'1.vize'!$I74,"")</f>
        <v/>
      </c>
      <c r="BM74" s="38" t="str">
        <f>IFERROR('1.vize'!BX74*100/'1.vize'!$I74,"")</f>
        <v/>
      </c>
      <c r="BN74" s="38" t="str">
        <f>IFERROR('1.vize'!BY74*100/'1.vize'!$I74,"")</f>
        <v/>
      </c>
      <c r="BO74" s="38" t="str">
        <f>IFERROR('1.vize'!BZ74*100/'1.vize'!$I74,"")</f>
        <v/>
      </c>
      <c r="BP74" s="38" t="str">
        <f>IFERROR('1.vize'!CA74*100/'1.vize'!$I74,"")</f>
        <v/>
      </c>
      <c r="BQ74" s="38" t="str">
        <f>IFERROR('1.vize'!CB74*100/'1.vize'!$I74,"")</f>
        <v/>
      </c>
      <c r="BR74" s="38" t="str">
        <f>IFERROR('1.vize'!CC74*100/'1.vize'!$I74,"")</f>
        <v/>
      </c>
      <c r="BS74" s="38" t="str">
        <f>IFERROR('1.vize'!CD74*100/'1.vize'!$I74,"")</f>
        <v/>
      </c>
      <c r="BT74" s="38" t="str">
        <f>IFERROR('1.vize'!CE74*100/'1.vize'!$I74,"")</f>
        <v/>
      </c>
      <c r="BU74" s="38" t="str">
        <f>IFERROR('1.vize'!CF74*100/'1.vize'!$I74,"")</f>
        <v/>
      </c>
      <c r="BV74" s="38" t="str">
        <f>IFERROR('1.vize'!CG74*100/'1.vize'!$I74,"")</f>
        <v/>
      </c>
      <c r="BW74" s="38" t="str">
        <f>IFERROR('1.vize'!CH74*100/'1.vize'!$I74,"")</f>
        <v/>
      </c>
      <c r="BX74" s="38" t="str">
        <f>IFERROR('1.vize'!CI74*100/'1.vize'!$I74,"")</f>
        <v/>
      </c>
      <c r="BY74" s="38" t="str">
        <f>IFERROR('1.vize'!CJ74*100/'1.vize'!$I74,"")</f>
        <v/>
      </c>
      <c r="BZ74" s="38" t="str">
        <f>IFERROR('1.vize'!CK74*100/'1.vize'!$I74,"")</f>
        <v/>
      </c>
      <c r="CA74" s="38" t="str">
        <f>IFERROR('1.vize'!CL74*100/'1.vize'!$I74,"")</f>
        <v/>
      </c>
      <c r="CB74" s="38" t="str">
        <f>IFERROR('1.vize'!CM74*100/'1.vize'!$I74,"")</f>
        <v/>
      </c>
      <c r="CC74" s="38" t="str">
        <f>IFERROR('1.vize'!CN74*100/'1.vize'!$I74,"")</f>
        <v/>
      </c>
      <c r="CD74" s="38" t="str">
        <f>IFERROR('1.vize'!CO74*100/'1.vize'!$I74,"")</f>
        <v/>
      </c>
      <c r="CE74" s="38" t="str">
        <f>IFERROR('1.vize'!CP74*100/'1.vize'!$I74,"")</f>
        <v/>
      </c>
      <c r="CF74" s="38" t="str">
        <f>IFERROR('1.vize'!CQ74*100/'1.vize'!$I74,"")</f>
        <v/>
      </c>
      <c r="CG74" s="38" t="str">
        <f>IFERROR('1.vize'!CR74*100/'1.vize'!$I74,"")</f>
        <v/>
      </c>
      <c r="CH74" s="38" t="str">
        <f>IFERROR('1.vize'!CS74*100/'1.vize'!$I74,"")</f>
        <v/>
      </c>
      <c r="CI74" s="38" t="str">
        <f>IFERROR('1.vize'!CT74*100/'1.vize'!$I74,"")</f>
        <v/>
      </c>
      <c r="CJ74" s="38" t="str">
        <f>IFERROR('1.vize'!CU74*100/'1.vize'!$I74,"")</f>
        <v/>
      </c>
      <c r="CK74" s="38" t="str">
        <f>IFERROR('1.vize'!CV74*100/'1.vize'!$I74,"")</f>
        <v/>
      </c>
      <c r="CL74" s="38" t="str">
        <f>IFERROR('1.vize'!CW74*100/'1.vize'!$I74,"")</f>
        <v/>
      </c>
      <c r="CM74" s="38" t="str">
        <f>IFERROR('1.vize'!CX74*100/'1.vize'!$I74,"")</f>
        <v/>
      </c>
      <c r="CN74" s="38" t="str">
        <f>IFERROR('1.vize'!CY74*100/'1.vize'!$I74,"")</f>
        <v/>
      </c>
      <c r="CO74" s="38" t="str">
        <f>IFERROR('1.vize'!CZ74*100/'1.vize'!$I74,"")</f>
        <v/>
      </c>
      <c r="CP74" s="38" t="str">
        <f>IFERROR('1.vize'!DA74*100/'1.vize'!$I74,"")</f>
        <v/>
      </c>
      <c r="CQ74" s="38" t="str">
        <f>IFERROR('1.vize'!DB74*100/'1.vize'!$I74,"")</f>
        <v/>
      </c>
      <c r="CR74" s="38" t="str">
        <f>IFERROR('1.vize'!DC74*100/'1.vize'!$I74,"")</f>
        <v/>
      </c>
      <c r="CS74" s="38" t="str">
        <f>IFERROR('1.vize'!DD74*100/'1.vize'!$I74,"")</f>
        <v/>
      </c>
      <c r="CT74" s="38" t="str">
        <f>IFERROR('1.vize'!DE74*100/'1.vize'!$I74,"")</f>
        <v/>
      </c>
      <c r="CU74" s="38" t="str">
        <f>IFERROR('1.vize'!DF74*100/'1.vize'!$I74,"")</f>
        <v/>
      </c>
      <c r="CV74" s="38" t="str">
        <f>IFERROR('1.vize'!DG74*100/'1.vize'!$I74,"")</f>
        <v/>
      </c>
      <c r="CW74" s="32" t="str">
        <f>IFERROR(SUM(A74:CV74)/'1.vize'!$DH$103,"")</f>
        <v/>
      </c>
      <c r="CX74" s="14" t="str">
        <f>IF(COUNTA('1.vize'!A74),'1.vize'!A74,"")</f>
        <v/>
      </c>
      <c r="CY74" s="14" t="str">
        <f>IF(COUNTA('1.vize'!B74),'1.vize'!B74,"")</f>
        <v/>
      </c>
      <c r="CZ74" s="14" t="str">
        <f>IF(COUNTA('1.vize'!C74),'1.vize'!C74,"")</f>
        <v/>
      </c>
      <c r="DA74" s="14" t="str">
        <f>IF(COUNTA('1.vize'!D74),'1.vize'!D74,"")</f>
        <v/>
      </c>
      <c r="DB74" s="14" t="str">
        <f>IF(COUNTA('1.vize'!E74),'1.vize'!E74,"")</f>
        <v/>
      </c>
      <c r="DC74" s="14" t="str">
        <f>IF(COUNTA('1.vize'!F74),'1.vize'!F74,"")</f>
        <v/>
      </c>
      <c r="DD74" s="14" t="str">
        <f>IF(COUNTA('1.vize'!G74),'1.vize'!G74,"")</f>
        <v/>
      </c>
      <c r="DE74" s="14" t="str">
        <f>IF(COUNTA('1.vize'!H74),'1.vize'!H74,"")</f>
        <v/>
      </c>
      <c r="DF74" s="33"/>
    </row>
    <row r="75" spans="1:110" x14ac:dyDescent="0.2">
      <c r="A75" s="38" t="str">
        <f>IFERROR('1.vize'!L75*100/'1.vize'!$I75,"")</f>
        <v/>
      </c>
      <c r="B75" s="38" t="str">
        <f>IFERROR('1.vize'!M75*100/'1.vize'!$I75,"")</f>
        <v/>
      </c>
      <c r="C75" s="38" t="str">
        <f>IFERROR('1.vize'!N75*100/'1.vize'!$I75,"")</f>
        <v/>
      </c>
      <c r="D75" s="38" t="str">
        <f>IFERROR('1.vize'!O75*100/'1.vize'!$I75,"")</f>
        <v/>
      </c>
      <c r="E75" s="38" t="str">
        <f>IFERROR('1.vize'!P75*100/'1.vize'!$I75,"")</f>
        <v/>
      </c>
      <c r="F75" s="38" t="str">
        <f>IFERROR('1.vize'!Q75*100/'1.vize'!$I75,"")</f>
        <v/>
      </c>
      <c r="G75" s="38" t="str">
        <f>IFERROR('1.vize'!R75*100/'1.vize'!$I75,"")</f>
        <v/>
      </c>
      <c r="H75" s="38" t="str">
        <f>IFERROR('1.vize'!S75*100/'1.vize'!$I75,"")</f>
        <v/>
      </c>
      <c r="I75" s="38" t="str">
        <f>IFERROR('1.vize'!T75*100/'1.vize'!$I75,"")</f>
        <v/>
      </c>
      <c r="J75" s="38" t="str">
        <f>IFERROR('1.vize'!U75*100/'1.vize'!$I75,"")</f>
        <v/>
      </c>
      <c r="K75" s="38" t="str">
        <f>IFERROR('1.vize'!V75*100/'1.vize'!$I75,"")</f>
        <v/>
      </c>
      <c r="L75" s="38" t="str">
        <f>IFERROR('1.vize'!W75*100/'1.vize'!$I75,"")</f>
        <v/>
      </c>
      <c r="M75" s="38" t="str">
        <f>IFERROR('1.vize'!X75*100/'1.vize'!$I75,"")</f>
        <v/>
      </c>
      <c r="N75" s="38" t="str">
        <f>IFERROR('1.vize'!Y75*100/'1.vize'!$I75,"")</f>
        <v/>
      </c>
      <c r="O75" s="38" t="str">
        <f>IFERROR('1.vize'!Z75*100/'1.vize'!$I75,"")</f>
        <v/>
      </c>
      <c r="P75" s="38" t="str">
        <f>IFERROR('1.vize'!AA75*100/'1.vize'!$I75,"")</f>
        <v/>
      </c>
      <c r="Q75" s="38" t="str">
        <f>IFERROR('1.vize'!AB75*100/'1.vize'!$I75,"")</f>
        <v/>
      </c>
      <c r="R75" s="38" t="str">
        <f>IFERROR('1.vize'!AC75*100/'1.vize'!$I75,"")</f>
        <v/>
      </c>
      <c r="S75" s="38" t="str">
        <f>IFERROR('1.vize'!AD75*100/'1.vize'!$I75,"")</f>
        <v/>
      </c>
      <c r="T75" s="38" t="str">
        <f>IFERROR('1.vize'!AE75*100/'1.vize'!$I75,"")</f>
        <v/>
      </c>
      <c r="U75" s="38" t="str">
        <f>IFERROR('1.vize'!AF75*100/'1.vize'!$I75,"")</f>
        <v/>
      </c>
      <c r="V75" s="38" t="str">
        <f>IFERROR('1.vize'!AG75*100/'1.vize'!$I75,"")</f>
        <v/>
      </c>
      <c r="W75" s="38" t="str">
        <f>IFERROR('1.vize'!AH75*100/'1.vize'!$I75,"")</f>
        <v/>
      </c>
      <c r="X75" s="38" t="str">
        <f>IFERROR('1.vize'!AI75*100/'1.vize'!$I75,"")</f>
        <v/>
      </c>
      <c r="Y75" s="38" t="str">
        <f>IFERROR('1.vize'!AJ75*100/'1.vize'!$I75,"")</f>
        <v/>
      </c>
      <c r="Z75" s="38" t="str">
        <f>IFERROR('1.vize'!AK75*100/'1.vize'!$I75,"")</f>
        <v/>
      </c>
      <c r="AA75" s="38" t="str">
        <f>IFERROR('1.vize'!AL75*100/'1.vize'!$I75,"")</f>
        <v/>
      </c>
      <c r="AB75" s="38" t="str">
        <f>IFERROR('1.vize'!AM75*100/'1.vize'!$I75,"")</f>
        <v/>
      </c>
      <c r="AC75" s="38" t="str">
        <f>IFERROR('1.vize'!AN75*100/'1.vize'!$I75,"")</f>
        <v/>
      </c>
      <c r="AD75" s="38" t="str">
        <f>IFERROR('1.vize'!AO75*100/'1.vize'!$I75,"")</f>
        <v/>
      </c>
      <c r="AE75" s="38" t="str">
        <f>IFERROR('1.vize'!AP75*100/'1.vize'!$I75,"")</f>
        <v/>
      </c>
      <c r="AF75" s="38" t="str">
        <f>IFERROR('1.vize'!AQ75*100/'1.vize'!$I75,"")</f>
        <v/>
      </c>
      <c r="AG75" s="38" t="str">
        <f>IFERROR('1.vize'!AR75*100/'1.vize'!$I75,"")</f>
        <v/>
      </c>
      <c r="AH75" s="38" t="str">
        <f>IFERROR('1.vize'!AS75*100/'1.vize'!$I75,"")</f>
        <v/>
      </c>
      <c r="AI75" s="38" t="str">
        <f>IFERROR('1.vize'!AT75*100/'1.vize'!$I75,"")</f>
        <v/>
      </c>
      <c r="AJ75" s="38" t="str">
        <f>IFERROR('1.vize'!AU75*100/'1.vize'!$I75,"")</f>
        <v/>
      </c>
      <c r="AK75" s="38" t="str">
        <f>IFERROR('1.vize'!AV75*100/'1.vize'!$I75,"")</f>
        <v/>
      </c>
      <c r="AL75" s="38" t="str">
        <f>IFERROR('1.vize'!AW75*100/'1.vize'!$I75,"")</f>
        <v/>
      </c>
      <c r="AM75" s="38" t="str">
        <f>IFERROR('1.vize'!AX75*100/'1.vize'!$I75,"")</f>
        <v/>
      </c>
      <c r="AN75" s="38" t="str">
        <f>IFERROR('1.vize'!AY75*100/'1.vize'!$I75,"")</f>
        <v/>
      </c>
      <c r="AO75" s="38" t="str">
        <f>IFERROR('1.vize'!AZ75*100/'1.vize'!$I75,"")</f>
        <v/>
      </c>
      <c r="AP75" s="38" t="str">
        <f>IFERROR('1.vize'!BA75*100/'1.vize'!$I75,"")</f>
        <v/>
      </c>
      <c r="AQ75" s="38" t="str">
        <f>IFERROR('1.vize'!BB75*100/'1.vize'!$I75,"")</f>
        <v/>
      </c>
      <c r="AR75" s="38" t="str">
        <f>IFERROR('1.vize'!BC75*100/'1.vize'!$I75,"")</f>
        <v/>
      </c>
      <c r="AS75" s="38" t="str">
        <f>IFERROR('1.vize'!BD75*100/'1.vize'!$I75,"")</f>
        <v/>
      </c>
      <c r="AT75" s="38" t="str">
        <f>IFERROR('1.vize'!BE75*100/'1.vize'!$I75,"")</f>
        <v/>
      </c>
      <c r="AU75" s="38" t="str">
        <f>IFERROR('1.vize'!BF75*100/'1.vize'!$I75,"")</f>
        <v/>
      </c>
      <c r="AV75" s="38" t="str">
        <f>IFERROR('1.vize'!BG75*100/'1.vize'!$I75,"")</f>
        <v/>
      </c>
      <c r="AW75" s="38" t="str">
        <f>IFERROR('1.vize'!BH75*100/'1.vize'!$I75,"")</f>
        <v/>
      </c>
      <c r="AX75" s="38" t="str">
        <f>IFERROR('1.vize'!BI75*100/'1.vize'!$I75,"")</f>
        <v/>
      </c>
      <c r="AY75" s="38" t="str">
        <f>IFERROR('1.vize'!BJ75*100/'1.vize'!$I75,"")</f>
        <v/>
      </c>
      <c r="AZ75" s="38" t="str">
        <f>IFERROR('1.vize'!BK75*100/'1.vize'!$I75,"")</f>
        <v/>
      </c>
      <c r="BA75" s="38" t="str">
        <f>IFERROR('1.vize'!BL75*100/'1.vize'!$I75,"")</f>
        <v/>
      </c>
      <c r="BB75" s="38" t="str">
        <f>IFERROR('1.vize'!BM75*100/'1.vize'!$I75,"")</f>
        <v/>
      </c>
      <c r="BC75" s="38" t="str">
        <f>IFERROR('1.vize'!BN75*100/'1.vize'!$I75,"")</f>
        <v/>
      </c>
      <c r="BD75" s="38" t="str">
        <f>IFERROR('1.vize'!BO75*100/'1.vize'!$I75,"")</f>
        <v/>
      </c>
      <c r="BE75" s="38" t="str">
        <f>IFERROR('1.vize'!BP75*100/'1.vize'!$I75,"")</f>
        <v/>
      </c>
      <c r="BF75" s="38" t="str">
        <f>IFERROR('1.vize'!BQ75*100/'1.vize'!$I75,"")</f>
        <v/>
      </c>
      <c r="BG75" s="38" t="str">
        <f>IFERROR('1.vize'!BR75*100/'1.vize'!$I75,"")</f>
        <v/>
      </c>
      <c r="BH75" s="38" t="str">
        <f>IFERROR('1.vize'!BS75*100/'1.vize'!$I75,"")</f>
        <v/>
      </c>
      <c r="BI75" s="38" t="str">
        <f>IFERROR('1.vize'!BT75*100/'1.vize'!$I75,"")</f>
        <v/>
      </c>
      <c r="BJ75" s="38" t="str">
        <f>IFERROR('1.vize'!BU75*100/'1.vize'!$I75,"")</f>
        <v/>
      </c>
      <c r="BK75" s="38" t="str">
        <f>IFERROR('1.vize'!BV75*100/'1.vize'!$I75,"")</f>
        <v/>
      </c>
      <c r="BL75" s="38" t="str">
        <f>IFERROR('1.vize'!BW75*100/'1.vize'!$I75,"")</f>
        <v/>
      </c>
      <c r="BM75" s="38" t="str">
        <f>IFERROR('1.vize'!BX75*100/'1.vize'!$I75,"")</f>
        <v/>
      </c>
      <c r="BN75" s="38" t="str">
        <f>IFERROR('1.vize'!BY75*100/'1.vize'!$I75,"")</f>
        <v/>
      </c>
      <c r="BO75" s="38" t="str">
        <f>IFERROR('1.vize'!BZ75*100/'1.vize'!$I75,"")</f>
        <v/>
      </c>
      <c r="BP75" s="38" t="str">
        <f>IFERROR('1.vize'!CA75*100/'1.vize'!$I75,"")</f>
        <v/>
      </c>
      <c r="BQ75" s="38" t="str">
        <f>IFERROR('1.vize'!CB75*100/'1.vize'!$I75,"")</f>
        <v/>
      </c>
      <c r="BR75" s="38" t="str">
        <f>IFERROR('1.vize'!CC75*100/'1.vize'!$I75,"")</f>
        <v/>
      </c>
      <c r="BS75" s="38" t="str">
        <f>IFERROR('1.vize'!CD75*100/'1.vize'!$I75,"")</f>
        <v/>
      </c>
      <c r="BT75" s="38" t="str">
        <f>IFERROR('1.vize'!CE75*100/'1.vize'!$I75,"")</f>
        <v/>
      </c>
      <c r="BU75" s="38" t="str">
        <f>IFERROR('1.vize'!CF75*100/'1.vize'!$I75,"")</f>
        <v/>
      </c>
      <c r="BV75" s="38" t="str">
        <f>IFERROR('1.vize'!CG75*100/'1.vize'!$I75,"")</f>
        <v/>
      </c>
      <c r="BW75" s="38" t="str">
        <f>IFERROR('1.vize'!CH75*100/'1.vize'!$I75,"")</f>
        <v/>
      </c>
      <c r="BX75" s="38" t="str">
        <f>IFERROR('1.vize'!CI75*100/'1.vize'!$I75,"")</f>
        <v/>
      </c>
      <c r="BY75" s="38" t="str">
        <f>IFERROR('1.vize'!CJ75*100/'1.vize'!$I75,"")</f>
        <v/>
      </c>
      <c r="BZ75" s="38" t="str">
        <f>IFERROR('1.vize'!CK75*100/'1.vize'!$I75,"")</f>
        <v/>
      </c>
      <c r="CA75" s="38" t="str">
        <f>IFERROR('1.vize'!CL75*100/'1.vize'!$I75,"")</f>
        <v/>
      </c>
      <c r="CB75" s="38" t="str">
        <f>IFERROR('1.vize'!CM75*100/'1.vize'!$I75,"")</f>
        <v/>
      </c>
      <c r="CC75" s="38" t="str">
        <f>IFERROR('1.vize'!CN75*100/'1.vize'!$I75,"")</f>
        <v/>
      </c>
      <c r="CD75" s="38" t="str">
        <f>IFERROR('1.vize'!CO75*100/'1.vize'!$I75,"")</f>
        <v/>
      </c>
      <c r="CE75" s="38" t="str">
        <f>IFERROR('1.vize'!CP75*100/'1.vize'!$I75,"")</f>
        <v/>
      </c>
      <c r="CF75" s="38" t="str">
        <f>IFERROR('1.vize'!CQ75*100/'1.vize'!$I75,"")</f>
        <v/>
      </c>
      <c r="CG75" s="38" t="str">
        <f>IFERROR('1.vize'!CR75*100/'1.vize'!$I75,"")</f>
        <v/>
      </c>
      <c r="CH75" s="38" t="str">
        <f>IFERROR('1.vize'!CS75*100/'1.vize'!$I75,"")</f>
        <v/>
      </c>
      <c r="CI75" s="38" t="str">
        <f>IFERROR('1.vize'!CT75*100/'1.vize'!$I75,"")</f>
        <v/>
      </c>
      <c r="CJ75" s="38" t="str">
        <f>IFERROR('1.vize'!CU75*100/'1.vize'!$I75,"")</f>
        <v/>
      </c>
      <c r="CK75" s="38" t="str">
        <f>IFERROR('1.vize'!CV75*100/'1.vize'!$I75,"")</f>
        <v/>
      </c>
      <c r="CL75" s="38" t="str">
        <f>IFERROR('1.vize'!CW75*100/'1.vize'!$I75,"")</f>
        <v/>
      </c>
      <c r="CM75" s="38" t="str">
        <f>IFERROR('1.vize'!CX75*100/'1.vize'!$I75,"")</f>
        <v/>
      </c>
      <c r="CN75" s="38" t="str">
        <f>IFERROR('1.vize'!CY75*100/'1.vize'!$I75,"")</f>
        <v/>
      </c>
      <c r="CO75" s="38" t="str">
        <f>IFERROR('1.vize'!CZ75*100/'1.vize'!$I75,"")</f>
        <v/>
      </c>
      <c r="CP75" s="38" t="str">
        <f>IFERROR('1.vize'!DA75*100/'1.vize'!$I75,"")</f>
        <v/>
      </c>
      <c r="CQ75" s="38" t="str">
        <f>IFERROR('1.vize'!DB75*100/'1.vize'!$I75,"")</f>
        <v/>
      </c>
      <c r="CR75" s="38" t="str">
        <f>IFERROR('1.vize'!DC75*100/'1.vize'!$I75,"")</f>
        <v/>
      </c>
      <c r="CS75" s="38" t="str">
        <f>IFERROR('1.vize'!DD75*100/'1.vize'!$I75,"")</f>
        <v/>
      </c>
      <c r="CT75" s="38" t="str">
        <f>IFERROR('1.vize'!DE75*100/'1.vize'!$I75,"")</f>
        <v/>
      </c>
      <c r="CU75" s="38" t="str">
        <f>IFERROR('1.vize'!DF75*100/'1.vize'!$I75,"")</f>
        <v/>
      </c>
      <c r="CV75" s="38" t="str">
        <f>IFERROR('1.vize'!DG75*100/'1.vize'!$I75,"")</f>
        <v/>
      </c>
      <c r="CW75" s="32" t="str">
        <f>IFERROR(SUM(A75:CV75)/'1.vize'!$DH$103,"")</f>
        <v/>
      </c>
      <c r="CX75" s="14" t="str">
        <f>IF(COUNTA('1.vize'!A75),'1.vize'!A75,"")</f>
        <v/>
      </c>
      <c r="CY75" s="14" t="str">
        <f>IF(COUNTA('1.vize'!B75),'1.vize'!B75,"")</f>
        <v/>
      </c>
      <c r="CZ75" s="14" t="str">
        <f>IF(COUNTA('1.vize'!C75),'1.vize'!C75,"")</f>
        <v/>
      </c>
      <c r="DA75" s="14" t="str">
        <f>IF(COUNTA('1.vize'!D75),'1.vize'!D75,"")</f>
        <v/>
      </c>
      <c r="DB75" s="14" t="str">
        <f>IF(COUNTA('1.vize'!E75),'1.vize'!E75,"")</f>
        <v/>
      </c>
      <c r="DC75" s="14" t="str">
        <f>IF(COUNTA('1.vize'!F75),'1.vize'!F75,"")</f>
        <v/>
      </c>
      <c r="DD75" s="14" t="str">
        <f>IF(COUNTA('1.vize'!G75),'1.vize'!G75,"")</f>
        <v/>
      </c>
      <c r="DE75" s="14" t="str">
        <f>IF(COUNTA('1.vize'!H75),'1.vize'!H75,"")</f>
        <v/>
      </c>
      <c r="DF75" s="33"/>
    </row>
    <row r="76" spans="1:110" x14ac:dyDescent="0.2">
      <c r="A76" s="38" t="str">
        <f>IFERROR('1.vize'!L76*100/'1.vize'!$I76,"")</f>
        <v/>
      </c>
      <c r="B76" s="38" t="str">
        <f>IFERROR('1.vize'!M76*100/'1.vize'!$I76,"")</f>
        <v/>
      </c>
      <c r="C76" s="38" t="str">
        <f>IFERROR('1.vize'!N76*100/'1.vize'!$I76,"")</f>
        <v/>
      </c>
      <c r="D76" s="38" t="str">
        <f>IFERROR('1.vize'!O76*100/'1.vize'!$I76,"")</f>
        <v/>
      </c>
      <c r="E76" s="38" t="str">
        <f>IFERROR('1.vize'!P76*100/'1.vize'!$I76,"")</f>
        <v/>
      </c>
      <c r="F76" s="38" t="str">
        <f>IFERROR('1.vize'!Q76*100/'1.vize'!$I76,"")</f>
        <v/>
      </c>
      <c r="G76" s="38" t="str">
        <f>IFERROR('1.vize'!R76*100/'1.vize'!$I76,"")</f>
        <v/>
      </c>
      <c r="H76" s="38" t="str">
        <f>IFERROR('1.vize'!S76*100/'1.vize'!$I76,"")</f>
        <v/>
      </c>
      <c r="I76" s="38" t="str">
        <f>IFERROR('1.vize'!T76*100/'1.vize'!$I76,"")</f>
        <v/>
      </c>
      <c r="J76" s="38" t="str">
        <f>IFERROR('1.vize'!U76*100/'1.vize'!$I76,"")</f>
        <v/>
      </c>
      <c r="K76" s="38" t="str">
        <f>IFERROR('1.vize'!V76*100/'1.vize'!$I76,"")</f>
        <v/>
      </c>
      <c r="L76" s="38" t="str">
        <f>IFERROR('1.vize'!W76*100/'1.vize'!$I76,"")</f>
        <v/>
      </c>
      <c r="M76" s="38" t="str">
        <f>IFERROR('1.vize'!X76*100/'1.vize'!$I76,"")</f>
        <v/>
      </c>
      <c r="N76" s="38" t="str">
        <f>IFERROR('1.vize'!Y76*100/'1.vize'!$I76,"")</f>
        <v/>
      </c>
      <c r="O76" s="38" t="str">
        <f>IFERROR('1.vize'!Z76*100/'1.vize'!$I76,"")</f>
        <v/>
      </c>
      <c r="P76" s="38" t="str">
        <f>IFERROR('1.vize'!AA76*100/'1.vize'!$I76,"")</f>
        <v/>
      </c>
      <c r="Q76" s="38" t="str">
        <f>IFERROR('1.vize'!AB76*100/'1.vize'!$I76,"")</f>
        <v/>
      </c>
      <c r="R76" s="38" t="str">
        <f>IFERROR('1.vize'!AC76*100/'1.vize'!$I76,"")</f>
        <v/>
      </c>
      <c r="S76" s="38" t="str">
        <f>IFERROR('1.vize'!AD76*100/'1.vize'!$I76,"")</f>
        <v/>
      </c>
      <c r="T76" s="38" t="str">
        <f>IFERROR('1.vize'!AE76*100/'1.vize'!$I76,"")</f>
        <v/>
      </c>
      <c r="U76" s="38" t="str">
        <f>IFERROR('1.vize'!AF76*100/'1.vize'!$I76,"")</f>
        <v/>
      </c>
      <c r="V76" s="38" t="str">
        <f>IFERROR('1.vize'!AG76*100/'1.vize'!$I76,"")</f>
        <v/>
      </c>
      <c r="W76" s="38" t="str">
        <f>IFERROR('1.vize'!AH76*100/'1.vize'!$I76,"")</f>
        <v/>
      </c>
      <c r="X76" s="38" t="str">
        <f>IFERROR('1.vize'!AI76*100/'1.vize'!$I76,"")</f>
        <v/>
      </c>
      <c r="Y76" s="38" t="str">
        <f>IFERROR('1.vize'!AJ76*100/'1.vize'!$I76,"")</f>
        <v/>
      </c>
      <c r="Z76" s="38" t="str">
        <f>IFERROR('1.vize'!AK76*100/'1.vize'!$I76,"")</f>
        <v/>
      </c>
      <c r="AA76" s="38" t="str">
        <f>IFERROR('1.vize'!AL76*100/'1.vize'!$I76,"")</f>
        <v/>
      </c>
      <c r="AB76" s="38" t="str">
        <f>IFERROR('1.vize'!AM76*100/'1.vize'!$I76,"")</f>
        <v/>
      </c>
      <c r="AC76" s="38" t="str">
        <f>IFERROR('1.vize'!AN76*100/'1.vize'!$I76,"")</f>
        <v/>
      </c>
      <c r="AD76" s="38" t="str">
        <f>IFERROR('1.vize'!AO76*100/'1.vize'!$I76,"")</f>
        <v/>
      </c>
      <c r="AE76" s="38" t="str">
        <f>IFERROR('1.vize'!AP76*100/'1.vize'!$I76,"")</f>
        <v/>
      </c>
      <c r="AF76" s="38" t="str">
        <f>IFERROR('1.vize'!AQ76*100/'1.vize'!$I76,"")</f>
        <v/>
      </c>
      <c r="AG76" s="38" t="str">
        <f>IFERROR('1.vize'!AR76*100/'1.vize'!$I76,"")</f>
        <v/>
      </c>
      <c r="AH76" s="38" t="str">
        <f>IFERROR('1.vize'!AS76*100/'1.vize'!$I76,"")</f>
        <v/>
      </c>
      <c r="AI76" s="38" t="str">
        <f>IFERROR('1.vize'!AT76*100/'1.vize'!$I76,"")</f>
        <v/>
      </c>
      <c r="AJ76" s="38" t="str">
        <f>IFERROR('1.vize'!AU76*100/'1.vize'!$I76,"")</f>
        <v/>
      </c>
      <c r="AK76" s="38" t="str">
        <f>IFERROR('1.vize'!AV76*100/'1.vize'!$I76,"")</f>
        <v/>
      </c>
      <c r="AL76" s="38" t="str">
        <f>IFERROR('1.vize'!AW76*100/'1.vize'!$I76,"")</f>
        <v/>
      </c>
      <c r="AM76" s="38" t="str">
        <f>IFERROR('1.vize'!AX76*100/'1.vize'!$I76,"")</f>
        <v/>
      </c>
      <c r="AN76" s="38" t="str">
        <f>IFERROR('1.vize'!AY76*100/'1.vize'!$I76,"")</f>
        <v/>
      </c>
      <c r="AO76" s="38" t="str">
        <f>IFERROR('1.vize'!AZ76*100/'1.vize'!$I76,"")</f>
        <v/>
      </c>
      <c r="AP76" s="38" t="str">
        <f>IFERROR('1.vize'!BA76*100/'1.vize'!$I76,"")</f>
        <v/>
      </c>
      <c r="AQ76" s="38" t="str">
        <f>IFERROR('1.vize'!BB76*100/'1.vize'!$I76,"")</f>
        <v/>
      </c>
      <c r="AR76" s="38" t="str">
        <f>IFERROR('1.vize'!BC76*100/'1.vize'!$I76,"")</f>
        <v/>
      </c>
      <c r="AS76" s="38" t="str">
        <f>IFERROR('1.vize'!BD76*100/'1.vize'!$I76,"")</f>
        <v/>
      </c>
      <c r="AT76" s="38" t="str">
        <f>IFERROR('1.vize'!BE76*100/'1.vize'!$I76,"")</f>
        <v/>
      </c>
      <c r="AU76" s="38" t="str">
        <f>IFERROR('1.vize'!BF76*100/'1.vize'!$I76,"")</f>
        <v/>
      </c>
      <c r="AV76" s="38" t="str">
        <f>IFERROR('1.vize'!BG76*100/'1.vize'!$I76,"")</f>
        <v/>
      </c>
      <c r="AW76" s="38" t="str">
        <f>IFERROR('1.vize'!BH76*100/'1.vize'!$I76,"")</f>
        <v/>
      </c>
      <c r="AX76" s="38" t="str">
        <f>IFERROR('1.vize'!BI76*100/'1.vize'!$I76,"")</f>
        <v/>
      </c>
      <c r="AY76" s="38" t="str">
        <f>IFERROR('1.vize'!BJ76*100/'1.vize'!$I76,"")</f>
        <v/>
      </c>
      <c r="AZ76" s="38" t="str">
        <f>IFERROR('1.vize'!BK76*100/'1.vize'!$I76,"")</f>
        <v/>
      </c>
      <c r="BA76" s="38" t="str">
        <f>IFERROR('1.vize'!BL76*100/'1.vize'!$I76,"")</f>
        <v/>
      </c>
      <c r="BB76" s="38" t="str">
        <f>IFERROR('1.vize'!BM76*100/'1.vize'!$I76,"")</f>
        <v/>
      </c>
      <c r="BC76" s="38" t="str">
        <f>IFERROR('1.vize'!BN76*100/'1.vize'!$I76,"")</f>
        <v/>
      </c>
      <c r="BD76" s="38" t="str">
        <f>IFERROR('1.vize'!BO76*100/'1.vize'!$I76,"")</f>
        <v/>
      </c>
      <c r="BE76" s="38" t="str">
        <f>IFERROR('1.vize'!BP76*100/'1.vize'!$I76,"")</f>
        <v/>
      </c>
      <c r="BF76" s="38" t="str">
        <f>IFERROR('1.vize'!BQ76*100/'1.vize'!$I76,"")</f>
        <v/>
      </c>
      <c r="BG76" s="38" t="str">
        <f>IFERROR('1.vize'!BR76*100/'1.vize'!$I76,"")</f>
        <v/>
      </c>
      <c r="BH76" s="38" t="str">
        <f>IFERROR('1.vize'!BS76*100/'1.vize'!$I76,"")</f>
        <v/>
      </c>
      <c r="BI76" s="38" t="str">
        <f>IFERROR('1.vize'!BT76*100/'1.vize'!$I76,"")</f>
        <v/>
      </c>
      <c r="BJ76" s="38" t="str">
        <f>IFERROR('1.vize'!BU76*100/'1.vize'!$I76,"")</f>
        <v/>
      </c>
      <c r="BK76" s="38" t="str">
        <f>IFERROR('1.vize'!BV76*100/'1.vize'!$I76,"")</f>
        <v/>
      </c>
      <c r="BL76" s="38" t="str">
        <f>IFERROR('1.vize'!BW76*100/'1.vize'!$I76,"")</f>
        <v/>
      </c>
      <c r="BM76" s="38" t="str">
        <f>IFERROR('1.vize'!BX76*100/'1.vize'!$I76,"")</f>
        <v/>
      </c>
      <c r="BN76" s="38" t="str">
        <f>IFERROR('1.vize'!BY76*100/'1.vize'!$I76,"")</f>
        <v/>
      </c>
      <c r="BO76" s="38" t="str">
        <f>IFERROR('1.vize'!BZ76*100/'1.vize'!$I76,"")</f>
        <v/>
      </c>
      <c r="BP76" s="38" t="str">
        <f>IFERROR('1.vize'!CA76*100/'1.vize'!$I76,"")</f>
        <v/>
      </c>
      <c r="BQ76" s="38" t="str">
        <f>IFERROR('1.vize'!CB76*100/'1.vize'!$I76,"")</f>
        <v/>
      </c>
      <c r="BR76" s="38" t="str">
        <f>IFERROR('1.vize'!CC76*100/'1.vize'!$I76,"")</f>
        <v/>
      </c>
      <c r="BS76" s="38" t="str">
        <f>IFERROR('1.vize'!CD76*100/'1.vize'!$I76,"")</f>
        <v/>
      </c>
      <c r="BT76" s="38" t="str">
        <f>IFERROR('1.vize'!CE76*100/'1.vize'!$I76,"")</f>
        <v/>
      </c>
      <c r="BU76" s="38" t="str">
        <f>IFERROR('1.vize'!CF76*100/'1.vize'!$I76,"")</f>
        <v/>
      </c>
      <c r="BV76" s="38" t="str">
        <f>IFERROR('1.vize'!CG76*100/'1.vize'!$I76,"")</f>
        <v/>
      </c>
      <c r="BW76" s="38" t="str">
        <f>IFERROR('1.vize'!CH76*100/'1.vize'!$I76,"")</f>
        <v/>
      </c>
      <c r="BX76" s="38" t="str">
        <f>IFERROR('1.vize'!CI76*100/'1.vize'!$I76,"")</f>
        <v/>
      </c>
      <c r="BY76" s="38" t="str">
        <f>IFERROR('1.vize'!CJ76*100/'1.vize'!$I76,"")</f>
        <v/>
      </c>
      <c r="BZ76" s="38" t="str">
        <f>IFERROR('1.vize'!CK76*100/'1.vize'!$I76,"")</f>
        <v/>
      </c>
      <c r="CA76" s="38" t="str">
        <f>IFERROR('1.vize'!CL76*100/'1.vize'!$I76,"")</f>
        <v/>
      </c>
      <c r="CB76" s="38" t="str">
        <f>IFERROR('1.vize'!CM76*100/'1.vize'!$I76,"")</f>
        <v/>
      </c>
      <c r="CC76" s="38" t="str">
        <f>IFERROR('1.vize'!CN76*100/'1.vize'!$I76,"")</f>
        <v/>
      </c>
      <c r="CD76" s="38" t="str">
        <f>IFERROR('1.vize'!CO76*100/'1.vize'!$I76,"")</f>
        <v/>
      </c>
      <c r="CE76" s="38" t="str">
        <f>IFERROR('1.vize'!CP76*100/'1.vize'!$I76,"")</f>
        <v/>
      </c>
      <c r="CF76" s="38" t="str">
        <f>IFERROR('1.vize'!CQ76*100/'1.vize'!$I76,"")</f>
        <v/>
      </c>
      <c r="CG76" s="38" t="str">
        <f>IFERROR('1.vize'!CR76*100/'1.vize'!$I76,"")</f>
        <v/>
      </c>
      <c r="CH76" s="38" t="str">
        <f>IFERROR('1.vize'!CS76*100/'1.vize'!$I76,"")</f>
        <v/>
      </c>
      <c r="CI76" s="38" t="str">
        <f>IFERROR('1.vize'!CT76*100/'1.vize'!$I76,"")</f>
        <v/>
      </c>
      <c r="CJ76" s="38" t="str">
        <f>IFERROR('1.vize'!CU76*100/'1.vize'!$I76,"")</f>
        <v/>
      </c>
      <c r="CK76" s="38" t="str">
        <f>IFERROR('1.vize'!CV76*100/'1.vize'!$I76,"")</f>
        <v/>
      </c>
      <c r="CL76" s="38" t="str">
        <f>IFERROR('1.vize'!CW76*100/'1.vize'!$I76,"")</f>
        <v/>
      </c>
      <c r="CM76" s="38" t="str">
        <f>IFERROR('1.vize'!CX76*100/'1.vize'!$I76,"")</f>
        <v/>
      </c>
      <c r="CN76" s="38" t="str">
        <f>IFERROR('1.vize'!CY76*100/'1.vize'!$I76,"")</f>
        <v/>
      </c>
      <c r="CO76" s="38" t="str">
        <f>IFERROR('1.vize'!CZ76*100/'1.vize'!$I76,"")</f>
        <v/>
      </c>
      <c r="CP76" s="38" t="str">
        <f>IFERROR('1.vize'!DA76*100/'1.vize'!$I76,"")</f>
        <v/>
      </c>
      <c r="CQ76" s="38" t="str">
        <f>IFERROR('1.vize'!DB76*100/'1.vize'!$I76,"")</f>
        <v/>
      </c>
      <c r="CR76" s="38" t="str">
        <f>IFERROR('1.vize'!DC76*100/'1.vize'!$I76,"")</f>
        <v/>
      </c>
      <c r="CS76" s="38" t="str">
        <f>IFERROR('1.vize'!DD76*100/'1.vize'!$I76,"")</f>
        <v/>
      </c>
      <c r="CT76" s="38" t="str">
        <f>IFERROR('1.vize'!DE76*100/'1.vize'!$I76,"")</f>
        <v/>
      </c>
      <c r="CU76" s="38" t="str">
        <f>IFERROR('1.vize'!DF76*100/'1.vize'!$I76,"")</f>
        <v/>
      </c>
      <c r="CV76" s="38" t="str">
        <f>IFERROR('1.vize'!DG76*100/'1.vize'!$I76,"")</f>
        <v/>
      </c>
      <c r="CW76" s="32" t="str">
        <f>IFERROR(SUM(A76:CV76)/'1.vize'!$DH$103,"")</f>
        <v/>
      </c>
      <c r="CX76" s="14" t="str">
        <f>IF(COUNTA('1.vize'!A76),'1.vize'!A76,"")</f>
        <v/>
      </c>
      <c r="CY76" s="14" t="str">
        <f>IF(COUNTA('1.vize'!B76),'1.vize'!B76,"")</f>
        <v/>
      </c>
      <c r="CZ76" s="14" t="str">
        <f>IF(COUNTA('1.vize'!C76),'1.vize'!C76,"")</f>
        <v/>
      </c>
      <c r="DA76" s="14" t="str">
        <f>IF(COUNTA('1.vize'!D76),'1.vize'!D76,"")</f>
        <v/>
      </c>
      <c r="DB76" s="14" t="str">
        <f>IF(COUNTA('1.vize'!E76),'1.vize'!E76,"")</f>
        <v/>
      </c>
      <c r="DC76" s="14" t="str">
        <f>IF(COUNTA('1.vize'!F76),'1.vize'!F76,"")</f>
        <v/>
      </c>
      <c r="DD76" s="14" t="str">
        <f>IF(COUNTA('1.vize'!G76),'1.vize'!G76,"")</f>
        <v/>
      </c>
      <c r="DE76" s="14" t="str">
        <f>IF(COUNTA('1.vize'!H76),'1.vize'!H76,"")</f>
        <v/>
      </c>
      <c r="DF76" s="33"/>
    </row>
    <row r="77" spans="1:110" x14ac:dyDescent="0.2">
      <c r="A77" s="38" t="str">
        <f>IFERROR('1.vize'!L77*100/'1.vize'!$I77,"")</f>
        <v/>
      </c>
      <c r="B77" s="38" t="str">
        <f>IFERROR('1.vize'!M77*100/'1.vize'!$I77,"")</f>
        <v/>
      </c>
      <c r="C77" s="38" t="str">
        <f>IFERROR('1.vize'!N77*100/'1.vize'!$I77,"")</f>
        <v/>
      </c>
      <c r="D77" s="38" t="str">
        <f>IFERROR('1.vize'!O77*100/'1.vize'!$I77,"")</f>
        <v/>
      </c>
      <c r="E77" s="38" t="str">
        <f>IFERROR('1.vize'!P77*100/'1.vize'!$I77,"")</f>
        <v/>
      </c>
      <c r="F77" s="38" t="str">
        <f>IFERROR('1.vize'!Q77*100/'1.vize'!$I77,"")</f>
        <v/>
      </c>
      <c r="G77" s="38" t="str">
        <f>IFERROR('1.vize'!R77*100/'1.vize'!$I77,"")</f>
        <v/>
      </c>
      <c r="H77" s="38" t="str">
        <f>IFERROR('1.vize'!S77*100/'1.vize'!$I77,"")</f>
        <v/>
      </c>
      <c r="I77" s="38" t="str">
        <f>IFERROR('1.vize'!T77*100/'1.vize'!$I77,"")</f>
        <v/>
      </c>
      <c r="J77" s="38" t="str">
        <f>IFERROR('1.vize'!U77*100/'1.vize'!$I77,"")</f>
        <v/>
      </c>
      <c r="K77" s="38" t="str">
        <f>IFERROR('1.vize'!V77*100/'1.vize'!$I77,"")</f>
        <v/>
      </c>
      <c r="L77" s="38" t="str">
        <f>IFERROR('1.vize'!W77*100/'1.vize'!$I77,"")</f>
        <v/>
      </c>
      <c r="M77" s="38" t="str">
        <f>IFERROR('1.vize'!X77*100/'1.vize'!$I77,"")</f>
        <v/>
      </c>
      <c r="N77" s="38" t="str">
        <f>IFERROR('1.vize'!Y77*100/'1.vize'!$I77,"")</f>
        <v/>
      </c>
      <c r="O77" s="38" t="str">
        <f>IFERROR('1.vize'!Z77*100/'1.vize'!$I77,"")</f>
        <v/>
      </c>
      <c r="P77" s="38" t="str">
        <f>IFERROR('1.vize'!AA77*100/'1.vize'!$I77,"")</f>
        <v/>
      </c>
      <c r="Q77" s="38" t="str">
        <f>IFERROR('1.vize'!AB77*100/'1.vize'!$I77,"")</f>
        <v/>
      </c>
      <c r="R77" s="38" t="str">
        <f>IFERROR('1.vize'!AC77*100/'1.vize'!$I77,"")</f>
        <v/>
      </c>
      <c r="S77" s="38" t="str">
        <f>IFERROR('1.vize'!AD77*100/'1.vize'!$I77,"")</f>
        <v/>
      </c>
      <c r="T77" s="38" t="str">
        <f>IFERROR('1.vize'!AE77*100/'1.vize'!$I77,"")</f>
        <v/>
      </c>
      <c r="U77" s="38" t="str">
        <f>IFERROR('1.vize'!AF77*100/'1.vize'!$I77,"")</f>
        <v/>
      </c>
      <c r="V77" s="38" t="str">
        <f>IFERROR('1.vize'!AG77*100/'1.vize'!$I77,"")</f>
        <v/>
      </c>
      <c r="W77" s="38" t="str">
        <f>IFERROR('1.vize'!AH77*100/'1.vize'!$I77,"")</f>
        <v/>
      </c>
      <c r="X77" s="38" t="str">
        <f>IFERROR('1.vize'!AI77*100/'1.vize'!$I77,"")</f>
        <v/>
      </c>
      <c r="Y77" s="38" t="str">
        <f>IFERROR('1.vize'!AJ77*100/'1.vize'!$I77,"")</f>
        <v/>
      </c>
      <c r="Z77" s="38" t="str">
        <f>IFERROR('1.vize'!AK77*100/'1.vize'!$I77,"")</f>
        <v/>
      </c>
      <c r="AA77" s="38" t="str">
        <f>IFERROR('1.vize'!AL77*100/'1.vize'!$I77,"")</f>
        <v/>
      </c>
      <c r="AB77" s="38" t="str">
        <f>IFERROR('1.vize'!AM77*100/'1.vize'!$I77,"")</f>
        <v/>
      </c>
      <c r="AC77" s="38" t="str">
        <f>IFERROR('1.vize'!AN77*100/'1.vize'!$I77,"")</f>
        <v/>
      </c>
      <c r="AD77" s="38" t="str">
        <f>IFERROR('1.vize'!AO77*100/'1.vize'!$I77,"")</f>
        <v/>
      </c>
      <c r="AE77" s="38" t="str">
        <f>IFERROR('1.vize'!AP77*100/'1.vize'!$I77,"")</f>
        <v/>
      </c>
      <c r="AF77" s="38" t="str">
        <f>IFERROR('1.vize'!AQ77*100/'1.vize'!$I77,"")</f>
        <v/>
      </c>
      <c r="AG77" s="38" t="str">
        <f>IFERROR('1.vize'!AR77*100/'1.vize'!$I77,"")</f>
        <v/>
      </c>
      <c r="AH77" s="38" t="str">
        <f>IFERROR('1.vize'!AS77*100/'1.vize'!$I77,"")</f>
        <v/>
      </c>
      <c r="AI77" s="38" t="str">
        <f>IFERROR('1.vize'!AT77*100/'1.vize'!$I77,"")</f>
        <v/>
      </c>
      <c r="AJ77" s="38" t="str">
        <f>IFERROR('1.vize'!AU77*100/'1.vize'!$I77,"")</f>
        <v/>
      </c>
      <c r="AK77" s="38" t="str">
        <f>IFERROR('1.vize'!AV77*100/'1.vize'!$I77,"")</f>
        <v/>
      </c>
      <c r="AL77" s="38" t="str">
        <f>IFERROR('1.vize'!AW77*100/'1.vize'!$I77,"")</f>
        <v/>
      </c>
      <c r="AM77" s="38" t="str">
        <f>IFERROR('1.vize'!AX77*100/'1.vize'!$I77,"")</f>
        <v/>
      </c>
      <c r="AN77" s="38" t="str">
        <f>IFERROR('1.vize'!AY77*100/'1.vize'!$I77,"")</f>
        <v/>
      </c>
      <c r="AO77" s="38" t="str">
        <f>IFERROR('1.vize'!AZ77*100/'1.vize'!$I77,"")</f>
        <v/>
      </c>
      <c r="AP77" s="38" t="str">
        <f>IFERROR('1.vize'!BA77*100/'1.vize'!$I77,"")</f>
        <v/>
      </c>
      <c r="AQ77" s="38" t="str">
        <f>IFERROR('1.vize'!BB77*100/'1.vize'!$I77,"")</f>
        <v/>
      </c>
      <c r="AR77" s="38" t="str">
        <f>IFERROR('1.vize'!BC77*100/'1.vize'!$I77,"")</f>
        <v/>
      </c>
      <c r="AS77" s="38" t="str">
        <f>IFERROR('1.vize'!BD77*100/'1.vize'!$I77,"")</f>
        <v/>
      </c>
      <c r="AT77" s="38" t="str">
        <f>IFERROR('1.vize'!BE77*100/'1.vize'!$I77,"")</f>
        <v/>
      </c>
      <c r="AU77" s="38" t="str">
        <f>IFERROR('1.vize'!BF77*100/'1.vize'!$I77,"")</f>
        <v/>
      </c>
      <c r="AV77" s="38" t="str">
        <f>IFERROR('1.vize'!BG77*100/'1.vize'!$I77,"")</f>
        <v/>
      </c>
      <c r="AW77" s="38" t="str">
        <f>IFERROR('1.vize'!BH77*100/'1.vize'!$I77,"")</f>
        <v/>
      </c>
      <c r="AX77" s="38" t="str">
        <f>IFERROR('1.vize'!BI77*100/'1.vize'!$I77,"")</f>
        <v/>
      </c>
      <c r="AY77" s="38" t="str">
        <f>IFERROR('1.vize'!BJ77*100/'1.vize'!$I77,"")</f>
        <v/>
      </c>
      <c r="AZ77" s="38" t="str">
        <f>IFERROR('1.vize'!BK77*100/'1.vize'!$I77,"")</f>
        <v/>
      </c>
      <c r="BA77" s="38" t="str">
        <f>IFERROR('1.vize'!BL77*100/'1.vize'!$I77,"")</f>
        <v/>
      </c>
      <c r="BB77" s="38" t="str">
        <f>IFERROR('1.vize'!BM77*100/'1.vize'!$I77,"")</f>
        <v/>
      </c>
      <c r="BC77" s="38" t="str">
        <f>IFERROR('1.vize'!BN77*100/'1.vize'!$I77,"")</f>
        <v/>
      </c>
      <c r="BD77" s="38" t="str">
        <f>IFERROR('1.vize'!BO77*100/'1.vize'!$I77,"")</f>
        <v/>
      </c>
      <c r="BE77" s="38" t="str">
        <f>IFERROR('1.vize'!BP77*100/'1.vize'!$I77,"")</f>
        <v/>
      </c>
      <c r="BF77" s="38" t="str">
        <f>IFERROR('1.vize'!BQ77*100/'1.vize'!$I77,"")</f>
        <v/>
      </c>
      <c r="BG77" s="38" t="str">
        <f>IFERROR('1.vize'!BR77*100/'1.vize'!$I77,"")</f>
        <v/>
      </c>
      <c r="BH77" s="38" t="str">
        <f>IFERROR('1.vize'!BS77*100/'1.vize'!$I77,"")</f>
        <v/>
      </c>
      <c r="BI77" s="38" t="str">
        <f>IFERROR('1.vize'!BT77*100/'1.vize'!$I77,"")</f>
        <v/>
      </c>
      <c r="BJ77" s="38" t="str">
        <f>IFERROR('1.vize'!BU77*100/'1.vize'!$I77,"")</f>
        <v/>
      </c>
      <c r="BK77" s="38" t="str">
        <f>IFERROR('1.vize'!BV77*100/'1.vize'!$I77,"")</f>
        <v/>
      </c>
      <c r="BL77" s="38" t="str">
        <f>IFERROR('1.vize'!BW77*100/'1.vize'!$I77,"")</f>
        <v/>
      </c>
      <c r="BM77" s="38" t="str">
        <f>IFERROR('1.vize'!BX77*100/'1.vize'!$I77,"")</f>
        <v/>
      </c>
      <c r="BN77" s="38" t="str">
        <f>IFERROR('1.vize'!BY77*100/'1.vize'!$I77,"")</f>
        <v/>
      </c>
      <c r="BO77" s="38" t="str">
        <f>IFERROR('1.vize'!BZ77*100/'1.vize'!$I77,"")</f>
        <v/>
      </c>
      <c r="BP77" s="38" t="str">
        <f>IFERROR('1.vize'!CA77*100/'1.vize'!$I77,"")</f>
        <v/>
      </c>
      <c r="BQ77" s="38" t="str">
        <f>IFERROR('1.vize'!CB77*100/'1.vize'!$I77,"")</f>
        <v/>
      </c>
      <c r="BR77" s="38" t="str">
        <f>IFERROR('1.vize'!CC77*100/'1.vize'!$I77,"")</f>
        <v/>
      </c>
      <c r="BS77" s="38" t="str">
        <f>IFERROR('1.vize'!CD77*100/'1.vize'!$I77,"")</f>
        <v/>
      </c>
      <c r="BT77" s="38" t="str">
        <f>IFERROR('1.vize'!CE77*100/'1.vize'!$I77,"")</f>
        <v/>
      </c>
      <c r="BU77" s="38" t="str">
        <f>IFERROR('1.vize'!CF77*100/'1.vize'!$I77,"")</f>
        <v/>
      </c>
      <c r="BV77" s="38" t="str">
        <f>IFERROR('1.vize'!CG77*100/'1.vize'!$I77,"")</f>
        <v/>
      </c>
      <c r="BW77" s="38" t="str">
        <f>IFERROR('1.vize'!CH77*100/'1.vize'!$I77,"")</f>
        <v/>
      </c>
      <c r="BX77" s="38" t="str">
        <f>IFERROR('1.vize'!CI77*100/'1.vize'!$I77,"")</f>
        <v/>
      </c>
      <c r="BY77" s="38" t="str">
        <f>IFERROR('1.vize'!CJ77*100/'1.vize'!$I77,"")</f>
        <v/>
      </c>
      <c r="BZ77" s="38" t="str">
        <f>IFERROR('1.vize'!CK77*100/'1.vize'!$I77,"")</f>
        <v/>
      </c>
      <c r="CA77" s="38" t="str">
        <f>IFERROR('1.vize'!CL77*100/'1.vize'!$I77,"")</f>
        <v/>
      </c>
      <c r="CB77" s="38" t="str">
        <f>IFERROR('1.vize'!CM77*100/'1.vize'!$I77,"")</f>
        <v/>
      </c>
      <c r="CC77" s="38" t="str">
        <f>IFERROR('1.vize'!CN77*100/'1.vize'!$I77,"")</f>
        <v/>
      </c>
      <c r="CD77" s="38" t="str">
        <f>IFERROR('1.vize'!CO77*100/'1.vize'!$I77,"")</f>
        <v/>
      </c>
      <c r="CE77" s="38" t="str">
        <f>IFERROR('1.vize'!CP77*100/'1.vize'!$I77,"")</f>
        <v/>
      </c>
      <c r="CF77" s="38" t="str">
        <f>IFERROR('1.vize'!CQ77*100/'1.vize'!$I77,"")</f>
        <v/>
      </c>
      <c r="CG77" s="38" t="str">
        <f>IFERROR('1.vize'!CR77*100/'1.vize'!$I77,"")</f>
        <v/>
      </c>
      <c r="CH77" s="38" t="str">
        <f>IFERROR('1.vize'!CS77*100/'1.vize'!$I77,"")</f>
        <v/>
      </c>
      <c r="CI77" s="38" t="str">
        <f>IFERROR('1.vize'!CT77*100/'1.vize'!$I77,"")</f>
        <v/>
      </c>
      <c r="CJ77" s="38" t="str">
        <f>IFERROR('1.vize'!CU77*100/'1.vize'!$I77,"")</f>
        <v/>
      </c>
      <c r="CK77" s="38" t="str">
        <f>IFERROR('1.vize'!CV77*100/'1.vize'!$I77,"")</f>
        <v/>
      </c>
      <c r="CL77" s="38" t="str">
        <f>IFERROR('1.vize'!CW77*100/'1.vize'!$I77,"")</f>
        <v/>
      </c>
      <c r="CM77" s="38" t="str">
        <f>IFERROR('1.vize'!CX77*100/'1.vize'!$I77,"")</f>
        <v/>
      </c>
      <c r="CN77" s="38" t="str">
        <f>IFERROR('1.vize'!CY77*100/'1.vize'!$I77,"")</f>
        <v/>
      </c>
      <c r="CO77" s="38" t="str">
        <f>IFERROR('1.vize'!CZ77*100/'1.vize'!$I77,"")</f>
        <v/>
      </c>
      <c r="CP77" s="38" t="str">
        <f>IFERROR('1.vize'!DA77*100/'1.vize'!$I77,"")</f>
        <v/>
      </c>
      <c r="CQ77" s="38" t="str">
        <f>IFERROR('1.vize'!DB77*100/'1.vize'!$I77,"")</f>
        <v/>
      </c>
      <c r="CR77" s="38" t="str">
        <f>IFERROR('1.vize'!DC77*100/'1.vize'!$I77,"")</f>
        <v/>
      </c>
      <c r="CS77" s="38" t="str">
        <f>IFERROR('1.vize'!DD77*100/'1.vize'!$I77,"")</f>
        <v/>
      </c>
      <c r="CT77" s="38" t="str">
        <f>IFERROR('1.vize'!DE77*100/'1.vize'!$I77,"")</f>
        <v/>
      </c>
      <c r="CU77" s="38" t="str">
        <f>IFERROR('1.vize'!DF77*100/'1.vize'!$I77,"")</f>
        <v/>
      </c>
      <c r="CV77" s="38" t="str">
        <f>IFERROR('1.vize'!DG77*100/'1.vize'!$I77,"")</f>
        <v/>
      </c>
      <c r="CW77" s="32" t="str">
        <f>IFERROR(SUM(A77:CV77)/'1.vize'!$DH$103,"")</f>
        <v/>
      </c>
      <c r="CX77" s="14" t="str">
        <f>IF(COUNTA('1.vize'!A77),'1.vize'!A77,"")</f>
        <v/>
      </c>
      <c r="CY77" s="14" t="str">
        <f>IF(COUNTA('1.vize'!B77),'1.vize'!B77,"")</f>
        <v/>
      </c>
      <c r="CZ77" s="14" t="str">
        <f>IF(COUNTA('1.vize'!C77),'1.vize'!C77,"")</f>
        <v/>
      </c>
      <c r="DA77" s="14" t="str">
        <f>IF(COUNTA('1.vize'!D77),'1.vize'!D77,"")</f>
        <v/>
      </c>
      <c r="DB77" s="14" t="str">
        <f>IF(COUNTA('1.vize'!E77),'1.vize'!E77,"")</f>
        <v/>
      </c>
      <c r="DC77" s="14" t="str">
        <f>IF(COUNTA('1.vize'!F77),'1.vize'!F77,"")</f>
        <v/>
      </c>
      <c r="DD77" s="14" t="str">
        <f>IF(COUNTA('1.vize'!G77),'1.vize'!G77,"")</f>
        <v/>
      </c>
      <c r="DE77" s="14" t="str">
        <f>IF(COUNTA('1.vize'!H77),'1.vize'!H77,"")</f>
        <v/>
      </c>
      <c r="DF77" s="33"/>
    </row>
    <row r="78" spans="1:110" x14ac:dyDescent="0.2">
      <c r="A78" s="38" t="str">
        <f>IFERROR('1.vize'!L78*100/'1.vize'!$I78,"")</f>
        <v/>
      </c>
      <c r="B78" s="38" t="str">
        <f>IFERROR('1.vize'!M78*100/'1.vize'!$I78,"")</f>
        <v/>
      </c>
      <c r="C78" s="38" t="str">
        <f>IFERROR('1.vize'!N78*100/'1.vize'!$I78,"")</f>
        <v/>
      </c>
      <c r="D78" s="38" t="str">
        <f>IFERROR('1.vize'!O78*100/'1.vize'!$I78,"")</f>
        <v/>
      </c>
      <c r="E78" s="38" t="str">
        <f>IFERROR('1.vize'!P78*100/'1.vize'!$I78,"")</f>
        <v/>
      </c>
      <c r="F78" s="38" t="str">
        <f>IFERROR('1.vize'!Q78*100/'1.vize'!$I78,"")</f>
        <v/>
      </c>
      <c r="G78" s="38" t="str">
        <f>IFERROR('1.vize'!R78*100/'1.vize'!$I78,"")</f>
        <v/>
      </c>
      <c r="H78" s="38" t="str">
        <f>IFERROR('1.vize'!S78*100/'1.vize'!$I78,"")</f>
        <v/>
      </c>
      <c r="I78" s="38" t="str">
        <f>IFERROR('1.vize'!T78*100/'1.vize'!$I78,"")</f>
        <v/>
      </c>
      <c r="J78" s="38" t="str">
        <f>IFERROR('1.vize'!U78*100/'1.vize'!$I78,"")</f>
        <v/>
      </c>
      <c r="K78" s="38" t="str">
        <f>IFERROR('1.vize'!V78*100/'1.vize'!$I78,"")</f>
        <v/>
      </c>
      <c r="L78" s="38" t="str">
        <f>IFERROR('1.vize'!W78*100/'1.vize'!$I78,"")</f>
        <v/>
      </c>
      <c r="M78" s="38" t="str">
        <f>IFERROR('1.vize'!X78*100/'1.vize'!$I78,"")</f>
        <v/>
      </c>
      <c r="N78" s="38" t="str">
        <f>IFERROR('1.vize'!Y78*100/'1.vize'!$I78,"")</f>
        <v/>
      </c>
      <c r="O78" s="38" t="str">
        <f>IFERROR('1.vize'!Z78*100/'1.vize'!$I78,"")</f>
        <v/>
      </c>
      <c r="P78" s="38" t="str">
        <f>IFERROR('1.vize'!AA78*100/'1.vize'!$I78,"")</f>
        <v/>
      </c>
      <c r="Q78" s="38" t="str">
        <f>IFERROR('1.vize'!AB78*100/'1.vize'!$I78,"")</f>
        <v/>
      </c>
      <c r="R78" s="38" t="str">
        <f>IFERROR('1.vize'!AC78*100/'1.vize'!$I78,"")</f>
        <v/>
      </c>
      <c r="S78" s="38" t="str">
        <f>IFERROR('1.vize'!AD78*100/'1.vize'!$I78,"")</f>
        <v/>
      </c>
      <c r="T78" s="38" t="str">
        <f>IFERROR('1.vize'!AE78*100/'1.vize'!$I78,"")</f>
        <v/>
      </c>
      <c r="U78" s="38" t="str">
        <f>IFERROR('1.vize'!AF78*100/'1.vize'!$I78,"")</f>
        <v/>
      </c>
      <c r="V78" s="38" t="str">
        <f>IFERROR('1.vize'!AG78*100/'1.vize'!$I78,"")</f>
        <v/>
      </c>
      <c r="W78" s="38" t="str">
        <f>IFERROR('1.vize'!AH78*100/'1.vize'!$I78,"")</f>
        <v/>
      </c>
      <c r="X78" s="38" t="str">
        <f>IFERROR('1.vize'!AI78*100/'1.vize'!$I78,"")</f>
        <v/>
      </c>
      <c r="Y78" s="38" t="str">
        <f>IFERROR('1.vize'!AJ78*100/'1.vize'!$I78,"")</f>
        <v/>
      </c>
      <c r="Z78" s="38" t="str">
        <f>IFERROR('1.vize'!AK78*100/'1.vize'!$I78,"")</f>
        <v/>
      </c>
      <c r="AA78" s="38" t="str">
        <f>IFERROR('1.vize'!AL78*100/'1.vize'!$I78,"")</f>
        <v/>
      </c>
      <c r="AB78" s="38" t="str">
        <f>IFERROR('1.vize'!AM78*100/'1.vize'!$I78,"")</f>
        <v/>
      </c>
      <c r="AC78" s="38" t="str">
        <f>IFERROR('1.vize'!AN78*100/'1.vize'!$I78,"")</f>
        <v/>
      </c>
      <c r="AD78" s="38" t="str">
        <f>IFERROR('1.vize'!AO78*100/'1.vize'!$I78,"")</f>
        <v/>
      </c>
      <c r="AE78" s="38" t="str">
        <f>IFERROR('1.vize'!AP78*100/'1.vize'!$I78,"")</f>
        <v/>
      </c>
      <c r="AF78" s="38" t="str">
        <f>IFERROR('1.vize'!AQ78*100/'1.vize'!$I78,"")</f>
        <v/>
      </c>
      <c r="AG78" s="38" t="str">
        <f>IFERROR('1.vize'!AR78*100/'1.vize'!$I78,"")</f>
        <v/>
      </c>
      <c r="AH78" s="38" t="str">
        <f>IFERROR('1.vize'!AS78*100/'1.vize'!$I78,"")</f>
        <v/>
      </c>
      <c r="AI78" s="38" t="str">
        <f>IFERROR('1.vize'!AT78*100/'1.vize'!$I78,"")</f>
        <v/>
      </c>
      <c r="AJ78" s="38" t="str">
        <f>IFERROR('1.vize'!AU78*100/'1.vize'!$I78,"")</f>
        <v/>
      </c>
      <c r="AK78" s="38" t="str">
        <f>IFERROR('1.vize'!AV78*100/'1.vize'!$I78,"")</f>
        <v/>
      </c>
      <c r="AL78" s="38" t="str">
        <f>IFERROR('1.vize'!AW78*100/'1.vize'!$I78,"")</f>
        <v/>
      </c>
      <c r="AM78" s="38" t="str">
        <f>IFERROR('1.vize'!AX78*100/'1.vize'!$I78,"")</f>
        <v/>
      </c>
      <c r="AN78" s="38" t="str">
        <f>IFERROR('1.vize'!AY78*100/'1.vize'!$I78,"")</f>
        <v/>
      </c>
      <c r="AO78" s="38" t="str">
        <f>IFERROR('1.vize'!AZ78*100/'1.vize'!$I78,"")</f>
        <v/>
      </c>
      <c r="AP78" s="38" t="str">
        <f>IFERROR('1.vize'!BA78*100/'1.vize'!$I78,"")</f>
        <v/>
      </c>
      <c r="AQ78" s="38" t="str">
        <f>IFERROR('1.vize'!BB78*100/'1.vize'!$I78,"")</f>
        <v/>
      </c>
      <c r="AR78" s="38" t="str">
        <f>IFERROR('1.vize'!BC78*100/'1.vize'!$I78,"")</f>
        <v/>
      </c>
      <c r="AS78" s="38" t="str">
        <f>IFERROR('1.vize'!BD78*100/'1.vize'!$I78,"")</f>
        <v/>
      </c>
      <c r="AT78" s="38" t="str">
        <f>IFERROR('1.vize'!BE78*100/'1.vize'!$I78,"")</f>
        <v/>
      </c>
      <c r="AU78" s="38" t="str">
        <f>IFERROR('1.vize'!BF78*100/'1.vize'!$I78,"")</f>
        <v/>
      </c>
      <c r="AV78" s="38" t="str">
        <f>IFERROR('1.vize'!BG78*100/'1.vize'!$I78,"")</f>
        <v/>
      </c>
      <c r="AW78" s="38" t="str">
        <f>IFERROR('1.vize'!BH78*100/'1.vize'!$I78,"")</f>
        <v/>
      </c>
      <c r="AX78" s="38" t="str">
        <f>IFERROR('1.vize'!BI78*100/'1.vize'!$I78,"")</f>
        <v/>
      </c>
      <c r="AY78" s="38" t="str">
        <f>IFERROR('1.vize'!BJ78*100/'1.vize'!$I78,"")</f>
        <v/>
      </c>
      <c r="AZ78" s="38" t="str">
        <f>IFERROR('1.vize'!BK78*100/'1.vize'!$I78,"")</f>
        <v/>
      </c>
      <c r="BA78" s="38" t="str">
        <f>IFERROR('1.vize'!BL78*100/'1.vize'!$I78,"")</f>
        <v/>
      </c>
      <c r="BB78" s="38" t="str">
        <f>IFERROR('1.vize'!BM78*100/'1.vize'!$I78,"")</f>
        <v/>
      </c>
      <c r="BC78" s="38" t="str">
        <f>IFERROR('1.vize'!BN78*100/'1.vize'!$I78,"")</f>
        <v/>
      </c>
      <c r="BD78" s="38" t="str">
        <f>IFERROR('1.vize'!BO78*100/'1.vize'!$I78,"")</f>
        <v/>
      </c>
      <c r="BE78" s="38" t="str">
        <f>IFERROR('1.vize'!BP78*100/'1.vize'!$I78,"")</f>
        <v/>
      </c>
      <c r="BF78" s="38" t="str">
        <f>IFERROR('1.vize'!BQ78*100/'1.vize'!$I78,"")</f>
        <v/>
      </c>
      <c r="BG78" s="38" t="str">
        <f>IFERROR('1.vize'!BR78*100/'1.vize'!$I78,"")</f>
        <v/>
      </c>
      <c r="BH78" s="38" t="str">
        <f>IFERROR('1.vize'!BS78*100/'1.vize'!$I78,"")</f>
        <v/>
      </c>
      <c r="BI78" s="38" t="str">
        <f>IFERROR('1.vize'!BT78*100/'1.vize'!$I78,"")</f>
        <v/>
      </c>
      <c r="BJ78" s="38" t="str">
        <f>IFERROR('1.vize'!BU78*100/'1.vize'!$I78,"")</f>
        <v/>
      </c>
      <c r="BK78" s="38" t="str">
        <f>IFERROR('1.vize'!BV78*100/'1.vize'!$I78,"")</f>
        <v/>
      </c>
      <c r="BL78" s="38" t="str">
        <f>IFERROR('1.vize'!BW78*100/'1.vize'!$I78,"")</f>
        <v/>
      </c>
      <c r="BM78" s="38" t="str">
        <f>IFERROR('1.vize'!BX78*100/'1.vize'!$I78,"")</f>
        <v/>
      </c>
      <c r="BN78" s="38" t="str">
        <f>IFERROR('1.vize'!BY78*100/'1.vize'!$I78,"")</f>
        <v/>
      </c>
      <c r="BO78" s="38" t="str">
        <f>IFERROR('1.vize'!BZ78*100/'1.vize'!$I78,"")</f>
        <v/>
      </c>
      <c r="BP78" s="38" t="str">
        <f>IFERROR('1.vize'!CA78*100/'1.vize'!$I78,"")</f>
        <v/>
      </c>
      <c r="BQ78" s="38" t="str">
        <f>IFERROR('1.vize'!CB78*100/'1.vize'!$I78,"")</f>
        <v/>
      </c>
      <c r="BR78" s="38" t="str">
        <f>IFERROR('1.vize'!CC78*100/'1.vize'!$I78,"")</f>
        <v/>
      </c>
      <c r="BS78" s="38" t="str">
        <f>IFERROR('1.vize'!CD78*100/'1.vize'!$I78,"")</f>
        <v/>
      </c>
      <c r="BT78" s="38" t="str">
        <f>IFERROR('1.vize'!CE78*100/'1.vize'!$I78,"")</f>
        <v/>
      </c>
      <c r="BU78" s="38" t="str">
        <f>IFERROR('1.vize'!CF78*100/'1.vize'!$I78,"")</f>
        <v/>
      </c>
      <c r="BV78" s="38" t="str">
        <f>IFERROR('1.vize'!CG78*100/'1.vize'!$I78,"")</f>
        <v/>
      </c>
      <c r="BW78" s="38" t="str">
        <f>IFERROR('1.vize'!CH78*100/'1.vize'!$I78,"")</f>
        <v/>
      </c>
      <c r="BX78" s="38" t="str">
        <f>IFERROR('1.vize'!CI78*100/'1.vize'!$I78,"")</f>
        <v/>
      </c>
      <c r="BY78" s="38" t="str">
        <f>IFERROR('1.vize'!CJ78*100/'1.vize'!$I78,"")</f>
        <v/>
      </c>
      <c r="BZ78" s="38" t="str">
        <f>IFERROR('1.vize'!CK78*100/'1.vize'!$I78,"")</f>
        <v/>
      </c>
      <c r="CA78" s="38" t="str">
        <f>IFERROR('1.vize'!CL78*100/'1.vize'!$I78,"")</f>
        <v/>
      </c>
      <c r="CB78" s="38" t="str">
        <f>IFERROR('1.vize'!CM78*100/'1.vize'!$I78,"")</f>
        <v/>
      </c>
      <c r="CC78" s="38" t="str">
        <f>IFERROR('1.vize'!CN78*100/'1.vize'!$I78,"")</f>
        <v/>
      </c>
      <c r="CD78" s="38" t="str">
        <f>IFERROR('1.vize'!CO78*100/'1.vize'!$I78,"")</f>
        <v/>
      </c>
      <c r="CE78" s="38" t="str">
        <f>IFERROR('1.vize'!CP78*100/'1.vize'!$I78,"")</f>
        <v/>
      </c>
      <c r="CF78" s="38" t="str">
        <f>IFERROR('1.vize'!CQ78*100/'1.vize'!$I78,"")</f>
        <v/>
      </c>
      <c r="CG78" s="38" t="str">
        <f>IFERROR('1.vize'!CR78*100/'1.vize'!$I78,"")</f>
        <v/>
      </c>
      <c r="CH78" s="38" t="str">
        <f>IFERROR('1.vize'!CS78*100/'1.vize'!$I78,"")</f>
        <v/>
      </c>
      <c r="CI78" s="38" t="str">
        <f>IFERROR('1.vize'!CT78*100/'1.vize'!$I78,"")</f>
        <v/>
      </c>
      <c r="CJ78" s="38" t="str">
        <f>IFERROR('1.vize'!CU78*100/'1.vize'!$I78,"")</f>
        <v/>
      </c>
      <c r="CK78" s="38" t="str">
        <f>IFERROR('1.vize'!CV78*100/'1.vize'!$I78,"")</f>
        <v/>
      </c>
      <c r="CL78" s="38" t="str">
        <f>IFERROR('1.vize'!CW78*100/'1.vize'!$I78,"")</f>
        <v/>
      </c>
      <c r="CM78" s="38" t="str">
        <f>IFERROR('1.vize'!CX78*100/'1.vize'!$I78,"")</f>
        <v/>
      </c>
      <c r="CN78" s="38" t="str">
        <f>IFERROR('1.vize'!CY78*100/'1.vize'!$I78,"")</f>
        <v/>
      </c>
      <c r="CO78" s="38" t="str">
        <f>IFERROR('1.vize'!CZ78*100/'1.vize'!$I78,"")</f>
        <v/>
      </c>
      <c r="CP78" s="38" t="str">
        <f>IFERROR('1.vize'!DA78*100/'1.vize'!$I78,"")</f>
        <v/>
      </c>
      <c r="CQ78" s="38" t="str">
        <f>IFERROR('1.vize'!DB78*100/'1.vize'!$I78,"")</f>
        <v/>
      </c>
      <c r="CR78" s="38" t="str">
        <f>IFERROR('1.vize'!DC78*100/'1.vize'!$I78,"")</f>
        <v/>
      </c>
      <c r="CS78" s="38" t="str">
        <f>IFERROR('1.vize'!DD78*100/'1.vize'!$I78,"")</f>
        <v/>
      </c>
      <c r="CT78" s="38" t="str">
        <f>IFERROR('1.vize'!DE78*100/'1.vize'!$I78,"")</f>
        <v/>
      </c>
      <c r="CU78" s="38" t="str">
        <f>IFERROR('1.vize'!DF78*100/'1.vize'!$I78,"")</f>
        <v/>
      </c>
      <c r="CV78" s="38" t="str">
        <f>IFERROR('1.vize'!DG78*100/'1.vize'!$I78,"")</f>
        <v/>
      </c>
      <c r="CW78" s="32" t="str">
        <f>IFERROR(SUM(A78:CV78)/'1.vize'!$DH$103,"")</f>
        <v/>
      </c>
      <c r="CX78" s="14" t="str">
        <f>IF(COUNTA('1.vize'!A78),'1.vize'!A78,"")</f>
        <v/>
      </c>
      <c r="CY78" s="14" t="str">
        <f>IF(COUNTA('1.vize'!B78),'1.vize'!B78,"")</f>
        <v/>
      </c>
      <c r="CZ78" s="14" t="str">
        <f>IF(COUNTA('1.vize'!C78),'1.vize'!C78,"")</f>
        <v/>
      </c>
      <c r="DA78" s="14" t="str">
        <f>IF(COUNTA('1.vize'!D78),'1.vize'!D78,"")</f>
        <v/>
      </c>
      <c r="DB78" s="14" t="str">
        <f>IF(COUNTA('1.vize'!E78),'1.vize'!E78,"")</f>
        <v/>
      </c>
      <c r="DC78" s="14" t="str">
        <f>IF(COUNTA('1.vize'!F78),'1.vize'!F78,"")</f>
        <v/>
      </c>
      <c r="DD78" s="14" t="str">
        <f>IF(COUNTA('1.vize'!G78),'1.vize'!G78,"")</f>
        <v/>
      </c>
      <c r="DE78" s="14" t="str">
        <f>IF(COUNTA('1.vize'!H78),'1.vize'!H78,"")</f>
        <v/>
      </c>
      <c r="DF78" s="33"/>
    </row>
    <row r="79" spans="1:110" x14ac:dyDescent="0.2">
      <c r="A79" s="38" t="str">
        <f>IFERROR('1.vize'!L79*100/'1.vize'!$I79,"")</f>
        <v/>
      </c>
      <c r="B79" s="38" t="str">
        <f>IFERROR('1.vize'!M79*100/'1.vize'!$I79,"")</f>
        <v/>
      </c>
      <c r="C79" s="38" t="str">
        <f>IFERROR('1.vize'!N79*100/'1.vize'!$I79,"")</f>
        <v/>
      </c>
      <c r="D79" s="38" t="str">
        <f>IFERROR('1.vize'!O79*100/'1.vize'!$I79,"")</f>
        <v/>
      </c>
      <c r="E79" s="38" t="str">
        <f>IFERROR('1.vize'!P79*100/'1.vize'!$I79,"")</f>
        <v/>
      </c>
      <c r="F79" s="38" t="str">
        <f>IFERROR('1.vize'!Q79*100/'1.vize'!$I79,"")</f>
        <v/>
      </c>
      <c r="G79" s="38" t="str">
        <f>IFERROR('1.vize'!R79*100/'1.vize'!$I79,"")</f>
        <v/>
      </c>
      <c r="H79" s="38" t="str">
        <f>IFERROR('1.vize'!S79*100/'1.vize'!$I79,"")</f>
        <v/>
      </c>
      <c r="I79" s="38" t="str">
        <f>IFERROR('1.vize'!T79*100/'1.vize'!$I79,"")</f>
        <v/>
      </c>
      <c r="J79" s="38" t="str">
        <f>IFERROR('1.vize'!U79*100/'1.vize'!$I79,"")</f>
        <v/>
      </c>
      <c r="K79" s="38" t="str">
        <f>IFERROR('1.vize'!V79*100/'1.vize'!$I79,"")</f>
        <v/>
      </c>
      <c r="L79" s="38" t="str">
        <f>IFERROR('1.vize'!W79*100/'1.vize'!$I79,"")</f>
        <v/>
      </c>
      <c r="M79" s="38" t="str">
        <f>IFERROR('1.vize'!X79*100/'1.vize'!$I79,"")</f>
        <v/>
      </c>
      <c r="N79" s="38" t="str">
        <f>IFERROR('1.vize'!Y79*100/'1.vize'!$I79,"")</f>
        <v/>
      </c>
      <c r="O79" s="38" t="str">
        <f>IFERROR('1.vize'!Z79*100/'1.vize'!$I79,"")</f>
        <v/>
      </c>
      <c r="P79" s="38" t="str">
        <f>IFERROR('1.vize'!AA79*100/'1.vize'!$I79,"")</f>
        <v/>
      </c>
      <c r="Q79" s="38" t="str">
        <f>IFERROR('1.vize'!AB79*100/'1.vize'!$I79,"")</f>
        <v/>
      </c>
      <c r="R79" s="38" t="str">
        <f>IFERROR('1.vize'!AC79*100/'1.vize'!$I79,"")</f>
        <v/>
      </c>
      <c r="S79" s="38" t="str">
        <f>IFERROR('1.vize'!AD79*100/'1.vize'!$I79,"")</f>
        <v/>
      </c>
      <c r="T79" s="38" t="str">
        <f>IFERROR('1.vize'!AE79*100/'1.vize'!$I79,"")</f>
        <v/>
      </c>
      <c r="U79" s="38" t="str">
        <f>IFERROR('1.vize'!AF79*100/'1.vize'!$I79,"")</f>
        <v/>
      </c>
      <c r="V79" s="38" t="str">
        <f>IFERROR('1.vize'!AG79*100/'1.vize'!$I79,"")</f>
        <v/>
      </c>
      <c r="W79" s="38" t="str">
        <f>IFERROR('1.vize'!AH79*100/'1.vize'!$I79,"")</f>
        <v/>
      </c>
      <c r="X79" s="38" t="str">
        <f>IFERROR('1.vize'!AI79*100/'1.vize'!$I79,"")</f>
        <v/>
      </c>
      <c r="Y79" s="38" t="str">
        <f>IFERROR('1.vize'!AJ79*100/'1.vize'!$I79,"")</f>
        <v/>
      </c>
      <c r="Z79" s="38" t="str">
        <f>IFERROR('1.vize'!AK79*100/'1.vize'!$I79,"")</f>
        <v/>
      </c>
      <c r="AA79" s="38" t="str">
        <f>IFERROR('1.vize'!AL79*100/'1.vize'!$I79,"")</f>
        <v/>
      </c>
      <c r="AB79" s="38" t="str">
        <f>IFERROR('1.vize'!AM79*100/'1.vize'!$I79,"")</f>
        <v/>
      </c>
      <c r="AC79" s="38" t="str">
        <f>IFERROR('1.vize'!AN79*100/'1.vize'!$I79,"")</f>
        <v/>
      </c>
      <c r="AD79" s="38" t="str">
        <f>IFERROR('1.vize'!AO79*100/'1.vize'!$I79,"")</f>
        <v/>
      </c>
      <c r="AE79" s="38" t="str">
        <f>IFERROR('1.vize'!AP79*100/'1.vize'!$I79,"")</f>
        <v/>
      </c>
      <c r="AF79" s="38" t="str">
        <f>IFERROR('1.vize'!AQ79*100/'1.vize'!$I79,"")</f>
        <v/>
      </c>
      <c r="AG79" s="38" t="str">
        <f>IFERROR('1.vize'!AR79*100/'1.vize'!$I79,"")</f>
        <v/>
      </c>
      <c r="AH79" s="38" t="str">
        <f>IFERROR('1.vize'!AS79*100/'1.vize'!$I79,"")</f>
        <v/>
      </c>
      <c r="AI79" s="38" t="str">
        <f>IFERROR('1.vize'!AT79*100/'1.vize'!$I79,"")</f>
        <v/>
      </c>
      <c r="AJ79" s="38" t="str">
        <f>IFERROR('1.vize'!AU79*100/'1.vize'!$I79,"")</f>
        <v/>
      </c>
      <c r="AK79" s="38" t="str">
        <f>IFERROR('1.vize'!AV79*100/'1.vize'!$I79,"")</f>
        <v/>
      </c>
      <c r="AL79" s="38" t="str">
        <f>IFERROR('1.vize'!AW79*100/'1.vize'!$I79,"")</f>
        <v/>
      </c>
      <c r="AM79" s="38" t="str">
        <f>IFERROR('1.vize'!AX79*100/'1.vize'!$I79,"")</f>
        <v/>
      </c>
      <c r="AN79" s="38" t="str">
        <f>IFERROR('1.vize'!AY79*100/'1.vize'!$I79,"")</f>
        <v/>
      </c>
      <c r="AO79" s="38" t="str">
        <f>IFERROR('1.vize'!AZ79*100/'1.vize'!$I79,"")</f>
        <v/>
      </c>
      <c r="AP79" s="38" t="str">
        <f>IFERROR('1.vize'!BA79*100/'1.vize'!$I79,"")</f>
        <v/>
      </c>
      <c r="AQ79" s="38" t="str">
        <f>IFERROR('1.vize'!BB79*100/'1.vize'!$I79,"")</f>
        <v/>
      </c>
      <c r="AR79" s="38" t="str">
        <f>IFERROR('1.vize'!BC79*100/'1.vize'!$I79,"")</f>
        <v/>
      </c>
      <c r="AS79" s="38" t="str">
        <f>IFERROR('1.vize'!BD79*100/'1.vize'!$I79,"")</f>
        <v/>
      </c>
      <c r="AT79" s="38" t="str">
        <f>IFERROR('1.vize'!BE79*100/'1.vize'!$I79,"")</f>
        <v/>
      </c>
      <c r="AU79" s="38" t="str">
        <f>IFERROR('1.vize'!BF79*100/'1.vize'!$I79,"")</f>
        <v/>
      </c>
      <c r="AV79" s="38" t="str">
        <f>IFERROR('1.vize'!BG79*100/'1.vize'!$I79,"")</f>
        <v/>
      </c>
      <c r="AW79" s="38" t="str">
        <f>IFERROR('1.vize'!BH79*100/'1.vize'!$I79,"")</f>
        <v/>
      </c>
      <c r="AX79" s="38" t="str">
        <f>IFERROR('1.vize'!BI79*100/'1.vize'!$I79,"")</f>
        <v/>
      </c>
      <c r="AY79" s="38" t="str">
        <f>IFERROR('1.vize'!BJ79*100/'1.vize'!$I79,"")</f>
        <v/>
      </c>
      <c r="AZ79" s="38" t="str">
        <f>IFERROR('1.vize'!BK79*100/'1.vize'!$I79,"")</f>
        <v/>
      </c>
      <c r="BA79" s="38" t="str">
        <f>IFERROR('1.vize'!BL79*100/'1.vize'!$I79,"")</f>
        <v/>
      </c>
      <c r="BB79" s="38" t="str">
        <f>IFERROR('1.vize'!BM79*100/'1.vize'!$I79,"")</f>
        <v/>
      </c>
      <c r="BC79" s="38" t="str">
        <f>IFERROR('1.vize'!BN79*100/'1.vize'!$I79,"")</f>
        <v/>
      </c>
      <c r="BD79" s="38" t="str">
        <f>IFERROR('1.vize'!BO79*100/'1.vize'!$I79,"")</f>
        <v/>
      </c>
      <c r="BE79" s="38" t="str">
        <f>IFERROR('1.vize'!BP79*100/'1.vize'!$I79,"")</f>
        <v/>
      </c>
      <c r="BF79" s="38" t="str">
        <f>IFERROR('1.vize'!BQ79*100/'1.vize'!$I79,"")</f>
        <v/>
      </c>
      <c r="BG79" s="38" t="str">
        <f>IFERROR('1.vize'!BR79*100/'1.vize'!$I79,"")</f>
        <v/>
      </c>
      <c r="BH79" s="38" t="str">
        <f>IFERROR('1.vize'!BS79*100/'1.vize'!$I79,"")</f>
        <v/>
      </c>
      <c r="BI79" s="38" t="str">
        <f>IFERROR('1.vize'!BT79*100/'1.vize'!$I79,"")</f>
        <v/>
      </c>
      <c r="BJ79" s="38" t="str">
        <f>IFERROR('1.vize'!BU79*100/'1.vize'!$I79,"")</f>
        <v/>
      </c>
      <c r="BK79" s="38" t="str">
        <f>IFERROR('1.vize'!BV79*100/'1.vize'!$I79,"")</f>
        <v/>
      </c>
      <c r="BL79" s="38" t="str">
        <f>IFERROR('1.vize'!BW79*100/'1.vize'!$I79,"")</f>
        <v/>
      </c>
      <c r="BM79" s="38" t="str">
        <f>IFERROR('1.vize'!BX79*100/'1.vize'!$I79,"")</f>
        <v/>
      </c>
      <c r="BN79" s="38" t="str">
        <f>IFERROR('1.vize'!BY79*100/'1.vize'!$I79,"")</f>
        <v/>
      </c>
      <c r="BO79" s="38" t="str">
        <f>IFERROR('1.vize'!BZ79*100/'1.vize'!$I79,"")</f>
        <v/>
      </c>
      <c r="BP79" s="38" t="str">
        <f>IFERROR('1.vize'!CA79*100/'1.vize'!$I79,"")</f>
        <v/>
      </c>
      <c r="BQ79" s="38" t="str">
        <f>IFERROR('1.vize'!CB79*100/'1.vize'!$I79,"")</f>
        <v/>
      </c>
      <c r="BR79" s="38" t="str">
        <f>IFERROR('1.vize'!CC79*100/'1.vize'!$I79,"")</f>
        <v/>
      </c>
      <c r="BS79" s="38" t="str">
        <f>IFERROR('1.vize'!CD79*100/'1.vize'!$I79,"")</f>
        <v/>
      </c>
      <c r="BT79" s="38" t="str">
        <f>IFERROR('1.vize'!CE79*100/'1.vize'!$I79,"")</f>
        <v/>
      </c>
      <c r="BU79" s="38" t="str">
        <f>IFERROR('1.vize'!CF79*100/'1.vize'!$I79,"")</f>
        <v/>
      </c>
      <c r="BV79" s="38" t="str">
        <f>IFERROR('1.vize'!CG79*100/'1.vize'!$I79,"")</f>
        <v/>
      </c>
      <c r="BW79" s="38" t="str">
        <f>IFERROR('1.vize'!CH79*100/'1.vize'!$I79,"")</f>
        <v/>
      </c>
      <c r="BX79" s="38" t="str">
        <f>IFERROR('1.vize'!CI79*100/'1.vize'!$I79,"")</f>
        <v/>
      </c>
      <c r="BY79" s="38" t="str">
        <f>IFERROR('1.vize'!CJ79*100/'1.vize'!$I79,"")</f>
        <v/>
      </c>
      <c r="BZ79" s="38" t="str">
        <f>IFERROR('1.vize'!CK79*100/'1.vize'!$I79,"")</f>
        <v/>
      </c>
      <c r="CA79" s="38" t="str">
        <f>IFERROR('1.vize'!CL79*100/'1.vize'!$I79,"")</f>
        <v/>
      </c>
      <c r="CB79" s="38" t="str">
        <f>IFERROR('1.vize'!CM79*100/'1.vize'!$I79,"")</f>
        <v/>
      </c>
      <c r="CC79" s="38" t="str">
        <f>IFERROR('1.vize'!CN79*100/'1.vize'!$I79,"")</f>
        <v/>
      </c>
      <c r="CD79" s="38" t="str">
        <f>IFERROR('1.vize'!CO79*100/'1.vize'!$I79,"")</f>
        <v/>
      </c>
      <c r="CE79" s="38" t="str">
        <f>IFERROR('1.vize'!CP79*100/'1.vize'!$I79,"")</f>
        <v/>
      </c>
      <c r="CF79" s="38" t="str">
        <f>IFERROR('1.vize'!CQ79*100/'1.vize'!$I79,"")</f>
        <v/>
      </c>
      <c r="CG79" s="38" t="str">
        <f>IFERROR('1.vize'!CR79*100/'1.vize'!$I79,"")</f>
        <v/>
      </c>
      <c r="CH79" s="38" t="str">
        <f>IFERROR('1.vize'!CS79*100/'1.vize'!$I79,"")</f>
        <v/>
      </c>
      <c r="CI79" s="38" t="str">
        <f>IFERROR('1.vize'!CT79*100/'1.vize'!$I79,"")</f>
        <v/>
      </c>
      <c r="CJ79" s="38" t="str">
        <f>IFERROR('1.vize'!CU79*100/'1.vize'!$I79,"")</f>
        <v/>
      </c>
      <c r="CK79" s="38" t="str">
        <f>IFERROR('1.vize'!CV79*100/'1.vize'!$I79,"")</f>
        <v/>
      </c>
      <c r="CL79" s="38" t="str">
        <f>IFERROR('1.vize'!CW79*100/'1.vize'!$I79,"")</f>
        <v/>
      </c>
      <c r="CM79" s="38" t="str">
        <f>IFERROR('1.vize'!CX79*100/'1.vize'!$I79,"")</f>
        <v/>
      </c>
      <c r="CN79" s="38" t="str">
        <f>IFERROR('1.vize'!CY79*100/'1.vize'!$I79,"")</f>
        <v/>
      </c>
      <c r="CO79" s="38" t="str">
        <f>IFERROR('1.vize'!CZ79*100/'1.vize'!$I79,"")</f>
        <v/>
      </c>
      <c r="CP79" s="38" t="str">
        <f>IFERROR('1.vize'!DA79*100/'1.vize'!$I79,"")</f>
        <v/>
      </c>
      <c r="CQ79" s="38" t="str">
        <f>IFERROR('1.vize'!DB79*100/'1.vize'!$I79,"")</f>
        <v/>
      </c>
      <c r="CR79" s="38" t="str">
        <f>IFERROR('1.vize'!DC79*100/'1.vize'!$I79,"")</f>
        <v/>
      </c>
      <c r="CS79" s="38" t="str">
        <f>IFERROR('1.vize'!DD79*100/'1.vize'!$I79,"")</f>
        <v/>
      </c>
      <c r="CT79" s="38" t="str">
        <f>IFERROR('1.vize'!DE79*100/'1.vize'!$I79,"")</f>
        <v/>
      </c>
      <c r="CU79" s="38" t="str">
        <f>IFERROR('1.vize'!DF79*100/'1.vize'!$I79,"")</f>
        <v/>
      </c>
      <c r="CV79" s="38" t="str">
        <f>IFERROR('1.vize'!DG79*100/'1.vize'!$I79,"")</f>
        <v/>
      </c>
      <c r="CW79" s="32" t="str">
        <f>IFERROR(SUM(A79:CV79)/'1.vize'!$DH$103,"")</f>
        <v/>
      </c>
      <c r="CX79" s="14" t="str">
        <f>IF(COUNTA('1.vize'!A79),'1.vize'!A79,"")</f>
        <v/>
      </c>
      <c r="CY79" s="14" t="str">
        <f>IF(COUNTA('1.vize'!B79),'1.vize'!B79,"")</f>
        <v/>
      </c>
      <c r="CZ79" s="14" t="str">
        <f>IF(COUNTA('1.vize'!C79),'1.vize'!C79,"")</f>
        <v/>
      </c>
      <c r="DA79" s="14" t="str">
        <f>IF(COUNTA('1.vize'!D79),'1.vize'!D79,"")</f>
        <v/>
      </c>
      <c r="DB79" s="14" t="str">
        <f>IF(COUNTA('1.vize'!E79),'1.vize'!E79,"")</f>
        <v/>
      </c>
      <c r="DC79" s="14" t="str">
        <f>IF(COUNTA('1.vize'!F79),'1.vize'!F79,"")</f>
        <v/>
      </c>
      <c r="DD79" s="14" t="str">
        <f>IF(COUNTA('1.vize'!G79),'1.vize'!G79,"")</f>
        <v/>
      </c>
      <c r="DE79" s="14" t="str">
        <f>IF(COUNTA('1.vize'!H79),'1.vize'!H79,"")</f>
        <v/>
      </c>
      <c r="DF79" s="33"/>
    </row>
    <row r="80" spans="1:110" x14ac:dyDescent="0.2">
      <c r="A80" s="38" t="str">
        <f>IFERROR('1.vize'!L80*100/'1.vize'!$I80,"")</f>
        <v/>
      </c>
      <c r="B80" s="38" t="str">
        <f>IFERROR('1.vize'!M80*100/'1.vize'!$I80,"")</f>
        <v/>
      </c>
      <c r="C80" s="38" t="str">
        <f>IFERROR('1.vize'!N80*100/'1.vize'!$I80,"")</f>
        <v/>
      </c>
      <c r="D80" s="38" t="str">
        <f>IFERROR('1.vize'!O80*100/'1.vize'!$I80,"")</f>
        <v/>
      </c>
      <c r="E80" s="38" t="str">
        <f>IFERROR('1.vize'!P80*100/'1.vize'!$I80,"")</f>
        <v/>
      </c>
      <c r="F80" s="38" t="str">
        <f>IFERROR('1.vize'!Q80*100/'1.vize'!$I80,"")</f>
        <v/>
      </c>
      <c r="G80" s="38" t="str">
        <f>IFERROR('1.vize'!R80*100/'1.vize'!$I80,"")</f>
        <v/>
      </c>
      <c r="H80" s="38" t="str">
        <f>IFERROR('1.vize'!S80*100/'1.vize'!$I80,"")</f>
        <v/>
      </c>
      <c r="I80" s="38" t="str">
        <f>IFERROR('1.vize'!T80*100/'1.vize'!$I80,"")</f>
        <v/>
      </c>
      <c r="J80" s="38" t="str">
        <f>IFERROR('1.vize'!U80*100/'1.vize'!$I80,"")</f>
        <v/>
      </c>
      <c r="K80" s="38" t="str">
        <f>IFERROR('1.vize'!V80*100/'1.vize'!$I80,"")</f>
        <v/>
      </c>
      <c r="L80" s="38" t="str">
        <f>IFERROR('1.vize'!W80*100/'1.vize'!$I80,"")</f>
        <v/>
      </c>
      <c r="M80" s="38" t="str">
        <f>IFERROR('1.vize'!X80*100/'1.vize'!$I80,"")</f>
        <v/>
      </c>
      <c r="N80" s="38" t="str">
        <f>IFERROR('1.vize'!Y80*100/'1.vize'!$I80,"")</f>
        <v/>
      </c>
      <c r="O80" s="38" t="str">
        <f>IFERROR('1.vize'!Z80*100/'1.vize'!$I80,"")</f>
        <v/>
      </c>
      <c r="P80" s="38" t="str">
        <f>IFERROR('1.vize'!AA80*100/'1.vize'!$I80,"")</f>
        <v/>
      </c>
      <c r="Q80" s="38" t="str">
        <f>IFERROR('1.vize'!AB80*100/'1.vize'!$I80,"")</f>
        <v/>
      </c>
      <c r="R80" s="38" t="str">
        <f>IFERROR('1.vize'!AC80*100/'1.vize'!$I80,"")</f>
        <v/>
      </c>
      <c r="S80" s="38" t="str">
        <f>IFERROR('1.vize'!AD80*100/'1.vize'!$I80,"")</f>
        <v/>
      </c>
      <c r="T80" s="38" t="str">
        <f>IFERROR('1.vize'!AE80*100/'1.vize'!$I80,"")</f>
        <v/>
      </c>
      <c r="U80" s="38" t="str">
        <f>IFERROR('1.vize'!AF80*100/'1.vize'!$I80,"")</f>
        <v/>
      </c>
      <c r="V80" s="38" t="str">
        <f>IFERROR('1.vize'!AG80*100/'1.vize'!$I80,"")</f>
        <v/>
      </c>
      <c r="W80" s="38" t="str">
        <f>IFERROR('1.vize'!AH80*100/'1.vize'!$I80,"")</f>
        <v/>
      </c>
      <c r="X80" s="38" t="str">
        <f>IFERROR('1.vize'!AI80*100/'1.vize'!$I80,"")</f>
        <v/>
      </c>
      <c r="Y80" s="38" t="str">
        <f>IFERROR('1.vize'!AJ80*100/'1.vize'!$I80,"")</f>
        <v/>
      </c>
      <c r="Z80" s="38" t="str">
        <f>IFERROR('1.vize'!AK80*100/'1.vize'!$I80,"")</f>
        <v/>
      </c>
      <c r="AA80" s="38" t="str">
        <f>IFERROR('1.vize'!AL80*100/'1.vize'!$I80,"")</f>
        <v/>
      </c>
      <c r="AB80" s="38" t="str">
        <f>IFERROR('1.vize'!AM80*100/'1.vize'!$I80,"")</f>
        <v/>
      </c>
      <c r="AC80" s="38" t="str">
        <f>IFERROR('1.vize'!AN80*100/'1.vize'!$I80,"")</f>
        <v/>
      </c>
      <c r="AD80" s="38" t="str">
        <f>IFERROR('1.vize'!AO80*100/'1.vize'!$I80,"")</f>
        <v/>
      </c>
      <c r="AE80" s="38" t="str">
        <f>IFERROR('1.vize'!AP80*100/'1.vize'!$I80,"")</f>
        <v/>
      </c>
      <c r="AF80" s="38" t="str">
        <f>IFERROR('1.vize'!AQ80*100/'1.vize'!$I80,"")</f>
        <v/>
      </c>
      <c r="AG80" s="38" t="str">
        <f>IFERROR('1.vize'!AR80*100/'1.vize'!$I80,"")</f>
        <v/>
      </c>
      <c r="AH80" s="38" t="str">
        <f>IFERROR('1.vize'!AS80*100/'1.vize'!$I80,"")</f>
        <v/>
      </c>
      <c r="AI80" s="38" t="str">
        <f>IFERROR('1.vize'!AT80*100/'1.vize'!$I80,"")</f>
        <v/>
      </c>
      <c r="AJ80" s="38" t="str">
        <f>IFERROR('1.vize'!AU80*100/'1.vize'!$I80,"")</f>
        <v/>
      </c>
      <c r="AK80" s="38" t="str">
        <f>IFERROR('1.vize'!AV80*100/'1.vize'!$I80,"")</f>
        <v/>
      </c>
      <c r="AL80" s="38" t="str">
        <f>IFERROR('1.vize'!AW80*100/'1.vize'!$I80,"")</f>
        <v/>
      </c>
      <c r="AM80" s="38" t="str">
        <f>IFERROR('1.vize'!AX80*100/'1.vize'!$I80,"")</f>
        <v/>
      </c>
      <c r="AN80" s="38" t="str">
        <f>IFERROR('1.vize'!AY80*100/'1.vize'!$I80,"")</f>
        <v/>
      </c>
      <c r="AO80" s="38" t="str">
        <f>IFERROR('1.vize'!AZ80*100/'1.vize'!$I80,"")</f>
        <v/>
      </c>
      <c r="AP80" s="38" t="str">
        <f>IFERROR('1.vize'!BA80*100/'1.vize'!$I80,"")</f>
        <v/>
      </c>
      <c r="AQ80" s="38" t="str">
        <f>IFERROR('1.vize'!BB80*100/'1.vize'!$I80,"")</f>
        <v/>
      </c>
      <c r="AR80" s="38" t="str">
        <f>IFERROR('1.vize'!BC80*100/'1.vize'!$I80,"")</f>
        <v/>
      </c>
      <c r="AS80" s="38" t="str">
        <f>IFERROR('1.vize'!BD80*100/'1.vize'!$I80,"")</f>
        <v/>
      </c>
      <c r="AT80" s="38" t="str">
        <f>IFERROR('1.vize'!BE80*100/'1.vize'!$I80,"")</f>
        <v/>
      </c>
      <c r="AU80" s="38" t="str">
        <f>IFERROR('1.vize'!BF80*100/'1.vize'!$I80,"")</f>
        <v/>
      </c>
      <c r="AV80" s="38" t="str">
        <f>IFERROR('1.vize'!BG80*100/'1.vize'!$I80,"")</f>
        <v/>
      </c>
      <c r="AW80" s="38" t="str">
        <f>IFERROR('1.vize'!BH80*100/'1.vize'!$I80,"")</f>
        <v/>
      </c>
      <c r="AX80" s="38" t="str">
        <f>IFERROR('1.vize'!BI80*100/'1.vize'!$I80,"")</f>
        <v/>
      </c>
      <c r="AY80" s="38" t="str">
        <f>IFERROR('1.vize'!BJ80*100/'1.vize'!$I80,"")</f>
        <v/>
      </c>
      <c r="AZ80" s="38" t="str">
        <f>IFERROR('1.vize'!BK80*100/'1.vize'!$I80,"")</f>
        <v/>
      </c>
      <c r="BA80" s="38" t="str">
        <f>IFERROR('1.vize'!BL80*100/'1.vize'!$I80,"")</f>
        <v/>
      </c>
      <c r="BB80" s="38" t="str">
        <f>IFERROR('1.vize'!BM80*100/'1.vize'!$I80,"")</f>
        <v/>
      </c>
      <c r="BC80" s="38" t="str">
        <f>IFERROR('1.vize'!BN80*100/'1.vize'!$I80,"")</f>
        <v/>
      </c>
      <c r="BD80" s="38" t="str">
        <f>IFERROR('1.vize'!BO80*100/'1.vize'!$I80,"")</f>
        <v/>
      </c>
      <c r="BE80" s="38" t="str">
        <f>IFERROR('1.vize'!BP80*100/'1.vize'!$I80,"")</f>
        <v/>
      </c>
      <c r="BF80" s="38" t="str">
        <f>IFERROR('1.vize'!BQ80*100/'1.vize'!$I80,"")</f>
        <v/>
      </c>
      <c r="BG80" s="38" t="str">
        <f>IFERROR('1.vize'!BR80*100/'1.vize'!$I80,"")</f>
        <v/>
      </c>
      <c r="BH80" s="38" t="str">
        <f>IFERROR('1.vize'!BS80*100/'1.vize'!$I80,"")</f>
        <v/>
      </c>
      <c r="BI80" s="38" t="str">
        <f>IFERROR('1.vize'!BT80*100/'1.vize'!$I80,"")</f>
        <v/>
      </c>
      <c r="BJ80" s="38" t="str">
        <f>IFERROR('1.vize'!BU80*100/'1.vize'!$I80,"")</f>
        <v/>
      </c>
      <c r="BK80" s="38" t="str">
        <f>IFERROR('1.vize'!BV80*100/'1.vize'!$I80,"")</f>
        <v/>
      </c>
      <c r="BL80" s="38" t="str">
        <f>IFERROR('1.vize'!BW80*100/'1.vize'!$I80,"")</f>
        <v/>
      </c>
      <c r="BM80" s="38" t="str">
        <f>IFERROR('1.vize'!BX80*100/'1.vize'!$I80,"")</f>
        <v/>
      </c>
      <c r="BN80" s="38" t="str">
        <f>IFERROR('1.vize'!BY80*100/'1.vize'!$I80,"")</f>
        <v/>
      </c>
      <c r="BO80" s="38" t="str">
        <f>IFERROR('1.vize'!BZ80*100/'1.vize'!$I80,"")</f>
        <v/>
      </c>
      <c r="BP80" s="38" t="str">
        <f>IFERROR('1.vize'!CA80*100/'1.vize'!$I80,"")</f>
        <v/>
      </c>
      <c r="BQ80" s="38" t="str">
        <f>IFERROR('1.vize'!CB80*100/'1.vize'!$I80,"")</f>
        <v/>
      </c>
      <c r="BR80" s="38" t="str">
        <f>IFERROR('1.vize'!CC80*100/'1.vize'!$I80,"")</f>
        <v/>
      </c>
      <c r="BS80" s="38" t="str">
        <f>IFERROR('1.vize'!CD80*100/'1.vize'!$I80,"")</f>
        <v/>
      </c>
      <c r="BT80" s="38" t="str">
        <f>IFERROR('1.vize'!CE80*100/'1.vize'!$I80,"")</f>
        <v/>
      </c>
      <c r="BU80" s="38" t="str">
        <f>IFERROR('1.vize'!CF80*100/'1.vize'!$I80,"")</f>
        <v/>
      </c>
      <c r="BV80" s="38" t="str">
        <f>IFERROR('1.vize'!CG80*100/'1.vize'!$I80,"")</f>
        <v/>
      </c>
      <c r="BW80" s="38" t="str">
        <f>IFERROR('1.vize'!CH80*100/'1.vize'!$I80,"")</f>
        <v/>
      </c>
      <c r="BX80" s="38" t="str">
        <f>IFERROR('1.vize'!CI80*100/'1.vize'!$I80,"")</f>
        <v/>
      </c>
      <c r="BY80" s="38" t="str">
        <f>IFERROR('1.vize'!CJ80*100/'1.vize'!$I80,"")</f>
        <v/>
      </c>
      <c r="BZ80" s="38" t="str">
        <f>IFERROR('1.vize'!CK80*100/'1.vize'!$I80,"")</f>
        <v/>
      </c>
      <c r="CA80" s="38" t="str">
        <f>IFERROR('1.vize'!CL80*100/'1.vize'!$I80,"")</f>
        <v/>
      </c>
      <c r="CB80" s="38" t="str">
        <f>IFERROR('1.vize'!CM80*100/'1.vize'!$I80,"")</f>
        <v/>
      </c>
      <c r="CC80" s="38" t="str">
        <f>IFERROR('1.vize'!CN80*100/'1.vize'!$I80,"")</f>
        <v/>
      </c>
      <c r="CD80" s="38" t="str">
        <f>IFERROR('1.vize'!CO80*100/'1.vize'!$I80,"")</f>
        <v/>
      </c>
      <c r="CE80" s="38" t="str">
        <f>IFERROR('1.vize'!CP80*100/'1.vize'!$I80,"")</f>
        <v/>
      </c>
      <c r="CF80" s="38" t="str">
        <f>IFERROR('1.vize'!CQ80*100/'1.vize'!$I80,"")</f>
        <v/>
      </c>
      <c r="CG80" s="38" t="str">
        <f>IFERROR('1.vize'!CR80*100/'1.vize'!$I80,"")</f>
        <v/>
      </c>
      <c r="CH80" s="38" t="str">
        <f>IFERROR('1.vize'!CS80*100/'1.vize'!$I80,"")</f>
        <v/>
      </c>
      <c r="CI80" s="38" t="str">
        <f>IFERROR('1.vize'!CT80*100/'1.vize'!$I80,"")</f>
        <v/>
      </c>
      <c r="CJ80" s="38" t="str">
        <f>IFERROR('1.vize'!CU80*100/'1.vize'!$I80,"")</f>
        <v/>
      </c>
      <c r="CK80" s="38" t="str">
        <f>IFERROR('1.vize'!CV80*100/'1.vize'!$I80,"")</f>
        <v/>
      </c>
      <c r="CL80" s="38" t="str">
        <f>IFERROR('1.vize'!CW80*100/'1.vize'!$I80,"")</f>
        <v/>
      </c>
      <c r="CM80" s="38" t="str">
        <f>IFERROR('1.vize'!CX80*100/'1.vize'!$I80,"")</f>
        <v/>
      </c>
      <c r="CN80" s="38" t="str">
        <f>IFERROR('1.vize'!CY80*100/'1.vize'!$I80,"")</f>
        <v/>
      </c>
      <c r="CO80" s="38" t="str">
        <f>IFERROR('1.vize'!CZ80*100/'1.vize'!$I80,"")</f>
        <v/>
      </c>
      <c r="CP80" s="38" t="str">
        <f>IFERROR('1.vize'!DA80*100/'1.vize'!$I80,"")</f>
        <v/>
      </c>
      <c r="CQ80" s="38" t="str">
        <f>IFERROR('1.vize'!DB80*100/'1.vize'!$I80,"")</f>
        <v/>
      </c>
      <c r="CR80" s="38" t="str">
        <f>IFERROR('1.vize'!DC80*100/'1.vize'!$I80,"")</f>
        <v/>
      </c>
      <c r="CS80" s="38" t="str">
        <f>IFERROR('1.vize'!DD80*100/'1.vize'!$I80,"")</f>
        <v/>
      </c>
      <c r="CT80" s="38" t="str">
        <f>IFERROR('1.vize'!DE80*100/'1.vize'!$I80,"")</f>
        <v/>
      </c>
      <c r="CU80" s="38" t="str">
        <f>IFERROR('1.vize'!DF80*100/'1.vize'!$I80,"")</f>
        <v/>
      </c>
      <c r="CV80" s="38" t="str">
        <f>IFERROR('1.vize'!DG80*100/'1.vize'!$I80,"")</f>
        <v/>
      </c>
      <c r="CW80" s="32" t="str">
        <f>IFERROR(SUM(A80:CV80)/'1.vize'!$DH$103,"")</f>
        <v/>
      </c>
      <c r="CX80" s="14" t="str">
        <f>IF(COUNTA('1.vize'!A80),'1.vize'!A80,"")</f>
        <v/>
      </c>
      <c r="CY80" s="14" t="str">
        <f>IF(COUNTA('1.vize'!B80),'1.vize'!B80,"")</f>
        <v/>
      </c>
      <c r="CZ80" s="14" t="str">
        <f>IF(COUNTA('1.vize'!C80),'1.vize'!C80,"")</f>
        <v/>
      </c>
      <c r="DA80" s="14" t="str">
        <f>IF(COUNTA('1.vize'!D80),'1.vize'!D80,"")</f>
        <v/>
      </c>
      <c r="DB80" s="14" t="str">
        <f>IF(COUNTA('1.vize'!E80),'1.vize'!E80,"")</f>
        <v/>
      </c>
      <c r="DC80" s="14" t="str">
        <f>IF(COUNTA('1.vize'!F80),'1.vize'!F80,"")</f>
        <v/>
      </c>
      <c r="DD80" s="14" t="str">
        <f>IF(COUNTA('1.vize'!G80),'1.vize'!G80,"")</f>
        <v/>
      </c>
      <c r="DE80" s="14" t="str">
        <f>IF(COUNTA('1.vize'!H80),'1.vize'!H80,"")</f>
        <v/>
      </c>
      <c r="DF80" s="33"/>
    </row>
    <row r="81" spans="1:110" x14ac:dyDescent="0.2">
      <c r="A81" s="38" t="str">
        <f>IFERROR('1.vize'!L81*100/'1.vize'!$I81,"")</f>
        <v/>
      </c>
      <c r="B81" s="38" t="str">
        <f>IFERROR('1.vize'!M81*100/'1.vize'!$I81,"")</f>
        <v/>
      </c>
      <c r="C81" s="38" t="str">
        <f>IFERROR('1.vize'!N81*100/'1.vize'!$I81,"")</f>
        <v/>
      </c>
      <c r="D81" s="38" t="str">
        <f>IFERROR('1.vize'!O81*100/'1.vize'!$I81,"")</f>
        <v/>
      </c>
      <c r="E81" s="38" t="str">
        <f>IFERROR('1.vize'!P81*100/'1.vize'!$I81,"")</f>
        <v/>
      </c>
      <c r="F81" s="38" t="str">
        <f>IFERROR('1.vize'!Q81*100/'1.vize'!$I81,"")</f>
        <v/>
      </c>
      <c r="G81" s="38" t="str">
        <f>IFERROR('1.vize'!R81*100/'1.vize'!$I81,"")</f>
        <v/>
      </c>
      <c r="H81" s="38" t="str">
        <f>IFERROR('1.vize'!S81*100/'1.vize'!$I81,"")</f>
        <v/>
      </c>
      <c r="I81" s="38" t="str">
        <f>IFERROR('1.vize'!T81*100/'1.vize'!$I81,"")</f>
        <v/>
      </c>
      <c r="J81" s="38" t="str">
        <f>IFERROR('1.vize'!U81*100/'1.vize'!$I81,"")</f>
        <v/>
      </c>
      <c r="K81" s="38" t="str">
        <f>IFERROR('1.vize'!V81*100/'1.vize'!$I81,"")</f>
        <v/>
      </c>
      <c r="L81" s="38" t="str">
        <f>IFERROR('1.vize'!W81*100/'1.vize'!$I81,"")</f>
        <v/>
      </c>
      <c r="M81" s="38" t="str">
        <f>IFERROR('1.vize'!X81*100/'1.vize'!$I81,"")</f>
        <v/>
      </c>
      <c r="N81" s="38" t="str">
        <f>IFERROR('1.vize'!Y81*100/'1.vize'!$I81,"")</f>
        <v/>
      </c>
      <c r="O81" s="38" t="str">
        <f>IFERROR('1.vize'!Z81*100/'1.vize'!$I81,"")</f>
        <v/>
      </c>
      <c r="P81" s="38" t="str">
        <f>IFERROR('1.vize'!AA81*100/'1.vize'!$I81,"")</f>
        <v/>
      </c>
      <c r="Q81" s="38" t="str">
        <f>IFERROR('1.vize'!AB81*100/'1.vize'!$I81,"")</f>
        <v/>
      </c>
      <c r="R81" s="38" t="str">
        <f>IFERROR('1.vize'!AC81*100/'1.vize'!$I81,"")</f>
        <v/>
      </c>
      <c r="S81" s="38" t="str">
        <f>IFERROR('1.vize'!AD81*100/'1.vize'!$I81,"")</f>
        <v/>
      </c>
      <c r="T81" s="38" t="str">
        <f>IFERROR('1.vize'!AE81*100/'1.vize'!$I81,"")</f>
        <v/>
      </c>
      <c r="U81" s="38" t="str">
        <f>IFERROR('1.vize'!AF81*100/'1.vize'!$I81,"")</f>
        <v/>
      </c>
      <c r="V81" s="38" t="str">
        <f>IFERROR('1.vize'!AG81*100/'1.vize'!$I81,"")</f>
        <v/>
      </c>
      <c r="W81" s="38" t="str">
        <f>IFERROR('1.vize'!AH81*100/'1.vize'!$I81,"")</f>
        <v/>
      </c>
      <c r="X81" s="38" t="str">
        <f>IFERROR('1.vize'!AI81*100/'1.vize'!$I81,"")</f>
        <v/>
      </c>
      <c r="Y81" s="38" t="str">
        <f>IFERROR('1.vize'!AJ81*100/'1.vize'!$I81,"")</f>
        <v/>
      </c>
      <c r="Z81" s="38" t="str">
        <f>IFERROR('1.vize'!AK81*100/'1.vize'!$I81,"")</f>
        <v/>
      </c>
      <c r="AA81" s="38" t="str">
        <f>IFERROR('1.vize'!AL81*100/'1.vize'!$I81,"")</f>
        <v/>
      </c>
      <c r="AB81" s="38" t="str">
        <f>IFERROR('1.vize'!AM81*100/'1.vize'!$I81,"")</f>
        <v/>
      </c>
      <c r="AC81" s="38" t="str">
        <f>IFERROR('1.vize'!AN81*100/'1.vize'!$I81,"")</f>
        <v/>
      </c>
      <c r="AD81" s="38" t="str">
        <f>IFERROR('1.vize'!AO81*100/'1.vize'!$I81,"")</f>
        <v/>
      </c>
      <c r="AE81" s="38" t="str">
        <f>IFERROR('1.vize'!AP81*100/'1.vize'!$I81,"")</f>
        <v/>
      </c>
      <c r="AF81" s="38" t="str">
        <f>IFERROR('1.vize'!AQ81*100/'1.vize'!$I81,"")</f>
        <v/>
      </c>
      <c r="AG81" s="38" t="str">
        <f>IFERROR('1.vize'!AR81*100/'1.vize'!$I81,"")</f>
        <v/>
      </c>
      <c r="AH81" s="38" t="str">
        <f>IFERROR('1.vize'!AS81*100/'1.vize'!$I81,"")</f>
        <v/>
      </c>
      <c r="AI81" s="38" t="str">
        <f>IFERROR('1.vize'!AT81*100/'1.vize'!$I81,"")</f>
        <v/>
      </c>
      <c r="AJ81" s="38" t="str">
        <f>IFERROR('1.vize'!AU81*100/'1.vize'!$I81,"")</f>
        <v/>
      </c>
      <c r="AK81" s="38" t="str">
        <f>IFERROR('1.vize'!AV81*100/'1.vize'!$I81,"")</f>
        <v/>
      </c>
      <c r="AL81" s="38" t="str">
        <f>IFERROR('1.vize'!AW81*100/'1.vize'!$I81,"")</f>
        <v/>
      </c>
      <c r="AM81" s="38" t="str">
        <f>IFERROR('1.vize'!AX81*100/'1.vize'!$I81,"")</f>
        <v/>
      </c>
      <c r="AN81" s="38" t="str">
        <f>IFERROR('1.vize'!AY81*100/'1.vize'!$I81,"")</f>
        <v/>
      </c>
      <c r="AO81" s="38" t="str">
        <f>IFERROR('1.vize'!AZ81*100/'1.vize'!$I81,"")</f>
        <v/>
      </c>
      <c r="AP81" s="38" t="str">
        <f>IFERROR('1.vize'!BA81*100/'1.vize'!$I81,"")</f>
        <v/>
      </c>
      <c r="AQ81" s="38" t="str">
        <f>IFERROR('1.vize'!BB81*100/'1.vize'!$I81,"")</f>
        <v/>
      </c>
      <c r="AR81" s="38" t="str">
        <f>IFERROR('1.vize'!BC81*100/'1.vize'!$I81,"")</f>
        <v/>
      </c>
      <c r="AS81" s="38" t="str">
        <f>IFERROR('1.vize'!BD81*100/'1.vize'!$I81,"")</f>
        <v/>
      </c>
      <c r="AT81" s="38" t="str">
        <f>IFERROR('1.vize'!BE81*100/'1.vize'!$I81,"")</f>
        <v/>
      </c>
      <c r="AU81" s="38" t="str">
        <f>IFERROR('1.vize'!BF81*100/'1.vize'!$I81,"")</f>
        <v/>
      </c>
      <c r="AV81" s="38" t="str">
        <f>IFERROR('1.vize'!BG81*100/'1.vize'!$I81,"")</f>
        <v/>
      </c>
      <c r="AW81" s="38" t="str">
        <f>IFERROR('1.vize'!BH81*100/'1.vize'!$I81,"")</f>
        <v/>
      </c>
      <c r="AX81" s="38" t="str">
        <f>IFERROR('1.vize'!BI81*100/'1.vize'!$I81,"")</f>
        <v/>
      </c>
      <c r="AY81" s="38" t="str">
        <f>IFERROR('1.vize'!BJ81*100/'1.vize'!$I81,"")</f>
        <v/>
      </c>
      <c r="AZ81" s="38" t="str">
        <f>IFERROR('1.vize'!BK81*100/'1.vize'!$I81,"")</f>
        <v/>
      </c>
      <c r="BA81" s="38" t="str">
        <f>IFERROR('1.vize'!BL81*100/'1.vize'!$I81,"")</f>
        <v/>
      </c>
      <c r="BB81" s="38" t="str">
        <f>IFERROR('1.vize'!BM81*100/'1.vize'!$I81,"")</f>
        <v/>
      </c>
      <c r="BC81" s="38" t="str">
        <f>IFERROR('1.vize'!BN81*100/'1.vize'!$I81,"")</f>
        <v/>
      </c>
      <c r="BD81" s="38" t="str">
        <f>IFERROR('1.vize'!BO81*100/'1.vize'!$I81,"")</f>
        <v/>
      </c>
      <c r="BE81" s="38" t="str">
        <f>IFERROR('1.vize'!BP81*100/'1.vize'!$I81,"")</f>
        <v/>
      </c>
      <c r="BF81" s="38" t="str">
        <f>IFERROR('1.vize'!BQ81*100/'1.vize'!$I81,"")</f>
        <v/>
      </c>
      <c r="BG81" s="38" t="str">
        <f>IFERROR('1.vize'!BR81*100/'1.vize'!$I81,"")</f>
        <v/>
      </c>
      <c r="BH81" s="38" t="str">
        <f>IFERROR('1.vize'!BS81*100/'1.vize'!$I81,"")</f>
        <v/>
      </c>
      <c r="BI81" s="38" t="str">
        <f>IFERROR('1.vize'!BT81*100/'1.vize'!$I81,"")</f>
        <v/>
      </c>
      <c r="BJ81" s="38" t="str">
        <f>IFERROR('1.vize'!BU81*100/'1.vize'!$I81,"")</f>
        <v/>
      </c>
      <c r="BK81" s="38" t="str">
        <f>IFERROR('1.vize'!BV81*100/'1.vize'!$I81,"")</f>
        <v/>
      </c>
      <c r="BL81" s="38" t="str">
        <f>IFERROR('1.vize'!BW81*100/'1.vize'!$I81,"")</f>
        <v/>
      </c>
      <c r="BM81" s="38" t="str">
        <f>IFERROR('1.vize'!BX81*100/'1.vize'!$I81,"")</f>
        <v/>
      </c>
      <c r="BN81" s="38" t="str">
        <f>IFERROR('1.vize'!BY81*100/'1.vize'!$I81,"")</f>
        <v/>
      </c>
      <c r="BO81" s="38" t="str">
        <f>IFERROR('1.vize'!BZ81*100/'1.vize'!$I81,"")</f>
        <v/>
      </c>
      <c r="BP81" s="38" t="str">
        <f>IFERROR('1.vize'!CA81*100/'1.vize'!$I81,"")</f>
        <v/>
      </c>
      <c r="BQ81" s="38" t="str">
        <f>IFERROR('1.vize'!CB81*100/'1.vize'!$I81,"")</f>
        <v/>
      </c>
      <c r="BR81" s="38" t="str">
        <f>IFERROR('1.vize'!CC81*100/'1.vize'!$I81,"")</f>
        <v/>
      </c>
      <c r="BS81" s="38" t="str">
        <f>IFERROR('1.vize'!CD81*100/'1.vize'!$I81,"")</f>
        <v/>
      </c>
      <c r="BT81" s="38" t="str">
        <f>IFERROR('1.vize'!CE81*100/'1.vize'!$I81,"")</f>
        <v/>
      </c>
      <c r="BU81" s="38" t="str">
        <f>IFERROR('1.vize'!CF81*100/'1.vize'!$I81,"")</f>
        <v/>
      </c>
      <c r="BV81" s="38" t="str">
        <f>IFERROR('1.vize'!CG81*100/'1.vize'!$I81,"")</f>
        <v/>
      </c>
      <c r="BW81" s="38" t="str">
        <f>IFERROR('1.vize'!CH81*100/'1.vize'!$I81,"")</f>
        <v/>
      </c>
      <c r="BX81" s="38" t="str">
        <f>IFERROR('1.vize'!CI81*100/'1.vize'!$I81,"")</f>
        <v/>
      </c>
      <c r="BY81" s="38" t="str">
        <f>IFERROR('1.vize'!CJ81*100/'1.vize'!$I81,"")</f>
        <v/>
      </c>
      <c r="BZ81" s="38" t="str">
        <f>IFERROR('1.vize'!CK81*100/'1.vize'!$I81,"")</f>
        <v/>
      </c>
      <c r="CA81" s="38" t="str">
        <f>IFERROR('1.vize'!CL81*100/'1.vize'!$I81,"")</f>
        <v/>
      </c>
      <c r="CB81" s="38" t="str">
        <f>IFERROR('1.vize'!CM81*100/'1.vize'!$I81,"")</f>
        <v/>
      </c>
      <c r="CC81" s="38" t="str">
        <f>IFERROR('1.vize'!CN81*100/'1.vize'!$I81,"")</f>
        <v/>
      </c>
      <c r="CD81" s="38" t="str">
        <f>IFERROR('1.vize'!CO81*100/'1.vize'!$I81,"")</f>
        <v/>
      </c>
      <c r="CE81" s="38" t="str">
        <f>IFERROR('1.vize'!CP81*100/'1.vize'!$I81,"")</f>
        <v/>
      </c>
      <c r="CF81" s="38" t="str">
        <f>IFERROR('1.vize'!CQ81*100/'1.vize'!$I81,"")</f>
        <v/>
      </c>
      <c r="CG81" s="38" t="str">
        <f>IFERROR('1.vize'!CR81*100/'1.vize'!$I81,"")</f>
        <v/>
      </c>
      <c r="CH81" s="38" t="str">
        <f>IFERROR('1.vize'!CS81*100/'1.vize'!$I81,"")</f>
        <v/>
      </c>
      <c r="CI81" s="38" t="str">
        <f>IFERROR('1.vize'!CT81*100/'1.vize'!$I81,"")</f>
        <v/>
      </c>
      <c r="CJ81" s="38" t="str">
        <f>IFERROR('1.vize'!CU81*100/'1.vize'!$I81,"")</f>
        <v/>
      </c>
      <c r="CK81" s="38" t="str">
        <f>IFERROR('1.vize'!CV81*100/'1.vize'!$I81,"")</f>
        <v/>
      </c>
      <c r="CL81" s="38" t="str">
        <f>IFERROR('1.vize'!CW81*100/'1.vize'!$I81,"")</f>
        <v/>
      </c>
      <c r="CM81" s="38" t="str">
        <f>IFERROR('1.vize'!CX81*100/'1.vize'!$I81,"")</f>
        <v/>
      </c>
      <c r="CN81" s="38" t="str">
        <f>IFERROR('1.vize'!CY81*100/'1.vize'!$I81,"")</f>
        <v/>
      </c>
      <c r="CO81" s="38" t="str">
        <f>IFERROR('1.vize'!CZ81*100/'1.vize'!$I81,"")</f>
        <v/>
      </c>
      <c r="CP81" s="38" t="str">
        <f>IFERROR('1.vize'!DA81*100/'1.vize'!$I81,"")</f>
        <v/>
      </c>
      <c r="CQ81" s="38" t="str">
        <f>IFERROR('1.vize'!DB81*100/'1.vize'!$I81,"")</f>
        <v/>
      </c>
      <c r="CR81" s="38" t="str">
        <f>IFERROR('1.vize'!DC81*100/'1.vize'!$I81,"")</f>
        <v/>
      </c>
      <c r="CS81" s="38" t="str">
        <f>IFERROR('1.vize'!DD81*100/'1.vize'!$I81,"")</f>
        <v/>
      </c>
      <c r="CT81" s="38" t="str">
        <f>IFERROR('1.vize'!DE81*100/'1.vize'!$I81,"")</f>
        <v/>
      </c>
      <c r="CU81" s="38" t="str">
        <f>IFERROR('1.vize'!DF81*100/'1.vize'!$I81,"")</f>
        <v/>
      </c>
      <c r="CV81" s="38" t="str">
        <f>IFERROR('1.vize'!DG81*100/'1.vize'!$I81,"")</f>
        <v/>
      </c>
      <c r="CW81" s="32" t="str">
        <f>IFERROR(SUM(A81:CV81)/'1.vize'!$DH$103,"")</f>
        <v/>
      </c>
      <c r="CX81" s="14" t="str">
        <f>IF(COUNTA('1.vize'!A81),'1.vize'!A81,"")</f>
        <v/>
      </c>
      <c r="CY81" s="14" t="str">
        <f>IF(COUNTA('1.vize'!B81),'1.vize'!B81,"")</f>
        <v/>
      </c>
      <c r="CZ81" s="14" t="str">
        <f>IF(COUNTA('1.vize'!C81),'1.vize'!C81,"")</f>
        <v/>
      </c>
      <c r="DA81" s="14" t="str">
        <f>IF(COUNTA('1.vize'!D81),'1.vize'!D81,"")</f>
        <v/>
      </c>
      <c r="DB81" s="14" t="str">
        <f>IF(COUNTA('1.vize'!E81),'1.vize'!E81,"")</f>
        <v/>
      </c>
      <c r="DC81" s="14" t="str">
        <f>IF(COUNTA('1.vize'!F81),'1.vize'!F81,"")</f>
        <v/>
      </c>
      <c r="DD81" s="14" t="str">
        <f>IF(COUNTA('1.vize'!G81),'1.vize'!G81,"")</f>
        <v/>
      </c>
      <c r="DE81" s="14" t="str">
        <f>IF(COUNTA('1.vize'!H81),'1.vize'!H81,"")</f>
        <v/>
      </c>
      <c r="DF81" s="33"/>
    </row>
    <row r="82" spans="1:110" x14ac:dyDescent="0.2">
      <c r="A82" s="38" t="str">
        <f>IFERROR('1.vize'!L82*100/'1.vize'!$I82,"")</f>
        <v/>
      </c>
      <c r="B82" s="38" t="str">
        <f>IFERROR('1.vize'!M82*100/'1.vize'!$I82,"")</f>
        <v/>
      </c>
      <c r="C82" s="38" t="str">
        <f>IFERROR('1.vize'!N82*100/'1.vize'!$I82,"")</f>
        <v/>
      </c>
      <c r="D82" s="38" t="str">
        <f>IFERROR('1.vize'!O82*100/'1.vize'!$I82,"")</f>
        <v/>
      </c>
      <c r="E82" s="38" t="str">
        <f>IFERROR('1.vize'!P82*100/'1.vize'!$I82,"")</f>
        <v/>
      </c>
      <c r="F82" s="38" t="str">
        <f>IFERROR('1.vize'!Q82*100/'1.vize'!$I82,"")</f>
        <v/>
      </c>
      <c r="G82" s="38" t="str">
        <f>IFERROR('1.vize'!R82*100/'1.vize'!$I82,"")</f>
        <v/>
      </c>
      <c r="H82" s="38" t="str">
        <f>IFERROR('1.vize'!S82*100/'1.vize'!$I82,"")</f>
        <v/>
      </c>
      <c r="I82" s="38" t="str">
        <f>IFERROR('1.vize'!T82*100/'1.vize'!$I82,"")</f>
        <v/>
      </c>
      <c r="J82" s="38" t="str">
        <f>IFERROR('1.vize'!U82*100/'1.vize'!$I82,"")</f>
        <v/>
      </c>
      <c r="K82" s="38" t="str">
        <f>IFERROR('1.vize'!V82*100/'1.vize'!$I82,"")</f>
        <v/>
      </c>
      <c r="L82" s="38" t="str">
        <f>IFERROR('1.vize'!W82*100/'1.vize'!$I82,"")</f>
        <v/>
      </c>
      <c r="M82" s="38" t="str">
        <f>IFERROR('1.vize'!X82*100/'1.vize'!$I82,"")</f>
        <v/>
      </c>
      <c r="N82" s="38" t="str">
        <f>IFERROR('1.vize'!Y82*100/'1.vize'!$I82,"")</f>
        <v/>
      </c>
      <c r="O82" s="38" t="str">
        <f>IFERROR('1.vize'!Z82*100/'1.vize'!$I82,"")</f>
        <v/>
      </c>
      <c r="P82" s="38" t="str">
        <f>IFERROR('1.vize'!AA82*100/'1.vize'!$I82,"")</f>
        <v/>
      </c>
      <c r="Q82" s="38" t="str">
        <f>IFERROR('1.vize'!AB82*100/'1.vize'!$I82,"")</f>
        <v/>
      </c>
      <c r="R82" s="38" t="str">
        <f>IFERROR('1.vize'!AC82*100/'1.vize'!$I82,"")</f>
        <v/>
      </c>
      <c r="S82" s="38" t="str">
        <f>IFERROR('1.vize'!AD82*100/'1.vize'!$I82,"")</f>
        <v/>
      </c>
      <c r="T82" s="38" t="str">
        <f>IFERROR('1.vize'!AE82*100/'1.vize'!$I82,"")</f>
        <v/>
      </c>
      <c r="U82" s="38" t="str">
        <f>IFERROR('1.vize'!AF82*100/'1.vize'!$I82,"")</f>
        <v/>
      </c>
      <c r="V82" s="38" t="str">
        <f>IFERROR('1.vize'!AG82*100/'1.vize'!$I82,"")</f>
        <v/>
      </c>
      <c r="W82" s="38" t="str">
        <f>IFERROR('1.vize'!AH82*100/'1.vize'!$I82,"")</f>
        <v/>
      </c>
      <c r="X82" s="38" t="str">
        <f>IFERROR('1.vize'!AI82*100/'1.vize'!$I82,"")</f>
        <v/>
      </c>
      <c r="Y82" s="38" t="str">
        <f>IFERROR('1.vize'!AJ82*100/'1.vize'!$I82,"")</f>
        <v/>
      </c>
      <c r="Z82" s="38" t="str">
        <f>IFERROR('1.vize'!AK82*100/'1.vize'!$I82,"")</f>
        <v/>
      </c>
      <c r="AA82" s="38" t="str">
        <f>IFERROR('1.vize'!AL82*100/'1.vize'!$I82,"")</f>
        <v/>
      </c>
      <c r="AB82" s="38" t="str">
        <f>IFERROR('1.vize'!AM82*100/'1.vize'!$I82,"")</f>
        <v/>
      </c>
      <c r="AC82" s="38" t="str">
        <f>IFERROR('1.vize'!AN82*100/'1.vize'!$I82,"")</f>
        <v/>
      </c>
      <c r="AD82" s="38" t="str">
        <f>IFERROR('1.vize'!AO82*100/'1.vize'!$I82,"")</f>
        <v/>
      </c>
      <c r="AE82" s="38" t="str">
        <f>IFERROR('1.vize'!AP82*100/'1.vize'!$I82,"")</f>
        <v/>
      </c>
      <c r="AF82" s="38" t="str">
        <f>IFERROR('1.vize'!AQ82*100/'1.vize'!$I82,"")</f>
        <v/>
      </c>
      <c r="AG82" s="38" t="str">
        <f>IFERROR('1.vize'!AR82*100/'1.vize'!$I82,"")</f>
        <v/>
      </c>
      <c r="AH82" s="38" t="str">
        <f>IFERROR('1.vize'!AS82*100/'1.vize'!$I82,"")</f>
        <v/>
      </c>
      <c r="AI82" s="38" t="str">
        <f>IFERROR('1.vize'!AT82*100/'1.vize'!$I82,"")</f>
        <v/>
      </c>
      <c r="AJ82" s="38" t="str">
        <f>IFERROR('1.vize'!AU82*100/'1.vize'!$I82,"")</f>
        <v/>
      </c>
      <c r="AK82" s="38" t="str">
        <f>IFERROR('1.vize'!AV82*100/'1.vize'!$I82,"")</f>
        <v/>
      </c>
      <c r="AL82" s="38" t="str">
        <f>IFERROR('1.vize'!AW82*100/'1.vize'!$I82,"")</f>
        <v/>
      </c>
      <c r="AM82" s="38" t="str">
        <f>IFERROR('1.vize'!AX82*100/'1.vize'!$I82,"")</f>
        <v/>
      </c>
      <c r="AN82" s="38" t="str">
        <f>IFERROR('1.vize'!AY82*100/'1.vize'!$I82,"")</f>
        <v/>
      </c>
      <c r="AO82" s="38" t="str">
        <f>IFERROR('1.vize'!AZ82*100/'1.vize'!$I82,"")</f>
        <v/>
      </c>
      <c r="AP82" s="38" t="str">
        <f>IFERROR('1.vize'!BA82*100/'1.vize'!$I82,"")</f>
        <v/>
      </c>
      <c r="AQ82" s="38" t="str">
        <f>IFERROR('1.vize'!BB82*100/'1.vize'!$I82,"")</f>
        <v/>
      </c>
      <c r="AR82" s="38" t="str">
        <f>IFERROR('1.vize'!BC82*100/'1.vize'!$I82,"")</f>
        <v/>
      </c>
      <c r="AS82" s="38" t="str">
        <f>IFERROR('1.vize'!BD82*100/'1.vize'!$I82,"")</f>
        <v/>
      </c>
      <c r="AT82" s="38" t="str">
        <f>IFERROR('1.vize'!BE82*100/'1.vize'!$I82,"")</f>
        <v/>
      </c>
      <c r="AU82" s="38" t="str">
        <f>IFERROR('1.vize'!BF82*100/'1.vize'!$I82,"")</f>
        <v/>
      </c>
      <c r="AV82" s="38" t="str">
        <f>IFERROR('1.vize'!BG82*100/'1.vize'!$I82,"")</f>
        <v/>
      </c>
      <c r="AW82" s="38" t="str">
        <f>IFERROR('1.vize'!BH82*100/'1.vize'!$I82,"")</f>
        <v/>
      </c>
      <c r="AX82" s="38" t="str">
        <f>IFERROR('1.vize'!BI82*100/'1.vize'!$I82,"")</f>
        <v/>
      </c>
      <c r="AY82" s="38" t="str">
        <f>IFERROR('1.vize'!BJ82*100/'1.vize'!$I82,"")</f>
        <v/>
      </c>
      <c r="AZ82" s="38" t="str">
        <f>IFERROR('1.vize'!BK82*100/'1.vize'!$I82,"")</f>
        <v/>
      </c>
      <c r="BA82" s="38" t="str">
        <f>IFERROR('1.vize'!BL82*100/'1.vize'!$I82,"")</f>
        <v/>
      </c>
      <c r="BB82" s="38" t="str">
        <f>IFERROR('1.vize'!BM82*100/'1.vize'!$I82,"")</f>
        <v/>
      </c>
      <c r="BC82" s="38" t="str">
        <f>IFERROR('1.vize'!BN82*100/'1.vize'!$I82,"")</f>
        <v/>
      </c>
      <c r="BD82" s="38" t="str">
        <f>IFERROR('1.vize'!BO82*100/'1.vize'!$I82,"")</f>
        <v/>
      </c>
      <c r="BE82" s="38" t="str">
        <f>IFERROR('1.vize'!BP82*100/'1.vize'!$I82,"")</f>
        <v/>
      </c>
      <c r="BF82" s="38" t="str">
        <f>IFERROR('1.vize'!BQ82*100/'1.vize'!$I82,"")</f>
        <v/>
      </c>
      <c r="BG82" s="38" t="str">
        <f>IFERROR('1.vize'!BR82*100/'1.vize'!$I82,"")</f>
        <v/>
      </c>
      <c r="BH82" s="38" t="str">
        <f>IFERROR('1.vize'!BS82*100/'1.vize'!$I82,"")</f>
        <v/>
      </c>
      <c r="BI82" s="38" t="str">
        <f>IFERROR('1.vize'!BT82*100/'1.vize'!$I82,"")</f>
        <v/>
      </c>
      <c r="BJ82" s="38" t="str">
        <f>IFERROR('1.vize'!BU82*100/'1.vize'!$I82,"")</f>
        <v/>
      </c>
      <c r="BK82" s="38" t="str">
        <f>IFERROR('1.vize'!BV82*100/'1.vize'!$I82,"")</f>
        <v/>
      </c>
      <c r="BL82" s="38" t="str">
        <f>IFERROR('1.vize'!BW82*100/'1.vize'!$I82,"")</f>
        <v/>
      </c>
      <c r="BM82" s="38" t="str">
        <f>IFERROR('1.vize'!BX82*100/'1.vize'!$I82,"")</f>
        <v/>
      </c>
      <c r="BN82" s="38" t="str">
        <f>IFERROR('1.vize'!BY82*100/'1.vize'!$I82,"")</f>
        <v/>
      </c>
      <c r="BO82" s="38" t="str">
        <f>IFERROR('1.vize'!BZ82*100/'1.vize'!$I82,"")</f>
        <v/>
      </c>
      <c r="BP82" s="38" t="str">
        <f>IFERROR('1.vize'!CA82*100/'1.vize'!$I82,"")</f>
        <v/>
      </c>
      <c r="BQ82" s="38" t="str">
        <f>IFERROR('1.vize'!CB82*100/'1.vize'!$I82,"")</f>
        <v/>
      </c>
      <c r="BR82" s="38" t="str">
        <f>IFERROR('1.vize'!CC82*100/'1.vize'!$I82,"")</f>
        <v/>
      </c>
      <c r="BS82" s="38" t="str">
        <f>IFERROR('1.vize'!CD82*100/'1.vize'!$I82,"")</f>
        <v/>
      </c>
      <c r="BT82" s="38" t="str">
        <f>IFERROR('1.vize'!CE82*100/'1.vize'!$I82,"")</f>
        <v/>
      </c>
      <c r="BU82" s="38" t="str">
        <f>IFERROR('1.vize'!CF82*100/'1.vize'!$I82,"")</f>
        <v/>
      </c>
      <c r="BV82" s="38" t="str">
        <f>IFERROR('1.vize'!CG82*100/'1.vize'!$I82,"")</f>
        <v/>
      </c>
      <c r="BW82" s="38" t="str">
        <f>IFERROR('1.vize'!CH82*100/'1.vize'!$I82,"")</f>
        <v/>
      </c>
      <c r="BX82" s="38" t="str">
        <f>IFERROR('1.vize'!CI82*100/'1.vize'!$I82,"")</f>
        <v/>
      </c>
      <c r="BY82" s="38" t="str">
        <f>IFERROR('1.vize'!CJ82*100/'1.vize'!$I82,"")</f>
        <v/>
      </c>
      <c r="BZ82" s="38" t="str">
        <f>IFERROR('1.vize'!CK82*100/'1.vize'!$I82,"")</f>
        <v/>
      </c>
      <c r="CA82" s="38" t="str">
        <f>IFERROR('1.vize'!CL82*100/'1.vize'!$I82,"")</f>
        <v/>
      </c>
      <c r="CB82" s="38" t="str">
        <f>IFERROR('1.vize'!CM82*100/'1.vize'!$I82,"")</f>
        <v/>
      </c>
      <c r="CC82" s="38" t="str">
        <f>IFERROR('1.vize'!CN82*100/'1.vize'!$I82,"")</f>
        <v/>
      </c>
      <c r="CD82" s="38" t="str">
        <f>IFERROR('1.vize'!CO82*100/'1.vize'!$I82,"")</f>
        <v/>
      </c>
      <c r="CE82" s="38" t="str">
        <f>IFERROR('1.vize'!CP82*100/'1.vize'!$I82,"")</f>
        <v/>
      </c>
      <c r="CF82" s="38" t="str">
        <f>IFERROR('1.vize'!CQ82*100/'1.vize'!$I82,"")</f>
        <v/>
      </c>
      <c r="CG82" s="38" t="str">
        <f>IFERROR('1.vize'!CR82*100/'1.vize'!$I82,"")</f>
        <v/>
      </c>
      <c r="CH82" s="38" t="str">
        <f>IFERROR('1.vize'!CS82*100/'1.vize'!$I82,"")</f>
        <v/>
      </c>
      <c r="CI82" s="38" t="str">
        <f>IFERROR('1.vize'!CT82*100/'1.vize'!$I82,"")</f>
        <v/>
      </c>
      <c r="CJ82" s="38" t="str">
        <f>IFERROR('1.vize'!CU82*100/'1.vize'!$I82,"")</f>
        <v/>
      </c>
      <c r="CK82" s="38" t="str">
        <f>IFERROR('1.vize'!CV82*100/'1.vize'!$I82,"")</f>
        <v/>
      </c>
      <c r="CL82" s="38" t="str">
        <f>IFERROR('1.vize'!CW82*100/'1.vize'!$I82,"")</f>
        <v/>
      </c>
      <c r="CM82" s="38" t="str">
        <f>IFERROR('1.vize'!CX82*100/'1.vize'!$I82,"")</f>
        <v/>
      </c>
      <c r="CN82" s="38" t="str">
        <f>IFERROR('1.vize'!CY82*100/'1.vize'!$I82,"")</f>
        <v/>
      </c>
      <c r="CO82" s="38" t="str">
        <f>IFERROR('1.vize'!CZ82*100/'1.vize'!$I82,"")</f>
        <v/>
      </c>
      <c r="CP82" s="38" t="str">
        <f>IFERROR('1.vize'!DA82*100/'1.vize'!$I82,"")</f>
        <v/>
      </c>
      <c r="CQ82" s="38" t="str">
        <f>IFERROR('1.vize'!DB82*100/'1.vize'!$I82,"")</f>
        <v/>
      </c>
      <c r="CR82" s="38" t="str">
        <f>IFERROR('1.vize'!DC82*100/'1.vize'!$I82,"")</f>
        <v/>
      </c>
      <c r="CS82" s="38" t="str">
        <f>IFERROR('1.vize'!DD82*100/'1.vize'!$I82,"")</f>
        <v/>
      </c>
      <c r="CT82" s="38" t="str">
        <f>IFERROR('1.vize'!DE82*100/'1.vize'!$I82,"")</f>
        <v/>
      </c>
      <c r="CU82" s="38" t="str">
        <f>IFERROR('1.vize'!DF82*100/'1.vize'!$I82,"")</f>
        <v/>
      </c>
      <c r="CV82" s="38" t="str">
        <f>IFERROR('1.vize'!DG82*100/'1.vize'!$I82,"")</f>
        <v/>
      </c>
      <c r="CW82" s="32" t="str">
        <f>IFERROR(SUM(A82:CV82)/'1.vize'!$DH$103,"")</f>
        <v/>
      </c>
      <c r="CX82" s="14" t="str">
        <f>IF(COUNTA('1.vize'!A82),'1.vize'!A82,"")</f>
        <v/>
      </c>
      <c r="CY82" s="14" t="str">
        <f>IF(COUNTA('1.vize'!B82),'1.vize'!B82,"")</f>
        <v/>
      </c>
      <c r="CZ82" s="14" t="str">
        <f>IF(COUNTA('1.vize'!C82),'1.vize'!C82,"")</f>
        <v/>
      </c>
      <c r="DA82" s="14" t="str">
        <f>IF(COUNTA('1.vize'!D82),'1.vize'!D82,"")</f>
        <v/>
      </c>
      <c r="DB82" s="14" t="str">
        <f>IF(COUNTA('1.vize'!E82),'1.vize'!E82,"")</f>
        <v/>
      </c>
      <c r="DC82" s="14" t="str">
        <f>IF(COUNTA('1.vize'!F82),'1.vize'!F82,"")</f>
        <v/>
      </c>
      <c r="DD82" s="14" t="str">
        <f>IF(COUNTA('1.vize'!G82),'1.vize'!G82,"")</f>
        <v/>
      </c>
      <c r="DE82" s="14" t="str">
        <f>IF(COUNTA('1.vize'!H82),'1.vize'!H82,"")</f>
        <v/>
      </c>
      <c r="DF82" s="33"/>
    </row>
    <row r="83" spans="1:110" x14ac:dyDescent="0.2">
      <c r="A83" s="38" t="str">
        <f>IFERROR('1.vize'!L83*100/'1.vize'!$I83,"")</f>
        <v/>
      </c>
      <c r="B83" s="38" t="str">
        <f>IFERROR('1.vize'!M83*100/'1.vize'!$I83,"")</f>
        <v/>
      </c>
      <c r="C83" s="38" t="str">
        <f>IFERROR('1.vize'!N83*100/'1.vize'!$I83,"")</f>
        <v/>
      </c>
      <c r="D83" s="38" t="str">
        <f>IFERROR('1.vize'!O83*100/'1.vize'!$I83,"")</f>
        <v/>
      </c>
      <c r="E83" s="38" t="str">
        <f>IFERROR('1.vize'!P83*100/'1.vize'!$I83,"")</f>
        <v/>
      </c>
      <c r="F83" s="38" t="str">
        <f>IFERROR('1.vize'!Q83*100/'1.vize'!$I83,"")</f>
        <v/>
      </c>
      <c r="G83" s="38" t="str">
        <f>IFERROR('1.vize'!R83*100/'1.vize'!$I83,"")</f>
        <v/>
      </c>
      <c r="H83" s="38" t="str">
        <f>IFERROR('1.vize'!S83*100/'1.vize'!$I83,"")</f>
        <v/>
      </c>
      <c r="I83" s="38" t="str">
        <f>IFERROR('1.vize'!T83*100/'1.vize'!$I83,"")</f>
        <v/>
      </c>
      <c r="J83" s="38" t="str">
        <f>IFERROR('1.vize'!U83*100/'1.vize'!$I83,"")</f>
        <v/>
      </c>
      <c r="K83" s="38" t="str">
        <f>IFERROR('1.vize'!V83*100/'1.vize'!$I83,"")</f>
        <v/>
      </c>
      <c r="L83" s="38" t="str">
        <f>IFERROR('1.vize'!W83*100/'1.vize'!$I83,"")</f>
        <v/>
      </c>
      <c r="M83" s="38" t="str">
        <f>IFERROR('1.vize'!X83*100/'1.vize'!$I83,"")</f>
        <v/>
      </c>
      <c r="N83" s="38" t="str">
        <f>IFERROR('1.vize'!Y83*100/'1.vize'!$I83,"")</f>
        <v/>
      </c>
      <c r="O83" s="38" t="str">
        <f>IFERROR('1.vize'!Z83*100/'1.vize'!$I83,"")</f>
        <v/>
      </c>
      <c r="P83" s="38" t="str">
        <f>IFERROR('1.vize'!AA83*100/'1.vize'!$I83,"")</f>
        <v/>
      </c>
      <c r="Q83" s="38" t="str">
        <f>IFERROR('1.vize'!AB83*100/'1.vize'!$I83,"")</f>
        <v/>
      </c>
      <c r="R83" s="38" t="str">
        <f>IFERROR('1.vize'!AC83*100/'1.vize'!$I83,"")</f>
        <v/>
      </c>
      <c r="S83" s="38" t="str">
        <f>IFERROR('1.vize'!AD83*100/'1.vize'!$I83,"")</f>
        <v/>
      </c>
      <c r="T83" s="38" t="str">
        <f>IFERROR('1.vize'!AE83*100/'1.vize'!$I83,"")</f>
        <v/>
      </c>
      <c r="U83" s="38" t="str">
        <f>IFERROR('1.vize'!AF83*100/'1.vize'!$I83,"")</f>
        <v/>
      </c>
      <c r="V83" s="38" t="str">
        <f>IFERROR('1.vize'!AG83*100/'1.vize'!$I83,"")</f>
        <v/>
      </c>
      <c r="W83" s="38" t="str">
        <f>IFERROR('1.vize'!AH83*100/'1.vize'!$I83,"")</f>
        <v/>
      </c>
      <c r="X83" s="38" t="str">
        <f>IFERROR('1.vize'!AI83*100/'1.vize'!$I83,"")</f>
        <v/>
      </c>
      <c r="Y83" s="38" t="str">
        <f>IFERROR('1.vize'!AJ83*100/'1.vize'!$I83,"")</f>
        <v/>
      </c>
      <c r="Z83" s="38" t="str">
        <f>IFERROR('1.vize'!AK83*100/'1.vize'!$I83,"")</f>
        <v/>
      </c>
      <c r="AA83" s="38" t="str">
        <f>IFERROR('1.vize'!AL83*100/'1.vize'!$I83,"")</f>
        <v/>
      </c>
      <c r="AB83" s="38" t="str">
        <f>IFERROR('1.vize'!AM83*100/'1.vize'!$I83,"")</f>
        <v/>
      </c>
      <c r="AC83" s="38" t="str">
        <f>IFERROR('1.vize'!AN83*100/'1.vize'!$I83,"")</f>
        <v/>
      </c>
      <c r="AD83" s="38" t="str">
        <f>IFERROR('1.vize'!AO83*100/'1.vize'!$I83,"")</f>
        <v/>
      </c>
      <c r="AE83" s="38" t="str">
        <f>IFERROR('1.vize'!AP83*100/'1.vize'!$I83,"")</f>
        <v/>
      </c>
      <c r="AF83" s="38" t="str">
        <f>IFERROR('1.vize'!AQ83*100/'1.vize'!$I83,"")</f>
        <v/>
      </c>
      <c r="AG83" s="38" t="str">
        <f>IFERROR('1.vize'!AR83*100/'1.vize'!$I83,"")</f>
        <v/>
      </c>
      <c r="AH83" s="38" t="str">
        <f>IFERROR('1.vize'!AS83*100/'1.vize'!$I83,"")</f>
        <v/>
      </c>
      <c r="AI83" s="38" t="str">
        <f>IFERROR('1.vize'!AT83*100/'1.vize'!$I83,"")</f>
        <v/>
      </c>
      <c r="AJ83" s="38" t="str">
        <f>IFERROR('1.vize'!AU83*100/'1.vize'!$I83,"")</f>
        <v/>
      </c>
      <c r="AK83" s="38" t="str">
        <f>IFERROR('1.vize'!AV83*100/'1.vize'!$I83,"")</f>
        <v/>
      </c>
      <c r="AL83" s="38" t="str">
        <f>IFERROR('1.vize'!AW83*100/'1.vize'!$I83,"")</f>
        <v/>
      </c>
      <c r="AM83" s="38" t="str">
        <f>IFERROR('1.vize'!AX83*100/'1.vize'!$I83,"")</f>
        <v/>
      </c>
      <c r="AN83" s="38" t="str">
        <f>IFERROR('1.vize'!AY83*100/'1.vize'!$I83,"")</f>
        <v/>
      </c>
      <c r="AO83" s="38" t="str">
        <f>IFERROR('1.vize'!AZ83*100/'1.vize'!$I83,"")</f>
        <v/>
      </c>
      <c r="AP83" s="38" t="str">
        <f>IFERROR('1.vize'!BA83*100/'1.vize'!$I83,"")</f>
        <v/>
      </c>
      <c r="AQ83" s="38" t="str">
        <f>IFERROR('1.vize'!BB83*100/'1.vize'!$I83,"")</f>
        <v/>
      </c>
      <c r="AR83" s="38" t="str">
        <f>IFERROR('1.vize'!BC83*100/'1.vize'!$I83,"")</f>
        <v/>
      </c>
      <c r="AS83" s="38" t="str">
        <f>IFERROR('1.vize'!BD83*100/'1.vize'!$I83,"")</f>
        <v/>
      </c>
      <c r="AT83" s="38" t="str">
        <f>IFERROR('1.vize'!BE83*100/'1.vize'!$I83,"")</f>
        <v/>
      </c>
      <c r="AU83" s="38" t="str">
        <f>IFERROR('1.vize'!BF83*100/'1.vize'!$I83,"")</f>
        <v/>
      </c>
      <c r="AV83" s="38" t="str">
        <f>IFERROR('1.vize'!BG83*100/'1.vize'!$I83,"")</f>
        <v/>
      </c>
      <c r="AW83" s="38" t="str">
        <f>IFERROR('1.vize'!BH83*100/'1.vize'!$I83,"")</f>
        <v/>
      </c>
      <c r="AX83" s="38" t="str">
        <f>IFERROR('1.vize'!BI83*100/'1.vize'!$I83,"")</f>
        <v/>
      </c>
      <c r="AY83" s="38" t="str">
        <f>IFERROR('1.vize'!BJ83*100/'1.vize'!$I83,"")</f>
        <v/>
      </c>
      <c r="AZ83" s="38" t="str">
        <f>IFERROR('1.vize'!BK83*100/'1.vize'!$I83,"")</f>
        <v/>
      </c>
      <c r="BA83" s="38" t="str">
        <f>IFERROR('1.vize'!BL83*100/'1.vize'!$I83,"")</f>
        <v/>
      </c>
      <c r="BB83" s="38" t="str">
        <f>IFERROR('1.vize'!BM83*100/'1.vize'!$I83,"")</f>
        <v/>
      </c>
      <c r="BC83" s="38" t="str">
        <f>IFERROR('1.vize'!BN83*100/'1.vize'!$I83,"")</f>
        <v/>
      </c>
      <c r="BD83" s="38" t="str">
        <f>IFERROR('1.vize'!BO83*100/'1.vize'!$I83,"")</f>
        <v/>
      </c>
      <c r="BE83" s="38" t="str">
        <f>IFERROR('1.vize'!BP83*100/'1.vize'!$I83,"")</f>
        <v/>
      </c>
      <c r="BF83" s="38" t="str">
        <f>IFERROR('1.vize'!BQ83*100/'1.vize'!$I83,"")</f>
        <v/>
      </c>
      <c r="BG83" s="38" t="str">
        <f>IFERROR('1.vize'!BR83*100/'1.vize'!$I83,"")</f>
        <v/>
      </c>
      <c r="BH83" s="38" t="str">
        <f>IFERROR('1.vize'!BS83*100/'1.vize'!$I83,"")</f>
        <v/>
      </c>
      <c r="BI83" s="38" t="str">
        <f>IFERROR('1.vize'!BT83*100/'1.vize'!$I83,"")</f>
        <v/>
      </c>
      <c r="BJ83" s="38" t="str">
        <f>IFERROR('1.vize'!BU83*100/'1.vize'!$I83,"")</f>
        <v/>
      </c>
      <c r="BK83" s="38" t="str">
        <f>IFERROR('1.vize'!BV83*100/'1.vize'!$I83,"")</f>
        <v/>
      </c>
      <c r="BL83" s="38" t="str">
        <f>IFERROR('1.vize'!BW83*100/'1.vize'!$I83,"")</f>
        <v/>
      </c>
      <c r="BM83" s="38" t="str">
        <f>IFERROR('1.vize'!BX83*100/'1.vize'!$I83,"")</f>
        <v/>
      </c>
      <c r="BN83" s="38" t="str">
        <f>IFERROR('1.vize'!BY83*100/'1.vize'!$I83,"")</f>
        <v/>
      </c>
      <c r="BO83" s="38" t="str">
        <f>IFERROR('1.vize'!BZ83*100/'1.vize'!$I83,"")</f>
        <v/>
      </c>
      <c r="BP83" s="38" t="str">
        <f>IFERROR('1.vize'!CA83*100/'1.vize'!$I83,"")</f>
        <v/>
      </c>
      <c r="BQ83" s="38" t="str">
        <f>IFERROR('1.vize'!CB83*100/'1.vize'!$I83,"")</f>
        <v/>
      </c>
      <c r="BR83" s="38" t="str">
        <f>IFERROR('1.vize'!CC83*100/'1.vize'!$I83,"")</f>
        <v/>
      </c>
      <c r="BS83" s="38" t="str">
        <f>IFERROR('1.vize'!CD83*100/'1.vize'!$I83,"")</f>
        <v/>
      </c>
      <c r="BT83" s="38" t="str">
        <f>IFERROR('1.vize'!CE83*100/'1.vize'!$I83,"")</f>
        <v/>
      </c>
      <c r="BU83" s="38" t="str">
        <f>IFERROR('1.vize'!CF83*100/'1.vize'!$I83,"")</f>
        <v/>
      </c>
      <c r="BV83" s="38" t="str">
        <f>IFERROR('1.vize'!CG83*100/'1.vize'!$I83,"")</f>
        <v/>
      </c>
      <c r="BW83" s="38" t="str">
        <f>IFERROR('1.vize'!CH83*100/'1.vize'!$I83,"")</f>
        <v/>
      </c>
      <c r="BX83" s="38" t="str">
        <f>IFERROR('1.vize'!CI83*100/'1.vize'!$I83,"")</f>
        <v/>
      </c>
      <c r="BY83" s="38" t="str">
        <f>IFERROR('1.vize'!CJ83*100/'1.vize'!$I83,"")</f>
        <v/>
      </c>
      <c r="BZ83" s="38" t="str">
        <f>IFERROR('1.vize'!CK83*100/'1.vize'!$I83,"")</f>
        <v/>
      </c>
      <c r="CA83" s="38" t="str">
        <f>IFERROR('1.vize'!CL83*100/'1.vize'!$I83,"")</f>
        <v/>
      </c>
      <c r="CB83" s="38" t="str">
        <f>IFERROR('1.vize'!CM83*100/'1.vize'!$I83,"")</f>
        <v/>
      </c>
      <c r="CC83" s="38" t="str">
        <f>IFERROR('1.vize'!CN83*100/'1.vize'!$I83,"")</f>
        <v/>
      </c>
      <c r="CD83" s="38" t="str">
        <f>IFERROR('1.vize'!CO83*100/'1.vize'!$I83,"")</f>
        <v/>
      </c>
      <c r="CE83" s="38" t="str">
        <f>IFERROR('1.vize'!CP83*100/'1.vize'!$I83,"")</f>
        <v/>
      </c>
      <c r="CF83" s="38" t="str">
        <f>IFERROR('1.vize'!CQ83*100/'1.vize'!$I83,"")</f>
        <v/>
      </c>
      <c r="CG83" s="38" t="str">
        <f>IFERROR('1.vize'!CR83*100/'1.vize'!$I83,"")</f>
        <v/>
      </c>
      <c r="CH83" s="38" t="str">
        <f>IFERROR('1.vize'!CS83*100/'1.vize'!$I83,"")</f>
        <v/>
      </c>
      <c r="CI83" s="38" t="str">
        <f>IFERROR('1.vize'!CT83*100/'1.vize'!$I83,"")</f>
        <v/>
      </c>
      <c r="CJ83" s="38" t="str">
        <f>IFERROR('1.vize'!CU83*100/'1.vize'!$I83,"")</f>
        <v/>
      </c>
      <c r="CK83" s="38" t="str">
        <f>IFERROR('1.vize'!CV83*100/'1.vize'!$I83,"")</f>
        <v/>
      </c>
      <c r="CL83" s="38" t="str">
        <f>IFERROR('1.vize'!CW83*100/'1.vize'!$I83,"")</f>
        <v/>
      </c>
      <c r="CM83" s="38" t="str">
        <f>IFERROR('1.vize'!CX83*100/'1.vize'!$I83,"")</f>
        <v/>
      </c>
      <c r="CN83" s="38" t="str">
        <f>IFERROR('1.vize'!CY83*100/'1.vize'!$I83,"")</f>
        <v/>
      </c>
      <c r="CO83" s="38" t="str">
        <f>IFERROR('1.vize'!CZ83*100/'1.vize'!$I83,"")</f>
        <v/>
      </c>
      <c r="CP83" s="38" t="str">
        <f>IFERROR('1.vize'!DA83*100/'1.vize'!$I83,"")</f>
        <v/>
      </c>
      <c r="CQ83" s="38" t="str">
        <f>IFERROR('1.vize'!DB83*100/'1.vize'!$I83,"")</f>
        <v/>
      </c>
      <c r="CR83" s="38" t="str">
        <f>IFERROR('1.vize'!DC83*100/'1.vize'!$I83,"")</f>
        <v/>
      </c>
      <c r="CS83" s="38" t="str">
        <f>IFERROR('1.vize'!DD83*100/'1.vize'!$I83,"")</f>
        <v/>
      </c>
      <c r="CT83" s="38" t="str">
        <f>IFERROR('1.vize'!DE83*100/'1.vize'!$I83,"")</f>
        <v/>
      </c>
      <c r="CU83" s="38" t="str">
        <f>IFERROR('1.vize'!DF83*100/'1.vize'!$I83,"")</f>
        <v/>
      </c>
      <c r="CV83" s="38" t="str">
        <f>IFERROR('1.vize'!DG83*100/'1.vize'!$I83,"")</f>
        <v/>
      </c>
      <c r="CW83" s="32" t="str">
        <f>IFERROR(SUM(A83:CV83)/'1.vize'!$DH$103,"")</f>
        <v/>
      </c>
      <c r="CX83" s="14" t="str">
        <f>IF(COUNTA('1.vize'!A83),'1.vize'!A83,"")</f>
        <v/>
      </c>
      <c r="CY83" s="14" t="str">
        <f>IF(COUNTA('1.vize'!B83),'1.vize'!B83,"")</f>
        <v/>
      </c>
      <c r="CZ83" s="14" t="str">
        <f>IF(COUNTA('1.vize'!C83),'1.vize'!C83,"")</f>
        <v/>
      </c>
      <c r="DA83" s="14" t="str">
        <f>IF(COUNTA('1.vize'!D83),'1.vize'!D83,"")</f>
        <v/>
      </c>
      <c r="DB83" s="14" t="str">
        <f>IF(COUNTA('1.vize'!E83),'1.vize'!E83,"")</f>
        <v/>
      </c>
      <c r="DC83" s="14" t="str">
        <f>IF(COUNTA('1.vize'!F83),'1.vize'!F83,"")</f>
        <v/>
      </c>
      <c r="DD83" s="14" t="str">
        <f>IF(COUNTA('1.vize'!G83),'1.vize'!G83,"")</f>
        <v/>
      </c>
      <c r="DE83" s="14" t="str">
        <f>IF(COUNTA('1.vize'!H83),'1.vize'!H83,"")</f>
        <v/>
      </c>
      <c r="DF83" s="33"/>
    </row>
    <row r="84" spans="1:110" x14ac:dyDescent="0.2">
      <c r="A84" s="38" t="str">
        <f>IFERROR('1.vize'!L84*100/'1.vize'!$I84,"")</f>
        <v/>
      </c>
      <c r="B84" s="38" t="str">
        <f>IFERROR('1.vize'!M84*100/'1.vize'!$I84,"")</f>
        <v/>
      </c>
      <c r="C84" s="38" t="str">
        <f>IFERROR('1.vize'!N84*100/'1.vize'!$I84,"")</f>
        <v/>
      </c>
      <c r="D84" s="38" t="str">
        <f>IFERROR('1.vize'!O84*100/'1.vize'!$I84,"")</f>
        <v/>
      </c>
      <c r="E84" s="38" t="str">
        <f>IFERROR('1.vize'!P84*100/'1.vize'!$I84,"")</f>
        <v/>
      </c>
      <c r="F84" s="38" t="str">
        <f>IFERROR('1.vize'!Q84*100/'1.vize'!$I84,"")</f>
        <v/>
      </c>
      <c r="G84" s="38" t="str">
        <f>IFERROR('1.vize'!R84*100/'1.vize'!$I84,"")</f>
        <v/>
      </c>
      <c r="H84" s="38" t="str">
        <f>IFERROR('1.vize'!S84*100/'1.vize'!$I84,"")</f>
        <v/>
      </c>
      <c r="I84" s="38" t="str">
        <f>IFERROR('1.vize'!T84*100/'1.vize'!$I84,"")</f>
        <v/>
      </c>
      <c r="J84" s="38" t="str">
        <f>IFERROR('1.vize'!U84*100/'1.vize'!$I84,"")</f>
        <v/>
      </c>
      <c r="K84" s="38" t="str">
        <f>IFERROR('1.vize'!V84*100/'1.vize'!$I84,"")</f>
        <v/>
      </c>
      <c r="L84" s="38" t="str">
        <f>IFERROR('1.vize'!W84*100/'1.vize'!$I84,"")</f>
        <v/>
      </c>
      <c r="M84" s="38" t="str">
        <f>IFERROR('1.vize'!X84*100/'1.vize'!$I84,"")</f>
        <v/>
      </c>
      <c r="N84" s="38" t="str">
        <f>IFERROR('1.vize'!Y84*100/'1.vize'!$I84,"")</f>
        <v/>
      </c>
      <c r="O84" s="38" t="str">
        <f>IFERROR('1.vize'!Z84*100/'1.vize'!$I84,"")</f>
        <v/>
      </c>
      <c r="P84" s="38" t="str">
        <f>IFERROR('1.vize'!AA84*100/'1.vize'!$I84,"")</f>
        <v/>
      </c>
      <c r="Q84" s="38" t="str">
        <f>IFERROR('1.vize'!AB84*100/'1.vize'!$I84,"")</f>
        <v/>
      </c>
      <c r="R84" s="38" t="str">
        <f>IFERROR('1.vize'!AC84*100/'1.vize'!$I84,"")</f>
        <v/>
      </c>
      <c r="S84" s="38" t="str">
        <f>IFERROR('1.vize'!AD84*100/'1.vize'!$I84,"")</f>
        <v/>
      </c>
      <c r="T84" s="38" t="str">
        <f>IFERROR('1.vize'!AE84*100/'1.vize'!$I84,"")</f>
        <v/>
      </c>
      <c r="U84" s="38" t="str">
        <f>IFERROR('1.vize'!AF84*100/'1.vize'!$I84,"")</f>
        <v/>
      </c>
      <c r="V84" s="38" t="str">
        <f>IFERROR('1.vize'!AG84*100/'1.vize'!$I84,"")</f>
        <v/>
      </c>
      <c r="W84" s="38" t="str">
        <f>IFERROR('1.vize'!AH84*100/'1.vize'!$I84,"")</f>
        <v/>
      </c>
      <c r="X84" s="38" t="str">
        <f>IFERROR('1.vize'!AI84*100/'1.vize'!$I84,"")</f>
        <v/>
      </c>
      <c r="Y84" s="38" t="str">
        <f>IFERROR('1.vize'!AJ84*100/'1.vize'!$I84,"")</f>
        <v/>
      </c>
      <c r="Z84" s="38" t="str">
        <f>IFERROR('1.vize'!AK84*100/'1.vize'!$I84,"")</f>
        <v/>
      </c>
      <c r="AA84" s="38" t="str">
        <f>IFERROR('1.vize'!AL84*100/'1.vize'!$I84,"")</f>
        <v/>
      </c>
      <c r="AB84" s="38" t="str">
        <f>IFERROR('1.vize'!AM84*100/'1.vize'!$I84,"")</f>
        <v/>
      </c>
      <c r="AC84" s="38" t="str">
        <f>IFERROR('1.vize'!AN84*100/'1.vize'!$I84,"")</f>
        <v/>
      </c>
      <c r="AD84" s="38" t="str">
        <f>IFERROR('1.vize'!AO84*100/'1.vize'!$I84,"")</f>
        <v/>
      </c>
      <c r="AE84" s="38" t="str">
        <f>IFERROR('1.vize'!AP84*100/'1.vize'!$I84,"")</f>
        <v/>
      </c>
      <c r="AF84" s="38" t="str">
        <f>IFERROR('1.vize'!AQ84*100/'1.vize'!$I84,"")</f>
        <v/>
      </c>
      <c r="AG84" s="38" t="str">
        <f>IFERROR('1.vize'!AR84*100/'1.vize'!$I84,"")</f>
        <v/>
      </c>
      <c r="AH84" s="38" t="str">
        <f>IFERROR('1.vize'!AS84*100/'1.vize'!$I84,"")</f>
        <v/>
      </c>
      <c r="AI84" s="38" t="str">
        <f>IFERROR('1.vize'!AT84*100/'1.vize'!$I84,"")</f>
        <v/>
      </c>
      <c r="AJ84" s="38" t="str">
        <f>IFERROR('1.vize'!AU84*100/'1.vize'!$I84,"")</f>
        <v/>
      </c>
      <c r="AK84" s="38" t="str">
        <f>IFERROR('1.vize'!AV84*100/'1.vize'!$I84,"")</f>
        <v/>
      </c>
      <c r="AL84" s="38" t="str">
        <f>IFERROR('1.vize'!AW84*100/'1.vize'!$I84,"")</f>
        <v/>
      </c>
      <c r="AM84" s="38" t="str">
        <f>IFERROR('1.vize'!AX84*100/'1.vize'!$I84,"")</f>
        <v/>
      </c>
      <c r="AN84" s="38" t="str">
        <f>IFERROR('1.vize'!AY84*100/'1.vize'!$I84,"")</f>
        <v/>
      </c>
      <c r="AO84" s="38" t="str">
        <f>IFERROR('1.vize'!AZ84*100/'1.vize'!$I84,"")</f>
        <v/>
      </c>
      <c r="AP84" s="38" t="str">
        <f>IFERROR('1.vize'!BA84*100/'1.vize'!$I84,"")</f>
        <v/>
      </c>
      <c r="AQ84" s="38" t="str">
        <f>IFERROR('1.vize'!BB84*100/'1.vize'!$I84,"")</f>
        <v/>
      </c>
      <c r="AR84" s="38" t="str">
        <f>IFERROR('1.vize'!BC84*100/'1.vize'!$I84,"")</f>
        <v/>
      </c>
      <c r="AS84" s="38" t="str">
        <f>IFERROR('1.vize'!BD84*100/'1.vize'!$I84,"")</f>
        <v/>
      </c>
      <c r="AT84" s="38" t="str">
        <f>IFERROR('1.vize'!BE84*100/'1.vize'!$I84,"")</f>
        <v/>
      </c>
      <c r="AU84" s="38" t="str">
        <f>IFERROR('1.vize'!BF84*100/'1.vize'!$I84,"")</f>
        <v/>
      </c>
      <c r="AV84" s="38" t="str">
        <f>IFERROR('1.vize'!BG84*100/'1.vize'!$I84,"")</f>
        <v/>
      </c>
      <c r="AW84" s="38" t="str">
        <f>IFERROR('1.vize'!BH84*100/'1.vize'!$I84,"")</f>
        <v/>
      </c>
      <c r="AX84" s="38" t="str">
        <f>IFERROR('1.vize'!BI84*100/'1.vize'!$I84,"")</f>
        <v/>
      </c>
      <c r="AY84" s="38" t="str">
        <f>IFERROR('1.vize'!BJ84*100/'1.vize'!$I84,"")</f>
        <v/>
      </c>
      <c r="AZ84" s="38" t="str">
        <f>IFERROR('1.vize'!BK84*100/'1.vize'!$I84,"")</f>
        <v/>
      </c>
      <c r="BA84" s="38" t="str">
        <f>IFERROR('1.vize'!BL84*100/'1.vize'!$I84,"")</f>
        <v/>
      </c>
      <c r="BB84" s="38" t="str">
        <f>IFERROR('1.vize'!BM84*100/'1.vize'!$I84,"")</f>
        <v/>
      </c>
      <c r="BC84" s="38" t="str">
        <f>IFERROR('1.vize'!BN84*100/'1.vize'!$I84,"")</f>
        <v/>
      </c>
      <c r="BD84" s="38" t="str">
        <f>IFERROR('1.vize'!BO84*100/'1.vize'!$I84,"")</f>
        <v/>
      </c>
      <c r="BE84" s="38" t="str">
        <f>IFERROR('1.vize'!BP84*100/'1.vize'!$I84,"")</f>
        <v/>
      </c>
      <c r="BF84" s="38" t="str">
        <f>IFERROR('1.vize'!BQ84*100/'1.vize'!$I84,"")</f>
        <v/>
      </c>
      <c r="BG84" s="38" t="str">
        <f>IFERROR('1.vize'!BR84*100/'1.vize'!$I84,"")</f>
        <v/>
      </c>
      <c r="BH84" s="38" t="str">
        <f>IFERROR('1.vize'!BS84*100/'1.vize'!$I84,"")</f>
        <v/>
      </c>
      <c r="BI84" s="38" t="str">
        <f>IFERROR('1.vize'!BT84*100/'1.vize'!$I84,"")</f>
        <v/>
      </c>
      <c r="BJ84" s="38" t="str">
        <f>IFERROR('1.vize'!BU84*100/'1.vize'!$I84,"")</f>
        <v/>
      </c>
      <c r="BK84" s="38" t="str">
        <f>IFERROR('1.vize'!BV84*100/'1.vize'!$I84,"")</f>
        <v/>
      </c>
      <c r="BL84" s="38" t="str">
        <f>IFERROR('1.vize'!BW84*100/'1.vize'!$I84,"")</f>
        <v/>
      </c>
      <c r="BM84" s="38" t="str">
        <f>IFERROR('1.vize'!BX84*100/'1.vize'!$I84,"")</f>
        <v/>
      </c>
      <c r="BN84" s="38" t="str">
        <f>IFERROR('1.vize'!BY84*100/'1.vize'!$I84,"")</f>
        <v/>
      </c>
      <c r="BO84" s="38" t="str">
        <f>IFERROR('1.vize'!BZ84*100/'1.vize'!$I84,"")</f>
        <v/>
      </c>
      <c r="BP84" s="38" t="str">
        <f>IFERROR('1.vize'!CA84*100/'1.vize'!$I84,"")</f>
        <v/>
      </c>
      <c r="BQ84" s="38" t="str">
        <f>IFERROR('1.vize'!CB84*100/'1.vize'!$I84,"")</f>
        <v/>
      </c>
      <c r="BR84" s="38" t="str">
        <f>IFERROR('1.vize'!CC84*100/'1.vize'!$I84,"")</f>
        <v/>
      </c>
      <c r="BS84" s="38" t="str">
        <f>IFERROR('1.vize'!CD84*100/'1.vize'!$I84,"")</f>
        <v/>
      </c>
      <c r="BT84" s="38" t="str">
        <f>IFERROR('1.vize'!CE84*100/'1.vize'!$I84,"")</f>
        <v/>
      </c>
      <c r="BU84" s="38" t="str">
        <f>IFERROR('1.vize'!CF84*100/'1.vize'!$I84,"")</f>
        <v/>
      </c>
      <c r="BV84" s="38" t="str">
        <f>IFERROR('1.vize'!CG84*100/'1.vize'!$I84,"")</f>
        <v/>
      </c>
      <c r="BW84" s="38" t="str">
        <f>IFERROR('1.vize'!CH84*100/'1.vize'!$I84,"")</f>
        <v/>
      </c>
      <c r="BX84" s="38" t="str">
        <f>IFERROR('1.vize'!CI84*100/'1.vize'!$I84,"")</f>
        <v/>
      </c>
      <c r="BY84" s="38" t="str">
        <f>IFERROR('1.vize'!CJ84*100/'1.vize'!$I84,"")</f>
        <v/>
      </c>
      <c r="BZ84" s="38" t="str">
        <f>IFERROR('1.vize'!CK84*100/'1.vize'!$I84,"")</f>
        <v/>
      </c>
      <c r="CA84" s="38" t="str">
        <f>IFERROR('1.vize'!CL84*100/'1.vize'!$I84,"")</f>
        <v/>
      </c>
      <c r="CB84" s="38" t="str">
        <f>IFERROR('1.vize'!CM84*100/'1.vize'!$I84,"")</f>
        <v/>
      </c>
      <c r="CC84" s="38" t="str">
        <f>IFERROR('1.vize'!CN84*100/'1.vize'!$I84,"")</f>
        <v/>
      </c>
      <c r="CD84" s="38" t="str">
        <f>IFERROR('1.vize'!CO84*100/'1.vize'!$I84,"")</f>
        <v/>
      </c>
      <c r="CE84" s="38" t="str">
        <f>IFERROR('1.vize'!CP84*100/'1.vize'!$I84,"")</f>
        <v/>
      </c>
      <c r="CF84" s="38" t="str">
        <f>IFERROR('1.vize'!CQ84*100/'1.vize'!$I84,"")</f>
        <v/>
      </c>
      <c r="CG84" s="38" t="str">
        <f>IFERROR('1.vize'!CR84*100/'1.vize'!$I84,"")</f>
        <v/>
      </c>
      <c r="CH84" s="38" t="str">
        <f>IFERROR('1.vize'!CS84*100/'1.vize'!$I84,"")</f>
        <v/>
      </c>
      <c r="CI84" s="38" t="str">
        <f>IFERROR('1.vize'!CT84*100/'1.vize'!$I84,"")</f>
        <v/>
      </c>
      <c r="CJ84" s="38" t="str">
        <f>IFERROR('1.vize'!CU84*100/'1.vize'!$I84,"")</f>
        <v/>
      </c>
      <c r="CK84" s="38" t="str">
        <f>IFERROR('1.vize'!CV84*100/'1.vize'!$I84,"")</f>
        <v/>
      </c>
      <c r="CL84" s="38" t="str">
        <f>IFERROR('1.vize'!CW84*100/'1.vize'!$I84,"")</f>
        <v/>
      </c>
      <c r="CM84" s="38" t="str">
        <f>IFERROR('1.vize'!CX84*100/'1.vize'!$I84,"")</f>
        <v/>
      </c>
      <c r="CN84" s="38" t="str">
        <f>IFERROR('1.vize'!CY84*100/'1.vize'!$I84,"")</f>
        <v/>
      </c>
      <c r="CO84" s="38" t="str">
        <f>IFERROR('1.vize'!CZ84*100/'1.vize'!$I84,"")</f>
        <v/>
      </c>
      <c r="CP84" s="38" t="str">
        <f>IFERROR('1.vize'!DA84*100/'1.vize'!$I84,"")</f>
        <v/>
      </c>
      <c r="CQ84" s="38" t="str">
        <f>IFERROR('1.vize'!DB84*100/'1.vize'!$I84,"")</f>
        <v/>
      </c>
      <c r="CR84" s="38" t="str">
        <f>IFERROR('1.vize'!DC84*100/'1.vize'!$I84,"")</f>
        <v/>
      </c>
      <c r="CS84" s="38" t="str">
        <f>IFERROR('1.vize'!DD84*100/'1.vize'!$I84,"")</f>
        <v/>
      </c>
      <c r="CT84" s="38" t="str">
        <f>IFERROR('1.vize'!DE84*100/'1.vize'!$I84,"")</f>
        <v/>
      </c>
      <c r="CU84" s="38" t="str">
        <f>IFERROR('1.vize'!DF84*100/'1.vize'!$I84,"")</f>
        <v/>
      </c>
      <c r="CV84" s="38" t="str">
        <f>IFERROR('1.vize'!DG84*100/'1.vize'!$I84,"")</f>
        <v/>
      </c>
      <c r="CW84" s="32" t="str">
        <f>IFERROR(SUM(A84:CV84)/'1.vize'!$DH$103,"")</f>
        <v/>
      </c>
      <c r="CX84" s="14" t="str">
        <f>IF(COUNTA('1.vize'!A84),'1.vize'!A84,"")</f>
        <v/>
      </c>
      <c r="CY84" s="14" t="str">
        <f>IF(COUNTA('1.vize'!B84),'1.vize'!B84,"")</f>
        <v/>
      </c>
      <c r="CZ84" s="14" t="str">
        <f>IF(COUNTA('1.vize'!C84),'1.vize'!C84,"")</f>
        <v/>
      </c>
      <c r="DA84" s="14" t="str">
        <f>IF(COUNTA('1.vize'!D84),'1.vize'!D84,"")</f>
        <v/>
      </c>
      <c r="DB84" s="14" t="str">
        <f>IF(COUNTA('1.vize'!E84),'1.vize'!E84,"")</f>
        <v/>
      </c>
      <c r="DC84" s="14" t="str">
        <f>IF(COUNTA('1.vize'!F84),'1.vize'!F84,"")</f>
        <v/>
      </c>
      <c r="DD84" s="14" t="str">
        <f>IF(COUNTA('1.vize'!G84),'1.vize'!G84,"")</f>
        <v/>
      </c>
      <c r="DE84" s="14" t="str">
        <f>IF(COUNTA('1.vize'!H84),'1.vize'!H84,"")</f>
        <v/>
      </c>
      <c r="DF84" s="33"/>
    </row>
    <row r="85" spans="1:110" x14ac:dyDescent="0.2">
      <c r="A85" s="38" t="str">
        <f>IFERROR('1.vize'!L85*100/'1.vize'!$I85,"")</f>
        <v/>
      </c>
      <c r="B85" s="38" t="str">
        <f>IFERROR('1.vize'!M85*100/'1.vize'!$I85,"")</f>
        <v/>
      </c>
      <c r="C85" s="38" t="str">
        <f>IFERROR('1.vize'!N85*100/'1.vize'!$I85,"")</f>
        <v/>
      </c>
      <c r="D85" s="38" t="str">
        <f>IFERROR('1.vize'!O85*100/'1.vize'!$I85,"")</f>
        <v/>
      </c>
      <c r="E85" s="38" t="str">
        <f>IFERROR('1.vize'!P85*100/'1.vize'!$I85,"")</f>
        <v/>
      </c>
      <c r="F85" s="38" t="str">
        <f>IFERROR('1.vize'!Q85*100/'1.vize'!$I85,"")</f>
        <v/>
      </c>
      <c r="G85" s="38" t="str">
        <f>IFERROR('1.vize'!R85*100/'1.vize'!$I85,"")</f>
        <v/>
      </c>
      <c r="H85" s="38" t="str">
        <f>IFERROR('1.vize'!S85*100/'1.vize'!$I85,"")</f>
        <v/>
      </c>
      <c r="I85" s="38" t="str">
        <f>IFERROR('1.vize'!T85*100/'1.vize'!$I85,"")</f>
        <v/>
      </c>
      <c r="J85" s="38" t="str">
        <f>IFERROR('1.vize'!U85*100/'1.vize'!$I85,"")</f>
        <v/>
      </c>
      <c r="K85" s="38" t="str">
        <f>IFERROR('1.vize'!V85*100/'1.vize'!$I85,"")</f>
        <v/>
      </c>
      <c r="L85" s="38" t="str">
        <f>IFERROR('1.vize'!W85*100/'1.vize'!$I85,"")</f>
        <v/>
      </c>
      <c r="M85" s="38" t="str">
        <f>IFERROR('1.vize'!X85*100/'1.vize'!$I85,"")</f>
        <v/>
      </c>
      <c r="N85" s="38" t="str">
        <f>IFERROR('1.vize'!Y85*100/'1.vize'!$I85,"")</f>
        <v/>
      </c>
      <c r="O85" s="38" t="str">
        <f>IFERROR('1.vize'!Z85*100/'1.vize'!$I85,"")</f>
        <v/>
      </c>
      <c r="P85" s="38" t="str">
        <f>IFERROR('1.vize'!AA85*100/'1.vize'!$I85,"")</f>
        <v/>
      </c>
      <c r="Q85" s="38" t="str">
        <f>IFERROR('1.vize'!AB85*100/'1.vize'!$I85,"")</f>
        <v/>
      </c>
      <c r="R85" s="38" t="str">
        <f>IFERROR('1.vize'!AC85*100/'1.vize'!$I85,"")</f>
        <v/>
      </c>
      <c r="S85" s="38" t="str">
        <f>IFERROR('1.vize'!AD85*100/'1.vize'!$I85,"")</f>
        <v/>
      </c>
      <c r="T85" s="38" t="str">
        <f>IFERROR('1.vize'!AE85*100/'1.vize'!$I85,"")</f>
        <v/>
      </c>
      <c r="U85" s="38" t="str">
        <f>IFERROR('1.vize'!AF85*100/'1.vize'!$I85,"")</f>
        <v/>
      </c>
      <c r="V85" s="38" t="str">
        <f>IFERROR('1.vize'!AG85*100/'1.vize'!$I85,"")</f>
        <v/>
      </c>
      <c r="W85" s="38" t="str">
        <f>IFERROR('1.vize'!AH85*100/'1.vize'!$I85,"")</f>
        <v/>
      </c>
      <c r="X85" s="38" t="str">
        <f>IFERROR('1.vize'!AI85*100/'1.vize'!$I85,"")</f>
        <v/>
      </c>
      <c r="Y85" s="38" t="str">
        <f>IFERROR('1.vize'!AJ85*100/'1.vize'!$I85,"")</f>
        <v/>
      </c>
      <c r="Z85" s="38" t="str">
        <f>IFERROR('1.vize'!AK85*100/'1.vize'!$I85,"")</f>
        <v/>
      </c>
      <c r="AA85" s="38" t="str">
        <f>IFERROR('1.vize'!AL85*100/'1.vize'!$I85,"")</f>
        <v/>
      </c>
      <c r="AB85" s="38" t="str">
        <f>IFERROR('1.vize'!AM85*100/'1.vize'!$I85,"")</f>
        <v/>
      </c>
      <c r="AC85" s="38" t="str">
        <f>IFERROR('1.vize'!AN85*100/'1.vize'!$I85,"")</f>
        <v/>
      </c>
      <c r="AD85" s="38" t="str">
        <f>IFERROR('1.vize'!AO85*100/'1.vize'!$I85,"")</f>
        <v/>
      </c>
      <c r="AE85" s="38" t="str">
        <f>IFERROR('1.vize'!AP85*100/'1.vize'!$I85,"")</f>
        <v/>
      </c>
      <c r="AF85" s="38" t="str">
        <f>IFERROR('1.vize'!AQ85*100/'1.vize'!$I85,"")</f>
        <v/>
      </c>
      <c r="AG85" s="38" t="str">
        <f>IFERROR('1.vize'!AR85*100/'1.vize'!$I85,"")</f>
        <v/>
      </c>
      <c r="AH85" s="38" t="str">
        <f>IFERROR('1.vize'!AS85*100/'1.vize'!$I85,"")</f>
        <v/>
      </c>
      <c r="AI85" s="38" t="str">
        <f>IFERROR('1.vize'!AT85*100/'1.vize'!$I85,"")</f>
        <v/>
      </c>
      <c r="AJ85" s="38" t="str">
        <f>IFERROR('1.vize'!AU85*100/'1.vize'!$I85,"")</f>
        <v/>
      </c>
      <c r="AK85" s="38" t="str">
        <f>IFERROR('1.vize'!AV85*100/'1.vize'!$I85,"")</f>
        <v/>
      </c>
      <c r="AL85" s="38" t="str">
        <f>IFERROR('1.vize'!AW85*100/'1.vize'!$I85,"")</f>
        <v/>
      </c>
      <c r="AM85" s="38" t="str">
        <f>IFERROR('1.vize'!AX85*100/'1.vize'!$I85,"")</f>
        <v/>
      </c>
      <c r="AN85" s="38" t="str">
        <f>IFERROR('1.vize'!AY85*100/'1.vize'!$I85,"")</f>
        <v/>
      </c>
      <c r="AO85" s="38" t="str">
        <f>IFERROR('1.vize'!AZ85*100/'1.vize'!$I85,"")</f>
        <v/>
      </c>
      <c r="AP85" s="38" t="str">
        <f>IFERROR('1.vize'!BA85*100/'1.vize'!$I85,"")</f>
        <v/>
      </c>
      <c r="AQ85" s="38" t="str">
        <f>IFERROR('1.vize'!BB85*100/'1.vize'!$I85,"")</f>
        <v/>
      </c>
      <c r="AR85" s="38" t="str">
        <f>IFERROR('1.vize'!BC85*100/'1.vize'!$I85,"")</f>
        <v/>
      </c>
      <c r="AS85" s="38" t="str">
        <f>IFERROR('1.vize'!BD85*100/'1.vize'!$I85,"")</f>
        <v/>
      </c>
      <c r="AT85" s="38" t="str">
        <f>IFERROR('1.vize'!BE85*100/'1.vize'!$I85,"")</f>
        <v/>
      </c>
      <c r="AU85" s="38" t="str">
        <f>IFERROR('1.vize'!BF85*100/'1.vize'!$I85,"")</f>
        <v/>
      </c>
      <c r="AV85" s="38" t="str">
        <f>IFERROR('1.vize'!BG85*100/'1.vize'!$I85,"")</f>
        <v/>
      </c>
      <c r="AW85" s="38" t="str">
        <f>IFERROR('1.vize'!BH85*100/'1.vize'!$I85,"")</f>
        <v/>
      </c>
      <c r="AX85" s="38" t="str">
        <f>IFERROR('1.vize'!BI85*100/'1.vize'!$I85,"")</f>
        <v/>
      </c>
      <c r="AY85" s="38" t="str">
        <f>IFERROR('1.vize'!BJ85*100/'1.vize'!$I85,"")</f>
        <v/>
      </c>
      <c r="AZ85" s="38" t="str">
        <f>IFERROR('1.vize'!BK85*100/'1.vize'!$I85,"")</f>
        <v/>
      </c>
      <c r="BA85" s="38" t="str">
        <f>IFERROR('1.vize'!BL85*100/'1.vize'!$I85,"")</f>
        <v/>
      </c>
      <c r="BB85" s="38" t="str">
        <f>IFERROR('1.vize'!BM85*100/'1.vize'!$I85,"")</f>
        <v/>
      </c>
      <c r="BC85" s="38" t="str">
        <f>IFERROR('1.vize'!BN85*100/'1.vize'!$I85,"")</f>
        <v/>
      </c>
      <c r="BD85" s="38" t="str">
        <f>IFERROR('1.vize'!BO85*100/'1.vize'!$I85,"")</f>
        <v/>
      </c>
      <c r="BE85" s="38" t="str">
        <f>IFERROR('1.vize'!BP85*100/'1.vize'!$I85,"")</f>
        <v/>
      </c>
      <c r="BF85" s="38" t="str">
        <f>IFERROR('1.vize'!BQ85*100/'1.vize'!$I85,"")</f>
        <v/>
      </c>
      <c r="BG85" s="38" t="str">
        <f>IFERROR('1.vize'!BR85*100/'1.vize'!$I85,"")</f>
        <v/>
      </c>
      <c r="BH85" s="38" t="str">
        <f>IFERROR('1.vize'!BS85*100/'1.vize'!$I85,"")</f>
        <v/>
      </c>
      <c r="BI85" s="38" t="str">
        <f>IFERROR('1.vize'!BT85*100/'1.vize'!$I85,"")</f>
        <v/>
      </c>
      <c r="BJ85" s="38" t="str">
        <f>IFERROR('1.vize'!BU85*100/'1.vize'!$I85,"")</f>
        <v/>
      </c>
      <c r="BK85" s="38" t="str">
        <f>IFERROR('1.vize'!BV85*100/'1.vize'!$I85,"")</f>
        <v/>
      </c>
      <c r="BL85" s="38" t="str">
        <f>IFERROR('1.vize'!BW85*100/'1.vize'!$I85,"")</f>
        <v/>
      </c>
      <c r="BM85" s="38" t="str">
        <f>IFERROR('1.vize'!BX85*100/'1.vize'!$I85,"")</f>
        <v/>
      </c>
      <c r="BN85" s="38" t="str">
        <f>IFERROR('1.vize'!BY85*100/'1.vize'!$I85,"")</f>
        <v/>
      </c>
      <c r="BO85" s="38" t="str">
        <f>IFERROR('1.vize'!BZ85*100/'1.vize'!$I85,"")</f>
        <v/>
      </c>
      <c r="BP85" s="38" t="str">
        <f>IFERROR('1.vize'!CA85*100/'1.vize'!$I85,"")</f>
        <v/>
      </c>
      <c r="BQ85" s="38" t="str">
        <f>IFERROR('1.vize'!CB85*100/'1.vize'!$I85,"")</f>
        <v/>
      </c>
      <c r="BR85" s="38" t="str">
        <f>IFERROR('1.vize'!CC85*100/'1.vize'!$I85,"")</f>
        <v/>
      </c>
      <c r="BS85" s="38" t="str">
        <f>IFERROR('1.vize'!CD85*100/'1.vize'!$I85,"")</f>
        <v/>
      </c>
      <c r="BT85" s="38" t="str">
        <f>IFERROR('1.vize'!CE85*100/'1.vize'!$I85,"")</f>
        <v/>
      </c>
      <c r="BU85" s="38" t="str">
        <f>IFERROR('1.vize'!CF85*100/'1.vize'!$I85,"")</f>
        <v/>
      </c>
      <c r="BV85" s="38" t="str">
        <f>IFERROR('1.vize'!CG85*100/'1.vize'!$I85,"")</f>
        <v/>
      </c>
      <c r="BW85" s="38" t="str">
        <f>IFERROR('1.vize'!CH85*100/'1.vize'!$I85,"")</f>
        <v/>
      </c>
      <c r="BX85" s="38" t="str">
        <f>IFERROR('1.vize'!CI85*100/'1.vize'!$I85,"")</f>
        <v/>
      </c>
      <c r="BY85" s="38" t="str">
        <f>IFERROR('1.vize'!CJ85*100/'1.vize'!$I85,"")</f>
        <v/>
      </c>
      <c r="BZ85" s="38" t="str">
        <f>IFERROR('1.vize'!CK85*100/'1.vize'!$I85,"")</f>
        <v/>
      </c>
      <c r="CA85" s="38" t="str">
        <f>IFERROR('1.vize'!CL85*100/'1.vize'!$I85,"")</f>
        <v/>
      </c>
      <c r="CB85" s="38" t="str">
        <f>IFERROR('1.vize'!CM85*100/'1.vize'!$I85,"")</f>
        <v/>
      </c>
      <c r="CC85" s="38" t="str">
        <f>IFERROR('1.vize'!CN85*100/'1.vize'!$I85,"")</f>
        <v/>
      </c>
      <c r="CD85" s="38" t="str">
        <f>IFERROR('1.vize'!CO85*100/'1.vize'!$I85,"")</f>
        <v/>
      </c>
      <c r="CE85" s="38" t="str">
        <f>IFERROR('1.vize'!CP85*100/'1.vize'!$I85,"")</f>
        <v/>
      </c>
      <c r="CF85" s="38" t="str">
        <f>IFERROR('1.vize'!CQ85*100/'1.vize'!$I85,"")</f>
        <v/>
      </c>
      <c r="CG85" s="38" t="str">
        <f>IFERROR('1.vize'!CR85*100/'1.vize'!$I85,"")</f>
        <v/>
      </c>
      <c r="CH85" s="38" t="str">
        <f>IFERROR('1.vize'!CS85*100/'1.vize'!$I85,"")</f>
        <v/>
      </c>
      <c r="CI85" s="38" t="str">
        <f>IFERROR('1.vize'!CT85*100/'1.vize'!$I85,"")</f>
        <v/>
      </c>
      <c r="CJ85" s="38" t="str">
        <f>IFERROR('1.vize'!CU85*100/'1.vize'!$I85,"")</f>
        <v/>
      </c>
      <c r="CK85" s="38" t="str">
        <f>IFERROR('1.vize'!CV85*100/'1.vize'!$I85,"")</f>
        <v/>
      </c>
      <c r="CL85" s="38" t="str">
        <f>IFERROR('1.vize'!CW85*100/'1.vize'!$I85,"")</f>
        <v/>
      </c>
      <c r="CM85" s="38" t="str">
        <f>IFERROR('1.vize'!CX85*100/'1.vize'!$I85,"")</f>
        <v/>
      </c>
      <c r="CN85" s="38" t="str">
        <f>IFERROR('1.vize'!CY85*100/'1.vize'!$I85,"")</f>
        <v/>
      </c>
      <c r="CO85" s="38" t="str">
        <f>IFERROR('1.vize'!CZ85*100/'1.vize'!$I85,"")</f>
        <v/>
      </c>
      <c r="CP85" s="38" t="str">
        <f>IFERROR('1.vize'!DA85*100/'1.vize'!$I85,"")</f>
        <v/>
      </c>
      <c r="CQ85" s="38" t="str">
        <f>IFERROR('1.vize'!DB85*100/'1.vize'!$I85,"")</f>
        <v/>
      </c>
      <c r="CR85" s="38" t="str">
        <f>IFERROR('1.vize'!DC85*100/'1.vize'!$I85,"")</f>
        <v/>
      </c>
      <c r="CS85" s="38" t="str">
        <f>IFERROR('1.vize'!DD85*100/'1.vize'!$I85,"")</f>
        <v/>
      </c>
      <c r="CT85" s="38" t="str">
        <f>IFERROR('1.vize'!DE85*100/'1.vize'!$I85,"")</f>
        <v/>
      </c>
      <c r="CU85" s="38" t="str">
        <f>IFERROR('1.vize'!DF85*100/'1.vize'!$I85,"")</f>
        <v/>
      </c>
      <c r="CV85" s="38" t="str">
        <f>IFERROR('1.vize'!DG85*100/'1.vize'!$I85,"")</f>
        <v/>
      </c>
      <c r="CW85" s="32" t="str">
        <f>IFERROR(SUM(A85:CV85)/'1.vize'!$DH$103,"")</f>
        <v/>
      </c>
      <c r="CX85" s="14" t="str">
        <f>IF(COUNTA('1.vize'!A85),'1.vize'!A85,"")</f>
        <v/>
      </c>
      <c r="CY85" s="14" t="str">
        <f>IF(COUNTA('1.vize'!B85),'1.vize'!B85,"")</f>
        <v/>
      </c>
      <c r="CZ85" s="14" t="str">
        <f>IF(COUNTA('1.vize'!C85),'1.vize'!C85,"")</f>
        <v/>
      </c>
      <c r="DA85" s="14" t="str">
        <f>IF(COUNTA('1.vize'!D85),'1.vize'!D85,"")</f>
        <v/>
      </c>
      <c r="DB85" s="14" t="str">
        <f>IF(COUNTA('1.vize'!E85),'1.vize'!E85,"")</f>
        <v/>
      </c>
      <c r="DC85" s="14" t="str">
        <f>IF(COUNTA('1.vize'!F85),'1.vize'!F85,"")</f>
        <v/>
      </c>
      <c r="DD85" s="14" t="str">
        <f>IF(COUNTA('1.vize'!G85),'1.vize'!G85,"")</f>
        <v/>
      </c>
      <c r="DE85" s="14" t="str">
        <f>IF(COUNTA('1.vize'!H85),'1.vize'!H85,"")</f>
        <v/>
      </c>
      <c r="DF85" s="33"/>
    </row>
    <row r="86" spans="1:110" x14ac:dyDescent="0.2">
      <c r="A86" s="38" t="str">
        <f>IFERROR('1.vize'!L86*100/'1.vize'!$I86,"")</f>
        <v/>
      </c>
      <c r="B86" s="38" t="str">
        <f>IFERROR('1.vize'!M86*100/'1.vize'!$I86,"")</f>
        <v/>
      </c>
      <c r="C86" s="38" t="str">
        <f>IFERROR('1.vize'!N86*100/'1.vize'!$I86,"")</f>
        <v/>
      </c>
      <c r="D86" s="38" t="str">
        <f>IFERROR('1.vize'!O86*100/'1.vize'!$I86,"")</f>
        <v/>
      </c>
      <c r="E86" s="38" t="str">
        <f>IFERROR('1.vize'!P86*100/'1.vize'!$I86,"")</f>
        <v/>
      </c>
      <c r="F86" s="38" t="str">
        <f>IFERROR('1.vize'!Q86*100/'1.vize'!$I86,"")</f>
        <v/>
      </c>
      <c r="G86" s="38" t="str">
        <f>IFERROR('1.vize'!R86*100/'1.vize'!$I86,"")</f>
        <v/>
      </c>
      <c r="H86" s="38" t="str">
        <f>IFERROR('1.vize'!S86*100/'1.vize'!$I86,"")</f>
        <v/>
      </c>
      <c r="I86" s="38" t="str">
        <f>IFERROR('1.vize'!T86*100/'1.vize'!$I86,"")</f>
        <v/>
      </c>
      <c r="J86" s="38" t="str">
        <f>IFERROR('1.vize'!U86*100/'1.vize'!$I86,"")</f>
        <v/>
      </c>
      <c r="K86" s="38" t="str">
        <f>IFERROR('1.vize'!V86*100/'1.vize'!$I86,"")</f>
        <v/>
      </c>
      <c r="L86" s="38" t="str">
        <f>IFERROR('1.vize'!W86*100/'1.vize'!$I86,"")</f>
        <v/>
      </c>
      <c r="M86" s="38" t="str">
        <f>IFERROR('1.vize'!X86*100/'1.vize'!$I86,"")</f>
        <v/>
      </c>
      <c r="N86" s="38" t="str">
        <f>IFERROR('1.vize'!Y86*100/'1.vize'!$I86,"")</f>
        <v/>
      </c>
      <c r="O86" s="38" t="str">
        <f>IFERROR('1.vize'!Z86*100/'1.vize'!$I86,"")</f>
        <v/>
      </c>
      <c r="P86" s="38" t="str">
        <f>IFERROR('1.vize'!AA86*100/'1.vize'!$I86,"")</f>
        <v/>
      </c>
      <c r="Q86" s="38" t="str">
        <f>IFERROR('1.vize'!AB86*100/'1.vize'!$I86,"")</f>
        <v/>
      </c>
      <c r="R86" s="38" t="str">
        <f>IFERROR('1.vize'!AC86*100/'1.vize'!$I86,"")</f>
        <v/>
      </c>
      <c r="S86" s="38" t="str">
        <f>IFERROR('1.vize'!AD86*100/'1.vize'!$I86,"")</f>
        <v/>
      </c>
      <c r="T86" s="38" t="str">
        <f>IFERROR('1.vize'!AE86*100/'1.vize'!$I86,"")</f>
        <v/>
      </c>
      <c r="U86" s="38" t="str">
        <f>IFERROR('1.vize'!AF86*100/'1.vize'!$I86,"")</f>
        <v/>
      </c>
      <c r="V86" s="38" t="str">
        <f>IFERROR('1.vize'!AG86*100/'1.vize'!$I86,"")</f>
        <v/>
      </c>
      <c r="W86" s="38" t="str">
        <f>IFERROR('1.vize'!AH86*100/'1.vize'!$I86,"")</f>
        <v/>
      </c>
      <c r="X86" s="38" t="str">
        <f>IFERROR('1.vize'!AI86*100/'1.vize'!$I86,"")</f>
        <v/>
      </c>
      <c r="Y86" s="38" t="str">
        <f>IFERROR('1.vize'!AJ86*100/'1.vize'!$I86,"")</f>
        <v/>
      </c>
      <c r="Z86" s="38" t="str">
        <f>IFERROR('1.vize'!AK86*100/'1.vize'!$I86,"")</f>
        <v/>
      </c>
      <c r="AA86" s="38" t="str">
        <f>IFERROR('1.vize'!AL86*100/'1.vize'!$I86,"")</f>
        <v/>
      </c>
      <c r="AB86" s="38" t="str">
        <f>IFERROR('1.vize'!AM86*100/'1.vize'!$I86,"")</f>
        <v/>
      </c>
      <c r="AC86" s="38" t="str">
        <f>IFERROR('1.vize'!AN86*100/'1.vize'!$I86,"")</f>
        <v/>
      </c>
      <c r="AD86" s="38" t="str">
        <f>IFERROR('1.vize'!AO86*100/'1.vize'!$I86,"")</f>
        <v/>
      </c>
      <c r="AE86" s="38" t="str">
        <f>IFERROR('1.vize'!AP86*100/'1.vize'!$I86,"")</f>
        <v/>
      </c>
      <c r="AF86" s="38" t="str">
        <f>IFERROR('1.vize'!AQ86*100/'1.vize'!$I86,"")</f>
        <v/>
      </c>
      <c r="AG86" s="38" t="str">
        <f>IFERROR('1.vize'!AR86*100/'1.vize'!$I86,"")</f>
        <v/>
      </c>
      <c r="AH86" s="38" t="str">
        <f>IFERROR('1.vize'!AS86*100/'1.vize'!$I86,"")</f>
        <v/>
      </c>
      <c r="AI86" s="38" t="str">
        <f>IFERROR('1.vize'!AT86*100/'1.vize'!$I86,"")</f>
        <v/>
      </c>
      <c r="AJ86" s="38" t="str">
        <f>IFERROR('1.vize'!AU86*100/'1.vize'!$I86,"")</f>
        <v/>
      </c>
      <c r="AK86" s="38" t="str">
        <f>IFERROR('1.vize'!AV86*100/'1.vize'!$I86,"")</f>
        <v/>
      </c>
      <c r="AL86" s="38" t="str">
        <f>IFERROR('1.vize'!AW86*100/'1.vize'!$I86,"")</f>
        <v/>
      </c>
      <c r="AM86" s="38" t="str">
        <f>IFERROR('1.vize'!AX86*100/'1.vize'!$I86,"")</f>
        <v/>
      </c>
      <c r="AN86" s="38" t="str">
        <f>IFERROR('1.vize'!AY86*100/'1.vize'!$I86,"")</f>
        <v/>
      </c>
      <c r="AO86" s="38" t="str">
        <f>IFERROR('1.vize'!AZ86*100/'1.vize'!$I86,"")</f>
        <v/>
      </c>
      <c r="AP86" s="38" t="str">
        <f>IFERROR('1.vize'!BA86*100/'1.vize'!$I86,"")</f>
        <v/>
      </c>
      <c r="AQ86" s="38" t="str">
        <f>IFERROR('1.vize'!BB86*100/'1.vize'!$I86,"")</f>
        <v/>
      </c>
      <c r="AR86" s="38" t="str">
        <f>IFERROR('1.vize'!BC86*100/'1.vize'!$I86,"")</f>
        <v/>
      </c>
      <c r="AS86" s="38" t="str">
        <f>IFERROR('1.vize'!BD86*100/'1.vize'!$I86,"")</f>
        <v/>
      </c>
      <c r="AT86" s="38" t="str">
        <f>IFERROR('1.vize'!BE86*100/'1.vize'!$I86,"")</f>
        <v/>
      </c>
      <c r="AU86" s="38" t="str">
        <f>IFERROR('1.vize'!BF86*100/'1.vize'!$I86,"")</f>
        <v/>
      </c>
      <c r="AV86" s="38" t="str">
        <f>IFERROR('1.vize'!BG86*100/'1.vize'!$I86,"")</f>
        <v/>
      </c>
      <c r="AW86" s="38" t="str">
        <f>IFERROR('1.vize'!BH86*100/'1.vize'!$I86,"")</f>
        <v/>
      </c>
      <c r="AX86" s="38" t="str">
        <f>IFERROR('1.vize'!BI86*100/'1.vize'!$I86,"")</f>
        <v/>
      </c>
      <c r="AY86" s="38" t="str">
        <f>IFERROR('1.vize'!BJ86*100/'1.vize'!$I86,"")</f>
        <v/>
      </c>
      <c r="AZ86" s="38" t="str">
        <f>IFERROR('1.vize'!BK86*100/'1.vize'!$I86,"")</f>
        <v/>
      </c>
      <c r="BA86" s="38" t="str">
        <f>IFERROR('1.vize'!BL86*100/'1.vize'!$I86,"")</f>
        <v/>
      </c>
      <c r="BB86" s="38" t="str">
        <f>IFERROR('1.vize'!BM86*100/'1.vize'!$I86,"")</f>
        <v/>
      </c>
      <c r="BC86" s="38" t="str">
        <f>IFERROR('1.vize'!BN86*100/'1.vize'!$I86,"")</f>
        <v/>
      </c>
      <c r="BD86" s="38" t="str">
        <f>IFERROR('1.vize'!BO86*100/'1.vize'!$I86,"")</f>
        <v/>
      </c>
      <c r="BE86" s="38" t="str">
        <f>IFERROR('1.vize'!BP86*100/'1.vize'!$I86,"")</f>
        <v/>
      </c>
      <c r="BF86" s="38" t="str">
        <f>IFERROR('1.vize'!BQ86*100/'1.vize'!$I86,"")</f>
        <v/>
      </c>
      <c r="BG86" s="38" t="str">
        <f>IFERROR('1.vize'!BR86*100/'1.vize'!$I86,"")</f>
        <v/>
      </c>
      <c r="BH86" s="38" t="str">
        <f>IFERROR('1.vize'!BS86*100/'1.vize'!$I86,"")</f>
        <v/>
      </c>
      <c r="BI86" s="38" t="str">
        <f>IFERROR('1.vize'!BT86*100/'1.vize'!$I86,"")</f>
        <v/>
      </c>
      <c r="BJ86" s="38" t="str">
        <f>IFERROR('1.vize'!BU86*100/'1.vize'!$I86,"")</f>
        <v/>
      </c>
      <c r="BK86" s="38" t="str">
        <f>IFERROR('1.vize'!BV86*100/'1.vize'!$I86,"")</f>
        <v/>
      </c>
      <c r="BL86" s="38" t="str">
        <f>IFERROR('1.vize'!BW86*100/'1.vize'!$I86,"")</f>
        <v/>
      </c>
      <c r="BM86" s="38" t="str">
        <f>IFERROR('1.vize'!BX86*100/'1.vize'!$I86,"")</f>
        <v/>
      </c>
      <c r="BN86" s="38" t="str">
        <f>IFERROR('1.vize'!BY86*100/'1.vize'!$I86,"")</f>
        <v/>
      </c>
      <c r="BO86" s="38" t="str">
        <f>IFERROR('1.vize'!BZ86*100/'1.vize'!$I86,"")</f>
        <v/>
      </c>
      <c r="BP86" s="38" t="str">
        <f>IFERROR('1.vize'!CA86*100/'1.vize'!$I86,"")</f>
        <v/>
      </c>
      <c r="BQ86" s="38" t="str">
        <f>IFERROR('1.vize'!CB86*100/'1.vize'!$I86,"")</f>
        <v/>
      </c>
      <c r="BR86" s="38" t="str">
        <f>IFERROR('1.vize'!CC86*100/'1.vize'!$I86,"")</f>
        <v/>
      </c>
      <c r="BS86" s="38" t="str">
        <f>IFERROR('1.vize'!CD86*100/'1.vize'!$I86,"")</f>
        <v/>
      </c>
      <c r="BT86" s="38" t="str">
        <f>IFERROR('1.vize'!CE86*100/'1.vize'!$I86,"")</f>
        <v/>
      </c>
      <c r="BU86" s="38" t="str">
        <f>IFERROR('1.vize'!CF86*100/'1.vize'!$I86,"")</f>
        <v/>
      </c>
      <c r="BV86" s="38" t="str">
        <f>IFERROR('1.vize'!CG86*100/'1.vize'!$I86,"")</f>
        <v/>
      </c>
      <c r="BW86" s="38" t="str">
        <f>IFERROR('1.vize'!CH86*100/'1.vize'!$I86,"")</f>
        <v/>
      </c>
      <c r="BX86" s="38" t="str">
        <f>IFERROR('1.vize'!CI86*100/'1.vize'!$I86,"")</f>
        <v/>
      </c>
      <c r="BY86" s="38" t="str">
        <f>IFERROR('1.vize'!CJ86*100/'1.vize'!$I86,"")</f>
        <v/>
      </c>
      <c r="BZ86" s="38" t="str">
        <f>IFERROR('1.vize'!CK86*100/'1.vize'!$I86,"")</f>
        <v/>
      </c>
      <c r="CA86" s="38" t="str">
        <f>IFERROR('1.vize'!CL86*100/'1.vize'!$I86,"")</f>
        <v/>
      </c>
      <c r="CB86" s="38" t="str">
        <f>IFERROR('1.vize'!CM86*100/'1.vize'!$I86,"")</f>
        <v/>
      </c>
      <c r="CC86" s="38" t="str">
        <f>IFERROR('1.vize'!CN86*100/'1.vize'!$I86,"")</f>
        <v/>
      </c>
      <c r="CD86" s="38" t="str">
        <f>IFERROR('1.vize'!CO86*100/'1.vize'!$I86,"")</f>
        <v/>
      </c>
      <c r="CE86" s="38" t="str">
        <f>IFERROR('1.vize'!CP86*100/'1.vize'!$I86,"")</f>
        <v/>
      </c>
      <c r="CF86" s="38" t="str">
        <f>IFERROR('1.vize'!CQ86*100/'1.vize'!$I86,"")</f>
        <v/>
      </c>
      <c r="CG86" s="38" t="str">
        <f>IFERROR('1.vize'!CR86*100/'1.vize'!$I86,"")</f>
        <v/>
      </c>
      <c r="CH86" s="38" t="str">
        <f>IFERROR('1.vize'!CS86*100/'1.vize'!$I86,"")</f>
        <v/>
      </c>
      <c r="CI86" s="38" t="str">
        <f>IFERROR('1.vize'!CT86*100/'1.vize'!$I86,"")</f>
        <v/>
      </c>
      <c r="CJ86" s="38" t="str">
        <f>IFERROR('1.vize'!CU86*100/'1.vize'!$I86,"")</f>
        <v/>
      </c>
      <c r="CK86" s="38" t="str">
        <f>IFERROR('1.vize'!CV86*100/'1.vize'!$I86,"")</f>
        <v/>
      </c>
      <c r="CL86" s="38" t="str">
        <f>IFERROR('1.vize'!CW86*100/'1.vize'!$I86,"")</f>
        <v/>
      </c>
      <c r="CM86" s="38" t="str">
        <f>IFERROR('1.vize'!CX86*100/'1.vize'!$I86,"")</f>
        <v/>
      </c>
      <c r="CN86" s="38" t="str">
        <f>IFERROR('1.vize'!CY86*100/'1.vize'!$I86,"")</f>
        <v/>
      </c>
      <c r="CO86" s="38" t="str">
        <f>IFERROR('1.vize'!CZ86*100/'1.vize'!$I86,"")</f>
        <v/>
      </c>
      <c r="CP86" s="38" t="str">
        <f>IFERROR('1.vize'!DA86*100/'1.vize'!$I86,"")</f>
        <v/>
      </c>
      <c r="CQ86" s="38" t="str">
        <f>IFERROR('1.vize'!DB86*100/'1.vize'!$I86,"")</f>
        <v/>
      </c>
      <c r="CR86" s="38" t="str">
        <f>IFERROR('1.vize'!DC86*100/'1.vize'!$I86,"")</f>
        <v/>
      </c>
      <c r="CS86" s="38" t="str">
        <f>IFERROR('1.vize'!DD86*100/'1.vize'!$I86,"")</f>
        <v/>
      </c>
      <c r="CT86" s="38" t="str">
        <f>IFERROR('1.vize'!DE86*100/'1.vize'!$I86,"")</f>
        <v/>
      </c>
      <c r="CU86" s="38" t="str">
        <f>IFERROR('1.vize'!DF86*100/'1.vize'!$I86,"")</f>
        <v/>
      </c>
      <c r="CV86" s="38" t="str">
        <f>IFERROR('1.vize'!DG86*100/'1.vize'!$I86,"")</f>
        <v/>
      </c>
      <c r="CW86" s="32" t="str">
        <f>IFERROR(SUM(A86:CV86)/'1.vize'!$DH$103,"")</f>
        <v/>
      </c>
      <c r="CX86" s="14" t="str">
        <f>IF(COUNTA('1.vize'!A86),'1.vize'!A86,"")</f>
        <v/>
      </c>
      <c r="CY86" s="14" t="str">
        <f>IF(COUNTA('1.vize'!B86),'1.vize'!B86,"")</f>
        <v/>
      </c>
      <c r="CZ86" s="14" t="str">
        <f>IF(COUNTA('1.vize'!C86),'1.vize'!C86,"")</f>
        <v/>
      </c>
      <c r="DA86" s="14" t="str">
        <f>IF(COUNTA('1.vize'!D86),'1.vize'!D86,"")</f>
        <v/>
      </c>
      <c r="DB86" s="14" t="str">
        <f>IF(COUNTA('1.vize'!E86),'1.vize'!E86,"")</f>
        <v/>
      </c>
      <c r="DC86" s="14" t="str">
        <f>IF(COUNTA('1.vize'!F86),'1.vize'!F86,"")</f>
        <v/>
      </c>
      <c r="DD86" s="14" t="str">
        <f>IF(COUNTA('1.vize'!G86),'1.vize'!G86,"")</f>
        <v/>
      </c>
      <c r="DE86" s="14" t="str">
        <f>IF(COUNTA('1.vize'!H86),'1.vize'!H86,"")</f>
        <v/>
      </c>
      <c r="DF86" s="33"/>
    </row>
    <row r="87" spans="1:110" x14ac:dyDescent="0.2">
      <c r="A87" s="38" t="str">
        <f>IFERROR('1.vize'!L87*100/'1.vize'!$I87,"")</f>
        <v/>
      </c>
      <c r="B87" s="38" t="str">
        <f>IFERROR('1.vize'!M87*100/'1.vize'!$I87,"")</f>
        <v/>
      </c>
      <c r="C87" s="38" t="str">
        <f>IFERROR('1.vize'!N87*100/'1.vize'!$I87,"")</f>
        <v/>
      </c>
      <c r="D87" s="38" t="str">
        <f>IFERROR('1.vize'!O87*100/'1.vize'!$I87,"")</f>
        <v/>
      </c>
      <c r="E87" s="38" t="str">
        <f>IFERROR('1.vize'!P87*100/'1.vize'!$I87,"")</f>
        <v/>
      </c>
      <c r="F87" s="38" t="str">
        <f>IFERROR('1.vize'!Q87*100/'1.vize'!$I87,"")</f>
        <v/>
      </c>
      <c r="G87" s="38" t="str">
        <f>IFERROR('1.vize'!R87*100/'1.vize'!$I87,"")</f>
        <v/>
      </c>
      <c r="H87" s="38" t="str">
        <f>IFERROR('1.vize'!S87*100/'1.vize'!$I87,"")</f>
        <v/>
      </c>
      <c r="I87" s="38" t="str">
        <f>IFERROR('1.vize'!T87*100/'1.vize'!$I87,"")</f>
        <v/>
      </c>
      <c r="J87" s="38" t="str">
        <f>IFERROR('1.vize'!U87*100/'1.vize'!$I87,"")</f>
        <v/>
      </c>
      <c r="K87" s="38" t="str">
        <f>IFERROR('1.vize'!V87*100/'1.vize'!$I87,"")</f>
        <v/>
      </c>
      <c r="L87" s="38" t="str">
        <f>IFERROR('1.vize'!W87*100/'1.vize'!$I87,"")</f>
        <v/>
      </c>
      <c r="M87" s="38" t="str">
        <f>IFERROR('1.vize'!X87*100/'1.vize'!$I87,"")</f>
        <v/>
      </c>
      <c r="N87" s="38" t="str">
        <f>IFERROR('1.vize'!Y87*100/'1.vize'!$I87,"")</f>
        <v/>
      </c>
      <c r="O87" s="38" t="str">
        <f>IFERROR('1.vize'!Z87*100/'1.vize'!$I87,"")</f>
        <v/>
      </c>
      <c r="P87" s="38" t="str">
        <f>IFERROR('1.vize'!AA87*100/'1.vize'!$I87,"")</f>
        <v/>
      </c>
      <c r="Q87" s="38" t="str">
        <f>IFERROR('1.vize'!AB87*100/'1.vize'!$I87,"")</f>
        <v/>
      </c>
      <c r="R87" s="38" t="str">
        <f>IFERROR('1.vize'!AC87*100/'1.vize'!$I87,"")</f>
        <v/>
      </c>
      <c r="S87" s="38" t="str">
        <f>IFERROR('1.vize'!AD87*100/'1.vize'!$I87,"")</f>
        <v/>
      </c>
      <c r="T87" s="38" t="str">
        <f>IFERROR('1.vize'!AE87*100/'1.vize'!$I87,"")</f>
        <v/>
      </c>
      <c r="U87" s="38" t="str">
        <f>IFERROR('1.vize'!AF87*100/'1.vize'!$I87,"")</f>
        <v/>
      </c>
      <c r="V87" s="38" t="str">
        <f>IFERROR('1.vize'!AG87*100/'1.vize'!$I87,"")</f>
        <v/>
      </c>
      <c r="W87" s="38" t="str">
        <f>IFERROR('1.vize'!AH87*100/'1.vize'!$I87,"")</f>
        <v/>
      </c>
      <c r="X87" s="38" t="str">
        <f>IFERROR('1.vize'!AI87*100/'1.vize'!$I87,"")</f>
        <v/>
      </c>
      <c r="Y87" s="38" t="str">
        <f>IFERROR('1.vize'!AJ87*100/'1.vize'!$I87,"")</f>
        <v/>
      </c>
      <c r="Z87" s="38" t="str">
        <f>IFERROR('1.vize'!AK87*100/'1.vize'!$I87,"")</f>
        <v/>
      </c>
      <c r="AA87" s="38" t="str">
        <f>IFERROR('1.vize'!AL87*100/'1.vize'!$I87,"")</f>
        <v/>
      </c>
      <c r="AB87" s="38" t="str">
        <f>IFERROR('1.vize'!AM87*100/'1.vize'!$I87,"")</f>
        <v/>
      </c>
      <c r="AC87" s="38" t="str">
        <f>IFERROR('1.vize'!AN87*100/'1.vize'!$I87,"")</f>
        <v/>
      </c>
      <c r="AD87" s="38" t="str">
        <f>IFERROR('1.vize'!AO87*100/'1.vize'!$I87,"")</f>
        <v/>
      </c>
      <c r="AE87" s="38" t="str">
        <f>IFERROR('1.vize'!AP87*100/'1.vize'!$I87,"")</f>
        <v/>
      </c>
      <c r="AF87" s="38" t="str">
        <f>IFERROR('1.vize'!AQ87*100/'1.vize'!$I87,"")</f>
        <v/>
      </c>
      <c r="AG87" s="38" t="str">
        <f>IFERROR('1.vize'!AR87*100/'1.vize'!$I87,"")</f>
        <v/>
      </c>
      <c r="AH87" s="38" t="str">
        <f>IFERROR('1.vize'!AS87*100/'1.vize'!$I87,"")</f>
        <v/>
      </c>
      <c r="AI87" s="38" t="str">
        <f>IFERROR('1.vize'!AT87*100/'1.vize'!$I87,"")</f>
        <v/>
      </c>
      <c r="AJ87" s="38" t="str">
        <f>IFERROR('1.vize'!AU87*100/'1.vize'!$I87,"")</f>
        <v/>
      </c>
      <c r="AK87" s="38" t="str">
        <f>IFERROR('1.vize'!AV87*100/'1.vize'!$I87,"")</f>
        <v/>
      </c>
      <c r="AL87" s="38" t="str">
        <f>IFERROR('1.vize'!AW87*100/'1.vize'!$I87,"")</f>
        <v/>
      </c>
      <c r="AM87" s="38" t="str">
        <f>IFERROR('1.vize'!AX87*100/'1.vize'!$I87,"")</f>
        <v/>
      </c>
      <c r="AN87" s="38" t="str">
        <f>IFERROR('1.vize'!AY87*100/'1.vize'!$I87,"")</f>
        <v/>
      </c>
      <c r="AO87" s="38" t="str">
        <f>IFERROR('1.vize'!AZ87*100/'1.vize'!$I87,"")</f>
        <v/>
      </c>
      <c r="AP87" s="38" t="str">
        <f>IFERROR('1.vize'!BA87*100/'1.vize'!$I87,"")</f>
        <v/>
      </c>
      <c r="AQ87" s="38" t="str">
        <f>IFERROR('1.vize'!BB87*100/'1.vize'!$I87,"")</f>
        <v/>
      </c>
      <c r="AR87" s="38" t="str">
        <f>IFERROR('1.vize'!BC87*100/'1.vize'!$I87,"")</f>
        <v/>
      </c>
      <c r="AS87" s="38" t="str">
        <f>IFERROR('1.vize'!BD87*100/'1.vize'!$I87,"")</f>
        <v/>
      </c>
      <c r="AT87" s="38" t="str">
        <f>IFERROR('1.vize'!BE87*100/'1.vize'!$I87,"")</f>
        <v/>
      </c>
      <c r="AU87" s="38" t="str">
        <f>IFERROR('1.vize'!BF87*100/'1.vize'!$I87,"")</f>
        <v/>
      </c>
      <c r="AV87" s="38" t="str">
        <f>IFERROR('1.vize'!BG87*100/'1.vize'!$I87,"")</f>
        <v/>
      </c>
      <c r="AW87" s="38" t="str">
        <f>IFERROR('1.vize'!BH87*100/'1.vize'!$I87,"")</f>
        <v/>
      </c>
      <c r="AX87" s="38" t="str">
        <f>IFERROR('1.vize'!BI87*100/'1.vize'!$I87,"")</f>
        <v/>
      </c>
      <c r="AY87" s="38" t="str">
        <f>IFERROR('1.vize'!BJ87*100/'1.vize'!$I87,"")</f>
        <v/>
      </c>
      <c r="AZ87" s="38" t="str">
        <f>IFERROR('1.vize'!BK87*100/'1.vize'!$I87,"")</f>
        <v/>
      </c>
      <c r="BA87" s="38" t="str">
        <f>IFERROR('1.vize'!BL87*100/'1.vize'!$I87,"")</f>
        <v/>
      </c>
      <c r="BB87" s="38" t="str">
        <f>IFERROR('1.vize'!BM87*100/'1.vize'!$I87,"")</f>
        <v/>
      </c>
      <c r="BC87" s="38" t="str">
        <f>IFERROR('1.vize'!BN87*100/'1.vize'!$I87,"")</f>
        <v/>
      </c>
      <c r="BD87" s="38" t="str">
        <f>IFERROR('1.vize'!BO87*100/'1.vize'!$I87,"")</f>
        <v/>
      </c>
      <c r="BE87" s="38" t="str">
        <f>IFERROR('1.vize'!BP87*100/'1.vize'!$I87,"")</f>
        <v/>
      </c>
      <c r="BF87" s="38" t="str">
        <f>IFERROR('1.vize'!BQ87*100/'1.vize'!$I87,"")</f>
        <v/>
      </c>
      <c r="BG87" s="38" t="str">
        <f>IFERROR('1.vize'!BR87*100/'1.vize'!$I87,"")</f>
        <v/>
      </c>
      <c r="BH87" s="38" t="str">
        <f>IFERROR('1.vize'!BS87*100/'1.vize'!$I87,"")</f>
        <v/>
      </c>
      <c r="BI87" s="38" t="str">
        <f>IFERROR('1.vize'!BT87*100/'1.vize'!$I87,"")</f>
        <v/>
      </c>
      <c r="BJ87" s="38" t="str">
        <f>IFERROR('1.vize'!BU87*100/'1.vize'!$I87,"")</f>
        <v/>
      </c>
      <c r="BK87" s="38" t="str">
        <f>IFERROR('1.vize'!BV87*100/'1.vize'!$I87,"")</f>
        <v/>
      </c>
      <c r="BL87" s="38" t="str">
        <f>IFERROR('1.vize'!BW87*100/'1.vize'!$I87,"")</f>
        <v/>
      </c>
      <c r="BM87" s="38" t="str">
        <f>IFERROR('1.vize'!BX87*100/'1.vize'!$I87,"")</f>
        <v/>
      </c>
      <c r="BN87" s="38" t="str">
        <f>IFERROR('1.vize'!BY87*100/'1.vize'!$I87,"")</f>
        <v/>
      </c>
      <c r="BO87" s="38" t="str">
        <f>IFERROR('1.vize'!BZ87*100/'1.vize'!$I87,"")</f>
        <v/>
      </c>
      <c r="BP87" s="38" t="str">
        <f>IFERROR('1.vize'!CA87*100/'1.vize'!$I87,"")</f>
        <v/>
      </c>
      <c r="BQ87" s="38" t="str">
        <f>IFERROR('1.vize'!CB87*100/'1.vize'!$I87,"")</f>
        <v/>
      </c>
      <c r="BR87" s="38" t="str">
        <f>IFERROR('1.vize'!CC87*100/'1.vize'!$I87,"")</f>
        <v/>
      </c>
      <c r="BS87" s="38" t="str">
        <f>IFERROR('1.vize'!CD87*100/'1.vize'!$I87,"")</f>
        <v/>
      </c>
      <c r="BT87" s="38" t="str">
        <f>IFERROR('1.vize'!CE87*100/'1.vize'!$I87,"")</f>
        <v/>
      </c>
      <c r="BU87" s="38" t="str">
        <f>IFERROR('1.vize'!CF87*100/'1.vize'!$I87,"")</f>
        <v/>
      </c>
      <c r="BV87" s="38" t="str">
        <f>IFERROR('1.vize'!CG87*100/'1.vize'!$I87,"")</f>
        <v/>
      </c>
      <c r="BW87" s="38" t="str">
        <f>IFERROR('1.vize'!CH87*100/'1.vize'!$I87,"")</f>
        <v/>
      </c>
      <c r="BX87" s="38" t="str">
        <f>IFERROR('1.vize'!CI87*100/'1.vize'!$I87,"")</f>
        <v/>
      </c>
      <c r="BY87" s="38" t="str">
        <f>IFERROR('1.vize'!CJ87*100/'1.vize'!$I87,"")</f>
        <v/>
      </c>
      <c r="BZ87" s="38" t="str">
        <f>IFERROR('1.vize'!CK87*100/'1.vize'!$I87,"")</f>
        <v/>
      </c>
      <c r="CA87" s="38" t="str">
        <f>IFERROR('1.vize'!CL87*100/'1.vize'!$I87,"")</f>
        <v/>
      </c>
      <c r="CB87" s="38" t="str">
        <f>IFERROR('1.vize'!CM87*100/'1.vize'!$I87,"")</f>
        <v/>
      </c>
      <c r="CC87" s="38" t="str">
        <f>IFERROR('1.vize'!CN87*100/'1.vize'!$I87,"")</f>
        <v/>
      </c>
      <c r="CD87" s="38" t="str">
        <f>IFERROR('1.vize'!CO87*100/'1.vize'!$I87,"")</f>
        <v/>
      </c>
      <c r="CE87" s="38" t="str">
        <f>IFERROR('1.vize'!CP87*100/'1.vize'!$I87,"")</f>
        <v/>
      </c>
      <c r="CF87" s="38" t="str">
        <f>IFERROR('1.vize'!CQ87*100/'1.vize'!$I87,"")</f>
        <v/>
      </c>
      <c r="CG87" s="38" t="str">
        <f>IFERROR('1.vize'!CR87*100/'1.vize'!$I87,"")</f>
        <v/>
      </c>
      <c r="CH87" s="38" t="str">
        <f>IFERROR('1.vize'!CS87*100/'1.vize'!$I87,"")</f>
        <v/>
      </c>
      <c r="CI87" s="38" t="str">
        <f>IFERROR('1.vize'!CT87*100/'1.vize'!$I87,"")</f>
        <v/>
      </c>
      <c r="CJ87" s="38" t="str">
        <f>IFERROR('1.vize'!CU87*100/'1.vize'!$I87,"")</f>
        <v/>
      </c>
      <c r="CK87" s="38" t="str">
        <f>IFERROR('1.vize'!CV87*100/'1.vize'!$I87,"")</f>
        <v/>
      </c>
      <c r="CL87" s="38" t="str">
        <f>IFERROR('1.vize'!CW87*100/'1.vize'!$I87,"")</f>
        <v/>
      </c>
      <c r="CM87" s="38" t="str">
        <f>IFERROR('1.vize'!CX87*100/'1.vize'!$I87,"")</f>
        <v/>
      </c>
      <c r="CN87" s="38" t="str">
        <f>IFERROR('1.vize'!CY87*100/'1.vize'!$I87,"")</f>
        <v/>
      </c>
      <c r="CO87" s="38" t="str">
        <f>IFERROR('1.vize'!CZ87*100/'1.vize'!$I87,"")</f>
        <v/>
      </c>
      <c r="CP87" s="38" t="str">
        <f>IFERROR('1.vize'!DA87*100/'1.vize'!$I87,"")</f>
        <v/>
      </c>
      <c r="CQ87" s="38" t="str">
        <f>IFERROR('1.vize'!DB87*100/'1.vize'!$I87,"")</f>
        <v/>
      </c>
      <c r="CR87" s="38" t="str">
        <f>IFERROR('1.vize'!DC87*100/'1.vize'!$I87,"")</f>
        <v/>
      </c>
      <c r="CS87" s="38" t="str">
        <f>IFERROR('1.vize'!DD87*100/'1.vize'!$I87,"")</f>
        <v/>
      </c>
      <c r="CT87" s="38" t="str">
        <f>IFERROR('1.vize'!DE87*100/'1.vize'!$I87,"")</f>
        <v/>
      </c>
      <c r="CU87" s="38" t="str">
        <f>IFERROR('1.vize'!DF87*100/'1.vize'!$I87,"")</f>
        <v/>
      </c>
      <c r="CV87" s="38" t="str">
        <f>IFERROR('1.vize'!DG87*100/'1.vize'!$I87,"")</f>
        <v/>
      </c>
      <c r="CW87" s="32" t="str">
        <f>IFERROR(SUM(A87:CV87)/'1.vize'!$DH$103,"")</f>
        <v/>
      </c>
      <c r="CX87" s="14" t="str">
        <f>IF(COUNTA('1.vize'!A87),'1.vize'!A87,"")</f>
        <v/>
      </c>
      <c r="CY87" s="14" t="str">
        <f>IF(COUNTA('1.vize'!B87),'1.vize'!B87,"")</f>
        <v/>
      </c>
      <c r="CZ87" s="14" t="str">
        <f>IF(COUNTA('1.vize'!C87),'1.vize'!C87,"")</f>
        <v/>
      </c>
      <c r="DA87" s="14" t="str">
        <f>IF(COUNTA('1.vize'!D87),'1.vize'!D87,"")</f>
        <v/>
      </c>
      <c r="DB87" s="14" t="str">
        <f>IF(COUNTA('1.vize'!E87),'1.vize'!E87,"")</f>
        <v/>
      </c>
      <c r="DC87" s="14" t="str">
        <f>IF(COUNTA('1.vize'!F87),'1.vize'!F87,"")</f>
        <v/>
      </c>
      <c r="DD87" s="14" t="str">
        <f>IF(COUNTA('1.vize'!G87),'1.vize'!G87,"")</f>
        <v/>
      </c>
      <c r="DE87" s="14" t="str">
        <f>IF(COUNTA('1.vize'!H87),'1.vize'!H87,"")</f>
        <v/>
      </c>
      <c r="DF87" s="33"/>
    </row>
    <row r="88" spans="1:110" x14ac:dyDescent="0.2">
      <c r="A88" s="38" t="str">
        <f>IFERROR('1.vize'!L88*100/'1.vize'!$I88,"")</f>
        <v/>
      </c>
      <c r="B88" s="38" t="str">
        <f>IFERROR('1.vize'!M88*100/'1.vize'!$I88,"")</f>
        <v/>
      </c>
      <c r="C88" s="38" t="str">
        <f>IFERROR('1.vize'!N88*100/'1.vize'!$I88,"")</f>
        <v/>
      </c>
      <c r="D88" s="38" t="str">
        <f>IFERROR('1.vize'!O88*100/'1.vize'!$I88,"")</f>
        <v/>
      </c>
      <c r="E88" s="38" t="str">
        <f>IFERROR('1.vize'!P88*100/'1.vize'!$I88,"")</f>
        <v/>
      </c>
      <c r="F88" s="38" t="str">
        <f>IFERROR('1.vize'!Q88*100/'1.vize'!$I88,"")</f>
        <v/>
      </c>
      <c r="G88" s="38" t="str">
        <f>IFERROR('1.vize'!R88*100/'1.vize'!$I88,"")</f>
        <v/>
      </c>
      <c r="H88" s="38" t="str">
        <f>IFERROR('1.vize'!S88*100/'1.vize'!$I88,"")</f>
        <v/>
      </c>
      <c r="I88" s="38" t="str">
        <f>IFERROR('1.vize'!T88*100/'1.vize'!$I88,"")</f>
        <v/>
      </c>
      <c r="J88" s="38" t="str">
        <f>IFERROR('1.vize'!U88*100/'1.vize'!$I88,"")</f>
        <v/>
      </c>
      <c r="K88" s="38" t="str">
        <f>IFERROR('1.vize'!V88*100/'1.vize'!$I88,"")</f>
        <v/>
      </c>
      <c r="L88" s="38" t="str">
        <f>IFERROR('1.vize'!W88*100/'1.vize'!$I88,"")</f>
        <v/>
      </c>
      <c r="M88" s="38" t="str">
        <f>IFERROR('1.vize'!X88*100/'1.vize'!$I88,"")</f>
        <v/>
      </c>
      <c r="N88" s="38" t="str">
        <f>IFERROR('1.vize'!Y88*100/'1.vize'!$I88,"")</f>
        <v/>
      </c>
      <c r="O88" s="38" t="str">
        <f>IFERROR('1.vize'!Z88*100/'1.vize'!$I88,"")</f>
        <v/>
      </c>
      <c r="P88" s="38" t="str">
        <f>IFERROR('1.vize'!AA88*100/'1.vize'!$I88,"")</f>
        <v/>
      </c>
      <c r="Q88" s="38" t="str">
        <f>IFERROR('1.vize'!AB88*100/'1.vize'!$I88,"")</f>
        <v/>
      </c>
      <c r="R88" s="38" t="str">
        <f>IFERROR('1.vize'!AC88*100/'1.vize'!$I88,"")</f>
        <v/>
      </c>
      <c r="S88" s="38" t="str">
        <f>IFERROR('1.vize'!AD88*100/'1.vize'!$I88,"")</f>
        <v/>
      </c>
      <c r="T88" s="38" t="str">
        <f>IFERROR('1.vize'!AE88*100/'1.vize'!$I88,"")</f>
        <v/>
      </c>
      <c r="U88" s="38" t="str">
        <f>IFERROR('1.vize'!AF88*100/'1.vize'!$I88,"")</f>
        <v/>
      </c>
      <c r="V88" s="38" t="str">
        <f>IFERROR('1.vize'!AG88*100/'1.vize'!$I88,"")</f>
        <v/>
      </c>
      <c r="W88" s="38" t="str">
        <f>IFERROR('1.vize'!AH88*100/'1.vize'!$I88,"")</f>
        <v/>
      </c>
      <c r="X88" s="38" t="str">
        <f>IFERROR('1.vize'!AI88*100/'1.vize'!$I88,"")</f>
        <v/>
      </c>
      <c r="Y88" s="38" t="str">
        <f>IFERROR('1.vize'!AJ88*100/'1.vize'!$I88,"")</f>
        <v/>
      </c>
      <c r="Z88" s="38" t="str">
        <f>IFERROR('1.vize'!AK88*100/'1.vize'!$I88,"")</f>
        <v/>
      </c>
      <c r="AA88" s="38" t="str">
        <f>IFERROR('1.vize'!AL88*100/'1.vize'!$I88,"")</f>
        <v/>
      </c>
      <c r="AB88" s="38" t="str">
        <f>IFERROR('1.vize'!AM88*100/'1.vize'!$I88,"")</f>
        <v/>
      </c>
      <c r="AC88" s="38" t="str">
        <f>IFERROR('1.vize'!AN88*100/'1.vize'!$I88,"")</f>
        <v/>
      </c>
      <c r="AD88" s="38" t="str">
        <f>IFERROR('1.vize'!AO88*100/'1.vize'!$I88,"")</f>
        <v/>
      </c>
      <c r="AE88" s="38" t="str">
        <f>IFERROR('1.vize'!AP88*100/'1.vize'!$I88,"")</f>
        <v/>
      </c>
      <c r="AF88" s="38" t="str">
        <f>IFERROR('1.vize'!AQ88*100/'1.vize'!$I88,"")</f>
        <v/>
      </c>
      <c r="AG88" s="38" t="str">
        <f>IFERROR('1.vize'!AR88*100/'1.vize'!$I88,"")</f>
        <v/>
      </c>
      <c r="AH88" s="38" t="str">
        <f>IFERROR('1.vize'!AS88*100/'1.vize'!$I88,"")</f>
        <v/>
      </c>
      <c r="AI88" s="38" t="str">
        <f>IFERROR('1.vize'!AT88*100/'1.vize'!$I88,"")</f>
        <v/>
      </c>
      <c r="AJ88" s="38" t="str">
        <f>IFERROR('1.vize'!AU88*100/'1.vize'!$I88,"")</f>
        <v/>
      </c>
      <c r="AK88" s="38" t="str">
        <f>IFERROR('1.vize'!AV88*100/'1.vize'!$I88,"")</f>
        <v/>
      </c>
      <c r="AL88" s="38" t="str">
        <f>IFERROR('1.vize'!AW88*100/'1.vize'!$I88,"")</f>
        <v/>
      </c>
      <c r="AM88" s="38" t="str">
        <f>IFERROR('1.vize'!AX88*100/'1.vize'!$I88,"")</f>
        <v/>
      </c>
      <c r="AN88" s="38" t="str">
        <f>IFERROR('1.vize'!AY88*100/'1.vize'!$I88,"")</f>
        <v/>
      </c>
      <c r="AO88" s="38" t="str">
        <f>IFERROR('1.vize'!AZ88*100/'1.vize'!$I88,"")</f>
        <v/>
      </c>
      <c r="AP88" s="38" t="str">
        <f>IFERROR('1.vize'!BA88*100/'1.vize'!$I88,"")</f>
        <v/>
      </c>
      <c r="AQ88" s="38" t="str">
        <f>IFERROR('1.vize'!BB88*100/'1.vize'!$I88,"")</f>
        <v/>
      </c>
      <c r="AR88" s="38" t="str">
        <f>IFERROR('1.vize'!BC88*100/'1.vize'!$I88,"")</f>
        <v/>
      </c>
      <c r="AS88" s="38" t="str">
        <f>IFERROR('1.vize'!BD88*100/'1.vize'!$I88,"")</f>
        <v/>
      </c>
      <c r="AT88" s="38" t="str">
        <f>IFERROR('1.vize'!BE88*100/'1.vize'!$I88,"")</f>
        <v/>
      </c>
      <c r="AU88" s="38" t="str">
        <f>IFERROR('1.vize'!BF88*100/'1.vize'!$I88,"")</f>
        <v/>
      </c>
      <c r="AV88" s="38" t="str">
        <f>IFERROR('1.vize'!BG88*100/'1.vize'!$I88,"")</f>
        <v/>
      </c>
      <c r="AW88" s="38" t="str">
        <f>IFERROR('1.vize'!BH88*100/'1.vize'!$I88,"")</f>
        <v/>
      </c>
      <c r="AX88" s="38" t="str">
        <f>IFERROR('1.vize'!BI88*100/'1.vize'!$I88,"")</f>
        <v/>
      </c>
      <c r="AY88" s="38" t="str">
        <f>IFERROR('1.vize'!BJ88*100/'1.vize'!$I88,"")</f>
        <v/>
      </c>
      <c r="AZ88" s="38" t="str">
        <f>IFERROR('1.vize'!BK88*100/'1.vize'!$I88,"")</f>
        <v/>
      </c>
      <c r="BA88" s="38" t="str">
        <f>IFERROR('1.vize'!BL88*100/'1.vize'!$I88,"")</f>
        <v/>
      </c>
      <c r="BB88" s="38" t="str">
        <f>IFERROR('1.vize'!BM88*100/'1.vize'!$I88,"")</f>
        <v/>
      </c>
      <c r="BC88" s="38" t="str">
        <f>IFERROR('1.vize'!BN88*100/'1.vize'!$I88,"")</f>
        <v/>
      </c>
      <c r="BD88" s="38" t="str">
        <f>IFERROR('1.vize'!BO88*100/'1.vize'!$I88,"")</f>
        <v/>
      </c>
      <c r="BE88" s="38" t="str">
        <f>IFERROR('1.vize'!BP88*100/'1.vize'!$I88,"")</f>
        <v/>
      </c>
      <c r="BF88" s="38" t="str">
        <f>IFERROR('1.vize'!BQ88*100/'1.vize'!$I88,"")</f>
        <v/>
      </c>
      <c r="BG88" s="38" t="str">
        <f>IFERROR('1.vize'!BR88*100/'1.vize'!$I88,"")</f>
        <v/>
      </c>
      <c r="BH88" s="38" t="str">
        <f>IFERROR('1.vize'!BS88*100/'1.vize'!$I88,"")</f>
        <v/>
      </c>
      <c r="BI88" s="38" t="str">
        <f>IFERROR('1.vize'!BT88*100/'1.vize'!$I88,"")</f>
        <v/>
      </c>
      <c r="BJ88" s="38" t="str">
        <f>IFERROR('1.vize'!BU88*100/'1.vize'!$I88,"")</f>
        <v/>
      </c>
      <c r="BK88" s="38" t="str">
        <f>IFERROR('1.vize'!BV88*100/'1.vize'!$I88,"")</f>
        <v/>
      </c>
      <c r="BL88" s="38" t="str">
        <f>IFERROR('1.vize'!BW88*100/'1.vize'!$I88,"")</f>
        <v/>
      </c>
      <c r="BM88" s="38" t="str">
        <f>IFERROR('1.vize'!BX88*100/'1.vize'!$I88,"")</f>
        <v/>
      </c>
      <c r="BN88" s="38" t="str">
        <f>IFERROR('1.vize'!BY88*100/'1.vize'!$I88,"")</f>
        <v/>
      </c>
      <c r="BO88" s="38" t="str">
        <f>IFERROR('1.vize'!BZ88*100/'1.vize'!$I88,"")</f>
        <v/>
      </c>
      <c r="BP88" s="38" t="str">
        <f>IFERROR('1.vize'!CA88*100/'1.vize'!$I88,"")</f>
        <v/>
      </c>
      <c r="BQ88" s="38" t="str">
        <f>IFERROR('1.vize'!CB88*100/'1.vize'!$I88,"")</f>
        <v/>
      </c>
      <c r="BR88" s="38" t="str">
        <f>IFERROR('1.vize'!CC88*100/'1.vize'!$I88,"")</f>
        <v/>
      </c>
      <c r="BS88" s="38" t="str">
        <f>IFERROR('1.vize'!CD88*100/'1.vize'!$I88,"")</f>
        <v/>
      </c>
      <c r="BT88" s="38" t="str">
        <f>IFERROR('1.vize'!CE88*100/'1.vize'!$I88,"")</f>
        <v/>
      </c>
      <c r="BU88" s="38" t="str">
        <f>IFERROR('1.vize'!CF88*100/'1.vize'!$I88,"")</f>
        <v/>
      </c>
      <c r="BV88" s="38" t="str">
        <f>IFERROR('1.vize'!CG88*100/'1.vize'!$I88,"")</f>
        <v/>
      </c>
      <c r="BW88" s="38" t="str">
        <f>IFERROR('1.vize'!CH88*100/'1.vize'!$I88,"")</f>
        <v/>
      </c>
      <c r="BX88" s="38" t="str">
        <f>IFERROR('1.vize'!CI88*100/'1.vize'!$I88,"")</f>
        <v/>
      </c>
      <c r="BY88" s="38" t="str">
        <f>IFERROR('1.vize'!CJ88*100/'1.vize'!$I88,"")</f>
        <v/>
      </c>
      <c r="BZ88" s="38" t="str">
        <f>IFERROR('1.vize'!CK88*100/'1.vize'!$I88,"")</f>
        <v/>
      </c>
      <c r="CA88" s="38" t="str">
        <f>IFERROR('1.vize'!CL88*100/'1.vize'!$I88,"")</f>
        <v/>
      </c>
      <c r="CB88" s="38" t="str">
        <f>IFERROR('1.vize'!CM88*100/'1.vize'!$I88,"")</f>
        <v/>
      </c>
      <c r="CC88" s="38" t="str">
        <f>IFERROR('1.vize'!CN88*100/'1.vize'!$I88,"")</f>
        <v/>
      </c>
      <c r="CD88" s="38" t="str">
        <f>IFERROR('1.vize'!CO88*100/'1.vize'!$I88,"")</f>
        <v/>
      </c>
      <c r="CE88" s="38" t="str">
        <f>IFERROR('1.vize'!CP88*100/'1.vize'!$I88,"")</f>
        <v/>
      </c>
      <c r="CF88" s="38" t="str">
        <f>IFERROR('1.vize'!CQ88*100/'1.vize'!$I88,"")</f>
        <v/>
      </c>
      <c r="CG88" s="38" t="str">
        <f>IFERROR('1.vize'!CR88*100/'1.vize'!$I88,"")</f>
        <v/>
      </c>
      <c r="CH88" s="38" t="str">
        <f>IFERROR('1.vize'!CS88*100/'1.vize'!$I88,"")</f>
        <v/>
      </c>
      <c r="CI88" s="38" t="str">
        <f>IFERROR('1.vize'!CT88*100/'1.vize'!$I88,"")</f>
        <v/>
      </c>
      <c r="CJ88" s="38" t="str">
        <f>IFERROR('1.vize'!CU88*100/'1.vize'!$I88,"")</f>
        <v/>
      </c>
      <c r="CK88" s="38" t="str">
        <f>IFERROR('1.vize'!CV88*100/'1.vize'!$I88,"")</f>
        <v/>
      </c>
      <c r="CL88" s="38" t="str">
        <f>IFERROR('1.vize'!CW88*100/'1.vize'!$I88,"")</f>
        <v/>
      </c>
      <c r="CM88" s="38" t="str">
        <f>IFERROR('1.vize'!CX88*100/'1.vize'!$I88,"")</f>
        <v/>
      </c>
      <c r="CN88" s="38" t="str">
        <f>IFERROR('1.vize'!CY88*100/'1.vize'!$I88,"")</f>
        <v/>
      </c>
      <c r="CO88" s="38" t="str">
        <f>IFERROR('1.vize'!CZ88*100/'1.vize'!$I88,"")</f>
        <v/>
      </c>
      <c r="CP88" s="38" t="str">
        <f>IFERROR('1.vize'!DA88*100/'1.vize'!$I88,"")</f>
        <v/>
      </c>
      <c r="CQ88" s="38" t="str">
        <f>IFERROR('1.vize'!DB88*100/'1.vize'!$I88,"")</f>
        <v/>
      </c>
      <c r="CR88" s="38" t="str">
        <f>IFERROR('1.vize'!DC88*100/'1.vize'!$I88,"")</f>
        <v/>
      </c>
      <c r="CS88" s="38" t="str">
        <f>IFERROR('1.vize'!DD88*100/'1.vize'!$I88,"")</f>
        <v/>
      </c>
      <c r="CT88" s="38" t="str">
        <f>IFERROR('1.vize'!DE88*100/'1.vize'!$I88,"")</f>
        <v/>
      </c>
      <c r="CU88" s="38" t="str">
        <f>IFERROR('1.vize'!DF88*100/'1.vize'!$I88,"")</f>
        <v/>
      </c>
      <c r="CV88" s="38" t="str">
        <f>IFERROR('1.vize'!DG88*100/'1.vize'!$I88,"")</f>
        <v/>
      </c>
      <c r="CW88" s="32" t="str">
        <f>IFERROR(SUM(A88:CV88)/'1.vize'!$DH$103,"")</f>
        <v/>
      </c>
      <c r="CX88" s="14" t="str">
        <f>IF(COUNTA('1.vize'!A88),'1.vize'!A88,"")</f>
        <v/>
      </c>
      <c r="CY88" s="14" t="str">
        <f>IF(COUNTA('1.vize'!B88),'1.vize'!B88,"")</f>
        <v/>
      </c>
      <c r="CZ88" s="14" t="str">
        <f>IF(COUNTA('1.vize'!C88),'1.vize'!C88,"")</f>
        <v/>
      </c>
      <c r="DA88" s="14" t="str">
        <f>IF(COUNTA('1.vize'!D88),'1.vize'!D88,"")</f>
        <v/>
      </c>
      <c r="DB88" s="14" t="str">
        <f>IF(COUNTA('1.vize'!E88),'1.vize'!E88,"")</f>
        <v/>
      </c>
      <c r="DC88" s="14" t="str">
        <f>IF(COUNTA('1.vize'!F88),'1.vize'!F88,"")</f>
        <v/>
      </c>
      <c r="DD88" s="14" t="str">
        <f>IF(COUNTA('1.vize'!G88),'1.vize'!G88,"")</f>
        <v/>
      </c>
      <c r="DE88" s="14" t="str">
        <f>IF(COUNTA('1.vize'!H88),'1.vize'!H88,"")</f>
        <v/>
      </c>
      <c r="DF88" s="33"/>
    </row>
    <row r="89" spans="1:110" x14ac:dyDescent="0.2">
      <c r="A89" s="38" t="str">
        <f>IFERROR('1.vize'!L89*100/'1.vize'!$I89,"")</f>
        <v/>
      </c>
      <c r="B89" s="38" t="str">
        <f>IFERROR('1.vize'!M89*100/'1.vize'!$I89,"")</f>
        <v/>
      </c>
      <c r="C89" s="38" t="str">
        <f>IFERROR('1.vize'!N89*100/'1.vize'!$I89,"")</f>
        <v/>
      </c>
      <c r="D89" s="38" t="str">
        <f>IFERROR('1.vize'!O89*100/'1.vize'!$I89,"")</f>
        <v/>
      </c>
      <c r="E89" s="38" t="str">
        <f>IFERROR('1.vize'!P89*100/'1.vize'!$I89,"")</f>
        <v/>
      </c>
      <c r="F89" s="38" t="str">
        <f>IFERROR('1.vize'!Q89*100/'1.vize'!$I89,"")</f>
        <v/>
      </c>
      <c r="G89" s="38" t="str">
        <f>IFERROR('1.vize'!R89*100/'1.vize'!$I89,"")</f>
        <v/>
      </c>
      <c r="H89" s="38" t="str">
        <f>IFERROR('1.vize'!S89*100/'1.vize'!$I89,"")</f>
        <v/>
      </c>
      <c r="I89" s="38" t="str">
        <f>IFERROR('1.vize'!T89*100/'1.vize'!$I89,"")</f>
        <v/>
      </c>
      <c r="J89" s="38" t="str">
        <f>IFERROR('1.vize'!U89*100/'1.vize'!$I89,"")</f>
        <v/>
      </c>
      <c r="K89" s="38" t="str">
        <f>IFERROR('1.vize'!V89*100/'1.vize'!$I89,"")</f>
        <v/>
      </c>
      <c r="L89" s="38" t="str">
        <f>IFERROR('1.vize'!W89*100/'1.vize'!$I89,"")</f>
        <v/>
      </c>
      <c r="M89" s="38" t="str">
        <f>IFERROR('1.vize'!X89*100/'1.vize'!$I89,"")</f>
        <v/>
      </c>
      <c r="N89" s="38" t="str">
        <f>IFERROR('1.vize'!Y89*100/'1.vize'!$I89,"")</f>
        <v/>
      </c>
      <c r="O89" s="38" t="str">
        <f>IFERROR('1.vize'!Z89*100/'1.vize'!$I89,"")</f>
        <v/>
      </c>
      <c r="P89" s="38" t="str">
        <f>IFERROR('1.vize'!AA89*100/'1.vize'!$I89,"")</f>
        <v/>
      </c>
      <c r="Q89" s="38" t="str">
        <f>IFERROR('1.vize'!AB89*100/'1.vize'!$I89,"")</f>
        <v/>
      </c>
      <c r="R89" s="38" t="str">
        <f>IFERROR('1.vize'!AC89*100/'1.vize'!$I89,"")</f>
        <v/>
      </c>
      <c r="S89" s="38" t="str">
        <f>IFERROR('1.vize'!AD89*100/'1.vize'!$I89,"")</f>
        <v/>
      </c>
      <c r="T89" s="38" t="str">
        <f>IFERROR('1.vize'!AE89*100/'1.vize'!$I89,"")</f>
        <v/>
      </c>
      <c r="U89" s="38" t="str">
        <f>IFERROR('1.vize'!AF89*100/'1.vize'!$I89,"")</f>
        <v/>
      </c>
      <c r="V89" s="38" t="str">
        <f>IFERROR('1.vize'!AG89*100/'1.vize'!$I89,"")</f>
        <v/>
      </c>
      <c r="W89" s="38" t="str">
        <f>IFERROR('1.vize'!AH89*100/'1.vize'!$I89,"")</f>
        <v/>
      </c>
      <c r="X89" s="38" t="str">
        <f>IFERROR('1.vize'!AI89*100/'1.vize'!$I89,"")</f>
        <v/>
      </c>
      <c r="Y89" s="38" t="str">
        <f>IFERROR('1.vize'!AJ89*100/'1.vize'!$I89,"")</f>
        <v/>
      </c>
      <c r="Z89" s="38" t="str">
        <f>IFERROR('1.vize'!AK89*100/'1.vize'!$I89,"")</f>
        <v/>
      </c>
      <c r="AA89" s="38" t="str">
        <f>IFERROR('1.vize'!AL89*100/'1.vize'!$I89,"")</f>
        <v/>
      </c>
      <c r="AB89" s="38" t="str">
        <f>IFERROR('1.vize'!AM89*100/'1.vize'!$I89,"")</f>
        <v/>
      </c>
      <c r="AC89" s="38" t="str">
        <f>IFERROR('1.vize'!AN89*100/'1.vize'!$I89,"")</f>
        <v/>
      </c>
      <c r="AD89" s="38" t="str">
        <f>IFERROR('1.vize'!AO89*100/'1.vize'!$I89,"")</f>
        <v/>
      </c>
      <c r="AE89" s="38" t="str">
        <f>IFERROR('1.vize'!AP89*100/'1.vize'!$I89,"")</f>
        <v/>
      </c>
      <c r="AF89" s="38" t="str">
        <f>IFERROR('1.vize'!AQ89*100/'1.vize'!$I89,"")</f>
        <v/>
      </c>
      <c r="AG89" s="38" t="str">
        <f>IFERROR('1.vize'!AR89*100/'1.vize'!$I89,"")</f>
        <v/>
      </c>
      <c r="AH89" s="38" t="str">
        <f>IFERROR('1.vize'!AS89*100/'1.vize'!$I89,"")</f>
        <v/>
      </c>
      <c r="AI89" s="38" t="str">
        <f>IFERROR('1.vize'!AT89*100/'1.vize'!$I89,"")</f>
        <v/>
      </c>
      <c r="AJ89" s="38" t="str">
        <f>IFERROR('1.vize'!AU89*100/'1.vize'!$I89,"")</f>
        <v/>
      </c>
      <c r="AK89" s="38" t="str">
        <f>IFERROR('1.vize'!AV89*100/'1.vize'!$I89,"")</f>
        <v/>
      </c>
      <c r="AL89" s="38" t="str">
        <f>IFERROR('1.vize'!AW89*100/'1.vize'!$I89,"")</f>
        <v/>
      </c>
      <c r="AM89" s="38" t="str">
        <f>IFERROR('1.vize'!AX89*100/'1.vize'!$I89,"")</f>
        <v/>
      </c>
      <c r="AN89" s="38" t="str">
        <f>IFERROR('1.vize'!AY89*100/'1.vize'!$I89,"")</f>
        <v/>
      </c>
      <c r="AO89" s="38" t="str">
        <f>IFERROR('1.vize'!AZ89*100/'1.vize'!$I89,"")</f>
        <v/>
      </c>
      <c r="AP89" s="38" t="str">
        <f>IFERROR('1.vize'!BA89*100/'1.vize'!$I89,"")</f>
        <v/>
      </c>
      <c r="AQ89" s="38" t="str">
        <f>IFERROR('1.vize'!BB89*100/'1.vize'!$I89,"")</f>
        <v/>
      </c>
      <c r="AR89" s="38" t="str">
        <f>IFERROR('1.vize'!BC89*100/'1.vize'!$I89,"")</f>
        <v/>
      </c>
      <c r="AS89" s="38" t="str">
        <f>IFERROR('1.vize'!BD89*100/'1.vize'!$I89,"")</f>
        <v/>
      </c>
      <c r="AT89" s="38" t="str">
        <f>IFERROR('1.vize'!BE89*100/'1.vize'!$I89,"")</f>
        <v/>
      </c>
      <c r="AU89" s="38" t="str">
        <f>IFERROR('1.vize'!BF89*100/'1.vize'!$I89,"")</f>
        <v/>
      </c>
      <c r="AV89" s="38" t="str">
        <f>IFERROR('1.vize'!BG89*100/'1.vize'!$I89,"")</f>
        <v/>
      </c>
      <c r="AW89" s="38" t="str">
        <f>IFERROR('1.vize'!BH89*100/'1.vize'!$I89,"")</f>
        <v/>
      </c>
      <c r="AX89" s="38" t="str">
        <f>IFERROR('1.vize'!BI89*100/'1.vize'!$I89,"")</f>
        <v/>
      </c>
      <c r="AY89" s="38" t="str">
        <f>IFERROR('1.vize'!BJ89*100/'1.vize'!$I89,"")</f>
        <v/>
      </c>
      <c r="AZ89" s="38" t="str">
        <f>IFERROR('1.vize'!BK89*100/'1.vize'!$I89,"")</f>
        <v/>
      </c>
      <c r="BA89" s="38" t="str">
        <f>IFERROR('1.vize'!BL89*100/'1.vize'!$I89,"")</f>
        <v/>
      </c>
      <c r="BB89" s="38" t="str">
        <f>IFERROR('1.vize'!BM89*100/'1.vize'!$I89,"")</f>
        <v/>
      </c>
      <c r="BC89" s="38" t="str">
        <f>IFERROR('1.vize'!BN89*100/'1.vize'!$I89,"")</f>
        <v/>
      </c>
      <c r="BD89" s="38" t="str">
        <f>IFERROR('1.vize'!BO89*100/'1.vize'!$I89,"")</f>
        <v/>
      </c>
      <c r="BE89" s="38" t="str">
        <f>IFERROR('1.vize'!BP89*100/'1.vize'!$I89,"")</f>
        <v/>
      </c>
      <c r="BF89" s="38" t="str">
        <f>IFERROR('1.vize'!BQ89*100/'1.vize'!$I89,"")</f>
        <v/>
      </c>
      <c r="BG89" s="38" t="str">
        <f>IFERROR('1.vize'!BR89*100/'1.vize'!$I89,"")</f>
        <v/>
      </c>
      <c r="BH89" s="38" t="str">
        <f>IFERROR('1.vize'!BS89*100/'1.vize'!$I89,"")</f>
        <v/>
      </c>
      <c r="BI89" s="38" t="str">
        <f>IFERROR('1.vize'!BT89*100/'1.vize'!$I89,"")</f>
        <v/>
      </c>
      <c r="BJ89" s="38" t="str">
        <f>IFERROR('1.vize'!BU89*100/'1.vize'!$I89,"")</f>
        <v/>
      </c>
      <c r="BK89" s="38" t="str">
        <f>IFERROR('1.vize'!BV89*100/'1.vize'!$I89,"")</f>
        <v/>
      </c>
      <c r="BL89" s="38" t="str">
        <f>IFERROR('1.vize'!BW89*100/'1.vize'!$I89,"")</f>
        <v/>
      </c>
      <c r="BM89" s="38" t="str">
        <f>IFERROR('1.vize'!BX89*100/'1.vize'!$I89,"")</f>
        <v/>
      </c>
      <c r="BN89" s="38" t="str">
        <f>IFERROR('1.vize'!BY89*100/'1.vize'!$I89,"")</f>
        <v/>
      </c>
      <c r="BO89" s="38" t="str">
        <f>IFERROR('1.vize'!BZ89*100/'1.vize'!$I89,"")</f>
        <v/>
      </c>
      <c r="BP89" s="38" t="str">
        <f>IFERROR('1.vize'!CA89*100/'1.vize'!$I89,"")</f>
        <v/>
      </c>
      <c r="BQ89" s="38" t="str">
        <f>IFERROR('1.vize'!CB89*100/'1.vize'!$I89,"")</f>
        <v/>
      </c>
      <c r="BR89" s="38" t="str">
        <f>IFERROR('1.vize'!CC89*100/'1.vize'!$I89,"")</f>
        <v/>
      </c>
      <c r="BS89" s="38" t="str">
        <f>IFERROR('1.vize'!CD89*100/'1.vize'!$I89,"")</f>
        <v/>
      </c>
      <c r="BT89" s="38" t="str">
        <f>IFERROR('1.vize'!CE89*100/'1.vize'!$I89,"")</f>
        <v/>
      </c>
      <c r="BU89" s="38" t="str">
        <f>IFERROR('1.vize'!CF89*100/'1.vize'!$I89,"")</f>
        <v/>
      </c>
      <c r="BV89" s="38" t="str">
        <f>IFERROR('1.vize'!CG89*100/'1.vize'!$I89,"")</f>
        <v/>
      </c>
      <c r="BW89" s="38" t="str">
        <f>IFERROR('1.vize'!CH89*100/'1.vize'!$I89,"")</f>
        <v/>
      </c>
      <c r="BX89" s="38" t="str">
        <f>IFERROR('1.vize'!CI89*100/'1.vize'!$I89,"")</f>
        <v/>
      </c>
      <c r="BY89" s="38" t="str">
        <f>IFERROR('1.vize'!CJ89*100/'1.vize'!$I89,"")</f>
        <v/>
      </c>
      <c r="BZ89" s="38" t="str">
        <f>IFERROR('1.vize'!CK89*100/'1.vize'!$I89,"")</f>
        <v/>
      </c>
      <c r="CA89" s="38" t="str">
        <f>IFERROR('1.vize'!CL89*100/'1.vize'!$I89,"")</f>
        <v/>
      </c>
      <c r="CB89" s="38" t="str">
        <f>IFERROR('1.vize'!CM89*100/'1.vize'!$I89,"")</f>
        <v/>
      </c>
      <c r="CC89" s="38" t="str">
        <f>IFERROR('1.vize'!CN89*100/'1.vize'!$I89,"")</f>
        <v/>
      </c>
      <c r="CD89" s="38" t="str">
        <f>IFERROR('1.vize'!CO89*100/'1.vize'!$I89,"")</f>
        <v/>
      </c>
      <c r="CE89" s="38" t="str">
        <f>IFERROR('1.vize'!CP89*100/'1.vize'!$I89,"")</f>
        <v/>
      </c>
      <c r="CF89" s="38" t="str">
        <f>IFERROR('1.vize'!CQ89*100/'1.vize'!$I89,"")</f>
        <v/>
      </c>
      <c r="CG89" s="38" t="str">
        <f>IFERROR('1.vize'!CR89*100/'1.vize'!$I89,"")</f>
        <v/>
      </c>
      <c r="CH89" s="38" t="str">
        <f>IFERROR('1.vize'!CS89*100/'1.vize'!$I89,"")</f>
        <v/>
      </c>
      <c r="CI89" s="38" t="str">
        <f>IFERROR('1.vize'!CT89*100/'1.vize'!$I89,"")</f>
        <v/>
      </c>
      <c r="CJ89" s="38" t="str">
        <f>IFERROR('1.vize'!CU89*100/'1.vize'!$I89,"")</f>
        <v/>
      </c>
      <c r="CK89" s="38" t="str">
        <f>IFERROR('1.vize'!CV89*100/'1.vize'!$I89,"")</f>
        <v/>
      </c>
      <c r="CL89" s="38" t="str">
        <f>IFERROR('1.vize'!CW89*100/'1.vize'!$I89,"")</f>
        <v/>
      </c>
      <c r="CM89" s="38" t="str">
        <f>IFERROR('1.vize'!CX89*100/'1.vize'!$I89,"")</f>
        <v/>
      </c>
      <c r="CN89" s="38" t="str">
        <f>IFERROR('1.vize'!CY89*100/'1.vize'!$I89,"")</f>
        <v/>
      </c>
      <c r="CO89" s="38" t="str">
        <f>IFERROR('1.vize'!CZ89*100/'1.vize'!$I89,"")</f>
        <v/>
      </c>
      <c r="CP89" s="38" t="str">
        <f>IFERROR('1.vize'!DA89*100/'1.vize'!$I89,"")</f>
        <v/>
      </c>
      <c r="CQ89" s="38" t="str">
        <f>IFERROR('1.vize'!DB89*100/'1.vize'!$I89,"")</f>
        <v/>
      </c>
      <c r="CR89" s="38" t="str">
        <f>IFERROR('1.vize'!DC89*100/'1.vize'!$I89,"")</f>
        <v/>
      </c>
      <c r="CS89" s="38" t="str">
        <f>IFERROR('1.vize'!DD89*100/'1.vize'!$I89,"")</f>
        <v/>
      </c>
      <c r="CT89" s="38" t="str">
        <f>IFERROR('1.vize'!DE89*100/'1.vize'!$I89,"")</f>
        <v/>
      </c>
      <c r="CU89" s="38" t="str">
        <f>IFERROR('1.vize'!DF89*100/'1.vize'!$I89,"")</f>
        <v/>
      </c>
      <c r="CV89" s="38" t="str">
        <f>IFERROR('1.vize'!DG89*100/'1.vize'!$I89,"")</f>
        <v/>
      </c>
      <c r="CW89" s="32" t="str">
        <f>IFERROR(SUM(A89:CV89)/'1.vize'!$DH$103,"")</f>
        <v/>
      </c>
      <c r="CX89" s="14" t="str">
        <f>IF(COUNTA('1.vize'!A89),'1.vize'!A89,"")</f>
        <v/>
      </c>
      <c r="CY89" s="14" t="str">
        <f>IF(COUNTA('1.vize'!B89),'1.vize'!B89,"")</f>
        <v/>
      </c>
      <c r="CZ89" s="14" t="str">
        <f>IF(COUNTA('1.vize'!C89),'1.vize'!C89,"")</f>
        <v/>
      </c>
      <c r="DA89" s="14" t="str">
        <f>IF(COUNTA('1.vize'!D89),'1.vize'!D89,"")</f>
        <v/>
      </c>
      <c r="DB89" s="14" t="str">
        <f>IF(COUNTA('1.vize'!E89),'1.vize'!E89,"")</f>
        <v/>
      </c>
      <c r="DC89" s="14" t="str">
        <f>IF(COUNTA('1.vize'!F89),'1.vize'!F89,"")</f>
        <v/>
      </c>
      <c r="DD89" s="14" t="str">
        <f>IF(COUNTA('1.vize'!G89),'1.vize'!G89,"")</f>
        <v/>
      </c>
      <c r="DE89" s="14" t="str">
        <f>IF(COUNTA('1.vize'!H89),'1.vize'!H89,"")</f>
        <v/>
      </c>
      <c r="DF89" s="33"/>
    </row>
    <row r="90" spans="1:110" x14ac:dyDescent="0.2">
      <c r="A90" s="38" t="str">
        <f>IFERROR('1.vize'!L90*100/'1.vize'!$I90,"")</f>
        <v/>
      </c>
      <c r="B90" s="38" t="str">
        <f>IFERROR('1.vize'!M90*100/'1.vize'!$I90,"")</f>
        <v/>
      </c>
      <c r="C90" s="38" t="str">
        <f>IFERROR('1.vize'!N90*100/'1.vize'!$I90,"")</f>
        <v/>
      </c>
      <c r="D90" s="38" t="str">
        <f>IFERROR('1.vize'!O90*100/'1.vize'!$I90,"")</f>
        <v/>
      </c>
      <c r="E90" s="38" t="str">
        <f>IFERROR('1.vize'!P90*100/'1.vize'!$I90,"")</f>
        <v/>
      </c>
      <c r="F90" s="38" t="str">
        <f>IFERROR('1.vize'!Q90*100/'1.vize'!$I90,"")</f>
        <v/>
      </c>
      <c r="G90" s="38" t="str">
        <f>IFERROR('1.vize'!R90*100/'1.vize'!$I90,"")</f>
        <v/>
      </c>
      <c r="H90" s="38" t="str">
        <f>IFERROR('1.vize'!S90*100/'1.vize'!$I90,"")</f>
        <v/>
      </c>
      <c r="I90" s="38" t="str">
        <f>IFERROR('1.vize'!T90*100/'1.vize'!$I90,"")</f>
        <v/>
      </c>
      <c r="J90" s="38" t="str">
        <f>IFERROR('1.vize'!U90*100/'1.vize'!$I90,"")</f>
        <v/>
      </c>
      <c r="K90" s="38" t="str">
        <f>IFERROR('1.vize'!V90*100/'1.vize'!$I90,"")</f>
        <v/>
      </c>
      <c r="L90" s="38" t="str">
        <f>IFERROR('1.vize'!W90*100/'1.vize'!$I90,"")</f>
        <v/>
      </c>
      <c r="M90" s="38" t="str">
        <f>IFERROR('1.vize'!X90*100/'1.vize'!$I90,"")</f>
        <v/>
      </c>
      <c r="N90" s="38" t="str">
        <f>IFERROR('1.vize'!Y90*100/'1.vize'!$I90,"")</f>
        <v/>
      </c>
      <c r="O90" s="38" t="str">
        <f>IFERROR('1.vize'!Z90*100/'1.vize'!$I90,"")</f>
        <v/>
      </c>
      <c r="P90" s="38" t="str">
        <f>IFERROR('1.vize'!AA90*100/'1.vize'!$I90,"")</f>
        <v/>
      </c>
      <c r="Q90" s="38" t="str">
        <f>IFERROR('1.vize'!AB90*100/'1.vize'!$I90,"")</f>
        <v/>
      </c>
      <c r="R90" s="38" t="str">
        <f>IFERROR('1.vize'!AC90*100/'1.vize'!$I90,"")</f>
        <v/>
      </c>
      <c r="S90" s="38" t="str">
        <f>IFERROR('1.vize'!AD90*100/'1.vize'!$I90,"")</f>
        <v/>
      </c>
      <c r="T90" s="38" t="str">
        <f>IFERROR('1.vize'!AE90*100/'1.vize'!$I90,"")</f>
        <v/>
      </c>
      <c r="U90" s="38" t="str">
        <f>IFERROR('1.vize'!AF90*100/'1.vize'!$I90,"")</f>
        <v/>
      </c>
      <c r="V90" s="38" t="str">
        <f>IFERROR('1.vize'!AG90*100/'1.vize'!$I90,"")</f>
        <v/>
      </c>
      <c r="W90" s="38" t="str">
        <f>IFERROR('1.vize'!AH90*100/'1.vize'!$I90,"")</f>
        <v/>
      </c>
      <c r="X90" s="38" t="str">
        <f>IFERROR('1.vize'!AI90*100/'1.vize'!$I90,"")</f>
        <v/>
      </c>
      <c r="Y90" s="38" t="str">
        <f>IFERROR('1.vize'!AJ90*100/'1.vize'!$I90,"")</f>
        <v/>
      </c>
      <c r="Z90" s="38" t="str">
        <f>IFERROR('1.vize'!AK90*100/'1.vize'!$I90,"")</f>
        <v/>
      </c>
      <c r="AA90" s="38" t="str">
        <f>IFERROR('1.vize'!AL90*100/'1.vize'!$I90,"")</f>
        <v/>
      </c>
      <c r="AB90" s="38" t="str">
        <f>IFERROR('1.vize'!AM90*100/'1.vize'!$I90,"")</f>
        <v/>
      </c>
      <c r="AC90" s="38" t="str">
        <f>IFERROR('1.vize'!AN90*100/'1.vize'!$I90,"")</f>
        <v/>
      </c>
      <c r="AD90" s="38" t="str">
        <f>IFERROR('1.vize'!AO90*100/'1.vize'!$I90,"")</f>
        <v/>
      </c>
      <c r="AE90" s="38" t="str">
        <f>IFERROR('1.vize'!AP90*100/'1.vize'!$I90,"")</f>
        <v/>
      </c>
      <c r="AF90" s="38" t="str">
        <f>IFERROR('1.vize'!AQ90*100/'1.vize'!$I90,"")</f>
        <v/>
      </c>
      <c r="AG90" s="38" t="str">
        <f>IFERROR('1.vize'!AR90*100/'1.vize'!$I90,"")</f>
        <v/>
      </c>
      <c r="AH90" s="38" t="str">
        <f>IFERROR('1.vize'!AS90*100/'1.vize'!$I90,"")</f>
        <v/>
      </c>
      <c r="AI90" s="38" t="str">
        <f>IFERROR('1.vize'!AT90*100/'1.vize'!$I90,"")</f>
        <v/>
      </c>
      <c r="AJ90" s="38" t="str">
        <f>IFERROR('1.vize'!AU90*100/'1.vize'!$I90,"")</f>
        <v/>
      </c>
      <c r="AK90" s="38" t="str">
        <f>IFERROR('1.vize'!AV90*100/'1.vize'!$I90,"")</f>
        <v/>
      </c>
      <c r="AL90" s="38" t="str">
        <f>IFERROR('1.vize'!AW90*100/'1.vize'!$I90,"")</f>
        <v/>
      </c>
      <c r="AM90" s="38" t="str">
        <f>IFERROR('1.vize'!AX90*100/'1.vize'!$I90,"")</f>
        <v/>
      </c>
      <c r="AN90" s="38" t="str">
        <f>IFERROR('1.vize'!AY90*100/'1.vize'!$I90,"")</f>
        <v/>
      </c>
      <c r="AO90" s="38" t="str">
        <f>IFERROR('1.vize'!AZ90*100/'1.vize'!$I90,"")</f>
        <v/>
      </c>
      <c r="AP90" s="38" t="str">
        <f>IFERROR('1.vize'!BA90*100/'1.vize'!$I90,"")</f>
        <v/>
      </c>
      <c r="AQ90" s="38" t="str">
        <f>IFERROR('1.vize'!BB90*100/'1.vize'!$I90,"")</f>
        <v/>
      </c>
      <c r="AR90" s="38" t="str">
        <f>IFERROR('1.vize'!BC90*100/'1.vize'!$I90,"")</f>
        <v/>
      </c>
      <c r="AS90" s="38" t="str">
        <f>IFERROR('1.vize'!BD90*100/'1.vize'!$I90,"")</f>
        <v/>
      </c>
      <c r="AT90" s="38" t="str">
        <f>IFERROR('1.vize'!BE90*100/'1.vize'!$I90,"")</f>
        <v/>
      </c>
      <c r="AU90" s="38" t="str">
        <f>IFERROR('1.vize'!BF90*100/'1.vize'!$I90,"")</f>
        <v/>
      </c>
      <c r="AV90" s="38" t="str">
        <f>IFERROR('1.vize'!BG90*100/'1.vize'!$I90,"")</f>
        <v/>
      </c>
      <c r="AW90" s="38" t="str">
        <f>IFERROR('1.vize'!BH90*100/'1.vize'!$I90,"")</f>
        <v/>
      </c>
      <c r="AX90" s="38" t="str">
        <f>IFERROR('1.vize'!BI90*100/'1.vize'!$I90,"")</f>
        <v/>
      </c>
      <c r="AY90" s="38" t="str">
        <f>IFERROR('1.vize'!BJ90*100/'1.vize'!$I90,"")</f>
        <v/>
      </c>
      <c r="AZ90" s="38" t="str">
        <f>IFERROR('1.vize'!BK90*100/'1.vize'!$I90,"")</f>
        <v/>
      </c>
      <c r="BA90" s="38" t="str">
        <f>IFERROR('1.vize'!BL90*100/'1.vize'!$I90,"")</f>
        <v/>
      </c>
      <c r="BB90" s="38" t="str">
        <f>IFERROR('1.vize'!BM90*100/'1.vize'!$I90,"")</f>
        <v/>
      </c>
      <c r="BC90" s="38" t="str">
        <f>IFERROR('1.vize'!BN90*100/'1.vize'!$I90,"")</f>
        <v/>
      </c>
      <c r="BD90" s="38" t="str">
        <f>IFERROR('1.vize'!BO90*100/'1.vize'!$I90,"")</f>
        <v/>
      </c>
      <c r="BE90" s="38" t="str">
        <f>IFERROR('1.vize'!BP90*100/'1.vize'!$I90,"")</f>
        <v/>
      </c>
      <c r="BF90" s="38" t="str">
        <f>IFERROR('1.vize'!BQ90*100/'1.vize'!$I90,"")</f>
        <v/>
      </c>
      <c r="BG90" s="38" t="str">
        <f>IFERROR('1.vize'!BR90*100/'1.vize'!$I90,"")</f>
        <v/>
      </c>
      <c r="BH90" s="38" t="str">
        <f>IFERROR('1.vize'!BS90*100/'1.vize'!$I90,"")</f>
        <v/>
      </c>
      <c r="BI90" s="38" t="str">
        <f>IFERROR('1.vize'!BT90*100/'1.vize'!$I90,"")</f>
        <v/>
      </c>
      <c r="BJ90" s="38" t="str">
        <f>IFERROR('1.vize'!BU90*100/'1.vize'!$I90,"")</f>
        <v/>
      </c>
      <c r="BK90" s="38" t="str">
        <f>IFERROR('1.vize'!BV90*100/'1.vize'!$I90,"")</f>
        <v/>
      </c>
      <c r="BL90" s="38" t="str">
        <f>IFERROR('1.vize'!BW90*100/'1.vize'!$I90,"")</f>
        <v/>
      </c>
      <c r="BM90" s="38" t="str">
        <f>IFERROR('1.vize'!BX90*100/'1.vize'!$I90,"")</f>
        <v/>
      </c>
      <c r="BN90" s="38" t="str">
        <f>IFERROR('1.vize'!BY90*100/'1.vize'!$I90,"")</f>
        <v/>
      </c>
      <c r="BO90" s="38" t="str">
        <f>IFERROR('1.vize'!BZ90*100/'1.vize'!$I90,"")</f>
        <v/>
      </c>
      <c r="BP90" s="38" t="str">
        <f>IFERROR('1.vize'!CA90*100/'1.vize'!$I90,"")</f>
        <v/>
      </c>
      <c r="BQ90" s="38" t="str">
        <f>IFERROR('1.vize'!CB90*100/'1.vize'!$I90,"")</f>
        <v/>
      </c>
      <c r="BR90" s="38" t="str">
        <f>IFERROR('1.vize'!CC90*100/'1.vize'!$I90,"")</f>
        <v/>
      </c>
      <c r="BS90" s="38" t="str">
        <f>IFERROR('1.vize'!CD90*100/'1.vize'!$I90,"")</f>
        <v/>
      </c>
      <c r="BT90" s="38" t="str">
        <f>IFERROR('1.vize'!CE90*100/'1.vize'!$I90,"")</f>
        <v/>
      </c>
      <c r="BU90" s="38" t="str">
        <f>IFERROR('1.vize'!CF90*100/'1.vize'!$I90,"")</f>
        <v/>
      </c>
      <c r="BV90" s="38" t="str">
        <f>IFERROR('1.vize'!CG90*100/'1.vize'!$I90,"")</f>
        <v/>
      </c>
      <c r="BW90" s="38" t="str">
        <f>IFERROR('1.vize'!CH90*100/'1.vize'!$I90,"")</f>
        <v/>
      </c>
      <c r="BX90" s="38" t="str">
        <f>IFERROR('1.vize'!CI90*100/'1.vize'!$I90,"")</f>
        <v/>
      </c>
      <c r="BY90" s="38" t="str">
        <f>IFERROR('1.vize'!CJ90*100/'1.vize'!$I90,"")</f>
        <v/>
      </c>
      <c r="BZ90" s="38" t="str">
        <f>IFERROR('1.vize'!CK90*100/'1.vize'!$I90,"")</f>
        <v/>
      </c>
      <c r="CA90" s="38" t="str">
        <f>IFERROR('1.vize'!CL90*100/'1.vize'!$I90,"")</f>
        <v/>
      </c>
      <c r="CB90" s="38" t="str">
        <f>IFERROR('1.vize'!CM90*100/'1.vize'!$I90,"")</f>
        <v/>
      </c>
      <c r="CC90" s="38" t="str">
        <f>IFERROR('1.vize'!CN90*100/'1.vize'!$I90,"")</f>
        <v/>
      </c>
      <c r="CD90" s="38" t="str">
        <f>IFERROR('1.vize'!CO90*100/'1.vize'!$I90,"")</f>
        <v/>
      </c>
      <c r="CE90" s="38" t="str">
        <f>IFERROR('1.vize'!CP90*100/'1.vize'!$I90,"")</f>
        <v/>
      </c>
      <c r="CF90" s="38" t="str">
        <f>IFERROR('1.vize'!CQ90*100/'1.vize'!$I90,"")</f>
        <v/>
      </c>
      <c r="CG90" s="38" t="str">
        <f>IFERROR('1.vize'!CR90*100/'1.vize'!$I90,"")</f>
        <v/>
      </c>
      <c r="CH90" s="38" t="str">
        <f>IFERROR('1.vize'!CS90*100/'1.vize'!$I90,"")</f>
        <v/>
      </c>
      <c r="CI90" s="38" t="str">
        <f>IFERROR('1.vize'!CT90*100/'1.vize'!$I90,"")</f>
        <v/>
      </c>
      <c r="CJ90" s="38" t="str">
        <f>IFERROR('1.vize'!CU90*100/'1.vize'!$I90,"")</f>
        <v/>
      </c>
      <c r="CK90" s="38" t="str">
        <f>IFERROR('1.vize'!CV90*100/'1.vize'!$I90,"")</f>
        <v/>
      </c>
      <c r="CL90" s="38" t="str">
        <f>IFERROR('1.vize'!CW90*100/'1.vize'!$I90,"")</f>
        <v/>
      </c>
      <c r="CM90" s="38" t="str">
        <f>IFERROR('1.vize'!CX90*100/'1.vize'!$I90,"")</f>
        <v/>
      </c>
      <c r="CN90" s="38" t="str">
        <f>IFERROR('1.vize'!CY90*100/'1.vize'!$I90,"")</f>
        <v/>
      </c>
      <c r="CO90" s="38" t="str">
        <f>IFERROR('1.vize'!CZ90*100/'1.vize'!$I90,"")</f>
        <v/>
      </c>
      <c r="CP90" s="38" t="str">
        <f>IFERROR('1.vize'!DA90*100/'1.vize'!$I90,"")</f>
        <v/>
      </c>
      <c r="CQ90" s="38" t="str">
        <f>IFERROR('1.vize'!DB90*100/'1.vize'!$I90,"")</f>
        <v/>
      </c>
      <c r="CR90" s="38" t="str">
        <f>IFERROR('1.vize'!DC90*100/'1.vize'!$I90,"")</f>
        <v/>
      </c>
      <c r="CS90" s="38" t="str">
        <f>IFERROR('1.vize'!DD90*100/'1.vize'!$I90,"")</f>
        <v/>
      </c>
      <c r="CT90" s="38" t="str">
        <f>IFERROR('1.vize'!DE90*100/'1.vize'!$I90,"")</f>
        <v/>
      </c>
      <c r="CU90" s="38" t="str">
        <f>IFERROR('1.vize'!DF90*100/'1.vize'!$I90,"")</f>
        <v/>
      </c>
      <c r="CV90" s="38" t="str">
        <f>IFERROR('1.vize'!DG90*100/'1.vize'!$I90,"")</f>
        <v/>
      </c>
      <c r="CW90" s="32" t="str">
        <f>IFERROR(SUM(A90:CV90)/'1.vize'!$DH$103,"")</f>
        <v/>
      </c>
      <c r="CX90" s="14" t="str">
        <f>IF(COUNTA('1.vize'!A90),'1.vize'!A90,"")</f>
        <v/>
      </c>
      <c r="CY90" s="14" t="str">
        <f>IF(COUNTA('1.vize'!B90),'1.vize'!B90,"")</f>
        <v/>
      </c>
      <c r="CZ90" s="14" t="str">
        <f>IF(COUNTA('1.vize'!C90),'1.vize'!C90,"")</f>
        <v/>
      </c>
      <c r="DA90" s="14" t="str">
        <f>IF(COUNTA('1.vize'!D90),'1.vize'!D90,"")</f>
        <v/>
      </c>
      <c r="DB90" s="14" t="str">
        <f>IF(COUNTA('1.vize'!E90),'1.vize'!E90,"")</f>
        <v/>
      </c>
      <c r="DC90" s="14" t="str">
        <f>IF(COUNTA('1.vize'!F90),'1.vize'!F90,"")</f>
        <v/>
      </c>
      <c r="DD90" s="14" t="str">
        <f>IF(COUNTA('1.vize'!G90),'1.vize'!G90,"")</f>
        <v/>
      </c>
      <c r="DE90" s="14" t="str">
        <f>IF(COUNTA('1.vize'!H90),'1.vize'!H90,"")</f>
        <v/>
      </c>
      <c r="DF90" s="33"/>
    </row>
    <row r="91" spans="1:110" x14ac:dyDescent="0.2">
      <c r="A91" s="38" t="str">
        <f>IFERROR('1.vize'!L91*100/'1.vize'!$I91,"")</f>
        <v/>
      </c>
      <c r="B91" s="38" t="str">
        <f>IFERROR('1.vize'!M91*100/'1.vize'!$I91,"")</f>
        <v/>
      </c>
      <c r="C91" s="38" t="str">
        <f>IFERROR('1.vize'!N91*100/'1.vize'!$I91,"")</f>
        <v/>
      </c>
      <c r="D91" s="38" t="str">
        <f>IFERROR('1.vize'!O91*100/'1.vize'!$I91,"")</f>
        <v/>
      </c>
      <c r="E91" s="38" t="str">
        <f>IFERROR('1.vize'!P91*100/'1.vize'!$I91,"")</f>
        <v/>
      </c>
      <c r="F91" s="38" t="str">
        <f>IFERROR('1.vize'!Q91*100/'1.vize'!$I91,"")</f>
        <v/>
      </c>
      <c r="G91" s="38" t="str">
        <f>IFERROR('1.vize'!R91*100/'1.vize'!$I91,"")</f>
        <v/>
      </c>
      <c r="H91" s="38" t="str">
        <f>IFERROR('1.vize'!S91*100/'1.vize'!$I91,"")</f>
        <v/>
      </c>
      <c r="I91" s="38" t="str">
        <f>IFERROR('1.vize'!T91*100/'1.vize'!$I91,"")</f>
        <v/>
      </c>
      <c r="J91" s="38" t="str">
        <f>IFERROR('1.vize'!U91*100/'1.vize'!$I91,"")</f>
        <v/>
      </c>
      <c r="K91" s="38" t="str">
        <f>IFERROR('1.vize'!V91*100/'1.vize'!$I91,"")</f>
        <v/>
      </c>
      <c r="L91" s="38" t="str">
        <f>IFERROR('1.vize'!W91*100/'1.vize'!$I91,"")</f>
        <v/>
      </c>
      <c r="M91" s="38" t="str">
        <f>IFERROR('1.vize'!X91*100/'1.vize'!$I91,"")</f>
        <v/>
      </c>
      <c r="N91" s="38" t="str">
        <f>IFERROR('1.vize'!Y91*100/'1.vize'!$I91,"")</f>
        <v/>
      </c>
      <c r="O91" s="38" t="str">
        <f>IFERROR('1.vize'!Z91*100/'1.vize'!$I91,"")</f>
        <v/>
      </c>
      <c r="P91" s="38" t="str">
        <f>IFERROR('1.vize'!AA91*100/'1.vize'!$I91,"")</f>
        <v/>
      </c>
      <c r="Q91" s="38" t="str">
        <f>IFERROR('1.vize'!AB91*100/'1.vize'!$I91,"")</f>
        <v/>
      </c>
      <c r="R91" s="38" t="str">
        <f>IFERROR('1.vize'!AC91*100/'1.vize'!$I91,"")</f>
        <v/>
      </c>
      <c r="S91" s="38" t="str">
        <f>IFERROR('1.vize'!AD91*100/'1.vize'!$I91,"")</f>
        <v/>
      </c>
      <c r="T91" s="38" t="str">
        <f>IFERROR('1.vize'!AE91*100/'1.vize'!$I91,"")</f>
        <v/>
      </c>
      <c r="U91" s="38" t="str">
        <f>IFERROR('1.vize'!AF91*100/'1.vize'!$I91,"")</f>
        <v/>
      </c>
      <c r="V91" s="38" t="str">
        <f>IFERROR('1.vize'!AG91*100/'1.vize'!$I91,"")</f>
        <v/>
      </c>
      <c r="W91" s="38" t="str">
        <f>IFERROR('1.vize'!AH91*100/'1.vize'!$I91,"")</f>
        <v/>
      </c>
      <c r="X91" s="38" t="str">
        <f>IFERROR('1.vize'!AI91*100/'1.vize'!$I91,"")</f>
        <v/>
      </c>
      <c r="Y91" s="38" t="str">
        <f>IFERROR('1.vize'!AJ91*100/'1.vize'!$I91,"")</f>
        <v/>
      </c>
      <c r="Z91" s="38" t="str">
        <f>IFERROR('1.vize'!AK91*100/'1.vize'!$I91,"")</f>
        <v/>
      </c>
      <c r="AA91" s="38" t="str">
        <f>IFERROR('1.vize'!AL91*100/'1.vize'!$I91,"")</f>
        <v/>
      </c>
      <c r="AB91" s="38" t="str">
        <f>IFERROR('1.vize'!AM91*100/'1.vize'!$I91,"")</f>
        <v/>
      </c>
      <c r="AC91" s="38" t="str">
        <f>IFERROR('1.vize'!AN91*100/'1.vize'!$I91,"")</f>
        <v/>
      </c>
      <c r="AD91" s="38" t="str">
        <f>IFERROR('1.vize'!AO91*100/'1.vize'!$I91,"")</f>
        <v/>
      </c>
      <c r="AE91" s="38" t="str">
        <f>IFERROR('1.vize'!AP91*100/'1.vize'!$I91,"")</f>
        <v/>
      </c>
      <c r="AF91" s="38" t="str">
        <f>IFERROR('1.vize'!AQ91*100/'1.vize'!$I91,"")</f>
        <v/>
      </c>
      <c r="AG91" s="38" t="str">
        <f>IFERROR('1.vize'!AR91*100/'1.vize'!$I91,"")</f>
        <v/>
      </c>
      <c r="AH91" s="38" t="str">
        <f>IFERROR('1.vize'!AS91*100/'1.vize'!$I91,"")</f>
        <v/>
      </c>
      <c r="AI91" s="38" t="str">
        <f>IFERROR('1.vize'!AT91*100/'1.vize'!$I91,"")</f>
        <v/>
      </c>
      <c r="AJ91" s="38" t="str">
        <f>IFERROR('1.vize'!AU91*100/'1.vize'!$I91,"")</f>
        <v/>
      </c>
      <c r="AK91" s="38" t="str">
        <f>IFERROR('1.vize'!AV91*100/'1.vize'!$I91,"")</f>
        <v/>
      </c>
      <c r="AL91" s="38" t="str">
        <f>IFERROR('1.vize'!AW91*100/'1.vize'!$I91,"")</f>
        <v/>
      </c>
      <c r="AM91" s="38" t="str">
        <f>IFERROR('1.vize'!AX91*100/'1.vize'!$I91,"")</f>
        <v/>
      </c>
      <c r="AN91" s="38" t="str">
        <f>IFERROR('1.vize'!AY91*100/'1.vize'!$I91,"")</f>
        <v/>
      </c>
      <c r="AO91" s="38" t="str">
        <f>IFERROR('1.vize'!AZ91*100/'1.vize'!$I91,"")</f>
        <v/>
      </c>
      <c r="AP91" s="38" t="str">
        <f>IFERROR('1.vize'!BA91*100/'1.vize'!$I91,"")</f>
        <v/>
      </c>
      <c r="AQ91" s="38" t="str">
        <f>IFERROR('1.vize'!BB91*100/'1.vize'!$I91,"")</f>
        <v/>
      </c>
      <c r="AR91" s="38" t="str">
        <f>IFERROR('1.vize'!BC91*100/'1.vize'!$I91,"")</f>
        <v/>
      </c>
      <c r="AS91" s="38" t="str">
        <f>IFERROR('1.vize'!BD91*100/'1.vize'!$I91,"")</f>
        <v/>
      </c>
      <c r="AT91" s="38" t="str">
        <f>IFERROR('1.vize'!BE91*100/'1.vize'!$I91,"")</f>
        <v/>
      </c>
      <c r="AU91" s="38" t="str">
        <f>IFERROR('1.vize'!BF91*100/'1.vize'!$I91,"")</f>
        <v/>
      </c>
      <c r="AV91" s="38" t="str">
        <f>IFERROR('1.vize'!BG91*100/'1.vize'!$I91,"")</f>
        <v/>
      </c>
      <c r="AW91" s="38" t="str">
        <f>IFERROR('1.vize'!BH91*100/'1.vize'!$I91,"")</f>
        <v/>
      </c>
      <c r="AX91" s="38" t="str">
        <f>IFERROR('1.vize'!BI91*100/'1.vize'!$I91,"")</f>
        <v/>
      </c>
      <c r="AY91" s="38" t="str">
        <f>IFERROR('1.vize'!BJ91*100/'1.vize'!$I91,"")</f>
        <v/>
      </c>
      <c r="AZ91" s="38" t="str">
        <f>IFERROR('1.vize'!BK91*100/'1.vize'!$I91,"")</f>
        <v/>
      </c>
      <c r="BA91" s="38" t="str">
        <f>IFERROR('1.vize'!BL91*100/'1.vize'!$I91,"")</f>
        <v/>
      </c>
      <c r="BB91" s="38" t="str">
        <f>IFERROR('1.vize'!BM91*100/'1.vize'!$I91,"")</f>
        <v/>
      </c>
      <c r="BC91" s="38" t="str">
        <f>IFERROR('1.vize'!BN91*100/'1.vize'!$I91,"")</f>
        <v/>
      </c>
      <c r="BD91" s="38" t="str">
        <f>IFERROR('1.vize'!BO91*100/'1.vize'!$I91,"")</f>
        <v/>
      </c>
      <c r="BE91" s="38" t="str">
        <f>IFERROR('1.vize'!BP91*100/'1.vize'!$I91,"")</f>
        <v/>
      </c>
      <c r="BF91" s="38" t="str">
        <f>IFERROR('1.vize'!BQ91*100/'1.vize'!$I91,"")</f>
        <v/>
      </c>
      <c r="BG91" s="38" t="str">
        <f>IFERROR('1.vize'!BR91*100/'1.vize'!$I91,"")</f>
        <v/>
      </c>
      <c r="BH91" s="38" t="str">
        <f>IFERROR('1.vize'!BS91*100/'1.vize'!$I91,"")</f>
        <v/>
      </c>
      <c r="BI91" s="38" t="str">
        <f>IFERROR('1.vize'!BT91*100/'1.vize'!$I91,"")</f>
        <v/>
      </c>
      <c r="BJ91" s="38" t="str">
        <f>IFERROR('1.vize'!BU91*100/'1.vize'!$I91,"")</f>
        <v/>
      </c>
      <c r="BK91" s="38" t="str">
        <f>IFERROR('1.vize'!BV91*100/'1.vize'!$I91,"")</f>
        <v/>
      </c>
      <c r="BL91" s="38" t="str">
        <f>IFERROR('1.vize'!BW91*100/'1.vize'!$I91,"")</f>
        <v/>
      </c>
      <c r="BM91" s="38" t="str">
        <f>IFERROR('1.vize'!BX91*100/'1.vize'!$I91,"")</f>
        <v/>
      </c>
      <c r="BN91" s="38" t="str">
        <f>IFERROR('1.vize'!BY91*100/'1.vize'!$I91,"")</f>
        <v/>
      </c>
      <c r="BO91" s="38" t="str">
        <f>IFERROR('1.vize'!BZ91*100/'1.vize'!$I91,"")</f>
        <v/>
      </c>
      <c r="BP91" s="38" t="str">
        <f>IFERROR('1.vize'!CA91*100/'1.vize'!$I91,"")</f>
        <v/>
      </c>
      <c r="BQ91" s="38" t="str">
        <f>IFERROR('1.vize'!CB91*100/'1.vize'!$I91,"")</f>
        <v/>
      </c>
      <c r="BR91" s="38" t="str">
        <f>IFERROR('1.vize'!CC91*100/'1.vize'!$I91,"")</f>
        <v/>
      </c>
      <c r="BS91" s="38" t="str">
        <f>IFERROR('1.vize'!CD91*100/'1.vize'!$I91,"")</f>
        <v/>
      </c>
      <c r="BT91" s="38" t="str">
        <f>IFERROR('1.vize'!CE91*100/'1.vize'!$I91,"")</f>
        <v/>
      </c>
      <c r="BU91" s="38" t="str">
        <f>IFERROR('1.vize'!CF91*100/'1.vize'!$I91,"")</f>
        <v/>
      </c>
      <c r="BV91" s="38" t="str">
        <f>IFERROR('1.vize'!CG91*100/'1.vize'!$I91,"")</f>
        <v/>
      </c>
      <c r="BW91" s="38" t="str">
        <f>IFERROR('1.vize'!CH91*100/'1.vize'!$I91,"")</f>
        <v/>
      </c>
      <c r="BX91" s="38" t="str">
        <f>IFERROR('1.vize'!CI91*100/'1.vize'!$I91,"")</f>
        <v/>
      </c>
      <c r="BY91" s="38" t="str">
        <f>IFERROR('1.vize'!CJ91*100/'1.vize'!$I91,"")</f>
        <v/>
      </c>
      <c r="BZ91" s="38" t="str">
        <f>IFERROR('1.vize'!CK91*100/'1.vize'!$I91,"")</f>
        <v/>
      </c>
      <c r="CA91" s="38" t="str">
        <f>IFERROR('1.vize'!CL91*100/'1.vize'!$I91,"")</f>
        <v/>
      </c>
      <c r="CB91" s="38" t="str">
        <f>IFERROR('1.vize'!CM91*100/'1.vize'!$I91,"")</f>
        <v/>
      </c>
      <c r="CC91" s="38" t="str">
        <f>IFERROR('1.vize'!CN91*100/'1.vize'!$I91,"")</f>
        <v/>
      </c>
      <c r="CD91" s="38" t="str">
        <f>IFERROR('1.vize'!CO91*100/'1.vize'!$I91,"")</f>
        <v/>
      </c>
      <c r="CE91" s="38" t="str">
        <f>IFERROR('1.vize'!CP91*100/'1.vize'!$I91,"")</f>
        <v/>
      </c>
      <c r="CF91" s="38" t="str">
        <f>IFERROR('1.vize'!CQ91*100/'1.vize'!$I91,"")</f>
        <v/>
      </c>
      <c r="CG91" s="38" t="str">
        <f>IFERROR('1.vize'!CR91*100/'1.vize'!$I91,"")</f>
        <v/>
      </c>
      <c r="CH91" s="38" t="str">
        <f>IFERROR('1.vize'!CS91*100/'1.vize'!$I91,"")</f>
        <v/>
      </c>
      <c r="CI91" s="38" t="str">
        <f>IFERROR('1.vize'!CT91*100/'1.vize'!$I91,"")</f>
        <v/>
      </c>
      <c r="CJ91" s="38" t="str">
        <f>IFERROR('1.vize'!CU91*100/'1.vize'!$I91,"")</f>
        <v/>
      </c>
      <c r="CK91" s="38" t="str">
        <f>IFERROR('1.vize'!CV91*100/'1.vize'!$I91,"")</f>
        <v/>
      </c>
      <c r="CL91" s="38" t="str">
        <f>IFERROR('1.vize'!CW91*100/'1.vize'!$I91,"")</f>
        <v/>
      </c>
      <c r="CM91" s="38" t="str">
        <f>IFERROR('1.vize'!CX91*100/'1.vize'!$I91,"")</f>
        <v/>
      </c>
      <c r="CN91" s="38" t="str">
        <f>IFERROR('1.vize'!CY91*100/'1.vize'!$I91,"")</f>
        <v/>
      </c>
      <c r="CO91" s="38" t="str">
        <f>IFERROR('1.vize'!CZ91*100/'1.vize'!$I91,"")</f>
        <v/>
      </c>
      <c r="CP91" s="38" t="str">
        <f>IFERROR('1.vize'!DA91*100/'1.vize'!$I91,"")</f>
        <v/>
      </c>
      <c r="CQ91" s="38" t="str">
        <f>IFERROR('1.vize'!DB91*100/'1.vize'!$I91,"")</f>
        <v/>
      </c>
      <c r="CR91" s="38" t="str">
        <f>IFERROR('1.vize'!DC91*100/'1.vize'!$I91,"")</f>
        <v/>
      </c>
      <c r="CS91" s="38" t="str">
        <f>IFERROR('1.vize'!DD91*100/'1.vize'!$I91,"")</f>
        <v/>
      </c>
      <c r="CT91" s="38" t="str">
        <f>IFERROR('1.vize'!DE91*100/'1.vize'!$I91,"")</f>
        <v/>
      </c>
      <c r="CU91" s="38" t="str">
        <f>IFERROR('1.vize'!DF91*100/'1.vize'!$I91,"")</f>
        <v/>
      </c>
      <c r="CV91" s="38" t="str">
        <f>IFERROR('1.vize'!DG91*100/'1.vize'!$I91,"")</f>
        <v/>
      </c>
      <c r="CW91" s="32" t="str">
        <f>IFERROR(SUM(A91:CV91)/'1.vize'!$DH$103,"")</f>
        <v/>
      </c>
      <c r="CX91" s="14" t="str">
        <f>IF(COUNTA('1.vize'!A91),'1.vize'!A91,"")</f>
        <v/>
      </c>
      <c r="CY91" s="14" t="str">
        <f>IF(COUNTA('1.vize'!B91),'1.vize'!B91,"")</f>
        <v/>
      </c>
      <c r="CZ91" s="14" t="str">
        <f>IF(COUNTA('1.vize'!C91),'1.vize'!C91,"")</f>
        <v/>
      </c>
      <c r="DA91" s="14" t="str">
        <f>IF(COUNTA('1.vize'!D91),'1.vize'!D91,"")</f>
        <v/>
      </c>
      <c r="DB91" s="14" t="str">
        <f>IF(COUNTA('1.vize'!E91),'1.vize'!E91,"")</f>
        <v/>
      </c>
      <c r="DC91" s="14" t="str">
        <f>IF(COUNTA('1.vize'!F91),'1.vize'!F91,"")</f>
        <v/>
      </c>
      <c r="DD91" s="14" t="str">
        <f>IF(COUNTA('1.vize'!G91),'1.vize'!G91,"")</f>
        <v/>
      </c>
      <c r="DE91" s="14" t="str">
        <f>IF(COUNTA('1.vize'!H91),'1.vize'!H91,"")</f>
        <v/>
      </c>
      <c r="DF91" s="33"/>
    </row>
    <row r="92" spans="1:110" x14ac:dyDescent="0.2">
      <c r="A92" s="38" t="str">
        <f>IFERROR('1.vize'!L92*100/'1.vize'!$I92,"")</f>
        <v/>
      </c>
      <c r="B92" s="38" t="str">
        <f>IFERROR('1.vize'!M92*100/'1.vize'!$I92,"")</f>
        <v/>
      </c>
      <c r="C92" s="38" t="str">
        <f>IFERROR('1.vize'!N92*100/'1.vize'!$I92,"")</f>
        <v/>
      </c>
      <c r="D92" s="38" t="str">
        <f>IFERROR('1.vize'!O92*100/'1.vize'!$I92,"")</f>
        <v/>
      </c>
      <c r="E92" s="38" t="str">
        <f>IFERROR('1.vize'!P92*100/'1.vize'!$I92,"")</f>
        <v/>
      </c>
      <c r="F92" s="38" t="str">
        <f>IFERROR('1.vize'!Q92*100/'1.vize'!$I92,"")</f>
        <v/>
      </c>
      <c r="G92" s="38" t="str">
        <f>IFERROR('1.vize'!R92*100/'1.vize'!$I92,"")</f>
        <v/>
      </c>
      <c r="H92" s="38" t="str">
        <f>IFERROR('1.vize'!S92*100/'1.vize'!$I92,"")</f>
        <v/>
      </c>
      <c r="I92" s="38" t="str">
        <f>IFERROR('1.vize'!T92*100/'1.vize'!$I92,"")</f>
        <v/>
      </c>
      <c r="J92" s="38" t="str">
        <f>IFERROR('1.vize'!U92*100/'1.vize'!$I92,"")</f>
        <v/>
      </c>
      <c r="K92" s="38" t="str">
        <f>IFERROR('1.vize'!V92*100/'1.vize'!$I92,"")</f>
        <v/>
      </c>
      <c r="L92" s="38" t="str">
        <f>IFERROR('1.vize'!W92*100/'1.vize'!$I92,"")</f>
        <v/>
      </c>
      <c r="M92" s="38" t="str">
        <f>IFERROR('1.vize'!X92*100/'1.vize'!$I92,"")</f>
        <v/>
      </c>
      <c r="N92" s="38" t="str">
        <f>IFERROR('1.vize'!Y92*100/'1.vize'!$I92,"")</f>
        <v/>
      </c>
      <c r="O92" s="38" t="str">
        <f>IFERROR('1.vize'!Z92*100/'1.vize'!$I92,"")</f>
        <v/>
      </c>
      <c r="P92" s="38" t="str">
        <f>IFERROR('1.vize'!AA92*100/'1.vize'!$I92,"")</f>
        <v/>
      </c>
      <c r="Q92" s="38" t="str">
        <f>IFERROR('1.vize'!AB92*100/'1.vize'!$I92,"")</f>
        <v/>
      </c>
      <c r="R92" s="38" t="str">
        <f>IFERROR('1.vize'!AC92*100/'1.vize'!$I92,"")</f>
        <v/>
      </c>
      <c r="S92" s="38" t="str">
        <f>IFERROR('1.vize'!AD92*100/'1.vize'!$I92,"")</f>
        <v/>
      </c>
      <c r="T92" s="38" t="str">
        <f>IFERROR('1.vize'!AE92*100/'1.vize'!$I92,"")</f>
        <v/>
      </c>
      <c r="U92" s="38" t="str">
        <f>IFERROR('1.vize'!AF92*100/'1.vize'!$I92,"")</f>
        <v/>
      </c>
      <c r="V92" s="38" t="str">
        <f>IFERROR('1.vize'!AG92*100/'1.vize'!$I92,"")</f>
        <v/>
      </c>
      <c r="W92" s="38" t="str">
        <f>IFERROR('1.vize'!AH92*100/'1.vize'!$I92,"")</f>
        <v/>
      </c>
      <c r="X92" s="38" t="str">
        <f>IFERROR('1.vize'!AI92*100/'1.vize'!$I92,"")</f>
        <v/>
      </c>
      <c r="Y92" s="38" t="str">
        <f>IFERROR('1.vize'!AJ92*100/'1.vize'!$I92,"")</f>
        <v/>
      </c>
      <c r="Z92" s="38" t="str">
        <f>IFERROR('1.vize'!AK92*100/'1.vize'!$I92,"")</f>
        <v/>
      </c>
      <c r="AA92" s="38" t="str">
        <f>IFERROR('1.vize'!AL92*100/'1.vize'!$I92,"")</f>
        <v/>
      </c>
      <c r="AB92" s="38" t="str">
        <f>IFERROR('1.vize'!AM92*100/'1.vize'!$I92,"")</f>
        <v/>
      </c>
      <c r="AC92" s="38" t="str">
        <f>IFERROR('1.vize'!AN92*100/'1.vize'!$I92,"")</f>
        <v/>
      </c>
      <c r="AD92" s="38" t="str">
        <f>IFERROR('1.vize'!AO92*100/'1.vize'!$I92,"")</f>
        <v/>
      </c>
      <c r="AE92" s="38" t="str">
        <f>IFERROR('1.vize'!AP92*100/'1.vize'!$I92,"")</f>
        <v/>
      </c>
      <c r="AF92" s="38" t="str">
        <f>IFERROR('1.vize'!AQ92*100/'1.vize'!$I92,"")</f>
        <v/>
      </c>
      <c r="AG92" s="38" t="str">
        <f>IFERROR('1.vize'!AR92*100/'1.vize'!$I92,"")</f>
        <v/>
      </c>
      <c r="AH92" s="38" t="str">
        <f>IFERROR('1.vize'!AS92*100/'1.vize'!$I92,"")</f>
        <v/>
      </c>
      <c r="AI92" s="38" t="str">
        <f>IFERROR('1.vize'!AT92*100/'1.vize'!$I92,"")</f>
        <v/>
      </c>
      <c r="AJ92" s="38" t="str">
        <f>IFERROR('1.vize'!AU92*100/'1.vize'!$I92,"")</f>
        <v/>
      </c>
      <c r="AK92" s="38" t="str">
        <f>IFERROR('1.vize'!AV92*100/'1.vize'!$I92,"")</f>
        <v/>
      </c>
      <c r="AL92" s="38" t="str">
        <f>IFERROR('1.vize'!AW92*100/'1.vize'!$I92,"")</f>
        <v/>
      </c>
      <c r="AM92" s="38" t="str">
        <f>IFERROR('1.vize'!AX92*100/'1.vize'!$I92,"")</f>
        <v/>
      </c>
      <c r="AN92" s="38" t="str">
        <f>IFERROR('1.vize'!AY92*100/'1.vize'!$I92,"")</f>
        <v/>
      </c>
      <c r="AO92" s="38" t="str">
        <f>IFERROR('1.vize'!AZ92*100/'1.vize'!$I92,"")</f>
        <v/>
      </c>
      <c r="AP92" s="38" t="str">
        <f>IFERROR('1.vize'!BA92*100/'1.vize'!$I92,"")</f>
        <v/>
      </c>
      <c r="AQ92" s="38" t="str">
        <f>IFERROR('1.vize'!BB92*100/'1.vize'!$I92,"")</f>
        <v/>
      </c>
      <c r="AR92" s="38" t="str">
        <f>IFERROR('1.vize'!BC92*100/'1.vize'!$I92,"")</f>
        <v/>
      </c>
      <c r="AS92" s="38" t="str">
        <f>IFERROR('1.vize'!BD92*100/'1.vize'!$I92,"")</f>
        <v/>
      </c>
      <c r="AT92" s="38" t="str">
        <f>IFERROR('1.vize'!BE92*100/'1.vize'!$I92,"")</f>
        <v/>
      </c>
      <c r="AU92" s="38" t="str">
        <f>IFERROR('1.vize'!BF92*100/'1.vize'!$I92,"")</f>
        <v/>
      </c>
      <c r="AV92" s="38" t="str">
        <f>IFERROR('1.vize'!BG92*100/'1.vize'!$I92,"")</f>
        <v/>
      </c>
      <c r="AW92" s="38" t="str">
        <f>IFERROR('1.vize'!BH92*100/'1.vize'!$I92,"")</f>
        <v/>
      </c>
      <c r="AX92" s="38" t="str">
        <f>IFERROR('1.vize'!BI92*100/'1.vize'!$I92,"")</f>
        <v/>
      </c>
      <c r="AY92" s="38" t="str">
        <f>IFERROR('1.vize'!BJ92*100/'1.vize'!$I92,"")</f>
        <v/>
      </c>
      <c r="AZ92" s="38" t="str">
        <f>IFERROR('1.vize'!BK92*100/'1.vize'!$I92,"")</f>
        <v/>
      </c>
      <c r="BA92" s="38" t="str">
        <f>IFERROR('1.vize'!BL92*100/'1.vize'!$I92,"")</f>
        <v/>
      </c>
      <c r="BB92" s="38" t="str">
        <f>IFERROR('1.vize'!BM92*100/'1.vize'!$I92,"")</f>
        <v/>
      </c>
      <c r="BC92" s="38" t="str">
        <f>IFERROR('1.vize'!BN92*100/'1.vize'!$I92,"")</f>
        <v/>
      </c>
      <c r="BD92" s="38" t="str">
        <f>IFERROR('1.vize'!BO92*100/'1.vize'!$I92,"")</f>
        <v/>
      </c>
      <c r="BE92" s="38" t="str">
        <f>IFERROR('1.vize'!BP92*100/'1.vize'!$I92,"")</f>
        <v/>
      </c>
      <c r="BF92" s="38" t="str">
        <f>IFERROR('1.vize'!BQ92*100/'1.vize'!$I92,"")</f>
        <v/>
      </c>
      <c r="BG92" s="38" t="str">
        <f>IFERROR('1.vize'!BR92*100/'1.vize'!$I92,"")</f>
        <v/>
      </c>
      <c r="BH92" s="38" t="str">
        <f>IFERROR('1.vize'!BS92*100/'1.vize'!$I92,"")</f>
        <v/>
      </c>
      <c r="BI92" s="38" t="str">
        <f>IFERROR('1.vize'!BT92*100/'1.vize'!$I92,"")</f>
        <v/>
      </c>
      <c r="BJ92" s="38" t="str">
        <f>IFERROR('1.vize'!BU92*100/'1.vize'!$I92,"")</f>
        <v/>
      </c>
      <c r="BK92" s="38" t="str">
        <f>IFERROR('1.vize'!BV92*100/'1.vize'!$I92,"")</f>
        <v/>
      </c>
      <c r="BL92" s="38" t="str">
        <f>IFERROR('1.vize'!BW92*100/'1.vize'!$I92,"")</f>
        <v/>
      </c>
      <c r="BM92" s="38" t="str">
        <f>IFERROR('1.vize'!BX92*100/'1.vize'!$I92,"")</f>
        <v/>
      </c>
      <c r="BN92" s="38" t="str">
        <f>IFERROR('1.vize'!BY92*100/'1.vize'!$I92,"")</f>
        <v/>
      </c>
      <c r="BO92" s="38" t="str">
        <f>IFERROR('1.vize'!BZ92*100/'1.vize'!$I92,"")</f>
        <v/>
      </c>
      <c r="BP92" s="38" t="str">
        <f>IFERROR('1.vize'!CA92*100/'1.vize'!$I92,"")</f>
        <v/>
      </c>
      <c r="BQ92" s="38" t="str">
        <f>IFERROR('1.vize'!CB92*100/'1.vize'!$I92,"")</f>
        <v/>
      </c>
      <c r="BR92" s="38" t="str">
        <f>IFERROR('1.vize'!CC92*100/'1.vize'!$I92,"")</f>
        <v/>
      </c>
      <c r="BS92" s="38" t="str">
        <f>IFERROR('1.vize'!CD92*100/'1.vize'!$I92,"")</f>
        <v/>
      </c>
      <c r="BT92" s="38" t="str">
        <f>IFERROR('1.vize'!CE92*100/'1.vize'!$I92,"")</f>
        <v/>
      </c>
      <c r="BU92" s="38" t="str">
        <f>IFERROR('1.vize'!CF92*100/'1.vize'!$I92,"")</f>
        <v/>
      </c>
      <c r="BV92" s="38" t="str">
        <f>IFERROR('1.vize'!CG92*100/'1.vize'!$I92,"")</f>
        <v/>
      </c>
      <c r="BW92" s="38" t="str">
        <f>IFERROR('1.vize'!CH92*100/'1.vize'!$I92,"")</f>
        <v/>
      </c>
      <c r="BX92" s="38" t="str">
        <f>IFERROR('1.vize'!CI92*100/'1.vize'!$I92,"")</f>
        <v/>
      </c>
      <c r="BY92" s="38" t="str">
        <f>IFERROR('1.vize'!CJ92*100/'1.vize'!$I92,"")</f>
        <v/>
      </c>
      <c r="BZ92" s="38" t="str">
        <f>IFERROR('1.vize'!CK92*100/'1.vize'!$I92,"")</f>
        <v/>
      </c>
      <c r="CA92" s="38" t="str">
        <f>IFERROR('1.vize'!CL92*100/'1.vize'!$I92,"")</f>
        <v/>
      </c>
      <c r="CB92" s="38" t="str">
        <f>IFERROR('1.vize'!CM92*100/'1.vize'!$I92,"")</f>
        <v/>
      </c>
      <c r="CC92" s="38" t="str">
        <f>IFERROR('1.vize'!CN92*100/'1.vize'!$I92,"")</f>
        <v/>
      </c>
      <c r="CD92" s="38" t="str">
        <f>IFERROR('1.vize'!CO92*100/'1.vize'!$I92,"")</f>
        <v/>
      </c>
      <c r="CE92" s="38" t="str">
        <f>IFERROR('1.vize'!CP92*100/'1.vize'!$I92,"")</f>
        <v/>
      </c>
      <c r="CF92" s="38" t="str">
        <f>IFERROR('1.vize'!CQ92*100/'1.vize'!$I92,"")</f>
        <v/>
      </c>
      <c r="CG92" s="38" t="str">
        <f>IFERROR('1.vize'!CR92*100/'1.vize'!$I92,"")</f>
        <v/>
      </c>
      <c r="CH92" s="38" t="str">
        <f>IFERROR('1.vize'!CS92*100/'1.vize'!$I92,"")</f>
        <v/>
      </c>
      <c r="CI92" s="38" t="str">
        <f>IFERROR('1.vize'!CT92*100/'1.vize'!$I92,"")</f>
        <v/>
      </c>
      <c r="CJ92" s="38" t="str">
        <f>IFERROR('1.vize'!CU92*100/'1.vize'!$I92,"")</f>
        <v/>
      </c>
      <c r="CK92" s="38" t="str">
        <f>IFERROR('1.vize'!CV92*100/'1.vize'!$I92,"")</f>
        <v/>
      </c>
      <c r="CL92" s="38" t="str">
        <f>IFERROR('1.vize'!CW92*100/'1.vize'!$I92,"")</f>
        <v/>
      </c>
      <c r="CM92" s="38" t="str">
        <f>IFERROR('1.vize'!CX92*100/'1.vize'!$I92,"")</f>
        <v/>
      </c>
      <c r="CN92" s="38" t="str">
        <f>IFERROR('1.vize'!CY92*100/'1.vize'!$I92,"")</f>
        <v/>
      </c>
      <c r="CO92" s="38" t="str">
        <f>IFERROR('1.vize'!CZ92*100/'1.vize'!$I92,"")</f>
        <v/>
      </c>
      <c r="CP92" s="38" t="str">
        <f>IFERROR('1.vize'!DA92*100/'1.vize'!$I92,"")</f>
        <v/>
      </c>
      <c r="CQ92" s="38" t="str">
        <f>IFERROR('1.vize'!DB92*100/'1.vize'!$I92,"")</f>
        <v/>
      </c>
      <c r="CR92" s="38" t="str">
        <f>IFERROR('1.vize'!DC92*100/'1.vize'!$I92,"")</f>
        <v/>
      </c>
      <c r="CS92" s="38" t="str">
        <f>IFERROR('1.vize'!DD92*100/'1.vize'!$I92,"")</f>
        <v/>
      </c>
      <c r="CT92" s="38" t="str">
        <f>IFERROR('1.vize'!DE92*100/'1.vize'!$I92,"")</f>
        <v/>
      </c>
      <c r="CU92" s="38" t="str">
        <f>IFERROR('1.vize'!DF92*100/'1.vize'!$I92,"")</f>
        <v/>
      </c>
      <c r="CV92" s="38" t="str">
        <f>IFERROR('1.vize'!DG92*100/'1.vize'!$I92,"")</f>
        <v/>
      </c>
      <c r="CW92" s="32" t="str">
        <f>IFERROR(SUM(A92:CV92)/'1.vize'!$DH$103,"")</f>
        <v/>
      </c>
      <c r="CX92" s="14" t="str">
        <f>IF(COUNTA('1.vize'!A92),'1.vize'!A92,"")</f>
        <v/>
      </c>
      <c r="CY92" s="14" t="str">
        <f>IF(COUNTA('1.vize'!B92),'1.vize'!B92,"")</f>
        <v/>
      </c>
      <c r="CZ92" s="14" t="str">
        <f>IF(COUNTA('1.vize'!C92),'1.vize'!C92,"")</f>
        <v/>
      </c>
      <c r="DA92" s="14" t="str">
        <f>IF(COUNTA('1.vize'!D92),'1.vize'!D92,"")</f>
        <v/>
      </c>
      <c r="DB92" s="14" t="str">
        <f>IF(COUNTA('1.vize'!E92),'1.vize'!E92,"")</f>
        <v/>
      </c>
      <c r="DC92" s="14" t="str">
        <f>IF(COUNTA('1.vize'!F92),'1.vize'!F92,"")</f>
        <v/>
      </c>
      <c r="DD92" s="14" t="str">
        <f>IF(COUNTA('1.vize'!G92),'1.vize'!G92,"")</f>
        <v/>
      </c>
      <c r="DE92" s="14" t="str">
        <f>IF(COUNTA('1.vize'!H92),'1.vize'!H92,"")</f>
        <v/>
      </c>
      <c r="DF92" s="33"/>
    </row>
    <row r="93" spans="1:110" x14ac:dyDescent="0.2">
      <c r="A93" s="38" t="str">
        <f>IFERROR('1.vize'!L93*100/'1.vize'!$I93,"")</f>
        <v/>
      </c>
      <c r="B93" s="38" t="str">
        <f>IFERROR('1.vize'!M93*100/'1.vize'!$I93,"")</f>
        <v/>
      </c>
      <c r="C93" s="38" t="str">
        <f>IFERROR('1.vize'!N93*100/'1.vize'!$I93,"")</f>
        <v/>
      </c>
      <c r="D93" s="38" t="str">
        <f>IFERROR('1.vize'!O93*100/'1.vize'!$I93,"")</f>
        <v/>
      </c>
      <c r="E93" s="38" t="str">
        <f>IFERROR('1.vize'!P93*100/'1.vize'!$I93,"")</f>
        <v/>
      </c>
      <c r="F93" s="38" t="str">
        <f>IFERROR('1.vize'!Q93*100/'1.vize'!$I93,"")</f>
        <v/>
      </c>
      <c r="G93" s="38" t="str">
        <f>IFERROR('1.vize'!R93*100/'1.vize'!$I93,"")</f>
        <v/>
      </c>
      <c r="H93" s="38" t="str">
        <f>IFERROR('1.vize'!S93*100/'1.vize'!$I93,"")</f>
        <v/>
      </c>
      <c r="I93" s="38" t="str">
        <f>IFERROR('1.vize'!T93*100/'1.vize'!$I93,"")</f>
        <v/>
      </c>
      <c r="J93" s="38" t="str">
        <f>IFERROR('1.vize'!U93*100/'1.vize'!$I93,"")</f>
        <v/>
      </c>
      <c r="K93" s="38" t="str">
        <f>IFERROR('1.vize'!V93*100/'1.vize'!$I93,"")</f>
        <v/>
      </c>
      <c r="L93" s="38" t="str">
        <f>IFERROR('1.vize'!W93*100/'1.vize'!$I93,"")</f>
        <v/>
      </c>
      <c r="M93" s="38" t="str">
        <f>IFERROR('1.vize'!X93*100/'1.vize'!$I93,"")</f>
        <v/>
      </c>
      <c r="N93" s="38" t="str">
        <f>IFERROR('1.vize'!Y93*100/'1.vize'!$I93,"")</f>
        <v/>
      </c>
      <c r="O93" s="38" t="str">
        <f>IFERROR('1.vize'!Z93*100/'1.vize'!$I93,"")</f>
        <v/>
      </c>
      <c r="P93" s="38" t="str">
        <f>IFERROR('1.vize'!AA93*100/'1.vize'!$I93,"")</f>
        <v/>
      </c>
      <c r="Q93" s="38" t="str">
        <f>IFERROR('1.vize'!AB93*100/'1.vize'!$I93,"")</f>
        <v/>
      </c>
      <c r="R93" s="38" t="str">
        <f>IFERROR('1.vize'!AC93*100/'1.vize'!$I93,"")</f>
        <v/>
      </c>
      <c r="S93" s="38" t="str">
        <f>IFERROR('1.vize'!AD93*100/'1.vize'!$I93,"")</f>
        <v/>
      </c>
      <c r="T93" s="38" t="str">
        <f>IFERROR('1.vize'!AE93*100/'1.vize'!$I93,"")</f>
        <v/>
      </c>
      <c r="U93" s="38" t="str">
        <f>IFERROR('1.vize'!AF93*100/'1.vize'!$I93,"")</f>
        <v/>
      </c>
      <c r="V93" s="38" t="str">
        <f>IFERROR('1.vize'!AG93*100/'1.vize'!$I93,"")</f>
        <v/>
      </c>
      <c r="W93" s="38" t="str">
        <f>IFERROR('1.vize'!AH93*100/'1.vize'!$I93,"")</f>
        <v/>
      </c>
      <c r="X93" s="38" t="str">
        <f>IFERROR('1.vize'!AI93*100/'1.vize'!$I93,"")</f>
        <v/>
      </c>
      <c r="Y93" s="38" t="str">
        <f>IFERROR('1.vize'!AJ93*100/'1.vize'!$I93,"")</f>
        <v/>
      </c>
      <c r="Z93" s="38" t="str">
        <f>IFERROR('1.vize'!AK93*100/'1.vize'!$I93,"")</f>
        <v/>
      </c>
      <c r="AA93" s="38" t="str">
        <f>IFERROR('1.vize'!AL93*100/'1.vize'!$I93,"")</f>
        <v/>
      </c>
      <c r="AB93" s="38" t="str">
        <f>IFERROR('1.vize'!AM93*100/'1.vize'!$I93,"")</f>
        <v/>
      </c>
      <c r="AC93" s="38" t="str">
        <f>IFERROR('1.vize'!AN93*100/'1.vize'!$I93,"")</f>
        <v/>
      </c>
      <c r="AD93" s="38" t="str">
        <f>IFERROR('1.vize'!AO93*100/'1.vize'!$I93,"")</f>
        <v/>
      </c>
      <c r="AE93" s="38" t="str">
        <f>IFERROR('1.vize'!AP93*100/'1.vize'!$I93,"")</f>
        <v/>
      </c>
      <c r="AF93" s="38" t="str">
        <f>IFERROR('1.vize'!AQ93*100/'1.vize'!$I93,"")</f>
        <v/>
      </c>
      <c r="AG93" s="38" t="str">
        <f>IFERROR('1.vize'!AR93*100/'1.vize'!$I93,"")</f>
        <v/>
      </c>
      <c r="AH93" s="38" t="str">
        <f>IFERROR('1.vize'!AS93*100/'1.vize'!$I93,"")</f>
        <v/>
      </c>
      <c r="AI93" s="38" t="str">
        <f>IFERROR('1.vize'!AT93*100/'1.vize'!$I93,"")</f>
        <v/>
      </c>
      <c r="AJ93" s="38" t="str">
        <f>IFERROR('1.vize'!AU93*100/'1.vize'!$I93,"")</f>
        <v/>
      </c>
      <c r="AK93" s="38" t="str">
        <f>IFERROR('1.vize'!AV93*100/'1.vize'!$I93,"")</f>
        <v/>
      </c>
      <c r="AL93" s="38" t="str">
        <f>IFERROR('1.vize'!AW93*100/'1.vize'!$I93,"")</f>
        <v/>
      </c>
      <c r="AM93" s="38" t="str">
        <f>IFERROR('1.vize'!AX93*100/'1.vize'!$I93,"")</f>
        <v/>
      </c>
      <c r="AN93" s="38" t="str">
        <f>IFERROR('1.vize'!AY93*100/'1.vize'!$I93,"")</f>
        <v/>
      </c>
      <c r="AO93" s="38" t="str">
        <f>IFERROR('1.vize'!AZ93*100/'1.vize'!$I93,"")</f>
        <v/>
      </c>
      <c r="AP93" s="38" t="str">
        <f>IFERROR('1.vize'!BA93*100/'1.vize'!$I93,"")</f>
        <v/>
      </c>
      <c r="AQ93" s="38" t="str">
        <f>IFERROR('1.vize'!BB93*100/'1.vize'!$I93,"")</f>
        <v/>
      </c>
      <c r="AR93" s="38" t="str">
        <f>IFERROR('1.vize'!BC93*100/'1.vize'!$I93,"")</f>
        <v/>
      </c>
      <c r="AS93" s="38" t="str">
        <f>IFERROR('1.vize'!BD93*100/'1.vize'!$I93,"")</f>
        <v/>
      </c>
      <c r="AT93" s="38" t="str">
        <f>IFERROR('1.vize'!BE93*100/'1.vize'!$I93,"")</f>
        <v/>
      </c>
      <c r="AU93" s="38" t="str">
        <f>IFERROR('1.vize'!BF93*100/'1.vize'!$I93,"")</f>
        <v/>
      </c>
      <c r="AV93" s="38" t="str">
        <f>IFERROR('1.vize'!BG93*100/'1.vize'!$I93,"")</f>
        <v/>
      </c>
      <c r="AW93" s="38" t="str">
        <f>IFERROR('1.vize'!BH93*100/'1.vize'!$I93,"")</f>
        <v/>
      </c>
      <c r="AX93" s="38" t="str">
        <f>IFERROR('1.vize'!BI93*100/'1.vize'!$I93,"")</f>
        <v/>
      </c>
      <c r="AY93" s="38" t="str">
        <f>IFERROR('1.vize'!BJ93*100/'1.vize'!$I93,"")</f>
        <v/>
      </c>
      <c r="AZ93" s="38" t="str">
        <f>IFERROR('1.vize'!BK93*100/'1.vize'!$I93,"")</f>
        <v/>
      </c>
      <c r="BA93" s="38" t="str">
        <f>IFERROR('1.vize'!BL93*100/'1.vize'!$I93,"")</f>
        <v/>
      </c>
      <c r="BB93" s="38" t="str">
        <f>IFERROR('1.vize'!BM93*100/'1.vize'!$I93,"")</f>
        <v/>
      </c>
      <c r="BC93" s="38" t="str">
        <f>IFERROR('1.vize'!BN93*100/'1.vize'!$I93,"")</f>
        <v/>
      </c>
      <c r="BD93" s="38" t="str">
        <f>IFERROR('1.vize'!BO93*100/'1.vize'!$I93,"")</f>
        <v/>
      </c>
      <c r="BE93" s="38" t="str">
        <f>IFERROR('1.vize'!BP93*100/'1.vize'!$I93,"")</f>
        <v/>
      </c>
      <c r="BF93" s="38" t="str">
        <f>IFERROR('1.vize'!BQ93*100/'1.vize'!$I93,"")</f>
        <v/>
      </c>
      <c r="BG93" s="38" t="str">
        <f>IFERROR('1.vize'!BR93*100/'1.vize'!$I93,"")</f>
        <v/>
      </c>
      <c r="BH93" s="38" t="str">
        <f>IFERROR('1.vize'!BS93*100/'1.vize'!$I93,"")</f>
        <v/>
      </c>
      <c r="BI93" s="38" t="str">
        <f>IFERROR('1.vize'!BT93*100/'1.vize'!$I93,"")</f>
        <v/>
      </c>
      <c r="BJ93" s="38" t="str">
        <f>IFERROR('1.vize'!BU93*100/'1.vize'!$I93,"")</f>
        <v/>
      </c>
      <c r="BK93" s="38" t="str">
        <f>IFERROR('1.vize'!BV93*100/'1.vize'!$I93,"")</f>
        <v/>
      </c>
      <c r="BL93" s="38" t="str">
        <f>IFERROR('1.vize'!BW93*100/'1.vize'!$I93,"")</f>
        <v/>
      </c>
      <c r="BM93" s="38" t="str">
        <f>IFERROR('1.vize'!BX93*100/'1.vize'!$I93,"")</f>
        <v/>
      </c>
      <c r="BN93" s="38" t="str">
        <f>IFERROR('1.vize'!BY93*100/'1.vize'!$I93,"")</f>
        <v/>
      </c>
      <c r="BO93" s="38" t="str">
        <f>IFERROR('1.vize'!BZ93*100/'1.vize'!$I93,"")</f>
        <v/>
      </c>
      <c r="BP93" s="38" t="str">
        <f>IFERROR('1.vize'!CA93*100/'1.vize'!$I93,"")</f>
        <v/>
      </c>
      <c r="BQ93" s="38" t="str">
        <f>IFERROR('1.vize'!CB93*100/'1.vize'!$I93,"")</f>
        <v/>
      </c>
      <c r="BR93" s="38" t="str">
        <f>IFERROR('1.vize'!CC93*100/'1.vize'!$I93,"")</f>
        <v/>
      </c>
      <c r="BS93" s="38" t="str">
        <f>IFERROR('1.vize'!CD93*100/'1.vize'!$I93,"")</f>
        <v/>
      </c>
      <c r="BT93" s="38" t="str">
        <f>IFERROR('1.vize'!CE93*100/'1.vize'!$I93,"")</f>
        <v/>
      </c>
      <c r="BU93" s="38" t="str">
        <f>IFERROR('1.vize'!CF93*100/'1.vize'!$I93,"")</f>
        <v/>
      </c>
      <c r="BV93" s="38" t="str">
        <f>IFERROR('1.vize'!CG93*100/'1.vize'!$I93,"")</f>
        <v/>
      </c>
      <c r="BW93" s="38" t="str">
        <f>IFERROR('1.vize'!CH93*100/'1.vize'!$I93,"")</f>
        <v/>
      </c>
      <c r="BX93" s="38" t="str">
        <f>IFERROR('1.vize'!CI93*100/'1.vize'!$I93,"")</f>
        <v/>
      </c>
      <c r="BY93" s="38" t="str">
        <f>IFERROR('1.vize'!CJ93*100/'1.vize'!$I93,"")</f>
        <v/>
      </c>
      <c r="BZ93" s="38" t="str">
        <f>IFERROR('1.vize'!CK93*100/'1.vize'!$I93,"")</f>
        <v/>
      </c>
      <c r="CA93" s="38" t="str">
        <f>IFERROR('1.vize'!CL93*100/'1.vize'!$I93,"")</f>
        <v/>
      </c>
      <c r="CB93" s="38" t="str">
        <f>IFERROR('1.vize'!CM93*100/'1.vize'!$I93,"")</f>
        <v/>
      </c>
      <c r="CC93" s="38" t="str">
        <f>IFERROR('1.vize'!CN93*100/'1.vize'!$I93,"")</f>
        <v/>
      </c>
      <c r="CD93" s="38" t="str">
        <f>IFERROR('1.vize'!CO93*100/'1.vize'!$I93,"")</f>
        <v/>
      </c>
      <c r="CE93" s="38" t="str">
        <f>IFERROR('1.vize'!CP93*100/'1.vize'!$I93,"")</f>
        <v/>
      </c>
      <c r="CF93" s="38" t="str">
        <f>IFERROR('1.vize'!CQ93*100/'1.vize'!$I93,"")</f>
        <v/>
      </c>
      <c r="CG93" s="38" t="str">
        <f>IFERROR('1.vize'!CR93*100/'1.vize'!$I93,"")</f>
        <v/>
      </c>
      <c r="CH93" s="38" t="str">
        <f>IFERROR('1.vize'!CS93*100/'1.vize'!$I93,"")</f>
        <v/>
      </c>
      <c r="CI93" s="38" t="str">
        <f>IFERROR('1.vize'!CT93*100/'1.vize'!$I93,"")</f>
        <v/>
      </c>
      <c r="CJ93" s="38" t="str">
        <f>IFERROR('1.vize'!CU93*100/'1.vize'!$I93,"")</f>
        <v/>
      </c>
      <c r="CK93" s="38" t="str">
        <f>IFERROR('1.vize'!CV93*100/'1.vize'!$I93,"")</f>
        <v/>
      </c>
      <c r="CL93" s="38" t="str">
        <f>IFERROR('1.vize'!CW93*100/'1.vize'!$I93,"")</f>
        <v/>
      </c>
      <c r="CM93" s="38" t="str">
        <f>IFERROR('1.vize'!CX93*100/'1.vize'!$I93,"")</f>
        <v/>
      </c>
      <c r="CN93" s="38" t="str">
        <f>IFERROR('1.vize'!CY93*100/'1.vize'!$I93,"")</f>
        <v/>
      </c>
      <c r="CO93" s="38" t="str">
        <f>IFERROR('1.vize'!CZ93*100/'1.vize'!$I93,"")</f>
        <v/>
      </c>
      <c r="CP93" s="38" t="str">
        <f>IFERROR('1.vize'!DA93*100/'1.vize'!$I93,"")</f>
        <v/>
      </c>
      <c r="CQ93" s="38" t="str">
        <f>IFERROR('1.vize'!DB93*100/'1.vize'!$I93,"")</f>
        <v/>
      </c>
      <c r="CR93" s="38" t="str">
        <f>IFERROR('1.vize'!DC93*100/'1.vize'!$I93,"")</f>
        <v/>
      </c>
      <c r="CS93" s="38" t="str">
        <f>IFERROR('1.vize'!DD93*100/'1.vize'!$I93,"")</f>
        <v/>
      </c>
      <c r="CT93" s="38" t="str">
        <f>IFERROR('1.vize'!DE93*100/'1.vize'!$I93,"")</f>
        <v/>
      </c>
      <c r="CU93" s="38" t="str">
        <f>IFERROR('1.vize'!DF93*100/'1.vize'!$I93,"")</f>
        <v/>
      </c>
      <c r="CV93" s="38" t="str">
        <f>IFERROR('1.vize'!DG93*100/'1.vize'!$I93,"")</f>
        <v/>
      </c>
      <c r="CW93" s="32" t="str">
        <f>IFERROR(SUM(A93:CV93)/'1.vize'!$DH$103,"")</f>
        <v/>
      </c>
      <c r="CX93" s="14" t="str">
        <f>IF(COUNTA('1.vize'!A93),'1.vize'!A93,"")</f>
        <v/>
      </c>
      <c r="CY93" s="14" t="str">
        <f>IF(COUNTA('1.vize'!B93),'1.vize'!B93,"")</f>
        <v/>
      </c>
      <c r="CZ93" s="14" t="str">
        <f>IF(COUNTA('1.vize'!C93),'1.vize'!C93,"")</f>
        <v/>
      </c>
      <c r="DA93" s="14" t="str">
        <f>IF(COUNTA('1.vize'!D93),'1.vize'!D93,"")</f>
        <v/>
      </c>
      <c r="DB93" s="14" t="str">
        <f>IF(COUNTA('1.vize'!E93),'1.vize'!E93,"")</f>
        <v/>
      </c>
      <c r="DC93" s="14" t="str">
        <f>IF(COUNTA('1.vize'!F93),'1.vize'!F93,"")</f>
        <v/>
      </c>
      <c r="DD93" s="14" t="str">
        <f>IF(COUNTA('1.vize'!G93),'1.vize'!G93,"")</f>
        <v/>
      </c>
      <c r="DE93" s="14" t="str">
        <f>IF(COUNTA('1.vize'!H93),'1.vize'!H93,"")</f>
        <v/>
      </c>
      <c r="DF93" s="33"/>
    </row>
    <row r="94" spans="1:110" x14ac:dyDescent="0.2">
      <c r="A94" s="38" t="str">
        <f>IFERROR('1.vize'!L94*100/'1.vize'!$I94,"")</f>
        <v/>
      </c>
      <c r="B94" s="38" t="str">
        <f>IFERROR('1.vize'!M94*100/'1.vize'!$I94,"")</f>
        <v/>
      </c>
      <c r="C94" s="38" t="str">
        <f>IFERROR('1.vize'!N94*100/'1.vize'!$I94,"")</f>
        <v/>
      </c>
      <c r="D94" s="38" t="str">
        <f>IFERROR('1.vize'!O94*100/'1.vize'!$I94,"")</f>
        <v/>
      </c>
      <c r="E94" s="38" t="str">
        <f>IFERROR('1.vize'!P94*100/'1.vize'!$I94,"")</f>
        <v/>
      </c>
      <c r="F94" s="38" t="str">
        <f>IFERROR('1.vize'!Q94*100/'1.vize'!$I94,"")</f>
        <v/>
      </c>
      <c r="G94" s="38" t="str">
        <f>IFERROR('1.vize'!R94*100/'1.vize'!$I94,"")</f>
        <v/>
      </c>
      <c r="H94" s="38" t="str">
        <f>IFERROR('1.vize'!S94*100/'1.vize'!$I94,"")</f>
        <v/>
      </c>
      <c r="I94" s="38" t="str">
        <f>IFERROR('1.vize'!T94*100/'1.vize'!$I94,"")</f>
        <v/>
      </c>
      <c r="J94" s="38" t="str">
        <f>IFERROR('1.vize'!U94*100/'1.vize'!$I94,"")</f>
        <v/>
      </c>
      <c r="K94" s="38" t="str">
        <f>IFERROR('1.vize'!V94*100/'1.vize'!$I94,"")</f>
        <v/>
      </c>
      <c r="L94" s="38" t="str">
        <f>IFERROR('1.vize'!W94*100/'1.vize'!$I94,"")</f>
        <v/>
      </c>
      <c r="M94" s="38" t="str">
        <f>IFERROR('1.vize'!X94*100/'1.vize'!$I94,"")</f>
        <v/>
      </c>
      <c r="N94" s="38" t="str">
        <f>IFERROR('1.vize'!Y94*100/'1.vize'!$I94,"")</f>
        <v/>
      </c>
      <c r="O94" s="38" t="str">
        <f>IFERROR('1.vize'!Z94*100/'1.vize'!$I94,"")</f>
        <v/>
      </c>
      <c r="P94" s="38" t="str">
        <f>IFERROR('1.vize'!AA94*100/'1.vize'!$I94,"")</f>
        <v/>
      </c>
      <c r="Q94" s="38" t="str">
        <f>IFERROR('1.vize'!AB94*100/'1.vize'!$I94,"")</f>
        <v/>
      </c>
      <c r="R94" s="38" t="str">
        <f>IFERROR('1.vize'!AC94*100/'1.vize'!$I94,"")</f>
        <v/>
      </c>
      <c r="S94" s="38" t="str">
        <f>IFERROR('1.vize'!AD94*100/'1.vize'!$I94,"")</f>
        <v/>
      </c>
      <c r="T94" s="38" t="str">
        <f>IFERROR('1.vize'!AE94*100/'1.vize'!$I94,"")</f>
        <v/>
      </c>
      <c r="U94" s="38" t="str">
        <f>IFERROR('1.vize'!AF94*100/'1.vize'!$I94,"")</f>
        <v/>
      </c>
      <c r="V94" s="38" t="str">
        <f>IFERROR('1.vize'!AG94*100/'1.vize'!$I94,"")</f>
        <v/>
      </c>
      <c r="W94" s="38" t="str">
        <f>IFERROR('1.vize'!AH94*100/'1.vize'!$I94,"")</f>
        <v/>
      </c>
      <c r="X94" s="38" t="str">
        <f>IFERROR('1.vize'!AI94*100/'1.vize'!$I94,"")</f>
        <v/>
      </c>
      <c r="Y94" s="38" t="str">
        <f>IFERROR('1.vize'!AJ94*100/'1.vize'!$I94,"")</f>
        <v/>
      </c>
      <c r="Z94" s="38" t="str">
        <f>IFERROR('1.vize'!AK94*100/'1.vize'!$I94,"")</f>
        <v/>
      </c>
      <c r="AA94" s="38" t="str">
        <f>IFERROR('1.vize'!AL94*100/'1.vize'!$I94,"")</f>
        <v/>
      </c>
      <c r="AB94" s="38" t="str">
        <f>IFERROR('1.vize'!AM94*100/'1.vize'!$I94,"")</f>
        <v/>
      </c>
      <c r="AC94" s="38" t="str">
        <f>IFERROR('1.vize'!AN94*100/'1.vize'!$I94,"")</f>
        <v/>
      </c>
      <c r="AD94" s="38" t="str">
        <f>IFERROR('1.vize'!AO94*100/'1.vize'!$I94,"")</f>
        <v/>
      </c>
      <c r="AE94" s="38" t="str">
        <f>IFERROR('1.vize'!AP94*100/'1.vize'!$I94,"")</f>
        <v/>
      </c>
      <c r="AF94" s="38" t="str">
        <f>IFERROR('1.vize'!AQ94*100/'1.vize'!$I94,"")</f>
        <v/>
      </c>
      <c r="AG94" s="38" t="str">
        <f>IFERROR('1.vize'!AR94*100/'1.vize'!$I94,"")</f>
        <v/>
      </c>
      <c r="AH94" s="38" t="str">
        <f>IFERROR('1.vize'!AS94*100/'1.vize'!$I94,"")</f>
        <v/>
      </c>
      <c r="AI94" s="38" t="str">
        <f>IFERROR('1.vize'!AT94*100/'1.vize'!$I94,"")</f>
        <v/>
      </c>
      <c r="AJ94" s="38" t="str">
        <f>IFERROR('1.vize'!AU94*100/'1.vize'!$I94,"")</f>
        <v/>
      </c>
      <c r="AK94" s="38" t="str">
        <f>IFERROR('1.vize'!AV94*100/'1.vize'!$I94,"")</f>
        <v/>
      </c>
      <c r="AL94" s="38" t="str">
        <f>IFERROR('1.vize'!AW94*100/'1.vize'!$I94,"")</f>
        <v/>
      </c>
      <c r="AM94" s="38" t="str">
        <f>IFERROR('1.vize'!AX94*100/'1.vize'!$I94,"")</f>
        <v/>
      </c>
      <c r="AN94" s="38" t="str">
        <f>IFERROR('1.vize'!AY94*100/'1.vize'!$I94,"")</f>
        <v/>
      </c>
      <c r="AO94" s="38" t="str">
        <f>IFERROR('1.vize'!AZ94*100/'1.vize'!$I94,"")</f>
        <v/>
      </c>
      <c r="AP94" s="38" t="str">
        <f>IFERROR('1.vize'!BA94*100/'1.vize'!$I94,"")</f>
        <v/>
      </c>
      <c r="AQ94" s="38" t="str">
        <f>IFERROR('1.vize'!BB94*100/'1.vize'!$I94,"")</f>
        <v/>
      </c>
      <c r="AR94" s="38" t="str">
        <f>IFERROR('1.vize'!BC94*100/'1.vize'!$I94,"")</f>
        <v/>
      </c>
      <c r="AS94" s="38" t="str">
        <f>IFERROR('1.vize'!BD94*100/'1.vize'!$I94,"")</f>
        <v/>
      </c>
      <c r="AT94" s="38" t="str">
        <f>IFERROR('1.vize'!BE94*100/'1.vize'!$I94,"")</f>
        <v/>
      </c>
      <c r="AU94" s="38" t="str">
        <f>IFERROR('1.vize'!BF94*100/'1.vize'!$I94,"")</f>
        <v/>
      </c>
      <c r="AV94" s="38" t="str">
        <f>IFERROR('1.vize'!BG94*100/'1.vize'!$I94,"")</f>
        <v/>
      </c>
      <c r="AW94" s="38" t="str">
        <f>IFERROR('1.vize'!BH94*100/'1.vize'!$I94,"")</f>
        <v/>
      </c>
      <c r="AX94" s="38" t="str">
        <f>IFERROR('1.vize'!BI94*100/'1.vize'!$I94,"")</f>
        <v/>
      </c>
      <c r="AY94" s="38" t="str">
        <f>IFERROR('1.vize'!BJ94*100/'1.vize'!$I94,"")</f>
        <v/>
      </c>
      <c r="AZ94" s="38" t="str">
        <f>IFERROR('1.vize'!BK94*100/'1.vize'!$I94,"")</f>
        <v/>
      </c>
      <c r="BA94" s="38" t="str">
        <f>IFERROR('1.vize'!BL94*100/'1.vize'!$I94,"")</f>
        <v/>
      </c>
      <c r="BB94" s="38" t="str">
        <f>IFERROR('1.vize'!BM94*100/'1.vize'!$I94,"")</f>
        <v/>
      </c>
      <c r="BC94" s="38" t="str">
        <f>IFERROR('1.vize'!BN94*100/'1.vize'!$I94,"")</f>
        <v/>
      </c>
      <c r="BD94" s="38" t="str">
        <f>IFERROR('1.vize'!BO94*100/'1.vize'!$I94,"")</f>
        <v/>
      </c>
      <c r="BE94" s="38" t="str">
        <f>IFERROR('1.vize'!BP94*100/'1.vize'!$I94,"")</f>
        <v/>
      </c>
      <c r="BF94" s="38" t="str">
        <f>IFERROR('1.vize'!BQ94*100/'1.vize'!$I94,"")</f>
        <v/>
      </c>
      <c r="BG94" s="38" t="str">
        <f>IFERROR('1.vize'!BR94*100/'1.vize'!$I94,"")</f>
        <v/>
      </c>
      <c r="BH94" s="38" t="str">
        <f>IFERROR('1.vize'!BS94*100/'1.vize'!$I94,"")</f>
        <v/>
      </c>
      <c r="BI94" s="38" t="str">
        <f>IFERROR('1.vize'!BT94*100/'1.vize'!$I94,"")</f>
        <v/>
      </c>
      <c r="BJ94" s="38" t="str">
        <f>IFERROR('1.vize'!BU94*100/'1.vize'!$I94,"")</f>
        <v/>
      </c>
      <c r="BK94" s="38" t="str">
        <f>IFERROR('1.vize'!BV94*100/'1.vize'!$I94,"")</f>
        <v/>
      </c>
      <c r="BL94" s="38" t="str">
        <f>IFERROR('1.vize'!BW94*100/'1.vize'!$I94,"")</f>
        <v/>
      </c>
      <c r="BM94" s="38" t="str">
        <f>IFERROR('1.vize'!BX94*100/'1.vize'!$I94,"")</f>
        <v/>
      </c>
      <c r="BN94" s="38" t="str">
        <f>IFERROR('1.vize'!BY94*100/'1.vize'!$I94,"")</f>
        <v/>
      </c>
      <c r="BO94" s="38" t="str">
        <f>IFERROR('1.vize'!BZ94*100/'1.vize'!$I94,"")</f>
        <v/>
      </c>
      <c r="BP94" s="38" t="str">
        <f>IFERROR('1.vize'!CA94*100/'1.vize'!$I94,"")</f>
        <v/>
      </c>
      <c r="BQ94" s="38" t="str">
        <f>IFERROR('1.vize'!CB94*100/'1.vize'!$I94,"")</f>
        <v/>
      </c>
      <c r="BR94" s="38" t="str">
        <f>IFERROR('1.vize'!CC94*100/'1.vize'!$I94,"")</f>
        <v/>
      </c>
      <c r="BS94" s="38" t="str">
        <f>IFERROR('1.vize'!CD94*100/'1.vize'!$I94,"")</f>
        <v/>
      </c>
      <c r="BT94" s="38" t="str">
        <f>IFERROR('1.vize'!CE94*100/'1.vize'!$I94,"")</f>
        <v/>
      </c>
      <c r="BU94" s="38" t="str">
        <f>IFERROR('1.vize'!CF94*100/'1.vize'!$I94,"")</f>
        <v/>
      </c>
      <c r="BV94" s="38" t="str">
        <f>IFERROR('1.vize'!CG94*100/'1.vize'!$I94,"")</f>
        <v/>
      </c>
      <c r="BW94" s="38" t="str">
        <f>IFERROR('1.vize'!CH94*100/'1.vize'!$I94,"")</f>
        <v/>
      </c>
      <c r="BX94" s="38" t="str">
        <f>IFERROR('1.vize'!CI94*100/'1.vize'!$I94,"")</f>
        <v/>
      </c>
      <c r="BY94" s="38" t="str">
        <f>IFERROR('1.vize'!CJ94*100/'1.vize'!$I94,"")</f>
        <v/>
      </c>
      <c r="BZ94" s="38" t="str">
        <f>IFERROR('1.vize'!CK94*100/'1.vize'!$I94,"")</f>
        <v/>
      </c>
      <c r="CA94" s="38" t="str">
        <f>IFERROR('1.vize'!CL94*100/'1.vize'!$I94,"")</f>
        <v/>
      </c>
      <c r="CB94" s="38" t="str">
        <f>IFERROR('1.vize'!CM94*100/'1.vize'!$I94,"")</f>
        <v/>
      </c>
      <c r="CC94" s="38" t="str">
        <f>IFERROR('1.vize'!CN94*100/'1.vize'!$I94,"")</f>
        <v/>
      </c>
      <c r="CD94" s="38" t="str">
        <f>IFERROR('1.vize'!CO94*100/'1.vize'!$I94,"")</f>
        <v/>
      </c>
      <c r="CE94" s="38" t="str">
        <f>IFERROR('1.vize'!CP94*100/'1.vize'!$I94,"")</f>
        <v/>
      </c>
      <c r="CF94" s="38" t="str">
        <f>IFERROR('1.vize'!CQ94*100/'1.vize'!$I94,"")</f>
        <v/>
      </c>
      <c r="CG94" s="38" t="str">
        <f>IFERROR('1.vize'!CR94*100/'1.vize'!$I94,"")</f>
        <v/>
      </c>
      <c r="CH94" s="38" t="str">
        <f>IFERROR('1.vize'!CS94*100/'1.vize'!$I94,"")</f>
        <v/>
      </c>
      <c r="CI94" s="38" t="str">
        <f>IFERROR('1.vize'!CT94*100/'1.vize'!$I94,"")</f>
        <v/>
      </c>
      <c r="CJ94" s="38" t="str">
        <f>IFERROR('1.vize'!CU94*100/'1.vize'!$I94,"")</f>
        <v/>
      </c>
      <c r="CK94" s="38" t="str">
        <f>IFERROR('1.vize'!CV94*100/'1.vize'!$I94,"")</f>
        <v/>
      </c>
      <c r="CL94" s="38" t="str">
        <f>IFERROR('1.vize'!CW94*100/'1.vize'!$I94,"")</f>
        <v/>
      </c>
      <c r="CM94" s="38" t="str">
        <f>IFERROR('1.vize'!CX94*100/'1.vize'!$I94,"")</f>
        <v/>
      </c>
      <c r="CN94" s="38" t="str">
        <f>IFERROR('1.vize'!CY94*100/'1.vize'!$I94,"")</f>
        <v/>
      </c>
      <c r="CO94" s="38" t="str">
        <f>IFERROR('1.vize'!CZ94*100/'1.vize'!$I94,"")</f>
        <v/>
      </c>
      <c r="CP94" s="38" t="str">
        <f>IFERROR('1.vize'!DA94*100/'1.vize'!$I94,"")</f>
        <v/>
      </c>
      <c r="CQ94" s="38" t="str">
        <f>IFERROR('1.vize'!DB94*100/'1.vize'!$I94,"")</f>
        <v/>
      </c>
      <c r="CR94" s="38" t="str">
        <f>IFERROR('1.vize'!DC94*100/'1.vize'!$I94,"")</f>
        <v/>
      </c>
      <c r="CS94" s="38" t="str">
        <f>IFERROR('1.vize'!DD94*100/'1.vize'!$I94,"")</f>
        <v/>
      </c>
      <c r="CT94" s="38" t="str">
        <f>IFERROR('1.vize'!DE94*100/'1.vize'!$I94,"")</f>
        <v/>
      </c>
      <c r="CU94" s="38" t="str">
        <f>IFERROR('1.vize'!DF94*100/'1.vize'!$I94,"")</f>
        <v/>
      </c>
      <c r="CV94" s="38" t="str">
        <f>IFERROR('1.vize'!DG94*100/'1.vize'!$I94,"")</f>
        <v/>
      </c>
      <c r="CW94" s="32" t="str">
        <f>IFERROR(SUM(A94:CV94)/'1.vize'!$DH$103,"")</f>
        <v/>
      </c>
      <c r="CX94" s="14" t="str">
        <f>IF(COUNTA('1.vize'!A94),'1.vize'!A94,"")</f>
        <v/>
      </c>
      <c r="CY94" s="14" t="str">
        <f>IF(COUNTA('1.vize'!B94),'1.vize'!B94,"")</f>
        <v/>
      </c>
      <c r="CZ94" s="14" t="str">
        <f>IF(COUNTA('1.vize'!C94),'1.vize'!C94,"")</f>
        <v/>
      </c>
      <c r="DA94" s="14" t="str">
        <f>IF(COUNTA('1.vize'!D94),'1.vize'!D94,"")</f>
        <v/>
      </c>
      <c r="DB94" s="14" t="str">
        <f>IF(COUNTA('1.vize'!E94),'1.vize'!E94,"")</f>
        <v/>
      </c>
      <c r="DC94" s="14" t="str">
        <f>IF(COUNTA('1.vize'!F94),'1.vize'!F94,"")</f>
        <v/>
      </c>
      <c r="DD94" s="14" t="str">
        <f>IF(COUNTA('1.vize'!G94),'1.vize'!G94,"")</f>
        <v/>
      </c>
      <c r="DE94" s="14" t="str">
        <f>IF(COUNTA('1.vize'!H94),'1.vize'!H94,"")</f>
        <v/>
      </c>
      <c r="DF94" s="33"/>
    </row>
    <row r="95" spans="1:110" x14ac:dyDescent="0.2">
      <c r="A95" s="38" t="str">
        <f>IFERROR('1.vize'!L95*100/'1.vize'!$I95,"")</f>
        <v/>
      </c>
      <c r="B95" s="38" t="str">
        <f>IFERROR('1.vize'!M95*100/'1.vize'!$I95,"")</f>
        <v/>
      </c>
      <c r="C95" s="38" t="str">
        <f>IFERROR('1.vize'!N95*100/'1.vize'!$I95,"")</f>
        <v/>
      </c>
      <c r="D95" s="38" t="str">
        <f>IFERROR('1.vize'!O95*100/'1.vize'!$I95,"")</f>
        <v/>
      </c>
      <c r="E95" s="38" t="str">
        <f>IFERROR('1.vize'!P95*100/'1.vize'!$I95,"")</f>
        <v/>
      </c>
      <c r="F95" s="38" t="str">
        <f>IFERROR('1.vize'!Q95*100/'1.vize'!$I95,"")</f>
        <v/>
      </c>
      <c r="G95" s="38" t="str">
        <f>IFERROR('1.vize'!R95*100/'1.vize'!$I95,"")</f>
        <v/>
      </c>
      <c r="H95" s="38" t="str">
        <f>IFERROR('1.vize'!S95*100/'1.vize'!$I95,"")</f>
        <v/>
      </c>
      <c r="I95" s="38" t="str">
        <f>IFERROR('1.vize'!T95*100/'1.vize'!$I95,"")</f>
        <v/>
      </c>
      <c r="J95" s="38" t="str">
        <f>IFERROR('1.vize'!U95*100/'1.vize'!$I95,"")</f>
        <v/>
      </c>
      <c r="K95" s="38" t="str">
        <f>IFERROR('1.vize'!V95*100/'1.vize'!$I95,"")</f>
        <v/>
      </c>
      <c r="L95" s="38" t="str">
        <f>IFERROR('1.vize'!W95*100/'1.vize'!$I95,"")</f>
        <v/>
      </c>
      <c r="M95" s="38" t="str">
        <f>IFERROR('1.vize'!X95*100/'1.vize'!$I95,"")</f>
        <v/>
      </c>
      <c r="N95" s="38" t="str">
        <f>IFERROR('1.vize'!Y95*100/'1.vize'!$I95,"")</f>
        <v/>
      </c>
      <c r="O95" s="38" t="str">
        <f>IFERROR('1.vize'!Z95*100/'1.vize'!$I95,"")</f>
        <v/>
      </c>
      <c r="P95" s="38" t="str">
        <f>IFERROR('1.vize'!AA95*100/'1.vize'!$I95,"")</f>
        <v/>
      </c>
      <c r="Q95" s="38" t="str">
        <f>IFERROR('1.vize'!AB95*100/'1.vize'!$I95,"")</f>
        <v/>
      </c>
      <c r="R95" s="38" t="str">
        <f>IFERROR('1.vize'!AC95*100/'1.vize'!$I95,"")</f>
        <v/>
      </c>
      <c r="S95" s="38" t="str">
        <f>IFERROR('1.vize'!AD95*100/'1.vize'!$I95,"")</f>
        <v/>
      </c>
      <c r="T95" s="38" t="str">
        <f>IFERROR('1.vize'!AE95*100/'1.vize'!$I95,"")</f>
        <v/>
      </c>
      <c r="U95" s="38" t="str">
        <f>IFERROR('1.vize'!AF95*100/'1.vize'!$I95,"")</f>
        <v/>
      </c>
      <c r="V95" s="38" t="str">
        <f>IFERROR('1.vize'!AG95*100/'1.vize'!$I95,"")</f>
        <v/>
      </c>
      <c r="W95" s="38" t="str">
        <f>IFERROR('1.vize'!AH95*100/'1.vize'!$I95,"")</f>
        <v/>
      </c>
      <c r="X95" s="38" t="str">
        <f>IFERROR('1.vize'!AI95*100/'1.vize'!$I95,"")</f>
        <v/>
      </c>
      <c r="Y95" s="38" t="str">
        <f>IFERROR('1.vize'!AJ95*100/'1.vize'!$I95,"")</f>
        <v/>
      </c>
      <c r="Z95" s="38" t="str">
        <f>IFERROR('1.vize'!AK95*100/'1.vize'!$I95,"")</f>
        <v/>
      </c>
      <c r="AA95" s="38" t="str">
        <f>IFERROR('1.vize'!AL95*100/'1.vize'!$I95,"")</f>
        <v/>
      </c>
      <c r="AB95" s="38" t="str">
        <f>IFERROR('1.vize'!AM95*100/'1.vize'!$I95,"")</f>
        <v/>
      </c>
      <c r="AC95" s="38" t="str">
        <f>IFERROR('1.vize'!AN95*100/'1.vize'!$I95,"")</f>
        <v/>
      </c>
      <c r="AD95" s="38" t="str">
        <f>IFERROR('1.vize'!AO95*100/'1.vize'!$I95,"")</f>
        <v/>
      </c>
      <c r="AE95" s="38" t="str">
        <f>IFERROR('1.vize'!AP95*100/'1.vize'!$I95,"")</f>
        <v/>
      </c>
      <c r="AF95" s="38" t="str">
        <f>IFERROR('1.vize'!AQ95*100/'1.vize'!$I95,"")</f>
        <v/>
      </c>
      <c r="AG95" s="38" t="str">
        <f>IFERROR('1.vize'!AR95*100/'1.vize'!$I95,"")</f>
        <v/>
      </c>
      <c r="AH95" s="38" t="str">
        <f>IFERROR('1.vize'!AS95*100/'1.vize'!$I95,"")</f>
        <v/>
      </c>
      <c r="AI95" s="38" t="str">
        <f>IFERROR('1.vize'!AT95*100/'1.vize'!$I95,"")</f>
        <v/>
      </c>
      <c r="AJ95" s="38" t="str">
        <f>IFERROR('1.vize'!AU95*100/'1.vize'!$I95,"")</f>
        <v/>
      </c>
      <c r="AK95" s="38" t="str">
        <f>IFERROR('1.vize'!AV95*100/'1.vize'!$I95,"")</f>
        <v/>
      </c>
      <c r="AL95" s="38" t="str">
        <f>IFERROR('1.vize'!AW95*100/'1.vize'!$I95,"")</f>
        <v/>
      </c>
      <c r="AM95" s="38" t="str">
        <f>IFERROR('1.vize'!AX95*100/'1.vize'!$I95,"")</f>
        <v/>
      </c>
      <c r="AN95" s="38" t="str">
        <f>IFERROR('1.vize'!AY95*100/'1.vize'!$I95,"")</f>
        <v/>
      </c>
      <c r="AO95" s="38" t="str">
        <f>IFERROR('1.vize'!AZ95*100/'1.vize'!$I95,"")</f>
        <v/>
      </c>
      <c r="AP95" s="38" t="str">
        <f>IFERROR('1.vize'!BA95*100/'1.vize'!$I95,"")</f>
        <v/>
      </c>
      <c r="AQ95" s="38" t="str">
        <f>IFERROR('1.vize'!BB95*100/'1.vize'!$I95,"")</f>
        <v/>
      </c>
      <c r="AR95" s="38" t="str">
        <f>IFERROR('1.vize'!BC95*100/'1.vize'!$I95,"")</f>
        <v/>
      </c>
      <c r="AS95" s="38" t="str">
        <f>IFERROR('1.vize'!BD95*100/'1.vize'!$I95,"")</f>
        <v/>
      </c>
      <c r="AT95" s="38" t="str">
        <f>IFERROR('1.vize'!BE95*100/'1.vize'!$I95,"")</f>
        <v/>
      </c>
      <c r="AU95" s="38" t="str">
        <f>IFERROR('1.vize'!BF95*100/'1.vize'!$I95,"")</f>
        <v/>
      </c>
      <c r="AV95" s="38" t="str">
        <f>IFERROR('1.vize'!BG95*100/'1.vize'!$I95,"")</f>
        <v/>
      </c>
      <c r="AW95" s="38" t="str">
        <f>IFERROR('1.vize'!BH95*100/'1.vize'!$I95,"")</f>
        <v/>
      </c>
      <c r="AX95" s="38" t="str">
        <f>IFERROR('1.vize'!BI95*100/'1.vize'!$I95,"")</f>
        <v/>
      </c>
      <c r="AY95" s="38" t="str">
        <f>IFERROR('1.vize'!BJ95*100/'1.vize'!$I95,"")</f>
        <v/>
      </c>
      <c r="AZ95" s="38" t="str">
        <f>IFERROR('1.vize'!BK95*100/'1.vize'!$I95,"")</f>
        <v/>
      </c>
      <c r="BA95" s="38" t="str">
        <f>IFERROR('1.vize'!BL95*100/'1.vize'!$I95,"")</f>
        <v/>
      </c>
      <c r="BB95" s="38" t="str">
        <f>IFERROR('1.vize'!BM95*100/'1.vize'!$I95,"")</f>
        <v/>
      </c>
      <c r="BC95" s="38" t="str">
        <f>IFERROR('1.vize'!BN95*100/'1.vize'!$I95,"")</f>
        <v/>
      </c>
      <c r="BD95" s="38" t="str">
        <f>IFERROR('1.vize'!BO95*100/'1.vize'!$I95,"")</f>
        <v/>
      </c>
      <c r="BE95" s="38" t="str">
        <f>IFERROR('1.vize'!BP95*100/'1.vize'!$I95,"")</f>
        <v/>
      </c>
      <c r="BF95" s="38" t="str">
        <f>IFERROR('1.vize'!BQ95*100/'1.vize'!$I95,"")</f>
        <v/>
      </c>
      <c r="BG95" s="38" t="str">
        <f>IFERROR('1.vize'!BR95*100/'1.vize'!$I95,"")</f>
        <v/>
      </c>
      <c r="BH95" s="38" t="str">
        <f>IFERROR('1.vize'!BS95*100/'1.vize'!$I95,"")</f>
        <v/>
      </c>
      <c r="BI95" s="38" t="str">
        <f>IFERROR('1.vize'!BT95*100/'1.vize'!$I95,"")</f>
        <v/>
      </c>
      <c r="BJ95" s="38" t="str">
        <f>IFERROR('1.vize'!BU95*100/'1.vize'!$I95,"")</f>
        <v/>
      </c>
      <c r="BK95" s="38" t="str">
        <f>IFERROR('1.vize'!BV95*100/'1.vize'!$I95,"")</f>
        <v/>
      </c>
      <c r="BL95" s="38" t="str">
        <f>IFERROR('1.vize'!BW95*100/'1.vize'!$I95,"")</f>
        <v/>
      </c>
      <c r="BM95" s="38" t="str">
        <f>IFERROR('1.vize'!BX95*100/'1.vize'!$I95,"")</f>
        <v/>
      </c>
      <c r="BN95" s="38" t="str">
        <f>IFERROR('1.vize'!BY95*100/'1.vize'!$I95,"")</f>
        <v/>
      </c>
      <c r="BO95" s="38" t="str">
        <f>IFERROR('1.vize'!BZ95*100/'1.vize'!$I95,"")</f>
        <v/>
      </c>
      <c r="BP95" s="38" t="str">
        <f>IFERROR('1.vize'!CA95*100/'1.vize'!$I95,"")</f>
        <v/>
      </c>
      <c r="BQ95" s="38" t="str">
        <f>IFERROR('1.vize'!CB95*100/'1.vize'!$I95,"")</f>
        <v/>
      </c>
      <c r="BR95" s="38" t="str">
        <f>IFERROR('1.vize'!CC95*100/'1.vize'!$I95,"")</f>
        <v/>
      </c>
      <c r="BS95" s="38" t="str">
        <f>IFERROR('1.vize'!CD95*100/'1.vize'!$I95,"")</f>
        <v/>
      </c>
      <c r="BT95" s="38" t="str">
        <f>IFERROR('1.vize'!CE95*100/'1.vize'!$I95,"")</f>
        <v/>
      </c>
      <c r="BU95" s="38" t="str">
        <f>IFERROR('1.vize'!CF95*100/'1.vize'!$I95,"")</f>
        <v/>
      </c>
      <c r="BV95" s="38" t="str">
        <f>IFERROR('1.vize'!CG95*100/'1.vize'!$I95,"")</f>
        <v/>
      </c>
      <c r="BW95" s="38" t="str">
        <f>IFERROR('1.vize'!CH95*100/'1.vize'!$I95,"")</f>
        <v/>
      </c>
      <c r="BX95" s="38" t="str">
        <f>IFERROR('1.vize'!CI95*100/'1.vize'!$I95,"")</f>
        <v/>
      </c>
      <c r="BY95" s="38" t="str">
        <f>IFERROR('1.vize'!CJ95*100/'1.vize'!$I95,"")</f>
        <v/>
      </c>
      <c r="BZ95" s="38" t="str">
        <f>IFERROR('1.vize'!CK95*100/'1.vize'!$I95,"")</f>
        <v/>
      </c>
      <c r="CA95" s="38" t="str">
        <f>IFERROR('1.vize'!CL95*100/'1.vize'!$I95,"")</f>
        <v/>
      </c>
      <c r="CB95" s="38" t="str">
        <f>IFERROR('1.vize'!CM95*100/'1.vize'!$I95,"")</f>
        <v/>
      </c>
      <c r="CC95" s="38" t="str">
        <f>IFERROR('1.vize'!CN95*100/'1.vize'!$I95,"")</f>
        <v/>
      </c>
      <c r="CD95" s="38" t="str">
        <f>IFERROR('1.vize'!CO95*100/'1.vize'!$I95,"")</f>
        <v/>
      </c>
      <c r="CE95" s="38" t="str">
        <f>IFERROR('1.vize'!CP95*100/'1.vize'!$I95,"")</f>
        <v/>
      </c>
      <c r="CF95" s="38" t="str">
        <f>IFERROR('1.vize'!CQ95*100/'1.vize'!$I95,"")</f>
        <v/>
      </c>
      <c r="CG95" s="38" t="str">
        <f>IFERROR('1.vize'!CR95*100/'1.vize'!$I95,"")</f>
        <v/>
      </c>
      <c r="CH95" s="38" t="str">
        <f>IFERROR('1.vize'!CS95*100/'1.vize'!$I95,"")</f>
        <v/>
      </c>
      <c r="CI95" s="38" t="str">
        <f>IFERROR('1.vize'!CT95*100/'1.vize'!$I95,"")</f>
        <v/>
      </c>
      <c r="CJ95" s="38" t="str">
        <f>IFERROR('1.vize'!CU95*100/'1.vize'!$I95,"")</f>
        <v/>
      </c>
      <c r="CK95" s="38" t="str">
        <f>IFERROR('1.vize'!CV95*100/'1.vize'!$I95,"")</f>
        <v/>
      </c>
      <c r="CL95" s="38" t="str">
        <f>IFERROR('1.vize'!CW95*100/'1.vize'!$I95,"")</f>
        <v/>
      </c>
      <c r="CM95" s="38" t="str">
        <f>IFERROR('1.vize'!CX95*100/'1.vize'!$I95,"")</f>
        <v/>
      </c>
      <c r="CN95" s="38" t="str">
        <f>IFERROR('1.vize'!CY95*100/'1.vize'!$I95,"")</f>
        <v/>
      </c>
      <c r="CO95" s="38" t="str">
        <f>IFERROR('1.vize'!CZ95*100/'1.vize'!$I95,"")</f>
        <v/>
      </c>
      <c r="CP95" s="38" t="str">
        <f>IFERROR('1.vize'!DA95*100/'1.vize'!$I95,"")</f>
        <v/>
      </c>
      <c r="CQ95" s="38" t="str">
        <f>IFERROR('1.vize'!DB95*100/'1.vize'!$I95,"")</f>
        <v/>
      </c>
      <c r="CR95" s="38" t="str">
        <f>IFERROR('1.vize'!DC95*100/'1.vize'!$I95,"")</f>
        <v/>
      </c>
      <c r="CS95" s="38" t="str">
        <f>IFERROR('1.vize'!DD95*100/'1.vize'!$I95,"")</f>
        <v/>
      </c>
      <c r="CT95" s="38" t="str">
        <f>IFERROR('1.vize'!DE95*100/'1.vize'!$I95,"")</f>
        <v/>
      </c>
      <c r="CU95" s="38" t="str">
        <f>IFERROR('1.vize'!DF95*100/'1.vize'!$I95,"")</f>
        <v/>
      </c>
      <c r="CV95" s="38" t="str">
        <f>IFERROR('1.vize'!DG95*100/'1.vize'!$I95,"")</f>
        <v/>
      </c>
      <c r="CW95" s="32" t="str">
        <f>IFERROR(SUM(A95:CV95)/'1.vize'!$DH$103,"")</f>
        <v/>
      </c>
      <c r="CX95" s="14" t="str">
        <f>IF(COUNTA('1.vize'!A95),'1.vize'!A95,"")</f>
        <v/>
      </c>
      <c r="CY95" s="14" t="str">
        <f>IF(COUNTA('1.vize'!B95),'1.vize'!B95,"")</f>
        <v/>
      </c>
      <c r="CZ95" s="14" t="str">
        <f>IF(COUNTA('1.vize'!C95),'1.vize'!C95,"")</f>
        <v/>
      </c>
      <c r="DA95" s="14" t="str">
        <f>IF(COUNTA('1.vize'!D95),'1.vize'!D95,"")</f>
        <v/>
      </c>
      <c r="DB95" s="14" t="str">
        <f>IF(COUNTA('1.vize'!E95),'1.vize'!E95,"")</f>
        <v/>
      </c>
      <c r="DC95" s="14" t="str">
        <f>IF(COUNTA('1.vize'!F95),'1.vize'!F95,"")</f>
        <v/>
      </c>
      <c r="DD95" s="14" t="str">
        <f>IF(COUNTA('1.vize'!G95),'1.vize'!G95,"")</f>
        <v/>
      </c>
      <c r="DE95" s="14" t="str">
        <f>IF(COUNTA('1.vize'!H95),'1.vize'!H95,"")</f>
        <v/>
      </c>
      <c r="DF95" s="33"/>
    </row>
    <row r="96" spans="1:110" x14ac:dyDescent="0.2">
      <c r="A96" s="38" t="str">
        <f>IFERROR('1.vize'!L96*100/'1.vize'!$I96,"")</f>
        <v/>
      </c>
      <c r="B96" s="38" t="str">
        <f>IFERROR('1.vize'!M96*100/'1.vize'!$I96,"")</f>
        <v/>
      </c>
      <c r="C96" s="38" t="str">
        <f>IFERROR('1.vize'!N96*100/'1.vize'!$I96,"")</f>
        <v/>
      </c>
      <c r="D96" s="38" t="str">
        <f>IFERROR('1.vize'!O96*100/'1.vize'!$I96,"")</f>
        <v/>
      </c>
      <c r="E96" s="38" t="str">
        <f>IFERROR('1.vize'!P96*100/'1.vize'!$I96,"")</f>
        <v/>
      </c>
      <c r="F96" s="38" t="str">
        <f>IFERROR('1.vize'!Q96*100/'1.vize'!$I96,"")</f>
        <v/>
      </c>
      <c r="G96" s="38" t="str">
        <f>IFERROR('1.vize'!R96*100/'1.vize'!$I96,"")</f>
        <v/>
      </c>
      <c r="H96" s="38" t="str">
        <f>IFERROR('1.vize'!S96*100/'1.vize'!$I96,"")</f>
        <v/>
      </c>
      <c r="I96" s="38" t="str">
        <f>IFERROR('1.vize'!T96*100/'1.vize'!$I96,"")</f>
        <v/>
      </c>
      <c r="J96" s="38" t="str">
        <f>IFERROR('1.vize'!U96*100/'1.vize'!$I96,"")</f>
        <v/>
      </c>
      <c r="K96" s="38" t="str">
        <f>IFERROR('1.vize'!V96*100/'1.vize'!$I96,"")</f>
        <v/>
      </c>
      <c r="L96" s="38" t="str">
        <f>IFERROR('1.vize'!W96*100/'1.vize'!$I96,"")</f>
        <v/>
      </c>
      <c r="M96" s="38" t="str">
        <f>IFERROR('1.vize'!X96*100/'1.vize'!$I96,"")</f>
        <v/>
      </c>
      <c r="N96" s="38" t="str">
        <f>IFERROR('1.vize'!Y96*100/'1.vize'!$I96,"")</f>
        <v/>
      </c>
      <c r="O96" s="38" t="str">
        <f>IFERROR('1.vize'!Z96*100/'1.vize'!$I96,"")</f>
        <v/>
      </c>
      <c r="P96" s="38" t="str">
        <f>IFERROR('1.vize'!AA96*100/'1.vize'!$I96,"")</f>
        <v/>
      </c>
      <c r="Q96" s="38" t="str">
        <f>IFERROR('1.vize'!AB96*100/'1.vize'!$I96,"")</f>
        <v/>
      </c>
      <c r="R96" s="38" t="str">
        <f>IFERROR('1.vize'!AC96*100/'1.vize'!$I96,"")</f>
        <v/>
      </c>
      <c r="S96" s="38" t="str">
        <f>IFERROR('1.vize'!AD96*100/'1.vize'!$I96,"")</f>
        <v/>
      </c>
      <c r="T96" s="38" t="str">
        <f>IFERROR('1.vize'!AE96*100/'1.vize'!$I96,"")</f>
        <v/>
      </c>
      <c r="U96" s="38" t="str">
        <f>IFERROR('1.vize'!AF96*100/'1.vize'!$I96,"")</f>
        <v/>
      </c>
      <c r="V96" s="38" t="str">
        <f>IFERROR('1.vize'!AG96*100/'1.vize'!$I96,"")</f>
        <v/>
      </c>
      <c r="W96" s="38" t="str">
        <f>IFERROR('1.vize'!AH96*100/'1.vize'!$I96,"")</f>
        <v/>
      </c>
      <c r="X96" s="38" t="str">
        <f>IFERROR('1.vize'!AI96*100/'1.vize'!$I96,"")</f>
        <v/>
      </c>
      <c r="Y96" s="38" t="str">
        <f>IFERROR('1.vize'!AJ96*100/'1.vize'!$I96,"")</f>
        <v/>
      </c>
      <c r="Z96" s="38" t="str">
        <f>IFERROR('1.vize'!AK96*100/'1.vize'!$I96,"")</f>
        <v/>
      </c>
      <c r="AA96" s="38" t="str">
        <f>IFERROR('1.vize'!AL96*100/'1.vize'!$I96,"")</f>
        <v/>
      </c>
      <c r="AB96" s="38" t="str">
        <f>IFERROR('1.vize'!AM96*100/'1.vize'!$I96,"")</f>
        <v/>
      </c>
      <c r="AC96" s="38" t="str">
        <f>IFERROR('1.vize'!AN96*100/'1.vize'!$I96,"")</f>
        <v/>
      </c>
      <c r="AD96" s="38" t="str">
        <f>IFERROR('1.vize'!AO96*100/'1.vize'!$I96,"")</f>
        <v/>
      </c>
      <c r="AE96" s="38" t="str">
        <f>IFERROR('1.vize'!AP96*100/'1.vize'!$I96,"")</f>
        <v/>
      </c>
      <c r="AF96" s="38" t="str">
        <f>IFERROR('1.vize'!AQ96*100/'1.vize'!$I96,"")</f>
        <v/>
      </c>
      <c r="AG96" s="38" t="str">
        <f>IFERROR('1.vize'!AR96*100/'1.vize'!$I96,"")</f>
        <v/>
      </c>
      <c r="AH96" s="38" t="str">
        <f>IFERROR('1.vize'!AS96*100/'1.vize'!$I96,"")</f>
        <v/>
      </c>
      <c r="AI96" s="38" t="str">
        <f>IFERROR('1.vize'!AT96*100/'1.vize'!$I96,"")</f>
        <v/>
      </c>
      <c r="AJ96" s="38" t="str">
        <f>IFERROR('1.vize'!AU96*100/'1.vize'!$I96,"")</f>
        <v/>
      </c>
      <c r="AK96" s="38" t="str">
        <f>IFERROR('1.vize'!AV96*100/'1.vize'!$I96,"")</f>
        <v/>
      </c>
      <c r="AL96" s="38" t="str">
        <f>IFERROR('1.vize'!AW96*100/'1.vize'!$I96,"")</f>
        <v/>
      </c>
      <c r="AM96" s="38" t="str">
        <f>IFERROR('1.vize'!AX96*100/'1.vize'!$I96,"")</f>
        <v/>
      </c>
      <c r="AN96" s="38" t="str">
        <f>IFERROR('1.vize'!AY96*100/'1.vize'!$I96,"")</f>
        <v/>
      </c>
      <c r="AO96" s="38" t="str">
        <f>IFERROR('1.vize'!AZ96*100/'1.vize'!$I96,"")</f>
        <v/>
      </c>
      <c r="AP96" s="38" t="str">
        <f>IFERROR('1.vize'!BA96*100/'1.vize'!$I96,"")</f>
        <v/>
      </c>
      <c r="AQ96" s="38" t="str">
        <f>IFERROR('1.vize'!BB96*100/'1.vize'!$I96,"")</f>
        <v/>
      </c>
      <c r="AR96" s="38" t="str">
        <f>IFERROR('1.vize'!BC96*100/'1.vize'!$I96,"")</f>
        <v/>
      </c>
      <c r="AS96" s="38" t="str">
        <f>IFERROR('1.vize'!BD96*100/'1.vize'!$I96,"")</f>
        <v/>
      </c>
      <c r="AT96" s="38" t="str">
        <f>IFERROR('1.vize'!BE96*100/'1.vize'!$I96,"")</f>
        <v/>
      </c>
      <c r="AU96" s="38" t="str">
        <f>IFERROR('1.vize'!BF96*100/'1.vize'!$I96,"")</f>
        <v/>
      </c>
      <c r="AV96" s="38" t="str">
        <f>IFERROR('1.vize'!BG96*100/'1.vize'!$I96,"")</f>
        <v/>
      </c>
      <c r="AW96" s="38" t="str">
        <f>IFERROR('1.vize'!BH96*100/'1.vize'!$I96,"")</f>
        <v/>
      </c>
      <c r="AX96" s="38" t="str">
        <f>IFERROR('1.vize'!BI96*100/'1.vize'!$I96,"")</f>
        <v/>
      </c>
      <c r="AY96" s="38" t="str">
        <f>IFERROR('1.vize'!BJ96*100/'1.vize'!$I96,"")</f>
        <v/>
      </c>
      <c r="AZ96" s="38" t="str">
        <f>IFERROR('1.vize'!BK96*100/'1.vize'!$I96,"")</f>
        <v/>
      </c>
      <c r="BA96" s="38" t="str">
        <f>IFERROR('1.vize'!BL96*100/'1.vize'!$I96,"")</f>
        <v/>
      </c>
      <c r="BB96" s="38" t="str">
        <f>IFERROR('1.vize'!BM96*100/'1.vize'!$I96,"")</f>
        <v/>
      </c>
      <c r="BC96" s="38" t="str">
        <f>IFERROR('1.vize'!BN96*100/'1.vize'!$I96,"")</f>
        <v/>
      </c>
      <c r="BD96" s="38" t="str">
        <f>IFERROR('1.vize'!BO96*100/'1.vize'!$I96,"")</f>
        <v/>
      </c>
      <c r="BE96" s="38" t="str">
        <f>IFERROR('1.vize'!BP96*100/'1.vize'!$I96,"")</f>
        <v/>
      </c>
      <c r="BF96" s="38" t="str">
        <f>IFERROR('1.vize'!BQ96*100/'1.vize'!$I96,"")</f>
        <v/>
      </c>
      <c r="BG96" s="38" t="str">
        <f>IFERROR('1.vize'!BR96*100/'1.vize'!$I96,"")</f>
        <v/>
      </c>
      <c r="BH96" s="38" t="str">
        <f>IFERROR('1.vize'!BS96*100/'1.vize'!$I96,"")</f>
        <v/>
      </c>
      <c r="BI96" s="38" t="str">
        <f>IFERROR('1.vize'!BT96*100/'1.vize'!$I96,"")</f>
        <v/>
      </c>
      <c r="BJ96" s="38" t="str">
        <f>IFERROR('1.vize'!BU96*100/'1.vize'!$I96,"")</f>
        <v/>
      </c>
      <c r="BK96" s="38" t="str">
        <f>IFERROR('1.vize'!BV96*100/'1.vize'!$I96,"")</f>
        <v/>
      </c>
      <c r="BL96" s="38" t="str">
        <f>IFERROR('1.vize'!BW96*100/'1.vize'!$I96,"")</f>
        <v/>
      </c>
      <c r="BM96" s="38" t="str">
        <f>IFERROR('1.vize'!BX96*100/'1.vize'!$I96,"")</f>
        <v/>
      </c>
      <c r="BN96" s="38" t="str">
        <f>IFERROR('1.vize'!BY96*100/'1.vize'!$I96,"")</f>
        <v/>
      </c>
      <c r="BO96" s="38" t="str">
        <f>IFERROR('1.vize'!BZ96*100/'1.vize'!$I96,"")</f>
        <v/>
      </c>
      <c r="BP96" s="38" t="str">
        <f>IFERROR('1.vize'!CA96*100/'1.vize'!$I96,"")</f>
        <v/>
      </c>
      <c r="BQ96" s="38" t="str">
        <f>IFERROR('1.vize'!CB96*100/'1.vize'!$I96,"")</f>
        <v/>
      </c>
      <c r="BR96" s="38" t="str">
        <f>IFERROR('1.vize'!CC96*100/'1.vize'!$I96,"")</f>
        <v/>
      </c>
      <c r="BS96" s="38" t="str">
        <f>IFERROR('1.vize'!CD96*100/'1.vize'!$I96,"")</f>
        <v/>
      </c>
      <c r="BT96" s="38" t="str">
        <f>IFERROR('1.vize'!CE96*100/'1.vize'!$I96,"")</f>
        <v/>
      </c>
      <c r="BU96" s="38" t="str">
        <f>IFERROR('1.vize'!CF96*100/'1.vize'!$I96,"")</f>
        <v/>
      </c>
      <c r="BV96" s="38" t="str">
        <f>IFERROR('1.vize'!CG96*100/'1.vize'!$I96,"")</f>
        <v/>
      </c>
      <c r="BW96" s="38" t="str">
        <f>IFERROR('1.vize'!CH96*100/'1.vize'!$I96,"")</f>
        <v/>
      </c>
      <c r="BX96" s="38" t="str">
        <f>IFERROR('1.vize'!CI96*100/'1.vize'!$I96,"")</f>
        <v/>
      </c>
      <c r="BY96" s="38" t="str">
        <f>IFERROR('1.vize'!CJ96*100/'1.vize'!$I96,"")</f>
        <v/>
      </c>
      <c r="BZ96" s="38" t="str">
        <f>IFERROR('1.vize'!CK96*100/'1.vize'!$I96,"")</f>
        <v/>
      </c>
      <c r="CA96" s="38" t="str">
        <f>IFERROR('1.vize'!CL96*100/'1.vize'!$I96,"")</f>
        <v/>
      </c>
      <c r="CB96" s="38" t="str">
        <f>IFERROR('1.vize'!CM96*100/'1.vize'!$I96,"")</f>
        <v/>
      </c>
      <c r="CC96" s="38" t="str">
        <f>IFERROR('1.vize'!CN96*100/'1.vize'!$I96,"")</f>
        <v/>
      </c>
      <c r="CD96" s="38" t="str">
        <f>IFERROR('1.vize'!CO96*100/'1.vize'!$I96,"")</f>
        <v/>
      </c>
      <c r="CE96" s="38" t="str">
        <f>IFERROR('1.vize'!CP96*100/'1.vize'!$I96,"")</f>
        <v/>
      </c>
      <c r="CF96" s="38" t="str">
        <f>IFERROR('1.vize'!CQ96*100/'1.vize'!$I96,"")</f>
        <v/>
      </c>
      <c r="CG96" s="38" t="str">
        <f>IFERROR('1.vize'!CR96*100/'1.vize'!$I96,"")</f>
        <v/>
      </c>
      <c r="CH96" s="38" t="str">
        <f>IFERROR('1.vize'!CS96*100/'1.vize'!$I96,"")</f>
        <v/>
      </c>
      <c r="CI96" s="38" t="str">
        <f>IFERROR('1.vize'!CT96*100/'1.vize'!$I96,"")</f>
        <v/>
      </c>
      <c r="CJ96" s="38" t="str">
        <f>IFERROR('1.vize'!CU96*100/'1.vize'!$I96,"")</f>
        <v/>
      </c>
      <c r="CK96" s="38" t="str">
        <f>IFERROR('1.vize'!CV96*100/'1.vize'!$I96,"")</f>
        <v/>
      </c>
      <c r="CL96" s="38" t="str">
        <f>IFERROR('1.vize'!CW96*100/'1.vize'!$I96,"")</f>
        <v/>
      </c>
      <c r="CM96" s="38" t="str">
        <f>IFERROR('1.vize'!CX96*100/'1.vize'!$I96,"")</f>
        <v/>
      </c>
      <c r="CN96" s="38" t="str">
        <f>IFERROR('1.vize'!CY96*100/'1.vize'!$I96,"")</f>
        <v/>
      </c>
      <c r="CO96" s="38" t="str">
        <f>IFERROR('1.vize'!CZ96*100/'1.vize'!$I96,"")</f>
        <v/>
      </c>
      <c r="CP96" s="38" t="str">
        <f>IFERROR('1.vize'!DA96*100/'1.vize'!$I96,"")</f>
        <v/>
      </c>
      <c r="CQ96" s="38" t="str">
        <f>IFERROR('1.vize'!DB96*100/'1.vize'!$I96,"")</f>
        <v/>
      </c>
      <c r="CR96" s="38" t="str">
        <f>IFERROR('1.vize'!DC96*100/'1.vize'!$I96,"")</f>
        <v/>
      </c>
      <c r="CS96" s="38" t="str">
        <f>IFERROR('1.vize'!DD96*100/'1.vize'!$I96,"")</f>
        <v/>
      </c>
      <c r="CT96" s="38" t="str">
        <f>IFERROR('1.vize'!DE96*100/'1.vize'!$I96,"")</f>
        <v/>
      </c>
      <c r="CU96" s="38" t="str">
        <f>IFERROR('1.vize'!DF96*100/'1.vize'!$I96,"")</f>
        <v/>
      </c>
      <c r="CV96" s="38" t="str">
        <f>IFERROR('1.vize'!DG96*100/'1.vize'!$I96,"")</f>
        <v/>
      </c>
      <c r="CW96" s="32" t="str">
        <f>IFERROR(SUM(A96:CV96)/'1.vize'!$DH$103,"")</f>
        <v/>
      </c>
      <c r="CX96" s="14" t="str">
        <f>IF(COUNTA('1.vize'!A96),'1.vize'!A96,"")</f>
        <v/>
      </c>
      <c r="CY96" s="14" t="str">
        <f>IF(COUNTA('1.vize'!B96),'1.vize'!B96,"")</f>
        <v/>
      </c>
      <c r="CZ96" s="14" t="str">
        <f>IF(COUNTA('1.vize'!C96),'1.vize'!C96,"")</f>
        <v/>
      </c>
      <c r="DA96" s="14" t="str">
        <f>IF(COUNTA('1.vize'!D96),'1.vize'!D96,"")</f>
        <v/>
      </c>
      <c r="DB96" s="14" t="str">
        <f>IF(COUNTA('1.vize'!E96),'1.vize'!E96,"")</f>
        <v/>
      </c>
      <c r="DC96" s="14" t="str">
        <f>IF(COUNTA('1.vize'!F96),'1.vize'!F96,"")</f>
        <v/>
      </c>
      <c r="DD96" s="14" t="str">
        <f>IF(COUNTA('1.vize'!G96),'1.vize'!G96,"")</f>
        <v/>
      </c>
      <c r="DE96" s="14" t="str">
        <f>IF(COUNTA('1.vize'!H96),'1.vize'!H96,"")</f>
        <v/>
      </c>
      <c r="DF96" s="33"/>
    </row>
    <row r="97" spans="1:118" x14ac:dyDescent="0.2">
      <c r="A97" s="38" t="str">
        <f>IFERROR('1.vize'!L97*100/'1.vize'!$I97,"")</f>
        <v/>
      </c>
      <c r="B97" s="38" t="str">
        <f>IFERROR('1.vize'!M97*100/'1.vize'!$I97,"")</f>
        <v/>
      </c>
      <c r="C97" s="38" t="str">
        <f>IFERROR('1.vize'!N97*100/'1.vize'!$I97,"")</f>
        <v/>
      </c>
      <c r="D97" s="38" t="str">
        <f>IFERROR('1.vize'!O97*100/'1.vize'!$I97,"")</f>
        <v/>
      </c>
      <c r="E97" s="38" t="str">
        <f>IFERROR('1.vize'!P97*100/'1.vize'!$I97,"")</f>
        <v/>
      </c>
      <c r="F97" s="38" t="str">
        <f>IFERROR('1.vize'!Q97*100/'1.vize'!$I97,"")</f>
        <v/>
      </c>
      <c r="G97" s="38" t="str">
        <f>IFERROR('1.vize'!R97*100/'1.vize'!$I97,"")</f>
        <v/>
      </c>
      <c r="H97" s="38" t="str">
        <f>IFERROR('1.vize'!S97*100/'1.vize'!$I97,"")</f>
        <v/>
      </c>
      <c r="I97" s="38" t="str">
        <f>IFERROR('1.vize'!T97*100/'1.vize'!$I97,"")</f>
        <v/>
      </c>
      <c r="J97" s="38" t="str">
        <f>IFERROR('1.vize'!U97*100/'1.vize'!$I97,"")</f>
        <v/>
      </c>
      <c r="K97" s="38" t="str">
        <f>IFERROR('1.vize'!V97*100/'1.vize'!$I97,"")</f>
        <v/>
      </c>
      <c r="L97" s="38" t="str">
        <f>IFERROR('1.vize'!W97*100/'1.vize'!$I97,"")</f>
        <v/>
      </c>
      <c r="M97" s="38" t="str">
        <f>IFERROR('1.vize'!X97*100/'1.vize'!$I97,"")</f>
        <v/>
      </c>
      <c r="N97" s="38" t="str">
        <f>IFERROR('1.vize'!Y97*100/'1.vize'!$I97,"")</f>
        <v/>
      </c>
      <c r="O97" s="38" t="str">
        <f>IFERROR('1.vize'!Z97*100/'1.vize'!$I97,"")</f>
        <v/>
      </c>
      <c r="P97" s="38" t="str">
        <f>IFERROR('1.vize'!AA97*100/'1.vize'!$I97,"")</f>
        <v/>
      </c>
      <c r="Q97" s="38" t="str">
        <f>IFERROR('1.vize'!AB97*100/'1.vize'!$I97,"")</f>
        <v/>
      </c>
      <c r="R97" s="38" t="str">
        <f>IFERROR('1.vize'!AC97*100/'1.vize'!$I97,"")</f>
        <v/>
      </c>
      <c r="S97" s="38" t="str">
        <f>IFERROR('1.vize'!AD97*100/'1.vize'!$I97,"")</f>
        <v/>
      </c>
      <c r="T97" s="38" t="str">
        <f>IFERROR('1.vize'!AE97*100/'1.vize'!$I97,"")</f>
        <v/>
      </c>
      <c r="U97" s="38" t="str">
        <f>IFERROR('1.vize'!AF97*100/'1.vize'!$I97,"")</f>
        <v/>
      </c>
      <c r="V97" s="38" t="str">
        <f>IFERROR('1.vize'!AG97*100/'1.vize'!$I97,"")</f>
        <v/>
      </c>
      <c r="W97" s="38" t="str">
        <f>IFERROR('1.vize'!AH97*100/'1.vize'!$I97,"")</f>
        <v/>
      </c>
      <c r="X97" s="38" t="str">
        <f>IFERROR('1.vize'!AI97*100/'1.vize'!$I97,"")</f>
        <v/>
      </c>
      <c r="Y97" s="38" t="str">
        <f>IFERROR('1.vize'!AJ97*100/'1.vize'!$I97,"")</f>
        <v/>
      </c>
      <c r="Z97" s="38" t="str">
        <f>IFERROR('1.vize'!AK97*100/'1.vize'!$I97,"")</f>
        <v/>
      </c>
      <c r="AA97" s="38" t="str">
        <f>IFERROR('1.vize'!AL97*100/'1.vize'!$I97,"")</f>
        <v/>
      </c>
      <c r="AB97" s="38" t="str">
        <f>IFERROR('1.vize'!AM97*100/'1.vize'!$I97,"")</f>
        <v/>
      </c>
      <c r="AC97" s="38" t="str">
        <f>IFERROR('1.vize'!AN97*100/'1.vize'!$I97,"")</f>
        <v/>
      </c>
      <c r="AD97" s="38" t="str">
        <f>IFERROR('1.vize'!AO97*100/'1.vize'!$I97,"")</f>
        <v/>
      </c>
      <c r="AE97" s="38" t="str">
        <f>IFERROR('1.vize'!AP97*100/'1.vize'!$I97,"")</f>
        <v/>
      </c>
      <c r="AF97" s="38" t="str">
        <f>IFERROR('1.vize'!AQ97*100/'1.vize'!$I97,"")</f>
        <v/>
      </c>
      <c r="AG97" s="38" t="str">
        <f>IFERROR('1.vize'!AR97*100/'1.vize'!$I97,"")</f>
        <v/>
      </c>
      <c r="AH97" s="38" t="str">
        <f>IFERROR('1.vize'!AS97*100/'1.vize'!$I97,"")</f>
        <v/>
      </c>
      <c r="AI97" s="38" t="str">
        <f>IFERROR('1.vize'!AT97*100/'1.vize'!$I97,"")</f>
        <v/>
      </c>
      <c r="AJ97" s="38" t="str">
        <f>IFERROR('1.vize'!AU97*100/'1.vize'!$I97,"")</f>
        <v/>
      </c>
      <c r="AK97" s="38" t="str">
        <f>IFERROR('1.vize'!AV97*100/'1.vize'!$I97,"")</f>
        <v/>
      </c>
      <c r="AL97" s="38" t="str">
        <f>IFERROR('1.vize'!AW97*100/'1.vize'!$I97,"")</f>
        <v/>
      </c>
      <c r="AM97" s="38" t="str">
        <f>IFERROR('1.vize'!AX97*100/'1.vize'!$I97,"")</f>
        <v/>
      </c>
      <c r="AN97" s="38" t="str">
        <f>IFERROR('1.vize'!AY97*100/'1.vize'!$I97,"")</f>
        <v/>
      </c>
      <c r="AO97" s="38" t="str">
        <f>IFERROR('1.vize'!AZ97*100/'1.vize'!$I97,"")</f>
        <v/>
      </c>
      <c r="AP97" s="38" t="str">
        <f>IFERROR('1.vize'!BA97*100/'1.vize'!$I97,"")</f>
        <v/>
      </c>
      <c r="AQ97" s="38" t="str">
        <f>IFERROR('1.vize'!BB97*100/'1.vize'!$I97,"")</f>
        <v/>
      </c>
      <c r="AR97" s="38" t="str">
        <f>IFERROR('1.vize'!BC97*100/'1.vize'!$I97,"")</f>
        <v/>
      </c>
      <c r="AS97" s="38" t="str">
        <f>IFERROR('1.vize'!BD97*100/'1.vize'!$I97,"")</f>
        <v/>
      </c>
      <c r="AT97" s="38" t="str">
        <f>IFERROR('1.vize'!BE97*100/'1.vize'!$I97,"")</f>
        <v/>
      </c>
      <c r="AU97" s="38" t="str">
        <f>IFERROR('1.vize'!BF97*100/'1.vize'!$I97,"")</f>
        <v/>
      </c>
      <c r="AV97" s="38" t="str">
        <f>IFERROR('1.vize'!BG97*100/'1.vize'!$I97,"")</f>
        <v/>
      </c>
      <c r="AW97" s="38" t="str">
        <f>IFERROR('1.vize'!BH97*100/'1.vize'!$I97,"")</f>
        <v/>
      </c>
      <c r="AX97" s="38" t="str">
        <f>IFERROR('1.vize'!BI97*100/'1.vize'!$I97,"")</f>
        <v/>
      </c>
      <c r="AY97" s="38" t="str">
        <f>IFERROR('1.vize'!BJ97*100/'1.vize'!$I97,"")</f>
        <v/>
      </c>
      <c r="AZ97" s="38" t="str">
        <f>IFERROR('1.vize'!BK97*100/'1.vize'!$I97,"")</f>
        <v/>
      </c>
      <c r="BA97" s="38" t="str">
        <f>IFERROR('1.vize'!BL97*100/'1.vize'!$I97,"")</f>
        <v/>
      </c>
      <c r="BB97" s="38" t="str">
        <f>IFERROR('1.vize'!BM97*100/'1.vize'!$I97,"")</f>
        <v/>
      </c>
      <c r="BC97" s="38" t="str">
        <f>IFERROR('1.vize'!BN97*100/'1.vize'!$I97,"")</f>
        <v/>
      </c>
      <c r="BD97" s="38" t="str">
        <f>IFERROR('1.vize'!BO97*100/'1.vize'!$I97,"")</f>
        <v/>
      </c>
      <c r="BE97" s="38" t="str">
        <f>IFERROR('1.vize'!BP97*100/'1.vize'!$I97,"")</f>
        <v/>
      </c>
      <c r="BF97" s="38" t="str">
        <f>IFERROR('1.vize'!BQ97*100/'1.vize'!$I97,"")</f>
        <v/>
      </c>
      <c r="BG97" s="38" t="str">
        <f>IFERROR('1.vize'!BR97*100/'1.vize'!$I97,"")</f>
        <v/>
      </c>
      <c r="BH97" s="38" t="str">
        <f>IFERROR('1.vize'!BS97*100/'1.vize'!$I97,"")</f>
        <v/>
      </c>
      <c r="BI97" s="38" t="str">
        <f>IFERROR('1.vize'!BT97*100/'1.vize'!$I97,"")</f>
        <v/>
      </c>
      <c r="BJ97" s="38" t="str">
        <f>IFERROR('1.vize'!BU97*100/'1.vize'!$I97,"")</f>
        <v/>
      </c>
      <c r="BK97" s="38" t="str">
        <f>IFERROR('1.vize'!BV97*100/'1.vize'!$I97,"")</f>
        <v/>
      </c>
      <c r="BL97" s="38" t="str">
        <f>IFERROR('1.vize'!BW97*100/'1.vize'!$I97,"")</f>
        <v/>
      </c>
      <c r="BM97" s="38" t="str">
        <f>IFERROR('1.vize'!BX97*100/'1.vize'!$I97,"")</f>
        <v/>
      </c>
      <c r="BN97" s="38" t="str">
        <f>IFERROR('1.vize'!BY97*100/'1.vize'!$I97,"")</f>
        <v/>
      </c>
      <c r="BO97" s="38" t="str">
        <f>IFERROR('1.vize'!BZ97*100/'1.vize'!$I97,"")</f>
        <v/>
      </c>
      <c r="BP97" s="38" t="str">
        <f>IFERROR('1.vize'!CA97*100/'1.vize'!$I97,"")</f>
        <v/>
      </c>
      <c r="BQ97" s="38" t="str">
        <f>IFERROR('1.vize'!CB97*100/'1.vize'!$I97,"")</f>
        <v/>
      </c>
      <c r="BR97" s="38" t="str">
        <f>IFERROR('1.vize'!CC97*100/'1.vize'!$I97,"")</f>
        <v/>
      </c>
      <c r="BS97" s="38" t="str">
        <f>IFERROR('1.vize'!CD97*100/'1.vize'!$I97,"")</f>
        <v/>
      </c>
      <c r="BT97" s="38" t="str">
        <f>IFERROR('1.vize'!CE97*100/'1.vize'!$I97,"")</f>
        <v/>
      </c>
      <c r="BU97" s="38" t="str">
        <f>IFERROR('1.vize'!CF97*100/'1.vize'!$I97,"")</f>
        <v/>
      </c>
      <c r="BV97" s="38" t="str">
        <f>IFERROR('1.vize'!CG97*100/'1.vize'!$I97,"")</f>
        <v/>
      </c>
      <c r="BW97" s="38" t="str">
        <f>IFERROR('1.vize'!CH97*100/'1.vize'!$I97,"")</f>
        <v/>
      </c>
      <c r="BX97" s="38" t="str">
        <f>IFERROR('1.vize'!CI97*100/'1.vize'!$I97,"")</f>
        <v/>
      </c>
      <c r="BY97" s="38" t="str">
        <f>IFERROR('1.vize'!CJ97*100/'1.vize'!$I97,"")</f>
        <v/>
      </c>
      <c r="BZ97" s="38" t="str">
        <f>IFERROR('1.vize'!CK97*100/'1.vize'!$I97,"")</f>
        <v/>
      </c>
      <c r="CA97" s="38" t="str">
        <f>IFERROR('1.vize'!CL97*100/'1.vize'!$I97,"")</f>
        <v/>
      </c>
      <c r="CB97" s="38" t="str">
        <f>IFERROR('1.vize'!CM97*100/'1.vize'!$I97,"")</f>
        <v/>
      </c>
      <c r="CC97" s="38" t="str">
        <f>IFERROR('1.vize'!CN97*100/'1.vize'!$I97,"")</f>
        <v/>
      </c>
      <c r="CD97" s="38" t="str">
        <f>IFERROR('1.vize'!CO97*100/'1.vize'!$I97,"")</f>
        <v/>
      </c>
      <c r="CE97" s="38" t="str">
        <f>IFERROR('1.vize'!CP97*100/'1.vize'!$I97,"")</f>
        <v/>
      </c>
      <c r="CF97" s="38" t="str">
        <f>IFERROR('1.vize'!CQ97*100/'1.vize'!$I97,"")</f>
        <v/>
      </c>
      <c r="CG97" s="38" t="str">
        <f>IFERROR('1.vize'!CR97*100/'1.vize'!$I97,"")</f>
        <v/>
      </c>
      <c r="CH97" s="38" t="str">
        <f>IFERROR('1.vize'!CS97*100/'1.vize'!$I97,"")</f>
        <v/>
      </c>
      <c r="CI97" s="38" t="str">
        <f>IFERROR('1.vize'!CT97*100/'1.vize'!$I97,"")</f>
        <v/>
      </c>
      <c r="CJ97" s="38" t="str">
        <f>IFERROR('1.vize'!CU97*100/'1.vize'!$I97,"")</f>
        <v/>
      </c>
      <c r="CK97" s="38" t="str">
        <f>IFERROR('1.vize'!CV97*100/'1.vize'!$I97,"")</f>
        <v/>
      </c>
      <c r="CL97" s="38" t="str">
        <f>IFERROR('1.vize'!CW97*100/'1.vize'!$I97,"")</f>
        <v/>
      </c>
      <c r="CM97" s="38" t="str">
        <f>IFERROR('1.vize'!CX97*100/'1.vize'!$I97,"")</f>
        <v/>
      </c>
      <c r="CN97" s="38" t="str">
        <f>IFERROR('1.vize'!CY97*100/'1.vize'!$I97,"")</f>
        <v/>
      </c>
      <c r="CO97" s="38" t="str">
        <f>IFERROR('1.vize'!CZ97*100/'1.vize'!$I97,"")</f>
        <v/>
      </c>
      <c r="CP97" s="38" t="str">
        <f>IFERROR('1.vize'!DA97*100/'1.vize'!$I97,"")</f>
        <v/>
      </c>
      <c r="CQ97" s="38" t="str">
        <f>IFERROR('1.vize'!DB97*100/'1.vize'!$I97,"")</f>
        <v/>
      </c>
      <c r="CR97" s="38" t="str">
        <f>IFERROR('1.vize'!DC97*100/'1.vize'!$I97,"")</f>
        <v/>
      </c>
      <c r="CS97" s="38" t="str">
        <f>IFERROR('1.vize'!DD97*100/'1.vize'!$I97,"")</f>
        <v/>
      </c>
      <c r="CT97" s="38" t="str">
        <f>IFERROR('1.vize'!DE97*100/'1.vize'!$I97,"")</f>
        <v/>
      </c>
      <c r="CU97" s="38" t="str">
        <f>IFERROR('1.vize'!DF97*100/'1.vize'!$I97,"")</f>
        <v/>
      </c>
      <c r="CV97" s="38" t="str">
        <f>IFERROR('1.vize'!DG97*100/'1.vize'!$I97,"")</f>
        <v/>
      </c>
      <c r="CW97" s="32" t="str">
        <f>IFERROR(SUM(A97:CV97)/'1.vize'!$DH$103,"")</f>
        <v/>
      </c>
      <c r="CX97" s="14" t="str">
        <f>IF(COUNTA('1.vize'!A97),'1.vize'!A97,"")</f>
        <v/>
      </c>
      <c r="CY97" s="14" t="str">
        <f>IF(COUNTA('1.vize'!B97),'1.vize'!B97,"")</f>
        <v/>
      </c>
      <c r="CZ97" s="14" t="str">
        <f>IF(COUNTA('1.vize'!C97),'1.vize'!C97,"")</f>
        <v/>
      </c>
      <c r="DA97" s="14" t="str">
        <f>IF(COUNTA('1.vize'!D97),'1.vize'!D97,"")</f>
        <v/>
      </c>
      <c r="DB97" s="14" t="str">
        <f>IF(COUNTA('1.vize'!E97),'1.vize'!E97,"")</f>
        <v/>
      </c>
      <c r="DC97" s="14" t="str">
        <f>IF(COUNTA('1.vize'!F97),'1.vize'!F97,"")</f>
        <v/>
      </c>
      <c r="DD97" s="14" t="str">
        <f>IF(COUNTA('1.vize'!G97),'1.vize'!G97,"")</f>
        <v/>
      </c>
      <c r="DE97" s="14" t="str">
        <f>IF(COUNTA('1.vize'!H97),'1.vize'!H97,"")</f>
        <v/>
      </c>
      <c r="DF97" s="33"/>
    </row>
    <row r="98" spans="1:118" x14ac:dyDescent="0.2">
      <c r="A98" s="38" t="str">
        <f>IFERROR('1.vize'!L98*100/'1.vize'!$I98,"")</f>
        <v/>
      </c>
      <c r="B98" s="38" t="str">
        <f>IFERROR('1.vize'!M98*100/'1.vize'!$I98,"")</f>
        <v/>
      </c>
      <c r="C98" s="38" t="str">
        <f>IFERROR('1.vize'!N98*100/'1.vize'!$I98,"")</f>
        <v/>
      </c>
      <c r="D98" s="38" t="str">
        <f>IFERROR('1.vize'!O98*100/'1.vize'!$I98,"")</f>
        <v/>
      </c>
      <c r="E98" s="38" t="str">
        <f>IFERROR('1.vize'!P98*100/'1.vize'!$I98,"")</f>
        <v/>
      </c>
      <c r="F98" s="38" t="str">
        <f>IFERROR('1.vize'!Q98*100/'1.vize'!$I98,"")</f>
        <v/>
      </c>
      <c r="G98" s="38" t="str">
        <f>IFERROR('1.vize'!R98*100/'1.vize'!$I98,"")</f>
        <v/>
      </c>
      <c r="H98" s="38" t="str">
        <f>IFERROR('1.vize'!S98*100/'1.vize'!$I98,"")</f>
        <v/>
      </c>
      <c r="I98" s="38" t="str">
        <f>IFERROR('1.vize'!T98*100/'1.vize'!$I98,"")</f>
        <v/>
      </c>
      <c r="J98" s="38" t="str">
        <f>IFERROR('1.vize'!U98*100/'1.vize'!$I98,"")</f>
        <v/>
      </c>
      <c r="K98" s="38" t="str">
        <f>IFERROR('1.vize'!V98*100/'1.vize'!$I98,"")</f>
        <v/>
      </c>
      <c r="L98" s="38" t="str">
        <f>IFERROR('1.vize'!W98*100/'1.vize'!$I98,"")</f>
        <v/>
      </c>
      <c r="M98" s="38" t="str">
        <f>IFERROR('1.vize'!X98*100/'1.vize'!$I98,"")</f>
        <v/>
      </c>
      <c r="N98" s="38" t="str">
        <f>IFERROR('1.vize'!Y98*100/'1.vize'!$I98,"")</f>
        <v/>
      </c>
      <c r="O98" s="38" t="str">
        <f>IFERROR('1.vize'!Z98*100/'1.vize'!$I98,"")</f>
        <v/>
      </c>
      <c r="P98" s="38" t="str">
        <f>IFERROR('1.vize'!AA98*100/'1.vize'!$I98,"")</f>
        <v/>
      </c>
      <c r="Q98" s="38" t="str">
        <f>IFERROR('1.vize'!AB98*100/'1.vize'!$I98,"")</f>
        <v/>
      </c>
      <c r="R98" s="38" t="str">
        <f>IFERROR('1.vize'!AC98*100/'1.vize'!$I98,"")</f>
        <v/>
      </c>
      <c r="S98" s="38" t="str">
        <f>IFERROR('1.vize'!AD98*100/'1.vize'!$I98,"")</f>
        <v/>
      </c>
      <c r="T98" s="38" t="str">
        <f>IFERROR('1.vize'!AE98*100/'1.vize'!$I98,"")</f>
        <v/>
      </c>
      <c r="U98" s="38" t="str">
        <f>IFERROR('1.vize'!AF98*100/'1.vize'!$I98,"")</f>
        <v/>
      </c>
      <c r="V98" s="38" t="str">
        <f>IFERROR('1.vize'!AG98*100/'1.vize'!$I98,"")</f>
        <v/>
      </c>
      <c r="W98" s="38" t="str">
        <f>IFERROR('1.vize'!AH98*100/'1.vize'!$I98,"")</f>
        <v/>
      </c>
      <c r="X98" s="38" t="str">
        <f>IFERROR('1.vize'!AI98*100/'1.vize'!$I98,"")</f>
        <v/>
      </c>
      <c r="Y98" s="38" t="str">
        <f>IFERROR('1.vize'!AJ98*100/'1.vize'!$I98,"")</f>
        <v/>
      </c>
      <c r="Z98" s="38" t="str">
        <f>IFERROR('1.vize'!AK98*100/'1.vize'!$I98,"")</f>
        <v/>
      </c>
      <c r="AA98" s="38" t="str">
        <f>IFERROR('1.vize'!AL98*100/'1.vize'!$I98,"")</f>
        <v/>
      </c>
      <c r="AB98" s="38" t="str">
        <f>IFERROR('1.vize'!AM98*100/'1.vize'!$I98,"")</f>
        <v/>
      </c>
      <c r="AC98" s="38" t="str">
        <f>IFERROR('1.vize'!AN98*100/'1.vize'!$I98,"")</f>
        <v/>
      </c>
      <c r="AD98" s="38" t="str">
        <f>IFERROR('1.vize'!AO98*100/'1.vize'!$I98,"")</f>
        <v/>
      </c>
      <c r="AE98" s="38" t="str">
        <f>IFERROR('1.vize'!AP98*100/'1.vize'!$I98,"")</f>
        <v/>
      </c>
      <c r="AF98" s="38" t="str">
        <f>IFERROR('1.vize'!AQ98*100/'1.vize'!$I98,"")</f>
        <v/>
      </c>
      <c r="AG98" s="38" t="str">
        <f>IFERROR('1.vize'!AR98*100/'1.vize'!$I98,"")</f>
        <v/>
      </c>
      <c r="AH98" s="38" t="str">
        <f>IFERROR('1.vize'!AS98*100/'1.vize'!$I98,"")</f>
        <v/>
      </c>
      <c r="AI98" s="38" t="str">
        <f>IFERROR('1.vize'!AT98*100/'1.vize'!$I98,"")</f>
        <v/>
      </c>
      <c r="AJ98" s="38" t="str">
        <f>IFERROR('1.vize'!AU98*100/'1.vize'!$I98,"")</f>
        <v/>
      </c>
      <c r="AK98" s="38" t="str">
        <f>IFERROR('1.vize'!AV98*100/'1.vize'!$I98,"")</f>
        <v/>
      </c>
      <c r="AL98" s="38" t="str">
        <f>IFERROR('1.vize'!AW98*100/'1.vize'!$I98,"")</f>
        <v/>
      </c>
      <c r="AM98" s="38" t="str">
        <f>IFERROR('1.vize'!AX98*100/'1.vize'!$I98,"")</f>
        <v/>
      </c>
      <c r="AN98" s="38" t="str">
        <f>IFERROR('1.vize'!AY98*100/'1.vize'!$I98,"")</f>
        <v/>
      </c>
      <c r="AO98" s="38" t="str">
        <f>IFERROR('1.vize'!AZ98*100/'1.vize'!$I98,"")</f>
        <v/>
      </c>
      <c r="AP98" s="38" t="str">
        <f>IFERROR('1.vize'!BA98*100/'1.vize'!$I98,"")</f>
        <v/>
      </c>
      <c r="AQ98" s="38" t="str">
        <f>IFERROR('1.vize'!BB98*100/'1.vize'!$I98,"")</f>
        <v/>
      </c>
      <c r="AR98" s="38" t="str">
        <f>IFERROR('1.vize'!BC98*100/'1.vize'!$I98,"")</f>
        <v/>
      </c>
      <c r="AS98" s="38" t="str">
        <f>IFERROR('1.vize'!BD98*100/'1.vize'!$I98,"")</f>
        <v/>
      </c>
      <c r="AT98" s="38" t="str">
        <f>IFERROR('1.vize'!BE98*100/'1.vize'!$I98,"")</f>
        <v/>
      </c>
      <c r="AU98" s="38" t="str">
        <f>IFERROR('1.vize'!BF98*100/'1.vize'!$I98,"")</f>
        <v/>
      </c>
      <c r="AV98" s="38" t="str">
        <f>IFERROR('1.vize'!BG98*100/'1.vize'!$I98,"")</f>
        <v/>
      </c>
      <c r="AW98" s="38" t="str">
        <f>IFERROR('1.vize'!BH98*100/'1.vize'!$I98,"")</f>
        <v/>
      </c>
      <c r="AX98" s="38" t="str">
        <f>IFERROR('1.vize'!BI98*100/'1.vize'!$I98,"")</f>
        <v/>
      </c>
      <c r="AY98" s="38" t="str">
        <f>IFERROR('1.vize'!BJ98*100/'1.vize'!$I98,"")</f>
        <v/>
      </c>
      <c r="AZ98" s="38" t="str">
        <f>IFERROR('1.vize'!BK98*100/'1.vize'!$I98,"")</f>
        <v/>
      </c>
      <c r="BA98" s="38" t="str">
        <f>IFERROR('1.vize'!BL98*100/'1.vize'!$I98,"")</f>
        <v/>
      </c>
      <c r="BB98" s="38" t="str">
        <f>IFERROR('1.vize'!BM98*100/'1.vize'!$I98,"")</f>
        <v/>
      </c>
      <c r="BC98" s="38" t="str">
        <f>IFERROR('1.vize'!BN98*100/'1.vize'!$I98,"")</f>
        <v/>
      </c>
      <c r="BD98" s="38" t="str">
        <f>IFERROR('1.vize'!BO98*100/'1.vize'!$I98,"")</f>
        <v/>
      </c>
      <c r="BE98" s="38" t="str">
        <f>IFERROR('1.vize'!BP98*100/'1.vize'!$I98,"")</f>
        <v/>
      </c>
      <c r="BF98" s="38" t="str">
        <f>IFERROR('1.vize'!BQ98*100/'1.vize'!$I98,"")</f>
        <v/>
      </c>
      <c r="BG98" s="38" t="str">
        <f>IFERROR('1.vize'!BR98*100/'1.vize'!$I98,"")</f>
        <v/>
      </c>
      <c r="BH98" s="38" t="str">
        <f>IFERROR('1.vize'!BS98*100/'1.vize'!$I98,"")</f>
        <v/>
      </c>
      <c r="BI98" s="38" t="str">
        <f>IFERROR('1.vize'!BT98*100/'1.vize'!$I98,"")</f>
        <v/>
      </c>
      <c r="BJ98" s="38" t="str">
        <f>IFERROR('1.vize'!BU98*100/'1.vize'!$I98,"")</f>
        <v/>
      </c>
      <c r="BK98" s="38" t="str">
        <f>IFERROR('1.vize'!BV98*100/'1.vize'!$I98,"")</f>
        <v/>
      </c>
      <c r="BL98" s="38" t="str">
        <f>IFERROR('1.vize'!BW98*100/'1.vize'!$I98,"")</f>
        <v/>
      </c>
      <c r="BM98" s="38" t="str">
        <f>IFERROR('1.vize'!BX98*100/'1.vize'!$I98,"")</f>
        <v/>
      </c>
      <c r="BN98" s="38" t="str">
        <f>IFERROR('1.vize'!BY98*100/'1.vize'!$I98,"")</f>
        <v/>
      </c>
      <c r="BO98" s="38" t="str">
        <f>IFERROR('1.vize'!BZ98*100/'1.vize'!$I98,"")</f>
        <v/>
      </c>
      <c r="BP98" s="38" t="str">
        <f>IFERROR('1.vize'!CA98*100/'1.vize'!$I98,"")</f>
        <v/>
      </c>
      <c r="BQ98" s="38" t="str">
        <f>IFERROR('1.vize'!CB98*100/'1.vize'!$I98,"")</f>
        <v/>
      </c>
      <c r="BR98" s="38" t="str">
        <f>IFERROR('1.vize'!CC98*100/'1.vize'!$I98,"")</f>
        <v/>
      </c>
      <c r="BS98" s="38" t="str">
        <f>IFERROR('1.vize'!CD98*100/'1.vize'!$I98,"")</f>
        <v/>
      </c>
      <c r="BT98" s="38" t="str">
        <f>IFERROR('1.vize'!CE98*100/'1.vize'!$I98,"")</f>
        <v/>
      </c>
      <c r="BU98" s="38" t="str">
        <f>IFERROR('1.vize'!CF98*100/'1.vize'!$I98,"")</f>
        <v/>
      </c>
      <c r="BV98" s="38" t="str">
        <f>IFERROR('1.vize'!CG98*100/'1.vize'!$I98,"")</f>
        <v/>
      </c>
      <c r="BW98" s="38" t="str">
        <f>IFERROR('1.vize'!CH98*100/'1.vize'!$I98,"")</f>
        <v/>
      </c>
      <c r="BX98" s="38" t="str">
        <f>IFERROR('1.vize'!CI98*100/'1.vize'!$I98,"")</f>
        <v/>
      </c>
      <c r="BY98" s="38" t="str">
        <f>IFERROR('1.vize'!CJ98*100/'1.vize'!$I98,"")</f>
        <v/>
      </c>
      <c r="BZ98" s="38" t="str">
        <f>IFERROR('1.vize'!CK98*100/'1.vize'!$I98,"")</f>
        <v/>
      </c>
      <c r="CA98" s="38" t="str">
        <f>IFERROR('1.vize'!CL98*100/'1.vize'!$I98,"")</f>
        <v/>
      </c>
      <c r="CB98" s="38" t="str">
        <f>IFERROR('1.vize'!CM98*100/'1.vize'!$I98,"")</f>
        <v/>
      </c>
      <c r="CC98" s="38" t="str">
        <f>IFERROR('1.vize'!CN98*100/'1.vize'!$I98,"")</f>
        <v/>
      </c>
      <c r="CD98" s="38" t="str">
        <f>IFERROR('1.vize'!CO98*100/'1.vize'!$I98,"")</f>
        <v/>
      </c>
      <c r="CE98" s="38" t="str">
        <f>IFERROR('1.vize'!CP98*100/'1.vize'!$I98,"")</f>
        <v/>
      </c>
      <c r="CF98" s="38" t="str">
        <f>IFERROR('1.vize'!CQ98*100/'1.vize'!$I98,"")</f>
        <v/>
      </c>
      <c r="CG98" s="38" t="str">
        <f>IFERROR('1.vize'!CR98*100/'1.vize'!$I98,"")</f>
        <v/>
      </c>
      <c r="CH98" s="38" t="str">
        <f>IFERROR('1.vize'!CS98*100/'1.vize'!$I98,"")</f>
        <v/>
      </c>
      <c r="CI98" s="38" t="str">
        <f>IFERROR('1.vize'!CT98*100/'1.vize'!$I98,"")</f>
        <v/>
      </c>
      <c r="CJ98" s="38" t="str">
        <f>IFERROR('1.vize'!CU98*100/'1.vize'!$I98,"")</f>
        <v/>
      </c>
      <c r="CK98" s="38" t="str">
        <f>IFERROR('1.vize'!CV98*100/'1.vize'!$I98,"")</f>
        <v/>
      </c>
      <c r="CL98" s="38" t="str">
        <f>IFERROR('1.vize'!CW98*100/'1.vize'!$I98,"")</f>
        <v/>
      </c>
      <c r="CM98" s="38" t="str">
        <f>IFERROR('1.vize'!CX98*100/'1.vize'!$I98,"")</f>
        <v/>
      </c>
      <c r="CN98" s="38" t="str">
        <f>IFERROR('1.vize'!CY98*100/'1.vize'!$I98,"")</f>
        <v/>
      </c>
      <c r="CO98" s="38" t="str">
        <f>IFERROR('1.vize'!CZ98*100/'1.vize'!$I98,"")</f>
        <v/>
      </c>
      <c r="CP98" s="38" t="str">
        <f>IFERROR('1.vize'!DA98*100/'1.vize'!$I98,"")</f>
        <v/>
      </c>
      <c r="CQ98" s="38" t="str">
        <f>IFERROR('1.vize'!DB98*100/'1.vize'!$I98,"")</f>
        <v/>
      </c>
      <c r="CR98" s="38" t="str">
        <f>IFERROR('1.vize'!DC98*100/'1.vize'!$I98,"")</f>
        <v/>
      </c>
      <c r="CS98" s="38" t="str">
        <f>IFERROR('1.vize'!DD98*100/'1.vize'!$I98,"")</f>
        <v/>
      </c>
      <c r="CT98" s="38" t="str">
        <f>IFERROR('1.vize'!DE98*100/'1.vize'!$I98,"")</f>
        <v/>
      </c>
      <c r="CU98" s="38" t="str">
        <f>IFERROR('1.vize'!DF98*100/'1.vize'!$I98,"")</f>
        <v/>
      </c>
      <c r="CV98" s="38" t="str">
        <f>IFERROR('1.vize'!DG98*100/'1.vize'!$I98,"")</f>
        <v/>
      </c>
      <c r="CW98" s="32" t="str">
        <f>IFERROR(SUM(A98:CV98)/'1.vize'!$DH$103,"")</f>
        <v/>
      </c>
      <c r="CX98" s="14" t="str">
        <f>IF(COUNTA('1.vize'!A98),'1.vize'!A98,"")</f>
        <v/>
      </c>
      <c r="CY98" s="14" t="str">
        <f>IF(COUNTA('1.vize'!B98),'1.vize'!B98,"")</f>
        <v/>
      </c>
      <c r="CZ98" s="14" t="str">
        <f>IF(COUNTA('1.vize'!C98),'1.vize'!C98,"")</f>
        <v/>
      </c>
      <c r="DA98" s="14" t="str">
        <f>IF(COUNTA('1.vize'!D98),'1.vize'!D98,"")</f>
        <v/>
      </c>
      <c r="DB98" s="14" t="str">
        <f>IF(COUNTA('1.vize'!E98),'1.vize'!E98,"")</f>
        <v/>
      </c>
      <c r="DC98" s="14" t="str">
        <f>IF(COUNTA('1.vize'!F98),'1.vize'!F98,"")</f>
        <v/>
      </c>
      <c r="DD98" s="14" t="str">
        <f>IF(COUNTA('1.vize'!G98),'1.vize'!G98,"")</f>
        <v/>
      </c>
      <c r="DE98" s="14" t="str">
        <f>IF(COUNTA('1.vize'!H98),'1.vize'!H98,"")</f>
        <v/>
      </c>
      <c r="DF98" s="33"/>
    </row>
    <row r="99" spans="1:118" x14ac:dyDescent="0.2">
      <c r="A99" s="38" t="str">
        <f>IFERROR('1.vize'!L99*100/'1.vize'!$I99,"")</f>
        <v/>
      </c>
      <c r="B99" s="38" t="str">
        <f>IFERROR('1.vize'!M99*100/'1.vize'!$I99,"")</f>
        <v/>
      </c>
      <c r="C99" s="38" t="str">
        <f>IFERROR('1.vize'!N99*100/'1.vize'!$I99,"")</f>
        <v/>
      </c>
      <c r="D99" s="38" t="str">
        <f>IFERROR('1.vize'!O99*100/'1.vize'!$I99,"")</f>
        <v/>
      </c>
      <c r="E99" s="38" t="str">
        <f>IFERROR('1.vize'!P99*100/'1.vize'!$I99,"")</f>
        <v/>
      </c>
      <c r="F99" s="38" t="str">
        <f>IFERROR('1.vize'!Q99*100/'1.vize'!$I99,"")</f>
        <v/>
      </c>
      <c r="G99" s="38" t="str">
        <f>IFERROR('1.vize'!R99*100/'1.vize'!$I99,"")</f>
        <v/>
      </c>
      <c r="H99" s="38" t="str">
        <f>IFERROR('1.vize'!S99*100/'1.vize'!$I99,"")</f>
        <v/>
      </c>
      <c r="I99" s="38" t="str">
        <f>IFERROR('1.vize'!T99*100/'1.vize'!$I99,"")</f>
        <v/>
      </c>
      <c r="J99" s="38" t="str">
        <f>IFERROR('1.vize'!U99*100/'1.vize'!$I99,"")</f>
        <v/>
      </c>
      <c r="K99" s="38" t="str">
        <f>IFERROR('1.vize'!V99*100/'1.vize'!$I99,"")</f>
        <v/>
      </c>
      <c r="L99" s="38" t="str">
        <f>IFERROR('1.vize'!W99*100/'1.vize'!$I99,"")</f>
        <v/>
      </c>
      <c r="M99" s="38" t="str">
        <f>IFERROR('1.vize'!X99*100/'1.vize'!$I99,"")</f>
        <v/>
      </c>
      <c r="N99" s="38" t="str">
        <f>IFERROR('1.vize'!Y99*100/'1.vize'!$I99,"")</f>
        <v/>
      </c>
      <c r="O99" s="38" t="str">
        <f>IFERROR('1.vize'!Z99*100/'1.vize'!$I99,"")</f>
        <v/>
      </c>
      <c r="P99" s="38" t="str">
        <f>IFERROR('1.vize'!AA99*100/'1.vize'!$I99,"")</f>
        <v/>
      </c>
      <c r="Q99" s="38" t="str">
        <f>IFERROR('1.vize'!AB99*100/'1.vize'!$I99,"")</f>
        <v/>
      </c>
      <c r="R99" s="38" t="str">
        <f>IFERROR('1.vize'!AC99*100/'1.vize'!$I99,"")</f>
        <v/>
      </c>
      <c r="S99" s="38" t="str">
        <f>IFERROR('1.vize'!AD99*100/'1.vize'!$I99,"")</f>
        <v/>
      </c>
      <c r="T99" s="38" t="str">
        <f>IFERROR('1.vize'!AE99*100/'1.vize'!$I99,"")</f>
        <v/>
      </c>
      <c r="U99" s="38" t="str">
        <f>IFERROR('1.vize'!AF99*100/'1.vize'!$I99,"")</f>
        <v/>
      </c>
      <c r="V99" s="38" t="str">
        <f>IFERROR('1.vize'!AG99*100/'1.vize'!$I99,"")</f>
        <v/>
      </c>
      <c r="W99" s="38" t="str">
        <f>IFERROR('1.vize'!AH99*100/'1.vize'!$I99,"")</f>
        <v/>
      </c>
      <c r="X99" s="38" t="str">
        <f>IFERROR('1.vize'!AI99*100/'1.vize'!$I99,"")</f>
        <v/>
      </c>
      <c r="Y99" s="38" t="str">
        <f>IFERROR('1.vize'!AJ99*100/'1.vize'!$I99,"")</f>
        <v/>
      </c>
      <c r="Z99" s="38" t="str">
        <f>IFERROR('1.vize'!AK99*100/'1.vize'!$I99,"")</f>
        <v/>
      </c>
      <c r="AA99" s="38" t="str">
        <f>IFERROR('1.vize'!AL99*100/'1.vize'!$I99,"")</f>
        <v/>
      </c>
      <c r="AB99" s="38" t="str">
        <f>IFERROR('1.vize'!AM99*100/'1.vize'!$I99,"")</f>
        <v/>
      </c>
      <c r="AC99" s="38" t="str">
        <f>IFERROR('1.vize'!AN99*100/'1.vize'!$I99,"")</f>
        <v/>
      </c>
      <c r="AD99" s="38" t="str">
        <f>IFERROR('1.vize'!AO99*100/'1.vize'!$I99,"")</f>
        <v/>
      </c>
      <c r="AE99" s="38" t="str">
        <f>IFERROR('1.vize'!AP99*100/'1.vize'!$I99,"")</f>
        <v/>
      </c>
      <c r="AF99" s="38" t="str">
        <f>IFERROR('1.vize'!AQ99*100/'1.vize'!$I99,"")</f>
        <v/>
      </c>
      <c r="AG99" s="38" t="str">
        <f>IFERROR('1.vize'!AR99*100/'1.vize'!$I99,"")</f>
        <v/>
      </c>
      <c r="AH99" s="38" t="str">
        <f>IFERROR('1.vize'!AS99*100/'1.vize'!$I99,"")</f>
        <v/>
      </c>
      <c r="AI99" s="38" t="str">
        <f>IFERROR('1.vize'!AT99*100/'1.vize'!$I99,"")</f>
        <v/>
      </c>
      <c r="AJ99" s="38" t="str">
        <f>IFERROR('1.vize'!AU99*100/'1.vize'!$I99,"")</f>
        <v/>
      </c>
      <c r="AK99" s="38" t="str">
        <f>IFERROR('1.vize'!AV99*100/'1.vize'!$I99,"")</f>
        <v/>
      </c>
      <c r="AL99" s="38" t="str">
        <f>IFERROR('1.vize'!AW99*100/'1.vize'!$I99,"")</f>
        <v/>
      </c>
      <c r="AM99" s="38" t="str">
        <f>IFERROR('1.vize'!AX99*100/'1.vize'!$I99,"")</f>
        <v/>
      </c>
      <c r="AN99" s="38" t="str">
        <f>IFERROR('1.vize'!AY99*100/'1.vize'!$I99,"")</f>
        <v/>
      </c>
      <c r="AO99" s="38" t="str">
        <f>IFERROR('1.vize'!AZ99*100/'1.vize'!$I99,"")</f>
        <v/>
      </c>
      <c r="AP99" s="38" t="str">
        <f>IFERROR('1.vize'!BA99*100/'1.vize'!$I99,"")</f>
        <v/>
      </c>
      <c r="AQ99" s="38" t="str">
        <f>IFERROR('1.vize'!BB99*100/'1.vize'!$I99,"")</f>
        <v/>
      </c>
      <c r="AR99" s="38" t="str">
        <f>IFERROR('1.vize'!BC99*100/'1.vize'!$I99,"")</f>
        <v/>
      </c>
      <c r="AS99" s="38" t="str">
        <f>IFERROR('1.vize'!BD99*100/'1.vize'!$I99,"")</f>
        <v/>
      </c>
      <c r="AT99" s="38" t="str">
        <f>IFERROR('1.vize'!BE99*100/'1.vize'!$I99,"")</f>
        <v/>
      </c>
      <c r="AU99" s="38" t="str">
        <f>IFERROR('1.vize'!BF99*100/'1.vize'!$I99,"")</f>
        <v/>
      </c>
      <c r="AV99" s="38" t="str">
        <f>IFERROR('1.vize'!BG99*100/'1.vize'!$I99,"")</f>
        <v/>
      </c>
      <c r="AW99" s="38" t="str">
        <f>IFERROR('1.vize'!BH99*100/'1.vize'!$I99,"")</f>
        <v/>
      </c>
      <c r="AX99" s="38" t="str">
        <f>IFERROR('1.vize'!BI99*100/'1.vize'!$I99,"")</f>
        <v/>
      </c>
      <c r="AY99" s="38" t="str">
        <f>IFERROR('1.vize'!BJ99*100/'1.vize'!$I99,"")</f>
        <v/>
      </c>
      <c r="AZ99" s="38" t="str">
        <f>IFERROR('1.vize'!BK99*100/'1.vize'!$I99,"")</f>
        <v/>
      </c>
      <c r="BA99" s="38" t="str">
        <f>IFERROR('1.vize'!BL99*100/'1.vize'!$I99,"")</f>
        <v/>
      </c>
      <c r="BB99" s="38" t="str">
        <f>IFERROR('1.vize'!BM99*100/'1.vize'!$I99,"")</f>
        <v/>
      </c>
      <c r="BC99" s="38" t="str">
        <f>IFERROR('1.vize'!BN99*100/'1.vize'!$I99,"")</f>
        <v/>
      </c>
      <c r="BD99" s="38" t="str">
        <f>IFERROR('1.vize'!BO99*100/'1.vize'!$I99,"")</f>
        <v/>
      </c>
      <c r="BE99" s="38" t="str">
        <f>IFERROR('1.vize'!BP99*100/'1.vize'!$I99,"")</f>
        <v/>
      </c>
      <c r="BF99" s="38" t="str">
        <f>IFERROR('1.vize'!BQ99*100/'1.vize'!$I99,"")</f>
        <v/>
      </c>
      <c r="BG99" s="38" t="str">
        <f>IFERROR('1.vize'!BR99*100/'1.vize'!$I99,"")</f>
        <v/>
      </c>
      <c r="BH99" s="38" t="str">
        <f>IFERROR('1.vize'!BS99*100/'1.vize'!$I99,"")</f>
        <v/>
      </c>
      <c r="BI99" s="38" t="str">
        <f>IFERROR('1.vize'!BT99*100/'1.vize'!$I99,"")</f>
        <v/>
      </c>
      <c r="BJ99" s="38" t="str">
        <f>IFERROR('1.vize'!BU99*100/'1.vize'!$I99,"")</f>
        <v/>
      </c>
      <c r="BK99" s="38" t="str">
        <f>IFERROR('1.vize'!BV99*100/'1.vize'!$I99,"")</f>
        <v/>
      </c>
      <c r="BL99" s="38" t="str">
        <f>IFERROR('1.vize'!BW99*100/'1.vize'!$I99,"")</f>
        <v/>
      </c>
      <c r="BM99" s="38" t="str">
        <f>IFERROR('1.vize'!BX99*100/'1.vize'!$I99,"")</f>
        <v/>
      </c>
      <c r="BN99" s="38" t="str">
        <f>IFERROR('1.vize'!BY99*100/'1.vize'!$I99,"")</f>
        <v/>
      </c>
      <c r="BO99" s="38" t="str">
        <f>IFERROR('1.vize'!BZ99*100/'1.vize'!$I99,"")</f>
        <v/>
      </c>
      <c r="BP99" s="38" t="str">
        <f>IFERROR('1.vize'!CA99*100/'1.vize'!$I99,"")</f>
        <v/>
      </c>
      <c r="BQ99" s="38" t="str">
        <f>IFERROR('1.vize'!CB99*100/'1.vize'!$I99,"")</f>
        <v/>
      </c>
      <c r="BR99" s="38" t="str">
        <f>IFERROR('1.vize'!CC99*100/'1.vize'!$I99,"")</f>
        <v/>
      </c>
      <c r="BS99" s="38" t="str">
        <f>IFERROR('1.vize'!CD99*100/'1.vize'!$I99,"")</f>
        <v/>
      </c>
      <c r="BT99" s="38" t="str">
        <f>IFERROR('1.vize'!CE99*100/'1.vize'!$I99,"")</f>
        <v/>
      </c>
      <c r="BU99" s="38" t="str">
        <f>IFERROR('1.vize'!CF99*100/'1.vize'!$I99,"")</f>
        <v/>
      </c>
      <c r="BV99" s="38" t="str">
        <f>IFERROR('1.vize'!CG99*100/'1.vize'!$I99,"")</f>
        <v/>
      </c>
      <c r="BW99" s="38" t="str">
        <f>IFERROR('1.vize'!CH99*100/'1.vize'!$I99,"")</f>
        <v/>
      </c>
      <c r="BX99" s="38" t="str">
        <f>IFERROR('1.vize'!CI99*100/'1.vize'!$I99,"")</f>
        <v/>
      </c>
      <c r="BY99" s="38" t="str">
        <f>IFERROR('1.vize'!CJ99*100/'1.vize'!$I99,"")</f>
        <v/>
      </c>
      <c r="BZ99" s="38" t="str">
        <f>IFERROR('1.vize'!CK99*100/'1.vize'!$I99,"")</f>
        <v/>
      </c>
      <c r="CA99" s="38" t="str">
        <f>IFERROR('1.vize'!CL99*100/'1.vize'!$I99,"")</f>
        <v/>
      </c>
      <c r="CB99" s="38" t="str">
        <f>IFERROR('1.vize'!CM99*100/'1.vize'!$I99,"")</f>
        <v/>
      </c>
      <c r="CC99" s="38" t="str">
        <f>IFERROR('1.vize'!CN99*100/'1.vize'!$I99,"")</f>
        <v/>
      </c>
      <c r="CD99" s="38" t="str">
        <f>IFERROR('1.vize'!CO99*100/'1.vize'!$I99,"")</f>
        <v/>
      </c>
      <c r="CE99" s="38" t="str">
        <f>IFERROR('1.vize'!CP99*100/'1.vize'!$I99,"")</f>
        <v/>
      </c>
      <c r="CF99" s="38" t="str">
        <f>IFERROR('1.vize'!CQ99*100/'1.vize'!$I99,"")</f>
        <v/>
      </c>
      <c r="CG99" s="38" t="str">
        <f>IFERROR('1.vize'!CR99*100/'1.vize'!$I99,"")</f>
        <v/>
      </c>
      <c r="CH99" s="38" t="str">
        <f>IFERROR('1.vize'!CS99*100/'1.vize'!$I99,"")</f>
        <v/>
      </c>
      <c r="CI99" s="38" t="str">
        <f>IFERROR('1.vize'!CT99*100/'1.vize'!$I99,"")</f>
        <v/>
      </c>
      <c r="CJ99" s="38" t="str">
        <f>IFERROR('1.vize'!CU99*100/'1.vize'!$I99,"")</f>
        <v/>
      </c>
      <c r="CK99" s="38" t="str">
        <f>IFERROR('1.vize'!CV99*100/'1.vize'!$I99,"")</f>
        <v/>
      </c>
      <c r="CL99" s="38" t="str">
        <f>IFERROR('1.vize'!CW99*100/'1.vize'!$I99,"")</f>
        <v/>
      </c>
      <c r="CM99" s="38" t="str">
        <f>IFERROR('1.vize'!CX99*100/'1.vize'!$I99,"")</f>
        <v/>
      </c>
      <c r="CN99" s="38" t="str">
        <f>IFERROR('1.vize'!CY99*100/'1.vize'!$I99,"")</f>
        <v/>
      </c>
      <c r="CO99" s="38" t="str">
        <f>IFERROR('1.vize'!CZ99*100/'1.vize'!$I99,"")</f>
        <v/>
      </c>
      <c r="CP99" s="38" t="str">
        <f>IFERROR('1.vize'!DA99*100/'1.vize'!$I99,"")</f>
        <v/>
      </c>
      <c r="CQ99" s="38" t="str">
        <f>IFERROR('1.vize'!DB99*100/'1.vize'!$I99,"")</f>
        <v/>
      </c>
      <c r="CR99" s="38" t="str">
        <f>IFERROR('1.vize'!DC99*100/'1.vize'!$I99,"")</f>
        <v/>
      </c>
      <c r="CS99" s="38" t="str">
        <f>IFERROR('1.vize'!DD99*100/'1.vize'!$I99,"")</f>
        <v/>
      </c>
      <c r="CT99" s="38" t="str">
        <f>IFERROR('1.vize'!DE99*100/'1.vize'!$I99,"")</f>
        <v/>
      </c>
      <c r="CU99" s="38" t="str">
        <f>IFERROR('1.vize'!DF99*100/'1.vize'!$I99,"")</f>
        <v/>
      </c>
      <c r="CV99" s="38" t="str">
        <f>IFERROR('1.vize'!DG99*100/'1.vize'!$I99,"")</f>
        <v/>
      </c>
      <c r="CW99" s="32" t="str">
        <f>IFERROR(SUM(A99:CV99)/'1.vize'!$DH$103,"")</f>
        <v/>
      </c>
      <c r="CX99" s="14" t="str">
        <f>IF(COUNTA('1.vize'!A99),'1.vize'!A99,"")</f>
        <v/>
      </c>
      <c r="CY99" s="14" t="str">
        <f>IF(COUNTA('1.vize'!B99),'1.vize'!B99,"")</f>
        <v/>
      </c>
      <c r="CZ99" s="14" t="str">
        <f>IF(COUNTA('1.vize'!C99),'1.vize'!C99,"")</f>
        <v/>
      </c>
      <c r="DA99" s="14" t="str">
        <f>IF(COUNTA('1.vize'!D99),'1.vize'!D99,"")</f>
        <v/>
      </c>
      <c r="DB99" s="14" t="str">
        <f>IF(COUNTA('1.vize'!E99),'1.vize'!E99,"")</f>
        <v/>
      </c>
      <c r="DC99" s="14" t="str">
        <f>IF(COUNTA('1.vize'!F99),'1.vize'!F99,"")</f>
        <v/>
      </c>
      <c r="DD99" s="14" t="str">
        <f>IF(COUNTA('1.vize'!G99),'1.vize'!G99,"")</f>
        <v/>
      </c>
      <c r="DE99" s="14" t="str">
        <f>IF(COUNTA('1.vize'!H99),'1.vize'!H99,"")</f>
        <v/>
      </c>
      <c r="DF99" s="33"/>
    </row>
    <row r="100" spans="1:118" x14ac:dyDescent="0.2">
      <c r="A100" s="38" t="str">
        <f>IFERROR('1.vize'!L100*100/'1.vize'!$I100,"")</f>
        <v/>
      </c>
      <c r="B100" s="38" t="str">
        <f>IFERROR('1.vize'!M100*100/'1.vize'!$I100,"")</f>
        <v/>
      </c>
      <c r="C100" s="38" t="str">
        <f>IFERROR('1.vize'!N100*100/'1.vize'!$I100,"")</f>
        <v/>
      </c>
      <c r="D100" s="38" t="str">
        <f>IFERROR('1.vize'!O100*100/'1.vize'!$I100,"")</f>
        <v/>
      </c>
      <c r="E100" s="38" t="str">
        <f>IFERROR('1.vize'!P100*100/'1.vize'!$I100,"")</f>
        <v/>
      </c>
      <c r="F100" s="38" t="str">
        <f>IFERROR('1.vize'!Q100*100/'1.vize'!$I100,"")</f>
        <v/>
      </c>
      <c r="G100" s="38" t="str">
        <f>IFERROR('1.vize'!R100*100/'1.vize'!$I100,"")</f>
        <v/>
      </c>
      <c r="H100" s="38" t="str">
        <f>IFERROR('1.vize'!S100*100/'1.vize'!$I100,"")</f>
        <v/>
      </c>
      <c r="I100" s="38" t="str">
        <f>IFERROR('1.vize'!T100*100/'1.vize'!$I100,"")</f>
        <v/>
      </c>
      <c r="J100" s="38" t="str">
        <f>IFERROR('1.vize'!U100*100/'1.vize'!$I100,"")</f>
        <v/>
      </c>
      <c r="K100" s="38" t="str">
        <f>IFERROR('1.vize'!V100*100/'1.vize'!$I100,"")</f>
        <v/>
      </c>
      <c r="L100" s="38" t="str">
        <f>IFERROR('1.vize'!W100*100/'1.vize'!$I100,"")</f>
        <v/>
      </c>
      <c r="M100" s="38" t="str">
        <f>IFERROR('1.vize'!X100*100/'1.vize'!$I100,"")</f>
        <v/>
      </c>
      <c r="N100" s="38" t="str">
        <f>IFERROR('1.vize'!Y100*100/'1.vize'!$I100,"")</f>
        <v/>
      </c>
      <c r="O100" s="38" t="str">
        <f>IFERROR('1.vize'!Z100*100/'1.vize'!$I100,"")</f>
        <v/>
      </c>
      <c r="P100" s="38" t="str">
        <f>IFERROR('1.vize'!AA100*100/'1.vize'!$I100,"")</f>
        <v/>
      </c>
      <c r="Q100" s="38" t="str">
        <f>IFERROR('1.vize'!AB100*100/'1.vize'!$I100,"")</f>
        <v/>
      </c>
      <c r="R100" s="38" t="str">
        <f>IFERROR('1.vize'!AC100*100/'1.vize'!$I100,"")</f>
        <v/>
      </c>
      <c r="S100" s="38" t="str">
        <f>IFERROR('1.vize'!AD100*100/'1.vize'!$I100,"")</f>
        <v/>
      </c>
      <c r="T100" s="38" t="str">
        <f>IFERROR('1.vize'!AE100*100/'1.vize'!$I100,"")</f>
        <v/>
      </c>
      <c r="U100" s="38" t="str">
        <f>IFERROR('1.vize'!AF100*100/'1.vize'!$I100,"")</f>
        <v/>
      </c>
      <c r="V100" s="38" t="str">
        <f>IFERROR('1.vize'!AG100*100/'1.vize'!$I100,"")</f>
        <v/>
      </c>
      <c r="W100" s="38" t="str">
        <f>IFERROR('1.vize'!AH100*100/'1.vize'!$I100,"")</f>
        <v/>
      </c>
      <c r="X100" s="38" t="str">
        <f>IFERROR('1.vize'!AI100*100/'1.vize'!$I100,"")</f>
        <v/>
      </c>
      <c r="Y100" s="38" t="str">
        <f>IFERROR('1.vize'!AJ100*100/'1.vize'!$I100,"")</f>
        <v/>
      </c>
      <c r="Z100" s="38" t="str">
        <f>IFERROR('1.vize'!AK100*100/'1.vize'!$I100,"")</f>
        <v/>
      </c>
      <c r="AA100" s="38" t="str">
        <f>IFERROR('1.vize'!AL100*100/'1.vize'!$I100,"")</f>
        <v/>
      </c>
      <c r="AB100" s="38" t="str">
        <f>IFERROR('1.vize'!AM100*100/'1.vize'!$I100,"")</f>
        <v/>
      </c>
      <c r="AC100" s="38" t="str">
        <f>IFERROR('1.vize'!AN100*100/'1.vize'!$I100,"")</f>
        <v/>
      </c>
      <c r="AD100" s="38" t="str">
        <f>IFERROR('1.vize'!AO100*100/'1.vize'!$I100,"")</f>
        <v/>
      </c>
      <c r="AE100" s="38" t="str">
        <f>IFERROR('1.vize'!AP100*100/'1.vize'!$I100,"")</f>
        <v/>
      </c>
      <c r="AF100" s="38" t="str">
        <f>IFERROR('1.vize'!AQ100*100/'1.vize'!$I100,"")</f>
        <v/>
      </c>
      <c r="AG100" s="38" t="str">
        <f>IFERROR('1.vize'!AR100*100/'1.vize'!$I100,"")</f>
        <v/>
      </c>
      <c r="AH100" s="38" t="str">
        <f>IFERROR('1.vize'!AS100*100/'1.vize'!$I100,"")</f>
        <v/>
      </c>
      <c r="AI100" s="38" t="str">
        <f>IFERROR('1.vize'!AT100*100/'1.vize'!$I100,"")</f>
        <v/>
      </c>
      <c r="AJ100" s="38" t="str">
        <f>IFERROR('1.vize'!AU100*100/'1.vize'!$I100,"")</f>
        <v/>
      </c>
      <c r="AK100" s="38" t="str">
        <f>IFERROR('1.vize'!AV100*100/'1.vize'!$I100,"")</f>
        <v/>
      </c>
      <c r="AL100" s="38" t="str">
        <f>IFERROR('1.vize'!AW100*100/'1.vize'!$I100,"")</f>
        <v/>
      </c>
      <c r="AM100" s="38" t="str">
        <f>IFERROR('1.vize'!AX100*100/'1.vize'!$I100,"")</f>
        <v/>
      </c>
      <c r="AN100" s="38" t="str">
        <f>IFERROR('1.vize'!AY100*100/'1.vize'!$I100,"")</f>
        <v/>
      </c>
      <c r="AO100" s="38" t="str">
        <f>IFERROR('1.vize'!AZ100*100/'1.vize'!$I100,"")</f>
        <v/>
      </c>
      <c r="AP100" s="38" t="str">
        <f>IFERROR('1.vize'!BA100*100/'1.vize'!$I100,"")</f>
        <v/>
      </c>
      <c r="AQ100" s="38" t="str">
        <f>IFERROR('1.vize'!BB100*100/'1.vize'!$I100,"")</f>
        <v/>
      </c>
      <c r="AR100" s="38" t="str">
        <f>IFERROR('1.vize'!BC100*100/'1.vize'!$I100,"")</f>
        <v/>
      </c>
      <c r="AS100" s="38" t="str">
        <f>IFERROR('1.vize'!BD100*100/'1.vize'!$I100,"")</f>
        <v/>
      </c>
      <c r="AT100" s="38" t="str">
        <f>IFERROR('1.vize'!BE100*100/'1.vize'!$I100,"")</f>
        <v/>
      </c>
      <c r="AU100" s="38" t="str">
        <f>IFERROR('1.vize'!BF100*100/'1.vize'!$I100,"")</f>
        <v/>
      </c>
      <c r="AV100" s="38" t="str">
        <f>IFERROR('1.vize'!BG100*100/'1.vize'!$I100,"")</f>
        <v/>
      </c>
      <c r="AW100" s="38" t="str">
        <f>IFERROR('1.vize'!BH100*100/'1.vize'!$I100,"")</f>
        <v/>
      </c>
      <c r="AX100" s="38" t="str">
        <f>IFERROR('1.vize'!BI100*100/'1.vize'!$I100,"")</f>
        <v/>
      </c>
      <c r="AY100" s="38" t="str">
        <f>IFERROR('1.vize'!BJ100*100/'1.vize'!$I100,"")</f>
        <v/>
      </c>
      <c r="AZ100" s="38" t="str">
        <f>IFERROR('1.vize'!BK100*100/'1.vize'!$I100,"")</f>
        <v/>
      </c>
      <c r="BA100" s="38" t="str">
        <f>IFERROR('1.vize'!BL100*100/'1.vize'!$I100,"")</f>
        <v/>
      </c>
      <c r="BB100" s="38" t="str">
        <f>IFERROR('1.vize'!BM100*100/'1.vize'!$I100,"")</f>
        <v/>
      </c>
      <c r="BC100" s="38" t="str">
        <f>IFERROR('1.vize'!BN100*100/'1.vize'!$I100,"")</f>
        <v/>
      </c>
      <c r="BD100" s="38" t="str">
        <f>IFERROR('1.vize'!BO100*100/'1.vize'!$I100,"")</f>
        <v/>
      </c>
      <c r="BE100" s="38" t="str">
        <f>IFERROR('1.vize'!BP100*100/'1.vize'!$I100,"")</f>
        <v/>
      </c>
      <c r="BF100" s="38" t="str">
        <f>IFERROR('1.vize'!BQ100*100/'1.vize'!$I100,"")</f>
        <v/>
      </c>
      <c r="BG100" s="38" t="str">
        <f>IFERROR('1.vize'!BR100*100/'1.vize'!$I100,"")</f>
        <v/>
      </c>
      <c r="BH100" s="38" t="str">
        <f>IFERROR('1.vize'!BS100*100/'1.vize'!$I100,"")</f>
        <v/>
      </c>
      <c r="BI100" s="38" t="str">
        <f>IFERROR('1.vize'!BT100*100/'1.vize'!$I100,"")</f>
        <v/>
      </c>
      <c r="BJ100" s="38" t="str">
        <f>IFERROR('1.vize'!BU100*100/'1.vize'!$I100,"")</f>
        <v/>
      </c>
      <c r="BK100" s="38" t="str">
        <f>IFERROR('1.vize'!BV100*100/'1.vize'!$I100,"")</f>
        <v/>
      </c>
      <c r="BL100" s="38" t="str">
        <f>IFERROR('1.vize'!BW100*100/'1.vize'!$I100,"")</f>
        <v/>
      </c>
      <c r="BM100" s="38" t="str">
        <f>IFERROR('1.vize'!BX100*100/'1.vize'!$I100,"")</f>
        <v/>
      </c>
      <c r="BN100" s="38" t="str">
        <f>IFERROR('1.vize'!BY100*100/'1.vize'!$I100,"")</f>
        <v/>
      </c>
      <c r="BO100" s="38" t="str">
        <f>IFERROR('1.vize'!BZ100*100/'1.vize'!$I100,"")</f>
        <v/>
      </c>
      <c r="BP100" s="38" t="str">
        <f>IFERROR('1.vize'!CA100*100/'1.vize'!$I100,"")</f>
        <v/>
      </c>
      <c r="BQ100" s="38" t="str">
        <f>IFERROR('1.vize'!CB100*100/'1.vize'!$I100,"")</f>
        <v/>
      </c>
      <c r="BR100" s="38" t="str">
        <f>IFERROR('1.vize'!CC100*100/'1.vize'!$I100,"")</f>
        <v/>
      </c>
      <c r="BS100" s="38" t="str">
        <f>IFERROR('1.vize'!CD100*100/'1.vize'!$I100,"")</f>
        <v/>
      </c>
      <c r="BT100" s="38" t="str">
        <f>IFERROR('1.vize'!CE100*100/'1.vize'!$I100,"")</f>
        <v/>
      </c>
      <c r="BU100" s="38" t="str">
        <f>IFERROR('1.vize'!CF100*100/'1.vize'!$I100,"")</f>
        <v/>
      </c>
      <c r="BV100" s="38" t="str">
        <f>IFERROR('1.vize'!CG100*100/'1.vize'!$I100,"")</f>
        <v/>
      </c>
      <c r="BW100" s="38" t="str">
        <f>IFERROR('1.vize'!CH100*100/'1.vize'!$I100,"")</f>
        <v/>
      </c>
      <c r="BX100" s="38" t="str">
        <f>IFERROR('1.vize'!CI100*100/'1.vize'!$I100,"")</f>
        <v/>
      </c>
      <c r="BY100" s="38" t="str">
        <f>IFERROR('1.vize'!CJ100*100/'1.vize'!$I100,"")</f>
        <v/>
      </c>
      <c r="BZ100" s="38" t="str">
        <f>IFERROR('1.vize'!CK100*100/'1.vize'!$I100,"")</f>
        <v/>
      </c>
      <c r="CA100" s="38" t="str">
        <f>IFERROR('1.vize'!CL100*100/'1.vize'!$I100,"")</f>
        <v/>
      </c>
      <c r="CB100" s="38" t="str">
        <f>IFERROR('1.vize'!CM100*100/'1.vize'!$I100,"")</f>
        <v/>
      </c>
      <c r="CC100" s="38" t="str">
        <f>IFERROR('1.vize'!CN100*100/'1.vize'!$I100,"")</f>
        <v/>
      </c>
      <c r="CD100" s="38" t="str">
        <f>IFERROR('1.vize'!CO100*100/'1.vize'!$I100,"")</f>
        <v/>
      </c>
      <c r="CE100" s="38" t="str">
        <f>IFERROR('1.vize'!CP100*100/'1.vize'!$I100,"")</f>
        <v/>
      </c>
      <c r="CF100" s="38" t="str">
        <f>IFERROR('1.vize'!CQ100*100/'1.vize'!$I100,"")</f>
        <v/>
      </c>
      <c r="CG100" s="38" t="str">
        <f>IFERROR('1.vize'!CR100*100/'1.vize'!$I100,"")</f>
        <v/>
      </c>
      <c r="CH100" s="38" t="str">
        <f>IFERROR('1.vize'!CS100*100/'1.vize'!$I100,"")</f>
        <v/>
      </c>
      <c r="CI100" s="38" t="str">
        <f>IFERROR('1.vize'!CT100*100/'1.vize'!$I100,"")</f>
        <v/>
      </c>
      <c r="CJ100" s="38" t="str">
        <f>IFERROR('1.vize'!CU100*100/'1.vize'!$I100,"")</f>
        <v/>
      </c>
      <c r="CK100" s="38" t="str">
        <f>IFERROR('1.vize'!CV100*100/'1.vize'!$I100,"")</f>
        <v/>
      </c>
      <c r="CL100" s="38" t="str">
        <f>IFERROR('1.vize'!CW100*100/'1.vize'!$I100,"")</f>
        <v/>
      </c>
      <c r="CM100" s="38" t="str">
        <f>IFERROR('1.vize'!CX100*100/'1.vize'!$I100,"")</f>
        <v/>
      </c>
      <c r="CN100" s="38" t="str">
        <f>IFERROR('1.vize'!CY100*100/'1.vize'!$I100,"")</f>
        <v/>
      </c>
      <c r="CO100" s="38" t="str">
        <f>IFERROR('1.vize'!CZ100*100/'1.vize'!$I100,"")</f>
        <v/>
      </c>
      <c r="CP100" s="38" t="str">
        <f>IFERROR('1.vize'!DA100*100/'1.vize'!$I100,"")</f>
        <v/>
      </c>
      <c r="CQ100" s="38" t="str">
        <f>IFERROR('1.vize'!DB100*100/'1.vize'!$I100,"")</f>
        <v/>
      </c>
      <c r="CR100" s="38" t="str">
        <f>IFERROR('1.vize'!DC100*100/'1.vize'!$I100,"")</f>
        <v/>
      </c>
      <c r="CS100" s="38" t="str">
        <f>IFERROR('1.vize'!DD100*100/'1.vize'!$I100,"")</f>
        <v/>
      </c>
      <c r="CT100" s="38" t="str">
        <f>IFERROR('1.vize'!DE100*100/'1.vize'!$I100,"")</f>
        <v/>
      </c>
      <c r="CU100" s="38" t="str">
        <f>IFERROR('1.vize'!DF100*100/'1.vize'!$I100,"")</f>
        <v/>
      </c>
      <c r="CV100" s="38" t="str">
        <f>IFERROR('1.vize'!DG100*100/'1.vize'!$I100,"")</f>
        <v/>
      </c>
      <c r="CW100" s="32" t="str">
        <f>IFERROR(SUM(A100:CV100)/'1.vize'!$DH$103,"")</f>
        <v/>
      </c>
      <c r="CX100" s="14" t="str">
        <f>IF(COUNTA('1.vize'!A100),'1.vize'!A100,"")</f>
        <v/>
      </c>
      <c r="CY100" s="14" t="str">
        <f>IF(COUNTA('1.vize'!B100),'1.vize'!B100,"")</f>
        <v/>
      </c>
      <c r="CZ100" s="14" t="str">
        <f>IF(COUNTA('1.vize'!C100),'1.vize'!C100,"")</f>
        <v/>
      </c>
      <c r="DA100" s="14" t="str">
        <f>IF(COUNTA('1.vize'!D100),'1.vize'!D100,"")</f>
        <v/>
      </c>
      <c r="DB100" s="14" t="str">
        <f>IF(COUNTA('1.vize'!E100),'1.vize'!E100,"")</f>
        <v/>
      </c>
      <c r="DC100" s="14" t="str">
        <f>IF(COUNTA('1.vize'!F100),'1.vize'!F100,"")</f>
        <v/>
      </c>
      <c r="DD100" s="14" t="str">
        <f>IF(COUNTA('1.vize'!G100),'1.vize'!G100,"")</f>
        <v/>
      </c>
      <c r="DE100" s="14" t="str">
        <f>IF(COUNTA('1.vize'!H100),'1.vize'!H100,"")</f>
        <v/>
      </c>
      <c r="DF100" s="33"/>
    </row>
    <row r="101" spans="1:118" x14ac:dyDescent="0.2">
      <c r="A101" s="38" t="str">
        <f>IFERROR('1.vize'!L101*100/'1.vize'!$I101,"")</f>
        <v/>
      </c>
      <c r="B101" s="38" t="str">
        <f>IFERROR('1.vize'!M101*100/'1.vize'!$I101,"")</f>
        <v/>
      </c>
      <c r="C101" s="38" t="str">
        <f>IFERROR('1.vize'!N101*100/'1.vize'!$I101,"")</f>
        <v/>
      </c>
      <c r="D101" s="38" t="str">
        <f>IFERROR('1.vize'!O101*100/'1.vize'!$I101,"")</f>
        <v/>
      </c>
      <c r="E101" s="38" t="str">
        <f>IFERROR('1.vize'!P101*100/'1.vize'!$I101,"")</f>
        <v/>
      </c>
      <c r="F101" s="38" t="str">
        <f>IFERROR('1.vize'!Q101*100/'1.vize'!$I101,"")</f>
        <v/>
      </c>
      <c r="G101" s="38" t="str">
        <f>IFERROR('1.vize'!R101*100/'1.vize'!$I101,"")</f>
        <v/>
      </c>
      <c r="H101" s="38" t="str">
        <f>IFERROR('1.vize'!S101*100/'1.vize'!$I101,"")</f>
        <v/>
      </c>
      <c r="I101" s="38" t="str">
        <f>IFERROR('1.vize'!T101*100/'1.vize'!$I101,"")</f>
        <v/>
      </c>
      <c r="J101" s="38" t="str">
        <f>IFERROR('1.vize'!U101*100/'1.vize'!$I101,"")</f>
        <v/>
      </c>
      <c r="K101" s="38" t="str">
        <f>IFERROR('1.vize'!V101*100/'1.vize'!$I101,"")</f>
        <v/>
      </c>
      <c r="L101" s="38" t="str">
        <f>IFERROR('1.vize'!W101*100/'1.vize'!$I101,"")</f>
        <v/>
      </c>
      <c r="M101" s="38" t="str">
        <f>IFERROR('1.vize'!X101*100/'1.vize'!$I101,"")</f>
        <v/>
      </c>
      <c r="N101" s="38" t="str">
        <f>IFERROR('1.vize'!Y101*100/'1.vize'!$I101,"")</f>
        <v/>
      </c>
      <c r="O101" s="38" t="str">
        <f>IFERROR('1.vize'!Z101*100/'1.vize'!$I101,"")</f>
        <v/>
      </c>
      <c r="P101" s="38" t="str">
        <f>IFERROR('1.vize'!AA101*100/'1.vize'!$I101,"")</f>
        <v/>
      </c>
      <c r="Q101" s="38" t="str">
        <f>IFERROR('1.vize'!AB101*100/'1.vize'!$I101,"")</f>
        <v/>
      </c>
      <c r="R101" s="38" t="str">
        <f>IFERROR('1.vize'!AC101*100/'1.vize'!$I101,"")</f>
        <v/>
      </c>
      <c r="S101" s="38" t="str">
        <f>IFERROR('1.vize'!AD101*100/'1.vize'!$I101,"")</f>
        <v/>
      </c>
      <c r="T101" s="38" t="str">
        <f>IFERROR('1.vize'!AE101*100/'1.vize'!$I101,"")</f>
        <v/>
      </c>
      <c r="U101" s="38" t="str">
        <f>IFERROR('1.vize'!AF101*100/'1.vize'!$I101,"")</f>
        <v/>
      </c>
      <c r="V101" s="38" t="str">
        <f>IFERROR('1.vize'!AG101*100/'1.vize'!$I101,"")</f>
        <v/>
      </c>
      <c r="W101" s="38" t="str">
        <f>IFERROR('1.vize'!AH101*100/'1.vize'!$I101,"")</f>
        <v/>
      </c>
      <c r="X101" s="38" t="str">
        <f>IFERROR('1.vize'!AI101*100/'1.vize'!$I101,"")</f>
        <v/>
      </c>
      <c r="Y101" s="38" t="str">
        <f>IFERROR('1.vize'!AJ101*100/'1.vize'!$I101,"")</f>
        <v/>
      </c>
      <c r="Z101" s="38" t="str">
        <f>IFERROR('1.vize'!AK101*100/'1.vize'!$I101,"")</f>
        <v/>
      </c>
      <c r="AA101" s="38" t="str">
        <f>IFERROR('1.vize'!AL101*100/'1.vize'!$I101,"")</f>
        <v/>
      </c>
      <c r="AB101" s="38" t="str">
        <f>IFERROR('1.vize'!AM101*100/'1.vize'!$I101,"")</f>
        <v/>
      </c>
      <c r="AC101" s="38" t="str">
        <f>IFERROR('1.vize'!AN101*100/'1.vize'!$I101,"")</f>
        <v/>
      </c>
      <c r="AD101" s="38" t="str">
        <f>IFERROR('1.vize'!AO101*100/'1.vize'!$I101,"")</f>
        <v/>
      </c>
      <c r="AE101" s="38" t="str">
        <f>IFERROR('1.vize'!AP101*100/'1.vize'!$I101,"")</f>
        <v/>
      </c>
      <c r="AF101" s="38" t="str">
        <f>IFERROR('1.vize'!AQ101*100/'1.vize'!$I101,"")</f>
        <v/>
      </c>
      <c r="AG101" s="38" t="str">
        <f>IFERROR('1.vize'!AR101*100/'1.vize'!$I101,"")</f>
        <v/>
      </c>
      <c r="AH101" s="38" t="str">
        <f>IFERROR('1.vize'!AS101*100/'1.vize'!$I101,"")</f>
        <v/>
      </c>
      <c r="AI101" s="38" t="str">
        <f>IFERROR('1.vize'!AT101*100/'1.vize'!$I101,"")</f>
        <v/>
      </c>
      <c r="AJ101" s="38" t="str">
        <f>IFERROR('1.vize'!AU101*100/'1.vize'!$I101,"")</f>
        <v/>
      </c>
      <c r="AK101" s="38" t="str">
        <f>IFERROR('1.vize'!AV101*100/'1.vize'!$I101,"")</f>
        <v/>
      </c>
      <c r="AL101" s="38" t="str">
        <f>IFERROR('1.vize'!AW101*100/'1.vize'!$I101,"")</f>
        <v/>
      </c>
      <c r="AM101" s="38" t="str">
        <f>IFERROR('1.vize'!AX101*100/'1.vize'!$I101,"")</f>
        <v/>
      </c>
      <c r="AN101" s="38" t="str">
        <f>IFERROR('1.vize'!AY101*100/'1.vize'!$I101,"")</f>
        <v/>
      </c>
      <c r="AO101" s="38" t="str">
        <f>IFERROR('1.vize'!AZ101*100/'1.vize'!$I101,"")</f>
        <v/>
      </c>
      <c r="AP101" s="38" t="str">
        <f>IFERROR('1.vize'!BA101*100/'1.vize'!$I101,"")</f>
        <v/>
      </c>
      <c r="AQ101" s="38" t="str">
        <f>IFERROR('1.vize'!BB101*100/'1.vize'!$I101,"")</f>
        <v/>
      </c>
      <c r="AR101" s="38" t="str">
        <f>IFERROR('1.vize'!BC101*100/'1.vize'!$I101,"")</f>
        <v/>
      </c>
      <c r="AS101" s="38" t="str">
        <f>IFERROR('1.vize'!BD101*100/'1.vize'!$I101,"")</f>
        <v/>
      </c>
      <c r="AT101" s="38" t="str">
        <f>IFERROR('1.vize'!BE101*100/'1.vize'!$I101,"")</f>
        <v/>
      </c>
      <c r="AU101" s="38" t="str">
        <f>IFERROR('1.vize'!BF101*100/'1.vize'!$I101,"")</f>
        <v/>
      </c>
      <c r="AV101" s="38" t="str">
        <f>IFERROR('1.vize'!BG101*100/'1.vize'!$I101,"")</f>
        <v/>
      </c>
      <c r="AW101" s="38" t="str">
        <f>IFERROR('1.vize'!BH101*100/'1.vize'!$I101,"")</f>
        <v/>
      </c>
      <c r="AX101" s="38" t="str">
        <f>IFERROR('1.vize'!BI101*100/'1.vize'!$I101,"")</f>
        <v/>
      </c>
      <c r="AY101" s="38" t="str">
        <f>IFERROR('1.vize'!BJ101*100/'1.vize'!$I101,"")</f>
        <v/>
      </c>
      <c r="AZ101" s="38" t="str">
        <f>IFERROR('1.vize'!BK101*100/'1.vize'!$I101,"")</f>
        <v/>
      </c>
      <c r="BA101" s="38" t="str">
        <f>IFERROR('1.vize'!BL101*100/'1.vize'!$I101,"")</f>
        <v/>
      </c>
      <c r="BB101" s="38" t="str">
        <f>IFERROR('1.vize'!BM101*100/'1.vize'!$I101,"")</f>
        <v/>
      </c>
      <c r="BC101" s="38" t="str">
        <f>IFERROR('1.vize'!BN101*100/'1.vize'!$I101,"")</f>
        <v/>
      </c>
      <c r="BD101" s="38" t="str">
        <f>IFERROR('1.vize'!BO101*100/'1.vize'!$I101,"")</f>
        <v/>
      </c>
      <c r="BE101" s="38" t="str">
        <f>IFERROR('1.vize'!BP101*100/'1.vize'!$I101,"")</f>
        <v/>
      </c>
      <c r="BF101" s="38" t="str">
        <f>IFERROR('1.vize'!BQ101*100/'1.vize'!$I101,"")</f>
        <v/>
      </c>
      <c r="BG101" s="38" t="str">
        <f>IFERROR('1.vize'!BR101*100/'1.vize'!$I101,"")</f>
        <v/>
      </c>
      <c r="BH101" s="38" t="str">
        <f>IFERROR('1.vize'!BS101*100/'1.vize'!$I101,"")</f>
        <v/>
      </c>
      <c r="BI101" s="38" t="str">
        <f>IFERROR('1.vize'!BT101*100/'1.vize'!$I101,"")</f>
        <v/>
      </c>
      <c r="BJ101" s="38" t="str">
        <f>IFERROR('1.vize'!BU101*100/'1.vize'!$I101,"")</f>
        <v/>
      </c>
      <c r="BK101" s="38" t="str">
        <f>IFERROR('1.vize'!BV101*100/'1.vize'!$I101,"")</f>
        <v/>
      </c>
      <c r="BL101" s="38" t="str">
        <f>IFERROR('1.vize'!BW101*100/'1.vize'!$I101,"")</f>
        <v/>
      </c>
      <c r="BM101" s="38" t="str">
        <f>IFERROR('1.vize'!BX101*100/'1.vize'!$I101,"")</f>
        <v/>
      </c>
      <c r="BN101" s="38" t="str">
        <f>IFERROR('1.vize'!BY101*100/'1.vize'!$I101,"")</f>
        <v/>
      </c>
      <c r="BO101" s="38" t="str">
        <f>IFERROR('1.vize'!BZ101*100/'1.vize'!$I101,"")</f>
        <v/>
      </c>
      <c r="BP101" s="38" t="str">
        <f>IFERROR('1.vize'!CA101*100/'1.vize'!$I101,"")</f>
        <v/>
      </c>
      <c r="BQ101" s="38" t="str">
        <f>IFERROR('1.vize'!CB101*100/'1.vize'!$I101,"")</f>
        <v/>
      </c>
      <c r="BR101" s="38" t="str">
        <f>IFERROR('1.vize'!CC101*100/'1.vize'!$I101,"")</f>
        <v/>
      </c>
      <c r="BS101" s="38" t="str">
        <f>IFERROR('1.vize'!CD101*100/'1.vize'!$I101,"")</f>
        <v/>
      </c>
      <c r="BT101" s="38" t="str">
        <f>IFERROR('1.vize'!CE101*100/'1.vize'!$I101,"")</f>
        <v/>
      </c>
      <c r="BU101" s="38" t="str">
        <f>IFERROR('1.vize'!CF101*100/'1.vize'!$I101,"")</f>
        <v/>
      </c>
      <c r="BV101" s="38" t="str">
        <f>IFERROR('1.vize'!CG101*100/'1.vize'!$I101,"")</f>
        <v/>
      </c>
      <c r="BW101" s="38" t="str">
        <f>IFERROR('1.vize'!CH101*100/'1.vize'!$I101,"")</f>
        <v/>
      </c>
      <c r="BX101" s="38" t="str">
        <f>IFERROR('1.vize'!CI101*100/'1.vize'!$I101,"")</f>
        <v/>
      </c>
      <c r="BY101" s="38" t="str">
        <f>IFERROR('1.vize'!CJ101*100/'1.vize'!$I101,"")</f>
        <v/>
      </c>
      <c r="BZ101" s="38" t="str">
        <f>IFERROR('1.vize'!CK101*100/'1.vize'!$I101,"")</f>
        <v/>
      </c>
      <c r="CA101" s="38" t="str">
        <f>IFERROR('1.vize'!CL101*100/'1.vize'!$I101,"")</f>
        <v/>
      </c>
      <c r="CB101" s="38" t="str">
        <f>IFERROR('1.vize'!CM101*100/'1.vize'!$I101,"")</f>
        <v/>
      </c>
      <c r="CC101" s="38" t="str">
        <f>IFERROR('1.vize'!CN101*100/'1.vize'!$I101,"")</f>
        <v/>
      </c>
      <c r="CD101" s="38" t="str">
        <f>IFERROR('1.vize'!CO101*100/'1.vize'!$I101,"")</f>
        <v/>
      </c>
      <c r="CE101" s="38" t="str">
        <f>IFERROR('1.vize'!CP101*100/'1.vize'!$I101,"")</f>
        <v/>
      </c>
      <c r="CF101" s="38" t="str">
        <f>IFERROR('1.vize'!CQ101*100/'1.vize'!$I101,"")</f>
        <v/>
      </c>
      <c r="CG101" s="38" t="str">
        <f>IFERROR('1.vize'!CR101*100/'1.vize'!$I101,"")</f>
        <v/>
      </c>
      <c r="CH101" s="38" t="str">
        <f>IFERROR('1.vize'!CS101*100/'1.vize'!$I101,"")</f>
        <v/>
      </c>
      <c r="CI101" s="38" t="str">
        <f>IFERROR('1.vize'!CT101*100/'1.vize'!$I101,"")</f>
        <v/>
      </c>
      <c r="CJ101" s="38" t="str">
        <f>IFERROR('1.vize'!CU101*100/'1.vize'!$I101,"")</f>
        <v/>
      </c>
      <c r="CK101" s="38" t="str">
        <f>IFERROR('1.vize'!CV101*100/'1.vize'!$I101,"")</f>
        <v/>
      </c>
      <c r="CL101" s="38" t="str">
        <f>IFERROR('1.vize'!CW101*100/'1.vize'!$I101,"")</f>
        <v/>
      </c>
      <c r="CM101" s="38" t="str">
        <f>IFERROR('1.vize'!CX101*100/'1.vize'!$I101,"")</f>
        <v/>
      </c>
      <c r="CN101" s="38" t="str">
        <f>IFERROR('1.vize'!CY101*100/'1.vize'!$I101,"")</f>
        <v/>
      </c>
      <c r="CO101" s="38" t="str">
        <f>IFERROR('1.vize'!CZ101*100/'1.vize'!$I101,"")</f>
        <v/>
      </c>
      <c r="CP101" s="38" t="str">
        <f>IFERROR('1.vize'!DA101*100/'1.vize'!$I101,"")</f>
        <v/>
      </c>
      <c r="CQ101" s="38" t="str">
        <f>IFERROR('1.vize'!DB101*100/'1.vize'!$I101,"")</f>
        <v/>
      </c>
      <c r="CR101" s="38" t="str">
        <f>IFERROR('1.vize'!DC101*100/'1.vize'!$I101,"")</f>
        <v/>
      </c>
      <c r="CS101" s="38" t="str">
        <f>IFERROR('1.vize'!DD101*100/'1.vize'!$I101,"")</f>
        <v/>
      </c>
      <c r="CT101" s="38" t="str">
        <f>IFERROR('1.vize'!DE101*100/'1.vize'!$I101,"")</f>
        <v/>
      </c>
      <c r="CU101" s="38" t="str">
        <f>IFERROR('1.vize'!DF101*100/'1.vize'!$I101,"")</f>
        <v/>
      </c>
      <c r="CV101" s="38" t="str">
        <f>IFERROR('1.vize'!DG101*100/'1.vize'!$I101,"")</f>
        <v/>
      </c>
      <c r="CW101" s="32" t="str">
        <f>IFERROR(SUM(A101:CV101)/'1.vize'!$DH$103,"")</f>
        <v/>
      </c>
      <c r="CX101" s="14" t="str">
        <f>IF(COUNTA('1.vize'!A101),'1.vize'!A101,"")</f>
        <v/>
      </c>
      <c r="CY101" s="14" t="str">
        <f>IF(COUNTA('1.vize'!B101),'1.vize'!B101,"")</f>
        <v/>
      </c>
      <c r="CZ101" s="14" t="str">
        <f>IF(COUNTA('1.vize'!C101),'1.vize'!C101,"")</f>
        <v/>
      </c>
      <c r="DA101" s="14" t="str">
        <f>IF(COUNTA('1.vize'!D101),'1.vize'!D101,"")</f>
        <v/>
      </c>
      <c r="DB101" s="14" t="str">
        <f>IF(COUNTA('1.vize'!E101),'1.vize'!E101,"")</f>
        <v/>
      </c>
      <c r="DC101" s="14" t="str">
        <f>IF(COUNTA('1.vize'!F101),'1.vize'!F101,"")</f>
        <v/>
      </c>
      <c r="DD101" s="14" t="str">
        <f>IF(COUNTA('1.vize'!G101),'1.vize'!G101,"")</f>
        <v/>
      </c>
      <c r="DE101" s="14" t="str">
        <f>IF(COUNTA('1.vize'!H101),'1.vize'!H101,"")</f>
        <v/>
      </c>
      <c r="DF101" s="33"/>
    </row>
    <row r="103" spans="1:118" x14ac:dyDescent="0.2">
      <c r="A103" s="38" t="str">
        <f>IFERROR('2.vize'!L2*100/'2.vize'!$I2,"")</f>
        <v/>
      </c>
      <c r="B103" s="38" t="str">
        <f>IFERROR('2.vize'!M2*100/'2.vize'!$I2,"")</f>
        <v/>
      </c>
      <c r="C103" s="38" t="str">
        <f>IFERROR('2.vize'!N2*100/'2.vize'!$I2,"")</f>
        <v/>
      </c>
      <c r="D103" s="38" t="str">
        <f>IFERROR('2.vize'!O2*100/'2.vize'!$I2,"")</f>
        <v/>
      </c>
      <c r="E103" s="38" t="str">
        <f>IFERROR('2.vize'!P2*100/'2.vize'!$I2,"")</f>
        <v/>
      </c>
      <c r="F103" s="38" t="str">
        <f>IFERROR('2.vize'!Q2*100/'2.vize'!$I2,"")</f>
        <v/>
      </c>
      <c r="G103" s="38" t="str">
        <f>IFERROR('2.vize'!R2*100/'2.vize'!$I2,"")</f>
        <v/>
      </c>
      <c r="H103" s="38" t="str">
        <f>IFERROR('2.vize'!S2*100/'2.vize'!$I2,"")</f>
        <v/>
      </c>
      <c r="I103" s="38" t="str">
        <f>IFERROR('2.vize'!T2*100/'2.vize'!$I2,"")</f>
        <v/>
      </c>
      <c r="J103" s="38" t="str">
        <f>IFERROR('2.vize'!U2*100/'2.vize'!$I2,"")</f>
        <v/>
      </c>
      <c r="K103" s="38" t="str">
        <f>IFERROR('2.vize'!V2*100/'2.vize'!$I2,"")</f>
        <v/>
      </c>
      <c r="L103" s="38" t="str">
        <f>IFERROR('2.vize'!W2*100/'2.vize'!$I2,"")</f>
        <v/>
      </c>
      <c r="M103" s="38" t="str">
        <f>IFERROR('2.vize'!X2*100/'2.vize'!$I2,"")</f>
        <v/>
      </c>
      <c r="N103" s="38" t="str">
        <f>IFERROR('2.vize'!Y2*100/'2.vize'!$I2,"")</f>
        <v/>
      </c>
      <c r="O103" s="38" t="str">
        <f>IFERROR('2.vize'!Z2*100/'2.vize'!$I2,"")</f>
        <v/>
      </c>
      <c r="P103" s="38" t="str">
        <f>IFERROR('2.vize'!AA2*100/'2.vize'!$I2,"")</f>
        <v/>
      </c>
      <c r="Q103" s="38" t="str">
        <f>IFERROR('2.vize'!AB2*100/'2.vize'!$I2,"")</f>
        <v/>
      </c>
      <c r="R103" s="38" t="str">
        <f>IFERROR('2.vize'!AC2*100/'2.vize'!$I2,"")</f>
        <v/>
      </c>
      <c r="S103" s="38" t="str">
        <f>IFERROR('2.vize'!AD2*100/'2.vize'!$I2,"")</f>
        <v/>
      </c>
      <c r="T103" s="38" t="str">
        <f>IFERROR('2.vize'!AE2*100/'2.vize'!$I2,"")</f>
        <v/>
      </c>
      <c r="U103" s="38" t="str">
        <f>IFERROR('2.vize'!AF2*100/'2.vize'!$I2,"")</f>
        <v/>
      </c>
      <c r="V103" s="38" t="str">
        <f>IFERROR('2.vize'!AG2*100/'2.vize'!$I2,"")</f>
        <v/>
      </c>
      <c r="W103" s="38" t="str">
        <f>IFERROR('2.vize'!AH2*100/'2.vize'!$I2,"")</f>
        <v/>
      </c>
      <c r="X103" s="38" t="str">
        <f>IFERROR('2.vize'!AI2*100/'2.vize'!$I2,"")</f>
        <v/>
      </c>
      <c r="Y103" s="38" t="str">
        <f>IFERROR('2.vize'!AJ2*100/'2.vize'!$I2,"")</f>
        <v/>
      </c>
      <c r="Z103" s="38" t="str">
        <f>IFERROR('2.vize'!AK2*100/'2.vize'!$I2,"")</f>
        <v/>
      </c>
      <c r="AA103" s="38" t="str">
        <f>IFERROR('2.vize'!AL2*100/'2.vize'!$I2,"")</f>
        <v/>
      </c>
      <c r="AB103" s="38" t="str">
        <f>IFERROR('2.vize'!AM2*100/'2.vize'!$I2,"")</f>
        <v/>
      </c>
      <c r="AC103" s="38" t="str">
        <f>IFERROR('2.vize'!AN2*100/'2.vize'!$I2,"")</f>
        <v/>
      </c>
      <c r="AD103" s="38" t="str">
        <f>IFERROR('2.vize'!AO2*100/'2.vize'!$I2,"")</f>
        <v/>
      </c>
      <c r="AE103" s="38" t="str">
        <f>IFERROR('2.vize'!AP2*100/'2.vize'!$I2,"")</f>
        <v/>
      </c>
      <c r="AF103" s="38" t="str">
        <f>IFERROR('2.vize'!AQ2*100/'2.vize'!$I2,"")</f>
        <v/>
      </c>
      <c r="AG103" s="38" t="str">
        <f>IFERROR('2.vize'!AR2*100/'2.vize'!$I2,"")</f>
        <v/>
      </c>
      <c r="AH103" s="38" t="str">
        <f>IFERROR('2.vize'!AS2*100/'2.vize'!$I2,"")</f>
        <v/>
      </c>
      <c r="AI103" s="38" t="str">
        <f>IFERROR('2.vize'!AT2*100/'2.vize'!$I2,"")</f>
        <v/>
      </c>
      <c r="AJ103" s="38" t="str">
        <f>IFERROR('2.vize'!AU2*100/'2.vize'!$I2,"")</f>
        <v/>
      </c>
      <c r="AK103" s="38" t="str">
        <f>IFERROR('2.vize'!AV2*100/'2.vize'!$I2,"")</f>
        <v/>
      </c>
      <c r="AL103" s="38" t="str">
        <f>IFERROR('2.vize'!AW2*100/'2.vize'!$I2,"")</f>
        <v/>
      </c>
      <c r="AM103" s="38" t="str">
        <f>IFERROR('2.vize'!AX2*100/'2.vize'!$I2,"")</f>
        <v/>
      </c>
      <c r="AN103" s="38" t="str">
        <f>IFERROR('2.vize'!AY2*100/'2.vize'!$I2,"")</f>
        <v/>
      </c>
      <c r="AO103" s="38" t="str">
        <f>IFERROR('2.vize'!AZ2*100/'2.vize'!$I2,"")</f>
        <v/>
      </c>
      <c r="AP103" s="38" t="str">
        <f>IFERROR('2.vize'!BA2*100/'2.vize'!$I2,"")</f>
        <v/>
      </c>
      <c r="AQ103" s="38" t="str">
        <f>IFERROR('2.vize'!BB2*100/'2.vize'!$I2,"")</f>
        <v/>
      </c>
      <c r="AR103" s="38" t="str">
        <f>IFERROR('2.vize'!BC2*100/'2.vize'!$I2,"")</f>
        <v/>
      </c>
      <c r="AS103" s="38" t="str">
        <f>IFERROR('2.vize'!BD2*100/'2.vize'!$I2,"")</f>
        <v/>
      </c>
      <c r="AT103" s="38" t="str">
        <f>IFERROR('2.vize'!BE2*100/'2.vize'!$I2,"")</f>
        <v/>
      </c>
      <c r="AU103" s="38" t="str">
        <f>IFERROR('2.vize'!BF2*100/'2.vize'!$I2,"")</f>
        <v/>
      </c>
      <c r="AV103" s="38" t="str">
        <f>IFERROR('2.vize'!BG2*100/'2.vize'!$I2,"")</f>
        <v/>
      </c>
      <c r="AW103" s="38" t="str">
        <f>IFERROR('2.vize'!BH2*100/'2.vize'!$I2,"")</f>
        <v/>
      </c>
      <c r="AX103" s="38" t="str">
        <f>IFERROR('2.vize'!BI2*100/'2.vize'!$I2,"")</f>
        <v/>
      </c>
      <c r="AY103" s="38" t="str">
        <f>IFERROR('2.vize'!BJ2*100/'2.vize'!$I2,"")</f>
        <v/>
      </c>
      <c r="AZ103" s="38" t="str">
        <f>IFERROR('2.vize'!BK2*100/'2.vize'!$I2,"")</f>
        <v/>
      </c>
      <c r="BA103" s="38" t="str">
        <f>IFERROR('2.vize'!BL2*100/'2.vize'!$I2,"")</f>
        <v/>
      </c>
      <c r="BB103" s="38" t="str">
        <f>IFERROR('2.vize'!BM2*100/'2.vize'!$I2,"")</f>
        <v/>
      </c>
      <c r="BC103" s="38" t="str">
        <f>IFERROR('2.vize'!BN2*100/'2.vize'!$I2,"")</f>
        <v/>
      </c>
      <c r="BD103" s="38" t="str">
        <f>IFERROR('2.vize'!BO2*100/'2.vize'!$I2,"")</f>
        <v/>
      </c>
      <c r="BE103" s="38" t="str">
        <f>IFERROR('2.vize'!BP2*100/'2.vize'!$I2,"")</f>
        <v/>
      </c>
      <c r="BF103" s="38" t="str">
        <f>IFERROR('2.vize'!BQ2*100/'2.vize'!$I2,"")</f>
        <v/>
      </c>
      <c r="BG103" s="38" t="str">
        <f>IFERROR('2.vize'!BR2*100/'2.vize'!$I2,"")</f>
        <v/>
      </c>
      <c r="BH103" s="38" t="str">
        <f>IFERROR('2.vize'!BS2*100/'2.vize'!$I2,"")</f>
        <v/>
      </c>
      <c r="BI103" s="38" t="str">
        <f>IFERROR('2.vize'!BT2*100/'2.vize'!$I2,"")</f>
        <v/>
      </c>
      <c r="BJ103" s="38" t="str">
        <f>IFERROR('2.vize'!BU2*100/'2.vize'!$I2,"")</f>
        <v/>
      </c>
      <c r="BK103" s="38" t="str">
        <f>IFERROR('2.vize'!BV2*100/'2.vize'!$I2,"")</f>
        <v/>
      </c>
      <c r="BL103" s="38" t="str">
        <f>IFERROR('2.vize'!BW2*100/'2.vize'!$I2,"")</f>
        <v/>
      </c>
      <c r="BM103" s="38" t="str">
        <f>IFERROR('2.vize'!BX2*100/'2.vize'!$I2,"")</f>
        <v/>
      </c>
      <c r="BN103" s="38" t="str">
        <f>IFERROR('2.vize'!BY2*100/'2.vize'!$I2,"")</f>
        <v/>
      </c>
      <c r="BO103" s="38" t="str">
        <f>IFERROR('2.vize'!BZ2*100/'2.vize'!$I2,"")</f>
        <v/>
      </c>
      <c r="BP103" s="38" t="str">
        <f>IFERROR('2.vize'!CA2*100/'2.vize'!$I2,"")</f>
        <v/>
      </c>
      <c r="BQ103" s="38" t="str">
        <f>IFERROR('2.vize'!CB2*100/'2.vize'!$I2,"")</f>
        <v/>
      </c>
      <c r="BR103" s="38" t="str">
        <f>IFERROR('2.vize'!CC2*100/'2.vize'!$I2,"")</f>
        <v/>
      </c>
      <c r="BS103" s="38" t="str">
        <f>IFERROR('2.vize'!CD2*100/'2.vize'!$I2,"")</f>
        <v/>
      </c>
      <c r="BT103" s="38" t="str">
        <f>IFERROR('2.vize'!CE2*100/'2.vize'!$I2,"")</f>
        <v/>
      </c>
      <c r="BU103" s="38" t="str">
        <f>IFERROR('2.vize'!CF2*100/'2.vize'!$I2,"")</f>
        <v/>
      </c>
      <c r="BV103" s="38" t="str">
        <f>IFERROR('2.vize'!CG2*100/'2.vize'!$I2,"")</f>
        <v/>
      </c>
      <c r="BW103" s="38" t="str">
        <f>IFERROR('2.vize'!CH2*100/'2.vize'!$I2,"")</f>
        <v/>
      </c>
      <c r="BX103" s="38" t="str">
        <f>IFERROR('2.vize'!CI2*100/'2.vize'!$I2,"")</f>
        <v/>
      </c>
      <c r="BY103" s="38" t="str">
        <f>IFERROR('2.vize'!CJ2*100/'2.vize'!$I2,"")</f>
        <v/>
      </c>
      <c r="BZ103" s="38" t="str">
        <f>IFERROR('2.vize'!CK2*100/'2.vize'!$I2,"")</f>
        <v/>
      </c>
      <c r="CA103" s="38" t="str">
        <f>IFERROR('2.vize'!CL2*100/'2.vize'!$I2,"")</f>
        <v/>
      </c>
      <c r="CB103" s="38" t="str">
        <f>IFERROR('2.vize'!CM2*100/'2.vize'!$I2,"")</f>
        <v/>
      </c>
      <c r="CC103" s="38" t="str">
        <f>IFERROR('2.vize'!CN2*100/'2.vize'!$I2,"")</f>
        <v/>
      </c>
      <c r="CD103" s="38" t="str">
        <f>IFERROR('2.vize'!CO2*100/'2.vize'!$I2,"")</f>
        <v/>
      </c>
      <c r="CE103" s="38" t="str">
        <f>IFERROR('2.vize'!CP2*100/'2.vize'!$I2,"")</f>
        <v/>
      </c>
      <c r="CF103" s="38" t="str">
        <f>IFERROR('2.vize'!CQ2*100/'2.vize'!$I2,"")</f>
        <v/>
      </c>
      <c r="CG103" s="38" t="str">
        <f>IFERROR('2.vize'!CR2*100/'2.vize'!$I2,"")</f>
        <v/>
      </c>
      <c r="CH103" s="38" t="str">
        <f>IFERROR('2.vize'!CS2*100/'2.vize'!$I2,"")</f>
        <v/>
      </c>
      <c r="CI103" s="38" t="str">
        <f>IFERROR('2.vize'!CT2*100/'2.vize'!$I2,"")</f>
        <v/>
      </c>
      <c r="CJ103" s="38" t="str">
        <f>IFERROR('2.vize'!CU2*100/'2.vize'!$I2,"")</f>
        <v/>
      </c>
      <c r="CK103" s="38" t="str">
        <f>IFERROR('2.vize'!CV2*100/'2.vize'!$I2,"")</f>
        <v/>
      </c>
      <c r="CL103" s="38" t="str">
        <f>IFERROR('2.vize'!CW2*100/'2.vize'!$I2,"")</f>
        <v/>
      </c>
      <c r="CM103" s="38" t="str">
        <f>IFERROR('2.vize'!CX2*100/'2.vize'!$I2,"")</f>
        <v/>
      </c>
      <c r="CN103" s="38" t="str">
        <f>IFERROR('2.vize'!CY2*100/'2.vize'!$I2,"")</f>
        <v/>
      </c>
      <c r="CO103" s="38" t="str">
        <f>IFERROR('2.vize'!CZ2*100/'2.vize'!$I2,"")</f>
        <v/>
      </c>
      <c r="CP103" s="38" t="str">
        <f>IFERROR('2.vize'!DA2*100/'2.vize'!$I2,"")</f>
        <v/>
      </c>
      <c r="CQ103" s="38" t="str">
        <f>IFERROR('2.vize'!DB2*100/'2.vize'!$I2,"")</f>
        <v/>
      </c>
      <c r="CR103" s="38" t="str">
        <f>IFERROR('2.vize'!DC2*100/'2.vize'!$I2,"")</f>
        <v/>
      </c>
      <c r="CS103" s="38" t="str">
        <f>IFERROR('2.vize'!DD2*100/'2.vize'!$I2,"")</f>
        <v/>
      </c>
      <c r="CT103" s="38" t="str">
        <f>IFERROR('2.vize'!DE2*100/'2.vize'!$I2,"")</f>
        <v/>
      </c>
      <c r="CU103" s="38" t="str">
        <f>IFERROR('2.vize'!DF2*100/'2.vize'!$I2,"")</f>
        <v/>
      </c>
      <c r="CV103" s="38" t="str">
        <f>IFERROR('2.vize'!DG2*100/'2.vize'!$I2,"")</f>
        <v/>
      </c>
      <c r="CW103" s="32" t="str">
        <f>IFERROR(SUM(A103:CV103)/'2.vize'!$DH$103,"")</f>
        <v/>
      </c>
      <c r="CX103" s="14" t="str">
        <f>IF(COUNTA('2.vize'!A2),'2.vize'!A2,"")</f>
        <v/>
      </c>
      <c r="CY103" s="14" t="str">
        <f>IF(COUNTA('2.vize'!B2),'2.vize'!B2,"")</f>
        <v/>
      </c>
      <c r="CZ103" s="14" t="str">
        <f>IF(COUNTA('2.vize'!C2),'2.vize'!C2,"")</f>
        <v/>
      </c>
      <c r="DA103" s="14" t="str">
        <f>IF(COUNTA('2.vize'!D2),'2.vize'!D2,"")</f>
        <v/>
      </c>
      <c r="DB103" s="14" t="str">
        <f>IF(COUNTA('2.vize'!E2),'2.vize'!E2,"")</f>
        <v/>
      </c>
      <c r="DC103" s="14" t="str">
        <f>IF(COUNTA('2.vize'!F2),'2.vize'!F2,"")</f>
        <v/>
      </c>
      <c r="DD103" s="14" t="str">
        <f>IF(COUNTA('2.vize'!G2),'2.vize'!G2,"")</f>
        <v/>
      </c>
      <c r="DE103" s="14" t="str">
        <f>IF(COUNTA('2.vize'!H2),'2.vize'!H2,"")</f>
        <v/>
      </c>
      <c r="DG103" s="35" t="str">
        <f>IFERROR(AVERAGEIFS($CW$103:$CW$202,$CX$103:$CX$202,1),"")</f>
        <v/>
      </c>
      <c r="DH103" s="35" t="str">
        <f>IFERROR(AVERAGEIFS($CW$103:$CW$202,$CY$103:$CY$202,2),"")</f>
        <v/>
      </c>
      <c r="DI103" s="35" t="str">
        <f>IFERROR(AVERAGEIFS($CW$103:$CW$202,$CZ$103:$CZ$202,3),"")</f>
        <v/>
      </c>
      <c r="DJ103" s="35" t="str">
        <f>IFERROR(AVERAGEIFS($CW$103:$CW$202,$DA$103:$DA$202,4),"")</f>
        <v/>
      </c>
      <c r="DK103" s="35" t="str">
        <f>IFERROR(AVERAGEIFS($CW$103:$CW$202,$DB$103:$DB$202,5),"")</f>
        <v/>
      </c>
      <c r="DL103" s="35" t="str">
        <f>IFERROR(AVERAGEIFS($CW$103:$CW$202,$DC$103:$DC$202,6),"")</f>
        <v/>
      </c>
      <c r="DM103" s="35" t="str">
        <f>IFERROR(AVERAGEIFS($CW$103:$CW$202,$DD$103:$DD$202,7),"")</f>
        <v/>
      </c>
      <c r="DN103" s="35" t="str">
        <f>IFERROR(AVERAGEIFS($CW$103:$CW$202,$DE$103:$DE$202,8),"")</f>
        <v/>
      </c>
    </row>
    <row r="104" spans="1:118" x14ac:dyDescent="0.2">
      <c r="A104" s="38" t="str">
        <f>IFERROR('2.vize'!L3*100/'2.vize'!$I3,"")</f>
        <v/>
      </c>
      <c r="B104" s="38" t="str">
        <f>IFERROR('2.vize'!M3*100/'2.vize'!$I3,"")</f>
        <v/>
      </c>
      <c r="C104" s="38" t="str">
        <f>IFERROR('2.vize'!N3*100/'2.vize'!$I3,"")</f>
        <v/>
      </c>
      <c r="D104" s="38" t="str">
        <f>IFERROR('2.vize'!O3*100/'2.vize'!$I3,"")</f>
        <v/>
      </c>
      <c r="E104" s="38" t="str">
        <f>IFERROR('2.vize'!P3*100/'2.vize'!$I3,"")</f>
        <v/>
      </c>
      <c r="F104" s="38" t="str">
        <f>IFERROR('2.vize'!Q3*100/'2.vize'!$I3,"")</f>
        <v/>
      </c>
      <c r="G104" s="38" t="str">
        <f>IFERROR('2.vize'!R3*100/'2.vize'!$I3,"")</f>
        <v/>
      </c>
      <c r="H104" s="38" t="str">
        <f>IFERROR('2.vize'!S3*100/'2.vize'!$I3,"")</f>
        <v/>
      </c>
      <c r="I104" s="38" t="str">
        <f>IFERROR('2.vize'!T3*100/'2.vize'!$I3,"")</f>
        <v/>
      </c>
      <c r="J104" s="38" t="str">
        <f>IFERROR('2.vize'!U3*100/'2.vize'!$I3,"")</f>
        <v/>
      </c>
      <c r="K104" s="38" t="str">
        <f>IFERROR('2.vize'!V3*100/'2.vize'!$I3,"")</f>
        <v/>
      </c>
      <c r="L104" s="38" t="str">
        <f>IFERROR('2.vize'!W3*100/'2.vize'!$I3,"")</f>
        <v/>
      </c>
      <c r="M104" s="38" t="str">
        <f>IFERROR('2.vize'!X3*100/'2.vize'!$I3,"")</f>
        <v/>
      </c>
      <c r="N104" s="38" t="str">
        <f>IFERROR('2.vize'!Y3*100/'2.vize'!$I3,"")</f>
        <v/>
      </c>
      <c r="O104" s="38" t="str">
        <f>IFERROR('2.vize'!Z3*100/'2.vize'!$I3,"")</f>
        <v/>
      </c>
      <c r="P104" s="38" t="str">
        <f>IFERROR('2.vize'!AA3*100/'2.vize'!$I3,"")</f>
        <v/>
      </c>
      <c r="Q104" s="38" t="str">
        <f>IFERROR('2.vize'!AB3*100/'2.vize'!$I3,"")</f>
        <v/>
      </c>
      <c r="R104" s="38" t="str">
        <f>IFERROR('2.vize'!AC3*100/'2.vize'!$I3,"")</f>
        <v/>
      </c>
      <c r="S104" s="38" t="str">
        <f>IFERROR('2.vize'!AD3*100/'2.vize'!$I3,"")</f>
        <v/>
      </c>
      <c r="T104" s="38" t="str">
        <f>IFERROR('2.vize'!AE3*100/'2.vize'!$I3,"")</f>
        <v/>
      </c>
      <c r="U104" s="38" t="str">
        <f>IFERROR('2.vize'!AF3*100/'2.vize'!$I3,"")</f>
        <v/>
      </c>
      <c r="V104" s="38" t="str">
        <f>IFERROR('2.vize'!AG3*100/'2.vize'!$I3,"")</f>
        <v/>
      </c>
      <c r="W104" s="38" t="str">
        <f>IFERROR('2.vize'!AH3*100/'2.vize'!$I3,"")</f>
        <v/>
      </c>
      <c r="X104" s="38" t="str">
        <f>IFERROR('2.vize'!AI3*100/'2.vize'!$I3,"")</f>
        <v/>
      </c>
      <c r="Y104" s="38" t="str">
        <f>IFERROR('2.vize'!AJ3*100/'2.vize'!$I3,"")</f>
        <v/>
      </c>
      <c r="Z104" s="38" t="str">
        <f>IFERROR('2.vize'!AK3*100/'2.vize'!$I3,"")</f>
        <v/>
      </c>
      <c r="AA104" s="38" t="str">
        <f>IFERROR('2.vize'!AL3*100/'2.vize'!$I3,"")</f>
        <v/>
      </c>
      <c r="AB104" s="38" t="str">
        <f>IFERROR('2.vize'!AM3*100/'2.vize'!$I3,"")</f>
        <v/>
      </c>
      <c r="AC104" s="38" t="str">
        <f>IFERROR('2.vize'!AN3*100/'2.vize'!$I3,"")</f>
        <v/>
      </c>
      <c r="AD104" s="38" t="str">
        <f>IFERROR('2.vize'!AO3*100/'2.vize'!$I3,"")</f>
        <v/>
      </c>
      <c r="AE104" s="38" t="str">
        <f>IFERROR('2.vize'!AP3*100/'2.vize'!$I3,"")</f>
        <v/>
      </c>
      <c r="AF104" s="38" t="str">
        <f>IFERROR('2.vize'!AQ3*100/'2.vize'!$I3,"")</f>
        <v/>
      </c>
      <c r="AG104" s="38" t="str">
        <f>IFERROR('2.vize'!AR3*100/'2.vize'!$I3,"")</f>
        <v/>
      </c>
      <c r="AH104" s="38" t="str">
        <f>IFERROR('2.vize'!AS3*100/'2.vize'!$I3,"")</f>
        <v/>
      </c>
      <c r="AI104" s="38" t="str">
        <f>IFERROR('2.vize'!AT3*100/'2.vize'!$I3,"")</f>
        <v/>
      </c>
      <c r="AJ104" s="38" t="str">
        <f>IFERROR('2.vize'!AU3*100/'2.vize'!$I3,"")</f>
        <v/>
      </c>
      <c r="AK104" s="38" t="str">
        <f>IFERROR('2.vize'!AV3*100/'2.vize'!$I3,"")</f>
        <v/>
      </c>
      <c r="AL104" s="38" t="str">
        <f>IFERROR('2.vize'!AW3*100/'2.vize'!$I3,"")</f>
        <v/>
      </c>
      <c r="AM104" s="38" t="str">
        <f>IFERROR('2.vize'!AX3*100/'2.vize'!$I3,"")</f>
        <v/>
      </c>
      <c r="AN104" s="38" t="str">
        <f>IFERROR('2.vize'!AY3*100/'2.vize'!$I3,"")</f>
        <v/>
      </c>
      <c r="AO104" s="38" t="str">
        <f>IFERROR('2.vize'!AZ3*100/'2.vize'!$I3,"")</f>
        <v/>
      </c>
      <c r="AP104" s="38" t="str">
        <f>IFERROR('2.vize'!BA3*100/'2.vize'!$I3,"")</f>
        <v/>
      </c>
      <c r="AQ104" s="38" t="str">
        <f>IFERROR('2.vize'!BB3*100/'2.vize'!$I3,"")</f>
        <v/>
      </c>
      <c r="AR104" s="38" t="str">
        <f>IFERROR('2.vize'!BC3*100/'2.vize'!$I3,"")</f>
        <v/>
      </c>
      <c r="AS104" s="38" t="str">
        <f>IFERROR('2.vize'!BD3*100/'2.vize'!$I3,"")</f>
        <v/>
      </c>
      <c r="AT104" s="38" t="str">
        <f>IFERROR('2.vize'!BE3*100/'2.vize'!$I3,"")</f>
        <v/>
      </c>
      <c r="AU104" s="38" t="str">
        <f>IFERROR('2.vize'!BF3*100/'2.vize'!$I3,"")</f>
        <v/>
      </c>
      <c r="AV104" s="38" t="str">
        <f>IFERROR('2.vize'!BG3*100/'2.vize'!$I3,"")</f>
        <v/>
      </c>
      <c r="AW104" s="38" t="str">
        <f>IFERROR('2.vize'!BH3*100/'2.vize'!$I3,"")</f>
        <v/>
      </c>
      <c r="AX104" s="38" t="str">
        <f>IFERROR('2.vize'!BI3*100/'2.vize'!$I3,"")</f>
        <v/>
      </c>
      <c r="AY104" s="38" t="str">
        <f>IFERROR('2.vize'!BJ3*100/'2.vize'!$I3,"")</f>
        <v/>
      </c>
      <c r="AZ104" s="38" t="str">
        <f>IFERROR('2.vize'!BK3*100/'2.vize'!$I3,"")</f>
        <v/>
      </c>
      <c r="BA104" s="38" t="str">
        <f>IFERROR('2.vize'!BL3*100/'2.vize'!$I3,"")</f>
        <v/>
      </c>
      <c r="BB104" s="38" t="str">
        <f>IFERROR('2.vize'!BM3*100/'2.vize'!$I3,"")</f>
        <v/>
      </c>
      <c r="BC104" s="38" t="str">
        <f>IFERROR('2.vize'!BN3*100/'2.vize'!$I3,"")</f>
        <v/>
      </c>
      <c r="BD104" s="38" t="str">
        <f>IFERROR('2.vize'!BO3*100/'2.vize'!$I3,"")</f>
        <v/>
      </c>
      <c r="BE104" s="38" t="str">
        <f>IFERROR('2.vize'!BP3*100/'2.vize'!$I3,"")</f>
        <v/>
      </c>
      <c r="BF104" s="38" t="str">
        <f>IFERROR('2.vize'!BQ3*100/'2.vize'!$I3,"")</f>
        <v/>
      </c>
      <c r="BG104" s="38" t="str">
        <f>IFERROR('2.vize'!BR3*100/'2.vize'!$I3,"")</f>
        <v/>
      </c>
      <c r="BH104" s="38" t="str">
        <f>IFERROR('2.vize'!BS3*100/'2.vize'!$I3,"")</f>
        <v/>
      </c>
      <c r="BI104" s="38" t="str">
        <f>IFERROR('2.vize'!BT3*100/'2.vize'!$I3,"")</f>
        <v/>
      </c>
      <c r="BJ104" s="38" t="str">
        <f>IFERROR('2.vize'!BU3*100/'2.vize'!$I3,"")</f>
        <v/>
      </c>
      <c r="BK104" s="38" t="str">
        <f>IFERROR('2.vize'!BV3*100/'2.vize'!$I3,"")</f>
        <v/>
      </c>
      <c r="BL104" s="38" t="str">
        <f>IFERROR('2.vize'!BW3*100/'2.vize'!$I3,"")</f>
        <v/>
      </c>
      <c r="BM104" s="38" t="str">
        <f>IFERROR('2.vize'!BX3*100/'2.vize'!$I3,"")</f>
        <v/>
      </c>
      <c r="BN104" s="38" t="str">
        <f>IFERROR('2.vize'!BY3*100/'2.vize'!$I3,"")</f>
        <v/>
      </c>
      <c r="BO104" s="38" t="str">
        <f>IFERROR('2.vize'!BZ3*100/'2.vize'!$I3,"")</f>
        <v/>
      </c>
      <c r="BP104" s="38" t="str">
        <f>IFERROR('2.vize'!CA3*100/'2.vize'!$I3,"")</f>
        <v/>
      </c>
      <c r="BQ104" s="38" t="str">
        <f>IFERROR('2.vize'!CB3*100/'2.vize'!$I3,"")</f>
        <v/>
      </c>
      <c r="BR104" s="38" t="str">
        <f>IFERROR('2.vize'!CC3*100/'2.vize'!$I3,"")</f>
        <v/>
      </c>
      <c r="BS104" s="38" t="str">
        <f>IFERROR('2.vize'!CD3*100/'2.vize'!$I3,"")</f>
        <v/>
      </c>
      <c r="BT104" s="38" t="str">
        <f>IFERROR('2.vize'!CE3*100/'2.vize'!$I3,"")</f>
        <v/>
      </c>
      <c r="BU104" s="38" t="str">
        <f>IFERROR('2.vize'!CF3*100/'2.vize'!$I3,"")</f>
        <v/>
      </c>
      <c r="BV104" s="38" t="str">
        <f>IFERROR('2.vize'!CG3*100/'2.vize'!$I3,"")</f>
        <v/>
      </c>
      <c r="BW104" s="38" t="str">
        <f>IFERROR('2.vize'!CH3*100/'2.vize'!$I3,"")</f>
        <v/>
      </c>
      <c r="BX104" s="38" t="str">
        <f>IFERROR('2.vize'!CI3*100/'2.vize'!$I3,"")</f>
        <v/>
      </c>
      <c r="BY104" s="38" t="str">
        <f>IFERROR('2.vize'!CJ3*100/'2.vize'!$I3,"")</f>
        <v/>
      </c>
      <c r="BZ104" s="38" t="str">
        <f>IFERROR('2.vize'!CK3*100/'2.vize'!$I3,"")</f>
        <v/>
      </c>
      <c r="CA104" s="38" t="str">
        <f>IFERROR('2.vize'!CL3*100/'2.vize'!$I3,"")</f>
        <v/>
      </c>
      <c r="CB104" s="38" t="str">
        <f>IFERROR('2.vize'!CM3*100/'2.vize'!$I3,"")</f>
        <v/>
      </c>
      <c r="CC104" s="38" t="str">
        <f>IFERROR('2.vize'!CN3*100/'2.vize'!$I3,"")</f>
        <v/>
      </c>
      <c r="CD104" s="38" t="str">
        <f>IFERROR('2.vize'!CO3*100/'2.vize'!$I3,"")</f>
        <v/>
      </c>
      <c r="CE104" s="38" t="str">
        <f>IFERROR('2.vize'!CP3*100/'2.vize'!$I3,"")</f>
        <v/>
      </c>
      <c r="CF104" s="38" t="str">
        <f>IFERROR('2.vize'!CQ3*100/'2.vize'!$I3,"")</f>
        <v/>
      </c>
      <c r="CG104" s="38" t="str">
        <f>IFERROR('2.vize'!CR3*100/'2.vize'!$I3,"")</f>
        <v/>
      </c>
      <c r="CH104" s="38" t="str">
        <f>IFERROR('2.vize'!CS3*100/'2.vize'!$I3,"")</f>
        <v/>
      </c>
      <c r="CI104" s="38" t="str">
        <f>IFERROR('2.vize'!CT3*100/'2.vize'!$I3,"")</f>
        <v/>
      </c>
      <c r="CJ104" s="38" t="str">
        <f>IFERROR('2.vize'!CU3*100/'2.vize'!$I3,"")</f>
        <v/>
      </c>
      <c r="CK104" s="38" t="str">
        <f>IFERROR('2.vize'!CV3*100/'2.vize'!$I3,"")</f>
        <v/>
      </c>
      <c r="CL104" s="38" t="str">
        <f>IFERROR('2.vize'!CW3*100/'2.vize'!$I3,"")</f>
        <v/>
      </c>
      <c r="CM104" s="38" t="str">
        <f>IFERROR('2.vize'!CX3*100/'2.vize'!$I3,"")</f>
        <v/>
      </c>
      <c r="CN104" s="38" t="str">
        <f>IFERROR('2.vize'!CY3*100/'2.vize'!$I3,"")</f>
        <v/>
      </c>
      <c r="CO104" s="38" t="str">
        <f>IFERROR('2.vize'!CZ3*100/'2.vize'!$I3,"")</f>
        <v/>
      </c>
      <c r="CP104" s="38" t="str">
        <f>IFERROR('2.vize'!DA3*100/'2.vize'!$I3,"")</f>
        <v/>
      </c>
      <c r="CQ104" s="38" t="str">
        <f>IFERROR('2.vize'!DB3*100/'2.vize'!$I3,"")</f>
        <v/>
      </c>
      <c r="CR104" s="38" t="str">
        <f>IFERROR('2.vize'!DC3*100/'2.vize'!$I3,"")</f>
        <v/>
      </c>
      <c r="CS104" s="38" t="str">
        <f>IFERROR('2.vize'!DD3*100/'2.vize'!$I3,"")</f>
        <v/>
      </c>
      <c r="CT104" s="38" t="str">
        <f>IFERROR('2.vize'!DE3*100/'2.vize'!$I3,"")</f>
        <v/>
      </c>
      <c r="CU104" s="38" t="str">
        <f>IFERROR('2.vize'!DF3*100/'2.vize'!$I3,"")</f>
        <v/>
      </c>
      <c r="CV104" s="38" t="str">
        <f>IFERROR('2.vize'!DG3*100/'2.vize'!$I3,"")</f>
        <v/>
      </c>
      <c r="CW104" s="32" t="str">
        <f>IFERROR(SUM(A104:CV104)/'2.vize'!$DH$103,"")</f>
        <v/>
      </c>
      <c r="CX104" s="14" t="str">
        <f>IF(COUNTA('2.vize'!A3),'2.vize'!A3,"")</f>
        <v/>
      </c>
      <c r="CY104" s="14" t="str">
        <f>IF(COUNTA('2.vize'!B3),'2.vize'!B3,"")</f>
        <v/>
      </c>
      <c r="CZ104" s="14" t="str">
        <f>IF(COUNTA('2.vize'!C3),'2.vize'!C3,"")</f>
        <v/>
      </c>
      <c r="DA104" s="14" t="str">
        <f>IF(COUNTA('2.vize'!D3),'2.vize'!D3,"")</f>
        <v/>
      </c>
      <c r="DB104" s="14" t="str">
        <f>IF(COUNTA('2.vize'!E3),'2.vize'!E3,"")</f>
        <v/>
      </c>
      <c r="DC104" s="14" t="str">
        <f>IF(COUNTA('2.vize'!F3),'2.vize'!F3,"")</f>
        <v/>
      </c>
      <c r="DD104" s="14" t="str">
        <f>IF(COUNTA('2.vize'!G3),'2.vize'!G3,"")</f>
        <v/>
      </c>
      <c r="DE104" s="14" t="str">
        <f>IF(COUNTA('2.vize'!H3),'2.vize'!H3,"")</f>
        <v/>
      </c>
    </row>
    <row r="105" spans="1:118" x14ac:dyDescent="0.2">
      <c r="A105" s="38" t="str">
        <f>IFERROR('2.vize'!L4*100/'2.vize'!$I4,"")</f>
        <v/>
      </c>
      <c r="B105" s="38" t="str">
        <f>IFERROR('2.vize'!M4*100/'2.vize'!$I4,"")</f>
        <v/>
      </c>
      <c r="C105" s="38" t="str">
        <f>IFERROR('2.vize'!N4*100/'2.vize'!$I4,"")</f>
        <v/>
      </c>
      <c r="D105" s="38" t="str">
        <f>IFERROR('2.vize'!O4*100/'2.vize'!$I4,"")</f>
        <v/>
      </c>
      <c r="E105" s="38" t="str">
        <f>IFERROR('2.vize'!P4*100/'2.vize'!$I4,"")</f>
        <v/>
      </c>
      <c r="F105" s="38" t="str">
        <f>IFERROR('2.vize'!Q4*100/'2.vize'!$I4,"")</f>
        <v/>
      </c>
      <c r="G105" s="38" t="str">
        <f>IFERROR('2.vize'!R4*100/'2.vize'!$I4,"")</f>
        <v/>
      </c>
      <c r="H105" s="38" t="str">
        <f>IFERROR('2.vize'!S4*100/'2.vize'!$I4,"")</f>
        <v/>
      </c>
      <c r="I105" s="38" t="str">
        <f>IFERROR('2.vize'!T4*100/'2.vize'!$I4,"")</f>
        <v/>
      </c>
      <c r="J105" s="38" t="str">
        <f>IFERROR('2.vize'!U4*100/'2.vize'!$I4,"")</f>
        <v/>
      </c>
      <c r="K105" s="38" t="str">
        <f>IFERROR('2.vize'!V4*100/'2.vize'!$I4,"")</f>
        <v/>
      </c>
      <c r="L105" s="38" t="str">
        <f>IFERROR('2.vize'!W4*100/'2.vize'!$I4,"")</f>
        <v/>
      </c>
      <c r="M105" s="38" t="str">
        <f>IFERROR('2.vize'!X4*100/'2.vize'!$I4,"")</f>
        <v/>
      </c>
      <c r="N105" s="38" t="str">
        <f>IFERROR('2.vize'!Y4*100/'2.vize'!$I4,"")</f>
        <v/>
      </c>
      <c r="O105" s="38" t="str">
        <f>IFERROR('2.vize'!Z4*100/'2.vize'!$I4,"")</f>
        <v/>
      </c>
      <c r="P105" s="38" t="str">
        <f>IFERROR('2.vize'!AA4*100/'2.vize'!$I4,"")</f>
        <v/>
      </c>
      <c r="Q105" s="38" t="str">
        <f>IFERROR('2.vize'!AB4*100/'2.vize'!$I4,"")</f>
        <v/>
      </c>
      <c r="R105" s="38" t="str">
        <f>IFERROR('2.vize'!AC4*100/'2.vize'!$I4,"")</f>
        <v/>
      </c>
      <c r="S105" s="38" t="str">
        <f>IFERROR('2.vize'!AD4*100/'2.vize'!$I4,"")</f>
        <v/>
      </c>
      <c r="T105" s="38" t="str">
        <f>IFERROR('2.vize'!AE4*100/'2.vize'!$I4,"")</f>
        <v/>
      </c>
      <c r="U105" s="38" t="str">
        <f>IFERROR('2.vize'!AF4*100/'2.vize'!$I4,"")</f>
        <v/>
      </c>
      <c r="V105" s="38" t="str">
        <f>IFERROR('2.vize'!AG4*100/'2.vize'!$I4,"")</f>
        <v/>
      </c>
      <c r="W105" s="38" t="str">
        <f>IFERROR('2.vize'!AH4*100/'2.vize'!$I4,"")</f>
        <v/>
      </c>
      <c r="X105" s="38" t="str">
        <f>IFERROR('2.vize'!AI4*100/'2.vize'!$I4,"")</f>
        <v/>
      </c>
      <c r="Y105" s="38" t="str">
        <f>IFERROR('2.vize'!AJ4*100/'2.vize'!$I4,"")</f>
        <v/>
      </c>
      <c r="Z105" s="38" t="str">
        <f>IFERROR('2.vize'!AK4*100/'2.vize'!$I4,"")</f>
        <v/>
      </c>
      <c r="AA105" s="38" t="str">
        <f>IFERROR('2.vize'!AL4*100/'2.vize'!$I4,"")</f>
        <v/>
      </c>
      <c r="AB105" s="38" t="str">
        <f>IFERROR('2.vize'!AM4*100/'2.vize'!$I4,"")</f>
        <v/>
      </c>
      <c r="AC105" s="38" t="str">
        <f>IFERROR('2.vize'!AN4*100/'2.vize'!$I4,"")</f>
        <v/>
      </c>
      <c r="AD105" s="38" t="str">
        <f>IFERROR('2.vize'!AO4*100/'2.vize'!$I4,"")</f>
        <v/>
      </c>
      <c r="AE105" s="38" t="str">
        <f>IFERROR('2.vize'!AP4*100/'2.vize'!$I4,"")</f>
        <v/>
      </c>
      <c r="AF105" s="38" t="str">
        <f>IFERROR('2.vize'!AQ4*100/'2.vize'!$I4,"")</f>
        <v/>
      </c>
      <c r="AG105" s="38" t="str">
        <f>IFERROR('2.vize'!AR4*100/'2.vize'!$I4,"")</f>
        <v/>
      </c>
      <c r="AH105" s="38" t="str">
        <f>IFERROR('2.vize'!AS4*100/'2.vize'!$I4,"")</f>
        <v/>
      </c>
      <c r="AI105" s="38" t="str">
        <f>IFERROR('2.vize'!AT4*100/'2.vize'!$I4,"")</f>
        <v/>
      </c>
      <c r="AJ105" s="38" t="str">
        <f>IFERROR('2.vize'!AU4*100/'2.vize'!$I4,"")</f>
        <v/>
      </c>
      <c r="AK105" s="38" t="str">
        <f>IFERROR('2.vize'!AV4*100/'2.vize'!$I4,"")</f>
        <v/>
      </c>
      <c r="AL105" s="38" t="str">
        <f>IFERROR('2.vize'!AW4*100/'2.vize'!$I4,"")</f>
        <v/>
      </c>
      <c r="AM105" s="38" t="str">
        <f>IFERROR('2.vize'!AX4*100/'2.vize'!$I4,"")</f>
        <v/>
      </c>
      <c r="AN105" s="38" t="str">
        <f>IFERROR('2.vize'!AY4*100/'2.vize'!$I4,"")</f>
        <v/>
      </c>
      <c r="AO105" s="38" t="str">
        <f>IFERROR('2.vize'!AZ4*100/'2.vize'!$I4,"")</f>
        <v/>
      </c>
      <c r="AP105" s="38" t="str">
        <f>IFERROR('2.vize'!BA4*100/'2.vize'!$I4,"")</f>
        <v/>
      </c>
      <c r="AQ105" s="38" t="str">
        <f>IFERROR('2.vize'!BB4*100/'2.vize'!$I4,"")</f>
        <v/>
      </c>
      <c r="AR105" s="38" t="str">
        <f>IFERROR('2.vize'!BC4*100/'2.vize'!$I4,"")</f>
        <v/>
      </c>
      <c r="AS105" s="38" t="str">
        <f>IFERROR('2.vize'!BD4*100/'2.vize'!$I4,"")</f>
        <v/>
      </c>
      <c r="AT105" s="38" t="str">
        <f>IFERROR('2.vize'!BE4*100/'2.vize'!$I4,"")</f>
        <v/>
      </c>
      <c r="AU105" s="38" t="str">
        <f>IFERROR('2.vize'!BF4*100/'2.vize'!$I4,"")</f>
        <v/>
      </c>
      <c r="AV105" s="38" t="str">
        <f>IFERROR('2.vize'!BG4*100/'2.vize'!$I4,"")</f>
        <v/>
      </c>
      <c r="AW105" s="38" t="str">
        <f>IFERROR('2.vize'!BH4*100/'2.vize'!$I4,"")</f>
        <v/>
      </c>
      <c r="AX105" s="38" t="str">
        <f>IFERROR('2.vize'!BI4*100/'2.vize'!$I4,"")</f>
        <v/>
      </c>
      <c r="AY105" s="38" t="str">
        <f>IFERROR('2.vize'!BJ4*100/'2.vize'!$I4,"")</f>
        <v/>
      </c>
      <c r="AZ105" s="38" t="str">
        <f>IFERROR('2.vize'!BK4*100/'2.vize'!$I4,"")</f>
        <v/>
      </c>
      <c r="BA105" s="38" t="str">
        <f>IFERROR('2.vize'!BL4*100/'2.vize'!$I4,"")</f>
        <v/>
      </c>
      <c r="BB105" s="38" t="str">
        <f>IFERROR('2.vize'!BM4*100/'2.vize'!$I4,"")</f>
        <v/>
      </c>
      <c r="BC105" s="38" t="str">
        <f>IFERROR('2.vize'!BN4*100/'2.vize'!$I4,"")</f>
        <v/>
      </c>
      <c r="BD105" s="38" t="str">
        <f>IFERROR('2.vize'!BO4*100/'2.vize'!$I4,"")</f>
        <v/>
      </c>
      <c r="BE105" s="38" t="str">
        <f>IFERROR('2.vize'!BP4*100/'2.vize'!$I4,"")</f>
        <v/>
      </c>
      <c r="BF105" s="38" t="str">
        <f>IFERROR('2.vize'!BQ4*100/'2.vize'!$I4,"")</f>
        <v/>
      </c>
      <c r="BG105" s="38" t="str">
        <f>IFERROR('2.vize'!BR4*100/'2.vize'!$I4,"")</f>
        <v/>
      </c>
      <c r="BH105" s="38" t="str">
        <f>IFERROR('2.vize'!BS4*100/'2.vize'!$I4,"")</f>
        <v/>
      </c>
      <c r="BI105" s="38" t="str">
        <f>IFERROR('2.vize'!BT4*100/'2.vize'!$I4,"")</f>
        <v/>
      </c>
      <c r="BJ105" s="38" t="str">
        <f>IFERROR('2.vize'!BU4*100/'2.vize'!$I4,"")</f>
        <v/>
      </c>
      <c r="BK105" s="38" t="str">
        <f>IFERROR('2.vize'!BV4*100/'2.vize'!$I4,"")</f>
        <v/>
      </c>
      <c r="BL105" s="38" t="str">
        <f>IFERROR('2.vize'!BW4*100/'2.vize'!$I4,"")</f>
        <v/>
      </c>
      <c r="BM105" s="38" t="str">
        <f>IFERROR('2.vize'!BX4*100/'2.vize'!$I4,"")</f>
        <v/>
      </c>
      <c r="BN105" s="38" t="str">
        <f>IFERROR('2.vize'!BY4*100/'2.vize'!$I4,"")</f>
        <v/>
      </c>
      <c r="BO105" s="38" t="str">
        <f>IFERROR('2.vize'!BZ4*100/'2.vize'!$I4,"")</f>
        <v/>
      </c>
      <c r="BP105" s="38" t="str">
        <f>IFERROR('2.vize'!CA4*100/'2.vize'!$I4,"")</f>
        <v/>
      </c>
      <c r="BQ105" s="38" t="str">
        <f>IFERROR('2.vize'!CB4*100/'2.vize'!$I4,"")</f>
        <v/>
      </c>
      <c r="BR105" s="38" t="str">
        <f>IFERROR('2.vize'!CC4*100/'2.vize'!$I4,"")</f>
        <v/>
      </c>
      <c r="BS105" s="38" t="str">
        <f>IFERROR('2.vize'!CD4*100/'2.vize'!$I4,"")</f>
        <v/>
      </c>
      <c r="BT105" s="38" t="str">
        <f>IFERROR('2.vize'!CE4*100/'2.vize'!$I4,"")</f>
        <v/>
      </c>
      <c r="BU105" s="38" t="str">
        <f>IFERROR('2.vize'!CF4*100/'2.vize'!$I4,"")</f>
        <v/>
      </c>
      <c r="BV105" s="38" t="str">
        <f>IFERROR('2.vize'!CG4*100/'2.vize'!$I4,"")</f>
        <v/>
      </c>
      <c r="BW105" s="38" t="str">
        <f>IFERROR('2.vize'!CH4*100/'2.vize'!$I4,"")</f>
        <v/>
      </c>
      <c r="BX105" s="38" t="str">
        <f>IFERROR('2.vize'!CI4*100/'2.vize'!$I4,"")</f>
        <v/>
      </c>
      <c r="BY105" s="38" t="str">
        <f>IFERROR('2.vize'!CJ4*100/'2.vize'!$I4,"")</f>
        <v/>
      </c>
      <c r="BZ105" s="38" t="str">
        <f>IFERROR('2.vize'!CK4*100/'2.vize'!$I4,"")</f>
        <v/>
      </c>
      <c r="CA105" s="38" t="str">
        <f>IFERROR('2.vize'!CL4*100/'2.vize'!$I4,"")</f>
        <v/>
      </c>
      <c r="CB105" s="38" t="str">
        <f>IFERROR('2.vize'!CM4*100/'2.vize'!$I4,"")</f>
        <v/>
      </c>
      <c r="CC105" s="38" t="str">
        <f>IFERROR('2.vize'!CN4*100/'2.vize'!$I4,"")</f>
        <v/>
      </c>
      <c r="CD105" s="38" t="str">
        <f>IFERROR('2.vize'!CO4*100/'2.vize'!$I4,"")</f>
        <v/>
      </c>
      <c r="CE105" s="38" t="str">
        <f>IFERROR('2.vize'!CP4*100/'2.vize'!$I4,"")</f>
        <v/>
      </c>
      <c r="CF105" s="38" t="str">
        <f>IFERROR('2.vize'!CQ4*100/'2.vize'!$I4,"")</f>
        <v/>
      </c>
      <c r="CG105" s="38" t="str">
        <f>IFERROR('2.vize'!CR4*100/'2.vize'!$I4,"")</f>
        <v/>
      </c>
      <c r="CH105" s="38" t="str">
        <f>IFERROR('2.vize'!CS4*100/'2.vize'!$I4,"")</f>
        <v/>
      </c>
      <c r="CI105" s="38" t="str">
        <f>IFERROR('2.vize'!CT4*100/'2.vize'!$I4,"")</f>
        <v/>
      </c>
      <c r="CJ105" s="38" t="str">
        <f>IFERROR('2.vize'!CU4*100/'2.vize'!$I4,"")</f>
        <v/>
      </c>
      <c r="CK105" s="38" t="str">
        <f>IFERROR('2.vize'!CV4*100/'2.vize'!$I4,"")</f>
        <v/>
      </c>
      <c r="CL105" s="38" t="str">
        <f>IFERROR('2.vize'!CW4*100/'2.vize'!$I4,"")</f>
        <v/>
      </c>
      <c r="CM105" s="38" t="str">
        <f>IFERROR('2.vize'!CX4*100/'2.vize'!$I4,"")</f>
        <v/>
      </c>
      <c r="CN105" s="38" t="str">
        <f>IFERROR('2.vize'!CY4*100/'2.vize'!$I4,"")</f>
        <v/>
      </c>
      <c r="CO105" s="38" t="str">
        <f>IFERROR('2.vize'!CZ4*100/'2.vize'!$I4,"")</f>
        <v/>
      </c>
      <c r="CP105" s="38" t="str">
        <f>IFERROR('2.vize'!DA4*100/'2.vize'!$I4,"")</f>
        <v/>
      </c>
      <c r="CQ105" s="38" t="str">
        <f>IFERROR('2.vize'!DB4*100/'2.vize'!$I4,"")</f>
        <v/>
      </c>
      <c r="CR105" s="38" t="str">
        <f>IFERROR('2.vize'!DC4*100/'2.vize'!$I4,"")</f>
        <v/>
      </c>
      <c r="CS105" s="38" t="str">
        <f>IFERROR('2.vize'!DD4*100/'2.vize'!$I4,"")</f>
        <v/>
      </c>
      <c r="CT105" s="38" t="str">
        <f>IFERROR('2.vize'!DE4*100/'2.vize'!$I4,"")</f>
        <v/>
      </c>
      <c r="CU105" s="38" t="str">
        <f>IFERROR('2.vize'!DF4*100/'2.vize'!$I4,"")</f>
        <v/>
      </c>
      <c r="CV105" s="38" t="str">
        <f>IFERROR('2.vize'!DG4*100/'2.vize'!$I4,"")</f>
        <v/>
      </c>
      <c r="CW105" s="32" t="str">
        <f>IFERROR(SUM(A105:CV105)/'2.vize'!$DH$103,"")</f>
        <v/>
      </c>
      <c r="CX105" s="14" t="str">
        <f>IF(COUNTA('2.vize'!A4),'2.vize'!A4,"")</f>
        <v/>
      </c>
      <c r="CY105" s="14" t="str">
        <f>IF(COUNTA('2.vize'!B4),'2.vize'!B4,"")</f>
        <v/>
      </c>
      <c r="CZ105" s="14" t="str">
        <f>IF(COUNTA('2.vize'!C4),'2.vize'!C4,"")</f>
        <v/>
      </c>
      <c r="DA105" s="14" t="str">
        <f>IF(COUNTA('2.vize'!D4),'2.vize'!D4,"")</f>
        <v/>
      </c>
      <c r="DB105" s="14" t="str">
        <f>IF(COUNTA('2.vize'!E4),'2.vize'!E4,"")</f>
        <v/>
      </c>
      <c r="DC105" s="14" t="str">
        <f>IF(COUNTA('2.vize'!F4),'2.vize'!F4,"")</f>
        <v/>
      </c>
      <c r="DD105" s="14" t="str">
        <f>IF(COUNTA('2.vize'!G4),'2.vize'!G4,"")</f>
        <v/>
      </c>
      <c r="DE105" s="14" t="str">
        <f>IF(COUNTA('2.vize'!H4),'2.vize'!H4,"")</f>
        <v/>
      </c>
    </row>
    <row r="106" spans="1:118" x14ac:dyDescent="0.2">
      <c r="A106" s="38" t="str">
        <f>IFERROR('2.vize'!L5*100/'2.vize'!$I5,"")</f>
        <v/>
      </c>
      <c r="B106" s="38" t="str">
        <f>IFERROR('2.vize'!M5*100/'2.vize'!$I5,"")</f>
        <v/>
      </c>
      <c r="C106" s="38" t="str">
        <f>IFERROR('2.vize'!N5*100/'2.vize'!$I5,"")</f>
        <v/>
      </c>
      <c r="D106" s="38" t="str">
        <f>IFERROR('2.vize'!O5*100/'2.vize'!$I5,"")</f>
        <v/>
      </c>
      <c r="E106" s="38" t="str">
        <f>IFERROR('2.vize'!P5*100/'2.vize'!$I5,"")</f>
        <v/>
      </c>
      <c r="F106" s="38" t="str">
        <f>IFERROR('2.vize'!Q5*100/'2.vize'!$I5,"")</f>
        <v/>
      </c>
      <c r="G106" s="38" t="str">
        <f>IFERROR('2.vize'!R5*100/'2.vize'!$I5,"")</f>
        <v/>
      </c>
      <c r="H106" s="38" t="str">
        <f>IFERROR('2.vize'!S5*100/'2.vize'!$I5,"")</f>
        <v/>
      </c>
      <c r="I106" s="38" t="str">
        <f>IFERROR('2.vize'!T5*100/'2.vize'!$I5,"")</f>
        <v/>
      </c>
      <c r="J106" s="38" t="str">
        <f>IFERROR('2.vize'!U5*100/'2.vize'!$I5,"")</f>
        <v/>
      </c>
      <c r="K106" s="38" t="str">
        <f>IFERROR('2.vize'!V5*100/'2.vize'!$I5,"")</f>
        <v/>
      </c>
      <c r="L106" s="38" t="str">
        <f>IFERROR('2.vize'!W5*100/'2.vize'!$I5,"")</f>
        <v/>
      </c>
      <c r="M106" s="38" t="str">
        <f>IFERROR('2.vize'!X5*100/'2.vize'!$I5,"")</f>
        <v/>
      </c>
      <c r="N106" s="38" t="str">
        <f>IFERROR('2.vize'!Y5*100/'2.vize'!$I5,"")</f>
        <v/>
      </c>
      <c r="O106" s="38" t="str">
        <f>IFERROR('2.vize'!Z5*100/'2.vize'!$I5,"")</f>
        <v/>
      </c>
      <c r="P106" s="38" t="str">
        <f>IFERROR('2.vize'!AA5*100/'2.vize'!$I5,"")</f>
        <v/>
      </c>
      <c r="Q106" s="38" t="str">
        <f>IFERROR('2.vize'!AB5*100/'2.vize'!$I5,"")</f>
        <v/>
      </c>
      <c r="R106" s="38" t="str">
        <f>IFERROR('2.vize'!AC5*100/'2.vize'!$I5,"")</f>
        <v/>
      </c>
      <c r="S106" s="38" t="str">
        <f>IFERROR('2.vize'!AD5*100/'2.vize'!$I5,"")</f>
        <v/>
      </c>
      <c r="T106" s="38" t="str">
        <f>IFERROR('2.vize'!AE5*100/'2.vize'!$I5,"")</f>
        <v/>
      </c>
      <c r="U106" s="38" t="str">
        <f>IFERROR('2.vize'!AF5*100/'2.vize'!$I5,"")</f>
        <v/>
      </c>
      <c r="V106" s="38" t="str">
        <f>IFERROR('2.vize'!AG5*100/'2.vize'!$I5,"")</f>
        <v/>
      </c>
      <c r="W106" s="38" t="str">
        <f>IFERROR('2.vize'!AH5*100/'2.vize'!$I5,"")</f>
        <v/>
      </c>
      <c r="X106" s="38" t="str">
        <f>IFERROR('2.vize'!AI5*100/'2.vize'!$I5,"")</f>
        <v/>
      </c>
      <c r="Y106" s="38" t="str">
        <f>IFERROR('2.vize'!AJ5*100/'2.vize'!$I5,"")</f>
        <v/>
      </c>
      <c r="Z106" s="38" t="str">
        <f>IFERROR('2.vize'!AK5*100/'2.vize'!$I5,"")</f>
        <v/>
      </c>
      <c r="AA106" s="38" t="str">
        <f>IFERROR('2.vize'!AL5*100/'2.vize'!$I5,"")</f>
        <v/>
      </c>
      <c r="AB106" s="38" t="str">
        <f>IFERROR('2.vize'!AM5*100/'2.vize'!$I5,"")</f>
        <v/>
      </c>
      <c r="AC106" s="38" t="str">
        <f>IFERROR('2.vize'!AN5*100/'2.vize'!$I5,"")</f>
        <v/>
      </c>
      <c r="AD106" s="38" t="str">
        <f>IFERROR('2.vize'!AO5*100/'2.vize'!$I5,"")</f>
        <v/>
      </c>
      <c r="AE106" s="38" t="str">
        <f>IFERROR('2.vize'!AP5*100/'2.vize'!$I5,"")</f>
        <v/>
      </c>
      <c r="AF106" s="38" t="str">
        <f>IFERROR('2.vize'!AQ5*100/'2.vize'!$I5,"")</f>
        <v/>
      </c>
      <c r="AG106" s="38" t="str">
        <f>IFERROR('2.vize'!AR5*100/'2.vize'!$I5,"")</f>
        <v/>
      </c>
      <c r="AH106" s="38" t="str">
        <f>IFERROR('2.vize'!AS5*100/'2.vize'!$I5,"")</f>
        <v/>
      </c>
      <c r="AI106" s="38" t="str">
        <f>IFERROR('2.vize'!AT5*100/'2.vize'!$I5,"")</f>
        <v/>
      </c>
      <c r="AJ106" s="38" t="str">
        <f>IFERROR('2.vize'!AU5*100/'2.vize'!$I5,"")</f>
        <v/>
      </c>
      <c r="AK106" s="38" t="str">
        <f>IFERROR('2.vize'!AV5*100/'2.vize'!$I5,"")</f>
        <v/>
      </c>
      <c r="AL106" s="38" t="str">
        <f>IFERROR('2.vize'!AW5*100/'2.vize'!$I5,"")</f>
        <v/>
      </c>
      <c r="AM106" s="38" t="str">
        <f>IFERROR('2.vize'!AX5*100/'2.vize'!$I5,"")</f>
        <v/>
      </c>
      <c r="AN106" s="38" t="str">
        <f>IFERROR('2.vize'!AY5*100/'2.vize'!$I5,"")</f>
        <v/>
      </c>
      <c r="AO106" s="38" t="str">
        <f>IFERROR('2.vize'!AZ5*100/'2.vize'!$I5,"")</f>
        <v/>
      </c>
      <c r="AP106" s="38" t="str">
        <f>IFERROR('2.vize'!BA5*100/'2.vize'!$I5,"")</f>
        <v/>
      </c>
      <c r="AQ106" s="38" t="str">
        <f>IFERROR('2.vize'!BB5*100/'2.vize'!$I5,"")</f>
        <v/>
      </c>
      <c r="AR106" s="38" t="str">
        <f>IFERROR('2.vize'!BC5*100/'2.vize'!$I5,"")</f>
        <v/>
      </c>
      <c r="AS106" s="38" t="str">
        <f>IFERROR('2.vize'!BD5*100/'2.vize'!$I5,"")</f>
        <v/>
      </c>
      <c r="AT106" s="38" t="str">
        <f>IFERROR('2.vize'!BE5*100/'2.vize'!$I5,"")</f>
        <v/>
      </c>
      <c r="AU106" s="38" t="str">
        <f>IFERROR('2.vize'!BF5*100/'2.vize'!$I5,"")</f>
        <v/>
      </c>
      <c r="AV106" s="38" t="str">
        <f>IFERROR('2.vize'!BG5*100/'2.vize'!$I5,"")</f>
        <v/>
      </c>
      <c r="AW106" s="38" t="str">
        <f>IFERROR('2.vize'!BH5*100/'2.vize'!$I5,"")</f>
        <v/>
      </c>
      <c r="AX106" s="38" t="str">
        <f>IFERROR('2.vize'!BI5*100/'2.vize'!$I5,"")</f>
        <v/>
      </c>
      <c r="AY106" s="38" t="str">
        <f>IFERROR('2.vize'!BJ5*100/'2.vize'!$I5,"")</f>
        <v/>
      </c>
      <c r="AZ106" s="38" t="str">
        <f>IFERROR('2.vize'!BK5*100/'2.vize'!$I5,"")</f>
        <v/>
      </c>
      <c r="BA106" s="38" t="str">
        <f>IFERROR('2.vize'!BL5*100/'2.vize'!$I5,"")</f>
        <v/>
      </c>
      <c r="BB106" s="38" t="str">
        <f>IFERROR('2.vize'!BM5*100/'2.vize'!$I5,"")</f>
        <v/>
      </c>
      <c r="BC106" s="38" t="str">
        <f>IFERROR('2.vize'!BN5*100/'2.vize'!$I5,"")</f>
        <v/>
      </c>
      <c r="BD106" s="38" t="str">
        <f>IFERROR('2.vize'!BO5*100/'2.vize'!$I5,"")</f>
        <v/>
      </c>
      <c r="BE106" s="38" t="str">
        <f>IFERROR('2.vize'!BP5*100/'2.vize'!$I5,"")</f>
        <v/>
      </c>
      <c r="BF106" s="38" t="str">
        <f>IFERROR('2.vize'!BQ5*100/'2.vize'!$I5,"")</f>
        <v/>
      </c>
      <c r="BG106" s="38" t="str">
        <f>IFERROR('2.vize'!BR5*100/'2.vize'!$I5,"")</f>
        <v/>
      </c>
      <c r="BH106" s="38" t="str">
        <f>IFERROR('2.vize'!BS5*100/'2.vize'!$I5,"")</f>
        <v/>
      </c>
      <c r="BI106" s="38" t="str">
        <f>IFERROR('2.vize'!BT5*100/'2.vize'!$I5,"")</f>
        <v/>
      </c>
      <c r="BJ106" s="38" t="str">
        <f>IFERROR('2.vize'!BU5*100/'2.vize'!$I5,"")</f>
        <v/>
      </c>
      <c r="BK106" s="38" t="str">
        <f>IFERROR('2.vize'!BV5*100/'2.vize'!$I5,"")</f>
        <v/>
      </c>
      <c r="BL106" s="38" t="str">
        <f>IFERROR('2.vize'!BW5*100/'2.vize'!$I5,"")</f>
        <v/>
      </c>
      <c r="BM106" s="38" t="str">
        <f>IFERROR('2.vize'!BX5*100/'2.vize'!$I5,"")</f>
        <v/>
      </c>
      <c r="BN106" s="38" t="str">
        <f>IFERROR('2.vize'!BY5*100/'2.vize'!$I5,"")</f>
        <v/>
      </c>
      <c r="BO106" s="38" t="str">
        <f>IFERROR('2.vize'!BZ5*100/'2.vize'!$I5,"")</f>
        <v/>
      </c>
      <c r="BP106" s="38" t="str">
        <f>IFERROR('2.vize'!CA5*100/'2.vize'!$I5,"")</f>
        <v/>
      </c>
      <c r="BQ106" s="38" t="str">
        <f>IFERROR('2.vize'!CB5*100/'2.vize'!$I5,"")</f>
        <v/>
      </c>
      <c r="BR106" s="38" t="str">
        <f>IFERROR('2.vize'!CC5*100/'2.vize'!$I5,"")</f>
        <v/>
      </c>
      <c r="BS106" s="38" t="str">
        <f>IFERROR('2.vize'!CD5*100/'2.vize'!$I5,"")</f>
        <v/>
      </c>
      <c r="BT106" s="38" t="str">
        <f>IFERROR('2.vize'!CE5*100/'2.vize'!$I5,"")</f>
        <v/>
      </c>
      <c r="BU106" s="38" t="str">
        <f>IFERROR('2.vize'!CF5*100/'2.vize'!$I5,"")</f>
        <v/>
      </c>
      <c r="BV106" s="38" t="str">
        <f>IFERROR('2.vize'!CG5*100/'2.vize'!$I5,"")</f>
        <v/>
      </c>
      <c r="BW106" s="38" t="str">
        <f>IFERROR('2.vize'!CH5*100/'2.vize'!$I5,"")</f>
        <v/>
      </c>
      <c r="BX106" s="38" t="str">
        <f>IFERROR('2.vize'!CI5*100/'2.vize'!$I5,"")</f>
        <v/>
      </c>
      <c r="BY106" s="38" t="str">
        <f>IFERROR('2.vize'!CJ5*100/'2.vize'!$I5,"")</f>
        <v/>
      </c>
      <c r="BZ106" s="38" t="str">
        <f>IFERROR('2.vize'!CK5*100/'2.vize'!$I5,"")</f>
        <v/>
      </c>
      <c r="CA106" s="38" t="str">
        <f>IFERROR('2.vize'!CL5*100/'2.vize'!$I5,"")</f>
        <v/>
      </c>
      <c r="CB106" s="38" t="str">
        <f>IFERROR('2.vize'!CM5*100/'2.vize'!$I5,"")</f>
        <v/>
      </c>
      <c r="CC106" s="38" t="str">
        <f>IFERROR('2.vize'!CN5*100/'2.vize'!$I5,"")</f>
        <v/>
      </c>
      <c r="CD106" s="38" t="str">
        <f>IFERROR('2.vize'!CO5*100/'2.vize'!$I5,"")</f>
        <v/>
      </c>
      <c r="CE106" s="38" t="str">
        <f>IFERROR('2.vize'!CP5*100/'2.vize'!$I5,"")</f>
        <v/>
      </c>
      <c r="CF106" s="38" t="str">
        <f>IFERROR('2.vize'!CQ5*100/'2.vize'!$I5,"")</f>
        <v/>
      </c>
      <c r="CG106" s="38" t="str">
        <f>IFERROR('2.vize'!CR5*100/'2.vize'!$I5,"")</f>
        <v/>
      </c>
      <c r="CH106" s="38" t="str">
        <f>IFERROR('2.vize'!CS5*100/'2.vize'!$I5,"")</f>
        <v/>
      </c>
      <c r="CI106" s="38" t="str">
        <f>IFERROR('2.vize'!CT5*100/'2.vize'!$I5,"")</f>
        <v/>
      </c>
      <c r="CJ106" s="38" t="str">
        <f>IFERROR('2.vize'!CU5*100/'2.vize'!$I5,"")</f>
        <v/>
      </c>
      <c r="CK106" s="38" t="str">
        <f>IFERROR('2.vize'!CV5*100/'2.vize'!$I5,"")</f>
        <v/>
      </c>
      <c r="CL106" s="38" t="str">
        <f>IFERROR('2.vize'!CW5*100/'2.vize'!$I5,"")</f>
        <v/>
      </c>
      <c r="CM106" s="38" t="str">
        <f>IFERROR('2.vize'!CX5*100/'2.vize'!$I5,"")</f>
        <v/>
      </c>
      <c r="CN106" s="38" t="str">
        <f>IFERROR('2.vize'!CY5*100/'2.vize'!$I5,"")</f>
        <v/>
      </c>
      <c r="CO106" s="38" t="str">
        <f>IFERROR('2.vize'!CZ5*100/'2.vize'!$I5,"")</f>
        <v/>
      </c>
      <c r="CP106" s="38" t="str">
        <f>IFERROR('2.vize'!DA5*100/'2.vize'!$I5,"")</f>
        <v/>
      </c>
      <c r="CQ106" s="38" t="str">
        <f>IFERROR('2.vize'!DB5*100/'2.vize'!$I5,"")</f>
        <v/>
      </c>
      <c r="CR106" s="38" t="str">
        <f>IFERROR('2.vize'!DC5*100/'2.vize'!$I5,"")</f>
        <v/>
      </c>
      <c r="CS106" s="38" t="str">
        <f>IFERROR('2.vize'!DD5*100/'2.vize'!$I5,"")</f>
        <v/>
      </c>
      <c r="CT106" s="38" t="str">
        <f>IFERROR('2.vize'!DE5*100/'2.vize'!$I5,"")</f>
        <v/>
      </c>
      <c r="CU106" s="38" t="str">
        <f>IFERROR('2.vize'!DF5*100/'2.vize'!$I5,"")</f>
        <v/>
      </c>
      <c r="CV106" s="38" t="str">
        <f>IFERROR('2.vize'!DG5*100/'2.vize'!$I5,"")</f>
        <v/>
      </c>
      <c r="CW106" s="32" t="str">
        <f>IFERROR(SUM(A106:CV106)/'2.vize'!$DH$103,"")</f>
        <v/>
      </c>
      <c r="CX106" s="14" t="str">
        <f>IF(COUNTA('2.vize'!A5),'2.vize'!A5,"")</f>
        <v/>
      </c>
      <c r="CY106" s="14" t="str">
        <f>IF(COUNTA('2.vize'!B5),'2.vize'!B5,"")</f>
        <v/>
      </c>
      <c r="CZ106" s="14" t="str">
        <f>IF(COUNTA('2.vize'!C5),'2.vize'!C5,"")</f>
        <v/>
      </c>
      <c r="DA106" s="14" t="str">
        <f>IF(COUNTA('2.vize'!D5),'2.vize'!D5,"")</f>
        <v/>
      </c>
      <c r="DB106" s="14" t="str">
        <f>IF(COUNTA('2.vize'!E5),'2.vize'!E5,"")</f>
        <v/>
      </c>
      <c r="DC106" s="14" t="str">
        <f>IF(COUNTA('2.vize'!F5),'2.vize'!F5,"")</f>
        <v/>
      </c>
      <c r="DD106" s="14" t="str">
        <f>IF(COUNTA('2.vize'!G5),'2.vize'!G5,"")</f>
        <v/>
      </c>
      <c r="DE106" s="14" t="str">
        <f>IF(COUNTA('2.vize'!H5),'2.vize'!H5,"")</f>
        <v/>
      </c>
    </row>
    <row r="107" spans="1:118" x14ac:dyDescent="0.2">
      <c r="A107" s="38" t="str">
        <f>IFERROR('2.vize'!L6*100/'2.vize'!$I6,"")</f>
        <v/>
      </c>
      <c r="B107" s="38" t="str">
        <f>IFERROR('2.vize'!M6*100/'2.vize'!$I6,"")</f>
        <v/>
      </c>
      <c r="C107" s="38" t="str">
        <f>IFERROR('2.vize'!N6*100/'2.vize'!$I6,"")</f>
        <v/>
      </c>
      <c r="D107" s="38" t="str">
        <f>IFERROR('2.vize'!O6*100/'2.vize'!$I6,"")</f>
        <v/>
      </c>
      <c r="E107" s="38" t="str">
        <f>IFERROR('2.vize'!P6*100/'2.vize'!$I6,"")</f>
        <v/>
      </c>
      <c r="F107" s="38" t="str">
        <f>IFERROR('2.vize'!Q6*100/'2.vize'!$I6,"")</f>
        <v/>
      </c>
      <c r="G107" s="38" t="str">
        <f>IFERROR('2.vize'!R6*100/'2.vize'!$I6,"")</f>
        <v/>
      </c>
      <c r="H107" s="38" t="str">
        <f>IFERROR('2.vize'!S6*100/'2.vize'!$I6,"")</f>
        <v/>
      </c>
      <c r="I107" s="38" t="str">
        <f>IFERROR('2.vize'!T6*100/'2.vize'!$I6,"")</f>
        <v/>
      </c>
      <c r="J107" s="38" t="str">
        <f>IFERROR('2.vize'!U6*100/'2.vize'!$I6,"")</f>
        <v/>
      </c>
      <c r="K107" s="38" t="str">
        <f>IFERROR('2.vize'!V6*100/'2.vize'!$I6,"")</f>
        <v/>
      </c>
      <c r="L107" s="38" t="str">
        <f>IFERROR('2.vize'!W6*100/'2.vize'!$I6,"")</f>
        <v/>
      </c>
      <c r="M107" s="38" t="str">
        <f>IFERROR('2.vize'!X6*100/'2.vize'!$I6,"")</f>
        <v/>
      </c>
      <c r="N107" s="38" t="str">
        <f>IFERROR('2.vize'!Y6*100/'2.vize'!$I6,"")</f>
        <v/>
      </c>
      <c r="O107" s="38" t="str">
        <f>IFERROR('2.vize'!Z6*100/'2.vize'!$I6,"")</f>
        <v/>
      </c>
      <c r="P107" s="38" t="str">
        <f>IFERROR('2.vize'!AA6*100/'2.vize'!$I6,"")</f>
        <v/>
      </c>
      <c r="Q107" s="38" t="str">
        <f>IFERROR('2.vize'!AB6*100/'2.vize'!$I6,"")</f>
        <v/>
      </c>
      <c r="R107" s="38" t="str">
        <f>IFERROR('2.vize'!AC6*100/'2.vize'!$I6,"")</f>
        <v/>
      </c>
      <c r="S107" s="38" t="str">
        <f>IFERROR('2.vize'!AD6*100/'2.vize'!$I6,"")</f>
        <v/>
      </c>
      <c r="T107" s="38" t="str">
        <f>IFERROR('2.vize'!AE6*100/'2.vize'!$I6,"")</f>
        <v/>
      </c>
      <c r="U107" s="38" t="str">
        <f>IFERROR('2.vize'!AF6*100/'2.vize'!$I6,"")</f>
        <v/>
      </c>
      <c r="V107" s="38" t="str">
        <f>IFERROR('2.vize'!AG6*100/'2.vize'!$I6,"")</f>
        <v/>
      </c>
      <c r="W107" s="38" t="str">
        <f>IFERROR('2.vize'!AH6*100/'2.vize'!$I6,"")</f>
        <v/>
      </c>
      <c r="X107" s="38" t="str">
        <f>IFERROR('2.vize'!AI6*100/'2.vize'!$I6,"")</f>
        <v/>
      </c>
      <c r="Y107" s="38" t="str">
        <f>IFERROR('2.vize'!AJ6*100/'2.vize'!$I6,"")</f>
        <v/>
      </c>
      <c r="Z107" s="38" t="str">
        <f>IFERROR('2.vize'!AK6*100/'2.vize'!$I6,"")</f>
        <v/>
      </c>
      <c r="AA107" s="38" t="str">
        <f>IFERROR('2.vize'!AL6*100/'2.vize'!$I6,"")</f>
        <v/>
      </c>
      <c r="AB107" s="38" t="str">
        <f>IFERROR('2.vize'!AM6*100/'2.vize'!$I6,"")</f>
        <v/>
      </c>
      <c r="AC107" s="38" t="str">
        <f>IFERROR('2.vize'!AN6*100/'2.vize'!$I6,"")</f>
        <v/>
      </c>
      <c r="AD107" s="38" t="str">
        <f>IFERROR('2.vize'!AO6*100/'2.vize'!$I6,"")</f>
        <v/>
      </c>
      <c r="AE107" s="38" t="str">
        <f>IFERROR('2.vize'!AP6*100/'2.vize'!$I6,"")</f>
        <v/>
      </c>
      <c r="AF107" s="38" t="str">
        <f>IFERROR('2.vize'!AQ6*100/'2.vize'!$I6,"")</f>
        <v/>
      </c>
      <c r="AG107" s="38" t="str">
        <f>IFERROR('2.vize'!AR6*100/'2.vize'!$I6,"")</f>
        <v/>
      </c>
      <c r="AH107" s="38" t="str">
        <f>IFERROR('2.vize'!AS6*100/'2.vize'!$I6,"")</f>
        <v/>
      </c>
      <c r="AI107" s="38" t="str">
        <f>IFERROR('2.vize'!AT6*100/'2.vize'!$I6,"")</f>
        <v/>
      </c>
      <c r="AJ107" s="38" t="str">
        <f>IFERROR('2.vize'!AU6*100/'2.vize'!$I6,"")</f>
        <v/>
      </c>
      <c r="AK107" s="38" t="str">
        <f>IFERROR('2.vize'!AV6*100/'2.vize'!$I6,"")</f>
        <v/>
      </c>
      <c r="AL107" s="38" t="str">
        <f>IFERROR('2.vize'!AW6*100/'2.vize'!$I6,"")</f>
        <v/>
      </c>
      <c r="AM107" s="38" t="str">
        <f>IFERROR('2.vize'!AX6*100/'2.vize'!$I6,"")</f>
        <v/>
      </c>
      <c r="AN107" s="38" t="str">
        <f>IFERROR('2.vize'!AY6*100/'2.vize'!$I6,"")</f>
        <v/>
      </c>
      <c r="AO107" s="38" t="str">
        <f>IFERROR('2.vize'!AZ6*100/'2.vize'!$I6,"")</f>
        <v/>
      </c>
      <c r="AP107" s="38" t="str">
        <f>IFERROR('2.vize'!BA6*100/'2.vize'!$I6,"")</f>
        <v/>
      </c>
      <c r="AQ107" s="38" t="str">
        <f>IFERROR('2.vize'!BB6*100/'2.vize'!$I6,"")</f>
        <v/>
      </c>
      <c r="AR107" s="38" t="str">
        <f>IFERROR('2.vize'!BC6*100/'2.vize'!$I6,"")</f>
        <v/>
      </c>
      <c r="AS107" s="38" t="str">
        <f>IFERROR('2.vize'!BD6*100/'2.vize'!$I6,"")</f>
        <v/>
      </c>
      <c r="AT107" s="38" t="str">
        <f>IFERROR('2.vize'!BE6*100/'2.vize'!$I6,"")</f>
        <v/>
      </c>
      <c r="AU107" s="38" t="str">
        <f>IFERROR('2.vize'!BF6*100/'2.vize'!$I6,"")</f>
        <v/>
      </c>
      <c r="AV107" s="38" t="str">
        <f>IFERROR('2.vize'!BG6*100/'2.vize'!$I6,"")</f>
        <v/>
      </c>
      <c r="AW107" s="38" t="str">
        <f>IFERROR('2.vize'!BH6*100/'2.vize'!$I6,"")</f>
        <v/>
      </c>
      <c r="AX107" s="38" t="str">
        <f>IFERROR('2.vize'!BI6*100/'2.vize'!$I6,"")</f>
        <v/>
      </c>
      <c r="AY107" s="38" t="str">
        <f>IFERROR('2.vize'!BJ6*100/'2.vize'!$I6,"")</f>
        <v/>
      </c>
      <c r="AZ107" s="38" t="str">
        <f>IFERROR('2.vize'!BK6*100/'2.vize'!$I6,"")</f>
        <v/>
      </c>
      <c r="BA107" s="38" t="str">
        <f>IFERROR('2.vize'!BL6*100/'2.vize'!$I6,"")</f>
        <v/>
      </c>
      <c r="BB107" s="38" t="str">
        <f>IFERROR('2.vize'!BM6*100/'2.vize'!$I6,"")</f>
        <v/>
      </c>
      <c r="BC107" s="38" t="str">
        <f>IFERROR('2.vize'!BN6*100/'2.vize'!$I6,"")</f>
        <v/>
      </c>
      <c r="BD107" s="38" t="str">
        <f>IFERROR('2.vize'!BO6*100/'2.vize'!$I6,"")</f>
        <v/>
      </c>
      <c r="BE107" s="38" t="str">
        <f>IFERROR('2.vize'!BP6*100/'2.vize'!$I6,"")</f>
        <v/>
      </c>
      <c r="BF107" s="38" t="str">
        <f>IFERROR('2.vize'!BQ6*100/'2.vize'!$I6,"")</f>
        <v/>
      </c>
      <c r="BG107" s="38" t="str">
        <f>IFERROR('2.vize'!BR6*100/'2.vize'!$I6,"")</f>
        <v/>
      </c>
      <c r="BH107" s="38" t="str">
        <f>IFERROR('2.vize'!BS6*100/'2.vize'!$I6,"")</f>
        <v/>
      </c>
      <c r="BI107" s="38" t="str">
        <f>IFERROR('2.vize'!BT6*100/'2.vize'!$I6,"")</f>
        <v/>
      </c>
      <c r="BJ107" s="38" t="str">
        <f>IFERROR('2.vize'!BU6*100/'2.vize'!$I6,"")</f>
        <v/>
      </c>
      <c r="BK107" s="38" t="str">
        <f>IFERROR('2.vize'!BV6*100/'2.vize'!$I6,"")</f>
        <v/>
      </c>
      <c r="BL107" s="38" t="str">
        <f>IFERROR('2.vize'!BW6*100/'2.vize'!$I6,"")</f>
        <v/>
      </c>
      <c r="BM107" s="38" t="str">
        <f>IFERROR('2.vize'!BX6*100/'2.vize'!$I6,"")</f>
        <v/>
      </c>
      <c r="BN107" s="38" t="str">
        <f>IFERROR('2.vize'!BY6*100/'2.vize'!$I6,"")</f>
        <v/>
      </c>
      <c r="BO107" s="38" t="str">
        <f>IFERROR('2.vize'!BZ6*100/'2.vize'!$I6,"")</f>
        <v/>
      </c>
      <c r="BP107" s="38" t="str">
        <f>IFERROR('2.vize'!CA6*100/'2.vize'!$I6,"")</f>
        <v/>
      </c>
      <c r="BQ107" s="38" t="str">
        <f>IFERROR('2.vize'!CB6*100/'2.vize'!$I6,"")</f>
        <v/>
      </c>
      <c r="BR107" s="38" t="str">
        <f>IFERROR('2.vize'!CC6*100/'2.vize'!$I6,"")</f>
        <v/>
      </c>
      <c r="BS107" s="38" t="str">
        <f>IFERROR('2.vize'!CD6*100/'2.vize'!$I6,"")</f>
        <v/>
      </c>
      <c r="BT107" s="38" t="str">
        <f>IFERROR('2.vize'!CE6*100/'2.vize'!$I6,"")</f>
        <v/>
      </c>
      <c r="BU107" s="38" t="str">
        <f>IFERROR('2.vize'!CF6*100/'2.vize'!$I6,"")</f>
        <v/>
      </c>
      <c r="BV107" s="38" t="str">
        <f>IFERROR('2.vize'!CG6*100/'2.vize'!$I6,"")</f>
        <v/>
      </c>
      <c r="BW107" s="38" t="str">
        <f>IFERROR('2.vize'!CH6*100/'2.vize'!$I6,"")</f>
        <v/>
      </c>
      <c r="BX107" s="38" t="str">
        <f>IFERROR('2.vize'!CI6*100/'2.vize'!$I6,"")</f>
        <v/>
      </c>
      <c r="BY107" s="38" t="str">
        <f>IFERROR('2.vize'!CJ6*100/'2.vize'!$I6,"")</f>
        <v/>
      </c>
      <c r="BZ107" s="38" t="str">
        <f>IFERROR('2.vize'!CK6*100/'2.vize'!$I6,"")</f>
        <v/>
      </c>
      <c r="CA107" s="38" t="str">
        <f>IFERROR('2.vize'!CL6*100/'2.vize'!$I6,"")</f>
        <v/>
      </c>
      <c r="CB107" s="38" t="str">
        <f>IFERROR('2.vize'!CM6*100/'2.vize'!$I6,"")</f>
        <v/>
      </c>
      <c r="CC107" s="38" t="str">
        <f>IFERROR('2.vize'!CN6*100/'2.vize'!$I6,"")</f>
        <v/>
      </c>
      <c r="CD107" s="38" t="str">
        <f>IFERROR('2.vize'!CO6*100/'2.vize'!$I6,"")</f>
        <v/>
      </c>
      <c r="CE107" s="38" t="str">
        <f>IFERROR('2.vize'!CP6*100/'2.vize'!$I6,"")</f>
        <v/>
      </c>
      <c r="CF107" s="38" t="str">
        <f>IFERROR('2.vize'!CQ6*100/'2.vize'!$I6,"")</f>
        <v/>
      </c>
      <c r="CG107" s="38" t="str">
        <f>IFERROR('2.vize'!CR6*100/'2.vize'!$I6,"")</f>
        <v/>
      </c>
      <c r="CH107" s="38" t="str">
        <f>IFERROR('2.vize'!CS6*100/'2.vize'!$I6,"")</f>
        <v/>
      </c>
      <c r="CI107" s="38" t="str">
        <f>IFERROR('2.vize'!CT6*100/'2.vize'!$I6,"")</f>
        <v/>
      </c>
      <c r="CJ107" s="38" t="str">
        <f>IFERROR('2.vize'!CU6*100/'2.vize'!$I6,"")</f>
        <v/>
      </c>
      <c r="CK107" s="38" t="str">
        <f>IFERROR('2.vize'!CV6*100/'2.vize'!$I6,"")</f>
        <v/>
      </c>
      <c r="CL107" s="38" t="str">
        <f>IFERROR('2.vize'!CW6*100/'2.vize'!$I6,"")</f>
        <v/>
      </c>
      <c r="CM107" s="38" t="str">
        <f>IFERROR('2.vize'!CX6*100/'2.vize'!$I6,"")</f>
        <v/>
      </c>
      <c r="CN107" s="38" t="str">
        <f>IFERROR('2.vize'!CY6*100/'2.vize'!$I6,"")</f>
        <v/>
      </c>
      <c r="CO107" s="38" t="str">
        <f>IFERROR('2.vize'!CZ6*100/'2.vize'!$I6,"")</f>
        <v/>
      </c>
      <c r="CP107" s="38" t="str">
        <f>IFERROR('2.vize'!DA6*100/'2.vize'!$I6,"")</f>
        <v/>
      </c>
      <c r="CQ107" s="38" t="str">
        <f>IFERROR('2.vize'!DB6*100/'2.vize'!$I6,"")</f>
        <v/>
      </c>
      <c r="CR107" s="38" t="str">
        <f>IFERROR('2.vize'!DC6*100/'2.vize'!$I6,"")</f>
        <v/>
      </c>
      <c r="CS107" s="38" t="str">
        <f>IFERROR('2.vize'!DD6*100/'2.vize'!$I6,"")</f>
        <v/>
      </c>
      <c r="CT107" s="38" t="str">
        <f>IFERROR('2.vize'!DE6*100/'2.vize'!$I6,"")</f>
        <v/>
      </c>
      <c r="CU107" s="38" t="str">
        <f>IFERROR('2.vize'!DF6*100/'2.vize'!$I6,"")</f>
        <v/>
      </c>
      <c r="CV107" s="38" t="str">
        <f>IFERROR('2.vize'!DG6*100/'2.vize'!$I6,"")</f>
        <v/>
      </c>
      <c r="CW107" s="32" t="str">
        <f>IFERROR(SUM(A107:CV107)/'2.vize'!$DH$103,"")</f>
        <v/>
      </c>
      <c r="CX107" s="14" t="str">
        <f>IF(COUNTA('2.vize'!A6),'2.vize'!A6,"")</f>
        <v/>
      </c>
      <c r="CY107" s="14" t="str">
        <f>IF(COUNTA('2.vize'!B6),'2.vize'!B6,"")</f>
        <v/>
      </c>
      <c r="CZ107" s="14" t="str">
        <f>IF(COUNTA('2.vize'!C6),'2.vize'!C6,"")</f>
        <v/>
      </c>
      <c r="DA107" s="14" t="str">
        <f>IF(COUNTA('2.vize'!D6),'2.vize'!D6,"")</f>
        <v/>
      </c>
      <c r="DB107" s="14" t="str">
        <f>IF(COUNTA('2.vize'!E6),'2.vize'!E6,"")</f>
        <v/>
      </c>
      <c r="DC107" s="14" t="str">
        <f>IF(COUNTA('2.vize'!F6),'2.vize'!F6,"")</f>
        <v/>
      </c>
      <c r="DD107" s="14" t="str">
        <f>IF(COUNTA('2.vize'!G6),'2.vize'!G6,"")</f>
        <v/>
      </c>
      <c r="DE107" s="14" t="str">
        <f>IF(COUNTA('2.vize'!H6),'2.vize'!H6,"")</f>
        <v/>
      </c>
    </row>
    <row r="108" spans="1:118" x14ac:dyDescent="0.2">
      <c r="A108" s="38" t="str">
        <f>IFERROR('2.vize'!L7*100/'2.vize'!$I7,"")</f>
        <v/>
      </c>
      <c r="B108" s="38" t="str">
        <f>IFERROR('2.vize'!M7*100/'2.vize'!$I7,"")</f>
        <v/>
      </c>
      <c r="C108" s="38" t="str">
        <f>IFERROR('2.vize'!N7*100/'2.vize'!$I7,"")</f>
        <v/>
      </c>
      <c r="D108" s="38" t="str">
        <f>IFERROR('2.vize'!O7*100/'2.vize'!$I7,"")</f>
        <v/>
      </c>
      <c r="E108" s="38" t="str">
        <f>IFERROR('2.vize'!P7*100/'2.vize'!$I7,"")</f>
        <v/>
      </c>
      <c r="F108" s="38" t="str">
        <f>IFERROR('2.vize'!Q7*100/'2.vize'!$I7,"")</f>
        <v/>
      </c>
      <c r="G108" s="38" t="str">
        <f>IFERROR('2.vize'!R7*100/'2.vize'!$I7,"")</f>
        <v/>
      </c>
      <c r="H108" s="38" t="str">
        <f>IFERROR('2.vize'!S7*100/'2.vize'!$I7,"")</f>
        <v/>
      </c>
      <c r="I108" s="38" t="str">
        <f>IFERROR('2.vize'!T7*100/'2.vize'!$I7,"")</f>
        <v/>
      </c>
      <c r="J108" s="38" t="str">
        <f>IFERROR('2.vize'!U7*100/'2.vize'!$I7,"")</f>
        <v/>
      </c>
      <c r="K108" s="38" t="str">
        <f>IFERROR('2.vize'!V7*100/'2.vize'!$I7,"")</f>
        <v/>
      </c>
      <c r="L108" s="38" t="str">
        <f>IFERROR('2.vize'!W7*100/'2.vize'!$I7,"")</f>
        <v/>
      </c>
      <c r="M108" s="38" t="str">
        <f>IFERROR('2.vize'!X7*100/'2.vize'!$I7,"")</f>
        <v/>
      </c>
      <c r="N108" s="38" t="str">
        <f>IFERROR('2.vize'!Y7*100/'2.vize'!$I7,"")</f>
        <v/>
      </c>
      <c r="O108" s="38" t="str">
        <f>IFERROR('2.vize'!Z7*100/'2.vize'!$I7,"")</f>
        <v/>
      </c>
      <c r="P108" s="38" t="str">
        <f>IFERROR('2.vize'!AA7*100/'2.vize'!$I7,"")</f>
        <v/>
      </c>
      <c r="Q108" s="38" t="str">
        <f>IFERROR('2.vize'!AB7*100/'2.vize'!$I7,"")</f>
        <v/>
      </c>
      <c r="R108" s="38" t="str">
        <f>IFERROR('2.vize'!AC7*100/'2.vize'!$I7,"")</f>
        <v/>
      </c>
      <c r="S108" s="38" t="str">
        <f>IFERROR('2.vize'!AD7*100/'2.vize'!$I7,"")</f>
        <v/>
      </c>
      <c r="T108" s="38" t="str">
        <f>IFERROR('2.vize'!AE7*100/'2.vize'!$I7,"")</f>
        <v/>
      </c>
      <c r="U108" s="38" t="str">
        <f>IFERROR('2.vize'!AF7*100/'2.vize'!$I7,"")</f>
        <v/>
      </c>
      <c r="V108" s="38" t="str">
        <f>IFERROR('2.vize'!AG7*100/'2.vize'!$I7,"")</f>
        <v/>
      </c>
      <c r="W108" s="38" t="str">
        <f>IFERROR('2.vize'!AH7*100/'2.vize'!$I7,"")</f>
        <v/>
      </c>
      <c r="X108" s="38" t="str">
        <f>IFERROR('2.vize'!AI7*100/'2.vize'!$I7,"")</f>
        <v/>
      </c>
      <c r="Y108" s="38" t="str">
        <f>IFERROR('2.vize'!AJ7*100/'2.vize'!$I7,"")</f>
        <v/>
      </c>
      <c r="Z108" s="38" t="str">
        <f>IFERROR('2.vize'!AK7*100/'2.vize'!$I7,"")</f>
        <v/>
      </c>
      <c r="AA108" s="38" t="str">
        <f>IFERROR('2.vize'!AL7*100/'2.vize'!$I7,"")</f>
        <v/>
      </c>
      <c r="AB108" s="38" t="str">
        <f>IFERROR('2.vize'!AM7*100/'2.vize'!$I7,"")</f>
        <v/>
      </c>
      <c r="AC108" s="38" t="str">
        <f>IFERROR('2.vize'!AN7*100/'2.vize'!$I7,"")</f>
        <v/>
      </c>
      <c r="AD108" s="38" t="str">
        <f>IFERROR('2.vize'!AO7*100/'2.vize'!$I7,"")</f>
        <v/>
      </c>
      <c r="AE108" s="38" t="str">
        <f>IFERROR('2.vize'!AP7*100/'2.vize'!$I7,"")</f>
        <v/>
      </c>
      <c r="AF108" s="38" t="str">
        <f>IFERROR('2.vize'!AQ7*100/'2.vize'!$I7,"")</f>
        <v/>
      </c>
      <c r="AG108" s="38" t="str">
        <f>IFERROR('2.vize'!AR7*100/'2.vize'!$I7,"")</f>
        <v/>
      </c>
      <c r="AH108" s="38" t="str">
        <f>IFERROR('2.vize'!AS7*100/'2.vize'!$I7,"")</f>
        <v/>
      </c>
      <c r="AI108" s="38" t="str">
        <f>IFERROR('2.vize'!AT7*100/'2.vize'!$I7,"")</f>
        <v/>
      </c>
      <c r="AJ108" s="38" t="str">
        <f>IFERROR('2.vize'!AU7*100/'2.vize'!$I7,"")</f>
        <v/>
      </c>
      <c r="AK108" s="38" t="str">
        <f>IFERROR('2.vize'!AV7*100/'2.vize'!$I7,"")</f>
        <v/>
      </c>
      <c r="AL108" s="38" t="str">
        <f>IFERROR('2.vize'!AW7*100/'2.vize'!$I7,"")</f>
        <v/>
      </c>
      <c r="AM108" s="38" t="str">
        <f>IFERROR('2.vize'!AX7*100/'2.vize'!$I7,"")</f>
        <v/>
      </c>
      <c r="AN108" s="38" t="str">
        <f>IFERROR('2.vize'!AY7*100/'2.vize'!$I7,"")</f>
        <v/>
      </c>
      <c r="AO108" s="38" t="str">
        <f>IFERROR('2.vize'!AZ7*100/'2.vize'!$I7,"")</f>
        <v/>
      </c>
      <c r="AP108" s="38" t="str">
        <f>IFERROR('2.vize'!BA7*100/'2.vize'!$I7,"")</f>
        <v/>
      </c>
      <c r="AQ108" s="38" t="str">
        <f>IFERROR('2.vize'!BB7*100/'2.vize'!$I7,"")</f>
        <v/>
      </c>
      <c r="AR108" s="38" t="str">
        <f>IFERROR('2.vize'!BC7*100/'2.vize'!$I7,"")</f>
        <v/>
      </c>
      <c r="AS108" s="38" t="str">
        <f>IFERROR('2.vize'!BD7*100/'2.vize'!$I7,"")</f>
        <v/>
      </c>
      <c r="AT108" s="38" t="str">
        <f>IFERROR('2.vize'!BE7*100/'2.vize'!$I7,"")</f>
        <v/>
      </c>
      <c r="AU108" s="38" t="str">
        <f>IFERROR('2.vize'!BF7*100/'2.vize'!$I7,"")</f>
        <v/>
      </c>
      <c r="AV108" s="38" t="str">
        <f>IFERROR('2.vize'!BG7*100/'2.vize'!$I7,"")</f>
        <v/>
      </c>
      <c r="AW108" s="38" t="str">
        <f>IFERROR('2.vize'!BH7*100/'2.vize'!$I7,"")</f>
        <v/>
      </c>
      <c r="AX108" s="38" t="str">
        <f>IFERROR('2.vize'!BI7*100/'2.vize'!$I7,"")</f>
        <v/>
      </c>
      <c r="AY108" s="38" t="str">
        <f>IFERROR('2.vize'!BJ7*100/'2.vize'!$I7,"")</f>
        <v/>
      </c>
      <c r="AZ108" s="38" t="str">
        <f>IFERROR('2.vize'!BK7*100/'2.vize'!$I7,"")</f>
        <v/>
      </c>
      <c r="BA108" s="38" t="str">
        <f>IFERROR('2.vize'!BL7*100/'2.vize'!$I7,"")</f>
        <v/>
      </c>
      <c r="BB108" s="38" t="str">
        <f>IFERROR('2.vize'!BM7*100/'2.vize'!$I7,"")</f>
        <v/>
      </c>
      <c r="BC108" s="38" t="str">
        <f>IFERROR('2.vize'!BN7*100/'2.vize'!$I7,"")</f>
        <v/>
      </c>
      <c r="BD108" s="38" t="str">
        <f>IFERROR('2.vize'!BO7*100/'2.vize'!$I7,"")</f>
        <v/>
      </c>
      <c r="BE108" s="38" t="str">
        <f>IFERROR('2.vize'!BP7*100/'2.vize'!$I7,"")</f>
        <v/>
      </c>
      <c r="BF108" s="38" t="str">
        <f>IFERROR('2.vize'!BQ7*100/'2.vize'!$I7,"")</f>
        <v/>
      </c>
      <c r="BG108" s="38" t="str">
        <f>IFERROR('2.vize'!BR7*100/'2.vize'!$I7,"")</f>
        <v/>
      </c>
      <c r="BH108" s="38" t="str">
        <f>IFERROR('2.vize'!BS7*100/'2.vize'!$I7,"")</f>
        <v/>
      </c>
      <c r="BI108" s="38" t="str">
        <f>IFERROR('2.vize'!BT7*100/'2.vize'!$I7,"")</f>
        <v/>
      </c>
      <c r="BJ108" s="38" t="str">
        <f>IFERROR('2.vize'!BU7*100/'2.vize'!$I7,"")</f>
        <v/>
      </c>
      <c r="BK108" s="38" t="str">
        <f>IFERROR('2.vize'!BV7*100/'2.vize'!$I7,"")</f>
        <v/>
      </c>
      <c r="BL108" s="38" t="str">
        <f>IFERROR('2.vize'!BW7*100/'2.vize'!$I7,"")</f>
        <v/>
      </c>
      <c r="BM108" s="38" t="str">
        <f>IFERROR('2.vize'!BX7*100/'2.vize'!$I7,"")</f>
        <v/>
      </c>
      <c r="BN108" s="38" t="str">
        <f>IFERROR('2.vize'!BY7*100/'2.vize'!$I7,"")</f>
        <v/>
      </c>
      <c r="BO108" s="38" t="str">
        <f>IFERROR('2.vize'!BZ7*100/'2.vize'!$I7,"")</f>
        <v/>
      </c>
      <c r="BP108" s="38" t="str">
        <f>IFERROR('2.vize'!CA7*100/'2.vize'!$I7,"")</f>
        <v/>
      </c>
      <c r="BQ108" s="38" t="str">
        <f>IFERROR('2.vize'!CB7*100/'2.vize'!$I7,"")</f>
        <v/>
      </c>
      <c r="BR108" s="38" t="str">
        <f>IFERROR('2.vize'!CC7*100/'2.vize'!$I7,"")</f>
        <v/>
      </c>
      <c r="BS108" s="38" t="str">
        <f>IFERROR('2.vize'!CD7*100/'2.vize'!$I7,"")</f>
        <v/>
      </c>
      <c r="BT108" s="38" t="str">
        <f>IFERROR('2.vize'!CE7*100/'2.vize'!$I7,"")</f>
        <v/>
      </c>
      <c r="BU108" s="38" t="str">
        <f>IFERROR('2.vize'!CF7*100/'2.vize'!$I7,"")</f>
        <v/>
      </c>
      <c r="BV108" s="38" t="str">
        <f>IFERROR('2.vize'!CG7*100/'2.vize'!$I7,"")</f>
        <v/>
      </c>
      <c r="BW108" s="38" t="str">
        <f>IFERROR('2.vize'!CH7*100/'2.vize'!$I7,"")</f>
        <v/>
      </c>
      <c r="BX108" s="38" t="str">
        <f>IFERROR('2.vize'!CI7*100/'2.vize'!$I7,"")</f>
        <v/>
      </c>
      <c r="BY108" s="38" t="str">
        <f>IFERROR('2.vize'!CJ7*100/'2.vize'!$I7,"")</f>
        <v/>
      </c>
      <c r="BZ108" s="38" t="str">
        <f>IFERROR('2.vize'!CK7*100/'2.vize'!$I7,"")</f>
        <v/>
      </c>
      <c r="CA108" s="38" t="str">
        <f>IFERROR('2.vize'!CL7*100/'2.vize'!$I7,"")</f>
        <v/>
      </c>
      <c r="CB108" s="38" t="str">
        <f>IFERROR('2.vize'!CM7*100/'2.vize'!$I7,"")</f>
        <v/>
      </c>
      <c r="CC108" s="38" t="str">
        <f>IFERROR('2.vize'!CN7*100/'2.vize'!$I7,"")</f>
        <v/>
      </c>
      <c r="CD108" s="38" t="str">
        <f>IFERROR('2.vize'!CO7*100/'2.vize'!$I7,"")</f>
        <v/>
      </c>
      <c r="CE108" s="38" t="str">
        <f>IFERROR('2.vize'!CP7*100/'2.vize'!$I7,"")</f>
        <v/>
      </c>
      <c r="CF108" s="38" t="str">
        <f>IFERROR('2.vize'!CQ7*100/'2.vize'!$I7,"")</f>
        <v/>
      </c>
      <c r="CG108" s="38" t="str">
        <f>IFERROR('2.vize'!CR7*100/'2.vize'!$I7,"")</f>
        <v/>
      </c>
      <c r="CH108" s="38" t="str">
        <f>IFERROR('2.vize'!CS7*100/'2.vize'!$I7,"")</f>
        <v/>
      </c>
      <c r="CI108" s="38" t="str">
        <f>IFERROR('2.vize'!CT7*100/'2.vize'!$I7,"")</f>
        <v/>
      </c>
      <c r="CJ108" s="38" t="str">
        <f>IFERROR('2.vize'!CU7*100/'2.vize'!$I7,"")</f>
        <v/>
      </c>
      <c r="CK108" s="38" t="str">
        <f>IFERROR('2.vize'!CV7*100/'2.vize'!$I7,"")</f>
        <v/>
      </c>
      <c r="CL108" s="38" t="str">
        <f>IFERROR('2.vize'!CW7*100/'2.vize'!$I7,"")</f>
        <v/>
      </c>
      <c r="CM108" s="38" t="str">
        <f>IFERROR('2.vize'!CX7*100/'2.vize'!$I7,"")</f>
        <v/>
      </c>
      <c r="CN108" s="38" t="str">
        <f>IFERROR('2.vize'!CY7*100/'2.vize'!$I7,"")</f>
        <v/>
      </c>
      <c r="CO108" s="38" t="str">
        <f>IFERROR('2.vize'!CZ7*100/'2.vize'!$I7,"")</f>
        <v/>
      </c>
      <c r="CP108" s="38" t="str">
        <f>IFERROR('2.vize'!DA7*100/'2.vize'!$I7,"")</f>
        <v/>
      </c>
      <c r="CQ108" s="38" t="str">
        <f>IFERROR('2.vize'!DB7*100/'2.vize'!$I7,"")</f>
        <v/>
      </c>
      <c r="CR108" s="38" t="str">
        <f>IFERROR('2.vize'!DC7*100/'2.vize'!$I7,"")</f>
        <v/>
      </c>
      <c r="CS108" s="38" t="str">
        <f>IFERROR('2.vize'!DD7*100/'2.vize'!$I7,"")</f>
        <v/>
      </c>
      <c r="CT108" s="38" t="str">
        <f>IFERROR('2.vize'!DE7*100/'2.vize'!$I7,"")</f>
        <v/>
      </c>
      <c r="CU108" s="38" t="str">
        <f>IFERROR('2.vize'!DF7*100/'2.vize'!$I7,"")</f>
        <v/>
      </c>
      <c r="CV108" s="38" t="str">
        <f>IFERROR('2.vize'!DG7*100/'2.vize'!$I7,"")</f>
        <v/>
      </c>
      <c r="CW108" s="32" t="str">
        <f>IFERROR(SUM(A108:CV108)/'2.vize'!$DH$103,"")</f>
        <v/>
      </c>
      <c r="CX108" s="14" t="str">
        <f>IF(COUNTA('2.vize'!A7),'2.vize'!A7,"")</f>
        <v/>
      </c>
      <c r="CY108" s="14" t="str">
        <f>IF(COUNTA('2.vize'!B7),'2.vize'!B7,"")</f>
        <v/>
      </c>
      <c r="CZ108" s="14" t="str">
        <f>IF(COUNTA('2.vize'!C7),'2.vize'!C7,"")</f>
        <v/>
      </c>
      <c r="DA108" s="14" t="str">
        <f>IF(COUNTA('2.vize'!D7),'2.vize'!D7,"")</f>
        <v/>
      </c>
      <c r="DB108" s="14" t="str">
        <f>IF(COUNTA('2.vize'!E7),'2.vize'!E7,"")</f>
        <v/>
      </c>
      <c r="DC108" s="14" t="str">
        <f>IF(COUNTA('2.vize'!F7),'2.vize'!F7,"")</f>
        <v/>
      </c>
      <c r="DD108" s="14" t="str">
        <f>IF(COUNTA('2.vize'!G7),'2.vize'!G7,"")</f>
        <v/>
      </c>
      <c r="DE108" s="14" t="str">
        <f>IF(COUNTA('2.vize'!H7),'2.vize'!H7,"")</f>
        <v/>
      </c>
    </row>
    <row r="109" spans="1:118" x14ac:dyDescent="0.2">
      <c r="A109" s="38" t="str">
        <f>IFERROR('2.vize'!L8*100/'2.vize'!$I8,"")</f>
        <v/>
      </c>
      <c r="B109" s="38" t="str">
        <f>IFERROR('2.vize'!M8*100/'2.vize'!$I8,"")</f>
        <v/>
      </c>
      <c r="C109" s="38" t="str">
        <f>IFERROR('2.vize'!N8*100/'2.vize'!$I8,"")</f>
        <v/>
      </c>
      <c r="D109" s="38" t="str">
        <f>IFERROR('2.vize'!O8*100/'2.vize'!$I8,"")</f>
        <v/>
      </c>
      <c r="E109" s="38" t="str">
        <f>IFERROR('2.vize'!P8*100/'2.vize'!$I8,"")</f>
        <v/>
      </c>
      <c r="F109" s="38" t="str">
        <f>IFERROR('2.vize'!Q8*100/'2.vize'!$I8,"")</f>
        <v/>
      </c>
      <c r="G109" s="38" t="str">
        <f>IFERROR('2.vize'!R8*100/'2.vize'!$I8,"")</f>
        <v/>
      </c>
      <c r="H109" s="38" t="str">
        <f>IFERROR('2.vize'!S8*100/'2.vize'!$I8,"")</f>
        <v/>
      </c>
      <c r="I109" s="38" t="str">
        <f>IFERROR('2.vize'!T8*100/'2.vize'!$I8,"")</f>
        <v/>
      </c>
      <c r="J109" s="38" t="str">
        <f>IFERROR('2.vize'!U8*100/'2.vize'!$I8,"")</f>
        <v/>
      </c>
      <c r="K109" s="38" t="str">
        <f>IFERROR('2.vize'!V8*100/'2.vize'!$I8,"")</f>
        <v/>
      </c>
      <c r="L109" s="38" t="str">
        <f>IFERROR('2.vize'!W8*100/'2.vize'!$I8,"")</f>
        <v/>
      </c>
      <c r="M109" s="38" t="str">
        <f>IFERROR('2.vize'!X8*100/'2.vize'!$I8,"")</f>
        <v/>
      </c>
      <c r="N109" s="38" t="str">
        <f>IFERROR('2.vize'!Y8*100/'2.vize'!$I8,"")</f>
        <v/>
      </c>
      <c r="O109" s="38" t="str">
        <f>IFERROR('2.vize'!Z8*100/'2.vize'!$I8,"")</f>
        <v/>
      </c>
      <c r="P109" s="38" t="str">
        <f>IFERROR('2.vize'!AA8*100/'2.vize'!$I8,"")</f>
        <v/>
      </c>
      <c r="Q109" s="38" t="str">
        <f>IFERROR('2.vize'!AB8*100/'2.vize'!$I8,"")</f>
        <v/>
      </c>
      <c r="R109" s="38" t="str">
        <f>IFERROR('2.vize'!AC8*100/'2.vize'!$I8,"")</f>
        <v/>
      </c>
      <c r="S109" s="38" t="str">
        <f>IFERROR('2.vize'!AD8*100/'2.vize'!$I8,"")</f>
        <v/>
      </c>
      <c r="T109" s="38" t="str">
        <f>IFERROR('2.vize'!AE8*100/'2.vize'!$I8,"")</f>
        <v/>
      </c>
      <c r="U109" s="38" t="str">
        <f>IFERROR('2.vize'!AF8*100/'2.vize'!$I8,"")</f>
        <v/>
      </c>
      <c r="V109" s="38" t="str">
        <f>IFERROR('2.vize'!AG8*100/'2.vize'!$I8,"")</f>
        <v/>
      </c>
      <c r="W109" s="38" t="str">
        <f>IFERROR('2.vize'!AH8*100/'2.vize'!$I8,"")</f>
        <v/>
      </c>
      <c r="X109" s="38" t="str">
        <f>IFERROR('2.vize'!AI8*100/'2.vize'!$I8,"")</f>
        <v/>
      </c>
      <c r="Y109" s="38" t="str">
        <f>IFERROR('2.vize'!AJ8*100/'2.vize'!$I8,"")</f>
        <v/>
      </c>
      <c r="Z109" s="38" t="str">
        <f>IFERROR('2.vize'!AK8*100/'2.vize'!$I8,"")</f>
        <v/>
      </c>
      <c r="AA109" s="38" t="str">
        <f>IFERROR('2.vize'!AL8*100/'2.vize'!$I8,"")</f>
        <v/>
      </c>
      <c r="AB109" s="38" t="str">
        <f>IFERROR('2.vize'!AM8*100/'2.vize'!$I8,"")</f>
        <v/>
      </c>
      <c r="AC109" s="38" t="str">
        <f>IFERROR('2.vize'!AN8*100/'2.vize'!$I8,"")</f>
        <v/>
      </c>
      <c r="AD109" s="38" t="str">
        <f>IFERROR('2.vize'!AO8*100/'2.vize'!$I8,"")</f>
        <v/>
      </c>
      <c r="AE109" s="38" t="str">
        <f>IFERROR('2.vize'!AP8*100/'2.vize'!$I8,"")</f>
        <v/>
      </c>
      <c r="AF109" s="38" t="str">
        <f>IFERROR('2.vize'!AQ8*100/'2.vize'!$I8,"")</f>
        <v/>
      </c>
      <c r="AG109" s="38" t="str">
        <f>IFERROR('2.vize'!AR8*100/'2.vize'!$I8,"")</f>
        <v/>
      </c>
      <c r="AH109" s="38" t="str">
        <f>IFERROR('2.vize'!AS8*100/'2.vize'!$I8,"")</f>
        <v/>
      </c>
      <c r="AI109" s="38" t="str">
        <f>IFERROR('2.vize'!AT8*100/'2.vize'!$I8,"")</f>
        <v/>
      </c>
      <c r="AJ109" s="38" t="str">
        <f>IFERROR('2.vize'!AU8*100/'2.vize'!$I8,"")</f>
        <v/>
      </c>
      <c r="AK109" s="38" t="str">
        <f>IFERROR('2.vize'!AV8*100/'2.vize'!$I8,"")</f>
        <v/>
      </c>
      <c r="AL109" s="38" t="str">
        <f>IFERROR('2.vize'!AW8*100/'2.vize'!$I8,"")</f>
        <v/>
      </c>
      <c r="AM109" s="38" t="str">
        <f>IFERROR('2.vize'!AX8*100/'2.vize'!$I8,"")</f>
        <v/>
      </c>
      <c r="AN109" s="38" t="str">
        <f>IFERROR('2.vize'!AY8*100/'2.vize'!$I8,"")</f>
        <v/>
      </c>
      <c r="AO109" s="38" t="str">
        <f>IFERROR('2.vize'!AZ8*100/'2.vize'!$I8,"")</f>
        <v/>
      </c>
      <c r="AP109" s="38" t="str">
        <f>IFERROR('2.vize'!BA8*100/'2.vize'!$I8,"")</f>
        <v/>
      </c>
      <c r="AQ109" s="38" t="str">
        <f>IFERROR('2.vize'!BB8*100/'2.vize'!$I8,"")</f>
        <v/>
      </c>
      <c r="AR109" s="38" t="str">
        <f>IFERROR('2.vize'!BC8*100/'2.vize'!$I8,"")</f>
        <v/>
      </c>
      <c r="AS109" s="38" t="str">
        <f>IFERROR('2.vize'!BD8*100/'2.vize'!$I8,"")</f>
        <v/>
      </c>
      <c r="AT109" s="38" t="str">
        <f>IFERROR('2.vize'!BE8*100/'2.vize'!$I8,"")</f>
        <v/>
      </c>
      <c r="AU109" s="38" t="str">
        <f>IFERROR('2.vize'!BF8*100/'2.vize'!$I8,"")</f>
        <v/>
      </c>
      <c r="AV109" s="38" t="str">
        <f>IFERROR('2.vize'!BG8*100/'2.vize'!$I8,"")</f>
        <v/>
      </c>
      <c r="AW109" s="38" t="str">
        <f>IFERROR('2.vize'!BH8*100/'2.vize'!$I8,"")</f>
        <v/>
      </c>
      <c r="AX109" s="38" t="str">
        <f>IFERROR('2.vize'!BI8*100/'2.vize'!$I8,"")</f>
        <v/>
      </c>
      <c r="AY109" s="38" t="str">
        <f>IFERROR('2.vize'!BJ8*100/'2.vize'!$I8,"")</f>
        <v/>
      </c>
      <c r="AZ109" s="38" t="str">
        <f>IFERROR('2.vize'!BK8*100/'2.vize'!$I8,"")</f>
        <v/>
      </c>
      <c r="BA109" s="38" t="str">
        <f>IFERROR('2.vize'!BL8*100/'2.vize'!$I8,"")</f>
        <v/>
      </c>
      <c r="BB109" s="38" t="str">
        <f>IFERROR('2.vize'!BM8*100/'2.vize'!$I8,"")</f>
        <v/>
      </c>
      <c r="BC109" s="38" t="str">
        <f>IFERROR('2.vize'!BN8*100/'2.vize'!$I8,"")</f>
        <v/>
      </c>
      <c r="BD109" s="38" t="str">
        <f>IFERROR('2.vize'!BO8*100/'2.vize'!$I8,"")</f>
        <v/>
      </c>
      <c r="BE109" s="38" t="str">
        <f>IFERROR('2.vize'!BP8*100/'2.vize'!$I8,"")</f>
        <v/>
      </c>
      <c r="BF109" s="38" t="str">
        <f>IFERROR('2.vize'!BQ8*100/'2.vize'!$I8,"")</f>
        <v/>
      </c>
      <c r="BG109" s="38" t="str">
        <f>IFERROR('2.vize'!BR8*100/'2.vize'!$I8,"")</f>
        <v/>
      </c>
      <c r="BH109" s="38" t="str">
        <f>IFERROR('2.vize'!BS8*100/'2.vize'!$I8,"")</f>
        <v/>
      </c>
      <c r="BI109" s="38" t="str">
        <f>IFERROR('2.vize'!BT8*100/'2.vize'!$I8,"")</f>
        <v/>
      </c>
      <c r="BJ109" s="38" t="str">
        <f>IFERROR('2.vize'!BU8*100/'2.vize'!$I8,"")</f>
        <v/>
      </c>
      <c r="BK109" s="38" t="str">
        <f>IFERROR('2.vize'!BV8*100/'2.vize'!$I8,"")</f>
        <v/>
      </c>
      <c r="BL109" s="38" t="str">
        <f>IFERROR('2.vize'!BW8*100/'2.vize'!$I8,"")</f>
        <v/>
      </c>
      <c r="BM109" s="38" t="str">
        <f>IFERROR('2.vize'!BX8*100/'2.vize'!$I8,"")</f>
        <v/>
      </c>
      <c r="BN109" s="38" t="str">
        <f>IFERROR('2.vize'!BY8*100/'2.vize'!$I8,"")</f>
        <v/>
      </c>
      <c r="BO109" s="38" t="str">
        <f>IFERROR('2.vize'!BZ8*100/'2.vize'!$I8,"")</f>
        <v/>
      </c>
      <c r="BP109" s="38" t="str">
        <f>IFERROR('2.vize'!CA8*100/'2.vize'!$I8,"")</f>
        <v/>
      </c>
      <c r="BQ109" s="38" t="str">
        <f>IFERROR('2.vize'!CB8*100/'2.vize'!$I8,"")</f>
        <v/>
      </c>
      <c r="BR109" s="38" t="str">
        <f>IFERROR('2.vize'!CC8*100/'2.vize'!$I8,"")</f>
        <v/>
      </c>
      <c r="BS109" s="38" t="str">
        <f>IFERROR('2.vize'!CD8*100/'2.vize'!$I8,"")</f>
        <v/>
      </c>
      <c r="BT109" s="38" t="str">
        <f>IFERROR('2.vize'!CE8*100/'2.vize'!$I8,"")</f>
        <v/>
      </c>
      <c r="BU109" s="38" t="str">
        <f>IFERROR('2.vize'!CF8*100/'2.vize'!$I8,"")</f>
        <v/>
      </c>
      <c r="BV109" s="38" t="str">
        <f>IFERROR('2.vize'!CG8*100/'2.vize'!$I8,"")</f>
        <v/>
      </c>
      <c r="BW109" s="38" t="str">
        <f>IFERROR('2.vize'!CH8*100/'2.vize'!$I8,"")</f>
        <v/>
      </c>
      <c r="BX109" s="38" t="str">
        <f>IFERROR('2.vize'!CI8*100/'2.vize'!$I8,"")</f>
        <v/>
      </c>
      <c r="BY109" s="38" t="str">
        <f>IFERROR('2.vize'!CJ8*100/'2.vize'!$I8,"")</f>
        <v/>
      </c>
      <c r="BZ109" s="38" t="str">
        <f>IFERROR('2.vize'!CK8*100/'2.vize'!$I8,"")</f>
        <v/>
      </c>
      <c r="CA109" s="38" t="str">
        <f>IFERROR('2.vize'!CL8*100/'2.vize'!$I8,"")</f>
        <v/>
      </c>
      <c r="CB109" s="38" t="str">
        <f>IFERROR('2.vize'!CM8*100/'2.vize'!$I8,"")</f>
        <v/>
      </c>
      <c r="CC109" s="38" t="str">
        <f>IFERROR('2.vize'!CN8*100/'2.vize'!$I8,"")</f>
        <v/>
      </c>
      <c r="CD109" s="38" t="str">
        <f>IFERROR('2.vize'!CO8*100/'2.vize'!$I8,"")</f>
        <v/>
      </c>
      <c r="CE109" s="38" t="str">
        <f>IFERROR('2.vize'!CP8*100/'2.vize'!$I8,"")</f>
        <v/>
      </c>
      <c r="CF109" s="38" t="str">
        <f>IFERROR('2.vize'!CQ8*100/'2.vize'!$I8,"")</f>
        <v/>
      </c>
      <c r="CG109" s="38" t="str">
        <f>IFERROR('2.vize'!CR8*100/'2.vize'!$I8,"")</f>
        <v/>
      </c>
      <c r="CH109" s="38" t="str">
        <f>IFERROR('2.vize'!CS8*100/'2.vize'!$I8,"")</f>
        <v/>
      </c>
      <c r="CI109" s="38" t="str">
        <f>IFERROR('2.vize'!CT8*100/'2.vize'!$I8,"")</f>
        <v/>
      </c>
      <c r="CJ109" s="38" t="str">
        <f>IFERROR('2.vize'!CU8*100/'2.vize'!$I8,"")</f>
        <v/>
      </c>
      <c r="CK109" s="38" t="str">
        <f>IFERROR('2.vize'!CV8*100/'2.vize'!$I8,"")</f>
        <v/>
      </c>
      <c r="CL109" s="38" t="str">
        <f>IFERROR('2.vize'!CW8*100/'2.vize'!$I8,"")</f>
        <v/>
      </c>
      <c r="CM109" s="38" t="str">
        <f>IFERROR('2.vize'!CX8*100/'2.vize'!$I8,"")</f>
        <v/>
      </c>
      <c r="CN109" s="38" t="str">
        <f>IFERROR('2.vize'!CY8*100/'2.vize'!$I8,"")</f>
        <v/>
      </c>
      <c r="CO109" s="38" t="str">
        <f>IFERROR('2.vize'!CZ8*100/'2.vize'!$I8,"")</f>
        <v/>
      </c>
      <c r="CP109" s="38" t="str">
        <f>IFERROR('2.vize'!DA8*100/'2.vize'!$I8,"")</f>
        <v/>
      </c>
      <c r="CQ109" s="38" t="str">
        <f>IFERROR('2.vize'!DB8*100/'2.vize'!$I8,"")</f>
        <v/>
      </c>
      <c r="CR109" s="38" t="str">
        <f>IFERROR('2.vize'!DC8*100/'2.vize'!$I8,"")</f>
        <v/>
      </c>
      <c r="CS109" s="38" t="str">
        <f>IFERROR('2.vize'!DD8*100/'2.vize'!$I8,"")</f>
        <v/>
      </c>
      <c r="CT109" s="38" t="str">
        <f>IFERROR('2.vize'!DE8*100/'2.vize'!$I8,"")</f>
        <v/>
      </c>
      <c r="CU109" s="38" t="str">
        <f>IFERROR('2.vize'!DF8*100/'2.vize'!$I8,"")</f>
        <v/>
      </c>
      <c r="CV109" s="38" t="str">
        <f>IFERROR('2.vize'!DG8*100/'2.vize'!$I8,"")</f>
        <v/>
      </c>
      <c r="CW109" s="32" t="str">
        <f>IFERROR(SUM(A109:CV109)/'2.vize'!$DH$103,"")</f>
        <v/>
      </c>
      <c r="CX109" s="14" t="str">
        <f>IF(COUNTA('2.vize'!A8),'2.vize'!A8,"")</f>
        <v/>
      </c>
      <c r="CY109" s="14" t="str">
        <f>IF(COUNTA('2.vize'!B8),'2.vize'!B8,"")</f>
        <v/>
      </c>
      <c r="CZ109" s="14" t="str">
        <f>IF(COUNTA('2.vize'!C8),'2.vize'!C8,"")</f>
        <v/>
      </c>
      <c r="DA109" s="14" t="str">
        <f>IF(COUNTA('2.vize'!D8),'2.vize'!D8,"")</f>
        <v/>
      </c>
      <c r="DB109" s="14" t="str">
        <f>IF(COUNTA('2.vize'!E8),'2.vize'!E8,"")</f>
        <v/>
      </c>
      <c r="DC109" s="14" t="str">
        <f>IF(COUNTA('2.vize'!F8),'2.vize'!F8,"")</f>
        <v/>
      </c>
      <c r="DD109" s="14" t="str">
        <f>IF(COUNTA('2.vize'!G8),'2.vize'!G8,"")</f>
        <v/>
      </c>
      <c r="DE109" s="14" t="str">
        <f>IF(COUNTA('2.vize'!H8),'2.vize'!H8,"")</f>
        <v/>
      </c>
    </row>
    <row r="110" spans="1:118" x14ac:dyDescent="0.2">
      <c r="A110" s="38" t="str">
        <f>IFERROR('2.vize'!L9*100/'2.vize'!$I9,"")</f>
        <v/>
      </c>
      <c r="B110" s="38" t="str">
        <f>IFERROR('2.vize'!M9*100/'2.vize'!$I9,"")</f>
        <v/>
      </c>
      <c r="C110" s="38" t="str">
        <f>IFERROR('2.vize'!N9*100/'2.vize'!$I9,"")</f>
        <v/>
      </c>
      <c r="D110" s="38" t="str">
        <f>IFERROR('2.vize'!O9*100/'2.vize'!$I9,"")</f>
        <v/>
      </c>
      <c r="E110" s="38" t="str">
        <f>IFERROR('2.vize'!P9*100/'2.vize'!$I9,"")</f>
        <v/>
      </c>
      <c r="F110" s="38" t="str">
        <f>IFERROR('2.vize'!Q9*100/'2.vize'!$I9,"")</f>
        <v/>
      </c>
      <c r="G110" s="38" t="str">
        <f>IFERROR('2.vize'!R9*100/'2.vize'!$I9,"")</f>
        <v/>
      </c>
      <c r="H110" s="38" t="str">
        <f>IFERROR('2.vize'!S9*100/'2.vize'!$I9,"")</f>
        <v/>
      </c>
      <c r="I110" s="38" t="str">
        <f>IFERROR('2.vize'!T9*100/'2.vize'!$I9,"")</f>
        <v/>
      </c>
      <c r="J110" s="38" t="str">
        <f>IFERROR('2.vize'!U9*100/'2.vize'!$I9,"")</f>
        <v/>
      </c>
      <c r="K110" s="38" t="str">
        <f>IFERROR('2.vize'!V9*100/'2.vize'!$I9,"")</f>
        <v/>
      </c>
      <c r="L110" s="38" t="str">
        <f>IFERROR('2.vize'!W9*100/'2.vize'!$I9,"")</f>
        <v/>
      </c>
      <c r="M110" s="38" t="str">
        <f>IFERROR('2.vize'!X9*100/'2.vize'!$I9,"")</f>
        <v/>
      </c>
      <c r="N110" s="38" t="str">
        <f>IFERROR('2.vize'!Y9*100/'2.vize'!$I9,"")</f>
        <v/>
      </c>
      <c r="O110" s="38" t="str">
        <f>IFERROR('2.vize'!Z9*100/'2.vize'!$I9,"")</f>
        <v/>
      </c>
      <c r="P110" s="38" t="str">
        <f>IFERROR('2.vize'!AA9*100/'2.vize'!$I9,"")</f>
        <v/>
      </c>
      <c r="Q110" s="38" t="str">
        <f>IFERROR('2.vize'!AB9*100/'2.vize'!$I9,"")</f>
        <v/>
      </c>
      <c r="R110" s="38" t="str">
        <f>IFERROR('2.vize'!AC9*100/'2.vize'!$I9,"")</f>
        <v/>
      </c>
      <c r="S110" s="38" t="str">
        <f>IFERROR('2.vize'!AD9*100/'2.vize'!$I9,"")</f>
        <v/>
      </c>
      <c r="T110" s="38" t="str">
        <f>IFERROR('2.vize'!AE9*100/'2.vize'!$I9,"")</f>
        <v/>
      </c>
      <c r="U110" s="38" t="str">
        <f>IFERROR('2.vize'!AF9*100/'2.vize'!$I9,"")</f>
        <v/>
      </c>
      <c r="V110" s="38" t="str">
        <f>IFERROR('2.vize'!AG9*100/'2.vize'!$I9,"")</f>
        <v/>
      </c>
      <c r="W110" s="38" t="str">
        <f>IFERROR('2.vize'!AH9*100/'2.vize'!$I9,"")</f>
        <v/>
      </c>
      <c r="X110" s="38" t="str">
        <f>IFERROR('2.vize'!AI9*100/'2.vize'!$I9,"")</f>
        <v/>
      </c>
      <c r="Y110" s="38" t="str">
        <f>IFERROR('2.vize'!AJ9*100/'2.vize'!$I9,"")</f>
        <v/>
      </c>
      <c r="Z110" s="38" t="str">
        <f>IFERROR('2.vize'!AK9*100/'2.vize'!$I9,"")</f>
        <v/>
      </c>
      <c r="AA110" s="38" t="str">
        <f>IFERROR('2.vize'!AL9*100/'2.vize'!$I9,"")</f>
        <v/>
      </c>
      <c r="AB110" s="38" t="str">
        <f>IFERROR('2.vize'!AM9*100/'2.vize'!$I9,"")</f>
        <v/>
      </c>
      <c r="AC110" s="38" t="str">
        <f>IFERROR('2.vize'!AN9*100/'2.vize'!$I9,"")</f>
        <v/>
      </c>
      <c r="AD110" s="38" t="str">
        <f>IFERROR('2.vize'!AO9*100/'2.vize'!$I9,"")</f>
        <v/>
      </c>
      <c r="AE110" s="38" t="str">
        <f>IFERROR('2.vize'!AP9*100/'2.vize'!$I9,"")</f>
        <v/>
      </c>
      <c r="AF110" s="38" t="str">
        <f>IFERROR('2.vize'!AQ9*100/'2.vize'!$I9,"")</f>
        <v/>
      </c>
      <c r="AG110" s="38" t="str">
        <f>IFERROR('2.vize'!AR9*100/'2.vize'!$I9,"")</f>
        <v/>
      </c>
      <c r="AH110" s="38" t="str">
        <f>IFERROR('2.vize'!AS9*100/'2.vize'!$I9,"")</f>
        <v/>
      </c>
      <c r="AI110" s="38" t="str">
        <f>IFERROR('2.vize'!AT9*100/'2.vize'!$I9,"")</f>
        <v/>
      </c>
      <c r="AJ110" s="38" t="str">
        <f>IFERROR('2.vize'!AU9*100/'2.vize'!$I9,"")</f>
        <v/>
      </c>
      <c r="AK110" s="38" t="str">
        <f>IFERROR('2.vize'!AV9*100/'2.vize'!$I9,"")</f>
        <v/>
      </c>
      <c r="AL110" s="38" t="str">
        <f>IFERROR('2.vize'!AW9*100/'2.vize'!$I9,"")</f>
        <v/>
      </c>
      <c r="AM110" s="38" t="str">
        <f>IFERROR('2.vize'!AX9*100/'2.vize'!$I9,"")</f>
        <v/>
      </c>
      <c r="AN110" s="38" t="str">
        <f>IFERROR('2.vize'!AY9*100/'2.vize'!$I9,"")</f>
        <v/>
      </c>
      <c r="AO110" s="38" t="str">
        <f>IFERROR('2.vize'!AZ9*100/'2.vize'!$I9,"")</f>
        <v/>
      </c>
      <c r="AP110" s="38" t="str">
        <f>IFERROR('2.vize'!BA9*100/'2.vize'!$I9,"")</f>
        <v/>
      </c>
      <c r="AQ110" s="38" t="str">
        <f>IFERROR('2.vize'!BB9*100/'2.vize'!$I9,"")</f>
        <v/>
      </c>
      <c r="AR110" s="38" t="str">
        <f>IFERROR('2.vize'!BC9*100/'2.vize'!$I9,"")</f>
        <v/>
      </c>
      <c r="AS110" s="38" t="str">
        <f>IFERROR('2.vize'!BD9*100/'2.vize'!$I9,"")</f>
        <v/>
      </c>
      <c r="AT110" s="38" t="str">
        <f>IFERROR('2.vize'!BE9*100/'2.vize'!$I9,"")</f>
        <v/>
      </c>
      <c r="AU110" s="38" t="str">
        <f>IFERROR('2.vize'!BF9*100/'2.vize'!$I9,"")</f>
        <v/>
      </c>
      <c r="AV110" s="38" t="str">
        <f>IFERROR('2.vize'!BG9*100/'2.vize'!$I9,"")</f>
        <v/>
      </c>
      <c r="AW110" s="38" t="str">
        <f>IFERROR('2.vize'!BH9*100/'2.vize'!$I9,"")</f>
        <v/>
      </c>
      <c r="AX110" s="38" t="str">
        <f>IFERROR('2.vize'!BI9*100/'2.vize'!$I9,"")</f>
        <v/>
      </c>
      <c r="AY110" s="38" t="str">
        <f>IFERROR('2.vize'!BJ9*100/'2.vize'!$I9,"")</f>
        <v/>
      </c>
      <c r="AZ110" s="38" t="str">
        <f>IFERROR('2.vize'!BK9*100/'2.vize'!$I9,"")</f>
        <v/>
      </c>
      <c r="BA110" s="38" t="str">
        <f>IFERROR('2.vize'!BL9*100/'2.vize'!$I9,"")</f>
        <v/>
      </c>
      <c r="BB110" s="38" t="str">
        <f>IFERROR('2.vize'!BM9*100/'2.vize'!$I9,"")</f>
        <v/>
      </c>
      <c r="BC110" s="38" t="str">
        <f>IFERROR('2.vize'!BN9*100/'2.vize'!$I9,"")</f>
        <v/>
      </c>
      <c r="BD110" s="38" t="str">
        <f>IFERROR('2.vize'!BO9*100/'2.vize'!$I9,"")</f>
        <v/>
      </c>
      <c r="BE110" s="38" t="str">
        <f>IFERROR('2.vize'!BP9*100/'2.vize'!$I9,"")</f>
        <v/>
      </c>
      <c r="BF110" s="38" t="str">
        <f>IFERROR('2.vize'!BQ9*100/'2.vize'!$I9,"")</f>
        <v/>
      </c>
      <c r="BG110" s="38" t="str">
        <f>IFERROR('2.vize'!BR9*100/'2.vize'!$I9,"")</f>
        <v/>
      </c>
      <c r="BH110" s="38" t="str">
        <f>IFERROR('2.vize'!BS9*100/'2.vize'!$I9,"")</f>
        <v/>
      </c>
      <c r="BI110" s="38" t="str">
        <f>IFERROR('2.vize'!BT9*100/'2.vize'!$I9,"")</f>
        <v/>
      </c>
      <c r="BJ110" s="38" t="str">
        <f>IFERROR('2.vize'!BU9*100/'2.vize'!$I9,"")</f>
        <v/>
      </c>
      <c r="BK110" s="38" t="str">
        <f>IFERROR('2.vize'!BV9*100/'2.vize'!$I9,"")</f>
        <v/>
      </c>
      <c r="BL110" s="38" t="str">
        <f>IFERROR('2.vize'!BW9*100/'2.vize'!$I9,"")</f>
        <v/>
      </c>
      <c r="BM110" s="38" t="str">
        <f>IFERROR('2.vize'!BX9*100/'2.vize'!$I9,"")</f>
        <v/>
      </c>
      <c r="BN110" s="38" t="str">
        <f>IFERROR('2.vize'!BY9*100/'2.vize'!$I9,"")</f>
        <v/>
      </c>
      <c r="BO110" s="38" t="str">
        <f>IFERROR('2.vize'!BZ9*100/'2.vize'!$I9,"")</f>
        <v/>
      </c>
      <c r="BP110" s="38" t="str">
        <f>IFERROR('2.vize'!CA9*100/'2.vize'!$I9,"")</f>
        <v/>
      </c>
      <c r="BQ110" s="38" t="str">
        <f>IFERROR('2.vize'!CB9*100/'2.vize'!$I9,"")</f>
        <v/>
      </c>
      <c r="BR110" s="38" t="str">
        <f>IFERROR('2.vize'!CC9*100/'2.vize'!$I9,"")</f>
        <v/>
      </c>
      <c r="BS110" s="38" t="str">
        <f>IFERROR('2.vize'!CD9*100/'2.vize'!$I9,"")</f>
        <v/>
      </c>
      <c r="BT110" s="38" t="str">
        <f>IFERROR('2.vize'!CE9*100/'2.vize'!$I9,"")</f>
        <v/>
      </c>
      <c r="BU110" s="38" t="str">
        <f>IFERROR('2.vize'!CF9*100/'2.vize'!$I9,"")</f>
        <v/>
      </c>
      <c r="BV110" s="38" t="str">
        <f>IFERROR('2.vize'!CG9*100/'2.vize'!$I9,"")</f>
        <v/>
      </c>
      <c r="BW110" s="38" t="str">
        <f>IFERROR('2.vize'!CH9*100/'2.vize'!$I9,"")</f>
        <v/>
      </c>
      <c r="BX110" s="38" t="str">
        <f>IFERROR('2.vize'!CI9*100/'2.vize'!$I9,"")</f>
        <v/>
      </c>
      <c r="BY110" s="38" t="str">
        <f>IFERROR('2.vize'!CJ9*100/'2.vize'!$I9,"")</f>
        <v/>
      </c>
      <c r="BZ110" s="38" t="str">
        <f>IFERROR('2.vize'!CK9*100/'2.vize'!$I9,"")</f>
        <v/>
      </c>
      <c r="CA110" s="38" t="str">
        <f>IFERROR('2.vize'!CL9*100/'2.vize'!$I9,"")</f>
        <v/>
      </c>
      <c r="CB110" s="38" t="str">
        <f>IFERROR('2.vize'!CM9*100/'2.vize'!$I9,"")</f>
        <v/>
      </c>
      <c r="CC110" s="38" t="str">
        <f>IFERROR('2.vize'!CN9*100/'2.vize'!$I9,"")</f>
        <v/>
      </c>
      <c r="CD110" s="38" t="str">
        <f>IFERROR('2.vize'!CO9*100/'2.vize'!$I9,"")</f>
        <v/>
      </c>
      <c r="CE110" s="38" t="str">
        <f>IFERROR('2.vize'!CP9*100/'2.vize'!$I9,"")</f>
        <v/>
      </c>
      <c r="CF110" s="38" t="str">
        <f>IFERROR('2.vize'!CQ9*100/'2.vize'!$I9,"")</f>
        <v/>
      </c>
      <c r="CG110" s="38" t="str">
        <f>IFERROR('2.vize'!CR9*100/'2.vize'!$I9,"")</f>
        <v/>
      </c>
      <c r="CH110" s="38" t="str">
        <f>IFERROR('2.vize'!CS9*100/'2.vize'!$I9,"")</f>
        <v/>
      </c>
      <c r="CI110" s="38" t="str">
        <f>IFERROR('2.vize'!CT9*100/'2.vize'!$I9,"")</f>
        <v/>
      </c>
      <c r="CJ110" s="38" t="str">
        <f>IFERROR('2.vize'!CU9*100/'2.vize'!$I9,"")</f>
        <v/>
      </c>
      <c r="CK110" s="38" t="str">
        <f>IFERROR('2.vize'!CV9*100/'2.vize'!$I9,"")</f>
        <v/>
      </c>
      <c r="CL110" s="38" t="str">
        <f>IFERROR('2.vize'!CW9*100/'2.vize'!$I9,"")</f>
        <v/>
      </c>
      <c r="CM110" s="38" t="str">
        <f>IFERROR('2.vize'!CX9*100/'2.vize'!$I9,"")</f>
        <v/>
      </c>
      <c r="CN110" s="38" t="str">
        <f>IFERROR('2.vize'!CY9*100/'2.vize'!$I9,"")</f>
        <v/>
      </c>
      <c r="CO110" s="38" t="str">
        <f>IFERROR('2.vize'!CZ9*100/'2.vize'!$I9,"")</f>
        <v/>
      </c>
      <c r="CP110" s="38" t="str">
        <f>IFERROR('2.vize'!DA9*100/'2.vize'!$I9,"")</f>
        <v/>
      </c>
      <c r="CQ110" s="38" t="str">
        <f>IFERROR('2.vize'!DB9*100/'2.vize'!$I9,"")</f>
        <v/>
      </c>
      <c r="CR110" s="38" t="str">
        <f>IFERROR('2.vize'!DC9*100/'2.vize'!$I9,"")</f>
        <v/>
      </c>
      <c r="CS110" s="38" t="str">
        <f>IFERROR('2.vize'!DD9*100/'2.vize'!$I9,"")</f>
        <v/>
      </c>
      <c r="CT110" s="38" t="str">
        <f>IFERROR('2.vize'!DE9*100/'2.vize'!$I9,"")</f>
        <v/>
      </c>
      <c r="CU110" s="38" t="str">
        <f>IFERROR('2.vize'!DF9*100/'2.vize'!$I9,"")</f>
        <v/>
      </c>
      <c r="CV110" s="38" t="str">
        <f>IFERROR('2.vize'!DG9*100/'2.vize'!$I9,"")</f>
        <v/>
      </c>
      <c r="CW110" s="32" t="str">
        <f>IFERROR(SUM(A110:CV110)/'2.vize'!$DH$103,"")</f>
        <v/>
      </c>
      <c r="CX110" s="14" t="str">
        <f>IF(COUNTA('2.vize'!A9),'2.vize'!A9,"")</f>
        <v/>
      </c>
      <c r="CY110" s="14" t="str">
        <f>IF(COUNTA('2.vize'!B9),'2.vize'!B9,"")</f>
        <v/>
      </c>
      <c r="CZ110" s="14" t="str">
        <f>IF(COUNTA('2.vize'!C9),'2.vize'!C9,"")</f>
        <v/>
      </c>
      <c r="DA110" s="14" t="str">
        <f>IF(COUNTA('2.vize'!D9),'2.vize'!D9,"")</f>
        <v/>
      </c>
      <c r="DB110" s="14" t="str">
        <f>IF(COUNTA('2.vize'!E9),'2.vize'!E9,"")</f>
        <v/>
      </c>
      <c r="DC110" s="14" t="str">
        <f>IF(COUNTA('2.vize'!F9),'2.vize'!F9,"")</f>
        <v/>
      </c>
      <c r="DD110" s="14" t="str">
        <f>IF(COUNTA('2.vize'!G9),'2.vize'!G9,"")</f>
        <v/>
      </c>
      <c r="DE110" s="14" t="str">
        <f>IF(COUNTA('2.vize'!H9),'2.vize'!H9,"")</f>
        <v/>
      </c>
    </row>
    <row r="111" spans="1:118" x14ac:dyDescent="0.2">
      <c r="A111" s="38" t="str">
        <f>IFERROR('2.vize'!L10*100/'2.vize'!$I10,"")</f>
        <v/>
      </c>
      <c r="B111" s="38" t="str">
        <f>IFERROR('2.vize'!M10*100/'2.vize'!$I10,"")</f>
        <v/>
      </c>
      <c r="C111" s="38" t="str">
        <f>IFERROR('2.vize'!N10*100/'2.vize'!$I10,"")</f>
        <v/>
      </c>
      <c r="D111" s="38" t="str">
        <f>IFERROR('2.vize'!O10*100/'2.vize'!$I10,"")</f>
        <v/>
      </c>
      <c r="E111" s="38" t="str">
        <f>IFERROR('2.vize'!P10*100/'2.vize'!$I10,"")</f>
        <v/>
      </c>
      <c r="F111" s="38" t="str">
        <f>IFERROR('2.vize'!Q10*100/'2.vize'!$I10,"")</f>
        <v/>
      </c>
      <c r="G111" s="38" t="str">
        <f>IFERROR('2.vize'!R10*100/'2.vize'!$I10,"")</f>
        <v/>
      </c>
      <c r="H111" s="38" t="str">
        <f>IFERROR('2.vize'!S10*100/'2.vize'!$I10,"")</f>
        <v/>
      </c>
      <c r="I111" s="38" t="str">
        <f>IFERROR('2.vize'!T10*100/'2.vize'!$I10,"")</f>
        <v/>
      </c>
      <c r="J111" s="38" t="str">
        <f>IFERROR('2.vize'!U10*100/'2.vize'!$I10,"")</f>
        <v/>
      </c>
      <c r="K111" s="38" t="str">
        <f>IFERROR('2.vize'!V10*100/'2.vize'!$I10,"")</f>
        <v/>
      </c>
      <c r="L111" s="38" t="str">
        <f>IFERROR('2.vize'!W10*100/'2.vize'!$I10,"")</f>
        <v/>
      </c>
      <c r="M111" s="38" t="str">
        <f>IFERROR('2.vize'!X10*100/'2.vize'!$I10,"")</f>
        <v/>
      </c>
      <c r="N111" s="38" t="str">
        <f>IFERROR('2.vize'!Y10*100/'2.vize'!$I10,"")</f>
        <v/>
      </c>
      <c r="O111" s="38" t="str">
        <f>IFERROR('2.vize'!Z10*100/'2.vize'!$I10,"")</f>
        <v/>
      </c>
      <c r="P111" s="38" t="str">
        <f>IFERROR('2.vize'!AA10*100/'2.vize'!$I10,"")</f>
        <v/>
      </c>
      <c r="Q111" s="38" t="str">
        <f>IFERROR('2.vize'!AB10*100/'2.vize'!$I10,"")</f>
        <v/>
      </c>
      <c r="R111" s="38" t="str">
        <f>IFERROR('2.vize'!AC10*100/'2.vize'!$I10,"")</f>
        <v/>
      </c>
      <c r="S111" s="38" t="str">
        <f>IFERROR('2.vize'!AD10*100/'2.vize'!$I10,"")</f>
        <v/>
      </c>
      <c r="T111" s="38" t="str">
        <f>IFERROR('2.vize'!AE10*100/'2.vize'!$I10,"")</f>
        <v/>
      </c>
      <c r="U111" s="38" t="str">
        <f>IFERROR('2.vize'!AF10*100/'2.vize'!$I10,"")</f>
        <v/>
      </c>
      <c r="V111" s="38" t="str">
        <f>IFERROR('2.vize'!AG10*100/'2.vize'!$I10,"")</f>
        <v/>
      </c>
      <c r="W111" s="38" t="str">
        <f>IFERROR('2.vize'!AH10*100/'2.vize'!$I10,"")</f>
        <v/>
      </c>
      <c r="X111" s="38" t="str">
        <f>IFERROR('2.vize'!AI10*100/'2.vize'!$I10,"")</f>
        <v/>
      </c>
      <c r="Y111" s="38" t="str">
        <f>IFERROR('2.vize'!AJ10*100/'2.vize'!$I10,"")</f>
        <v/>
      </c>
      <c r="Z111" s="38" t="str">
        <f>IFERROR('2.vize'!AK10*100/'2.vize'!$I10,"")</f>
        <v/>
      </c>
      <c r="AA111" s="38" t="str">
        <f>IFERROR('2.vize'!AL10*100/'2.vize'!$I10,"")</f>
        <v/>
      </c>
      <c r="AB111" s="38" t="str">
        <f>IFERROR('2.vize'!AM10*100/'2.vize'!$I10,"")</f>
        <v/>
      </c>
      <c r="AC111" s="38" t="str">
        <f>IFERROR('2.vize'!AN10*100/'2.vize'!$I10,"")</f>
        <v/>
      </c>
      <c r="AD111" s="38" t="str">
        <f>IFERROR('2.vize'!AO10*100/'2.vize'!$I10,"")</f>
        <v/>
      </c>
      <c r="AE111" s="38" t="str">
        <f>IFERROR('2.vize'!AP10*100/'2.vize'!$I10,"")</f>
        <v/>
      </c>
      <c r="AF111" s="38" t="str">
        <f>IFERROR('2.vize'!AQ10*100/'2.vize'!$I10,"")</f>
        <v/>
      </c>
      <c r="AG111" s="38" t="str">
        <f>IFERROR('2.vize'!AR10*100/'2.vize'!$I10,"")</f>
        <v/>
      </c>
      <c r="AH111" s="38" t="str">
        <f>IFERROR('2.vize'!AS10*100/'2.vize'!$I10,"")</f>
        <v/>
      </c>
      <c r="AI111" s="38" t="str">
        <f>IFERROR('2.vize'!AT10*100/'2.vize'!$I10,"")</f>
        <v/>
      </c>
      <c r="AJ111" s="38" t="str">
        <f>IFERROR('2.vize'!AU10*100/'2.vize'!$I10,"")</f>
        <v/>
      </c>
      <c r="AK111" s="38" t="str">
        <f>IFERROR('2.vize'!AV10*100/'2.vize'!$I10,"")</f>
        <v/>
      </c>
      <c r="AL111" s="38" t="str">
        <f>IFERROR('2.vize'!AW10*100/'2.vize'!$I10,"")</f>
        <v/>
      </c>
      <c r="AM111" s="38" t="str">
        <f>IFERROR('2.vize'!AX10*100/'2.vize'!$I10,"")</f>
        <v/>
      </c>
      <c r="AN111" s="38" t="str">
        <f>IFERROR('2.vize'!AY10*100/'2.vize'!$I10,"")</f>
        <v/>
      </c>
      <c r="AO111" s="38" t="str">
        <f>IFERROR('2.vize'!AZ10*100/'2.vize'!$I10,"")</f>
        <v/>
      </c>
      <c r="AP111" s="38" t="str">
        <f>IFERROR('2.vize'!BA10*100/'2.vize'!$I10,"")</f>
        <v/>
      </c>
      <c r="AQ111" s="38" t="str">
        <f>IFERROR('2.vize'!BB10*100/'2.vize'!$I10,"")</f>
        <v/>
      </c>
      <c r="AR111" s="38" t="str">
        <f>IFERROR('2.vize'!BC10*100/'2.vize'!$I10,"")</f>
        <v/>
      </c>
      <c r="AS111" s="38" t="str">
        <f>IFERROR('2.vize'!BD10*100/'2.vize'!$I10,"")</f>
        <v/>
      </c>
      <c r="AT111" s="38" t="str">
        <f>IFERROR('2.vize'!BE10*100/'2.vize'!$I10,"")</f>
        <v/>
      </c>
      <c r="AU111" s="38" t="str">
        <f>IFERROR('2.vize'!BF10*100/'2.vize'!$I10,"")</f>
        <v/>
      </c>
      <c r="AV111" s="38" t="str">
        <f>IFERROR('2.vize'!BG10*100/'2.vize'!$I10,"")</f>
        <v/>
      </c>
      <c r="AW111" s="38" t="str">
        <f>IFERROR('2.vize'!BH10*100/'2.vize'!$I10,"")</f>
        <v/>
      </c>
      <c r="AX111" s="38" t="str">
        <f>IFERROR('2.vize'!BI10*100/'2.vize'!$I10,"")</f>
        <v/>
      </c>
      <c r="AY111" s="38" t="str">
        <f>IFERROR('2.vize'!BJ10*100/'2.vize'!$I10,"")</f>
        <v/>
      </c>
      <c r="AZ111" s="38" t="str">
        <f>IFERROR('2.vize'!BK10*100/'2.vize'!$I10,"")</f>
        <v/>
      </c>
      <c r="BA111" s="38" t="str">
        <f>IFERROR('2.vize'!BL10*100/'2.vize'!$I10,"")</f>
        <v/>
      </c>
      <c r="BB111" s="38" t="str">
        <f>IFERROR('2.vize'!BM10*100/'2.vize'!$I10,"")</f>
        <v/>
      </c>
      <c r="BC111" s="38" t="str">
        <f>IFERROR('2.vize'!BN10*100/'2.vize'!$I10,"")</f>
        <v/>
      </c>
      <c r="BD111" s="38" t="str">
        <f>IFERROR('2.vize'!BO10*100/'2.vize'!$I10,"")</f>
        <v/>
      </c>
      <c r="BE111" s="38" t="str">
        <f>IFERROR('2.vize'!BP10*100/'2.vize'!$I10,"")</f>
        <v/>
      </c>
      <c r="BF111" s="38" t="str">
        <f>IFERROR('2.vize'!BQ10*100/'2.vize'!$I10,"")</f>
        <v/>
      </c>
      <c r="BG111" s="38" t="str">
        <f>IFERROR('2.vize'!BR10*100/'2.vize'!$I10,"")</f>
        <v/>
      </c>
      <c r="BH111" s="38" t="str">
        <f>IFERROR('2.vize'!BS10*100/'2.vize'!$I10,"")</f>
        <v/>
      </c>
      <c r="BI111" s="38" t="str">
        <f>IFERROR('2.vize'!BT10*100/'2.vize'!$I10,"")</f>
        <v/>
      </c>
      <c r="BJ111" s="38" t="str">
        <f>IFERROR('2.vize'!BU10*100/'2.vize'!$I10,"")</f>
        <v/>
      </c>
      <c r="BK111" s="38" t="str">
        <f>IFERROR('2.vize'!BV10*100/'2.vize'!$I10,"")</f>
        <v/>
      </c>
      <c r="BL111" s="38" t="str">
        <f>IFERROR('2.vize'!BW10*100/'2.vize'!$I10,"")</f>
        <v/>
      </c>
      <c r="BM111" s="38" t="str">
        <f>IFERROR('2.vize'!BX10*100/'2.vize'!$I10,"")</f>
        <v/>
      </c>
      <c r="BN111" s="38" t="str">
        <f>IFERROR('2.vize'!BY10*100/'2.vize'!$I10,"")</f>
        <v/>
      </c>
      <c r="BO111" s="38" t="str">
        <f>IFERROR('2.vize'!BZ10*100/'2.vize'!$I10,"")</f>
        <v/>
      </c>
      <c r="BP111" s="38" t="str">
        <f>IFERROR('2.vize'!CA10*100/'2.vize'!$I10,"")</f>
        <v/>
      </c>
      <c r="BQ111" s="38" t="str">
        <f>IFERROR('2.vize'!CB10*100/'2.vize'!$I10,"")</f>
        <v/>
      </c>
      <c r="BR111" s="38" t="str">
        <f>IFERROR('2.vize'!CC10*100/'2.vize'!$I10,"")</f>
        <v/>
      </c>
      <c r="BS111" s="38" t="str">
        <f>IFERROR('2.vize'!CD10*100/'2.vize'!$I10,"")</f>
        <v/>
      </c>
      <c r="BT111" s="38" t="str">
        <f>IFERROR('2.vize'!CE10*100/'2.vize'!$I10,"")</f>
        <v/>
      </c>
      <c r="BU111" s="38" t="str">
        <f>IFERROR('2.vize'!CF10*100/'2.vize'!$I10,"")</f>
        <v/>
      </c>
      <c r="BV111" s="38" t="str">
        <f>IFERROR('2.vize'!CG10*100/'2.vize'!$I10,"")</f>
        <v/>
      </c>
      <c r="BW111" s="38" t="str">
        <f>IFERROR('2.vize'!CH10*100/'2.vize'!$I10,"")</f>
        <v/>
      </c>
      <c r="BX111" s="38" t="str">
        <f>IFERROR('2.vize'!CI10*100/'2.vize'!$I10,"")</f>
        <v/>
      </c>
      <c r="BY111" s="38" t="str">
        <f>IFERROR('2.vize'!CJ10*100/'2.vize'!$I10,"")</f>
        <v/>
      </c>
      <c r="BZ111" s="38" t="str">
        <f>IFERROR('2.vize'!CK10*100/'2.vize'!$I10,"")</f>
        <v/>
      </c>
      <c r="CA111" s="38" t="str">
        <f>IFERROR('2.vize'!CL10*100/'2.vize'!$I10,"")</f>
        <v/>
      </c>
      <c r="CB111" s="38" t="str">
        <f>IFERROR('2.vize'!CM10*100/'2.vize'!$I10,"")</f>
        <v/>
      </c>
      <c r="CC111" s="38" t="str">
        <f>IFERROR('2.vize'!CN10*100/'2.vize'!$I10,"")</f>
        <v/>
      </c>
      <c r="CD111" s="38" t="str">
        <f>IFERROR('2.vize'!CO10*100/'2.vize'!$I10,"")</f>
        <v/>
      </c>
      <c r="CE111" s="38" t="str">
        <f>IFERROR('2.vize'!CP10*100/'2.vize'!$I10,"")</f>
        <v/>
      </c>
      <c r="CF111" s="38" t="str">
        <f>IFERROR('2.vize'!CQ10*100/'2.vize'!$I10,"")</f>
        <v/>
      </c>
      <c r="CG111" s="38" t="str">
        <f>IFERROR('2.vize'!CR10*100/'2.vize'!$I10,"")</f>
        <v/>
      </c>
      <c r="CH111" s="38" t="str">
        <f>IFERROR('2.vize'!CS10*100/'2.vize'!$I10,"")</f>
        <v/>
      </c>
      <c r="CI111" s="38" t="str">
        <f>IFERROR('2.vize'!CT10*100/'2.vize'!$I10,"")</f>
        <v/>
      </c>
      <c r="CJ111" s="38" t="str">
        <f>IFERROR('2.vize'!CU10*100/'2.vize'!$I10,"")</f>
        <v/>
      </c>
      <c r="CK111" s="38" t="str">
        <f>IFERROR('2.vize'!CV10*100/'2.vize'!$I10,"")</f>
        <v/>
      </c>
      <c r="CL111" s="38" t="str">
        <f>IFERROR('2.vize'!CW10*100/'2.vize'!$I10,"")</f>
        <v/>
      </c>
      <c r="CM111" s="38" t="str">
        <f>IFERROR('2.vize'!CX10*100/'2.vize'!$I10,"")</f>
        <v/>
      </c>
      <c r="CN111" s="38" t="str">
        <f>IFERROR('2.vize'!CY10*100/'2.vize'!$I10,"")</f>
        <v/>
      </c>
      <c r="CO111" s="38" t="str">
        <f>IFERROR('2.vize'!CZ10*100/'2.vize'!$I10,"")</f>
        <v/>
      </c>
      <c r="CP111" s="38" t="str">
        <f>IFERROR('2.vize'!DA10*100/'2.vize'!$I10,"")</f>
        <v/>
      </c>
      <c r="CQ111" s="38" t="str">
        <f>IFERROR('2.vize'!DB10*100/'2.vize'!$I10,"")</f>
        <v/>
      </c>
      <c r="CR111" s="38" t="str">
        <f>IFERROR('2.vize'!DC10*100/'2.vize'!$I10,"")</f>
        <v/>
      </c>
      <c r="CS111" s="38" t="str">
        <f>IFERROR('2.vize'!DD10*100/'2.vize'!$I10,"")</f>
        <v/>
      </c>
      <c r="CT111" s="38" t="str">
        <f>IFERROR('2.vize'!DE10*100/'2.vize'!$I10,"")</f>
        <v/>
      </c>
      <c r="CU111" s="38" t="str">
        <f>IFERROR('2.vize'!DF10*100/'2.vize'!$I10,"")</f>
        <v/>
      </c>
      <c r="CV111" s="38" t="str">
        <f>IFERROR('2.vize'!DG10*100/'2.vize'!$I10,"")</f>
        <v/>
      </c>
      <c r="CW111" s="32" t="str">
        <f>IFERROR(SUM(A111:CV111)/'2.vize'!$DH$103,"")</f>
        <v/>
      </c>
      <c r="CX111" s="14" t="str">
        <f>IF(COUNTA('2.vize'!A10),'2.vize'!A10,"")</f>
        <v/>
      </c>
      <c r="CY111" s="14" t="str">
        <f>IF(COUNTA('2.vize'!B10),'2.vize'!B10,"")</f>
        <v/>
      </c>
      <c r="CZ111" s="14" t="str">
        <f>IF(COUNTA('2.vize'!C10),'2.vize'!C10,"")</f>
        <v/>
      </c>
      <c r="DA111" s="14" t="str">
        <f>IF(COUNTA('2.vize'!D10),'2.vize'!D10,"")</f>
        <v/>
      </c>
      <c r="DB111" s="14" t="str">
        <f>IF(COUNTA('2.vize'!E10),'2.vize'!E10,"")</f>
        <v/>
      </c>
      <c r="DC111" s="14" t="str">
        <f>IF(COUNTA('2.vize'!F10),'2.vize'!F10,"")</f>
        <v/>
      </c>
      <c r="DD111" s="14" t="str">
        <f>IF(COUNTA('2.vize'!G10),'2.vize'!G10,"")</f>
        <v/>
      </c>
      <c r="DE111" s="14" t="str">
        <f>IF(COUNTA('2.vize'!H10),'2.vize'!H10,"")</f>
        <v/>
      </c>
    </row>
    <row r="112" spans="1:118" x14ac:dyDescent="0.2">
      <c r="A112" s="38" t="str">
        <f>IFERROR('2.vize'!L11*100/'2.vize'!$I11,"")</f>
        <v/>
      </c>
      <c r="B112" s="38" t="str">
        <f>IFERROR('2.vize'!M11*100/'2.vize'!$I11,"")</f>
        <v/>
      </c>
      <c r="C112" s="38" t="str">
        <f>IFERROR('2.vize'!N11*100/'2.vize'!$I11,"")</f>
        <v/>
      </c>
      <c r="D112" s="38" t="str">
        <f>IFERROR('2.vize'!O11*100/'2.vize'!$I11,"")</f>
        <v/>
      </c>
      <c r="E112" s="38" t="str">
        <f>IFERROR('2.vize'!P11*100/'2.vize'!$I11,"")</f>
        <v/>
      </c>
      <c r="F112" s="38" t="str">
        <f>IFERROR('2.vize'!Q11*100/'2.vize'!$I11,"")</f>
        <v/>
      </c>
      <c r="G112" s="38" t="str">
        <f>IFERROR('2.vize'!R11*100/'2.vize'!$I11,"")</f>
        <v/>
      </c>
      <c r="H112" s="38" t="str">
        <f>IFERROR('2.vize'!S11*100/'2.vize'!$I11,"")</f>
        <v/>
      </c>
      <c r="I112" s="38" t="str">
        <f>IFERROR('2.vize'!T11*100/'2.vize'!$I11,"")</f>
        <v/>
      </c>
      <c r="J112" s="38" t="str">
        <f>IFERROR('2.vize'!U11*100/'2.vize'!$I11,"")</f>
        <v/>
      </c>
      <c r="K112" s="38" t="str">
        <f>IFERROR('2.vize'!V11*100/'2.vize'!$I11,"")</f>
        <v/>
      </c>
      <c r="L112" s="38" t="str">
        <f>IFERROR('2.vize'!W11*100/'2.vize'!$I11,"")</f>
        <v/>
      </c>
      <c r="M112" s="38" t="str">
        <f>IFERROR('2.vize'!X11*100/'2.vize'!$I11,"")</f>
        <v/>
      </c>
      <c r="N112" s="38" t="str">
        <f>IFERROR('2.vize'!Y11*100/'2.vize'!$I11,"")</f>
        <v/>
      </c>
      <c r="O112" s="38" t="str">
        <f>IFERROR('2.vize'!Z11*100/'2.vize'!$I11,"")</f>
        <v/>
      </c>
      <c r="P112" s="38" t="str">
        <f>IFERROR('2.vize'!AA11*100/'2.vize'!$I11,"")</f>
        <v/>
      </c>
      <c r="Q112" s="38" t="str">
        <f>IFERROR('2.vize'!AB11*100/'2.vize'!$I11,"")</f>
        <v/>
      </c>
      <c r="R112" s="38" t="str">
        <f>IFERROR('2.vize'!AC11*100/'2.vize'!$I11,"")</f>
        <v/>
      </c>
      <c r="S112" s="38" t="str">
        <f>IFERROR('2.vize'!AD11*100/'2.vize'!$I11,"")</f>
        <v/>
      </c>
      <c r="T112" s="38" t="str">
        <f>IFERROR('2.vize'!AE11*100/'2.vize'!$I11,"")</f>
        <v/>
      </c>
      <c r="U112" s="38" t="str">
        <f>IFERROR('2.vize'!AF11*100/'2.vize'!$I11,"")</f>
        <v/>
      </c>
      <c r="V112" s="38" t="str">
        <f>IFERROR('2.vize'!AG11*100/'2.vize'!$I11,"")</f>
        <v/>
      </c>
      <c r="W112" s="38" t="str">
        <f>IFERROR('2.vize'!AH11*100/'2.vize'!$I11,"")</f>
        <v/>
      </c>
      <c r="X112" s="38" t="str">
        <f>IFERROR('2.vize'!AI11*100/'2.vize'!$I11,"")</f>
        <v/>
      </c>
      <c r="Y112" s="38" t="str">
        <f>IFERROR('2.vize'!AJ11*100/'2.vize'!$I11,"")</f>
        <v/>
      </c>
      <c r="Z112" s="38" t="str">
        <f>IFERROR('2.vize'!AK11*100/'2.vize'!$I11,"")</f>
        <v/>
      </c>
      <c r="AA112" s="38" t="str">
        <f>IFERROR('2.vize'!AL11*100/'2.vize'!$I11,"")</f>
        <v/>
      </c>
      <c r="AB112" s="38" t="str">
        <f>IFERROR('2.vize'!AM11*100/'2.vize'!$I11,"")</f>
        <v/>
      </c>
      <c r="AC112" s="38" t="str">
        <f>IFERROR('2.vize'!AN11*100/'2.vize'!$I11,"")</f>
        <v/>
      </c>
      <c r="AD112" s="38" t="str">
        <f>IFERROR('2.vize'!AO11*100/'2.vize'!$I11,"")</f>
        <v/>
      </c>
      <c r="AE112" s="38" t="str">
        <f>IFERROR('2.vize'!AP11*100/'2.vize'!$I11,"")</f>
        <v/>
      </c>
      <c r="AF112" s="38" t="str">
        <f>IFERROR('2.vize'!AQ11*100/'2.vize'!$I11,"")</f>
        <v/>
      </c>
      <c r="AG112" s="38" t="str">
        <f>IFERROR('2.vize'!AR11*100/'2.vize'!$I11,"")</f>
        <v/>
      </c>
      <c r="AH112" s="38" t="str">
        <f>IFERROR('2.vize'!AS11*100/'2.vize'!$I11,"")</f>
        <v/>
      </c>
      <c r="AI112" s="38" t="str">
        <f>IFERROR('2.vize'!AT11*100/'2.vize'!$I11,"")</f>
        <v/>
      </c>
      <c r="AJ112" s="38" t="str">
        <f>IFERROR('2.vize'!AU11*100/'2.vize'!$I11,"")</f>
        <v/>
      </c>
      <c r="AK112" s="38" t="str">
        <f>IFERROR('2.vize'!AV11*100/'2.vize'!$I11,"")</f>
        <v/>
      </c>
      <c r="AL112" s="38" t="str">
        <f>IFERROR('2.vize'!AW11*100/'2.vize'!$I11,"")</f>
        <v/>
      </c>
      <c r="AM112" s="38" t="str">
        <f>IFERROR('2.vize'!AX11*100/'2.vize'!$I11,"")</f>
        <v/>
      </c>
      <c r="AN112" s="38" t="str">
        <f>IFERROR('2.vize'!AY11*100/'2.vize'!$I11,"")</f>
        <v/>
      </c>
      <c r="AO112" s="38" t="str">
        <f>IFERROR('2.vize'!AZ11*100/'2.vize'!$I11,"")</f>
        <v/>
      </c>
      <c r="AP112" s="38" t="str">
        <f>IFERROR('2.vize'!BA11*100/'2.vize'!$I11,"")</f>
        <v/>
      </c>
      <c r="AQ112" s="38" t="str">
        <f>IFERROR('2.vize'!BB11*100/'2.vize'!$I11,"")</f>
        <v/>
      </c>
      <c r="AR112" s="38" t="str">
        <f>IFERROR('2.vize'!BC11*100/'2.vize'!$I11,"")</f>
        <v/>
      </c>
      <c r="AS112" s="38" t="str">
        <f>IFERROR('2.vize'!BD11*100/'2.vize'!$I11,"")</f>
        <v/>
      </c>
      <c r="AT112" s="38" t="str">
        <f>IFERROR('2.vize'!BE11*100/'2.vize'!$I11,"")</f>
        <v/>
      </c>
      <c r="AU112" s="38" t="str">
        <f>IFERROR('2.vize'!BF11*100/'2.vize'!$I11,"")</f>
        <v/>
      </c>
      <c r="AV112" s="38" t="str">
        <f>IFERROR('2.vize'!BG11*100/'2.vize'!$I11,"")</f>
        <v/>
      </c>
      <c r="AW112" s="38" t="str">
        <f>IFERROR('2.vize'!BH11*100/'2.vize'!$I11,"")</f>
        <v/>
      </c>
      <c r="AX112" s="38" t="str">
        <f>IFERROR('2.vize'!BI11*100/'2.vize'!$I11,"")</f>
        <v/>
      </c>
      <c r="AY112" s="38" t="str">
        <f>IFERROR('2.vize'!BJ11*100/'2.vize'!$I11,"")</f>
        <v/>
      </c>
      <c r="AZ112" s="38" t="str">
        <f>IFERROR('2.vize'!BK11*100/'2.vize'!$I11,"")</f>
        <v/>
      </c>
      <c r="BA112" s="38" t="str">
        <f>IFERROR('2.vize'!BL11*100/'2.vize'!$I11,"")</f>
        <v/>
      </c>
      <c r="BB112" s="38" t="str">
        <f>IFERROR('2.vize'!BM11*100/'2.vize'!$I11,"")</f>
        <v/>
      </c>
      <c r="BC112" s="38" t="str">
        <f>IFERROR('2.vize'!BN11*100/'2.vize'!$I11,"")</f>
        <v/>
      </c>
      <c r="BD112" s="38" t="str">
        <f>IFERROR('2.vize'!BO11*100/'2.vize'!$I11,"")</f>
        <v/>
      </c>
      <c r="BE112" s="38" t="str">
        <f>IFERROR('2.vize'!BP11*100/'2.vize'!$I11,"")</f>
        <v/>
      </c>
      <c r="BF112" s="38" t="str">
        <f>IFERROR('2.vize'!BQ11*100/'2.vize'!$I11,"")</f>
        <v/>
      </c>
      <c r="BG112" s="38" t="str">
        <f>IFERROR('2.vize'!BR11*100/'2.vize'!$I11,"")</f>
        <v/>
      </c>
      <c r="BH112" s="38" t="str">
        <f>IFERROR('2.vize'!BS11*100/'2.vize'!$I11,"")</f>
        <v/>
      </c>
      <c r="BI112" s="38" t="str">
        <f>IFERROR('2.vize'!BT11*100/'2.vize'!$I11,"")</f>
        <v/>
      </c>
      <c r="BJ112" s="38" t="str">
        <f>IFERROR('2.vize'!BU11*100/'2.vize'!$I11,"")</f>
        <v/>
      </c>
      <c r="BK112" s="38" t="str">
        <f>IFERROR('2.vize'!BV11*100/'2.vize'!$I11,"")</f>
        <v/>
      </c>
      <c r="BL112" s="38" t="str">
        <f>IFERROR('2.vize'!BW11*100/'2.vize'!$I11,"")</f>
        <v/>
      </c>
      <c r="BM112" s="38" t="str">
        <f>IFERROR('2.vize'!BX11*100/'2.vize'!$I11,"")</f>
        <v/>
      </c>
      <c r="BN112" s="38" t="str">
        <f>IFERROR('2.vize'!BY11*100/'2.vize'!$I11,"")</f>
        <v/>
      </c>
      <c r="BO112" s="38" t="str">
        <f>IFERROR('2.vize'!BZ11*100/'2.vize'!$I11,"")</f>
        <v/>
      </c>
      <c r="BP112" s="38" t="str">
        <f>IFERROR('2.vize'!CA11*100/'2.vize'!$I11,"")</f>
        <v/>
      </c>
      <c r="BQ112" s="38" t="str">
        <f>IFERROR('2.vize'!CB11*100/'2.vize'!$I11,"")</f>
        <v/>
      </c>
      <c r="BR112" s="38" t="str">
        <f>IFERROR('2.vize'!CC11*100/'2.vize'!$I11,"")</f>
        <v/>
      </c>
      <c r="BS112" s="38" t="str">
        <f>IFERROR('2.vize'!CD11*100/'2.vize'!$I11,"")</f>
        <v/>
      </c>
      <c r="BT112" s="38" t="str">
        <f>IFERROR('2.vize'!CE11*100/'2.vize'!$I11,"")</f>
        <v/>
      </c>
      <c r="BU112" s="38" t="str">
        <f>IFERROR('2.vize'!CF11*100/'2.vize'!$I11,"")</f>
        <v/>
      </c>
      <c r="BV112" s="38" t="str">
        <f>IFERROR('2.vize'!CG11*100/'2.vize'!$I11,"")</f>
        <v/>
      </c>
      <c r="BW112" s="38" t="str">
        <f>IFERROR('2.vize'!CH11*100/'2.vize'!$I11,"")</f>
        <v/>
      </c>
      <c r="BX112" s="38" t="str">
        <f>IFERROR('2.vize'!CI11*100/'2.vize'!$I11,"")</f>
        <v/>
      </c>
      <c r="BY112" s="38" t="str">
        <f>IFERROR('2.vize'!CJ11*100/'2.vize'!$I11,"")</f>
        <v/>
      </c>
      <c r="BZ112" s="38" t="str">
        <f>IFERROR('2.vize'!CK11*100/'2.vize'!$I11,"")</f>
        <v/>
      </c>
      <c r="CA112" s="38" t="str">
        <f>IFERROR('2.vize'!CL11*100/'2.vize'!$I11,"")</f>
        <v/>
      </c>
      <c r="CB112" s="38" t="str">
        <f>IFERROR('2.vize'!CM11*100/'2.vize'!$I11,"")</f>
        <v/>
      </c>
      <c r="CC112" s="38" t="str">
        <f>IFERROR('2.vize'!CN11*100/'2.vize'!$I11,"")</f>
        <v/>
      </c>
      <c r="CD112" s="38" t="str">
        <f>IFERROR('2.vize'!CO11*100/'2.vize'!$I11,"")</f>
        <v/>
      </c>
      <c r="CE112" s="38" t="str">
        <f>IFERROR('2.vize'!CP11*100/'2.vize'!$I11,"")</f>
        <v/>
      </c>
      <c r="CF112" s="38" t="str">
        <f>IFERROR('2.vize'!CQ11*100/'2.vize'!$I11,"")</f>
        <v/>
      </c>
      <c r="CG112" s="38" t="str">
        <f>IFERROR('2.vize'!CR11*100/'2.vize'!$I11,"")</f>
        <v/>
      </c>
      <c r="CH112" s="38" t="str">
        <f>IFERROR('2.vize'!CS11*100/'2.vize'!$I11,"")</f>
        <v/>
      </c>
      <c r="CI112" s="38" t="str">
        <f>IFERROR('2.vize'!CT11*100/'2.vize'!$I11,"")</f>
        <v/>
      </c>
      <c r="CJ112" s="38" t="str">
        <f>IFERROR('2.vize'!CU11*100/'2.vize'!$I11,"")</f>
        <v/>
      </c>
      <c r="CK112" s="38" t="str">
        <f>IFERROR('2.vize'!CV11*100/'2.vize'!$I11,"")</f>
        <v/>
      </c>
      <c r="CL112" s="38" t="str">
        <f>IFERROR('2.vize'!CW11*100/'2.vize'!$I11,"")</f>
        <v/>
      </c>
      <c r="CM112" s="38" t="str">
        <f>IFERROR('2.vize'!CX11*100/'2.vize'!$I11,"")</f>
        <v/>
      </c>
      <c r="CN112" s="38" t="str">
        <f>IFERROR('2.vize'!CY11*100/'2.vize'!$I11,"")</f>
        <v/>
      </c>
      <c r="CO112" s="38" t="str">
        <f>IFERROR('2.vize'!CZ11*100/'2.vize'!$I11,"")</f>
        <v/>
      </c>
      <c r="CP112" s="38" t="str">
        <f>IFERROR('2.vize'!DA11*100/'2.vize'!$I11,"")</f>
        <v/>
      </c>
      <c r="CQ112" s="38" t="str">
        <f>IFERROR('2.vize'!DB11*100/'2.vize'!$I11,"")</f>
        <v/>
      </c>
      <c r="CR112" s="38" t="str">
        <f>IFERROR('2.vize'!DC11*100/'2.vize'!$I11,"")</f>
        <v/>
      </c>
      <c r="CS112" s="38" t="str">
        <f>IFERROR('2.vize'!DD11*100/'2.vize'!$I11,"")</f>
        <v/>
      </c>
      <c r="CT112" s="38" t="str">
        <f>IFERROR('2.vize'!DE11*100/'2.vize'!$I11,"")</f>
        <v/>
      </c>
      <c r="CU112" s="38" t="str">
        <f>IFERROR('2.vize'!DF11*100/'2.vize'!$I11,"")</f>
        <v/>
      </c>
      <c r="CV112" s="38" t="str">
        <f>IFERROR('2.vize'!DG11*100/'2.vize'!$I11,"")</f>
        <v/>
      </c>
      <c r="CW112" s="32" t="str">
        <f>IFERROR(SUM(A112:CV112)/'2.vize'!$DH$103,"")</f>
        <v/>
      </c>
      <c r="CX112" s="14" t="str">
        <f>IF(COUNTA('2.vize'!A11),'2.vize'!A11,"")</f>
        <v/>
      </c>
      <c r="CY112" s="14" t="str">
        <f>IF(COUNTA('2.vize'!B11),'2.vize'!B11,"")</f>
        <v/>
      </c>
      <c r="CZ112" s="14" t="str">
        <f>IF(COUNTA('2.vize'!C11),'2.vize'!C11,"")</f>
        <v/>
      </c>
      <c r="DA112" s="14" t="str">
        <f>IF(COUNTA('2.vize'!D11),'2.vize'!D11,"")</f>
        <v/>
      </c>
      <c r="DB112" s="14" t="str">
        <f>IF(COUNTA('2.vize'!E11),'2.vize'!E11,"")</f>
        <v/>
      </c>
      <c r="DC112" s="14" t="str">
        <f>IF(COUNTA('2.vize'!F11),'2.vize'!F11,"")</f>
        <v/>
      </c>
      <c r="DD112" s="14" t="str">
        <f>IF(COUNTA('2.vize'!G11),'2.vize'!G11,"")</f>
        <v/>
      </c>
      <c r="DE112" s="14" t="str">
        <f>IF(COUNTA('2.vize'!H11),'2.vize'!H11,"")</f>
        <v/>
      </c>
    </row>
    <row r="113" spans="1:109" x14ac:dyDescent="0.2">
      <c r="A113" s="38" t="str">
        <f>IFERROR('2.vize'!L12*100/'2.vize'!$I12,"")</f>
        <v/>
      </c>
      <c r="B113" s="38" t="str">
        <f>IFERROR('2.vize'!M12*100/'2.vize'!$I12,"")</f>
        <v/>
      </c>
      <c r="C113" s="38" t="str">
        <f>IFERROR('2.vize'!N12*100/'2.vize'!$I12,"")</f>
        <v/>
      </c>
      <c r="D113" s="38" t="str">
        <f>IFERROR('2.vize'!O12*100/'2.vize'!$I12,"")</f>
        <v/>
      </c>
      <c r="E113" s="38" t="str">
        <f>IFERROR('2.vize'!P12*100/'2.vize'!$I12,"")</f>
        <v/>
      </c>
      <c r="F113" s="38" t="str">
        <f>IFERROR('2.vize'!Q12*100/'2.vize'!$I12,"")</f>
        <v/>
      </c>
      <c r="G113" s="38" t="str">
        <f>IFERROR('2.vize'!R12*100/'2.vize'!$I12,"")</f>
        <v/>
      </c>
      <c r="H113" s="38" t="str">
        <f>IFERROR('2.vize'!S12*100/'2.vize'!$I12,"")</f>
        <v/>
      </c>
      <c r="I113" s="38" t="str">
        <f>IFERROR('2.vize'!T12*100/'2.vize'!$I12,"")</f>
        <v/>
      </c>
      <c r="J113" s="38" t="str">
        <f>IFERROR('2.vize'!U12*100/'2.vize'!$I12,"")</f>
        <v/>
      </c>
      <c r="K113" s="38" t="str">
        <f>IFERROR('2.vize'!V12*100/'2.vize'!$I12,"")</f>
        <v/>
      </c>
      <c r="L113" s="38" t="str">
        <f>IFERROR('2.vize'!W12*100/'2.vize'!$I12,"")</f>
        <v/>
      </c>
      <c r="M113" s="38" t="str">
        <f>IFERROR('2.vize'!X12*100/'2.vize'!$I12,"")</f>
        <v/>
      </c>
      <c r="N113" s="38" t="str">
        <f>IFERROR('2.vize'!Y12*100/'2.vize'!$I12,"")</f>
        <v/>
      </c>
      <c r="O113" s="38" t="str">
        <f>IFERROR('2.vize'!Z12*100/'2.vize'!$I12,"")</f>
        <v/>
      </c>
      <c r="P113" s="38" t="str">
        <f>IFERROR('2.vize'!AA12*100/'2.vize'!$I12,"")</f>
        <v/>
      </c>
      <c r="Q113" s="38" t="str">
        <f>IFERROR('2.vize'!AB12*100/'2.vize'!$I12,"")</f>
        <v/>
      </c>
      <c r="R113" s="38" t="str">
        <f>IFERROR('2.vize'!AC12*100/'2.vize'!$I12,"")</f>
        <v/>
      </c>
      <c r="S113" s="38" t="str">
        <f>IFERROR('2.vize'!AD12*100/'2.vize'!$I12,"")</f>
        <v/>
      </c>
      <c r="T113" s="38" t="str">
        <f>IFERROR('2.vize'!AE12*100/'2.vize'!$I12,"")</f>
        <v/>
      </c>
      <c r="U113" s="38" t="str">
        <f>IFERROR('2.vize'!AF12*100/'2.vize'!$I12,"")</f>
        <v/>
      </c>
      <c r="V113" s="38" t="str">
        <f>IFERROR('2.vize'!AG12*100/'2.vize'!$I12,"")</f>
        <v/>
      </c>
      <c r="W113" s="38" t="str">
        <f>IFERROR('2.vize'!AH12*100/'2.vize'!$I12,"")</f>
        <v/>
      </c>
      <c r="X113" s="38" t="str">
        <f>IFERROR('2.vize'!AI12*100/'2.vize'!$I12,"")</f>
        <v/>
      </c>
      <c r="Y113" s="38" t="str">
        <f>IFERROR('2.vize'!AJ12*100/'2.vize'!$I12,"")</f>
        <v/>
      </c>
      <c r="Z113" s="38" t="str">
        <f>IFERROR('2.vize'!AK12*100/'2.vize'!$I12,"")</f>
        <v/>
      </c>
      <c r="AA113" s="38" t="str">
        <f>IFERROR('2.vize'!AL12*100/'2.vize'!$I12,"")</f>
        <v/>
      </c>
      <c r="AB113" s="38" t="str">
        <f>IFERROR('2.vize'!AM12*100/'2.vize'!$I12,"")</f>
        <v/>
      </c>
      <c r="AC113" s="38" t="str">
        <f>IFERROR('2.vize'!AN12*100/'2.vize'!$I12,"")</f>
        <v/>
      </c>
      <c r="AD113" s="38" t="str">
        <f>IFERROR('2.vize'!AO12*100/'2.vize'!$I12,"")</f>
        <v/>
      </c>
      <c r="AE113" s="38" t="str">
        <f>IFERROR('2.vize'!AP12*100/'2.vize'!$I12,"")</f>
        <v/>
      </c>
      <c r="AF113" s="38" t="str">
        <f>IFERROR('2.vize'!AQ12*100/'2.vize'!$I12,"")</f>
        <v/>
      </c>
      <c r="AG113" s="38" t="str">
        <f>IFERROR('2.vize'!AR12*100/'2.vize'!$I12,"")</f>
        <v/>
      </c>
      <c r="AH113" s="38" t="str">
        <f>IFERROR('2.vize'!AS12*100/'2.vize'!$I12,"")</f>
        <v/>
      </c>
      <c r="AI113" s="38" t="str">
        <f>IFERROR('2.vize'!AT12*100/'2.vize'!$I12,"")</f>
        <v/>
      </c>
      <c r="AJ113" s="38" t="str">
        <f>IFERROR('2.vize'!AU12*100/'2.vize'!$I12,"")</f>
        <v/>
      </c>
      <c r="AK113" s="38" t="str">
        <f>IFERROR('2.vize'!AV12*100/'2.vize'!$I12,"")</f>
        <v/>
      </c>
      <c r="AL113" s="38" t="str">
        <f>IFERROR('2.vize'!AW12*100/'2.vize'!$I12,"")</f>
        <v/>
      </c>
      <c r="AM113" s="38" t="str">
        <f>IFERROR('2.vize'!AX12*100/'2.vize'!$I12,"")</f>
        <v/>
      </c>
      <c r="AN113" s="38" t="str">
        <f>IFERROR('2.vize'!AY12*100/'2.vize'!$I12,"")</f>
        <v/>
      </c>
      <c r="AO113" s="38" t="str">
        <f>IFERROR('2.vize'!AZ12*100/'2.vize'!$I12,"")</f>
        <v/>
      </c>
      <c r="AP113" s="38" t="str">
        <f>IFERROR('2.vize'!BA12*100/'2.vize'!$I12,"")</f>
        <v/>
      </c>
      <c r="AQ113" s="38" t="str">
        <f>IFERROR('2.vize'!BB12*100/'2.vize'!$I12,"")</f>
        <v/>
      </c>
      <c r="AR113" s="38" t="str">
        <f>IFERROR('2.vize'!BC12*100/'2.vize'!$I12,"")</f>
        <v/>
      </c>
      <c r="AS113" s="38" t="str">
        <f>IFERROR('2.vize'!BD12*100/'2.vize'!$I12,"")</f>
        <v/>
      </c>
      <c r="AT113" s="38" t="str">
        <f>IFERROR('2.vize'!BE12*100/'2.vize'!$I12,"")</f>
        <v/>
      </c>
      <c r="AU113" s="38" t="str">
        <f>IFERROR('2.vize'!BF12*100/'2.vize'!$I12,"")</f>
        <v/>
      </c>
      <c r="AV113" s="38" t="str">
        <f>IFERROR('2.vize'!BG12*100/'2.vize'!$I12,"")</f>
        <v/>
      </c>
      <c r="AW113" s="38" t="str">
        <f>IFERROR('2.vize'!BH12*100/'2.vize'!$I12,"")</f>
        <v/>
      </c>
      <c r="AX113" s="38" t="str">
        <f>IFERROR('2.vize'!BI12*100/'2.vize'!$I12,"")</f>
        <v/>
      </c>
      <c r="AY113" s="38" t="str">
        <f>IFERROR('2.vize'!BJ12*100/'2.vize'!$I12,"")</f>
        <v/>
      </c>
      <c r="AZ113" s="38" t="str">
        <f>IFERROR('2.vize'!BK12*100/'2.vize'!$I12,"")</f>
        <v/>
      </c>
      <c r="BA113" s="38" t="str">
        <f>IFERROR('2.vize'!BL12*100/'2.vize'!$I12,"")</f>
        <v/>
      </c>
      <c r="BB113" s="38" t="str">
        <f>IFERROR('2.vize'!BM12*100/'2.vize'!$I12,"")</f>
        <v/>
      </c>
      <c r="BC113" s="38" t="str">
        <f>IFERROR('2.vize'!BN12*100/'2.vize'!$I12,"")</f>
        <v/>
      </c>
      <c r="BD113" s="38" t="str">
        <f>IFERROR('2.vize'!BO12*100/'2.vize'!$I12,"")</f>
        <v/>
      </c>
      <c r="BE113" s="38" t="str">
        <f>IFERROR('2.vize'!BP12*100/'2.vize'!$I12,"")</f>
        <v/>
      </c>
      <c r="BF113" s="38" t="str">
        <f>IFERROR('2.vize'!BQ12*100/'2.vize'!$I12,"")</f>
        <v/>
      </c>
      <c r="BG113" s="38" t="str">
        <f>IFERROR('2.vize'!BR12*100/'2.vize'!$I12,"")</f>
        <v/>
      </c>
      <c r="BH113" s="38" t="str">
        <f>IFERROR('2.vize'!BS12*100/'2.vize'!$I12,"")</f>
        <v/>
      </c>
      <c r="BI113" s="38" t="str">
        <f>IFERROR('2.vize'!BT12*100/'2.vize'!$I12,"")</f>
        <v/>
      </c>
      <c r="BJ113" s="38" t="str">
        <f>IFERROR('2.vize'!BU12*100/'2.vize'!$I12,"")</f>
        <v/>
      </c>
      <c r="BK113" s="38" t="str">
        <f>IFERROR('2.vize'!BV12*100/'2.vize'!$I12,"")</f>
        <v/>
      </c>
      <c r="BL113" s="38" t="str">
        <f>IFERROR('2.vize'!BW12*100/'2.vize'!$I12,"")</f>
        <v/>
      </c>
      <c r="BM113" s="38" t="str">
        <f>IFERROR('2.vize'!BX12*100/'2.vize'!$I12,"")</f>
        <v/>
      </c>
      <c r="BN113" s="38" t="str">
        <f>IFERROR('2.vize'!BY12*100/'2.vize'!$I12,"")</f>
        <v/>
      </c>
      <c r="BO113" s="38" t="str">
        <f>IFERROR('2.vize'!BZ12*100/'2.vize'!$I12,"")</f>
        <v/>
      </c>
      <c r="BP113" s="38" t="str">
        <f>IFERROR('2.vize'!CA12*100/'2.vize'!$I12,"")</f>
        <v/>
      </c>
      <c r="BQ113" s="38" t="str">
        <f>IFERROR('2.vize'!CB12*100/'2.vize'!$I12,"")</f>
        <v/>
      </c>
      <c r="BR113" s="38" t="str">
        <f>IFERROR('2.vize'!CC12*100/'2.vize'!$I12,"")</f>
        <v/>
      </c>
      <c r="BS113" s="38" t="str">
        <f>IFERROR('2.vize'!CD12*100/'2.vize'!$I12,"")</f>
        <v/>
      </c>
      <c r="BT113" s="38" t="str">
        <f>IFERROR('2.vize'!CE12*100/'2.vize'!$I12,"")</f>
        <v/>
      </c>
      <c r="BU113" s="38" t="str">
        <f>IFERROR('2.vize'!CF12*100/'2.vize'!$I12,"")</f>
        <v/>
      </c>
      <c r="BV113" s="38" t="str">
        <f>IFERROR('2.vize'!CG12*100/'2.vize'!$I12,"")</f>
        <v/>
      </c>
      <c r="BW113" s="38" t="str">
        <f>IFERROR('2.vize'!CH12*100/'2.vize'!$I12,"")</f>
        <v/>
      </c>
      <c r="BX113" s="38" t="str">
        <f>IFERROR('2.vize'!CI12*100/'2.vize'!$I12,"")</f>
        <v/>
      </c>
      <c r="BY113" s="38" t="str">
        <f>IFERROR('2.vize'!CJ12*100/'2.vize'!$I12,"")</f>
        <v/>
      </c>
      <c r="BZ113" s="38" t="str">
        <f>IFERROR('2.vize'!CK12*100/'2.vize'!$I12,"")</f>
        <v/>
      </c>
      <c r="CA113" s="38" t="str">
        <f>IFERROR('2.vize'!CL12*100/'2.vize'!$I12,"")</f>
        <v/>
      </c>
      <c r="CB113" s="38" t="str">
        <f>IFERROR('2.vize'!CM12*100/'2.vize'!$I12,"")</f>
        <v/>
      </c>
      <c r="CC113" s="38" t="str">
        <f>IFERROR('2.vize'!CN12*100/'2.vize'!$I12,"")</f>
        <v/>
      </c>
      <c r="CD113" s="38" t="str">
        <f>IFERROR('2.vize'!CO12*100/'2.vize'!$I12,"")</f>
        <v/>
      </c>
      <c r="CE113" s="38" t="str">
        <f>IFERROR('2.vize'!CP12*100/'2.vize'!$I12,"")</f>
        <v/>
      </c>
      <c r="CF113" s="38" t="str">
        <f>IFERROR('2.vize'!CQ12*100/'2.vize'!$I12,"")</f>
        <v/>
      </c>
      <c r="CG113" s="38" t="str">
        <f>IFERROR('2.vize'!CR12*100/'2.vize'!$I12,"")</f>
        <v/>
      </c>
      <c r="CH113" s="38" t="str">
        <f>IFERROR('2.vize'!CS12*100/'2.vize'!$I12,"")</f>
        <v/>
      </c>
      <c r="CI113" s="38" t="str">
        <f>IFERROR('2.vize'!CT12*100/'2.vize'!$I12,"")</f>
        <v/>
      </c>
      <c r="CJ113" s="38" t="str">
        <f>IFERROR('2.vize'!CU12*100/'2.vize'!$I12,"")</f>
        <v/>
      </c>
      <c r="CK113" s="38" t="str">
        <f>IFERROR('2.vize'!CV12*100/'2.vize'!$I12,"")</f>
        <v/>
      </c>
      <c r="CL113" s="38" t="str">
        <f>IFERROR('2.vize'!CW12*100/'2.vize'!$I12,"")</f>
        <v/>
      </c>
      <c r="CM113" s="38" t="str">
        <f>IFERROR('2.vize'!CX12*100/'2.vize'!$I12,"")</f>
        <v/>
      </c>
      <c r="CN113" s="38" t="str">
        <f>IFERROR('2.vize'!CY12*100/'2.vize'!$I12,"")</f>
        <v/>
      </c>
      <c r="CO113" s="38" t="str">
        <f>IFERROR('2.vize'!CZ12*100/'2.vize'!$I12,"")</f>
        <v/>
      </c>
      <c r="CP113" s="38" t="str">
        <f>IFERROR('2.vize'!DA12*100/'2.vize'!$I12,"")</f>
        <v/>
      </c>
      <c r="CQ113" s="38" t="str">
        <f>IFERROR('2.vize'!DB12*100/'2.vize'!$I12,"")</f>
        <v/>
      </c>
      <c r="CR113" s="38" t="str">
        <f>IFERROR('2.vize'!DC12*100/'2.vize'!$I12,"")</f>
        <v/>
      </c>
      <c r="CS113" s="38" t="str">
        <f>IFERROR('2.vize'!DD12*100/'2.vize'!$I12,"")</f>
        <v/>
      </c>
      <c r="CT113" s="38" t="str">
        <f>IFERROR('2.vize'!DE12*100/'2.vize'!$I12,"")</f>
        <v/>
      </c>
      <c r="CU113" s="38" t="str">
        <f>IFERROR('2.vize'!DF12*100/'2.vize'!$I12,"")</f>
        <v/>
      </c>
      <c r="CV113" s="38" t="str">
        <f>IFERROR('2.vize'!DG12*100/'2.vize'!$I12,"")</f>
        <v/>
      </c>
      <c r="CW113" s="32" t="str">
        <f>IFERROR(SUM(A113:CV113)/'2.vize'!$DH$103,"")</f>
        <v/>
      </c>
      <c r="CX113" s="14" t="str">
        <f>IF(COUNTA('2.vize'!A12),'2.vize'!A12,"")</f>
        <v/>
      </c>
      <c r="CY113" s="14" t="str">
        <f>IF(COUNTA('2.vize'!B12),'2.vize'!B12,"")</f>
        <v/>
      </c>
      <c r="CZ113" s="14" t="str">
        <f>IF(COUNTA('2.vize'!C12),'2.vize'!C12,"")</f>
        <v/>
      </c>
      <c r="DA113" s="14" t="str">
        <f>IF(COUNTA('2.vize'!D12),'2.vize'!D12,"")</f>
        <v/>
      </c>
      <c r="DB113" s="14" t="str">
        <f>IF(COUNTA('2.vize'!E12),'2.vize'!E12,"")</f>
        <v/>
      </c>
      <c r="DC113" s="14" t="str">
        <f>IF(COUNTA('2.vize'!F12),'2.vize'!F12,"")</f>
        <v/>
      </c>
      <c r="DD113" s="14" t="str">
        <f>IF(COUNTA('2.vize'!G12),'2.vize'!G12,"")</f>
        <v/>
      </c>
      <c r="DE113" s="14" t="str">
        <f>IF(COUNTA('2.vize'!H12),'2.vize'!H12,"")</f>
        <v/>
      </c>
    </row>
    <row r="114" spans="1:109" x14ac:dyDescent="0.2">
      <c r="A114" s="38" t="str">
        <f>IFERROR('2.vize'!L13*100/'2.vize'!$I13,"")</f>
        <v/>
      </c>
      <c r="B114" s="38" t="str">
        <f>IFERROR('2.vize'!M13*100/'2.vize'!$I13,"")</f>
        <v/>
      </c>
      <c r="C114" s="38" t="str">
        <f>IFERROR('2.vize'!N13*100/'2.vize'!$I13,"")</f>
        <v/>
      </c>
      <c r="D114" s="38" t="str">
        <f>IFERROR('2.vize'!O13*100/'2.vize'!$I13,"")</f>
        <v/>
      </c>
      <c r="E114" s="38" t="str">
        <f>IFERROR('2.vize'!P13*100/'2.vize'!$I13,"")</f>
        <v/>
      </c>
      <c r="F114" s="38" t="str">
        <f>IFERROR('2.vize'!Q13*100/'2.vize'!$I13,"")</f>
        <v/>
      </c>
      <c r="G114" s="38" t="str">
        <f>IFERROR('2.vize'!R13*100/'2.vize'!$I13,"")</f>
        <v/>
      </c>
      <c r="H114" s="38" t="str">
        <f>IFERROR('2.vize'!S13*100/'2.vize'!$I13,"")</f>
        <v/>
      </c>
      <c r="I114" s="38" t="str">
        <f>IFERROR('2.vize'!T13*100/'2.vize'!$I13,"")</f>
        <v/>
      </c>
      <c r="J114" s="38" t="str">
        <f>IFERROR('2.vize'!U13*100/'2.vize'!$I13,"")</f>
        <v/>
      </c>
      <c r="K114" s="38" t="str">
        <f>IFERROR('2.vize'!V13*100/'2.vize'!$I13,"")</f>
        <v/>
      </c>
      <c r="L114" s="38" t="str">
        <f>IFERROR('2.vize'!W13*100/'2.vize'!$I13,"")</f>
        <v/>
      </c>
      <c r="M114" s="38" t="str">
        <f>IFERROR('2.vize'!X13*100/'2.vize'!$I13,"")</f>
        <v/>
      </c>
      <c r="N114" s="38" t="str">
        <f>IFERROR('2.vize'!Y13*100/'2.vize'!$I13,"")</f>
        <v/>
      </c>
      <c r="O114" s="38" t="str">
        <f>IFERROR('2.vize'!Z13*100/'2.vize'!$I13,"")</f>
        <v/>
      </c>
      <c r="P114" s="38" t="str">
        <f>IFERROR('2.vize'!AA13*100/'2.vize'!$I13,"")</f>
        <v/>
      </c>
      <c r="Q114" s="38" t="str">
        <f>IFERROR('2.vize'!AB13*100/'2.vize'!$I13,"")</f>
        <v/>
      </c>
      <c r="R114" s="38" t="str">
        <f>IFERROR('2.vize'!AC13*100/'2.vize'!$I13,"")</f>
        <v/>
      </c>
      <c r="S114" s="38" t="str">
        <f>IFERROR('2.vize'!AD13*100/'2.vize'!$I13,"")</f>
        <v/>
      </c>
      <c r="T114" s="38" t="str">
        <f>IFERROR('2.vize'!AE13*100/'2.vize'!$I13,"")</f>
        <v/>
      </c>
      <c r="U114" s="38" t="str">
        <f>IFERROR('2.vize'!AF13*100/'2.vize'!$I13,"")</f>
        <v/>
      </c>
      <c r="V114" s="38" t="str">
        <f>IFERROR('2.vize'!AG13*100/'2.vize'!$I13,"")</f>
        <v/>
      </c>
      <c r="W114" s="38" t="str">
        <f>IFERROR('2.vize'!AH13*100/'2.vize'!$I13,"")</f>
        <v/>
      </c>
      <c r="X114" s="38" t="str">
        <f>IFERROR('2.vize'!AI13*100/'2.vize'!$I13,"")</f>
        <v/>
      </c>
      <c r="Y114" s="38" t="str">
        <f>IFERROR('2.vize'!AJ13*100/'2.vize'!$I13,"")</f>
        <v/>
      </c>
      <c r="Z114" s="38" t="str">
        <f>IFERROR('2.vize'!AK13*100/'2.vize'!$I13,"")</f>
        <v/>
      </c>
      <c r="AA114" s="38" t="str">
        <f>IFERROR('2.vize'!AL13*100/'2.vize'!$I13,"")</f>
        <v/>
      </c>
      <c r="AB114" s="38" t="str">
        <f>IFERROR('2.vize'!AM13*100/'2.vize'!$I13,"")</f>
        <v/>
      </c>
      <c r="AC114" s="38" t="str">
        <f>IFERROR('2.vize'!AN13*100/'2.vize'!$I13,"")</f>
        <v/>
      </c>
      <c r="AD114" s="38" t="str">
        <f>IFERROR('2.vize'!AO13*100/'2.vize'!$I13,"")</f>
        <v/>
      </c>
      <c r="AE114" s="38" t="str">
        <f>IFERROR('2.vize'!AP13*100/'2.vize'!$I13,"")</f>
        <v/>
      </c>
      <c r="AF114" s="38" t="str">
        <f>IFERROR('2.vize'!AQ13*100/'2.vize'!$I13,"")</f>
        <v/>
      </c>
      <c r="AG114" s="38" t="str">
        <f>IFERROR('2.vize'!AR13*100/'2.vize'!$I13,"")</f>
        <v/>
      </c>
      <c r="AH114" s="38" t="str">
        <f>IFERROR('2.vize'!AS13*100/'2.vize'!$I13,"")</f>
        <v/>
      </c>
      <c r="AI114" s="38" t="str">
        <f>IFERROR('2.vize'!AT13*100/'2.vize'!$I13,"")</f>
        <v/>
      </c>
      <c r="AJ114" s="38" t="str">
        <f>IFERROR('2.vize'!AU13*100/'2.vize'!$I13,"")</f>
        <v/>
      </c>
      <c r="AK114" s="38" t="str">
        <f>IFERROR('2.vize'!AV13*100/'2.vize'!$I13,"")</f>
        <v/>
      </c>
      <c r="AL114" s="38" t="str">
        <f>IFERROR('2.vize'!AW13*100/'2.vize'!$I13,"")</f>
        <v/>
      </c>
      <c r="AM114" s="38" t="str">
        <f>IFERROR('2.vize'!AX13*100/'2.vize'!$I13,"")</f>
        <v/>
      </c>
      <c r="AN114" s="38" t="str">
        <f>IFERROR('2.vize'!AY13*100/'2.vize'!$I13,"")</f>
        <v/>
      </c>
      <c r="AO114" s="38" t="str">
        <f>IFERROR('2.vize'!AZ13*100/'2.vize'!$I13,"")</f>
        <v/>
      </c>
      <c r="AP114" s="38" t="str">
        <f>IFERROR('2.vize'!BA13*100/'2.vize'!$I13,"")</f>
        <v/>
      </c>
      <c r="AQ114" s="38" t="str">
        <f>IFERROR('2.vize'!BB13*100/'2.vize'!$I13,"")</f>
        <v/>
      </c>
      <c r="AR114" s="38" t="str">
        <f>IFERROR('2.vize'!BC13*100/'2.vize'!$I13,"")</f>
        <v/>
      </c>
      <c r="AS114" s="38" t="str">
        <f>IFERROR('2.vize'!BD13*100/'2.vize'!$I13,"")</f>
        <v/>
      </c>
      <c r="AT114" s="38" t="str">
        <f>IFERROR('2.vize'!BE13*100/'2.vize'!$I13,"")</f>
        <v/>
      </c>
      <c r="AU114" s="38" t="str">
        <f>IFERROR('2.vize'!BF13*100/'2.vize'!$I13,"")</f>
        <v/>
      </c>
      <c r="AV114" s="38" t="str">
        <f>IFERROR('2.vize'!BG13*100/'2.vize'!$I13,"")</f>
        <v/>
      </c>
      <c r="AW114" s="38" t="str">
        <f>IFERROR('2.vize'!BH13*100/'2.vize'!$I13,"")</f>
        <v/>
      </c>
      <c r="AX114" s="38" t="str">
        <f>IFERROR('2.vize'!BI13*100/'2.vize'!$I13,"")</f>
        <v/>
      </c>
      <c r="AY114" s="38" t="str">
        <f>IFERROR('2.vize'!BJ13*100/'2.vize'!$I13,"")</f>
        <v/>
      </c>
      <c r="AZ114" s="38" t="str">
        <f>IFERROR('2.vize'!BK13*100/'2.vize'!$I13,"")</f>
        <v/>
      </c>
      <c r="BA114" s="38" t="str">
        <f>IFERROR('2.vize'!BL13*100/'2.vize'!$I13,"")</f>
        <v/>
      </c>
      <c r="BB114" s="38" t="str">
        <f>IFERROR('2.vize'!BM13*100/'2.vize'!$I13,"")</f>
        <v/>
      </c>
      <c r="BC114" s="38" t="str">
        <f>IFERROR('2.vize'!BN13*100/'2.vize'!$I13,"")</f>
        <v/>
      </c>
      <c r="BD114" s="38" t="str">
        <f>IFERROR('2.vize'!BO13*100/'2.vize'!$I13,"")</f>
        <v/>
      </c>
      <c r="BE114" s="38" t="str">
        <f>IFERROR('2.vize'!BP13*100/'2.vize'!$I13,"")</f>
        <v/>
      </c>
      <c r="BF114" s="38" t="str">
        <f>IFERROR('2.vize'!BQ13*100/'2.vize'!$I13,"")</f>
        <v/>
      </c>
      <c r="BG114" s="38" t="str">
        <f>IFERROR('2.vize'!BR13*100/'2.vize'!$I13,"")</f>
        <v/>
      </c>
      <c r="BH114" s="38" t="str">
        <f>IFERROR('2.vize'!BS13*100/'2.vize'!$I13,"")</f>
        <v/>
      </c>
      <c r="BI114" s="38" t="str">
        <f>IFERROR('2.vize'!BT13*100/'2.vize'!$I13,"")</f>
        <v/>
      </c>
      <c r="BJ114" s="38" t="str">
        <f>IFERROR('2.vize'!BU13*100/'2.vize'!$I13,"")</f>
        <v/>
      </c>
      <c r="BK114" s="38" t="str">
        <f>IFERROR('2.vize'!BV13*100/'2.vize'!$I13,"")</f>
        <v/>
      </c>
      <c r="BL114" s="38" t="str">
        <f>IFERROR('2.vize'!BW13*100/'2.vize'!$I13,"")</f>
        <v/>
      </c>
      <c r="BM114" s="38" t="str">
        <f>IFERROR('2.vize'!BX13*100/'2.vize'!$I13,"")</f>
        <v/>
      </c>
      <c r="BN114" s="38" t="str">
        <f>IFERROR('2.vize'!BY13*100/'2.vize'!$I13,"")</f>
        <v/>
      </c>
      <c r="BO114" s="38" t="str">
        <f>IFERROR('2.vize'!BZ13*100/'2.vize'!$I13,"")</f>
        <v/>
      </c>
      <c r="BP114" s="38" t="str">
        <f>IFERROR('2.vize'!CA13*100/'2.vize'!$I13,"")</f>
        <v/>
      </c>
      <c r="BQ114" s="38" t="str">
        <f>IFERROR('2.vize'!CB13*100/'2.vize'!$I13,"")</f>
        <v/>
      </c>
      <c r="BR114" s="38" t="str">
        <f>IFERROR('2.vize'!CC13*100/'2.vize'!$I13,"")</f>
        <v/>
      </c>
      <c r="BS114" s="38" t="str">
        <f>IFERROR('2.vize'!CD13*100/'2.vize'!$I13,"")</f>
        <v/>
      </c>
      <c r="BT114" s="38" t="str">
        <f>IFERROR('2.vize'!CE13*100/'2.vize'!$I13,"")</f>
        <v/>
      </c>
      <c r="BU114" s="38" t="str">
        <f>IFERROR('2.vize'!CF13*100/'2.vize'!$I13,"")</f>
        <v/>
      </c>
      <c r="BV114" s="38" t="str">
        <f>IFERROR('2.vize'!CG13*100/'2.vize'!$I13,"")</f>
        <v/>
      </c>
      <c r="BW114" s="38" t="str">
        <f>IFERROR('2.vize'!CH13*100/'2.vize'!$I13,"")</f>
        <v/>
      </c>
      <c r="BX114" s="38" t="str">
        <f>IFERROR('2.vize'!CI13*100/'2.vize'!$I13,"")</f>
        <v/>
      </c>
      <c r="BY114" s="38" t="str">
        <f>IFERROR('2.vize'!CJ13*100/'2.vize'!$I13,"")</f>
        <v/>
      </c>
      <c r="BZ114" s="38" t="str">
        <f>IFERROR('2.vize'!CK13*100/'2.vize'!$I13,"")</f>
        <v/>
      </c>
      <c r="CA114" s="38" t="str">
        <f>IFERROR('2.vize'!CL13*100/'2.vize'!$I13,"")</f>
        <v/>
      </c>
      <c r="CB114" s="38" t="str">
        <f>IFERROR('2.vize'!CM13*100/'2.vize'!$I13,"")</f>
        <v/>
      </c>
      <c r="CC114" s="38" t="str">
        <f>IFERROR('2.vize'!CN13*100/'2.vize'!$I13,"")</f>
        <v/>
      </c>
      <c r="CD114" s="38" t="str">
        <f>IFERROR('2.vize'!CO13*100/'2.vize'!$I13,"")</f>
        <v/>
      </c>
      <c r="CE114" s="38" t="str">
        <f>IFERROR('2.vize'!CP13*100/'2.vize'!$I13,"")</f>
        <v/>
      </c>
      <c r="CF114" s="38" t="str">
        <f>IFERROR('2.vize'!CQ13*100/'2.vize'!$I13,"")</f>
        <v/>
      </c>
      <c r="CG114" s="38" t="str">
        <f>IFERROR('2.vize'!CR13*100/'2.vize'!$I13,"")</f>
        <v/>
      </c>
      <c r="CH114" s="38" t="str">
        <f>IFERROR('2.vize'!CS13*100/'2.vize'!$I13,"")</f>
        <v/>
      </c>
      <c r="CI114" s="38" t="str">
        <f>IFERROR('2.vize'!CT13*100/'2.vize'!$I13,"")</f>
        <v/>
      </c>
      <c r="CJ114" s="38" t="str">
        <f>IFERROR('2.vize'!CU13*100/'2.vize'!$I13,"")</f>
        <v/>
      </c>
      <c r="CK114" s="38" t="str">
        <f>IFERROR('2.vize'!CV13*100/'2.vize'!$I13,"")</f>
        <v/>
      </c>
      <c r="CL114" s="38" t="str">
        <f>IFERROR('2.vize'!CW13*100/'2.vize'!$I13,"")</f>
        <v/>
      </c>
      <c r="CM114" s="38" t="str">
        <f>IFERROR('2.vize'!CX13*100/'2.vize'!$I13,"")</f>
        <v/>
      </c>
      <c r="CN114" s="38" t="str">
        <f>IFERROR('2.vize'!CY13*100/'2.vize'!$I13,"")</f>
        <v/>
      </c>
      <c r="CO114" s="38" t="str">
        <f>IFERROR('2.vize'!CZ13*100/'2.vize'!$I13,"")</f>
        <v/>
      </c>
      <c r="CP114" s="38" t="str">
        <f>IFERROR('2.vize'!DA13*100/'2.vize'!$I13,"")</f>
        <v/>
      </c>
      <c r="CQ114" s="38" t="str">
        <f>IFERROR('2.vize'!DB13*100/'2.vize'!$I13,"")</f>
        <v/>
      </c>
      <c r="CR114" s="38" t="str">
        <f>IFERROR('2.vize'!DC13*100/'2.vize'!$I13,"")</f>
        <v/>
      </c>
      <c r="CS114" s="38" t="str">
        <f>IFERROR('2.vize'!DD13*100/'2.vize'!$I13,"")</f>
        <v/>
      </c>
      <c r="CT114" s="38" t="str">
        <f>IFERROR('2.vize'!DE13*100/'2.vize'!$I13,"")</f>
        <v/>
      </c>
      <c r="CU114" s="38" t="str">
        <f>IFERROR('2.vize'!DF13*100/'2.vize'!$I13,"")</f>
        <v/>
      </c>
      <c r="CV114" s="38" t="str">
        <f>IFERROR('2.vize'!DG13*100/'2.vize'!$I13,"")</f>
        <v/>
      </c>
      <c r="CW114" s="32" t="str">
        <f>IFERROR(SUM(A114:CV114)/'2.vize'!$DH$103,"")</f>
        <v/>
      </c>
      <c r="CX114" s="14" t="str">
        <f>IF(COUNTA('2.vize'!A13),'2.vize'!A13,"")</f>
        <v/>
      </c>
      <c r="CY114" s="14" t="str">
        <f>IF(COUNTA('2.vize'!B13),'2.vize'!B13,"")</f>
        <v/>
      </c>
      <c r="CZ114" s="14" t="str">
        <f>IF(COUNTA('2.vize'!C13),'2.vize'!C13,"")</f>
        <v/>
      </c>
      <c r="DA114" s="14" t="str">
        <f>IF(COUNTA('2.vize'!D13),'2.vize'!D13,"")</f>
        <v/>
      </c>
      <c r="DB114" s="14" t="str">
        <f>IF(COUNTA('2.vize'!E13),'2.vize'!E13,"")</f>
        <v/>
      </c>
      <c r="DC114" s="14" t="str">
        <f>IF(COUNTA('2.vize'!F13),'2.vize'!F13,"")</f>
        <v/>
      </c>
      <c r="DD114" s="14" t="str">
        <f>IF(COUNTA('2.vize'!G13),'2.vize'!G13,"")</f>
        <v/>
      </c>
      <c r="DE114" s="14" t="str">
        <f>IF(COUNTA('2.vize'!H13),'2.vize'!H13,"")</f>
        <v/>
      </c>
    </row>
    <row r="115" spans="1:109" x14ac:dyDescent="0.2">
      <c r="A115" s="38" t="str">
        <f>IFERROR('2.vize'!L14*100/'2.vize'!$I14,"")</f>
        <v/>
      </c>
      <c r="B115" s="38" t="str">
        <f>IFERROR('2.vize'!M14*100/'2.vize'!$I14,"")</f>
        <v/>
      </c>
      <c r="C115" s="38" t="str">
        <f>IFERROR('2.vize'!N14*100/'2.vize'!$I14,"")</f>
        <v/>
      </c>
      <c r="D115" s="38" t="str">
        <f>IFERROR('2.vize'!O14*100/'2.vize'!$I14,"")</f>
        <v/>
      </c>
      <c r="E115" s="38" t="str">
        <f>IFERROR('2.vize'!P14*100/'2.vize'!$I14,"")</f>
        <v/>
      </c>
      <c r="F115" s="38" t="str">
        <f>IFERROR('2.vize'!Q14*100/'2.vize'!$I14,"")</f>
        <v/>
      </c>
      <c r="G115" s="38" t="str">
        <f>IFERROR('2.vize'!R14*100/'2.vize'!$I14,"")</f>
        <v/>
      </c>
      <c r="H115" s="38" t="str">
        <f>IFERROR('2.vize'!S14*100/'2.vize'!$I14,"")</f>
        <v/>
      </c>
      <c r="I115" s="38" t="str">
        <f>IFERROR('2.vize'!T14*100/'2.vize'!$I14,"")</f>
        <v/>
      </c>
      <c r="J115" s="38" t="str">
        <f>IFERROR('2.vize'!U14*100/'2.vize'!$I14,"")</f>
        <v/>
      </c>
      <c r="K115" s="38" t="str">
        <f>IFERROR('2.vize'!V14*100/'2.vize'!$I14,"")</f>
        <v/>
      </c>
      <c r="L115" s="38" t="str">
        <f>IFERROR('2.vize'!W14*100/'2.vize'!$I14,"")</f>
        <v/>
      </c>
      <c r="M115" s="38" t="str">
        <f>IFERROR('2.vize'!X14*100/'2.vize'!$I14,"")</f>
        <v/>
      </c>
      <c r="N115" s="38" t="str">
        <f>IFERROR('2.vize'!Y14*100/'2.vize'!$I14,"")</f>
        <v/>
      </c>
      <c r="O115" s="38" t="str">
        <f>IFERROR('2.vize'!Z14*100/'2.vize'!$I14,"")</f>
        <v/>
      </c>
      <c r="P115" s="38" t="str">
        <f>IFERROR('2.vize'!AA14*100/'2.vize'!$I14,"")</f>
        <v/>
      </c>
      <c r="Q115" s="38" t="str">
        <f>IFERROR('2.vize'!AB14*100/'2.vize'!$I14,"")</f>
        <v/>
      </c>
      <c r="R115" s="38" t="str">
        <f>IFERROR('2.vize'!AC14*100/'2.vize'!$I14,"")</f>
        <v/>
      </c>
      <c r="S115" s="38" t="str">
        <f>IFERROR('2.vize'!AD14*100/'2.vize'!$I14,"")</f>
        <v/>
      </c>
      <c r="T115" s="38" t="str">
        <f>IFERROR('2.vize'!AE14*100/'2.vize'!$I14,"")</f>
        <v/>
      </c>
      <c r="U115" s="38" t="str">
        <f>IFERROR('2.vize'!AF14*100/'2.vize'!$I14,"")</f>
        <v/>
      </c>
      <c r="V115" s="38" t="str">
        <f>IFERROR('2.vize'!AG14*100/'2.vize'!$I14,"")</f>
        <v/>
      </c>
      <c r="W115" s="38" t="str">
        <f>IFERROR('2.vize'!AH14*100/'2.vize'!$I14,"")</f>
        <v/>
      </c>
      <c r="X115" s="38" t="str">
        <f>IFERROR('2.vize'!AI14*100/'2.vize'!$I14,"")</f>
        <v/>
      </c>
      <c r="Y115" s="38" t="str">
        <f>IFERROR('2.vize'!AJ14*100/'2.vize'!$I14,"")</f>
        <v/>
      </c>
      <c r="Z115" s="38" t="str">
        <f>IFERROR('2.vize'!AK14*100/'2.vize'!$I14,"")</f>
        <v/>
      </c>
      <c r="AA115" s="38" t="str">
        <f>IFERROR('2.vize'!AL14*100/'2.vize'!$I14,"")</f>
        <v/>
      </c>
      <c r="AB115" s="38" t="str">
        <f>IFERROR('2.vize'!AM14*100/'2.vize'!$I14,"")</f>
        <v/>
      </c>
      <c r="AC115" s="38" t="str">
        <f>IFERROR('2.vize'!AN14*100/'2.vize'!$I14,"")</f>
        <v/>
      </c>
      <c r="AD115" s="38" t="str">
        <f>IFERROR('2.vize'!AO14*100/'2.vize'!$I14,"")</f>
        <v/>
      </c>
      <c r="AE115" s="38" t="str">
        <f>IFERROR('2.vize'!AP14*100/'2.vize'!$I14,"")</f>
        <v/>
      </c>
      <c r="AF115" s="38" t="str">
        <f>IFERROR('2.vize'!AQ14*100/'2.vize'!$I14,"")</f>
        <v/>
      </c>
      <c r="AG115" s="38" t="str">
        <f>IFERROR('2.vize'!AR14*100/'2.vize'!$I14,"")</f>
        <v/>
      </c>
      <c r="AH115" s="38" t="str">
        <f>IFERROR('2.vize'!AS14*100/'2.vize'!$I14,"")</f>
        <v/>
      </c>
      <c r="AI115" s="38" t="str">
        <f>IFERROR('2.vize'!AT14*100/'2.vize'!$I14,"")</f>
        <v/>
      </c>
      <c r="AJ115" s="38" t="str">
        <f>IFERROR('2.vize'!AU14*100/'2.vize'!$I14,"")</f>
        <v/>
      </c>
      <c r="AK115" s="38" t="str">
        <f>IFERROR('2.vize'!AV14*100/'2.vize'!$I14,"")</f>
        <v/>
      </c>
      <c r="AL115" s="38" t="str">
        <f>IFERROR('2.vize'!AW14*100/'2.vize'!$I14,"")</f>
        <v/>
      </c>
      <c r="AM115" s="38" t="str">
        <f>IFERROR('2.vize'!AX14*100/'2.vize'!$I14,"")</f>
        <v/>
      </c>
      <c r="AN115" s="38" t="str">
        <f>IFERROR('2.vize'!AY14*100/'2.vize'!$I14,"")</f>
        <v/>
      </c>
      <c r="AO115" s="38" t="str">
        <f>IFERROR('2.vize'!AZ14*100/'2.vize'!$I14,"")</f>
        <v/>
      </c>
      <c r="AP115" s="38" t="str">
        <f>IFERROR('2.vize'!BA14*100/'2.vize'!$I14,"")</f>
        <v/>
      </c>
      <c r="AQ115" s="38" t="str">
        <f>IFERROR('2.vize'!BB14*100/'2.vize'!$I14,"")</f>
        <v/>
      </c>
      <c r="AR115" s="38" t="str">
        <f>IFERROR('2.vize'!BC14*100/'2.vize'!$I14,"")</f>
        <v/>
      </c>
      <c r="AS115" s="38" t="str">
        <f>IFERROR('2.vize'!BD14*100/'2.vize'!$I14,"")</f>
        <v/>
      </c>
      <c r="AT115" s="38" t="str">
        <f>IFERROR('2.vize'!BE14*100/'2.vize'!$I14,"")</f>
        <v/>
      </c>
      <c r="AU115" s="38" t="str">
        <f>IFERROR('2.vize'!BF14*100/'2.vize'!$I14,"")</f>
        <v/>
      </c>
      <c r="AV115" s="38" t="str">
        <f>IFERROR('2.vize'!BG14*100/'2.vize'!$I14,"")</f>
        <v/>
      </c>
      <c r="AW115" s="38" t="str">
        <f>IFERROR('2.vize'!BH14*100/'2.vize'!$I14,"")</f>
        <v/>
      </c>
      <c r="AX115" s="38" t="str">
        <f>IFERROR('2.vize'!BI14*100/'2.vize'!$I14,"")</f>
        <v/>
      </c>
      <c r="AY115" s="38" t="str">
        <f>IFERROR('2.vize'!BJ14*100/'2.vize'!$I14,"")</f>
        <v/>
      </c>
      <c r="AZ115" s="38" t="str">
        <f>IFERROR('2.vize'!BK14*100/'2.vize'!$I14,"")</f>
        <v/>
      </c>
      <c r="BA115" s="38" t="str">
        <f>IFERROR('2.vize'!BL14*100/'2.vize'!$I14,"")</f>
        <v/>
      </c>
      <c r="BB115" s="38" t="str">
        <f>IFERROR('2.vize'!BM14*100/'2.vize'!$I14,"")</f>
        <v/>
      </c>
      <c r="BC115" s="38" t="str">
        <f>IFERROR('2.vize'!BN14*100/'2.vize'!$I14,"")</f>
        <v/>
      </c>
      <c r="BD115" s="38" t="str">
        <f>IFERROR('2.vize'!BO14*100/'2.vize'!$I14,"")</f>
        <v/>
      </c>
      <c r="BE115" s="38" t="str">
        <f>IFERROR('2.vize'!BP14*100/'2.vize'!$I14,"")</f>
        <v/>
      </c>
      <c r="BF115" s="38" t="str">
        <f>IFERROR('2.vize'!BQ14*100/'2.vize'!$I14,"")</f>
        <v/>
      </c>
      <c r="BG115" s="38" t="str">
        <f>IFERROR('2.vize'!BR14*100/'2.vize'!$I14,"")</f>
        <v/>
      </c>
      <c r="BH115" s="38" t="str">
        <f>IFERROR('2.vize'!BS14*100/'2.vize'!$I14,"")</f>
        <v/>
      </c>
      <c r="BI115" s="38" t="str">
        <f>IFERROR('2.vize'!BT14*100/'2.vize'!$I14,"")</f>
        <v/>
      </c>
      <c r="BJ115" s="38" t="str">
        <f>IFERROR('2.vize'!BU14*100/'2.vize'!$I14,"")</f>
        <v/>
      </c>
      <c r="BK115" s="38" t="str">
        <f>IFERROR('2.vize'!BV14*100/'2.vize'!$I14,"")</f>
        <v/>
      </c>
      <c r="BL115" s="38" t="str">
        <f>IFERROR('2.vize'!BW14*100/'2.vize'!$I14,"")</f>
        <v/>
      </c>
      <c r="BM115" s="38" t="str">
        <f>IFERROR('2.vize'!BX14*100/'2.vize'!$I14,"")</f>
        <v/>
      </c>
      <c r="BN115" s="38" t="str">
        <f>IFERROR('2.vize'!BY14*100/'2.vize'!$I14,"")</f>
        <v/>
      </c>
      <c r="BO115" s="38" t="str">
        <f>IFERROR('2.vize'!BZ14*100/'2.vize'!$I14,"")</f>
        <v/>
      </c>
      <c r="BP115" s="38" t="str">
        <f>IFERROR('2.vize'!CA14*100/'2.vize'!$I14,"")</f>
        <v/>
      </c>
      <c r="BQ115" s="38" t="str">
        <f>IFERROR('2.vize'!CB14*100/'2.vize'!$I14,"")</f>
        <v/>
      </c>
      <c r="BR115" s="38" t="str">
        <f>IFERROR('2.vize'!CC14*100/'2.vize'!$I14,"")</f>
        <v/>
      </c>
      <c r="BS115" s="38" t="str">
        <f>IFERROR('2.vize'!CD14*100/'2.vize'!$I14,"")</f>
        <v/>
      </c>
      <c r="BT115" s="38" t="str">
        <f>IFERROR('2.vize'!CE14*100/'2.vize'!$I14,"")</f>
        <v/>
      </c>
      <c r="BU115" s="38" t="str">
        <f>IFERROR('2.vize'!CF14*100/'2.vize'!$I14,"")</f>
        <v/>
      </c>
      <c r="BV115" s="38" t="str">
        <f>IFERROR('2.vize'!CG14*100/'2.vize'!$I14,"")</f>
        <v/>
      </c>
      <c r="BW115" s="38" t="str">
        <f>IFERROR('2.vize'!CH14*100/'2.vize'!$I14,"")</f>
        <v/>
      </c>
      <c r="BX115" s="38" t="str">
        <f>IFERROR('2.vize'!CI14*100/'2.vize'!$I14,"")</f>
        <v/>
      </c>
      <c r="BY115" s="38" t="str">
        <f>IFERROR('2.vize'!CJ14*100/'2.vize'!$I14,"")</f>
        <v/>
      </c>
      <c r="BZ115" s="38" t="str">
        <f>IFERROR('2.vize'!CK14*100/'2.vize'!$I14,"")</f>
        <v/>
      </c>
      <c r="CA115" s="38" t="str">
        <f>IFERROR('2.vize'!CL14*100/'2.vize'!$I14,"")</f>
        <v/>
      </c>
      <c r="CB115" s="38" t="str">
        <f>IFERROR('2.vize'!CM14*100/'2.vize'!$I14,"")</f>
        <v/>
      </c>
      <c r="CC115" s="38" t="str">
        <f>IFERROR('2.vize'!CN14*100/'2.vize'!$I14,"")</f>
        <v/>
      </c>
      <c r="CD115" s="38" t="str">
        <f>IFERROR('2.vize'!CO14*100/'2.vize'!$I14,"")</f>
        <v/>
      </c>
      <c r="CE115" s="38" t="str">
        <f>IFERROR('2.vize'!CP14*100/'2.vize'!$I14,"")</f>
        <v/>
      </c>
      <c r="CF115" s="38" t="str">
        <f>IFERROR('2.vize'!CQ14*100/'2.vize'!$I14,"")</f>
        <v/>
      </c>
      <c r="CG115" s="38" t="str">
        <f>IFERROR('2.vize'!CR14*100/'2.vize'!$I14,"")</f>
        <v/>
      </c>
      <c r="CH115" s="38" t="str">
        <f>IFERROR('2.vize'!CS14*100/'2.vize'!$I14,"")</f>
        <v/>
      </c>
      <c r="CI115" s="38" t="str">
        <f>IFERROR('2.vize'!CT14*100/'2.vize'!$I14,"")</f>
        <v/>
      </c>
      <c r="CJ115" s="38" t="str">
        <f>IFERROR('2.vize'!CU14*100/'2.vize'!$I14,"")</f>
        <v/>
      </c>
      <c r="CK115" s="38" t="str">
        <f>IFERROR('2.vize'!CV14*100/'2.vize'!$I14,"")</f>
        <v/>
      </c>
      <c r="CL115" s="38" t="str">
        <f>IFERROR('2.vize'!CW14*100/'2.vize'!$I14,"")</f>
        <v/>
      </c>
      <c r="CM115" s="38" t="str">
        <f>IFERROR('2.vize'!CX14*100/'2.vize'!$I14,"")</f>
        <v/>
      </c>
      <c r="CN115" s="38" t="str">
        <f>IFERROR('2.vize'!CY14*100/'2.vize'!$I14,"")</f>
        <v/>
      </c>
      <c r="CO115" s="38" t="str">
        <f>IFERROR('2.vize'!CZ14*100/'2.vize'!$I14,"")</f>
        <v/>
      </c>
      <c r="CP115" s="38" t="str">
        <f>IFERROR('2.vize'!DA14*100/'2.vize'!$I14,"")</f>
        <v/>
      </c>
      <c r="CQ115" s="38" t="str">
        <f>IFERROR('2.vize'!DB14*100/'2.vize'!$I14,"")</f>
        <v/>
      </c>
      <c r="CR115" s="38" t="str">
        <f>IFERROR('2.vize'!DC14*100/'2.vize'!$I14,"")</f>
        <v/>
      </c>
      <c r="CS115" s="38" t="str">
        <f>IFERROR('2.vize'!DD14*100/'2.vize'!$I14,"")</f>
        <v/>
      </c>
      <c r="CT115" s="38" t="str">
        <f>IFERROR('2.vize'!DE14*100/'2.vize'!$I14,"")</f>
        <v/>
      </c>
      <c r="CU115" s="38" t="str">
        <f>IFERROR('2.vize'!DF14*100/'2.vize'!$I14,"")</f>
        <v/>
      </c>
      <c r="CV115" s="38" t="str">
        <f>IFERROR('2.vize'!DG14*100/'2.vize'!$I14,"")</f>
        <v/>
      </c>
      <c r="CW115" s="32" t="str">
        <f>IFERROR(SUM(A115:CV115)/'2.vize'!$DH$103,"")</f>
        <v/>
      </c>
      <c r="CX115" s="14" t="str">
        <f>IF(COUNTA('2.vize'!A14),'2.vize'!A14,"")</f>
        <v/>
      </c>
      <c r="CY115" s="14" t="str">
        <f>IF(COUNTA('2.vize'!B14),'2.vize'!B14,"")</f>
        <v/>
      </c>
      <c r="CZ115" s="14" t="str">
        <f>IF(COUNTA('2.vize'!C14),'2.vize'!C14,"")</f>
        <v/>
      </c>
      <c r="DA115" s="14" t="str">
        <f>IF(COUNTA('2.vize'!D14),'2.vize'!D14,"")</f>
        <v/>
      </c>
      <c r="DB115" s="14" t="str">
        <f>IF(COUNTA('2.vize'!E14),'2.vize'!E14,"")</f>
        <v/>
      </c>
      <c r="DC115" s="14" t="str">
        <f>IF(COUNTA('2.vize'!F14),'2.vize'!F14,"")</f>
        <v/>
      </c>
      <c r="DD115" s="14" t="str">
        <f>IF(COUNTA('2.vize'!G14),'2.vize'!G14,"")</f>
        <v/>
      </c>
      <c r="DE115" s="14" t="str">
        <f>IF(COUNTA('2.vize'!H14),'2.vize'!H14,"")</f>
        <v/>
      </c>
    </row>
    <row r="116" spans="1:109" x14ac:dyDescent="0.2">
      <c r="A116" s="38" t="str">
        <f>IFERROR('2.vize'!L15*100/'2.vize'!$I15,"")</f>
        <v/>
      </c>
      <c r="B116" s="38" t="str">
        <f>IFERROR('2.vize'!M15*100/'2.vize'!$I15,"")</f>
        <v/>
      </c>
      <c r="C116" s="38" t="str">
        <f>IFERROR('2.vize'!N15*100/'2.vize'!$I15,"")</f>
        <v/>
      </c>
      <c r="D116" s="38" t="str">
        <f>IFERROR('2.vize'!O15*100/'2.vize'!$I15,"")</f>
        <v/>
      </c>
      <c r="E116" s="38" t="str">
        <f>IFERROR('2.vize'!P15*100/'2.vize'!$I15,"")</f>
        <v/>
      </c>
      <c r="F116" s="38" t="str">
        <f>IFERROR('2.vize'!Q15*100/'2.vize'!$I15,"")</f>
        <v/>
      </c>
      <c r="G116" s="38" t="str">
        <f>IFERROR('2.vize'!R15*100/'2.vize'!$I15,"")</f>
        <v/>
      </c>
      <c r="H116" s="38" t="str">
        <f>IFERROR('2.vize'!S15*100/'2.vize'!$I15,"")</f>
        <v/>
      </c>
      <c r="I116" s="38" t="str">
        <f>IFERROR('2.vize'!T15*100/'2.vize'!$I15,"")</f>
        <v/>
      </c>
      <c r="J116" s="38" t="str">
        <f>IFERROR('2.vize'!U15*100/'2.vize'!$I15,"")</f>
        <v/>
      </c>
      <c r="K116" s="38" t="str">
        <f>IFERROR('2.vize'!V15*100/'2.vize'!$I15,"")</f>
        <v/>
      </c>
      <c r="L116" s="38" t="str">
        <f>IFERROR('2.vize'!W15*100/'2.vize'!$I15,"")</f>
        <v/>
      </c>
      <c r="M116" s="38" t="str">
        <f>IFERROR('2.vize'!X15*100/'2.vize'!$I15,"")</f>
        <v/>
      </c>
      <c r="N116" s="38" t="str">
        <f>IFERROR('2.vize'!Y15*100/'2.vize'!$I15,"")</f>
        <v/>
      </c>
      <c r="O116" s="38" t="str">
        <f>IFERROR('2.vize'!Z15*100/'2.vize'!$I15,"")</f>
        <v/>
      </c>
      <c r="P116" s="38" t="str">
        <f>IFERROR('2.vize'!AA15*100/'2.vize'!$I15,"")</f>
        <v/>
      </c>
      <c r="Q116" s="38" t="str">
        <f>IFERROR('2.vize'!AB15*100/'2.vize'!$I15,"")</f>
        <v/>
      </c>
      <c r="R116" s="38" t="str">
        <f>IFERROR('2.vize'!AC15*100/'2.vize'!$I15,"")</f>
        <v/>
      </c>
      <c r="S116" s="38" t="str">
        <f>IFERROR('2.vize'!AD15*100/'2.vize'!$I15,"")</f>
        <v/>
      </c>
      <c r="T116" s="38" t="str">
        <f>IFERROR('2.vize'!AE15*100/'2.vize'!$I15,"")</f>
        <v/>
      </c>
      <c r="U116" s="38" t="str">
        <f>IFERROR('2.vize'!AF15*100/'2.vize'!$I15,"")</f>
        <v/>
      </c>
      <c r="V116" s="38" t="str">
        <f>IFERROR('2.vize'!AG15*100/'2.vize'!$I15,"")</f>
        <v/>
      </c>
      <c r="W116" s="38" t="str">
        <f>IFERROR('2.vize'!AH15*100/'2.vize'!$I15,"")</f>
        <v/>
      </c>
      <c r="X116" s="38" t="str">
        <f>IFERROR('2.vize'!AI15*100/'2.vize'!$I15,"")</f>
        <v/>
      </c>
      <c r="Y116" s="38" t="str">
        <f>IFERROR('2.vize'!AJ15*100/'2.vize'!$I15,"")</f>
        <v/>
      </c>
      <c r="Z116" s="38" t="str">
        <f>IFERROR('2.vize'!AK15*100/'2.vize'!$I15,"")</f>
        <v/>
      </c>
      <c r="AA116" s="38" t="str">
        <f>IFERROR('2.vize'!AL15*100/'2.vize'!$I15,"")</f>
        <v/>
      </c>
      <c r="AB116" s="38" t="str">
        <f>IFERROR('2.vize'!AM15*100/'2.vize'!$I15,"")</f>
        <v/>
      </c>
      <c r="AC116" s="38" t="str">
        <f>IFERROR('2.vize'!AN15*100/'2.vize'!$I15,"")</f>
        <v/>
      </c>
      <c r="AD116" s="38" t="str">
        <f>IFERROR('2.vize'!AO15*100/'2.vize'!$I15,"")</f>
        <v/>
      </c>
      <c r="AE116" s="38" t="str">
        <f>IFERROR('2.vize'!AP15*100/'2.vize'!$I15,"")</f>
        <v/>
      </c>
      <c r="AF116" s="38" t="str">
        <f>IFERROR('2.vize'!AQ15*100/'2.vize'!$I15,"")</f>
        <v/>
      </c>
      <c r="AG116" s="38" t="str">
        <f>IFERROR('2.vize'!AR15*100/'2.vize'!$I15,"")</f>
        <v/>
      </c>
      <c r="AH116" s="38" t="str">
        <f>IFERROR('2.vize'!AS15*100/'2.vize'!$I15,"")</f>
        <v/>
      </c>
      <c r="AI116" s="38" t="str">
        <f>IFERROR('2.vize'!AT15*100/'2.vize'!$I15,"")</f>
        <v/>
      </c>
      <c r="AJ116" s="38" t="str">
        <f>IFERROR('2.vize'!AU15*100/'2.vize'!$I15,"")</f>
        <v/>
      </c>
      <c r="AK116" s="38" t="str">
        <f>IFERROR('2.vize'!AV15*100/'2.vize'!$I15,"")</f>
        <v/>
      </c>
      <c r="AL116" s="38" t="str">
        <f>IFERROR('2.vize'!AW15*100/'2.vize'!$I15,"")</f>
        <v/>
      </c>
      <c r="AM116" s="38" t="str">
        <f>IFERROR('2.vize'!AX15*100/'2.vize'!$I15,"")</f>
        <v/>
      </c>
      <c r="AN116" s="38" t="str">
        <f>IFERROR('2.vize'!AY15*100/'2.vize'!$I15,"")</f>
        <v/>
      </c>
      <c r="AO116" s="38" t="str">
        <f>IFERROR('2.vize'!AZ15*100/'2.vize'!$I15,"")</f>
        <v/>
      </c>
      <c r="AP116" s="38" t="str">
        <f>IFERROR('2.vize'!BA15*100/'2.vize'!$I15,"")</f>
        <v/>
      </c>
      <c r="AQ116" s="38" t="str">
        <f>IFERROR('2.vize'!BB15*100/'2.vize'!$I15,"")</f>
        <v/>
      </c>
      <c r="AR116" s="38" t="str">
        <f>IFERROR('2.vize'!BC15*100/'2.vize'!$I15,"")</f>
        <v/>
      </c>
      <c r="AS116" s="38" t="str">
        <f>IFERROR('2.vize'!BD15*100/'2.vize'!$I15,"")</f>
        <v/>
      </c>
      <c r="AT116" s="38" t="str">
        <f>IFERROR('2.vize'!BE15*100/'2.vize'!$I15,"")</f>
        <v/>
      </c>
      <c r="AU116" s="38" t="str">
        <f>IFERROR('2.vize'!BF15*100/'2.vize'!$I15,"")</f>
        <v/>
      </c>
      <c r="AV116" s="38" t="str">
        <f>IFERROR('2.vize'!BG15*100/'2.vize'!$I15,"")</f>
        <v/>
      </c>
      <c r="AW116" s="38" t="str">
        <f>IFERROR('2.vize'!BH15*100/'2.vize'!$I15,"")</f>
        <v/>
      </c>
      <c r="AX116" s="38" t="str">
        <f>IFERROR('2.vize'!BI15*100/'2.vize'!$I15,"")</f>
        <v/>
      </c>
      <c r="AY116" s="38" t="str">
        <f>IFERROR('2.vize'!BJ15*100/'2.vize'!$I15,"")</f>
        <v/>
      </c>
      <c r="AZ116" s="38" t="str">
        <f>IFERROR('2.vize'!BK15*100/'2.vize'!$I15,"")</f>
        <v/>
      </c>
      <c r="BA116" s="38" t="str">
        <f>IFERROR('2.vize'!BL15*100/'2.vize'!$I15,"")</f>
        <v/>
      </c>
      <c r="BB116" s="38" t="str">
        <f>IFERROR('2.vize'!BM15*100/'2.vize'!$I15,"")</f>
        <v/>
      </c>
      <c r="BC116" s="38" t="str">
        <f>IFERROR('2.vize'!BN15*100/'2.vize'!$I15,"")</f>
        <v/>
      </c>
      <c r="BD116" s="38" t="str">
        <f>IFERROR('2.vize'!BO15*100/'2.vize'!$I15,"")</f>
        <v/>
      </c>
      <c r="BE116" s="38" t="str">
        <f>IFERROR('2.vize'!BP15*100/'2.vize'!$I15,"")</f>
        <v/>
      </c>
      <c r="BF116" s="38" t="str">
        <f>IFERROR('2.vize'!BQ15*100/'2.vize'!$I15,"")</f>
        <v/>
      </c>
      <c r="BG116" s="38" t="str">
        <f>IFERROR('2.vize'!BR15*100/'2.vize'!$I15,"")</f>
        <v/>
      </c>
      <c r="BH116" s="38" t="str">
        <f>IFERROR('2.vize'!BS15*100/'2.vize'!$I15,"")</f>
        <v/>
      </c>
      <c r="BI116" s="38" t="str">
        <f>IFERROR('2.vize'!BT15*100/'2.vize'!$I15,"")</f>
        <v/>
      </c>
      <c r="BJ116" s="38" t="str">
        <f>IFERROR('2.vize'!BU15*100/'2.vize'!$I15,"")</f>
        <v/>
      </c>
      <c r="BK116" s="38" t="str">
        <f>IFERROR('2.vize'!BV15*100/'2.vize'!$I15,"")</f>
        <v/>
      </c>
      <c r="BL116" s="38" t="str">
        <f>IFERROR('2.vize'!BW15*100/'2.vize'!$I15,"")</f>
        <v/>
      </c>
      <c r="BM116" s="38" t="str">
        <f>IFERROR('2.vize'!BX15*100/'2.vize'!$I15,"")</f>
        <v/>
      </c>
      <c r="BN116" s="38" t="str">
        <f>IFERROR('2.vize'!BY15*100/'2.vize'!$I15,"")</f>
        <v/>
      </c>
      <c r="BO116" s="38" t="str">
        <f>IFERROR('2.vize'!BZ15*100/'2.vize'!$I15,"")</f>
        <v/>
      </c>
      <c r="BP116" s="38" t="str">
        <f>IFERROR('2.vize'!CA15*100/'2.vize'!$I15,"")</f>
        <v/>
      </c>
      <c r="BQ116" s="38" t="str">
        <f>IFERROR('2.vize'!CB15*100/'2.vize'!$I15,"")</f>
        <v/>
      </c>
      <c r="BR116" s="38" t="str">
        <f>IFERROR('2.vize'!CC15*100/'2.vize'!$I15,"")</f>
        <v/>
      </c>
      <c r="BS116" s="38" t="str">
        <f>IFERROR('2.vize'!CD15*100/'2.vize'!$I15,"")</f>
        <v/>
      </c>
      <c r="BT116" s="38" t="str">
        <f>IFERROR('2.vize'!CE15*100/'2.vize'!$I15,"")</f>
        <v/>
      </c>
      <c r="BU116" s="38" t="str">
        <f>IFERROR('2.vize'!CF15*100/'2.vize'!$I15,"")</f>
        <v/>
      </c>
      <c r="BV116" s="38" t="str">
        <f>IFERROR('2.vize'!CG15*100/'2.vize'!$I15,"")</f>
        <v/>
      </c>
      <c r="BW116" s="38" t="str">
        <f>IFERROR('2.vize'!CH15*100/'2.vize'!$I15,"")</f>
        <v/>
      </c>
      <c r="BX116" s="38" t="str">
        <f>IFERROR('2.vize'!CI15*100/'2.vize'!$I15,"")</f>
        <v/>
      </c>
      <c r="BY116" s="38" t="str">
        <f>IFERROR('2.vize'!CJ15*100/'2.vize'!$I15,"")</f>
        <v/>
      </c>
      <c r="BZ116" s="38" t="str">
        <f>IFERROR('2.vize'!CK15*100/'2.vize'!$I15,"")</f>
        <v/>
      </c>
      <c r="CA116" s="38" t="str">
        <f>IFERROR('2.vize'!CL15*100/'2.vize'!$I15,"")</f>
        <v/>
      </c>
      <c r="CB116" s="38" t="str">
        <f>IFERROR('2.vize'!CM15*100/'2.vize'!$I15,"")</f>
        <v/>
      </c>
      <c r="CC116" s="38" t="str">
        <f>IFERROR('2.vize'!CN15*100/'2.vize'!$I15,"")</f>
        <v/>
      </c>
      <c r="CD116" s="38" t="str">
        <f>IFERROR('2.vize'!CO15*100/'2.vize'!$I15,"")</f>
        <v/>
      </c>
      <c r="CE116" s="38" t="str">
        <f>IFERROR('2.vize'!CP15*100/'2.vize'!$I15,"")</f>
        <v/>
      </c>
      <c r="CF116" s="38" t="str">
        <f>IFERROR('2.vize'!CQ15*100/'2.vize'!$I15,"")</f>
        <v/>
      </c>
      <c r="CG116" s="38" t="str">
        <f>IFERROR('2.vize'!CR15*100/'2.vize'!$I15,"")</f>
        <v/>
      </c>
      <c r="CH116" s="38" t="str">
        <f>IFERROR('2.vize'!CS15*100/'2.vize'!$I15,"")</f>
        <v/>
      </c>
      <c r="CI116" s="38" t="str">
        <f>IFERROR('2.vize'!CT15*100/'2.vize'!$I15,"")</f>
        <v/>
      </c>
      <c r="CJ116" s="38" t="str">
        <f>IFERROR('2.vize'!CU15*100/'2.vize'!$I15,"")</f>
        <v/>
      </c>
      <c r="CK116" s="38" t="str">
        <f>IFERROR('2.vize'!CV15*100/'2.vize'!$I15,"")</f>
        <v/>
      </c>
      <c r="CL116" s="38" t="str">
        <f>IFERROR('2.vize'!CW15*100/'2.vize'!$I15,"")</f>
        <v/>
      </c>
      <c r="CM116" s="38" t="str">
        <f>IFERROR('2.vize'!CX15*100/'2.vize'!$I15,"")</f>
        <v/>
      </c>
      <c r="CN116" s="38" t="str">
        <f>IFERROR('2.vize'!CY15*100/'2.vize'!$I15,"")</f>
        <v/>
      </c>
      <c r="CO116" s="38" t="str">
        <f>IFERROR('2.vize'!CZ15*100/'2.vize'!$I15,"")</f>
        <v/>
      </c>
      <c r="CP116" s="38" t="str">
        <f>IFERROR('2.vize'!DA15*100/'2.vize'!$I15,"")</f>
        <v/>
      </c>
      <c r="CQ116" s="38" t="str">
        <f>IFERROR('2.vize'!DB15*100/'2.vize'!$I15,"")</f>
        <v/>
      </c>
      <c r="CR116" s="38" t="str">
        <f>IFERROR('2.vize'!DC15*100/'2.vize'!$I15,"")</f>
        <v/>
      </c>
      <c r="CS116" s="38" t="str">
        <f>IFERROR('2.vize'!DD15*100/'2.vize'!$I15,"")</f>
        <v/>
      </c>
      <c r="CT116" s="38" t="str">
        <f>IFERROR('2.vize'!DE15*100/'2.vize'!$I15,"")</f>
        <v/>
      </c>
      <c r="CU116" s="38" t="str">
        <f>IFERROR('2.vize'!DF15*100/'2.vize'!$I15,"")</f>
        <v/>
      </c>
      <c r="CV116" s="38" t="str">
        <f>IFERROR('2.vize'!DG15*100/'2.vize'!$I15,"")</f>
        <v/>
      </c>
      <c r="CW116" s="32" t="str">
        <f>IFERROR(SUM(A116:CV116)/'2.vize'!$DH$103,"")</f>
        <v/>
      </c>
      <c r="CX116" s="14" t="str">
        <f>IF(COUNTA('2.vize'!A15),'2.vize'!A15,"")</f>
        <v/>
      </c>
      <c r="CY116" s="14" t="str">
        <f>IF(COUNTA('2.vize'!B15),'2.vize'!B15,"")</f>
        <v/>
      </c>
      <c r="CZ116" s="14" t="str">
        <f>IF(COUNTA('2.vize'!C15),'2.vize'!C15,"")</f>
        <v/>
      </c>
      <c r="DA116" s="14" t="str">
        <f>IF(COUNTA('2.vize'!D15),'2.vize'!D15,"")</f>
        <v/>
      </c>
      <c r="DB116" s="14" t="str">
        <f>IF(COUNTA('2.vize'!E15),'2.vize'!E15,"")</f>
        <v/>
      </c>
      <c r="DC116" s="14" t="str">
        <f>IF(COUNTA('2.vize'!F15),'2.vize'!F15,"")</f>
        <v/>
      </c>
      <c r="DD116" s="14" t="str">
        <f>IF(COUNTA('2.vize'!G15),'2.vize'!G15,"")</f>
        <v/>
      </c>
      <c r="DE116" s="14" t="str">
        <f>IF(COUNTA('2.vize'!H15),'2.vize'!H15,"")</f>
        <v/>
      </c>
    </row>
    <row r="117" spans="1:109" x14ac:dyDescent="0.2">
      <c r="A117" s="38" t="str">
        <f>IFERROR('2.vize'!L16*100/'2.vize'!$I16,"")</f>
        <v/>
      </c>
      <c r="B117" s="38" t="str">
        <f>IFERROR('2.vize'!M16*100/'2.vize'!$I16,"")</f>
        <v/>
      </c>
      <c r="C117" s="38" t="str">
        <f>IFERROR('2.vize'!N16*100/'2.vize'!$I16,"")</f>
        <v/>
      </c>
      <c r="D117" s="38" t="str">
        <f>IFERROR('2.vize'!O16*100/'2.vize'!$I16,"")</f>
        <v/>
      </c>
      <c r="E117" s="38" t="str">
        <f>IFERROR('2.vize'!P16*100/'2.vize'!$I16,"")</f>
        <v/>
      </c>
      <c r="F117" s="38" t="str">
        <f>IFERROR('2.vize'!Q16*100/'2.vize'!$I16,"")</f>
        <v/>
      </c>
      <c r="G117" s="38" t="str">
        <f>IFERROR('2.vize'!R16*100/'2.vize'!$I16,"")</f>
        <v/>
      </c>
      <c r="H117" s="38" t="str">
        <f>IFERROR('2.vize'!S16*100/'2.vize'!$I16,"")</f>
        <v/>
      </c>
      <c r="I117" s="38" t="str">
        <f>IFERROR('2.vize'!T16*100/'2.vize'!$I16,"")</f>
        <v/>
      </c>
      <c r="J117" s="38" t="str">
        <f>IFERROR('2.vize'!U16*100/'2.vize'!$I16,"")</f>
        <v/>
      </c>
      <c r="K117" s="38" t="str">
        <f>IFERROR('2.vize'!V16*100/'2.vize'!$I16,"")</f>
        <v/>
      </c>
      <c r="L117" s="38" t="str">
        <f>IFERROR('2.vize'!W16*100/'2.vize'!$I16,"")</f>
        <v/>
      </c>
      <c r="M117" s="38" t="str">
        <f>IFERROR('2.vize'!X16*100/'2.vize'!$I16,"")</f>
        <v/>
      </c>
      <c r="N117" s="38" t="str">
        <f>IFERROR('2.vize'!Y16*100/'2.vize'!$I16,"")</f>
        <v/>
      </c>
      <c r="O117" s="38" t="str">
        <f>IFERROR('2.vize'!Z16*100/'2.vize'!$I16,"")</f>
        <v/>
      </c>
      <c r="P117" s="38" t="str">
        <f>IFERROR('2.vize'!AA16*100/'2.vize'!$I16,"")</f>
        <v/>
      </c>
      <c r="Q117" s="38" t="str">
        <f>IFERROR('2.vize'!AB16*100/'2.vize'!$I16,"")</f>
        <v/>
      </c>
      <c r="R117" s="38" t="str">
        <f>IFERROR('2.vize'!AC16*100/'2.vize'!$I16,"")</f>
        <v/>
      </c>
      <c r="S117" s="38" t="str">
        <f>IFERROR('2.vize'!AD16*100/'2.vize'!$I16,"")</f>
        <v/>
      </c>
      <c r="T117" s="38" t="str">
        <f>IFERROR('2.vize'!AE16*100/'2.vize'!$I16,"")</f>
        <v/>
      </c>
      <c r="U117" s="38" t="str">
        <f>IFERROR('2.vize'!AF16*100/'2.vize'!$I16,"")</f>
        <v/>
      </c>
      <c r="V117" s="38" t="str">
        <f>IFERROR('2.vize'!AG16*100/'2.vize'!$I16,"")</f>
        <v/>
      </c>
      <c r="W117" s="38" t="str">
        <f>IFERROR('2.vize'!AH16*100/'2.vize'!$I16,"")</f>
        <v/>
      </c>
      <c r="X117" s="38" t="str">
        <f>IFERROR('2.vize'!AI16*100/'2.vize'!$I16,"")</f>
        <v/>
      </c>
      <c r="Y117" s="38" t="str">
        <f>IFERROR('2.vize'!AJ16*100/'2.vize'!$I16,"")</f>
        <v/>
      </c>
      <c r="Z117" s="38" t="str">
        <f>IFERROR('2.vize'!AK16*100/'2.vize'!$I16,"")</f>
        <v/>
      </c>
      <c r="AA117" s="38" t="str">
        <f>IFERROR('2.vize'!AL16*100/'2.vize'!$I16,"")</f>
        <v/>
      </c>
      <c r="AB117" s="38" t="str">
        <f>IFERROR('2.vize'!AM16*100/'2.vize'!$I16,"")</f>
        <v/>
      </c>
      <c r="AC117" s="38" t="str">
        <f>IFERROR('2.vize'!AN16*100/'2.vize'!$I16,"")</f>
        <v/>
      </c>
      <c r="AD117" s="38" t="str">
        <f>IFERROR('2.vize'!AO16*100/'2.vize'!$I16,"")</f>
        <v/>
      </c>
      <c r="AE117" s="38" t="str">
        <f>IFERROR('2.vize'!AP16*100/'2.vize'!$I16,"")</f>
        <v/>
      </c>
      <c r="AF117" s="38" t="str">
        <f>IFERROR('2.vize'!AQ16*100/'2.vize'!$I16,"")</f>
        <v/>
      </c>
      <c r="AG117" s="38" t="str">
        <f>IFERROR('2.vize'!AR16*100/'2.vize'!$I16,"")</f>
        <v/>
      </c>
      <c r="AH117" s="38" t="str">
        <f>IFERROR('2.vize'!AS16*100/'2.vize'!$I16,"")</f>
        <v/>
      </c>
      <c r="AI117" s="38" t="str">
        <f>IFERROR('2.vize'!AT16*100/'2.vize'!$I16,"")</f>
        <v/>
      </c>
      <c r="AJ117" s="38" t="str">
        <f>IFERROR('2.vize'!AU16*100/'2.vize'!$I16,"")</f>
        <v/>
      </c>
      <c r="AK117" s="38" t="str">
        <f>IFERROR('2.vize'!AV16*100/'2.vize'!$I16,"")</f>
        <v/>
      </c>
      <c r="AL117" s="38" t="str">
        <f>IFERROR('2.vize'!AW16*100/'2.vize'!$I16,"")</f>
        <v/>
      </c>
      <c r="AM117" s="38" t="str">
        <f>IFERROR('2.vize'!AX16*100/'2.vize'!$I16,"")</f>
        <v/>
      </c>
      <c r="AN117" s="38" t="str">
        <f>IFERROR('2.vize'!AY16*100/'2.vize'!$I16,"")</f>
        <v/>
      </c>
      <c r="AO117" s="38" t="str">
        <f>IFERROR('2.vize'!AZ16*100/'2.vize'!$I16,"")</f>
        <v/>
      </c>
      <c r="AP117" s="38" t="str">
        <f>IFERROR('2.vize'!BA16*100/'2.vize'!$I16,"")</f>
        <v/>
      </c>
      <c r="AQ117" s="38" t="str">
        <f>IFERROR('2.vize'!BB16*100/'2.vize'!$I16,"")</f>
        <v/>
      </c>
      <c r="AR117" s="38" t="str">
        <f>IFERROR('2.vize'!BC16*100/'2.vize'!$I16,"")</f>
        <v/>
      </c>
      <c r="AS117" s="38" t="str">
        <f>IFERROR('2.vize'!BD16*100/'2.vize'!$I16,"")</f>
        <v/>
      </c>
      <c r="AT117" s="38" t="str">
        <f>IFERROR('2.vize'!BE16*100/'2.vize'!$I16,"")</f>
        <v/>
      </c>
      <c r="AU117" s="38" t="str">
        <f>IFERROR('2.vize'!BF16*100/'2.vize'!$I16,"")</f>
        <v/>
      </c>
      <c r="AV117" s="38" t="str">
        <f>IFERROR('2.vize'!BG16*100/'2.vize'!$I16,"")</f>
        <v/>
      </c>
      <c r="AW117" s="38" t="str">
        <f>IFERROR('2.vize'!BH16*100/'2.vize'!$I16,"")</f>
        <v/>
      </c>
      <c r="AX117" s="38" t="str">
        <f>IFERROR('2.vize'!BI16*100/'2.vize'!$I16,"")</f>
        <v/>
      </c>
      <c r="AY117" s="38" t="str">
        <f>IFERROR('2.vize'!BJ16*100/'2.vize'!$I16,"")</f>
        <v/>
      </c>
      <c r="AZ117" s="38" t="str">
        <f>IFERROR('2.vize'!BK16*100/'2.vize'!$I16,"")</f>
        <v/>
      </c>
      <c r="BA117" s="38" t="str">
        <f>IFERROR('2.vize'!BL16*100/'2.vize'!$I16,"")</f>
        <v/>
      </c>
      <c r="BB117" s="38" t="str">
        <f>IFERROR('2.vize'!BM16*100/'2.vize'!$I16,"")</f>
        <v/>
      </c>
      <c r="BC117" s="38" t="str">
        <f>IFERROR('2.vize'!BN16*100/'2.vize'!$I16,"")</f>
        <v/>
      </c>
      <c r="BD117" s="38" t="str">
        <f>IFERROR('2.vize'!BO16*100/'2.vize'!$I16,"")</f>
        <v/>
      </c>
      <c r="BE117" s="38" t="str">
        <f>IFERROR('2.vize'!BP16*100/'2.vize'!$I16,"")</f>
        <v/>
      </c>
      <c r="BF117" s="38" t="str">
        <f>IFERROR('2.vize'!BQ16*100/'2.vize'!$I16,"")</f>
        <v/>
      </c>
      <c r="BG117" s="38" t="str">
        <f>IFERROR('2.vize'!BR16*100/'2.vize'!$I16,"")</f>
        <v/>
      </c>
      <c r="BH117" s="38" t="str">
        <f>IFERROR('2.vize'!BS16*100/'2.vize'!$I16,"")</f>
        <v/>
      </c>
      <c r="BI117" s="38" t="str">
        <f>IFERROR('2.vize'!BT16*100/'2.vize'!$I16,"")</f>
        <v/>
      </c>
      <c r="BJ117" s="38" t="str">
        <f>IFERROR('2.vize'!BU16*100/'2.vize'!$I16,"")</f>
        <v/>
      </c>
      <c r="BK117" s="38" t="str">
        <f>IFERROR('2.vize'!BV16*100/'2.vize'!$I16,"")</f>
        <v/>
      </c>
      <c r="BL117" s="38" t="str">
        <f>IFERROR('2.vize'!BW16*100/'2.vize'!$I16,"")</f>
        <v/>
      </c>
      <c r="BM117" s="38" t="str">
        <f>IFERROR('2.vize'!BX16*100/'2.vize'!$I16,"")</f>
        <v/>
      </c>
      <c r="BN117" s="38" t="str">
        <f>IFERROR('2.vize'!BY16*100/'2.vize'!$I16,"")</f>
        <v/>
      </c>
      <c r="BO117" s="38" t="str">
        <f>IFERROR('2.vize'!BZ16*100/'2.vize'!$I16,"")</f>
        <v/>
      </c>
      <c r="BP117" s="38" t="str">
        <f>IFERROR('2.vize'!CA16*100/'2.vize'!$I16,"")</f>
        <v/>
      </c>
      <c r="BQ117" s="38" t="str">
        <f>IFERROR('2.vize'!CB16*100/'2.vize'!$I16,"")</f>
        <v/>
      </c>
      <c r="BR117" s="38" t="str">
        <f>IFERROR('2.vize'!CC16*100/'2.vize'!$I16,"")</f>
        <v/>
      </c>
      <c r="BS117" s="38" t="str">
        <f>IFERROR('2.vize'!CD16*100/'2.vize'!$I16,"")</f>
        <v/>
      </c>
      <c r="BT117" s="38" t="str">
        <f>IFERROR('2.vize'!CE16*100/'2.vize'!$I16,"")</f>
        <v/>
      </c>
      <c r="BU117" s="38" t="str">
        <f>IFERROR('2.vize'!CF16*100/'2.vize'!$I16,"")</f>
        <v/>
      </c>
      <c r="BV117" s="38" t="str">
        <f>IFERROR('2.vize'!CG16*100/'2.vize'!$I16,"")</f>
        <v/>
      </c>
      <c r="BW117" s="38" t="str">
        <f>IFERROR('2.vize'!CH16*100/'2.vize'!$I16,"")</f>
        <v/>
      </c>
      <c r="BX117" s="38" t="str">
        <f>IFERROR('2.vize'!CI16*100/'2.vize'!$I16,"")</f>
        <v/>
      </c>
      <c r="BY117" s="38" t="str">
        <f>IFERROR('2.vize'!CJ16*100/'2.vize'!$I16,"")</f>
        <v/>
      </c>
      <c r="BZ117" s="38" t="str">
        <f>IFERROR('2.vize'!CK16*100/'2.vize'!$I16,"")</f>
        <v/>
      </c>
      <c r="CA117" s="38" t="str">
        <f>IFERROR('2.vize'!CL16*100/'2.vize'!$I16,"")</f>
        <v/>
      </c>
      <c r="CB117" s="38" t="str">
        <f>IFERROR('2.vize'!CM16*100/'2.vize'!$I16,"")</f>
        <v/>
      </c>
      <c r="CC117" s="38" t="str">
        <f>IFERROR('2.vize'!CN16*100/'2.vize'!$I16,"")</f>
        <v/>
      </c>
      <c r="CD117" s="38" t="str">
        <f>IFERROR('2.vize'!CO16*100/'2.vize'!$I16,"")</f>
        <v/>
      </c>
      <c r="CE117" s="38" t="str">
        <f>IFERROR('2.vize'!CP16*100/'2.vize'!$I16,"")</f>
        <v/>
      </c>
      <c r="CF117" s="38" t="str">
        <f>IFERROR('2.vize'!CQ16*100/'2.vize'!$I16,"")</f>
        <v/>
      </c>
      <c r="CG117" s="38" t="str">
        <f>IFERROR('2.vize'!CR16*100/'2.vize'!$I16,"")</f>
        <v/>
      </c>
      <c r="CH117" s="38" t="str">
        <f>IFERROR('2.vize'!CS16*100/'2.vize'!$I16,"")</f>
        <v/>
      </c>
      <c r="CI117" s="38" t="str">
        <f>IFERROR('2.vize'!CT16*100/'2.vize'!$I16,"")</f>
        <v/>
      </c>
      <c r="CJ117" s="38" t="str">
        <f>IFERROR('2.vize'!CU16*100/'2.vize'!$I16,"")</f>
        <v/>
      </c>
      <c r="CK117" s="38" t="str">
        <f>IFERROR('2.vize'!CV16*100/'2.vize'!$I16,"")</f>
        <v/>
      </c>
      <c r="CL117" s="38" t="str">
        <f>IFERROR('2.vize'!CW16*100/'2.vize'!$I16,"")</f>
        <v/>
      </c>
      <c r="CM117" s="38" t="str">
        <f>IFERROR('2.vize'!CX16*100/'2.vize'!$I16,"")</f>
        <v/>
      </c>
      <c r="CN117" s="38" t="str">
        <f>IFERROR('2.vize'!CY16*100/'2.vize'!$I16,"")</f>
        <v/>
      </c>
      <c r="CO117" s="38" t="str">
        <f>IFERROR('2.vize'!CZ16*100/'2.vize'!$I16,"")</f>
        <v/>
      </c>
      <c r="CP117" s="38" t="str">
        <f>IFERROR('2.vize'!DA16*100/'2.vize'!$I16,"")</f>
        <v/>
      </c>
      <c r="CQ117" s="38" t="str">
        <f>IFERROR('2.vize'!DB16*100/'2.vize'!$I16,"")</f>
        <v/>
      </c>
      <c r="CR117" s="38" t="str">
        <f>IFERROR('2.vize'!DC16*100/'2.vize'!$I16,"")</f>
        <v/>
      </c>
      <c r="CS117" s="38" t="str">
        <f>IFERROR('2.vize'!DD16*100/'2.vize'!$I16,"")</f>
        <v/>
      </c>
      <c r="CT117" s="38" t="str">
        <f>IFERROR('2.vize'!DE16*100/'2.vize'!$I16,"")</f>
        <v/>
      </c>
      <c r="CU117" s="38" t="str">
        <f>IFERROR('2.vize'!DF16*100/'2.vize'!$I16,"")</f>
        <v/>
      </c>
      <c r="CV117" s="38" t="str">
        <f>IFERROR('2.vize'!DG16*100/'2.vize'!$I16,"")</f>
        <v/>
      </c>
      <c r="CW117" s="32" t="str">
        <f>IFERROR(SUM(A117:CV117)/'2.vize'!$DH$103,"")</f>
        <v/>
      </c>
      <c r="CX117" s="14" t="str">
        <f>IF(COUNTA('2.vize'!A16),'2.vize'!A16,"")</f>
        <v/>
      </c>
      <c r="CY117" s="14" t="str">
        <f>IF(COUNTA('2.vize'!B16),'2.vize'!B16,"")</f>
        <v/>
      </c>
      <c r="CZ117" s="14" t="str">
        <f>IF(COUNTA('2.vize'!C16),'2.vize'!C16,"")</f>
        <v/>
      </c>
      <c r="DA117" s="14" t="str">
        <f>IF(COUNTA('2.vize'!D16),'2.vize'!D16,"")</f>
        <v/>
      </c>
      <c r="DB117" s="14" t="str">
        <f>IF(COUNTA('2.vize'!E16),'2.vize'!E16,"")</f>
        <v/>
      </c>
      <c r="DC117" s="14" t="str">
        <f>IF(COUNTA('2.vize'!F16),'2.vize'!F16,"")</f>
        <v/>
      </c>
      <c r="DD117" s="14" t="str">
        <f>IF(COUNTA('2.vize'!G16),'2.vize'!G16,"")</f>
        <v/>
      </c>
      <c r="DE117" s="14" t="str">
        <f>IF(COUNTA('2.vize'!H16),'2.vize'!H16,"")</f>
        <v/>
      </c>
    </row>
    <row r="118" spans="1:109" x14ac:dyDescent="0.2">
      <c r="A118" s="38" t="str">
        <f>IFERROR('2.vize'!L17*100/'2.vize'!$I17,"")</f>
        <v/>
      </c>
      <c r="B118" s="38" t="str">
        <f>IFERROR('2.vize'!M17*100/'2.vize'!$I17,"")</f>
        <v/>
      </c>
      <c r="C118" s="38" t="str">
        <f>IFERROR('2.vize'!N17*100/'2.vize'!$I17,"")</f>
        <v/>
      </c>
      <c r="D118" s="38" t="str">
        <f>IFERROR('2.vize'!O17*100/'2.vize'!$I17,"")</f>
        <v/>
      </c>
      <c r="E118" s="38" t="str">
        <f>IFERROR('2.vize'!P17*100/'2.vize'!$I17,"")</f>
        <v/>
      </c>
      <c r="F118" s="38" t="str">
        <f>IFERROR('2.vize'!Q17*100/'2.vize'!$I17,"")</f>
        <v/>
      </c>
      <c r="G118" s="38" t="str">
        <f>IFERROR('2.vize'!R17*100/'2.vize'!$I17,"")</f>
        <v/>
      </c>
      <c r="H118" s="38" t="str">
        <f>IFERROR('2.vize'!S17*100/'2.vize'!$I17,"")</f>
        <v/>
      </c>
      <c r="I118" s="38" t="str">
        <f>IFERROR('2.vize'!T17*100/'2.vize'!$I17,"")</f>
        <v/>
      </c>
      <c r="J118" s="38" t="str">
        <f>IFERROR('2.vize'!U17*100/'2.vize'!$I17,"")</f>
        <v/>
      </c>
      <c r="K118" s="38" t="str">
        <f>IFERROR('2.vize'!V17*100/'2.vize'!$I17,"")</f>
        <v/>
      </c>
      <c r="L118" s="38" t="str">
        <f>IFERROR('2.vize'!W17*100/'2.vize'!$I17,"")</f>
        <v/>
      </c>
      <c r="M118" s="38" t="str">
        <f>IFERROR('2.vize'!X17*100/'2.vize'!$I17,"")</f>
        <v/>
      </c>
      <c r="N118" s="38" t="str">
        <f>IFERROR('2.vize'!Y17*100/'2.vize'!$I17,"")</f>
        <v/>
      </c>
      <c r="O118" s="38" t="str">
        <f>IFERROR('2.vize'!Z17*100/'2.vize'!$I17,"")</f>
        <v/>
      </c>
      <c r="P118" s="38" t="str">
        <f>IFERROR('2.vize'!AA17*100/'2.vize'!$I17,"")</f>
        <v/>
      </c>
      <c r="Q118" s="38" t="str">
        <f>IFERROR('2.vize'!AB17*100/'2.vize'!$I17,"")</f>
        <v/>
      </c>
      <c r="R118" s="38" t="str">
        <f>IFERROR('2.vize'!AC17*100/'2.vize'!$I17,"")</f>
        <v/>
      </c>
      <c r="S118" s="38" t="str">
        <f>IFERROR('2.vize'!AD17*100/'2.vize'!$I17,"")</f>
        <v/>
      </c>
      <c r="T118" s="38" t="str">
        <f>IFERROR('2.vize'!AE17*100/'2.vize'!$I17,"")</f>
        <v/>
      </c>
      <c r="U118" s="38" t="str">
        <f>IFERROR('2.vize'!AF17*100/'2.vize'!$I17,"")</f>
        <v/>
      </c>
      <c r="V118" s="38" t="str">
        <f>IFERROR('2.vize'!AG17*100/'2.vize'!$I17,"")</f>
        <v/>
      </c>
      <c r="W118" s="38" t="str">
        <f>IFERROR('2.vize'!AH17*100/'2.vize'!$I17,"")</f>
        <v/>
      </c>
      <c r="X118" s="38" t="str">
        <f>IFERROR('2.vize'!AI17*100/'2.vize'!$I17,"")</f>
        <v/>
      </c>
      <c r="Y118" s="38" t="str">
        <f>IFERROR('2.vize'!AJ17*100/'2.vize'!$I17,"")</f>
        <v/>
      </c>
      <c r="Z118" s="38" t="str">
        <f>IFERROR('2.vize'!AK17*100/'2.vize'!$I17,"")</f>
        <v/>
      </c>
      <c r="AA118" s="38" t="str">
        <f>IFERROR('2.vize'!AL17*100/'2.vize'!$I17,"")</f>
        <v/>
      </c>
      <c r="AB118" s="38" t="str">
        <f>IFERROR('2.vize'!AM17*100/'2.vize'!$I17,"")</f>
        <v/>
      </c>
      <c r="AC118" s="38" t="str">
        <f>IFERROR('2.vize'!AN17*100/'2.vize'!$I17,"")</f>
        <v/>
      </c>
      <c r="AD118" s="38" t="str">
        <f>IFERROR('2.vize'!AO17*100/'2.vize'!$I17,"")</f>
        <v/>
      </c>
      <c r="AE118" s="38" t="str">
        <f>IFERROR('2.vize'!AP17*100/'2.vize'!$I17,"")</f>
        <v/>
      </c>
      <c r="AF118" s="38" t="str">
        <f>IFERROR('2.vize'!AQ17*100/'2.vize'!$I17,"")</f>
        <v/>
      </c>
      <c r="AG118" s="38" t="str">
        <f>IFERROR('2.vize'!AR17*100/'2.vize'!$I17,"")</f>
        <v/>
      </c>
      <c r="AH118" s="38" t="str">
        <f>IFERROR('2.vize'!AS17*100/'2.vize'!$I17,"")</f>
        <v/>
      </c>
      <c r="AI118" s="38" t="str">
        <f>IFERROR('2.vize'!AT17*100/'2.vize'!$I17,"")</f>
        <v/>
      </c>
      <c r="AJ118" s="38" t="str">
        <f>IFERROR('2.vize'!AU17*100/'2.vize'!$I17,"")</f>
        <v/>
      </c>
      <c r="AK118" s="38" t="str">
        <f>IFERROR('2.vize'!AV17*100/'2.vize'!$I17,"")</f>
        <v/>
      </c>
      <c r="AL118" s="38" t="str">
        <f>IFERROR('2.vize'!AW17*100/'2.vize'!$I17,"")</f>
        <v/>
      </c>
      <c r="AM118" s="38" t="str">
        <f>IFERROR('2.vize'!AX17*100/'2.vize'!$I17,"")</f>
        <v/>
      </c>
      <c r="AN118" s="38" t="str">
        <f>IFERROR('2.vize'!AY17*100/'2.vize'!$I17,"")</f>
        <v/>
      </c>
      <c r="AO118" s="38" t="str">
        <f>IFERROR('2.vize'!AZ17*100/'2.vize'!$I17,"")</f>
        <v/>
      </c>
      <c r="AP118" s="38" t="str">
        <f>IFERROR('2.vize'!BA17*100/'2.vize'!$I17,"")</f>
        <v/>
      </c>
      <c r="AQ118" s="38" t="str">
        <f>IFERROR('2.vize'!BB17*100/'2.vize'!$I17,"")</f>
        <v/>
      </c>
      <c r="AR118" s="38" t="str">
        <f>IFERROR('2.vize'!BC17*100/'2.vize'!$I17,"")</f>
        <v/>
      </c>
      <c r="AS118" s="38" t="str">
        <f>IFERROR('2.vize'!BD17*100/'2.vize'!$I17,"")</f>
        <v/>
      </c>
      <c r="AT118" s="38" t="str">
        <f>IFERROR('2.vize'!BE17*100/'2.vize'!$I17,"")</f>
        <v/>
      </c>
      <c r="AU118" s="38" t="str">
        <f>IFERROR('2.vize'!BF17*100/'2.vize'!$I17,"")</f>
        <v/>
      </c>
      <c r="AV118" s="38" t="str">
        <f>IFERROR('2.vize'!BG17*100/'2.vize'!$I17,"")</f>
        <v/>
      </c>
      <c r="AW118" s="38" t="str">
        <f>IFERROR('2.vize'!BH17*100/'2.vize'!$I17,"")</f>
        <v/>
      </c>
      <c r="AX118" s="38" t="str">
        <f>IFERROR('2.vize'!BI17*100/'2.vize'!$I17,"")</f>
        <v/>
      </c>
      <c r="AY118" s="38" t="str">
        <f>IFERROR('2.vize'!BJ17*100/'2.vize'!$I17,"")</f>
        <v/>
      </c>
      <c r="AZ118" s="38" t="str">
        <f>IFERROR('2.vize'!BK17*100/'2.vize'!$I17,"")</f>
        <v/>
      </c>
      <c r="BA118" s="38" t="str">
        <f>IFERROR('2.vize'!BL17*100/'2.vize'!$I17,"")</f>
        <v/>
      </c>
      <c r="BB118" s="38" t="str">
        <f>IFERROR('2.vize'!BM17*100/'2.vize'!$I17,"")</f>
        <v/>
      </c>
      <c r="BC118" s="38" t="str">
        <f>IFERROR('2.vize'!BN17*100/'2.vize'!$I17,"")</f>
        <v/>
      </c>
      <c r="BD118" s="38" t="str">
        <f>IFERROR('2.vize'!BO17*100/'2.vize'!$I17,"")</f>
        <v/>
      </c>
      <c r="BE118" s="38" t="str">
        <f>IFERROR('2.vize'!BP17*100/'2.vize'!$I17,"")</f>
        <v/>
      </c>
      <c r="BF118" s="38" t="str">
        <f>IFERROR('2.vize'!BQ17*100/'2.vize'!$I17,"")</f>
        <v/>
      </c>
      <c r="BG118" s="38" t="str">
        <f>IFERROR('2.vize'!BR17*100/'2.vize'!$I17,"")</f>
        <v/>
      </c>
      <c r="BH118" s="38" t="str">
        <f>IFERROR('2.vize'!BS17*100/'2.vize'!$I17,"")</f>
        <v/>
      </c>
      <c r="BI118" s="38" t="str">
        <f>IFERROR('2.vize'!BT17*100/'2.vize'!$I17,"")</f>
        <v/>
      </c>
      <c r="BJ118" s="38" t="str">
        <f>IFERROR('2.vize'!BU17*100/'2.vize'!$I17,"")</f>
        <v/>
      </c>
      <c r="BK118" s="38" t="str">
        <f>IFERROR('2.vize'!BV17*100/'2.vize'!$I17,"")</f>
        <v/>
      </c>
      <c r="BL118" s="38" t="str">
        <f>IFERROR('2.vize'!BW17*100/'2.vize'!$I17,"")</f>
        <v/>
      </c>
      <c r="BM118" s="38" t="str">
        <f>IFERROR('2.vize'!BX17*100/'2.vize'!$I17,"")</f>
        <v/>
      </c>
      <c r="BN118" s="38" t="str">
        <f>IFERROR('2.vize'!BY17*100/'2.vize'!$I17,"")</f>
        <v/>
      </c>
      <c r="BO118" s="38" t="str">
        <f>IFERROR('2.vize'!BZ17*100/'2.vize'!$I17,"")</f>
        <v/>
      </c>
      <c r="BP118" s="38" t="str">
        <f>IFERROR('2.vize'!CA17*100/'2.vize'!$I17,"")</f>
        <v/>
      </c>
      <c r="BQ118" s="38" t="str">
        <f>IFERROR('2.vize'!CB17*100/'2.vize'!$I17,"")</f>
        <v/>
      </c>
      <c r="BR118" s="38" t="str">
        <f>IFERROR('2.vize'!CC17*100/'2.vize'!$I17,"")</f>
        <v/>
      </c>
      <c r="BS118" s="38" t="str">
        <f>IFERROR('2.vize'!CD17*100/'2.vize'!$I17,"")</f>
        <v/>
      </c>
      <c r="BT118" s="38" t="str">
        <f>IFERROR('2.vize'!CE17*100/'2.vize'!$I17,"")</f>
        <v/>
      </c>
      <c r="BU118" s="38" t="str">
        <f>IFERROR('2.vize'!CF17*100/'2.vize'!$I17,"")</f>
        <v/>
      </c>
      <c r="BV118" s="38" t="str">
        <f>IFERROR('2.vize'!CG17*100/'2.vize'!$I17,"")</f>
        <v/>
      </c>
      <c r="BW118" s="38" t="str">
        <f>IFERROR('2.vize'!CH17*100/'2.vize'!$I17,"")</f>
        <v/>
      </c>
      <c r="BX118" s="38" t="str">
        <f>IFERROR('2.vize'!CI17*100/'2.vize'!$I17,"")</f>
        <v/>
      </c>
      <c r="BY118" s="38" t="str">
        <f>IFERROR('2.vize'!CJ17*100/'2.vize'!$I17,"")</f>
        <v/>
      </c>
      <c r="BZ118" s="38" t="str">
        <f>IFERROR('2.vize'!CK17*100/'2.vize'!$I17,"")</f>
        <v/>
      </c>
      <c r="CA118" s="38" t="str">
        <f>IFERROR('2.vize'!CL17*100/'2.vize'!$I17,"")</f>
        <v/>
      </c>
      <c r="CB118" s="38" t="str">
        <f>IFERROR('2.vize'!CM17*100/'2.vize'!$I17,"")</f>
        <v/>
      </c>
      <c r="CC118" s="38" t="str">
        <f>IFERROR('2.vize'!CN17*100/'2.vize'!$I17,"")</f>
        <v/>
      </c>
      <c r="CD118" s="38" t="str">
        <f>IFERROR('2.vize'!CO17*100/'2.vize'!$I17,"")</f>
        <v/>
      </c>
      <c r="CE118" s="38" t="str">
        <f>IFERROR('2.vize'!CP17*100/'2.vize'!$I17,"")</f>
        <v/>
      </c>
      <c r="CF118" s="38" t="str">
        <f>IFERROR('2.vize'!CQ17*100/'2.vize'!$I17,"")</f>
        <v/>
      </c>
      <c r="CG118" s="38" t="str">
        <f>IFERROR('2.vize'!CR17*100/'2.vize'!$I17,"")</f>
        <v/>
      </c>
      <c r="CH118" s="38" t="str">
        <f>IFERROR('2.vize'!CS17*100/'2.vize'!$I17,"")</f>
        <v/>
      </c>
      <c r="CI118" s="38" t="str">
        <f>IFERROR('2.vize'!CT17*100/'2.vize'!$I17,"")</f>
        <v/>
      </c>
      <c r="CJ118" s="38" t="str">
        <f>IFERROR('2.vize'!CU17*100/'2.vize'!$I17,"")</f>
        <v/>
      </c>
      <c r="CK118" s="38" t="str">
        <f>IFERROR('2.vize'!CV17*100/'2.vize'!$I17,"")</f>
        <v/>
      </c>
      <c r="CL118" s="38" t="str">
        <f>IFERROR('2.vize'!CW17*100/'2.vize'!$I17,"")</f>
        <v/>
      </c>
      <c r="CM118" s="38" t="str">
        <f>IFERROR('2.vize'!CX17*100/'2.vize'!$I17,"")</f>
        <v/>
      </c>
      <c r="CN118" s="38" t="str">
        <f>IFERROR('2.vize'!CY17*100/'2.vize'!$I17,"")</f>
        <v/>
      </c>
      <c r="CO118" s="38" t="str">
        <f>IFERROR('2.vize'!CZ17*100/'2.vize'!$I17,"")</f>
        <v/>
      </c>
      <c r="CP118" s="38" t="str">
        <f>IFERROR('2.vize'!DA17*100/'2.vize'!$I17,"")</f>
        <v/>
      </c>
      <c r="CQ118" s="38" t="str">
        <f>IFERROR('2.vize'!DB17*100/'2.vize'!$I17,"")</f>
        <v/>
      </c>
      <c r="CR118" s="38" t="str">
        <f>IFERROR('2.vize'!DC17*100/'2.vize'!$I17,"")</f>
        <v/>
      </c>
      <c r="CS118" s="38" t="str">
        <f>IFERROR('2.vize'!DD17*100/'2.vize'!$I17,"")</f>
        <v/>
      </c>
      <c r="CT118" s="38" t="str">
        <f>IFERROR('2.vize'!DE17*100/'2.vize'!$I17,"")</f>
        <v/>
      </c>
      <c r="CU118" s="38" t="str">
        <f>IFERROR('2.vize'!DF17*100/'2.vize'!$I17,"")</f>
        <v/>
      </c>
      <c r="CV118" s="38" t="str">
        <f>IFERROR('2.vize'!DG17*100/'2.vize'!$I17,"")</f>
        <v/>
      </c>
      <c r="CW118" s="32" t="str">
        <f>IFERROR(SUM(A118:CV118)/'2.vize'!$DH$103,"")</f>
        <v/>
      </c>
      <c r="CX118" s="14" t="str">
        <f>IF(COUNTA('2.vize'!A17),'2.vize'!A17,"")</f>
        <v/>
      </c>
      <c r="CY118" s="14" t="str">
        <f>IF(COUNTA('2.vize'!B17),'2.vize'!B17,"")</f>
        <v/>
      </c>
      <c r="CZ118" s="14" t="str">
        <f>IF(COUNTA('2.vize'!C17),'2.vize'!C17,"")</f>
        <v/>
      </c>
      <c r="DA118" s="14" t="str">
        <f>IF(COUNTA('2.vize'!D17),'2.vize'!D17,"")</f>
        <v/>
      </c>
      <c r="DB118" s="14" t="str">
        <f>IF(COUNTA('2.vize'!E17),'2.vize'!E17,"")</f>
        <v/>
      </c>
      <c r="DC118" s="14" t="str">
        <f>IF(COUNTA('2.vize'!F17),'2.vize'!F17,"")</f>
        <v/>
      </c>
      <c r="DD118" s="14" t="str">
        <f>IF(COUNTA('2.vize'!G17),'2.vize'!G17,"")</f>
        <v/>
      </c>
      <c r="DE118" s="14" t="str">
        <f>IF(COUNTA('2.vize'!H17),'2.vize'!H17,"")</f>
        <v/>
      </c>
    </row>
    <row r="119" spans="1:109" x14ac:dyDescent="0.2">
      <c r="A119" s="38" t="str">
        <f>IFERROR('2.vize'!L18*100/'2.vize'!$I18,"")</f>
        <v/>
      </c>
      <c r="B119" s="38" t="str">
        <f>IFERROR('2.vize'!M18*100/'2.vize'!$I18,"")</f>
        <v/>
      </c>
      <c r="C119" s="38" t="str">
        <f>IFERROR('2.vize'!N18*100/'2.vize'!$I18,"")</f>
        <v/>
      </c>
      <c r="D119" s="38" t="str">
        <f>IFERROR('2.vize'!O18*100/'2.vize'!$I18,"")</f>
        <v/>
      </c>
      <c r="E119" s="38" t="str">
        <f>IFERROR('2.vize'!P18*100/'2.vize'!$I18,"")</f>
        <v/>
      </c>
      <c r="F119" s="38" t="str">
        <f>IFERROR('2.vize'!Q18*100/'2.vize'!$I18,"")</f>
        <v/>
      </c>
      <c r="G119" s="38" t="str">
        <f>IFERROR('2.vize'!R18*100/'2.vize'!$I18,"")</f>
        <v/>
      </c>
      <c r="H119" s="38" t="str">
        <f>IFERROR('2.vize'!S18*100/'2.vize'!$I18,"")</f>
        <v/>
      </c>
      <c r="I119" s="38" t="str">
        <f>IFERROR('2.vize'!T18*100/'2.vize'!$I18,"")</f>
        <v/>
      </c>
      <c r="J119" s="38" t="str">
        <f>IFERROR('2.vize'!U18*100/'2.vize'!$I18,"")</f>
        <v/>
      </c>
      <c r="K119" s="38" t="str">
        <f>IFERROR('2.vize'!V18*100/'2.vize'!$I18,"")</f>
        <v/>
      </c>
      <c r="L119" s="38" t="str">
        <f>IFERROR('2.vize'!W18*100/'2.vize'!$I18,"")</f>
        <v/>
      </c>
      <c r="M119" s="38" t="str">
        <f>IFERROR('2.vize'!X18*100/'2.vize'!$I18,"")</f>
        <v/>
      </c>
      <c r="N119" s="38" t="str">
        <f>IFERROR('2.vize'!Y18*100/'2.vize'!$I18,"")</f>
        <v/>
      </c>
      <c r="O119" s="38" t="str">
        <f>IFERROR('2.vize'!Z18*100/'2.vize'!$I18,"")</f>
        <v/>
      </c>
      <c r="P119" s="38" t="str">
        <f>IFERROR('2.vize'!AA18*100/'2.vize'!$I18,"")</f>
        <v/>
      </c>
      <c r="Q119" s="38" t="str">
        <f>IFERROR('2.vize'!AB18*100/'2.vize'!$I18,"")</f>
        <v/>
      </c>
      <c r="R119" s="38" t="str">
        <f>IFERROR('2.vize'!AC18*100/'2.vize'!$I18,"")</f>
        <v/>
      </c>
      <c r="S119" s="38" t="str">
        <f>IFERROR('2.vize'!AD18*100/'2.vize'!$I18,"")</f>
        <v/>
      </c>
      <c r="T119" s="38" t="str">
        <f>IFERROR('2.vize'!AE18*100/'2.vize'!$I18,"")</f>
        <v/>
      </c>
      <c r="U119" s="38" t="str">
        <f>IFERROR('2.vize'!AF18*100/'2.vize'!$I18,"")</f>
        <v/>
      </c>
      <c r="V119" s="38" t="str">
        <f>IFERROR('2.vize'!AG18*100/'2.vize'!$I18,"")</f>
        <v/>
      </c>
      <c r="W119" s="38" t="str">
        <f>IFERROR('2.vize'!AH18*100/'2.vize'!$I18,"")</f>
        <v/>
      </c>
      <c r="X119" s="38" t="str">
        <f>IFERROR('2.vize'!AI18*100/'2.vize'!$I18,"")</f>
        <v/>
      </c>
      <c r="Y119" s="38" t="str">
        <f>IFERROR('2.vize'!AJ18*100/'2.vize'!$I18,"")</f>
        <v/>
      </c>
      <c r="Z119" s="38" t="str">
        <f>IFERROR('2.vize'!AK18*100/'2.vize'!$I18,"")</f>
        <v/>
      </c>
      <c r="AA119" s="38" t="str">
        <f>IFERROR('2.vize'!AL18*100/'2.vize'!$I18,"")</f>
        <v/>
      </c>
      <c r="AB119" s="38" t="str">
        <f>IFERROR('2.vize'!AM18*100/'2.vize'!$I18,"")</f>
        <v/>
      </c>
      <c r="AC119" s="38" t="str">
        <f>IFERROR('2.vize'!AN18*100/'2.vize'!$I18,"")</f>
        <v/>
      </c>
      <c r="AD119" s="38" t="str">
        <f>IFERROR('2.vize'!AO18*100/'2.vize'!$I18,"")</f>
        <v/>
      </c>
      <c r="AE119" s="38" t="str">
        <f>IFERROR('2.vize'!AP18*100/'2.vize'!$I18,"")</f>
        <v/>
      </c>
      <c r="AF119" s="38" t="str">
        <f>IFERROR('2.vize'!AQ18*100/'2.vize'!$I18,"")</f>
        <v/>
      </c>
      <c r="AG119" s="38" t="str">
        <f>IFERROR('2.vize'!AR18*100/'2.vize'!$I18,"")</f>
        <v/>
      </c>
      <c r="AH119" s="38" t="str">
        <f>IFERROR('2.vize'!AS18*100/'2.vize'!$I18,"")</f>
        <v/>
      </c>
      <c r="AI119" s="38" t="str">
        <f>IFERROR('2.vize'!AT18*100/'2.vize'!$I18,"")</f>
        <v/>
      </c>
      <c r="AJ119" s="38" t="str">
        <f>IFERROR('2.vize'!AU18*100/'2.vize'!$I18,"")</f>
        <v/>
      </c>
      <c r="AK119" s="38" t="str">
        <f>IFERROR('2.vize'!AV18*100/'2.vize'!$I18,"")</f>
        <v/>
      </c>
      <c r="AL119" s="38" t="str">
        <f>IFERROR('2.vize'!AW18*100/'2.vize'!$I18,"")</f>
        <v/>
      </c>
      <c r="AM119" s="38" t="str">
        <f>IFERROR('2.vize'!AX18*100/'2.vize'!$I18,"")</f>
        <v/>
      </c>
      <c r="AN119" s="38" t="str">
        <f>IFERROR('2.vize'!AY18*100/'2.vize'!$I18,"")</f>
        <v/>
      </c>
      <c r="AO119" s="38" t="str">
        <f>IFERROR('2.vize'!AZ18*100/'2.vize'!$I18,"")</f>
        <v/>
      </c>
      <c r="AP119" s="38" t="str">
        <f>IFERROR('2.vize'!BA18*100/'2.vize'!$I18,"")</f>
        <v/>
      </c>
      <c r="AQ119" s="38" t="str">
        <f>IFERROR('2.vize'!BB18*100/'2.vize'!$I18,"")</f>
        <v/>
      </c>
      <c r="AR119" s="38" t="str">
        <f>IFERROR('2.vize'!BC18*100/'2.vize'!$I18,"")</f>
        <v/>
      </c>
      <c r="AS119" s="38" t="str">
        <f>IFERROR('2.vize'!BD18*100/'2.vize'!$I18,"")</f>
        <v/>
      </c>
      <c r="AT119" s="38" t="str">
        <f>IFERROR('2.vize'!BE18*100/'2.vize'!$I18,"")</f>
        <v/>
      </c>
      <c r="AU119" s="38" t="str">
        <f>IFERROR('2.vize'!BF18*100/'2.vize'!$I18,"")</f>
        <v/>
      </c>
      <c r="AV119" s="38" t="str">
        <f>IFERROR('2.vize'!BG18*100/'2.vize'!$I18,"")</f>
        <v/>
      </c>
      <c r="AW119" s="38" t="str">
        <f>IFERROR('2.vize'!BH18*100/'2.vize'!$I18,"")</f>
        <v/>
      </c>
      <c r="AX119" s="38" t="str">
        <f>IFERROR('2.vize'!BI18*100/'2.vize'!$I18,"")</f>
        <v/>
      </c>
      <c r="AY119" s="38" t="str">
        <f>IFERROR('2.vize'!BJ18*100/'2.vize'!$I18,"")</f>
        <v/>
      </c>
      <c r="AZ119" s="38" t="str">
        <f>IFERROR('2.vize'!BK18*100/'2.vize'!$I18,"")</f>
        <v/>
      </c>
      <c r="BA119" s="38" t="str">
        <f>IFERROR('2.vize'!BL18*100/'2.vize'!$I18,"")</f>
        <v/>
      </c>
      <c r="BB119" s="38" t="str">
        <f>IFERROR('2.vize'!BM18*100/'2.vize'!$I18,"")</f>
        <v/>
      </c>
      <c r="BC119" s="38" t="str">
        <f>IFERROR('2.vize'!BN18*100/'2.vize'!$I18,"")</f>
        <v/>
      </c>
      <c r="BD119" s="38" t="str">
        <f>IFERROR('2.vize'!BO18*100/'2.vize'!$I18,"")</f>
        <v/>
      </c>
      <c r="BE119" s="38" t="str">
        <f>IFERROR('2.vize'!BP18*100/'2.vize'!$I18,"")</f>
        <v/>
      </c>
      <c r="BF119" s="38" t="str">
        <f>IFERROR('2.vize'!BQ18*100/'2.vize'!$I18,"")</f>
        <v/>
      </c>
      <c r="BG119" s="38" t="str">
        <f>IFERROR('2.vize'!BR18*100/'2.vize'!$I18,"")</f>
        <v/>
      </c>
      <c r="BH119" s="38" t="str">
        <f>IFERROR('2.vize'!BS18*100/'2.vize'!$I18,"")</f>
        <v/>
      </c>
      <c r="BI119" s="38" t="str">
        <f>IFERROR('2.vize'!BT18*100/'2.vize'!$I18,"")</f>
        <v/>
      </c>
      <c r="BJ119" s="38" t="str">
        <f>IFERROR('2.vize'!BU18*100/'2.vize'!$I18,"")</f>
        <v/>
      </c>
      <c r="BK119" s="38" t="str">
        <f>IFERROR('2.vize'!BV18*100/'2.vize'!$I18,"")</f>
        <v/>
      </c>
      <c r="BL119" s="38" t="str">
        <f>IFERROR('2.vize'!BW18*100/'2.vize'!$I18,"")</f>
        <v/>
      </c>
      <c r="BM119" s="38" t="str">
        <f>IFERROR('2.vize'!BX18*100/'2.vize'!$I18,"")</f>
        <v/>
      </c>
      <c r="BN119" s="38" t="str">
        <f>IFERROR('2.vize'!BY18*100/'2.vize'!$I18,"")</f>
        <v/>
      </c>
      <c r="BO119" s="38" t="str">
        <f>IFERROR('2.vize'!BZ18*100/'2.vize'!$I18,"")</f>
        <v/>
      </c>
      <c r="BP119" s="38" t="str">
        <f>IFERROR('2.vize'!CA18*100/'2.vize'!$I18,"")</f>
        <v/>
      </c>
      <c r="BQ119" s="38" t="str">
        <f>IFERROR('2.vize'!CB18*100/'2.vize'!$I18,"")</f>
        <v/>
      </c>
      <c r="BR119" s="38" t="str">
        <f>IFERROR('2.vize'!CC18*100/'2.vize'!$I18,"")</f>
        <v/>
      </c>
      <c r="BS119" s="38" t="str">
        <f>IFERROR('2.vize'!CD18*100/'2.vize'!$I18,"")</f>
        <v/>
      </c>
      <c r="BT119" s="38" t="str">
        <f>IFERROR('2.vize'!CE18*100/'2.vize'!$I18,"")</f>
        <v/>
      </c>
      <c r="BU119" s="38" t="str">
        <f>IFERROR('2.vize'!CF18*100/'2.vize'!$I18,"")</f>
        <v/>
      </c>
      <c r="BV119" s="38" t="str">
        <f>IFERROR('2.vize'!CG18*100/'2.vize'!$I18,"")</f>
        <v/>
      </c>
      <c r="BW119" s="38" t="str">
        <f>IFERROR('2.vize'!CH18*100/'2.vize'!$I18,"")</f>
        <v/>
      </c>
      <c r="BX119" s="38" t="str">
        <f>IFERROR('2.vize'!CI18*100/'2.vize'!$I18,"")</f>
        <v/>
      </c>
      <c r="BY119" s="38" t="str">
        <f>IFERROR('2.vize'!CJ18*100/'2.vize'!$I18,"")</f>
        <v/>
      </c>
      <c r="BZ119" s="38" t="str">
        <f>IFERROR('2.vize'!CK18*100/'2.vize'!$I18,"")</f>
        <v/>
      </c>
      <c r="CA119" s="38" t="str">
        <f>IFERROR('2.vize'!CL18*100/'2.vize'!$I18,"")</f>
        <v/>
      </c>
      <c r="CB119" s="38" t="str">
        <f>IFERROR('2.vize'!CM18*100/'2.vize'!$I18,"")</f>
        <v/>
      </c>
      <c r="CC119" s="38" t="str">
        <f>IFERROR('2.vize'!CN18*100/'2.vize'!$I18,"")</f>
        <v/>
      </c>
      <c r="CD119" s="38" t="str">
        <f>IFERROR('2.vize'!CO18*100/'2.vize'!$I18,"")</f>
        <v/>
      </c>
      <c r="CE119" s="38" t="str">
        <f>IFERROR('2.vize'!CP18*100/'2.vize'!$I18,"")</f>
        <v/>
      </c>
      <c r="CF119" s="38" t="str">
        <f>IFERROR('2.vize'!CQ18*100/'2.vize'!$I18,"")</f>
        <v/>
      </c>
      <c r="CG119" s="38" t="str">
        <f>IFERROR('2.vize'!CR18*100/'2.vize'!$I18,"")</f>
        <v/>
      </c>
      <c r="CH119" s="38" t="str">
        <f>IFERROR('2.vize'!CS18*100/'2.vize'!$I18,"")</f>
        <v/>
      </c>
      <c r="CI119" s="38" t="str">
        <f>IFERROR('2.vize'!CT18*100/'2.vize'!$I18,"")</f>
        <v/>
      </c>
      <c r="CJ119" s="38" t="str">
        <f>IFERROR('2.vize'!CU18*100/'2.vize'!$I18,"")</f>
        <v/>
      </c>
      <c r="CK119" s="38" t="str">
        <f>IFERROR('2.vize'!CV18*100/'2.vize'!$I18,"")</f>
        <v/>
      </c>
      <c r="CL119" s="38" t="str">
        <f>IFERROR('2.vize'!CW18*100/'2.vize'!$I18,"")</f>
        <v/>
      </c>
      <c r="CM119" s="38" t="str">
        <f>IFERROR('2.vize'!CX18*100/'2.vize'!$I18,"")</f>
        <v/>
      </c>
      <c r="CN119" s="38" t="str">
        <f>IFERROR('2.vize'!CY18*100/'2.vize'!$I18,"")</f>
        <v/>
      </c>
      <c r="CO119" s="38" t="str">
        <f>IFERROR('2.vize'!CZ18*100/'2.vize'!$I18,"")</f>
        <v/>
      </c>
      <c r="CP119" s="38" t="str">
        <f>IFERROR('2.vize'!DA18*100/'2.vize'!$I18,"")</f>
        <v/>
      </c>
      <c r="CQ119" s="38" t="str">
        <f>IFERROR('2.vize'!DB18*100/'2.vize'!$I18,"")</f>
        <v/>
      </c>
      <c r="CR119" s="38" t="str">
        <f>IFERROR('2.vize'!DC18*100/'2.vize'!$I18,"")</f>
        <v/>
      </c>
      <c r="CS119" s="38" t="str">
        <f>IFERROR('2.vize'!DD18*100/'2.vize'!$I18,"")</f>
        <v/>
      </c>
      <c r="CT119" s="38" t="str">
        <f>IFERROR('2.vize'!DE18*100/'2.vize'!$I18,"")</f>
        <v/>
      </c>
      <c r="CU119" s="38" t="str">
        <f>IFERROR('2.vize'!DF18*100/'2.vize'!$I18,"")</f>
        <v/>
      </c>
      <c r="CV119" s="38" t="str">
        <f>IFERROR('2.vize'!DG18*100/'2.vize'!$I18,"")</f>
        <v/>
      </c>
      <c r="CW119" s="32" t="str">
        <f>IFERROR(SUM(A119:CV119)/'2.vize'!$DH$103,"")</f>
        <v/>
      </c>
      <c r="CX119" s="14" t="str">
        <f>IF(COUNTA('2.vize'!A18),'2.vize'!A18,"")</f>
        <v/>
      </c>
      <c r="CY119" s="14" t="str">
        <f>IF(COUNTA('2.vize'!B18),'2.vize'!B18,"")</f>
        <v/>
      </c>
      <c r="CZ119" s="14" t="str">
        <f>IF(COUNTA('2.vize'!C18),'2.vize'!C18,"")</f>
        <v/>
      </c>
      <c r="DA119" s="14" t="str">
        <f>IF(COUNTA('2.vize'!D18),'2.vize'!D18,"")</f>
        <v/>
      </c>
      <c r="DB119" s="14" t="str">
        <f>IF(COUNTA('2.vize'!E18),'2.vize'!E18,"")</f>
        <v/>
      </c>
      <c r="DC119" s="14" t="str">
        <f>IF(COUNTA('2.vize'!F18),'2.vize'!F18,"")</f>
        <v/>
      </c>
      <c r="DD119" s="14" t="str">
        <f>IF(COUNTA('2.vize'!G18),'2.vize'!G18,"")</f>
        <v/>
      </c>
      <c r="DE119" s="14" t="str">
        <f>IF(COUNTA('2.vize'!H18),'2.vize'!H18,"")</f>
        <v/>
      </c>
    </row>
    <row r="120" spans="1:109" x14ac:dyDescent="0.2">
      <c r="A120" s="38" t="str">
        <f>IFERROR('2.vize'!L19*100/'2.vize'!$I19,"")</f>
        <v/>
      </c>
      <c r="B120" s="38" t="str">
        <f>IFERROR('2.vize'!M19*100/'2.vize'!$I19,"")</f>
        <v/>
      </c>
      <c r="C120" s="38" t="str">
        <f>IFERROR('2.vize'!N19*100/'2.vize'!$I19,"")</f>
        <v/>
      </c>
      <c r="D120" s="38" t="str">
        <f>IFERROR('2.vize'!O19*100/'2.vize'!$I19,"")</f>
        <v/>
      </c>
      <c r="E120" s="38" t="str">
        <f>IFERROR('2.vize'!P19*100/'2.vize'!$I19,"")</f>
        <v/>
      </c>
      <c r="F120" s="38" t="str">
        <f>IFERROR('2.vize'!Q19*100/'2.vize'!$I19,"")</f>
        <v/>
      </c>
      <c r="G120" s="38" t="str">
        <f>IFERROR('2.vize'!R19*100/'2.vize'!$I19,"")</f>
        <v/>
      </c>
      <c r="H120" s="38" t="str">
        <f>IFERROR('2.vize'!S19*100/'2.vize'!$I19,"")</f>
        <v/>
      </c>
      <c r="I120" s="38" t="str">
        <f>IFERROR('2.vize'!T19*100/'2.vize'!$I19,"")</f>
        <v/>
      </c>
      <c r="J120" s="38" t="str">
        <f>IFERROR('2.vize'!U19*100/'2.vize'!$I19,"")</f>
        <v/>
      </c>
      <c r="K120" s="38" t="str">
        <f>IFERROR('2.vize'!V19*100/'2.vize'!$I19,"")</f>
        <v/>
      </c>
      <c r="L120" s="38" t="str">
        <f>IFERROR('2.vize'!W19*100/'2.vize'!$I19,"")</f>
        <v/>
      </c>
      <c r="M120" s="38" t="str">
        <f>IFERROR('2.vize'!X19*100/'2.vize'!$I19,"")</f>
        <v/>
      </c>
      <c r="N120" s="38" t="str">
        <f>IFERROR('2.vize'!Y19*100/'2.vize'!$I19,"")</f>
        <v/>
      </c>
      <c r="O120" s="38" t="str">
        <f>IFERROR('2.vize'!Z19*100/'2.vize'!$I19,"")</f>
        <v/>
      </c>
      <c r="P120" s="38" t="str">
        <f>IFERROR('2.vize'!AA19*100/'2.vize'!$I19,"")</f>
        <v/>
      </c>
      <c r="Q120" s="38" t="str">
        <f>IFERROR('2.vize'!AB19*100/'2.vize'!$I19,"")</f>
        <v/>
      </c>
      <c r="R120" s="38" t="str">
        <f>IFERROR('2.vize'!AC19*100/'2.vize'!$I19,"")</f>
        <v/>
      </c>
      <c r="S120" s="38" t="str">
        <f>IFERROR('2.vize'!AD19*100/'2.vize'!$I19,"")</f>
        <v/>
      </c>
      <c r="T120" s="38" t="str">
        <f>IFERROR('2.vize'!AE19*100/'2.vize'!$I19,"")</f>
        <v/>
      </c>
      <c r="U120" s="38" t="str">
        <f>IFERROR('2.vize'!AF19*100/'2.vize'!$I19,"")</f>
        <v/>
      </c>
      <c r="V120" s="38" t="str">
        <f>IFERROR('2.vize'!AG19*100/'2.vize'!$I19,"")</f>
        <v/>
      </c>
      <c r="W120" s="38" t="str">
        <f>IFERROR('2.vize'!AH19*100/'2.vize'!$I19,"")</f>
        <v/>
      </c>
      <c r="X120" s="38" t="str">
        <f>IFERROR('2.vize'!AI19*100/'2.vize'!$I19,"")</f>
        <v/>
      </c>
      <c r="Y120" s="38" t="str">
        <f>IFERROR('2.vize'!AJ19*100/'2.vize'!$I19,"")</f>
        <v/>
      </c>
      <c r="Z120" s="38" t="str">
        <f>IFERROR('2.vize'!AK19*100/'2.vize'!$I19,"")</f>
        <v/>
      </c>
      <c r="AA120" s="38" t="str">
        <f>IFERROR('2.vize'!AL19*100/'2.vize'!$I19,"")</f>
        <v/>
      </c>
      <c r="AB120" s="38" t="str">
        <f>IFERROR('2.vize'!AM19*100/'2.vize'!$I19,"")</f>
        <v/>
      </c>
      <c r="AC120" s="38" t="str">
        <f>IFERROR('2.vize'!AN19*100/'2.vize'!$I19,"")</f>
        <v/>
      </c>
      <c r="AD120" s="38" t="str">
        <f>IFERROR('2.vize'!AO19*100/'2.vize'!$I19,"")</f>
        <v/>
      </c>
      <c r="AE120" s="38" t="str">
        <f>IFERROR('2.vize'!AP19*100/'2.vize'!$I19,"")</f>
        <v/>
      </c>
      <c r="AF120" s="38" t="str">
        <f>IFERROR('2.vize'!AQ19*100/'2.vize'!$I19,"")</f>
        <v/>
      </c>
      <c r="AG120" s="38" t="str">
        <f>IFERROR('2.vize'!AR19*100/'2.vize'!$I19,"")</f>
        <v/>
      </c>
      <c r="AH120" s="38" t="str">
        <f>IFERROR('2.vize'!AS19*100/'2.vize'!$I19,"")</f>
        <v/>
      </c>
      <c r="AI120" s="38" t="str">
        <f>IFERROR('2.vize'!AT19*100/'2.vize'!$I19,"")</f>
        <v/>
      </c>
      <c r="AJ120" s="38" t="str">
        <f>IFERROR('2.vize'!AU19*100/'2.vize'!$I19,"")</f>
        <v/>
      </c>
      <c r="AK120" s="38" t="str">
        <f>IFERROR('2.vize'!AV19*100/'2.vize'!$I19,"")</f>
        <v/>
      </c>
      <c r="AL120" s="38" t="str">
        <f>IFERROR('2.vize'!AW19*100/'2.vize'!$I19,"")</f>
        <v/>
      </c>
      <c r="AM120" s="38" t="str">
        <f>IFERROR('2.vize'!AX19*100/'2.vize'!$I19,"")</f>
        <v/>
      </c>
      <c r="AN120" s="38" t="str">
        <f>IFERROR('2.vize'!AY19*100/'2.vize'!$I19,"")</f>
        <v/>
      </c>
      <c r="AO120" s="38" t="str">
        <f>IFERROR('2.vize'!AZ19*100/'2.vize'!$I19,"")</f>
        <v/>
      </c>
      <c r="AP120" s="38" t="str">
        <f>IFERROR('2.vize'!BA19*100/'2.vize'!$I19,"")</f>
        <v/>
      </c>
      <c r="AQ120" s="38" t="str">
        <f>IFERROR('2.vize'!BB19*100/'2.vize'!$I19,"")</f>
        <v/>
      </c>
      <c r="AR120" s="38" t="str">
        <f>IFERROR('2.vize'!BC19*100/'2.vize'!$I19,"")</f>
        <v/>
      </c>
      <c r="AS120" s="38" t="str">
        <f>IFERROR('2.vize'!BD19*100/'2.vize'!$I19,"")</f>
        <v/>
      </c>
      <c r="AT120" s="38" t="str">
        <f>IFERROR('2.vize'!BE19*100/'2.vize'!$I19,"")</f>
        <v/>
      </c>
      <c r="AU120" s="38" t="str">
        <f>IFERROR('2.vize'!BF19*100/'2.vize'!$I19,"")</f>
        <v/>
      </c>
      <c r="AV120" s="38" t="str">
        <f>IFERROR('2.vize'!BG19*100/'2.vize'!$I19,"")</f>
        <v/>
      </c>
      <c r="AW120" s="38" t="str">
        <f>IFERROR('2.vize'!BH19*100/'2.vize'!$I19,"")</f>
        <v/>
      </c>
      <c r="AX120" s="38" t="str">
        <f>IFERROR('2.vize'!BI19*100/'2.vize'!$I19,"")</f>
        <v/>
      </c>
      <c r="AY120" s="38" t="str">
        <f>IFERROR('2.vize'!BJ19*100/'2.vize'!$I19,"")</f>
        <v/>
      </c>
      <c r="AZ120" s="38" t="str">
        <f>IFERROR('2.vize'!BK19*100/'2.vize'!$I19,"")</f>
        <v/>
      </c>
      <c r="BA120" s="38" t="str">
        <f>IFERROR('2.vize'!BL19*100/'2.vize'!$I19,"")</f>
        <v/>
      </c>
      <c r="BB120" s="38" t="str">
        <f>IFERROR('2.vize'!BM19*100/'2.vize'!$I19,"")</f>
        <v/>
      </c>
      <c r="BC120" s="38" t="str">
        <f>IFERROR('2.vize'!BN19*100/'2.vize'!$I19,"")</f>
        <v/>
      </c>
      <c r="BD120" s="38" t="str">
        <f>IFERROR('2.vize'!BO19*100/'2.vize'!$I19,"")</f>
        <v/>
      </c>
      <c r="BE120" s="38" t="str">
        <f>IFERROR('2.vize'!BP19*100/'2.vize'!$I19,"")</f>
        <v/>
      </c>
      <c r="BF120" s="38" t="str">
        <f>IFERROR('2.vize'!BQ19*100/'2.vize'!$I19,"")</f>
        <v/>
      </c>
      <c r="BG120" s="38" t="str">
        <f>IFERROR('2.vize'!BR19*100/'2.vize'!$I19,"")</f>
        <v/>
      </c>
      <c r="BH120" s="38" t="str">
        <f>IFERROR('2.vize'!BS19*100/'2.vize'!$I19,"")</f>
        <v/>
      </c>
      <c r="BI120" s="38" t="str">
        <f>IFERROR('2.vize'!BT19*100/'2.vize'!$I19,"")</f>
        <v/>
      </c>
      <c r="BJ120" s="38" t="str">
        <f>IFERROR('2.vize'!BU19*100/'2.vize'!$I19,"")</f>
        <v/>
      </c>
      <c r="BK120" s="38" t="str">
        <f>IFERROR('2.vize'!BV19*100/'2.vize'!$I19,"")</f>
        <v/>
      </c>
      <c r="BL120" s="38" t="str">
        <f>IFERROR('2.vize'!BW19*100/'2.vize'!$I19,"")</f>
        <v/>
      </c>
      <c r="BM120" s="38" t="str">
        <f>IFERROR('2.vize'!BX19*100/'2.vize'!$I19,"")</f>
        <v/>
      </c>
      <c r="BN120" s="38" t="str">
        <f>IFERROR('2.vize'!BY19*100/'2.vize'!$I19,"")</f>
        <v/>
      </c>
      <c r="BO120" s="38" t="str">
        <f>IFERROR('2.vize'!BZ19*100/'2.vize'!$I19,"")</f>
        <v/>
      </c>
      <c r="BP120" s="38" t="str">
        <f>IFERROR('2.vize'!CA19*100/'2.vize'!$I19,"")</f>
        <v/>
      </c>
      <c r="BQ120" s="38" t="str">
        <f>IFERROR('2.vize'!CB19*100/'2.vize'!$I19,"")</f>
        <v/>
      </c>
      <c r="BR120" s="38" t="str">
        <f>IFERROR('2.vize'!CC19*100/'2.vize'!$I19,"")</f>
        <v/>
      </c>
      <c r="BS120" s="38" t="str">
        <f>IFERROR('2.vize'!CD19*100/'2.vize'!$I19,"")</f>
        <v/>
      </c>
      <c r="BT120" s="38" t="str">
        <f>IFERROR('2.vize'!CE19*100/'2.vize'!$I19,"")</f>
        <v/>
      </c>
      <c r="BU120" s="38" t="str">
        <f>IFERROR('2.vize'!CF19*100/'2.vize'!$I19,"")</f>
        <v/>
      </c>
      <c r="BV120" s="38" t="str">
        <f>IFERROR('2.vize'!CG19*100/'2.vize'!$I19,"")</f>
        <v/>
      </c>
      <c r="BW120" s="38" t="str">
        <f>IFERROR('2.vize'!CH19*100/'2.vize'!$I19,"")</f>
        <v/>
      </c>
      <c r="BX120" s="38" t="str">
        <f>IFERROR('2.vize'!CI19*100/'2.vize'!$I19,"")</f>
        <v/>
      </c>
      <c r="BY120" s="38" t="str">
        <f>IFERROR('2.vize'!CJ19*100/'2.vize'!$I19,"")</f>
        <v/>
      </c>
      <c r="BZ120" s="38" t="str">
        <f>IFERROR('2.vize'!CK19*100/'2.vize'!$I19,"")</f>
        <v/>
      </c>
      <c r="CA120" s="38" t="str">
        <f>IFERROR('2.vize'!CL19*100/'2.vize'!$I19,"")</f>
        <v/>
      </c>
      <c r="CB120" s="38" t="str">
        <f>IFERROR('2.vize'!CM19*100/'2.vize'!$I19,"")</f>
        <v/>
      </c>
      <c r="CC120" s="38" t="str">
        <f>IFERROR('2.vize'!CN19*100/'2.vize'!$I19,"")</f>
        <v/>
      </c>
      <c r="CD120" s="38" t="str">
        <f>IFERROR('2.vize'!CO19*100/'2.vize'!$I19,"")</f>
        <v/>
      </c>
      <c r="CE120" s="38" t="str">
        <f>IFERROR('2.vize'!CP19*100/'2.vize'!$I19,"")</f>
        <v/>
      </c>
      <c r="CF120" s="38" t="str">
        <f>IFERROR('2.vize'!CQ19*100/'2.vize'!$I19,"")</f>
        <v/>
      </c>
      <c r="CG120" s="38" t="str">
        <f>IFERROR('2.vize'!CR19*100/'2.vize'!$I19,"")</f>
        <v/>
      </c>
      <c r="CH120" s="38" t="str">
        <f>IFERROR('2.vize'!CS19*100/'2.vize'!$I19,"")</f>
        <v/>
      </c>
      <c r="CI120" s="38" t="str">
        <f>IFERROR('2.vize'!CT19*100/'2.vize'!$I19,"")</f>
        <v/>
      </c>
      <c r="CJ120" s="38" t="str">
        <f>IFERROR('2.vize'!CU19*100/'2.vize'!$I19,"")</f>
        <v/>
      </c>
      <c r="CK120" s="38" t="str">
        <f>IFERROR('2.vize'!CV19*100/'2.vize'!$I19,"")</f>
        <v/>
      </c>
      <c r="CL120" s="38" t="str">
        <f>IFERROR('2.vize'!CW19*100/'2.vize'!$I19,"")</f>
        <v/>
      </c>
      <c r="CM120" s="38" t="str">
        <f>IFERROR('2.vize'!CX19*100/'2.vize'!$I19,"")</f>
        <v/>
      </c>
      <c r="CN120" s="38" t="str">
        <f>IFERROR('2.vize'!CY19*100/'2.vize'!$I19,"")</f>
        <v/>
      </c>
      <c r="CO120" s="38" t="str">
        <f>IFERROR('2.vize'!CZ19*100/'2.vize'!$I19,"")</f>
        <v/>
      </c>
      <c r="CP120" s="38" t="str">
        <f>IFERROR('2.vize'!DA19*100/'2.vize'!$I19,"")</f>
        <v/>
      </c>
      <c r="CQ120" s="38" t="str">
        <f>IFERROR('2.vize'!DB19*100/'2.vize'!$I19,"")</f>
        <v/>
      </c>
      <c r="CR120" s="38" t="str">
        <f>IFERROR('2.vize'!DC19*100/'2.vize'!$I19,"")</f>
        <v/>
      </c>
      <c r="CS120" s="38" t="str">
        <f>IFERROR('2.vize'!DD19*100/'2.vize'!$I19,"")</f>
        <v/>
      </c>
      <c r="CT120" s="38" t="str">
        <f>IFERROR('2.vize'!DE19*100/'2.vize'!$I19,"")</f>
        <v/>
      </c>
      <c r="CU120" s="38" t="str">
        <f>IFERROR('2.vize'!DF19*100/'2.vize'!$I19,"")</f>
        <v/>
      </c>
      <c r="CV120" s="38" t="str">
        <f>IFERROR('2.vize'!DG19*100/'2.vize'!$I19,"")</f>
        <v/>
      </c>
      <c r="CW120" s="32" t="str">
        <f>IFERROR(SUM(A120:CV120)/'2.vize'!$DH$103,"")</f>
        <v/>
      </c>
      <c r="CX120" s="14" t="str">
        <f>IF(COUNTA('2.vize'!A19),'2.vize'!A19,"")</f>
        <v/>
      </c>
      <c r="CY120" s="14" t="str">
        <f>IF(COUNTA('2.vize'!B19),'2.vize'!B19,"")</f>
        <v/>
      </c>
      <c r="CZ120" s="14" t="str">
        <f>IF(COUNTA('2.vize'!C19),'2.vize'!C19,"")</f>
        <v/>
      </c>
      <c r="DA120" s="14" t="str">
        <f>IF(COUNTA('2.vize'!D19),'2.vize'!D19,"")</f>
        <v/>
      </c>
      <c r="DB120" s="14" t="str">
        <f>IF(COUNTA('2.vize'!E19),'2.vize'!E19,"")</f>
        <v/>
      </c>
      <c r="DC120" s="14" t="str">
        <f>IF(COUNTA('2.vize'!F19),'2.vize'!F19,"")</f>
        <v/>
      </c>
      <c r="DD120" s="14" t="str">
        <f>IF(COUNTA('2.vize'!G19),'2.vize'!G19,"")</f>
        <v/>
      </c>
      <c r="DE120" s="14" t="str">
        <f>IF(COUNTA('2.vize'!H19),'2.vize'!H19,"")</f>
        <v/>
      </c>
    </row>
    <row r="121" spans="1:109" x14ac:dyDescent="0.2">
      <c r="A121" s="38" t="str">
        <f>IFERROR('2.vize'!L20*100/'2.vize'!$I20,"")</f>
        <v/>
      </c>
      <c r="B121" s="38" t="str">
        <f>IFERROR('2.vize'!M20*100/'2.vize'!$I20,"")</f>
        <v/>
      </c>
      <c r="C121" s="38" t="str">
        <f>IFERROR('2.vize'!N20*100/'2.vize'!$I20,"")</f>
        <v/>
      </c>
      <c r="D121" s="38" t="str">
        <f>IFERROR('2.vize'!O20*100/'2.vize'!$I20,"")</f>
        <v/>
      </c>
      <c r="E121" s="38" t="str">
        <f>IFERROR('2.vize'!P20*100/'2.vize'!$I20,"")</f>
        <v/>
      </c>
      <c r="F121" s="38" t="str">
        <f>IFERROR('2.vize'!Q20*100/'2.vize'!$I20,"")</f>
        <v/>
      </c>
      <c r="G121" s="38" t="str">
        <f>IFERROR('2.vize'!R20*100/'2.vize'!$I20,"")</f>
        <v/>
      </c>
      <c r="H121" s="38" t="str">
        <f>IFERROR('2.vize'!S20*100/'2.vize'!$I20,"")</f>
        <v/>
      </c>
      <c r="I121" s="38" t="str">
        <f>IFERROR('2.vize'!T20*100/'2.vize'!$I20,"")</f>
        <v/>
      </c>
      <c r="J121" s="38" t="str">
        <f>IFERROR('2.vize'!U20*100/'2.vize'!$I20,"")</f>
        <v/>
      </c>
      <c r="K121" s="38" t="str">
        <f>IFERROR('2.vize'!V20*100/'2.vize'!$I20,"")</f>
        <v/>
      </c>
      <c r="L121" s="38" t="str">
        <f>IFERROR('2.vize'!W20*100/'2.vize'!$I20,"")</f>
        <v/>
      </c>
      <c r="M121" s="38" t="str">
        <f>IFERROR('2.vize'!X20*100/'2.vize'!$I20,"")</f>
        <v/>
      </c>
      <c r="N121" s="38" t="str">
        <f>IFERROR('2.vize'!Y20*100/'2.vize'!$I20,"")</f>
        <v/>
      </c>
      <c r="O121" s="38" t="str">
        <f>IFERROR('2.vize'!Z20*100/'2.vize'!$I20,"")</f>
        <v/>
      </c>
      <c r="P121" s="38" t="str">
        <f>IFERROR('2.vize'!AA20*100/'2.vize'!$I20,"")</f>
        <v/>
      </c>
      <c r="Q121" s="38" t="str">
        <f>IFERROR('2.vize'!AB20*100/'2.vize'!$I20,"")</f>
        <v/>
      </c>
      <c r="R121" s="38" t="str">
        <f>IFERROR('2.vize'!AC20*100/'2.vize'!$I20,"")</f>
        <v/>
      </c>
      <c r="S121" s="38" t="str">
        <f>IFERROR('2.vize'!AD20*100/'2.vize'!$I20,"")</f>
        <v/>
      </c>
      <c r="T121" s="38" t="str">
        <f>IFERROR('2.vize'!AE20*100/'2.vize'!$I20,"")</f>
        <v/>
      </c>
      <c r="U121" s="38" t="str">
        <f>IFERROR('2.vize'!AF20*100/'2.vize'!$I20,"")</f>
        <v/>
      </c>
      <c r="V121" s="38" t="str">
        <f>IFERROR('2.vize'!AG20*100/'2.vize'!$I20,"")</f>
        <v/>
      </c>
      <c r="W121" s="38" t="str">
        <f>IFERROR('2.vize'!AH20*100/'2.vize'!$I20,"")</f>
        <v/>
      </c>
      <c r="X121" s="38" t="str">
        <f>IFERROR('2.vize'!AI20*100/'2.vize'!$I20,"")</f>
        <v/>
      </c>
      <c r="Y121" s="38" t="str">
        <f>IFERROR('2.vize'!AJ20*100/'2.vize'!$I20,"")</f>
        <v/>
      </c>
      <c r="Z121" s="38" t="str">
        <f>IFERROR('2.vize'!AK20*100/'2.vize'!$I20,"")</f>
        <v/>
      </c>
      <c r="AA121" s="38" t="str">
        <f>IFERROR('2.vize'!AL20*100/'2.vize'!$I20,"")</f>
        <v/>
      </c>
      <c r="AB121" s="38" t="str">
        <f>IFERROR('2.vize'!AM20*100/'2.vize'!$I20,"")</f>
        <v/>
      </c>
      <c r="AC121" s="38" t="str">
        <f>IFERROR('2.vize'!AN20*100/'2.vize'!$I20,"")</f>
        <v/>
      </c>
      <c r="AD121" s="38" t="str">
        <f>IFERROR('2.vize'!AO20*100/'2.vize'!$I20,"")</f>
        <v/>
      </c>
      <c r="AE121" s="38" t="str">
        <f>IFERROR('2.vize'!AP20*100/'2.vize'!$I20,"")</f>
        <v/>
      </c>
      <c r="AF121" s="38" t="str">
        <f>IFERROR('2.vize'!AQ20*100/'2.vize'!$I20,"")</f>
        <v/>
      </c>
      <c r="AG121" s="38" t="str">
        <f>IFERROR('2.vize'!AR20*100/'2.vize'!$I20,"")</f>
        <v/>
      </c>
      <c r="AH121" s="38" t="str">
        <f>IFERROR('2.vize'!AS20*100/'2.vize'!$I20,"")</f>
        <v/>
      </c>
      <c r="AI121" s="38" t="str">
        <f>IFERROR('2.vize'!AT20*100/'2.vize'!$I20,"")</f>
        <v/>
      </c>
      <c r="AJ121" s="38" t="str">
        <f>IFERROR('2.vize'!AU20*100/'2.vize'!$I20,"")</f>
        <v/>
      </c>
      <c r="AK121" s="38" t="str">
        <f>IFERROR('2.vize'!AV20*100/'2.vize'!$I20,"")</f>
        <v/>
      </c>
      <c r="AL121" s="38" t="str">
        <f>IFERROR('2.vize'!AW20*100/'2.vize'!$I20,"")</f>
        <v/>
      </c>
      <c r="AM121" s="38" t="str">
        <f>IFERROR('2.vize'!AX20*100/'2.vize'!$I20,"")</f>
        <v/>
      </c>
      <c r="AN121" s="38" t="str">
        <f>IFERROR('2.vize'!AY20*100/'2.vize'!$I20,"")</f>
        <v/>
      </c>
      <c r="AO121" s="38" t="str">
        <f>IFERROR('2.vize'!AZ20*100/'2.vize'!$I20,"")</f>
        <v/>
      </c>
      <c r="AP121" s="38" t="str">
        <f>IFERROR('2.vize'!BA20*100/'2.vize'!$I20,"")</f>
        <v/>
      </c>
      <c r="AQ121" s="38" t="str">
        <f>IFERROR('2.vize'!BB20*100/'2.vize'!$I20,"")</f>
        <v/>
      </c>
      <c r="AR121" s="38" t="str">
        <f>IFERROR('2.vize'!BC20*100/'2.vize'!$I20,"")</f>
        <v/>
      </c>
      <c r="AS121" s="38" t="str">
        <f>IFERROR('2.vize'!BD20*100/'2.vize'!$I20,"")</f>
        <v/>
      </c>
      <c r="AT121" s="38" t="str">
        <f>IFERROR('2.vize'!BE20*100/'2.vize'!$I20,"")</f>
        <v/>
      </c>
      <c r="AU121" s="38" t="str">
        <f>IFERROR('2.vize'!BF20*100/'2.vize'!$I20,"")</f>
        <v/>
      </c>
      <c r="AV121" s="38" t="str">
        <f>IFERROR('2.vize'!BG20*100/'2.vize'!$I20,"")</f>
        <v/>
      </c>
      <c r="AW121" s="38" t="str">
        <f>IFERROR('2.vize'!BH20*100/'2.vize'!$I20,"")</f>
        <v/>
      </c>
      <c r="AX121" s="38" t="str">
        <f>IFERROR('2.vize'!BI20*100/'2.vize'!$I20,"")</f>
        <v/>
      </c>
      <c r="AY121" s="38" t="str">
        <f>IFERROR('2.vize'!BJ20*100/'2.vize'!$I20,"")</f>
        <v/>
      </c>
      <c r="AZ121" s="38" t="str">
        <f>IFERROR('2.vize'!BK20*100/'2.vize'!$I20,"")</f>
        <v/>
      </c>
      <c r="BA121" s="38" t="str">
        <f>IFERROR('2.vize'!BL20*100/'2.vize'!$I20,"")</f>
        <v/>
      </c>
      <c r="BB121" s="38" t="str">
        <f>IFERROR('2.vize'!BM20*100/'2.vize'!$I20,"")</f>
        <v/>
      </c>
      <c r="BC121" s="38" t="str">
        <f>IFERROR('2.vize'!BN20*100/'2.vize'!$I20,"")</f>
        <v/>
      </c>
      <c r="BD121" s="38" t="str">
        <f>IFERROR('2.vize'!BO20*100/'2.vize'!$I20,"")</f>
        <v/>
      </c>
      <c r="BE121" s="38" t="str">
        <f>IFERROR('2.vize'!BP20*100/'2.vize'!$I20,"")</f>
        <v/>
      </c>
      <c r="BF121" s="38" t="str">
        <f>IFERROR('2.vize'!BQ20*100/'2.vize'!$I20,"")</f>
        <v/>
      </c>
      <c r="BG121" s="38" t="str">
        <f>IFERROR('2.vize'!BR20*100/'2.vize'!$I20,"")</f>
        <v/>
      </c>
      <c r="BH121" s="38" t="str">
        <f>IFERROR('2.vize'!BS20*100/'2.vize'!$I20,"")</f>
        <v/>
      </c>
      <c r="BI121" s="38" t="str">
        <f>IFERROR('2.vize'!BT20*100/'2.vize'!$I20,"")</f>
        <v/>
      </c>
      <c r="BJ121" s="38" t="str">
        <f>IFERROR('2.vize'!BU20*100/'2.vize'!$I20,"")</f>
        <v/>
      </c>
      <c r="BK121" s="38" t="str">
        <f>IFERROR('2.vize'!BV20*100/'2.vize'!$I20,"")</f>
        <v/>
      </c>
      <c r="BL121" s="38" t="str">
        <f>IFERROR('2.vize'!BW20*100/'2.vize'!$I20,"")</f>
        <v/>
      </c>
      <c r="BM121" s="38" t="str">
        <f>IFERROR('2.vize'!BX20*100/'2.vize'!$I20,"")</f>
        <v/>
      </c>
      <c r="BN121" s="38" t="str">
        <f>IFERROR('2.vize'!BY20*100/'2.vize'!$I20,"")</f>
        <v/>
      </c>
      <c r="BO121" s="38" t="str">
        <f>IFERROR('2.vize'!BZ20*100/'2.vize'!$I20,"")</f>
        <v/>
      </c>
      <c r="BP121" s="38" t="str">
        <f>IFERROR('2.vize'!CA20*100/'2.vize'!$I20,"")</f>
        <v/>
      </c>
      <c r="BQ121" s="38" t="str">
        <f>IFERROR('2.vize'!CB20*100/'2.vize'!$I20,"")</f>
        <v/>
      </c>
      <c r="BR121" s="38" t="str">
        <f>IFERROR('2.vize'!CC20*100/'2.vize'!$I20,"")</f>
        <v/>
      </c>
      <c r="BS121" s="38" t="str">
        <f>IFERROR('2.vize'!CD20*100/'2.vize'!$I20,"")</f>
        <v/>
      </c>
      <c r="BT121" s="38" t="str">
        <f>IFERROR('2.vize'!CE20*100/'2.vize'!$I20,"")</f>
        <v/>
      </c>
      <c r="BU121" s="38" t="str">
        <f>IFERROR('2.vize'!CF20*100/'2.vize'!$I20,"")</f>
        <v/>
      </c>
      <c r="BV121" s="38" t="str">
        <f>IFERROR('2.vize'!CG20*100/'2.vize'!$I20,"")</f>
        <v/>
      </c>
      <c r="BW121" s="38" t="str">
        <f>IFERROR('2.vize'!CH20*100/'2.vize'!$I20,"")</f>
        <v/>
      </c>
      <c r="BX121" s="38" t="str">
        <f>IFERROR('2.vize'!CI20*100/'2.vize'!$I20,"")</f>
        <v/>
      </c>
      <c r="BY121" s="38" t="str">
        <f>IFERROR('2.vize'!CJ20*100/'2.vize'!$I20,"")</f>
        <v/>
      </c>
      <c r="BZ121" s="38" t="str">
        <f>IFERROR('2.vize'!CK20*100/'2.vize'!$I20,"")</f>
        <v/>
      </c>
      <c r="CA121" s="38" t="str">
        <f>IFERROR('2.vize'!CL20*100/'2.vize'!$I20,"")</f>
        <v/>
      </c>
      <c r="CB121" s="38" t="str">
        <f>IFERROR('2.vize'!CM20*100/'2.vize'!$I20,"")</f>
        <v/>
      </c>
      <c r="CC121" s="38" t="str">
        <f>IFERROR('2.vize'!CN20*100/'2.vize'!$I20,"")</f>
        <v/>
      </c>
      <c r="CD121" s="38" t="str">
        <f>IFERROR('2.vize'!CO20*100/'2.vize'!$I20,"")</f>
        <v/>
      </c>
      <c r="CE121" s="38" t="str">
        <f>IFERROR('2.vize'!CP20*100/'2.vize'!$I20,"")</f>
        <v/>
      </c>
      <c r="CF121" s="38" t="str">
        <f>IFERROR('2.vize'!CQ20*100/'2.vize'!$I20,"")</f>
        <v/>
      </c>
      <c r="CG121" s="38" t="str">
        <f>IFERROR('2.vize'!CR20*100/'2.vize'!$I20,"")</f>
        <v/>
      </c>
      <c r="CH121" s="38" t="str">
        <f>IFERROR('2.vize'!CS20*100/'2.vize'!$I20,"")</f>
        <v/>
      </c>
      <c r="CI121" s="38" t="str">
        <f>IFERROR('2.vize'!CT20*100/'2.vize'!$I20,"")</f>
        <v/>
      </c>
      <c r="CJ121" s="38" t="str">
        <f>IFERROR('2.vize'!CU20*100/'2.vize'!$I20,"")</f>
        <v/>
      </c>
      <c r="CK121" s="38" t="str">
        <f>IFERROR('2.vize'!CV20*100/'2.vize'!$I20,"")</f>
        <v/>
      </c>
      <c r="CL121" s="38" t="str">
        <f>IFERROR('2.vize'!CW20*100/'2.vize'!$I20,"")</f>
        <v/>
      </c>
      <c r="CM121" s="38" t="str">
        <f>IFERROR('2.vize'!CX20*100/'2.vize'!$I20,"")</f>
        <v/>
      </c>
      <c r="CN121" s="38" t="str">
        <f>IFERROR('2.vize'!CY20*100/'2.vize'!$I20,"")</f>
        <v/>
      </c>
      <c r="CO121" s="38" t="str">
        <f>IFERROR('2.vize'!CZ20*100/'2.vize'!$I20,"")</f>
        <v/>
      </c>
      <c r="CP121" s="38" t="str">
        <f>IFERROR('2.vize'!DA20*100/'2.vize'!$I20,"")</f>
        <v/>
      </c>
      <c r="CQ121" s="38" t="str">
        <f>IFERROR('2.vize'!DB20*100/'2.vize'!$I20,"")</f>
        <v/>
      </c>
      <c r="CR121" s="38" t="str">
        <f>IFERROR('2.vize'!DC20*100/'2.vize'!$I20,"")</f>
        <v/>
      </c>
      <c r="CS121" s="38" t="str">
        <f>IFERROR('2.vize'!DD20*100/'2.vize'!$I20,"")</f>
        <v/>
      </c>
      <c r="CT121" s="38" t="str">
        <f>IFERROR('2.vize'!DE20*100/'2.vize'!$I20,"")</f>
        <v/>
      </c>
      <c r="CU121" s="38" t="str">
        <f>IFERROR('2.vize'!DF20*100/'2.vize'!$I20,"")</f>
        <v/>
      </c>
      <c r="CV121" s="38" t="str">
        <f>IFERROR('2.vize'!DG20*100/'2.vize'!$I20,"")</f>
        <v/>
      </c>
      <c r="CW121" s="32" t="str">
        <f>IFERROR(SUM(A121:CV121)/'2.vize'!$DH$103,"")</f>
        <v/>
      </c>
      <c r="CX121" s="14" t="str">
        <f>IF(COUNTA('2.vize'!A20),'2.vize'!A20,"")</f>
        <v/>
      </c>
      <c r="CY121" s="14" t="str">
        <f>IF(COUNTA('2.vize'!B20),'2.vize'!B20,"")</f>
        <v/>
      </c>
      <c r="CZ121" s="14" t="str">
        <f>IF(COUNTA('2.vize'!C20),'2.vize'!C20,"")</f>
        <v/>
      </c>
      <c r="DA121" s="14" t="str">
        <f>IF(COUNTA('2.vize'!D20),'2.vize'!D20,"")</f>
        <v/>
      </c>
      <c r="DB121" s="14" t="str">
        <f>IF(COUNTA('2.vize'!E20),'2.vize'!E20,"")</f>
        <v/>
      </c>
      <c r="DC121" s="14" t="str">
        <f>IF(COUNTA('2.vize'!F20),'2.vize'!F20,"")</f>
        <v/>
      </c>
      <c r="DD121" s="14" t="str">
        <f>IF(COUNTA('2.vize'!G20),'2.vize'!G20,"")</f>
        <v/>
      </c>
      <c r="DE121" s="14" t="str">
        <f>IF(COUNTA('2.vize'!H20),'2.vize'!H20,"")</f>
        <v/>
      </c>
    </row>
    <row r="122" spans="1:109" x14ac:dyDescent="0.2">
      <c r="A122" s="38" t="str">
        <f>IFERROR('2.vize'!L21*100/'2.vize'!$I21,"")</f>
        <v/>
      </c>
      <c r="B122" s="38" t="str">
        <f>IFERROR('2.vize'!M21*100/'2.vize'!$I21,"")</f>
        <v/>
      </c>
      <c r="C122" s="38" t="str">
        <f>IFERROR('2.vize'!N21*100/'2.vize'!$I21,"")</f>
        <v/>
      </c>
      <c r="D122" s="38" t="str">
        <f>IFERROR('2.vize'!O21*100/'2.vize'!$I21,"")</f>
        <v/>
      </c>
      <c r="E122" s="38" t="str">
        <f>IFERROR('2.vize'!P21*100/'2.vize'!$I21,"")</f>
        <v/>
      </c>
      <c r="F122" s="38" t="str">
        <f>IFERROR('2.vize'!Q21*100/'2.vize'!$I21,"")</f>
        <v/>
      </c>
      <c r="G122" s="38" t="str">
        <f>IFERROR('2.vize'!R21*100/'2.vize'!$I21,"")</f>
        <v/>
      </c>
      <c r="H122" s="38" t="str">
        <f>IFERROR('2.vize'!S21*100/'2.vize'!$I21,"")</f>
        <v/>
      </c>
      <c r="I122" s="38" t="str">
        <f>IFERROR('2.vize'!T21*100/'2.vize'!$I21,"")</f>
        <v/>
      </c>
      <c r="J122" s="38" t="str">
        <f>IFERROR('2.vize'!U21*100/'2.vize'!$I21,"")</f>
        <v/>
      </c>
      <c r="K122" s="38" t="str">
        <f>IFERROR('2.vize'!V21*100/'2.vize'!$I21,"")</f>
        <v/>
      </c>
      <c r="L122" s="38" t="str">
        <f>IFERROR('2.vize'!W21*100/'2.vize'!$I21,"")</f>
        <v/>
      </c>
      <c r="M122" s="38" t="str">
        <f>IFERROR('2.vize'!X21*100/'2.vize'!$I21,"")</f>
        <v/>
      </c>
      <c r="N122" s="38" t="str">
        <f>IFERROR('2.vize'!Y21*100/'2.vize'!$I21,"")</f>
        <v/>
      </c>
      <c r="O122" s="38" t="str">
        <f>IFERROR('2.vize'!Z21*100/'2.vize'!$I21,"")</f>
        <v/>
      </c>
      <c r="P122" s="38" t="str">
        <f>IFERROR('2.vize'!AA21*100/'2.vize'!$I21,"")</f>
        <v/>
      </c>
      <c r="Q122" s="38" t="str">
        <f>IFERROR('2.vize'!AB21*100/'2.vize'!$I21,"")</f>
        <v/>
      </c>
      <c r="R122" s="38" t="str">
        <f>IFERROR('2.vize'!AC21*100/'2.vize'!$I21,"")</f>
        <v/>
      </c>
      <c r="S122" s="38" t="str">
        <f>IFERROR('2.vize'!AD21*100/'2.vize'!$I21,"")</f>
        <v/>
      </c>
      <c r="T122" s="38" t="str">
        <f>IFERROR('2.vize'!AE21*100/'2.vize'!$I21,"")</f>
        <v/>
      </c>
      <c r="U122" s="38" t="str">
        <f>IFERROR('2.vize'!AF21*100/'2.vize'!$I21,"")</f>
        <v/>
      </c>
      <c r="V122" s="38" t="str">
        <f>IFERROR('2.vize'!AG21*100/'2.vize'!$I21,"")</f>
        <v/>
      </c>
      <c r="W122" s="38" t="str">
        <f>IFERROR('2.vize'!AH21*100/'2.vize'!$I21,"")</f>
        <v/>
      </c>
      <c r="X122" s="38" t="str">
        <f>IFERROR('2.vize'!AI21*100/'2.vize'!$I21,"")</f>
        <v/>
      </c>
      <c r="Y122" s="38" t="str">
        <f>IFERROR('2.vize'!AJ21*100/'2.vize'!$I21,"")</f>
        <v/>
      </c>
      <c r="Z122" s="38" t="str">
        <f>IFERROR('2.vize'!AK21*100/'2.vize'!$I21,"")</f>
        <v/>
      </c>
      <c r="AA122" s="38" t="str">
        <f>IFERROR('2.vize'!AL21*100/'2.vize'!$I21,"")</f>
        <v/>
      </c>
      <c r="AB122" s="38" t="str">
        <f>IFERROR('2.vize'!AM21*100/'2.vize'!$I21,"")</f>
        <v/>
      </c>
      <c r="AC122" s="38" t="str">
        <f>IFERROR('2.vize'!AN21*100/'2.vize'!$I21,"")</f>
        <v/>
      </c>
      <c r="AD122" s="38" t="str">
        <f>IFERROR('2.vize'!AO21*100/'2.vize'!$I21,"")</f>
        <v/>
      </c>
      <c r="AE122" s="38" t="str">
        <f>IFERROR('2.vize'!AP21*100/'2.vize'!$I21,"")</f>
        <v/>
      </c>
      <c r="AF122" s="38" t="str">
        <f>IFERROR('2.vize'!AQ21*100/'2.vize'!$I21,"")</f>
        <v/>
      </c>
      <c r="AG122" s="38" t="str">
        <f>IFERROR('2.vize'!AR21*100/'2.vize'!$I21,"")</f>
        <v/>
      </c>
      <c r="AH122" s="38" t="str">
        <f>IFERROR('2.vize'!AS21*100/'2.vize'!$I21,"")</f>
        <v/>
      </c>
      <c r="AI122" s="38" t="str">
        <f>IFERROR('2.vize'!AT21*100/'2.vize'!$I21,"")</f>
        <v/>
      </c>
      <c r="AJ122" s="38" t="str">
        <f>IFERROR('2.vize'!AU21*100/'2.vize'!$I21,"")</f>
        <v/>
      </c>
      <c r="AK122" s="38" t="str">
        <f>IFERROR('2.vize'!AV21*100/'2.vize'!$I21,"")</f>
        <v/>
      </c>
      <c r="AL122" s="38" t="str">
        <f>IFERROR('2.vize'!AW21*100/'2.vize'!$I21,"")</f>
        <v/>
      </c>
      <c r="AM122" s="38" t="str">
        <f>IFERROR('2.vize'!AX21*100/'2.vize'!$I21,"")</f>
        <v/>
      </c>
      <c r="AN122" s="38" t="str">
        <f>IFERROR('2.vize'!AY21*100/'2.vize'!$I21,"")</f>
        <v/>
      </c>
      <c r="AO122" s="38" t="str">
        <f>IFERROR('2.vize'!AZ21*100/'2.vize'!$I21,"")</f>
        <v/>
      </c>
      <c r="AP122" s="38" t="str">
        <f>IFERROR('2.vize'!BA21*100/'2.vize'!$I21,"")</f>
        <v/>
      </c>
      <c r="AQ122" s="38" t="str">
        <f>IFERROR('2.vize'!BB21*100/'2.vize'!$I21,"")</f>
        <v/>
      </c>
      <c r="AR122" s="38" t="str">
        <f>IFERROR('2.vize'!BC21*100/'2.vize'!$I21,"")</f>
        <v/>
      </c>
      <c r="AS122" s="38" t="str">
        <f>IFERROR('2.vize'!BD21*100/'2.vize'!$I21,"")</f>
        <v/>
      </c>
      <c r="AT122" s="38" t="str">
        <f>IFERROR('2.vize'!BE21*100/'2.vize'!$I21,"")</f>
        <v/>
      </c>
      <c r="AU122" s="38" t="str">
        <f>IFERROR('2.vize'!BF21*100/'2.vize'!$I21,"")</f>
        <v/>
      </c>
      <c r="AV122" s="38" t="str">
        <f>IFERROR('2.vize'!BG21*100/'2.vize'!$I21,"")</f>
        <v/>
      </c>
      <c r="AW122" s="38" t="str">
        <f>IFERROR('2.vize'!BH21*100/'2.vize'!$I21,"")</f>
        <v/>
      </c>
      <c r="AX122" s="38" t="str">
        <f>IFERROR('2.vize'!BI21*100/'2.vize'!$I21,"")</f>
        <v/>
      </c>
      <c r="AY122" s="38" t="str">
        <f>IFERROR('2.vize'!BJ21*100/'2.vize'!$I21,"")</f>
        <v/>
      </c>
      <c r="AZ122" s="38" t="str">
        <f>IFERROR('2.vize'!BK21*100/'2.vize'!$I21,"")</f>
        <v/>
      </c>
      <c r="BA122" s="38" t="str">
        <f>IFERROR('2.vize'!BL21*100/'2.vize'!$I21,"")</f>
        <v/>
      </c>
      <c r="BB122" s="38" t="str">
        <f>IFERROR('2.vize'!BM21*100/'2.vize'!$I21,"")</f>
        <v/>
      </c>
      <c r="BC122" s="38" t="str">
        <f>IFERROR('2.vize'!BN21*100/'2.vize'!$I21,"")</f>
        <v/>
      </c>
      <c r="BD122" s="38" t="str">
        <f>IFERROR('2.vize'!BO21*100/'2.vize'!$I21,"")</f>
        <v/>
      </c>
      <c r="BE122" s="38" t="str">
        <f>IFERROR('2.vize'!BP21*100/'2.vize'!$I21,"")</f>
        <v/>
      </c>
      <c r="BF122" s="38" t="str">
        <f>IFERROR('2.vize'!BQ21*100/'2.vize'!$I21,"")</f>
        <v/>
      </c>
      <c r="BG122" s="38" t="str">
        <f>IFERROR('2.vize'!BR21*100/'2.vize'!$I21,"")</f>
        <v/>
      </c>
      <c r="BH122" s="38" t="str">
        <f>IFERROR('2.vize'!BS21*100/'2.vize'!$I21,"")</f>
        <v/>
      </c>
      <c r="BI122" s="38" t="str">
        <f>IFERROR('2.vize'!BT21*100/'2.vize'!$I21,"")</f>
        <v/>
      </c>
      <c r="BJ122" s="38" t="str">
        <f>IFERROR('2.vize'!BU21*100/'2.vize'!$I21,"")</f>
        <v/>
      </c>
      <c r="BK122" s="38" t="str">
        <f>IFERROR('2.vize'!BV21*100/'2.vize'!$I21,"")</f>
        <v/>
      </c>
      <c r="BL122" s="38" t="str">
        <f>IFERROR('2.vize'!BW21*100/'2.vize'!$I21,"")</f>
        <v/>
      </c>
      <c r="BM122" s="38" t="str">
        <f>IFERROR('2.vize'!BX21*100/'2.vize'!$I21,"")</f>
        <v/>
      </c>
      <c r="BN122" s="38" t="str">
        <f>IFERROR('2.vize'!BY21*100/'2.vize'!$I21,"")</f>
        <v/>
      </c>
      <c r="BO122" s="38" t="str">
        <f>IFERROR('2.vize'!BZ21*100/'2.vize'!$I21,"")</f>
        <v/>
      </c>
      <c r="BP122" s="38" t="str">
        <f>IFERROR('2.vize'!CA21*100/'2.vize'!$I21,"")</f>
        <v/>
      </c>
      <c r="BQ122" s="38" t="str">
        <f>IFERROR('2.vize'!CB21*100/'2.vize'!$I21,"")</f>
        <v/>
      </c>
      <c r="BR122" s="38" t="str">
        <f>IFERROR('2.vize'!CC21*100/'2.vize'!$I21,"")</f>
        <v/>
      </c>
      <c r="BS122" s="38" t="str">
        <f>IFERROR('2.vize'!CD21*100/'2.vize'!$I21,"")</f>
        <v/>
      </c>
      <c r="BT122" s="38" t="str">
        <f>IFERROR('2.vize'!CE21*100/'2.vize'!$I21,"")</f>
        <v/>
      </c>
      <c r="BU122" s="38" t="str">
        <f>IFERROR('2.vize'!CF21*100/'2.vize'!$I21,"")</f>
        <v/>
      </c>
      <c r="BV122" s="38" t="str">
        <f>IFERROR('2.vize'!CG21*100/'2.vize'!$I21,"")</f>
        <v/>
      </c>
      <c r="BW122" s="38" t="str">
        <f>IFERROR('2.vize'!CH21*100/'2.vize'!$I21,"")</f>
        <v/>
      </c>
      <c r="BX122" s="38" t="str">
        <f>IFERROR('2.vize'!CI21*100/'2.vize'!$I21,"")</f>
        <v/>
      </c>
      <c r="BY122" s="38" t="str">
        <f>IFERROR('2.vize'!CJ21*100/'2.vize'!$I21,"")</f>
        <v/>
      </c>
      <c r="BZ122" s="38" t="str">
        <f>IFERROR('2.vize'!CK21*100/'2.vize'!$I21,"")</f>
        <v/>
      </c>
      <c r="CA122" s="38" t="str">
        <f>IFERROR('2.vize'!CL21*100/'2.vize'!$I21,"")</f>
        <v/>
      </c>
      <c r="CB122" s="38" t="str">
        <f>IFERROR('2.vize'!CM21*100/'2.vize'!$I21,"")</f>
        <v/>
      </c>
      <c r="CC122" s="38" t="str">
        <f>IFERROR('2.vize'!CN21*100/'2.vize'!$I21,"")</f>
        <v/>
      </c>
      <c r="CD122" s="38" t="str">
        <f>IFERROR('2.vize'!CO21*100/'2.vize'!$I21,"")</f>
        <v/>
      </c>
      <c r="CE122" s="38" t="str">
        <f>IFERROR('2.vize'!CP21*100/'2.vize'!$I21,"")</f>
        <v/>
      </c>
      <c r="CF122" s="38" t="str">
        <f>IFERROR('2.vize'!CQ21*100/'2.vize'!$I21,"")</f>
        <v/>
      </c>
      <c r="CG122" s="38" t="str">
        <f>IFERROR('2.vize'!CR21*100/'2.vize'!$I21,"")</f>
        <v/>
      </c>
      <c r="CH122" s="38" t="str">
        <f>IFERROR('2.vize'!CS21*100/'2.vize'!$I21,"")</f>
        <v/>
      </c>
      <c r="CI122" s="38" t="str">
        <f>IFERROR('2.vize'!CT21*100/'2.vize'!$I21,"")</f>
        <v/>
      </c>
      <c r="CJ122" s="38" t="str">
        <f>IFERROR('2.vize'!CU21*100/'2.vize'!$I21,"")</f>
        <v/>
      </c>
      <c r="CK122" s="38" t="str">
        <f>IFERROR('2.vize'!CV21*100/'2.vize'!$I21,"")</f>
        <v/>
      </c>
      <c r="CL122" s="38" t="str">
        <f>IFERROR('2.vize'!CW21*100/'2.vize'!$I21,"")</f>
        <v/>
      </c>
      <c r="CM122" s="38" t="str">
        <f>IFERROR('2.vize'!CX21*100/'2.vize'!$I21,"")</f>
        <v/>
      </c>
      <c r="CN122" s="38" t="str">
        <f>IFERROR('2.vize'!CY21*100/'2.vize'!$I21,"")</f>
        <v/>
      </c>
      <c r="CO122" s="38" t="str">
        <f>IFERROR('2.vize'!CZ21*100/'2.vize'!$I21,"")</f>
        <v/>
      </c>
      <c r="CP122" s="38" t="str">
        <f>IFERROR('2.vize'!DA21*100/'2.vize'!$I21,"")</f>
        <v/>
      </c>
      <c r="CQ122" s="38" t="str">
        <f>IFERROR('2.vize'!DB21*100/'2.vize'!$I21,"")</f>
        <v/>
      </c>
      <c r="CR122" s="38" t="str">
        <f>IFERROR('2.vize'!DC21*100/'2.vize'!$I21,"")</f>
        <v/>
      </c>
      <c r="CS122" s="38" t="str">
        <f>IFERROR('2.vize'!DD21*100/'2.vize'!$I21,"")</f>
        <v/>
      </c>
      <c r="CT122" s="38" t="str">
        <f>IFERROR('2.vize'!DE21*100/'2.vize'!$I21,"")</f>
        <v/>
      </c>
      <c r="CU122" s="38" t="str">
        <f>IFERROR('2.vize'!DF21*100/'2.vize'!$I21,"")</f>
        <v/>
      </c>
      <c r="CV122" s="38" t="str">
        <f>IFERROR('2.vize'!DG21*100/'2.vize'!$I21,"")</f>
        <v/>
      </c>
      <c r="CW122" s="32" t="str">
        <f>IFERROR(SUM(A122:CV122)/'2.vize'!$DH$103,"")</f>
        <v/>
      </c>
      <c r="CX122" s="14" t="str">
        <f>IF(COUNTA('2.vize'!A21),'2.vize'!A21,"")</f>
        <v/>
      </c>
      <c r="CY122" s="14" t="str">
        <f>IF(COUNTA('2.vize'!B21),'2.vize'!B21,"")</f>
        <v/>
      </c>
      <c r="CZ122" s="14" t="str">
        <f>IF(COUNTA('2.vize'!C21),'2.vize'!C21,"")</f>
        <v/>
      </c>
      <c r="DA122" s="14" t="str">
        <f>IF(COUNTA('2.vize'!D21),'2.vize'!D21,"")</f>
        <v/>
      </c>
      <c r="DB122" s="14" t="str">
        <f>IF(COUNTA('2.vize'!E21),'2.vize'!E21,"")</f>
        <v/>
      </c>
      <c r="DC122" s="14" t="str">
        <f>IF(COUNTA('2.vize'!F21),'2.vize'!F21,"")</f>
        <v/>
      </c>
      <c r="DD122" s="14" t="str">
        <f>IF(COUNTA('2.vize'!G21),'2.vize'!G21,"")</f>
        <v/>
      </c>
      <c r="DE122" s="14" t="str">
        <f>IF(COUNTA('2.vize'!H21),'2.vize'!H21,"")</f>
        <v/>
      </c>
    </row>
    <row r="123" spans="1:109" x14ac:dyDescent="0.2">
      <c r="A123" s="38" t="str">
        <f>IFERROR('2.vize'!L22*100/'2.vize'!$I22,"")</f>
        <v/>
      </c>
      <c r="B123" s="38" t="str">
        <f>IFERROR('2.vize'!M22*100/'2.vize'!$I22,"")</f>
        <v/>
      </c>
      <c r="C123" s="38" t="str">
        <f>IFERROR('2.vize'!N22*100/'2.vize'!$I22,"")</f>
        <v/>
      </c>
      <c r="D123" s="38" t="str">
        <f>IFERROR('2.vize'!O22*100/'2.vize'!$I22,"")</f>
        <v/>
      </c>
      <c r="E123" s="38" t="str">
        <f>IFERROR('2.vize'!P22*100/'2.vize'!$I22,"")</f>
        <v/>
      </c>
      <c r="F123" s="38" t="str">
        <f>IFERROR('2.vize'!Q22*100/'2.vize'!$I22,"")</f>
        <v/>
      </c>
      <c r="G123" s="38" t="str">
        <f>IFERROR('2.vize'!R22*100/'2.vize'!$I22,"")</f>
        <v/>
      </c>
      <c r="H123" s="38" t="str">
        <f>IFERROR('2.vize'!S22*100/'2.vize'!$I22,"")</f>
        <v/>
      </c>
      <c r="I123" s="38" t="str">
        <f>IFERROR('2.vize'!T22*100/'2.vize'!$I22,"")</f>
        <v/>
      </c>
      <c r="J123" s="38" t="str">
        <f>IFERROR('2.vize'!U22*100/'2.vize'!$I22,"")</f>
        <v/>
      </c>
      <c r="K123" s="38" t="str">
        <f>IFERROR('2.vize'!V22*100/'2.vize'!$I22,"")</f>
        <v/>
      </c>
      <c r="L123" s="38" t="str">
        <f>IFERROR('2.vize'!W22*100/'2.vize'!$I22,"")</f>
        <v/>
      </c>
      <c r="M123" s="38" t="str">
        <f>IFERROR('2.vize'!X22*100/'2.vize'!$I22,"")</f>
        <v/>
      </c>
      <c r="N123" s="38" t="str">
        <f>IFERROR('2.vize'!Y22*100/'2.vize'!$I22,"")</f>
        <v/>
      </c>
      <c r="O123" s="38" t="str">
        <f>IFERROR('2.vize'!Z22*100/'2.vize'!$I22,"")</f>
        <v/>
      </c>
      <c r="P123" s="38" t="str">
        <f>IFERROR('2.vize'!AA22*100/'2.vize'!$I22,"")</f>
        <v/>
      </c>
      <c r="Q123" s="38" t="str">
        <f>IFERROR('2.vize'!AB22*100/'2.vize'!$I22,"")</f>
        <v/>
      </c>
      <c r="R123" s="38" t="str">
        <f>IFERROR('2.vize'!AC22*100/'2.vize'!$I22,"")</f>
        <v/>
      </c>
      <c r="S123" s="38" t="str">
        <f>IFERROR('2.vize'!AD22*100/'2.vize'!$I22,"")</f>
        <v/>
      </c>
      <c r="T123" s="38" t="str">
        <f>IFERROR('2.vize'!AE22*100/'2.vize'!$I22,"")</f>
        <v/>
      </c>
      <c r="U123" s="38" t="str">
        <f>IFERROR('2.vize'!AF22*100/'2.vize'!$I22,"")</f>
        <v/>
      </c>
      <c r="V123" s="38" t="str">
        <f>IFERROR('2.vize'!AG22*100/'2.vize'!$I22,"")</f>
        <v/>
      </c>
      <c r="W123" s="38" t="str">
        <f>IFERROR('2.vize'!AH22*100/'2.vize'!$I22,"")</f>
        <v/>
      </c>
      <c r="X123" s="38" t="str">
        <f>IFERROR('2.vize'!AI22*100/'2.vize'!$I22,"")</f>
        <v/>
      </c>
      <c r="Y123" s="38" t="str">
        <f>IFERROR('2.vize'!AJ22*100/'2.vize'!$I22,"")</f>
        <v/>
      </c>
      <c r="Z123" s="38" t="str">
        <f>IFERROR('2.vize'!AK22*100/'2.vize'!$I22,"")</f>
        <v/>
      </c>
      <c r="AA123" s="38" t="str">
        <f>IFERROR('2.vize'!AL22*100/'2.vize'!$I22,"")</f>
        <v/>
      </c>
      <c r="AB123" s="38" t="str">
        <f>IFERROR('2.vize'!AM22*100/'2.vize'!$I22,"")</f>
        <v/>
      </c>
      <c r="AC123" s="38" t="str">
        <f>IFERROR('2.vize'!AN22*100/'2.vize'!$I22,"")</f>
        <v/>
      </c>
      <c r="AD123" s="38" t="str">
        <f>IFERROR('2.vize'!AO22*100/'2.vize'!$I22,"")</f>
        <v/>
      </c>
      <c r="AE123" s="38" t="str">
        <f>IFERROR('2.vize'!AP22*100/'2.vize'!$I22,"")</f>
        <v/>
      </c>
      <c r="AF123" s="38" t="str">
        <f>IFERROR('2.vize'!AQ22*100/'2.vize'!$I22,"")</f>
        <v/>
      </c>
      <c r="AG123" s="38" t="str">
        <f>IFERROR('2.vize'!AR22*100/'2.vize'!$I22,"")</f>
        <v/>
      </c>
      <c r="AH123" s="38" t="str">
        <f>IFERROR('2.vize'!AS22*100/'2.vize'!$I22,"")</f>
        <v/>
      </c>
      <c r="AI123" s="38" t="str">
        <f>IFERROR('2.vize'!AT22*100/'2.vize'!$I22,"")</f>
        <v/>
      </c>
      <c r="AJ123" s="38" t="str">
        <f>IFERROR('2.vize'!AU22*100/'2.vize'!$I22,"")</f>
        <v/>
      </c>
      <c r="AK123" s="38" t="str">
        <f>IFERROR('2.vize'!AV22*100/'2.vize'!$I22,"")</f>
        <v/>
      </c>
      <c r="AL123" s="38" t="str">
        <f>IFERROR('2.vize'!AW22*100/'2.vize'!$I22,"")</f>
        <v/>
      </c>
      <c r="AM123" s="38" t="str">
        <f>IFERROR('2.vize'!AX22*100/'2.vize'!$I22,"")</f>
        <v/>
      </c>
      <c r="AN123" s="38" t="str">
        <f>IFERROR('2.vize'!AY22*100/'2.vize'!$I22,"")</f>
        <v/>
      </c>
      <c r="AO123" s="38" t="str">
        <f>IFERROR('2.vize'!AZ22*100/'2.vize'!$I22,"")</f>
        <v/>
      </c>
      <c r="AP123" s="38" t="str">
        <f>IFERROR('2.vize'!BA22*100/'2.vize'!$I22,"")</f>
        <v/>
      </c>
      <c r="AQ123" s="38" t="str">
        <f>IFERROR('2.vize'!BB22*100/'2.vize'!$I22,"")</f>
        <v/>
      </c>
      <c r="AR123" s="38" t="str">
        <f>IFERROR('2.vize'!BC22*100/'2.vize'!$I22,"")</f>
        <v/>
      </c>
      <c r="AS123" s="38" t="str">
        <f>IFERROR('2.vize'!BD22*100/'2.vize'!$I22,"")</f>
        <v/>
      </c>
      <c r="AT123" s="38" t="str">
        <f>IFERROR('2.vize'!BE22*100/'2.vize'!$I22,"")</f>
        <v/>
      </c>
      <c r="AU123" s="38" t="str">
        <f>IFERROR('2.vize'!BF22*100/'2.vize'!$I22,"")</f>
        <v/>
      </c>
      <c r="AV123" s="38" t="str">
        <f>IFERROR('2.vize'!BG22*100/'2.vize'!$I22,"")</f>
        <v/>
      </c>
      <c r="AW123" s="38" t="str">
        <f>IFERROR('2.vize'!BH22*100/'2.vize'!$I22,"")</f>
        <v/>
      </c>
      <c r="AX123" s="38" t="str">
        <f>IFERROR('2.vize'!BI22*100/'2.vize'!$I22,"")</f>
        <v/>
      </c>
      <c r="AY123" s="38" t="str">
        <f>IFERROR('2.vize'!BJ22*100/'2.vize'!$I22,"")</f>
        <v/>
      </c>
      <c r="AZ123" s="38" t="str">
        <f>IFERROR('2.vize'!BK22*100/'2.vize'!$I22,"")</f>
        <v/>
      </c>
      <c r="BA123" s="38" t="str">
        <f>IFERROR('2.vize'!BL22*100/'2.vize'!$I22,"")</f>
        <v/>
      </c>
      <c r="BB123" s="38" t="str">
        <f>IFERROR('2.vize'!BM22*100/'2.vize'!$I22,"")</f>
        <v/>
      </c>
      <c r="BC123" s="38" t="str">
        <f>IFERROR('2.vize'!BN22*100/'2.vize'!$I22,"")</f>
        <v/>
      </c>
      <c r="BD123" s="38" t="str">
        <f>IFERROR('2.vize'!BO22*100/'2.vize'!$I22,"")</f>
        <v/>
      </c>
      <c r="BE123" s="38" t="str">
        <f>IFERROR('2.vize'!BP22*100/'2.vize'!$I22,"")</f>
        <v/>
      </c>
      <c r="BF123" s="38" t="str">
        <f>IFERROR('2.vize'!BQ22*100/'2.vize'!$I22,"")</f>
        <v/>
      </c>
      <c r="BG123" s="38" t="str">
        <f>IFERROR('2.vize'!BR22*100/'2.vize'!$I22,"")</f>
        <v/>
      </c>
      <c r="BH123" s="38" t="str">
        <f>IFERROR('2.vize'!BS22*100/'2.vize'!$I22,"")</f>
        <v/>
      </c>
      <c r="BI123" s="38" t="str">
        <f>IFERROR('2.vize'!BT22*100/'2.vize'!$I22,"")</f>
        <v/>
      </c>
      <c r="BJ123" s="38" t="str">
        <f>IFERROR('2.vize'!BU22*100/'2.vize'!$I22,"")</f>
        <v/>
      </c>
      <c r="BK123" s="38" t="str">
        <f>IFERROR('2.vize'!BV22*100/'2.vize'!$I22,"")</f>
        <v/>
      </c>
      <c r="BL123" s="38" t="str">
        <f>IFERROR('2.vize'!BW22*100/'2.vize'!$I22,"")</f>
        <v/>
      </c>
      <c r="BM123" s="38" t="str">
        <f>IFERROR('2.vize'!BX22*100/'2.vize'!$I22,"")</f>
        <v/>
      </c>
      <c r="BN123" s="38" t="str">
        <f>IFERROR('2.vize'!BY22*100/'2.vize'!$I22,"")</f>
        <v/>
      </c>
      <c r="BO123" s="38" t="str">
        <f>IFERROR('2.vize'!BZ22*100/'2.vize'!$I22,"")</f>
        <v/>
      </c>
      <c r="BP123" s="38" t="str">
        <f>IFERROR('2.vize'!CA22*100/'2.vize'!$I22,"")</f>
        <v/>
      </c>
      <c r="BQ123" s="38" t="str">
        <f>IFERROR('2.vize'!CB22*100/'2.vize'!$I22,"")</f>
        <v/>
      </c>
      <c r="BR123" s="38" t="str">
        <f>IFERROR('2.vize'!CC22*100/'2.vize'!$I22,"")</f>
        <v/>
      </c>
      <c r="BS123" s="38" t="str">
        <f>IFERROR('2.vize'!CD22*100/'2.vize'!$I22,"")</f>
        <v/>
      </c>
      <c r="BT123" s="38" t="str">
        <f>IFERROR('2.vize'!CE22*100/'2.vize'!$I22,"")</f>
        <v/>
      </c>
      <c r="BU123" s="38" t="str">
        <f>IFERROR('2.vize'!CF22*100/'2.vize'!$I22,"")</f>
        <v/>
      </c>
      <c r="BV123" s="38" t="str">
        <f>IFERROR('2.vize'!CG22*100/'2.vize'!$I22,"")</f>
        <v/>
      </c>
      <c r="BW123" s="38" t="str">
        <f>IFERROR('2.vize'!CH22*100/'2.vize'!$I22,"")</f>
        <v/>
      </c>
      <c r="BX123" s="38" t="str">
        <f>IFERROR('2.vize'!CI22*100/'2.vize'!$I22,"")</f>
        <v/>
      </c>
      <c r="BY123" s="38" t="str">
        <f>IFERROR('2.vize'!CJ22*100/'2.vize'!$I22,"")</f>
        <v/>
      </c>
      <c r="BZ123" s="38" t="str">
        <f>IFERROR('2.vize'!CK22*100/'2.vize'!$I22,"")</f>
        <v/>
      </c>
      <c r="CA123" s="38" t="str">
        <f>IFERROR('2.vize'!CL22*100/'2.vize'!$I22,"")</f>
        <v/>
      </c>
      <c r="CB123" s="38" t="str">
        <f>IFERROR('2.vize'!CM22*100/'2.vize'!$I22,"")</f>
        <v/>
      </c>
      <c r="CC123" s="38" t="str">
        <f>IFERROR('2.vize'!CN22*100/'2.vize'!$I22,"")</f>
        <v/>
      </c>
      <c r="CD123" s="38" t="str">
        <f>IFERROR('2.vize'!CO22*100/'2.vize'!$I22,"")</f>
        <v/>
      </c>
      <c r="CE123" s="38" t="str">
        <f>IFERROR('2.vize'!CP22*100/'2.vize'!$I22,"")</f>
        <v/>
      </c>
      <c r="CF123" s="38" t="str">
        <f>IFERROR('2.vize'!CQ22*100/'2.vize'!$I22,"")</f>
        <v/>
      </c>
      <c r="CG123" s="38" t="str">
        <f>IFERROR('2.vize'!CR22*100/'2.vize'!$I22,"")</f>
        <v/>
      </c>
      <c r="CH123" s="38" t="str">
        <f>IFERROR('2.vize'!CS22*100/'2.vize'!$I22,"")</f>
        <v/>
      </c>
      <c r="CI123" s="38" t="str">
        <f>IFERROR('2.vize'!CT22*100/'2.vize'!$I22,"")</f>
        <v/>
      </c>
      <c r="CJ123" s="38" t="str">
        <f>IFERROR('2.vize'!CU22*100/'2.vize'!$I22,"")</f>
        <v/>
      </c>
      <c r="CK123" s="38" t="str">
        <f>IFERROR('2.vize'!CV22*100/'2.vize'!$I22,"")</f>
        <v/>
      </c>
      <c r="CL123" s="38" t="str">
        <f>IFERROR('2.vize'!CW22*100/'2.vize'!$I22,"")</f>
        <v/>
      </c>
      <c r="CM123" s="38" t="str">
        <f>IFERROR('2.vize'!CX22*100/'2.vize'!$I22,"")</f>
        <v/>
      </c>
      <c r="CN123" s="38" t="str">
        <f>IFERROR('2.vize'!CY22*100/'2.vize'!$I22,"")</f>
        <v/>
      </c>
      <c r="CO123" s="38" t="str">
        <f>IFERROR('2.vize'!CZ22*100/'2.vize'!$I22,"")</f>
        <v/>
      </c>
      <c r="CP123" s="38" t="str">
        <f>IFERROR('2.vize'!DA22*100/'2.vize'!$I22,"")</f>
        <v/>
      </c>
      <c r="CQ123" s="38" t="str">
        <f>IFERROR('2.vize'!DB22*100/'2.vize'!$I22,"")</f>
        <v/>
      </c>
      <c r="CR123" s="38" t="str">
        <f>IFERROR('2.vize'!DC22*100/'2.vize'!$I22,"")</f>
        <v/>
      </c>
      <c r="CS123" s="38" t="str">
        <f>IFERROR('2.vize'!DD22*100/'2.vize'!$I22,"")</f>
        <v/>
      </c>
      <c r="CT123" s="38" t="str">
        <f>IFERROR('2.vize'!DE22*100/'2.vize'!$I22,"")</f>
        <v/>
      </c>
      <c r="CU123" s="38" t="str">
        <f>IFERROR('2.vize'!DF22*100/'2.vize'!$I22,"")</f>
        <v/>
      </c>
      <c r="CV123" s="38" t="str">
        <f>IFERROR('2.vize'!DG22*100/'2.vize'!$I22,"")</f>
        <v/>
      </c>
      <c r="CW123" s="32" t="str">
        <f>IFERROR(SUM(A123:CV123)/'2.vize'!$DH$103,"")</f>
        <v/>
      </c>
      <c r="CX123" s="14" t="str">
        <f>IF(COUNTA('2.vize'!A22),'2.vize'!A22,"")</f>
        <v/>
      </c>
      <c r="CY123" s="14" t="str">
        <f>IF(COUNTA('2.vize'!B22),'2.vize'!B22,"")</f>
        <v/>
      </c>
      <c r="CZ123" s="14" t="str">
        <f>IF(COUNTA('2.vize'!C22),'2.vize'!C22,"")</f>
        <v/>
      </c>
      <c r="DA123" s="14" t="str">
        <f>IF(COUNTA('2.vize'!D22),'2.vize'!D22,"")</f>
        <v/>
      </c>
      <c r="DB123" s="14" t="str">
        <f>IF(COUNTA('2.vize'!E22),'2.vize'!E22,"")</f>
        <v/>
      </c>
      <c r="DC123" s="14" t="str">
        <f>IF(COUNTA('2.vize'!F22),'2.vize'!F22,"")</f>
        <v/>
      </c>
      <c r="DD123" s="14" t="str">
        <f>IF(COUNTA('2.vize'!G22),'2.vize'!G22,"")</f>
        <v/>
      </c>
      <c r="DE123" s="14" t="str">
        <f>IF(COUNTA('2.vize'!H22),'2.vize'!H22,"")</f>
        <v/>
      </c>
    </row>
    <row r="124" spans="1:109" x14ac:dyDescent="0.2">
      <c r="A124" s="38" t="str">
        <f>IFERROR('2.vize'!L23*100/'2.vize'!$I23,"")</f>
        <v/>
      </c>
      <c r="B124" s="38" t="str">
        <f>IFERROR('2.vize'!M23*100/'2.vize'!$I23,"")</f>
        <v/>
      </c>
      <c r="C124" s="38" t="str">
        <f>IFERROR('2.vize'!N23*100/'2.vize'!$I23,"")</f>
        <v/>
      </c>
      <c r="D124" s="38" t="str">
        <f>IFERROR('2.vize'!O23*100/'2.vize'!$I23,"")</f>
        <v/>
      </c>
      <c r="E124" s="38" t="str">
        <f>IFERROR('2.vize'!P23*100/'2.vize'!$I23,"")</f>
        <v/>
      </c>
      <c r="F124" s="38" t="str">
        <f>IFERROR('2.vize'!Q23*100/'2.vize'!$I23,"")</f>
        <v/>
      </c>
      <c r="G124" s="38" t="str">
        <f>IFERROR('2.vize'!R23*100/'2.vize'!$I23,"")</f>
        <v/>
      </c>
      <c r="H124" s="38" t="str">
        <f>IFERROR('2.vize'!S23*100/'2.vize'!$I23,"")</f>
        <v/>
      </c>
      <c r="I124" s="38" t="str">
        <f>IFERROR('2.vize'!T23*100/'2.vize'!$I23,"")</f>
        <v/>
      </c>
      <c r="J124" s="38" t="str">
        <f>IFERROR('2.vize'!U23*100/'2.vize'!$I23,"")</f>
        <v/>
      </c>
      <c r="K124" s="38" t="str">
        <f>IFERROR('2.vize'!V23*100/'2.vize'!$I23,"")</f>
        <v/>
      </c>
      <c r="L124" s="38" t="str">
        <f>IFERROR('2.vize'!W23*100/'2.vize'!$I23,"")</f>
        <v/>
      </c>
      <c r="M124" s="38" t="str">
        <f>IFERROR('2.vize'!X23*100/'2.vize'!$I23,"")</f>
        <v/>
      </c>
      <c r="N124" s="38" t="str">
        <f>IFERROR('2.vize'!Y23*100/'2.vize'!$I23,"")</f>
        <v/>
      </c>
      <c r="O124" s="38" t="str">
        <f>IFERROR('2.vize'!Z23*100/'2.vize'!$I23,"")</f>
        <v/>
      </c>
      <c r="P124" s="38" t="str">
        <f>IFERROR('2.vize'!AA23*100/'2.vize'!$I23,"")</f>
        <v/>
      </c>
      <c r="Q124" s="38" t="str">
        <f>IFERROR('2.vize'!AB23*100/'2.vize'!$I23,"")</f>
        <v/>
      </c>
      <c r="R124" s="38" t="str">
        <f>IFERROR('2.vize'!AC23*100/'2.vize'!$I23,"")</f>
        <v/>
      </c>
      <c r="S124" s="38" t="str">
        <f>IFERROR('2.vize'!AD23*100/'2.vize'!$I23,"")</f>
        <v/>
      </c>
      <c r="T124" s="38" t="str">
        <f>IFERROR('2.vize'!AE23*100/'2.vize'!$I23,"")</f>
        <v/>
      </c>
      <c r="U124" s="38" t="str">
        <f>IFERROR('2.vize'!AF23*100/'2.vize'!$I23,"")</f>
        <v/>
      </c>
      <c r="V124" s="38" t="str">
        <f>IFERROR('2.vize'!AG23*100/'2.vize'!$I23,"")</f>
        <v/>
      </c>
      <c r="W124" s="38" t="str">
        <f>IFERROR('2.vize'!AH23*100/'2.vize'!$I23,"")</f>
        <v/>
      </c>
      <c r="X124" s="38" t="str">
        <f>IFERROR('2.vize'!AI23*100/'2.vize'!$I23,"")</f>
        <v/>
      </c>
      <c r="Y124" s="38" t="str">
        <f>IFERROR('2.vize'!AJ23*100/'2.vize'!$I23,"")</f>
        <v/>
      </c>
      <c r="Z124" s="38" t="str">
        <f>IFERROR('2.vize'!AK23*100/'2.vize'!$I23,"")</f>
        <v/>
      </c>
      <c r="AA124" s="38" t="str">
        <f>IFERROR('2.vize'!AL23*100/'2.vize'!$I23,"")</f>
        <v/>
      </c>
      <c r="AB124" s="38" t="str">
        <f>IFERROR('2.vize'!AM23*100/'2.vize'!$I23,"")</f>
        <v/>
      </c>
      <c r="AC124" s="38" t="str">
        <f>IFERROR('2.vize'!AN23*100/'2.vize'!$I23,"")</f>
        <v/>
      </c>
      <c r="AD124" s="38" t="str">
        <f>IFERROR('2.vize'!AO23*100/'2.vize'!$I23,"")</f>
        <v/>
      </c>
      <c r="AE124" s="38" t="str">
        <f>IFERROR('2.vize'!AP23*100/'2.vize'!$I23,"")</f>
        <v/>
      </c>
      <c r="AF124" s="38" t="str">
        <f>IFERROR('2.vize'!AQ23*100/'2.vize'!$I23,"")</f>
        <v/>
      </c>
      <c r="AG124" s="38" t="str">
        <f>IFERROR('2.vize'!AR23*100/'2.vize'!$I23,"")</f>
        <v/>
      </c>
      <c r="AH124" s="38" t="str">
        <f>IFERROR('2.vize'!AS23*100/'2.vize'!$I23,"")</f>
        <v/>
      </c>
      <c r="AI124" s="38" t="str">
        <f>IFERROR('2.vize'!AT23*100/'2.vize'!$I23,"")</f>
        <v/>
      </c>
      <c r="AJ124" s="38" t="str">
        <f>IFERROR('2.vize'!AU23*100/'2.vize'!$I23,"")</f>
        <v/>
      </c>
      <c r="AK124" s="38" t="str">
        <f>IFERROR('2.vize'!AV23*100/'2.vize'!$I23,"")</f>
        <v/>
      </c>
      <c r="AL124" s="38" t="str">
        <f>IFERROR('2.vize'!AW23*100/'2.vize'!$I23,"")</f>
        <v/>
      </c>
      <c r="AM124" s="38" t="str">
        <f>IFERROR('2.vize'!AX23*100/'2.vize'!$I23,"")</f>
        <v/>
      </c>
      <c r="AN124" s="38" t="str">
        <f>IFERROR('2.vize'!AY23*100/'2.vize'!$I23,"")</f>
        <v/>
      </c>
      <c r="AO124" s="38" t="str">
        <f>IFERROR('2.vize'!AZ23*100/'2.vize'!$I23,"")</f>
        <v/>
      </c>
      <c r="AP124" s="38" t="str">
        <f>IFERROR('2.vize'!BA23*100/'2.vize'!$I23,"")</f>
        <v/>
      </c>
      <c r="AQ124" s="38" t="str">
        <f>IFERROR('2.vize'!BB23*100/'2.vize'!$I23,"")</f>
        <v/>
      </c>
      <c r="AR124" s="38" t="str">
        <f>IFERROR('2.vize'!BC23*100/'2.vize'!$I23,"")</f>
        <v/>
      </c>
      <c r="AS124" s="38" t="str">
        <f>IFERROR('2.vize'!BD23*100/'2.vize'!$I23,"")</f>
        <v/>
      </c>
      <c r="AT124" s="38" t="str">
        <f>IFERROR('2.vize'!BE23*100/'2.vize'!$I23,"")</f>
        <v/>
      </c>
      <c r="AU124" s="38" t="str">
        <f>IFERROR('2.vize'!BF23*100/'2.vize'!$I23,"")</f>
        <v/>
      </c>
      <c r="AV124" s="38" t="str">
        <f>IFERROR('2.vize'!BG23*100/'2.vize'!$I23,"")</f>
        <v/>
      </c>
      <c r="AW124" s="38" t="str">
        <f>IFERROR('2.vize'!BH23*100/'2.vize'!$I23,"")</f>
        <v/>
      </c>
      <c r="AX124" s="38" t="str">
        <f>IFERROR('2.vize'!BI23*100/'2.vize'!$I23,"")</f>
        <v/>
      </c>
      <c r="AY124" s="38" t="str">
        <f>IFERROR('2.vize'!BJ23*100/'2.vize'!$I23,"")</f>
        <v/>
      </c>
      <c r="AZ124" s="38" t="str">
        <f>IFERROR('2.vize'!BK23*100/'2.vize'!$I23,"")</f>
        <v/>
      </c>
      <c r="BA124" s="38" t="str">
        <f>IFERROR('2.vize'!BL23*100/'2.vize'!$I23,"")</f>
        <v/>
      </c>
      <c r="BB124" s="38" t="str">
        <f>IFERROR('2.vize'!BM23*100/'2.vize'!$I23,"")</f>
        <v/>
      </c>
      <c r="BC124" s="38" t="str">
        <f>IFERROR('2.vize'!BN23*100/'2.vize'!$I23,"")</f>
        <v/>
      </c>
      <c r="BD124" s="38" t="str">
        <f>IFERROR('2.vize'!BO23*100/'2.vize'!$I23,"")</f>
        <v/>
      </c>
      <c r="BE124" s="38" t="str">
        <f>IFERROR('2.vize'!BP23*100/'2.vize'!$I23,"")</f>
        <v/>
      </c>
      <c r="BF124" s="38" t="str">
        <f>IFERROR('2.vize'!BQ23*100/'2.vize'!$I23,"")</f>
        <v/>
      </c>
      <c r="BG124" s="38" t="str">
        <f>IFERROR('2.vize'!BR23*100/'2.vize'!$I23,"")</f>
        <v/>
      </c>
      <c r="BH124" s="38" t="str">
        <f>IFERROR('2.vize'!BS23*100/'2.vize'!$I23,"")</f>
        <v/>
      </c>
      <c r="BI124" s="38" t="str">
        <f>IFERROR('2.vize'!BT23*100/'2.vize'!$I23,"")</f>
        <v/>
      </c>
      <c r="BJ124" s="38" t="str">
        <f>IFERROR('2.vize'!BU23*100/'2.vize'!$I23,"")</f>
        <v/>
      </c>
      <c r="BK124" s="38" t="str">
        <f>IFERROR('2.vize'!BV23*100/'2.vize'!$I23,"")</f>
        <v/>
      </c>
      <c r="BL124" s="38" t="str">
        <f>IFERROR('2.vize'!BW23*100/'2.vize'!$I23,"")</f>
        <v/>
      </c>
      <c r="BM124" s="38" t="str">
        <f>IFERROR('2.vize'!BX23*100/'2.vize'!$I23,"")</f>
        <v/>
      </c>
      <c r="BN124" s="38" t="str">
        <f>IFERROR('2.vize'!BY23*100/'2.vize'!$I23,"")</f>
        <v/>
      </c>
      <c r="BO124" s="38" t="str">
        <f>IFERROR('2.vize'!BZ23*100/'2.vize'!$I23,"")</f>
        <v/>
      </c>
      <c r="BP124" s="38" t="str">
        <f>IFERROR('2.vize'!CA23*100/'2.vize'!$I23,"")</f>
        <v/>
      </c>
      <c r="BQ124" s="38" t="str">
        <f>IFERROR('2.vize'!CB23*100/'2.vize'!$I23,"")</f>
        <v/>
      </c>
      <c r="BR124" s="38" t="str">
        <f>IFERROR('2.vize'!CC23*100/'2.vize'!$I23,"")</f>
        <v/>
      </c>
      <c r="BS124" s="38" t="str">
        <f>IFERROR('2.vize'!CD23*100/'2.vize'!$I23,"")</f>
        <v/>
      </c>
      <c r="BT124" s="38" t="str">
        <f>IFERROR('2.vize'!CE23*100/'2.vize'!$I23,"")</f>
        <v/>
      </c>
      <c r="BU124" s="38" t="str">
        <f>IFERROR('2.vize'!CF23*100/'2.vize'!$I23,"")</f>
        <v/>
      </c>
      <c r="BV124" s="38" t="str">
        <f>IFERROR('2.vize'!CG23*100/'2.vize'!$I23,"")</f>
        <v/>
      </c>
      <c r="BW124" s="38" t="str">
        <f>IFERROR('2.vize'!CH23*100/'2.vize'!$I23,"")</f>
        <v/>
      </c>
      <c r="BX124" s="38" t="str">
        <f>IFERROR('2.vize'!CI23*100/'2.vize'!$I23,"")</f>
        <v/>
      </c>
      <c r="BY124" s="38" t="str">
        <f>IFERROR('2.vize'!CJ23*100/'2.vize'!$I23,"")</f>
        <v/>
      </c>
      <c r="BZ124" s="38" t="str">
        <f>IFERROR('2.vize'!CK23*100/'2.vize'!$I23,"")</f>
        <v/>
      </c>
      <c r="CA124" s="38" t="str">
        <f>IFERROR('2.vize'!CL23*100/'2.vize'!$I23,"")</f>
        <v/>
      </c>
      <c r="CB124" s="38" t="str">
        <f>IFERROR('2.vize'!CM23*100/'2.vize'!$I23,"")</f>
        <v/>
      </c>
      <c r="CC124" s="38" t="str">
        <f>IFERROR('2.vize'!CN23*100/'2.vize'!$I23,"")</f>
        <v/>
      </c>
      <c r="CD124" s="38" t="str">
        <f>IFERROR('2.vize'!CO23*100/'2.vize'!$I23,"")</f>
        <v/>
      </c>
      <c r="CE124" s="38" t="str">
        <f>IFERROR('2.vize'!CP23*100/'2.vize'!$I23,"")</f>
        <v/>
      </c>
      <c r="CF124" s="38" t="str">
        <f>IFERROR('2.vize'!CQ23*100/'2.vize'!$I23,"")</f>
        <v/>
      </c>
      <c r="CG124" s="38" t="str">
        <f>IFERROR('2.vize'!CR23*100/'2.vize'!$I23,"")</f>
        <v/>
      </c>
      <c r="CH124" s="38" t="str">
        <f>IFERROR('2.vize'!CS23*100/'2.vize'!$I23,"")</f>
        <v/>
      </c>
      <c r="CI124" s="38" t="str">
        <f>IFERROR('2.vize'!CT23*100/'2.vize'!$I23,"")</f>
        <v/>
      </c>
      <c r="CJ124" s="38" t="str">
        <f>IFERROR('2.vize'!CU23*100/'2.vize'!$I23,"")</f>
        <v/>
      </c>
      <c r="CK124" s="38" t="str">
        <f>IFERROR('2.vize'!CV23*100/'2.vize'!$I23,"")</f>
        <v/>
      </c>
      <c r="CL124" s="38" t="str">
        <f>IFERROR('2.vize'!CW23*100/'2.vize'!$I23,"")</f>
        <v/>
      </c>
      <c r="CM124" s="38" t="str">
        <f>IFERROR('2.vize'!CX23*100/'2.vize'!$I23,"")</f>
        <v/>
      </c>
      <c r="CN124" s="38" t="str">
        <f>IFERROR('2.vize'!CY23*100/'2.vize'!$I23,"")</f>
        <v/>
      </c>
      <c r="CO124" s="38" t="str">
        <f>IFERROR('2.vize'!CZ23*100/'2.vize'!$I23,"")</f>
        <v/>
      </c>
      <c r="CP124" s="38" t="str">
        <f>IFERROR('2.vize'!DA23*100/'2.vize'!$I23,"")</f>
        <v/>
      </c>
      <c r="CQ124" s="38" t="str">
        <f>IFERROR('2.vize'!DB23*100/'2.vize'!$I23,"")</f>
        <v/>
      </c>
      <c r="CR124" s="38" t="str">
        <f>IFERROR('2.vize'!DC23*100/'2.vize'!$I23,"")</f>
        <v/>
      </c>
      <c r="CS124" s="38" t="str">
        <f>IFERROR('2.vize'!DD23*100/'2.vize'!$I23,"")</f>
        <v/>
      </c>
      <c r="CT124" s="38" t="str">
        <f>IFERROR('2.vize'!DE23*100/'2.vize'!$I23,"")</f>
        <v/>
      </c>
      <c r="CU124" s="38" t="str">
        <f>IFERROR('2.vize'!DF23*100/'2.vize'!$I23,"")</f>
        <v/>
      </c>
      <c r="CV124" s="38" t="str">
        <f>IFERROR('2.vize'!DG23*100/'2.vize'!$I23,"")</f>
        <v/>
      </c>
      <c r="CW124" s="32" t="str">
        <f>IFERROR(SUM(A124:CV124)/'2.vize'!$DH$103,"")</f>
        <v/>
      </c>
      <c r="CX124" s="14" t="str">
        <f>IF(COUNTA('2.vize'!A23),'2.vize'!A23,"")</f>
        <v/>
      </c>
      <c r="CY124" s="14" t="str">
        <f>IF(COUNTA('2.vize'!B23),'2.vize'!B23,"")</f>
        <v/>
      </c>
      <c r="CZ124" s="14" t="str">
        <f>IF(COUNTA('2.vize'!C23),'2.vize'!C23,"")</f>
        <v/>
      </c>
      <c r="DA124" s="14" t="str">
        <f>IF(COUNTA('2.vize'!D23),'2.vize'!D23,"")</f>
        <v/>
      </c>
      <c r="DB124" s="14" t="str">
        <f>IF(COUNTA('2.vize'!E23),'2.vize'!E23,"")</f>
        <v/>
      </c>
      <c r="DC124" s="14" t="str">
        <f>IF(COUNTA('2.vize'!F23),'2.vize'!F23,"")</f>
        <v/>
      </c>
      <c r="DD124" s="14" t="str">
        <f>IF(COUNTA('2.vize'!G23),'2.vize'!G23,"")</f>
        <v/>
      </c>
      <c r="DE124" s="14" t="str">
        <f>IF(COUNTA('2.vize'!H23),'2.vize'!H23,"")</f>
        <v/>
      </c>
    </row>
    <row r="125" spans="1:109" x14ac:dyDescent="0.2">
      <c r="A125" s="38" t="str">
        <f>IFERROR('2.vize'!L24*100/'2.vize'!$I24,"")</f>
        <v/>
      </c>
      <c r="B125" s="38" t="str">
        <f>IFERROR('2.vize'!M24*100/'2.vize'!$I24,"")</f>
        <v/>
      </c>
      <c r="C125" s="38" t="str">
        <f>IFERROR('2.vize'!N24*100/'2.vize'!$I24,"")</f>
        <v/>
      </c>
      <c r="D125" s="38" t="str">
        <f>IFERROR('2.vize'!O24*100/'2.vize'!$I24,"")</f>
        <v/>
      </c>
      <c r="E125" s="38" t="str">
        <f>IFERROR('2.vize'!P24*100/'2.vize'!$I24,"")</f>
        <v/>
      </c>
      <c r="F125" s="38" t="str">
        <f>IFERROR('2.vize'!Q24*100/'2.vize'!$I24,"")</f>
        <v/>
      </c>
      <c r="G125" s="38" t="str">
        <f>IFERROR('2.vize'!R24*100/'2.vize'!$I24,"")</f>
        <v/>
      </c>
      <c r="H125" s="38" t="str">
        <f>IFERROR('2.vize'!S24*100/'2.vize'!$I24,"")</f>
        <v/>
      </c>
      <c r="I125" s="38" t="str">
        <f>IFERROR('2.vize'!T24*100/'2.vize'!$I24,"")</f>
        <v/>
      </c>
      <c r="J125" s="38" t="str">
        <f>IFERROR('2.vize'!U24*100/'2.vize'!$I24,"")</f>
        <v/>
      </c>
      <c r="K125" s="38" t="str">
        <f>IFERROR('2.vize'!V24*100/'2.vize'!$I24,"")</f>
        <v/>
      </c>
      <c r="L125" s="38" t="str">
        <f>IFERROR('2.vize'!W24*100/'2.vize'!$I24,"")</f>
        <v/>
      </c>
      <c r="M125" s="38" t="str">
        <f>IFERROR('2.vize'!X24*100/'2.vize'!$I24,"")</f>
        <v/>
      </c>
      <c r="N125" s="38" t="str">
        <f>IFERROR('2.vize'!Y24*100/'2.vize'!$I24,"")</f>
        <v/>
      </c>
      <c r="O125" s="38" t="str">
        <f>IFERROR('2.vize'!Z24*100/'2.vize'!$I24,"")</f>
        <v/>
      </c>
      <c r="P125" s="38" t="str">
        <f>IFERROR('2.vize'!AA24*100/'2.vize'!$I24,"")</f>
        <v/>
      </c>
      <c r="Q125" s="38" t="str">
        <f>IFERROR('2.vize'!AB24*100/'2.vize'!$I24,"")</f>
        <v/>
      </c>
      <c r="R125" s="38" t="str">
        <f>IFERROR('2.vize'!AC24*100/'2.vize'!$I24,"")</f>
        <v/>
      </c>
      <c r="S125" s="38" t="str">
        <f>IFERROR('2.vize'!AD24*100/'2.vize'!$I24,"")</f>
        <v/>
      </c>
      <c r="T125" s="38" t="str">
        <f>IFERROR('2.vize'!AE24*100/'2.vize'!$I24,"")</f>
        <v/>
      </c>
      <c r="U125" s="38" t="str">
        <f>IFERROR('2.vize'!AF24*100/'2.vize'!$I24,"")</f>
        <v/>
      </c>
      <c r="V125" s="38" t="str">
        <f>IFERROR('2.vize'!AG24*100/'2.vize'!$I24,"")</f>
        <v/>
      </c>
      <c r="W125" s="38" t="str">
        <f>IFERROR('2.vize'!AH24*100/'2.vize'!$I24,"")</f>
        <v/>
      </c>
      <c r="X125" s="38" t="str">
        <f>IFERROR('2.vize'!AI24*100/'2.vize'!$I24,"")</f>
        <v/>
      </c>
      <c r="Y125" s="38" t="str">
        <f>IFERROR('2.vize'!AJ24*100/'2.vize'!$I24,"")</f>
        <v/>
      </c>
      <c r="Z125" s="38" t="str">
        <f>IFERROR('2.vize'!AK24*100/'2.vize'!$I24,"")</f>
        <v/>
      </c>
      <c r="AA125" s="38" t="str">
        <f>IFERROR('2.vize'!AL24*100/'2.vize'!$I24,"")</f>
        <v/>
      </c>
      <c r="AB125" s="38" t="str">
        <f>IFERROR('2.vize'!AM24*100/'2.vize'!$I24,"")</f>
        <v/>
      </c>
      <c r="AC125" s="38" t="str">
        <f>IFERROR('2.vize'!AN24*100/'2.vize'!$I24,"")</f>
        <v/>
      </c>
      <c r="AD125" s="38" t="str">
        <f>IFERROR('2.vize'!AO24*100/'2.vize'!$I24,"")</f>
        <v/>
      </c>
      <c r="AE125" s="38" t="str">
        <f>IFERROR('2.vize'!AP24*100/'2.vize'!$I24,"")</f>
        <v/>
      </c>
      <c r="AF125" s="38" t="str">
        <f>IFERROR('2.vize'!AQ24*100/'2.vize'!$I24,"")</f>
        <v/>
      </c>
      <c r="AG125" s="38" t="str">
        <f>IFERROR('2.vize'!AR24*100/'2.vize'!$I24,"")</f>
        <v/>
      </c>
      <c r="AH125" s="38" t="str">
        <f>IFERROR('2.vize'!AS24*100/'2.vize'!$I24,"")</f>
        <v/>
      </c>
      <c r="AI125" s="38" t="str">
        <f>IFERROR('2.vize'!AT24*100/'2.vize'!$I24,"")</f>
        <v/>
      </c>
      <c r="AJ125" s="38" t="str">
        <f>IFERROR('2.vize'!AU24*100/'2.vize'!$I24,"")</f>
        <v/>
      </c>
      <c r="AK125" s="38" t="str">
        <f>IFERROR('2.vize'!AV24*100/'2.vize'!$I24,"")</f>
        <v/>
      </c>
      <c r="AL125" s="38" t="str">
        <f>IFERROR('2.vize'!AW24*100/'2.vize'!$I24,"")</f>
        <v/>
      </c>
      <c r="AM125" s="38" t="str">
        <f>IFERROR('2.vize'!AX24*100/'2.vize'!$I24,"")</f>
        <v/>
      </c>
      <c r="AN125" s="38" t="str">
        <f>IFERROR('2.vize'!AY24*100/'2.vize'!$I24,"")</f>
        <v/>
      </c>
      <c r="AO125" s="38" t="str">
        <f>IFERROR('2.vize'!AZ24*100/'2.vize'!$I24,"")</f>
        <v/>
      </c>
      <c r="AP125" s="38" t="str">
        <f>IFERROR('2.vize'!BA24*100/'2.vize'!$I24,"")</f>
        <v/>
      </c>
      <c r="AQ125" s="38" t="str">
        <f>IFERROR('2.vize'!BB24*100/'2.vize'!$I24,"")</f>
        <v/>
      </c>
      <c r="AR125" s="38" t="str">
        <f>IFERROR('2.vize'!BC24*100/'2.vize'!$I24,"")</f>
        <v/>
      </c>
      <c r="AS125" s="38" t="str">
        <f>IFERROR('2.vize'!BD24*100/'2.vize'!$I24,"")</f>
        <v/>
      </c>
      <c r="AT125" s="38" t="str">
        <f>IFERROR('2.vize'!BE24*100/'2.vize'!$I24,"")</f>
        <v/>
      </c>
      <c r="AU125" s="38" t="str">
        <f>IFERROR('2.vize'!BF24*100/'2.vize'!$I24,"")</f>
        <v/>
      </c>
      <c r="AV125" s="38" t="str">
        <f>IFERROR('2.vize'!BG24*100/'2.vize'!$I24,"")</f>
        <v/>
      </c>
      <c r="AW125" s="38" t="str">
        <f>IFERROR('2.vize'!BH24*100/'2.vize'!$I24,"")</f>
        <v/>
      </c>
      <c r="AX125" s="38" t="str">
        <f>IFERROR('2.vize'!BI24*100/'2.vize'!$I24,"")</f>
        <v/>
      </c>
      <c r="AY125" s="38" t="str">
        <f>IFERROR('2.vize'!BJ24*100/'2.vize'!$I24,"")</f>
        <v/>
      </c>
      <c r="AZ125" s="38" t="str">
        <f>IFERROR('2.vize'!BK24*100/'2.vize'!$I24,"")</f>
        <v/>
      </c>
      <c r="BA125" s="38" t="str">
        <f>IFERROR('2.vize'!BL24*100/'2.vize'!$I24,"")</f>
        <v/>
      </c>
      <c r="BB125" s="38" t="str">
        <f>IFERROR('2.vize'!BM24*100/'2.vize'!$I24,"")</f>
        <v/>
      </c>
      <c r="BC125" s="38" t="str">
        <f>IFERROR('2.vize'!BN24*100/'2.vize'!$I24,"")</f>
        <v/>
      </c>
      <c r="BD125" s="38" t="str">
        <f>IFERROR('2.vize'!BO24*100/'2.vize'!$I24,"")</f>
        <v/>
      </c>
      <c r="BE125" s="38" t="str">
        <f>IFERROR('2.vize'!BP24*100/'2.vize'!$I24,"")</f>
        <v/>
      </c>
      <c r="BF125" s="38" t="str">
        <f>IFERROR('2.vize'!BQ24*100/'2.vize'!$I24,"")</f>
        <v/>
      </c>
      <c r="BG125" s="38" t="str">
        <f>IFERROR('2.vize'!BR24*100/'2.vize'!$I24,"")</f>
        <v/>
      </c>
      <c r="BH125" s="38" t="str">
        <f>IFERROR('2.vize'!BS24*100/'2.vize'!$I24,"")</f>
        <v/>
      </c>
      <c r="BI125" s="38" t="str">
        <f>IFERROR('2.vize'!BT24*100/'2.vize'!$I24,"")</f>
        <v/>
      </c>
      <c r="BJ125" s="38" t="str">
        <f>IFERROR('2.vize'!BU24*100/'2.vize'!$I24,"")</f>
        <v/>
      </c>
      <c r="BK125" s="38" t="str">
        <f>IFERROR('2.vize'!BV24*100/'2.vize'!$I24,"")</f>
        <v/>
      </c>
      <c r="BL125" s="38" t="str">
        <f>IFERROR('2.vize'!BW24*100/'2.vize'!$I24,"")</f>
        <v/>
      </c>
      <c r="BM125" s="38" t="str">
        <f>IFERROR('2.vize'!BX24*100/'2.vize'!$I24,"")</f>
        <v/>
      </c>
      <c r="BN125" s="38" t="str">
        <f>IFERROR('2.vize'!BY24*100/'2.vize'!$I24,"")</f>
        <v/>
      </c>
      <c r="BO125" s="38" t="str">
        <f>IFERROR('2.vize'!BZ24*100/'2.vize'!$I24,"")</f>
        <v/>
      </c>
      <c r="BP125" s="38" t="str">
        <f>IFERROR('2.vize'!CA24*100/'2.vize'!$I24,"")</f>
        <v/>
      </c>
      <c r="BQ125" s="38" t="str">
        <f>IFERROR('2.vize'!CB24*100/'2.vize'!$I24,"")</f>
        <v/>
      </c>
      <c r="BR125" s="38" t="str">
        <f>IFERROR('2.vize'!CC24*100/'2.vize'!$I24,"")</f>
        <v/>
      </c>
      <c r="BS125" s="38" t="str">
        <f>IFERROR('2.vize'!CD24*100/'2.vize'!$I24,"")</f>
        <v/>
      </c>
      <c r="BT125" s="38" t="str">
        <f>IFERROR('2.vize'!CE24*100/'2.vize'!$I24,"")</f>
        <v/>
      </c>
      <c r="BU125" s="38" t="str">
        <f>IFERROR('2.vize'!CF24*100/'2.vize'!$I24,"")</f>
        <v/>
      </c>
      <c r="BV125" s="38" t="str">
        <f>IFERROR('2.vize'!CG24*100/'2.vize'!$I24,"")</f>
        <v/>
      </c>
      <c r="BW125" s="38" t="str">
        <f>IFERROR('2.vize'!CH24*100/'2.vize'!$I24,"")</f>
        <v/>
      </c>
      <c r="BX125" s="38" t="str">
        <f>IFERROR('2.vize'!CI24*100/'2.vize'!$I24,"")</f>
        <v/>
      </c>
      <c r="BY125" s="38" t="str">
        <f>IFERROR('2.vize'!CJ24*100/'2.vize'!$I24,"")</f>
        <v/>
      </c>
      <c r="BZ125" s="38" t="str">
        <f>IFERROR('2.vize'!CK24*100/'2.vize'!$I24,"")</f>
        <v/>
      </c>
      <c r="CA125" s="38" t="str">
        <f>IFERROR('2.vize'!CL24*100/'2.vize'!$I24,"")</f>
        <v/>
      </c>
      <c r="CB125" s="38" t="str">
        <f>IFERROR('2.vize'!CM24*100/'2.vize'!$I24,"")</f>
        <v/>
      </c>
      <c r="CC125" s="38" t="str">
        <f>IFERROR('2.vize'!CN24*100/'2.vize'!$I24,"")</f>
        <v/>
      </c>
      <c r="CD125" s="38" t="str">
        <f>IFERROR('2.vize'!CO24*100/'2.vize'!$I24,"")</f>
        <v/>
      </c>
      <c r="CE125" s="38" t="str">
        <f>IFERROR('2.vize'!CP24*100/'2.vize'!$I24,"")</f>
        <v/>
      </c>
      <c r="CF125" s="38" t="str">
        <f>IFERROR('2.vize'!CQ24*100/'2.vize'!$I24,"")</f>
        <v/>
      </c>
      <c r="CG125" s="38" t="str">
        <f>IFERROR('2.vize'!CR24*100/'2.vize'!$I24,"")</f>
        <v/>
      </c>
      <c r="CH125" s="38" t="str">
        <f>IFERROR('2.vize'!CS24*100/'2.vize'!$I24,"")</f>
        <v/>
      </c>
      <c r="CI125" s="38" t="str">
        <f>IFERROR('2.vize'!CT24*100/'2.vize'!$I24,"")</f>
        <v/>
      </c>
      <c r="CJ125" s="38" t="str">
        <f>IFERROR('2.vize'!CU24*100/'2.vize'!$I24,"")</f>
        <v/>
      </c>
      <c r="CK125" s="38" t="str">
        <f>IFERROR('2.vize'!CV24*100/'2.vize'!$I24,"")</f>
        <v/>
      </c>
      <c r="CL125" s="38" t="str">
        <f>IFERROR('2.vize'!CW24*100/'2.vize'!$I24,"")</f>
        <v/>
      </c>
      <c r="CM125" s="38" t="str">
        <f>IFERROR('2.vize'!CX24*100/'2.vize'!$I24,"")</f>
        <v/>
      </c>
      <c r="CN125" s="38" t="str">
        <f>IFERROR('2.vize'!CY24*100/'2.vize'!$I24,"")</f>
        <v/>
      </c>
      <c r="CO125" s="38" t="str">
        <f>IFERROR('2.vize'!CZ24*100/'2.vize'!$I24,"")</f>
        <v/>
      </c>
      <c r="CP125" s="38" t="str">
        <f>IFERROR('2.vize'!DA24*100/'2.vize'!$I24,"")</f>
        <v/>
      </c>
      <c r="CQ125" s="38" t="str">
        <f>IFERROR('2.vize'!DB24*100/'2.vize'!$I24,"")</f>
        <v/>
      </c>
      <c r="CR125" s="38" t="str">
        <f>IFERROR('2.vize'!DC24*100/'2.vize'!$I24,"")</f>
        <v/>
      </c>
      <c r="CS125" s="38" t="str">
        <f>IFERROR('2.vize'!DD24*100/'2.vize'!$I24,"")</f>
        <v/>
      </c>
      <c r="CT125" s="38" t="str">
        <f>IFERROR('2.vize'!DE24*100/'2.vize'!$I24,"")</f>
        <v/>
      </c>
      <c r="CU125" s="38" t="str">
        <f>IFERROR('2.vize'!DF24*100/'2.vize'!$I24,"")</f>
        <v/>
      </c>
      <c r="CV125" s="38" t="str">
        <f>IFERROR('2.vize'!DG24*100/'2.vize'!$I24,"")</f>
        <v/>
      </c>
      <c r="CW125" s="32" t="str">
        <f>IFERROR(SUM(A125:CV125)/'2.vize'!$DH$103,"")</f>
        <v/>
      </c>
      <c r="CX125" s="14" t="str">
        <f>IF(COUNTA('2.vize'!A24),'2.vize'!A24,"")</f>
        <v/>
      </c>
      <c r="CY125" s="14" t="str">
        <f>IF(COUNTA('2.vize'!B24),'2.vize'!B24,"")</f>
        <v/>
      </c>
      <c r="CZ125" s="14" t="str">
        <f>IF(COUNTA('2.vize'!C24),'2.vize'!C24,"")</f>
        <v/>
      </c>
      <c r="DA125" s="14" t="str">
        <f>IF(COUNTA('2.vize'!D24),'2.vize'!D24,"")</f>
        <v/>
      </c>
      <c r="DB125" s="14" t="str">
        <f>IF(COUNTA('2.vize'!E24),'2.vize'!E24,"")</f>
        <v/>
      </c>
      <c r="DC125" s="14" t="str">
        <f>IF(COUNTA('2.vize'!F24),'2.vize'!F24,"")</f>
        <v/>
      </c>
      <c r="DD125" s="14" t="str">
        <f>IF(COUNTA('2.vize'!G24),'2.vize'!G24,"")</f>
        <v/>
      </c>
      <c r="DE125" s="14" t="str">
        <f>IF(COUNTA('2.vize'!H24),'2.vize'!H24,"")</f>
        <v/>
      </c>
    </row>
    <row r="126" spans="1:109" x14ac:dyDescent="0.2">
      <c r="A126" s="38" t="str">
        <f>IFERROR('2.vize'!L25*100/'2.vize'!$I25,"")</f>
        <v/>
      </c>
      <c r="B126" s="38" t="str">
        <f>IFERROR('2.vize'!M25*100/'2.vize'!$I25,"")</f>
        <v/>
      </c>
      <c r="C126" s="38" t="str">
        <f>IFERROR('2.vize'!N25*100/'2.vize'!$I25,"")</f>
        <v/>
      </c>
      <c r="D126" s="38" t="str">
        <f>IFERROR('2.vize'!O25*100/'2.vize'!$I25,"")</f>
        <v/>
      </c>
      <c r="E126" s="38" t="str">
        <f>IFERROR('2.vize'!P25*100/'2.vize'!$I25,"")</f>
        <v/>
      </c>
      <c r="F126" s="38" t="str">
        <f>IFERROR('2.vize'!Q25*100/'2.vize'!$I25,"")</f>
        <v/>
      </c>
      <c r="G126" s="38" t="str">
        <f>IFERROR('2.vize'!R25*100/'2.vize'!$I25,"")</f>
        <v/>
      </c>
      <c r="H126" s="38" t="str">
        <f>IFERROR('2.vize'!S25*100/'2.vize'!$I25,"")</f>
        <v/>
      </c>
      <c r="I126" s="38" t="str">
        <f>IFERROR('2.vize'!T25*100/'2.vize'!$I25,"")</f>
        <v/>
      </c>
      <c r="J126" s="38" t="str">
        <f>IFERROR('2.vize'!U25*100/'2.vize'!$I25,"")</f>
        <v/>
      </c>
      <c r="K126" s="38" t="str">
        <f>IFERROR('2.vize'!V25*100/'2.vize'!$I25,"")</f>
        <v/>
      </c>
      <c r="L126" s="38" t="str">
        <f>IFERROR('2.vize'!W25*100/'2.vize'!$I25,"")</f>
        <v/>
      </c>
      <c r="M126" s="38" t="str">
        <f>IFERROR('2.vize'!X25*100/'2.vize'!$I25,"")</f>
        <v/>
      </c>
      <c r="N126" s="38" t="str">
        <f>IFERROR('2.vize'!Y25*100/'2.vize'!$I25,"")</f>
        <v/>
      </c>
      <c r="O126" s="38" t="str">
        <f>IFERROR('2.vize'!Z25*100/'2.vize'!$I25,"")</f>
        <v/>
      </c>
      <c r="P126" s="38" t="str">
        <f>IFERROR('2.vize'!AA25*100/'2.vize'!$I25,"")</f>
        <v/>
      </c>
      <c r="Q126" s="38" t="str">
        <f>IFERROR('2.vize'!AB25*100/'2.vize'!$I25,"")</f>
        <v/>
      </c>
      <c r="R126" s="38" t="str">
        <f>IFERROR('2.vize'!AC25*100/'2.vize'!$I25,"")</f>
        <v/>
      </c>
      <c r="S126" s="38" t="str">
        <f>IFERROR('2.vize'!AD25*100/'2.vize'!$I25,"")</f>
        <v/>
      </c>
      <c r="T126" s="38" t="str">
        <f>IFERROR('2.vize'!AE25*100/'2.vize'!$I25,"")</f>
        <v/>
      </c>
      <c r="U126" s="38" t="str">
        <f>IFERROR('2.vize'!AF25*100/'2.vize'!$I25,"")</f>
        <v/>
      </c>
      <c r="V126" s="38" t="str">
        <f>IFERROR('2.vize'!AG25*100/'2.vize'!$I25,"")</f>
        <v/>
      </c>
      <c r="W126" s="38" t="str">
        <f>IFERROR('2.vize'!AH25*100/'2.vize'!$I25,"")</f>
        <v/>
      </c>
      <c r="X126" s="38" t="str">
        <f>IFERROR('2.vize'!AI25*100/'2.vize'!$I25,"")</f>
        <v/>
      </c>
      <c r="Y126" s="38" t="str">
        <f>IFERROR('2.vize'!AJ25*100/'2.vize'!$I25,"")</f>
        <v/>
      </c>
      <c r="Z126" s="38" t="str">
        <f>IFERROR('2.vize'!AK25*100/'2.vize'!$I25,"")</f>
        <v/>
      </c>
      <c r="AA126" s="38" t="str">
        <f>IFERROR('2.vize'!AL25*100/'2.vize'!$I25,"")</f>
        <v/>
      </c>
      <c r="AB126" s="38" t="str">
        <f>IFERROR('2.vize'!AM25*100/'2.vize'!$I25,"")</f>
        <v/>
      </c>
      <c r="AC126" s="38" t="str">
        <f>IFERROR('2.vize'!AN25*100/'2.vize'!$I25,"")</f>
        <v/>
      </c>
      <c r="AD126" s="38" t="str">
        <f>IFERROR('2.vize'!AO25*100/'2.vize'!$I25,"")</f>
        <v/>
      </c>
      <c r="AE126" s="38" t="str">
        <f>IFERROR('2.vize'!AP25*100/'2.vize'!$I25,"")</f>
        <v/>
      </c>
      <c r="AF126" s="38" t="str">
        <f>IFERROR('2.vize'!AQ25*100/'2.vize'!$I25,"")</f>
        <v/>
      </c>
      <c r="AG126" s="38" t="str">
        <f>IFERROR('2.vize'!AR25*100/'2.vize'!$I25,"")</f>
        <v/>
      </c>
      <c r="AH126" s="38" t="str">
        <f>IFERROR('2.vize'!AS25*100/'2.vize'!$I25,"")</f>
        <v/>
      </c>
      <c r="AI126" s="38" t="str">
        <f>IFERROR('2.vize'!AT25*100/'2.vize'!$I25,"")</f>
        <v/>
      </c>
      <c r="AJ126" s="38" t="str">
        <f>IFERROR('2.vize'!AU25*100/'2.vize'!$I25,"")</f>
        <v/>
      </c>
      <c r="AK126" s="38" t="str">
        <f>IFERROR('2.vize'!AV25*100/'2.vize'!$I25,"")</f>
        <v/>
      </c>
      <c r="AL126" s="38" t="str">
        <f>IFERROR('2.vize'!AW25*100/'2.vize'!$I25,"")</f>
        <v/>
      </c>
      <c r="AM126" s="38" t="str">
        <f>IFERROR('2.vize'!AX25*100/'2.vize'!$I25,"")</f>
        <v/>
      </c>
      <c r="AN126" s="38" t="str">
        <f>IFERROR('2.vize'!AY25*100/'2.vize'!$I25,"")</f>
        <v/>
      </c>
      <c r="AO126" s="38" t="str">
        <f>IFERROR('2.vize'!AZ25*100/'2.vize'!$I25,"")</f>
        <v/>
      </c>
      <c r="AP126" s="38" t="str">
        <f>IFERROR('2.vize'!BA25*100/'2.vize'!$I25,"")</f>
        <v/>
      </c>
      <c r="AQ126" s="38" t="str">
        <f>IFERROR('2.vize'!BB25*100/'2.vize'!$I25,"")</f>
        <v/>
      </c>
      <c r="AR126" s="38" t="str">
        <f>IFERROR('2.vize'!BC25*100/'2.vize'!$I25,"")</f>
        <v/>
      </c>
      <c r="AS126" s="38" t="str">
        <f>IFERROR('2.vize'!BD25*100/'2.vize'!$I25,"")</f>
        <v/>
      </c>
      <c r="AT126" s="38" t="str">
        <f>IFERROR('2.vize'!BE25*100/'2.vize'!$I25,"")</f>
        <v/>
      </c>
      <c r="AU126" s="38" t="str">
        <f>IFERROR('2.vize'!BF25*100/'2.vize'!$I25,"")</f>
        <v/>
      </c>
      <c r="AV126" s="38" t="str">
        <f>IFERROR('2.vize'!BG25*100/'2.vize'!$I25,"")</f>
        <v/>
      </c>
      <c r="AW126" s="38" t="str">
        <f>IFERROR('2.vize'!BH25*100/'2.vize'!$I25,"")</f>
        <v/>
      </c>
      <c r="AX126" s="38" t="str">
        <f>IFERROR('2.vize'!BI25*100/'2.vize'!$I25,"")</f>
        <v/>
      </c>
      <c r="AY126" s="38" t="str">
        <f>IFERROR('2.vize'!BJ25*100/'2.vize'!$I25,"")</f>
        <v/>
      </c>
      <c r="AZ126" s="38" t="str">
        <f>IFERROR('2.vize'!BK25*100/'2.vize'!$I25,"")</f>
        <v/>
      </c>
      <c r="BA126" s="38" t="str">
        <f>IFERROR('2.vize'!BL25*100/'2.vize'!$I25,"")</f>
        <v/>
      </c>
      <c r="BB126" s="38" t="str">
        <f>IFERROR('2.vize'!BM25*100/'2.vize'!$I25,"")</f>
        <v/>
      </c>
      <c r="BC126" s="38" t="str">
        <f>IFERROR('2.vize'!BN25*100/'2.vize'!$I25,"")</f>
        <v/>
      </c>
      <c r="BD126" s="38" t="str">
        <f>IFERROR('2.vize'!BO25*100/'2.vize'!$I25,"")</f>
        <v/>
      </c>
      <c r="BE126" s="38" t="str">
        <f>IFERROR('2.vize'!BP25*100/'2.vize'!$I25,"")</f>
        <v/>
      </c>
      <c r="BF126" s="38" t="str">
        <f>IFERROR('2.vize'!BQ25*100/'2.vize'!$I25,"")</f>
        <v/>
      </c>
      <c r="BG126" s="38" t="str">
        <f>IFERROR('2.vize'!BR25*100/'2.vize'!$I25,"")</f>
        <v/>
      </c>
      <c r="BH126" s="38" t="str">
        <f>IFERROR('2.vize'!BS25*100/'2.vize'!$I25,"")</f>
        <v/>
      </c>
      <c r="BI126" s="38" t="str">
        <f>IFERROR('2.vize'!BT25*100/'2.vize'!$I25,"")</f>
        <v/>
      </c>
      <c r="BJ126" s="38" t="str">
        <f>IFERROR('2.vize'!BU25*100/'2.vize'!$I25,"")</f>
        <v/>
      </c>
      <c r="BK126" s="38" t="str">
        <f>IFERROR('2.vize'!BV25*100/'2.vize'!$I25,"")</f>
        <v/>
      </c>
      <c r="BL126" s="38" t="str">
        <f>IFERROR('2.vize'!BW25*100/'2.vize'!$I25,"")</f>
        <v/>
      </c>
      <c r="BM126" s="38" t="str">
        <f>IFERROR('2.vize'!BX25*100/'2.vize'!$I25,"")</f>
        <v/>
      </c>
      <c r="BN126" s="38" t="str">
        <f>IFERROR('2.vize'!BY25*100/'2.vize'!$I25,"")</f>
        <v/>
      </c>
      <c r="BO126" s="38" t="str">
        <f>IFERROR('2.vize'!BZ25*100/'2.vize'!$I25,"")</f>
        <v/>
      </c>
      <c r="BP126" s="38" t="str">
        <f>IFERROR('2.vize'!CA25*100/'2.vize'!$I25,"")</f>
        <v/>
      </c>
      <c r="BQ126" s="38" t="str">
        <f>IFERROR('2.vize'!CB25*100/'2.vize'!$I25,"")</f>
        <v/>
      </c>
      <c r="BR126" s="38" t="str">
        <f>IFERROR('2.vize'!CC25*100/'2.vize'!$I25,"")</f>
        <v/>
      </c>
      <c r="BS126" s="38" t="str">
        <f>IFERROR('2.vize'!CD25*100/'2.vize'!$I25,"")</f>
        <v/>
      </c>
      <c r="BT126" s="38" t="str">
        <f>IFERROR('2.vize'!CE25*100/'2.vize'!$I25,"")</f>
        <v/>
      </c>
      <c r="BU126" s="38" t="str">
        <f>IFERROR('2.vize'!CF25*100/'2.vize'!$I25,"")</f>
        <v/>
      </c>
      <c r="BV126" s="38" t="str">
        <f>IFERROR('2.vize'!CG25*100/'2.vize'!$I25,"")</f>
        <v/>
      </c>
      <c r="BW126" s="38" t="str">
        <f>IFERROR('2.vize'!CH25*100/'2.vize'!$I25,"")</f>
        <v/>
      </c>
      <c r="BX126" s="38" t="str">
        <f>IFERROR('2.vize'!CI25*100/'2.vize'!$I25,"")</f>
        <v/>
      </c>
      <c r="BY126" s="38" t="str">
        <f>IFERROR('2.vize'!CJ25*100/'2.vize'!$I25,"")</f>
        <v/>
      </c>
      <c r="BZ126" s="38" t="str">
        <f>IFERROR('2.vize'!CK25*100/'2.vize'!$I25,"")</f>
        <v/>
      </c>
      <c r="CA126" s="38" t="str">
        <f>IFERROR('2.vize'!CL25*100/'2.vize'!$I25,"")</f>
        <v/>
      </c>
      <c r="CB126" s="38" t="str">
        <f>IFERROR('2.vize'!CM25*100/'2.vize'!$I25,"")</f>
        <v/>
      </c>
      <c r="CC126" s="38" t="str">
        <f>IFERROR('2.vize'!CN25*100/'2.vize'!$I25,"")</f>
        <v/>
      </c>
      <c r="CD126" s="38" t="str">
        <f>IFERROR('2.vize'!CO25*100/'2.vize'!$I25,"")</f>
        <v/>
      </c>
      <c r="CE126" s="38" t="str">
        <f>IFERROR('2.vize'!CP25*100/'2.vize'!$I25,"")</f>
        <v/>
      </c>
      <c r="CF126" s="38" t="str">
        <f>IFERROR('2.vize'!CQ25*100/'2.vize'!$I25,"")</f>
        <v/>
      </c>
      <c r="CG126" s="38" t="str">
        <f>IFERROR('2.vize'!CR25*100/'2.vize'!$I25,"")</f>
        <v/>
      </c>
      <c r="CH126" s="38" t="str">
        <f>IFERROR('2.vize'!CS25*100/'2.vize'!$I25,"")</f>
        <v/>
      </c>
      <c r="CI126" s="38" t="str">
        <f>IFERROR('2.vize'!CT25*100/'2.vize'!$I25,"")</f>
        <v/>
      </c>
      <c r="CJ126" s="38" t="str">
        <f>IFERROR('2.vize'!CU25*100/'2.vize'!$I25,"")</f>
        <v/>
      </c>
      <c r="CK126" s="38" t="str">
        <f>IFERROR('2.vize'!CV25*100/'2.vize'!$I25,"")</f>
        <v/>
      </c>
      <c r="CL126" s="38" t="str">
        <f>IFERROR('2.vize'!CW25*100/'2.vize'!$I25,"")</f>
        <v/>
      </c>
      <c r="CM126" s="38" t="str">
        <f>IFERROR('2.vize'!CX25*100/'2.vize'!$I25,"")</f>
        <v/>
      </c>
      <c r="CN126" s="38" t="str">
        <f>IFERROR('2.vize'!CY25*100/'2.vize'!$I25,"")</f>
        <v/>
      </c>
      <c r="CO126" s="38" t="str">
        <f>IFERROR('2.vize'!CZ25*100/'2.vize'!$I25,"")</f>
        <v/>
      </c>
      <c r="CP126" s="38" t="str">
        <f>IFERROR('2.vize'!DA25*100/'2.vize'!$I25,"")</f>
        <v/>
      </c>
      <c r="CQ126" s="38" t="str">
        <f>IFERROR('2.vize'!DB25*100/'2.vize'!$I25,"")</f>
        <v/>
      </c>
      <c r="CR126" s="38" t="str">
        <f>IFERROR('2.vize'!DC25*100/'2.vize'!$I25,"")</f>
        <v/>
      </c>
      <c r="CS126" s="38" t="str">
        <f>IFERROR('2.vize'!DD25*100/'2.vize'!$I25,"")</f>
        <v/>
      </c>
      <c r="CT126" s="38" t="str">
        <f>IFERROR('2.vize'!DE25*100/'2.vize'!$I25,"")</f>
        <v/>
      </c>
      <c r="CU126" s="38" t="str">
        <f>IFERROR('2.vize'!DF25*100/'2.vize'!$I25,"")</f>
        <v/>
      </c>
      <c r="CV126" s="38" t="str">
        <f>IFERROR('2.vize'!DG25*100/'2.vize'!$I25,"")</f>
        <v/>
      </c>
      <c r="CW126" s="32" t="str">
        <f>IFERROR(SUM(A126:CV126)/'2.vize'!$DH$103,"")</f>
        <v/>
      </c>
      <c r="CX126" s="14" t="str">
        <f>IF(COUNTA('2.vize'!A25),'2.vize'!A25,"")</f>
        <v/>
      </c>
      <c r="CY126" s="14" t="str">
        <f>IF(COUNTA('2.vize'!B25),'2.vize'!B25,"")</f>
        <v/>
      </c>
      <c r="CZ126" s="14" t="str">
        <f>IF(COUNTA('2.vize'!C25),'2.vize'!C25,"")</f>
        <v/>
      </c>
      <c r="DA126" s="14" t="str">
        <f>IF(COUNTA('2.vize'!D25),'2.vize'!D25,"")</f>
        <v/>
      </c>
      <c r="DB126" s="14" t="str">
        <f>IF(COUNTA('2.vize'!E25),'2.vize'!E25,"")</f>
        <v/>
      </c>
      <c r="DC126" s="14" t="str">
        <f>IF(COUNTA('2.vize'!F25),'2.vize'!F25,"")</f>
        <v/>
      </c>
      <c r="DD126" s="14" t="str">
        <f>IF(COUNTA('2.vize'!G25),'2.vize'!G25,"")</f>
        <v/>
      </c>
      <c r="DE126" s="14" t="str">
        <f>IF(COUNTA('2.vize'!H25),'2.vize'!H25,"")</f>
        <v/>
      </c>
    </row>
    <row r="127" spans="1:109" x14ac:dyDescent="0.2">
      <c r="A127" s="38" t="str">
        <f>IFERROR('2.vize'!L26*100/'2.vize'!$I26,"")</f>
        <v/>
      </c>
      <c r="B127" s="38" t="str">
        <f>IFERROR('2.vize'!M26*100/'2.vize'!$I26,"")</f>
        <v/>
      </c>
      <c r="C127" s="38" t="str">
        <f>IFERROR('2.vize'!N26*100/'2.vize'!$I26,"")</f>
        <v/>
      </c>
      <c r="D127" s="38" t="str">
        <f>IFERROR('2.vize'!O26*100/'2.vize'!$I26,"")</f>
        <v/>
      </c>
      <c r="E127" s="38" t="str">
        <f>IFERROR('2.vize'!P26*100/'2.vize'!$I26,"")</f>
        <v/>
      </c>
      <c r="F127" s="38" t="str">
        <f>IFERROR('2.vize'!Q26*100/'2.vize'!$I26,"")</f>
        <v/>
      </c>
      <c r="G127" s="38" t="str">
        <f>IFERROR('2.vize'!R26*100/'2.vize'!$I26,"")</f>
        <v/>
      </c>
      <c r="H127" s="38" t="str">
        <f>IFERROR('2.vize'!S26*100/'2.vize'!$I26,"")</f>
        <v/>
      </c>
      <c r="I127" s="38" t="str">
        <f>IFERROR('2.vize'!T26*100/'2.vize'!$I26,"")</f>
        <v/>
      </c>
      <c r="J127" s="38" t="str">
        <f>IFERROR('2.vize'!U26*100/'2.vize'!$I26,"")</f>
        <v/>
      </c>
      <c r="K127" s="38" t="str">
        <f>IFERROR('2.vize'!V26*100/'2.vize'!$I26,"")</f>
        <v/>
      </c>
      <c r="L127" s="38" t="str">
        <f>IFERROR('2.vize'!W26*100/'2.vize'!$I26,"")</f>
        <v/>
      </c>
      <c r="M127" s="38" t="str">
        <f>IFERROR('2.vize'!X26*100/'2.vize'!$I26,"")</f>
        <v/>
      </c>
      <c r="N127" s="38" t="str">
        <f>IFERROR('2.vize'!Y26*100/'2.vize'!$I26,"")</f>
        <v/>
      </c>
      <c r="O127" s="38" t="str">
        <f>IFERROR('2.vize'!Z26*100/'2.vize'!$I26,"")</f>
        <v/>
      </c>
      <c r="P127" s="38" t="str">
        <f>IFERROR('2.vize'!AA26*100/'2.vize'!$I26,"")</f>
        <v/>
      </c>
      <c r="Q127" s="38" t="str">
        <f>IFERROR('2.vize'!AB26*100/'2.vize'!$I26,"")</f>
        <v/>
      </c>
      <c r="R127" s="38" t="str">
        <f>IFERROR('2.vize'!AC26*100/'2.vize'!$I26,"")</f>
        <v/>
      </c>
      <c r="S127" s="38" t="str">
        <f>IFERROR('2.vize'!AD26*100/'2.vize'!$I26,"")</f>
        <v/>
      </c>
      <c r="T127" s="38" t="str">
        <f>IFERROR('2.vize'!AE26*100/'2.vize'!$I26,"")</f>
        <v/>
      </c>
      <c r="U127" s="38" t="str">
        <f>IFERROR('2.vize'!AF26*100/'2.vize'!$I26,"")</f>
        <v/>
      </c>
      <c r="V127" s="38" t="str">
        <f>IFERROR('2.vize'!AG26*100/'2.vize'!$I26,"")</f>
        <v/>
      </c>
      <c r="W127" s="38" t="str">
        <f>IFERROR('2.vize'!AH26*100/'2.vize'!$I26,"")</f>
        <v/>
      </c>
      <c r="X127" s="38" t="str">
        <f>IFERROR('2.vize'!AI26*100/'2.vize'!$I26,"")</f>
        <v/>
      </c>
      <c r="Y127" s="38" t="str">
        <f>IFERROR('2.vize'!AJ26*100/'2.vize'!$I26,"")</f>
        <v/>
      </c>
      <c r="Z127" s="38" t="str">
        <f>IFERROR('2.vize'!AK26*100/'2.vize'!$I26,"")</f>
        <v/>
      </c>
      <c r="AA127" s="38" t="str">
        <f>IFERROR('2.vize'!AL26*100/'2.vize'!$I26,"")</f>
        <v/>
      </c>
      <c r="AB127" s="38" t="str">
        <f>IFERROR('2.vize'!AM26*100/'2.vize'!$I26,"")</f>
        <v/>
      </c>
      <c r="AC127" s="38" t="str">
        <f>IFERROR('2.vize'!AN26*100/'2.vize'!$I26,"")</f>
        <v/>
      </c>
      <c r="AD127" s="38" t="str">
        <f>IFERROR('2.vize'!AO26*100/'2.vize'!$I26,"")</f>
        <v/>
      </c>
      <c r="AE127" s="38" t="str">
        <f>IFERROR('2.vize'!AP26*100/'2.vize'!$I26,"")</f>
        <v/>
      </c>
      <c r="AF127" s="38" t="str">
        <f>IFERROR('2.vize'!AQ26*100/'2.vize'!$I26,"")</f>
        <v/>
      </c>
      <c r="AG127" s="38" t="str">
        <f>IFERROR('2.vize'!AR26*100/'2.vize'!$I26,"")</f>
        <v/>
      </c>
      <c r="AH127" s="38" t="str">
        <f>IFERROR('2.vize'!AS26*100/'2.vize'!$I26,"")</f>
        <v/>
      </c>
      <c r="AI127" s="38" t="str">
        <f>IFERROR('2.vize'!AT26*100/'2.vize'!$I26,"")</f>
        <v/>
      </c>
      <c r="AJ127" s="38" t="str">
        <f>IFERROR('2.vize'!AU26*100/'2.vize'!$I26,"")</f>
        <v/>
      </c>
      <c r="AK127" s="38" t="str">
        <f>IFERROR('2.vize'!AV26*100/'2.vize'!$I26,"")</f>
        <v/>
      </c>
      <c r="AL127" s="38" t="str">
        <f>IFERROR('2.vize'!AW26*100/'2.vize'!$I26,"")</f>
        <v/>
      </c>
      <c r="AM127" s="38" t="str">
        <f>IFERROR('2.vize'!AX26*100/'2.vize'!$I26,"")</f>
        <v/>
      </c>
      <c r="AN127" s="38" t="str">
        <f>IFERROR('2.vize'!AY26*100/'2.vize'!$I26,"")</f>
        <v/>
      </c>
      <c r="AO127" s="38" t="str">
        <f>IFERROR('2.vize'!AZ26*100/'2.vize'!$I26,"")</f>
        <v/>
      </c>
      <c r="AP127" s="38" t="str">
        <f>IFERROR('2.vize'!BA26*100/'2.vize'!$I26,"")</f>
        <v/>
      </c>
      <c r="AQ127" s="38" t="str">
        <f>IFERROR('2.vize'!BB26*100/'2.vize'!$I26,"")</f>
        <v/>
      </c>
      <c r="AR127" s="38" t="str">
        <f>IFERROR('2.vize'!BC26*100/'2.vize'!$I26,"")</f>
        <v/>
      </c>
      <c r="AS127" s="38" t="str">
        <f>IFERROR('2.vize'!BD26*100/'2.vize'!$I26,"")</f>
        <v/>
      </c>
      <c r="AT127" s="38" t="str">
        <f>IFERROR('2.vize'!BE26*100/'2.vize'!$I26,"")</f>
        <v/>
      </c>
      <c r="AU127" s="38" t="str">
        <f>IFERROR('2.vize'!BF26*100/'2.vize'!$I26,"")</f>
        <v/>
      </c>
      <c r="AV127" s="38" t="str">
        <f>IFERROR('2.vize'!BG26*100/'2.vize'!$I26,"")</f>
        <v/>
      </c>
      <c r="AW127" s="38" t="str">
        <f>IFERROR('2.vize'!BH26*100/'2.vize'!$I26,"")</f>
        <v/>
      </c>
      <c r="AX127" s="38" t="str">
        <f>IFERROR('2.vize'!BI26*100/'2.vize'!$I26,"")</f>
        <v/>
      </c>
      <c r="AY127" s="38" t="str">
        <f>IFERROR('2.vize'!BJ26*100/'2.vize'!$I26,"")</f>
        <v/>
      </c>
      <c r="AZ127" s="38" t="str">
        <f>IFERROR('2.vize'!BK26*100/'2.vize'!$I26,"")</f>
        <v/>
      </c>
      <c r="BA127" s="38" t="str">
        <f>IFERROR('2.vize'!BL26*100/'2.vize'!$I26,"")</f>
        <v/>
      </c>
      <c r="BB127" s="38" t="str">
        <f>IFERROR('2.vize'!BM26*100/'2.vize'!$I26,"")</f>
        <v/>
      </c>
      <c r="BC127" s="38" t="str">
        <f>IFERROR('2.vize'!BN26*100/'2.vize'!$I26,"")</f>
        <v/>
      </c>
      <c r="BD127" s="38" t="str">
        <f>IFERROR('2.vize'!BO26*100/'2.vize'!$I26,"")</f>
        <v/>
      </c>
      <c r="BE127" s="38" t="str">
        <f>IFERROR('2.vize'!BP26*100/'2.vize'!$I26,"")</f>
        <v/>
      </c>
      <c r="BF127" s="38" t="str">
        <f>IFERROR('2.vize'!BQ26*100/'2.vize'!$I26,"")</f>
        <v/>
      </c>
      <c r="BG127" s="38" t="str">
        <f>IFERROR('2.vize'!BR26*100/'2.vize'!$I26,"")</f>
        <v/>
      </c>
      <c r="BH127" s="38" t="str">
        <f>IFERROR('2.vize'!BS26*100/'2.vize'!$I26,"")</f>
        <v/>
      </c>
      <c r="BI127" s="38" t="str">
        <f>IFERROR('2.vize'!BT26*100/'2.vize'!$I26,"")</f>
        <v/>
      </c>
      <c r="BJ127" s="38" t="str">
        <f>IFERROR('2.vize'!BU26*100/'2.vize'!$I26,"")</f>
        <v/>
      </c>
      <c r="BK127" s="38" t="str">
        <f>IFERROR('2.vize'!BV26*100/'2.vize'!$I26,"")</f>
        <v/>
      </c>
      <c r="BL127" s="38" t="str">
        <f>IFERROR('2.vize'!BW26*100/'2.vize'!$I26,"")</f>
        <v/>
      </c>
      <c r="BM127" s="38" t="str">
        <f>IFERROR('2.vize'!BX26*100/'2.vize'!$I26,"")</f>
        <v/>
      </c>
      <c r="BN127" s="38" t="str">
        <f>IFERROR('2.vize'!BY26*100/'2.vize'!$I26,"")</f>
        <v/>
      </c>
      <c r="BO127" s="38" t="str">
        <f>IFERROR('2.vize'!BZ26*100/'2.vize'!$I26,"")</f>
        <v/>
      </c>
      <c r="BP127" s="38" t="str">
        <f>IFERROR('2.vize'!CA26*100/'2.vize'!$I26,"")</f>
        <v/>
      </c>
      <c r="BQ127" s="38" t="str">
        <f>IFERROR('2.vize'!CB26*100/'2.vize'!$I26,"")</f>
        <v/>
      </c>
      <c r="BR127" s="38" t="str">
        <f>IFERROR('2.vize'!CC26*100/'2.vize'!$I26,"")</f>
        <v/>
      </c>
      <c r="BS127" s="38" t="str">
        <f>IFERROR('2.vize'!CD26*100/'2.vize'!$I26,"")</f>
        <v/>
      </c>
      <c r="BT127" s="38" t="str">
        <f>IFERROR('2.vize'!CE26*100/'2.vize'!$I26,"")</f>
        <v/>
      </c>
      <c r="BU127" s="38" t="str">
        <f>IFERROR('2.vize'!CF26*100/'2.vize'!$I26,"")</f>
        <v/>
      </c>
      <c r="BV127" s="38" t="str">
        <f>IFERROR('2.vize'!CG26*100/'2.vize'!$I26,"")</f>
        <v/>
      </c>
      <c r="BW127" s="38" t="str">
        <f>IFERROR('2.vize'!CH26*100/'2.vize'!$I26,"")</f>
        <v/>
      </c>
      <c r="BX127" s="38" t="str">
        <f>IFERROR('2.vize'!CI26*100/'2.vize'!$I26,"")</f>
        <v/>
      </c>
      <c r="BY127" s="38" t="str">
        <f>IFERROR('2.vize'!CJ26*100/'2.vize'!$I26,"")</f>
        <v/>
      </c>
      <c r="BZ127" s="38" t="str">
        <f>IFERROR('2.vize'!CK26*100/'2.vize'!$I26,"")</f>
        <v/>
      </c>
      <c r="CA127" s="38" t="str">
        <f>IFERROR('2.vize'!CL26*100/'2.vize'!$I26,"")</f>
        <v/>
      </c>
      <c r="CB127" s="38" t="str">
        <f>IFERROR('2.vize'!CM26*100/'2.vize'!$I26,"")</f>
        <v/>
      </c>
      <c r="CC127" s="38" t="str">
        <f>IFERROR('2.vize'!CN26*100/'2.vize'!$I26,"")</f>
        <v/>
      </c>
      <c r="CD127" s="38" t="str">
        <f>IFERROR('2.vize'!CO26*100/'2.vize'!$I26,"")</f>
        <v/>
      </c>
      <c r="CE127" s="38" t="str">
        <f>IFERROR('2.vize'!CP26*100/'2.vize'!$I26,"")</f>
        <v/>
      </c>
      <c r="CF127" s="38" t="str">
        <f>IFERROR('2.vize'!CQ26*100/'2.vize'!$I26,"")</f>
        <v/>
      </c>
      <c r="CG127" s="38" t="str">
        <f>IFERROR('2.vize'!CR26*100/'2.vize'!$I26,"")</f>
        <v/>
      </c>
      <c r="CH127" s="38" t="str">
        <f>IFERROR('2.vize'!CS26*100/'2.vize'!$I26,"")</f>
        <v/>
      </c>
      <c r="CI127" s="38" t="str">
        <f>IFERROR('2.vize'!CT26*100/'2.vize'!$I26,"")</f>
        <v/>
      </c>
      <c r="CJ127" s="38" t="str">
        <f>IFERROR('2.vize'!CU26*100/'2.vize'!$I26,"")</f>
        <v/>
      </c>
      <c r="CK127" s="38" t="str">
        <f>IFERROR('2.vize'!CV26*100/'2.vize'!$I26,"")</f>
        <v/>
      </c>
      <c r="CL127" s="38" t="str">
        <f>IFERROR('2.vize'!CW26*100/'2.vize'!$I26,"")</f>
        <v/>
      </c>
      <c r="CM127" s="38" t="str">
        <f>IFERROR('2.vize'!CX26*100/'2.vize'!$I26,"")</f>
        <v/>
      </c>
      <c r="CN127" s="38" t="str">
        <f>IFERROR('2.vize'!CY26*100/'2.vize'!$I26,"")</f>
        <v/>
      </c>
      <c r="CO127" s="38" t="str">
        <f>IFERROR('2.vize'!CZ26*100/'2.vize'!$I26,"")</f>
        <v/>
      </c>
      <c r="CP127" s="38" t="str">
        <f>IFERROR('2.vize'!DA26*100/'2.vize'!$I26,"")</f>
        <v/>
      </c>
      <c r="CQ127" s="38" t="str">
        <f>IFERROR('2.vize'!DB26*100/'2.vize'!$I26,"")</f>
        <v/>
      </c>
      <c r="CR127" s="38" t="str">
        <f>IFERROR('2.vize'!DC26*100/'2.vize'!$I26,"")</f>
        <v/>
      </c>
      <c r="CS127" s="38" t="str">
        <f>IFERROR('2.vize'!DD26*100/'2.vize'!$I26,"")</f>
        <v/>
      </c>
      <c r="CT127" s="38" t="str">
        <f>IFERROR('2.vize'!DE26*100/'2.vize'!$I26,"")</f>
        <v/>
      </c>
      <c r="CU127" s="38" t="str">
        <f>IFERROR('2.vize'!DF26*100/'2.vize'!$I26,"")</f>
        <v/>
      </c>
      <c r="CV127" s="38" t="str">
        <f>IFERROR('2.vize'!DG26*100/'2.vize'!$I26,"")</f>
        <v/>
      </c>
      <c r="CW127" s="32" t="str">
        <f>IFERROR(SUM(A127:CV127)/'2.vize'!$DH$103,"")</f>
        <v/>
      </c>
      <c r="CX127" s="14" t="str">
        <f>IF(COUNTA('2.vize'!A26),'2.vize'!A26,"")</f>
        <v/>
      </c>
      <c r="CY127" s="14" t="str">
        <f>IF(COUNTA('2.vize'!B26),'2.vize'!B26,"")</f>
        <v/>
      </c>
      <c r="CZ127" s="14" t="str">
        <f>IF(COUNTA('2.vize'!C26),'2.vize'!C26,"")</f>
        <v/>
      </c>
      <c r="DA127" s="14" t="str">
        <f>IF(COUNTA('2.vize'!D26),'2.vize'!D26,"")</f>
        <v/>
      </c>
      <c r="DB127" s="14" t="str">
        <f>IF(COUNTA('2.vize'!E26),'2.vize'!E26,"")</f>
        <v/>
      </c>
      <c r="DC127" s="14" t="str">
        <f>IF(COUNTA('2.vize'!F26),'2.vize'!F26,"")</f>
        <v/>
      </c>
      <c r="DD127" s="14" t="str">
        <f>IF(COUNTA('2.vize'!G26),'2.vize'!G26,"")</f>
        <v/>
      </c>
      <c r="DE127" s="14" t="str">
        <f>IF(COUNTA('2.vize'!H26),'2.vize'!H26,"")</f>
        <v/>
      </c>
    </row>
    <row r="128" spans="1:109" x14ac:dyDescent="0.2">
      <c r="A128" s="38" t="str">
        <f>IFERROR('2.vize'!L27*100/'2.vize'!$I27,"")</f>
        <v/>
      </c>
      <c r="B128" s="38" t="str">
        <f>IFERROR('2.vize'!M27*100/'2.vize'!$I27,"")</f>
        <v/>
      </c>
      <c r="C128" s="38" t="str">
        <f>IFERROR('2.vize'!N27*100/'2.vize'!$I27,"")</f>
        <v/>
      </c>
      <c r="D128" s="38" t="str">
        <f>IFERROR('2.vize'!O27*100/'2.vize'!$I27,"")</f>
        <v/>
      </c>
      <c r="E128" s="38" t="str">
        <f>IFERROR('2.vize'!P27*100/'2.vize'!$I27,"")</f>
        <v/>
      </c>
      <c r="F128" s="38" t="str">
        <f>IFERROR('2.vize'!Q27*100/'2.vize'!$I27,"")</f>
        <v/>
      </c>
      <c r="G128" s="38" t="str">
        <f>IFERROR('2.vize'!R27*100/'2.vize'!$I27,"")</f>
        <v/>
      </c>
      <c r="H128" s="38" t="str">
        <f>IFERROR('2.vize'!S27*100/'2.vize'!$I27,"")</f>
        <v/>
      </c>
      <c r="I128" s="38" t="str">
        <f>IFERROR('2.vize'!T27*100/'2.vize'!$I27,"")</f>
        <v/>
      </c>
      <c r="J128" s="38" t="str">
        <f>IFERROR('2.vize'!U27*100/'2.vize'!$I27,"")</f>
        <v/>
      </c>
      <c r="K128" s="38" t="str">
        <f>IFERROR('2.vize'!V27*100/'2.vize'!$I27,"")</f>
        <v/>
      </c>
      <c r="L128" s="38" t="str">
        <f>IFERROR('2.vize'!W27*100/'2.vize'!$I27,"")</f>
        <v/>
      </c>
      <c r="M128" s="38" t="str">
        <f>IFERROR('2.vize'!X27*100/'2.vize'!$I27,"")</f>
        <v/>
      </c>
      <c r="N128" s="38" t="str">
        <f>IFERROR('2.vize'!Y27*100/'2.vize'!$I27,"")</f>
        <v/>
      </c>
      <c r="O128" s="38" t="str">
        <f>IFERROR('2.vize'!Z27*100/'2.vize'!$I27,"")</f>
        <v/>
      </c>
      <c r="P128" s="38" t="str">
        <f>IFERROR('2.vize'!AA27*100/'2.vize'!$I27,"")</f>
        <v/>
      </c>
      <c r="Q128" s="38" t="str">
        <f>IFERROR('2.vize'!AB27*100/'2.vize'!$I27,"")</f>
        <v/>
      </c>
      <c r="R128" s="38" t="str">
        <f>IFERROR('2.vize'!AC27*100/'2.vize'!$I27,"")</f>
        <v/>
      </c>
      <c r="S128" s="38" t="str">
        <f>IFERROR('2.vize'!AD27*100/'2.vize'!$I27,"")</f>
        <v/>
      </c>
      <c r="T128" s="38" t="str">
        <f>IFERROR('2.vize'!AE27*100/'2.vize'!$I27,"")</f>
        <v/>
      </c>
      <c r="U128" s="38" t="str">
        <f>IFERROR('2.vize'!AF27*100/'2.vize'!$I27,"")</f>
        <v/>
      </c>
      <c r="V128" s="38" t="str">
        <f>IFERROR('2.vize'!AG27*100/'2.vize'!$I27,"")</f>
        <v/>
      </c>
      <c r="W128" s="38" t="str">
        <f>IFERROR('2.vize'!AH27*100/'2.vize'!$I27,"")</f>
        <v/>
      </c>
      <c r="X128" s="38" t="str">
        <f>IFERROR('2.vize'!AI27*100/'2.vize'!$I27,"")</f>
        <v/>
      </c>
      <c r="Y128" s="38" t="str">
        <f>IFERROR('2.vize'!AJ27*100/'2.vize'!$I27,"")</f>
        <v/>
      </c>
      <c r="Z128" s="38" t="str">
        <f>IFERROR('2.vize'!AK27*100/'2.vize'!$I27,"")</f>
        <v/>
      </c>
      <c r="AA128" s="38" t="str">
        <f>IFERROR('2.vize'!AL27*100/'2.vize'!$I27,"")</f>
        <v/>
      </c>
      <c r="AB128" s="38" t="str">
        <f>IFERROR('2.vize'!AM27*100/'2.vize'!$I27,"")</f>
        <v/>
      </c>
      <c r="AC128" s="38" t="str">
        <f>IFERROR('2.vize'!AN27*100/'2.vize'!$I27,"")</f>
        <v/>
      </c>
      <c r="AD128" s="38" t="str">
        <f>IFERROR('2.vize'!AO27*100/'2.vize'!$I27,"")</f>
        <v/>
      </c>
      <c r="AE128" s="38" t="str">
        <f>IFERROR('2.vize'!AP27*100/'2.vize'!$I27,"")</f>
        <v/>
      </c>
      <c r="AF128" s="38" t="str">
        <f>IFERROR('2.vize'!AQ27*100/'2.vize'!$I27,"")</f>
        <v/>
      </c>
      <c r="AG128" s="38" t="str">
        <f>IFERROR('2.vize'!AR27*100/'2.vize'!$I27,"")</f>
        <v/>
      </c>
      <c r="AH128" s="38" t="str">
        <f>IFERROR('2.vize'!AS27*100/'2.vize'!$I27,"")</f>
        <v/>
      </c>
      <c r="AI128" s="38" t="str">
        <f>IFERROR('2.vize'!AT27*100/'2.vize'!$I27,"")</f>
        <v/>
      </c>
      <c r="AJ128" s="38" t="str">
        <f>IFERROR('2.vize'!AU27*100/'2.vize'!$I27,"")</f>
        <v/>
      </c>
      <c r="AK128" s="38" t="str">
        <f>IFERROR('2.vize'!AV27*100/'2.vize'!$I27,"")</f>
        <v/>
      </c>
      <c r="AL128" s="38" t="str">
        <f>IFERROR('2.vize'!AW27*100/'2.vize'!$I27,"")</f>
        <v/>
      </c>
      <c r="AM128" s="38" t="str">
        <f>IFERROR('2.vize'!AX27*100/'2.vize'!$I27,"")</f>
        <v/>
      </c>
      <c r="AN128" s="38" t="str">
        <f>IFERROR('2.vize'!AY27*100/'2.vize'!$I27,"")</f>
        <v/>
      </c>
      <c r="AO128" s="38" t="str">
        <f>IFERROR('2.vize'!AZ27*100/'2.vize'!$I27,"")</f>
        <v/>
      </c>
      <c r="AP128" s="38" t="str">
        <f>IFERROR('2.vize'!BA27*100/'2.vize'!$I27,"")</f>
        <v/>
      </c>
      <c r="AQ128" s="38" t="str">
        <f>IFERROR('2.vize'!BB27*100/'2.vize'!$I27,"")</f>
        <v/>
      </c>
      <c r="AR128" s="38" t="str">
        <f>IFERROR('2.vize'!BC27*100/'2.vize'!$I27,"")</f>
        <v/>
      </c>
      <c r="AS128" s="38" t="str">
        <f>IFERROR('2.vize'!BD27*100/'2.vize'!$I27,"")</f>
        <v/>
      </c>
      <c r="AT128" s="38" t="str">
        <f>IFERROR('2.vize'!BE27*100/'2.vize'!$I27,"")</f>
        <v/>
      </c>
      <c r="AU128" s="38" t="str">
        <f>IFERROR('2.vize'!BF27*100/'2.vize'!$I27,"")</f>
        <v/>
      </c>
      <c r="AV128" s="38" t="str">
        <f>IFERROR('2.vize'!BG27*100/'2.vize'!$I27,"")</f>
        <v/>
      </c>
      <c r="AW128" s="38" t="str">
        <f>IFERROR('2.vize'!BH27*100/'2.vize'!$I27,"")</f>
        <v/>
      </c>
      <c r="AX128" s="38" t="str">
        <f>IFERROR('2.vize'!BI27*100/'2.vize'!$I27,"")</f>
        <v/>
      </c>
      <c r="AY128" s="38" t="str">
        <f>IFERROR('2.vize'!BJ27*100/'2.vize'!$I27,"")</f>
        <v/>
      </c>
      <c r="AZ128" s="38" t="str">
        <f>IFERROR('2.vize'!BK27*100/'2.vize'!$I27,"")</f>
        <v/>
      </c>
      <c r="BA128" s="38" t="str">
        <f>IFERROR('2.vize'!BL27*100/'2.vize'!$I27,"")</f>
        <v/>
      </c>
      <c r="BB128" s="38" t="str">
        <f>IFERROR('2.vize'!BM27*100/'2.vize'!$I27,"")</f>
        <v/>
      </c>
      <c r="BC128" s="38" t="str">
        <f>IFERROR('2.vize'!BN27*100/'2.vize'!$I27,"")</f>
        <v/>
      </c>
      <c r="BD128" s="38" t="str">
        <f>IFERROR('2.vize'!BO27*100/'2.vize'!$I27,"")</f>
        <v/>
      </c>
      <c r="BE128" s="38" t="str">
        <f>IFERROR('2.vize'!BP27*100/'2.vize'!$I27,"")</f>
        <v/>
      </c>
      <c r="BF128" s="38" t="str">
        <f>IFERROR('2.vize'!BQ27*100/'2.vize'!$I27,"")</f>
        <v/>
      </c>
      <c r="BG128" s="38" t="str">
        <f>IFERROR('2.vize'!BR27*100/'2.vize'!$I27,"")</f>
        <v/>
      </c>
      <c r="BH128" s="38" t="str">
        <f>IFERROR('2.vize'!BS27*100/'2.vize'!$I27,"")</f>
        <v/>
      </c>
      <c r="BI128" s="38" t="str">
        <f>IFERROR('2.vize'!BT27*100/'2.vize'!$I27,"")</f>
        <v/>
      </c>
      <c r="BJ128" s="38" t="str">
        <f>IFERROR('2.vize'!BU27*100/'2.vize'!$I27,"")</f>
        <v/>
      </c>
      <c r="BK128" s="38" t="str">
        <f>IFERROR('2.vize'!BV27*100/'2.vize'!$I27,"")</f>
        <v/>
      </c>
      <c r="BL128" s="38" t="str">
        <f>IFERROR('2.vize'!BW27*100/'2.vize'!$I27,"")</f>
        <v/>
      </c>
      <c r="BM128" s="38" t="str">
        <f>IFERROR('2.vize'!BX27*100/'2.vize'!$I27,"")</f>
        <v/>
      </c>
      <c r="BN128" s="38" t="str">
        <f>IFERROR('2.vize'!BY27*100/'2.vize'!$I27,"")</f>
        <v/>
      </c>
      <c r="BO128" s="38" t="str">
        <f>IFERROR('2.vize'!BZ27*100/'2.vize'!$I27,"")</f>
        <v/>
      </c>
      <c r="BP128" s="38" t="str">
        <f>IFERROR('2.vize'!CA27*100/'2.vize'!$I27,"")</f>
        <v/>
      </c>
      <c r="BQ128" s="38" t="str">
        <f>IFERROR('2.vize'!CB27*100/'2.vize'!$I27,"")</f>
        <v/>
      </c>
      <c r="BR128" s="38" t="str">
        <f>IFERROR('2.vize'!CC27*100/'2.vize'!$I27,"")</f>
        <v/>
      </c>
      <c r="BS128" s="38" t="str">
        <f>IFERROR('2.vize'!CD27*100/'2.vize'!$I27,"")</f>
        <v/>
      </c>
      <c r="BT128" s="38" t="str">
        <f>IFERROR('2.vize'!CE27*100/'2.vize'!$I27,"")</f>
        <v/>
      </c>
      <c r="BU128" s="38" t="str">
        <f>IFERROR('2.vize'!CF27*100/'2.vize'!$I27,"")</f>
        <v/>
      </c>
      <c r="BV128" s="38" t="str">
        <f>IFERROR('2.vize'!CG27*100/'2.vize'!$I27,"")</f>
        <v/>
      </c>
      <c r="BW128" s="38" t="str">
        <f>IFERROR('2.vize'!CH27*100/'2.vize'!$I27,"")</f>
        <v/>
      </c>
      <c r="BX128" s="38" t="str">
        <f>IFERROR('2.vize'!CI27*100/'2.vize'!$I27,"")</f>
        <v/>
      </c>
      <c r="BY128" s="38" t="str">
        <f>IFERROR('2.vize'!CJ27*100/'2.vize'!$I27,"")</f>
        <v/>
      </c>
      <c r="BZ128" s="38" t="str">
        <f>IFERROR('2.vize'!CK27*100/'2.vize'!$I27,"")</f>
        <v/>
      </c>
      <c r="CA128" s="38" t="str">
        <f>IFERROR('2.vize'!CL27*100/'2.vize'!$I27,"")</f>
        <v/>
      </c>
      <c r="CB128" s="38" t="str">
        <f>IFERROR('2.vize'!CM27*100/'2.vize'!$I27,"")</f>
        <v/>
      </c>
      <c r="CC128" s="38" t="str">
        <f>IFERROR('2.vize'!CN27*100/'2.vize'!$I27,"")</f>
        <v/>
      </c>
      <c r="CD128" s="38" t="str">
        <f>IFERROR('2.vize'!CO27*100/'2.vize'!$I27,"")</f>
        <v/>
      </c>
      <c r="CE128" s="38" t="str">
        <f>IFERROR('2.vize'!CP27*100/'2.vize'!$I27,"")</f>
        <v/>
      </c>
      <c r="CF128" s="38" t="str">
        <f>IFERROR('2.vize'!CQ27*100/'2.vize'!$I27,"")</f>
        <v/>
      </c>
      <c r="CG128" s="38" t="str">
        <f>IFERROR('2.vize'!CR27*100/'2.vize'!$I27,"")</f>
        <v/>
      </c>
      <c r="CH128" s="38" t="str">
        <f>IFERROR('2.vize'!CS27*100/'2.vize'!$I27,"")</f>
        <v/>
      </c>
      <c r="CI128" s="38" t="str">
        <f>IFERROR('2.vize'!CT27*100/'2.vize'!$I27,"")</f>
        <v/>
      </c>
      <c r="CJ128" s="38" t="str">
        <f>IFERROR('2.vize'!CU27*100/'2.vize'!$I27,"")</f>
        <v/>
      </c>
      <c r="CK128" s="38" t="str">
        <f>IFERROR('2.vize'!CV27*100/'2.vize'!$I27,"")</f>
        <v/>
      </c>
      <c r="CL128" s="38" t="str">
        <f>IFERROR('2.vize'!CW27*100/'2.vize'!$I27,"")</f>
        <v/>
      </c>
      <c r="CM128" s="38" t="str">
        <f>IFERROR('2.vize'!CX27*100/'2.vize'!$I27,"")</f>
        <v/>
      </c>
      <c r="CN128" s="38" t="str">
        <f>IFERROR('2.vize'!CY27*100/'2.vize'!$I27,"")</f>
        <v/>
      </c>
      <c r="CO128" s="38" t="str">
        <f>IFERROR('2.vize'!CZ27*100/'2.vize'!$I27,"")</f>
        <v/>
      </c>
      <c r="CP128" s="38" t="str">
        <f>IFERROR('2.vize'!DA27*100/'2.vize'!$I27,"")</f>
        <v/>
      </c>
      <c r="CQ128" s="38" t="str">
        <f>IFERROR('2.vize'!DB27*100/'2.vize'!$I27,"")</f>
        <v/>
      </c>
      <c r="CR128" s="38" t="str">
        <f>IFERROR('2.vize'!DC27*100/'2.vize'!$I27,"")</f>
        <v/>
      </c>
      <c r="CS128" s="38" t="str">
        <f>IFERROR('2.vize'!DD27*100/'2.vize'!$I27,"")</f>
        <v/>
      </c>
      <c r="CT128" s="38" t="str">
        <f>IFERROR('2.vize'!DE27*100/'2.vize'!$I27,"")</f>
        <v/>
      </c>
      <c r="CU128" s="38" t="str">
        <f>IFERROR('2.vize'!DF27*100/'2.vize'!$I27,"")</f>
        <v/>
      </c>
      <c r="CV128" s="38" t="str">
        <f>IFERROR('2.vize'!DG27*100/'2.vize'!$I27,"")</f>
        <v/>
      </c>
      <c r="CW128" s="32" t="str">
        <f>IFERROR(SUM(A128:CV128)/'2.vize'!$DH$103,"")</f>
        <v/>
      </c>
      <c r="CX128" s="14" t="str">
        <f>IF(COUNTA('2.vize'!A27),'2.vize'!A27,"")</f>
        <v/>
      </c>
      <c r="CY128" s="14" t="str">
        <f>IF(COUNTA('2.vize'!B27),'2.vize'!B27,"")</f>
        <v/>
      </c>
      <c r="CZ128" s="14" t="str">
        <f>IF(COUNTA('2.vize'!C27),'2.vize'!C27,"")</f>
        <v/>
      </c>
      <c r="DA128" s="14" t="str">
        <f>IF(COUNTA('2.vize'!D27),'2.vize'!D27,"")</f>
        <v/>
      </c>
      <c r="DB128" s="14" t="str">
        <f>IF(COUNTA('2.vize'!E27),'2.vize'!E27,"")</f>
        <v/>
      </c>
      <c r="DC128" s="14" t="str">
        <f>IF(COUNTA('2.vize'!F27),'2.vize'!F27,"")</f>
        <v/>
      </c>
      <c r="DD128" s="14" t="str">
        <f>IF(COUNTA('2.vize'!G27),'2.vize'!G27,"")</f>
        <v/>
      </c>
      <c r="DE128" s="14" t="str">
        <f>IF(COUNTA('2.vize'!H27),'2.vize'!H27,"")</f>
        <v/>
      </c>
    </row>
    <row r="129" spans="1:109" x14ac:dyDescent="0.2">
      <c r="A129" s="38" t="str">
        <f>IFERROR('2.vize'!L28*100/'2.vize'!$I28,"")</f>
        <v/>
      </c>
      <c r="B129" s="38" t="str">
        <f>IFERROR('2.vize'!M28*100/'2.vize'!$I28,"")</f>
        <v/>
      </c>
      <c r="C129" s="38" t="str">
        <f>IFERROR('2.vize'!N28*100/'2.vize'!$I28,"")</f>
        <v/>
      </c>
      <c r="D129" s="38" t="str">
        <f>IFERROR('2.vize'!O28*100/'2.vize'!$I28,"")</f>
        <v/>
      </c>
      <c r="E129" s="38" t="str">
        <f>IFERROR('2.vize'!P28*100/'2.vize'!$I28,"")</f>
        <v/>
      </c>
      <c r="F129" s="38" t="str">
        <f>IFERROR('2.vize'!Q28*100/'2.vize'!$I28,"")</f>
        <v/>
      </c>
      <c r="G129" s="38" t="str">
        <f>IFERROR('2.vize'!R28*100/'2.vize'!$I28,"")</f>
        <v/>
      </c>
      <c r="H129" s="38" t="str">
        <f>IFERROR('2.vize'!S28*100/'2.vize'!$I28,"")</f>
        <v/>
      </c>
      <c r="I129" s="38" t="str">
        <f>IFERROR('2.vize'!T28*100/'2.vize'!$I28,"")</f>
        <v/>
      </c>
      <c r="J129" s="38" t="str">
        <f>IFERROR('2.vize'!U28*100/'2.vize'!$I28,"")</f>
        <v/>
      </c>
      <c r="K129" s="38" t="str">
        <f>IFERROR('2.vize'!V28*100/'2.vize'!$I28,"")</f>
        <v/>
      </c>
      <c r="L129" s="38" t="str">
        <f>IFERROR('2.vize'!W28*100/'2.vize'!$I28,"")</f>
        <v/>
      </c>
      <c r="M129" s="38" t="str">
        <f>IFERROR('2.vize'!X28*100/'2.vize'!$I28,"")</f>
        <v/>
      </c>
      <c r="N129" s="38" t="str">
        <f>IFERROR('2.vize'!Y28*100/'2.vize'!$I28,"")</f>
        <v/>
      </c>
      <c r="O129" s="38" t="str">
        <f>IFERROR('2.vize'!Z28*100/'2.vize'!$I28,"")</f>
        <v/>
      </c>
      <c r="P129" s="38" t="str">
        <f>IFERROR('2.vize'!AA28*100/'2.vize'!$I28,"")</f>
        <v/>
      </c>
      <c r="Q129" s="38" t="str">
        <f>IFERROR('2.vize'!AB28*100/'2.vize'!$I28,"")</f>
        <v/>
      </c>
      <c r="R129" s="38" t="str">
        <f>IFERROR('2.vize'!AC28*100/'2.vize'!$I28,"")</f>
        <v/>
      </c>
      <c r="S129" s="38" t="str">
        <f>IFERROR('2.vize'!AD28*100/'2.vize'!$I28,"")</f>
        <v/>
      </c>
      <c r="T129" s="38" t="str">
        <f>IFERROR('2.vize'!AE28*100/'2.vize'!$I28,"")</f>
        <v/>
      </c>
      <c r="U129" s="38" t="str">
        <f>IFERROR('2.vize'!AF28*100/'2.vize'!$I28,"")</f>
        <v/>
      </c>
      <c r="V129" s="38" t="str">
        <f>IFERROR('2.vize'!AG28*100/'2.vize'!$I28,"")</f>
        <v/>
      </c>
      <c r="W129" s="38" t="str">
        <f>IFERROR('2.vize'!AH28*100/'2.vize'!$I28,"")</f>
        <v/>
      </c>
      <c r="X129" s="38" t="str">
        <f>IFERROR('2.vize'!AI28*100/'2.vize'!$I28,"")</f>
        <v/>
      </c>
      <c r="Y129" s="38" t="str">
        <f>IFERROR('2.vize'!AJ28*100/'2.vize'!$I28,"")</f>
        <v/>
      </c>
      <c r="Z129" s="38" t="str">
        <f>IFERROR('2.vize'!AK28*100/'2.vize'!$I28,"")</f>
        <v/>
      </c>
      <c r="AA129" s="38" t="str">
        <f>IFERROR('2.vize'!AL28*100/'2.vize'!$I28,"")</f>
        <v/>
      </c>
      <c r="AB129" s="38" t="str">
        <f>IFERROR('2.vize'!AM28*100/'2.vize'!$I28,"")</f>
        <v/>
      </c>
      <c r="AC129" s="38" t="str">
        <f>IFERROR('2.vize'!AN28*100/'2.vize'!$I28,"")</f>
        <v/>
      </c>
      <c r="AD129" s="38" t="str">
        <f>IFERROR('2.vize'!AO28*100/'2.vize'!$I28,"")</f>
        <v/>
      </c>
      <c r="AE129" s="38" t="str">
        <f>IFERROR('2.vize'!AP28*100/'2.vize'!$I28,"")</f>
        <v/>
      </c>
      <c r="AF129" s="38" t="str">
        <f>IFERROR('2.vize'!AQ28*100/'2.vize'!$I28,"")</f>
        <v/>
      </c>
      <c r="AG129" s="38" t="str">
        <f>IFERROR('2.vize'!AR28*100/'2.vize'!$I28,"")</f>
        <v/>
      </c>
      <c r="AH129" s="38" t="str">
        <f>IFERROR('2.vize'!AS28*100/'2.vize'!$I28,"")</f>
        <v/>
      </c>
      <c r="AI129" s="38" t="str">
        <f>IFERROR('2.vize'!AT28*100/'2.vize'!$I28,"")</f>
        <v/>
      </c>
      <c r="AJ129" s="38" t="str">
        <f>IFERROR('2.vize'!AU28*100/'2.vize'!$I28,"")</f>
        <v/>
      </c>
      <c r="AK129" s="38" t="str">
        <f>IFERROR('2.vize'!AV28*100/'2.vize'!$I28,"")</f>
        <v/>
      </c>
      <c r="AL129" s="38" t="str">
        <f>IFERROR('2.vize'!AW28*100/'2.vize'!$I28,"")</f>
        <v/>
      </c>
      <c r="AM129" s="38" t="str">
        <f>IFERROR('2.vize'!AX28*100/'2.vize'!$I28,"")</f>
        <v/>
      </c>
      <c r="AN129" s="38" t="str">
        <f>IFERROR('2.vize'!AY28*100/'2.vize'!$I28,"")</f>
        <v/>
      </c>
      <c r="AO129" s="38" t="str">
        <f>IFERROR('2.vize'!AZ28*100/'2.vize'!$I28,"")</f>
        <v/>
      </c>
      <c r="AP129" s="38" t="str">
        <f>IFERROR('2.vize'!BA28*100/'2.vize'!$I28,"")</f>
        <v/>
      </c>
      <c r="AQ129" s="38" t="str">
        <f>IFERROR('2.vize'!BB28*100/'2.vize'!$I28,"")</f>
        <v/>
      </c>
      <c r="AR129" s="38" t="str">
        <f>IFERROR('2.vize'!BC28*100/'2.vize'!$I28,"")</f>
        <v/>
      </c>
      <c r="AS129" s="38" t="str">
        <f>IFERROR('2.vize'!BD28*100/'2.vize'!$I28,"")</f>
        <v/>
      </c>
      <c r="AT129" s="38" t="str">
        <f>IFERROR('2.vize'!BE28*100/'2.vize'!$I28,"")</f>
        <v/>
      </c>
      <c r="AU129" s="38" t="str">
        <f>IFERROR('2.vize'!BF28*100/'2.vize'!$I28,"")</f>
        <v/>
      </c>
      <c r="AV129" s="38" t="str">
        <f>IFERROR('2.vize'!BG28*100/'2.vize'!$I28,"")</f>
        <v/>
      </c>
      <c r="AW129" s="38" t="str">
        <f>IFERROR('2.vize'!BH28*100/'2.vize'!$I28,"")</f>
        <v/>
      </c>
      <c r="AX129" s="38" t="str">
        <f>IFERROR('2.vize'!BI28*100/'2.vize'!$I28,"")</f>
        <v/>
      </c>
      <c r="AY129" s="38" t="str">
        <f>IFERROR('2.vize'!BJ28*100/'2.vize'!$I28,"")</f>
        <v/>
      </c>
      <c r="AZ129" s="38" t="str">
        <f>IFERROR('2.vize'!BK28*100/'2.vize'!$I28,"")</f>
        <v/>
      </c>
      <c r="BA129" s="38" t="str">
        <f>IFERROR('2.vize'!BL28*100/'2.vize'!$I28,"")</f>
        <v/>
      </c>
      <c r="BB129" s="38" t="str">
        <f>IFERROR('2.vize'!BM28*100/'2.vize'!$I28,"")</f>
        <v/>
      </c>
      <c r="BC129" s="38" t="str">
        <f>IFERROR('2.vize'!BN28*100/'2.vize'!$I28,"")</f>
        <v/>
      </c>
      <c r="BD129" s="38" t="str">
        <f>IFERROR('2.vize'!BO28*100/'2.vize'!$I28,"")</f>
        <v/>
      </c>
      <c r="BE129" s="38" t="str">
        <f>IFERROR('2.vize'!BP28*100/'2.vize'!$I28,"")</f>
        <v/>
      </c>
      <c r="BF129" s="38" t="str">
        <f>IFERROR('2.vize'!BQ28*100/'2.vize'!$I28,"")</f>
        <v/>
      </c>
      <c r="BG129" s="38" t="str">
        <f>IFERROR('2.vize'!BR28*100/'2.vize'!$I28,"")</f>
        <v/>
      </c>
      <c r="BH129" s="38" t="str">
        <f>IFERROR('2.vize'!BS28*100/'2.vize'!$I28,"")</f>
        <v/>
      </c>
      <c r="BI129" s="38" t="str">
        <f>IFERROR('2.vize'!BT28*100/'2.vize'!$I28,"")</f>
        <v/>
      </c>
      <c r="BJ129" s="38" t="str">
        <f>IFERROR('2.vize'!BU28*100/'2.vize'!$I28,"")</f>
        <v/>
      </c>
      <c r="BK129" s="38" t="str">
        <f>IFERROR('2.vize'!BV28*100/'2.vize'!$I28,"")</f>
        <v/>
      </c>
      <c r="BL129" s="38" t="str">
        <f>IFERROR('2.vize'!BW28*100/'2.vize'!$I28,"")</f>
        <v/>
      </c>
      <c r="BM129" s="38" t="str">
        <f>IFERROR('2.vize'!BX28*100/'2.vize'!$I28,"")</f>
        <v/>
      </c>
      <c r="BN129" s="38" t="str">
        <f>IFERROR('2.vize'!BY28*100/'2.vize'!$I28,"")</f>
        <v/>
      </c>
      <c r="BO129" s="38" t="str">
        <f>IFERROR('2.vize'!BZ28*100/'2.vize'!$I28,"")</f>
        <v/>
      </c>
      <c r="BP129" s="38" t="str">
        <f>IFERROR('2.vize'!CA28*100/'2.vize'!$I28,"")</f>
        <v/>
      </c>
      <c r="BQ129" s="38" t="str">
        <f>IFERROR('2.vize'!CB28*100/'2.vize'!$I28,"")</f>
        <v/>
      </c>
      <c r="BR129" s="38" t="str">
        <f>IFERROR('2.vize'!CC28*100/'2.vize'!$I28,"")</f>
        <v/>
      </c>
      <c r="BS129" s="38" t="str">
        <f>IFERROR('2.vize'!CD28*100/'2.vize'!$I28,"")</f>
        <v/>
      </c>
      <c r="BT129" s="38" t="str">
        <f>IFERROR('2.vize'!CE28*100/'2.vize'!$I28,"")</f>
        <v/>
      </c>
      <c r="BU129" s="38" t="str">
        <f>IFERROR('2.vize'!CF28*100/'2.vize'!$I28,"")</f>
        <v/>
      </c>
      <c r="BV129" s="38" t="str">
        <f>IFERROR('2.vize'!CG28*100/'2.vize'!$I28,"")</f>
        <v/>
      </c>
      <c r="BW129" s="38" t="str">
        <f>IFERROR('2.vize'!CH28*100/'2.vize'!$I28,"")</f>
        <v/>
      </c>
      <c r="BX129" s="38" t="str">
        <f>IFERROR('2.vize'!CI28*100/'2.vize'!$I28,"")</f>
        <v/>
      </c>
      <c r="BY129" s="38" t="str">
        <f>IFERROR('2.vize'!CJ28*100/'2.vize'!$I28,"")</f>
        <v/>
      </c>
      <c r="BZ129" s="38" t="str">
        <f>IFERROR('2.vize'!CK28*100/'2.vize'!$I28,"")</f>
        <v/>
      </c>
      <c r="CA129" s="38" t="str">
        <f>IFERROR('2.vize'!CL28*100/'2.vize'!$I28,"")</f>
        <v/>
      </c>
      <c r="CB129" s="38" t="str">
        <f>IFERROR('2.vize'!CM28*100/'2.vize'!$I28,"")</f>
        <v/>
      </c>
      <c r="CC129" s="38" t="str">
        <f>IFERROR('2.vize'!CN28*100/'2.vize'!$I28,"")</f>
        <v/>
      </c>
      <c r="CD129" s="38" t="str">
        <f>IFERROR('2.vize'!CO28*100/'2.vize'!$I28,"")</f>
        <v/>
      </c>
      <c r="CE129" s="38" t="str">
        <f>IFERROR('2.vize'!CP28*100/'2.vize'!$I28,"")</f>
        <v/>
      </c>
      <c r="CF129" s="38" t="str">
        <f>IFERROR('2.vize'!CQ28*100/'2.vize'!$I28,"")</f>
        <v/>
      </c>
      <c r="CG129" s="38" t="str">
        <f>IFERROR('2.vize'!CR28*100/'2.vize'!$I28,"")</f>
        <v/>
      </c>
      <c r="CH129" s="38" t="str">
        <f>IFERROR('2.vize'!CS28*100/'2.vize'!$I28,"")</f>
        <v/>
      </c>
      <c r="CI129" s="38" t="str">
        <f>IFERROR('2.vize'!CT28*100/'2.vize'!$I28,"")</f>
        <v/>
      </c>
      <c r="CJ129" s="38" t="str">
        <f>IFERROR('2.vize'!CU28*100/'2.vize'!$I28,"")</f>
        <v/>
      </c>
      <c r="CK129" s="38" t="str">
        <f>IFERROR('2.vize'!CV28*100/'2.vize'!$I28,"")</f>
        <v/>
      </c>
      <c r="CL129" s="38" t="str">
        <f>IFERROR('2.vize'!CW28*100/'2.vize'!$I28,"")</f>
        <v/>
      </c>
      <c r="CM129" s="38" t="str">
        <f>IFERROR('2.vize'!CX28*100/'2.vize'!$I28,"")</f>
        <v/>
      </c>
      <c r="CN129" s="38" t="str">
        <f>IFERROR('2.vize'!CY28*100/'2.vize'!$I28,"")</f>
        <v/>
      </c>
      <c r="CO129" s="38" t="str">
        <f>IFERROR('2.vize'!CZ28*100/'2.vize'!$I28,"")</f>
        <v/>
      </c>
      <c r="CP129" s="38" t="str">
        <f>IFERROR('2.vize'!DA28*100/'2.vize'!$I28,"")</f>
        <v/>
      </c>
      <c r="CQ129" s="38" t="str">
        <f>IFERROR('2.vize'!DB28*100/'2.vize'!$I28,"")</f>
        <v/>
      </c>
      <c r="CR129" s="38" t="str">
        <f>IFERROR('2.vize'!DC28*100/'2.vize'!$I28,"")</f>
        <v/>
      </c>
      <c r="CS129" s="38" t="str">
        <f>IFERROR('2.vize'!DD28*100/'2.vize'!$I28,"")</f>
        <v/>
      </c>
      <c r="CT129" s="38" t="str">
        <f>IFERROR('2.vize'!DE28*100/'2.vize'!$I28,"")</f>
        <v/>
      </c>
      <c r="CU129" s="38" t="str">
        <f>IFERROR('2.vize'!DF28*100/'2.vize'!$I28,"")</f>
        <v/>
      </c>
      <c r="CV129" s="38" t="str">
        <f>IFERROR('2.vize'!DG28*100/'2.vize'!$I28,"")</f>
        <v/>
      </c>
      <c r="CW129" s="32" t="str">
        <f>IFERROR(SUM(A129:CV129)/'2.vize'!$DH$103,"")</f>
        <v/>
      </c>
      <c r="CX129" s="14" t="str">
        <f>IF(COUNTA('2.vize'!A28),'2.vize'!A28,"")</f>
        <v/>
      </c>
      <c r="CY129" s="14" t="str">
        <f>IF(COUNTA('2.vize'!B28),'2.vize'!B28,"")</f>
        <v/>
      </c>
      <c r="CZ129" s="14" t="str">
        <f>IF(COUNTA('2.vize'!C28),'2.vize'!C28,"")</f>
        <v/>
      </c>
      <c r="DA129" s="14" t="str">
        <f>IF(COUNTA('2.vize'!D28),'2.vize'!D28,"")</f>
        <v/>
      </c>
      <c r="DB129" s="14" t="str">
        <f>IF(COUNTA('2.vize'!E28),'2.vize'!E28,"")</f>
        <v/>
      </c>
      <c r="DC129" s="14" t="str">
        <f>IF(COUNTA('2.vize'!F28),'2.vize'!F28,"")</f>
        <v/>
      </c>
      <c r="DD129" s="14" t="str">
        <f>IF(COUNTA('2.vize'!G28),'2.vize'!G28,"")</f>
        <v/>
      </c>
      <c r="DE129" s="14" t="str">
        <f>IF(COUNTA('2.vize'!H28),'2.vize'!H28,"")</f>
        <v/>
      </c>
    </row>
    <row r="130" spans="1:109" x14ac:dyDescent="0.2">
      <c r="A130" s="38" t="str">
        <f>IFERROR('2.vize'!L29*100/'2.vize'!$I29,"")</f>
        <v/>
      </c>
      <c r="B130" s="38" t="str">
        <f>IFERROR('2.vize'!M29*100/'2.vize'!$I29,"")</f>
        <v/>
      </c>
      <c r="C130" s="38" t="str">
        <f>IFERROR('2.vize'!N29*100/'2.vize'!$I29,"")</f>
        <v/>
      </c>
      <c r="D130" s="38" t="str">
        <f>IFERROR('2.vize'!O29*100/'2.vize'!$I29,"")</f>
        <v/>
      </c>
      <c r="E130" s="38" t="str">
        <f>IFERROR('2.vize'!P29*100/'2.vize'!$I29,"")</f>
        <v/>
      </c>
      <c r="F130" s="38" t="str">
        <f>IFERROR('2.vize'!Q29*100/'2.vize'!$I29,"")</f>
        <v/>
      </c>
      <c r="G130" s="38" t="str">
        <f>IFERROR('2.vize'!R29*100/'2.vize'!$I29,"")</f>
        <v/>
      </c>
      <c r="H130" s="38" t="str">
        <f>IFERROR('2.vize'!S29*100/'2.vize'!$I29,"")</f>
        <v/>
      </c>
      <c r="I130" s="38" t="str">
        <f>IFERROR('2.vize'!T29*100/'2.vize'!$I29,"")</f>
        <v/>
      </c>
      <c r="J130" s="38" t="str">
        <f>IFERROR('2.vize'!U29*100/'2.vize'!$I29,"")</f>
        <v/>
      </c>
      <c r="K130" s="38" t="str">
        <f>IFERROR('2.vize'!V29*100/'2.vize'!$I29,"")</f>
        <v/>
      </c>
      <c r="L130" s="38" t="str">
        <f>IFERROR('2.vize'!W29*100/'2.vize'!$I29,"")</f>
        <v/>
      </c>
      <c r="M130" s="38" t="str">
        <f>IFERROR('2.vize'!X29*100/'2.vize'!$I29,"")</f>
        <v/>
      </c>
      <c r="N130" s="38" t="str">
        <f>IFERROR('2.vize'!Y29*100/'2.vize'!$I29,"")</f>
        <v/>
      </c>
      <c r="O130" s="38" t="str">
        <f>IFERROR('2.vize'!Z29*100/'2.vize'!$I29,"")</f>
        <v/>
      </c>
      <c r="P130" s="38" t="str">
        <f>IFERROR('2.vize'!AA29*100/'2.vize'!$I29,"")</f>
        <v/>
      </c>
      <c r="Q130" s="38" t="str">
        <f>IFERROR('2.vize'!AB29*100/'2.vize'!$I29,"")</f>
        <v/>
      </c>
      <c r="R130" s="38" t="str">
        <f>IFERROR('2.vize'!AC29*100/'2.vize'!$I29,"")</f>
        <v/>
      </c>
      <c r="S130" s="38" t="str">
        <f>IFERROR('2.vize'!AD29*100/'2.vize'!$I29,"")</f>
        <v/>
      </c>
      <c r="T130" s="38" t="str">
        <f>IFERROR('2.vize'!AE29*100/'2.vize'!$I29,"")</f>
        <v/>
      </c>
      <c r="U130" s="38" t="str">
        <f>IFERROR('2.vize'!AF29*100/'2.vize'!$I29,"")</f>
        <v/>
      </c>
      <c r="V130" s="38" t="str">
        <f>IFERROR('2.vize'!AG29*100/'2.vize'!$I29,"")</f>
        <v/>
      </c>
      <c r="W130" s="38" t="str">
        <f>IFERROR('2.vize'!AH29*100/'2.vize'!$I29,"")</f>
        <v/>
      </c>
      <c r="X130" s="38" t="str">
        <f>IFERROR('2.vize'!AI29*100/'2.vize'!$I29,"")</f>
        <v/>
      </c>
      <c r="Y130" s="38" t="str">
        <f>IFERROR('2.vize'!AJ29*100/'2.vize'!$I29,"")</f>
        <v/>
      </c>
      <c r="Z130" s="38" t="str">
        <f>IFERROR('2.vize'!AK29*100/'2.vize'!$I29,"")</f>
        <v/>
      </c>
      <c r="AA130" s="38" t="str">
        <f>IFERROR('2.vize'!AL29*100/'2.vize'!$I29,"")</f>
        <v/>
      </c>
      <c r="AB130" s="38" t="str">
        <f>IFERROR('2.vize'!AM29*100/'2.vize'!$I29,"")</f>
        <v/>
      </c>
      <c r="AC130" s="38" t="str">
        <f>IFERROR('2.vize'!AN29*100/'2.vize'!$I29,"")</f>
        <v/>
      </c>
      <c r="AD130" s="38" t="str">
        <f>IFERROR('2.vize'!AO29*100/'2.vize'!$I29,"")</f>
        <v/>
      </c>
      <c r="AE130" s="38" t="str">
        <f>IFERROR('2.vize'!AP29*100/'2.vize'!$I29,"")</f>
        <v/>
      </c>
      <c r="AF130" s="38" t="str">
        <f>IFERROR('2.vize'!AQ29*100/'2.vize'!$I29,"")</f>
        <v/>
      </c>
      <c r="AG130" s="38" t="str">
        <f>IFERROR('2.vize'!AR29*100/'2.vize'!$I29,"")</f>
        <v/>
      </c>
      <c r="AH130" s="38" t="str">
        <f>IFERROR('2.vize'!AS29*100/'2.vize'!$I29,"")</f>
        <v/>
      </c>
      <c r="AI130" s="38" t="str">
        <f>IFERROR('2.vize'!AT29*100/'2.vize'!$I29,"")</f>
        <v/>
      </c>
      <c r="AJ130" s="38" t="str">
        <f>IFERROR('2.vize'!AU29*100/'2.vize'!$I29,"")</f>
        <v/>
      </c>
      <c r="AK130" s="38" t="str">
        <f>IFERROR('2.vize'!AV29*100/'2.vize'!$I29,"")</f>
        <v/>
      </c>
      <c r="AL130" s="38" t="str">
        <f>IFERROR('2.vize'!AW29*100/'2.vize'!$I29,"")</f>
        <v/>
      </c>
      <c r="AM130" s="38" t="str">
        <f>IFERROR('2.vize'!AX29*100/'2.vize'!$I29,"")</f>
        <v/>
      </c>
      <c r="AN130" s="38" t="str">
        <f>IFERROR('2.vize'!AY29*100/'2.vize'!$I29,"")</f>
        <v/>
      </c>
      <c r="AO130" s="38" t="str">
        <f>IFERROR('2.vize'!AZ29*100/'2.vize'!$I29,"")</f>
        <v/>
      </c>
      <c r="AP130" s="38" t="str">
        <f>IFERROR('2.vize'!BA29*100/'2.vize'!$I29,"")</f>
        <v/>
      </c>
      <c r="AQ130" s="38" t="str">
        <f>IFERROR('2.vize'!BB29*100/'2.vize'!$I29,"")</f>
        <v/>
      </c>
      <c r="AR130" s="38" t="str">
        <f>IFERROR('2.vize'!BC29*100/'2.vize'!$I29,"")</f>
        <v/>
      </c>
      <c r="AS130" s="38" t="str">
        <f>IFERROR('2.vize'!BD29*100/'2.vize'!$I29,"")</f>
        <v/>
      </c>
      <c r="AT130" s="38" t="str">
        <f>IFERROR('2.vize'!BE29*100/'2.vize'!$I29,"")</f>
        <v/>
      </c>
      <c r="AU130" s="38" t="str">
        <f>IFERROR('2.vize'!BF29*100/'2.vize'!$I29,"")</f>
        <v/>
      </c>
      <c r="AV130" s="38" t="str">
        <f>IFERROR('2.vize'!BG29*100/'2.vize'!$I29,"")</f>
        <v/>
      </c>
      <c r="AW130" s="38" t="str">
        <f>IFERROR('2.vize'!BH29*100/'2.vize'!$I29,"")</f>
        <v/>
      </c>
      <c r="AX130" s="38" t="str">
        <f>IFERROR('2.vize'!BI29*100/'2.vize'!$I29,"")</f>
        <v/>
      </c>
      <c r="AY130" s="38" t="str">
        <f>IFERROR('2.vize'!BJ29*100/'2.vize'!$I29,"")</f>
        <v/>
      </c>
      <c r="AZ130" s="38" t="str">
        <f>IFERROR('2.vize'!BK29*100/'2.vize'!$I29,"")</f>
        <v/>
      </c>
      <c r="BA130" s="38" t="str">
        <f>IFERROR('2.vize'!BL29*100/'2.vize'!$I29,"")</f>
        <v/>
      </c>
      <c r="BB130" s="38" t="str">
        <f>IFERROR('2.vize'!BM29*100/'2.vize'!$I29,"")</f>
        <v/>
      </c>
      <c r="BC130" s="38" t="str">
        <f>IFERROR('2.vize'!BN29*100/'2.vize'!$I29,"")</f>
        <v/>
      </c>
      <c r="BD130" s="38" t="str">
        <f>IFERROR('2.vize'!BO29*100/'2.vize'!$I29,"")</f>
        <v/>
      </c>
      <c r="BE130" s="38" t="str">
        <f>IFERROR('2.vize'!BP29*100/'2.vize'!$I29,"")</f>
        <v/>
      </c>
      <c r="BF130" s="38" t="str">
        <f>IFERROR('2.vize'!BQ29*100/'2.vize'!$I29,"")</f>
        <v/>
      </c>
      <c r="BG130" s="38" t="str">
        <f>IFERROR('2.vize'!BR29*100/'2.vize'!$I29,"")</f>
        <v/>
      </c>
      <c r="BH130" s="38" t="str">
        <f>IFERROR('2.vize'!BS29*100/'2.vize'!$I29,"")</f>
        <v/>
      </c>
      <c r="BI130" s="38" t="str">
        <f>IFERROR('2.vize'!BT29*100/'2.vize'!$I29,"")</f>
        <v/>
      </c>
      <c r="BJ130" s="38" t="str">
        <f>IFERROR('2.vize'!BU29*100/'2.vize'!$I29,"")</f>
        <v/>
      </c>
      <c r="BK130" s="38" t="str">
        <f>IFERROR('2.vize'!BV29*100/'2.vize'!$I29,"")</f>
        <v/>
      </c>
      <c r="BL130" s="38" t="str">
        <f>IFERROR('2.vize'!BW29*100/'2.vize'!$I29,"")</f>
        <v/>
      </c>
      <c r="BM130" s="38" t="str">
        <f>IFERROR('2.vize'!BX29*100/'2.vize'!$I29,"")</f>
        <v/>
      </c>
      <c r="BN130" s="38" t="str">
        <f>IFERROR('2.vize'!BY29*100/'2.vize'!$I29,"")</f>
        <v/>
      </c>
      <c r="BO130" s="38" t="str">
        <f>IFERROR('2.vize'!BZ29*100/'2.vize'!$I29,"")</f>
        <v/>
      </c>
      <c r="BP130" s="38" t="str">
        <f>IFERROR('2.vize'!CA29*100/'2.vize'!$I29,"")</f>
        <v/>
      </c>
      <c r="BQ130" s="38" t="str">
        <f>IFERROR('2.vize'!CB29*100/'2.vize'!$I29,"")</f>
        <v/>
      </c>
      <c r="BR130" s="38" t="str">
        <f>IFERROR('2.vize'!CC29*100/'2.vize'!$I29,"")</f>
        <v/>
      </c>
      <c r="BS130" s="38" t="str">
        <f>IFERROR('2.vize'!CD29*100/'2.vize'!$I29,"")</f>
        <v/>
      </c>
      <c r="BT130" s="38" t="str">
        <f>IFERROR('2.vize'!CE29*100/'2.vize'!$I29,"")</f>
        <v/>
      </c>
      <c r="BU130" s="38" t="str">
        <f>IFERROR('2.vize'!CF29*100/'2.vize'!$I29,"")</f>
        <v/>
      </c>
      <c r="BV130" s="38" t="str">
        <f>IFERROR('2.vize'!CG29*100/'2.vize'!$I29,"")</f>
        <v/>
      </c>
      <c r="BW130" s="38" t="str">
        <f>IFERROR('2.vize'!CH29*100/'2.vize'!$I29,"")</f>
        <v/>
      </c>
      <c r="BX130" s="38" t="str">
        <f>IFERROR('2.vize'!CI29*100/'2.vize'!$I29,"")</f>
        <v/>
      </c>
      <c r="BY130" s="38" t="str">
        <f>IFERROR('2.vize'!CJ29*100/'2.vize'!$I29,"")</f>
        <v/>
      </c>
      <c r="BZ130" s="38" t="str">
        <f>IFERROR('2.vize'!CK29*100/'2.vize'!$I29,"")</f>
        <v/>
      </c>
      <c r="CA130" s="38" t="str">
        <f>IFERROR('2.vize'!CL29*100/'2.vize'!$I29,"")</f>
        <v/>
      </c>
      <c r="CB130" s="38" t="str">
        <f>IFERROR('2.vize'!CM29*100/'2.vize'!$I29,"")</f>
        <v/>
      </c>
      <c r="CC130" s="38" t="str">
        <f>IFERROR('2.vize'!CN29*100/'2.vize'!$I29,"")</f>
        <v/>
      </c>
      <c r="CD130" s="38" t="str">
        <f>IFERROR('2.vize'!CO29*100/'2.vize'!$I29,"")</f>
        <v/>
      </c>
      <c r="CE130" s="38" t="str">
        <f>IFERROR('2.vize'!CP29*100/'2.vize'!$I29,"")</f>
        <v/>
      </c>
      <c r="CF130" s="38" t="str">
        <f>IFERROR('2.vize'!CQ29*100/'2.vize'!$I29,"")</f>
        <v/>
      </c>
      <c r="CG130" s="38" t="str">
        <f>IFERROR('2.vize'!CR29*100/'2.vize'!$I29,"")</f>
        <v/>
      </c>
      <c r="CH130" s="38" t="str">
        <f>IFERROR('2.vize'!CS29*100/'2.vize'!$I29,"")</f>
        <v/>
      </c>
      <c r="CI130" s="38" t="str">
        <f>IFERROR('2.vize'!CT29*100/'2.vize'!$I29,"")</f>
        <v/>
      </c>
      <c r="CJ130" s="38" t="str">
        <f>IFERROR('2.vize'!CU29*100/'2.vize'!$I29,"")</f>
        <v/>
      </c>
      <c r="CK130" s="38" t="str">
        <f>IFERROR('2.vize'!CV29*100/'2.vize'!$I29,"")</f>
        <v/>
      </c>
      <c r="CL130" s="38" t="str">
        <f>IFERROR('2.vize'!CW29*100/'2.vize'!$I29,"")</f>
        <v/>
      </c>
      <c r="CM130" s="38" t="str">
        <f>IFERROR('2.vize'!CX29*100/'2.vize'!$I29,"")</f>
        <v/>
      </c>
      <c r="CN130" s="38" t="str">
        <f>IFERROR('2.vize'!CY29*100/'2.vize'!$I29,"")</f>
        <v/>
      </c>
      <c r="CO130" s="38" t="str">
        <f>IFERROR('2.vize'!CZ29*100/'2.vize'!$I29,"")</f>
        <v/>
      </c>
      <c r="CP130" s="38" t="str">
        <f>IFERROR('2.vize'!DA29*100/'2.vize'!$I29,"")</f>
        <v/>
      </c>
      <c r="CQ130" s="38" t="str">
        <f>IFERROR('2.vize'!DB29*100/'2.vize'!$I29,"")</f>
        <v/>
      </c>
      <c r="CR130" s="38" t="str">
        <f>IFERROR('2.vize'!DC29*100/'2.vize'!$I29,"")</f>
        <v/>
      </c>
      <c r="CS130" s="38" t="str">
        <f>IFERROR('2.vize'!DD29*100/'2.vize'!$I29,"")</f>
        <v/>
      </c>
      <c r="CT130" s="38" t="str">
        <f>IFERROR('2.vize'!DE29*100/'2.vize'!$I29,"")</f>
        <v/>
      </c>
      <c r="CU130" s="38" t="str">
        <f>IFERROR('2.vize'!DF29*100/'2.vize'!$I29,"")</f>
        <v/>
      </c>
      <c r="CV130" s="38" t="str">
        <f>IFERROR('2.vize'!DG29*100/'2.vize'!$I29,"")</f>
        <v/>
      </c>
      <c r="CW130" s="32" t="str">
        <f>IFERROR(SUM(A130:CV130)/'2.vize'!$DH$103,"")</f>
        <v/>
      </c>
      <c r="CX130" s="14" t="str">
        <f>IF(COUNTA('2.vize'!A29),'2.vize'!A29,"")</f>
        <v/>
      </c>
      <c r="CY130" s="14" t="str">
        <f>IF(COUNTA('2.vize'!B29),'2.vize'!B29,"")</f>
        <v/>
      </c>
      <c r="CZ130" s="14" t="str">
        <f>IF(COUNTA('2.vize'!C29),'2.vize'!C29,"")</f>
        <v/>
      </c>
      <c r="DA130" s="14" t="str">
        <f>IF(COUNTA('2.vize'!D29),'2.vize'!D29,"")</f>
        <v/>
      </c>
      <c r="DB130" s="14" t="str">
        <f>IF(COUNTA('2.vize'!E29),'2.vize'!E29,"")</f>
        <v/>
      </c>
      <c r="DC130" s="14" t="str">
        <f>IF(COUNTA('2.vize'!F29),'2.vize'!F29,"")</f>
        <v/>
      </c>
      <c r="DD130" s="14" t="str">
        <f>IF(COUNTA('2.vize'!G29),'2.vize'!G29,"")</f>
        <v/>
      </c>
      <c r="DE130" s="14" t="str">
        <f>IF(COUNTA('2.vize'!H29),'2.vize'!H29,"")</f>
        <v/>
      </c>
    </row>
    <row r="131" spans="1:109" x14ac:dyDescent="0.2">
      <c r="A131" s="38" t="str">
        <f>IFERROR('2.vize'!L30*100/'2.vize'!$I30,"")</f>
        <v/>
      </c>
      <c r="B131" s="38" t="str">
        <f>IFERROR('2.vize'!M30*100/'2.vize'!$I30,"")</f>
        <v/>
      </c>
      <c r="C131" s="38" t="str">
        <f>IFERROR('2.vize'!N30*100/'2.vize'!$I30,"")</f>
        <v/>
      </c>
      <c r="D131" s="38" t="str">
        <f>IFERROR('2.vize'!O30*100/'2.vize'!$I30,"")</f>
        <v/>
      </c>
      <c r="E131" s="38" t="str">
        <f>IFERROR('2.vize'!P30*100/'2.vize'!$I30,"")</f>
        <v/>
      </c>
      <c r="F131" s="38" t="str">
        <f>IFERROR('2.vize'!Q30*100/'2.vize'!$I30,"")</f>
        <v/>
      </c>
      <c r="G131" s="38" t="str">
        <f>IFERROR('2.vize'!R30*100/'2.vize'!$I30,"")</f>
        <v/>
      </c>
      <c r="H131" s="38" t="str">
        <f>IFERROR('2.vize'!S30*100/'2.vize'!$I30,"")</f>
        <v/>
      </c>
      <c r="I131" s="38" t="str">
        <f>IFERROR('2.vize'!T30*100/'2.vize'!$I30,"")</f>
        <v/>
      </c>
      <c r="J131" s="38" t="str">
        <f>IFERROR('2.vize'!U30*100/'2.vize'!$I30,"")</f>
        <v/>
      </c>
      <c r="K131" s="38" t="str">
        <f>IFERROR('2.vize'!V30*100/'2.vize'!$I30,"")</f>
        <v/>
      </c>
      <c r="L131" s="38" t="str">
        <f>IFERROR('2.vize'!W30*100/'2.vize'!$I30,"")</f>
        <v/>
      </c>
      <c r="M131" s="38" t="str">
        <f>IFERROR('2.vize'!X30*100/'2.vize'!$I30,"")</f>
        <v/>
      </c>
      <c r="N131" s="38" t="str">
        <f>IFERROR('2.vize'!Y30*100/'2.vize'!$I30,"")</f>
        <v/>
      </c>
      <c r="O131" s="38" t="str">
        <f>IFERROR('2.vize'!Z30*100/'2.vize'!$I30,"")</f>
        <v/>
      </c>
      <c r="P131" s="38" t="str">
        <f>IFERROR('2.vize'!AA30*100/'2.vize'!$I30,"")</f>
        <v/>
      </c>
      <c r="Q131" s="38" t="str">
        <f>IFERROR('2.vize'!AB30*100/'2.vize'!$I30,"")</f>
        <v/>
      </c>
      <c r="R131" s="38" t="str">
        <f>IFERROR('2.vize'!AC30*100/'2.vize'!$I30,"")</f>
        <v/>
      </c>
      <c r="S131" s="38" t="str">
        <f>IFERROR('2.vize'!AD30*100/'2.vize'!$I30,"")</f>
        <v/>
      </c>
      <c r="T131" s="38" t="str">
        <f>IFERROR('2.vize'!AE30*100/'2.vize'!$I30,"")</f>
        <v/>
      </c>
      <c r="U131" s="38" t="str">
        <f>IFERROR('2.vize'!AF30*100/'2.vize'!$I30,"")</f>
        <v/>
      </c>
      <c r="V131" s="38" t="str">
        <f>IFERROR('2.vize'!AG30*100/'2.vize'!$I30,"")</f>
        <v/>
      </c>
      <c r="W131" s="38" t="str">
        <f>IFERROR('2.vize'!AH30*100/'2.vize'!$I30,"")</f>
        <v/>
      </c>
      <c r="X131" s="38" t="str">
        <f>IFERROR('2.vize'!AI30*100/'2.vize'!$I30,"")</f>
        <v/>
      </c>
      <c r="Y131" s="38" t="str">
        <f>IFERROR('2.vize'!AJ30*100/'2.vize'!$I30,"")</f>
        <v/>
      </c>
      <c r="Z131" s="38" t="str">
        <f>IFERROR('2.vize'!AK30*100/'2.vize'!$I30,"")</f>
        <v/>
      </c>
      <c r="AA131" s="38" t="str">
        <f>IFERROR('2.vize'!AL30*100/'2.vize'!$I30,"")</f>
        <v/>
      </c>
      <c r="AB131" s="38" t="str">
        <f>IFERROR('2.vize'!AM30*100/'2.vize'!$I30,"")</f>
        <v/>
      </c>
      <c r="AC131" s="38" t="str">
        <f>IFERROR('2.vize'!AN30*100/'2.vize'!$I30,"")</f>
        <v/>
      </c>
      <c r="AD131" s="38" t="str">
        <f>IFERROR('2.vize'!AO30*100/'2.vize'!$I30,"")</f>
        <v/>
      </c>
      <c r="AE131" s="38" t="str">
        <f>IFERROR('2.vize'!AP30*100/'2.vize'!$I30,"")</f>
        <v/>
      </c>
      <c r="AF131" s="38" t="str">
        <f>IFERROR('2.vize'!AQ30*100/'2.vize'!$I30,"")</f>
        <v/>
      </c>
      <c r="AG131" s="38" t="str">
        <f>IFERROR('2.vize'!AR30*100/'2.vize'!$I30,"")</f>
        <v/>
      </c>
      <c r="AH131" s="38" t="str">
        <f>IFERROR('2.vize'!AS30*100/'2.vize'!$I30,"")</f>
        <v/>
      </c>
      <c r="AI131" s="38" t="str">
        <f>IFERROR('2.vize'!AT30*100/'2.vize'!$I30,"")</f>
        <v/>
      </c>
      <c r="AJ131" s="38" t="str">
        <f>IFERROR('2.vize'!AU30*100/'2.vize'!$I30,"")</f>
        <v/>
      </c>
      <c r="AK131" s="38" t="str">
        <f>IFERROR('2.vize'!AV30*100/'2.vize'!$I30,"")</f>
        <v/>
      </c>
      <c r="AL131" s="38" t="str">
        <f>IFERROR('2.vize'!AW30*100/'2.vize'!$I30,"")</f>
        <v/>
      </c>
      <c r="AM131" s="38" t="str">
        <f>IFERROR('2.vize'!AX30*100/'2.vize'!$I30,"")</f>
        <v/>
      </c>
      <c r="AN131" s="38" t="str">
        <f>IFERROR('2.vize'!AY30*100/'2.vize'!$I30,"")</f>
        <v/>
      </c>
      <c r="AO131" s="38" t="str">
        <f>IFERROR('2.vize'!AZ30*100/'2.vize'!$I30,"")</f>
        <v/>
      </c>
      <c r="AP131" s="38" t="str">
        <f>IFERROR('2.vize'!BA30*100/'2.vize'!$I30,"")</f>
        <v/>
      </c>
      <c r="AQ131" s="38" t="str">
        <f>IFERROR('2.vize'!BB30*100/'2.vize'!$I30,"")</f>
        <v/>
      </c>
      <c r="AR131" s="38" t="str">
        <f>IFERROR('2.vize'!BC30*100/'2.vize'!$I30,"")</f>
        <v/>
      </c>
      <c r="AS131" s="38" t="str">
        <f>IFERROR('2.vize'!BD30*100/'2.vize'!$I30,"")</f>
        <v/>
      </c>
      <c r="AT131" s="38" t="str">
        <f>IFERROR('2.vize'!BE30*100/'2.vize'!$I30,"")</f>
        <v/>
      </c>
      <c r="AU131" s="38" t="str">
        <f>IFERROR('2.vize'!BF30*100/'2.vize'!$I30,"")</f>
        <v/>
      </c>
      <c r="AV131" s="38" t="str">
        <f>IFERROR('2.vize'!BG30*100/'2.vize'!$I30,"")</f>
        <v/>
      </c>
      <c r="AW131" s="38" t="str">
        <f>IFERROR('2.vize'!BH30*100/'2.vize'!$I30,"")</f>
        <v/>
      </c>
      <c r="AX131" s="38" t="str">
        <f>IFERROR('2.vize'!BI30*100/'2.vize'!$I30,"")</f>
        <v/>
      </c>
      <c r="AY131" s="38" t="str">
        <f>IFERROR('2.vize'!BJ30*100/'2.vize'!$I30,"")</f>
        <v/>
      </c>
      <c r="AZ131" s="38" t="str">
        <f>IFERROR('2.vize'!BK30*100/'2.vize'!$I30,"")</f>
        <v/>
      </c>
      <c r="BA131" s="38" t="str">
        <f>IFERROR('2.vize'!BL30*100/'2.vize'!$I30,"")</f>
        <v/>
      </c>
      <c r="BB131" s="38" t="str">
        <f>IFERROR('2.vize'!BM30*100/'2.vize'!$I30,"")</f>
        <v/>
      </c>
      <c r="BC131" s="38" t="str">
        <f>IFERROR('2.vize'!BN30*100/'2.vize'!$I30,"")</f>
        <v/>
      </c>
      <c r="BD131" s="38" t="str">
        <f>IFERROR('2.vize'!BO30*100/'2.vize'!$I30,"")</f>
        <v/>
      </c>
      <c r="BE131" s="38" t="str">
        <f>IFERROR('2.vize'!BP30*100/'2.vize'!$I30,"")</f>
        <v/>
      </c>
      <c r="BF131" s="38" t="str">
        <f>IFERROR('2.vize'!BQ30*100/'2.vize'!$I30,"")</f>
        <v/>
      </c>
      <c r="BG131" s="38" t="str">
        <f>IFERROR('2.vize'!BR30*100/'2.vize'!$I30,"")</f>
        <v/>
      </c>
      <c r="BH131" s="38" t="str">
        <f>IFERROR('2.vize'!BS30*100/'2.vize'!$I30,"")</f>
        <v/>
      </c>
      <c r="BI131" s="38" t="str">
        <f>IFERROR('2.vize'!BT30*100/'2.vize'!$I30,"")</f>
        <v/>
      </c>
      <c r="BJ131" s="38" t="str">
        <f>IFERROR('2.vize'!BU30*100/'2.vize'!$I30,"")</f>
        <v/>
      </c>
      <c r="BK131" s="38" t="str">
        <f>IFERROR('2.vize'!BV30*100/'2.vize'!$I30,"")</f>
        <v/>
      </c>
      <c r="BL131" s="38" t="str">
        <f>IFERROR('2.vize'!BW30*100/'2.vize'!$I30,"")</f>
        <v/>
      </c>
      <c r="BM131" s="38" t="str">
        <f>IFERROR('2.vize'!BX30*100/'2.vize'!$I30,"")</f>
        <v/>
      </c>
      <c r="BN131" s="38" t="str">
        <f>IFERROR('2.vize'!BY30*100/'2.vize'!$I30,"")</f>
        <v/>
      </c>
      <c r="BO131" s="38" t="str">
        <f>IFERROR('2.vize'!BZ30*100/'2.vize'!$I30,"")</f>
        <v/>
      </c>
      <c r="BP131" s="38" t="str">
        <f>IFERROR('2.vize'!CA30*100/'2.vize'!$I30,"")</f>
        <v/>
      </c>
      <c r="BQ131" s="38" t="str">
        <f>IFERROR('2.vize'!CB30*100/'2.vize'!$I30,"")</f>
        <v/>
      </c>
      <c r="BR131" s="38" t="str">
        <f>IFERROR('2.vize'!CC30*100/'2.vize'!$I30,"")</f>
        <v/>
      </c>
      <c r="BS131" s="38" t="str">
        <f>IFERROR('2.vize'!CD30*100/'2.vize'!$I30,"")</f>
        <v/>
      </c>
      <c r="BT131" s="38" t="str">
        <f>IFERROR('2.vize'!CE30*100/'2.vize'!$I30,"")</f>
        <v/>
      </c>
      <c r="BU131" s="38" t="str">
        <f>IFERROR('2.vize'!CF30*100/'2.vize'!$I30,"")</f>
        <v/>
      </c>
      <c r="BV131" s="38" t="str">
        <f>IFERROR('2.vize'!CG30*100/'2.vize'!$I30,"")</f>
        <v/>
      </c>
      <c r="BW131" s="38" t="str">
        <f>IFERROR('2.vize'!CH30*100/'2.vize'!$I30,"")</f>
        <v/>
      </c>
      <c r="BX131" s="38" t="str">
        <f>IFERROR('2.vize'!CI30*100/'2.vize'!$I30,"")</f>
        <v/>
      </c>
      <c r="BY131" s="38" t="str">
        <f>IFERROR('2.vize'!CJ30*100/'2.vize'!$I30,"")</f>
        <v/>
      </c>
      <c r="BZ131" s="38" t="str">
        <f>IFERROR('2.vize'!CK30*100/'2.vize'!$I30,"")</f>
        <v/>
      </c>
      <c r="CA131" s="38" t="str">
        <f>IFERROR('2.vize'!CL30*100/'2.vize'!$I30,"")</f>
        <v/>
      </c>
      <c r="CB131" s="38" t="str">
        <f>IFERROR('2.vize'!CM30*100/'2.vize'!$I30,"")</f>
        <v/>
      </c>
      <c r="CC131" s="38" t="str">
        <f>IFERROR('2.vize'!CN30*100/'2.vize'!$I30,"")</f>
        <v/>
      </c>
      <c r="CD131" s="38" t="str">
        <f>IFERROR('2.vize'!CO30*100/'2.vize'!$I30,"")</f>
        <v/>
      </c>
      <c r="CE131" s="38" t="str">
        <f>IFERROR('2.vize'!CP30*100/'2.vize'!$I30,"")</f>
        <v/>
      </c>
      <c r="CF131" s="38" t="str">
        <f>IFERROR('2.vize'!CQ30*100/'2.vize'!$I30,"")</f>
        <v/>
      </c>
      <c r="CG131" s="38" t="str">
        <f>IFERROR('2.vize'!CR30*100/'2.vize'!$I30,"")</f>
        <v/>
      </c>
      <c r="CH131" s="38" t="str">
        <f>IFERROR('2.vize'!CS30*100/'2.vize'!$I30,"")</f>
        <v/>
      </c>
      <c r="CI131" s="38" t="str">
        <f>IFERROR('2.vize'!CT30*100/'2.vize'!$I30,"")</f>
        <v/>
      </c>
      <c r="CJ131" s="38" t="str">
        <f>IFERROR('2.vize'!CU30*100/'2.vize'!$I30,"")</f>
        <v/>
      </c>
      <c r="CK131" s="38" t="str">
        <f>IFERROR('2.vize'!CV30*100/'2.vize'!$I30,"")</f>
        <v/>
      </c>
      <c r="CL131" s="38" t="str">
        <f>IFERROR('2.vize'!CW30*100/'2.vize'!$I30,"")</f>
        <v/>
      </c>
      <c r="CM131" s="38" t="str">
        <f>IFERROR('2.vize'!CX30*100/'2.vize'!$I30,"")</f>
        <v/>
      </c>
      <c r="CN131" s="38" t="str">
        <f>IFERROR('2.vize'!CY30*100/'2.vize'!$I30,"")</f>
        <v/>
      </c>
      <c r="CO131" s="38" t="str">
        <f>IFERROR('2.vize'!CZ30*100/'2.vize'!$I30,"")</f>
        <v/>
      </c>
      <c r="CP131" s="38" t="str">
        <f>IFERROR('2.vize'!DA30*100/'2.vize'!$I30,"")</f>
        <v/>
      </c>
      <c r="CQ131" s="38" t="str">
        <f>IFERROR('2.vize'!DB30*100/'2.vize'!$I30,"")</f>
        <v/>
      </c>
      <c r="CR131" s="38" t="str">
        <f>IFERROR('2.vize'!DC30*100/'2.vize'!$I30,"")</f>
        <v/>
      </c>
      <c r="CS131" s="38" t="str">
        <f>IFERROR('2.vize'!DD30*100/'2.vize'!$I30,"")</f>
        <v/>
      </c>
      <c r="CT131" s="38" t="str">
        <f>IFERROR('2.vize'!DE30*100/'2.vize'!$I30,"")</f>
        <v/>
      </c>
      <c r="CU131" s="38" t="str">
        <f>IFERROR('2.vize'!DF30*100/'2.vize'!$I30,"")</f>
        <v/>
      </c>
      <c r="CV131" s="38" t="str">
        <f>IFERROR('2.vize'!DG30*100/'2.vize'!$I30,"")</f>
        <v/>
      </c>
      <c r="CW131" s="32" t="str">
        <f>IFERROR(SUM(A131:CV131)/'2.vize'!$DH$103,"")</f>
        <v/>
      </c>
      <c r="CX131" s="14" t="str">
        <f>IF(COUNTA('2.vize'!A30),'2.vize'!A30,"")</f>
        <v/>
      </c>
      <c r="CY131" s="14" t="str">
        <f>IF(COUNTA('2.vize'!B30),'2.vize'!B30,"")</f>
        <v/>
      </c>
      <c r="CZ131" s="14" t="str">
        <f>IF(COUNTA('2.vize'!C30),'2.vize'!C30,"")</f>
        <v/>
      </c>
      <c r="DA131" s="14" t="str">
        <f>IF(COUNTA('2.vize'!D30),'2.vize'!D30,"")</f>
        <v/>
      </c>
      <c r="DB131" s="14" t="str">
        <f>IF(COUNTA('2.vize'!E30),'2.vize'!E30,"")</f>
        <v/>
      </c>
      <c r="DC131" s="14" t="str">
        <f>IF(COUNTA('2.vize'!F30),'2.vize'!F30,"")</f>
        <v/>
      </c>
      <c r="DD131" s="14" t="str">
        <f>IF(COUNTA('2.vize'!G30),'2.vize'!G30,"")</f>
        <v/>
      </c>
      <c r="DE131" s="14" t="str">
        <f>IF(COUNTA('2.vize'!H30),'2.vize'!H30,"")</f>
        <v/>
      </c>
    </row>
    <row r="132" spans="1:109" x14ac:dyDescent="0.2">
      <c r="A132" s="38" t="str">
        <f>IFERROR('2.vize'!L31*100/'2.vize'!$I31,"")</f>
        <v/>
      </c>
      <c r="B132" s="38" t="str">
        <f>IFERROR('2.vize'!M31*100/'2.vize'!$I31,"")</f>
        <v/>
      </c>
      <c r="C132" s="38" t="str">
        <f>IFERROR('2.vize'!N31*100/'2.vize'!$I31,"")</f>
        <v/>
      </c>
      <c r="D132" s="38" t="str">
        <f>IFERROR('2.vize'!O31*100/'2.vize'!$I31,"")</f>
        <v/>
      </c>
      <c r="E132" s="38" t="str">
        <f>IFERROR('2.vize'!P31*100/'2.vize'!$I31,"")</f>
        <v/>
      </c>
      <c r="F132" s="38" t="str">
        <f>IFERROR('2.vize'!Q31*100/'2.vize'!$I31,"")</f>
        <v/>
      </c>
      <c r="G132" s="38" t="str">
        <f>IFERROR('2.vize'!R31*100/'2.vize'!$I31,"")</f>
        <v/>
      </c>
      <c r="H132" s="38" t="str">
        <f>IFERROR('2.vize'!S31*100/'2.vize'!$I31,"")</f>
        <v/>
      </c>
      <c r="I132" s="38" t="str">
        <f>IFERROR('2.vize'!T31*100/'2.vize'!$I31,"")</f>
        <v/>
      </c>
      <c r="J132" s="38" t="str">
        <f>IFERROR('2.vize'!U31*100/'2.vize'!$I31,"")</f>
        <v/>
      </c>
      <c r="K132" s="38" t="str">
        <f>IFERROR('2.vize'!V31*100/'2.vize'!$I31,"")</f>
        <v/>
      </c>
      <c r="L132" s="38" t="str">
        <f>IFERROR('2.vize'!W31*100/'2.vize'!$I31,"")</f>
        <v/>
      </c>
      <c r="M132" s="38" t="str">
        <f>IFERROR('2.vize'!X31*100/'2.vize'!$I31,"")</f>
        <v/>
      </c>
      <c r="N132" s="38" t="str">
        <f>IFERROR('2.vize'!Y31*100/'2.vize'!$I31,"")</f>
        <v/>
      </c>
      <c r="O132" s="38" t="str">
        <f>IFERROR('2.vize'!Z31*100/'2.vize'!$I31,"")</f>
        <v/>
      </c>
      <c r="P132" s="38" t="str">
        <f>IFERROR('2.vize'!AA31*100/'2.vize'!$I31,"")</f>
        <v/>
      </c>
      <c r="Q132" s="38" t="str">
        <f>IFERROR('2.vize'!AB31*100/'2.vize'!$I31,"")</f>
        <v/>
      </c>
      <c r="R132" s="38" t="str">
        <f>IFERROR('2.vize'!AC31*100/'2.vize'!$I31,"")</f>
        <v/>
      </c>
      <c r="S132" s="38" t="str">
        <f>IFERROR('2.vize'!AD31*100/'2.vize'!$I31,"")</f>
        <v/>
      </c>
      <c r="T132" s="38" t="str">
        <f>IFERROR('2.vize'!AE31*100/'2.vize'!$I31,"")</f>
        <v/>
      </c>
      <c r="U132" s="38" t="str">
        <f>IFERROR('2.vize'!AF31*100/'2.vize'!$I31,"")</f>
        <v/>
      </c>
      <c r="V132" s="38" t="str">
        <f>IFERROR('2.vize'!AG31*100/'2.vize'!$I31,"")</f>
        <v/>
      </c>
      <c r="W132" s="38" t="str">
        <f>IFERROR('2.vize'!AH31*100/'2.vize'!$I31,"")</f>
        <v/>
      </c>
      <c r="X132" s="38" t="str">
        <f>IFERROR('2.vize'!AI31*100/'2.vize'!$I31,"")</f>
        <v/>
      </c>
      <c r="Y132" s="38" t="str">
        <f>IFERROR('2.vize'!AJ31*100/'2.vize'!$I31,"")</f>
        <v/>
      </c>
      <c r="Z132" s="38" t="str">
        <f>IFERROR('2.vize'!AK31*100/'2.vize'!$I31,"")</f>
        <v/>
      </c>
      <c r="AA132" s="38" t="str">
        <f>IFERROR('2.vize'!AL31*100/'2.vize'!$I31,"")</f>
        <v/>
      </c>
      <c r="AB132" s="38" t="str">
        <f>IFERROR('2.vize'!AM31*100/'2.vize'!$I31,"")</f>
        <v/>
      </c>
      <c r="AC132" s="38" t="str">
        <f>IFERROR('2.vize'!AN31*100/'2.vize'!$I31,"")</f>
        <v/>
      </c>
      <c r="AD132" s="38" t="str">
        <f>IFERROR('2.vize'!AO31*100/'2.vize'!$I31,"")</f>
        <v/>
      </c>
      <c r="AE132" s="38" t="str">
        <f>IFERROR('2.vize'!AP31*100/'2.vize'!$I31,"")</f>
        <v/>
      </c>
      <c r="AF132" s="38" t="str">
        <f>IFERROR('2.vize'!AQ31*100/'2.vize'!$I31,"")</f>
        <v/>
      </c>
      <c r="AG132" s="38" t="str">
        <f>IFERROR('2.vize'!AR31*100/'2.vize'!$I31,"")</f>
        <v/>
      </c>
      <c r="AH132" s="38" t="str">
        <f>IFERROR('2.vize'!AS31*100/'2.vize'!$I31,"")</f>
        <v/>
      </c>
      <c r="AI132" s="38" t="str">
        <f>IFERROR('2.vize'!AT31*100/'2.vize'!$I31,"")</f>
        <v/>
      </c>
      <c r="AJ132" s="38" t="str">
        <f>IFERROR('2.vize'!AU31*100/'2.vize'!$I31,"")</f>
        <v/>
      </c>
      <c r="AK132" s="38" t="str">
        <f>IFERROR('2.vize'!AV31*100/'2.vize'!$I31,"")</f>
        <v/>
      </c>
      <c r="AL132" s="38" t="str">
        <f>IFERROR('2.vize'!AW31*100/'2.vize'!$I31,"")</f>
        <v/>
      </c>
      <c r="AM132" s="38" t="str">
        <f>IFERROR('2.vize'!AX31*100/'2.vize'!$I31,"")</f>
        <v/>
      </c>
      <c r="AN132" s="38" t="str">
        <f>IFERROR('2.vize'!AY31*100/'2.vize'!$I31,"")</f>
        <v/>
      </c>
      <c r="AO132" s="38" t="str">
        <f>IFERROR('2.vize'!AZ31*100/'2.vize'!$I31,"")</f>
        <v/>
      </c>
      <c r="AP132" s="38" t="str">
        <f>IFERROR('2.vize'!BA31*100/'2.vize'!$I31,"")</f>
        <v/>
      </c>
      <c r="AQ132" s="38" t="str">
        <f>IFERROR('2.vize'!BB31*100/'2.vize'!$I31,"")</f>
        <v/>
      </c>
      <c r="AR132" s="38" t="str">
        <f>IFERROR('2.vize'!BC31*100/'2.vize'!$I31,"")</f>
        <v/>
      </c>
      <c r="AS132" s="38" t="str">
        <f>IFERROR('2.vize'!BD31*100/'2.vize'!$I31,"")</f>
        <v/>
      </c>
      <c r="AT132" s="38" t="str">
        <f>IFERROR('2.vize'!BE31*100/'2.vize'!$I31,"")</f>
        <v/>
      </c>
      <c r="AU132" s="38" t="str">
        <f>IFERROR('2.vize'!BF31*100/'2.vize'!$I31,"")</f>
        <v/>
      </c>
      <c r="AV132" s="38" t="str">
        <f>IFERROR('2.vize'!BG31*100/'2.vize'!$I31,"")</f>
        <v/>
      </c>
      <c r="AW132" s="38" t="str">
        <f>IFERROR('2.vize'!BH31*100/'2.vize'!$I31,"")</f>
        <v/>
      </c>
      <c r="AX132" s="38" t="str">
        <f>IFERROR('2.vize'!BI31*100/'2.vize'!$I31,"")</f>
        <v/>
      </c>
      <c r="AY132" s="38" t="str">
        <f>IFERROR('2.vize'!BJ31*100/'2.vize'!$I31,"")</f>
        <v/>
      </c>
      <c r="AZ132" s="38" t="str">
        <f>IFERROR('2.vize'!BK31*100/'2.vize'!$I31,"")</f>
        <v/>
      </c>
      <c r="BA132" s="38" t="str">
        <f>IFERROR('2.vize'!BL31*100/'2.vize'!$I31,"")</f>
        <v/>
      </c>
      <c r="BB132" s="38" t="str">
        <f>IFERROR('2.vize'!BM31*100/'2.vize'!$I31,"")</f>
        <v/>
      </c>
      <c r="BC132" s="38" t="str">
        <f>IFERROR('2.vize'!BN31*100/'2.vize'!$I31,"")</f>
        <v/>
      </c>
      <c r="BD132" s="38" t="str">
        <f>IFERROR('2.vize'!BO31*100/'2.vize'!$I31,"")</f>
        <v/>
      </c>
      <c r="BE132" s="38" t="str">
        <f>IFERROR('2.vize'!BP31*100/'2.vize'!$I31,"")</f>
        <v/>
      </c>
      <c r="BF132" s="38" t="str">
        <f>IFERROR('2.vize'!BQ31*100/'2.vize'!$I31,"")</f>
        <v/>
      </c>
      <c r="BG132" s="38" t="str">
        <f>IFERROR('2.vize'!BR31*100/'2.vize'!$I31,"")</f>
        <v/>
      </c>
      <c r="BH132" s="38" t="str">
        <f>IFERROR('2.vize'!BS31*100/'2.vize'!$I31,"")</f>
        <v/>
      </c>
      <c r="BI132" s="38" t="str">
        <f>IFERROR('2.vize'!BT31*100/'2.vize'!$I31,"")</f>
        <v/>
      </c>
      <c r="BJ132" s="38" t="str">
        <f>IFERROR('2.vize'!BU31*100/'2.vize'!$I31,"")</f>
        <v/>
      </c>
      <c r="BK132" s="38" t="str">
        <f>IFERROR('2.vize'!BV31*100/'2.vize'!$I31,"")</f>
        <v/>
      </c>
      <c r="BL132" s="38" t="str">
        <f>IFERROR('2.vize'!BW31*100/'2.vize'!$I31,"")</f>
        <v/>
      </c>
      <c r="BM132" s="38" t="str">
        <f>IFERROR('2.vize'!BX31*100/'2.vize'!$I31,"")</f>
        <v/>
      </c>
      <c r="BN132" s="38" t="str">
        <f>IFERROR('2.vize'!BY31*100/'2.vize'!$I31,"")</f>
        <v/>
      </c>
      <c r="BO132" s="38" t="str">
        <f>IFERROR('2.vize'!BZ31*100/'2.vize'!$I31,"")</f>
        <v/>
      </c>
      <c r="BP132" s="38" t="str">
        <f>IFERROR('2.vize'!CA31*100/'2.vize'!$I31,"")</f>
        <v/>
      </c>
      <c r="BQ132" s="38" t="str">
        <f>IFERROR('2.vize'!CB31*100/'2.vize'!$I31,"")</f>
        <v/>
      </c>
      <c r="BR132" s="38" t="str">
        <f>IFERROR('2.vize'!CC31*100/'2.vize'!$I31,"")</f>
        <v/>
      </c>
      <c r="BS132" s="38" t="str">
        <f>IFERROR('2.vize'!CD31*100/'2.vize'!$I31,"")</f>
        <v/>
      </c>
      <c r="BT132" s="38" t="str">
        <f>IFERROR('2.vize'!CE31*100/'2.vize'!$I31,"")</f>
        <v/>
      </c>
      <c r="BU132" s="38" t="str">
        <f>IFERROR('2.vize'!CF31*100/'2.vize'!$I31,"")</f>
        <v/>
      </c>
      <c r="BV132" s="38" t="str">
        <f>IFERROR('2.vize'!CG31*100/'2.vize'!$I31,"")</f>
        <v/>
      </c>
      <c r="BW132" s="38" t="str">
        <f>IFERROR('2.vize'!CH31*100/'2.vize'!$I31,"")</f>
        <v/>
      </c>
      <c r="BX132" s="38" t="str">
        <f>IFERROR('2.vize'!CI31*100/'2.vize'!$I31,"")</f>
        <v/>
      </c>
      <c r="BY132" s="38" t="str">
        <f>IFERROR('2.vize'!CJ31*100/'2.vize'!$I31,"")</f>
        <v/>
      </c>
      <c r="BZ132" s="38" t="str">
        <f>IFERROR('2.vize'!CK31*100/'2.vize'!$I31,"")</f>
        <v/>
      </c>
      <c r="CA132" s="38" t="str">
        <f>IFERROR('2.vize'!CL31*100/'2.vize'!$I31,"")</f>
        <v/>
      </c>
      <c r="CB132" s="38" t="str">
        <f>IFERROR('2.vize'!CM31*100/'2.vize'!$I31,"")</f>
        <v/>
      </c>
      <c r="CC132" s="38" t="str">
        <f>IFERROR('2.vize'!CN31*100/'2.vize'!$I31,"")</f>
        <v/>
      </c>
      <c r="CD132" s="38" t="str">
        <f>IFERROR('2.vize'!CO31*100/'2.vize'!$I31,"")</f>
        <v/>
      </c>
      <c r="CE132" s="38" t="str">
        <f>IFERROR('2.vize'!CP31*100/'2.vize'!$I31,"")</f>
        <v/>
      </c>
      <c r="CF132" s="38" t="str">
        <f>IFERROR('2.vize'!CQ31*100/'2.vize'!$I31,"")</f>
        <v/>
      </c>
      <c r="CG132" s="38" t="str">
        <f>IFERROR('2.vize'!CR31*100/'2.vize'!$I31,"")</f>
        <v/>
      </c>
      <c r="CH132" s="38" t="str">
        <f>IFERROR('2.vize'!CS31*100/'2.vize'!$I31,"")</f>
        <v/>
      </c>
      <c r="CI132" s="38" t="str">
        <f>IFERROR('2.vize'!CT31*100/'2.vize'!$I31,"")</f>
        <v/>
      </c>
      <c r="CJ132" s="38" t="str">
        <f>IFERROR('2.vize'!CU31*100/'2.vize'!$I31,"")</f>
        <v/>
      </c>
      <c r="CK132" s="38" t="str">
        <f>IFERROR('2.vize'!CV31*100/'2.vize'!$I31,"")</f>
        <v/>
      </c>
      <c r="CL132" s="38" t="str">
        <f>IFERROR('2.vize'!CW31*100/'2.vize'!$I31,"")</f>
        <v/>
      </c>
      <c r="CM132" s="38" t="str">
        <f>IFERROR('2.vize'!CX31*100/'2.vize'!$I31,"")</f>
        <v/>
      </c>
      <c r="CN132" s="38" t="str">
        <f>IFERROR('2.vize'!CY31*100/'2.vize'!$I31,"")</f>
        <v/>
      </c>
      <c r="CO132" s="38" t="str">
        <f>IFERROR('2.vize'!CZ31*100/'2.vize'!$I31,"")</f>
        <v/>
      </c>
      <c r="CP132" s="38" t="str">
        <f>IFERROR('2.vize'!DA31*100/'2.vize'!$I31,"")</f>
        <v/>
      </c>
      <c r="CQ132" s="38" t="str">
        <f>IFERROR('2.vize'!DB31*100/'2.vize'!$I31,"")</f>
        <v/>
      </c>
      <c r="CR132" s="38" t="str">
        <f>IFERROR('2.vize'!DC31*100/'2.vize'!$I31,"")</f>
        <v/>
      </c>
      <c r="CS132" s="38" t="str">
        <f>IFERROR('2.vize'!DD31*100/'2.vize'!$I31,"")</f>
        <v/>
      </c>
      <c r="CT132" s="38" t="str">
        <f>IFERROR('2.vize'!DE31*100/'2.vize'!$I31,"")</f>
        <v/>
      </c>
      <c r="CU132" s="38" t="str">
        <f>IFERROR('2.vize'!DF31*100/'2.vize'!$I31,"")</f>
        <v/>
      </c>
      <c r="CV132" s="38" t="str">
        <f>IFERROR('2.vize'!DG31*100/'2.vize'!$I31,"")</f>
        <v/>
      </c>
      <c r="CW132" s="32" t="str">
        <f>IFERROR(SUM(A132:CV132)/'2.vize'!$DH$103,"")</f>
        <v/>
      </c>
      <c r="CX132" s="14" t="str">
        <f>IF(COUNTA('2.vize'!A31),'2.vize'!A31,"")</f>
        <v/>
      </c>
      <c r="CY132" s="14" t="str">
        <f>IF(COUNTA('2.vize'!B31),'2.vize'!B31,"")</f>
        <v/>
      </c>
      <c r="CZ132" s="14" t="str">
        <f>IF(COUNTA('2.vize'!C31),'2.vize'!C31,"")</f>
        <v/>
      </c>
      <c r="DA132" s="14" t="str">
        <f>IF(COUNTA('2.vize'!D31),'2.vize'!D31,"")</f>
        <v/>
      </c>
      <c r="DB132" s="14" t="str">
        <f>IF(COUNTA('2.vize'!E31),'2.vize'!E31,"")</f>
        <v/>
      </c>
      <c r="DC132" s="14" t="str">
        <f>IF(COUNTA('2.vize'!F31),'2.vize'!F31,"")</f>
        <v/>
      </c>
      <c r="DD132" s="14" t="str">
        <f>IF(COUNTA('2.vize'!G31),'2.vize'!G31,"")</f>
        <v/>
      </c>
      <c r="DE132" s="14" t="str">
        <f>IF(COUNTA('2.vize'!H31),'2.vize'!H31,"")</f>
        <v/>
      </c>
    </row>
    <row r="133" spans="1:109" x14ac:dyDescent="0.2">
      <c r="A133" s="38" t="str">
        <f>IFERROR('2.vize'!L32*100/'2.vize'!$I32,"")</f>
        <v/>
      </c>
      <c r="B133" s="38" t="str">
        <f>IFERROR('2.vize'!M32*100/'2.vize'!$I32,"")</f>
        <v/>
      </c>
      <c r="C133" s="38" t="str">
        <f>IFERROR('2.vize'!N32*100/'2.vize'!$I32,"")</f>
        <v/>
      </c>
      <c r="D133" s="38" t="str">
        <f>IFERROR('2.vize'!O32*100/'2.vize'!$I32,"")</f>
        <v/>
      </c>
      <c r="E133" s="38" t="str">
        <f>IFERROR('2.vize'!P32*100/'2.vize'!$I32,"")</f>
        <v/>
      </c>
      <c r="F133" s="38" t="str">
        <f>IFERROR('2.vize'!Q32*100/'2.vize'!$I32,"")</f>
        <v/>
      </c>
      <c r="G133" s="38" t="str">
        <f>IFERROR('2.vize'!R32*100/'2.vize'!$I32,"")</f>
        <v/>
      </c>
      <c r="H133" s="38" t="str">
        <f>IFERROR('2.vize'!S32*100/'2.vize'!$I32,"")</f>
        <v/>
      </c>
      <c r="I133" s="38" t="str">
        <f>IFERROR('2.vize'!T32*100/'2.vize'!$I32,"")</f>
        <v/>
      </c>
      <c r="J133" s="38" t="str">
        <f>IFERROR('2.vize'!U32*100/'2.vize'!$I32,"")</f>
        <v/>
      </c>
      <c r="K133" s="38" t="str">
        <f>IFERROR('2.vize'!V32*100/'2.vize'!$I32,"")</f>
        <v/>
      </c>
      <c r="L133" s="38" t="str">
        <f>IFERROR('2.vize'!W32*100/'2.vize'!$I32,"")</f>
        <v/>
      </c>
      <c r="M133" s="38" t="str">
        <f>IFERROR('2.vize'!X32*100/'2.vize'!$I32,"")</f>
        <v/>
      </c>
      <c r="N133" s="38" t="str">
        <f>IFERROR('2.vize'!Y32*100/'2.vize'!$I32,"")</f>
        <v/>
      </c>
      <c r="O133" s="38" t="str">
        <f>IFERROR('2.vize'!Z32*100/'2.vize'!$I32,"")</f>
        <v/>
      </c>
      <c r="P133" s="38" t="str">
        <f>IFERROR('2.vize'!AA32*100/'2.vize'!$I32,"")</f>
        <v/>
      </c>
      <c r="Q133" s="38" t="str">
        <f>IFERROR('2.vize'!AB32*100/'2.vize'!$I32,"")</f>
        <v/>
      </c>
      <c r="R133" s="38" t="str">
        <f>IFERROR('2.vize'!AC32*100/'2.vize'!$I32,"")</f>
        <v/>
      </c>
      <c r="S133" s="38" t="str">
        <f>IFERROR('2.vize'!AD32*100/'2.vize'!$I32,"")</f>
        <v/>
      </c>
      <c r="T133" s="38" t="str">
        <f>IFERROR('2.vize'!AE32*100/'2.vize'!$I32,"")</f>
        <v/>
      </c>
      <c r="U133" s="38" t="str">
        <f>IFERROR('2.vize'!AF32*100/'2.vize'!$I32,"")</f>
        <v/>
      </c>
      <c r="V133" s="38" t="str">
        <f>IFERROR('2.vize'!AG32*100/'2.vize'!$I32,"")</f>
        <v/>
      </c>
      <c r="W133" s="38" t="str">
        <f>IFERROR('2.vize'!AH32*100/'2.vize'!$I32,"")</f>
        <v/>
      </c>
      <c r="X133" s="38" t="str">
        <f>IFERROR('2.vize'!AI32*100/'2.vize'!$I32,"")</f>
        <v/>
      </c>
      <c r="Y133" s="38" t="str">
        <f>IFERROR('2.vize'!AJ32*100/'2.vize'!$I32,"")</f>
        <v/>
      </c>
      <c r="Z133" s="38" t="str">
        <f>IFERROR('2.vize'!AK32*100/'2.vize'!$I32,"")</f>
        <v/>
      </c>
      <c r="AA133" s="38" t="str">
        <f>IFERROR('2.vize'!AL32*100/'2.vize'!$I32,"")</f>
        <v/>
      </c>
      <c r="AB133" s="38" t="str">
        <f>IFERROR('2.vize'!AM32*100/'2.vize'!$I32,"")</f>
        <v/>
      </c>
      <c r="AC133" s="38" t="str">
        <f>IFERROR('2.vize'!AN32*100/'2.vize'!$I32,"")</f>
        <v/>
      </c>
      <c r="AD133" s="38" t="str">
        <f>IFERROR('2.vize'!AO32*100/'2.vize'!$I32,"")</f>
        <v/>
      </c>
      <c r="AE133" s="38" t="str">
        <f>IFERROR('2.vize'!AP32*100/'2.vize'!$I32,"")</f>
        <v/>
      </c>
      <c r="AF133" s="38" t="str">
        <f>IFERROR('2.vize'!AQ32*100/'2.vize'!$I32,"")</f>
        <v/>
      </c>
      <c r="AG133" s="38" t="str">
        <f>IFERROR('2.vize'!AR32*100/'2.vize'!$I32,"")</f>
        <v/>
      </c>
      <c r="AH133" s="38" t="str">
        <f>IFERROR('2.vize'!AS32*100/'2.vize'!$I32,"")</f>
        <v/>
      </c>
      <c r="AI133" s="38" t="str">
        <f>IFERROR('2.vize'!AT32*100/'2.vize'!$I32,"")</f>
        <v/>
      </c>
      <c r="AJ133" s="38" t="str">
        <f>IFERROR('2.vize'!AU32*100/'2.vize'!$I32,"")</f>
        <v/>
      </c>
      <c r="AK133" s="38" t="str">
        <f>IFERROR('2.vize'!AV32*100/'2.vize'!$I32,"")</f>
        <v/>
      </c>
      <c r="AL133" s="38" t="str">
        <f>IFERROR('2.vize'!AW32*100/'2.vize'!$I32,"")</f>
        <v/>
      </c>
      <c r="AM133" s="38" t="str">
        <f>IFERROR('2.vize'!AX32*100/'2.vize'!$I32,"")</f>
        <v/>
      </c>
      <c r="AN133" s="38" t="str">
        <f>IFERROR('2.vize'!AY32*100/'2.vize'!$I32,"")</f>
        <v/>
      </c>
      <c r="AO133" s="38" t="str">
        <f>IFERROR('2.vize'!AZ32*100/'2.vize'!$I32,"")</f>
        <v/>
      </c>
      <c r="AP133" s="38" t="str">
        <f>IFERROR('2.vize'!BA32*100/'2.vize'!$I32,"")</f>
        <v/>
      </c>
      <c r="AQ133" s="38" t="str">
        <f>IFERROR('2.vize'!BB32*100/'2.vize'!$I32,"")</f>
        <v/>
      </c>
      <c r="AR133" s="38" t="str">
        <f>IFERROR('2.vize'!BC32*100/'2.vize'!$I32,"")</f>
        <v/>
      </c>
      <c r="AS133" s="38" t="str">
        <f>IFERROR('2.vize'!BD32*100/'2.vize'!$I32,"")</f>
        <v/>
      </c>
      <c r="AT133" s="38" t="str">
        <f>IFERROR('2.vize'!BE32*100/'2.vize'!$I32,"")</f>
        <v/>
      </c>
      <c r="AU133" s="38" t="str">
        <f>IFERROR('2.vize'!BF32*100/'2.vize'!$I32,"")</f>
        <v/>
      </c>
      <c r="AV133" s="38" t="str">
        <f>IFERROR('2.vize'!BG32*100/'2.vize'!$I32,"")</f>
        <v/>
      </c>
      <c r="AW133" s="38" t="str">
        <f>IFERROR('2.vize'!BH32*100/'2.vize'!$I32,"")</f>
        <v/>
      </c>
      <c r="AX133" s="38" t="str">
        <f>IFERROR('2.vize'!BI32*100/'2.vize'!$I32,"")</f>
        <v/>
      </c>
      <c r="AY133" s="38" t="str">
        <f>IFERROR('2.vize'!BJ32*100/'2.vize'!$I32,"")</f>
        <v/>
      </c>
      <c r="AZ133" s="38" t="str">
        <f>IFERROR('2.vize'!BK32*100/'2.vize'!$I32,"")</f>
        <v/>
      </c>
      <c r="BA133" s="38" t="str">
        <f>IFERROR('2.vize'!BL32*100/'2.vize'!$I32,"")</f>
        <v/>
      </c>
      <c r="BB133" s="38" t="str">
        <f>IFERROR('2.vize'!BM32*100/'2.vize'!$I32,"")</f>
        <v/>
      </c>
      <c r="BC133" s="38" t="str">
        <f>IFERROR('2.vize'!BN32*100/'2.vize'!$I32,"")</f>
        <v/>
      </c>
      <c r="BD133" s="38" t="str">
        <f>IFERROR('2.vize'!BO32*100/'2.vize'!$I32,"")</f>
        <v/>
      </c>
      <c r="BE133" s="38" t="str">
        <f>IFERROR('2.vize'!BP32*100/'2.vize'!$I32,"")</f>
        <v/>
      </c>
      <c r="BF133" s="38" t="str">
        <f>IFERROR('2.vize'!BQ32*100/'2.vize'!$I32,"")</f>
        <v/>
      </c>
      <c r="BG133" s="38" t="str">
        <f>IFERROR('2.vize'!BR32*100/'2.vize'!$I32,"")</f>
        <v/>
      </c>
      <c r="BH133" s="38" t="str">
        <f>IFERROR('2.vize'!BS32*100/'2.vize'!$I32,"")</f>
        <v/>
      </c>
      <c r="BI133" s="38" t="str">
        <f>IFERROR('2.vize'!BT32*100/'2.vize'!$I32,"")</f>
        <v/>
      </c>
      <c r="BJ133" s="38" t="str">
        <f>IFERROR('2.vize'!BU32*100/'2.vize'!$I32,"")</f>
        <v/>
      </c>
      <c r="BK133" s="38" t="str">
        <f>IFERROR('2.vize'!BV32*100/'2.vize'!$I32,"")</f>
        <v/>
      </c>
      <c r="BL133" s="38" t="str">
        <f>IFERROR('2.vize'!BW32*100/'2.vize'!$I32,"")</f>
        <v/>
      </c>
      <c r="BM133" s="38" t="str">
        <f>IFERROR('2.vize'!BX32*100/'2.vize'!$I32,"")</f>
        <v/>
      </c>
      <c r="BN133" s="38" t="str">
        <f>IFERROR('2.vize'!BY32*100/'2.vize'!$I32,"")</f>
        <v/>
      </c>
      <c r="BO133" s="38" t="str">
        <f>IFERROR('2.vize'!BZ32*100/'2.vize'!$I32,"")</f>
        <v/>
      </c>
      <c r="BP133" s="38" t="str">
        <f>IFERROR('2.vize'!CA32*100/'2.vize'!$I32,"")</f>
        <v/>
      </c>
      <c r="BQ133" s="38" t="str">
        <f>IFERROR('2.vize'!CB32*100/'2.vize'!$I32,"")</f>
        <v/>
      </c>
      <c r="BR133" s="38" t="str">
        <f>IFERROR('2.vize'!CC32*100/'2.vize'!$I32,"")</f>
        <v/>
      </c>
      <c r="BS133" s="38" t="str">
        <f>IFERROR('2.vize'!CD32*100/'2.vize'!$I32,"")</f>
        <v/>
      </c>
      <c r="BT133" s="38" t="str">
        <f>IFERROR('2.vize'!CE32*100/'2.vize'!$I32,"")</f>
        <v/>
      </c>
      <c r="BU133" s="38" t="str">
        <f>IFERROR('2.vize'!CF32*100/'2.vize'!$I32,"")</f>
        <v/>
      </c>
      <c r="BV133" s="38" t="str">
        <f>IFERROR('2.vize'!CG32*100/'2.vize'!$I32,"")</f>
        <v/>
      </c>
      <c r="BW133" s="38" t="str">
        <f>IFERROR('2.vize'!CH32*100/'2.vize'!$I32,"")</f>
        <v/>
      </c>
      <c r="BX133" s="38" t="str">
        <f>IFERROR('2.vize'!CI32*100/'2.vize'!$I32,"")</f>
        <v/>
      </c>
      <c r="BY133" s="38" t="str">
        <f>IFERROR('2.vize'!CJ32*100/'2.vize'!$I32,"")</f>
        <v/>
      </c>
      <c r="BZ133" s="38" t="str">
        <f>IFERROR('2.vize'!CK32*100/'2.vize'!$I32,"")</f>
        <v/>
      </c>
      <c r="CA133" s="38" t="str">
        <f>IFERROR('2.vize'!CL32*100/'2.vize'!$I32,"")</f>
        <v/>
      </c>
      <c r="CB133" s="38" t="str">
        <f>IFERROR('2.vize'!CM32*100/'2.vize'!$I32,"")</f>
        <v/>
      </c>
      <c r="CC133" s="38" t="str">
        <f>IFERROR('2.vize'!CN32*100/'2.vize'!$I32,"")</f>
        <v/>
      </c>
      <c r="CD133" s="38" t="str">
        <f>IFERROR('2.vize'!CO32*100/'2.vize'!$I32,"")</f>
        <v/>
      </c>
      <c r="CE133" s="38" t="str">
        <f>IFERROR('2.vize'!CP32*100/'2.vize'!$I32,"")</f>
        <v/>
      </c>
      <c r="CF133" s="38" t="str">
        <f>IFERROR('2.vize'!CQ32*100/'2.vize'!$I32,"")</f>
        <v/>
      </c>
      <c r="CG133" s="38" t="str">
        <f>IFERROR('2.vize'!CR32*100/'2.vize'!$I32,"")</f>
        <v/>
      </c>
      <c r="CH133" s="38" t="str">
        <f>IFERROR('2.vize'!CS32*100/'2.vize'!$I32,"")</f>
        <v/>
      </c>
      <c r="CI133" s="38" t="str">
        <f>IFERROR('2.vize'!CT32*100/'2.vize'!$I32,"")</f>
        <v/>
      </c>
      <c r="CJ133" s="38" t="str">
        <f>IFERROR('2.vize'!CU32*100/'2.vize'!$I32,"")</f>
        <v/>
      </c>
      <c r="CK133" s="38" t="str">
        <f>IFERROR('2.vize'!CV32*100/'2.vize'!$I32,"")</f>
        <v/>
      </c>
      <c r="CL133" s="38" t="str">
        <f>IFERROR('2.vize'!CW32*100/'2.vize'!$I32,"")</f>
        <v/>
      </c>
      <c r="CM133" s="38" t="str">
        <f>IFERROR('2.vize'!CX32*100/'2.vize'!$I32,"")</f>
        <v/>
      </c>
      <c r="CN133" s="38" t="str">
        <f>IFERROR('2.vize'!CY32*100/'2.vize'!$I32,"")</f>
        <v/>
      </c>
      <c r="CO133" s="38" t="str">
        <f>IFERROR('2.vize'!CZ32*100/'2.vize'!$I32,"")</f>
        <v/>
      </c>
      <c r="CP133" s="38" t="str">
        <f>IFERROR('2.vize'!DA32*100/'2.vize'!$I32,"")</f>
        <v/>
      </c>
      <c r="CQ133" s="38" t="str">
        <f>IFERROR('2.vize'!DB32*100/'2.vize'!$I32,"")</f>
        <v/>
      </c>
      <c r="CR133" s="38" t="str">
        <f>IFERROR('2.vize'!DC32*100/'2.vize'!$I32,"")</f>
        <v/>
      </c>
      <c r="CS133" s="38" t="str">
        <f>IFERROR('2.vize'!DD32*100/'2.vize'!$I32,"")</f>
        <v/>
      </c>
      <c r="CT133" s="38" t="str">
        <f>IFERROR('2.vize'!DE32*100/'2.vize'!$I32,"")</f>
        <v/>
      </c>
      <c r="CU133" s="38" t="str">
        <f>IFERROR('2.vize'!DF32*100/'2.vize'!$I32,"")</f>
        <v/>
      </c>
      <c r="CV133" s="38" t="str">
        <f>IFERROR('2.vize'!DG32*100/'2.vize'!$I32,"")</f>
        <v/>
      </c>
      <c r="CW133" s="32" t="str">
        <f>IFERROR(SUM(A133:CV133)/'2.vize'!$DH$103,"")</f>
        <v/>
      </c>
      <c r="CX133" s="14" t="str">
        <f>IF(COUNTA('2.vize'!A32),'2.vize'!A32,"")</f>
        <v/>
      </c>
      <c r="CY133" s="14" t="str">
        <f>IF(COUNTA('2.vize'!B32),'2.vize'!B32,"")</f>
        <v/>
      </c>
      <c r="CZ133" s="14" t="str">
        <f>IF(COUNTA('2.vize'!C32),'2.vize'!C32,"")</f>
        <v/>
      </c>
      <c r="DA133" s="14" t="str">
        <f>IF(COUNTA('2.vize'!D32),'2.vize'!D32,"")</f>
        <v/>
      </c>
      <c r="DB133" s="14" t="str">
        <f>IF(COUNTA('2.vize'!E32),'2.vize'!E32,"")</f>
        <v/>
      </c>
      <c r="DC133" s="14" t="str">
        <f>IF(COUNTA('2.vize'!F32),'2.vize'!F32,"")</f>
        <v/>
      </c>
      <c r="DD133" s="14" t="str">
        <f>IF(COUNTA('2.vize'!G32),'2.vize'!G32,"")</f>
        <v/>
      </c>
      <c r="DE133" s="14" t="str">
        <f>IF(COUNTA('2.vize'!H32),'2.vize'!H32,"")</f>
        <v/>
      </c>
    </row>
    <row r="134" spans="1:109" x14ac:dyDescent="0.2">
      <c r="A134" s="38" t="str">
        <f>IFERROR('2.vize'!L33*100/'2.vize'!$I33,"")</f>
        <v/>
      </c>
      <c r="B134" s="38" t="str">
        <f>IFERROR('2.vize'!M33*100/'2.vize'!$I33,"")</f>
        <v/>
      </c>
      <c r="C134" s="38" t="str">
        <f>IFERROR('2.vize'!N33*100/'2.vize'!$I33,"")</f>
        <v/>
      </c>
      <c r="D134" s="38" t="str">
        <f>IFERROR('2.vize'!O33*100/'2.vize'!$I33,"")</f>
        <v/>
      </c>
      <c r="E134" s="38" t="str">
        <f>IFERROR('2.vize'!P33*100/'2.vize'!$I33,"")</f>
        <v/>
      </c>
      <c r="F134" s="38" t="str">
        <f>IFERROR('2.vize'!Q33*100/'2.vize'!$I33,"")</f>
        <v/>
      </c>
      <c r="G134" s="38" t="str">
        <f>IFERROR('2.vize'!R33*100/'2.vize'!$I33,"")</f>
        <v/>
      </c>
      <c r="H134" s="38" t="str">
        <f>IFERROR('2.vize'!S33*100/'2.vize'!$I33,"")</f>
        <v/>
      </c>
      <c r="I134" s="38" t="str">
        <f>IFERROR('2.vize'!T33*100/'2.vize'!$I33,"")</f>
        <v/>
      </c>
      <c r="J134" s="38" t="str">
        <f>IFERROR('2.vize'!U33*100/'2.vize'!$I33,"")</f>
        <v/>
      </c>
      <c r="K134" s="38" t="str">
        <f>IFERROR('2.vize'!V33*100/'2.vize'!$I33,"")</f>
        <v/>
      </c>
      <c r="L134" s="38" t="str">
        <f>IFERROR('2.vize'!W33*100/'2.vize'!$I33,"")</f>
        <v/>
      </c>
      <c r="M134" s="38" t="str">
        <f>IFERROR('2.vize'!X33*100/'2.vize'!$I33,"")</f>
        <v/>
      </c>
      <c r="N134" s="38" t="str">
        <f>IFERROR('2.vize'!Y33*100/'2.vize'!$I33,"")</f>
        <v/>
      </c>
      <c r="O134" s="38" t="str">
        <f>IFERROR('2.vize'!Z33*100/'2.vize'!$I33,"")</f>
        <v/>
      </c>
      <c r="P134" s="38" t="str">
        <f>IFERROR('2.vize'!AA33*100/'2.vize'!$I33,"")</f>
        <v/>
      </c>
      <c r="Q134" s="38" t="str">
        <f>IFERROR('2.vize'!AB33*100/'2.vize'!$I33,"")</f>
        <v/>
      </c>
      <c r="R134" s="38" t="str">
        <f>IFERROR('2.vize'!AC33*100/'2.vize'!$I33,"")</f>
        <v/>
      </c>
      <c r="S134" s="38" t="str">
        <f>IFERROR('2.vize'!AD33*100/'2.vize'!$I33,"")</f>
        <v/>
      </c>
      <c r="T134" s="38" t="str">
        <f>IFERROR('2.vize'!AE33*100/'2.vize'!$I33,"")</f>
        <v/>
      </c>
      <c r="U134" s="38" t="str">
        <f>IFERROR('2.vize'!AF33*100/'2.vize'!$I33,"")</f>
        <v/>
      </c>
      <c r="V134" s="38" t="str">
        <f>IFERROR('2.vize'!AG33*100/'2.vize'!$I33,"")</f>
        <v/>
      </c>
      <c r="W134" s="38" t="str">
        <f>IFERROR('2.vize'!AH33*100/'2.vize'!$I33,"")</f>
        <v/>
      </c>
      <c r="X134" s="38" t="str">
        <f>IFERROR('2.vize'!AI33*100/'2.vize'!$I33,"")</f>
        <v/>
      </c>
      <c r="Y134" s="38" t="str">
        <f>IFERROR('2.vize'!AJ33*100/'2.vize'!$I33,"")</f>
        <v/>
      </c>
      <c r="Z134" s="38" t="str">
        <f>IFERROR('2.vize'!AK33*100/'2.vize'!$I33,"")</f>
        <v/>
      </c>
      <c r="AA134" s="38" t="str">
        <f>IFERROR('2.vize'!AL33*100/'2.vize'!$I33,"")</f>
        <v/>
      </c>
      <c r="AB134" s="38" t="str">
        <f>IFERROR('2.vize'!AM33*100/'2.vize'!$I33,"")</f>
        <v/>
      </c>
      <c r="AC134" s="38" t="str">
        <f>IFERROR('2.vize'!AN33*100/'2.vize'!$I33,"")</f>
        <v/>
      </c>
      <c r="AD134" s="38" t="str">
        <f>IFERROR('2.vize'!AO33*100/'2.vize'!$I33,"")</f>
        <v/>
      </c>
      <c r="AE134" s="38" t="str">
        <f>IFERROR('2.vize'!AP33*100/'2.vize'!$I33,"")</f>
        <v/>
      </c>
      <c r="AF134" s="38" t="str">
        <f>IFERROR('2.vize'!AQ33*100/'2.vize'!$I33,"")</f>
        <v/>
      </c>
      <c r="AG134" s="38" t="str">
        <f>IFERROR('2.vize'!AR33*100/'2.vize'!$I33,"")</f>
        <v/>
      </c>
      <c r="AH134" s="38" t="str">
        <f>IFERROR('2.vize'!AS33*100/'2.vize'!$I33,"")</f>
        <v/>
      </c>
      <c r="AI134" s="38" t="str">
        <f>IFERROR('2.vize'!AT33*100/'2.vize'!$I33,"")</f>
        <v/>
      </c>
      <c r="AJ134" s="38" t="str">
        <f>IFERROR('2.vize'!AU33*100/'2.vize'!$I33,"")</f>
        <v/>
      </c>
      <c r="AK134" s="38" t="str">
        <f>IFERROR('2.vize'!AV33*100/'2.vize'!$I33,"")</f>
        <v/>
      </c>
      <c r="AL134" s="38" t="str">
        <f>IFERROR('2.vize'!AW33*100/'2.vize'!$I33,"")</f>
        <v/>
      </c>
      <c r="AM134" s="38" t="str">
        <f>IFERROR('2.vize'!AX33*100/'2.vize'!$I33,"")</f>
        <v/>
      </c>
      <c r="AN134" s="38" t="str">
        <f>IFERROR('2.vize'!AY33*100/'2.vize'!$I33,"")</f>
        <v/>
      </c>
      <c r="AO134" s="38" t="str">
        <f>IFERROR('2.vize'!AZ33*100/'2.vize'!$I33,"")</f>
        <v/>
      </c>
      <c r="AP134" s="38" t="str">
        <f>IFERROR('2.vize'!BA33*100/'2.vize'!$I33,"")</f>
        <v/>
      </c>
      <c r="AQ134" s="38" t="str">
        <f>IFERROR('2.vize'!BB33*100/'2.vize'!$I33,"")</f>
        <v/>
      </c>
      <c r="AR134" s="38" t="str">
        <f>IFERROR('2.vize'!BC33*100/'2.vize'!$I33,"")</f>
        <v/>
      </c>
      <c r="AS134" s="38" t="str">
        <f>IFERROR('2.vize'!BD33*100/'2.vize'!$I33,"")</f>
        <v/>
      </c>
      <c r="AT134" s="38" t="str">
        <f>IFERROR('2.vize'!BE33*100/'2.vize'!$I33,"")</f>
        <v/>
      </c>
      <c r="AU134" s="38" t="str">
        <f>IFERROR('2.vize'!BF33*100/'2.vize'!$I33,"")</f>
        <v/>
      </c>
      <c r="AV134" s="38" t="str">
        <f>IFERROR('2.vize'!BG33*100/'2.vize'!$I33,"")</f>
        <v/>
      </c>
      <c r="AW134" s="38" t="str">
        <f>IFERROR('2.vize'!BH33*100/'2.vize'!$I33,"")</f>
        <v/>
      </c>
      <c r="AX134" s="38" t="str">
        <f>IFERROR('2.vize'!BI33*100/'2.vize'!$I33,"")</f>
        <v/>
      </c>
      <c r="AY134" s="38" t="str">
        <f>IFERROR('2.vize'!BJ33*100/'2.vize'!$I33,"")</f>
        <v/>
      </c>
      <c r="AZ134" s="38" t="str">
        <f>IFERROR('2.vize'!BK33*100/'2.vize'!$I33,"")</f>
        <v/>
      </c>
      <c r="BA134" s="38" t="str">
        <f>IFERROR('2.vize'!BL33*100/'2.vize'!$I33,"")</f>
        <v/>
      </c>
      <c r="BB134" s="38" t="str">
        <f>IFERROR('2.vize'!BM33*100/'2.vize'!$I33,"")</f>
        <v/>
      </c>
      <c r="BC134" s="38" t="str">
        <f>IFERROR('2.vize'!BN33*100/'2.vize'!$I33,"")</f>
        <v/>
      </c>
      <c r="BD134" s="38" t="str">
        <f>IFERROR('2.vize'!BO33*100/'2.vize'!$I33,"")</f>
        <v/>
      </c>
      <c r="BE134" s="38" t="str">
        <f>IFERROR('2.vize'!BP33*100/'2.vize'!$I33,"")</f>
        <v/>
      </c>
      <c r="BF134" s="38" t="str">
        <f>IFERROR('2.vize'!BQ33*100/'2.vize'!$I33,"")</f>
        <v/>
      </c>
      <c r="BG134" s="38" t="str">
        <f>IFERROR('2.vize'!BR33*100/'2.vize'!$I33,"")</f>
        <v/>
      </c>
      <c r="BH134" s="38" t="str">
        <f>IFERROR('2.vize'!BS33*100/'2.vize'!$I33,"")</f>
        <v/>
      </c>
      <c r="BI134" s="38" t="str">
        <f>IFERROR('2.vize'!BT33*100/'2.vize'!$I33,"")</f>
        <v/>
      </c>
      <c r="BJ134" s="38" t="str">
        <f>IFERROR('2.vize'!BU33*100/'2.vize'!$I33,"")</f>
        <v/>
      </c>
      <c r="BK134" s="38" t="str">
        <f>IFERROR('2.vize'!BV33*100/'2.vize'!$I33,"")</f>
        <v/>
      </c>
      <c r="BL134" s="38" t="str">
        <f>IFERROR('2.vize'!BW33*100/'2.vize'!$I33,"")</f>
        <v/>
      </c>
      <c r="BM134" s="38" t="str">
        <f>IFERROR('2.vize'!BX33*100/'2.vize'!$I33,"")</f>
        <v/>
      </c>
      <c r="BN134" s="38" t="str">
        <f>IFERROR('2.vize'!BY33*100/'2.vize'!$I33,"")</f>
        <v/>
      </c>
      <c r="BO134" s="38" t="str">
        <f>IFERROR('2.vize'!BZ33*100/'2.vize'!$I33,"")</f>
        <v/>
      </c>
      <c r="BP134" s="38" t="str">
        <f>IFERROR('2.vize'!CA33*100/'2.vize'!$I33,"")</f>
        <v/>
      </c>
      <c r="BQ134" s="38" t="str">
        <f>IFERROR('2.vize'!CB33*100/'2.vize'!$I33,"")</f>
        <v/>
      </c>
      <c r="BR134" s="38" t="str">
        <f>IFERROR('2.vize'!CC33*100/'2.vize'!$I33,"")</f>
        <v/>
      </c>
      <c r="BS134" s="38" t="str">
        <f>IFERROR('2.vize'!CD33*100/'2.vize'!$I33,"")</f>
        <v/>
      </c>
      <c r="BT134" s="38" t="str">
        <f>IFERROR('2.vize'!CE33*100/'2.vize'!$I33,"")</f>
        <v/>
      </c>
      <c r="BU134" s="38" t="str">
        <f>IFERROR('2.vize'!CF33*100/'2.vize'!$I33,"")</f>
        <v/>
      </c>
      <c r="BV134" s="38" t="str">
        <f>IFERROR('2.vize'!CG33*100/'2.vize'!$I33,"")</f>
        <v/>
      </c>
      <c r="BW134" s="38" t="str">
        <f>IFERROR('2.vize'!CH33*100/'2.vize'!$I33,"")</f>
        <v/>
      </c>
      <c r="BX134" s="38" t="str">
        <f>IFERROR('2.vize'!CI33*100/'2.vize'!$I33,"")</f>
        <v/>
      </c>
      <c r="BY134" s="38" t="str">
        <f>IFERROR('2.vize'!CJ33*100/'2.vize'!$I33,"")</f>
        <v/>
      </c>
      <c r="BZ134" s="38" t="str">
        <f>IFERROR('2.vize'!CK33*100/'2.vize'!$I33,"")</f>
        <v/>
      </c>
      <c r="CA134" s="38" t="str">
        <f>IFERROR('2.vize'!CL33*100/'2.vize'!$I33,"")</f>
        <v/>
      </c>
      <c r="CB134" s="38" t="str">
        <f>IFERROR('2.vize'!CM33*100/'2.vize'!$I33,"")</f>
        <v/>
      </c>
      <c r="CC134" s="38" t="str">
        <f>IFERROR('2.vize'!CN33*100/'2.vize'!$I33,"")</f>
        <v/>
      </c>
      <c r="CD134" s="38" t="str">
        <f>IFERROR('2.vize'!CO33*100/'2.vize'!$I33,"")</f>
        <v/>
      </c>
      <c r="CE134" s="38" t="str">
        <f>IFERROR('2.vize'!CP33*100/'2.vize'!$I33,"")</f>
        <v/>
      </c>
      <c r="CF134" s="38" t="str">
        <f>IFERROR('2.vize'!CQ33*100/'2.vize'!$I33,"")</f>
        <v/>
      </c>
      <c r="CG134" s="38" t="str">
        <f>IFERROR('2.vize'!CR33*100/'2.vize'!$I33,"")</f>
        <v/>
      </c>
      <c r="CH134" s="38" t="str">
        <f>IFERROR('2.vize'!CS33*100/'2.vize'!$I33,"")</f>
        <v/>
      </c>
      <c r="CI134" s="38" t="str">
        <f>IFERROR('2.vize'!CT33*100/'2.vize'!$I33,"")</f>
        <v/>
      </c>
      <c r="CJ134" s="38" t="str">
        <f>IFERROR('2.vize'!CU33*100/'2.vize'!$I33,"")</f>
        <v/>
      </c>
      <c r="CK134" s="38" t="str">
        <f>IFERROR('2.vize'!CV33*100/'2.vize'!$I33,"")</f>
        <v/>
      </c>
      <c r="CL134" s="38" t="str">
        <f>IFERROR('2.vize'!CW33*100/'2.vize'!$I33,"")</f>
        <v/>
      </c>
      <c r="CM134" s="38" t="str">
        <f>IFERROR('2.vize'!CX33*100/'2.vize'!$I33,"")</f>
        <v/>
      </c>
      <c r="CN134" s="38" t="str">
        <f>IFERROR('2.vize'!CY33*100/'2.vize'!$I33,"")</f>
        <v/>
      </c>
      <c r="CO134" s="38" t="str">
        <f>IFERROR('2.vize'!CZ33*100/'2.vize'!$I33,"")</f>
        <v/>
      </c>
      <c r="CP134" s="38" t="str">
        <f>IFERROR('2.vize'!DA33*100/'2.vize'!$I33,"")</f>
        <v/>
      </c>
      <c r="CQ134" s="38" t="str">
        <f>IFERROR('2.vize'!DB33*100/'2.vize'!$I33,"")</f>
        <v/>
      </c>
      <c r="CR134" s="38" t="str">
        <f>IFERROR('2.vize'!DC33*100/'2.vize'!$I33,"")</f>
        <v/>
      </c>
      <c r="CS134" s="38" t="str">
        <f>IFERROR('2.vize'!DD33*100/'2.vize'!$I33,"")</f>
        <v/>
      </c>
      <c r="CT134" s="38" t="str">
        <f>IFERROR('2.vize'!DE33*100/'2.vize'!$I33,"")</f>
        <v/>
      </c>
      <c r="CU134" s="38" t="str">
        <f>IFERROR('2.vize'!DF33*100/'2.vize'!$I33,"")</f>
        <v/>
      </c>
      <c r="CV134" s="38" t="str">
        <f>IFERROR('2.vize'!DG33*100/'2.vize'!$I33,"")</f>
        <v/>
      </c>
      <c r="CW134" s="32" t="str">
        <f>IFERROR(SUM(A134:CV134)/'2.vize'!$DH$103,"")</f>
        <v/>
      </c>
      <c r="CX134" s="14" t="str">
        <f>IF(COUNTA('2.vize'!A33),'2.vize'!A33,"")</f>
        <v/>
      </c>
      <c r="CY134" s="14" t="str">
        <f>IF(COUNTA('2.vize'!B33),'2.vize'!B33,"")</f>
        <v/>
      </c>
      <c r="CZ134" s="14" t="str">
        <f>IF(COUNTA('2.vize'!C33),'2.vize'!C33,"")</f>
        <v/>
      </c>
      <c r="DA134" s="14" t="str">
        <f>IF(COUNTA('2.vize'!D33),'2.vize'!D33,"")</f>
        <v/>
      </c>
      <c r="DB134" s="14" t="str">
        <f>IF(COUNTA('2.vize'!E33),'2.vize'!E33,"")</f>
        <v/>
      </c>
      <c r="DC134" s="14" t="str">
        <f>IF(COUNTA('2.vize'!F33),'2.vize'!F33,"")</f>
        <v/>
      </c>
      <c r="DD134" s="14" t="str">
        <f>IF(COUNTA('2.vize'!G33),'2.vize'!G33,"")</f>
        <v/>
      </c>
      <c r="DE134" s="14" t="str">
        <f>IF(COUNTA('2.vize'!H33),'2.vize'!H33,"")</f>
        <v/>
      </c>
    </row>
    <row r="135" spans="1:109" x14ac:dyDescent="0.2">
      <c r="A135" s="38" t="str">
        <f>IFERROR('2.vize'!L34*100/'2.vize'!$I34,"")</f>
        <v/>
      </c>
      <c r="B135" s="38" t="str">
        <f>IFERROR('2.vize'!M34*100/'2.vize'!$I34,"")</f>
        <v/>
      </c>
      <c r="C135" s="38" t="str">
        <f>IFERROR('2.vize'!N34*100/'2.vize'!$I34,"")</f>
        <v/>
      </c>
      <c r="D135" s="38" t="str">
        <f>IFERROR('2.vize'!O34*100/'2.vize'!$I34,"")</f>
        <v/>
      </c>
      <c r="E135" s="38" t="str">
        <f>IFERROR('2.vize'!P34*100/'2.vize'!$I34,"")</f>
        <v/>
      </c>
      <c r="F135" s="38" t="str">
        <f>IFERROR('2.vize'!Q34*100/'2.vize'!$I34,"")</f>
        <v/>
      </c>
      <c r="G135" s="38" t="str">
        <f>IFERROR('2.vize'!R34*100/'2.vize'!$I34,"")</f>
        <v/>
      </c>
      <c r="H135" s="38" t="str">
        <f>IFERROR('2.vize'!S34*100/'2.vize'!$I34,"")</f>
        <v/>
      </c>
      <c r="I135" s="38" t="str">
        <f>IFERROR('2.vize'!T34*100/'2.vize'!$I34,"")</f>
        <v/>
      </c>
      <c r="J135" s="38" t="str">
        <f>IFERROR('2.vize'!U34*100/'2.vize'!$I34,"")</f>
        <v/>
      </c>
      <c r="K135" s="38" t="str">
        <f>IFERROR('2.vize'!V34*100/'2.vize'!$I34,"")</f>
        <v/>
      </c>
      <c r="L135" s="38" t="str">
        <f>IFERROR('2.vize'!W34*100/'2.vize'!$I34,"")</f>
        <v/>
      </c>
      <c r="M135" s="38" t="str">
        <f>IFERROR('2.vize'!X34*100/'2.vize'!$I34,"")</f>
        <v/>
      </c>
      <c r="N135" s="38" t="str">
        <f>IFERROR('2.vize'!Y34*100/'2.vize'!$I34,"")</f>
        <v/>
      </c>
      <c r="O135" s="38" t="str">
        <f>IFERROR('2.vize'!Z34*100/'2.vize'!$I34,"")</f>
        <v/>
      </c>
      <c r="P135" s="38" t="str">
        <f>IFERROR('2.vize'!AA34*100/'2.vize'!$I34,"")</f>
        <v/>
      </c>
      <c r="Q135" s="38" t="str">
        <f>IFERROR('2.vize'!AB34*100/'2.vize'!$I34,"")</f>
        <v/>
      </c>
      <c r="R135" s="38" t="str">
        <f>IFERROR('2.vize'!AC34*100/'2.vize'!$I34,"")</f>
        <v/>
      </c>
      <c r="S135" s="38" t="str">
        <f>IFERROR('2.vize'!AD34*100/'2.vize'!$I34,"")</f>
        <v/>
      </c>
      <c r="T135" s="38" t="str">
        <f>IFERROR('2.vize'!AE34*100/'2.vize'!$I34,"")</f>
        <v/>
      </c>
      <c r="U135" s="38" t="str">
        <f>IFERROR('2.vize'!AF34*100/'2.vize'!$I34,"")</f>
        <v/>
      </c>
      <c r="V135" s="38" t="str">
        <f>IFERROR('2.vize'!AG34*100/'2.vize'!$I34,"")</f>
        <v/>
      </c>
      <c r="W135" s="38" t="str">
        <f>IFERROR('2.vize'!AH34*100/'2.vize'!$I34,"")</f>
        <v/>
      </c>
      <c r="X135" s="38" t="str">
        <f>IFERROR('2.vize'!AI34*100/'2.vize'!$I34,"")</f>
        <v/>
      </c>
      <c r="Y135" s="38" t="str">
        <f>IFERROR('2.vize'!AJ34*100/'2.vize'!$I34,"")</f>
        <v/>
      </c>
      <c r="Z135" s="38" t="str">
        <f>IFERROR('2.vize'!AK34*100/'2.vize'!$I34,"")</f>
        <v/>
      </c>
      <c r="AA135" s="38" t="str">
        <f>IFERROR('2.vize'!AL34*100/'2.vize'!$I34,"")</f>
        <v/>
      </c>
      <c r="AB135" s="38" t="str">
        <f>IFERROR('2.vize'!AM34*100/'2.vize'!$I34,"")</f>
        <v/>
      </c>
      <c r="AC135" s="38" t="str">
        <f>IFERROR('2.vize'!AN34*100/'2.vize'!$I34,"")</f>
        <v/>
      </c>
      <c r="AD135" s="38" t="str">
        <f>IFERROR('2.vize'!AO34*100/'2.vize'!$I34,"")</f>
        <v/>
      </c>
      <c r="AE135" s="38" t="str">
        <f>IFERROR('2.vize'!AP34*100/'2.vize'!$I34,"")</f>
        <v/>
      </c>
      <c r="AF135" s="38" t="str">
        <f>IFERROR('2.vize'!AQ34*100/'2.vize'!$I34,"")</f>
        <v/>
      </c>
      <c r="AG135" s="38" t="str">
        <f>IFERROR('2.vize'!AR34*100/'2.vize'!$I34,"")</f>
        <v/>
      </c>
      <c r="AH135" s="38" t="str">
        <f>IFERROR('2.vize'!AS34*100/'2.vize'!$I34,"")</f>
        <v/>
      </c>
      <c r="AI135" s="38" t="str">
        <f>IFERROR('2.vize'!AT34*100/'2.vize'!$I34,"")</f>
        <v/>
      </c>
      <c r="AJ135" s="38" t="str">
        <f>IFERROR('2.vize'!AU34*100/'2.vize'!$I34,"")</f>
        <v/>
      </c>
      <c r="AK135" s="38" t="str">
        <f>IFERROR('2.vize'!AV34*100/'2.vize'!$I34,"")</f>
        <v/>
      </c>
      <c r="AL135" s="38" t="str">
        <f>IFERROR('2.vize'!AW34*100/'2.vize'!$I34,"")</f>
        <v/>
      </c>
      <c r="AM135" s="38" t="str">
        <f>IFERROR('2.vize'!AX34*100/'2.vize'!$I34,"")</f>
        <v/>
      </c>
      <c r="AN135" s="38" t="str">
        <f>IFERROR('2.vize'!AY34*100/'2.vize'!$I34,"")</f>
        <v/>
      </c>
      <c r="AO135" s="38" t="str">
        <f>IFERROR('2.vize'!AZ34*100/'2.vize'!$I34,"")</f>
        <v/>
      </c>
      <c r="AP135" s="38" t="str">
        <f>IFERROR('2.vize'!BA34*100/'2.vize'!$I34,"")</f>
        <v/>
      </c>
      <c r="AQ135" s="38" t="str">
        <f>IFERROR('2.vize'!BB34*100/'2.vize'!$I34,"")</f>
        <v/>
      </c>
      <c r="AR135" s="38" t="str">
        <f>IFERROR('2.vize'!BC34*100/'2.vize'!$I34,"")</f>
        <v/>
      </c>
      <c r="AS135" s="38" t="str">
        <f>IFERROR('2.vize'!BD34*100/'2.vize'!$I34,"")</f>
        <v/>
      </c>
      <c r="AT135" s="38" t="str">
        <f>IFERROR('2.vize'!BE34*100/'2.vize'!$I34,"")</f>
        <v/>
      </c>
      <c r="AU135" s="38" t="str">
        <f>IFERROR('2.vize'!BF34*100/'2.vize'!$I34,"")</f>
        <v/>
      </c>
      <c r="AV135" s="38" t="str">
        <f>IFERROR('2.vize'!BG34*100/'2.vize'!$I34,"")</f>
        <v/>
      </c>
      <c r="AW135" s="38" t="str">
        <f>IFERROR('2.vize'!BH34*100/'2.vize'!$I34,"")</f>
        <v/>
      </c>
      <c r="AX135" s="38" t="str">
        <f>IFERROR('2.vize'!BI34*100/'2.vize'!$I34,"")</f>
        <v/>
      </c>
      <c r="AY135" s="38" t="str">
        <f>IFERROR('2.vize'!BJ34*100/'2.vize'!$I34,"")</f>
        <v/>
      </c>
      <c r="AZ135" s="38" t="str">
        <f>IFERROR('2.vize'!BK34*100/'2.vize'!$I34,"")</f>
        <v/>
      </c>
      <c r="BA135" s="38" t="str">
        <f>IFERROR('2.vize'!BL34*100/'2.vize'!$I34,"")</f>
        <v/>
      </c>
      <c r="BB135" s="38" t="str">
        <f>IFERROR('2.vize'!BM34*100/'2.vize'!$I34,"")</f>
        <v/>
      </c>
      <c r="BC135" s="38" t="str">
        <f>IFERROR('2.vize'!BN34*100/'2.vize'!$I34,"")</f>
        <v/>
      </c>
      <c r="BD135" s="38" t="str">
        <f>IFERROR('2.vize'!BO34*100/'2.vize'!$I34,"")</f>
        <v/>
      </c>
      <c r="BE135" s="38" t="str">
        <f>IFERROR('2.vize'!BP34*100/'2.vize'!$I34,"")</f>
        <v/>
      </c>
      <c r="BF135" s="38" t="str">
        <f>IFERROR('2.vize'!BQ34*100/'2.vize'!$I34,"")</f>
        <v/>
      </c>
      <c r="BG135" s="38" t="str">
        <f>IFERROR('2.vize'!BR34*100/'2.vize'!$I34,"")</f>
        <v/>
      </c>
      <c r="BH135" s="38" t="str">
        <f>IFERROR('2.vize'!BS34*100/'2.vize'!$I34,"")</f>
        <v/>
      </c>
      <c r="BI135" s="38" t="str">
        <f>IFERROR('2.vize'!BT34*100/'2.vize'!$I34,"")</f>
        <v/>
      </c>
      <c r="BJ135" s="38" t="str">
        <f>IFERROR('2.vize'!BU34*100/'2.vize'!$I34,"")</f>
        <v/>
      </c>
      <c r="BK135" s="38" t="str">
        <f>IFERROR('2.vize'!BV34*100/'2.vize'!$I34,"")</f>
        <v/>
      </c>
      <c r="BL135" s="38" t="str">
        <f>IFERROR('2.vize'!BW34*100/'2.vize'!$I34,"")</f>
        <v/>
      </c>
      <c r="BM135" s="38" t="str">
        <f>IFERROR('2.vize'!BX34*100/'2.vize'!$I34,"")</f>
        <v/>
      </c>
      <c r="BN135" s="38" t="str">
        <f>IFERROR('2.vize'!BY34*100/'2.vize'!$I34,"")</f>
        <v/>
      </c>
      <c r="BO135" s="38" t="str">
        <f>IFERROR('2.vize'!BZ34*100/'2.vize'!$I34,"")</f>
        <v/>
      </c>
      <c r="BP135" s="38" t="str">
        <f>IFERROR('2.vize'!CA34*100/'2.vize'!$I34,"")</f>
        <v/>
      </c>
      <c r="BQ135" s="38" t="str">
        <f>IFERROR('2.vize'!CB34*100/'2.vize'!$I34,"")</f>
        <v/>
      </c>
      <c r="BR135" s="38" t="str">
        <f>IFERROR('2.vize'!CC34*100/'2.vize'!$I34,"")</f>
        <v/>
      </c>
      <c r="BS135" s="38" t="str">
        <f>IFERROR('2.vize'!CD34*100/'2.vize'!$I34,"")</f>
        <v/>
      </c>
      <c r="BT135" s="38" t="str">
        <f>IFERROR('2.vize'!CE34*100/'2.vize'!$I34,"")</f>
        <v/>
      </c>
      <c r="BU135" s="38" t="str">
        <f>IFERROR('2.vize'!CF34*100/'2.vize'!$I34,"")</f>
        <v/>
      </c>
      <c r="BV135" s="38" t="str">
        <f>IFERROR('2.vize'!CG34*100/'2.vize'!$I34,"")</f>
        <v/>
      </c>
      <c r="BW135" s="38" t="str">
        <f>IFERROR('2.vize'!CH34*100/'2.vize'!$I34,"")</f>
        <v/>
      </c>
      <c r="BX135" s="38" t="str">
        <f>IFERROR('2.vize'!CI34*100/'2.vize'!$I34,"")</f>
        <v/>
      </c>
      <c r="BY135" s="38" t="str">
        <f>IFERROR('2.vize'!CJ34*100/'2.vize'!$I34,"")</f>
        <v/>
      </c>
      <c r="BZ135" s="38" t="str">
        <f>IFERROR('2.vize'!CK34*100/'2.vize'!$I34,"")</f>
        <v/>
      </c>
      <c r="CA135" s="38" t="str">
        <f>IFERROR('2.vize'!CL34*100/'2.vize'!$I34,"")</f>
        <v/>
      </c>
      <c r="CB135" s="38" t="str">
        <f>IFERROR('2.vize'!CM34*100/'2.vize'!$I34,"")</f>
        <v/>
      </c>
      <c r="CC135" s="38" t="str">
        <f>IFERROR('2.vize'!CN34*100/'2.vize'!$I34,"")</f>
        <v/>
      </c>
      <c r="CD135" s="38" t="str">
        <f>IFERROR('2.vize'!CO34*100/'2.vize'!$I34,"")</f>
        <v/>
      </c>
      <c r="CE135" s="38" t="str">
        <f>IFERROR('2.vize'!CP34*100/'2.vize'!$I34,"")</f>
        <v/>
      </c>
      <c r="CF135" s="38" t="str">
        <f>IFERROR('2.vize'!CQ34*100/'2.vize'!$I34,"")</f>
        <v/>
      </c>
      <c r="CG135" s="38" t="str">
        <f>IFERROR('2.vize'!CR34*100/'2.vize'!$I34,"")</f>
        <v/>
      </c>
      <c r="CH135" s="38" t="str">
        <f>IFERROR('2.vize'!CS34*100/'2.vize'!$I34,"")</f>
        <v/>
      </c>
      <c r="CI135" s="38" t="str">
        <f>IFERROR('2.vize'!CT34*100/'2.vize'!$I34,"")</f>
        <v/>
      </c>
      <c r="CJ135" s="38" t="str">
        <f>IFERROR('2.vize'!CU34*100/'2.vize'!$I34,"")</f>
        <v/>
      </c>
      <c r="CK135" s="38" t="str">
        <f>IFERROR('2.vize'!CV34*100/'2.vize'!$I34,"")</f>
        <v/>
      </c>
      <c r="CL135" s="38" t="str">
        <f>IFERROR('2.vize'!CW34*100/'2.vize'!$I34,"")</f>
        <v/>
      </c>
      <c r="CM135" s="38" t="str">
        <f>IFERROR('2.vize'!CX34*100/'2.vize'!$I34,"")</f>
        <v/>
      </c>
      <c r="CN135" s="38" t="str">
        <f>IFERROR('2.vize'!CY34*100/'2.vize'!$I34,"")</f>
        <v/>
      </c>
      <c r="CO135" s="38" t="str">
        <f>IFERROR('2.vize'!CZ34*100/'2.vize'!$I34,"")</f>
        <v/>
      </c>
      <c r="CP135" s="38" t="str">
        <f>IFERROR('2.vize'!DA34*100/'2.vize'!$I34,"")</f>
        <v/>
      </c>
      <c r="CQ135" s="38" t="str">
        <f>IFERROR('2.vize'!DB34*100/'2.vize'!$I34,"")</f>
        <v/>
      </c>
      <c r="CR135" s="38" t="str">
        <f>IFERROR('2.vize'!DC34*100/'2.vize'!$I34,"")</f>
        <v/>
      </c>
      <c r="CS135" s="38" t="str">
        <f>IFERROR('2.vize'!DD34*100/'2.vize'!$I34,"")</f>
        <v/>
      </c>
      <c r="CT135" s="38" t="str">
        <f>IFERROR('2.vize'!DE34*100/'2.vize'!$I34,"")</f>
        <v/>
      </c>
      <c r="CU135" s="38" t="str">
        <f>IFERROR('2.vize'!DF34*100/'2.vize'!$I34,"")</f>
        <v/>
      </c>
      <c r="CV135" s="38" t="str">
        <f>IFERROR('2.vize'!DG34*100/'2.vize'!$I34,"")</f>
        <v/>
      </c>
      <c r="CW135" s="32" t="str">
        <f>IFERROR(SUM(A135:CV135)/'2.vize'!$DH$103,"")</f>
        <v/>
      </c>
      <c r="CX135" s="14" t="str">
        <f>IF(COUNTA('2.vize'!A34),'2.vize'!A34,"")</f>
        <v/>
      </c>
      <c r="CY135" s="14" t="str">
        <f>IF(COUNTA('2.vize'!B34),'2.vize'!B34,"")</f>
        <v/>
      </c>
      <c r="CZ135" s="14" t="str">
        <f>IF(COUNTA('2.vize'!C34),'2.vize'!C34,"")</f>
        <v/>
      </c>
      <c r="DA135" s="14" t="str">
        <f>IF(COUNTA('2.vize'!D34),'2.vize'!D34,"")</f>
        <v/>
      </c>
      <c r="DB135" s="14" t="str">
        <f>IF(COUNTA('2.vize'!E34),'2.vize'!E34,"")</f>
        <v/>
      </c>
      <c r="DC135" s="14" t="str">
        <f>IF(COUNTA('2.vize'!F34),'2.vize'!F34,"")</f>
        <v/>
      </c>
      <c r="DD135" s="14" t="str">
        <f>IF(COUNTA('2.vize'!G34),'2.vize'!G34,"")</f>
        <v/>
      </c>
      <c r="DE135" s="14" t="str">
        <f>IF(COUNTA('2.vize'!H34),'2.vize'!H34,"")</f>
        <v/>
      </c>
    </row>
    <row r="136" spans="1:109" x14ac:dyDescent="0.2">
      <c r="A136" s="38" t="str">
        <f>IFERROR('2.vize'!L35*100/'2.vize'!$I35,"")</f>
        <v/>
      </c>
      <c r="B136" s="38" t="str">
        <f>IFERROR('2.vize'!M35*100/'2.vize'!$I35,"")</f>
        <v/>
      </c>
      <c r="C136" s="38" t="str">
        <f>IFERROR('2.vize'!N35*100/'2.vize'!$I35,"")</f>
        <v/>
      </c>
      <c r="D136" s="38" t="str">
        <f>IFERROR('2.vize'!O35*100/'2.vize'!$I35,"")</f>
        <v/>
      </c>
      <c r="E136" s="38" t="str">
        <f>IFERROR('2.vize'!P35*100/'2.vize'!$I35,"")</f>
        <v/>
      </c>
      <c r="F136" s="38" t="str">
        <f>IFERROR('2.vize'!Q35*100/'2.vize'!$I35,"")</f>
        <v/>
      </c>
      <c r="G136" s="38" t="str">
        <f>IFERROR('2.vize'!R35*100/'2.vize'!$I35,"")</f>
        <v/>
      </c>
      <c r="H136" s="38" t="str">
        <f>IFERROR('2.vize'!S35*100/'2.vize'!$I35,"")</f>
        <v/>
      </c>
      <c r="I136" s="38" t="str">
        <f>IFERROR('2.vize'!T35*100/'2.vize'!$I35,"")</f>
        <v/>
      </c>
      <c r="J136" s="38" t="str">
        <f>IFERROR('2.vize'!U35*100/'2.vize'!$I35,"")</f>
        <v/>
      </c>
      <c r="K136" s="38" t="str">
        <f>IFERROR('2.vize'!V35*100/'2.vize'!$I35,"")</f>
        <v/>
      </c>
      <c r="L136" s="38" t="str">
        <f>IFERROR('2.vize'!W35*100/'2.vize'!$I35,"")</f>
        <v/>
      </c>
      <c r="M136" s="38" t="str">
        <f>IFERROR('2.vize'!X35*100/'2.vize'!$I35,"")</f>
        <v/>
      </c>
      <c r="N136" s="38" t="str">
        <f>IFERROR('2.vize'!Y35*100/'2.vize'!$I35,"")</f>
        <v/>
      </c>
      <c r="O136" s="38" t="str">
        <f>IFERROR('2.vize'!Z35*100/'2.vize'!$I35,"")</f>
        <v/>
      </c>
      <c r="P136" s="38" t="str">
        <f>IFERROR('2.vize'!AA35*100/'2.vize'!$I35,"")</f>
        <v/>
      </c>
      <c r="Q136" s="38" t="str">
        <f>IFERROR('2.vize'!AB35*100/'2.vize'!$I35,"")</f>
        <v/>
      </c>
      <c r="R136" s="38" t="str">
        <f>IFERROR('2.vize'!AC35*100/'2.vize'!$I35,"")</f>
        <v/>
      </c>
      <c r="S136" s="38" t="str">
        <f>IFERROR('2.vize'!AD35*100/'2.vize'!$I35,"")</f>
        <v/>
      </c>
      <c r="T136" s="38" t="str">
        <f>IFERROR('2.vize'!AE35*100/'2.vize'!$I35,"")</f>
        <v/>
      </c>
      <c r="U136" s="38" t="str">
        <f>IFERROR('2.vize'!AF35*100/'2.vize'!$I35,"")</f>
        <v/>
      </c>
      <c r="V136" s="38" t="str">
        <f>IFERROR('2.vize'!AG35*100/'2.vize'!$I35,"")</f>
        <v/>
      </c>
      <c r="W136" s="38" t="str">
        <f>IFERROR('2.vize'!AH35*100/'2.vize'!$I35,"")</f>
        <v/>
      </c>
      <c r="X136" s="38" t="str">
        <f>IFERROR('2.vize'!AI35*100/'2.vize'!$I35,"")</f>
        <v/>
      </c>
      <c r="Y136" s="38" t="str">
        <f>IFERROR('2.vize'!AJ35*100/'2.vize'!$I35,"")</f>
        <v/>
      </c>
      <c r="Z136" s="38" t="str">
        <f>IFERROR('2.vize'!AK35*100/'2.vize'!$I35,"")</f>
        <v/>
      </c>
      <c r="AA136" s="38" t="str">
        <f>IFERROR('2.vize'!AL35*100/'2.vize'!$I35,"")</f>
        <v/>
      </c>
      <c r="AB136" s="38" t="str">
        <f>IFERROR('2.vize'!AM35*100/'2.vize'!$I35,"")</f>
        <v/>
      </c>
      <c r="AC136" s="38" t="str">
        <f>IFERROR('2.vize'!AN35*100/'2.vize'!$I35,"")</f>
        <v/>
      </c>
      <c r="AD136" s="38" t="str">
        <f>IFERROR('2.vize'!AO35*100/'2.vize'!$I35,"")</f>
        <v/>
      </c>
      <c r="AE136" s="38" t="str">
        <f>IFERROR('2.vize'!AP35*100/'2.vize'!$I35,"")</f>
        <v/>
      </c>
      <c r="AF136" s="38" t="str">
        <f>IFERROR('2.vize'!AQ35*100/'2.vize'!$I35,"")</f>
        <v/>
      </c>
      <c r="AG136" s="38" t="str">
        <f>IFERROR('2.vize'!AR35*100/'2.vize'!$I35,"")</f>
        <v/>
      </c>
      <c r="AH136" s="38" t="str">
        <f>IFERROR('2.vize'!AS35*100/'2.vize'!$I35,"")</f>
        <v/>
      </c>
      <c r="AI136" s="38" t="str">
        <f>IFERROR('2.vize'!AT35*100/'2.vize'!$I35,"")</f>
        <v/>
      </c>
      <c r="AJ136" s="38" t="str">
        <f>IFERROR('2.vize'!AU35*100/'2.vize'!$I35,"")</f>
        <v/>
      </c>
      <c r="AK136" s="38" t="str">
        <f>IFERROR('2.vize'!AV35*100/'2.vize'!$I35,"")</f>
        <v/>
      </c>
      <c r="AL136" s="38" t="str">
        <f>IFERROR('2.vize'!AW35*100/'2.vize'!$I35,"")</f>
        <v/>
      </c>
      <c r="AM136" s="38" t="str">
        <f>IFERROR('2.vize'!AX35*100/'2.vize'!$I35,"")</f>
        <v/>
      </c>
      <c r="AN136" s="38" t="str">
        <f>IFERROR('2.vize'!AY35*100/'2.vize'!$I35,"")</f>
        <v/>
      </c>
      <c r="AO136" s="38" t="str">
        <f>IFERROR('2.vize'!AZ35*100/'2.vize'!$I35,"")</f>
        <v/>
      </c>
      <c r="AP136" s="38" t="str">
        <f>IFERROR('2.vize'!BA35*100/'2.vize'!$I35,"")</f>
        <v/>
      </c>
      <c r="AQ136" s="38" t="str">
        <f>IFERROR('2.vize'!BB35*100/'2.vize'!$I35,"")</f>
        <v/>
      </c>
      <c r="AR136" s="38" t="str">
        <f>IFERROR('2.vize'!BC35*100/'2.vize'!$I35,"")</f>
        <v/>
      </c>
      <c r="AS136" s="38" t="str">
        <f>IFERROR('2.vize'!BD35*100/'2.vize'!$I35,"")</f>
        <v/>
      </c>
      <c r="AT136" s="38" t="str">
        <f>IFERROR('2.vize'!BE35*100/'2.vize'!$I35,"")</f>
        <v/>
      </c>
      <c r="AU136" s="38" t="str">
        <f>IFERROR('2.vize'!BF35*100/'2.vize'!$I35,"")</f>
        <v/>
      </c>
      <c r="AV136" s="38" t="str">
        <f>IFERROR('2.vize'!BG35*100/'2.vize'!$I35,"")</f>
        <v/>
      </c>
      <c r="AW136" s="38" t="str">
        <f>IFERROR('2.vize'!BH35*100/'2.vize'!$I35,"")</f>
        <v/>
      </c>
      <c r="AX136" s="38" t="str">
        <f>IFERROR('2.vize'!BI35*100/'2.vize'!$I35,"")</f>
        <v/>
      </c>
      <c r="AY136" s="38" t="str">
        <f>IFERROR('2.vize'!BJ35*100/'2.vize'!$I35,"")</f>
        <v/>
      </c>
      <c r="AZ136" s="38" t="str">
        <f>IFERROR('2.vize'!BK35*100/'2.vize'!$I35,"")</f>
        <v/>
      </c>
      <c r="BA136" s="38" t="str">
        <f>IFERROR('2.vize'!BL35*100/'2.vize'!$I35,"")</f>
        <v/>
      </c>
      <c r="BB136" s="38" t="str">
        <f>IFERROR('2.vize'!BM35*100/'2.vize'!$I35,"")</f>
        <v/>
      </c>
      <c r="BC136" s="38" t="str">
        <f>IFERROR('2.vize'!BN35*100/'2.vize'!$I35,"")</f>
        <v/>
      </c>
      <c r="BD136" s="38" t="str">
        <f>IFERROR('2.vize'!BO35*100/'2.vize'!$I35,"")</f>
        <v/>
      </c>
      <c r="BE136" s="38" t="str">
        <f>IFERROR('2.vize'!BP35*100/'2.vize'!$I35,"")</f>
        <v/>
      </c>
      <c r="BF136" s="38" t="str">
        <f>IFERROR('2.vize'!BQ35*100/'2.vize'!$I35,"")</f>
        <v/>
      </c>
      <c r="BG136" s="38" t="str">
        <f>IFERROR('2.vize'!BR35*100/'2.vize'!$I35,"")</f>
        <v/>
      </c>
      <c r="BH136" s="38" t="str">
        <f>IFERROR('2.vize'!BS35*100/'2.vize'!$I35,"")</f>
        <v/>
      </c>
      <c r="BI136" s="38" t="str">
        <f>IFERROR('2.vize'!BT35*100/'2.vize'!$I35,"")</f>
        <v/>
      </c>
      <c r="BJ136" s="38" t="str">
        <f>IFERROR('2.vize'!BU35*100/'2.vize'!$I35,"")</f>
        <v/>
      </c>
      <c r="BK136" s="38" t="str">
        <f>IFERROR('2.vize'!BV35*100/'2.vize'!$I35,"")</f>
        <v/>
      </c>
      <c r="BL136" s="38" t="str">
        <f>IFERROR('2.vize'!BW35*100/'2.vize'!$I35,"")</f>
        <v/>
      </c>
      <c r="BM136" s="38" t="str">
        <f>IFERROR('2.vize'!BX35*100/'2.vize'!$I35,"")</f>
        <v/>
      </c>
      <c r="BN136" s="38" t="str">
        <f>IFERROR('2.vize'!BY35*100/'2.vize'!$I35,"")</f>
        <v/>
      </c>
      <c r="BO136" s="38" t="str">
        <f>IFERROR('2.vize'!BZ35*100/'2.vize'!$I35,"")</f>
        <v/>
      </c>
      <c r="BP136" s="38" t="str">
        <f>IFERROR('2.vize'!CA35*100/'2.vize'!$I35,"")</f>
        <v/>
      </c>
      <c r="BQ136" s="38" t="str">
        <f>IFERROR('2.vize'!CB35*100/'2.vize'!$I35,"")</f>
        <v/>
      </c>
      <c r="BR136" s="38" t="str">
        <f>IFERROR('2.vize'!CC35*100/'2.vize'!$I35,"")</f>
        <v/>
      </c>
      <c r="BS136" s="38" t="str">
        <f>IFERROR('2.vize'!CD35*100/'2.vize'!$I35,"")</f>
        <v/>
      </c>
      <c r="BT136" s="38" t="str">
        <f>IFERROR('2.vize'!CE35*100/'2.vize'!$I35,"")</f>
        <v/>
      </c>
      <c r="BU136" s="38" t="str">
        <f>IFERROR('2.vize'!CF35*100/'2.vize'!$I35,"")</f>
        <v/>
      </c>
      <c r="BV136" s="38" t="str">
        <f>IFERROR('2.vize'!CG35*100/'2.vize'!$I35,"")</f>
        <v/>
      </c>
      <c r="BW136" s="38" t="str">
        <f>IFERROR('2.vize'!CH35*100/'2.vize'!$I35,"")</f>
        <v/>
      </c>
      <c r="BX136" s="38" t="str">
        <f>IFERROR('2.vize'!CI35*100/'2.vize'!$I35,"")</f>
        <v/>
      </c>
      <c r="BY136" s="38" t="str">
        <f>IFERROR('2.vize'!CJ35*100/'2.vize'!$I35,"")</f>
        <v/>
      </c>
      <c r="BZ136" s="38" t="str">
        <f>IFERROR('2.vize'!CK35*100/'2.vize'!$I35,"")</f>
        <v/>
      </c>
      <c r="CA136" s="38" t="str">
        <f>IFERROR('2.vize'!CL35*100/'2.vize'!$I35,"")</f>
        <v/>
      </c>
      <c r="CB136" s="38" t="str">
        <f>IFERROR('2.vize'!CM35*100/'2.vize'!$I35,"")</f>
        <v/>
      </c>
      <c r="CC136" s="38" t="str">
        <f>IFERROR('2.vize'!CN35*100/'2.vize'!$I35,"")</f>
        <v/>
      </c>
      <c r="CD136" s="38" t="str">
        <f>IFERROR('2.vize'!CO35*100/'2.vize'!$I35,"")</f>
        <v/>
      </c>
      <c r="CE136" s="38" t="str">
        <f>IFERROR('2.vize'!CP35*100/'2.vize'!$I35,"")</f>
        <v/>
      </c>
      <c r="CF136" s="38" t="str">
        <f>IFERROR('2.vize'!CQ35*100/'2.vize'!$I35,"")</f>
        <v/>
      </c>
      <c r="CG136" s="38" t="str">
        <f>IFERROR('2.vize'!CR35*100/'2.vize'!$I35,"")</f>
        <v/>
      </c>
      <c r="CH136" s="38" t="str">
        <f>IFERROR('2.vize'!CS35*100/'2.vize'!$I35,"")</f>
        <v/>
      </c>
      <c r="CI136" s="38" t="str">
        <f>IFERROR('2.vize'!CT35*100/'2.vize'!$I35,"")</f>
        <v/>
      </c>
      <c r="CJ136" s="38" t="str">
        <f>IFERROR('2.vize'!CU35*100/'2.vize'!$I35,"")</f>
        <v/>
      </c>
      <c r="CK136" s="38" t="str">
        <f>IFERROR('2.vize'!CV35*100/'2.vize'!$I35,"")</f>
        <v/>
      </c>
      <c r="CL136" s="38" t="str">
        <f>IFERROR('2.vize'!CW35*100/'2.vize'!$I35,"")</f>
        <v/>
      </c>
      <c r="CM136" s="38" t="str">
        <f>IFERROR('2.vize'!CX35*100/'2.vize'!$I35,"")</f>
        <v/>
      </c>
      <c r="CN136" s="38" t="str">
        <f>IFERROR('2.vize'!CY35*100/'2.vize'!$I35,"")</f>
        <v/>
      </c>
      <c r="CO136" s="38" t="str">
        <f>IFERROR('2.vize'!CZ35*100/'2.vize'!$I35,"")</f>
        <v/>
      </c>
      <c r="CP136" s="38" t="str">
        <f>IFERROR('2.vize'!DA35*100/'2.vize'!$I35,"")</f>
        <v/>
      </c>
      <c r="CQ136" s="38" t="str">
        <f>IFERROR('2.vize'!DB35*100/'2.vize'!$I35,"")</f>
        <v/>
      </c>
      <c r="CR136" s="38" t="str">
        <f>IFERROR('2.vize'!DC35*100/'2.vize'!$I35,"")</f>
        <v/>
      </c>
      <c r="CS136" s="38" t="str">
        <f>IFERROR('2.vize'!DD35*100/'2.vize'!$I35,"")</f>
        <v/>
      </c>
      <c r="CT136" s="38" t="str">
        <f>IFERROR('2.vize'!DE35*100/'2.vize'!$I35,"")</f>
        <v/>
      </c>
      <c r="CU136" s="38" t="str">
        <f>IFERROR('2.vize'!DF35*100/'2.vize'!$I35,"")</f>
        <v/>
      </c>
      <c r="CV136" s="38" t="str">
        <f>IFERROR('2.vize'!DG35*100/'2.vize'!$I35,"")</f>
        <v/>
      </c>
      <c r="CW136" s="32" t="str">
        <f>IFERROR(SUM(A136:CV136)/'2.vize'!$DH$103,"")</f>
        <v/>
      </c>
      <c r="CX136" s="14" t="str">
        <f>IF(COUNTA('2.vize'!A35),'2.vize'!A35,"")</f>
        <v/>
      </c>
      <c r="CY136" s="14" t="str">
        <f>IF(COUNTA('2.vize'!B35),'2.vize'!B35,"")</f>
        <v/>
      </c>
      <c r="CZ136" s="14" t="str">
        <f>IF(COUNTA('2.vize'!C35),'2.vize'!C35,"")</f>
        <v/>
      </c>
      <c r="DA136" s="14" t="str">
        <f>IF(COUNTA('2.vize'!D35),'2.vize'!D35,"")</f>
        <v/>
      </c>
      <c r="DB136" s="14" t="str">
        <f>IF(COUNTA('2.vize'!E35),'2.vize'!E35,"")</f>
        <v/>
      </c>
      <c r="DC136" s="14" t="str">
        <f>IF(COUNTA('2.vize'!F35),'2.vize'!F35,"")</f>
        <v/>
      </c>
      <c r="DD136" s="14" t="str">
        <f>IF(COUNTA('2.vize'!G35),'2.vize'!G35,"")</f>
        <v/>
      </c>
      <c r="DE136" s="14" t="str">
        <f>IF(COUNTA('2.vize'!H35),'2.vize'!H35,"")</f>
        <v/>
      </c>
    </row>
    <row r="137" spans="1:109" x14ac:dyDescent="0.2">
      <c r="A137" s="38" t="str">
        <f>IFERROR('2.vize'!L36*100/'2.vize'!$I36,"")</f>
        <v/>
      </c>
      <c r="B137" s="38" t="str">
        <f>IFERROR('2.vize'!M36*100/'2.vize'!$I36,"")</f>
        <v/>
      </c>
      <c r="C137" s="38" t="str">
        <f>IFERROR('2.vize'!N36*100/'2.vize'!$I36,"")</f>
        <v/>
      </c>
      <c r="D137" s="38" t="str">
        <f>IFERROR('2.vize'!O36*100/'2.vize'!$I36,"")</f>
        <v/>
      </c>
      <c r="E137" s="38" t="str">
        <f>IFERROR('2.vize'!P36*100/'2.vize'!$I36,"")</f>
        <v/>
      </c>
      <c r="F137" s="38" t="str">
        <f>IFERROR('2.vize'!Q36*100/'2.vize'!$I36,"")</f>
        <v/>
      </c>
      <c r="G137" s="38" t="str">
        <f>IFERROR('2.vize'!R36*100/'2.vize'!$I36,"")</f>
        <v/>
      </c>
      <c r="H137" s="38" t="str">
        <f>IFERROR('2.vize'!S36*100/'2.vize'!$I36,"")</f>
        <v/>
      </c>
      <c r="I137" s="38" t="str">
        <f>IFERROR('2.vize'!T36*100/'2.vize'!$I36,"")</f>
        <v/>
      </c>
      <c r="J137" s="38" t="str">
        <f>IFERROR('2.vize'!U36*100/'2.vize'!$I36,"")</f>
        <v/>
      </c>
      <c r="K137" s="38" t="str">
        <f>IFERROR('2.vize'!V36*100/'2.vize'!$I36,"")</f>
        <v/>
      </c>
      <c r="L137" s="38" t="str">
        <f>IFERROR('2.vize'!W36*100/'2.vize'!$I36,"")</f>
        <v/>
      </c>
      <c r="M137" s="38" t="str">
        <f>IFERROR('2.vize'!X36*100/'2.vize'!$I36,"")</f>
        <v/>
      </c>
      <c r="N137" s="38" t="str">
        <f>IFERROR('2.vize'!Y36*100/'2.vize'!$I36,"")</f>
        <v/>
      </c>
      <c r="O137" s="38" t="str">
        <f>IFERROR('2.vize'!Z36*100/'2.vize'!$I36,"")</f>
        <v/>
      </c>
      <c r="P137" s="38" t="str">
        <f>IFERROR('2.vize'!AA36*100/'2.vize'!$I36,"")</f>
        <v/>
      </c>
      <c r="Q137" s="38" t="str">
        <f>IFERROR('2.vize'!AB36*100/'2.vize'!$I36,"")</f>
        <v/>
      </c>
      <c r="R137" s="38" t="str">
        <f>IFERROR('2.vize'!AC36*100/'2.vize'!$I36,"")</f>
        <v/>
      </c>
      <c r="S137" s="38" t="str">
        <f>IFERROR('2.vize'!AD36*100/'2.vize'!$I36,"")</f>
        <v/>
      </c>
      <c r="T137" s="38" t="str">
        <f>IFERROR('2.vize'!AE36*100/'2.vize'!$I36,"")</f>
        <v/>
      </c>
      <c r="U137" s="38" t="str">
        <f>IFERROR('2.vize'!AF36*100/'2.vize'!$I36,"")</f>
        <v/>
      </c>
      <c r="V137" s="38" t="str">
        <f>IFERROR('2.vize'!AG36*100/'2.vize'!$I36,"")</f>
        <v/>
      </c>
      <c r="W137" s="38" t="str">
        <f>IFERROR('2.vize'!AH36*100/'2.vize'!$I36,"")</f>
        <v/>
      </c>
      <c r="X137" s="38" t="str">
        <f>IFERROR('2.vize'!AI36*100/'2.vize'!$I36,"")</f>
        <v/>
      </c>
      <c r="Y137" s="38" t="str">
        <f>IFERROR('2.vize'!AJ36*100/'2.vize'!$I36,"")</f>
        <v/>
      </c>
      <c r="Z137" s="38" t="str">
        <f>IFERROR('2.vize'!AK36*100/'2.vize'!$I36,"")</f>
        <v/>
      </c>
      <c r="AA137" s="38" t="str">
        <f>IFERROR('2.vize'!AL36*100/'2.vize'!$I36,"")</f>
        <v/>
      </c>
      <c r="AB137" s="38" t="str">
        <f>IFERROR('2.vize'!AM36*100/'2.vize'!$I36,"")</f>
        <v/>
      </c>
      <c r="AC137" s="38" t="str">
        <f>IFERROR('2.vize'!AN36*100/'2.vize'!$I36,"")</f>
        <v/>
      </c>
      <c r="AD137" s="38" t="str">
        <f>IFERROR('2.vize'!AO36*100/'2.vize'!$I36,"")</f>
        <v/>
      </c>
      <c r="AE137" s="38" t="str">
        <f>IFERROR('2.vize'!AP36*100/'2.vize'!$I36,"")</f>
        <v/>
      </c>
      <c r="AF137" s="38" t="str">
        <f>IFERROR('2.vize'!AQ36*100/'2.vize'!$I36,"")</f>
        <v/>
      </c>
      <c r="AG137" s="38" t="str">
        <f>IFERROR('2.vize'!AR36*100/'2.vize'!$I36,"")</f>
        <v/>
      </c>
      <c r="AH137" s="38" t="str">
        <f>IFERROR('2.vize'!AS36*100/'2.vize'!$I36,"")</f>
        <v/>
      </c>
      <c r="AI137" s="38" t="str">
        <f>IFERROR('2.vize'!AT36*100/'2.vize'!$I36,"")</f>
        <v/>
      </c>
      <c r="AJ137" s="38" t="str">
        <f>IFERROR('2.vize'!AU36*100/'2.vize'!$I36,"")</f>
        <v/>
      </c>
      <c r="AK137" s="38" t="str">
        <f>IFERROR('2.vize'!AV36*100/'2.vize'!$I36,"")</f>
        <v/>
      </c>
      <c r="AL137" s="38" t="str">
        <f>IFERROR('2.vize'!AW36*100/'2.vize'!$I36,"")</f>
        <v/>
      </c>
      <c r="AM137" s="38" t="str">
        <f>IFERROR('2.vize'!AX36*100/'2.vize'!$I36,"")</f>
        <v/>
      </c>
      <c r="AN137" s="38" t="str">
        <f>IFERROR('2.vize'!AY36*100/'2.vize'!$I36,"")</f>
        <v/>
      </c>
      <c r="AO137" s="38" t="str">
        <f>IFERROR('2.vize'!AZ36*100/'2.vize'!$I36,"")</f>
        <v/>
      </c>
      <c r="AP137" s="38" t="str">
        <f>IFERROR('2.vize'!BA36*100/'2.vize'!$I36,"")</f>
        <v/>
      </c>
      <c r="AQ137" s="38" t="str">
        <f>IFERROR('2.vize'!BB36*100/'2.vize'!$I36,"")</f>
        <v/>
      </c>
      <c r="AR137" s="38" t="str">
        <f>IFERROR('2.vize'!BC36*100/'2.vize'!$I36,"")</f>
        <v/>
      </c>
      <c r="AS137" s="38" t="str">
        <f>IFERROR('2.vize'!BD36*100/'2.vize'!$I36,"")</f>
        <v/>
      </c>
      <c r="AT137" s="38" t="str">
        <f>IFERROR('2.vize'!BE36*100/'2.vize'!$I36,"")</f>
        <v/>
      </c>
      <c r="AU137" s="38" t="str">
        <f>IFERROR('2.vize'!BF36*100/'2.vize'!$I36,"")</f>
        <v/>
      </c>
      <c r="AV137" s="38" t="str">
        <f>IFERROR('2.vize'!BG36*100/'2.vize'!$I36,"")</f>
        <v/>
      </c>
      <c r="AW137" s="38" t="str">
        <f>IFERROR('2.vize'!BH36*100/'2.vize'!$I36,"")</f>
        <v/>
      </c>
      <c r="AX137" s="38" t="str">
        <f>IFERROR('2.vize'!BI36*100/'2.vize'!$I36,"")</f>
        <v/>
      </c>
      <c r="AY137" s="38" t="str">
        <f>IFERROR('2.vize'!BJ36*100/'2.vize'!$I36,"")</f>
        <v/>
      </c>
      <c r="AZ137" s="38" t="str">
        <f>IFERROR('2.vize'!BK36*100/'2.vize'!$I36,"")</f>
        <v/>
      </c>
      <c r="BA137" s="38" t="str">
        <f>IFERROR('2.vize'!BL36*100/'2.vize'!$I36,"")</f>
        <v/>
      </c>
      <c r="BB137" s="38" t="str">
        <f>IFERROR('2.vize'!BM36*100/'2.vize'!$I36,"")</f>
        <v/>
      </c>
      <c r="BC137" s="38" t="str">
        <f>IFERROR('2.vize'!BN36*100/'2.vize'!$I36,"")</f>
        <v/>
      </c>
      <c r="BD137" s="38" t="str">
        <f>IFERROR('2.vize'!BO36*100/'2.vize'!$I36,"")</f>
        <v/>
      </c>
      <c r="BE137" s="38" t="str">
        <f>IFERROR('2.vize'!BP36*100/'2.vize'!$I36,"")</f>
        <v/>
      </c>
      <c r="BF137" s="38" t="str">
        <f>IFERROR('2.vize'!BQ36*100/'2.vize'!$I36,"")</f>
        <v/>
      </c>
      <c r="BG137" s="38" t="str">
        <f>IFERROR('2.vize'!BR36*100/'2.vize'!$I36,"")</f>
        <v/>
      </c>
      <c r="BH137" s="38" t="str">
        <f>IFERROR('2.vize'!BS36*100/'2.vize'!$I36,"")</f>
        <v/>
      </c>
      <c r="BI137" s="38" t="str">
        <f>IFERROR('2.vize'!BT36*100/'2.vize'!$I36,"")</f>
        <v/>
      </c>
      <c r="BJ137" s="38" t="str">
        <f>IFERROR('2.vize'!BU36*100/'2.vize'!$I36,"")</f>
        <v/>
      </c>
      <c r="BK137" s="38" t="str">
        <f>IFERROR('2.vize'!BV36*100/'2.vize'!$I36,"")</f>
        <v/>
      </c>
      <c r="BL137" s="38" t="str">
        <f>IFERROR('2.vize'!BW36*100/'2.vize'!$I36,"")</f>
        <v/>
      </c>
      <c r="BM137" s="38" t="str">
        <f>IFERROR('2.vize'!BX36*100/'2.vize'!$I36,"")</f>
        <v/>
      </c>
      <c r="BN137" s="38" t="str">
        <f>IFERROR('2.vize'!BY36*100/'2.vize'!$I36,"")</f>
        <v/>
      </c>
      <c r="BO137" s="38" t="str">
        <f>IFERROR('2.vize'!BZ36*100/'2.vize'!$I36,"")</f>
        <v/>
      </c>
      <c r="BP137" s="38" t="str">
        <f>IFERROR('2.vize'!CA36*100/'2.vize'!$I36,"")</f>
        <v/>
      </c>
      <c r="BQ137" s="38" t="str">
        <f>IFERROR('2.vize'!CB36*100/'2.vize'!$I36,"")</f>
        <v/>
      </c>
      <c r="BR137" s="38" t="str">
        <f>IFERROR('2.vize'!CC36*100/'2.vize'!$I36,"")</f>
        <v/>
      </c>
      <c r="BS137" s="38" t="str">
        <f>IFERROR('2.vize'!CD36*100/'2.vize'!$I36,"")</f>
        <v/>
      </c>
      <c r="BT137" s="38" t="str">
        <f>IFERROR('2.vize'!CE36*100/'2.vize'!$I36,"")</f>
        <v/>
      </c>
      <c r="BU137" s="38" t="str">
        <f>IFERROR('2.vize'!CF36*100/'2.vize'!$I36,"")</f>
        <v/>
      </c>
      <c r="BV137" s="38" t="str">
        <f>IFERROR('2.vize'!CG36*100/'2.vize'!$I36,"")</f>
        <v/>
      </c>
      <c r="BW137" s="38" t="str">
        <f>IFERROR('2.vize'!CH36*100/'2.vize'!$I36,"")</f>
        <v/>
      </c>
      <c r="BX137" s="38" t="str">
        <f>IFERROR('2.vize'!CI36*100/'2.vize'!$I36,"")</f>
        <v/>
      </c>
      <c r="BY137" s="38" t="str">
        <f>IFERROR('2.vize'!CJ36*100/'2.vize'!$I36,"")</f>
        <v/>
      </c>
      <c r="BZ137" s="38" t="str">
        <f>IFERROR('2.vize'!CK36*100/'2.vize'!$I36,"")</f>
        <v/>
      </c>
      <c r="CA137" s="38" t="str">
        <f>IFERROR('2.vize'!CL36*100/'2.vize'!$I36,"")</f>
        <v/>
      </c>
      <c r="CB137" s="38" t="str">
        <f>IFERROR('2.vize'!CM36*100/'2.vize'!$I36,"")</f>
        <v/>
      </c>
      <c r="CC137" s="38" t="str">
        <f>IFERROR('2.vize'!CN36*100/'2.vize'!$I36,"")</f>
        <v/>
      </c>
      <c r="CD137" s="38" t="str">
        <f>IFERROR('2.vize'!CO36*100/'2.vize'!$I36,"")</f>
        <v/>
      </c>
      <c r="CE137" s="38" t="str">
        <f>IFERROR('2.vize'!CP36*100/'2.vize'!$I36,"")</f>
        <v/>
      </c>
      <c r="CF137" s="38" t="str">
        <f>IFERROR('2.vize'!CQ36*100/'2.vize'!$I36,"")</f>
        <v/>
      </c>
      <c r="CG137" s="38" t="str">
        <f>IFERROR('2.vize'!CR36*100/'2.vize'!$I36,"")</f>
        <v/>
      </c>
      <c r="CH137" s="38" t="str">
        <f>IFERROR('2.vize'!CS36*100/'2.vize'!$I36,"")</f>
        <v/>
      </c>
      <c r="CI137" s="38" t="str">
        <f>IFERROR('2.vize'!CT36*100/'2.vize'!$I36,"")</f>
        <v/>
      </c>
      <c r="CJ137" s="38" t="str">
        <f>IFERROR('2.vize'!CU36*100/'2.vize'!$I36,"")</f>
        <v/>
      </c>
      <c r="CK137" s="38" t="str">
        <f>IFERROR('2.vize'!CV36*100/'2.vize'!$I36,"")</f>
        <v/>
      </c>
      <c r="CL137" s="38" t="str">
        <f>IFERROR('2.vize'!CW36*100/'2.vize'!$I36,"")</f>
        <v/>
      </c>
      <c r="CM137" s="38" t="str">
        <f>IFERROR('2.vize'!CX36*100/'2.vize'!$I36,"")</f>
        <v/>
      </c>
      <c r="CN137" s="38" t="str">
        <f>IFERROR('2.vize'!CY36*100/'2.vize'!$I36,"")</f>
        <v/>
      </c>
      <c r="CO137" s="38" t="str">
        <f>IFERROR('2.vize'!CZ36*100/'2.vize'!$I36,"")</f>
        <v/>
      </c>
      <c r="CP137" s="38" t="str">
        <f>IFERROR('2.vize'!DA36*100/'2.vize'!$I36,"")</f>
        <v/>
      </c>
      <c r="CQ137" s="38" t="str">
        <f>IFERROR('2.vize'!DB36*100/'2.vize'!$I36,"")</f>
        <v/>
      </c>
      <c r="CR137" s="38" t="str">
        <f>IFERROR('2.vize'!DC36*100/'2.vize'!$I36,"")</f>
        <v/>
      </c>
      <c r="CS137" s="38" t="str">
        <f>IFERROR('2.vize'!DD36*100/'2.vize'!$I36,"")</f>
        <v/>
      </c>
      <c r="CT137" s="38" t="str">
        <f>IFERROR('2.vize'!DE36*100/'2.vize'!$I36,"")</f>
        <v/>
      </c>
      <c r="CU137" s="38" t="str">
        <f>IFERROR('2.vize'!DF36*100/'2.vize'!$I36,"")</f>
        <v/>
      </c>
      <c r="CV137" s="38" t="str">
        <f>IFERROR('2.vize'!DG36*100/'2.vize'!$I36,"")</f>
        <v/>
      </c>
      <c r="CW137" s="32" t="str">
        <f>IFERROR(SUM(A137:CV137)/'2.vize'!$DH$103,"")</f>
        <v/>
      </c>
      <c r="CX137" s="14" t="str">
        <f>IF(COUNTA('2.vize'!A36),'2.vize'!A36,"")</f>
        <v/>
      </c>
      <c r="CY137" s="14" t="str">
        <f>IF(COUNTA('2.vize'!B36),'2.vize'!B36,"")</f>
        <v/>
      </c>
      <c r="CZ137" s="14" t="str">
        <f>IF(COUNTA('2.vize'!C36),'2.vize'!C36,"")</f>
        <v/>
      </c>
      <c r="DA137" s="14" t="str">
        <f>IF(COUNTA('2.vize'!D36),'2.vize'!D36,"")</f>
        <v/>
      </c>
      <c r="DB137" s="14" t="str">
        <f>IF(COUNTA('2.vize'!E36),'2.vize'!E36,"")</f>
        <v/>
      </c>
      <c r="DC137" s="14" t="str">
        <f>IF(COUNTA('2.vize'!F36),'2.vize'!F36,"")</f>
        <v/>
      </c>
      <c r="DD137" s="14" t="str">
        <f>IF(COUNTA('2.vize'!G36),'2.vize'!G36,"")</f>
        <v/>
      </c>
      <c r="DE137" s="14" t="str">
        <f>IF(COUNTA('2.vize'!H36),'2.vize'!H36,"")</f>
        <v/>
      </c>
    </row>
    <row r="138" spans="1:109" x14ac:dyDescent="0.2">
      <c r="A138" s="38" t="str">
        <f>IFERROR('2.vize'!L37*100/'2.vize'!$I37,"")</f>
        <v/>
      </c>
      <c r="B138" s="38" t="str">
        <f>IFERROR('2.vize'!M37*100/'2.vize'!$I37,"")</f>
        <v/>
      </c>
      <c r="C138" s="38" t="str">
        <f>IFERROR('2.vize'!N37*100/'2.vize'!$I37,"")</f>
        <v/>
      </c>
      <c r="D138" s="38" t="str">
        <f>IFERROR('2.vize'!O37*100/'2.vize'!$I37,"")</f>
        <v/>
      </c>
      <c r="E138" s="38" t="str">
        <f>IFERROR('2.vize'!P37*100/'2.vize'!$I37,"")</f>
        <v/>
      </c>
      <c r="F138" s="38" t="str">
        <f>IFERROR('2.vize'!Q37*100/'2.vize'!$I37,"")</f>
        <v/>
      </c>
      <c r="G138" s="38" t="str">
        <f>IFERROR('2.vize'!R37*100/'2.vize'!$I37,"")</f>
        <v/>
      </c>
      <c r="H138" s="38" t="str">
        <f>IFERROR('2.vize'!S37*100/'2.vize'!$I37,"")</f>
        <v/>
      </c>
      <c r="I138" s="38" t="str">
        <f>IFERROR('2.vize'!T37*100/'2.vize'!$I37,"")</f>
        <v/>
      </c>
      <c r="J138" s="38" t="str">
        <f>IFERROR('2.vize'!U37*100/'2.vize'!$I37,"")</f>
        <v/>
      </c>
      <c r="K138" s="38" t="str">
        <f>IFERROR('2.vize'!V37*100/'2.vize'!$I37,"")</f>
        <v/>
      </c>
      <c r="L138" s="38" t="str">
        <f>IFERROR('2.vize'!W37*100/'2.vize'!$I37,"")</f>
        <v/>
      </c>
      <c r="M138" s="38" t="str">
        <f>IFERROR('2.vize'!X37*100/'2.vize'!$I37,"")</f>
        <v/>
      </c>
      <c r="N138" s="38" t="str">
        <f>IFERROR('2.vize'!Y37*100/'2.vize'!$I37,"")</f>
        <v/>
      </c>
      <c r="O138" s="38" t="str">
        <f>IFERROR('2.vize'!Z37*100/'2.vize'!$I37,"")</f>
        <v/>
      </c>
      <c r="P138" s="38" t="str">
        <f>IFERROR('2.vize'!AA37*100/'2.vize'!$I37,"")</f>
        <v/>
      </c>
      <c r="Q138" s="38" t="str">
        <f>IFERROR('2.vize'!AB37*100/'2.vize'!$I37,"")</f>
        <v/>
      </c>
      <c r="R138" s="38" t="str">
        <f>IFERROR('2.vize'!AC37*100/'2.vize'!$I37,"")</f>
        <v/>
      </c>
      <c r="S138" s="38" t="str">
        <f>IFERROR('2.vize'!AD37*100/'2.vize'!$I37,"")</f>
        <v/>
      </c>
      <c r="T138" s="38" t="str">
        <f>IFERROR('2.vize'!AE37*100/'2.vize'!$I37,"")</f>
        <v/>
      </c>
      <c r="U138" s="38" t="str">
        <f>IFERROR('2.vize'!AF37*100/'2.vize'!$I37,"")</f>
        <v/>
      </c>
      <c r="V138" s="38" t="str">
        <f>IFERROR('2.vize'!AG37*100/'2.vize'!$I37,"")</f>
        <v/>
      </c>
      <c r="W138" s="38" t="str">
        <f>IFERROR('2.vize'!AH37*100/'2.vize'!$I37,"")</f>
        <v/>
      </c>
      <c r="X138" s="38" t="str">
        <f>IFERROR('2.vize'!AI37*100/'2.vize'!$I37,"")</f>
        <v/>
      </c>
      <c r="Y138" s="38" t="str">
        <f>IFERROR('2.vize'!AJ37*100/'2.vize'!$I37,"")</f>
        <v/>
      </c>
      <c r="Z138" s="38" t="str">
        <f>IFERROR('2.vize'!AK37*100/'2.vize'!$I37,"")</f>
        <v/>
      </c>
      <c r="AA138" s="38" t="str">
        <f>IFERROR('2.vize'!AL37*100/'2.vize'!$I37,"")</f>
        <v/>
      </c>
      <c r="AB138" s="38" t="str">
        <f>IFERROR('2.vize'!AM37*100/'2.vize'!$I37,"")</f>
        <v/>
      </c>
      <c r="AC138" s="38" t="str">
        <f>IFERROR('2.vize'!AN37*100/'2.vize'!$I37,"")</f>
        <v/>
      </c>
      <c r="AD138" s="38" t="str">
        <f>IFERROR('2.vize'!AO37*100/'2.vize'!$I37,"")</f>
        <v/>
      </c>
      <c r="AE138" s="38" t="str">
        <f>IFERROR('2.vize'!AP37*100/'2.vize'!$I37,"")</f>
        <v/>
      </c>
      <c r="AF138" s="38" t="str">
        <f>IFERROR('2.vize'!AQ37*100/'2.vize'!$I37,"")</f>
        <v/>
      </c>
      <c r="AG138" s="38" t="str">
        <f>IFERROR('2.vize'!AR37*100/'2.vize'!$I37,"")</f>
        <v/>
      </c>
      <c r="AH138" s="38" t="str">
        <f>IFERROR('2.vize'!AS37*100/'2.vize'!$I37,"")</f>
        <v/>
      </c>
      <c r="AI138" s="38" t="str">
        <f>IFERROR('2.vize'!AT37*100/'2.vize'!$I37,"")</f>
        <v/>
      </c>
      <c r="AJ138" s="38" t="str">
        <f>IFERROR('2.vize'!AU37*100/'2.vize'!$I37,"")</f>
        <v/>
      </c>
      <c r="AK138" s="38" t="str">
        <f>IFERROR('2.vize'!AV37*100/'2.vize'!$I37,"")</f>
        <v/>
      </c>
      <c r="AL138" s="38" t="str">
        <f>IFERROR('2.vize'!AW37*100/'2.vize'!$I37,"")</f>
        <v/>
      </c>
      <c r="AM138" s="38" t="str">
        <f>IFERROR('2.vize'!AX37*100/'2.vize'!$I37,"")</f>
        <v/>
      </c>
      <c r="AN138" s="38" t="str">
        <f>IFERROR('2.vize'!AY37*100/'2.vize'!$I37,"")</f>
        <v/>
      </c>
      <c r="AO138" s="38" t="str">
        <f>IFERROR('2.vize'!AZ37*100/'2.vize'!$I37,"")</f>
        <v/>
      </c>
      <c r="AP138" s="38" t="str">
        <f>IFERROR('2.vize'!BA37*100/'2.vize'!$I37,"")</f>
        <v/>
      </c>
      <c r="AQ138" s="38" t="str">
        <f>IFERROR('2.vize'!BB37*100/'2.vize'!$I37,"")</f>
        <v/>
      </c>
      <c r="AR138" s="38" t="str">
        <f>IFERROR('2.vize'!BC37*100/'2.vize'!$I37,"")</f>
        <v/>
      </c>
      <c r="AS138" s="38" t="str">
        <f>IFERROR('2.vize'!BD37*100/'2.vize'!$I37,"")</f>
        <v/>
      </c>
      <c r="AT138" s="38" t="str">
        <f>IFERROR('2.vize'!BE37*100/'2.vize'!$I37,"")</f>
        <v/>
      </c>
      <c r="AU138" s="38" t="str">
        <f>IFERROR('2.vize'!BF37*100/'2.vize'!$I37,"")</f>
        <v/>
      </c>
      <c r="AV138" s="38" t="str">
        <f>IFERROR('2.vize'!BG37*100/'2.vize'!$I37,"")</f>
        <v/>
      </c>
      <c r="AW138" s="38" t="str">
        <f>IFERROR('2.vize'!BH37*100/'2.vize'!$I37,"")</f>
        <v/>
      </c>
      <c r="AX138" s="38" t="str">
        <f>IFERROR('2.vize'!BI37*100/'2.vize'!$I37,"")</f>
        <v/>
      </c>
      <c r="AY138" s="38" t="str">
        <f>IFERROR('2.vize'!BJ37*100/'2.vize'!$I37,"")</f>
        <v/>
      </c>
      <c r="AZ138" s="38" t="str">
        <f>IFERROR('2.vize'!BK37*100/'2.vize'!$I37,"")</f>
        <v/>
      </c>
      <c r="BA138" s="38" t="str">
        <f>IFERROR('2.vize'!BL37*100/'2.vize'!$I37,"")</f>
        <v/>
      </c>
      <c r="BB138" s="38" t="str">
        <f>IFERROR('2.vize'!BM37*100/'2.vize'!$I37,"")</f>
        <v/>
      </c>
      <c r="BC138" s="38" t="str">
        <f>IFERROR('2.vize'!BN37*100/'2.vize'!$I37,"")</f>
        <v/>
      </c>
      <c r="BD138" s="38" t="str">
        <f>IFERROR('2.vize'!BO37*100/'2.vize'!$I37,"")</f>
        <v/>
      </c>
      <c r="BE138" s="38" t="str">
        <f>IFERROR('2.vize'!BP37*100/'2.vize'!$I37,"")</f>
        <v/>
      </c>
      <c r="BF138" s="38" t="str">
        <f>IFERROR('2.vize'!BQ37*100/'2.vize'!$I37,"")</f>
        <v/>
      </c>
      <c r="BG138" s="38" t="str">
        <f>IFERROR('2.vize'!BR37*100/'2.vize'!$I37,"")</f>
        <v/>
      </c>
      <c r="BH138" s="38" t="str">
        <f>IFERROR('2.vize'!BS37*100/'2.vize'!$I37,"")</f>
        <v/>
      </c>
      <c r="BI138" s="38" t="str">
        <f>IFERROR('2.vize'!BT37*100/'2.vize'!$I37,"")</f>
        <v/>
      </c>
      <c r="BJ138" s="38" t="str">
        <f>IFERROR('2.vize'!BU37*100/'2.vize'!$I37,"")</f>
        <v/>
      </c>
      <c r="BK138" s="38" t="str">
        <f>IFERROR('2.vize'!BV37*100/'2.vize'!$I37,"")</f>
        <v/>
      </c>
      <c r="BL138" s="38" t="str">
        <f>IFERROR('2.vize'!BW37*100/'2.vize'!$I37,"")</f>
        <v/>
      </c>
      <c r="BM138" s="38" t="str">
        <f>IFERROR('2.vize'!BX37*100/'2.vize'!$I37,"")</f>
        <v/>
      </c>
      <c r="BN138" s="38" t="str">
        <f>IFERROR('2.vize'!BY37*100/'2.vize'!$I37,"")</f>
        <v/>
      </c>
      <c r="BO138" s="38" t="str">
        <f>IFERROR('2.vize'!BZ37*100/'2.vize'!$I37,"")</f>
        <v/>
      </c>
      <c r="BP138" s="38" t="str">
        <f>IFERROR('2.vize'!CA37*100/'2.vize'!$I37,"")</f>
        <v/>
      </c>
      <c r="BQ138" s="38" t="str">
        <f>IFERROR('2.vize'!CB37*100/'2.vize'!$I37,"")</f>
        <v/>
      </c>
      <c r="BR138" s="38" t="str">
        <f>IFERROR('2.vize'!CC37*100/'2.vize'!$I37,"")</f>
        <v/>
      </c>
      <c r="BS138" s="38" t="str">
        <f>IFERROR('2.vize'!CD37*100/'2.vize'!$I37,"")</f>
        <v/>
      </c>
      <c r="BT138" s="38" t="str">
        <f>IFERROR('2.vize'!CE37*100/'2.vize'!$I37,"")</f>
        <v/>
      </c>
      <c r="BU138" s="38" t="str">
        <f>IFERROR('2.vize'!CF37*100/'2.vize'!$I37,"")</f>
        <v/>
      </c>
      <c r="BV138" s="38" t="str">
        <f>IFERROR('2.vize'!CG37*100/'2.vize'!$I37,"")</f>
        <v/>
      </c>
      <c r="BW138" s="38" t="str">
        <f>IFERROR('2.vize'!CH37*100/'2.vize'!$I37,"")</f>
        <v/>
      </c>
      <c r="BX138" s="38" t="str">
        <f>IFERROR('2.vize'!CI37*100/'2.vize'!$I37,"")</f>
        <v/>
      </c>
      <c r="BY138" s="38" t="str">
        <f>IFERROR('2.vize'!CJ37*100/'2.vize'!$I37,"")</f>
        <v/>
      </c>
      <c r="BZ138" s="38" t="str">
        <f>IFERROR('2.vize'!CK37*100/'2.vize'!$I37,"")</f>
        <v/>
      </c>
      <c r="CA138" s="38" t="str">
        <f>IFERROR('2.vize'!CL37*100/'2.vize'!$I37,"")</f>
        <v/>
      </c>
      <c r="CB138" s="38" t="str">
        <f>IFERROR('2.vize'!CM37*100/'2.vize'!$I37,"")</f>
        <v/>
      </c>
      <c r="CC138" s="38" t="str">
        <f>IFERROR('2.vize'!CN37*100/'2.vize'!$I37,"")</f>
        <v/>
      </c>
      <c r="CD138" s="38" t="str">
        <f>IFERROR('2.vize'!CO37*100/'2.vize'!$I37,"")</f>
        <v/>
      </c>
      <c r="CE138" s="38" t="str">
        <f>IFERROR('2.vize'!CP37*100/'2.vize'!$I37,"")</f>
        <v/>
      </c>
      <c r="CF138" s="38" t="str">
        <f>IFERROR('2.vize'!CQ37*100/'2.vize'!$I37,"")</f>
        <v/>
      </c>
      <c r="CG138" s="38" t="str">
        <f>IFERROR('2.vize'!CR37*100/'2.vize'!$I37,"")</f>
        <v/>
      </c>
      <c r="CH138" s="38" t="str">
        <f>IFERROR('2.vize'!CS37*100/'2.vize'!$I37,"")</f>
        <v/>
      </c>
      <c r="CI138" s="38" t="str">
        <f>IFERROR('2.vize'!CT37*100/'2.vize'!$I37,"")</f>
        <v/>
      </c>
      <c r="CJ138" s="38" t="str">
        <f>IFERROR('2.vize'!CU37*100/'2.vize'!$I37,"")</f>
        <v/>
      </c>
      <c r="CK138" s="38" t="str">
        <f>IFERROR('2.vize'!CV37*100/'2.vize'!$I37,"")</f>
        <v/>
      </c>
      <c r="CL138" s="38" t="str">
        <f>IFERROR('2.vize'!CW37*100/'2.vize'!$I37,"")</f>
        <v/>
      </c>
      <c r="CM138" s="38" t="str">
        <f>IFERROR('2.vize'!CX37*100/'2.vize'!$I37,"")</f>
        <v/>
      </c>
      <c r="CN138" s="38" t="str">
        <f>IFERROR('2.vize'!CY37*100/'2.vize'!$I37,"")</f>
        <v/>
      </c>
      <c r="CO138" s="38" t="str">
        <f>IFERROR('2.vize'!CZ37*100/'2.vize'!$I37,"")</f>
        <v/>
      </c>
      <c r="CP138" s="38" t="str">
        <f>IFERROR('2.vize'!DA37*100/'2.vize'!$I37,"")</f>
        <v/>
      </c>
      <c r="CQ138" s="38" t="str">
        <f>IFERROR('2.vize'!DB37*100/'2.vize'!$I37,"")</f>
        <v/>
      </c>
      <c r="CR138" s="38" t="str">
        <f>IFERROR('2.vize'!DC37*100/'2.vize'!$I37,"")</f>
        <v/>
      </c>
      <c r="CS138" s="38" t="str">
        <f>IFERROR('2.vize'!DD37*100/'2.vize'!$I37,"")</f>
        <v/>
      </c>
      <c r="CT138" s="38" t="str">
        <f>IFERROR('2.vize'!DE37*100/'2.vize'!$I37,"")</f>
        <v/>
      </c>
      <c r="CU138" s="38" t="str">
        <f>IFERROR('2.vize'!DF37*100/'2.vize'!$I37,"")</f>
        <v/>
      </c>
      <c r="CV138" s="38" t="str">
        <f>IFERROR('2.vize'!DG37*100/'2.vize'!$I37,"")</f>
        <v/>
      </c>
      <c r="CW138" s="32" t="str">
        <f>IFERROR(SUM(A138:CV138)/'2.vize'!$DH$103,"")</f>
        <v/>
      </c>
      <c r="CX138" s="14" t="str">
        <f>IF(COUNTA('2.vize'!A37),'2.vize'!A37,"")</f>
        <v/>
      </c>
      <c r="CY138" s="14" t="str">
        <f>IF(COUNTA('2.vize'!B37),'2.vize'!B37,"")</f>
        <v/>
      </c>
      <c r="CZ138" s="14" t="str">
        <f>IF(COUNTA('2.vize'!C37),'2.vize'!C37,"")</f>
        <v/>
      </c>
      <c r="DA138" s="14" t="str">
        <f>IF(COUNTA('2.vize'!D37),'2.vize'!D37,"")</f>
        <v/>
      </c>
      <c r="DB138" s="14" t="str">
        <f>IF(COUNTA('2.vize'!E37),'2.vize'!E37,"")</f>
        <v/>
      </c>
      <c r="DC138" s="14" t="str">
        <f>IF(COUNTA('2.vize'!F37),'2.vize'!F37,"")</f>
        <v/>
      </c>
      <c r="DD138" s="14" t="str">
        <f>IF(COUNTA('2.vize'!G37),'2.vize'!G37,"")</f>
        <v/>
      </c>
      <c r="DE138" s="14" t="str">
        <f>IF(COUNTA('2.vize'!H37),'2.vize'!H37,"")</f>
        <v/>
      </c>
    </row>
    <row r="139" spans="1:109" x14ac:dyDescent="0.2">
      <c r="A139" s="38" t="str">
        <f>IFERROR('2.vize'!L38*100/'2.vize'!$I38,"")</f>
        <v/>
      </c>
      <c r="B139" s="38" t="str">
        <f>IFERROR('2.vize'!M38*100/'2.vize'!$I38,"")</f>
        <v/>
      </c>
      <c r="C139" s="38" t="str">
        <f>IFERROR('2.vize'!N38*100/'2.vize'!$I38,"")</f>
        <v/>
      </c>
      <c r="D139" s="38" t="str">
        <f>IFERROR('2.vize'!O38*100/'2.vize'!$I38,"")</f>
        <v/>
      </c>
      <c r="E139" s="38" t="str">
        <f>IFERROR('2.vize'!P38*100/'2.vize'!$I38,"")</f>
        <v/>
      </c>
      <c r="F139" s="38" t="str">
        <f>IFERROR('2.vize'!Q38*100/'2.vize'!$I38,"")</f>
        <v/>
      </c>
      <c r="G139" s="38" t="str">
        <f>IFERROR('2.vize'!R38*100/'2.vize'!$I38,"")</f>
        <v/>
      </c>
      <c r="H139" s="38" t="str">
        <f>IFERROR('2.vize'!S38*100/'2.vize'!$I38,"")</f>
        <v/>
      </c>
      <c r="I139" s="38" t="str">
        <f>IFERROR('2.vize'!T38*100/'2.vize'!$I38,"")</f>
        <v/>
      </c>
      <c r="J139" s="38" t="str">
        <f>IFERROR('2.vize'!U38*100/'2.vize'!$I38,"")</f>
        <v/>
      </c>
      <c r="K139" s="38" t="str">
        <f>IFERROR('2.vize'!V38*100/'2.vize'!$I38,"")</f>
        <v/>
      </c>
      <c r="L139" s="38" t="str">
        <f>IFERROR('2.vize'!W38*100/'2.vize'!$I38,"")</f>
        <v/>
      </c>
      <c r="M139" s="38" t="str">
        <f>IFERROR('2.vize'!X38*100/'2.vize'!$I38,"")</f>
        <v/>
      </c>
      <c r="N139" s="38" t="str">
        <f>IFERROR('2.vize'!Y38*100/'2.vize'!$I38,"")</f>
        <v/>
      </c>
      <c r="O139" s="38" t="str">
        <f>IFERROR('2.vize'!Z38*100/'2.vize'!$I38,"")</f>
        <v/>
      </c>
      <c r="P139" s="38" t="str">
        <f>IFERROR('2.vize'!AA38*100/'2.vize'!$I38,"")</f>
        <v/>
      </c>
      <c r="Q139" s="38" t="str">
        <f>IFERROR('2.vize'!AB38*100/'2.vize'!$I38,"")</f>
        <v/>
      </c>
      <c r="R139" s="38" t="str">
        <f>IFERROR('2.vize'!AC38*100/'2.vize'!$I38,"")</f>
        <v/>
      </c>
      <c r="S139" s="38" t="str">
        <f>IFERROR('2.vize'!AD38*100/'2.vize'!$I38,"")</f>
        <v/>
      </c>
      <c r="T139" s="38" t="str">
        <f>IFERROR('2.vize'!AE38*100/'2.vize'!$I38,"")</f>
        <v/>
      </c>
      <c r="U139" s="38" t="str">
        <f>IFERROR('2.vize'!AF38*100/'2.vize'!$I38,"")</f>
        <v/>
      </c>
      <c r="V139" s="38" t="str">
        <f>IFERROR('2.vize'!AG38*100/'2.vize'!$I38,"")</f>
        <v/>
      </c>
      <c r="W139" s="38" t="str">
        <f>IFERROR('2.vize'!AH38*100/'2.vize'!$I38,"")</f>
        <v/>
      </c>
      <c r="X139" s="38" t="str">
        <f>IFERROR('2.vize'!AI38*100/'2.vize'!$I38,"")</f>
        <v/>
      </c>
      <c r="Y139" s="38" t="str">
        <f>IFERROR('2.vize'!AJ38*100/'2.vize'!$I38,"")</f>
        <v/>
      </c>
      <c r="Z139" s="38" t="str">
        <f>IFERROR('2.vize'!AK38*100/'2.vize'!$I38,"")</f>
        <v/>
      </c>
      <c r="AA139" s="38" t="str">
        <f>IFERROR('2.vize'!AL38*100/'2.vize'!$I38,"")</f>
        <v/>
      </c>
      <c r="AB139" s="38" t="str">
        <f>IFERROR('2.vize'!AM38*100/'2.vize'!$I38,"")</f>
        <v/>
      </c>
      <c r="AC139" s="38" t="str">
        <f>IFERROR('2.vize'!AN38*100/'2.vize'!$I38,"")</f>
        <v/>
      </c>
      <c r="AD139" s="38" t="str">
        <f>IFERROR('2.vize'!AO38*100/'2.vize'!$I38,"")</f>
        <v/>
      </c>
      <c r="AE139" s="38" t="str">
        <f>IFERROR('2.vize'!AP38*100/'2.vize'!$I38,"")</f>
        <v/>
      </c>
      <c r="AF139" s="38" t="str">
        <f>IFERROR('2.vize'!AQ38*100/'2.vize'!$I38,"")</f>
        <v/>
      </c>
      <c r="AG139" s="38" t="str">
        <f>IFERROR('2.vize'!AR38*100/'2.vize'!$I38,"")</f>
        <v/>
      </c>
      <c r="AH139" s="38" t="str">
        <f>IFERROR('2.vize'!AS38*100/'2.vize'!$I38,"")</f>
        <v/>
      </c>
      <c r="AI139" s="38" t="str">
        <f>IFERROR('2.vize'!AT38*100/'2.vize'!$I38,"")</f>
        <v/>
      </c>
      <c r="AJ139" s="38" t="str">
        <f>IFERROR('2.vize'!AU38*100/'2.vize'!$I38,"")</f>
        <v/>
      </c>
      <c r="AK139" s="38" t="str">
        <f>IFERROR('2.vize'!AV38*100/'2.vize'!$I38,"")</f>
        <v/>
      </c>
      <c r="AL139" s="38" t="str">
        <f>IFERROR('2.vize'!AW38*100/'2.vize'!$I38,"")</f>
        <v/>
      </c>
      <c r="AM139" s="38" t="str">
        <f>IFERROR('2.vize'!AX38*100/'2.vize'!$I38,"")</f>
        <v/>
      </c>
      <c r="AN139" s="38" t="str">
        <f>IFERROR('2.vize'!AY38*100/'2.vize'!$I38,"")</f>
        <v/>
      </c>
      <c r="AO139" s="38" t="str">
        <f>IFERROR('2.vize'!AZ38*100/'2.vize'!$I38,"")</f>
        <v/>
      </c>
      <c r="AP139" s="38" t="str">
        <f>IFERROR('2.vize'!BA38*100/'2.vize'!$I38,"")</f>
        <v/>
      </c>
      <c r="AQ139" s="38" t="str">
        <f>IFERROR('2.vize'!BB38*100/'2.vize'!$I38,"")</f>
        <v/>
      </c>
      <c r="AR139" s="38" t="str">
        <f>IFERROR('2.vize'!BC38*100/'2.vize'!$I38,"")</f>
        <v/>
      </c>
      <c r="AS139" s="38" t="str">
        <f>IFERROR('2.vize'!BD38*100/'2.vize'!$I38,"")</f>
        <v/>
      </c>
      <c r="AT139" s="38" t="str">
        <f>IFERROR('2.vize'!BE38*100/'2.vize'!$I38,"")</f>
        <v/>
      </c>
      <c r="AU139" s="38" t="str">
        <f>IFERROR('2.vize'!BF38*100/'2.vize'!$I38,"")</f>
        <v/>
      </c>
      <c r="AV139" s="38" t="str">
        <f>IFERROR('2.vize'!BG38*100/'2.vize'!$I38,"")</f>
        <v/>
      </c>
      <c r="AW139" s="38" t="str">
        <f>IFERROR('2.vize'!BH38*100/'2.vize'!$I38,"")</f>
        <v/>
      </c>
      <c r="AX139" s="38" t="str">
        <f>IFERROR('2.vize'!BI38*100/'2.vize'!$I38,"")</f>
        <v/>
      </c>
      <c r="AY139" s="38" t="str">
        <f>IFERROR('2.vize'!BJ38*100/'2.vize'!$I38,"")</f>
        <v/>
      </c>
      <c r="AZ139" s="38" t="str">
        <f>IFERROR('2.vize'!BK38*100/'2.vize'!$I38,"")</f>
        <v/>
      </c>
      <c r="BA139" s="38" t="str">
        <f>IFERROR('2.vize'!BL38*100/'2.vize'!$I38,"")</f>
        <v/>
      </c>
      <c r="BB139" s="38" t="str">
        <f>IFERROR('2.vize'!BM38*100/'2.vize'!$I38,"")</f>
        <v/>
      </c>
      <c r="BC139" s="38" t="str">
        <f>IFERROR('2.vize'!BN38*100/'2.vize'!$I38,"")</f>
        <v/>
      </c>
      <c r="BD139" s="38" t="str">
        <f>IFERROR('2.vize'!BO38*100/'2.vize'!$I38,"")</f>
        <v/>
      </c>
      <c r="BE139" s="38" t="str">
        <f>IFERROR('2.vize'!BP38*100/'2.vize'!$I38,"")</f>
        <v/>
      </c>
      <c r="BF139" s="38" t="str">
        <f>IFERROR('2.vize'!BQ38*100/'2.vize'!$I38,"")</f>
        <v/>
      </c>
      <c r="BG139" s="38" t="str">
        <f>IFERROR('2.vize'!BR38*100/'2.vize'!$I38,"")</f>
        <v/>
      </c>
      <c r="BH139" s="38" t="str">
        <f>IFERROR('2.vize'!BS38*100/'2.vize'!$I38,"")</f>
        <v/>
      </c>
      <c r="BI139" s="38" t="str">
        <f>IFERROR('2.vize'!BT38*100/'2.vize'!$I38,"")</f>
        <v/>
      </c>
      <c r="BJ139" s="38" t="str">
        <f>IFERROR('2.vize'!BU38*100/'2.vize'!$I38,"")</f>
        <v/>
      </c>
      <c r="BK139" s="38" t="str">
        <f>IFERROR('2.vize'!BV38*100/'2.vize'!$I38,"")</f>
        <v/>
      </c>
      <c r="BL139" s="38" t="str">
        <f>IFERROR('2.vize'!BW38*100/'2.vize'!$I38,"")</f>
        <v/>
      </c>
      <c r="BM139" s="38" t="str">
        <f>IFERROR('2.vize'!BX38*100/'2.vize'!$I38,"")</f>
        <v/>
      </c>
      <c r="BN139" s="38" t="str">
        <f>IFERROR('2.vize'!BY38*100/'2.vize'!$I38,"")</f>
        <v/>
      </c>
      <c r="BO139" s="38" t="str">
        <f>IFERROR('2.vize'!BZ38*100/'2.vize'!$I38,"")</f>
        <v/>
      </c>
      <c r="BP139" s="38" t="str">
        <f>IFERROR('2.vize'!CA38*100/'2.vize'!$I38,"")</f>
        <v/>
      </c>
      <c r="BQ139" s="38" t="str">
        <f>IFERROR('2.vize'!CB38*100/'2.vize'!$I38,"")</f>
        <v/>
      </c>
      <c r="BR139" s="38" t="str">
        <f>IFERROR('2.vize'!CC38*100/'2.vize'!$I38,"")</f>
        <v/>
      </c>
      <c r="BS139" s="38" t="str">
        <f>IFERROR('2.vize'!CD38*100/'2.vize'!$I38,"")</f>
        <v/>
      </c>
      <c r="BT139" s="38" t="str">
        <f>IFERROR('2.vize'!CE38*100/'2.vize'!$I38,"")</f>
        <v/>
      </c>
      <c r="BU139" s="38" t="str">
        <f>IFERROR('2.vize'!CF38*100/'2.vize'!$I38,"")</f>
        <v/>
      </c>
      <c r="BV139" s="38" t="str">
        <f>IFERROR('2.vize'!CG38*100/'2.vize'!$I38,"")</f>
        <v/>
      </c>
      <c r="BW139" s="38" t="str">
        <f>IFERROR('2.vize'!CH38*100/'2.vize'!$I38,"")</f>
        <v/>
      </c>
      <c r="BX139" s="38" t="str">
        <f>IFERROR('2.vize'!CI38*100/'2.vize'!$I38,"")</f>
        <v/>
      </c>
      <c r="BY139" s="38" t="str">
        <f>IFERROR('2.vize'!CJ38*100/'2.vize'!$I38,"")</f>
        <v/>
      </c>
      <c r="BZ139" s="38" t="str">
        <f>IFERROR('2.vize'!CK38*100/'2.vize'!$I38,"")</f>
        <v/>
      </c>
      <c r="CA139" s="38" t="str">
        <f>IFERROR('2.vize'!CL38*100/'2.vize'!$I38,"")</f>
        <v/>
      </c>
      <c r="CB139" s="38" t="str">
        <f>IFERROR('2.vize'!CM38*100/'2.vize'!$I38,"")</f>
        <v/>
      </c>
      <c r="CC139" s="38" t="str">
        <f>IFERROR('2.vize'!CN38*100/'2.vize'!$I38,"")</f>
        <v/>
      </c>
      <c r="CD139" s="38" t="str">
        <f>IFERROR('2.vize'!CO38*100/'2.vize'!$I38,"")</f>
        <v/>
      </c>
      <c r="CE139" s="38" t="str">
        <f>IFERROR('2.vize'!CP38*100/'2.vize'!$I38,"")</f>
        <v/>
      </c>
      <c r="CF139" s="38" t="str">
        <f>IFERROR('2.vize'!CQ38*100/'2.vize'!$I38,"")</f>
        <v/>
      </c>
      <c r="CG139" s="38" t="str">
        <f>IFERROR('2.vize'!CR38*100/'2.vize'!$I38,"")</f>
        <v/>
      </c>
      <c r="CH139" s="38" t="str">
        <f>IFERROR('2.vize'!CS38*100/'2.vize'!$I38,"")</f>
        <v/>
      </c>
      <c r="CI139" s="38" t="str">
        <f>IFERROR('2.vize'!CT38*100/'2.vize'!$I38,"")</f>
        <v/>
      </c>
      <c r="CJ139" s="38" t="str">
        <f>IFERROR('2.vize'!CU38*100/'2.vize'!$I38,"")</f>
        <v/>
      </c>
      <c r="CK139" s="38" t="str">
        <f>IFERROR('2.vize'!CV38*100/'2.vize'!$I38,"")</f>
        <v/>
      </c>
      <c r="CL139" s="38" t="str">
        <f>IFERROR('2.vize'!CW38*100/'2.vize'!$I38,"")</f>
        <v/>
      </c>
      <c r="CM139" s="38" t="str">
        <f>IFERROR('2.vize'!CX38*100/'2.vize'!$I38,"")</f>
        <v/>
      </c>
      <c r="CN139" s="38" t="str">
        <f>IFERROR('2.vize'!CY38*100/'2.vize'!$I38,"")</f>
        <v/>
      </c>
      <c r="CO139" s="38" t="str">
        <f>IFERROR('2.vize'!CZ38*100/'2.vize'!$I38,"")</f>
        <v/>
      </c>
      <c r="CP139" s="38" t="str">
        <f>IFERROR('2.vize'!DA38*100/'2.vize'!$I38,"")</f>
        <v/>
      </c>
      <c r="CQ139" s="38" t="str">
        <f>IFERROR('2.vize'!DB38*100/'2.vize'!$I38,"")</f>
        <v/>
      </c>
      <c r="CR139" s="38" t="str">
        <f>IFERROR('2.vize'!DC38*100/'2.vize'!$I38,"")</f>
        <v/>
      </c>
      <c r="CS139" s="38" t="str">
        <f>IFERROR('2.vize'!DD38*100/'2.vize'!$I38,"")</f>
        <v/>
      </c>
      <c r="CT139" s="38" t="str">
        <f>IFERROR('2.vize'!DE38*100/'2.vize'!$I38,"")</f>
        <v/>
      </c>
      <c r="CU139" s="38" t="str">
        <f>IFERROR('2.vize'!DF38*100/'2.vize'!$I38,"")</f>
        <v/>
      </c>
      <c r="CV139" s="38" t="str">
        <f>IFERROR('2.vize'!DG38*100/'2.vize'!$I38,"")</f>
        <v/>
      </c>
      <c r="CW139" s="32" t="str">
        <f>IFERROR(SUM(A139:CV139)/'2.vize'!$DH$103,"")</f>
        <v/>
      </c>
      <c r="CX139" s="14" t="str">
        <f>IF(COUNTA('2.vize'!A38),'2.vize'!A38,"")</f>
        <v/>
      </c>
      <c r="CY139" s="14" t="str">
        <f>IF(COUNTA('2.vize'!B38),'2.vize'!B38,"")</f>
        <v/>
      </c>
      <c r="CZ139" s="14" t="str">
        <f>IF(COUNTA('2.vize'!C38),'2.vize'!C38,"")</f>
        <v/>
      </c>
      <c r="DA139" s="14" t="str">
        <f>IF(COUNTA('2.vize'!D38),'2.vize'!D38,"")</f>
        <v/>
      </c>
      <c r="DB139" s="14" t="str">
        <f>IF(COUNTA('2.vize'!E38),'2.vize'!E38,"")</f>
        <v/>
      </c>
      <c r="DC139" s="14" t="str">
        <f>IF(COUNTA('2.vize'!F38),'2.vize'!F38,"")</f>
        <v/>
      </c>
      <c r="DD139" s="14" t="str">
        <f>IF(COUNTA('2.vize'!G38),'2.vize'!G38,"")</f>
        <v/>
      </c>
      <c r="DE139" s="14" t="str">
        <f>IF(COUNTA('2.vize'!H38),'2.vize'!H38,"")</f>
        <v/>
      </c>
    </row>
    <row r="140" spans="1:109" x14ac:dyDescent="0.2">
      <c r="A140" s="38" t="str">
        <f>IFERROR('2.vize'!L39*100/'2.vize'!$I39,"")</f>
        <v/>
      </c>
      <c r="B140" s="38" t="str">
        <f>IFERROR('2.vize'!M39*100/'2.vize'!$I39,"")</f>
        <v/>
      </c>
      <c r="C140" s="38" t="str">
        <f>IFERROR('2.vize'!N39*100/'2.vize'!$I39,"")</f>
        <v/>
      </c>
      <c r="D140" s="38" t="str">
        <f>IFERROR('2.vize'!O39*100/'2.vize'!$I39,"")</f>
        <v/>
      </c>
      <c r="E140" s="38" t="str">
        <f>IFERROR('2.vize'!P39*100/'2.vize'!$I39,"")</f>
        <v/>
      </c>
      <c r="F140" s="38" t="str">
        <f>IFERROR('2.vize'!Q39*100/'2.vize'!$I39,"")</f>
        <v/>
      </c>
      <c r="G140" s="38" t="str">
        <f>IFERROR('2.vize'!R39*100/'2.vize'!$I39,"")</f>
        <v/>
      </c>
      <c r="H140" s="38" t="str">
        <f>IFERROR('2.vize'!S39*100/'2.vize'!$I39,"")</f>
        <v/>
      </c>
      <c r="I140" s="38" t="str">
        <f>IFERROR('2.vize'!T39*100/'2.vize'!$I39,"")</f>
        <v/>
      </c>
      <c r="J140" s="38" t="str">
        <f>IFERROR('2.vize'!U39*100/'2.vize'!$I39,"")</f>
        <v/>
      </c>
      <c r="K140" s="38" t="str">
        <f>IFERROR('2.vize'!V39*100/'2.vize'!$I39,"")</f>
        <v/>
      </c>
      <c r="L140" s="38" t="str">
        <f>IFERROR('2.vize'!W39*100/'2.vize'!$I39,"")</f>
        <v/>
      </c>
      <c r="M140" s="38" t="str">
        <f>IFERROR('2.vize'!X39*100/'2.vize'!$I39,"")</f>
        <v/>
      </c>
      <c r="N140" s="38" t="str">
        <f>IFERROR('2.vize'!Y39*100/'2.vize'!$I39,"")</f>
        <v/>
      </c>
      <c r="O140" s="38" t="str">
        <f>IFERROR('2.vize'!Z39*100/'2.vize'!$I39,"")</f>
        <v/>
      </c>
      <c r="P140" s="38" t="str">
        <f>IFERROR('2.vize'!AA39*100/'2.vize'!$I39,"")</f>
        <v/>
      </c>
      <c r="Q140" s="38" t="str">
        <f>IFERROR('2.vize'!AB39*100/'2.vize'!$I39,"")</f>
        <v/>
      </c>
      <c r="R140" s="38" t="str">
        <f>IFERROR('2.vize'!AC39*100/'2.vize'!$I39,"")</f>
        <v/>
      </c>
      <c r="S140" s="38" t="str">
        <f>IFERROR('2.vize'!AD39*100/'2.vize'!$I39,"")</f>
        <v/>
      </c>
      <c r="T140" s="38" t="str">
        <f>IFERROR('2.vize'!AE39*100/'2.vize'!$I39,"")</f>
        <v/>
      </c>
      <c r="U140" s="38" t="str">
        <f>IFERROR('2.vize'!AF39*100/'2.vize'!$I39,"")</f>
        <v/>
      </c>
      <c r="V140" s="38" t="str">
        <f>IFERROR('2.vize'!AG39*100/'2.vize'!$I39,"")</f>
        <v/>
      </c>
      <c r="W140" s="38" t="str">
        <f>IFERROR('2.vize'!AH39*100/'2.vize'!$I39,"")</f>
        <v/>
      </c>
      <c r="X140" s="38" t="str">
        <f>IFERROR('2.vize'!AI39*100/'2.vize'!$I39,"")</f>
        <v/>
      </c>
      <c r="Y140" s="38" t="str">
        <f>IFERROR('2.vize'!AJ39*100/'2.vize'!$I39,"")</f>
        <v/>
      </c>
      <c r="Z140" s="38" t="str">
        <f>IFERROR('2.vize'!AK39*100/'2.vize'!$I39,"")</f>
        <v/>
      </c>
      <c r="AA140" s="38" t="str">
        <f>IFERROR('2.vize'!AL39*100/'2.vize'!$I39,"")</f>
        <v/>
      </c>
      <c r="AB140" s="38" t="str">
        <f>IFERROR('2.vize'!AM39*100/'2.vize'!$I39,"")</f>
        <v/>
      </c>
      <c r="AC140" s="38" t="str">
        <f>IFERROR('2.vize'!AN39*100/'2.vize'!$I39,"")</f>
        <v/>
      </c>
      <c r="AD140" s="38" t="str">
        <f>IFERROR('2.vize'!AO39*100/'2.vize'!$I39,"")</f>
        <v/>
      </c>
      <c r="AE140" s="38" t="str">
        <f>IFERROR('2.vize'!AP39*100/'2.vize'!$I39,"")</f>
        <v/>
      </c>
      <c r="AF140" s="38" t="str">
        <f>IFERROR('2.vize'!AQ39*100/'2.vize'!$I39,"")</f>
        <v/>
      </c>
      <c r="AG140" s="38" t="str">
        <f>IFERROR('2.vize'!AR39*100/'2.vize'!$I39,"")</f>
        <v/>
      </c>
      <c r="AH140" s="38" t="str">
        <f>IFERROR('2.vize'!AS39*100/'2.vize'!$I39,"")</f>
        <v/>
      </c>
      <c r="AI140" s="38" t="str">
        <f>IFERROR('2.vize'!AT39*100/'2.vize'!$I39,"")</f>
        <v/>
      </c>
      <c r="AJ140" s="38" t="str">
        <f>IFERROR('2.vize'!AU39*100/'2.vize'!$I39,"")</f>
        <v/>
      </c>
      <c r="AK140" s="38" t="str">
        <f>IFERROR('2.vize'!AV39*100/'2.vize'!$I39,"")</f>
        <v/>
      </c>
      <c r="AL140" s="38" t="str">
        <f>IFERROR('2.vize'!AW39*100/'2.vize'!$I39,"")</f>
        <v/>
      </c>
      <c r="AM140" s="38" t="str">
        <f>IFERROR('2.vize'!AX39*100/'2.vize'!$I39,"")</f>
        <v/>
      </c>
      <c r="AN140" s="38" t="str">
        <f>IFERROR('2.vize'!AY39*100/'2.vize'!$I39,"")</f>
        <v/>
      </c>
      <c r="AO140" s="38" t="str">
        <f>IFERROR('2.vize'!AZ39*100/'2.vize'!$I39,"")</f>
        <v/>
      </c>
      <c r="AP140" s="38" t="str">
        <f>IFERROR('2.vize'!BA39*100/'2.vize'!$I39,"")</f>
        <v/>
      </c>
      <c r="AQ140" s="38" t="str">
        <f>IFERROR('2.vize'!BB39*100/'2.vize'!$I39,"")</f>
        <v/>
      </c>
      <c r="AR140" s="38" t="str">
        <f>IFERROR('2.vize'!BC39*100/'2.vize'!$I39,"")</f>
        <v/>
      </c>
      <c r="AS140" s="38" t="str">
        <f>IFERROR('2.vize'!BD39*100/'2.vize'!$I39,"")</f>
        <v/>
      </c>
      <c r="AT140" s="38" t="str">
        <f>IFERROR('2.vize'!BE39*100/'2.vize'!$I39,"")</f>
        <v/>
      </c>
      <c r="AU140" s="38" t="str">
        <f>IFERROR('2.vize'!BF39*100/'2.vize'!$I39,"")</f>
        <v/>
      </c>
      <c r="AV140" s="38" t="str">
        <f>IFERROR('2.vize'!BG39*100/'2.vize'!$I39,"")</f>
        <v/>
      </c>
      <c r="AW140" s="38" t="str">
        <f>IFERROR('2.vize'!BH39*100/'2.vize'!$I39,"")</f>
        <v/>
      </c>
      <c r="AX140" s="38" t="str">
        <f>IFERROR('2.vize'!BI39*100/'2.vize'!$I39,"")</f>
        <v/>
      </c>
      <c r="AY140" s="38" t="str">
        <f>IFERROR('2.vize'!BJ39*100/'2.vize'!$I39,"")</f>
        <v/>
      </c>
      <c r="AZ140" s="38" t="str">
        <f>IFERROR('2.vize'!BK39*100/'2.vize'!$I39,"")</f>
        <v/>
      </c>
      <c r="BA140" s="38" t="str">
        <f>IFERROR('2.vize'!BL39*100/'2.vize'!$I39,"")</f>
        <v/>
      </c>
      <c r="BB140" s="38" t="str">
        <f>IFERROR('2.vize'!BM39*100/'2.vize'!$I39,"")</f>
        <v/>
      </c>
      <c r="BC140" s="38" t="str">
        <f>IFERROR('2.vize'!BN39*100/'2.vize'!$I39,"")</f>
        <v/>
      </c>
      <c r="BD140" s="38" t="str">
        <f>IFERROR('2.vize'!BO39*100/'2.vize'!$I39,"")</f>
        <v/>
      </c>
      <c r="BE140" s="38" t="str">
        <f>IFERROR('2.vize'!BP39*100/'2.vize'!$I39,"")</f>
        <v/>
      </c>
      <c r="BF140" s="38" t="str">
        <f>IFERROR('2.vize'!BQ39*100/'2.vize'!$I39,"")</f>
        <v/>
      </c>
      <c r="BG140" s="38" t="str">
        <f>IFERROR('2.vize'!BR39*100/'2.vize'!$I39,"")</f>
        <v/>
      </c>
      <c r="BH140" s="38" t="str">
        <f>IFERROR('2.vize'!BS39*100/'2.vize'!$I39,"")</f>
        <v/>
      </c>
      <c r="BI140" s="38" t="str">
        <f>IFERROR('2.vize'!BT39*100/'2.vize'!$I39,"")</f>
        <v/>
      </c>
      <c r="BJ140" s="38" t="str">
        <f>IFERROR('2.vize'!BU39*100/'2.vize'!$I39,"")</f>
        <v/>
      </c>
      <c r="BK140" s="38" t="str">
        <f>IFERROR('2.vize'!BV39*100/'2.vize'!$I39,"")</f>
        <v/>
      </c>
      <c r="BL140" s="38" t="str">
        <f>IFERROR('2.vize'!BW39*100/'2.vize'!$I39,"")</f>
        <v/>
      </c>
      <c r="BM140" s="38" t="str">
        <f>IFERROR('2.vize'!BX39*100/'2.vize'!$I39,"")</f>
        <v/>
      </c>
      <c r="BN140" s="38" t="str">
        <f>IFERROR('2.vize'!BY39*100/'2.vize'!$I39,"")</f>
        <v/>
      </c>
      <c r="BO140" s="38" t="str">
        <f>IFERROR('2.vize'!BZ39*100/'2.vize'!$I39,"")</f>
        <v/>
      </c>
      <c r="BP140" s="38" t="str">
        <f>IFERROR('2.vize'!CA39*100/'2.vize'!$I39,"")</f>
        <v/>
      </c>
      <c r="BQ140" s="38" t="str">
        <f>IFERROR('2.vize'!CB39*100/'2.vize'!$I39,"")</f>
        <v/>
      </c>
      <c r="BR140" s="38" t="str">
        <f>IFERROR('2.vize'!CC39*100/'2.vize'!$I39,"")</f>
        <v/>
      </c>
      <c r="BS140" s="38" t="str">
        <f>IFERROR('2.vize'!CD39*100/'2.vize'!$I39,"")</f>
        <v/>
      </c>
      <c r="BT140" s="38" t="str">
        <f>IFERROR('2.vize'!CE39*100/'2.vize'!$I39,"")</f>
        <v/>
      </c>
      <c r="BU140" s="38" t="str">
        <f>IFERROR('2.vize'!CF39*100/'2.vize'!$I39,"")</f>
        <v/>
      </c>
      <c r="BV140" s="38" t="str">
        <f>IFERROR('2.vize'!CG39*100/'2.vize'!$I39,"")</f>
        <v/>
      </c>
      <c r="BW140" s="38" t="str">
        <f>IFERROR('2.vize'!CH39*100/'2.vize'!$I39,"")</f>
        <v/>
      </c>
      <c r="BX140" s="38" t="str">
        <f>IFERROR('2.vize'!CI39*100/'2.vize'!$I39,"")</f>
        <v/>
      </c>
      <c r="BY140" s="38" t="str">
        <f>IFERROR('2.vize'!CJ39*100/'2.vize'!$I39,"")</f>
        <v/>
      </c>
      <c r="BZ140" s="38" t="str">
        <f>IFERROR('2.vize'!CK39*100/'2.vize'!$I39,"")</f>
        <v/>
      </c>
      <c r="CA140" s="38" t="str">
        <f>IFERROR('2.vize'!CL39*100/'2.vize'!$I39,"")</f>
        <v/>
      </c>
      <c r="CB140" s="38" t="str">
        <f>IFERROR('2.vize'!CM39*100/'2.vize'!$I39,"")</f>
        <v/>
      </c>
      <c r="CC140" s="38" t="str">
        <f>IFERROR('2.vize'!CN39*100/'2.vize'!$I39,"")</f>
        <v/>
      </c>
      <c r="CD140" s="38" t="str">
        <f>IFERROR('2.vize'!CO39*100/'2.vize'!$I39,"")</f>
        <v/>
      </c>
      <c r="CE140" s="38" t="str">
        <f>IFERROR('2.vize'!CP39*100/'2.vize'!$I39,"")</f>
        <v/>
      </c>
      <c r="CF140" s="38" t="str">
        <f>IFERROR('2.vize'!CQ39*100/'2.vize'!$I39,"")</f>
        <v/>
      </c>
      <c r="CG140" s="38" t="str">
        <f>IFERROR('2.vize'!CR39*100/'2.vize'!$I39,"")</f>
        <v/>
      </c>
      <c r="CH140" s="38" t="str">
        <f>IFERROR('2.vize'!CS39*100/'2.vize'!$I39,"")</f>
        <v/>
      </c>
      <c r="CI140" s="38" t="str">
        <f>IFERROR('2.vize'!CT39*100/'2.vize'!$I39,"")</f>
        <v/>
      </c>
      <c r="CJ140" s="38" t="str">
        <f>IFERROR('2.vize'!CU39*100/'2.vize'!$I39,"")</f>
        <v/>
      </c>
      <c r="CK140" s="38" t="str">
        <f>IFERROR('2.vize'!CV39*100/'2.vize'!$I39,"")</f>
        <v/>
      </c>
      <c r="CL140" s="38" t="str">
        <f>IFERROR('2.vize'!CW39*100/'2.vize'!$I39,"")</f>
        <v/>
      </c>
      <c r="CM140" s="38" t="str">
        <f>IFERROR('2.vize'!CX39*100/'2.vize'!$I39,"")</f>
        <v/>
      </c>
      <c r="CN140" s="38" t="str">
        <f>IFERROR('2.vize'!CY39*100/'2.vize'!$I39,"")</f>
        <v/>
      </c>
      <c r="CO140" s="38" t="str">
        <f>IFERROR('2.vize'!CZ39*100/'2.vize'!$I39,"")</f>
        <v/>
      </c>
      <c r="CP140" s="38" t="str">
        <f>IFERROR('2.vize'!DA39*100/'2.vize'!$I39,"")</f>
        <v/>
      </c>
      <c r="CQ140" s="38" t="str">
        <f>IFERROR('2.vize'!DB39*100/'2.vize'!$I39,"")</f>
        <v/>
      </c>
      <c r="CR140" s="38" t="str">
        <f>IFERROR('2.vize'!DC39*100/'2.vize'!$I39,"")</f>
        <v/>
      </c>
      <c r="CS140" s="38" t="str">
        <f>IFERROR('2.vize'!DD39*100/'2.vize'!$I39,"")</f>
        <v/>
      </c>
      <c r="CT140" s="38" t="str">
        <f>IFERROR('2.vize'!DE39*100/'2.vize'!$I39,"")</f>
        <v/>
      </c>
      <c r="CU140" s="38" t="str">
        <f>IFERROR('2.vize'!DF39*100/'2.vize'!$I39,"")</f>
        <v/>
      </c>
      <c r="CV140" s="38" t="str">
        <f>IFERROR('2.vize'!DG39*100/'2.vize'!$I39,"")</f>
        <v/>
      </c>
      <c r="CW140" s="32" t="str">
        <f>IFERROR(SUM(A140:CV140)/'2.vize'!$DH$103,"")</f>
        <v/>
      </c>
      <c r="CX140" s="14" t="str">
        <f>IF(COUNTA('2.vize'!A39),'2.vize'!A39,"")</f>
        <v/>
      </c>
      <c r="CY140" s="14" t="str">
        <f>IF(COUNTA('2.vize'!B39),'2.vize'!B39,"")</f>
        <v/>
      </c>
      <c r="CZ140" s="14" t="str">
        <f>IF(COUNTA('2.vize'!C39),'2.vize'!C39,"")</f>
        <v/>
      </c>
      <c r="DA140" s="14" t="str">
        <f>IF(COUNTA('2.vize'!D39),'2.vize'!D39,"")</f>
        <v/>
      </c>
      <c r="DB140" s="14" t="str">
        <f>IF(COUNTA('2.vize'!E39),'2.vize'!E39,"")</f>
        <v/>
      </c>
      <c r="DC140" s="14" t="str">
        <f>IF(COUNTA('2.vize'!F39),'2.vize'!F39,"")</f>
        <v/>
      </c>
      <c r="DD140" s="14" t="str">
        <f>IF(COUNTA('2.vize'!G39),'2.vize'!G39,"")</f>
        <v/>
      </c>
      <c r="DE140" s="14" t="str">
        <f>IF(COUNTA('2.vize'!H39),'2.vize'!H39,"")</f>
        <v/>
      </c>
    </row>
    <row r="141" spans="1:109" x14ac:dyDescent="0.2">
      <c r="A141" s="38" t="str">
        <f>IFERROR('2.vize'!L40*100/'2.vize'!$I40,"")</f>
        <v/>
      </c>
      <c r="B141" s="38" t="str">
        <f>IFERROR('2.vize'!M40*100/'2.vize'!$I40,"")</f>
        <v/>
      </c>
      <c r="C141" s="38" t="str">
        <f>IFERROR('2.vize'!N40*100/'2.vize'!$I40,"")</f>
        <v/>
      </c>
      <c r="D141" s="38" t="str">
        <f>IFERROR('2.vize'!O40*100/'2.vize'!$I40,"")</f>
        <v/>
      </c>
      <c r="E141" s="38" t="str">
        <f>IFERROR('2.vize'!P40*100/'2.vize'!$I40,"")</f>
        <v/>
      </c>
      <c r="F141" s="38" t="str">
        <f>IFERROR('2.vize'!Q40*100/'2.vize'!$I40,"")</f>
        <v/>
      </c>
      <c r="G141" s="38" t="str">
        <f>IFERROR('2.vize'!R40*100/'2.vize'!$I40,"")</f>
        <v/>
      </c>
      <c r="H141" s="38" t="str">
        <f>IFERROR('2.vize'!S40*100/'2.vize'!$I40,"")</f>
        <v/>
      </c>
      <c r="I141" s="38" t="str">
        <f>IFERROR('2.vize'!T40*100/'2.vize'!$I40,"")</f>
        <v/>
      </c>
      <c r="J141" s="38" t="str">
        <f>IFERROR('2.vize'!U40*100/'2.vize'!$I40,"")</f>
        <v/>
      </c>
      <c r="K141" s="38" t="str">
        <f>IFERROR('2.vize'!V40*100/'2.vize'!$I40,"")</f>
        <v/>
      </c>
      <c r="L141" s="38" t="str">
        <f>IFERROR('2.vize'!W40*100/'2.vize'!$I40,"")</f>
        <v/>
      </c>
      <c r="M141" s="38" t="str">
        <f>IFERROR('2.vize'!X40*100/'2.vize'!$I40,"")</f>
        <v/>
      </c>
      <c r="N141" s="38" t="str">
        <f>IFERROR('2.vize'!Y40*100/'2.vize'!$I40,"")</f>
        <v/>
      </c>
      <c r="O141" s="38" t="str">
        <f>IFERROR('2.vize'!Z40*100/'2.vize'!$I40,"")</f>
        <v/>
      </c>
      <c r="P141" s="38" t="str">
        <f>IFERROR('2.vize'!AA40*100/'2.vize'!$I40,"")</f>
        <v/>
      </c>
      <c r="Q141" s="38" t="str">
        <f>IFERROR('2.vize'!AB40*100/'2.vize'!$I40,"")</f>
        <v/>
      </c>
      <c r="R141" s="38" t="str">
        <f>IFERROR('2.vize'!AC40*100/'2.vize'!$I40,"")</f>
        <v/>
      </c>
      <c r="S141" s="38" t="str">
        <f>IFERROR('2.vize'!AD40*100/'2.vize'!$I40,"")</f>
        <v/>
      </c>
      <c r="T141" s="38" t="str">
        <f>IFERROR('2.vize'!AE40*100/'2.vize'!$I40,"")</f>
        <v/>
      </c>
      <c r="U141" s="38" t="str">
        <f>IFERROR('2.vize'!AF40*100/'2.vize'!$I40,"")</f>
        <v/>
      </c>
      <c r="V141" s="38" t="str">
        <f>IFERROR('2.vize'!AG40*100/'2.vize'!$I40,"")</f>
        <v/>
      </c>
      <c r="W141" s="38" t="str">
        <f>IFERROR('2.vize'!AH40*100/'2.vize'!$I40,"")</f>
        <v/>
      </c>
      <c r="X141" s="38" t="str">
        <f>IFERROR('2.vize'!AI40*100/'2.vize'!$I40,"")</f>
        <v/>
      </c>
      <c r="Y141" s="38" t="str">
        <f>IFERROR('2.vize'!AJ40*100/'2.vize'!$I40,"")</f>
        <v/>
      </c>
      <c r="Z141" s="38" t="str">
        <f>IFERROR('2.vize'!AK40*100/'2.vize'!$I40,"")</f>
        <v/>
      </c>
      <c r="AA141" s="38" t="str">
        <f>IFERROR('2.vize'!AL40*100/'2.vize'!$I40,"")</f>
        <v/>
      </c>
      <c r="AB141" s="38" t="str">
        <f>IFERROR('2.vize'!AM40*100/'2.vize'!$I40,"")</f>
        <v/>
      </c>
      <c r="AC141" s="38" t="str">
        <f>IFERROR('2.vize'!AN40*100/'2.vize'!$I40,"")</f>
        <v/>
      </c>
      <c r="AD141" s="38" t="str">
        <f>IFERROR('2.vize'!AO40*100/'2.vize'!$I40,"")</f>
        <v/>
      </c>
      <c r="AE141" s="38" t="str">
        <f>IFERROR('2.vize'!AP40*100/'2.vize'!$I40,"")</f>
        <v/>
      </c>
      <c r="AF141" s="38" t="str">
        <f>IFERROR('2.vize'!AQ40*100/'2.vize'!$I40,"")</f>
        <v/>
      </c>
      <c r="AG141" s="38" t="str">
        <f>IFERROR('2.vize'!AR40*100/'2.vize'!$I40,"")</f>
        <v/>
      </c>
      <c r="AH141" s="38" t="str">
        <f>IFERROR('2.vize'!AS40*100/'2.vize'!$I40,"")</f>
        <v/>
      </c>
      <c r="AI141" s="38" t="str">
        <f>IFERROR('2.vize'!AT40*100/'2.vize'!$I40,"")</f>
        <v/>
      </c>
      <c r="AJ141" s="38" t="str">
        <f>IFERROR('2.vize'!AU40*100/'2.vize'!$I40,"")</f>
        <v/>
      </c>
      <c r="AK141" s="38" t="str">
        <f>IFERROR('2.vize'!AV40*100/'2.vize'!$I40,"")</f>
        <v/>
      </c>
      <c r="AL141" s="38" t="str">
        <f>IFERROR('2.vize'!AW40*100/'2.vize'!$I40,"")</f>
        <v/>
      </c>
      <c r="AM141" s="38" t="str">
        <f>IFERROR('2.vize'!AX40*100/'2.vize'!$I40,"")</f>
        <v/>
      </c>
      <c r="AN141" s="38" t="str">
        <f>IFERROR('2.vize'!AY40*100/'2.vize'!$I40,"")</f>
        <v/>
      </c>
      <c r="AO141" s="38" t="str">
        <f>IFERROR('2.vize'!AZ40*100/'2.vize'!$I40,"")</f>
        <v/>
      </c>
      <c r="AP141" s="38" t="str">
        <f>IFERROR('2.vize'!BA40*100/'2.vize'!$I40,"")</f>
        <v/>
      </c>
      <c r="AQ141" s="38" t="str">
        <f>IFERROR('2.vize'!BB40*100/'2.vize'!$I40,"")</f>
        <v/>
      </c>
      <c r="AR141" s="38" t="str">
        <f>IFERROR('2.vize'!BC40*100/'2.vize'!$I40,"")</f>
        <v/>
      </c>
      <c r="AS141" s="38" t="str">
        <f>IFERROR('2.vize'!BD40*100/'2.vize'!$I40,"")</f>
        <v/>
      </c>
      <c r="AT141" s="38" t="str">
        <f>IFERROR('2.vize'!BE40*100/'2.vize'!$I40,"")</f>
        <v/>
      </c>
      <c r="AU141" s="38" t="str">
        <f>IFERROR('2.vize'!BF40*100/'2.vize'!$I40,"")</f>
        <v/>
      </c>
      <c r="AV141" s="38" t="str">
        <f>IFERROR('2.vize'!BG40*100/'2.vize'!$I40,"")</f>
        <v/>
      </c>
      <c r="AW141" s="38" t="str">
        <f>IFERROR('2.vize'!BH40*100/'2.vize'!$I40,"")</f>
        <v/>
      </c>
      <c r="AX141" s="38" t="str">
        <f>IFERROR('2.vize'!BI40*100/'2.vize'!$I40,"")</f>
        <v/>
      </c>
      <c r="AY141" s="38" t="str">
        <f>IFERROR('2.vize'!BJ40*100/'2.vize'!$I40,"")</f>
        <v/>
      </c>
      <c r="AZ141" s="38" t="str">
        <f>IFERROR('2.vize'!BK40*100/'2.vize'!$I40,"")</f>
        <v/>
      </c>
      <c r="BA141" s="38" t="str">
        <f>IFERROR('2.vize'!BL40*100/'2.vize'!$I40,"")</f>
        <v/>
      </c>
      <c r="BB141" s="38" t="str">
        <f>IFERROR('2.vize'!BM40*100/'2.vize'!$I40,"")</f>
        <v/>
      </c>
      <c r="BC141" s="38" t="str">
        <f>IFERROR('2.vize'!BN40*100/'2.vize'!$I40,"")</f>
        <v/>
      </c>
      <c r="BD141" s="38" t="str">
        <f>IFERROR('2.vize'!BO40*100/'2.vize'!$I40,"")</f>
        <v/>
      </c>
      <c r="BE141" s="38" t="str">
        <f>IFERROR('2.vize'!BP40*100/'2.vize'!$I40,"")</f>
        <v/>
      </c>
      <c r="BF141" s="38" t="str">
        <f>IFERROR('2.vize'!BQ40*100/'2.vize'!$I40,"")</f>
        <v/>
      </c>
      <c r="BG141" s="38" t="str">
        <f>IFERROR('2.vize'!BR40*100/'2.vize'!$I40,"")</f>
        <v/>
      </c>
      <c r="BH141" s="38" t="str">
        <f>IFERROR('2.vize'!BS40*100/'2.vize'!$I40,"")</f>
        <v/>
      </c>
      <c r="BI141" s="38" t="str">
        <f>IFERROR('2.vize'!BT40*100/'2.vize'!$I40,"")</f>
        <v/>
      </c>
      <c r="BJ141" s="38" t="str">
        <f>IFERROR('2.vize'!BU40*100/'2.vize'!$I40,"")</f>
        <v/>
      </c>
      <c r="BK141" s="38" t="str">
        <f>IFERROR('2.vize'!BV40*100/'2.vize'!$I40,"")</f>
        <v/>
      </c>
      <c r="BL141" s="38" t="str">
        <f>IFERROR('2.vize'!BW40*100/'2.vize'!$I40,"")</f>
        <v/>
      </c>
      <c r="BM141" s="38" t="str">
        <f>IFERROR('2.vize'!BX40*100/'2.vize'!$I40,"")</f>
        <v/>
      </c>
      <c r="BN141" s="38" t="str">
        <f>IFERROR('2.vize'!BY40*100/'2.vize'!$I40,"")</f>
        <v/>
      </c>
      <c r="BO141" s="38" t="str">
        <f>IFERROR('2.vize'!BZ40*100/'2.vize'!$I40,"")</f>
        <v/>
      </c>
      <c r="BP141" s="38" t="str">
        <f>IFERROR('2.vize'!CA40*100/'2.vize'!$I40,"")</f>
        <v/>
      </c>
      <c r="BQ141" s="38" t="str">
        <f>IFERROR('2.vize'!CB40*100/'2.vize'!$I40,"")</f>
        <v/>
      </c>
      <c r="BR141" s="38" t="str">
        <f>IFERROR('2.vize'!CC40*100/'2.vize'!$I40,"")</f>
        <v/>
      </c>
      <c r="BS141" s="38" t="str">
        <f>IFERROR('2.vize'!CD40*100/'2.vize'!$I40,"")</f>
        <v/>
      </c>
      <c r="BT141" s="38" t="str">
        <f>IFERROR('2.vize'!CE40*100/'2.vize'!$I40,"")</f>
        <v/>
      </c>
      <c r="BU141" s="38" t="str">
        <f>IFERROR('2.vize'!CF40*100/'2.vize'!$I40,"")</f>
        <v/>
      </c>
      <c r="BV141" s="38" t="str">
        <f>IFERROR('2.vize'!CG40*100/'2.vize'!$I40,"")</f>
        <v/>
      </c>
      <c r="BW141" s="38" t="str">
        <f>IFERROR('2.vize'!CH40*100/'2.vize'!$I40,"")</f>
        <v/>
      </c>
      <c r="BX141" s="38" t="str">
        <f>IFERROR('2.vize'!CI40*100/'2.vize'!$I40,"")</f>
        <v/>
      </c>
      <c r="BY141" s="38" t="str">
        <f>IFERROR('2.vize'!CJ40*100/'2.vize'!$I40,"")</f>
        <v/>
      </c>
      <c r="BZ141" s="38" t="str">
        <f>IFERROR('2.vize'!CK40*100/'2.vize'!$I40,"")</f>
        <v/>
      </c>
      <c r="CA141" s="38" t="str">
        <f>IFERROR('2.vize'!CL40*100/'2.vize'!$I40,"")</f>
        <v/>
      </c>
      <c r="CB141" s="38" t="str">
        <f>IFERROR('2.vize'!CM40*100/'2.vize'!$I40,"")</f>
        <v/>
      </c>
      <c r="CC141" s="38" t="str">
        <f>IFERROR('2.vize'!CN40*100/'2.vize'!$I40,"")</f>
        <v/>
      </c>
      <c r="CD141" s="38" t="str">
        <f>IFERROR('2.vize'!CO40*100/'2.vize'!$I40,"")</f>
        <v/>
      </c>
      <c r="CE141" s="38" t="str">
        <f>IFERROR('2.vize'!CP40*100/'2.vize'!$I40,"")</f>
        <v/>
      </c>
      <c r="CF141" s="38" t="str">
        <f>IFERROR('2.vize'!CQ40*100/'2.vize'!$I40,"")</f>
        <v/>
      </c>
      <c r="CG141" s="38" t="str">
        <f>IFERROR('2.vize'!CR40*100/'2.vize'!$I40,"")</f>
        <v/>
      </c>
      <c r="CH141" s="38" t="str">
        <f>IFERROR('2.vize'!CS40*100/'2.vize'!$I40,"")</f>
        <v/>
      </c>
      <c r="CI141" s="38" t="str">
        <f>IFERROR('2.vize'!CT40*100/'2.vize'!$I40,"")</f>
        <v/>
      </c>
      <c r="CJ141" s="38" t="str">
        <f>IFERROR('2.vize'!CU40*100/'2.vize'!$I40,"")</f>
        <v/>
      </c>
      <c r="CK141" s="38" t="str">
        <f>IFERROR('2.vize'!CV40*100/'2.vize'!$I40,"")</f>
        <v/>
      </c>
      <c r="CL141" s="38" t="str">
        <f>IFERROR('2.vize'!CW40*100/'2.vize'!$I40,"")</f>
        <v/>
      </c>
      <c r="CM141" s="38" t="str">
        <f>IFERROR('2.vize'!CX40*100/'2.vize'!$I40,"")</f>
        <v/>
      </c>
      <c r="CN141" s="38" t="str">
        <f>IFERROR('2.vize'!CY40*100/'2.vize'!$I40,"")</f>
        <v/>
      </c>
      <c r="CO141" s="38" t="str">
        <f>IFERROR('2.vize'!CZ40*100/'2.vize'!$I40,"")</f>
        <v/>
      </c>
      <c r="CP141" s="38" t="str">
        <f>IFERROR('2.vize'!DA40*100/'2.vize'!$I40,"")</f>
        <v/>
      </c>
      <c r="CQ141" s="38" t="str">
        <f>IFERROR('2.vize'!DB40*100/'2.vize'!$I40,"")</f>
        <v/>
      </c>
      <c r="CR141" s="38" t="str">
        <f>IFERROR('2.vize'!DC40*100/'2.vize'!$I40,"")</f>
        <v/>
      </c>
      <c r="CS141" s="38" t="str">
        <f>IFERROR('2.vize'!DD40*100/'2.vize'!$I40,"")</f>
        <v/>
      </c>
      <c r="CT141" s="38" t="str">
        <f>IFERROR('2.vize'!DE40*100/'2.vize'!$I40,"")</f>
        <v/>
      </c>
      <c r="CU141" s="38" t="str">
        <f>IFERROR('2.vize'!DF40*100/'2.vize'!$I40,"")</f>
        <v/>
      </c>
      <c r="CV141" s="38" t="str">
        <f>IFERROR('2.vize'!DG40*100/'2.vize'!$I40,"")</f>
        <v/>
      </c>
      <c r="CW141" s="32" t="str">
        <f>IFERROR(SUM(A141:CV141)/'2.vize'!$DH$103,"")</f>
        <v/>
      </c>
      <c r="CX141" s="14" t="str">
        <f>IF(COUNTA('2.vize'!A40),'2.vize'!A40,"")</f>
        <v/>
      </c>
      <c r="CY141" s="14" t="str">
        <f>IF(COUNTA('2.vize'!B40),'2.vize'!B40,"")</f>
        <v/>
      </c>
      <c r="CZ141" s="14" t="str">
        <f>IF(COUNTA('2.vize'!C40),'2.vize'!C40,"")</f>
        <v/>
      </c>
      <c r="DA141" s="14" t="str">
        <f>IF(COUNTA('2.vize'!D40),'2.vize'!D40,"")</f>
        <v/>
      </c>
      <c r="DB141" s="14" t="str">
        <f>IF(COUNTA('2.vize'!E40),'2.vize'!E40,"")</f>
        <v/>
      </c>
      <c r="DC141" s="14" t="str">
        <f>IF(COUNTA('2.vize'!F40),'2.vize'!F40,"")</f>
        <v/>
      </c>
      <c r="DD141" s="14" t="str">
        <f>IF(COUNTA('2.vize'!G40),'2.vize'!G40,"")</f>
        <v/>
      </c>
      <c r="DE141" s="14" t="str">
        <f>IF(COUNTA('2.vize'!H40),'2.vize'!H40,"")</f>
        <v/>
      </c>
    </row>
    <row r="142" spans="1:109" x14ac:dyDescent="0.2">
      <c r="A142" s="38" t="str">
        <f>IFERROR('2.vize'!L41*100/'2.vize'!$I41,"")</f>
        <v/>
      </c>
      <c r="B142" s="38" t="str">
        <f>IFERROR('2.vize'!M41*100/'2.vize'!$I41,"")</f>
        <v/>
      </c>
      <c r="C142" s="38" t="str">
        <f>IFERROR('2.vize'!N41*100/'2.vize'!$I41,"")</f>
        <v/>
      </c>
      <c r="D142" s="38" t="str">
        <f>IFERROR('2.vize'!O41*100/'2.vize'!$I41,"")</f>
        <v/>
      </c>
      <c r="E142" s="38" t="str">
        <f>IFERROR('2.vize'!P41*100/'2.vize'!$I41,"")</f>
        <v/>
      </c>
      <c r="F142" s="38" t="str">
        <f>IFERROR('2.vize'!Q41*100/'2.vize'!$I41,"")</f>
        <v/>
      </c>
      <c r="G142" s="38" t="str">
        <f>IFERROR('2.vize'!R41*100/'2.vize'!$I41,"")</f>
        <v/>
      </c>
      <c r="H142" s="38" t="str">
        <f>IFERROR('2.vize'!S41*100/'2.vize'!$I41,"")</f>
        <v/>
      </c>
      <c r="I142" s="38" t="str">
        <f>IFERROR('2.vize'!T41*100/'2.vize'!$I41,"")</f>
        <v/>
      </c>
      <c r="J142" s="38" t="str">
        <f>IFERROR('2.vize'!U41*100/'2.vize'!$I41,"")</f>
        <v/>
      </c>
      <c r="K142" s="38" t="str">
        <f>IFERROR('2.vize'!V41*100/'2.vize'!$I41,"")</f>
        <v/>
      </c>
      <c r="L142" s="38" t="str">
        <f>IFERROR('2.vize'!W41*100/'2.vize'!$I41,"")</f>
        <v/>
      </c>
      <c r="M142" s="38" t="str">
        <f>IFERROR('2.vize'!X41*100/'2.vize'!$I41,"")</f>
        <v/>
      </c>
      <c r="N142" s="38" t="str">
        <f>IFERROR('2.vize'!Y41*100/'2.vize'!$I41,"")</f>
        <v/>
      </c>
      <c r="O142" s="38" t="str">
        <f>IFERROR('2.vize'!Z41*100/'2.vize'!$I41,"")</f>
        <v/>
      </c>
      <c r="P142" s="38" t="str">
        <f>IFERROR('2.vize'!AA41*100/'2.vize'!$I41,"")</f>
        <v/>
      </c>
      <c r="Q142" s="38" t="str">
        <f>IFERROR('2.vize'!AB41*100/'2.vize'!$I41,"")</f>
        <v/>
      </c>
      <c r="R142" s="38" t="str">
        <f>IFERROR('2.vize'!AC41*100/'2.vize'!$I41,"")</f>
        <v/>
      </c>
      <c r="S142" s="38" t="str">
        <f>IFERROR('2.vize'!AD41*100/'2.vize'!$I41,"")</f>
        <v/>
      </c>
      <c r="T142" s="38" t="str">
        <f>IFERROR('2.vize'!AE41*100/'2.vize'!$I41,"")</f>
        <v/>
      </c>
      <c r="U142" s="38" t="str">
        <f>IFERROR('2.vize'!AF41*100/'2.vize'!$I41,"")</f>
        <v/>
      </c>
      <c r="V142" s="38" t="str">
        <f>IFERROR('2.vize'!AG41*100/'2.vize'!$I41,"")</f>
        <v/>
      </c>
      <c r="W142" s="38" t="str">
        <f>IFERROR('2.vize'!AH41*100/'2.vize'!$I41,"")</f>
        <v/>
      </c>
      <c r="X142" s="38" t="str">
        <f>IFERROR('2.vize'!AI41*100/'2.vize'!$I41,"")</f>
        <v/>
      </c>
      <c r="Y142" s="38" t="str">
        <f>IFERROR('2.vize'!AJ41*100/'2.vize'!$I41,"")</f>
        <v/>
      </c>
      <c r="Z142" s="38" t="str">
        <f>IFERROR('2.vize'!AK41*100/'2.vize'!$I41,"")</f>
        <v/>
      </c>
      <c r="AA142" s="38" t="str">
        <f>IFERROR('2.vize'!AL41*100/'2.vize'!$I41,"")</f>
        <v/>
      </c>
      <c r="AB142" s="38" t="str">
        <f>IFERROR('2.vize'!AM41*100/'2.vize'!$I41,"")</f>
        <v/>
      </c>
      <c r="AC142" s="38" t="str">
        <f>IFERROR('2.vize'!AN41*100/'2.vize'!$I41,"")</f>
        <v/>
      </c>
      <c r="AD142" s="38" t="str">
        <f>IFERROR('2.vize'!AO41*100/'2.vize'!$I41,"")</f>
        <v/>
      </c>
      <c r="AE142" s="38" t="str">
        <f>IFERROR('2.vize'!AP41*100/'2.vize'!$I41,"")</f>
        <v/>
      </c>
      <c r="AF142" s="38" t="str">
        <f>IFERROR('2.vize'!AQ41*100/'2.vize'!$I41,"")</f>
        <v/>
      </c>
      <c r="AG142" s="38" t="str">
        <f>IFERROR('2.vize'!AR41*100/'2.vize'!$I41,"")</f>
        <v/>
      </c>
      <c r="AH142" s="38" t="str">
        <f>IFERROR('2.vize'!AS41*100/'2.vize'!$I41,"")</f>
        <v/>
      </c>
      <c r="AI142" s="38" t="str">
        <f>IFERROR('2.vize'!AT41*100/'2.vize'!$I41,"")</f>
        <v/>
      </c>
      <c r="AJ142" s="38" t="str">
        <f>IFERROR('2.vize'!AU41*100/'2.vize'!$I41,"")</f>
        <v/>
      </c>
      <c r="AK142" s="38" t="str">
        <f>IFERROR('2.vize'!AV41*100/'2.vize'!$I41,"")</f>
        <v/>
      </c>
      <c r="AL142" s="38" t="str">
        <f>IFERROR('2.vize'!AW41*100/'2.vize'!$I41,"")</f>
        <v/>
      </c>
      <c r="AM142" s="38" t="str">
        <f>IFERROR('2.vize'!AX41*100/'2.vize'!$I41,"")</f>
        <v/>
      </c>
      <c r="AN142" s="38" t="str">
        <f>IFERROR('2.vize'!AY41*100/'2.vize'!$I41,"")</f>
        <v/>
      </c>
      <c r="AO142" s="38" t="str">
        <f>IFERROR('2.vize'!AZ41*100/'2.vize'!$I41,"")</f>
        <v/>
      </c>
      <c r="AP142" s="38" t="str">
        <f>IFERROR('2.vize'!BA41*100/'2.vize'!$I41,"")</f>
        <v/>
      </c>
      <c r="AQ142" s="38" t="str">
        <f>IFERROR('2.vize'!BB41*100/'2.vize'!$I41,"")</f>
        <v/>
      </c>
      <c r="AR142" s="38" t="str">
        <f>IFERROR('2.vize'!BC41*100/'2.vize'!$I41,"")</f>
        <v/>
      </c>
      <c r="AS142" s="38" t="str">
        <f>IFERROR('2.vize'!BD41*100/'2.vize'!$I41,"")</f>
        <v/>
      </c>
      <c r="AT142" s="38" t="str">
        <f>IFERROR('2.vize'!BE41*100/'2.vize'!$I41,"")</f>
        <v/>
      </c>
      <c r="AU142" s="38" t="str">
        <f>IFERROR('2.vize'!BF41*100/'2.vize'!$I41,"")</f>
        <v/>
      </c>
      <c r="AV142" s="38" t="str">
        <f>IFERROR('2.vize'!BG41*100/'2.vize'!$I41,"")</f>
        <v/>
      </c>
      <c r="AW142" s="38" t="str">
        <f>IFERROR('2.vize'!BH41*100/'2.vize'!$I41,"")</f>
        <v/>
      </c>
      <c r="AX142" s="38" t="str">
        <f>IFERROR('2.vize'!BI41*100/'2.vize'!$I41,"")</f>
        <v/>
      </c>
      <c r="AY142" s="38" t="str">
        <f>IFERROR('2.vize'!BJ41*100/'2.vize'!$I41,"")</f>
        <v/>
      </c>
      <c r="AZ142" s="38" t="str">
        <f>IFERROR('2.vize'!BK41*100/'2.vize'!$I41,"")</f>
        <v/>
      </c>
      <c r="BA142" s="38" t="str">
        <f>IFERROR('2.vize'!BL41*100/'2.vize'!$I41,"")</f>
        <v/>
      </c>
      <c r="BB142" s="38" t="str">
        <f>IFERROR('2.vize'!BM41*100/'2.vize'!$I41,"")</f>
        <v/>
      </c>
      <c r="BC142" s="38" t="str">
        <f>IFERROR('2.vize'!BN41*100/'2.vize'!$I41,"")</f>
        <v/>
      </c>
      <c r="BD142" s="38" t="str">
        <f>IFERROR('2.vize'!BO41*100/'2.vize'!$I41,"")</f>
        <v/>
      </c>
      <c r="BE142" s="38" t="str">
        <f>IFERROR('2.vize'!BP41*100/'2.vize'!$I41,"")</f>
        <v/>
      </c>
      <c r="BF142" s="38" t="str">
        <f>IFERROR('2.vize'!BQ41*100/'2.vize'!$I41,"")</f>
        <v/>
      </c>
      <c r="BG142" s="38" t="str">
        <f>IFERROR('2.vize'!BR41*100/'2.vize'!$I41,"")</f>
        <v/>
      </c>
      <c r="BH142" s="38" t="str">
        <f>IFERROR('2.vize'!BS41*100/'2.vize'!$I41,"")</f>
        <v/>
      </c>
      <c r="BI142" s="38" t="str">
        <f>IFERROR('2.vize'!BT41*100/'2.vize'!$I41,"")</f>
        <v/>
      </c>
      <c r="BJ142" s="38" t="str">
        <f>IFERROR('2.vize'!BU41*100/'2.vize'!$I41,"")</f>
        <v/>
      </c>
      <c r="BK142" s="38" t="str">
        <f>IFERROR('2.vize'!BV41*100/'2.vize'!$I41,"")</f>
        <v/>
      </c>
      <c r="BL142" s="38" t="str">
        <f>IFERROR('2.vize'!BW41*100/'2.vize'!$I41,"")</f>
        <v/>
      </c>
      <c r="BM142" s="38" t="str">
        <f>IFERROR('2.vize'!BX41*100/'2.vize'!$I41,"")</f>
        <v/>
      </c>
      <c r="BN142" s="38" t="str">
        <f>IFERROR('2.vize'!BY41*100/'2.vize'!$I41,"")</f>
        <v/>
      </c>
      <c r="BO142" s="38" t="str">
        <f>IFERROR('2.vize'!BZ41*100/'2.vize'!$I41,"")</f>
        <v/>
      </c>
      <c r="BP142" s="38" t="str">
        <f>IFERROR('2.vize'!CA41*100/'2.vize'!$I41,"")</f>
        <v/>
      </c>
      <c r="BQ142" s="38" t="str">
        <f>IFERROR('2.vize'!CB41*100/'2.vize'!$I41,"")</f>
        <v/>
      </c>
      <c r="BR142" s="38" t="str">
        <f>IFERROR('2.vize'!CC41*100/'2.vize'!$I41,"")</f>
        <v/>
      </c>
      <c r="BS142" s="38" t="str">
        <f>IFERROR('2.vize'!CD41*100/'2.vize'!$I41,"")</f>
        <v/>
      </c>
      <c r="BT142" s="38" t="str">
        <f>IFERROR('2.vize'!CE41*100/'2.vize'!$I41,"")</f>
        <v/>
      </c>
      <c r="BU142" s="38" t="str">
        <f>IFERROR('2.vize'!CF41*100/'2.vize'!$I41,"")</f>
        <v/>
      </c>
      <c r="BV142" s="38" t="str">
        <f>IFERROR('2.vize'!CG41*100/'2.vize'!$I41,"")</f>
        <v/>
      </c>
      <c r="BW142" s="38" t="str">
        <f>IFERROR('2.vize'!CH41*100/'2.vize'!$I41,"")</f>
        <v/>
      </c>
      <c r="BX142" s="38" t="str">
        <f>IFERROR('2.vize'!CI41*100/'2.vize'!$I41,"")</f>
        <v/>
      </c>
      <c r="BY142" s="38" t="str">
        <f>IFERROR('2.vize'!CJ41*100/'2.vize'!$I41,"")</f>
        <v/>
      </c>
      <c r="BZ142" s="38" t="str">
        <f>IFERROR('2.vize'!CK41*100/'2.vize'!$I41,"")</f>
        <v/>
      </c>
      <c r="CA142" s="38" t="str">
        <f>IFERROR('2.vize'!CL41*100/'2.vize'!$I41,"")</f>
        <v/>
      </c>
      <c r="CB142" s="38" t="str">
        <f>IFERROR('2.vize'!CM41*100/'2.vize'!$I41,"")</f>
        <v/>
      </c>
      <c r="CC142" s="38" t="str">
        <f>IFERROR('2.vize'!CN41*100/'2.vize'!$I41,"")</f>
        <v/>
      </c>
      <c r="CD142" s="38" t="str">
        <f>IFERROR('2.vize'!CO41*100/'2.vize'!$I41,"")</f>
        <v/>
      </c>
      <c r="CE142" s="38" t="str">
        <f>IFERROR('2.vize'!CP41*100/'2.vize'!$I41,"")</f>
        <v/>
      </c>
      <c r="CF142" s="38" t="str">
        <f>IFERROR('2.vize'!CQ41*100/'2.vize'!$I41,"")</f>
        <v/>
      </c>
      <c r="CG142" s="38" t="str">
        <f>IFERROR('2.vize'!CR41*100/'2.vize'!$I41,"")</f>
        <v/>
      </c>
      <c r="CH142" s="38" t="str">
        <f>IFERROR('2.vize'!CS41*100/'2.vize'!$I41,"")</f>
        <v/>
      </c>
      <c r="CI142" s="38" t="str">
        <f>IFERROR('2.vize'!CT41*100/'2.vize'!$I41,"")</f>
        <v/>
      </c>
      <c r="CJ142" s="38" t="str">
        <f>IFERROR('2.vize'!CU41*100/'2.vize'!$I41,"")</f>
        <v/>
      </c>
      <c r="CK142" s="38" t="str">
        <f>IFERROR('2.vize'!CV41*100/'2.vize'!$I41,"")</f>
        <v/>
      </c>
      <c r="CL142" s="38" t="str">
        <f>IFERROR('2.vize'!CW41*100/'2.vize'!$I41,"")</f>
        <v/>
      </c>
      <c r="CM142" s="38" t="str">
        <f>IFERROR('2.vize'!CX41*100/'2.vize'!$I41,"")</f>
        <v/>
      </c>
      <c r="CN142" s="38" t="str">
        <f>IFERROR('2.vize'!CY41*100/'2.vize'!$I41,"")</f>
        <v/>
      </c>
      <c r="CO142" s="38" t="str">
        <f>IFERROR('2.vize'!CZ41*100/'2.vize'!$I41,"")</f>
        <v/>
      </c>
      <c r="CP142" s="38" t="str">
        <f>IFERROR('2.vize'!DA41*100/'2.vize'!$I41,"")</f>
        <v/>
      </c>
      <c r="CQ142" s="38" t="str">
        <f>IFERROR('2.vize'!DB41*100/'2.vize'!$I41,"")</f>
        <v/>
      </c>
      <c r="CR142" s="38" t="str">
        <f>IFERROR('2.vize'!DC41*100/'2.vize'!$I41,"")</f>
        <v/>
      </c>
      <c r="CS142" s="38" t="str">
        <f>IFERROR('2.vize'!DD41*100/'2.vize'!$I41,"")</f>
        <v/>
      </c>
      <c r="CT142" s="38" t="str">
        <f>IFERROR('2.vize'!DE41*100/'2.vize'!$I41,"")</f>
        <v/>
      </c>
      <c r="CU142" s="38" t="str">
        <f>IFERROR('2.vize'!DF41*100/'2.vize'!$I41,"")</f>
        <v/>
      </c>
      <c r="CV142" s="38" t="str">
        <f>IFERROR('2.vize'!DG41*100/'2.vize'!$I41,"")</f>
        <v/>
      </c>
      <c r="CW142" s="32" t="str">
        <f>IFERROR(SUM(A142:CV142)/'2.vize'!$DH$103,"")</f>
        <v/>
      </c>
      <c r="CX142" s="14" t="str">
        <f>IF(COUNTA('2.vize'!A41),'2.vize'!A41,"")</f>
        <v/>
      </c>
      <c r="CY142" s="14" t="str">
        <f>IF(COUNTA('2.vize'!B41),'2.vize'!B41,"")</f>
        <v/>
      </c>
      <c r="CZ142" s="14" t="str">
        <f>IF(COUNTA('2.vize'!C41),'2.vize'!C41,"")</f>
        <v/>
      </c>
      <c r="DA142" s="14" t="str">
        <f>IF(COUNTA('2.vize'!D41),'2.vize'!D41,"")</f>
        <v/>
      </c>
      <c r="DB142" s="14" t="str">
        <f>IF(COUNTA('2.vize'!E41),'2.vize'!E41,"")</f>
        <v/>
      </c>
      <c r="DC142" s="14" t="str">
        <f>IF(COUNTA('2.vize'!F41),'2.vize'!F41,"")</f>
        <v/>
      </c>
      <c r="DD142" s="14" t="str">
        <f>IF(COUNTA('2.vize'!G41),'2.vize'!G41,"")</f>
        <v/>
      </c>
      <c r="DE142" s="14" t="str">
        <f>IF(COUNTA('2.vize'!H41),'2.vize'!H41,"")</f>
        <v/>
      </c>
    </row>
    <row r="143" spans="1:109" x14ac:dyDescent="0.2">
      <c r="A143" s="38" t="str">
        <f>IFERROR('2.vize'!L42*100/'2.vize'!$I42,"")</f>
        <v/>
      </c>
      <c r="B143" s="38" t="str">
        <f>IFERROR('2.vize'!M42*100/'2.vize'!$I42,"")</f>
        <v/>
      </c>
      <c r="C143" s="38" t="str">
        <f>IFERROR('2.vize'!N42*100/'2.vize'!$I42,"")</f>
        <v/>
      </c>
      <c r="D143" s="38" t="str">
        <f>IFERROR('2.vize'!O42*100/'2.vize'!$I42,"")</f>
        <v/>
      </c>
      <c r="E143" s="38" t="str">
        <f>IFERROR('2.vize'!P42*100/'2.vize'!$I42,"")</f>
        <v/>
      </c>
      <c r="F143" s="38" t="str">
        <f>IFERROR('2.vize'!Q42*100/'2.vize'!$I42,"")</f>
        <v/>
      </c>
      <c r="G143" s="38" t="str">
        <f>IFERROR('2.vize'!R42*100/'2.vize'!$I42,"")</f>
        <v/>
      </c>
      <c r="H143" s="38" t="str">
        <f>IFERROR('2.vize'!S42*100/'2.vize'!$I42,"")</f>
        <v/>
      </c>
      <c r="I143" s="38" t="str">
        <f>IFERROR('2.vize'!T42*100/'2.vize'!$I42,"")</f>
        <v/>
      </c>
      <c r="J143" s="38" t="str">
        <f>IFERROR('2.vize'!U42*100/'2.vize'!$I42,"")</f>
        <v/>
      </c>
      <c r="K143" s="38" t="str">
        <f>IFERROR('2.vize'!V42*100/'2.vize'!$I42,"")</f>
        <v/>
      </c>
      <c r="L143" s="38" t="str">
        <f>IFERROR('2.vize'!W42*100/'2.vize'!$I42,"")</f>
        <v/>
      </c>
      <c r="M143" s="38" t="str">
        <f>IFERROR('2.vize'!X42*100/'2.vize'!$I42,"")</f>
        <v/>
      </c>
      <c r="N143" s="38" t="str">
        <f>IFERROR('2.vize'!Y42*100/'2.vize'!$I42,"")</f>
        <v/>
      </c>
      <c r="O143" s="38" t="str">
        <f>IFERROR('2.vize'!Z42*100/'2.vize'!$I42,"")</f>
        <v/>
      </c>
      <c r="P143" s="38" t="str">
        <f>IFERROR('2.vize'!AA42*100/'2.vize'!$I42,"")</f>
        <v/>
      </c>
      <c r="Q143" s="38" t="str">
        <f>IFERROR('2.vize'!AB42*100/'2.vize'!$I42,"")</f>
        <v/>
      </c>
      <c r="R143" s="38" t="str">
        <f>IFERROR('2.vize'!AC42*100/'2.vize'!$I42,"")</f>
        <v/>
      </c>
      <c r="S143" s="38" t="str">
        <f>IFERROR('2.vize'!AD42*100/'2.vize'!$I42,"")</f>
        <v/>
      </c>
      <c r="T143" s="38" t="str">
        <f>IFERROR('2.vize'!AE42*100/'2.vize'!$I42,"")</f>
        <v/>
      </c>
      <c r="U143" s="38" t="str">
        <f>IFERROR('2.vize'!AF42*100/'2.vize'!$I42,"")</f>
        <v/>
      </c>
      <c r="V143" s="38" t="str">
        <f>IFERROR('2.vize'!AG42*100/'2.vize'!$I42,"")</f>
        <v/>
      </c>
      <c r="W143" s="38" t="str">
        <f>IFERROR('2.vize'!AH42*100/'2.vize'!$I42,"")</f>
        <v/>
      </c>
      <c r="X143" s="38" t="str">
        <f>IFERROR('2.vize'!AI42*100/'2.vize'!$I42,"")</f>
        <v/>
      </c>
      <c r="Y143" s="38" t="str">
        <f>IFERROR('2.vize'!AJ42*100/'2.vize'!$I42,"")</f>
        <v/>
      </c>
      <c r="Z143" s="38" t="str">
        <f>IFERROR('2.vize'!AK42*100/'2.vize'!$I42,"")</f>
        <v/>
      </c>
      <c r="AA143" s="38" t="str">
        <f>IFERROR('2.vize'!AL42*100/'2.vize'!$I42,"")</f>
        <v/>
      </c>
      <c r="AB143" s="38" t="str">
        <f>IFERROR('2.vize'!AM42*100/'2.vize'!$I42,"")</f>
        <v/>
      </c>
      <c r="AC143" s="38" t="str">
        <f>IFERROR('2.vize'!AN42*100/'2.vize'!$I42,"")</f>
        <v/>
      </c>
      <c r="AD143" s="38" t="str">
        <f>IFERROR('2.vize'!AO42*100/'2.vize'!$I42,"")</f>
        <v/>
      </c>
      <c r="AE143" s="38" t="str">
        <f>IFERROR('2.vize'!AP42*100/'2.vize'!$I42,"")</f>
        <v/>
      </c>
      <c r="AF143" s="38" t="str">
        <f>IFERROR('2.vize'!AQ42*100/'2.vize'!$I42,"")</f>
        <v/>
      </c>
      <c r="AG143" s="38" t="str">
        <f>IFERROR('2.vize'!AR42*100/'2.vize'!$I42,"")</f>
        <v/>
      </c>
      <c r="AH143" s="38" t="str">
        <f>IFERROR('2.vize'!AS42*100/'2.vize'!$I42,"")</f>
        <v/>
      </c>
      <c r="AI143" s="38" t="str">
        <f>IFERROR('2.vize'!AT42*100/'2.vize'!$I42,"")</f>
        <v/>
      </c>
      <c r="AJ143" s="38" t="str">
        <f>IFERROR('2.vize'!AU42*100/'2.vize'!$I42,"")</f>
        <v/>
      </c>
      <c r="AK143" s="38" t="str">
        <f>IFERROR('2.vize'!AV42*100/'2.vize'!$I42,"")</f>
        <v/>
      </c>
      <c r="AL143" s="38" t="str">
        <f>IFERROR('2.vize'!AW42*100/'2.vize'!$I42,"")</f>
        <v/>
      </c>
      <c r="AM143" s="38" t="str">
        <f>IFERROR('2.vize'!AX42*100/'2.vize'!$I42,"")</f>
        <v/>
      </c>
      <c r="AN143" s="38" t="str">
        <f>IFERROR('2.vize'!AY42*100/'2.vize'!$I42,"")</f>
        <v/>
      </c>
      <c r="AO143" s="38" t="str">
        <f>IFERROR('2.vize'!AZ42*100/'2.vize'!$I42,"")</f>
        <v/>
      </c>
      <c r="AP143" s="38" t="str">
        <f>IFERROR('2.vize'!BA42*100/'2.vize'!$I42,"")</f>
        <v/>
      </c>
      <c r="AQ143" s="38" t="str">
        <f>IFERROR('2.vize'!BB42*100/'2.vize'!$I42,"")</f>
        <v/>
      </c>
      <c r="AR143" s="38" t="str">
        <f>IFERROR('2.vize'!BC42*100/'2.vize'!$I42,"")</f>
        <v/>
      </c>
      <c r="AS143" s="38" t="str">
        <f>IFERROR('2.vize'!BD42*100/'2.vize'!$I42,"")</f>
        <v/>
      </c>
      <c r="AT143" s="38" t="str">
        <f>IFERROR('2.vize'!BE42*100/'2.vize'!$I42,"")</f>
        <v/>
      </c>
      <c r="AU143" s="38" t="str">
        <f>IFERROR('2.vize'!BF42*100/'2.vize'!$I42,"")</f>
        <v/>
      </c>
      <c r="AV143" s="38" t="str">
        <f>IFERROR('2.vize'!BG42*100/'2.vize'!$I42,"")</f>
        <v/>
      </c>
      <c r="AW143" s="38" t="str">
        <f>IFERROR('2.vize'!BH42*100/'2.vize'!$I42,"")</f>
        <v/>
      </c>
      <c r="AX143" s="38" t="str">
        <f>IFERROR('2.vize'!BI42*100/'2.vize'!$I42,"")</f>
        <v/>
      </c>
      <c r="AY143" s="38" t="str">
        <f>IFERROR('2.vize'!BJ42*100/'2.vize'!$I42,"")</f>
        <v/>
      </c>
      <c r="AZ143" s="38" t="str">
        <f>IFERROR('2.vize'!BK42*100/'2.vize'!$I42,"")</f>
        <v/>
      </c>
      <c r="BA143" s="38" t="str">
        <f>IFERROR('2.vize'!BL42*100/'2.vize'!$I42,"")</f>
        <v/>
      </c>
      <c r="BB143" s="38" t="str">
        <f>IFERROR('2.vize'!BM42*100/'2.vize'!$I42,"")</f>
        <v/>
      </c>
      <c r="BC143" s="38" t="str">
        <f>IFERROR('2.vize'!BN42*100/'2.vize'!$I42,"")</f>
        <v/>
      </c>
      <c r="BD143" s="38" t="str">
        <f>IFERROR('2.vize'!BO42*100/'2.vize'!$I42,"")</f>
        <v/>
      </c>
      <c r="BE143" s="38" t="str">
        <f>IFERROR('2.vize'!BP42*100/'2.vize'!$I42,"")</f>
        <v/>
      </c>
      <c r="BF143" s="38" t="str">
        <f>IFERROR('2.vize'!BQ42*100/'2.vize'!$I42,"")</f>
        <v/>
      </c>
      <c r="BG143" s="38" t="str">
        <f>IFERROR('2.vize'!BR42*100/'2.vize'!$I42,"")</f>
        <v/>
      </c>
      <c r="BH143" s="38" t="str">
        <f>IFERROR('2.vize'!BS42*100/'2.vize'!$I42,"")</f>
        <v/>
      </c>
      <c r="BI143" s="38" t="str">
        <f>IFERROR('2.vize'!BT42*100/'2.vize'!$I42,"")</f>
        <v/>
      </c>
      <c r="BJ143" s="38" t="str">
        <f>IFERROR('2.vize'!BU42*100/'2.vize'!$I42,"")</f>
        <v/>
      </c>
      <c r="BK143" s="38" t="str">
        <f>IFERROR('2.vize'!BV42*100/'2.vize'!$I42,"")</f>
        <v/>
      </c>
      <c r="BL143" s="38" t="str">
        <f>IFERROR('2.vize'!BW42*100/'2.vize'!$I42,"")</f>
        <v/>
      </c>
      <c r="BM143" s="38" t="str">
        <f>IFERROR('2.vize'!BX42*100/'2.vize'!$I42,"")</f>
        <v/>
      </c>
      <c r="BN143" s="38" t="str">
        <f>IFERROR('2.vize'!BY42*100/'2.vize'!$I42,"")</f>
        <v/>
      </c>
      <c r="BO143" s="38" t="str">
        <f>IFERROR('2.vize'!BZ42*100/'2.vize'!$I42,"")</f>
        <v/>
      </c>
      <c r="BP143" s="38" t="str">
        <f>IFERROR('2.vize'!CA42*100/'2.vize'!$I42,"")</f>
        <v/>
      </c>
      <c r="BQ143" s="38" t="str">
        <f>IFERROR('2.vize'!CB42*100/'2.vize'!$I42,"")</f>
        <v/>
      </c>
      <c r="BR143" s="38" t="str">
        <f>IFERROR('2.vize'!CC42*100/'2.vize'!$I42,"")</f>
        <v/>
      </c>
      <c r="BS143" s="38" t="str">
        <f>IFERROR('2.vize'!CD42*100/'2.vize'!$I42,"")</f>
        <v/>
      </c>
      <c r="BT143" s="38" t="str">
        <f>IFERROR('2.vize'!CE42*100/'2.vize'!$I42,"")</f>
        <v/>
      </c>
      <c r="BU143" s="38" t="str">
        <f>IFERROR('2.vize'!CF42*100/'2.vize'!$I42,"")</f>
        <v/>
      </c>
      <c r="BV143" s="38" t="str">
        <f>IFERROR('2.vize'!CG42*100/'2.vize'!$I42,"")</f>
        <v/>
      </c>
      <c r="BW143" s="38" t="str">
        <f>IFERROR('2.vize'!CH42*100/'2.vize'!$I42,"")</f>
        <v/>
      </c>
      <c r="BX143" s="38" t="str">
        <f>IFERROR('2.vize'!CI42*100/'2.vize'!$I42,"")</f>
        <v/>
      </c>
      <c r="BY143" s="38" t="str">
        <f>IFERROR('2.vize'!CJ42*100/'2.vize'!$I42,"")</f>
        <v/>
      </c>
      <c r="BZ143" s="38" t="str">
        <f>IFERROR('2.vize'!CK42*100/'2.vize'!$I42,"")</f>
        <v/>
      </c>
      <c r="CA143" s="38" t="str">
        <f>IFERROR('2.vize'!CL42*100/'2.vize'!$I42,"")</f>
        <v/>
      </c>
      <c r="CB143" s="38" t="str">
        <f>IFERROR('2.vize'!CM42*100/'2.vize'!$I42,"")</f>
        <v/>
      </c>
      <c r="CC143" s="38" t="str">
        <f>IFERROR('2.vize'!CN42*100/'2.vize'!$I42,"")</f>
        <v/>
      </c>
      <c r="CD143" s="38" t="str">
        <f>IFERROR('2.vize'!CO42*100/'2.vize'!$I42,"")</f>
        <v/>
      </c>
      <c r="CE143" s="38" t="str">
        <f>IFERROR('2.vize'!CP42*100/'2.vize'!$I42,"")</f>
        <v/>
      </c>
      <c r="CF143" s="38" t="str">
        <f>IFERROR('2.vize'!CQ42*100/'2.vize'!$I42,"")</f>
        <v/>
      </c>
      <c r="CG143" s="38" t="str">
        <f>IFERROR('2.vize'!CR42*100/'2.vize'!$I42,"")</f>
        <v/>
      </c>
      <c r="CH143" s="38" t="str">
        <f>IFERROR('2.vize'!CS42*100/'2.vize'!$I42,"")</f>
        <v/>
      </c>
      <c r="CI143" s="38" t="str">
        <f>IFERROR('2.vize'!CT42*100/'2.vize'!$I42,"")</f>
        <v/>
      </c>
      <c r="CJ143" s="38" t="str">
        <f>IFERROR('2.vize'!CU42*100/'2.vize'!$I42,"")</f>
        <v/>
      </c>
      <c r="CK143" s="38" t="str">
        <f>IFERROR('2.vize'!CV42*100/'2.vize'!$I42,"")</f>
        <v/>
      </c>
      <c r="CL143" s="38" t="str">
        <f>IFERROR('2.vize'!CW42*100/'2.vize'!$I42,"")</f>
        <v/>
      </c>
      <c r="CM143" s="38" t="str">
        <f>IFERROR('2.vize'!CX42*100/'2.vize'!$I42,"")</f>
        <v/>
      </c>
      <c r="CN143" s="38" t="str">
        <f>IFERROR('2.vize'!CY42*100/'2.vize'!$I42,"")</f>
        <v/>
      </c>
      <c r="CO143" s="38" t="str">
        <f>IFERROR('2.vize'!CZ42*100/'2.vize'!$I42,"")</f>
        <v/>
      </c>
      <c r="CP143" s="38" t="str">
        <f>IFERROR('2.vize'!DA42*100/'2.vize'!$I42,"")</f>
        <v/>
      </c>
      <c r="CQ143" s="38" t="str">
        <f>IFERROR('2.vize'!DB42*100/'2.vize'!$I42,"")</f>
        <v/>
      </c>
      <c r="CR143" s="38" t="str">
        <f>IFERROR('2.vize'!DC42*100/'2.vize'!$I42,"")</f>
        <v/>
      </c>
      <c r="CS143" s="38" t="str">
        <f>IFERROR('2.vize'!DD42*100/'2.vize'!$I42,"")</f>
        <v/>
      </c>
      <c r="CT143" s="38" t="str">
        <f>IFERROR('2.vize'!DE42*100/'2.vize'!$I42,"")</f>
        <v/>
      </c>
      <c r="CU143" s="38" t="str">
        <f>IFERROR('2.vize'!DF42*100/'2.vize'!$I42,"")</f>
        <v/>
      </c>
      <c r="CV143" s="38" t="str">
        <f>IFERROR('2.vize'!DG42*100/'2.vize'!$I42,"")</f>
        <v/>
      </c>
      <c r="CW143" s="32" t="str">
        <f>IFERROR(SUM(A143:CV143)/'2.vize'!$DH$103,"")</f>
        <v/>
      </c>
      <c r="CX143" s="14" t="str">
        <f>IF(COUNTA('2.vize'!A42),'2.vize'!A42,"")</f>
        <v/>
      </c>
      <c r="CY143" s="14" t="str">
        <f>IF(COUNTA('2.vize'!B42),'2.vize'!B42,"")</f>
        <v/>
      </c>
      <c r="CZ143" s="14" t="str">
        <f>IF(COUNTA('2.vize'!C42),'2.vize'!C42,"")</f>
        <v/>
      </c>
      <c r="DA143" s="14" t="str">
        <f>IF(COUNTA('2.vize'!D42),'2.vize'!D42,"")</f>
        <v/>
      </c>
      <c r="DB143" s="14" t="str">
        <f>IF(COUNTA('2.vize'!E42),'2.vize'!E42,"")</f>
        <v/>
      </c>
      <c r="DC143" s="14" t="str">
        <f>IF(COUNTA('2.vize'!F42),'2.vize'!F42,"")</f>
        <v/>
      </c>
      <c r="DD143" s="14" t="str">
        <f>IF(COUNTA('2.vize'!G42),'2.vize'!G42,"")</f>
        <v/>
      </c>
      <c r="DE143" s="14" t="str">
        <f>IF(COUNTA('2.vize'!H42),'2.vize'!H42,"")</f>
        <v/>
      </c>
    </row>
    <row r="144" spans="1:109" x14ac:dyDescent="0.2">
      <c r="A144" s="38" t="str">
        <f>IFERROR('2.vize'!L43*100/'2.vize'!$I43,"")</f>
        <v/>
      </c>
      <c r="B144" s="38" t="str">
        <f>IFERROR('2.vize'!M43*100/'2.vize'!$I43,"")</f>
        <v/>
      </c>
      <c r="C144" s="38" t="str">
        <f>IFERROR('2.vize'!N43*100/'2.vize'!$I43,"")</f>
        <v/>
      </c>
      <c r="D144" s="38" t="str">
        <f>IFERROR('2.vize'!O43*100/'2.vize'!$I43,"")</f>
        <v/>
      </c>
      <c r="E144" s="38" t="str">
        <f>IFERROR('2.vize'!P43*100/'2.vize'!$I43,"")</f>
        <v/>
      </c>
      <c r="F144" s="38" t="str">
        <f>IFERROR('2.vize'!Q43*100/'2.vize'!$I43,"")</f>
        <v/>
      </c>
      <c r="G144" s="38" t="str">
        <f>IFERROR('2.vize'!R43*100/'2.vize'!$I43,"")</f>
        <v/>
      </c>
      <c r="H144" s="38" t="str">
        <f>IFERROR('2.vize'!S43*100/'2.vize'!$I43,"")</f>
        <v/>
      </c>
      <c r="I144" s="38" t="str">
        <f>IFERROR('2.vize'!T43*100/'2.vize'!$I43,"")</f>
        <v/>
      </c>
      <c r="J144" s="38" t="str">
        <f>IFERROR('2.vize'!U43*100/'2.vize'!$I43,"")</f>
        <v/>
      </c>
      <c r="K144" s="38" t="str">
        <f>IFERROR('2.vize'!V43*100/'2.vize'!$I43,"")</f>
        <v/>
      </c>
      <c r="L144" s="38" t="str">
        <f>IFERROR('2.vize'!W43*100/'2.vize'!$I43,"")</f>
        <v/>
      </c>
      <c r="M144" s="38" t="str">
        <f>IFERROR('2.vize'!X43*100/'2.vize'!$I43,"")</f>
        <v/>
      </c>
      <c r="N144" s="38" t="str">
        <f>IFERROR('2.vize'!Y43*100/'2.vize'!$I43,"")</f>
        <v/>
      </c>
      <c r="O144" s="38" t="str">
        <f>IFERROR('2.vize'!Z43*100/'2.vize'!$I43,"")</f>
        <v/>
      </c>
      <c r="P144" s="38" t="str">
        <f>IFERROR('2.vize'!AA43*100/'2.vize'!$I43,"")</f>
        <v/>
      </c>
      <c r="Q144" s="38" t="str">
        <f>IFERROR('2.vize'!AB43*100/'2.vize'!$I43,"")</f>
        <v/>
      </c>
      <c r="R144" s="38" t="str">
        <f>IFERROR('2.vize'!AC43*100/'2.vize'!$I43,"")</f>
        <v/>
      </c>
      <c r="S144" s="38" t="str">
        <f>IFERROR('2.vize'!AD43*100/'2.vize'!$I43,"")</f>
        <v/>
      </c>
      <c r="T144" s="38" t="str">
        <f>IFERROR('2.vize'!AE43*100/'2.vize'!$I43,"")</f>
        <v/>
      </c>
      <c r="U144" s="38" t="str">
        <f>IFERROR('2.vize'!AF43*100/'2.vize'!$I43,"")</f>
        <v/>
      </c>
      <c r="V144" s="38" t="str">
        <f>IFERROR('2.vize'!AG43*100/'2.vize'!$I43,"")</f>
        <v/>
      </c>
      <c r="W144" s="38" t="str">
        <f>IFERROR('2.vize'!AH43*100/'2.vize'!$I43,"")</f>
        <v/>
      </c>
      <c r="X144" s="38" t="str">
        <f>IFERROR('2.vize'!AI43*100/'2.vize'!$I43,"")</f>
        <v/>
      </c>
      <c r="Y144" s="38" t="str">
        <f>IFERROR('2.vize'!AJ43*100/'2.vize'!$I43,"")</f>
        <v/>
      </c>
      <c r="Z144" s="38" t="str">
        <f>IFERROR('2.vize'!AK43*100/'2.vize'!$I43,"")</f>
        <v/>
      </c>
      <c r="AA144" s="38" t="str">
        <f>IFERROR('2.vize'!AL43*100/'2.vize'!$I43,"")</f>
        <v/>
      </c>
      <c r="AB144" s="38" t="str">
        <f>IFERROR('2.vize'!AM43*100/'2.vize'!$I43,"")</f>
        <v/>
      </c>
      <c r="AC144" s="38" t="str">
        <f>IFERROR('2.vize'!AN43*100/'2.vize'!$I43,"")</f>
        <v/>
      </c>
      <c r="AD144" s="38" t="str">
        <f>IFERROR('2.vize'!AO43*100/'2.vize'!$I43,"")</f>
        <v/>
      </c>
      <c r="AE144" s="38" t="str">
        <f>IFERROR('2.vize'!AP43*100/'2.vize'!$I43,"")</f>
        <v/>
      </c>
      <c r="AF144" s="38" t="str">
        <f>IFERROR('2.vize'!AQ43*100/'2.vize'!$I43,"")</f>
        <v/>
      </c>
      <c r="AG144" s="38" t="str">
        <f>IFERROR('2.vize'!AR43*100/'2.vize'!$I43,"")</f>
        <v/>
      </c>
      <c r="AH144" s="38" t="str">
        <f>IFERROR('2.vize'!AS43*100/'2.vize'!$I43,"")</f>
        <v/>
      </c>
      <c r="AI144" s="38" t="str">
        <f>IFERROR('2.vize'!AT43*100/'2.vize'!$I43,"")</f>
        <v/>
      </c>
      <c r="AJ144" s="38" t="str">
        <f>IFERROR('2.vize'!AU43*100/'2.vize'!$I43,"")</f>
        <v/>
      </c>
      <c r="AK144" s="38" t="str">
        <f>IFERROR('2.vize'!AV43*100/'2.vize'!$I43,"")</f>
        <v/>
      </c>
      <c r="AL144" s="38" t="str">
        <f>IFERROR('2.vize'!AW43*100/'2.vize'!$I43,"")</f>
        <v/>
      </c>
      <c r="AM144" s="38" t="str">
        <f>IFERROR('2.vize'!AX43*100/'2.vize'!$I43,"")</f>
        <v/>
      </c>
      <c r="AN144" s="38" t="str">
        <f>IFERROR('2.vize'!AY43*100/'2.vize'!$I43,"")</f>
        <v/>
      </c>
      <c r="AO144" s="38" t="str">
        <f>IFERROR('2.vize'!AZ43*100/'2.vize'!$I43,"")</f>
        <v/>
      </c>
      <c r="AP144" s="38" t="str">
        <f>IFERROR('2.vize'!BA43*100/'2.vize'!$I43,"")</f>
        <v/>
      </c>
      <c r="AQ144" s="38" t="str">
        <f>IFERROR('2.vize'!BB43*100/'2.vize'!$I43,"")</f>
        <v/>
      </c>
      <c r="AR144" s="38" t="str">
        <f>IFERROR('2.vize'!BC43*100/'2.vize'!$I43,"")</f>
        <v/>
      </c>
      <c r="AS144" s="38" t="str">
        <f>IFERROR('2.vize'!BD43*100/'2.vize'!$I43,"")</f>
        <v/>
      </c>
      <c r="AT144" s="38" t="str">
        <f>IFERROR('2.vize'!BE43*100/'2.vize'!$I43,"")</f>
        <v/>
      </c>
      <c r="AU144" s="38" t="str">
        <f>IFERROR('2.vize'!BF43*100/'2.vize'!$I43,"")</f>
        <v/>
      </c>
      <c r="AV144" s="38" t="str">
        <f>IFERROR('2.vize'!BG43*100/'2.vize'!$I43,"")</f>
        <v/>
      </c>
      <c r="AW144" s="38" t="str">
        <f>IFERROR('2.vize'!BH43*100/'2.vize'!$I43,"")</f>
        <v/>
      </c>
      <c r="AX144" s="38" t="str">
        <f>IFERROR('2.vize'!BI43*100/'2.vize'!$I43,"")</f>
        <v/>
      </c>
      <c r="AY144" s="38" t="str">
        <f>IFERROR('2.vize'!BJ43*100/'2.vize'!$I43,"")</f>
        <v/>
      </c>
      <c r="AZ144" s="38" t="str">
        <f>IFERROR('2.vize'!BK43*100/'2.vize'!$I43,"")</f>
        <v/>
      </c>
      <c r="BA144" s="38" t="str">
        <f>IFERROR('2.vize'!BL43*100/'2.vize'!$I43,"")</f>
        <v/>
      </c>
      <c r="BB144" s="38" t="str">
        <f>IFERROR('2.vize'!BM43*100/'2.vize'!$I43,"")</f>
        <v/>
      </c>
      <c r="BC144" s="38" t="str">
        <f>IFERROR('2.vize'!BN43*100/'2.vize'!$I43,"")</f>
        <v/>
      </c>
      <c r="BD144" s="38" t="str">
        <f>IFERROR('2.vize'!BO43*100/'2.vize'!$I43,"")</f>
        <v/>
      </c>
      <c r="BE144" s="38" t="str">
        <f>IFERROR('2.vize'!BP43*100/'2.vize'!$I43,"")</f>
        <v/>
      </c>
      <c r="BF144" s="38" t="str">
        <f>IFERROR('2.vize'!BQ43*100/'2.vize'!$I43,"")</f>
        <v/>
      </c>
      <c r="BG144" s="38" t="str">
        <f>IFERROR('2.vize'!BR43*100/'2.vize'!$I43,"")</f>
        <v/>
      </c>
      <c r="BH144" s="38" t="str">
        <f>IFERROR('2.vize'!BS43*100/'2.vize'!$I43,"")</f>
        <v/>
      </c>
      <c r="BI144" s="38" t="str">
        <f>IFERROR('2.vize'!BT43*100/'2.vize'!$I43,"")</f>
        <v/>
      </c>
      <c r="BJ144" s="38" t="str">
        <f>IFERROR('2.vize'!BU43*100/'2.vize'!$I43,"")</f>
        <v/>
      </c>
      <c r="BK144" s="38" t="str">
        <f>IFERROR('2.vize'!BV43*100/'2.vize'!$I43,"")</f>
        <v/>
      </c>
      <c r="BL144" s="38" t="str">
        <f>IFERROR('2.vize'!BW43*100/'2.vize'!$I43,"")</f>
        <v/>
      </c>
      <c r="BM144" s="38" t="str">
        <f>IFERROR('2.vize'!BX43*100/'2.vize'!$I43,"")</f>
        <v/>
      </c>
      <c r="BN144" s="38" t="str">
        <f>IFERROR('2.vize'!BY43*100/'2.vize'!$I43,"")</f>
        <v/>
      </c>
      <c r="BO144" s="38" t="str">
        <f>IFERROR('2.vize'!BZ43*100/'2.vize'!$I43,"")</f>
        <v/>
      </c>
      <c r="BP144" s="38" t="str">
        <f>IFERROR('2.vize'!CA43*100/'2.vize'!$I43,"")</f>
        <v/>
      </c>
      <c r="BQ144" s="38" t="str">
        <f>IFERROR('2.vize'!CB43*100/'2.vize'!$I43,"")</f>
        <v/>
      </c>
      <c r="BR144" s="38" t="str">
        <f>IFERROR('2.vize'!CC43*100/'2.vize'!$I43,"")</f>
        <v/>
      </c>
      <c r="BS144" s="38" t="str">
        <f>IFERROR('2.vize'!CD43*100/'2.vize'!$I43,"")</f>
        <v/>
      </c>
      <c r="BT144" s="38" t="str">
        <f>IFERROR('2.vize'!CE43*100/'2.vize'!$I43,"")</f>
        <v/>
      </c>
      <c r="BU144" s="38" t="str">
        <f>IFERROR('2.vize'!CF43*100/'2.vize'!$I43,"")</f>
        <v/>
      </c>
      <c r="BV144" s="38" t="str">
        <f>IFERROR('2.vize'!CG43*100/'2.vize'!$I43,"")</f>
        <v/>
      </c>
      <c r="BW144" s="38" t="str">
        <f>IFERROR('2.vize'!CH43*100/'2.vize'!$I43,"")</f>
        <v/>
      </c>
      <c r="BX144" s="38" t="str">
        <f>IFERROR('2.vize'!CI43*100/'2.vize'!$I43,"")</f>
        <v/>
      </c>
      <c r="BY144" s="38" t="str">
        <f>IFERROR('2.vize'!CJ43*100/'2.vize'!$I43,"")</f>
        <v/>
      </c>
      <c r="BZ144" s="38" t="str">
        <f>IFERROR('2.vize'!CK43*100/'2.vize'!$I43,"")</f>
        <v/>
      </c>
      <c r="CA144" s="38" t="str">
        <f>IFERROR('2.vize'!CL43*100/'2.vize'!$I43,"")</f>
        <v/>
      </c>
      <c r="CB144" s="38" t="str">
        <f>IFERROR('2.vize'!CM43*100/'2.vize'!$I43,"")</f>
        <v/>
      </c>
      <c r="CC144" s="38" t="str">
        <f>IFERROR('2.vize'!CN43*100/'2.vize'!$I43,"")</f>
        <v/>
      </c>
      <c r="CD144" s="38" t="str">
        <f>IFERROR('2.vize'!CO43*100/'2.vize'!$I43,"")</f>
        <v/>
      </c>
      <c r="CE144" s="38" t="str">
        <f>IFERROR('2.vize'!CP43*100/'2.vize'!$I43,"")</f>
        <v/>
      </c>
      <c r="CF144" s="38" t="str">
        <f>IFERROR('2.vize'!CQ43*100/'2.vize'!$I43,"")</f>
        <v/>
      </c>
      <c r="CG144" s="38" t="str">
        <f>IFERROR('2.vize'!CR43*100/'2.vize'!$I43,"")</f>
        <v/>
      </c>
      <c r="CH144" s="38" t="str">
        <f>IFERROR('2.vize'!CS43*100/'2.vize'!$I43,"")</f>
        <v/>
      </c>
      <c r="CI144" s="38" t="str">
        <f>IFERROR('2.vize'!CT43*100/'2.vize'!$I43,"")</f>
        <v/>
      </c>
      <c r="CJ144" s="38" t="str">
        <f>IFERROR('2.vize'!CU43*100/'2.vize'!$I43,"")</f>
        <v/>
      </c>
      <c r="CK144" s="38" t="str">
        <f>IFERROR('2.vize'!CV43*100/'2.vize'!$I43,"")</f>
        <v/>
      </c>
      <c r="CL144" s="38" t="str">
        <f>IFERROR('2.vize'!CW43*100/'2.vize'!$I43,"")</f>
        <v/>
      </c>
      <c r="CM144" s="38" t="str">
        <f>IFERROR('2.vize'!CX43*100/'2.vize'!$I43,"")</f>
        <v/>
      </c>
      <c r="CN144" s="38" t="str">
        <f>IFERROR('2.vize'!CY43*100/'2.vize'!$I43,"")</f>
        <v/>
      </c>
      <c r="CO144" s="38" t="str">
        <f>IFERROR('2.vize'!CZ43*100/'2.vize'!$I43,"")</f>
        <v/>
      </c>
      <c r="CP144" s="38" t="str">
        <f>IFERROR('2.vize'!DA43*100/'2.vize'!$I43,"")</f>
        <v/>
      </c>
      <c r="CQ144" s="38" t="str">
        <f>IFERROR('2.vize'!DB43*100/'2.vize'!$I43,"")</f>
        <v/>
      </c>
      <c r="CR144" s="38" t="str">
        <f>IFERROR('2.vize'!DC43*100/'2.vize'!$I43,"")</f>
        <v/>
      </c>
      <c r="CS144" s="38" t="str">
        <f>IFERROR('2.vize'!DD43*100/'2.vize'!$I43,"")</f>
        <v/>
      </c>
      <c r="CT144" s="38" t="str">
        <f>IFERROR('2.vize'!DE43*100/'2.vize'!$I43,"")</f>
        <v/>
      </c>
      <c r="CU144" s="38" t="str">
        <f>IFERROR('2.vize'!DF43*100/'2.vize'!$I43,"")</f>
        <v/>
      </c>
      <c r="CV144" s="38" t="str">
        <f>IFERROR('2.vize'!DG43*100/'2.vize'!$I43,"")</f>
        <v/>
      </c>
      <c r="CW144" s="32" t="str">
        <f>IFERROR(SUM(A144:CV144)/'2.vize'!$DH$103,"")</f>
        <v/>
      </c>
      <c r="CX144" s="14" t="str">
        <f>IF(COUNTA('2.vize'!A43),'2.vize'!A43,"")</f>
        <v/>
      </c>
      <c r="CY144" s="14" t="str">
        <f>IF(COUNTA('2.vize'!B43),'2.vize'!B43,"")</f>
        <v/>
      </c>
      <c r="CZ144" s="14" t="str">
        <f>IF(COUNTA('2.vize'!C43),'2.vize'!C43,"")</f>
        <v/>
      </c>
      <c r="DA144" s="14" t="str">
        <f>IF(COUNTA('2.vize'!D43),'2.vize'!D43,"")</f>
        <v/>
      </c>
      <c r="DB144" s="14" t="str">
        <f>IF(COUNTA('2.vize'!E43),'2.vize'!E43,"")</f>
        <v/>
      </c>
      <c r="DC144" s="14" t="str">
        <f>IF(COUNTA('2.vize'!F43),'2.vize'!F43,"")</f>
        <v/>
      </c>
      <c r="DD144" s="14" t="str">
        <f>IF(COUNTA('2.vize'!G43),'2.vize'!G43,"")</f>
        <v/>
      </c>
      <c r="DE144" s="14" t="str">
        <f>IF(COUNTA('2.vize'!H43),'2.vize'!H43,"")</f>
        <v/>
      </c>
    </row>
    <row r="145" spans="1:109" x14ac:dyDescent="0.2">
      <c r="A145" s="38" t="str">
        <f>IFERROR('2.vize'!L44*100/'2.vize'!$I44,"")</f>
        <v/>
      </c>
      <c r="B145" s="38" t="str">
        <f>IFERROR('2.vize'!M44*100/'2.vize'!$I44,"")</f>
        <v/>
      </c>
      <c r="C145" s="38" t="str">
        <f>IFERROR('2.vize'!N44*100/'2.vize'!$I44,"")</f>
        <v/>
      </c>
      <c r="D145" s="38" t="str">
        <f>IFERROR('2.vize'!O44*100/'2.vize'!$I44,"")</f>
        <v/>
      </c>
      <c r="E145" s="38" t="str">
        <f>IFERROR('2.vize'!P44*100/'2.vize'!$I44,"")</f>
        <v/>
      </c>
      <c r="F145" s="38" t="str">
        <f>IFERROR('2.vize'!Q44*100/'2.vize'!$I44,"")</f>
        <v/>
      </c>
      <c r="G145" s="38" t="str">
        <f>IFERROR('2.vize'!R44*100/'2.vize'!$I44,"")</f>
        <v/>
      </c>
      <c r="H145" s="38" t="str">
        <f>IFERROR('2.vize'!S44*100/'2.vize'!$I44,"")</f>
        <v/>
      </c>
      <c r="I145" s="38" t="str">
        <f>IFERROR('2.vize'!T44*100/'2.vize'!$I44,"")</f>
        <v/>
      </c>
      <c r="J145" s="38" t="str">
        <f>IFERROR('2.vize'!U44*100/'2.vize'!$I44,"")</f>
        <v/>
      </c>
      <c r="K145" s="38" t="str">
        <f>IFERROR('2.vize'!V44*100/'2.vize'!$I44,"")</f>
        <v/>
      </c>
      <c r="L145" s="38" t="str">
        <f>IFERROR('2.vize'!W44*100/'2.vize'!$I44,"")</f>
        <v/>
      </c>
      <c r="M145" s="38" t="str">
        <f>IFERROR('2.vize'!X44*100/'2.vize'!$I44,"")</f>
        <v/>
      </c>
      <c r="N145" s="38" t="str">
        <f>IFERROR('2.vize'!Y44*100/'2.vize'!$I44,"")</f>
        <v/>
      </c>
      <c r="O145" s="38" t="str">
        <f>IFERROR('2.vize'!Z44*100/'2.vize'!$I44,"")</f>
        <v/>
      </c>
      <c r="P145" s="38" t="str">
        <f>IFERROR('2.vize'!AA44*100/'2.vize'!$I44,"")</f>
        <v/>
      </c>
      <c r="Q145" s="38" t="str">
        <f>IFERROR('2.vize'!AB44*100/'2.vize'!$I44,"")</f>
        <v/>
      </c>
      <c r="R145" s="38" t="str">
        <f>IFERROR('2.vize'!AC44*100/'2.vize'!$I44,"")</f>
        <v/>
      </c>
      <c r="S145" s="38" t="str">
        <f>IFERROR('2.vize'!AD44*100/'2.vize'!$I44,"")</f>
        <v/>
      </c>
      <c r="T145" s="38" t="str">
        <f>IFERROR('2.vize'!AE44*100/'2.vize'!$I44,"")</f>
        <v/>
      </c>
      <c r="U145" s="38" t="str">
        <f>IFERROR('2.vize'!AF44*100/'2.vize'!$I44,"")</f>
        <v/>
      </c>
      <c r="V145" s="38" t="str">
        <f>IFERROR('2.vize'!AG44*100/'2.vize'!$I44,"")</f>
        <v/>
      </c>
      <c r="W145" s="38" t="str">
        <f>IFERROR('2.vize'!AH44*100/'2.vize'!$I44,"")</f>
        <v/>
      </c>
      <c r="X145" s="38" t="str">
        <f>IFERROR('2.vize'!AI44*100/'2.vize'!$I44,"")</f>
        <v/>
      </c>
      <c r="Y145" s="38" t="str">
        <f>IFERROR('2.vize'!AJ44*100/'2.vize'!$I44,"")</f>
        <v/>
      </c>
      <c r="Z145" s="38" t="str">
        <f>IFERROR('2.vize'!AK44*100/'2.vize'!$I44,"")</f>
        <v/>
      </c>
      <c r="AA145" s="38" t="str">
        <f>IFERROR('2.vize'!AL44*100/'2.vize'!$I44,"")</f>
        <v/>
      </c>
      <c r="AB145" s="38" t="str">
        <f>IFERROR('2.vize'!AM44*100/'2.vize'!$I44,"")</f>
        <v/>
      </c>
      <c r="AC145" s="38" t="str">
        <f>IFERROR('2.vize'!AN44*100/'2.vize'!$I44,"")</f>
        <v/>
      </c>
      <c r="AD145" s="38" t="str">
        <f>IFERROR('2.vize'!AO44*100/'2.vize'!$I44,"")</f>
        <v/>
      </c>
      <c r="AE145" s="38" t="str">
        <f>IFERROR('2.vize'!AP44*100/'2.vize'!$I44,"")</f>
        <v/>
      </c>
      <c r="AF145" s="38" t="str">
        <f>IFERROR('2.vize'!AQ44*100/'2.vize'!$I44,"")</f>
        <v/>
      </c>
      <c r="AG145" s="38" t="str">
        <f>IFERROR('2.vize'!AR44*100/'2.vize'!$I44,"")</f>
        <v/>
      </c>
      <c r="AH145" s="38" t="str">
        <f>IFERROR('2.vize'!AS44*100/'2.vize'!$I44,"")</f>
        <v/>
      </c>
      <c r="AI145" s="38" t="str">
        <f>IFERROR('2.vize'!AT44*100/'2.vize'!$I44,"")</f>
        <v/>
      </c>
      <c r="AJ145" s="38" t="str">
        <f>IFERROR('2.vize'!AU44*100/'2.vize'!$I44,"")</f>
        <v/>
      </c>
      <c r="AK145" s="38" t="str">
        <f>IFERROR('2.vize'!AV44*100/'2.vize'!$I44,"")</f>
        <v/>
      </c>
      <c r="AL145" s="38" t="str">
        <f>IFERROR('2.vize'!AW44*100/'2.vize'!$I44,"")</f>
        <v/>
      </c>
      <c r="AM145" s="38" t="str">
        <f>IFERROR('2.vize'!AX44*100/'2.vize'!$I44,"")</f>
        <v/>
      </c>
      <c r="AN145" s="38" t="str">
        <f>IFERROR('2.vize'!AY44*100/'2.vize'!$I44,"")</f>
        <v/>
      </c>
      <c r="AO145" s="38" t="str">
        <f>IFERROR('2.vize'!AZ44*100/'2.vize'!$I44,"")</f>
        <v/>
      </c>
      <c r="AP145" s="38" t="str">
        <f>IFERROR('2.vize'!BA44*100/'2.vize'!$I44,"")</f>
        <v/>
      </c>
      <c r="AQ145" s="38" t="str">
        <f>IFERROR('2.vize'!BB44*100/'2.vize'!$I44,"")</f>
        <v/>
      </c>
      <c r="AR145" s="38" t="str">
        <f>IFERROR('2.vize'!BC44*100/'2.vize'!$I44,"")</f>
        <v/>
      </c>
      <c r="AS145" s="38" t="str">
        <f>IFERROR('2.vize'!BD44*100/'2.vize'!$I44,"")</f>
        <v/>
      </c>
      <c r="AT145" s="38" t="str">
        <f>IFERROR('2.vize'!BE44*100/'2.vize'!$I44,"")</f>
        <v/>
      </c>
      <c r="AU145" s="38" t="str">
        <f>IFERROR('2.vize'!BF44*100/'2.vize'!$I44,"")</f>
        <v/>
      </c>
      <c r="AV145" s="38" t="str">
        <f>IFERROR('2.vize'!BG44*100/'2.vize'!$I44,"")</f>
        <v/>
      </c>
      <c r="AW145" s="38" t="str">
        <f>IFERROR('2.vize'!BH44*100/'2.vize'!$I44,"")</f>
        <v/>
      </c>
      <c r="AX145" s="38" t="str">
        <f>IFERROR('2.vize'!BI44*100/'2.vize'!$I44,"")</f>
        <v/>
      </c>
      <c r="AY145" s="38" t="str">
        <f>IFERROR('2.vize'!BJ44*100/'2.vize'!$I44,"")</f>
        <v/>
      </c>
      <c r="AZ145" s="38" t="str">
        <f>IFERROR('2.vize'!BK44*100/'2.vize'!$I44,"")</f>
        <v/>
      </c>
      <c r="BA145" s="38" t="str">
        <f>IFERROR('2.vize'!BL44*100/'2.vize'!$I44,"")</f>
        <v/>
      </c>
      <c r="BB145" s="38" t="str">
        <f>IFERROR('2.vize'!BM44*100/'2.vize'!$I44,"")</f>
        <v/>
      </c>
      <c r="BC145" s="38" t="str">
        <f>IFERROR('2.vize'!BN44*100/'2.vize'!$I44,"")</f>
        <v/>
      </c>
      <c r="BD145" s="38" t="str">
        <f>IFERROR('2.vize'!BO44*100/'2.vize'!$I44,"")</f>
        <v/>
      </c>
      <c r="BE145" s="38" t="str">
        <f>IFERROR('2.vize'!BP44*100/'2.vize'!$I44,"")</f>
        <v/>
      </c>
      <c r="BF145" s="38" t="str">
        <f>IFERROR('2.vize'!BQ44*100/'2.vize'!$I44,"")</f>
        <v/>
      </c>
      <c r="BG145" s="38" t="str">
        <f>IFERROR('2.vize'!BR44*100/'2.vize'!$I44,"")</f>
        <v/>
      </c>
      <c r="BH145" s="38" t="str">
        <f>IFERROR('2.vize'!BS44*100/'2.vize'!$I44,"")</f>
        <v/>
      </c>
      <c r="BI145" s="38" t="str">
        <f>IFERROR('2.vize'!BT44*100/'2.vize'!$I44,"")</f>
        <v/>
      </c>
      <c r="BJ145" s="38" t="str">
        <f>IFERROR('2.vize'!BU44*100/'2.vize'!$I44,"")</f>
        <v/>
      </c>
      <c r="BK145" s="38" t="str">
        <f>IFERROR('2.vize'!BV44*100/'2.vize'!$I44,"")</f>
        <v/>
      </c>
      <c r="BL145" s="38" t="str">
        <f>IFERROR('2.vize'!BW44*100/'2.vize'!$I44,"")</f>
        <v/>
      </c>
      <c r="BM145" s="38" t="str">
        <f>IFERROR('2.vize'!BX44*100/'2.vize'!$I44,"")</f>
        <v/>
      </c>
      <c r="BN145" s="38" t="str">
        <f>IFERROR('2.vize'!BY44*100/'2.vize'!$I44,"")</f>
        <v/>
      </c>
      <c r="BO145" s="38" t="str">
        <f>IFERROR('2.vize'!BZ44*100/'2.vize'!$I44,"")</f>
        <v/>
      </c>
      <c r="BP145" s="38" t="str">
        <f>IFERROR('2.vize'!CA44*100/'2.vize'!$I44,"")</f>
        <v/>
      </c>
      <c r="BQ145" s="38" t="str">
        <f>IFERROR('2.vize'!CB44*100/'2.vize'!$I44,"")</f>
        <v/>
      </c>
      <c r="BR145" s="38" t="str">
        <f>IFERROR('2.vize'!CC44*100/'2.vize'!$I44,"")</f>
        <v/>
      </c>
      <c r="BS145" s="38" t="str">
        <f>IFERROR('2.vize'!CD44*100/'2.vize'!$I44,"")</f>
        <v/>
      </c>
      <c r="BT145" s="38" t="str">
        <f>IFERROR('2.vize'!CE44*100/'2.vize'!$I44,"")</f>
        <v/>
      </c>
      <c r="BU145" s="38" t="str">
        <f>IFERROR('2.vize'!CF44*100/'2.vize'!$I44,"")</f>
        <v/>
      </c>
      <c r="BV145" s="38" t="str">
        <f>IFERROR('2.vize'!CG44*100/'2.vize'!$I44,"")</f>
        <v/>
      </c>
      <c r="BW145" s="38" t="str">
        <f>IFERROR('2.vize'!CH44*100/'2.vize'!$I44,"")</f>
        <v/>
      </c>
      <c r="BX145" s="38" t="str">
        <f>IFERROR('2.vize'!CI44*100/'2.vize'!$I44,"")</f>
        <v/>
      </c>
      <c r="BY145" s="38" t="str">
        <f>IFERROR('2.vize'!CJ44*100/'2.vize'!$I44,"")</f>
        <v/>
      </c>
      <c r="BZ145" s="38" t="str">
        <f>IFERROR('2.vize'!CK44*100/'2.vize'!$I44,"")</f>
        <v/>
      </c>
      <c r="CA145" s="38" t="str">
        <f>IFERROR('2.vize'!CL44*100/'2.vize'!$I44,"")</f>
        <v/>
      </c>
      <c r="CB145" s="38" t="str">
        <f>IFERROR('2.vize'!CM44*100/'2.vize'!$I44,"")</f>
        <v/>
      </c>
      <c r="CC145" s="38" t="str">
        <f>IFERROR('2.vize'!CN44*100/'2.vize'!$I44,"")</f>
        <v/>
      </c>
      <c r="CD145" s="38" t="str">
        <f>IFERROR('2.vize'!CO44*100/'2.vize'!$I44,"")</f>
        <v/>
      </c>
      <c r="CE145" s="38" t="str">
        <f>IFERROR('2.vize'!CP44*100/'2.vize'!$I44,"")</f>
        <v/>
      </c>
      <c r="CF145" s="38" t="str">
        <f>IFERROR('2.vize'!CQ44*100/'2.vize'!$I44,"")</f>
        <v/>
      </c>
      <c r="CG145" s="38" t="str">
        <f>IFERROR('2.vize'!CR44*100/'2.vize'!$I44,"")</f>
        <v/>
      </c>
      <c r="CH145" s="38" t="str">
        <f>IFERROR('2.vize'!CS44*100/'2.vize'!$I44,"")</f>
        <v/>
      </c>
      <c r="CI145" s="38" t="str">
        <f>IFERROR('2.vize'!CT44*100/'2.vize'!$I44,"")</f>
        <v/>
      </c>
      <c r="CJ145" s="38" t="str">
        <f>IFERROR('2.vize'!CU44*100/'2.vize'!$I44,"")</f>
        <v/>
      </c>
      <c r="CK145" s="38" t="str">
        <f>IFERROR('2.vize'!CV44*100/'2.vize'!$I44,"")</f>
        <v/>
      </c>
      <c r="CL145" s="38" t="str">
        <f>IFERROR('2.vize'!CW44*100/'2.vize'!$I44,"")</f>
        <v/>
      </c>
      <c r="CM145" s="38" t="str">
        <f>IFERROR('2.vize'!CX44*100/'2.vize'!$I44,"")</f>
        <v/>
      </c>
      <c r="CN145" s="38" t="str">
        <f>IFERROR('2.vize'!CY44*100/'2.vize'!$I44,"")</f>
        <v/>
      </c>
      <c r="CO145" s="38" t="str">
        <f>IFERROR('2.vize'!CZ44*100/'2.vize'!$I44,"")</f>
        <v/>
      </c>
      <c r="CP145" s="38" t="str">
        <f>IFERROR('2.vize'!DA44*100/'2.vize'!$I44,"")</f>
        <v/>
      </c>
      <c r="CQ145" s="38" t="str">
        <f>IFERROR('2.vize'!DB44*100/'2.vize'!$I44,"")</f>
        <v/>
      </c>
      <c r="CR145" s="38" t="str">
        <f>IFERROR('2.vize'!DC44*100/'2.vize'!$I44,"")</f>
        <v/>
      </c>
      <c r="CS145" s="38" t="str">
        <f>IFERROR('2.vize'!DD44*100/'2.vize'!$I44,"")</f>
        <v/>
      </c>
      <c r="CT145" s="38" t="str">
        <f>IFERROR('2.vize'!DE44*100/'2.vize'!$I44,"")</f>
        <v/>
      </c>
      <c r="CU145" s="38" t="str">
        <f>IFERROR('2.vize'!DF44*100/'2.vize'!$I44,"")</f>
        <v/>
      </c>
      <c r="CV145" s="38" t="str">
        <f>IFERROR('2.vize'!DG44*100/'2.vize'!$I44,"")</f>
        <v/>
      </c>
      <c r="CW145" s="32" t="str">
        <f>IFERROR(SUM(A145:CV145)/'2.vize'!$DH$103,"")</f>
        <v/>
      </c>
      <c r="CX145" s="14" t="str">
        <f>IF(COUNTA('2.vize'!A44),'2.vize'!A44,"")</f>
        <v/>
      </c>
      <c r="CY145" s="14" t="str">
        <f>IF(COUNTA('2.vize'!B44),'2.vize'!B44,"")</f>
        <v/>
      </c>
      <c r="CZ145" s="14" t="str">
        <f>IF(COUNTA('2.vize'!C44),'2.vize'!C44,"")</f>
        <v/>
      </c>
      <c r="DA145" s="14" t="str">
        <f>IF(COUNTA('2.vize'!D44),'2.vize'!D44,"")</f>
        <v/>
      </c>
      <c r="DB145" s="14" t="str">
        <f>IF(COUNTA('2.vize'!E44),'2.vize'!E44,"")</f>
        <v/>
      </c>
      <c r="DC145" s="14" t="str">
        <f>IF(COUNTA('2.vize'!F44),'2.vize'!F44,"")</f>
        <v/>
      </c>
      <c r="DD145" s="14" t="str">
        <f>IF(COUNTA('2.vize'!G44),'2.vize'!G44,"")</f>
        <v/>
      </c>
      <c r="DE145" s="14" t="str">
        <f>IF(COUNTA('2.vize'!H44),'2.vize'!H44,"")</f>
        <v/>
      </c>
    </row>
    <row r="146" spans="1:109" x14ac:dyDescent="0.2">
      <c r="A146" s="38" t="str">
        <f>IFERROR('2.vize'!L45*100/'2.vize'!$I45,"")</f>
        <v/>
      </c>
      <c r="B146" s="38" t="str">
        <f>IFERROR('2.vize'!M45*100/'2.vize'!$I45,"")</f>
        <v/>
      </c>
      <c r="C146" s="38" t="str">
        <f>IFERROR('2.vize'!N45*100/'2.vize'!$I45,"")</f>
        <v/>
      </c>
      <c r="D146" s="38" t="str">
        <f>IFERROR('2.vize'!O45*100/'2.vize'!$I45,"")</f>
        <v/>
      </c>
      <c r="E146" s="38" t="str">
        <f>IFERROR('2.vize'!P45*100/'2.vize'!$I45,"")</f>
        <v/>
      </c>
      <c r="F146" s="38" t="str">
        <f>IFERROR('2.vize'!Q45*100/'2.vize'!$I45,"")</f>
        <v/>
      </c>
      <c r="G146" s="38" t="str">
        <f>IFERROR('2.vize'!R45*100/'2.vize'!$I45,"")</f>
        <v/>
      </c>
      <c r="H146" s="38" t="str">
        <f>IFERROR('2.vize'!S45*100/'2.vize'!$I45,"")</f>
        <v/>
      </c>
      <c r="I146" s="38" t="str">
        <f>IFERROR('2.vize'!T45*100/'2.vize'!$I45,"")</f>
        <v/>
      </c>
      <c r="J146" s="38" t="str">
        <f>IFERROR('2.vize'!U45*100/'2.vize'!$I45,"")</f>
        <v/>
      </c>
      <c r="K146" s="38" t="str">
        <f>IFERROR('2.vize'!V45*100/'2.vize'!$I45,"")</f>
        <v/>
      </c>
      <c r="L146" s="38" t="str">
        <f>IFERROR('2.vize'!W45*100/'2.vize'!$I45,"")</f>
        <v/>
      </c>
      <c r="M146" s="38" t="str">
        <f>IFERROR('2.vize'!X45*100/'2.vize'!$I45,"")</f>
        <v/>
      </c>
      <c r="N146" s="38" t="str">
        <f>IFERROR('2.vize'!Y45*100/'2.vize'!$I45,"")</f>
        <v/>
      </c>
      <c r="O146" s="38" t="str">
        <f>IFERROR('2.vize'!Z45*100/'2.vize'!$I45,"")</f>
        <v/>
      </c>
      <c r="P146" s="38" t="str">
        <f>IFERROR('2.vize'!AA45*100/'2.vize'!$I45,"")</f>
        <v/>
      </c>
      <c r="Q146" s="38" t="str">
        <f>IFERROR('2.vize'!AB45*100/'2.vize'!$I45,"")</f>
        <v/>
      </c>
      <c r="R146" s="38" t="str">
        <f>IFERROR('2.vize'!AC45*100/'2.vize'!$I45,"")</f>
        <v/>
      </c>
      <c r="S146" s="38" t="str">
        <f>IFERROR('2.vize'!AD45*100/'2.vize'!$I45,"")</f>
        <v/>
      </c>
      <c r="T146" s="38" t="str">
        <f>IFERROR('2.vize'!AE45*100/'2.vize'!$I45,"")</f>
        <v/>
      </c>
      <c r="U146" s="38" t="str">
        <f>IFERROR('2.vize'!AF45*100/'2.vize'!$I45,"")</f>
        <v/>
      </c>
      <c r="V146" s="38" t="str">
        <f>IFERROR('2.vize'!AG45*100/'2.vize'!$I45,"")</f>
        <v/>
      </c>
      <c r="W146" s="38" t="str">
        <f>IFERROR('2.vize'!AH45*100/'2.vize'!$I45,"")</f>
        <v/>
      </c>
      <c r="X146" s="38" t="str">
        <f>IFERROR('2.vize'!AI45*100/'2.vize'!$I45,"")</f>
        <v/>
      </c>
      <c r="Y146" s="38" t="str">
        <f>IFERROR('2.vize'!AJ45*100/'2.vize'!$I45,"")</f>
        <v/>
      </c>
      <c r="Z146" s="38" t="str">
        <f>IFERROR('2.vize'!AK45*100/'2.vize'!$I45,"")</f>
        <v/>
      </c>
      <c r="AA146" s="38" t="str">
        <f>IFERROR('2.vize'!AL45*100/'2.vize'!$I45,"")</f>
        <v/>
      </c>
      <c r="AB146" s="38" t="str">
        <f>IFERROR('2.vize'!AM45*100/'2.vize'!$I45,"")</f>
        <v/>
      </c>
      <c r="AC146" s="38" t="str">
        <f>IFERROR('2.vize'!AN45*100/'2.vize'!$I45,"")</f>
        <v/>
      </c>
      <c r="AD146" s="38" t="str">
        <f>IFERROR('2.vize'!AO45*100/'2.vize'!$I45,"")</f>
        <v/>
      </c>
      <c r="AE146" s="38" t="str">
        <f>IFERROR('2.vize'!AP45*100/'2.vize'!$I45,"")</f>
        <v/>
      </c>
      <c r="AF146" s="38" t="str">
        <f>IFERROR('2.vize'!AQ45*100/'2.vize'!$I45,"")</f>
        <v/>
      </c>
      <c r="AG146" s="38" t="str">
        <f>IFERROR('2.vize'!AR45*100/'2.vize'!$I45,"")</f>
        <v/>
      </c>
      <c r="AH146" s="38" t="str">
        <f>IFERROR('2.vize'!AS45*100/'2.vize'!$I45,"")</f>
        <v/>
      </c>
      <c r="AI146" s="38" t="str">
        <f>IFERROR('2.vize'!AT45*100/'2.vize'!$I45,"")</f>
        <v/>
      </c>
      <c r="AJ146" s="38" t="str">
        <f>IFERROR('2.vize'!AU45*100/'2.vize'!$I45,"")</f>
        <v/>
      </c>
      <c r="AK146" s="38" t="str">
        <f>IFERROR('2.vize'!AV45*100/'2.vize'!$I45,"")</f>
        <v/>
      </c>
      <c r="AL146" s="38" t="str">
        <f>IFERROR('2.vize'!AW45*100/'2.vize'!$I45,"")</f>
        <v/>
      </c>
      <c r="AM146" s="38" t="str">
        <f>IFERROR('2.vize'!AX45*100/'2.vize'!$I45,"")</f>
        <v/>
      </c>
      <c r="AN146" s="38" t="str">
        <f>IFERROR('2.vize'!AY45*100/'2.vize'!$I45,"")</f>
        <v/>
      </c>
      <c r="AO146" s="38" t="str">
        <f>IFERROR('2.vize'!AZ45*100/'2.vize'!$I45,"")</f>
        <v/>
      </c>
      <c r="AP146" s="38" t="str">
        <f>IFERROR('2.vize'!BA45*100/'2.vize'!$I45,"")</f>
        <v/>
      </c>
      <c r="AQ146" s="38" t="str">
        <f>IFERROR('2.vize'!BB45*100/'2.vize'!$I45,"")</f>
        <v/>
      </c>
      <c r="AR146" s="38" t="str">
        <f>IFERROR('2.vize'!BC45*100/'2.vize'!$I45,"")</f>
        <v/>
      </c>
      <c r="AS146" s="38" t="str">
        <f>IFERROR('2.vize'!BD45*100/'2.vize'!$I45,"")</f>
        <v/>
      </c>
      <c r="AT146" s="38" t="str">
        <f>IFERROR('2.vize'!BE45*100/'2.vize'!$I45,"")</f>
        <v/>
      </c>
      <c r="AU146" s="38" t="str">
        <f>IFERROR('2.vize'!BF45*100/'2.vize'!$I45,"")</f>
        <v/>
      </c>
      <c r="AV146" s="38" t="str">
        <f>IFERROR('2.vize'!BG45*100/'2.vize'!$I45,"")</f>
        <v/>
      </c>
      <c r="AW146" s="38" t="str">
        <f>IFERROR('2.vize'!BH45*100/'2.vize'!$I45,"")</f>
        <v/>
      </c>
      <c r="AX146" s="38" t="str">
        <f>IFERROR('2.vize'!BI45*100/'2.vize'!$I45,"")</f>
        <v/>
      </c>
      <c r="AY146" s="38" t="str">
        <f>IFERROR('2.vize'!BJ45*100/'2.vize'!$I45,"")</f>
        <v/>
      </c>
      <c r="AZ146" s="38" t="str">
        <f>IFERROR('2.vize'!BK45*100/'2.vize'!$I45,"")</f>
        <v/>
      </c>
      <c r="BA146" s="38" t="str">
        <f>IFERROR('2.vize'!BL45*100/'2.vize'!$I45,"")</f>
        <v/>
      </c>
      <c r="BB146" s="38" t="str">
        <f>IFERROR('2.vize'!BM45*100/'2.vize'!$I45,"")</f>
        <v/>
      </c>
      <c r="BC146" s="38" t="str">
        <f>IFERROR('2.vize'!BN45*100/'2.vize'!$I45,"")</f>
        <v/>
      </c>
      <c r="BD146" s="38" t="str">
        <f>IFERROR('2.vize'!BO45*100/'2.vize'!$I45,"")</f>
        <v/>
      </c>
      <c r="BE146" s="38" t="str">
        <f>IFERROR('2.vize'!BP45*100/'2.vize'!$I45,"")</f>
        <v/>
      </c>
      <c r="BF146" s="38" t="str">
        <f>IFERROR('2.vize'!BQ45*100/'2.vize'!$I45,"")</f>
        <v/>
      </c>
      <c r="BG146" s="38" t="str">
        <f>IFERROR('2.vize'!BR45*100/'2.vize'!$I45,"")</f>
        <v/>
      </c>
      <c r="BH146" s="38" t="str">
        <f>IFERROR('2.vize'!BS45*100/'2.vize'!$I45,"")</f>
        <v/>
      </c>
      <c r="BI146" s="38" t="str">
        <f>IFERROR('2.vize'!BT45*100/'2.vize'!$I45,"")</f>
        <v/>
      </c>
      <c r="BJ146" s="38" t="str">
        <f>IFERROR('2.vize'!BU45*100/'2.vize'!$I45,"")</f>
        <v/>
      </c>
      <c r="BK146" s="38" t="str">
        <f>IFERROR('2.vize'!BV45*100/'2.vize'!$I45,"")</f>
        <v/>
      </c>
      <c r="BL146" s="38" t="str">
        <f>IFERROR('2.vize'!BW45*100/'2.vize'!$I45,"")</f>
        <v/>
      </c>
      <c r="BM146" s="38" t="str">
        <f>IFERROR('2.vize'!BX45*100/'2.vize'!$I45,"")</f>
        <v/>
      </c>
      <c r="BN146" s="38" t="str">
        <f>IFERROR('2.vize'!BY45*100/'2.vize'!$I45,"")</f>
        <v/>
      </c>
      <c r="BO146" s="38" t="str">
        <f>IFERROR('2.vize'!BZ45*100/'2.vize'!$I45,"")</f>
        <v/>
      </c>
      <c r="BP146" s="38" t="str">
        <f>IFERROR('2.vize'!CA45*100/'2.vize'!$I45,"")</f>
        <v/>
      </c>
      <c r="BQ146" s="38" t="str">
        <f>IFERROR('2.vize'!CB45*100/'2.vize'!$I45,"")</f>
        <v/>
      </c>
      <c r="BR146" s="38" t="str">
        <f>IFERROR('2.vize'!CC45*100/'2.vize'!$I45,"")</f>
        <v/>
      </c>
      <c r="BS146" s="38" t="str">
        <f>IFERROR('2.vize'!CD45*100/'2.vize'!$I45,"")</f>
        <v/>
      </c>
      <c r="BT146" s="38" t="str">
        <f>IFERROR('2.vize'!CE45*100/'2.vize'!$I45,"")</f>
        <v/>
      </c>
      <c r="BU146" s="38" t="str">
        <f>IFERROR('2.vize'!CF45*100/'2.vize'!$I45,"")</f>
        <v/>
      </c>
      <c r="BV146" s="38" t="str">
        <f>IFERROR('2.vize'!CG45*100/'2.vize'!$I45,"")</f>
        <v/>
      </c>
      <c r="BW146" s="38" t="str">
        <f>IFERROR('2.vize'!CH45*100/'2.vize'!$I45,"")</f>
        <v/>
      </c>
      <c r="BX146" s="38" t="str">
        <f>IFERROR('2.vize'!CI45*100/'2.vize'!$I45,"")</f>
        <v/>
      </c>
      <c r="BY146" s="38" t="str">
        <f>IFERROR('2.vize'!CJ45*100/'2.vize'!$I45,"")</f>
        <v/>
      </c>
      <c r="BZ146" s="38" t="str">
        <f>IFERROR('2.vize'!CK45*100/'2.vize'!$I45,"")</f>
        <v/>
      </c>
      <c r="CA146" s="38" t="str">
        <f>IFERROR('2.vize'!CL45*100/'2.vize'!$I45,"")</f>
        <v/>
      </c>
      <c r="CB146" s="38" t="str">
        <f>IFERROR('2.vize'!CM45*100/'2.vize'!$I45,"")</f>
        <v/>
      </c>
      <c r="CC146" s="38" t="str">
        <f>IFERROR('2.vize'!CN45*100/'2.vize'!$I45,"")</f>
        <v/>
      </c>
      <c r="CD146" s="38" t="str">
        <f>IFERROR('2.vize'!CO45*100/'2.vize'!$I45,"")</f>
        <v/>
      </c>
      <c r="CE146" s="38" t="str">
        <f>IFERROR('2.vize'!CP45*100/'2.vize'!$I45,"")</f>
        <v/>
      </c>
      <c r="CF146" s="38" t="str">
        <f>IFERROR('2.vize'!CQ45*100/'2.vize'!$I45,"")</f>
        <v/>
      </c>
      <c r="CG146" s="38" t="str">
        <f>IFERROR('2.vize'!CR45*100/'2.vize'!$I45,"")</f>
        <v/>
      </c>
      <c r="CH146" s="38" t="str">
        <f>IFERROR('2.vize'!CS45*100/'2.vize'!$I45,"")</f>
        <v/>
      </c>
      <c r="CI146" s="38" t="str">
        <f>IFERROR('2.vize'!CT45*100/'2.vize'!$I45,"")</f>
        <v/>
      </c>
      <c r="CJ146" s="38" t="str">
        <f>IFERROR('2.vize'!CU45*100/'2.vize'!$I45,"")</f>
        <v/>
      </c>
      <c r="CK146" s="38" t="str">
        <f>IFERROR('2.vize'!CV45*100/'2.vize'!$I45,"")</f>
        <v/>
      </c>
      <c r="CL146" s="38" t="str">
        <f>IFERROR('2.vize'!CW45*100/'2.vize'!$I45,"")</f>
        <v/>
      </c>
      <c r="CM146" s="38" t="str">
        <f>IFERROR('2.vize'!CX45*100/'2.vize'!$I45,"")</f>
        <v/>
      </c>
      <c r="CN146" s="38" t="str">
        <f>IFERROR('2.vize'!CY45*100/'2.vize'!$I45,"")</f>
        <v/>
      </c>
      <c r="CO146" s="38" t="str">
        <f>IFERROR('2.vize'!CZ45*100/'2.vize'!$I45,"")</f>
        <v/>
      </c>
      <c r="CP146" s="38" t="str">
        <f>IFERROR('2.vize'!DA45*100/'2.vize'!$I45,"")</f>
        <v/>
      </c>
      <c r="CQ146" s="38" t="str">
        <f>IFERROR('2.vize'!DB45*100/'2.vize'!$I45,"")</f>
        <v/>
      </c>
      <c r="CR146" s="38" t="str">
        <f>IFERROR('2.vize'!DC45*100/'2.vize'!$I45,"")</f>
        <v/>
      </c>
      <c r="CS146" s="38" t="str">
        <f>IFERROR('2.vize'!DD45*100/'2.vize'!$I45,"")</f>
        <v/>
      </c>
      <c r="CT146" s="38" t="str">
        <f>IFERROR('2.vize'!DE45*100/'2.vize'!$I45,"")</f>
        <v/>
      </c>
      <c r="CU146" s="38" t="str">
        <f>IFERROR('2.vize'!DF45*100/'2.vize'!$I45,"")</f>
        <v/>
      </c>
      <c r="CV146" s="38" t="str">
        <f>IFERROR('2.vize'!DG45*100/'2.vize'!$I45,"")</f>
        <v/>
      </c>
      <c r="CW146" s="32" t="str">
        <f>IFERROR(SUM(A146:CV146)/'2.vize'!$DH$103,"")</f>
        <v/>
      </c>
      <c r="CX146" s="14" t="str">
        <f>IF(COUNTA('2.vize'!A45),'2.vize'!A45,"")</f>
        <v/>
      </c>
      <c r="CY146" s="14" t="str">
        <f>IF(COUNTA('2.vize'!B45),'2.vize'!B45,"")</f>
        <v/>
      </c>
      <c r="CZ146" s="14" t="str">
        <f>IF(COUNTA('2.vize'!C45),'2.vize'!C45,"")</f>
        <v/>
      </c>
      <c r="DA146" s="14" t="str">
        <f>IF(COUNTA('2.vize'!D45),'2.vize'!D45,"")</f>
        <v/>
      </c>
      <c r="DB146" s="14" t="str">
        <f>IF(COUNTA('2.vize'!E45),'2.vize'!E45,"")</f>
        <v/>
      </c>
      <c r="DC146" s="14" t="str">
        <f>IF(COUNTA('2.vize'!F45),'2.vize'!F45,"")</f>
        <v/>
      </c>
      <c r="DD146" s="14" t="str">
        <f>IF(COUNTA('2.vize'!G45),'2.vize'!G45,"")</f>
        <v/>
      </c>
      <c r="DE146" s="14" t="str">
        <f>IF(COUNTA('2.vize'!H45),'2.vize'!H45,"")</f>
        <v/>
      </c>
    </row>
    <row r="147" spans="1:109" x14ac:dyDescent="0.2">
      <c r="A147" s="38" t="str">
        <f>IFERROR('2.vize'!L46*100/'2.vize'!$I46,"")</f>
        <v/>
      </c>
      <c r="B147" s="38" t="str">
        <f>IFERROR('2.vize'!M46*100/'2.vize'!$I46,"")</f>
        <v/>
      </c>
      <c r="C147" s="38" t="str">
        <f>IFERROR('2.vize'!N46*100/'2.vize'!$I46,"")</f>
        <v/>
      </c>
      <c r="D147" s="38" t="str">
        <f>IFERROR('2.vize'!O46*100/'2.vize'!$I46,"")</f>
        <v/>
      </c>
      <c r="E147" s="38" t="str">
        <f>IFERROR('2.vize'!P46*100/'2.vize'!$I46,"")</f>
        <v/>
      </c>
      <c r="F147" s="38" t="str">
        <f>IFERROR('2.vize'!Q46*100/'2.vize'!$I46,"")</f>
        <v/>
      </c>
      <c r="G147" s="38" t="str">
        <f>IFERROR('2.vize'!R46*100/'2.vize'!$I46,"")</f>
        <v/>
      </c>
      <c r="H147" s="38" t="str">
        <f>IFERROR('2.vize'!S46*100/'2.vize'!$I46,"")</f>
        <v/>
      </c>
      <c r="I147" s="38" t="str">
        <f>IFERROR('2.vize'!T46*100/'2.vize'!$I46,"")</f>
        <v/>
      </c>
      <c r="J147" s="38" t="str">
        <f>IFERROR('2.vize'!U46*100/'2.vize'!$I46,"")</f>
        <v/>
      </c>
      <c r="K147" s="38" t="str">
        <f>IFERROR('2.vize'!V46*100/'2.vize'!$I46,"")</f>
        <v/>
      </c>
      <c r="L147" s="38" t="str">
        <f>IFERROR('2.vize'!W46*100/'2.vize'!$I46,"")</f>
        <v/>
      </c>
      <c r="M147" s="38" t="str">
        <f>IFERROR('2.vize'!X46*100/'2.vize'!$I46,"")</f>
        <v/>
      </c>
      <c r="N147" s="38" t="str">
        <f>IFERROR('2.vize'!Y46*100/'2.vize'!$I46,"")</f>
        <v/>
      </c>
      <c r="O147" s="38" t="str">
        <f>IFERROR('2.vize'!Z46*100/'2.vize'!$I46,"")</f>
        <v/>
      </c>
      <c r="P147" s="38" t="str">
        <f>IFERROR('2.vize'!AA46*100/'2.vize'!$I46,"")</f>
        <v/>
      </c>
      <c r="Q147" s="38" t="str">
        <f>IFERROR('2.vize'!AB46*100/'2.vize'!$I46,"")</f>
        <v/>
      </c>
      <c r="R147" s="38" t="str">
        <f>IFERROR('2.vize'!AC46*100/'2.vize'!$I46,"")</f>
        <v/>
      </c>
      <c r="S147" s="38" t="str">
        <f>IFERROR('2.vize'!AD46*100/'2.vize'!$I46,"")</f>
        <v/>
      </c>
      <c r="T147" s="38" t="str">
        <f>IFERROR('2.vize'!AE46*100/'2.vize'!$I46,"")</f>
        <v/>
      </c>
      <c r="U147" s="38" t="str">
        <f>IFERROR('2.vize'!AF46*100/'2.vize'!$I46,"")</f>
        <v/>
      </c>
      <c r="V147" s="38" t="str">
        <f>IFERROR('2.vize'!AG46*100/'2.vize'!$I46,"")</f>
        <v/>
      </c>
      <c r="W147" s="38" t="str">
        <f>IFERROR('2.vize'!AH46*100/'2.vize'!$I46,"")</f>
        <v/>
      </c>
      <c r="X147" s="38" t="str">
        <f>IFERROR('2.vize'!AI46*100/'2.vize'!$I46,"")</f>
        <v/>
      </c>
      <c r="Y147" s="38" t="str">
        <f>IFERROR('2.vize'!AJ46*100/'2.vize'!$I46,"")</f>
        <v/>
      </c>
      <c r="Z147" s="38" t="str">
        <f>IFERROR('2.vize'!AK46*100/'2.vize'!$I46,"")</f>
        <v/>
      </c>
      <c r="AA147" s="38" t="str">
        <f>IFERROR('2.vize'!AL46*100/'2.vize'!$I46,"")</f>
        <v/>
      </c>
      <c r="AB147" s="38" t="str">
        <f>IFERROR('2.vize'!AM46*100/'2.vize'!$I46,"")</f>
        <v/>
      </c>
      <c r="AC147" s="38" t="str">
        <f>IFERROR('2.vize'!AN46*100/'2.vize'!$I46,"")</f>
        <v/>
      </c>
      <c r="AD147" s="38" t="str">
        <f>IFERROR('2.vize'!AO46*100/'2.vize'!$I46,"")</f>
        <v/>
      </c>
      <c r="AE147" s="38" t="str">
        <f>IFERROR('2.vize'!AP46*100/'2.vize'!$I46,"")</f>
        <v/>
      </c>
      <c r="AF147" s="38" t="str">
        <f>IFERROR('2.vize'!AQ46*100/'2.vize'!$I46,"")</f>
        <v/>
      </c>
      <c r="AG147" s="38" t="str">
        <f>IFERROR('2.vize'!AR46*100/'2.vize'!$I46,"")</f>
        <v/>
      </c>
      <c r="AH147" s="38" t="str">
        <f>IFERROR('2.vize'!AS46*100/'2.vize'!$I46,"")</f>
        <v/>
      </c>
      <c r="AI147" s="38" t="str">
        <f>IFERROR('2.vize'!AT46*100/'2.vize'!$I46,"")</f>
        <v/>
      </c>
      <c r="AJ147" s="38" t="str">
        <f>IFERROR('2.vize'!AU46*100/'2.vize'!$I46,"")</f>
        <v/>
      </c>
      <c r="AK147" s="38" t="str">
        <f>IFERROR('2.vize'!AV46*100/'2.vize'!$I46,"")</f>
        <v/>
      </c>
      <c r="AL147" s="38" t="str">
        <f>IFERROR('2.vize'!AW46*100/'2.vize'!$I46,"")</f>
        <v/>
      </c>
      <c r="AM147" s="38" t="str">
        <f>IFERROR('2.vize'!AX46*100/'2.vize'!$I46,"")</f>
        <v/>
      </c>
      <c r="AN147" s="38" t="str">
        <f>IFERROR('2.vize'!AY46*100/'2.vize'!$I46,"")</f>
        <v/>
      </c>
      <c r="AO147" s="38" t="str">
        <f>IFERROR('2.vize'!AZ46*100/'2.vize'!$I46,"")</f>
        <v/>
      </c>
      <c r="AP147" s="38" t="str">
        <f>IFERROR('2.vize'!BA46*100/'2.vize'!$I46,"")</f>
        <v/>
      </c>
      <c r="AQ147" s="38" t="str">
        <f>IFERROR('2.vize'!BB46*100/'2.vize'!$I46,"")</f>
        <v/>
      </c>
      <c r="AR147" s="38" t="str">
        <f>IFERROR('2.vize'!BC46*100/'2.vize'!$I46,"")</f>
        <v/>
      </c>
      <c r="AS147" s="38" t="str">
        <f>IFERROR('2.vize'!BD46*100/'2.vize'!$I46,"")</f>
        <v/>
      </c>
      <c r="AT147" s="38" t="str">
        <f>IFERROR('2.vize'!BE46*100/'2.vize'!$I46,"")</f>
        <v/>
      </c>
      <c r="AU147" s="38" t="str">
        <f>IFERROR('2.vize'!BF46*100/'2.vize'!$I46,"")</f>
        <v/>
      </c>
      <c r="AV147" s="38" t="str">
        <f>IFERROR('2.vize'!BG46*100/'2.vize'!$I46,"")</f>
        <v/>
      </c>
      <c r="AW147" s="38" t="str">
        <f>IFERROR('2.vize'!BH46*100/'2.vize'!$I46,"")</f>
        <v/>
      </c>
      <c r="AX147" s="38" t="str">
        <f>IFERROR('2.vize'!BI46*100/'2.vize'!$I46,"")</f>
        <v/>
      </c>
      <c r="AY147" s="38" t="str">
        <f>IFERROR('2.vize'!BJ46*100/'2.vize'!$I46,"")</f>
        <v/>
      </c>
      <c r="AZ147" s="38" t="str">
        <f>IFERROR('2.vize'!BK46*100/'2.vize'!$I46,"")</f>
        <v/>
      </c>
      <c r="BA147" s="38" t="str">
        <f>IFERROR('2.vize'!BL46*100/'2.vize'!$I46,"")</f>
        <v/>
      </c>
      <c r="BB147" s="38" t="str">
        <f>IFERROR('2.vize'!BM46*100/'2.vize'!$I46,"")</f>
        <v/>
      </c>
      <c r="BC147" s="38" t="str">
        <f>IFERROR('2.vize'!BN46*100/'2.vize'!$I46,"")</f>
        <v/>
      </c>
      <c r="BD147" s="38" t="str">
        <f>IFERROR('2.vize'!BO46*100/'2.vize'!$I46,"")</f>
        <v/>
      </c>
      <c r="BE147" s="38" t="str">
        <f>IFERROR('2.vize'!BP46*100/'2.vize'!$I46,"")</f>
        <v/>
      </c>
      <c r="BF147" s="38" t="str">
        <f>IFERROR('2.vize'!BQ46*100/'2.vize'!$I46,"")</f>
        <v/>
      </c>
      <c r="BG147" s="38" t="str">
        <f>IFERROR('2.vize'!BR46*100/'2.vize'!$I46,"")</f>
        <v/>
      </c>
      <c r="BH147" s="38" t="str">
        <f>IFERROR('2.vize'!BS46*100/'2.vize'!$I46,"")</f>
        <v/>
      </c>
      <c r="BI147" s="38" t="str">
        <f>IFERROR('2.vize'!BT46*100/'2.vize'!$I46,"")</f>
        <v/>
      </c>
      <c r="BJ147" s="38" t="str">
        <f>IFERROR('2.vize'!BU46*100/'2.vize'!$I46,"")</f>
        <v/>
      </c>
      <c r="BK147" s="38" t="str">
        <f>IFERROR('2.vize'!BV46*100/'2.vize'!$I46,"")</f>
        <v/>
      </c>
      <c r="BL147" s="38" t="str">
        <f>IFERROR('2.vize'!BW46*100/'2.vize'!$I46,"")</f>
        <v/>
      </c>
      <c r="BM147" s="38" t="str">
        <f>IFERROR('2.vize'!BX46*100/'2.vize'!$I46,"")</f>
        <v/>
      </c>
      <c r="BN147" s="38" t="str">
        <f>IFERROR('2.vize'!BY46*100/'2.vize'!$I46,"")</f>
        <v/>
      </c>
      <c r="BO147" s="38" t="str">
        <f>IFERROR('2.vize'!BZ46*100/'2.vize'!$I46,"")</f>
        <v/>
      </c>
      <c r="BP147" s="38" t="str">
        <f>IFERROR('2.vize'!CA46*100/'2.vize'!$I46,"")</f>
        <v/>
      </c>
      <c r="BQ147" s="38" t="str">
        <f>IFERROR('2.vize'!CB46*100/'2.vize'!$I46,"")</f>
        <v/>
      </c>
      <c r="BR147" s="38" t="str">
        <f>IFERROR('2.vize'!CC46*100/'2.vize'!$I46,"")</f>
        <v/>
      </c>
      <c r="BS147" s="38" t="str">
        <f>IFERROR('2.vize'!CD46*100/'2.vize'!$I46,"")</f>
        <v/>
      </c>
      <c r="BT147" s="38" t="str">
        <f>IFERROR('2.vize'!CE46*100/'2.vize'!$I46,"")</f>
        <v/>
      </c>
      <c r="BU147" s="38" t="str">
        <f>IFERROR('2.vize'!CF46*100/'2.vize'!$I46,"")</f>
        <v/>
      </c>
      <c r="BV147" s="38" t="str">
        <f>IFERROR('2.vize'!CG46*100/'2.vize'!$I46,"")</f>
        <v/>
      </c>
      <c r="BW147" s="38" t="str">
        <f>IFERROR('2.vize'!CH46*100/'2.vize'!$I46,"")</f>
        <v/>
      </c>
      <c r="BX147" s="38" t="str">
        <f>IFERROR('2.vize'!CI46*100/'2.vize'!$I46,"")</f>
        <v/>
      </c>
      <c r="BY147" s="38" t="str">
        <f>IFERROR('2.vize'!CJ46*100/'2.vize'!$I46,"")</f>
        <v/>
      </c>
      <c r="BZ147" s="38" t="str">
        <f>IFERROR('2.vize'!CK46*100/'2.vize'!$I46,"")</f>
        <v/>
      </c>
      <c r="CA147" s="38" t="str">
        <f>IFERROR('2.vize'!CL46*100/'2.vize'!$I46,"")</f>
        <v/>
      </c>
      <c r="CB147" s="38" t="str">
        <f>IFERROR('2.vize'!CM46*100/'2.vize'!$I46,"")</f>
        <v/>
      </c>
      <c r="CC147" s="38" t="str">
        <f>IFERROR('2.vize'!CN46*100/'2.vize'!$I46,"")</f>
        <v/>
      </c>
      <c r="CD147" s="38" t="str">
        <f>IFERROR('2.vize'!CO46*100/'2.vize'!$I46,"")</f>
        <v/>
      </c>
      <c r="CE147" s="38" t="str">
        <f>IFERROR('2.vize'!CP46*100/'2.vize'!$I46,"")</f>
        <v/>
      </c>
      <c r="CF147" s="38" t="str">
        <f>IFERROR('2.vize'!CQ46*100/'2.vize'!$I46,"")</f>
        <v/>
      </c>
      <c r="CG147" s="38" t="str">
        <f>IFERROR('2.vize'!CR46*100/'2.vize'!$I46,"")</f>
        <v/>
      </c>
      <c r="CH147" s="38" t="str">
        <f>IFERROR('2.vize'!CS46*100/'2.vize'!$I46,"")</f>
        <v/>
      </c>
      <c r="CI147" s="38" t="str">
        <f>IFERROR('2.vize'!CT46*100/'2.vize'!$I46,"")</f>
        <v/>
      </c>
      <c r="CJ147" s="38" t="str">
        <f>IFERROR('2.vize'!CU46*100/'2.vize'!$I46,"")</f>
        <v/>
      </c>
      <c r="CK147" s="38" t="str">
        <f>IFERROR('2.vize'!CV46*100/'2.vize'!$I46,"")</f>
        <v/>
      </c>
      <c r="CL147" s="38" t="str">
        <f>IFERROR('2.vize'!CW46*100/'2.vize'!$I46,"")</f>
        <v/>
      </c>
      <c r="CM147" s="38" t="str">
        <f>IFERROR('2.vize'!CX46*100/'2.vize'!$I46,"")</f>
        <v/>
      </c>
      <c r="CN147" s="38" t="str">
        <f>IFERROR('2.vize'!CY46*100/'2.vize'!$I46,"")</f>
        <v/>
      </c>
      <c r="CO147" s="38" t="str">
        <f>IFERROR('2.vize'!CZ46*100/'2.vize'!$I46,"")</f>
        <v/>
      </c>
      <c r="CP147" s="38" t="str">
        <f>IFERROR('2.vize'!DA46*100/'2.vize'!$I46,"")</f>
        <v/>
      </c>
      <c r="CQ147" s="38" t="str">
        <f>IFERROR('2.vize'!DB46*100/'2.vize'!$I46,"")</f>
        <v/>
      </c>
      <c r="CR147" s="38" t="str">
        <f>IFERROR('2.vize'!DC46*100/'2.vize'!$I46,"")</f>
        <v/>
      </c>
      <c r="CS147" s="38" t="str">
        <f>IFERROR('2.vize'!DD46*100/'2.vize'!$I46,"")</f>
        <v/>
      </c>
      <c r="CT147" s="38" t="str">
        <f>IFERROR('2.vize'!DE46*100/'2.vize'!$I46,"")</f>
        <v/>
      </c>
      <c r="CU147" s="38" t="str">
        <f>IFERROR('2.vize'!DF46*100/'2.vize'!$I46,"")</f>
        <v/>
      </c>
      <c r="CV147" s="38" t="str">
        <f>IFERROR('2.vize'!DG46*100/'2.vize'!$I46,"")</f>
        <v/>
      </c>
      <c r="CW147" s="32" t="str">
        <f>IFERROR(SUM(A147:CV147)/'2.vize'!$DH$103,"")</f>
        <v/>
      </c>
      <c r="CX147" s="14" t="str">
        <f>IF(COUNTA('2.vize'!A46),'2.vize'!A46,"")</f>
        <v/>
      </c>
      <c r="CY147" s="14" t="str">
        <f>IF(COUNTA('2.vize'!B46),'2.vize'!B46,"")</f>
        <v/>
      </c>
      <c r="CZ147" s="14" t="str">
        <f>IF(COUNTA('2.vize'!C46),'2.vize'!C46,"")</f>
        <v/>
      </c>
      <c r="DA147" s="14" t="str">
        <f>IF(COUNTA('2.vize'!D46),'2.vize'!D46,"")</f>
        <v/>
      </c>
      <c r="DB147" s="14" t="str">
        <f>IF(COUNTA('2.vize'!E46),'2.vize'!E46,"")</f>
        <v/>
      </c>
      <c r="DC147" s="14" t="str">
        <f>IF(COUNTA('2.vize'!F46),'2.vize'!F46,"")</f>
        <v/>
      </c>
      <c r="DD147" s="14" t="str">
        <f>IF(COUNTA('2.vize'!G46),'2.vize'!G46,"")</f>
        <v/>
      </c>
      <c r="DE147" s="14" t="str">
        <f>IF(COUNTA('2.vize'!H46),'2.vize'!H46,"")</f>
        <v/>
      </c>
    </row>
    <row r="148" spans="1:109" x14ac:dyDescent="0.2">
      <c r="A148" s="38" t="str">
        <f>IFERROR('2.vize'!L47*100/'2.vize'!$I47,"")</f>
        <v/>
      </c>
      <c r="B148" s="38" t="str">
        <f>IFERROR('2.vize'!M47*100/'2.vize'!$I47,"")</f>
        <v/>
      </c>
      <c r="C148" s="38" t="str">
        <f>IFERROR('2.vize'!N47*100/'2.vize'!$I47,"")</f>
        <v/>
      </c>
      <c r="D148" s="38" t="str">
        <f>IFERROR('2.vize'!O47*100/'2.vize'!$I47,"")</f>
        <v/>
      </c>
      <c r="E148" s="38" t="str">
        <f>IFERROR('2.vize'!P47*100/'2.vize'!$I47,"")</f>
        <v/>
      </c>
      <c r="F148" s="38" t="str">
        <f>IFERROR('2.vize'!Q47*100/'2.vize'!$I47,"")</f>
        <v/>
      </c>
      <c r="G148" s="38" t="str">
        <f>IFERROR('2.vize'!R47*100/'2.vize'!$I47,"")</f>
        <v/>
      </c>
      <c r="H148" s="38" t="str">
        <f>IFERROR('2.vize'!S47*100/'2.vize'!$I47,"")</f>
        <v/>
      </c>
      <c r="I148" s="38" t="str">
        <f>IFERROR('2.vize'!T47*100/'2.vize'!$I47,"")</f>
        <v/>
      </c>
      <c r="J148" s="38" t="str">
        <f>IFERROR('2.vize'!U47*100/'2.vize'!$I47,"")</f>
        <v/>
      </c>
      <c r="K148" s="38" t="str">
        <f>IFERROR('2.vize'!V47*100/'2.vize'!$I47,"")</f>
        <v/>
      </c>
      <c r="L148" s="38" t="str">
        <f>IFERROR('2.vize'!W47*100/'2.vize'!$I47,"")</f>
        <v/>
      </c>
      <c r="M148" s="38" t="str">
        <f>IFERROR('2.vize'!X47*100/'2.vize'!$I47,"")</f>
        <v/>
      </c>
      <c r="N148" s="38" t="str">
        <f>IFERROR('2.vize'!Y47*100/'2.vize'!$I47,"")</f>
        <v/>
      </c>
      <c r="O148" s="38" t="str">
        <f>IFERROR('2.vize'!Z47*100/'2.vize'!$I47,"")</f>
        <v/>
      </c>
      <c r="P148" s="38" t="str">
        <f>IFERROR('2.vize'!AA47*100/'2.vize'!$I47,"")</f>
        <v/>
      </c>
      <c r="Q148" s="38" t="str">
        <f>IFERROR('2.vize'!AB47*100/'2.vize'!$I47,"")</f>
        <v/>
      </c>
      <c r="R148" s="38" t="str">
        <f>IFERROR('2.vize'!AC47*100/'2.vize'!$I47,"")</f>
        <v/>
      </c>
      <c r="S148" s="38" t="str">
        <f>IFERROR('2.vize'!AD47*100/'2.vize'!$I47,"")</f>
        <v/>
      </c>
      <c r="T148" s="38" t="str">
        <f>IFERROR('2.vize'!AE47*100/'2.vize'!$I47,"")</f>
        <v/>
      </c>
      <c r="U148" s="38" t="str">
        <f>IFERROR('2.vize'!AF47*100/'2.vize'!$I47,"")</f>
        <v/>
      </c>
      <c r="V148" s="38" t="str">
        <f>IFERROR('2.vize'!AG47*100/'2.vize'!$I47,"")</f>
        <v/>
      </c>
      <c r="W148" s="38" t="str">
        <f>IFERROR('2.vize'!AH47*100/'2.vize'!$I47,"")</f>
        <v/>
      </c>
      <c r="X148" s="38" t="str">
        <f>IFERROR('2.vize'!AI47*100/'2.vize'!$I47,"")</f>
        <v/>
      </c>
      <c r="Y148" s="38" t="str">
        <f>IFERROR('2.vize'!AJ47*100/'2.vize'!$I47,"")</f>
        <v/>
      </c>
      <c r="Z148" s="38" t="str">
        <f>IFERROR('2.vize'!AK47*100/'2.vize'!$I47,"")</f>
        <v/>
      </c>
      <c r="AA148" s="38" t="str">
        <f>IFERROR('2.vize'!AL47*100/'2.vize'!$I47,"")</f>
        <v/>
      </c>
      <c r="AB148" s="38" t="str">
        <f>IFERROR('2.vize'!AM47*100/'2.vize'!$I47,"")</f>
        <v/>
      </c>
      <c r="AC148" s="38" t="str">
        <f>IFERROR('2.vize'!AN47*100/'2.vize'!$I47,"")</f>
        <v/>
      </c>
      <c r="AD148" s="38" t="str">
        <f>IFERROR('2.vize'!AO47*100/'2.vize'!$I47,"")</f>
        <v/>
      </c>
      <c r="AE148" s="38" t="str">
        <f>IFERROR('2.vize'!AP47*100/'2.vize'!$I47,"")</f>
        <v/>
      </c>
      <c r="AF148" s="38" t="str">
        <f>IFERROR('2.vize'!AQ47*100/'2.vize'!$I47,"")</f>
        <v/>
      </c>
      <c r="AG148" s="38" t="str">
        <f>IFERROR('2.vize'!AR47*100/'2.vize'!$I47,"")</f>
        <v/>
      </c>
      <c r="AH148" s="38" t="str">
        <f>IFERROR('2.vize'!AS47*100/'2.vize'!$I47,"")</f>
        <v/>
      </c>
      <c r="AI148" s="38" t="str">
        <f>IFERROR('2.vize'!AT47*100/'2.vize'!$I47,"")</f>
        <v/>
      </c>
      <c r="AJ148" s="38" t="str">
        <f>IFERROR('2.vize'!AU47*100/'2.vize'!$I47,"")</f>
        <v/>
      </c>
      <c r="AK148" s="38" t="str">
        <f>IFERROR('2.vize'!AV47*100/'2.vize'!$I47,"")</f>
        <v/>
      </c>
      <c r="AL148" s="38" t="str">
        <f>IFERROR('2.vize'!AW47*100/'2.vize'!$I47,"")</f>
        <v/>
      </c>
      <c r="AM148" s="38" t="str">
        <f>IFERROR('2.vize'!AX47*100/'2.vize'!$I47,"")</f>
        <v/>
      </c>
      <c r="AN148" s="38" t="str">
        <f>IFERROR('2.vize'!AY47*100/'2.vize'!$I47,"")</f>
        <v/>
      </c>
      <c r="AO148" s="38" t="str">
        <f>IFERROR('2.vize'!AZ47*100/'2.vize'!$I47,"")</f>
        <v/>
      </c>
      <c r="AP148" s="38" t="str">
        <f>IFERROR('2.vize'!BA47*100/'2.vize'!$I47,"")</f>
        <v/>
      </c>
      <c r="AQ148" s="38" t="str">
        <f>IFERROR('2.vize'!BB47*100/'2.vize'!$I47,"")</f>
        <v/>
      </c>
      <c r="AR148" s="38" t="str">
        <f>IFERROR('2.vize'!BC47*100/'2.vize'!$I47,"")</f>
        <v/>
      </c>
      <c r="AS148" s="38" t="str">
        <f>IFERROR('2.vize'!BD47*100/'2.vize'!$I47,"")</f>
        <v/>
      </c>
      <c r="AT148" s="38" t="str">
        <f>IFERROR('2.vize'!BE47*100/'2.vize'!$I47,"")</f>
        <v/>
      </c>
      <c r="AU148" s="38" t="str">
        <f>IFERROR('2.vize'!BF47*100/'2.vize'!$I47,"")</f>
        <v/>
      </c>
      <c r="AV148" s="38" t="str">
        <f>IFERROR('2.vize'!BG47*100/'2.vize'!$I47,"")</f>
        <v/>
      </c>
      <c r="AW148" s="38" t="str">
        <f>IFERROR('2.vize'!BH47*100/'2.vize'!$I47,"")</f>
        <v/>
      </c>
      <c r="AX148" s="38" t="str">
        <f>IFERROR('2.vize'!BI47*100/'2.vize'!$I47,"")</f>
        <v/>
      </c>
      <c r="AY148" s="38" t="str">
        <f>IFERROR('2.vize'!BJ47*100/'2.vize'!$I47,"")</f>
        <v/>
      </c>
      <c r="AZ148" s="38" t="str">
        <f>IFERROR('2.vize'!BK47*100/'2.vize'!$I47,"")</f>
        <v/>
      </c>
      <c r="BA148" s="38" t="str">
        <f>IFERROR('2.vize'!BL47*100/'2.vize'!$I47,"")</f>
        <v/>
      </c>
      <c r="BB148" s="38" t="str">
        <f>IFERROR('2.vize'!BM47*100/'2.vize'!$I47,"")</f>
        <v/>
      </c>
      <c r="BC148" s="38" t="str">
        <f>IFERROR('2.vize'!BN47*100/'2.vize'!$I47,"")</f>
        <v/>
      </c>
      <c r="BD148" s="38" t="str">
        <f>IFERROR('2.vize'!BO47*100/'2.vize'!$I47,"")</f>
        <v/>
      </c>
      <c r="BE148" s="38" t="str">
        <f>IFERROR('2.vize'!BP47*100/'2.vize'!$I47,"")</f>
        <v/>
      </c>
      <c r="BF148" s="38" t="str">
        <f>IFERROR('2.vize'!BQ47*100/'2.vize'!$I47,"")</f>
        <v/>
      </c>
      <c r="BG148" s="38" t="str">
        <f>IFERROR('2.vize'!BR47*100/'2.vize'!$I47,"")</f>
        <v/>
      </c>
      <c r="BH148" s="38" t="str">
        <f>IFERROR('2.vize'!BS47*100/'2.vize'!$I47,"")</f>
        <v/>
      </c>
      <c r="BI148" s="38" t="str">
        <f>IFERROR('2.vize'!BT47*100/'2.vize'!$I47,"")</f>
        <v/>
      </c>
      <c r="BJ148" s="38" t="str">
        <f>IFERROR('2.vize'!BU47*100/'2.vize'!$I47,"")</f>
        <v/>
      </c>
      <c r="BK148" s="38" t="str">
        <f>IFERROR('2.vize'!BV47*100/'2.vize'!$I47,"")</f>
        <v/>
      </c>
      <c r="BL148" s="38" t="str">
        <f>IFERROR('2.vize'!BW47*100/'2.vize'!$I47,"")</f>
        <v/>
      </c>
      <c r="BM148" s="38" t="str">
        <f>IFERROR('2.vize'!BX47*100/'2.vize'!$I47,"")</f>
        <v/>
      </c>
      <c r="BN148" s="38" t="str">
        <f>IFERROR('2.vize'!BY47*100/'2.vize'!$I47,"")</f>
        <v/>
      </c>
      <c r="BO148" s="38" t="str">
        <f>IFERROR('2.vize'!BZ47*100/'2.vize'!$I47,"")</f>
        <v/>
      </c>
      <c r="BP148" s="38" t="str">
        <f>IFERROR('2.vize'!CA47*100/'2.vize'!$I47,"")</f>
        <v/>
      </c>
      <c r="BQ148" s="38" t="str">
        <f>IFERROR('2.vize'!CB47*100/'2.vize'!$I47,"")</f>
        <v/>
      </c>
      <c r="BR148" s="38" t="str">
        <f>IFERROR('2.vize'!CC47*100/'2.vize'!$I47,"")</f>
        <v/>
      </c>
      <c r="BS148" s="38" t="str">
        <f>IFERROR('2.vize'!CD47*100/'2.vize'!$I47,"")</f>
        <v/>
      </c>
      <c r="BT148" s="38" t="str">
        <f>IFERROR('2.vize'!CE47*100/'2.vize'!$I47,"")</f>
        <v/>
      </c>
      <c r="BU148" s="38" t="str">
        <f>IFERROR('2.vize'!CF47*100/'2.vize'!$I47,"")</f>
        <v/>
      </c>
      <c r="BV148" s="38" t="str">
        <f>IFERROR('2.vize'!CG47*100/'2.vize'!$I47,"")</f>
        <v/>
      </c>
      <c r="BW148" s="38" t="str">
        <f>IFERROR('2.vize'!CH47*100/'2.vize'!$I47,"")</f>
        <v/>
      </c>
      <c r="BX148" s="38" t="str">
        <f>IFERROR('2.vize'!CI47*100/'2.vize'!$I47,"")</f>
        <v/>
      </c>
      <c r="BY148" s="38" t="str">
        <f>IFERROR('2.vize'!CJ47*100/'2.vize'!$I47,"")</f>
        <v/>
      </c>
      <c r="BZ148" s="38" t="str">
        <f>IFERROR('2.vize'!CK47*100/'2.vize'!$I47,"")</f>
        <v/>
      </c>
      <c r="CA148" s="38" t="str">
        <f>IFERROR('2.vize'!CL47*100/'2.vize'!$I47,"")</f>
        <v/>
      </c>
      <c r="CB148" s="38" t="str">
        <f>IFERROR('2.vize'!CM47*100/'2.vize'!$I47,"")</f>
        <v/>
      </c>
      <c r="CC148" s="38" t="str">
        <f>IFERROR('2.vize'!CN47*100/'2.vize'!$I47,"")</f>
        <v/>
      </c>
      <c r="CD148" s="38" t="str">
        <f>IFERROR('2.vize'!CO47*100/'2.vize'!$I47,"")</f>
        <v/>
      </c>
      <c r="CE148" s="38" t="str">
        <f>IFERROR('2.vize'!CP47*100/'2.vize'!$I47,"")</f>
        <v/>
      </c>
      <c r="CF148" s="38" t="str">
        <f>IFERROR('2.vize'!CQ47*100/'2.vize'!$I47,"")</f>
        <v/>
      </c>
      <c r="CG148" s="38" t="str">
        <f>IFERROR('2.vize'!CR47*100/'2.vize'!$I47,"")</f>
        <v/>
      </c>
      <c r="CH148" s="38" t="str">
        <f>IFERROR('2.vize'!CS47*100/'2.vize'!$I47,"")</f>
        <v/>
      </c>
      <c r="CI148" s="38" t="str">
        <f>IFERROR('2.vize'!CT47*100/'2.vize'!$I47,"")</f>
        <v/>
      </c>
      <c r="CJ148" s="38" t="str">
        <f>IFERROR('2.vize'!CU47*100/'2.vize'!$I47,"")</f>
        <v/>
      </c>
      <c r="CK148" s="38" t="str">
        <f>IFERROR('2.vize'!CV47*100/'2.vize'!$I47,"")</f>
        <v/>
      </c>
      <c r="CL148" s="38" t="str">
        <f>IFERROR('2.vize'!CW47*100/'2.vize'!$I47,"")</f>
        <v/>
      </c>
      <c r="CM148" s="38" t="str">
        <f>IFERROR('2.vize'!CX47*100/'2.vize'!$I47,"")</f>
        <v/>
      </c>
      <c r="CN148" s="38" t="str">
        <f>IFERROR('2.vize'!CY47*100/'2.vize'!$I47,"")</f>
        <v/>
      </c>
      <c r="CO148" s="38" t="str">
        <f>IFERROR('2.vize'!CZ47*100/'2.vize'!$I47,"")</f>
        <v/>
      </c>
      <c r="CP148" s="38" t="str">
        <f>IFERROR('2.vize'!DA47*100/'2.vize'!$I47,"")</f>
        <v/>
      </c>
      <c r="CQ148" s="38" t="str">
        <f>IFERROR('2.vize'!DB47*100/'2.vize'!$I47,"")</f>
        <v/>
      </c>
      <c r="CR148" s="38" t="str">
        <f>IFERROR('2.vize'!DC47*100/'2.vize'!$I47,"")</f>
        <v/>
      </c>
      <c r="CS148" s="38" t="str">
        <f>IFERROR('2.vize'!DD47*100/'2.vize'!$I47,"")</f>
        <v/>
      </c>
      <c r="CT148" s="38" t="str">
        <f>IFERROR('2.vize'!DE47*100/'2.vize'!$I47,"")</f>
        <v/>
      </c>
      <c r="CU148" s="38" t="str">
        <f>IFERROR('2.vize'!DF47*100/'2.vize'!$I47,"")</f>
        <v/>
      </c>
      <c r="CV148" s="38" t="str">
        <f>IFERROR('2.vize'!DG47*100/'2.vize'!$I47,"")</f>
        <v/>
      </c>
      <c r="CW148" s="32" t="str">
        <f>IFERROR(SUM(A148:CV148)/'2.vize'!$DH$103,"")</f>
        <v/>
      </c>
      <c r="CX148" s="14" t="str">
        <f>IF(COUNTA('2.vize'!A47),'2.vize'!A47,"")</f>
        <v/>
      </c>
      <c r="CY148" s="14" t="str">
        <f>IF(COUNTA('2.vize'!B47),'2.vize'!B47,"")</f>
        <v/>
      </c>
      <c r="CZ148" s="14" t="str">
        <f>IF(COUNTA('2.vize'!C47),'2.vize'!C47,"")</f>
        <v/>
      </c>
      <c r="DA148" s="14" t="str">
        <f>IF(COUNTA('2.vize'!D47),'2.vize'!D47,"")</f>
        <v/>
      </c>
      <c r="DB148" s="14" t="str">
        <f>IF(COUNTA('2.vize'!E47),'2.vize'!E47,"")</f>
        <v/>
      </c>
      <c r="DC148" s="14" t="str">
        <f>IF(COUNTA('2.vize'!F47),'2.vize'!F47,"")</f>
        <v/>
      </c>
      <c r="DD148" s="14" t="str">
        <f>IF(COUNTA('2.vize'!G47),'2.vize'!G47,"")</f>
        <v/>
      </c>
      <c r="DE148" s="14" t="str">
        <f>IF(COUNTA('2.vize'!H47),'2.vize'!H47,"")</f>
        <v/>
      </c>
    </row>
    <row r="149" spans="1:109" x14ac:dyDescent="0.2">
      <c r="A149" s="38" t="str">
        <f>IFERROR('2.vize'!L48*100/'2.vize'!$I48,"")</f>
        <v/>
      </c>
      <c r="B149" s="38" t="str">
        <f>IFERROR('2.vize'!M48*100/'2.vize'!$I48,"")</f>
        <v/>
      </c>
      <c r="C149" s="38" t="str">
        <f>IFERROR('2.vize'!N48*100/'2.vize'!$I48,"")</f>
        <v/>
      </c>
      <c r="D149" s="38" t="str">
        <f>IFERROR('2.vize'!O48*100/'2.vize'!$I48,"")</f>
        <v/>
      </c>
      <c r="E149" s="38" t="str">
        <f>IFERROR('2.vize'!P48*100/'2.vize'!$I48,"")</f>
        <v/>
      </c>
      <c r="F149" s="38" t="str">
        <f>IFERROR('2.vize'!Q48*100/'2.vize'!$I48,"")</f>
        <v/>
      </c>
      <c r="G149" s="38" t="str">
        <f>IFERROR('2.vize'!R48*100/'2.vize'!$I48,"")</f>
        <v/>
      </c>
      <c r="H149" s="38" t="str">
        <f>IFERROR('2.vize'!S48*100/'2.vize'!$I48,"")</f>
        <v/>
      </c>
      <c r="I149" s="38" t="str">
        <f>IFERROR('2.vize'!T48*100/'2.vize'!$I48,"")</f>
        <v/>
      </c>
      <c r="J149" s="38" t="str">
        <f>IFERROR('2.vize'!U48*100/'2.vize'!$I48,"")</f>
        <v/>
      </c>
      <c r="K149" s="38" t="str">
        <f>IFERROR('2.vize'!V48*100/'2.vize'!$I48,"")</f>
        <v/>
      </c>
      <c r="L149" s="38" t="str">
        <f>IFERROR('2.vize'!W48*100/'2.vize'!$I48,"")</f>
        <v/>
      </c>
      <c r="M149" s="38" t="str">
        <f>IFERROR('2.vize'!X48*100/'2.vize'!$I48,"")</f>
        <v/>
      </c>
      <c r="N149" s="38" t="str">
        <f>IFERROR('2.vize'!Y48*100/'2.vize'!$I48,"")</f>
        <v/>
      </c>
      <c r="O149" s="38" t="str">
        <f>IFERROR('2.vize'!Z48*100/'2.vize'!$I48,"")</f>
        <v/>
      </c>
      <c r="P149" s="38" t="str">
        <f>IFERROR('2.vize'!AA48*100/'2.vize'!$I48,"")</f>
        <v/>
      </c>
      <c r="Q149" s="38" t="str">
        <f>IFERROR('2.vize'!AB48*100/'2.vize'!$I48,"")</f>
        <v/>
      </c>
      <c r="R149" s="38" t="str">
        <f>IFERROR('2.vize'!AC48*100/'2.vize'!$I48,"")</f>
        <v/>
      </c>
      <c r="S149" s="38" t="str">
        <f>IFERROR('2.vize'!AD48*100/'2.vize'!$I48,"")</f>
        <v/>
      </c>
      <c r="T149" s="38" t="str">
        <f>IFERROR('2.vize'!AE48*100/'2.vize'!$I48,"")</f>
        <v/>
      </c>
      <c r="U149" s="38" t="str">
        <f>IFERROR('2.vize'!AF48*100/'2.vize'!$I48,"")</f>
        <v/>
      </c>
      <c r="V149" s="38" t="str">
        <f>IFERROR('2.vize'!AG48*100/'2.vize'!$I48,"")</f>
        <v/>
      </c>
      <c r="W149" s="38" t="str">
        <f>IFERROR('2.vize'!AH48*100/'2.vize'!$I48,"")</f>
        <v/>
      </c>
      <c r="X149" s="38" t="str">
        <f>IFERROR('2.vize'!AI48*100/'2.vize'!$I48,"")</f>
        <v/>
      </c>
      <c r="Y149" s="38" t="str">
        <f>IFERROR('2.vize'!AJ48*100/'2.vize'!$I48,"")</f>
        <v/>
      </c>
      <c r="Z149" s="38" t="str">
        <f>IFERROR('2.vize'!AK48*100/'2.vize'!$I48,"")</f>
        <v/>
      </c>
      <c r="AA149" s="38" t="str">
        <f>IFERROR('2.vize'!AL48*100/'2.vize'!$I48,"")</f>
        <v/>
      </c>
      <c r="AB149" s="38" t="str">
        <f>IFERROR('2.vize'!AM48*100/'2.vize'!$I48,"")</f>
        <v/>
      </c>
      <c r="AC149" s="38" t="str">
        <f>IFERROR('2.vize'!AN48*100/'2.vize'!$I48,"")</f>
        <v/>
      </c>
      <c r="AD149" s="38" t="str">
        <f>IFERROR('2.vize'!AO48*100/'2.vize'!$I48,"")</f>
        <v/>
      </c>
      <c r="AE149" s="38" t="str">
        <f>IFERROR('2.vize'!AP48*100/'2.vize'!$I48,"")</f>
        <v/>
      </c>
      <c r="AF149" s="38" t="str">
        <f>IFERROR('2.vize'!AQ48*100/'2.vize'!$I48,"")</f>
        <v/>
      </c>
      <c r="AG149" s="38" t="str">
        <f>IFERROR('2.vize'!AR48*100/'2.vize'!$I48,"")</f>
        <v/>
      </c>
      <c r="AH149" s="38" t="str">
        <f>IFERROR('2.vize'!AS48*100/'2.vize'!$I48,"")</f>
        <v/>
      </c>
      <c r="AI149" s="38" t="str">
        <f>IFERROR('2.vize'!AT48*100/'2.vize'!$I48,"")</f>
        <v/>
      </c>
      <c r="AJ149" s="38" t="str">
        <f>IFERROR('2.vize'!AU48*100/'2.vize'!$I48,"")</f>
        <v/>
      </c>
      <c r="AK149" s="38" t="str">
        <f>IFERROR('2.vize'!AV48*100/'2.vize'!$I48,"")</f>
        <v/>
      </c>
      <c r="AL149" s="38" t="str">
        <f>IFERROR('2.vize'!AW48*100/'2.vize'!$I48,"")</f>
        <v/>
      </c>
      <c r="AM149" s="38" t="str">
        <f>IFERROR('2.vize'!AX48*100/'2.vize'!$I48,"")</f>
        <v/>
      </c>
      <c r="AN149" s="38" t="str">
        <f>IFERROR('2.vize'!AY48*100/'2.vize'!$I48,"")</f>
        <v/>
      </c>
      <c r="AO149" s="38" t="str">
        <f>IFERROR('2.vize'!AZ48*100/'2.vize'!$I48,"")</f>
        <v/>
      </c>
      <c r="AP149" s="38" t="str">
        <f>IFERROR('2.vize'!BA48*100/'2.vize'!$I48,"")</f>
        <v/>
      </c>
      <c r="AQ149" s="38" t="str">
        <f>IFERROR('2.vize'!BB48*100/'2.vize'!$I48,"")</f>
        <v/>
      </c>
      <c r="AR149" s="38" t="str">
        <f>IFERROR('2.vize'!BC48*100/'2.vize'!$I48,"")</f>
        <v/>
      </c>
      <c r="AS149" s="38" t="str">
        <f>IFERROR('2.vize'!BD48*100/'2.vize'!$I48,"")</f>
        <v/>
      </c>
      <c r="AT149" s="38" t="str">
        <f>IFERROR('2.vize'!BE48*100/'2.vize'!$I48,"")</f>
        <v/>
      </c>
      <c r="AU149" s="38" t="str">
        <f>IFERROR('2.vize'!BF48*100/'2.vize'!$I48,"")</f>
        <v/>
      </c>
      <c r="AV149" s="38" t="str">
        <f>IFERROR('2.vize'!BG48*100/'2.vize'!$I48,"")</f>
        <v/>
      </c>
      <c r="AW149" s="38" t="str">
        <f>IFERROR('2.vize'!BH48*100/'2.vize'!$I48,"")</f>
        <v/>
      </c>
      <c r="AX149" s="38" t="str">
        <f>IFERROR('2.vize'!BI48*100/'2.vize'!$I48,"")</f>
        <v/>
      </c>
      <c r="AY149" s="38" t="str">
        <f>IFERROR('2.vize'!BJ48*100/'2.vize'!$I48,"")</f>
        <v/>
      </c>
      <c r="AZ149" s="38" t="str">
        <f>IFERROR('2.vize'!BK48*100/'2.vize'!$I48,"")</f>
        <v/>
      </c>
      <c r="BA149" s="38" t="str">
        <f>IFERROR('2.vize'!BL48*100/'2.vize'!$I48,"")</f>
        <v/>
      </c>
      <c r="BB149" s="38" t="str">
        <f>IFERROR('2.vize'!BM48*100/'2.vize'!$I48,"")</f>
        <v/>
      </c>
      <c r="BC149" s="38" t="str">
        <f>IFERROR('2.vize'!BN48*100/'2.vize'!$I48,"")</f>
        <v/>
      </c>
      <c r="BD149" s="38" t="str">
        <f>IFERROR('2.vize'!BO48*100/'2.vize'!$I48,"")</f>
        <v/>
      </c>
      <c r="BE149" s="38" t="str">
        <f>IFERROR('2.vize'!BP48*100/'2.vize'!$I48,"")</f>
        <v/>
      </c>
      <c r="BF149" s="38" t="str">
        <f>IFERROR('2.vize'!BQ48*100/'2.vize'!$I48,"")</f>
        <v/>
      </c>
      <c r="BG149" s="38" t="str">
        <f>IFERROR('2.vize'!BR48*100/'2.vize'!$I48,"")</f>
        <v/>
      </c>
      <c r="BH149" s="38" t="str">
        <f>IFERROR('2.vize'!BS48*100/'2.vize'!$I48,"")</f>
        <v/>
      </c>
      <c r="BI149" s="38" t="str">
        <f>IFERROR('2.vize'!BT48*100/'2.vize'!$I48,"")</f>
        <v/>
      </c>
      <c r="BJ149" s="38" t="str">
        <f>IFERROR('2.vize'!BU48*100/'2.vize'!$I48,"")</f>
        <v/>
      </c>
      <c r="BK149" s="38" t="str">
        <f>IFERROR('2.vize'!BV48*100/'2.vize'!$I48,"")</f>
        <v/>
      </c>
      <c r="BL149" s="38" t="str">
        <f>IFERROR('2.vize'!BW48*100/'2.vize'!$I48,"")</f>
        <v/>
      </c>
      <c r="BM149" s="38" t="str">
        <f>IFERROR('2.vize'!BX48*100/'2.vize'!$I48,"")</f>
        <v/>
      </c>
      <c r="BN149" s="38" t="str">
        <f>IFERROR('2.vize'!BY48*100/'2.vize'!$I48,"")</f>
        <v/>
      </c>
      <c r="BO149" s="38" t="str">
        <f>IFERROR('2.vize'!BZ48*100/'2.vize'!$I48,"")</f>
        <v/>
      </c>
      <c r="BP149" s="38" t="str">
        <f>IFERROR('2.vize'!CA48*100/'2.vize'!$I48,"")</f>
        <v/>
      </c>
      <c r="BQ149" s="38" t="str">
        <f>IFERROR('2.vize'!CB48*100/'2.vize'!$I48,"")</f>
        <v/>
      </c>
      <c r="BR149" s="38" t="str">
        <f>IFERROR('2.vize'!CC48*100/'2.vize'!$I48,"")</f>
        <v/>
      </c>
      <c r="BS149" s="38" t="str">
        <f>IFERROR('2.vize'!CD48*100/'2.vize'!$I48,"")</f>
        <v/>
      </c>
      <c r="BT149" s="38" t="str">
        <f>IFERROR('2.vize'!CE48*100/'2.vize'!$I48,"")</f>
        <v/>
      </c>
      <c r="BU149" s="38" t="str">
        <f>IFERROR('2.vize'!CF48*100/'2.vize'!$I48,"")</f>
        <v/>
      </c>
      <c r="BV149" s="38" t="str">
        <f>IFERROR('2.vize'!CG48*100/'2.vize'!$I48,"")</f>
        <v/>
      </c>
      <c r="BW149" s="38" t="str">
        <f>IFERROR('2.vize'!CH48*100/'2.vize'!$I48,"")</f>
        <v/>
      </c>
      <c r="BX149" s="38" t="str">
        <f>IFERROR('2.vize'!CI48*100/'2.vize'!$I48,"")</f>
        <v/>
      </c>
      <c r="BY149" s="38" t="str">
        <f>IFERROR('2.vize'!CJ48*100/'2.vize'!$I48,"")</f>
        <v/>
      </c>
      <c r="BZ149" s="38" t="str">
        <f>IFERROR('2.vize'!CK48*100/'2.vize'!$I48,"")</f>
        <v/>
      </c>
      <c r="CA149" s="38" t="str">
        <f>IFERROR('2.vize'!CL48*100/'2.vize'!$I48,"")</f>
        <v/>
      </c>
      <c r="CB149" s="38" t="str">
        <f>IFERROR('2.vize'!CM48*100/'2.vize'!$I48,"")</f>
        <v/>
      </c>
      <c r="CC149" s="38" t="str">
        <f>IFERROR('2.vize'!CN48*100/'2.vize'!$I48,"")</f>
        <v/>
      </c>
      <c r="CD149" s="38" t="str">
        <f>IFERROR('2.vize'!CO48*100/'2.vize'!$I48,"")</f>
        <v/>
      </c>
      <c r="CE149" s="38" t="str">
        <f>IFERROR('2.vize'!CP48*100/'2.vize'!$I48,"")</f>
        <v/>
      </c>
      <c r="CF149" s="38" t="str">
        <f>IFERROR('2.vize'!CQ48*100/'2.vize'!$I48,"")</f>
        <v/>
      </c>
      <c r="CG149" s="38" t="str">
        <f>IFERROR('2.vize'!CR48*100/'2.vize'!$I48,"")</f>
        <v/>
      </c>
      <c r="CH149" s="38" t="str">
        <f>IFERROR('2.vize'!CS48*100/'2.vize'!$I48,"")</f>
        <v/>
      </c>
      <c r="CI149" s="38" t="str">
        <f>IFERROR('2.vize'!CT48*100/'2.vize'!$I48,"")</f>
        <v/>
      </c>
      <c r="CJ149" s="38" t="str">
        <f>IFERROR('2.vize'!CU48*100/'2.vize'!$I48,"")</f>
        <v/>
      </c>
      <c r="CK149" s="38" t="str">
        <f>IFERROR('2.vize'!CV48*100/'2.vize'!$I48,"")</f>
        <v/>
      </c>
      <c r="CL149" s="38" t="str">
        <f>IFERROR('2.vize'!CW48*100/'2.vize'!$I48,"")</f>
        <v/>
      </c>
      <c r="CM149" s="38" t="str">
        <f>IFERROR('2.vize'!CX48*100/'2.vize'!$I48,"")</f>
        <v/>
      </c>
      <c r="CN149" s="38" t="str">
        <f>IFERROR('2.vize'!CY48*100/'2.vize'!$I48,"")</f>
        <v/>
      </c>
      <c r="CO149" s="38" t="str">
        <f>IFERROR('2.vize'!CZ48*100/'2.vize'!$I48,"")</f>
        <v/>
      </c>
      <c r="CP149" s="38" t="str">
        <f>IFERROR('2.vize'!DA48*100/'2.vize'!$I48,"")</f>
        <v/>
      </c>
      <c r="CQ149" s="38" t="str">
        <f>IFERROR('2.vize'!DB48*100/'2.vize'!$I48,"")</f>
        <v/>
      </c>
      <c r="CR149" s="38" t="str">
        <f>IFERROR('2.vize'!DC48*100/'2.vize'!$I48,"")</f>
        <v/>
      </c>
      <c r="CS149" s="38" t="str">
        <f>IFERROR('2.vize'!DD48*100/'2.vize'!$I48,"")</f>
        <v/>
      </c>
      <c r="CT149" s="38" t="str">
        <f>IFERROR('2.vize'!DE48*100/'2.vize'!$I48,"")</f>
        <v/>
      </c>
      <c r="CU149" s="38" t="str">
        <f>IFERROR('2.vize'!DF48*100/'2.vize'!$I48,"")</f>
        <v/>
      </c>
      <c r="CV149" s="38" t="str">
        <f>IFERROR('2.vize'!DG48*100/'2.vize'!$I48,"")</f>
        <v/>
      </c>
      <c r="CW149" s="32" t="str">
        <f>IFERROR(SUM(A149:CV149)/'2.vize'!$DH$103,"")</f>
        <v/>
      </c>
      <c r="CX149" s="14" t="str">
        <f>IF(COUNTA('2.vize'!A48),'2.vize'!A48,"")</f>
        <v/>
      </c>
      <c r="CY149" s="14" t="str">
        <f>IF(COUNTA('2.vize'!B48),'2.vize'!B48,"")</f>
        <v/>
      </c>
      <c r="CZ149" s="14" t="str">
        <f>IF(COUNTA('2.vize'!C48),'2.vize'!C48,"")</f>
        <v/>
      </c>
      <c r="DA149" s="14" t="str">
        <f>IF(COUNTA('2.vize'!D48),'2.vize'!D48,"")</f>
        <v/>
      </c>
      <c r="DB149" s="14" t="str">
        <f>IF(COUNTA('2.vize'!E48),'2.vize'!E48,"")</f>
        <v/>
      </c>
      <c r="DC149" s="14" t="str">
        <f>IF(COUNTA('2.vize'!F48),'2.vize'!F48,"")</f>
        <v/>
      </c>
      <c r="DD149" s="14" t="str">
        <f>IF(COUNTA('2.vize'!G48),'2.vize'!G48,"")</f>
        <v/>
      </c>
      <c r="DE149" s="14" t="str">
        <f>IF(COUNTA('2.vize'!H48),'2.vize'!H48,"")</f>
        <v/>
      </c>
    </row>
    <row r="150" spans="1:109" x14ac:dyDescent="0.2">
      <c r="A150" s="38" t="str">
        <f>IFERROR('2.vize'!L49*100/'2.vize'!$I49,"")</f>
        <v/>
      </c>
      <c r="B150" s="38" t="str">
        <f>IFERROR('2.vize'!M49*100/'2.vize'!$I49,"")</f>
        <v/>
      </c>
      <c r="C150" s="38" t="str">
        <f>IFERROR('2.vize'!N49*100/'2.vize'!$I49,"")</f>
        <v/>
      </c>
      <c r="D150" s="38" t="str">
        <f>IFERROR('2.vize'!O49*100/'2.vize'!$I49,"")</f>
        <v/>
      </c>
      <c r="E150" s="38" t="str">
        <f>IFERROR('2.vize'!P49*100/'2.vize'!$I49,"")</f>
        <v/>
      </c>
      <c r="F150" s="38" t="str">
        <f>IFERROR('2.vize'!Q49*100/'2.vize'!$I49,"")</f>
        <v/>
      </c>
      <c r="G150" s="38" t="str">
        <f>IFERROR('2.vize'!R49*100/'2.vize'!$I49,"")</f>
        <v/>
      </c>
      <c r="H150" s="38" t="str">
        <f>IFERROR('2.vize'!S49*100/'2.vize'!$I49,"")</f>
        <v/>
      </c>
      <c r="I150" s="38" t="str">
        <f>IFERROR('2.vize'!T49*100/'2.vize'!$I49,"")</f>
        <v/>
      </c>
      <c r="J150" s="38" t="str">
        <f>IFERROR('2.vize'!U49*100/'2.vize'!$I49,"")</f>
        <v/>
      </c>
      <c r="K150" s="38" t="str">
        <f>IFERROR('2.vize'!V49*100/'2.vize'!$I49,"")</f>
        <v/>
      </c>
      <c r="L150" s="38" t="str">
        <f>IFERROR('2.vize'!W49*100/'2.vize'!$I49,"")</f>
        <v/>
      </c>
      <c r="M150" s="38" t="str">
        <f>IFERROR('2.vize'!X49*100/'2.vize'!$I49,"")</f>
        <v/>
      </c>
      <c r="N150" s="38" t="str">
        <f>IFERROR('2.vize'!Y49*100/'2.vize'!$I49,"")</f>
        <v/>
      </c>
      <c r="O150" s="38" t="str">
        <f>IFERROR('2.vize'!Z49*100/'2.vize'!$I49,"")</f>
        <v/>
      </c>
      <c r="P150" s="38" t="str">
        <f>IFERROR('2.vize'!AA49*100/'2.vize'!$I49,"")</f>
        <v/>
      </c>
      <c r="Q150" s="38" t="str">
        <f>IFERROR('2.vize'!AB49*100/'2.vize'!$I49,"")</f>
        <v/>
      </c>
      <c r="R150" s="38" t="str">
        <f>IFERROR('2.vize'!AC49*100/'2.vize'!$I49,"")</f>
        <v/>
      </c>
      <c r="S150" s="38" t="str">
        <f>IFERROR('2.vize'!AD49*100/'2.vize'!$I49,"")</f>
        <v/>
      </c>
      <c r="T150" s="38" t="str">
        <f>IFERROR('2.vize'!AE49*100/'2.vize'!$I49,"")</f>
        <v/>
      </c>
      <c r="U150" s="38" t="str">
        <f>IFERROR('2.vize'!AF49*100/'2.vize'!$I49,"")</f>
        <v/>
      </c>
      <c r="V150" s="38" t="str">
        <f>IFERROR('2.vize'!AG49*100/'2.vize'!$I49,"")</f>
        <v/>
      </c>
      <c r="W150" s="38" t="str">
        <f>IFERROR('2.vize'!AH49*100/'2.vize'!$I49,"")</f>
        <v/>
      </c>
      <c r="X150" s="38" t="str">
        <f>IFERROR('2.vize'!AI49*100/'2.vize'!$I49,"")</f>
        <v/>
      </c>
      <c r="Y150" s="38" t="str">
        <f>IFERROR('2.vize'!AJ49*100/'2.vize'!$I49,"")</f>
        <v/>
      </c>
      <c r="Z150" s="38" t="str">
        <f>IFERROR('2.vize'!AK49*100/'2.vize'!$I49,"")</f>
        <v/>
      </c>
      <c r="AA150" s="38" t="str">
        <f>IFERROR('2.vize'!AL49*100/'2.vize'!$I49,"")</f>
        <v/>
      </c>
      <c r="AB150" s="38" t="str">
        <f>IFERROR('2.vize'!AM49*100/'2.vize'!$I49,"")</f>
        <v/>
      </c>
      <c r="AC150" s="38" t="str">
        <f>IFERROR('2.vize'!AN49*100/'2.vize'!$I49,"")</f>
        <v/>
      </c>
      <c r="AD150" s="38" t="str">
        <f>IFERROR('2.vize'!AO49*100/'2.vize'!$I49,"")</f>
        <v/>
      </c>
      <c r="AE150" s="38" t="str">
        <f>IFERROR('2.vize'!AP49*100/'2.vize'!$I49,"")</f>
        <v/>
      </c>
      <c r="AF150" s="38" t="str">
        <f>IFERROR('2.vize'!AQ49*100/'2.vize'!$I49,"")</f>
        <v/>
      </c>
      <c r="AG150" s="38" t="str">
        <f>IFERROR('2.vize'!AR49*100/'2.vize'!$I49,"")</f>
        <v/>
      </c>
      <c r="AH150" s="38" t="str">
        <f>IFERROR('2.vize'!AS49*100/'2.vize'!$I49,"")</f>
        <v/>
      </c>
      <c r="AI150" s="38" t="str">
        <f>IFERROR('2.vize'!AT49*100/'2.vize'!$I49,"")</f>
        <v/>
      </c>
      <c r="AJ150" s="38" t="str">
        <f>IFERROR('2.vize'!AU49*100/'2.vize'!$I49,"")</f>
        <v/>
      </c>
      <c r="AK150" s="38" t="str">
        <f>IFERROR('2.vize'!AV49*100/'2.vize'!$I49,"")</f>
        <v/>
      </c>
      <c r="AL150" s="38" t="str">
        <f>IFERROR('2.vize'!AW49*100/'2.vize'!$I49,"")</f>
        <v/>
      </c>
      <c r="AM150" s="38" t="str">
        <f>IFERROR('2.vize'!AX49*100/'2.vize'!$I49,"")</f>
        <v/>
      </c>
      <c r="AN150" s="38" t="str">
        <f>IFERROR('2.vize'!AY49*100/'2.vize'!$I49,"")</f>
        <v/>
      </c>
      <c r="AO150" s="38" t="str">
        <f>IFERROR('2.vize'!AZ49*100/'2.vize'!$I49,"")</f>
        <v/>
      </c>
      <c r="AP150" s="38" t="str">
        <f>IFERROR('2.vize'!BA49*100/'2.vize'!$I49,"")</f>
        <v/>
      </c>
      <c r="AQ150" s="38" t="str">
        <f>IFERROR('2.vize'!BB49*100/'2.vize'!$I49,"")</f>
        <v/>
      </c>
      <c r="AR150" s="38" t="str">
        <f>IFERROR('2.vize'!BC49*100/'2.vize'!$I49,"")</f>
        <v/>
      </c>
      <c r="AS150" s="38" t="str">
        <f>IFERROR('2.vize'!BD49*100/'2.vize'!$I49,"")</f>
        <v/>
      </c>
      <c r="AT150" s="38" t="str">
        <f>IFERROR('2.vize'!BE49*100/'2.vize'!$I49,"")</f>
        <v/>
      </c>
      <c r="AU150" s="38" t="str">
        <f>IFERROR('2.vize'!BF49*100/'2.vize'!$I49,"")</f>
        <v/>
      </c>
      <c r="AV150" s="38" t="str">
        <f>IFERROR('2.vize'!BG49*100/'2.vize'!$I49,"")</f>
        <v/>
      </c>
      <c r="AW150" s="38" t="str">
        <f>IFERROR('2.vize'!BH49*100/'2.vize'!$I49,"")</f>
        <v/>
      </c>
      <c r="AX150" s="38" t="str">
        <f>IFERROR('2.vize'!BI49*100/'2.vize'!$I49,"")</f>
        <v/>
      </c>
      <c r="AY150" s="38" t="str">
        <f>IFERROR('2.vize'!BJ49*100/'2.vize'!$I49,"")</f>
        <v/>
      </c>
      <c r="AZ150" s="38" t="str">
        <f>IFERROR('2.vize'!BK49*100/'2.vize'!$I49,"")</f>
        <v/>
      </c>
      <c r="BA150" s="38" t="str">
        <f>IFERROR('2.vize'!BL49*100/'2.vize'!$I49,"")</f>
        <v/>
      </c>
      <c r="BB150" s="38" t="str">
        <f>IFERROR('2.vize'!BM49*100/'2.vize'!$I49,"")</f>
        <v/>
      </c>
      <c r="BC150" s="38" t="str">
        <f>IFERROR('2.vize'!BN49*100/'2.vize'!$I49,"")</f>
        <v/>
      </c>
      <c r="BD150" s="38" t="str">
        <f>IFERROR('2.vize'!BO49*100/'2.vize'!$I49,"")</f>
        <v/>
      </c>
      <c r="BE150" s="38" t="str">
        <f>IFERROR('2.vize'!BP49*100/'2.vize'!$I49,"")</f>
        <v/>
      </c>
      <c r="BF150" s="38" t="str">
        <f>IFERROR('2.vize'!BQ49*100/'2.vize'!$I49,"")</f>
        <v/>
      </c>
      <c r="BG150" s="38" t="str">
        <f>IFERROR('2.vize'!BR49*100/'2.vize'!$I49,"")</f>
        <v/>
      </c>
      <c r="BH150" s="38" t="str">
        <f>IFERROR('2.vize'!BS49*100/'2.vize'!$I49,"")</f>
        <v/>
      </c>
      <c r="BI150" s="38" t="str">
        <f>IFERROR('2.vize'!BT49*100/'2.vize'!$I49,"")</f>
        <v/>
      </c>
      <c r="BJ150" s="38" t="str">
        <f>IFERROR('2.vize'!BU49*100/'2.vize'!$I49,"")</f>
        <v/>
      </c>
      <c r="BK150" s="38" t="str">
        <f>IFERROR('2.vize'!BV49*100/'2.vize'!$I49,"")</f>
        <v/>
      </c>
      <c r="BL150" s="38" t="str">
        <f>IFERROR('2.vize'!BW49*100/'2.vize'!$I49,"")</f>
        <v/>
      </c>
      <c r="BM150" s="38" t="str">
        <f>IFERROR('2.vize'!BX49*100/'2.vize'!$I49,"")</f>
        <v/>
      </c>
      <c r="BN150" s="38" t="str">
        <f>IFERROR('2.vize'!BY49*100/'2.vize'!$I49,"")</f>
        <v/>
      </c>
      <c r="BO150" s="38" t="str">
        <f>IFERROR('2.vize'!BZ49*100/'2.vize'!$I49,"")</f>
        <v/>
      </c>
      <c r="BP150" s="38" t="str">
        <f>IFERROR('2.vize'!CA49*100/'2.vize'!$I49,"")</f>
        <v/>
      </c>
      <c r="BQ150" s="38" t="str">
        <f>IFERROR('2.vize'!CB49*100/'2.vize'!$I49,"")</f>
        <v/>
      </c>
      <c r="BR150" s="38" t="str">
        <f>IFERROR('2.vize'!CC49*100/'2.vize'!$I49,"")</f>
        <v/>
      </c>
      <c r="BS150" s="38" t="str">
        <f>IFERROR('2.vize'!CD49*100/'2.vize'!$I49,"")</f>
        <v/>
      </c>
      <c r="BT150" s="38" t="str">
        <f>IFERROR('2.vize'!CE49*100/'2.vize'!$I49,"")</f>
        <v/>
      </c>
      <c r="BU150" s="38" t="str">
        <f>IFERROR('2.vize'!CF49*100/'2.vize'!$I49,"")</f>
        <v/>
      </c>
      <c r="BV150" s="38" t="str">
        <f>IFERROR('2.vize'!CG49*100/'2.vize'!$I49,"")</f>
        <v/>
      </c>
      <c r="BW150" s="38" t="str">
        <f>IFERROR('2.vize'!CH49*100/'2.vize'!$I49,"")</f>
        <v/>
      </c>
      <c r="BX150" s="38" t="str">
        <f>IFERROR('2.vize'!CI49*100/'2.vize'!$I49,"")</f>
        <v/>
      </c>
      <c r="BY150" s="38" t="str">
        <f>IFERROR('2.vize'!CJ49*100/'2.vize'!$I49,"")</f>
        <v/>
      </c>
      <c r="BZ150" s="38" t="str">
        <f>IFERROR('2.vize'!CK49*100/'2.vize'!$I49,"")</f>
        <v/>
      </c>
      <c r="CA150" s="38" t="str">
        <f>IFERROR('2.vize'!CL49*100/'2.vize'!$I49,"")</f>
        <v/>
      </c>
      <c r="CB150" s="38" t="str">
        <f>IFERROR('2.vize'!CM49*100/'2.vize'!$I49,"")</f>
        <v/>
      </c>
      <c r="CC150" s="38" t="str">
        <f>IFERROR('2.vize'!CN49*100/'2.vize'!$I49,"")</f>
        <v/>
      </c>
      <c r="CD150" s="38" t="str">
        <f>IFERROR('2.vize'!CO49*100/'2.vize'!$I49,"")</f>
        <v/>
      </c>
      <c r="CE150" s="38" t="str">
        <f>IFERROR('2.vize'!CP49*100/'2.vize'!$I49,"")</f>
        <v/>
      </c>
      <c r="CF150" s="38" t="str">
        <f>IFERROR('2.vize'!CQ49*100/'2.vize'!$I49,"")</f>
        <v/>
      </c>
      <c r="CG150" s="38" t="str">
        <f>IFERROR('2.vize'!CR49*100/'2.vize'!$I49,"")</f>
        <v/>
      </c>
      <c r="CH150" s="38" t="str">
        <f>IFERROR('2.vize'!CS49*100/'2.vize'!$I49,"")</f>
        <v/>
      </c>
      <c r="CI150" s="38" t="str">
        <f>IFERROR('2.vize'!CT49*100/'2.vize'!$I49,"")</f>
        <v/>
      </c>
      <c r="CJ150" s="38" t="str">
        <f>IFERROR('2.vize'!CU49*100/'2.vize'!$I49,"")</f>
        <v/>
      </c>
      <c r="CK150" s="38" t="str">
        <f>IFERROR('2.vize'!CV49*100/'2.vize'!$I49,"")</f>
        <v/>
      </c>
      <c r="CL150" s="38" t="str">
        <f>IFERROR('2.vize'!CW49*100/'2.vize'!$I49,"")</f>
        <v/>
      </c>
      <c r="CM150" s="38" t="str">
        <f>IFERROR('2.vize'!CX49*100/'2.vize'!$I49,"")</f>
        <v/>
      </c>
      <c r="CN150" s="38" t="str">
        <f>IFERROR('2.vize'!CY49*100/'2.vize'!$I49,"")</f>
        <v/>
      </c>
      <c r="CO150" s="38" t="str">
        <f>IFERROR('2.vize'!CZ49*100/'2.vize'!$I49,"")</f>
        <v/>
      </c>
      <c r="CP150" s="38" t="str">
        <f>IFERROR('2.vize'!DA49*100/'2.vize'!$I49,"")</f>
        <v/>
      </c>
      <c r="CQ150" s="38" t="str">
        <f>IFERROR('2.vize'!DB49*100/'2.vize'!$I49,"")</f>
        <v/>
      </c>
      <c r="CR150" s="38" t="str">
        <f>IFERROR('2.vize'!DC49*100/'2.vize'!$I49,"")</f>
        <v/>
      </c>
      <c r="CS150" s="38" t="str">
        <f>IFERROR('2.vize'!DD49*100/'2.vize'!$I49,"")</f>
        <v/>
      </c>
      <c r="CT150" s="38" t="str">
        <f>IFERROR('2.vize'!DE49*100/'2.vize'!$I49,"")</f>
        <v/>
      </c>
      <c r="CU150" s="38" t="str">
        <f>IFERROR('2.vize'!DF49*100/'2.vize'!$I49,"")</f>
        <v/>
      </c>
      <c r="CV150" s="38" t="str">
        <f>IFERROR('2.vize'!DG49*100/'2.vize'!$I49,"")</f>
        <v/>
      </c>
      <c r="CW150" s="32" t="str">
        <f>IFERROR(SUM(A150:CV150)/'2.vize'!$DH$103,"")</f>
        <v/>
      </c>
      <c r="CX150" s="14" t="str">
        <f>IF(COUNTA('2.vize'!A49),'2.vize'!A49,"")</f>
        <v/>
      </c>
      <c r="CY150" s="14" t="str">
        <f>IF(COUNTA('2.vize'!B49),'2.vize'!B49,"")</f>
        <v/>
      </c>
      <c r="CZ150" s="14" t="str">
        <f>IF(COUNTA('2.vize'!C49),'2.vize'!C49,"")</f>
        <v/>
      </c>
      <c r="DA150" s="14" t="str">
        <f>IF(COUNTA('2.vize'!D49),'2.vize'!D49,"")</f>
        <v/>
      </c>
      <c r="DB150" s="14" t="str">
        <f>IF(COUNTA('2.vize'!E49),'2.vize'!E49,"")</f>
        <v/>
      </c>
      <c r="DC150" s="14" t="str">
        <f>IF(COUNTA('2.vize'!F49),'2.vize'!F49,"")</f>
        <v/>
      </c>
      <c r="DD150" s="14" t="str">
        <f>IF(COUNTA('2.vize'!G49),'2.vize'!G49,"")</f>
        <v/>
      </c>
      <c r="DE150" s="14" t="str">
        <f>IF(COUNTA('2.vize'!H49),'2.vize'!H49,"")</f>
        <v/>
      </c>
    </row>
    <row r="151" spans="1:109" x14ac:dyDescent="0.2">
      <c r="A151" s="38" t="str">
        <f>IFERROR('2.vize'!L50*100/'2.vize'!$I50,"")</f>
        <v/>
      </c>
      <c r="B151" s="38" t="str">
        <f>IFERROR('2.vize'!M50*100/'2.vize'!$I50,"")</f>
        <v/>
      </c>
      <c r="C151" s="38" t="str">
        <f>IFERROR('2.vize'!N50*100/'2.vize'!$I50,"")</f>
        <v/>
      </c>
      <c r="D151" s="38" t="str">
        <f>IFERROR('2.vize'!O50*100/'2.vize'!$I50,"")</f>
        <v/>
      </c>
      <c r="E151" s="38" t="str">
        <f>IFERROR('2.vize'!P50*100/'2.vize'!$I50,"")</f>
        <v/>
      </c>
      <c r="F151" s="38" t="str">
        <f>IFERROR('2.vize'!Q50*100/'2.vize'!$I50,"")</f>
        <v/>
      </c>
      <c r="G151" s="38" t="str">
        <f>IFERROR('2.vize'!R50*100/'2.vize'!$I50,"")</f>
        <v/>
      </c>
      <c r="H151" s="38" t="str">
        <f>IFERROR('2.vize'!S50*100/'2.vize'!$I50,"")</f>
        <v/>
      </c>
      <c r="I151" s="38" t="str">
        <f>IFERROR('2.vize'!T50*100/'2.vize'!$I50,"")</f>
        <v/>
      </c>
      <c r="J151" s="38" t="str">
        <f>IFERROR('2.vize'!U50*100/'2.vize'!$I50,"")</f>
        <v/>
      </c>
      <c r="K151" s="38" t="str">
        <f>IFERROR('2.vize'!V50*100/'2.vize'!$I50,"")</f>
        <v/>
      </c>
      <c r="L151" s="38" t="str">
        <f>IFERROR('2.vize'!W50*100/'2.vize'!$I50,"")</f>
        <v/>
      </c>
      <c r="M151" s="38" t="str">
        <f>IFERROR('2.vize'!X50*100/'2.vize'!$I50,"")</f>
        <v/>
      </c>
      <c r="N151" s="38" t="str">
        <f>IFERROR('2.vize'!Y50*100/'2.vize'!$I50,"")</f>
        <v/>
      </c>
      <c r="O151" s="38" t="str">
        <f>IFERROR('2.vize'!Z50*100/'2.vize'!$I50,"")</f>
        <v/>
      </c>
      <c r="P151" s="38" t="str">
        <f>IFERROR('2.vize'!AA50*100/'2.vize'!$I50,"")</f>
        <v/>
      </c>
      <c r="Q151" s="38" t="str">
        <f>IFERROR('2.vize'!AB50*100/'2.vize'!$I50,"")</f>
        <v/>
      </c>
      <c r="R151" s="38" t="str">
        <f>IFERROR('2.vize'!AC50*100/'2.vize'!$I50,"")</f>
        <v/>
      </c>
      <c r="S151" s="38" t="str">
        <f>IFERROR('2.vize'!AD50*100/'2.vize'!$I50,"")</f>
        <v/>
      </c>
      <c r="T151" s="38" t="str">
        <f>IFERROR('2.vize'!AE50*100/'2.vize'!$I50,"")</f>
        <v/>
      </c>
      <c r="U151" s="38" t="str">
        <f>IFERROR('2.vize'!AF50*100/'2.vize'!$I50,"")</f>
        <v/>
      </c>
      <c r="V151" s="38" t="str">
        <f>IFERROR('2.vize'!AG50*100/'2.vize'!$I50,"")</f>
        <v/>
      </c>
      <c r="W151" s="38" t="str">
        <f>IFERROR('2.vize'!AH50*100/'2.vize'!$I50,"")</f>
        <v/>
      </c>
      <c r="X151" s="38" t="str">
        <f>IFERROR('2.vize'!AI50*100/'2.vize'!$I50,"")</f>
        <v/>
      </c>
      <c r="Y151" s="38" t="str">
        <f>IFERROR('2.vize'!AJ50*100/'2.vize'!$I50,"")</f>
        <v/>
      </c>
      <c r="Z151" s="38" t="str">
        <f>IFERROR('2.vize'!AK50*100/'2.vize'!$I50,"")</f>
        <v/>
      </c>
      <c r="AA151" s="38" t="str">
        <f>IFERROR('2.vize'!AL50*100/'2.vize'!$I50,"")</f>
        <v/>
      </c>
      <c r="AB151" s="38" t="str">
        <f>IFERROR('2.vize'!AM50*100/'2.vize'!$I50,"")</f>
        <v/>
      </c>
      <c r="AC151" s="38" t="str">
        <f>IFERROR('2.vize'!AN50*100/'2.vize'!$I50,"")</f>
        <v/>
      </c>
      <c r="AD151" s="38" t="str">
        <f>IFERROR('2.vize'!AO50*100/'2.vize'!$I50,"")</f>
        <v/>
      </c>
      <c r="AE151" s="38" t="str">
        <f>IFERROR('2.vize'!AP50*100/'2.vize'!$I50,"")</f>
        <v/>
      </c>
      <c r="AF151" s="38" t="str">
        <f>IFERROR('2.vize'!AQ50*100/'2.vize'!$I50,"")</f>
        <v/>
      </c>
      <c r="AG151" s="38" t="str">
        <f>IFERROR('2.vize'!AR50*100/'2.vize'!$I50,"")</f>
        <v/>
      </c>
      <c r="AH151" s="38" t="str">
        <f>IFERROR('2.vize'!AS50*100/'2.vize'!$I50,"")</f>
        <v/>
      </c>
      <c r="AI151" s="38" t="str">
        <f>IFERROR('2.vize'!AT50*100/'2.vize'!$I50,"")</f>
        <v/>
      </c>
      <c r="AJ151" s="38" t="str">
        <f>IFERROR('2.vize'!AU50*100/'2.vize'!$I50,"")</f>
        <v/>
      </c>
      <c r="AK151" s="38" t="str">
        <f>IFERROR('2.vize'!AV50*100/'2.vize'!$I50,"")</f>
        <v/>
      </c>
      <c r="AL151" s="38" t="str">
        <f>IFERROR('2.vize'!AW50*100/'2.vize'!$I50,"")</f>
        <v/>
      </c>
      <c r="AM151" s="38" t="str">
        <f>IFERROR('2.vize'!AX50*100/'2.vize'!$I50,"")</f>
        <v/>
      </c>
      <c r="AN151" s="38" t="str">
        <f>IFERROR('2.vize'!AY50*100/'2.vize'!$I50,"")</f>
        <v/>
      </c>
      <c r="AO151" s="38" t="str">
        <f>IFERROR('2.vize'!AZ50*100/'2.vize'!$I50,"")</f>
        <v/>
      </c>
      <c r="AP151" s="38" t="str">
        <f>IFERROR('2.vize'!BA50*100/'2.vize'!$I50,"")</f>
        <v/>
      </c>
      <c r="AQ151" s="38" t="str">
        <f>IFERROR('2.vize'!BB50*100/'2.vize'!$I50,"")</f>
        <v/>
      </c>
      <c r="AR151" s="38" t="str">
        <f>IFERROR('2.vize'!BC50*100/'2.vize'!$I50,"")</f>
        <v/>
      </c>
      <c r="AS151" s="38" t="str">
        <f>IFERROR('2.vize'!BD50*100/'2.vize'!$I50,"")</f>
        <v/>
      </c>
      <c r="AT151" s="38" t="str">
        <f>IFERROR('2.vize'!BE50*100/'2.vize'!$I50,"")</f>
        <v/>
      </c>
      <c r="AU151" s="38" t="str">
        <f>IFERROR('2.vize'!BF50*100/'2.vize'!$I50,"")</f>
        <v/>
      </c>
      <c r="AV151" s="38" t="str">
        <f>IFERROR('2.vize'!BG50*100/'2.vize'!$I50,"")</f>
        <v/>
      </c>
      <c r="AW151" s="38" t="str">
        <f>IFERROR('2.vize'!BH50*100/'2.vize'!$I50,"")</f>
        <v/>
      </c>
      <c r="AX151" s="38" t="str">
        <f>IFERROR('2.vize'!BI50*100/'2.vize'!$I50,"")</f>
        <v/>
      </c>
      <c r="AY151" s="38" t="str">
        <f>IFERROR('2.vize'!BJ50*100/'2.vize'!$I50,"")</f>
        <v/>
      </c>
      <c r="AZ151" s="38" t="str">
        <f>IFERROR('2.vize'!BK50*100/'2.vize'!$I50,"")</f>
        <v/>
      </c>
      <c r="BA151" s="38" t="str">
        <f>IFERROR('2.vize'!BL50*100/'2.vize'!$I50,"")</f>
        <v/>
      </c>
      <c r="BB151" s="38" t="str">
        <f>IFERROR('2.vize'!BM50*100/'2.vize'!$I50,"")</f>
        <v/>
      </c>
      <c r="BC151" s="38" t="str">
        <f>IFERROR('2.vize'!BN50*100/'2.vize'!$I50,"")</f>
        <v/>
      </c>
      <c r="BD151" s="38" t="str">
        <f>IFERROR('2.vize'!BO50*100/'2.vize'!$I50,"")</f>
        <v/>
      </c>
      <c r="BE151" s="38" t="str">
        <f>IFERROR('2.vize'!BP50*100/'2.vize'!$I50,"")</f>
        <v/>
      </c>
      <c r="BF151" s="38" t="str">
        <f>IFERROR('2.vize'!BQ50*100/'2.vize'!$I50,"")</f>
        <v/>
      </c>
      <c r="BG151" s="38" t="str">
        <f>IFERROR('2.vize'!BR50*100/'2.vize'!$I50,"")</f>
        <v/>
      </c>
      <c r="BH151" s="38" t="str">
        <f>IFERROR('2.vize'!BS50*100/'2.vize'!$I50,"")</f>
        <v/>
      </c>
      <c r="BI151" s="38" t="str">
        <f>IFERROR('2.vize'!BT50*100/'2.vize'!$I50,"")</f>
        <v/>
      </c>
      <c r="BJ151" s="38" t="str">
        <f>IFERROR('2.vize'!BU50*100/'2.vize'!$I50,"")</f>
        <v/>
      </c>
      <c r="BK151" s="38" t="str">
        <f>IFERROR('2.vize'!BV50*100/'2.vize'!$I50,"")</f>
        <v/>
      </c>
      <c r="BL151" s="38" t="str">
        <f>IFERROR('2.vize'!BW50*100/'2.vize'!$I50,"")</f>
        <v/>
      </c>
      <c r="BM151" s="38" t="str">
        <f>IFERROR('2.vize'!BX50*100/'2.vize'!$I50,"")</f>
        <v/>
      </c>
      <c r="BN151" s="38" t="str">
        <f>IFERROR('2.vize'!BY50*100/'2.vize'!$I50,"")</f>
        <v/>
      </c>
      <c r="BO151" s="38" t="str">
        <f>IFERROR('2.vize'!BZ50*100/'2.vize'!$I50,"")</f>
        <v/>
      </c>
      <c r="BP151" s="38" t="str">
        <f>IFERROR('2.vize'!CA50*100/'2.vize'!$I50,"")</f>
        <v/>
      </c>
      <c r="BQ151" s="38" t="str">
        <f>IFERROR('2.vize'!CB50*100/'2.vize'!$I50,"")</f>
        <v/>
      </c>
      <c r="BR151" s="38" t="str">
        <f>IFERROR('2.vize'!CC50*100/'2.vize'!$I50,"")</f>
        <v/>
      </c>
      <c r="BS151" s="38" t="str">
        <f>IFERROR('2.vize'!CD50*100/'2.vize'!$I50,"")</f>
        <v/>
      </c>
      <c r="BT151" s="38" t="str">
        <f>IFERROR('2.vize'!CE50*100/'2.vize'!$I50,"")</f>
        <v/>
      </c>
      <c r="BU151" s="38" t="str">
        <f>IFERROR('2.vize'!CF50*100/'2.vize'!$I50,"")</f>
        <v/>
      </c>
      <c r="BV151" s="38" t="str">
        <f>IFERROR('2.vize'!CG50*100/'2.vize'!$I50,"")</f>
        <v/>
      </c>
      <c r="BW151" s="38" t="str">
        <f>IFERROR('2.vize'!CH50*100/'2.vize'!$I50,"")</f>
        <v/>
      </c>
      <c r="BX151" s="38" t="str">
        <f>IFERROR('2.vize'!CI50*100/'2.vize'!$I50,"")</f>
        <v/>
      </c>
      <c r="BY151" s="38" t="str">
        <f>IFERROR('2.vize'!CJ50*100/'2.vize'!$I50,"")</f>
        <v/>
      </c>
      <c r="BZ151" s="38" t="str">
        <f>IFERROR('2.vize'!CK50*100/'2.vize'!$I50,"")</f>
        <v/>
      </c>
      <c r="CA151" s="38" t="str">
        <f>IFERROR('2.vize'!CL50*100/'2.vize'!$I50,"")</f>
        <v/>
      </c>
      <c r="CB151" s="38" t="str">
        <f>IFERROR('2.vize'!CM50*100/'2.vize'!$I50,"")</f>
        <v/>
      </c>
      <c r="CC151" s="38" t="str">
        <f>IFERROR('2.vize'!CN50*100/'2.vize'!$I50,"")</f>
        <v/>
      </c>
      <c r="CD151" s="38" t="str">
        <f>IFERROR('2.vize'!CO50*100/'2.vize'!$I50,"")</f>
        <v/>
      </c>
      <c r="CE151" s="38" t="str">
        <f>IFERROR('2.vize'!CP50*100/'2.vize'!$I50,"")</f>
        <v/>
      </c>
      <c r="CF151" s="38" t="str">
        <f>IFERROR('2.vize'!CQ50*100/'2.vize'!$I50,"")</f>
        <v/>
      </c>
      <c r="CG151" s="38" t="str">
        <f>IFERROR('2.vize'!CR50*100/'2.vize'!$I50,"")</f>
        <v/>
      </c>
      <c r="CH151" s="38" t="str">
        <f>IFERROR('2.vize'!CS50*100/'2.vize'!$I50,"")</f>
        <v/>
      </c>
      <c r="CI151" s="38" t="str">
        <f>IFERROR('2.vize'!CT50*100/'2.vize'!$I50,"")</f>
        <v/>
      </c>
      <c r="CJ151" s="38" t="str">
        <f>IFERROR('2.vize'!CU50*100/'2.vize'!$I50,"")</f>
        <v/>
      </c>
      <c r="CK151" s="38" t="str">
        <f>IFERROR('2.vize'!CV50*100/'2.vize'!$I50,"")</f>
        <v/>
      </c>
      <c r="CL151" s="38" t="str">
        <f>IFERROR('2.vize'!CW50*100/'2.vize'!$I50,"")</f>
        <v/>
      </c>
      <c r="CM151" s="38" t="str">
        <f>IFERROR('2.vize'!CX50*100/'2.vize'!$I50,"")</f>
        <v/>
      </c>
      <c r="CN151" s="38" t="str">
        <f>IFERROR('2.vize'!CY50*100/'2.vize'!$I50,"")</f>
        <v/>
      </c>
      <c r="CO151" s="38" t="str">
        <f>IFERROR('2.vize'!CZ50*100/'2.vize'!$I50,"")</f>
        <v/>
      </c>
      <c r="CP151" s="38" t="str">
        <f>IFERROR('2.vize'!DA50*100/'2.vize'!$I50,"")</f>
        <v/>
      </c>
      <c r="CQ151" s="38" t="str">
        <f>IFERROR('2.vize'!DB50*100/'2.vize'!$I50,"")</f>
        <v/>
      </c>
      <c r="CR151" s="38" t="str">
        <f>IFERROR('2.vize'!DC50*100/'2.vize'!$I50,"")</f>
        <v/>
      </c>
      <c r="CS151" s="38" t="str">
        <f>IFERROR('2.vize'!DD50*100/'2.vize'!$I50,"")</f>
        <v/>
      </c>
      <c r="CT151" s="38" t="str">
        <f>IFERROR('2.vize'!DE50*100/'2.vize'!$I50,"")</f>
        <v/>
      </c>
      <c r="CU151" s="38" t="str">
        <f>IFERROR('2.vize'!DF50*100/'2.vize'!$I50,"")</f>
        <v/>
      </c>
      <c r="CV151" s="38" t="str">
        <f>IFERROR('2.vize'!DG50*100/'2.vize'!$I50,"")</f>
        <v/>
      </c>
      <c r="CW151" s="32" t="str">
        <f>IFERROR(SUM(A151:CV151)/'2.vize'!$DH$103,"")</f>
        <v/>
      </c>
      <c r="CX151" s="14" t="str">
        <f>IF(COUNTA('2.vize'!A50),'2.vize'!A50,"")</f>
        <v/>
      </c>
      <c r="CY151" s="14" t="str">
        <f>IF(COUNTA('2.vize'!B50),'2.vize'!B50,"")</f>
        <v/>
      </c>
      <c r="CZ151" s="14" t="str">
        <f>IF(COUNTA('2.vize'!C50),'2.vize'!C50,"")</f>
        <v/>
      </c>
      <c r="DA151" s="14" t="str">
        <f>IF(COUNTA('2.vize'!D50),'2.vize'!D50,"")</f>
        <v/>
      </c>
      <c r="DB151" s="14" t="str">
        <f>IF(COUNTA('2.vize'!E50),'2.vize'!E50,"")</f>
        <v/>
      </c>
      <c r="DC151" s="14" t="str">
        <f>IF(COUNTA('2.vize'!F50),'2.vize'!F50,"")</f>
        <v/>
      </c>
      <c r="DD151" s="14" t="str">
        <f>IF(COUNTA('2.vize'!G50),'2.vize'!G50,"")</f>
        <v/>
      </c>
      <c r="DE151" s="14" t="str">
        <f>IF(COUNTA('2.vize'!H50),'2.vize'!H50,"")</f>
        <v/>
      </c>
    </row>
    <row r="152" spans="1:109" x14ac:dyDescent="0.2">
      <c r="A152" s="38" t="str">
        <f>IFERROR('2.vize'!L51*100/'2.vize'!$I51,"")</f>
        <v/>
      </c>
      <c r="B152" s="38" t="str">
        <f>IFERROR('2.vize'!M51*100/'2.vize'!$I51,"")</f>
        <v/>
      </c>
      <c r="C152" s="38" t="str">
        <f>IFERROR('2.vize'!N51*100/'2.vize'!$I51,"")</f>
        <v/>
      </c>
      <c r="D152" s="38" t="str">
        <f>IFERROR('2.vize'!O51*100/'2.vize'!$I51,"")</f>
        <v/>
      </c>
      <c r="E152" s="38" t="str">
        <f>IFERROR('2.vize'!P51*100/'2.vize'!$I51,"")</f>
        <v/>
      </c>
      <c r="F152" s="38" t="str">
        <f>IFERROR('2.vize'!Q51*100/'2.vize'!$I51,"")</f>
        <v/>
      </c>
      <c r="G152" s="38" t="str">
        <f>IFERROR('2.vize'!R51*100/'2.vize'!$I51,"")</f>
        <v/>
      </c>
      <c r="H152" s="38" t="str">
        <f>IFERROR('2.vize'!S51*100/'2.vize'!$I51,"")</f>
        <v/>
      </c>
      <c r="I152" s="38" t="str">
        <f>IFERROR('2.vize'!T51*100/'2.vize'!$I51,"")</f>
        <v/>
      </c>
      <c r="J152" s="38" t="str">
        <f>IFERROR('2.vize'!U51*100/'2.vize'!$I51,"")</f>
        <v/>
      </c>
      <c r="K152" s="38" t="str">
        <f>IFERROR('2.vize'!V51*100/'2.vize'!$I51,"")</f>
        <v/>
      </c>
      <c r="L152" s="38" t="str">
        <f>IFERROR('2.vize'!W51*100/'2.vize'!$I51,"")</f>
        <v/>
      </c>
      <c r="M152" s="38" t="str">
        <f>IFERROR('2.vize'!X51*100/'2.vize'!$I51,"")</f>
        <v/>
      </c>
      <c r="N152" s="38" t="str">
        <f>IFERROR('2.vize'!Y51*100/'2.vize'!$I51,"")</f>
        <v/>
      </c>
      <c r="O152" s="38" t="str">
        <f>IFERROR('2.vize'!Z51*100/'2.vize'!$I51,"")</f>
        <v/>
      </c>
      <c r="P152" s="38" t="str">
        <f>IFERROR('2.vize'!AA51*100/'2.vize'!$I51,"")</f>
        <v/>
      </c>
      <c r="Q152" s="38" t="str">
        <f>IFERROR('2.vize'!AB51*100/'2.vize'!$I51,"")</f>
        <v/>
      </c>
      <c r="R152" s="38" t="str">
        <f>IFERROR('2.vize'!AC51*100/'2.vize'!$I51,"")</f>
        <v/>
      </c>
      <c r="S152" s="38" t="str">
        <f>IFERROR('2.vize'!AD51*100/'2.vize'!$I51,"")</f>
        <v/>
      </c>
      <c r="T152" s="38" t="str">
        <f>IFERROR('2.vize'!AE51*100/'2.vize'!$I51,"")</f>
        <v/>
      </c>
      <c r="U152" s="38" t="str">
        <f>IFERROR('2.vize'!AF51*100/'2.vize'!$I51,"")</f>
        <v/>
      </c>
      <c r="V152" s="38" t="str">
        <f>IFERROR('2.vize'!AG51*100/'2.vize'!$I51,"")</f>
        <v/>
      </c>
      <c r="W152" s="38" t="str">
        <f>IFERROR('2.vize'!AH51*100/'2.vize'!$I51,"")</f>
        <v/>
      </c>
      <c r="X152" s="38" t="str">
        <f>IFERROR('2.vize'!AI51*100/'2.vize'!$I51,"")</f>
        <v/>
      </c>
      <c r="Y152" s="38" t="str">
        <f>IFERROR('2.vize'!AJ51*100/'2.vize'!$I51,"")</f>
        <v/>
      </c>
      <c r="Z152" s="38" t="str">
        <f>IFERROR('2.vize'!AK51*100/'2.vize'!$I51,"")</f>
        <v/>
      </c>
      <c r="AA152" s="38" t="str">
        <f>IFERROR('2.vize'!AL51*100/'2.vize'!$I51,"")</f>
        <v/>
      </c>
      <c r="AB152" s="38" t="str">
        <f>IFERROR('2.vize'!AM51*100/'2.vize'!$I51,"")</f>
        <v/>
      </c>
      <c r="AC152" s="38" t="str">
        <f>IFERROR('2.vize'!AN51*100/'2.vize'!$I51,"")</f>
        <v/>
      </c>
      <c r="AD152" s="38" t="str">
        <f>IFERROR('2.vize'!AO51*100/'2.vize'!$I51,"")</f>
        <v/>
      </c>
      <c r="AE152" s="38" t="str">
        <f>IFERROR('2.vize'!AP51*100/'2.vize'!$I51,"")</f>
        <v/>
      </c>
      <c r="AF152" s="38" t="str">
        <f>IFERROR('2.vize'!AQ51*100/'2.vize'!$I51,"")</f>
        <v/>
      </c>
      <c r="AG152" s="38" t="str">
        <f>IFERROR('2.vize'!AR51*100/'2.vize'!$I51,"")</f>
        <v/>
      </c>
      <c r="AH152" s="38" t="str">
        <f>IFERROR('2.vize'!AS51*100/'2.vize'!$I51,"")</f>
        <v/>
      </c>
      <c r="AI152" s="38" t="str">
        <f>IFERROR('2.vize'!AT51*100/'2.vize'!$I51,"")</f>
        <v/>
      </c>
      <c r="AJ152" s="38" t="str">
        <f>IFERROR('2.vize'!AU51*100/'2.vize'!$I51,"")</f>
        <v/>
      </c>
      <c r="AK152" s="38" t="str">
        <f>IFERROR('2.vize'!AV51*100/'2.vize'!$I51,"")</f>
        <v/>
      </c>
      <c r="AL152" s="38" t="str">
        <f>IFERROR('2.vize'!AW51*100/'2.vize'!$I51,"")</f>
        <v/>
      </c>
      <c r="AM152" s="38" t="str">
        <f>IFERROR('2.vize'!AX51*100/'2.vize'!$I51,"")</f>
        <v/>
      </c>
      <c r="AN152" s="38" t="str">
        <f>IFERROR('2.vize'!AY51*100/'2.vize'!$I51,"")</f>
        <v/>
      </c>
      <c r="AO152" s="38" t="str">
        <f>IFERROR('2.vize'!AZ51*100/'2.vize'!$I51,"")</f>
        <v/>
      </c>
      <c r="AP152" s="38" t="str">
        <f>IFERROR('2.vize'!BA51*100/'2.vize'!$I51,"")</f>
        <v/>
      </c>
      <c r="AQ152" s="38" t="str">
        <f>IFERROR('2.vize'!BB51*100/'2.vize'!$I51,"")</f>
        <v/>
      </c>
      <c r="AR152" s="38" t="str">
        <f>IFERROR('2.vize'!BC51*100/'2.vize'!$I51,"")</f>
        <v/>
      </c>
      <c r="AS152" s="38" t="str">
        <f>IFERROR('2.vize'!BD51*100/'2.vize'!$I51,"")</f>
        <v/>
      </c>
      <c r="AT152" s="38" t="str">
        <f>IFERROR('2.vize'!BE51*100/'2.vize'!$I51,"")</f>
        <v/>
      </c>
      <c r="AU152" s="38" t="str">
        <f>IFERROR('2.vize'!BF51*100/'2.vize'!$I51,"")</f>
        <v/>
      </c>
      <c r="AV152" s="38" t="str">
        <f>IFERROR('2.vize'!BG51*100/'2.vize'!$I51,"")</f>
        <v/>
      </c>
      <c r="AW152" s="38" t="str">
        <f>IFERROR('2.vize'!BH51*100/'2.vize'!$I51,"")</f>
        <v/>
      </c>
      <c r="AX152" s="38" t="str">
        <f>IFERROR('2.vize'!BI51*100/'2.vize'!$I51,"")</f>
        <v/>
      </c>
      <c r="AY152" s="38" t="str">
        <f>IFERROR('2.vize'!BJ51*100/'2.vize'!$I51,"")</f>
        <v/>
      </c>
      <c r="AZ152" s="38" t="str">
        <f>IFERROR('2.vize'!BK51*100/'2.vize'!$I51,"")</f>
        <v/>
      </c>
      <c r="BA152" s="38" t="str">
        <f>IFERROR('2.vize'!BL51*100/'2.vize'!$I51,"")</f>
        <v/>
      </c>
      <c r="BB152" s="38" t="str">
        <f>IFERROR('2.vize'!BM51*100/'2.vize'!$I51,"")</f>
        <v/>
      </c>
      <c r="BC152" s="38" t="str">
        <f>IFERROR('2.vize'!BN51*100/'2.vize'!$I51,"")</f>
        <v/>
      </c>
      <c r="BD152" s="38" t="str">
        <f>IFERROR('2.vize'!BO51*100/'2.vize'!$I51,"")</f>
        <v/>
      </c>
      <c r="BE152" s="38" t="str">
        <f>IFERROR('2.vize'!BP51*100/'2.vize'!$I51,"")</f>
        <v/>
      </c>
      <c r="BF152" s="38" t="str">
        <f>IFERROR('2.vize'!BQ51*100/'2.vize'!$I51,"")</f>
        <v/>
      </c>
      <c r="BG152" s="38" t="str">
        <f>IFERROR('2.vize'!BR51*100/'2.vize'!$I51,"")</f>
        <v/>
      </c>
      <c r="BH152" s="38" t="str">
        <f>IFERROR('2.vize'!BS51*100/'2.vize'!$I51,"")</f>
        <v/>
      </c>
      <c r="BI152" s="38" t="str">
        <f>IFERROR('2.vize'!BT51*100/'2.vize'!$I51,"")</f>
        <v/>
      </c>
      <c r="BJ152" s="38" t="str">
        <f>IFERROR('2.vize'!BU51*100/'2.vize'!$I51,"")</f>
        <v/>
      </c>
      <c r="BK152" s="38" t="str">
        <f>IFERROR('2.vize'!BV51*100/'2.vize'!$I51,"")</f>
        <v/>
      </c>
      <c r="BL152" s="38" t="str">
        <f>IFERROR('2.vize'!BW51*100/'2.vize'!$I51,"")</f>
        <v/>
      </c>
      <c r="BM152" s="38" t="str">
        <f>IFERROR('2.vize'!BX51*100/'2.vize'!$I51,"")</f>
        <v/>
      </c>
      <c r="BN152" s="38" t="str">
        <f>IFERROR('2.vize'!BY51*100/'2.vize'!$I51,"")</f>
        <v/>
      </c>
      <c r="BO152" s="38" t="str">
        <f>IFERROR('2.vize'!BZ51*100/'2.vize'!$I51,"")</f>
        <v/>
      </c>
      <c r="BP152" s="38" t="str">
        <f>IFERROR('2.vize'!CA51*100/'2.vize'!$I51,"")</f>
        <v/>
      </c>
      <c r="BQ152" s="38" t="str">
        <f>IFERROR('2.vize'!CB51*100/'2.vize'!$I51,"")</f>
        <v/>
      </c>
      <c r="BR152" s="38" t="str">
        <f>IFERROR('2.vize'!CC51*100/'2.vize'!$I51,"")</f>
        <v/>
      </c>
      <c r="BS152" s="38" t="str">
        <f>IFERROR('2.vize'!CD51*100/'2.vize'!$I51,"")</f>
        <v/>
      </c>
      <c r="BT152" s="38" t="str">
        <f>IFERROR('2.vize'!CE51*100/'2.vize'!$I51,"")</f>
        <v/>
      </c>
      <c r="BU152" s="38" t="str">
        <f>IFERROR('2.vize'!CF51*100/'2.vize'!$I51,"")</f>
        <v/>
      </c>
      <c r="BV152" s="38" t="str">
        <f>IFERROR('2.vize'!CG51*100/'2.vize'!$I51,"")</f>
        <v/>
      </c>
      <c r="BW152" s="38" t="str">
        <f>IFERROR('2.vize'!CH51*100/'2.vize'!$I51,"")</f>
        <v/>
      </c>
      <c r="BX152" s="38" t="str">
        <f>IFERROR('2.vize'!CI51*100/'2.vize'!$I51,"")</f>
        <v/>
      </c>
      <c r="BY152" s="38" t="str">
        <f>IFERROR('2.vize'!CJ51*100/'2.vize'!$I51,"")</f>
        <v/>
      </c>
      <c r="BZ152" s="38" t="str">
        <f>IFERROR('2.vize'!CK51*100/'2.vize'!$I51,"")</f>
        <v/>
      </c>
      <c r="CA152" s="38" t="str">
        <f>IFERROR('2.vize'!CL51*100/'2.vize'!$I51,"")</f>
        <v/>
      </c>
      <c r="CB152" s="38" t="str">
        <f>IFERROR('2.vize'!CM51*100/'2.vize'!$I51,"")</f>
        <v/>
      </c>
      <c r="CC152" s="38" t="str">
        <f>IFERROR('2.vize'!CN51*100/'2.vize'!$I51,"")</f>
        <v/>
      </c>
      <c r="CD152" s="38" t="str">
        <f>IFERROR('2.vize'!CO51*100/'2.vize'!$I51,"")</f>
        <v/>
      </c>
      <c r="CE152" s="38" t="str">
        <f>IFERROR('2.vize'!CP51*100/'2.vize'!$I51,"")</f>
        <v/>
      </c>
      <c r="CF152" s="38" t="str">
        <f>IFERROR('2.vize'!CQ51*100/'2.vize'!$I51,"")</f>
        <v/>
      </c>
      <c r="CG152" s="38" t="str">
        <f>IFERROR('2.vize'!CR51*100/'2.vize'!$I51,"")</f>
        <v/>
      </c>
      <c r="CH152" s="38" t="str">
        <f>IFERROR('2.vize'!CS51*100/'2.vize'!$I51,"")</f>
        <v/>
      </c>
      <c r="CI152" s="38" t="str">
        <f>IFERROR('2.vize'!CT51*100/'2.vize'!$I51,"")</f>
        <v/>
      </c>
      <c r="CJ152" s="38" t="str">
        <f>IFERROR('2.vize'!CU51*100/'2.vize'!$I51,"")</f>
        <v/>
      </c>
      <c r="CK152" s="38" t="str">
        <f>IFERROR('2.vize'!CV51*100/'2.vize'!$I51,"")</f>
        <v/>
      </c>
      <c r="CL152" s="38" t="str">
        <f>IFERROR('2.vize'!CW51*100/'2.vize'!$I51,"")</f>
        <v/>
      </c>
      <c r="CM152" s="38" t="str">
        <f>IFERROR('2.vize'!CX51*100/'2.vize'!$I51,"")</f>
        <v/>
      </c>
      <c r="CN152" s="38" t="str">
        <f>IFERROR('2.vize'!CY51*100/'2.vize'!$I51,"")</f>
        <v/>
      </c>
      <c r="CO152" s="38" t="str">
        <f>IFERROR('2.vize'!CZ51*100/'2.vize'!$I51,"")</f>
        <v/>
      </c>
      <c r="CP152" s="38" t="str">
        <f>IFERROR('2.vize'!DA51*100/'2.vize'!$I51,"")</f>
        <v/>
      </c>
      <c r="CQ152" s="38" t="str">
        <f>IFERROR('2.vize'!DB51*100/'2.vize'!$I51,"")</f>
        <v/>
      </c>
      <c r="CR152" s="38" t="str">
        <f>IFERROR('2.vize'!DC51*100/'2.vize'!$I51,"")</f>
        <v/>
      </c>
      <c r="CS152" s="38" t="str">
        <f>IFERROR('2.vize'!DD51*100/'2.vize'!$I51,"")</f>
        <v/>
      </c>
      <c r="CT152" s="38" t="str">
        <f>IFERROR('2.vize'!DE51*100/'2.vize'!$I51,"")</f>
        <v/>
      </c>
      <c r="CU152" s="38" t="str">
        <f>IFERROR('2.vize'!DF51*100/'2.vize'!$I51,"")</f>
        <v/>
      </c>
      <c r="CV152" s="38" t="str">
        <f>IFERROR('2.vize'!DG51*100/'2.vize'!$I51,"")</f>
        <v/>
      </c>
      <c r="CW152" s="32" t="str">
        <f>IFERROR(SUM(A152:CV152)/'2.vize'!$DH$103,"")</f>
        <v/>
      </c>
      <c r="CX152" s="14" t="str">
        <f>IF(COUNTA('2.vize'!A51),'2.vize'!A51,"")</f>
        <v/>
      </c>
      <c r="CY152" s="14" t="str">
        <f>IF(COUNTA('2.vize'!B51),'2.vize'!B51,"")</f>
        <v/>
      </c>
      <c r="CZ152" s="14" t="str">
        <f>IF(COUNTA('2.vize'!C51),'2.vize'!C51,"")</f>
        <v/>
      </c>
      <c r="DA152" s="14" t="str">
        <f>IF(COUNTA('2.vize'!D51),'2.vize'!D51,"")</f>
        <v/>
      </c>
      <c r="DB152" s="14" t="str">
        <f>IF(COUNTA('2.vize'!E51),'2.vize'!E51,"")</f>
        <v/>
      </c>
      <c r="DC152" s="14" t="str">
        <f>IF(COUNTA('2.vize'!F51),'2.vize'!F51,"")</f>
        <v/>
      </c>
      <c r="DD152" s="14" t="str">
        <f>IF(COUNTA('2.vize'!G51),'2.vize'!G51,"")</f>
        <v/>
      </c>
      <c r="DE152" s="14" t="str">
        <f>IF(COUNTA('2.vize'!H51),'2.vize'!H51,"")</f>
        <v/>
      </c>
    </row>
    <row r="153" spans="1:109" x14ac:dyDescent="0.2">
      <c r="A153" s="38" t="str">
        <f>IFERROR('2.vize'!L52*100/'2.vize'!$I52,"")</f>
        <v/>
      </c>
      <c r="B153" s="38" t="str">
        <f>IFERROR('2.vize'!M52*100/'2.vize'!$I52,"")</f>
        <v/>
      </c>
      <c r="C153" s="38" t="str">
        <f>IFERROR('2.vize'!N52*100/'2.vize'!$I52,"")</f>
        <v/>
      </c>
      <c r="D153" s="38" t="str">
        <f>IFERROR('2.vize'!O52*100/'2.vize'!$I52,"")</f>
        <v/>
      </c>
      <c r="E153" s="38" t="str">
        <f>IFERROR('2.vize'!P52*100/'2.vize'!$I52,"")</f>
        <v/>
      </c>
      <c r="F153" s="38" t="str">
        <f>IFERROR('2.vize'!Q52*100/'2.vize'!$I52,"")</f>
        <v/>
      </c>
      <c r="G153" s="38" t="str">
        <f>IFERROR('2.vize'!R52*100/'2.vize'!$I52,"")</f>
        <v/>
      </c>
      <c r="H153" s="38" t="str">
        <f>IFERROR('2.vize'!S52*100/'2.vize'!$I52,"")</f>
        <v/>
      </c>
      <c r="I153" s="38" t="str">
        <f>IFERROR('2.vize'!T52*100/'2.vize'!$I52,"")</f>
        <v/>
      </c>
      <c r="J153" s="38" t="str">
        <f>IFERROR('2.vize'!U52*100/'2.vize'!$I52,"")</f>
        <v/>
      </c>
      <c r="K153" s="38" t="str">
        <f>IFERROR('2.vize'!V52*100/'2.vize'!$I52,"")</f>
        <v/>
      </c>
      <c r="L153" s="38" t="str">
        <f>IFERROR('2.vize'!W52*100/'2.vize'!$I52,"")</f>
        <v/>
      </c>
      <c r="M153" s="38" t="str">
        <f>IFERROR('2.vize'!X52*100/'2.vize'!$I52,"")</f>
        <v/>
      </c>
      <c r="N153" s="38" t="str">
        <f>IFERROR('2.vize'!Y52*100/'2.vize'!$I52,"")</f>
        <v/>
      </c>
      <c r="O153" s="38" t="str">
        <f>IFERROR('2.vize'!Z52*100/'2.vize'!$I52,"")</f>
        <v/>
      </c>
      <c r="P153" s="38" t="str">
        <f>IFERROR('2.vize'!AA52*100/'2.vize'!$I52,"")</f>
        <v/>
      </c>
      <c r="Q153" s="38" t="str">
        <f>IFERROR('2.vize'!AB52*100/'2.vize'!$I52,"")</f>
        <v/>
      </c>
      <c r="R153" s="38" t="str">
        <f>IFERROR('2.vize'!AC52*100/'2.vize'!$I52,"")</f>
        <v/>
      </c>
      <c r="S153" s="38" t="str">
        <f>IFERROR('2.vize'!AD52*100/'2.vize'!$I52,"")</f>
        <v/>
      </c>
      <c r="T153" s="38" t="str">
        <f>IFERROR('2.vize'!AE52*100/'2.vize'!$I52,"")</f>
        <v/>
      </c>
      <c r="U153" s="38" t="str">
        <f>IFERROR('2.vize'!AF52*100/'2.vize'!$I52,"")</f>
        <v/>
      </c>
      <c r="V153" s="38" t="str">
        <f>IFERROR('2.vize'!AG52*100/'2.vize'!$I52,"")</f>
        <v/>
      </c>
      <c r="W153" s="38" t="str">
        <f>IFERROR('2.vize'!AH52*100/'2.vize'!$I52,"")</f>
        <v/>
      </c>
      <c r="X153" s="38" t="str">
        <f>IFERROR('2.vize'!AI52*100/'2.vize'!$I52,"")</f>
        <v/>
      </c>
      <c r="Y153" s="38" t="str">
        <f>IFERROR('2.vize'!AJ52*100/'2.vize'!$I52,"")</f>
        <v/>
      </c>
      <c r="Z153" s="38" t="str">
        <f>IFERROR('2.vize'!AK52*100/'2.vize'!$I52,"")</f>
        <v/>
      </c>
      <c r="AA153" s="38" t="str">
        <f>IFERROR('2.vize'!AL52*100/'2.vize'!$I52,"")</f>
        <v/>
      </c>
      <c r="AB153" s="38" t="str">
        <f>IFERROR('2.vize'!AM52*100/'2.vize'!$I52,"")</f>
        <v/>
      </c>
      <c r="AC153" s="38" t="str">
        <f>IFERROR('2.vize'!AN52*100/'2.vize'!$I52,"")</f>
        <v/>
      </c>
      <c r="AD153" s="38" t="str">
        <f>IFERROR('2.vize'!AO52*100/'2.vize'!$I52,"")</f>
        <v/>
      </c>
      <c r="AE153" s="38" t="str">
        <f>IFERROR('2.vize'!AP52*100/'2.vize'!$I52,"")</f>
        <v/>
      </c>
      <c r="AF153" s="38" t="str">
        <f>IFERROR('2.vize'!AQ52*100/'2.vize'!$I52,"")</f>
        <v/>
      </c>
      <c r="AG153" s="38" t="str">
        <f>IFERROR('2.vize'!AR52*100/'2.vize'!$I52,"")</f>
        <v/>
      </c>
      <c r="AH153" s="38" t="str">
        <f>IFERROR('2.vize'!AS52*100/'2.vize'!$I52,"")</f>
        <v/>
      </c>
      <c r="AI153" s="38" t="str">
        <f>IFERROR('2.vize'!AT52*100/'2.vize'!$I52,"")</f>
        <v/>
      </c>
      <c r="AJ153" s="38" t="str">
        <f>IFERROR('2.vize'!AU52*100/'2.vize'!$I52,"")</f>
        <v/>
      </c>
      <c r="AK153" s="38" t="str">
        <f>IFERROR('2.vize'!AV52*100/'2.vize'!$I52,"")</f>
        <v/>
      </c>
      <c r="AL153" s="38" t="str">
        <f>IFERROR('2.vize'!AW52*100/'2.vize'!$I52,"")</f>
        <v/>
      </c>
      <c r="AM153" s="38" t="str">
        <f>IFERROR('2.vize'!AX52*100/'2.vize'!$I52,"")</f>
        <v/>
      </c>
      <c r="AN153" s="38" t="str">
        <f>IFERROR('2.vize'!AY52*100/'2.vize'!$I52,"")</f>
        <v/>
      </c>
      <c r="AO153" s="38" t="str">
        <f>IFERROR('2.vize'!AZ52*100/'2.vize'!$I52,"")</f>
        <v/>
      </c>
      <c r="AP153" s="38" t="str">
        <f>IFERROR('2.vize'!BA52*100/'2.vize'!$I52,"")</f>
        <v/>
      </c>
      <c r="AQ153" s="38" t="str">
        <f>IFERROR('2.vize'!BB52*100/'2.vize'!$I52,"")</f>
        <v/>
      </c>
      <c r="AR153" s="38" t="str">
        <f>IFERROR('2.vize'!BC52*100/'2.vize'!$I52,"")</f>
        <v/>
      </c>
      <c r="AS153" s="38" t="str">
        <f>IFERROR('2.vize'!BD52*100/'2.vize'!$I52,"")</f>
        <v/>
      </c>
      <c r="AT153" s="38" t="str">
        <f>IFERROR('2.vize'!BE52*100/'2.vize'!$I52,"")</f>
        <v/>
      </c>
      <c r="AU153" s="38" t="str">
        <f>IFERROR('2.vize'!BF52*100/'2.vize'!$I52,"")</f>
        <v/>
      </c>
      <c r="AV153" s="38" t="str">
        <f>IFERROR('2.vize'!BG52*100/'2.vize'!$I52,"")</f>
        <v/>
      </c>
      <c r="AW153" s="38" t="str">
        <f>IFERROR('2.vize'!BH52*100/'2.vize'!$I52,"")</f>
        <v/>
      </c>
      <c r="AX153" s="38" t="str">
        <f>IFERROR('2.vize'!BI52*100/'2.vize'!$I52,"")</f>
        <v/>
      </c>
      <c r="AY153" s="38" t="str">
        <f>IFERROR('2.vize'!BJ52*100/'2.vize'!$I52,"")</f>
        <v/>
      </c>
      <c r="AZ153" s="38" t="str">
        <f>IFERROR('2.vize'!BK52*100/'2.vize'!$I52,"")</f>
        <v/>
      </c>
      <c r="BA153" s="38" t="str">
        <f>IFERROR('2.vize'!BL52*100/'2.vize'!$I52,"")</f>
        <v/>
      </c>
      <c r="BB153" s="38" t="str">
        <f>IFERROR('2.vize'!BM52*100/'2.vize'!$I52,"")</f>
        <v/>
      </c>
      <c r="BC153" s="38" t="str">
        <f>IFERROR('2.vize'!BN52*100/'2.vize'!$I52,"")</f>
        <v/>
      </c>
      <c r="BD153" s="38" t="str">
        <f>IFERROR('2.vize'!BO52*100/'2.vize'!$I52,"")</f>
        <v/>
      </c>
      <c r="BE153" s="38" t="str">
        <f>IFERROR('2.vize'!BP52*100/'2.vize'!$I52,"")</f>
        <v/>
      </c>
      <c r="BF153" s="38" t="str">
        <f>IFERROR('2.vize'!BQ52*100/'2.vize'!$I52,"")</f>
        <v/>
      </c>
      <c r="BG153" s="38" t="str">
        <f>IFERROR('2.vize'!BR52*100/'2.vize'!$I52,"")</f>
        <v/>
      </c>
      <c r="BH153" s="38" t="str">
        <f>IFERROR('2.vize'!BS52*100/'2.vize'!$I52,"")</f>
        <v/>
      </c>
      <c r="BI153" s="38" t="str">
        <f>IFERROR('2.vize'!BT52*100/'2.vize'!$I52,"")</f>
        <v/>
      </c>
      <c r="BJ153" s="38" t="str">
        <f>IFERROR('2.vize'!BU52*100/'2.vize'!$I52,"")</f>
        <v/>
      </c>
      <c r="BK153" s="38" t="str">
        <f>IFERROR('2.vize'!BV52*100/'2.vize'!$I52,"")</f>
        <v/>
      </c>
      <c r="BL153" s="38" t="str">
        <f>IFERROR('2.vize'!BW52*100/'2.vize'!$I52,"")</f>
        <v/>
      </c>
      <c r="BM153" s="38" t="str">
        <f>IFERROR('2.vize'!BX52*100/'2.vize'!$I52,"")</f>
        <v/>
      </c>
      <c r="BN153" s="38" t="str">
        <f>IFERROR('2.vize'!BY52*100/'2.vize'!$I52,"")</f>
        <v/>
      </c>
      <c r="BO153" s="38" t="str">
        <f>IFERROR('2.vize'!BZ52*100/'2.vize'!$I52,"")</f>
        <v/>
      </c>
      <c r="BP153" s="38" t="str">
        <f>IFERROR('2.vize'!CA52*100/'2.vize'!$I52,"")</f>
        <v/>
      </c>
      <c r="BQ153" s="38" t="str">
        <f>IFERROR('2.vize'!CB52*100/'2.vize'!$I52,"")</f>
        <v/>
      </c>
      <c r="BR153" s="38" t="str">
        <f>IFERROR('2.vize'!CC52*100/'2.vize'!$I52,"")</f>
        <v/>
      </c>
      <c r="BS153" s="38" t="str">
        <f>IFERROR('2.vize'!CD52*100/'2.vize'!$I52,"")</f>
        <v/>
      </c>
      <c r="BT153" s="38" t="str">
        <f>IFERROR('2.vize'!CE52*100/'2.vize'!$I52,"")</f>
        <v/>
      </c>
      <c r="BU153" s="38" t="str">
        <f>IFERROR('2.vize'!CF52*100/'2.vize'!$I52,"")</f>
        <v/>
      </c>
      <c r="BV153" s="38" t="str">
        <f>IFERROR('2.vize'!CG52*100/'2.vize'!$I52,"")</f>
        <v/>
      </c>
      <c r="BW153" s="38" t="str">
        <f>IFERROR('2.vize'!CH52*100/'2.vize'!$I52,"")</f>
        <v/>
      </c>
      <c r="BX153" s="38" t="str">
        <f>IFERROR('2.vize'!CI52*100/'2.vize'!$I52,"")</f>
        <v/>
      </c>
      <c r="BY153" s="38" t="str">
        <f>IFERROR('2.vize'!CJ52*100/'2.vize'!$I52,"")</f>
        <v/>
      </c>
      <c r="BZ153" s="38" t="str">
        <f>IFERROR('2.vize'!CK52*100/'2.vize'!$I52,"")</f>
        <v/>
      </c>
      <c r="CA153" s="38" t="str">
        <f>IFERROR('2.vize'!CL52*100/'2.vize'!$I52,"")</f>
        <v/>
      </c>
      <c r="CB153" s="38" t="str">
        <f>IFERROR('2.vize'!CM52*100/'2.vize'!$I52,"")</f>
        <v/>
      </c>
      <c r="CC153" s="38" t="str">
        <f>IFERROR('2.vize'!CN52*100/'2.vize'!$I52,"")</f>
        <v/>
      </c>
      <c r="CD153" s="38" t="str">
        <f>IFERROR('2.vize'!CO52*100/'2.vize'!$I52,"")</f>
        <v/>
      </c>
      <c r="CE153" s="38" t="str">
        <f>IFERROR('2.vize'!CP52*100/'2.vize'!$I52,"")</f>
        <v/>
      </c>
      <c r="CF153" s="38" t="str">
        <f>IFERROR('2.vize'!CQ52*100/'2.vize'!$I52,"")</f>
        <v/>
      </c>
      <c r="CG153" s="38" t="str">
        <f>IFERROR('2.vize'!CR52*100/'2.vize'!$I52,"")</f>
        <v/>
      </c>
      <c r="CH153" s="38" t="str">
        <f>IFERROR('2.vize'!CS52*100/'2.vize'!$I52,"")</f>
        <v/>
      </c>
      <c r="CI153" s="38" t="str">
        <f>IFERROR('2.vize'!CT52*100/'2.vize'!$I52,"")</f>
        <v/>
      </c>
      <c r="CJ153" s="38" t="str">
        <f>IFERROR('2.vize'!CU52*100/'2.vize'!$I52,"")</f>
        <v/>
      </c>
      <c r="CK153" s="38" t="str">
        <f>IFERROR('2.vize'!CV52*100/'2.vize'!$I52,"")</f>
        <v/>
      </c>
      <c r="CL153" s="38" t="str">
        <f>IFERROR('2.vize'!CW52*100/'2.vize'!$I52,"")</f>
        <v/>
      </c>
      <c r="CM153" s="38" t="str">
        <f>IFERROR('2.vize'!CX52*100/'2.vize'!$I52,"")</f>
        <v/>
      </c>
      <c r="CN153" s="38" t="str">
        <f>IFERROR('2.vize'!CY52*100/'2.vize'!$I52,"")</f>
        <v/>
      </c>
      <c r="CO153" s="38" t="str">
        <f>IFERROR('2.vize'!CZ52*100/'2.vize'!$I52,"")</f>
        <v/>
      </c>
      <c r="CP153" s="38" t="str">
        <f>IFERROR('2.vize'!DA52*100/'2.vize'!$I52,"")</f>
        <v/>
      </c>
      <c r="CQ153" s="38" t="str">
        <f>IFERROR('2.vize'!DB52*100/'2.vize'!$I52,"")</f>
        <v/>
      </c>
      <c r="CR153" s="38" t="str">
        <f>IFERROR('2.vize'!DC52*100/'2.vize'!$I52,"")</f>
        <v/>
      </c>
      <c r="CS153" s="38" t="str">
        <f>IFERROR('2.vize'!DD52*100/'2.vize'!$I52,"")</f>
        <v/>
      </c>
      <c r="CT153" s="38" t="str">
        <f>IFERROR('2.vize'!DE52*100/'2.vize'!$I52,"")</f>
        <v/>
      </c>
      <c r="CU153" s="38" t="str">
        <f>IFERROR('2.vize'!DF52*100/'2.vize'!$I52,"")</f>
        <v/>
      </c>
      <c r="CV153" s="38" t="str">
        <f>IFERROR('2.vize'!DG52*100/'2.vize'!$I52,"")</f>
        <v/>
      </c>
      <c r="CW153" s="32" t="str">
        <f>IFERROR(SUM(A153:CV153)/'2.vize'!$DH$103,"")</f>
        <v/>
      </c>
      <c r="CX153" s="14" t="str">
        <f>IF(COUNTA('2.vize'!A52),'2.vize'!A52,"")</f>
        <v/>
      </c>
      <c r="CY153" s="14" t="str">
        <f>IF(COUNTA('2.vize'!B52),'2.vize'!B52,"")</f>
        <v/>
      </c>
      <c r="CZ153" s="14" t="str">
        <f>IF(COUNTA('2.vize'!C52),'2.vize'!C52,"")</f>
        <v/>
      </c>
      <c r="DA153" s="14" t="str">
        <f>IF(COUNTA('2.vize'!D52),'2.vize'!D52,"")</f>
        <v/>
      </c>
      <c r="DB153" s="14" t="str">
        <f>IF(COUNTA('2.vize'!E52),'2.vize'!E52,"")</f>
        <v/>
      </c>
      <c r="DC153" s="14" t="str">
        <f>IF(COUNTA('2.vize'!F52),'2.vize'!F52,"")</f>
        <v/>
      </c>
      <c r="DD153" s="14" t="str">
        <f>IF(COUNTA('2.vize'!G52),'2.vize'!G52,"")</f>
        <v/>
      </c>
      <c r="DE153" s="14" t="str">
        <f>IF(COUNTA('2.vize'!H52),'2.vize'!H52,"")</f>
        <v/>
      </c>
    </row>
    <row r="154" spans="1:109" x14ac:dyDescent="0.2">
      <c r="A154" s="38" t="str">
        <f>IFERROR('2.vize'!L53*100/'2.vize'!$I53,"")</f>
        <v/>
      </c>
      <c r="B154" s="38" t="str">
        <f>IFERROR('2.vize'!M53*100/'2.vize'!$I53,"")</f>
        <v/>
      </c>
      <c r="C154" s="38" t="str">
        <f>IFERROR('2.vize'!N53*100/'2.vize'!$I53,"")</f>
        <v/>
      </c>
      <c r="D154" s="38" t="str">
        <f>IFERROR('2.vize'!O53*100/'2.vize'!$I53,"")</f>
        <v/>
      </c>
      <c r="E154" s="38" t="str">
        <f>IFERROR('2.vize'!P53*100/'2.vize'!$I53,"")</f>
        <v/>
      </c>
      <c r="F154" s="38" t="str">
        <f>IFERROR('2.vize'!Q53*100/'2.vize'!$I53,"")</f>
        <v/>
      </c>
      <c r="G154" s="38" t="str">
        <f>IFERROR('2.vize'!R53*100/'2.vize'!$I53,"")</f>
        <v/>
      </c>
      <c r="H154" s="38" t="str">
        <f>IFERROR('2.vize'!S53*100/'2.vize'!$I53,"")</f>
        <v/>
      </c>
      <c r="I154" s="38" t="str">
        <f>IFERROR('2.vize'!T53*100/'2.vize'!$I53,"")</f>
        <v/>
      </c>
      <c r="J154" s="38" t="str">
        <f>IFERROR('2.vize'!U53*100/'2.vize'!$I53,"")</f>
        <v/>
      </c>
      <c r="K154" s="38" t="str">
        <f>IFERROR('2.vize'!V53*100/'2.vize'!$I53,"")</f>
        <v/>
      </c>
      <c r="L154" s="38" t="str">
        <f>IFERROR('2.vize'!W53*100/'2.vize'!$I53,"")</f>
        <v/>
      </c>
      <c r="M154" s="38" t="str">
        <f>IFERROR('2.vize'!X53*100/'2.vize'!$I53,"")</f>
        <v/>
      </c>
      <c r="N154" s="38" t="str">
        <f>IFERROR('2.vize'!Y53*100/'2.vize'!$I53,"")</f>
        <v/>
      </c>
      <c r="O154" s="38" t="str">
        <f>IFERROR('2.vize'!Z53*100/'2.vize'!$I53,"")</f>
        <v/>
      </c>
      <c r="P154" s="38" t="str">
        <f>IFERROR('2.vize'!AA53*100/'2.vize'!$I53,"")</f>
        <v/>
      </c>
      <c r="Q154" s="38" t="str">
        <f>IFERROR('2.vize'!AB53*100/'2.vize'!$I53,"")</f>
        <v/>
      </c>
      <c r="R154" s="38" t="str">
        <f>IFERROR('2.vize'!AC53*100/'2.vize'!$I53,"")</f>
        <v/>
      </c>
      <c r="S154" s="38" t="str">
        <f>IFERROR('2.vize'!AD53*100/'2.vize'!$I53,"")</f>
        <v/>
      </c>
      <c r="T154" s="38" t="str">
        <f>IFERROR('2.vize'!AE53*100/'2.vize'!$I53,"")</f>
        <v/>
      </c>
      <c r="U154" s="38" t="str">
        <f>IFERROR('2.vize'!AF53*100/'2.vize'!$I53,"")</f>
        <v/>
      </c>
      <c r="V154" s="38" t="str">
        <f>IFERROR('2.vize'!AG53*100/'2.vize'!$I53,"")</f>
        <v/>
      </c>
      <c r="W154" s="38" t="str">
        <f>IFERROR('2.vize'!AH53*100/'2.vize'!$I53,"")</f>
        <v/>
      </c>
      <c r="X154" s="38" t="str">
        <f>IFERROR('2.vize'!AI53*100/'2.vize'!$I53,"")</f>
        <v/>
      </c>
      <c r="Y154" s="38" t="str">
        <f>IFERROR('2.vize'!AJ53*100/'2.vize'!$I53,"")</f>
        <v/>
      </c>
      <c r="Z154" s="38" t="str">
        <f>IFERROR('2.vize'!AK53*100/'2.vize'!$I53,"")</f>
        <v/>
      </c>
      <c r="AA154" s="38" t="str">
        <f>IFERROR('2.vize'!AL53*100/'2.vize'!$I53,"")</f>
        <v/>
      </c>
      <c r="AB154" s="38" t="str">
        <f>IFERROR('2.vize'!AM53*100/'2.vize'!$I53,"")</f>
        <v/>
      </c>
      <c r="AC154" s="38" t="str">
        <f>IFERROR('2.vize'!AN53*100/'2.vize'!$I53,"")</f>
        <v/>
      </c>
      <c r="AD154" s="38" t="str">
        <f>IFERROR('2.vize'!AO53*100/'2.vize'!$I53,"")</f>
        <v/>
      </c>
      <c r="AE154" s="38" t="str">
        <f>IFERROR('2.vize'!AP53*100/'2.vize'!$I53,"")</f>
        <v/>
      </c>
      <c r="AF154" s="38" t="str">
        <f>IFERROR('2.vize'!AQ53*100/'2.vize'!$I53,"")</f>
        <v/>
      </c>
      <c r="AG154" s="38" t="str">
        <f>IFERROR('2.vize'!AR53*100/'2.vize'!$I53,"")</f>
        <v/>
      </c>
      <c r="AH154" s="38" t="str">
        <f>IFERROR('2.vize'!AS53*100/'2.vize'!$I53,"")</f>
        <v/>
      </c>
      <c r="AI154" s="38" t="str">
        <f>IFERROR('2.vize'!AT53*100/'2.vize'!$I53,"")</f>
        <v/>
      </c>
      <c r="AJ154" s="38" t="str">
        <f>IFERROR('2.vize'!AU53*100/'2.vize'!$I53,"")</f>
        <v/>
      </c>
      <c r="AK154" s="38" t="str">
        <f>IFERROR('2.vize'!AV53*100/'2.vize'!$I53,"")</f>
        <v/>
      </c>
      <c r="AL154" s="38" t="str">
        <f>IFERROR('2.vize'!AW53*100/'2.vize'!$I53,"")</f>
        <v/>
      </c>
      <c r="AM154" s="38" t="str">
        <f>IFERROR('2.vize'!AX53*100/'2.vize'!$I53,"")</f>
        <v/>
      </c>
      <c r="AN154" s="38" t="str">
        <f>IFERROR('2.vize'!AY53*100/'2.vize'!$I53,"")</f>
        <v/>
      </c>
      <c r="AO154" s="38" t="str">
        <f>IFERROR('2.vize'!AZ53*100/'2.vize'!$I53,"")</f>
        <v/>
      </c>
      <c r="AP154" s="38" t="str">
        <f>IFERROR('2.vize'!BA53*100/'2.vize'!$I53,"")</f>
        <v/>
      </c>
      <c r="AQ154" s="38" t="str">
        <f>IFERROR('2.vize'!BB53*100/'2.vize'!$I53,"")</f>
        <v/>
      </c>
      <c r="AR154" s="38" t="str">
        <f>IFERROR('2.vize'!BC53*100/'2.vize'!$I53,"")</f>
        <v/>
      </c>
      <c r="AS154" s="38" t="str">
        <f>IFERROR('2.vize'!BD53*100/'2.vize'!$I53,"")</f>
        <v/>
      </c>
      <c r="AT154" s="38" t="str">
        <f>IFERROR('2.vize'!BE53*100/'2.vize'!$I53,"")</f>
        <v/>
      </c>
      <c r="AU154" s="38" t="str">
        <f>IFERROR('2.vize'!BF53*100/'2.vize'!$I53,"")</f>
        <v/>
      </c>
      <c r="AV154" s="38" t="str">
        <f>IFERROR('2.vize'!BG53*100/'2.vize'!$I53,"")</f>
        <v/>
      </c>
      <c r="AW154" s="38" t="str">
        <f>IFERROR('2.vize'!BH53*100/'2.vize'!$I53,"")</f>
        <v/>
      </c>
      <c r="AX154" s="38" t="str">
        <f>IFERROR('2.vize'!BI53*100/'2.vize'!$I53,"")</f>
        <v/>
      </c>
      <c r="AY154" s="38" t="str">
        <f>IFERROR('2.vize'!BJ53*100/'2.vize'!$I53,"")</f>
        <v/>
      </c>
      <c r="AZ154" s="38" t="str">
        <f>IFERROR('2.vize'!BK53*100/'2.vize'!$I53,"")</f>
        <v/>
      </c>
      <c r="BA154" s="38" t="str">
        <f>IFERROR('2.vize'!BL53*100/'2.vize'!$I53,"")</f>
        <v/>
      </c>
      <c r="BB154" s="38" t="str">
        <f>IFERROR('2.vize'!BM53*100/'2.vize'!$I53,"")</f>
        <v/>
      </c>
      <c r="BC154" s="38" t="str">
        <f>IFERROR('2.vize'!BN53*100/'2.vize'!$I53,"")</f>
        <v/>
      </c>
      <c r="BD154" s="38" t="str">
        <f>IFERROR('2.vize'!BO53*100/'2.vize'!$I53,"")</f>
        <v/>
      </c>
      <c r="BE154" s="38" t="str">
        <f>IFERROR('2.vize'!BP53*100/'2.vize'!$I53,"")</f>
        <v/>
      </c>
      <c r="BF154" s="38" t="str">
        <f>IFERROR('2.vize'!BQ53*100/'2.vize'!$I53,"")</f>
        <v/>
      </c>
      <c r="BG154" s="38" t="str">
        <f>IFERROR('2.vize'!BR53*100/'2.vize'!$I53,"")</f>
        <v/>
      </c>
      <c r="BH154" s="38" t="str">
        <f>IFERROR('2.vize'!BS53*100/'2.vize'!$I53,"")</f>
        <v/>
      </c>
      <c r="BI154" s="38" t="str">
        <f>IFERROR('2.vize'!BT53*100/'2.vize'!$I53,"")</f>
        <v/>
      </c>
      <c r="BJ154" s="38" t="str">
        <f>IFERROR('2.vize'!BU53*100/'2.vize'!$I53,"")</f>
        <v/>
      </c>
      <c r="BK154" s="38" t="str">
        <f>IFERROR('2.vize'!BV53*100/'2.vize'!$I53,"")</f>
        <v/>
      </c>
      <c r="BL154" s="38" t="str">
        <f>IFERROR('2.vize'!BW53*100/'2.vize'!$I53,"")</f>
        <v/>
      </c>
      <c r="BM154" s="38" t="str">
        <f>IFERROR('2.vize'!BX53*100/'2.vize'!$I53,"")</f>
        <v/>
      </c>
      <c r="BN154" s="38" t="str">
        <f>IFERROR('2.vize'!BY53*100/'2.vize'!$I53,"")</f>
        <v/>
      </c>
      <c r="BO154" s="38" t="str">
        <f>IFERROR('2.vize'!BZ53*100/'2.vize'!$I53,"")</f>
        <v/>
      </c>
      <c r="BP154" s="38" t="str">
        <f>IFERROR('2.vize'!CA53*100/'2.vize'!$I53,"")</f>
        <v/>
      </c>
      <c r="BQ154" s="38" t="str">
        <f>IFERROR('2.vize'!CB53*100/'2.vize'!$I53,"")</f>
        <v/>
      </c>
      <c r="BR154" s="38" t="str">
        <f>IFERROR('2.vize'!CC53*100/'2.vize'!$I53,"")</f>
        <v/>
      </c>
      <c r="BS154" s="38" t="str">
        <f>IFERROR('2.vize'!CD53*100/'2.vize'!$I53,"")</f>
        <v/>
      </c>
      <c r="BT154" s="38" t="str">
        <f>IFERROR('2.vize'!CE53*100/'2.vize'!$I53,"")</f>
        <v/>
      </c>
      <c r="BU154" s="38" t="str">
        <f>IFERROR('2.vize'!CF53*100/'2.vize'!$I53,"")</f>
        <v/>
      </c>
      <c r="BV154" s="38" t="str">
        <f>IFERROR('2.vize'!CG53*100/'2.vize'!$I53,"")</f>
        <v/>
      </c>
      <c r="BW154" s="38" t="str">
        <f>IFERROR('2.vize'!CH53*100/'2.vize'!$I53,"")</f>
        <v/>
      </c>
      <c r="BX154" s="38" t="str">
        <f>IFERROR('2.vize'!CI53*100/'2.vize'!$I53,"")</f>
        <v/>
      </c>
      <c r="BY154" s="38" t="str">
        <f>IFERROR('2.vize'!CJ53*100/'2.vize'!$I53,"")</f>
        <v/>
      </c>
      <c r="BZ154" s="38" t="str">
        <f>IFERROR('2.vize'!CK53*100/'2.vize'!$I53,"")</f>
        <v/>
      </c>
      <c r="CA154" s="38" t="str">
        <f>IFERROR('2.vize'!CL53*100/'2.vize'!$I53,"")</f>
        <v/>
      </c>
      <c r="CB154" s="38" t="str">
        <f>IFERROR('2.vize'!CM53*100/'2.vize'!$I53,"")</f>
        <v/>
      </c>
      <c r="CC154" s="38" t="str">
        <f>IFERROR('2.vize'!CN53*100/'2.vize'!$I53,"")</f>
        <v/>
      </c>
      <c r="CD154" s="38" t="str">
        <f>IFERROR('2.vize'!CO53*100/'2.vize'!$I53,"")</f>
        <v/>
      </c>
      <c r="CE154" s="38" t="str">
        <f>IFERROR('2.vize'!CP53*100/'2.vize'!$I53,"")</f>
        <v/>
      </c>
      <c r="CF154" s="38" t="str">
        <f>IFERROR('2.vize'!CQ53*100/'2.vize'!$I53,"")</f>
        <v/>
      </c>
      <c r="CG154" s="38" t="str">
        <f>IFERROR('2.vize'!CR53*100/'2.vize'!$I53,"")</f>
        <v/>
      </c>
      <c r="CH154" s="38" t="str">
        <f>IFERROR('2.vize'!CS53*100/'2.vize'!$I53,"")</f>
        <v/>
      </c>
      <c r="CI154" s="38" t="str">
        <f>IFERROR('2.vize'!CT53*100/'2.vize'!$I53,"")</f>
        <v/>
      </c>
      <c r="CJ154" s="38" t="str">
        <f>IFERROR('2.vize'!CU53*100/'2.vize'!$I53,"")</f>
        <v/>
      </c>
      <c r="CK154" s="38" t="str">
        <f>IFERROR('2.vize'!CV53*100/'2.vize'!$I53,"")</f>
        <v/>
      </c>
      <c r="CL154" s="38" t="str">
        <f>IFERROR('2.vize'!CW53*100/'2.vize'!$I53,"")</f>
        <v/>
      </c>
      <c r="CM154" s="38" t="str">
        <f>IFERROR('2.vize'!CX53*100/'2.vize'!$I53,"")</f>
        <v/>
      </c>
      <c r="CN154" s="38" t="str">
        <f>IFERROR('2.vize'!CY53*100/'2.vize'!$I53,"")</f>
        <v/>
      </c>
      <c r="CO154" s="38" t="str">
        <f>IFERROR('2.vize'!CZ53*100/'2.vize'!$I53,"")</f>
        <v/>
      </c>
      <c r="CP154" s="38" t="str">
        <f>IFERROR('2.vize'!DA53*100/'2.vize'!$I53,"")</f>
        <v/>
      </c>
      <c r="CQ154" s="38" t="str">
        <f>IFERROR('2.vize'!DB53*100/'2.vize'!$I53,"")</f>
        <v/>
      </c>
      <c r="CR154" s="38" t="str">
        <f>IFERROR('2.vize'!DC53*100/'2.vize'!$I53,"")</f>
        <v/>
      </c>
      <c r="CS154" s="38" t="str">
        <f>IFERROR('2.vize'!DD53*100/'2.vize'!$I53,"")</f>
        <v/>
      </c>
      <c r="CT154" s="38" t="str">
        <f>IFERROR('2.vize'!DE53*100/'2.vize'!$I53,"")</f>
        <v/>
      </c>
      <c r="CU154" s="38" t="str">
        <f>IFERROR('2.vize'!DF53*100/'2.vize'!$I53,"")</f>
        <v/>
      </c>
      <c r="CV154" s="38" t="str">
        <f>IFERROR('2.vize'!DG53*100/'2.vize'!$I53,"")</f>
        <v/>
      </c>
      <c r="CW154" s="32" t="str">
        <f>IFERROR(SUM(A154:CV154)/'2.vize'!$DH$103,"")</f>
        <v/>
      </c>
      <c r="CX154" s="14" t="str">
        <f>IF(COUNTA('2.vize'!A53),'2.vize'!A53,"")</f>
        <v/>
      </c>
      <c r="CY154" s="14" t="str">
        <f>IF(COUNTA('2.vize'!B53),'2.vize'!B53,"")</f>
        <v/>
      </c>
      <c r="CZ154" s="14" t="str">
        <f>IF(COUNTA('2.vize'!C53),'2.vize'!C53,"")</f>
        <v/>
      </c>
      <c r="DA154" s="14" t="str">
        <f>IF(COUNTA('2.vize'!D53),'2.vize'!D53,"")</f>
        <v/>
      </c>
      <c r="DB154" s="14" t="str">
        <f>IF(COUNTA('2.vize'!E53),'2.vize'!E53,"")</f>
        <v/>
      </c>
      <c r="DC154" s="14" t="str">
        <f>IF(COUNTA('2.vize'!F53),'2.vize'!F53,"")</f>
        <v/>
      </c>
      <c r="DD154" s="14" t="str">
        <f>IF(COUNTA('2.vize'!G53),'2.vize'!G53,"")</f>
        <v/>
      </c>
      <c r="DE154" s="14" t="str">
        <f>IF(COUNTA('2.vize'!H53),'2.vize'!H53,"")</f>
        <v/>
      </c>
    </row>
    <row r="155" spans="1:109" x14ac:dyDescent="0.2">
      <c r="A155" s="38" t="str">
        <f>IFERROR('2.vize'!L54*100/'2.vize'!$I54,"")</f>
        <v/>
      </c>
      <c r="B155" s="38" t="str">
        <f>IFERROR('2.vize'!M54*100/'2.vize'!$I54,"")</f>
        <v/>
      </c>
      <c r="C155" s="38" t="str">
        <f>IFERROR('2.vize'!N54*100/'2.vize'!$I54,"")</f>
        <v/>
      </c>
      <c r="D155" s="38" t="str">
        <f>IFERROR('2.vize'!O54*100/'2.vize'!$I54,"")</f>
        <v/>
      </c>
      <c r="E155" s="38" t="str">
        <f>IFERROR('2.vize'!P54*100/'2.vize'!$I54,"")</f>
        <v/>
      </c>
      <c r="F155" s="38" t="str">
        <f>IFERROR('2.vize'!Q54*100/'2.vize'!$I54,"")</f>
        <v/>
      </c>
      <c r="G155" s="38" t="str">
        <f>IFERROR('2.vize'!R54*100/'2.vize'!$I54,"")</f>
        <v/>
      </c>
      <c r="H155" s="38" t="str">
        <f>IFERROR('2.vize'!S54*100/'2.vize'!$I54,"")</f>
        <v/>
      </c>
      <c r="I155" s="38" t="str">
        <f>IFERROR('2.vize'!T54*100/'2.vize'!$I54,"")</f>
        <v/>
      </c>
      <c r="J155" s="38" t="str">
        <f>IFERROR('2.vize'!U54*100/'2.vize'!$I54,"")</f>
        <v/>
      </c>
      <c r="K155" s="38" t="str">
        <f>IFERROR('2.vize'!V54*100/'2.vize'!$I54,"")</f>
        <v/>
      </c>
      <c r="L155" s="38" t="str">
        <f>IFERROR('2.vize'!W54*100/'2.vize'!$I54,"")</f>
        <v/>
      </c>
      <c r="M155" s="38" t="str">
        <f>IFERROR('2.vize'!X54*100/'2.vize'!$I54,"")</f>
        <v/>
      </c>
      <c r="N155" s="38" t="str">
        <f>IFERROR('2.vize'!Y54*100/'2.vize'!$I54,"")</f>
        <v/>
      </c>
      <c r="O155" s="38" t="str">
        <f>IFERROR('2.vize'!Z54*100/'2.vize'!$I54,"")</f>
        <v/>
      </c>
      <c r="P155" s="38" t="str">
        <f>IFERROR('2.vize'!AA54*100/'2.vize'!$I54,"")</f>
        <v/>
      </c>
      <c r="Q155" s="38" t="str">
        <f>IFERROR('2.vize'!AB54*100/'2.vize'!$I54,"")</f>
        <v/>
      </c>
      <c r="R155" s="38" t="str">
        <f>IFERROR('2.vize'!AC54*100/'2.vize'!$I54,"")</f>
        <v/>
      </c>
      <c r="S155" s="38" t="str">
        <f>IFERROR('2.vize'!AD54*100/'2.vize'!$I54,"")</f>
        <v/>
      </c>
      <c r="T155" s="38" t="str">
        <f>IFERROR('2.vize'!AE54*100/'2.vize'!$I54,"")</f>
        <v/>
      </c>
      <c r="U155" s="38" t="str">
        <f>IFERROR('2.vize'!AF54*100/'2.vize'!$I54,"")</f>
        <v/>
      </c>
      <c r="V155" s="38" t="str">
        <f>IFERROR('2.vize'!AG54*100/'2.vize'!$I54,"")</f>
        <v/>
      </c>
      <c r="W155" s="38" t="str">
        <f>IFERROR('2.vize'!AH54*100/'2.vize'!$I54,"")</f>
        <v/>
      </c>
      <c r="X155" s="38" t="str">
        <f>IFERROR('2.vize'!AI54*100/'2.vize'!$I54,"")</f>
        <v/>
      </c>
      <c r="Y155" s="38" t="str">
        <f>IFERROR('2.vize'!AJ54*100/'2.vize'!$I54,"")</f>
        <v/>
      </c>
      <c r="Z155" s="38" t="str">
        <f>IFERROR('2.vize'!AK54*100/'2.vize'!$I54,"")</f>
        <v/>
      </c>
      <c r="AA155" s="38" t="str">
        <f>IFERROR('2.vize'!AL54*100/'2.vize'!$I54,"")</f>
        <v/>
      </c>
      <c r="AB155" s="38" t="str">
        <f>IFERROR('2.vize'!AM54*100/'2.vize'!$I54,"")</f>
        <v/>
      </c>
      <c r="AC155" s="38" t="str">
        <f>IFERROR('2.vize'!AN54*100/'2.vize'!$I54,"")</f>
        <v/>
      </c>
      <c r="AD155" s="38" t="str">
        <f>IFERROR('2.vize'!AO54*100/'2.vize'!$I54,"")</f>
        <v/>
      </c>
      <c r="AE155" s="38" t="str">
        <f>IFERROR('2.vize'!AP54*100/'2.vize'!$I54,"")</f>
        <v/>
      </c>
      <c r="AF155" s="38" t="str">
        <f>IFERROR('2.vize'!AQ54*100/'2.vize'!$I54,"")</f>
        <v/>
      </c>
      <c r="AG155" s="38" t="str">
        <f>IFERROR('2.vize'!AR54*100/'2.vize'!$I54,"")</f>
        <v/>
      </c>
      <c r="AH155" s="38" t="str">
        <f>IFERROR('2.vize'!AS54*100/'2.vize'!$I54,"")</f>
        <v/>
      </c>
      <c r="AI155" s="38" t="str">
        <f>IFERROR('2.vize'!AT54*100/'2.vize'!$I54,"")</f>
        <v/>
      </c>
      <c r="AJ155" s="38" t="str">
        <f>IFERROR('2.vize'!AU54*100/'2.vize'!$I54,"")</f>
        <v/>
      </c>
      <c r="AK155" s="38" t="str">
        <f>IFERROR('2.vize'!AV54*100/'2.vize'!$I54,"")</f>
        <v/>
      </c>
      <c r="AL155" s="38" t="str">
        <f>IFERROR('2.vize'!AW54*100/'2.vize'!$I54,"")</f>
        <v/>
      </c>
      <c r="AM155" s="38" t="str">
        <f>IFERROR('2.vize'!AX54*100/'2.vize'!$I54,"")</f>
        <v/>
      </c>
      <c r="AN155" s="38" t="str">
        <f>IFERROR('2.vize'!AY54*100/'2.vize'!$I54,"")</f>
        <v/>
      </c>
      <c r="AO155" s="38" t="str">
        <f>IFERROR('2.vize'!AZ54*100/'2.vize'!$I54,"")</f>
        <v/>
      </c>
      <c r="AP155" s="38" t="str">
        <f>IFERROR('2.vize'!BA54*100/'2.vize'!$I54,"")</f>
        <v/>
      </c>
      <c r="AQ155" s="38" t="str">
        <f>IFERROR('2.vize'!BB54*100/'2.vize'!$I54,"")</f>
        <v/>
      </c>
      <c r="AR155" s="38" t="str">
        <f>IFERROR('2.vize'!BC54*100/'2.vize'!$I54,"")</f>
        <v/>
      </c>
      <c r="AS155" s="38" t="str">
        <f>IFERROR('2.vize'!BD54*100/'2.vize'!$I54,"")</f>
        <v/>
      </c>
      <c r="AT155" s="38" t="str">
        <f>IFERROR('2.vize'!BE54*100/'2.vize'!$I54,"")</f>
        <v/>
      </c>
      <c r="AU155" s="38" t="str">
        <f>IFERROR('2.vize'!BF54*100/'2.vize'!$I54,"")</f>
        <v/>
      </c>
      <c r="AV155" s="38" t="str">
        <f>IFERROR('2.vize'!BG54*100/'2.vize'!$I54,"")</f>
        <v/>
      </c>
      <c r="AW155" s="38" t="str">
        <f>IFERROR('2.vize'!BH54*100/'2.vize'!$I54,"")</f>
        <v/>
      </c>
      <c r="AX155" s="38" t="str">
        <f>IFERROR('2.vize'!BI54*100/'2.vize'!$I54,"")</f>
        <v/>
      </c>
      <c r="AY155" s="38" t="str">
        <f>IFERROR('2.vize'!BJ54*100/'2.vize'!$I54,"")</f>
        <v/>
      </c>
      <c r="AZ155" s="38" t="str">
        <f>IFERROR('2.vize'!BK54*100/'2.vize'!$I54,"")</f>
        <v/>
      </c>
      <c r="BA155" s="38" t="str">
        <f>IFERROR('2.vize'!BL54*100/'2.vize'!$I54,"")</f>
        <v/>
      </c>
      <c r="BB155" s="38" t="str">
        <f>IFERROR('2.vize'!BM54*100/'2.vize'!$I54,"")</f>
        <v/>
      </c>
      <c r="BC155" s="38" t="str">
        <f>IFERROR('2.vize'!BN54*100/'2.vize'!$I54,"")</f>
        <v/>
      </c>
      <c r="BD155" s="38" t="str">
        <f>IFERROR('2.vize'!BO54*100/'2.vize'!$I54,"")</f>
        <v/>
      </c>
      <c r="BE155" s="38" t="str">
        <f>IFERROR('2.vize'!BP54*100/'2.vize'!$I54,"")</f>
        <v/>
      </c>
      <c r="BF155" s="38" t="str">
        <f>IFERROR('2.vize'!BQ54*100/'2.vize'!$I54,"")</f>
        <v/>
      </c>
      <c r="BG155" s="38" t="str">
        <f>IFERROR('2.vize'!BR54*100/'2.vize'!$I54,"")</f>
        <v/>
      </c>
      <c r="BH155" s="38" t="str">
        <f>IFERROR('2.vize'!BS54*100/'2.vize'!$I54,"")</f>
        <v/>
      </c>
      <c r="BI155" s="38" t="str">
        <f>IFERROR('2.vize'!BT54*100/'2.vize'!$I54,"")</f>
        <v/>
      </c>
      <c r="BJ155" s="38" t="str">
        <f>IFERROR('2.vize'!BU54*100/'2.vize'!$I54,"")</f>
        <v/>
      </c>
      <c r="BK155" s="38" t="str">
        <f>IFERROR('2.vize'!BV54*100/'2.vize'!$I54,"")</f>
        <v/>
      </c>
      <c r="BL155" s="38" t="str">
        <f>IFERROR('2.vize'!BW54*100/'2.vize'!$I54,"")</f>
        <v/>
      </c>
      <c r="BM155" s="38" t="str">
        <f>IFERROR('2.vize'!BX54*100/'2.vize'!$I54,"")</f>
        <v/>
      </c>
      <c r="BN155" s="38" t="str">
        <f>IFERROR('2.vize'!BY54*100/'2.vize'!$I54,"")</f>
        <v/>
      </c>
      <c r="BO155" s="38" t="str">
        <f>IFERROR('2.vize'!BZ54*100/'2.vize'!$I54,"")</f>
        <v/>
      </c>
      <c r="BP155" s="38" t="str">
        <f>IFERROR('2.vize'!CA54*100/'2.vize'!$I54,"")</f>
        <v/>
      </c>
      <c r="BQ155" s="38" t="str">
        <f>IFERROR('2.vize'!CB54*100/'2.vize'!$I54,"")</f>
        <v/>
      </c>
      <c r="BR155" s="38" t="str">
        <f>IFERROR('2.vize'!CC54*100/'2.vize'!$I54,"")</f>
        <v/>
      </c>
      <c r="BS155" s="38" t="str">
        <f>IFERROR('2.vize'!CD54*100/'2.vize'!$I54,"")</f>
        <v/>
      </c>
      <c r="BT155" s="38" t="str">
        <f>IFERROR('2.vize'!CE54*100/'2.vize'!$I54,"")</f>
        <v/>
      </c>
      <c r="BU155" s="38" t="str">
        <f>IFERROR('2.vize'!CF54*100/'2.vize'!$I54,"")</f>
        <v/>
      </c>
      <c r="BV155" s="38" t="str">
        <f>IFERROR('2.vize'!CG54*100/'2.vize'!$I54,"")</f>
        <v/>
      </c>
      <c r="BW155" s="38" t="str">
        <f>IFERROR('2.vize'!CH54*100/'2.vize'!$I54,"")</f>
        <v/>
      </c>
      <c r="BX155" s="38" t="str">
        <f>IFERROR('2.vize'!CI54*100/'2.vize'!$I54,"")</f>
        <v/>
      </c>
      <c r="BY155" s="38" t="str">
        <f>IFERROR('2.vize'!CJ54*100/'2.vize'!$I54,"")</f>
        <v/>
      </c>
      <c r="BZ155" s="38" t="str">
        <f>IFERROR('2.vize'!CK54*100/'2.vize'!$I54,"")</f>
        <v/>
      </c>
      <c r="CA155" s="38" t="str">
        <f>IFERROR('2.vize'!CL54*100/'2.vize'!$I54,"")</f>
        <v/>
      </c>
      <c r="CB155" s="38" t="str">
        <f>IFERROR('2.vize'!CM54*100/'2.vize'!$I54,"")</f>
        <v/>
      </c>
      <c r="CC155" s="38" t="str">
        <f>IFERROR('2.vize'!CN54*100/'2.vize'!$I54,"")</f>
        <v/>
      </c>
      <c r="CD155" s="38" t="str">
        <f>IFERROR('2.vize'!CO54*100/'2.vize'!$I54,"")</f>
        <v/>
      </c>
      <c r="CE155" s="38" t="str">
        <f>IFERROR('2.vize'!CP54*100/'2.vize'!$I54,"")</f>
        <v/>
      </c>
      <c r="CF155" s="38" t="str">
        <f>IFERROR('2.vize'!CQ54*100/'2.vize'!$I54,"")</f>
        <v/>
      </c>
      <c r="CG155" s="38" t="str">
        <f>IFERROR('2.vize'!CR54*100/'2.vize'!$I54,"")</f>
        <v/>
      </c>
      <c r="CH155" s="38" t="str">
        <f>IFERROR('2.vize'!CS54*100/'2.vize'!$I54,"")</f>
        <v/>
      </c>
      <c r="CI155" s="38" t="str">
        <f>IFERROR('2.vize'!CT54*100/'2.vize'!$I54,"")</f>
        <v/>
      </c>
      <c r="CJ155" s="38" t="str">
        <f>IFERROR('2.vize'!CU54*100/'2.vize'!$I54,"")</f>
        <v/>
      </c>
      <c r="CK155" s="38" t="str">
        <f>IFERROR('2.vize'!CV54*100/'2.vize'!$I54,"")</f>
        <v/>
      </c>
      <c r="CL155" s="38" t="str">
        <f>IFERROR('2.vize'!CW54*100/'2.vize'!$I54,"")</f>
        <v/>
      </c>
      <c r="CM155" s="38" t="str">
        <f>IFERROR('2.vize'!CX54*100/'2.vize'!$I54,"")</f>
        <v/>
      </c>
      <c r="CN155" s="38" t="str">
        <f>IFERROR('2.vize'!CY54*100/'2.vize'!$I54,"")</f>
        <v/>
      </c>
      <c r="CO155" s="38" t="str">
        <f>IFERROR('2.vize'!CZ54*100/'2.vize'!$I54,"")</f>
        <v/>
      </c>
      <c r="CP155" s="38" t="str">
        <f>IFERROR('2.vize'!DA54*100/'2.vize'!$I54,"")</f>
        <v/>
      </c>
      <c r="CQ155" s="38" t="str">
        <f>IFERROR('2.vize'!DB54*100/'2.vize'!$I54,"")</f>
        <v/>
      </c>
      <c r="CR155" s="38" t="str">
        <f>IFERROR('2.vize'!DC54*100/'2.vize'!$I54,"")</f>
        <v/>
      </c>
      <c r="CS155" s="38" t="str">
        <f>IFERROR('2.vize'!DD54*100/'2.vize'!$I54,"")</f>
        <v/>
      </c>
      <c r="CT155" s="38" t="str">
        <f>IFERROR('2.vize'!DE54*100/'2.vize'!$I54,"")</f>
        <v/>
      </c>
      <c r="CU155" s="38" t="str">
        <f>IFERROR('2.vize'!DF54*100/'2.vize'!$I54,"")</f>
        <v/>
      </c>
      <c r="CV155" s="38" t="str">
        <f>IFERROR('2.vize'!DG54*100/'2.vize'!$I54,"")</f>
        <v/>
      </c>
      <c r="CW155" s="32" t="str">
        <f>IFERROR(SUM(A155:CV155)/'2.vize'!$DH$103,"")</f>
        <v/>
      </c>
      <c r="CX155" s="14" t="str">
        <f>IF(COUNTA('2.vize'!A54),'2.vize'!A54,"")</f>
        <v/>
      </c>
      <c r="CY155" s="14" t="str">
        <f>IF(COUNTA('2.vize'!B54),'2.vize'!B54,"")</f>
        <v/>
      </c>
      <c r="CZ155" s="14" t="str">
        <f>IF(COUNTA('2.vize'!C54),'2.vize'!C54,"")</f>
        <v/>
      </c>
      <c r="DA155" s="14" t="str">
        <f>IF(COUNTA('2.vize'!D54),'2.vize'!D54,"")</f>
        <v/>
      </c>
      <c r="DB155" s="14" t="str">
        <f>IF(COUNTA('2.vize'!E54),'2.vize'!E54,"")</f>
        <v/>
      </c>
      <c r="DC155" s="14" t="str">
        <f>IF(COUNTA('2.vize'!F54),'2.vize'!F54,"")</f>
        <v/>
      </c>
      <c r="DD155" s="14" t="str">
        <f>IF(COUNTA('2.vize'!G54),'2.vize'!G54,"")</f>
        <v/>
      </c>
      <c r="DE155" s="14" t="str">
        <f>IF(COUNTA('2.vize'!H54),'2.vize'!H54,"")</f>
        <v/>
      </c>
    </row>
    <row r="156" spans="1:109" x14ac:dyDescent="0.2">
      <c r="A156" s="38" t="str">
        <f>IFERROR('2.vize'!L55*100/'2.vize'!$I55,"")</f>
        <v/>
      </c>
      <c r="B156" s="38" t="str">
        <f>IFERROR('2.vize'!M55*100/'2.vize'!$I55,"")</f>
        <v/>
      </c>
      <c r="C156" s="38" t="str">
        <f>IFERROR('2.vize'!N55*100/'2.vize'!$I55,"")</f>
        <v/>
      </c>
      <c r="D156" s="38" t="str">
        <f>IFERROR('2.vize'!O55*100/'2.vize'!$I55,"")</f>
        <v/>
      </c>
      <c r="E156" s="38" t="str">
        <f>IFERROR('2.vize'!P55*100/'2.vize'!$I55,"")</f>
        <v/>
      </c>
      <c r="F156" s="38" t="str">
        <f>IFERROR('2.vize'!Q55*100/'2.vize'!$I55,"")</f>
        <v/>
      </c>
      <c r="G156" s="38" t="str">
        <f>IFERROR('2.vize'!R55*100/'2.vize'!$I55,"")</f>
        <v/>
      </c>
      <c r="H156" s="38" t="str">
        <f>IFERROR('2.vize'!S55*100/'2.vize'!$I55,"")</f>
        <v/>
      </c>
      <c r="I156" s="38" t="str">
        <f>IFERROR('2.vize'!T55*100/'2.vize'!$I55,"")</f>
        <v/>
      </c>
      <c r="J156" s="38" t="str">
        <f>IFERROR('2.vize'!U55*100/'2.vize'!$I55,"")</f>
        <v/>
      </c>
      <c r="K156" s="38" t="str">
        <f>IFERROR('2.vize'!V55*100/'2.vize'!$I55,"")</f>
        <v/>
      </c>
      <c r="L156" s="38" t="str">
        <f>IFERROR('2.vize'!W55*100/'2.vize'!$I55,"")</f>
        <v/>
      </c>
      <c r="M156" s="38" t="str">
        <f>IFERROR('2.vize'!X55*100/'2.vize'!$I55,"")</f>
        <v/>
      </c>
      <c r="N156" s="38" t="str">
        <f>IFERROR('2.vize'!Y55*100/'2.vize'!$I55,"")</f>
        <v/>
      </c>
      <c r="O156" s="38" t="str">
        <f>IFERROR('2.vize'!Z55*100/'2.vize'!$I55,"")</f>
        <v/>
      </c>
      <c r="P156" s="38" t="str">
        <f>IFERROR('2.vize'!AA55*100/'2.vize'!$I55,"")</f>
        <v/>
      </c>
      <c r="Q156" s="38" t="str">
        <f>IFERROR('2.vize'!AB55*100/'2.vize'!$I55,"")</f>
        <v/>
      </c>
      <c r="R156" s="38" t="str">
        <f>IFERROR('2.vize'!AC55*100/'2.vize'!$I55,"")</f>
        <v/>
      </c>
      <c r="S156" s="38" t="str">
        <f>IFERROR('2.vize'!AD55*100/'2.vize'!$I55,"")</f>
        <v/>
      </c>
      <c r="T156" s="38" t="str">
        <f>IFERROR('2.vize'!AE55*100/'2.vize'!$I55,"")</f>
        <v/>
      </c>
      <c r="U156" s="38" t="str">
        <f>IFERROR('2.vize'!AF55*100/'2.vize'!$I55,"")</f>
        <v/>
      </c>
      <c r="V156" s="38" t="str">
        <f>IFERROR('2.vize'!AG55*100/'2.vize'!$I55,"")</f>
        <v/>
      </c>
      <c r="W156" s="38" t="str">
        <f>IFERROR('2.vize'!AH55*100/'2.vize'!$I55,"")</f>
        <v/>
      </c>
      <c r="X156" s="38" t="str">
        <f>IFERROR('2.vize'!AI55*100/'2.vize'!$I55,"")</f>
        <v/>
      </c>
      <c r="Y156" s="38" t="str">
        <f>IFERROR('2.vize'!AJ55*100/'2.vize'!$I55,"")</f>
        <v/>
      </c>
      <c r="Z156" s="38" t="str">
        <f>IFERROR('2.vize'!AK55*100/'2.vize'!$I55,"")</f>
        <v/>
      </c>
      <c r="AA156" s="38" t="str">
        <f>IFERROR('2.vize'!AL55*100/'2.vize'!$I55,"")</f>
        <v/>
      </c>
      <c r="AB156" s="38" t="str">
        <f>IFERROR('2.vize'!AM55*100/'2.vize'!$I55,"")</f>
        <v/>
      </c>
      <c r="AC156" s="38" t="str">
        <f>IFERROR('2.vize'!AN55*100/'2.vize'!$I55,"")</f>
        <v/>
      </c>
      <c r="AD156" s="38" t="str">
        <f>IFERROR('2.vize'!AO55*100/'2.vize'!$I55,"")</f>
        <v/>
      </c>
      <c r="AE156" s="38" t="str">
        <f>IFERROR('2.vize'!AP55*100/'2.vize'!$I55,"")</f>
        <v/>
      </c>
      <c r="AF156" s="38" t="str">
        <f>IFERROR('2.vize'!AQ55*100/'2.vize'!$I55,"")</f>
        <v/>
      </c>
      <c r="AG156" s="38" t="str">
        <f>IFERROR('2.vize'!AR55*100/'2.vize'!$I55,"")</f>
        <v/>
      </c>
      <c r="AH156" s="38" t="str">
        <f>IFERROR('2.vize'!AS55*100/'2.vize'!$I55,"")</f>
        <v/>
      </c>
      <c r="AI156" s="38" t="str">
        <f>IFERROR('2.vize'!AT55*100/'2.vize'!$I55,"")</f>
        <v/>
      </c>
      <c r="AJ156" s="38" t="str">
        <f>IFERROR('2.vize'!AU55*100/'2.vize'!$I55,"")</f>
        <v/>
      </c>
      <c r="AK156" s="38" t="str">
        <f>IFERROR('2.vize'!AV55*100/'2.vize'!$I55,"")</f>
        <v/>
      </c>
      <c r="AL156" s="38" t="str">
        <f>IFERROR('2.vize'!AW55*100/'2.vize'!$I55,"")</f>
        <v/>
      </c>
      <c r="AM156" s="38" t="str">
        <f>IFERROR('2.vize'!AX55*100/'2.vize'!$I55,"")</f>
        <v/>
      </c>
      <c r="AN156" s="38" t="str">
        <f>IFERROR('2.vize'!AY55*100/'2.vize'!$I55,"")</f>
        <v/>
      </c>
      <c r="AO156" s="38" t="str">
        <f>IFERROR('2.vize'!AZ55*100/'2.vize'!$I55,"")</f>
        <v/>
      </c>
      <c r="AP156" s="38" t="str">
        <f>IFERROR('2.vize'!BA55*100/'2.vize'!$I55,"")</f>
        <v/>
      </c>
      <c r="AQ156" s="38" t="str">
        <f>IFERROR('2.vize'!BB55*100/'2.vize'!$I55,"")</f>
        <v/>
      </c>
      <c r="AR156" s="38" t="str">
        <f>IFERROR('2.vize'!BC55*100/'2.vize'!$I55,"")</f>
        <v/>
      </c>
      <c r="AS156" s="38" t="str">
        <f>IFERROR('2.vize'!BD55*100/'2.vize'!$I55,"")</f>
        <v/>
      </c>
      <c r="AT156" s="38" t="str">
        <f>IFERROR('2.vize'!BE55*100/'2.vize'!$I55,"")</f>
        <v/>
      </c>
      <c r="AU156" s="38" t="str">
        <f>IFERROR('2.vize'!BF55*100/'2.vize'!$I55,"")</f>
        <v/>
      </c>
      <c r="AV156" s="38" t="str">
        <f>IFERROR('2.vize'!BG55*100/'2.vize'!$I55,"")</f>
        <v/>
      </c>
      <c r="AW156" s="38" t="str">
        <f>IFERROR('2.vize'!BH55*100/'2.vize'!$I55,"")</f>
        <v/>
      </c>
      <c r="AX156" s="38" t="str">
        <f>IFERROR('2.vize'!BI55*100/'2.vize'!$I55,"")</f>
        <v/>
      </c>
      <c r="AY156" s="38" t="str">
        <f>IFERROR('2.vize'!BJ55*100/'2.vize'!$I55,"")</f>
        <v/>
      </c>
      <c r="AZ156" s="38" t="str">
        <f>IFERROR('2.vize'!BK55*100/'2.vize'!$I55,"")</f>
        <v/>
      </c>
      <c r="BA156" s="38" t="str">
        <f>IFERROR('2.vize'!BL55*100/'2.vize'!$I55,"")</f>
        <v/>
      </c>
      <c r="BB156" s="38" t="str">
        <f>IFERROR('2.vize'!BM55*100/'2.vize'!$I55,"")</f>
        <v/>
      </c>
      <c r="BC156" s="38" t="str">
        <f>IFERROR('2.vize'!BN55*100/'2.vize'!$I55,"")</f>
        <v/>
      </c>
      <c r="BD156" s="38" t="str">
        <f>IFERROR('2.vize'!BO55*100/'2.vize'!$I55,"")</f>
        <v/>
      </c>
      <c r="BE156" s="38" t="str">
        <f>IFERROR('2.vize'!BP55*100/'2.vize'!$I55,"")</f>
        <v/>
      </c>
      <c r="BF156" s="38" t="str">
        <f>IFERROR('2.vize'!BQ55*100/'2.vize'!$I55,"")</f>
        <v/>
      </c>
      <c r="BG156" s="38" t="str">
        <f>IFERROR('2.vize'!BR55*100/'2.vize'!$I55,"")</f>
        <v/>
      </c>
      <c r="BH156" s="38" t="str">
        <f>IFERROR('2.vize'!BS55*100/'2.vize'!$I55,"")</f>
        <v/>
      </c>
      <c r="BI156" s="38" t="str">
        <f>IFERROR('2.vize'!BT55*100/'2.vize'!$I55,"")</f>
        <v/>
      </c>
      <c r="BJ156" s="38" t="str">
        <f>IFERROR('2.vize'!BU55*100/'2.vize'!$I55,"")</f>
        <v/>
      </c>
      <c r="BK156" s="38" t="str">
        <f>IFERROR('2.vize'!BV55*100/'2.vize'!$I55,"")</f>
        <v/>
      </c>
      <c r="BL156" s="38" t="str">
        <f>IFERROR('2.vize'!BW55*100/'2.vize'!$I55,"")</f>
        <v/>
      </c>
      <c r="BM156" s="38" t="str">
        <f>IFERROR('2.vize'!BX55*100/'2.vize'!$I55,"")</f>
        <v/>
      </c>
      <c r="BN156" s="38" t="str">
        <f>IFERROR('2.vize'!BY55*100/'2.vize'!$I55,"")</f>
        <v/>
      </c>
      <c r="BO156" s="38" t="str">
        <f>IFERROR('2.vize'!BZ55*100/'2.vize'!$I55,"")</f>
        <v/>
      </c>
      <c r="BP156" s="38" t="str">
        <f>IFERROR('2.vize'!CA55*100/'2.vize'!$I55,"")</f>
        <v/>
      </c>
      <c r="BQ156" s="38" t="str">
        <f>IFERROR('2.vize'!CB55*100/'2.vize'!$I55,"")</f>
        <v/>
      </c>
      <c r="BR156" s="38" t="str">
        <f>IFERROR('2.vize'!CC55*100/'2.vize'!$I55,"")</f>
        <v/>
      </c>
      <c r="BS156" s="38" t="str">
        <f>IFERROR('2.vize'!CD55*100/'2.vize'!$I55,"")</f>
        <v/>
      </c>
      <c r="BT156" s="38" t="str">
        <f>IFERROR('2.vize'!CE55*100/'2.vize'!$I55,"")</f>
        <v/>
      </c>
      <c r="BU156" s="38" t="str">
        <f>IFERROR('2.vize'!CF55*100/'2.vize'!$I55,"")</f>
        <v/>
      </c>
      <c r="BV156" s="38" t="str">
        <f>IFERROR('2.vize'!CG55*100/'2.vize'!$I55,"")</f>
        <v/>
      </c>
      <c r="BW156" s="38" t="str">
        <f>IFERROR('2.vize'!CH55*100/'2.vize'!$I55,"")</f>
        <v/>
      </c>
      <c r="BX156" s="38" t="str">
        <f>IFERROR('2.vize'!CI55*100/'2.vize'!$I55,"")</f>
        <v/>
      </c>
      <c r="BY156" s="38" t="str">
        <f>IFERROR('2.vize'!CJ55*100/'2.vize'!$I55,"")</f>
        <v/>
      </c>
      <c r="BZ156" s="38" t="str">
        <f>IFERROR('2.vize'!CK55*100/'2.vize'!$I55,"")</f>
        <v/>
      </c>
      <c r="CA156" s="38" t="str">
        <f>IFERROR('2.vize'!CL55*100/'2.vize'!$I55,"")</f>
        <v/>
      </c>
      <c r="CB156" s="38" t="str">
        <f>IFERROR('2.vize'!CM55*100/'2.vize'!$I55,"")</f>
        <v/>
      </c>
      <c r="CC156" s="38" t="str">
        <f>IFERROR('2.vize'!CN55*100/'2.vize'!$I55,"")</f>
        <v/>
      </c>
      <c r="CD156" s="38" t="str">
        <f>IFERROR('2.vize'!CO55*100/'2.vize'!$I55,"")</f>
        <v/>
      </c>
      <c r="CE156" s="38" t="str">
        <f>IFERROR('2.vize'!CP55*100/'2.vize'!$I55,"")</f>
        <v/>
      </c>
      <c r="CF156" s="38" t="str">
        <f>IFERROR('2.vize'!CQ55*100/'2.vize'!$I55,"")</f>
        <v/>
      </c>
      <c r="CG156" s="38" t="str">
        <f>IFERROR('2.vize'!CR55*100/'2.vize'!$I55,"")</f>
        <v/>
      </c>
      <c r="CH156" s="38" t="str">
        <f>IFERROR('2.vize'!CS55*100/'2.vize'!$I55,"")</f>
        <v/>
      </c>
      <c r="CI156" s="38" t="str">
        <f>IFERROR('2.vize'!CT55*100/'2.vize'!$I55,"")</f>
        <v/>
      </c>
      <c r="CJ156" s="38" t="str">
        <f>IFERROR('2.vize'!CU55*100/'2.vize'!$I55,"")</f>
        <v/>
      </c>
      <c r="CK156" s="38" t="str">
        <f>IFERROR('2.vize'!CV55*100/'2.vize'!$I55,"")</f>
        <v/>
      </c>
      <c r="CL156" s="38" t="str">
        <f>IFERROR('2.vize'!CW55*100/'2.vize'!$I55,"")</f>
        <v/>
      </c>
      <c r="CM156" s="38" t="str">
        <f>IFERROR('2.vize'!CX55*100/'2.vize'!$I55,"")</f>
        <v/>
      </c>
      <c r="CN156" s="38" t="str">
        <f>IFERROR('2.vize'!CY55*100/'2.vize'!$I55,"")</f>
        <v/>
      </c>
      <c r="CO156" s="38" t="str">
        <f>IFERROR('2.vize'!CZ55*100/'2.vize'!$I55,"")</f>
        <v/>
      </c>
      <c r="CP156" s="38" t="str">
        <f>IFERROR('2.vize'!DA55*100/'2.vize'!$I55,"")</f>
        <v/>
      </c>
      <c r="CQ156" s="38" t="str">
        <f>IFERROR('2.vize'!DB55*100/'2.vize'!$I55,"")</f>
        <v/>
      </c>
      <c r="CR156" s="38" t="str">
        <f>IFERROR('2.vize'!DC55*100/'2.vize'!$I55,"")</f>
        <v/>
      </c>
      <c r="CS156" s="38" t="str">
        <f>IFERROR('2.vize'!DD55*100/'2.vize'!$I55,"")</f>
        <v/>
      </c>
      <c r="CT156" s="38" t="str">
        <f>IFERROR('2.vize'!DE55*100/'2.vize'!$I55,"")</f>
        <v/>
      </c>
      <c r="CU156" s="38" t="str">
        <f>IFERROR('2.vize'!DF55*100/'2.vize'!$I55,"")</f>
        <v/>
      </c>
      <c r="CV156" s="38" t="str">
        <f>IFERROR('2.vize'!DG55*100/'2.vize'!$I55,"")</f>
        <v/>
      </c>
      <c r="CW156" s="32" t="str">
        <f>IFERROR(SUM(A156:CV156)/'2.vize'!$DH$103,"")</f>
        <v/>
      </c>
      <c r="CX156" s="14" t="str">
        <f>IF(COUNTA('2.vize'!A55),'2.vize'!A55,"")</f>
        <v/>
      </c>
      <c r="CY156" s="14" t="str">
        <f>IF(COUNTA('2.vize'!B55),'2.vize'!B55,"")</f>
        <v/>
      </c>
      <c r="CZ156" s="14" t="str">
        <f>IF(COUNTA('2.vize'!C55),'2.vize'!C55,"")</f>
        <v/>
      </c>
      <c r="DA156" s="14" t="str">
        <f>IF(COUNTA('2.vize'!D55),'2.vize'!D55,"")</f>
        <v/>
      </c>
      <c r="DB156" s="14" t="str">
        <f>IF(COUNTA('2.vize'!E55),'2.vize'!E55,"")</f>
        <v/>
      </c>
      <c r="DC156" s="14" t="str">
        <f>IF(COUNTA('2.vize'!F55),'2.vize'!F55,"")</f>
        <v/>
      </c>
      <c r="DD156" s="14" t="str">
        <f>IF(COUNTA('2.vize'!G55),'2.vize'!G55,"")</f>
        <v/>
      </c>
      <c r="DE156" s="14" t="str">
        <f>IF(COUNTA('2.vize'!H55),'2.vize'!H55,"")</f>
        <v/>
      </c>
    </row>
    <row r="157" spans="1:109" x14ac:dyDescent="0.2">
      <c r="A157" s="38" t="str">
        <f>IFERROR('2.vize'!L56*100/'2.vize'!$I56,"")</f>
        <v/>
      </c>
      <c r="B157" s="38" t="str">
        <f>IFERROR('2.vize'!M56*100/'2.vize'!$I56,"")</f>
        <v/>
      </c>
      <c r="C157" s="38" t="str">
        <f>IFERROR('2.vize'!N56*100/'2.vize'!$I56,"")</f>
        <v/>
      </c>
      <c r="D157" s="38" t="str">
        <f>IFERROR('2.vize'!O56*100/'2.vize'!$I56,"")</f>
        <v/>
      </c>
      <c r="E157" s="38" t="str">
        <f>IFERROR('2.vize'!P56*100/'2.vize'!$I56,"")</f>
        <v/>
      </c>
      <c r="F157" s="38" t="str">
        <f>IFERROR('2.vize'!Q56*100/'2.vize'!$I56,"")</f>
        <v/>
      </c>
      <c r="G157" s="38" t="str">
        <f>IFERROR('2.vize'!R56*100/'2.vize'!$I56,"")</f>
        <v/>
      </c>
      <c r="H157" s="38" t="str">
        <f>IFERROR('2.vize'!S56*100/'2.vize'!$I56,"")</f>
        <v/>
      </c>
      <c r="I157" s="38" t="str">
        <f>IFERROR('2.vize'!T56*100/'2.vize'!$I56,"")</f>
        <v/>
      </c>
      <c r="J157" s="38" t="str">
        <f>IFERROR('2.vize'!U56*100/'2.vize'!$I56,"")</f>
        <v/>
      </c>
      <c r="K157" s="38" t="str">
        <f>IFERROR('2.vize'!V56*100/'2.vize'!$I56,"")</f>
        <v/>
      </c>
      <c r="L157" s="38" t="str">
        <f>IFERROR('2.vize'!W56*100/'2.vize'!$I56,"")</f>
        <v/>
      </c>
      <c r="M157" s="38" t="str">
        <f>IFERROR('2.vize'!X56*100/'2.vize'!$I56,"")</f>
        <v/>
      </c>
      <c r="N157" s="38" t="str">
        <f>IFERROR('2.vize'!Y56*100/'2.vize'!$I56,"")</f>
        <v/>
      </c>
      <c r="O157" s="38" t="str">
        <f>IFERROR('2.vize'!Z56*100/'2.vize'!$I56,"")</f>
        <v/>
      </c>
      <c r="P157" s="38" t="str">
        <f>IFERROR('2.vize'!AA56*100/'2.vize'!$I56,"")</f>
        <v/>
      </c>
      <c r="Q157" s="38" t="str">
        <f>IFERROR('2.vize'!AB56*100/'2.vize'!$I56,"")</f>
        <v/>
      </c>
      <c r="R157" s="38" t="str">
        <f>IFERROR('2.vize'!AC56*100/'2.vize'!$I56,"")</f>
        <v/>
      </c>
      <c r="S157" s="38" t="str">
        <f>IFERROR('2.vize'!AD56*100/'2.vize'!$I56,"")</f>
        <v/>
      </c>
      <c r="T157" s="38" t="str">
        <f>IFERROR('2.vize'!AE56*100/'2.vize'!$I56,"")</f>
        <v/>
      </c>
      <c r="U157" s="38" t="str">
        <f>IFERROR('2.vize'!AF56*100/'2.vize'!$I56,"")</f>
        <v/>
      </c>
      <c r="V157" s="38" t="str">
        <f>IFERROR('2.vize'!AG56*100/'2.vize'!$I56,"")</f>
        <v/>
      </c>
      <c r="W157" s="38" t="str">
        <f>IFERROR('2.vize'!AH56*100/'2.vize'!$I56,"")</f>
        <v/>
      </c>
      <c r="X157" s="38" t="str">
        <f>IFERROR('2.vize'!AI56*100/'2.vize'!$I56,"")</f>
        <v/>
      </c>
      <c r="Y157" s="38" t="str">
        <f>IFERROR('2.vize'!AJ56*100/'2.vize'!$I56,"")</f>
        <v/>
      </c>
      <c r="Z157" s="38" t="str">
        <f>IFERROR('2.vize'!AK56*100/'2.vize'!$I56,"")</f>
        <v/>
      </c>
      <c r="AA157" s="38" t="str">
        <f>IFERROR('2.vize'!AL56*100/'2.vize'!$I56,"")</f>
        <v/>
      </c>
      <c r="AB157" s="38" t="str">
        <f>IFERROR('2.vize'!AM56*100/'2.vize'!$I56,"")</f>
        <v/>
      </c>
      <c r="AC157" s="38" t="str">
        <f>IFERROR('2.vize'!AN56*100/'2.vize'!$I56,"")</f>
        <v/>
      </c>
      <c r="AD157" s="38" t="str">
        <f>IFERROR('2.vize'!AO56*100/'2.vize'!$I56,"")</f>
        <v/>
      </c>
      <c r="AE157" s="38" t="str">
        <f>IFERROR('2.vize'!AP56*100/'2.vize'!$I56,"")</f>
        <v/>
      </c>
      <c r="AF157" s="38" t="str">
        <f>IFERROR('2.vize'!AQ56*100/'2.vize'!$I56,"")</f>
        <v/>
      </c>
      <c r="AG157" s="38" t="str">
        <f>IFERROR('2.vize'!AR56*100/'2.vize'!$I56,"")</f>
        <v/>
      </c>
      <c r="AH157" s="38" t="str">
        <f>IFERROR('2.vize'!AS56*100/'2.vize'!$I56,"")</f>
        <v/>
      </c>
      <c r="AI157" s="38" t="str">
        <f>IFERROR('2.vize'!AT56*100/'2.vize'!$I56,"")</f>
        <v/>
      </c>
      <c r="AJ157" s="38" t="str">
        <f>IFERROR('2.vize'!AU56*100/'2.vize'!$I56,"")</f>
        <v/>
      </c>
      <c r="AK157" s="38" t="str">
        <f>IFERROR('2.vize'!AV56*100/'2.vize'!$I56,"")</f>
        <v/>
      </c>
      <c r="AL157" s="38" t="str">
        <f>IFERROR('2.vize'!AW56*100/'2.vize'!$I56,"")</f>
        <v/>
      </c>
      <c r="AM157" s="38" t="str">
        <f>IFERROR('2.vize'!AX56*100/'2.vize'!$I56,"")</f>
        <v/>
      </c>
      <c r="AN157" s="38" t="str">
        <f>IFERROR('2.vize'!AY56*100/'2.vize'!$I56,"")</f>
        <v/>
      </c>
      <c r="AO157" s="38" t="str">
        <f>IFERROR('2.vize'!AZ56*100/'2.vize'!$I56,"")</f>
        <v/>
      </c>
      <c r="AP157" s="38" t="str">
        <f>IFERROR('2.vize'!BA56*100/'2.vize'!$I56,"")</f>
        <v/>
      </c>
      <c r="AQ157" s="38" t="str">
        <f>IFERROR('2.vize'!BB56*100/'2.vize'!$I56,"")</f>
        <v/>
      </c>
      <c r="AR157" s="38" t="str">
        <f>IFERROR('2.vize'!BC56*100/'2.vize'!$I56,"")</f>
        <v/>
      </c>
      <c r="AS157" s="38" t="str">
        <f>IFERROR('2.vize'!BD56*100/'2.vize'!$I56,"")</f>
        <v/>
      </c>
      <c r="AT157" s="38" t="str">
        <f>IFERROR('2.vize'!BE56*100/'2.vize'!$I56,"")</f>
        <v/>
      </c>
      <c r="AU157" s="38" t="str">
        <f>IFERROR('2.vize'!BF56*100/'2.vize'!$I56,"")</f>
        <v/>
      </c>
      <c r="AV157" s="38" t="str">
        <f>IFERROR('2.vize'!BG56*100/'2.vize'!$I56,"")</f>
        <v/>
      </c>
      <c r="AW157" s="38" t="str">
        <f>IFERROR('2.vize'!BH56*100/'2.vize'!$I56,"")</f>
        <v/>
      </c>
      <c r="AX157" s="38" t="str">
        <f>IFERROR('2.vize'!BI56*100/'2.vize'!$I56,"")</f>
        <v/>
      </c>
      <c r="AY157" s="38" t="str">
        <f>IFERROR('2.vize'!BJ56*100/'2.vize'!$I56,"")</f>
        <v/>
      </c>
      <c r="AZ157" s="38" t="str">
        <f>IFERROR('2.vize'!BK56*100/'2.vize'!$I56,"")</f>
        <v/>
      </c>
      <c r="BA157" s="38" t="str">
        <f>IFERROR('2.vize'!BL56*100/'2.vize'!$I56,"")</f>
        <v/>
      </c>
      <c r="BB157" s="38" t="str">
        <f>IFERROR('2.vize'!BM56*100/'2.vize'!$I56,"")</f>
        <v/>
      </c>
      <c r="BC157" s="38" t="str">
        <f>IFERROR('2.vize'!BN56*100/'2.vize'!$I56,"")</f>
        <v/>
      </c>
      <c r="BD157" s="38" t="str">
        <f>IFERROR('2.vize'!BO56*100/'2.vize'!$I56,"")</f>
        <v/>
      </c>
      <c r="BE157" s="38" t="str">
        <f>IFERROR('2.vize'!BP56*100/'2.vize'!$I56,"")</f>
        <v/>
      </c>
      <c r="BF157" s="38" t="str">
        <f>IFERROR('2.vize'!BQ56*100/'2.vize'!$I56,"")</f>
        <v/>
      </c>
      <c r="BG157" s="38" t="str">
        <f>IFERROR('2.vize'!BR56*100/'2.vize'!$I56,"")</f>
        <v/>
      </c>
      <c r="BH157" s="38" t="str">
        <f>IFERROR('2.vize'!BS56*100/'2.vize'!$I56,"")</f>
        <v/>
      </c>
      <c r="BI157" s="38" t="str">
        <f>IFERROR('2.vize'!BT56*100/'2.vize'!$I56,"")</f>
        <v/>
      </c>
      <c r="BJ157" s="38" t="str">
        <f>IFERROR('2.vize'!BU56*100/'2.vize'!$I56,"")</f>
        <v/>
      </c>
      <c r="BK157" s="38" t="str">
        <f>IFERROR('2.vize'!BV56*100/'2.vize'!$I56,"")</f>
        <v/>
      </c>
      <c r="BL157" s="38" t="str">
        <f>IFERROR('2.vize'!BW56*100/'2.vize'!$I56,"")</f>
        <v/>
      </c>
      <c r="BM157" s="38" t="str">
        <f>IFERROR('2.vize'!BX56*100/'2.vize'!$I56,"")</f>
        <v/>
      </c>
      <c r="BN157" s="38" t="str">
        <f>IFERROR('2.vize'!BY56*100/'2.vize'!$I56,"")</f>
        <v/>
      </c>
      <c r="BO157" s="38" t="str">
        <f>IFERROR('2.vize'!BZ56*100/'2.vize'!$I56,"")</f>
        <v/>
      </c>
      <c r="BP157" s="38" t="str">
        <f>IFERROR('2.vize'!CA56*100/'2.vize'!$I56,"")</f>
        <v/>
      </c>
      <c r="BQ157" s="38" t="str">
        <f>IFERROR('2.vize'!CB56*100/'2.vize'!$I56,"")</f>
        <v/>
      </c>
      <c r="BR157" s="38" t="str">
        <f>IFERROR('2.vize'!CC56*100/'2.vize'!$I56,"")</f>
        <v/>
      </c>
      <c r="BS157" s="38" t="str">
        <f>IFERROR('2.vize'!CD56*100/'2.vize'!$I56,"")</f>
        <v/>
      </c>
      <c r="BT157" s="38" t="str">
        <f>IFERROR('2.vize'!CE56*100/'2.vize'!$I56,"")</f>
        <v/>
      </c>
      <c r="BU157" s="38" t="str">
        <f>IFERROR('2.vize'!CF56*100/'2.vize'!$I56,"")</f>
        <v/>
      </c>
      <c r="BV157" s="38" t="str">
        <f>IFERROR('2.vize'!CG56*100/'2.vize'!$I56,"")</f>
        <v/>
      </c>
      <c r="BW157" s="38" t="str">
        <f>IFERROR('2.vize'!CH56*100/'2.vize'!$I56,"")</f>
        <v/>
      </c>
      <c r="BX157" s="38" t="str">
        <f>IFERROR('2.vize'!CI56*100/'2.vize'!$I56,"")</f>
        <v/>
      </c>
      <c r="BY157" s="38" t="str">
        <f>IFERROR('2.vize'!CJ56*100/'2.vize'!$I56,"")</f>
        <v/>
      </c>
      <c r="BZ157" s="38" t="str">
        <f>IFERROR('2.vize'!CK56*100/'2.vize'!$I56,"")</f>
        <v/>
      </c>
      <c r="CA157" s="38" t="str">
        <f>IFERROR('2.vize'!CL56*100/'2.vize'!$I56,"")</f>
        <v/>
      </c>
      <c r="CB157" s="38" t="str">
        <f>IFERROR('2.vize'!CM56*100/'2.vize'!$I56,"")</f>
        <v/>
      </c>
      <c r="CC157" s="38" t="str">
        <f>IFERROR('2.vize'!CN56*100/'2.vize'!$I56,"")</f>
        <v/>
      </c>
      <c r="CD157" s="38" t="str">
        <f>IFERROR('2.vize'!CO56*100/'2.vize'!$I56,"")</f>
        <v/>
      </c>
      <c r="CE157" s="38" t="str">
        <f>IFERROR('2.vize'!CP56*100/'2.vize'!$I56,"")</f>
        <v/>
      </c>
      <c r="CF157" s="38" t="str">
        <f>IFERROR('2.vize'!CQ56*100/'2.vize'!$I56,"")</f>
        <v/>
      </c>
      <c r="CG157" s="38" t="str">
        <f>IFERROR('2.vize'!CR56*100/'2.vize'!$I56,"")</f>
        <v/>
      </c>
      <c r="CH157" s="38" t="str">
        <f>IFERROR('2.vize'!CS56*100/'2.vize'!$I56,"")</f>
        <v/>
      </c>
      <c r="CI157" s="38" t="str">
        <f>IFERROR('2.vize'!CT56*100/'2.vize'!$I56,"")</f>
        <v/>
      </c>
      <c r="CJ157" s="38" t="str">
        <f>IFERROR('2.vize'!CU56*100/'2.vize'!$I56,"")</f>
        <v/>
      </c>
      <c r="CK157" s="38" t="str">
        <f>IFERROR('2.vize'!CV56*100/'2.vize'!$I56,"")</f>
        <v/>
      </c>
      <c r="CL157" s="38" t="str">
        <f>IFERROR('2.vize'!CW56*100/'2.vize'!$I56,"")</f>
        <v/>
      </c>
      <c r="CM157" s="38" t="str">
        <f>IFERROR('2.vize'!CX56*100/'2.vize'!$I56,"")</f>
        <v/>
      </c>
      <c r="CN157" s="38" t="str">
        <f>IFERROR('2.vize'!CY56*100/'2.vize'!$I56,"")</f>
        <v/>
      </c>
      <c r="CO157" s="38" t="str">
        <f>IFERROR('2.vize'!CZ56*100/'2.vize'!$I56,"")</f>
        <v/>
      </c>
      <c r="CP157" s="38" t="str">
        <f>IFERROR('2.vize'!DA56*100/'2.vize'!$I56,"")</f>
        <v/>
      </c>
      <c r="CQ157" s="38" t="str">
        <f>IFERROR('2.vize'!DB56*100/'2.vize'!$I56,"")</f>
        <v/>
      </c>
      <c r="CR157" s="38" t="str">
        <f>IFERROR('2.vize'!DC56*100/'2.vize'!$I56,"")</f>
        <v/>
      </c>
      <c r="CS157" s="38" t="str">
        <f>IFERROR('2.vize'!DD56*100/'2.vize'!$I56,"")</f>
        <v/>
      </c>
      <c r="CT157" s="38" t="str">
        <f>IFERROR('2.vize'!DE56*100/'2.vize'!$I56,"")</f>
        <v/>
      </c>
      <c r="CU157" s="38" t="str">
        <f>IFERROR('2.vize'!DF56*100/'2.vize'!$I56,"")</f>
        <v/>
      </c>
      <c r="CV157" s="38" t="str">
        <f>IFERROR('2.vize'!DG56*100/'2.vize'!$I56,"")</f>
        <v/>
      </c>
      <c r="CW157" s="32" t="str">
        <f>IFERROR(SUM(A157:CV157)/'2.vize'!$DH$103,"")</f>
        <v/>
      </c>
      <c r="CX157" s="14" t="str">
        <f>IF(COUNTA('2.vize'!A56),'2.vize'!A56,"")</f>
        <v/>
      </c>
      <c r="CY157" s="14" t="str">
        <f>IF(COUNTA('2.vize'!B56),'2.vize'!B56,"")</f>
        <v/>
      </c>
      <c r="CZ157" s="14" t="str">
        <f>IF(COUNTA('2.vize'!C56),'2.vize'!C56,"")</f>
        <v/>
      </c>
      <c r="DA157" s="14" t="str">
        <f>IF(COUNTA('2.vize'!D56),'2.vize'!D56,"")</f>
        <v/>
      </c>
      <c r="DB157" s="14" t="str">
        <f>IF(COUNTA('2.vize'!E56),'2.vize'!E56,"")</f>
        <v/>
      </c>
      <c r="DC157" s="14" t="str">
        <f>IF(COUNTA('2.vize'!F56),'2.vize'!F56,"")</f>
        <v/>
      </c>
      <c r="DD157" s="14" t="str">
        <f>IF(COUNTA('2.vize'!G56),'2.vize'!G56,"")</f>
        <v/>
      </c>
      <c r="DE157" s="14" t="str">
        <f>IF(COUNTA('2.vize'!H56),'2.vize'!H56,"")</f>
        <v/>
      </c>
    </row>
    <row r="158" spans="1:109" x14ac:dyDescent="0.2">
      <c r="A158" s="38" t="str">
        <f>IFERROR('2.vize'!L57*100/'2.vize'!$I57,"")</f>
        <v/>
      </c>
      <c r="B158" s="38" t="str">
        <f>IFERROR('2.vize'!M57*100/'2.vize'!$I57,"")</f>
        <v/>
      </c>
      <c r="C158" s="38" t="str">
        <f>IFERROR('2.vize'!N57*100/'2.vize'!$I57,"")</f>
        <v/>
      </c>
      <c r="D158" s="38" t="str">
        <f>IFERROR('2.vize'!O57*100/'2.vize'!$I57,"")</f>
        <v/>
      </c>
      <c r="E158" s="38" t="str">
        <f>IFERROR('2.vize'!P57*100/'2.vize'!$I57,"")</f>
        <v/>
      </c>
      <c r="F158" s="38" t="str">
        <f>IFERROR('2.vize'!Q57*100/'2.vize'!$I57,"")</f>
        <v/>
      </c>
      <c r="G158" s="38" t="str">
        <f>IFERROR('2.vize'!R57*100/'2.vize'!$I57,"")</f>
        <v/>
      </c>
      <c r="H158" s="38" t="str">
        <f>IFERROR('2.vize'!S57*100/'2.vize'!$I57,"")</f>
        <v/>
      </c>
      <c r="I158" s="38" t="str">
        <f>IFERROR('2.vize'!T57*100/'2.vize'!$I57,"")</f>
        <v/>
      </c>
      <c r="J158" s="38" t="str">
        <f>IFERROR('2.vize'!U57*100/'2.vize'!$I57,"")</f>
        <v/>
      </c>
      <c r="K158" s="38" t="str">
        <f>IFERROR('2.vize'!V57*100/'2.vize'!$I57,"")</f>
        <v/>
      </c>
      <c r="L158" s="38" t="str">
        <f>IFERROR('2.vize'!W57*100/'2.vize'!$I57,"")</f>
        <v/>
      </c>
      <c r="M158" s="38" t="str">
        <f>IFERROR('2.vize'!X57*100/'2.vize'!$I57,"")</f>
        <v/>
      </c>
      <c r="N158" s="38" t="str">
        <f>IFERROR('2.vize'!Y57*100/'2.vize'!$I57,"")</f>
        <v/>
      </c>
      <c r="O158" s="38" t="str">
        <f>IFERROR('2.vize'!Z57*100/'2.vize'!$I57,"")</f>
        <v/>
      </c>
      <c r="P158" s="38" t="str">
        <f>IFERROR('2.vize'!AA57*100/'2.vize'!$I57,"")</f>
        <v/>
      </c>
      <c r="Q158" s="38" t="str">
        <f>IFERROR('2.vize'!AB57*100/'2.vize'!$I57,"")</f>
        <v/>
      </c>
      <c r="R158" s="38" t="str">
        <f>IFERROR('2.vize'!AC57*100/'2.vize'!$I57,"")</f>
        <v/>
      </c>
      <c r="S158" s="38" t="str">
        <f>IFERROR('2.vize'!AD57*100/'2.vize'!$I57,"")</f>
        <v/>
      </c>
      <c r="T158" s="38" t="str">
        <f>IFERROR('2.vize'!AE57*100/'2.vize'!$I57,"")</f>
        <v/>
      </c>
      <c r="U158" s="38" t="str">
        <f>IFERROR('2.vize'!AF57*100/'2.vize'!$I57,"")</f>
        <v/>
      </c>
      <c r="V158" s="38" t="str">
        <f>IFERROR('2.vize'!AG57*100/'2.vize'!$I57,"")</f>
        <v/>
      </c>
      <c r="W158" s="38" t="str">
        <f>IFERROR('2.vize'!AH57*100/'2.vize'!$I57,"")</f>
        <v/>
      </c>
      <c r="X158" s="38" t="str">
        <f>IFERROR('2.vize'!AI57*100/'2.vize'!$I57,"")</f>
        <v/>
      </c>
      <c r="Y158" s="38" t="str">
        <f>IFERROR('2.vize'!AJ57*100/'2.vize'!$I57,"")</f>
        <v/>
      </c>
      <c r="Z158" s="38" t="str">
        <f>IFERROR('2.vize'!AK57*100/'2.vize'!$I57,"")</f>
        <v/>
      </c>
      <c r="AA158" s="38" t="str">
        <f>IFERROR('2.vize'!AL57*100/'2.vize'!$I57,"")</f>
        <v/>
      </c>
      <c r="AB158" s="38" t="str">
        <f>IFERROR('2.vize'!AM57*100/'2.vize'!$I57,"")</f>
        <v/>
      </c>
      <c r="AC158" s="38" t="str">
        <f>IFERROR('2.vize'!AN57*100/'2.vize'!$I57,"")</f>
        <v/>
      </c>
      <c r="AD158" s="38" t="str">
        <f>IFERROR('2.vize'!AO57*100/'2.vize'!$I57,"")</f>
        <v/>
      </c>
      <c r="AE158" s="38" t="str">
        <f>IFERROR('2.vize'!AP57*100/'2.vize'!$I57,"")</f>
        <v/>
      </c>
      <c r="AF158" s="38" t="str">
        <f>IFERROR('2.vize'!AQ57*100/'2.vize'!$I57,"")</f>
        <v/>
      </c>
      <c r="AG158" s="38" t="str">
        <f>IFERROR('2.vize'!AR57*100/'2.vize'!$I57,"")</f>
        <v/>
      </c>
      <c r="AH158" s="38" t="str">
        <f>IFERROR('2.vize'!AS57*100/'2.vize'!$I57,"")</f>
        <v/>
      </c>
      <c r="AI158" s="38" t="str">
        <f>IFERROR('2.vize'!AT57*100/'2.vize'!$I57,"")</f>
        <v/>
      </c>
      <c r="AJ158" s="38" t="str">
        <f>IFERROR('2.vize'!AU57*100/'2.vize'!$I57,"")</f>
        <v/>
      </c>
      <c r="AK158" s="38" t="str">
        <f>IFERROR('2.vize'!AV57*100/'2.vize'!$I57,"")</f>
        <v/>
      </c>
      <c r="AL158" s="38" t="str">
        <f>IFERROR('2.vize'!AW57*100/'2.vize'!$I57,"")</f>
        <v/>
      </c>
      <c r="AM158" s="38" t="str">
        <f>IFERROR('2.vize'!AX57*100/'2.vize'!$I57,"")</f>
        <v/>
      </c>
      <c r="AN158" s="38" t="str">
        <f>IFERROR('2.vize'!AY57*100/'2.vize'!$I57,"")</f>
        <v/>
      </c>
      <c r="AO158" s="38" t="str">
        <f>IFERROR('2.vize'!AZ57*100/'2.vize'!$I57,"")</f>
        <v/>
      </c>
      <c r="AP158" s="38" t="str">
        <f>IFERROR('2.vize'!BA57*100/'2.vize'!$I57,"")</f>
        <v/>
      </c>
      <c r="AQ158" s="38" t="str">
        <f>IFERROR('2.vize'!BB57*100/'2.vize'!$I57,"")</f>
        <v/>
      </c>
      <c r="AR158" s="38" t="str">
        <f>IFERROR('2.vize'!BC57*100/'2.vize'!$I57,"")</f>
        <v/>
      </c>
      <c r="AS158" s="38" t="str">
        <f>IFERROR('2.vize'!BD57*100/'2.vize'!$I57,"")</f>
        <v/>
      </c>
      <c r="AT158" s="38" t="str">
        <f>IFERROR('2.vize'!BE57*100/'2.vize'!$I57,"")</f>
        <v/>
      </c>
      <c r="AU158" s="38" t="str">
        <f>IFERROR('2.vize'!BF57*100/'2.vize'!$I57,"")</f>
        <v/>
      </c>
      <c r="AV158" s="38" t="str">
        <f>IFERROR('2.vize'!BG57*100/'2.vize'!$I57,"")</f>
        <v/>
      </c>
      <c r="AW158" s="38" t="str">
        <f>IFERROR('2.vize'!BH57*100/'2.vize'!$I57,"")</f>
        <v/>
      </c>
      <c r="AX158" s="38" t="str">
        <f>IFERROR('2.vize'!BI57*100/'2.vize'!$I57,"")</f>
        <v/>
      </c>
      <c r="AY158" s="38" t="str">
        <f>IFERROR('2.vize'!BJ57*100/'2.vize'!$I57,"")</f>
        <v/>
      </c>
      <c r="AZ158" s="38" t="str">
        <f>IFERROR('2.vize'!BK57*100/'2.vize'!$I57,"")</f>
        <v/>
      </c>
      <c r="BA158" s="38" t="str">
        <f>IFERROR('2.vize'!BL57*100/'2.vize'!$I57,"")</f>
        <v/>
      </c>
      <c r="BB158" s="38" t="str">
        <f>IFERROR('2.vize'!BM57*100/'2.vize'!$I57,"")</f>
        <v/>
      </c>
      <c r="BC158" s="38" t="str">
        <f>IFERROR('2.vize'!BN57*100/'2.vize'!$I57,"")</f>
        <v/>
      </c>
      <c r="BD158" s="38" t="str">
        <f>IFERROR('2.vize'!BO57*100/'2.vize'!$I57,"")</f>
        <v/>
      </c>
      <c r="BE158" s="38" t="str">
        <f>IFERROR('2.vize'!BP57*100/'2.vize'!$I57,"")</f>
        <v/>
      </c>
      <c r="BF158" s="38" t="str">
        <f>IFERROR('2.vize'!BQ57*100/'2.vize'!$I57,"")</f>
        <v/>
      </c>
      <c r="BG158" s="38" t="str">
        <f>IFERROR('2.vize'!BR57*100/'2.vize'!$I57,"")</f>
        <v/>
      </c>
      <c r="BH158" s="38" t="str">
        <f>IFERROR('2.vize'!BS57*100/'2.vize'!$I57,"")</f>
        <v/>
      </c>
      <c r="BI158" s="38" t="str">
        <f>IFERROR('2.vize'!BT57*100/'2.vize'!$I57,"")</f>
        <v/>
      </c>
      <c r="BJ158" s="38" t="str">
        <f>IFERROR('2.vize'!BU57*100/'2.vize'!$I57,"")</f>
        <v/>
      </c>
      <c r="BK158" s="38" t="str">
        <f>IFERROR('2.vize'!BV57*100/'2.vize'!$I57,"")</f>
        <v/>
      </c>
      <c r="BL158" s="38" t="str">
        <f>IFERROR('2.vize'!BW57*100/'2.vize'!$I57,"")</f>
        <v/>
      </c>
      <c r="BM158" s="38" t="str">
        <f>IFERROR('2.vize'!BX57*100/'2.vize'!$I57,"")</f>
        <v/>
      </c>
      <c r="BN158" s="38" t="str">
        <f>IFERROR('2.vize'!BY57*100/'2.vize'!$I57,"")</f>
        <v/>
      </c>
      <c r="BO158" s="38" t="str">
        <f>IFERROR('2.vize'!BZ57*100/'2.vize'!$I57,"")</f>
        <v/>
      </c>
      <c r="BP158" s="38" t="str">
        <f>IFERROR('2.vize'!CA57*100/'2.vize'!$I57,"")</f>
        <v/>
      </c>
      <c r="BQ158" s="38" t="str">
        <f>IFERROR('2.vize'!CB57*100/'2.vize'!$I57,"")</f>
        <v/>
      </c>
      <c r="BR158" s="38" t="str">
        <f>IFERROR('2.vize'!CC57*100/'2.vize'!$I57,"")</f>
        <v/>
      </c>
      <c r="BS158" s="38" t="str">
        <f>IFERROR('2.vize'!CD57*100/'2.vize'!$I57,"")</f>
        <v/>
      </c>
      <c r="BT158" s="38" t="str">
        <f>IFERROR('2.vize'!CE57*100/'2.vize'!$I57,"")</f>
        <v/>
      </c>
      <c r="BU158" s="38" t="str">
        <f>IFERROR('2.vize'!CF57*100/'2.vize'!$I57,"")</f>
        <v/>
      </c>
      <c r="BV158" s="38" t="str">
        <f>IFERROR('2.vize'!CG57*100/'2.vize'!$I57,"")</f>
        <v/>
      </c>
      <c r="BW158" s="38" t="str">
        <f>IFERROR('2.vize'!CH57*100/'2.vize'!$I57,"")</f>
        <v/>
      </c>
      <c r="BX158" s="38" t="str">
        <f>IFERROR('2.vize'!CI57*100/'2.vize'!$I57,"")</f>
        <v/>
      </c>
      <c r="BY158" s="38" t="str">
        <f>IFERROR('2.vize'!CJ57*100/'2.vize'!$I57,"")</f>
        <v/>
      </c>
      <c r="BZ158" s="38" t="str">
        <f>IFERROR('2.vize'!CK57*100/'2.vize'!$I57,"")</f>
        <v/>
      </c>
      <c r="CA158" s="38" t="str">
        <f>IFERROR('2.vize'!CL57*100/'2.vize'!$I57,"")</f>
        <v/>
      </c>
      <c r="CB158" s="38" t="str">
        <f>IFERROR('2.vize'!CM57*100/'2.vize'!$I57,"")</f>
        <v/>
      </c>
      <c r="CC158" s="38" t="str">
        <f>IFERROR('2.vize'!CN57*100/'2.vize'!$I57,"")</f>
        <v/>
      </c>
      <c r="CD158" s="38" t="str">
        <f>IFERROR('2.vize'!CO57*100/'2.vize'!$I57,"")</f>
        <v/>
      </c>
      <c r="CE158" s="38" t="str">
        <f>IFERROR('2.vize'!CP57*100/'2.vize'!$I57,"")</f>
        <v/>
      </c>
      <c r="CF158" s="38" t="str">
        <f>IFERROR('2.vize'!CQ57*100/'2.vize'!$I57,"")</f>
        <v/>
      </c>
      <c r="CG158" s="38" t="str">
        <f>IFERROR('2.vize'!CR57*100/'2.vize'!$I57,"")</f>
        <v/>
      </c>
      <c r="CH158" s="38" t="str">
        <f>IFERROR('2.vize'!CS57*100/'2.vize'!$I57,"")</f>
        <v/>
      </c>
      <c r="CI158" s="38" t="str">
        <f>IFERROR('2.vize'!CT57*100/'2.vize'!$I57,"")</f>
        <v/>
      </c>
      <c r="CJ158" s="38" t="str">
        <f>IFERROR('2.vize'!CU57*100/'2.vize'!$I57,"")</f>
        <v/>
      </c>
      <c r="CK158" s="38" t="str">
        <f>IFERROR('2.vize'!CV57*100/'2.vize'!$I57,"")</f>
        <v/>
      </c>
      <c r="CL158" s="38" t="str">
        <f>IFERROR('2.vize'!CW57*100/'2.vize'!$I57,"")</f>
        <v/>
      </c>
      <c r="CM158" s="38" t="str">
        <f>IFERROR('2.vize'!CX57*100/'2.vize'!$I57,"")</f>
        <v/>
      </c>
      <c r="CN158" s="38" t="str">
        <f>IFERROR('2.vize'!CY57*100/'2.vize'!$I57,"")</f>
        <v/>
      </c>
      <c r="CO158" s="38" t="str">
        <f>IFERROR('2.vize'!CZ57*100/'2.vize'!$I57,"")</f>
        <v/>
      </c>
      <c r="CP158" s="38" t="str">
        <f>IFERROR('2.vize'!DA57*100/'2.vize'!$I57,"")</f>
        <v/>
      </c>
      <c r="CQ158" s="38" t="str">
        <f>IFERROR('2.vize'!DB57*100/'2.vize'!$I57,"")</f>
        <v/>
      </c>
      <c r="CR158" s="38" t="str">
        <f>IFERROR('2.vize'!DC57*100/'2.vize'!$I57,"")</f>
        <v/>
      </c>
      <c r="CS158" s="38" t="str">
        <f>IFERROR('2.vize'!DD57*100/'2.vize'!$I57,"")</f>
        <v/>
      </c>
      <c r="CT158" s="38" t="str">
        <f>IFERROR('2.vize'!DE57*100/'2.vize'!$I57,"")</f>
        <v/>
      </c>
      <c r="CU158" s="38" t="str">
        <f>IFERROR('2.vize'!DF57*100/'2.vize'!$I57,"")</f>
        <v/>
      </c>
      <c r="CV158" s="38" t="str">
        <f>IFERROR('2.vize'!DG57*100/'2.vize'!$I57,"")</f>
        <v/>
      </c>
      <c r="CW158" s="32" t="str">
        <f>IFERROR(SUM(A158:CV158)/'2.vize'!$DH$103,"")</f>
        <v/>
      </c>
      <c r="CX158" s="14" t="str">
        <f>IF(COUNTA('2.vize'!A57),'2.vize'!A57,"")</f>
        <v/>
      </c>
      <c r="CY158" s="14" t="str">
        <f>IF(COUNTA('2.vize'!B57),'2.vize'!B57,"")</f>
        <v/>
      </c>
      <c r="CZ158" s="14" t="str">
        <f>IF(COUNTA('2.vize'!C57),'2.vize'!C57,"")</f>
        <v/>
      </c>
      <c r="DA158" s="14" t="str">
        <f>IF(COUNTA('2.vize'!D57),'2.vize'!D57,"")</f>
        <v/>
      </c>
      <c r="DB158" s="14" t="str">
        <f>IF(COUNTA('2.vize'!E57),'2.vize'!E57,"")</f>
        <v/>
      </c>
      <c r="DC158" s="14" t="str">
        <f>IF(COUNTA('2.vize'!F57),'2.vize'!F57,"")</f>
        <v/>
      </c>
      <c r="DD158" s="14" t="str">
        <f>IF(COUNTA('2.vize'!G57),'2.vize'!G57,"")</f>
        <v/>
      </c>
      <c r="DE158" s="14" t="str">
        <f>IF(COUNTA('2.vize'!H57),'2.vize'!H57,"")</f>
        <v/>
      </c>
    </row>
    <row r="159" spans="1:109" x14ac:dyDescent="0.2">
      <c r="A159" s="38" t="str">
        <f>IFERROR('2.vize'!L58*100/'2.vize'!$I58,"")</f>
        <v/>
      </c>
      <c r="B159" s="38" t="str">
        <f>IFERROR('2.vize'!M58*100/'2.vize'!$I58,"")</f>
        <v/>
      </c>
      <c r="C159" s="38" t="str">
        <f>IFERROR('2.vize'!N58*100/'2.vize'!$I58,"")</f>
        <v/>
      </c>
      <c r="D159" s="38" t="str">
        <f>IFERROR('2.vize'!O58*100/'2.vize'!$I58,"")</f>
        <v/>
      </c>
      <c r="E159" s="38" t="str">
        <f>IFERROR('2.vize'!P58*100/'2.vize'!$I58,"")</f>
        <v/>
      </c>
      <c r="F159" s="38" t="str">
        <f>IFERROR('2.vize'!Q58*100/'2.vize'!$I58,"")</f>
        <v/>
      </c>
      <c r="G159" s="38" t="str">
        <f>IFERROR('2.vize'!R58*100/'2.vize'!$I58,"")</f>
        <v/>
      </c>
      <c r="H159" s="38" t="str">
        <f>IFERROR('2.vize'!S58*100/'2.vize'!$I58,"")</f>
        <v/>
      </c>
      <c r="I159" s="38" t="str">
        <f>IFERROR('2.vize'!T58*100/'2.vize'!$I58,"")</f>
        <v/>
      </c>
      <c r="J159" s="38" t="str">
        <f>IFERROR('2.vize'!U58*100/'2.vize'!$I58,"")</f>
        <v/>
      </c>
      <c r="K159" s="38" t="str">
        <f>IFERROR('2.vize'!V58*100/'2.vize'!$I58,"")</f>
        <v/>
      </c>
      <c r="L159" s="38" t="str">
        <f>IFERROR('2.vize'!W58*100/'2.vize'!$I58,"")</f>
        <v/>
      </c>
      <c r="M159" s="38" t="str">
        <f>IFERROR('2.vize'!X58*100/'2.vize'!$I58,"")</f>
        <v/>
      </c>
      <c r="N159" s="38" t="str">
        <f>IFERROR('2.vize'!Y58*100/'2.vize'!$I58,"")</f>
        <v/>
      </c>
      <c r="O159" s="38" t="str">
        <f>IFERROR('2.vize'!Z58*100/'2.vize'!$I58,"")</f>
        <v/>
      </c>
      <c r="P159" s="38" t="str">
        <f>IFERROR('2.vize'!AA58*100/'2.vize'!$I58,"")</f>
        <v/>
      </c>
      <c r="Q159" s="38" t="str">
        <f>IFERROR('2.vize'!AB58*100/'2.vize'!$I58,"")</f>
        <v/>
      </c>
      <c r="R159" s="38" t="str">
        <f>IFERROR('2.vize'!AC58*100/'2.vize'!$I58,"")</f>
        <v/>
      </c>
      <c r="S159" s="38" t="str">
        <f>IFERROR('2.vize'!AD58*100/'2.vize'!$I58,"")</f>
        <v/>
      </c>
      <c r="T159" s="38" t="str">
        <f>IFERROR('2.vize'!AE58*100/'2.vize'!$I58,"")</f>
        <v/>
      </c>
      <c r="U159" s="38" t="str">
        <f>IFERROR('2.vize'!AF58*100/'2.vize'!$I58,"")</f>
        <v/>
      </c>
      <c r="V159" s="38" t="str">
        <f>IFERROR('2.vize'!AG58*100/'2.vize'!$I58,"")</f>
        <v/>
      </c>
      <c r="W159" s="38" t="str">
        <f>IFERROR('2.vize'!AH58*100/'2.vize'!$I58,"")</f>
        <v/>
      </c>
      <c r="X159" s="38" t="str">
        <f>IFERROR('2.vize'!AI58*100/'2.vize'!$I58,"")</f>
        <v/>
      </c>
      <c r="Y159" s="38" t="str">
        <f>IFERROR('2.vize'!AJ58*100/'2.vize'!$I58,"")</f>
        <v/>
      </c>
      <c r="Z159" s="38" t="str">
        <f>IFERROR('2.vize'!AK58*100/'2.vize'!$I58,"")</f>
        <v/>
      </c>
      <c r="AA159" s="38" t="str">
        <f>IFERROR('2.vize'!AL58*100/'2.vize'!$I58,"")</f>
        <v/>
      </c>
      <c r="AB159" s="38" t="str">
        <f>IFERROR('2.vize'!AM58*100/'2.vize'!$I58,"")</f>
        <v/>
      </c>
      <c r="AC159" s="38" t="str">
        <f>IFERROR('2.vize'!AN58*100/'2.vize'!$I58,"")</f>
        <v/>
      </c>
      <c r="AD159" s="38" t="str">
        <f>IFERROR('2.vize'!AO58*100/'2.vize'!$I58,"")</f>
        <v/>
      </c>
      <c r="AE159" s="38" t="str">
        <f>IFERROR('2.vize'!AP58*100/'2.vize'!$I58,"")</f>
        <v/>
      </c>
      <c r="AF159" s="38" t="str">
        <f>IFERROR('2.vize'!AQ58*100/'2.vize'!$I58,"")</f>
        <v/>
      </c>
      <c r="AG159" s="38" t="str">
        <f>IFERROR('2.vize'!AR58*100/'2.vize'!$I58,"")</f>
        <v/>
      </c>
      <c r="AH159" s="38" t="str">
        <f>IFERROR('2.vize'!AS58*100/'2.vize'!$I58,"")</f>
        <v/>
      </c>
      <c r="AI159" s="38" t="str">
        <f>IFERROR('2.vize'!AT58*100/'2.vize'!$I58,"")</f>
        <v/>
      </c>
      <c r="AJ159" s="38" t="str">
        <f>IFERROR('2.vize'!AU58*100/'2.vize'!$I58,"")</f>
        <v/>
      </c>
      <c r="AK159" s="38" t="str">
        <f>IFERROR('2.vize'!AV58*100/'2.vize'!$I58,"")</f>
        <v/>
      </c>
      <c r="AL159" s="38" t="str">
        <f>IFERROR('2.vize'!AW58*100/'2.vize'!$I58,"")</f>
        <v/>
      </c>
      <c r="AM159" s="38" t="str">
        <f>IFERROR('2.vize'!AX58*100/'2.vize'!$I58,"")</f>
        <v/>
      </c>
      <c r="AN159" s="38" t="str">
        <f>IFERROR('2.vize'!AY58*100/'2.vize'!$I58,"")</f>
        <v/>
      </c>
      <c r="AO159" s="38" t="str">
        <f>IFERROR('2.vize'!AZ58*100/'2.vize'!$I58,"")</f>
        <v/>
      </c>
      <c r="AP159" s="38" t="str">
        <f>IFERROR('2.vize'!BA58*100/'2.vize'!$I58,"")</f>
        <v/>
      </c>
      <c r="AQ159" s="38" t="str">
        <f>IFERROR('2.vize'!BB58*100/'2.vize'!$I58,"")</f>
        <v/>
      </c>
      <c r="AR159" s="38" t="str">
        <f>IFERROR('2.vize'!BC58*100/'2.vize'!$I58,"")</f>
        <v/>
      </c>
      <c r="AS159" s="38" t="str">
        <f>IFERROR('2.vize'!BD58*100/'2.vize'!$I58,"")</f>
        <v/>
      </c>
      <c r="AT159" s="38" t="str">
        <f>IFERROR('2.vize'!BE58*100/'2.vize'!$I58,"")</f>
        <v/>
      </c>
      <c r="AU159" s="38" t="str">
        <f>IFERROR('2.vize'!BF58*100/'2.vize'!$I58,"")</f>
        <v/>
      </c>
      <c r="AV159" s="38" t="str">
        <f>IFERROR('2.vize'!BG58*100/'2.vize'!$I58,"")</f>
        <v/>
      </c>
      <c r="AW159" s="38" t="str">
        <f>IFERROR('2.vize'!BH58*100/'2.vize'!$I58,"")</f>
        <v/>
      </c>
      <c r="AX159" s="38" t="str">
        <f>IFERROR('2.vize'!BI58*100/'2.vize'!$I58,"")</f>
        <v/>
      </c>
      <c r="AY159" s="38" t="str">
        <f>IFERROR('2.vize'!BJ58*100/'2.vize'!$I58,"")</f>
        <v/>
      </c>
      <c r="AZ159" s="38" t="str">
        <f>IFERROR('2.vize'!BK58*100/'2.vize'!$I58,"")</f>
        <v/>
      </c>
      <c r="BA159" s="38" t="str">
        <f>IFERROR('2.vize'!BL58*100/'2.vize'!$I58,"")</f>
        <v/>
      </c>
      <c r="BB159" s="38" t="str">
        <f>IFERROR('2.vize'!BM58*100/'2.vize'!$I58,"")</f>
        <v/>
      </c>
      <c r="BC159" s="38" t="str">
        <f>IFERROR('2.vize'!BN58*100/'2.vize'!$I58,"")</f>
        <v/>
      </c>
      <c r="BD159" s="38" t="str">
        <f>IFERROR('2.vize'!BO58*100/'2.vize'!$I58,"")</f>
        <v/>
      </c>
      <c r="BE159" s="38" t="str">
        <f>IFERROR('2.vize'!BP58*100/'2.vize'!$I58,"")</f>
        <v/>
      </c>
      <c r="BF159" s="38" t="str">
        <f>IFERROR('2.vize'!BQ58*100/'2.vize'!$I58,"")</f>
        <v/>
      </c>
      <c r="BG159" s="38" t="str">
        <f>IFERROR('2.vize'!BR58*100/'2.vize'!$I58,"")</f>
        <v/>
      </c>
      <c r="BH159" s="38" t="str">
        <f>IFERROR('2.vize'!BS58*100/'2.vize'!$I58,"")</f>
        <v/>
      </c>
      <c r="BI159" s="38" t="str">
        <f>IFERROR('2.vize'!BT58*100/'2.vize'!$I58,"")</f>
        <v/>
      </c>
      <c r="BJ159" s="38" t="str">
        <f>IFERROR('2.vize'!BU58*100/'2.vize'!$I58,"")</f>
        <v/>
      </c>
      <c r="BK159" s="38" t="str">
        <f>IFERROR('2.vize'!BV58*100/'2.vize'!$I58,"")</f>
        <v/>
      </c>
      <c r="BL159" s="38" t="str">
        <f>IFERROR('2.vize'!BW58*100/'2.vize'!$I58,"")</f>
        <v/>
      </c>
      <c r="BM159" s="38" t="str">
        <f>IFERROR('2.vize'!BX58*100/'2.vize'!$I58,"")</f>
        <v/>
      </c>
      <c r="BN159" s="38" t="str">
        <f>IFERROR('2.vize'!BY58*100/'2.vize'!$I58,"")</f>
        <v/>
      </c>
      <c r="BO159" s="38" t="str">
        <f>IFERROR('2.vize'!BZ58*100/'2.vize'!$I58,"")</f>
        <v/>
      </c>
      <c r="BP159" s="38" t="str">
        <f>IFERROR('2.vize'!CA58*100/'2.vize'!$I58,"")</f>
        <v/>
      </c>
      <c r="BQ159" s="38" t="str">
        <f>IFERROR('2.vize'!CB58*100/'2.vize'!$I58,"")</f>
        <v/>
      </c>
      <c r="BR159" s="38" t="str">
        <f>IFERROR('2.vize'!CC58*100/'2.vize'!$I58,"")</f>
        <v/>
      </c>
      <c r="BS159" s="38" t="str">
        <f>IFERROR('2.vize'!CD58*100/'2.vize'!$I58,"")</f>
        <v/>
      </c>
      <c r="BT159" s="38" t="str">
        <f>IFERROR('2.vize'!CE58*100/'2.vize'!$I58,"")</f>
        <v/>
      </c>
      <c r="BU159" s="38" t="str">
        <f>IFERROR('2.vize'!CF58*100/'2.vize'!$I58,"")</f>
        <v/>
      </c>
      <c r="BV159" s="38" t="str">
        <f>IFERROR('2.vize'!CG58*100/'2.vize'!$I58,"")</f>
        <v/>
      </c>
      <c r="BW159" s="38" t="str">
        <f>IFERROR('2.vize'!CH58*100/'2.vize'!$I58,"")</f>
        <v/>
      </c>
      <c r="BX159" s="38" t="str">
        <f>IFERROR('2.vize'!CI58*100/'2.vize'!$I58,"")</f>
        <v/>
      </c>
      <c r="BY159" s="38" t="str">
        <f>IFERROR('2.vize'!CJ58*100/'2.vize'!$I58,"")</f>
        <v/>
      </c>
      <c r="BZ159" s="38" t="str">
        <f>IFERROR('2.vize'!CK58*100/'2.vize'!$I58,"")</f>
        <v/>
      </c>
      <c r="CA159" s="38" t="str">
        <f>IFERROR('2.vize'!CL58*100/'2.vize'!$I58,"")</f>
        <v/>
      </c>
      <c r="CB159" s="38" t="str">
        <f>IFERROR('2.vize'!CM58*100/'2.vize'!$I58,"")</f>
        <v/>
      </c>
      <c r="CC159" s="38" t="str">
        <f>IFERROR('2.vize'!CN58*100/'2.vize'!$I58,"")</f>
        <v/>
      </c>
      <c r="CD159" s="38" t="str">
        <f>IFERROR('2.vize'!CO58*100/'2.vize'!$I58,"")</f>
        <v/>
      </c>
      <c r="CE159" s="38" t="str">
        <f>IFERROR('2.vize'!CP58*100/'2.vize'!$I58,"")</f>
        <v/>
      </c>
      <c r="CF159" s="38" t="str">
        <f>IFERROR('2.vize'!CQ58*100/'2.vize'!$I58,"")</f>
        <v/>
      </c>
      <c r="CG159" s="38" t="str">
        <f>IFERROR('2.vize'!CR58*100/'2.vize'!$I58,"")</f>
        <v/>
      </c>
      <c r="CH159" s="38" t="str">
        <f>IFERROR('2.vize'!CS58*100/'2.vize'!$I58,"")</f>
        <v/>
      </c>
      <c r="CI159" s="38" t="str">
        <f>IFERROR('2.vize'!CT58*100/'2.vize'!$I58,"")</f>
        <v/>
      </c>
      <c r="CJ159" s="38" t="str">
        <f>IFERROR('2.vize'!CU58*100/'2.vize'!$I58,"")</f>
        <v/>
      </c>
      <c r="CK159" s="38" t="str">
        <f>IFERROR('2.vize'!CV58*100/'2.vize'!$I58,"")</f>
        <v/>
      </c>
      <c r="CL159" s="38" t="str">
        <f>IFERROR('2.vize'!CW58*100/'2.vize'!$I58,"")</f>
        <v/>
      </c>
      <c r="CM159" s="38" t="str">
        <f>IFERROR('2.vize'!CX58*100/'2.vize'!$I58,"")</f>
        <v/>
      </c>
      <c r="CN159" s="38" t="str">
        <f>IFERROR('2.vize'!CY58*100/'2.vize'!$I58,"")</f>
        <v/>
      </c>
      <c r="CO159" s="38" t="str">
        <f>IFERROR('2.vize'!CZ58*100/'2.vize'!$I58,"")</f>
        <v/>
      </c>
      <c r="CP159" s="38" t="str">
        <f>IFERROR('2.vize'!DA58*100/'2.vize'!$I58,"")</f>
        <v/>
      </c>
      <c r="CQ159" s="38" t="str">
        <f>IFERROR('2.vize'!DB58*100/'2.vize'!$I58,"")</f>
        <v/>
      </c>
      <c r="CR159" s="38" t="str">
        <f>IFERROR('2.vize'!DC58*100/'2.vize'!$I58,"")</f>
        <v/>
      </c>
      <c r="CS159" s="38" t="str">
        <f>IFERROR('2.vize'!DD58*100/'2.vize'!$I58,"")</f>
        <v/>
      </c>
      <c r="CT159" s="38" t="str">
        <f>IFERROR('2.vize'!DE58*100/'2.vize'!$I58,"")</f>
        <v/>
      </c>
      <c r="CU159" s="38" t="str">
        <f>IFERROR('2.vize'!DF58*100/'2.vize'!$I58,"")</f>
        <v/>
      </c>
      <c r="CV159" s="38" t="str">
        <f>IFERROR('2.vize'!DG58*100/'2.vize'!$I58,"")</f>
        <v/>
      </c>
      <c r="CW159" s="32" t="str">
        <f>IFERROR(SUM(A159:CV159)/'2.vize'!$DH$103,"")</f>
        <v/>
      </c>
      <c r="CX159" s="14" t="str">
        <f>IF(COUNTA('2.vize'!A58),'2.vize'!A58,"")</f>
        <v/>
      </c>
      <c r="CY159" s="14" t="str">
        <f>IF(COUNTA('2.vize'!B58),'2.vize'!B58,"")</f>
        <v/>
      </c>
      <c r="CZ159" s="14" t="str">
        <f>IF(COUNTA('2.vize'!C58),'2.vize'!C58,"")</f>
        <v/>
      </c>
      <c r="DA159" s="14" t="str">
        <f>IF(COUNTA('2.vize'!D58),'2.vize'!D58,"")</f>
        <v/>
      </c>
      <c r="DB159" s="14" t="str">
        <f>IF(COUNTA('2.vize'!E58),'2.vize'!E58,"")</f>
        <v/>
      </c>
      <c r="DC159" s="14" t="str">
        <f>IF(COUNTA('2.vize'!F58),'2.vize'!F58,"")</f>
        <v/>
      </c>
      <c r="DD159" s="14" t="str">
        <f>IF(COUNTA('2.vize'!G58),'2.vize'!G58,"")</f>
        <v/>
      </c>
      <c r="DE159" s="14" t="str">
        <f>IF(COUNTA('2.vize'!H58),'2.vize'!H58,"")</f>
        <v/>
      </c>
    </row>
    <row r="160" spans="1:109" x14ac:dyDescent="0.2">
      <c r="A160" s="38" t="str">
        <f>IFERROR('2.vize'!L59*100/'2.vize'!$I59,"")</f>
        <v/>
      </c>
      <c r="B160" s="38" t="str">
        <f>IFERROR('2.vize'!M59*100/'2.vize'!$I59,"")</f>
        <v/>
      </c>
      <c r="C160" s="38" t="str">
        <f>IFERROR('2.vize'!N59*100/'2.vize'!$I59,"")</f>
        <v/>
      </c>
      <c r="D160" s="38" t="str">
        <f>IFERROR('2.vize'!O59*100/'2.vize'!$I59,"")</f>
        <v/>
      </c>
      <c r="E160" s="38" t="str">
        <f>IFERROR('2.vize'!P59*100/'2.vize'!$I59,"")</f>
        <v/>
      </c>
      <c r="F160" s="38" t="str">
        <f>IFERROR('2.vize'!Q59*100/'2.vize'!$I59,"")</f>
        <v/>
      </c>
      <c r="G160" s="38" t="str">
        <f>IFERROR('2.vize'!R59*100/'2.vize'!$I59,"")</f>
        <v/>
      </c>
      <c r="H160" s="38" t="str">
        <f>IFERROR('2.vize'!S59*100/'2.vize'!$I59,"")</f>
        <v/>
      </c>
      <c r="I160" s="38" t="str">
        <f>IFERROR('2.vize'!T59*100/'2.vize'!$I59,"")</f>
        <v/>
      </c>
      <c r="J160" s="38" t="str">
        <f>IFERROR('2.vize'!U59*100/'2.vize'!$I59,"")</f>
        <v/>
      </c>
      <c r="K160" s="38" t="str">
        <f>IFERROR('2.vize'!V59*100/'2.vize'!$I59,"")</f>
        <v/>
      </c>
      <c r="L160" s="38" t="str">
        <f>IFERROR('2.vize'!W59*100/'2.vize'!$I59,"")</f>
        <v/>
      </c>
      <c r="M160" s="38" t="str">
        <f>IFERROR('2.vize'!X59*100/'2.vize'!$I59,"")</f>
        <v/>
      </c>
      <c r="N160" s="38" t="str">
        <f>IFERROR('2.vize'!Y59*100/'2.vize'!$I59,"")</f>
        <v/>
      </c>
      <c r="O160" s="38" t="str">
        <f>IFERROR('2.vize'!Z59*100/'2.vize'!$I59,"")</f>
        <v/>
      </c>
      <c r="P160" s="38" t="str">
        <f>IFERROR('2.vize'!AA59*100/'2.vize'!$I59,"")</f>
        <v/>
      </c>
      <c r="Q160" s="38" t="str">
        <f>IFERROR('2.vize'!AB59*100/'2.vize'!$I59,"")</f>
        <v/>
      </c>
      <c r="R160" s="38" t="str">
        <f>IFERROR('2.vize'!AC59*100/'2.vize'!$I59,"")</f>
        <v/>
      </c>
      <c r="S160" s="38" t="str">
        <f>IFERROR('2.vize'!AD59*100/'2.vize'!$I59,"")</f>
        <v/>
      </c>
      <c r="T160" s="38" t="str">
        <f>IFERROR('2.vize'!AE59*100/'2.vize'!$I59,"")</f>
        <v/>
      </c>
      <c r="U160" s="38" t="str">
        <f>IFERROR('2.vize'!AF59*100/'2.vize'!$I59,"")</f>
        <v/>
      </c>
      <c r="V160" s="38" t="str">
        <f>IFERROR('2.vize'!AG59*100/'2.vize'!$I59,"")</f>
        <v/>
      </c>
      <c r="W160" s="38" t="str">
        <f>IFERROR('2.vize'!AH59*100/'2.vize'!$I59,"")</f>
        <v/>
      </c>
      <c r="X160" s="38" t="str">
        <f>IFERROR('2.vize'!AI59*100/'2.vize'!$I59,"")</f>
        <v/>
      </c>
      <c r="Y160" s="38" t="str">
        <f>IFERROR('2.vize'!AJ59*100/'2.vize'!$I59,"")</f>
        <v/>
      </c>
      <c r="Z160" s="38" t="str">
        <f>IFERROR('2.vize'!AK59*100/'2.vize'!$I59,"")</f>
        <v/>
      </c>
      <c r="AA160" s="38" t="str">
        <f>IFERROR('2.vize'!AL59*100/'2.vize'!$I59,"")</f>
        <v/>
      </c>
      <c r="AB160" s="38" t="str">
        <f>IFERROR('2.vize'!AM59*100/'2.vize'!$I59,"")</f>
        <v/>
      </c>
      <c r="AC160" s="38" t="str">
        <f>IFERROR('2.vize'!AN59*100/'2.vize'!$I59,"")</f>
        <v/>
      </c>
      <c r="AD160" s="38" t="str">
        <f>IFERROR('2.vize'!AO59*100/'2.vize'!$I59,"")</f>
        <v/>
      </c>
      <c r="AE160" s="38" t="str">
        <f>IFERROR('2.vize'!AP59*100/'2.vize'!$I59,"")</f>
        <v/>
      </c>
      <c r="AF160" s="38" t="str">
        <f>IFERROR('2.vize'!AQ59*100/'2.vize'!$I59,"")</f>
        <v/>
      </c>
      <c r="AG160" s="38" t="str">
        <f>IFERROR('2.vize'!AR59*100/'2.vize'!$I59,"")</f>
        <v/>
      </c>
      <c r="AH160" s="38" t="str">
        <f>IFERROR('2.vize'!AS59*100/'2.vize'!$I59,"")</f>
        <v/>
      </c>
      <c r="AI160" s="38" t="str">
        <f>IFERROR('2.vize'!AT59*100/'2.vize'!$I59,"")</f>
        <v/>
      </c>
      <c r="AJ160" s="38" t="str">
        <f>IFERROR('2.vize'!AU59*100/'2.vize'!$I59,"")</f>
        <v/>
      </c>
      <c r="AK160" s="38" t="str">
        <f>IFERROR('2.vize'!AV59*100/'2.vize'!$I59,"")</f>
        <v/>
      </c>
      <c r="AL160" s="38" t="str">
        <f>IFERROR('2.vize'!AW59*100/'2.vize'!$I59,"")</f>
        <v/>
      </c>
      <c r="AM160" s="38" t="str">
        <f>IFERROR('2.vize'!AX59*100/'2.vize'!$I59,"")</f>
        <v/>
      </c>
      <c r="AN160" s="38" t="str">
        <f>IFERROR('2.vize'!AY59*100/'2.vize'!$I59,"")</f>
        <v/>
      </c>
      <c r="AO160" s="38" t="str">
        <f>IFERROR('2.vize'!AZ59*100/'2.vize'!$I59,"")</f>
        <v/>
      </c>
      <c r="AP160" s="38" t="str">
        <f>IFERROR('2.vize'!BA59*100/'2.vize'!$I59,"")</f>
        <v/>
      </c>
      <c r="AQ160" s="38" t="str">
        <f>IFERROR('2.vize'!BB59*100/'2.vize'!$I59,"")</f>
        <v/>
      </c>
      <c r="AR160" s="38" t="str">
        <f>IFERROR('2.vize'!BC59*100/'2.vize'!$I59,"")</f>
        <v/>
      </c>
      <c r="AS160" s="38" t="str">
        <f>IFERROR('2.vize'!BD59*100/'2.vize'!$I59,"")</f>
        <v/>
      </c>
      <c r="AT160" s="38" t="str">
        <f>IFERROR('2.vize'!BE59*100/'2.vize'!$I59,"")</f>
        <v/>
      </c>
      <c r="AU160" s="38" t="str">
        <f>IFERROR('2.vize'!BF59*100/'2.vize'!$I59,"")</f>
        <v/>
      </c>
      <c r="AV160" s="38" t="str">
        <f>IFERROR('2.vize'!BG59*100/'2.vize'!$I59,"")</f>
        <v/>
      </c>
      <c r="AW160" s="38" t="str">
        <f>IFERROR('2.vize'!BH59*100/'2.vize'!$I59,"")</f>
        <v/>
      </c>
      <c r="AX160" s="38" t="str">
        <f>IFERROR('2.vize'!BI59*100/'2.vize'!$I59,"")</f>
        <v/>
      </c>
      <c r="AY160" s="38" t="str">
        <f>IFERROR('2.vize'!BJ59*100/'2.vize'!$I59,"")</f>
        <v/>
      </c>
      <c r="AZ160" s="38" t="str">
        <f>IFERROR('2.vize'!BK59*100/'2.vize'!$I59,"")</f>
        <v/>
      </c>
      <c r="BA160" s="38" t="str">
        <f>IFERROR('2.vize'!BL59*100/'2.vize'!$I59,"")</f>
        <v/>
      </c>
      <c r="BB160" s="38" t="str">
        <f>IFERROR('2.vize'!BM59*100/'2.vize'!$I59,"")</f>
        <v/>
      </c>
      <c r="BC160" s="38" t="str">
        <f>IFERROR('2.vize'!BN59*100/'2.vize'!$I59,"")</f>
        <v/>
      </c>
      <c r="BD160" s="38" t="str">
        <f>IFERROR('2.vize'!BO59*100/'2.vize'!$I59,"")</f>
        <v/>
      </c>
      <c r="BE160" s="38" t="str">
        <f>IFERROR('2.vize'!BP59*100/'2.vize'!$I59,"")</f>
        <v/>
      </c>
      <c r="BF160" s="38" t="str">
        <f>IFERROR('2.vize'!BQ59*100/'2.vize'!$I59,"")</f>
        <v/>
      </c>
      <c r="BG160" s="38" t="str">
        <f>IFERROR('2.vize'!BR59*100/'2.vize'!$I59,"")</f>
        <v/>
      </c>
      <c r="BH160" s="38" t="str">
        <f>IFERROR('2.vize'!BS59*100/'2.vize'!$I59,"")</f>
        <v/>
      </c>
      <c r="BI160" s="38" t="str">
        <f>IFERROR('2.vize'!BT59*100/'2.vize'!$I59,"")</f>
        <v/>
      </c>
      <c r="BJ160" s="38" t="str">
        <f>IFERROR('2.vize'!BU59*100/'2.vize'!$I59,"")</f>
        <v/>
      </c>
      <c r="BK160" s="38" t="str">
        <f>IFERROR('2.vize'!BV59*100/'2.vize'!$I59,"")</f>
        <v/>
      </c>
      <c r="BL160" s="38" t="str">
        <f>IFERROR('2.vize'!BW59*100/'2.vize'!$I59,"")</f>
        <v/>
      </c>
      <c r="BM160" s="38" t="str">
        <f>IFERROR('2.vize'!BX59*100/'2.vize'!$I59,"")</f>
        <v/>
      </c>
      <c r="BN160" s="38" t="str">
        <f>IFERROR('2.vize'!BY59*100/'2.vize'!$I59,"")</f>
        <v/>
      </c>
      <c r="BO160" s="38" t="str">
        <f>IFERROR('2.vize'!BZ59*100/'2.vize'!$I59,"")</f>
        <v/>
      </c>
      <c r="BP160" s="38" t="str">
        <f>IFERROR('2.vize'!CA59*100/'2.vize'!$I59,"")</f>
        <v/>
      </c>
      <c r="BQ160" s="38" t="str">
        <f>IFERROR('2.vize'!CB59*100/'2.vize'!$I59,"")</f>
        <v/>
      </c>
      <c r="BR160" s="38" t="str">
        <f>IFERROR('2.vize'!CC59*100/'2.vize'!$I59,"")</f>
        <v/>
      </c>
      <c r="BS160" s="38" t="str">
        <f>IFERROR('2.vize'!CD59*100/'2.vize'!$I59,"")</f>
        <v/>
      </c>
      <c r="BT160" s="38" t="str">
        <f>IFERROR('2.vize'!CE59*100/'2.vize'!$I59,"")</f>
        <v/>
      </c>
      <c r="BU160" s="38" t="str">
        <f>IFERROR('2.vize'!CF59*100/'2.vize'!$I59,"")</f>
        <v/>
      </c>
      <c r="BV160" s="38" t="str">
        <f>IFERROR('2.vize'!CG59*100/'2.vize'!$I59,"")</f>
        <v/>
      </c>
      <c r="BW160" s="38" t="str">
        <f>IFERROR('2.vize'!CH59*100/'2.vize'!$I59,"")</f>
        <v/>
      </c>
      <c r="BX160" s="38" t="str">
        <f>IFERROR('2.vize'!CI59*100/'2.vize'!$I59,"")</f>
        <v/>
      </c>
      <c r="BY160" s="38" t="str">
        <f>IFERROR('2.vize'!CJ59*100/'2.vize'!$I59,"")</f>
        <v/>
      </c>
      <c r="BZ160" s="38" t="str">
        <f>IFERROR('2.vize'!CK59*100/'2.vize'!$I59,"")</f>
        <v/>
      </c>
      <c r="CA160" s="38" t="str">
        <f>IFERROR('2.vize'!CL59*100/'2.vize'!$I59,"")</f>
        <v/>
      </c>
      <c r="CB160" s="38" t="str">
        <f>IFERROR('2.vize'!CM59*100/'2.vize'!$I59,"")</f>
        <v/>
      </c>
      <c r="CC160" s="38" t="str">
        <f>IFERROR('2.vize'!CN59*100/'2.vize'!$I59,"")</f>
        <v/>
      </c>
      <c r="CD160" s="38" t="str">
        <f>IFERROR('2.vize'!CO59*100/'2.vize'!$I59,"")</f>
        <v/>
      </c>
      <c r="CE160" s="38" t="str">
        <f>IFERROR('2.vize'!CP59*100/'2.vize'!$I59,"")</f>
        <v/>
      </c>
      <c r="CF160" s="38" t="str">
        <f>IFERROR('2.vize'!CQ59*100/'2.vize'!$I59,"")</f>
        <v/>
      </c>
      <c r="CG160" s="38" t="str">
        <f>IFERROR('2.vize'!CR59*100/'2.vize'!$I59,"")</f>
        <v/>
      </c>
      <c r="CH160" s="38" t="str">
        <f>IFERROR('2.vize'!CS59*100/'2.vize'!$I59,"")</f>
        <v/>
      </c>
      <c r="CI160" s="38" t="str">
        <f>IFERROR('2.vize'!CT59*100/'2.vize'!$I59,"")</f>
        <v/>
      </c>
      <c r="CJ160" s="38" t="str">
        <f>IFERROR('2.vize'!CU59*100/'2.vize'!$I59,"")</f>
        <v/>
      </c>
      <c r="CK160" s="38" t="str">
        <f>IFERROR('2.vize'!CV59*100/'2.vize'!$I59,"")</f>
        <v/>
      </c>
      <c r="CL160" s="38" t="str">
        <f>IFERROR('2.vize'!CW59*100/'2.vize'!$I59,"")</f>
        <v/>
      </c>
      <c r="CM160" s="38" t="str">
        <f>IFERROR('2.vize'!CX59*100/'2.vize'!$I59,"")</f>
        <v/>
      </c>
      <c r="CN160" s="38" t="str">
        <f>IFERROR('2.vize'!CY59*100/'2.vize'!$I59,"")</f>
        <v/>
      </c>
      <c r="CO160" s="38" t="str">
        <f>IFERROR('2.vize'!CZ59*100/'2.vize'!$I59,"")</f>
        <v/>
      </c>
      <c r="CP160" s="38" t="str">
        <f>IFERROR('2.vize'!DA59*100/'2.vize'!$I59,"")</f>
        <v/>
      </c>
      <c r="CQ160" s="38" t="str">
        <f>IFERROR('2.vize'!DB59*100/'2.vize'!$I59,"")</f>
        <v/>
      </c>
      <c r="CR160" s="38" t="str">
        <f>IFERROR('2.vize'!DC59*100/'2.vize'!$I59,"")</f>
        <v/>
      </c>
      <c r="CS160" s="38" t="str">
        <f>IFERROR('2.vize'!DD59*100/'2.vize'!$I59,"")</f>
        <v/>
      </c>
      <c r="CT160" s="38" t="str">
        <f>IFERROR('2.vize'!DE59*100/'2.vize'!$I59,"")</f>
        <v/>
      </c>
      <c r="CU160" s="38" t="str">
        <f>IFERROR('2.vize'!DF59*100/'2.vize'!$I59,"")</f>
        <v/>
      </c>
      <c r="CV160" s="38" t="str">
        <f>IFERROR('2.vize'!DG59*100/'2.vize'!$I59,"")</f>
        <v/>
      </c>
      <c r="CW160" s="32" t="str">
        <f>IFERROR(SUM(A160:CV160)/'2.vize'!$DH$103,"")</f>
        <v/>
      </c>
      <c r="CX160" s="14" t="str">
        <f>IF(COUNTA('2.vize'!A59),'2.vize'!A59,"")</f>
        <v/>
      </c>
      <c r="CY160" s="14" t="str">
        <f>IF(COUNTA('2.vize'!B59),'2.vize'!B59,"")</f>
        <v/>
      </c>
      <c r="CZ160" s="14" t="str">
        <f>IF(COUNTA('2.vize'!C59),'2.vize'!C59,"")</f>
        <v/>
      </c>
      <c r="DA160" s="14" t="str">
        <f>IF(COUNTA('2.vize'!D59),'2.vize'!D59,"")</f>
        <v/>
      </c>
      <c r="DB160" s="14" t="str">
        <f>IF(COUNTA('2.vize'!E59),'2.vize'!E59,"")</f>
        <v/>
      </c>
      <c r="DC160" s="14" t="str">
        <f>IF(COUNTA('2.vize'!F59),'2.vize'!F59,"")</f>
        <v/>
      </c>
      <c r="DD160" s="14" t="str">
        <f>IF(COUNTA('2.vize'!G59),'2.vize'!G59,"")</f>
        <v/>
      </c>
      <c r="DE160" s="14" t="str">
        <f>IF(COUNTA('2.vize'!H59),'2.vize'!H59,"")</f>
        <v/>
      </c>
    </row>
    <row r="161" spans="1:109" x14ac:dyDescent="0.2">
      <c r="A161" s="38" t="str">
        <f>IFERROR('2.vize'!L60*100/'2.vize'!$I60,"")</f>
        <v/>
      </c>
      <c r="B161" s="38" t="str">
        <f>IFERROR('2.vize'!M60*100/'2.vize'!$I60,"")</f>
        <v/>
      </c>
      <c r="C161" s="38" t="str">
        <f>IFERROR('2.vize'!N60*100/'2.vize'!$I60,"")</f>
        <v/>
      </c>
      <c r="D161" s="38" t="str">
        <f>IFERROR('2.vize'!O60*100/'2.vize'!$I60,"")</f>
        <v/>
      </c>
      <c r="E161" s="38" t="str">
        <f>IFERROR('2.vize'!P60*100/'2.vize'!$I60,"")</f>
        <v/>
      </c>
      <c r="F161" s="38" t="str">
        <f>IFERROR('2.vize'!Q60*100/'2.vize'!$I60,"")</f>
        <v/>
      </c>
      <c r="G161" s="38" t="str">
        <f>IFERROR('2.vize'!R60*100/'2.vize'!$I60,"")</f>
        <v/>
      </c>
      <c r="H161" s="38" t="str">
        <f>IFERROR('2.vize'!S60*100/'2.vize'!$I60,"")</f>
        <v/>
      </c>
      <c r="I161" s="38" t="str">
        <f>IFERROR('2.vize'!T60*100/'2.vize'!$I60,"")</f>
        <v/>
      </c>
      <c r="J161" s="38" t="str">
        <f>IFERROR('2.vize'!U60*100/'2.vize'!$I60,"")</f>
        <v/>
      </c>
      <c r="K161" s="38" t="str">
        <f>IFERROR('2.vize'!V60*100/'2.vize'!$I60,"")</f>
        <v/>
      </c>
      <c r="L161" s="38" t="str">
        <f>IFERROR('2.vize'!W60*100/'2.vize'!$I60,"")</f>
        <v/>
      </c>
      <c r="M161" s="38" t="str">
        <f>IFERROR('2.vize'!X60*100/'2.vize'!$I60,"")</f>
        <v/>
      </c>
      <c r="N161" s="38" t="str">
        <f>IFERROR('2.vize'!Y60*100/'2.vize'!$I60,"")</f>
        <v/>
      </c>
      <c r="O161" s="38" t="str">
        <f>IFERROR('2.vize'!Z60*100/'2.vize'!$I60,"")</f>
        <v/>
      </c>
      <c r="P161" s="38" t="str">
        <f>IFERROR('2.vize'!AA60*100/'2.vize'!$I60,"")</f>
        <v/>
      </c>
      <c r="Q161" s="38" t="str">
        <f>IFERROR('2.vize'!AB60*100/'2.vize'!$I60,"")</f>
        <v/>
      </c>
      <c r="R161" s="38" t="str">
        <f>IFERROR('2.vize'!AC60*100/'2.vize'!$I60,"")</f>
        <v/>
      </c>
      <c r="S161" s="38" t="str">
        <f>IFERROR('2.vize'!AD60*100/'2.vize'!$I60,"")</f>
        <v/>
      </c>
      <c r="T161" s="38" t="str">
        <f>IFERROR('2.vize'!AE60*100/'2.vize'!$I60,"")</f>
        <v/>
      </c>
      <c r="U161" s="38" t="str">
        <f>IFERROR('2.vize'!AF60*100/'2.vize'!$I60,"")</f>
        <v/>
      </c>
      <c r="V161" s="38" t="str">
        <f>IFERROR('2.vize'!AG60*100/'2.vize'!$I60,"")</f>
        <v/>
      </c>
      <c r="W161" s="38" t="str">
        <f>IFERROR('2.vize'!AH60*100/'2.vize'!$I60,"")</f>
        <v/>
      </c>
      <c r="X161" s="38" t="str">
        <f>IFERROR('2.vize'!AI60*100/'2.vize'!$I60,"")</f>
        <v/>
      </c>
      <c r="Y161" s="38" t="str">
        <f>IFERROR('2.vize'!AJ60*100/'2.vize'!$I60,"")</f>
        <v/>
      </c>
      <c r="Z161" s="38" t="str">
        <f>IFERROR('2.vize'!AK60*100/'2.vize'!$I60,"")</f>
        <v/>
      </c>
      <c r="AA161" s="38" t="str">
        <f>IFERROR('2.vize'!AL60*100/'2.vize'!$I60,"")</f>
        <v/>
      </c>
      <c r="AB161" s="38" t="str">
        <f>IFERROR('2.vize'!AM60*100/'2.vize'!$I60,"")</f>
        <v/>
      </c>
      <c r="AC161" s="38" t="str">
        <f>IFERROR('2.vize'!AN60*100/'2.vize'!$I60,"")</f>
        <v/>
      </c>
      <c r="AD161" s="38" t="str">
        <f>IFERROR('2.vize'!AO60*100/'2.vize'!$I60,"")</f>
        <v/>
      </c>
      <c r="AE161" s="38" t="str">
        <f>IFERROR('2.vize'!AP60*100/'2.vize'!$I60,"")</f>
        <v/>
      </c>
      <c r="AF161" s="38" t="str">
        <f>IFERROR('2.vize'!AQ60*100/'2.vize'!$I60,"")</f>
        <v/>
      </c>
      <c r="AG161" s="38" t="str">
        <f>IFERROR('2.vize'!AR60*100/'2.vize'!$I60,"")</f>
        <v/>
      </c>
      <c r="AH161" s="38" t="str">
        <f>IFERROR('2.vize'!AS60*100/'2.vize'!$I60,"")</f>
        <v/>
      </c>
      <c r="AI161" s="38" t="str">
        <f>IFERROR('2.vize'!AT60*100/'2.vize'!$I60,"")</f>
        <v/>
      </c>
      <c r="AJ161" s="38" t="str">
        <f>IFERROR('2.vize'!AU60*100/'2.vize'!$I60,"")</f>
        <v/>
      </c>
      <c r="AK161" s="38" t="str">
        <f>IFERROR('2.vize'!AV60*100/'2.vize'!$I60,"")</f>
        <v/>
      </c>
      <c r="AL161" s="38" t="str">
        <f>IFERROR('2.vize'!AW60*100/'2.vize'!$I60,"")</f>
        <v/>
      </c>
      <c r="AM161" s="38" t="str">
        <f>IFERROR('2.vize'!AX60*100/'2.vize'!$I60,"")</f>
        <v/>
      </c>
      <c r="AN161" s="38" t="str">
        <f>IFERROR('2.vize'!AY60*100/'2.vize'!$I60,"")</f>
        <v/>
      </c>
      <c r="AO161" s="38" t="str">
        <f>IFERROR('2.vize'!AZ60*100/'2.vize'!$I60,"")</f>
        <v/>
      </c>
      <c r="AP161" s="38" t="str">
        <f>IFERROR('2.vize'!BA60*100/'2.vize'!$I60,"")</f>
        <v/>
      </c>
      <c r="AQ161" s="38" t="str">
        <f>IFERROR('2.vize'!BB60*100/'2.vize'!$I60,"")</f>
        <v/>
      </c>
      <c r="AR161" s="38" t="str">
        <f>IFERROR('2.vize'!BC60*100/'2.vize'!$I60,"")</f>
        <v/>
      </c>
      <c r="AS161" s="38" t="str">
        <f>IFERROR('2.vize'!BD60*100/'2.vize'!$I60,"")</f>
        <v/>
      </c>
      <c r="AT161" s="38" t="str">
        <f>IFERROR('2.vize'!BE60*100/'2.vize'!$I60,"")</f>
        <v/>
      </c>
      <c r="AU161" s="38" t="str">
        <f>IFERROR('2.vize'!BF60*100/'2.vize'!$I60,"")</f>
        <v/>
      </c>
      <c r="AV161" s="38" t="str">
        <f>IFERROR('2.vize'!BG60*100/'2.vize'!$I60,"")</f>
        <v/>
      </c>
      <c r="AW161" s="38" t="str">
        <f>IFERROR('2.vize'!BH60*100/'2.vize'!$I60,"")</f>
        <v/>
      </c>
      <c r="AX161" s="38" t="str">
        <f>IFERROR('2.vize'!BI60*100/'2.vize'!$I60,"")</f>
        <v/>
      </c>
      <c r="AY161" s="38" t="str">
        <f>IFERROR('2.vize'!BJ60*100/'2.vize'!$I60,"")</f>
        <v/>
      </c>
      <c r="AZ161" s="38" t="str">
        <f>IFERROR('2.vize'!BK60*100/'2.vize'!$I60,"")</f>
        <v/>
      </c>
      <c r="BA161" s="38" t="str">
        <f>IFERROR('2.vize'!BL60*100/'2.vize'!$I60,"")</f>
        <v/>
      </c>
      <c r="BB161" s="38" t="str">
        <f>IFERROR('2.vize'!BM60*100/'2.vize'!$I60,"")</f>
        <v/>
      </c>
      <c r="BC161" s="38" t="str">
        <f>IFERROR('2.vize'!BN60*100/'2.vize'!$I60,"")</f>
        <v/>
      </c>
      <c r="BD161" s="38" t="str">
        <f>IFERROR('2.vize'!BO60*100/'2.vize'!$I60,"")</f>
        <v/>
      </c>
      <c r="BE161" s="38" t="str">
        <f>IFERROR('2.vize'!BP60*100/'2.vize'!$I60,"")</f>
        <v/>
      </c>
      <c r="BF161" s="38" t="str">
        <f>IFERROR('2.vize'!BQ60*100/'2.vize'!$I60,"")</f>
        <v/>
      </c>
      <c r="BG161" s="38" t="str">
        <f>IFERROR('2.vize'!BR60*100/'2.vize'!$I60,"")</f>
        <v/>
      </c>
      <c r="BH161" s="38" t="str">
        <f>IFERROR('2.vize'!BS60*100/'2.vize'!$I60,"")</f>
        <v/>
      </c>
      <c r="BI161" s="38" t="str">
        <f>IFERROR('2.vize'!BT60*100/'2.vize'!$I60,"")</f>
        <v/>
      </c>
      <c r="BJ161" s="38" t="str">
        <f>IFERROR('2.vize'!BU60*100/'2.vize'!$I60,"")</f>
        <v/>
      </c>
      <c r="BK161" s="38" t="str">
        <f>IFERROR('2.vize'!BV60*100/'2.vize'!$I60,"")</f>
        <v/>
      </c>
      <c r="BL161" s="38" t="str">
        <f>IFERROR('2.vize'!BW60*100/'2.vize'!$I60,"")</f>
        <v/>
      </c>
      <c r="BM161" s="38" t="str">
        <f>IFERROR('2.vize'!BX60*100/'2.vize'!$I60,"")</f>
        <v/>
      </c>
      <c r="BN161" s="38" t="str">
        <f>IFERROR('2.vize'!BY60*100/'2.vize'!$I60,"")</f>
        <v/>
      </c>
      <c r="BO161" s="38" t="str">
        <f>IFERROR('2.vize'!BZ60*100/'2.vize'!$I60,"")</f>
        <v/>
      </c>
      <c r="BP161" s="38" t="str">
        <f>IFERROR('2.vize'!CA60*100/'2.vize'!$I60,"")</f>
        <v/>
      </c>
      <c r="BQ161" s="38" t="str">
        <f>IFERROR('2.vize'!CB60*100/'2.vize'!$I60,"")</f>
        <v/>
      </c>
      <c r="BR161" s="38" t="str">
        <f>IFERROR('2.vize'!CC60*100/'2.vize'!$I60,"")</f>
        <v/>
      </c>
      <c r="BS161" s="38" t="str">
        <f>IFERROR('2.vize'!CD60*100/'2.vize'!$I60,"")</f>
        <v/>
      </c>
      <c r="BT161" s="38" t="str">
        <f>IFERROR('2.vize'!CE60*100/'2.vize'!$I60,"")</f>
        <v/>
      </c>
      <c r="BU161" s="38" t="str">
        <f>IFERROR('2.vize'!CF60*100/'2.vize'!$I60,"")</f>
        <v/>
      </c>
      <c r="BV161" s="38" t="str">
        <f>IFERROR('2.vize'!CG60*100/'2.vize'!$I60,"")</f>
        <v/>
      </c>
      <c r="BW161" s="38" t="str">
        <f>IFERROR('2.vize'!CH60*100/'2.vize'!$I60,"")</f>
        <v/>
      </c>
      <c r="BX161" s="38" t="str">
        <f>IFERROR('2.vize'!CI60*100/'2.vize'!$I60,"")</f>
        <v/>
      </c>
      <c r="BY161" s="38" t="str">
        <f>IFERROR('2.vize'!CJ60*100/'2.vize'!$I60,"")</f>
        <v/>
      </c>
      <c r="BZ161" s="38" t="str">
        <f>IFERROR('2.vize'!CK60*100/'2.vize'!$I60,"")</f>
        <v/>
      </c>
      <c r="CA161" s="38" t="str">
        <f>IFERROR('2.vize'!CL60*100/'2.vize'!$I60,"")</f>
        <v/>
      </c>
      <c r="CB161" s="38" t="str">
        <f>IFERROR('2.vize'!CM60*100/'2.vize'!$I60,"")</f>
        <v/>
      </c>
      <c r="CC161" s="38" t="str">
        <f>IFERROR('2.vize'!CN60*100/'2.vize'!$I60,"")</f>
        <v/>
      </c>
      <c r="CD161" s="38" t="str">
        <f>IFERROR('2.vize'!CO60*100/'2.vize'!$I60,"")</f>
        <v/>
      </c>
      <c r="CE161" s="38" t="str">
        <f>IFERROR('2.vize'!CP60*100/'2.vize'!$I60,"")</f>
        <v/>
      </c>
      <c r="CF161" s="38" t="str">
        <f>IFERROR('2.vize'!CQ60*100/'2.vize'!$I60,"")</f>
        <v/>
      </c>
      <c r="CG161" s="38" t="str">
        <f>IFERROR('2.vize'!CR60*100/'2.vize'!$I60,"")</f>
        <v/>
      </c>
      <c r="CH161" s="38" t="str">
        <f>IFERROR('2.vize'!CS60*100/'2.vize'!$I60,"")</f>
        <v/>
      </c>
      <c r="CI161" s="38" t="str">
        <f>IFERROR('2.vize'!CT60*100/'2.vize'!$I60,"")</f>
        <v/>
      </c>
      <c r="CJ161" s="38" t="str">
        <f>IFERROR('2.vize'!CU60*100/'2.vize'!$I60,"")</f>
        <v/>
      </c>
      <c r="CK161" s="38" t="str">
        <f>IFERROR('2.vize'!CV60*100/'2.vize'!$I60,"")</f>
        <v/>
      </c>
      <c r="CL161" s="38" t="str">
        <f>IFERROR('2.vize'!CW60*100/'2.vize'!$I60,"")</f>
        <v/>
      </c>
      <c r="CM161" s="38" t="str">
        <f>IFERROR('2.vize'!CX60*100/'2.vize'!$I60,"")</f>
        <v/>
      </c>
      <c r="CN161" s="38" t="str">
        <f>IFERROR('2.vize'!CY60*100/'2.vize'!$I60,"")</f>
        <v/>
      </c>
      <c r="CO161" s="38" t="str">
        <f>IFERROR('2.vize'!CZ60*100/'2.vize'!$I60,"")</f>
        <v/>
      </c>
      <c r="CP161" s="38" t="str">
        <f>IFERROR('2.vize'!DA60*100/'2.vize'!$I60,"")</f>
        <v/>
      </c>
      <c r="CQ161" s="38" t="str">
        <f>IFERROR('2.vize'!DB60*100/'2.vize'!$I60,"")</f>
        <v/>
      </c>
      <c r="CR161" s="38" t="str">
        <f>IFERROR('2.vize'!DC60*100/'2.vize'!$I60,"")</f>
        <v/>
      </c>
      <c r="CS161" s="38" t="str">
        <f>IFERROR('2.vize'!DD60*100/'2.vize'!$I60,"")</f>
        <v/>
      </c>
      <c r="CT161" s="38" t="str">
        <f>IFERROR('2.vize'!DE60*100/'2.vize'!$I60,"")</f>
        <v/>
      </c>
      <c r="CU161" s="38" t="str">
        <f>IFERROR('2.vize'!DF60*100/'2.vize'!$I60,"")</f>
        <v/>
      </c>
      <c r="CV161" s="38" t="str">
        <f>IFERROR('2.vize'!DG60*100/'2.vize'!$I60,"")</f>
        <v/>
      </c>
      <c r="CW161" s="32" t="str">
        <f>IFERROR(SUM(A161:CV161)/'2.vize'!$DH$103,"")</f>
        <v/>
      </c>
      <c r="CX161" s="14" t="str">
        <f>IF(COUNTA('2.vize'!A60),'2.vize'!A60,"")</f>
        <v/>
      </c>
      <c r="CY161" s="14" t="str">
        <f>IF(COUNTA('2.vize'!B60),'2.vize'!B60,"")</f>
        <v/>
      </c>
      <c r="CZ161" s="14" t="str">
        <f>IF(COUNTA('2.vize'!C60),'2.vize'!C60,"")</f>
        <v/>
      </c>
      <c r="DA161" s="14" t="str">
        <f>IF(COUNTA('2.vize'!D60),'2.vize'!D60,"")</f>
        <v/>
      </c>
      <c r="DB161" s="14" t="str">
        <f>IF(COUNTA('2.vize'!E60),'2.vize'!E60,"")</f>
        <v/>
      </c>
      <c r="DC161" s="14" t="str">
        <f>IF(COUNTA('2.vize'!F60),'2.vize'!F60,"")</f>
        <v/>
      </c>
      <c r="DD161" s="14" t="str">
        <f>IF(COUNTA('2.vize'!G60),'2.vize'!G60,"")</f>
        <v/>
      </c>
      <c r="DE161" s="14" t="str">
        <f>IF(COUNTA('2.vize'!H60),'2.vize'!H60,"")</f>
        <v/>
      </c>
    </row>
    <row r="162" spans="1:109" x14ac:dyDescent="0.2">
      <c r="A162" s="38" t="str">
        <f>IFERROR('2.vize'!L61*100/'2.vize'!$I61,"")</f>
        <v/>
      </c>
      <c r="B162" s="38" t="str">
        <f>IFERROR('2.vize'!M61*100/'2.vize'!$I61,"")</f>
        <v/>
      </c>
      <c r="C162" s="38" t="str">
        <f>IFERROR('2.vize'!N61*100/'2.vize'!$I61,"")</f>
        <v/>
      </c>
      <c r="D162" s="38" t="str">
        <f>IFERROR('2.vize'!O61*100/'2.vize'!$I61,"")</f>
        <v/>
      </c>
      <c r="E162" s="38" t="str">
        <f>IFERROR('2.vize'!P61*100/'2.vize'!$I61,"")</f>
        <v/>
      </c>
      <c r="F162" s="38" t="str">
        <f>IFERROR('2.vize'!Q61*100/'2.vize'!$I61,"")</f>
        <v/>
      </c>
      <c r="G162" s="38" t="str">
        <f>IFERROR('2.vize'!R61*100/'2.vize'!$I61,"")</f>
        <v/>
      </c>
      <c r="H162" s="38" t="str">
        <f>IFERROR('2.vize'!S61*100/'2.vize'!$I61,"")</f>
        <v/>
      </c>
      <c r="I162" s="38" t="str">
        <f>IFERROR('2.vize'!T61*100/'2.vize'!$I61,"")</f>
        <v/>
      </c>
      <c r="J162" s="38" t="str">
        <f>IFERROR('2.vize'!U61*100/'2.vize'!$I61,"")</f>
        <v/>
      </c>
      <c r="K162" s="38" t="str">
        <f>IFERROR('2.vize'!V61*100/'2.vize'!$I61,"")</f>
        <v/>
      </c>
      <c r="L162" s="38" t="str">
        <f>IFERROR('2.vize'!W61*100/'2.vize'!$I61,"")</f>
        <v/>
      </c>
      <c r="M162" s="38" t="str">
        <f>IFERROR('2.vize'!X61*100/'2.vize'!$I61,"")</f>
        <v/>
      </c>
      <c r="N162" s="38" t="str">
        <f>IFERROR('2.vize'!Y61*100/'2.vize'!$I61,"")</f>
        <v/>
      </c>
      <c r="O162" s="38" t="str">
        <f>IFERROR('2.vize'!Z61*100/'2.vize'!$I61,"")</f>
        <v/>
      </c>
      <c r="P162" s="38" t="str">
        <f>IFERROR('2.vize'!AA61*100/'2.vize'!$I61,"")</f>
        <v/>
      </c>
      <c r="Q162" s="38" t="str">
        <f>IFERROR('2.vize'!AB61*100/'2.vize'!$I61,"")</f>
        <v/>
      </c>
      <c r="R162" s="38" t="str">
        <f>IFERROR('2.vize'!AC61*100/'2.vize'!$I61,"")</f>
        <v/>
      </c>
      <c r="S162" s="38" t="str">
        <f>IFERROR('2.vize'!AD61*100/'2.vize'!$I61,"")</f>
        <v/>
      </c>
      <c r="T162" s="38" t="str">
        <f>IFERROR('2.vize'!AE61*100/'2.vize'!$I61,"")</f>
        <v/>
      </c>
      <c r="U162" s="38" t="str">
        <f>IFERROR('2.vize'!AF61*100/'2.vize'!$I61,"")</f>
        <v/>
      </c>
      <c r="V162" s="38" t="str">
        <f>IFERROR('2.vize'!AG61*100/'2.vize'!$I61,"")</f>
        <v/>
      </c>
      <c r="W162" s="38" t="str">
        <f>IFERROR('2.vize'!AH61*100/'2.vize'!$I61,"")</f>
        <v/>
      </c>
      <c r="X162" s="38" t="str">
        <f>IFERROR('2.vize'!AI61*100/'2.vize'!$I61,"")</f>
        <v/>
      </c>
      <c r="Y162" s="38" t="str">
        <f>IFERROR('2.vize'!AJ61*100/'2.vize'!$I61,"")</f>
        <v/>
      </c>
      <c r="Z162" s="38" t="str">
        <f>IFERROR('2.vize'!AK61*100/'2.vize'!$I61,"")</f>
        <v/>
      </c>
      <c r="AA162" s="38" t="str">
        <f>IFERROR('2.vize'!AL61*100/'2.vize'!$I61,"")</f>
        <v/>
      </c>
      <c r="AB162" s="38" t="str">
        <f>IFERROR('2.vize'!AM61*100/'2.vize'!$I61,"")</f>
        <v/>
      </c>
      <c r="AC162" s="38" t="str">
        <f>IFERROR('2.vize'!AN61*100/'2.vize'!$I61,"")</f>
        <v/>
      </c>
      <c r="AD162" s="38" t="str">
        <f>IFERROR('2.vize'!AO61*100/'2.vize'!$I61,"")</f>
        <v/>
      </c>
      <c r="AE162" s="38" t="str">
        <f>IFERROR('2.vize'!AP61*100/'2.vize'!$I61,"")</f>
        <v/>
      </c>
      <c r="AF162" s="38" t="str">
        <f>IFERROR('2.vize'!AQ61*100/'2.vize'!$I61,"")</f>
        <v/>
      </c>
      <c r="AG162" s="38" t="str">
        <f>IFERROR('2.vize'!AR61*100/'2.vize'!$I61,"")</f>
        <v/>
      </c>
      <c r="AH162" s="38" t="str">
        <f>IFERROR('2.vize'!AS61*100/'2.vize'!$I61,"")</f>
        <v/>
      </c>
      <c r="AI162" s="38" t="str">
        <f>IFERROR('2.vize'!AT61*100/'2.vize'!$I61,"")</f>
        <v/>
      </c>
      <c r="AJ162" s="38" t="str">
        <f>IFERROR('2.vize'!AU61*100/'2.vize'!$I61,"")</f>
        <v/>
      </c>
      <c r="AK162" s="38" t="str">
        <f>IFERROR('2.vize'!AV61*100/'2.vize'!$I61,"")</f>
        <v/>
      </c>
      <c r="AL162" s="38" t="str">
        <f>IFERROR('2.vize'!AW61*100/'2.vize'!$I61,"")</f>
        <v/>
      </c>
      <c r="AM162" s="38" t="str">
        <f>IFERROR('2.vize'!AX61*100/'2.vize'!$I61,"")</f>
        <v/>
      </c>
      <c r="AN162" s="38" t="str">
        <f>IFERROR('2.vize'!AY61*100/'2.vize'!$I61,"")</f>
        <v/>
      </c>
      <c r="AO162" s="38" t="str">
        <f>IFERROR('2.vize'!AZ61*100/'2.vize'!$I61,"")</f>
        <v/>
      </c>
      <c r="AP162" s="38" t="str">
        <f>IFERROR('2.vize'!BA61*100/'2.vize'!$I61,"")</f>
        <v/>
      </c>
      <c r="AQ162" s="38" t="str">
        <f>IFERROR('2.vize'!BB61*100/'2.vize'!$I61,"")</f>
        <v/>
      </c>
      <c r="AR162" s="38" t="str">
        <f>IFERROR('2.vize'!BC61*100/'2.vize'!$I61,"")</f>
        <v/>
      </c>
      <c r="AS162" s="38" t="str">
        <f>IFERROR('2.vize'!BD61*100/'2.vize'!$I61,"")</f>
        <v/>
      </c>
      <c r="AT162" s="38" t="str">
        <f>IFERROR('2.vize'!BE61*100/'2.vize'!$I61,"")</f>
        <v/>
      </c>
      <c r="AU162" s="38" t="str">
        <f>IFERROR('2.vize'!BF61*100/'2.vize'!$I61,"")</f>
        <v/>
      </c>
      <c r="AV162" s="38" t="str">
        <f>IFERROR('2.vize'!BG61*100/'2.vize'!$I61,"")</f>
        <v/>
      </c>
      <c r="AW162" s="38" t="str">
        <f>IFERROR('2.vize'!BH61*100/'2.vize'!$I61,"")</f>
        <v/>
      </c>
      <c r="AX162" s="38" t="str">
        <f>IFERROR('2.vize'!BI61*100/'2.vize'!$I61,"")</f>
        <v/>
      </c>
      <c r="AY162" s="38" t="str">
        <f>IFERROR('2.vize'!BJ61*100/'2.vize'!$I61,"")</f>
        <v/>
      </c>
      <c r="AZ162" s="38" t="str">
        <f>IFERROR('2.vize'!BK61*100/'2.vize'!$I61,"")</f>
        <v/>
      </c>
      <c r="BA162" s="38" t="str">
        <f>IFERROR('2.vize'!BL61*100/'2.vize'!$I61,"")</f>
        <v/>
      </c>
      <c r="BB162" s="38" t="str">
        <f>IFERROR('2.vize'!BM61*100/'2.vize'!$I61,"")</f>
        <v/>
      </c>
      <c r="BC162" s="38" t="str">
        <f>IFERROR('2.vize'!BN61*100/'2.vize'!$I61,"")</f>
        <v/>
      </c>
      <c r="BD162" s="38" t="str">
        <f>IFERROR('2.vize'!BO61*100/'2.vize'!$I61,"")</f>
        <v/>
      </c>
      <c r="BE162" s="38" t="str">
        <f>IFERROR('2.vize'!BP61*100/'2.vize'!$I61,"")</f>
        <v/>
      </c>
      <c r="BF162" s="38" t="str">
        <f>IFERROR('2.vize'!BQ61*100/'2.vize'!$I61,"")</f>
        <v/>
      </c>
      <c r="BG162" s="38" t="str">
        <f>IFERROR('2.vize'!BR61*100/'2.vize'!$I61,"")</f>
        <v/>
      </c>
      <c r="BH162" s="38" t="str">
        <f>IFERROR('2.vize'!BS61*100/'2.vize'!$I61,"")</f>
        <v/>
      </c>
      <c r="BI162" s="38" t="str">
        <f>IFERROR('2.vize'!BT61*100/'2.vize'!$I61,"")</f>
        <v/>
      </c>
      <c r="BJ162" s="38" t="str">
        <f>IFERROR('2.vize'!BU61*100/'2.vize'!$I61,"")</f>
        <v/>
      </c>
      <c r="BK162" s="38" t="str">
        <f>IFERROR('2.vize'!BV61*100/'2.vize'!$I61,"")</f>
        <v/>
      </c>
      <c r="BL162" s="38" t="str">
        <f>IFERROR('2.vize'!BW61*100/'2.vize'!$I61,"")</f>
        <v/>
      </c>
      <c r="BM162" s="38" t="str">
        <f>IFERROR('2.vize'!BX61*100/'2.vize'!$I61,"")</f>
        <v/>
      </c>
      <c r="BN162" s="38" t="str">
        <f>IFERROR('2.vize'!BY61*100/'2.vize'!$I61,"")</f>
        <v/>
      </c>
      <c r="BO162" s="38" t="str">
        <f>IFERROR('2.vize'!BZ61*100/'2.vize'!$I61,"")</f>
        <v/>
      </c>
      <c r="BP162" s="38" t="str">
        <f>IFERROR('2.vize'!CA61*100/'2.vize'!$I61,"")</f>
        <v/>
      </c>
      <c r="BQ162" s="38" t="str">
        <f>IFERROR('2.vize'!CB61*100/'2.vize'!$I61,"")</f>
        <v/>
      </c>
      <c r="BR162" s="38" t="str">
        <f>IFERROR('2.vize'!CC61*100/'2.vize'!$I61,"")</f>
        <v/>
      </c>
      <c r="BS162" s="38" t="str">
        <f>IFERROR('2.vize'!CD61*100/'2.vize'!$I61,"")</f>
        <v/>
      </c>
      <c r="BT162" s="38" t="str">
        <f>IFERROR('2.vize'!CE61*100/'2.vize'!$I61,"")</f>
        <v/>
      </c>
      <c r="BU162" s="38" t="str">
        <f>IFERROR('2.vize'!CF61*100/'2.vize'!$I61,"")</f>
        <v/>
      </c>
      <c r="BV162" s="38" t="str">
        <f>IFERROR('2.vize'!CG61*100/'2.vize'!$I61,"")</f>
        <v/>
      </c>
      <c r="BW162" s="38" t="str">
        <f>IFERROR('2.vize'!CH61*100/'2.vize'!$I61,"")</f>
        <v/>
      </c>
      <c r="BX162" s="38" t="str">
        <f>IFERROR('2.vize'!CI61*100/'2.vize'!$I61,"")</f>
        <v/>
      </c>
      <c r="BY162" s="38" t="str">
        <f>IFERROR('2.vize'!CJ61*100/'2.vize'!$I61,"")</f>
        <v/>
      </c>
      <c r="BZ162" s="38" t="str">
        <f>IFERROR('2.vize'!CK61*100/'2.vize'!$I61,"")</f>
        <v/>
      </c>
      <c r="CA162" s="38" t="str">
        <f>IFERROR('2.vize'!CL61*100/'2.vize'!$I61,"")</f>
        <v/>
      </c>
      <c r="CB162" s="38" t="str">
        <f>IFERROR('2.vize'!CM61*100/'2.vize'!$I61,"")</f>
        <v/>
      </c>
      <c r="CC162" s="38" t="str">
        <f>IFERROR('2.vize'!CN61*100/'2.vize'!$I61,"")</f>
        <v/>
      </c>
      <c r="CD162" s="38" t="str">
        <f>IFERROR('2.vize'!CO61*100/'2.vize'!$I61,"")</f>
        <v/>
      </c>
      <c r="CE162" s="38" t="str">
        <f>IFERROR('2.vize'!CP61*100/'2.vize'!$I61,"")</f>
        <v/>
      </c>
      <c r="CF162" s="38" t="str">
        <f>IFERROR('2.vize'!CQ61*100/'2.vize'!$I61,"")</f>
        <v/>
      </c>
      <c r="CG162" s="38" t="str">
        <f>IFERROR('2.vize'!CR61*100/'2.vize'!$I61,"")</f>
        <v/>
      </c>
      <c r="CH162" s="38" t="str">
        <f>IFERROR('2.vize'!CS61*100/'2.vize'!$I61,"")</f>
        <v/>
      </c>
      <c r="CI162" s="38" t="str">
        <f>IFERROR('2.vize'!CT61*100/'2.vize'!$I61,"")</f>
        <v/>
      </c>
      <c r="CJ162" s="38" t="str">
        <f>IFERROR('2.vize'!CU61*100/'2.vize'!$I61,"")</f>
        <v/>
      </c>
      <c r="CK162" s="38" t="str">
        <f>IFERROR('2.vize'!CV61*100/'2.vize'!$I61,"")</f>
        <v/>
      </c>
      <c r="CL162" s="38" t="str">
        <f>IFERROR('2.vize'!CW61*100/'2.vize'!$I61,"")</f>
        <v/>
      </c>
      <c r="CM162" s="38" t="str">
        <f>IFERROR('2.vize'!CX61*100/'2.vize'!$I61,"")</f>
        <v/>
      </c>
      <c r="CN162" s="38" t="str">
        <f>IFERROR('2.vize'!CY61*100/'2.vize'!$I61,"")</f>
        <v/>
      </c>
      <c r="CO162" s="38" t="str">
        <f>IFERROR('2.vize'!CZ61*100/'2.vize'!$I61,"")</f>
        <v/>
      </c>
      <c r="CP162" s="38" t="str">
        <f>IFERROR('2.vize'!DA61*100/'2.vize'!$I61,"")</f>
        <v/>
      </c>
      <c r="CQ162" s="38" t="str">
        <f>IFERROR('2.vize'!DB61*100/'2.vize'!$I61,"")</f>
        <v/>
      </c>
      <c r="CR162" s="38" t="str">
        <f>IFERROR('2.vize'!DC61*100/'2.vize'!$I61,"")</f>
        <v/>
      </c>
      <c r="CS162" s="38" t="str">
        <f>IFERROR('2.vize'!DD61*100/'2.vize'!$I61,"")</f>
        <v/>
      </c>
      <c r="CT162" s="38" t="str">
        <f>IFERROR('2.vize'!DE61*100/'2.vize'!$I61,"")</f>
        <v/>
      </c>
      <c r="CU162" s="38" t="str">
        <f>IFERROR('2.vize'!DF61*100/'2.vize'!$I61,"")</f>
        <v/>
      </c>
      <c r="CV162" s="38" t="str">
        <f>IFERROR('2.vize'!DG61*100/'2.vize'!$I61,"")</f>
        <v/>
      </c>
      <c r="CW162" s="32" t="str">
        <f>IFERROR(SUM(A162:CV162)/'2.vize'!$DH$103,"")</f>
        <v/>
      </c>
      <c r="CX162" s="14" t="str">
        <f>IF(COUNTA('2.vize'!A61),'2.vize'!A61,"")</f>
        <v/>
      </c>
      <c r="CY162" s="14" t="str">
        <f>IF(COUNTA('2.vize'!B61),'2.vize'!B61,"")</f>
        <v/>
      </c>
      <c r="CZ162" s="14" t="str">
        <f>IF(COUNTA('2.vize'!C61),'2.vize'!C61,"")</f>
        <v/>
      </c>
      <c r="DA162" s="14" t="str">
        <f>IF(COUNTA('2.vize'!D61),'2.vize'!D61,"")</f>
        <v/>
      </c>
      <c r="DB162" s="14" t="str">
        <f>IF(COUNTA('2.vize'!E61),'2.vize'!E61,"")</f>
        <v/>
      </c>
      <c r="DC162" s="14" t="str">
        <f>IF(COUNTA('2.vize'!F61),'2.vize'!F61,"")</f>
        <v/>
      </c>
      <c r="DD162" s="14" t="str">
        <f>IF(COUNTA('2.vize'!G61),'2.vize'!G61,"")</f>
        <v/>
      </c>
      <c r="DE162" s="14" t="str">
        <f>IF(COUNTA('2.vize'!H61),'2.vize'!H61,"")</f>
        <v/>
      </c>
    </row>
    <row r="163" spans="1:109" x14ac:dyDescent="0.2">
      <c r="A163" s="38" t="str">
        <f>IFERROR('2.vize'!L62*100/'2.vize'!$I62,"")</f>
        <v/>
      </c>
      <c r="B163" s="38" t="str">
        <f>IFERROR('2.vize'!M62*100/'2.vize'!$I62,"")</f>
        <v/>
      </c>
      <c r="C163" s="38" t="str">
        <f>IFERROR('2.vize'!N62*100/'2.vize'!$I62,"")</f>
        <v/>
      </c>
      <c r="D163" s="38" t="str">
        <f>IFERROR('2.vize'!O62*100/'2.vize'!$I62,"")</f>
        <v/>
      </c>
      <c r="E163" s="38" t="str">
        <f>IFERROR('2.vize'!P62*100/'2.vize'!$I62,"")</f>
        <v/>
      </c>
      <c r="F163" s="38" t="str">
        <f>IFERROR('2.vize'!Q62*100/'2.vize'!$I62,"")</f>
        <v/>
      </c>
      <c r="G163" s="38" t="str">
        <f>IFERROR('2.vize'!R62*100/'2.vize'!$I62,"")</f>
        <v/>
      </c>
      <c r="H163" s="38" t="str">
        <f>IFERROR('2.vize'!S62*100/'2.vize'!$I62,"")</f>
        <v/>
      </c>
      <c r="I163" s="38" t="str">
        <f>IFERROR('2.vize'!T62*100/'2.vize'!$I62,"")</f>
        <v/>
      </c>
      <c r="J163" s="38" t="str">
        <f>IFERROR('2.vize'!U62*100/'2.vize'!$I62,"")</f>
        <v/>
      </c>
      <c r="K163" s="38" t="str">
        <f>IFERROR('2.vize'!V62*100/'2.vize'!$I62,"")</f>
        <v/>
      </c>
      <c r="L163" s="38" t="str">
        <f>IFERROR('2.vize'!W62*100/'2.vize'!$I62,"")</f>
        <v/>
      </c>
      <c r="M163" s="38" t="str">
        <f>IFERROR('2.vize'!X62*100/'2.vize'!$I62,"")</f>
        <v/>
      </c>
      <c r="N163" s="38" t="str">
        <f>IFERROR('2.vize'!Y62*100/'2.vize'!$I62,"")</f>
        <v/>
      </c>
      <c r="O163" s="38" t="str">
        <f>IFERROR('2.vize'!Z62*100/'2.vize'!$I62,"")</f>
        <v/>
      </c>
      <c r="P163" s="38" t="str">
        <f>IFERROR('2.vize'!AA62*100/'2.vize'!$I62,"")</f>
        <v/>
      </c>
      <c r="Q163" s="38" t="str">
        <f>IFERROR('2.vize'!AB62*100/'2.vize'!$I62,"")</f>
        <v/>
      </c>
      <c r="R163" s="38" t="str">
        <f>IFERROR('2.vize'!AC62*100/'2.vize'!$I62,"")</f>
        <v/>
      </c>
      <c r="S163" s="38" t="str">
        <f>IFERROR('2.vize'!AD62*100/'2.vize'!$I62,"")</f>
        <v/>
      </c>
      <c r="T163" s="38" t="str">
        <f>IFERROR('2.vize'!AE62*100/'2.vize'!$I62,"")</f>
        <v/>
      </c>
      <c r="U163" s="38" t="str">
        <f>IFERROR('2.vize'!AF62*100/'2.vize'!$I62,"")</f>
        <v/>
      </c>
      <c r="V163" s="38" t="str">
        <f>IFERROR('2.vize'!AG62*100/'2.vize'!$I62,"")</f>
        <v/>
      </c>
      <c r="W163" s="38" t="str">
        <f>IFERROR('2.vize'!AH62*100/'2.vize'!$I62,"")</f>
        <v/>
      </c>
      <c r="X163" s="38" t="str">
        <f>IFERROR('2.vize'!AI62*100/'2.vize'!$I62,"")</f>
        <v/>
      </c>
      <c r="Y163" s="38" t="str">
        <f>IFERROR('2.vize'!AJ62*100/'2.vize'!$I62,"")</f>
        <v/>
      </c>
      <c r="Z163" s="38" t="str">
        <f>IFERROR('2.vize'!AK62*100/'2.vize'!$I62,"")</f>
        <v/>
      </c>
      <c r="AA163" s="38" t="str">
        <f>IFERROR('2.vize'!AL62*100/'2.vize'!$I62,"")</f>
        <v/>
      </c>
      <c r="AB163" s="38" t="str">
        <f>IFERROR('2.vize'!AM62*100/'2.vize'!$I62,"")</f>
        <v/>
      </c>
      <c r="AC163" s="38" t="str">
        <f>IFERROR('2.vize'!AN62*100/'2.vize'!$I62,"")</f>
        <v/>
      </c>
      <c r="AD163" s="38" t="str">
        <f>IFERROR('2.vize'!AO62*100/'2.vize'!$I62,"")</f>
        <v/>
      </c>
      <c r="AE163" s="38" t="str">
        <f>IFERROR('2.vize'!AP62*100/'2.vize'!$I62,"")</f>
        <v/>
      </c>
      <c r="AF163" s="38" t="str">
        <f>IFERROR('2.vize'!AQ62*100/'2.vize'!$I62,"")</f>
        <v/>
      </c>
      <c r="AG163" s="38" t="str">
        <f>IFERROR('2.vize'!AR62*100/'2.vize'!$I62,"")</f>
        <v/>
      </c>
      <c r="AH163" s="38" t="str">
        <f>IFERROR('2.vize'!AS62*100/'2.vize'!$I62,"")</f>
        <v/>
      </c>
      <c r="AI163" s="38" t="str">
        <f>IFERROR('2.vize'!AT62*100/'2.vize'!$I62,"")</f>
        <v/>
      </c>
      <c r="AJ163" s="38" t="str">
        <f>IFERROR('2.vize'!AU62*100/'2.vize'!$I62,"")</f>
        <v/>
      </c>
      <c r="AK163" s="38" t="str">
        <f>IFERROR('2.vize'!AV62*100/'2.vize'!$I62,"")</f>
        <v/>
      </c>
      <c r="AL163" s="38" t="str">
        <f>IFERROR('2.vize'!AW62*100/'2.vize'!$I62,"")</f>
        <v/>
      </c>
      <c r="AM163" s="38" t="str">
        <f>IFERROR('2.vize'!AX62*100/'2.vize'!$I62,"")</f>
        <v/>
      </c>
      <c r="AN163" s="38" t="str">
        <f>IFERROR('2.vize'!AY62*100/'2.vize'!$I62,"")</f>
        <v/>
      </c>
      <c r="AO163" s="38" t="str">
        <f>IFERROR('2.vize'!AZ62*100/'2.vize'!$I62,"")</f>
        <v/>
      </c>
      <c r="AP163" s="38" t="str">
        <f>IFERROR('2.vize'!BA62*100/'2.vize'!$I62,"")</f>
        <v/>
      </c>
      <c r="AQ163" s="38" t="str">
        <f>IFERROR('2.vize'!BB62*100/'2.vize'!$I62,"")</f>
        <v/>
      </c>
      <c r="AR163" s="38" t="str">
        <f>IFERROR('2.vize'!BC62*100/'2.vize'!$I62,"")</f>
        <v/>
      </c>
      <c r="AS163" s="38" t="str">
        <f>IFERROR('2.vize'!BD62*100/'2.vize'!$I62,"")</f>
        <v/>
      </c>
      <c r="AT163" s="38" t="str">
        <f>IFERROR('2.vize'!BE62*100/'2.vize'!$I62,"")</f>
        <v/>
      </c>
      <c r="AU163" s="38" t="str">
        <f>IFERROR('2.vize'!BF62*100/'2.vize'!$I62,"")</f>
        <v/>
      </c>
      <c r="AV163" s="38" t="str">
        <f>IFERROR('2.vize'!BG62*100/'2.vize'!$I62,"")</f>
        <v/>
      </c>
      <c r="AW163" s="38" t="str">
        <f>IFERROR('2.vize'!BH62*100/'2.vize'!$I62,"")</f>
        <v/>
      </c>
      <c r="AX163" s="38" t="str">
        <f>IFERROR('2.vize'!BI62*100/'2.vize'!$I62,"")</f>
        <v/>
      </c>
      <c r="AY163" s="38" t="str">
        <f>IFERROR('2.vize'!BJ62*100/'2.vize'!$I62,"")</f>
        <v/>
      </c>
      <c r="AZ163" s="38" t="str">
        <f>IFERROR('2.vize'!BK62*100/'2.vize'!$I62,"")</f>
        <v/>
      </c>
      <c r="BA163" s="38" t="str">
        <f>IFERROR('2.vize'!BL62*100/'2.vize'!$I62,"")</f>
        <v/>
      </c>
      <c r="BB163" s="38" t="str">
        <f>IFERROR('2.vize'!BM62*100/'2.vize'!$I62,"")</f>
        <v/>
      </c>
      <c r="BC163" s="38" t="str">
        <f>IFERROR('2.vize'!BN62*100/'2.vize'!$I62,"")</f>
        <v/>
      </c>
      <c r="BD163" s="38" t="str">
        <f>IFERROR('2.vize'!BO62*100/'2.vize'!$I62,"")</f>
        <v/>
      </c>
      <c r="BE163" s="38" t="str">
        <f>IFERROR('2.vize'!BP62*100/'2.vize'!$I62,"")</f>
        <v/>
      </c>
      <c r="BF163" s="38" t="str">
        <f>IFERROR('2.vize'!BQ62*100/'2.vize'!$I62,"")</f>
        <v/>
      </c>
      <c r="BG163" s="38" t="str">
        <f>IFERROR('2.vize'!BR62*100/'2.vize'!$I62,"")</f>
        <v/>
      </c>
      <c r="BH163" s="38" t="str">
        <f>IFERROR('2.vize'!BS62*100/'2.vize'!$I62,"")</f>
        <v/>
      </c>
      <c r="BI163" s="38" t="str">
        <f>IFERROR('2.vize'!BT62*100/'2.vize'!$I62,"")</f>
        <v/>
      </c>
      <c r="BJ163" s="38" t="str">
        <f>IFERROR('2.vize'!BU62*100/'2.vize'!$I62,"")</f>
        <v/>
      </c>
      <c r="BK163" s="38" t="str">
        <f>IFERROR('2.vize'!BV62*100/'2.vize'!$I62,"")</f>
        <v/>
      </c>
      <c r="BL163" s="38" t="str">
        <f>IFERROR('2.vize'!BW62*100/'2.vize'!$I62,"")</f>
        <v/>
      </c>
      <c r="BM163" s="38" t="str">
        <f>IFERROR('2.vize'!BX62*100/'2.vize'!$I62,"")</f>
        <v/>
      </c>
      <c r="BN163" s="38" t="str">
        <f>IFERROR('2.vize'!BY62*100/'2.vize'!$I62,"")</f>
        <v/>
      </c>
      <c r="BO163" s="38" t="str">
        <f>IFERROR('2.vize'!BZ62*100/'2.vize'!$I62,"")</f>
        <v/>
      </c>
      <c r="BP163" s="38" t="str">
        <f>IFERROR('2.vize'!CA62*100/'2.vize'!$I62,"")</f>
        <v/>
      </c>
      <c r="BQ163" s="38" t="str">
        <f>IFERROR('2.vize'!CB62*100/'2.vize'!$I62,"")</f>
        <v/>
      </c>
      <c r="BR163" s="38" t="str">
        <f>IFERROR('2.vize'!CC62*100/'2.vize'!$I62,"")</f>
        <v/>
      </c>
      <c r="BS163" s="38" t="str">
        <f>IFERROR('2.vize'!CD62*100/'2.vize'!$I62,"")</f>
        <v/>
      </c>
      <c r="BT163" s="38" t="str">
        <f>IFERROR('2.vize'!CE62*100/'2.vize'!$I62,"")</f>
        <v/>
      </c>
      <c r="BU163" s="38" t="str">
        <f>IFERROR('2.vize'!CF62*100/'2.vize'!$I62,"")</f>
        <v/>
      </c>
      <c r="BV163" s="38" t="str">
        <f>IFERROR('2.vize'!CG62*100/'2.vize'!$I62,"")</f>
        <v/>
      </c>
      <c r="BW163" s="38" t="str">
        <f>IFERROR('2.vize'!CH62*100/'2.vize'!$I62,"")</f>
        <v/>
      </c>
      <c r="BX163" s="38" t="str">
        <f>IFERROR('2.vize'!CI62*100/'2.vize'!$I62,"")</f>
        <v/>
      </c>
      <c r="BY163" s="38" t="str">
        <f>IFERROR('2.vize'!CJ62*100/'2.vize'!$I62,"")</f>
        <v/>
      </c>
      <c r="BZ163" s="38" t="str">
        <f>IFERROR('2.vize'!CK62*100/'2.vize'!$I62,"")</f>
        <v/>
      </c>
      <c r="CA163" s="38" t="str">
        <f>IFERROR('2.vize'!CL62*100/'2.vize'!$I62,"")</f>
        <v/>
      </c>
      <c r="CB163" s="38" t="str">
        <f>IFERROR('2.vize'!CM62*100/'2.vize'!$I62,"")</f>
        <v/>
      </c>
      <c r="CC163" s="38" t="str">
        <f>IFERROR('2.vize'!CN62*100/'2.vize'!$I62,"")</f>
        <v/>
      </c>
      <c r="CD163" s="38" t="str">
        <f>IFERROR('2.vize'!CO62*100/'2.vize'!$I62,"")</f>
        <v/>
      </c>
      <c r="CE163" s="38" t="str">
        <f>IFERROR('2.vize'!CP62*100/'2.vize'!$I62,"")</f>
        <v/>
      </c>
      <c r="CF163" s="38" t="str">
        <f>IFERROR('2.vize'!CQ62*100/'2.vize'!$I62,"")</f>
        <v/>
      </c>
      <c r="CG163" s="38" t="str">
        <f>IFERROR('2.vize'!CR62*100/'2.vize'!$I62,"")</f>
        <v/>
      </c>
      <c r="CH163" s="38" t="str">
        <f>IFERROR('2.vize'!CS62*100/'2.vize'!$I62,"")</f>
        <v/>
      </c>
      <c r="CI163" s="38" t="str">
        <f>IFERROR('2.vize'!CT62*100/'2.vize'!$I62,"")</f>
        <v/>
      </c>
      <c r="CJ163" s="38" t="str">
        <f>IFERROR('2.vize'!CU62*100/'2.vize'!$I62,"")</f>
        <v/>
      </c>
      <c r="CK163" s="38" t="str">
        <f>IFERROR('2.vize'!CV62*100/'2.vize'!$I62,"")</f>
        <v/>
      </c>
      <c r="CL163" s="38" t="str">
        <f>IFERROR('2.vize'!CW62*100/'2.vize'!$I62,"")</f>
        <v/>
      </c>
      <c r="CM163" s="38" t="str">
        <f>IFERROR('2.vize'!CX62*100/'2.vize'!$I62,"")</f>
        <v/>
      </c>
      <c r="CN163" s="38" t="str">
        <f>IFERROR('2.vize'!CY62*100/'2.vize'!$I62,"")</f>
        <v/>
      </c>
      <c r="CO163" s="38" t="str">
        <f>IFERROR('2.vize'!CZ62*100/'2.vize'!$I62,"")</f>
        <v/>
      </c>
      <c r="CP163" s="38" t="str">
        <f>IFERROR('2.vize'!DA62*100/'2.vize'!$I62,"")</f>
        <v/>
      </c>
      <c r="CQ163" s="38" t="str">
        <f>IFERROR('2.vize'!DB62*100/'2.vize'!$I62,"")</f>
        <v/>
      </c>
      <c r="CR163" s="38" t="str">
        <f>IFERROR('2.vize'!DC62*100/'2.vize'!$I62,"")</f>
        <v/>
      </c>
      <c r="CS163" s="38" t="str">
        <f>IFERROR('2.vize'!DD62*100/'2.vize'!$I62,"")</f>
        <v/>
      </c>
      <c r="CT163" s="38" t="str">
        <f>IFERROR('2.vize'!DE62*100/'2.vize'!$I62,"")</f>
        <v/>
      </c>
      <c r="CU163" s="38" t="str">
        <f>IFERROR('2.vize'!DF62*100/'2.vize'!$I62,"")</f>
        <v/>
      </c>
      <c r="CV163" s="38" t="str">
        <f>IFERROR('2.vize'!DG62*100/'2.vize'!$I62,"")</f>
        <v/>
      </c>
      <c r="CW163" s="32" t="str">
        <f>IFERROR(SUM(A163:CV163)/'2.vize'!$DH$103,"")</f>
        <v/>
      </c>
      <c r="CX163" s="14" t="str">
        <f>IF(COUNTA('2.vize'!A62),'2.vize'!A62,"")</f>
        <v/>
      </c>
      <c r="CY163" s="14" t="str">
        <f>IF(COUNTA('2.vize'!B62),'2.vize'!B62,"")</f>
        <v/>
      </c>
      <c r="CZ163" s="14" t="str">
        <f>IF(COUNTA('2.vize'!C62),'2.vize'!C62,"")</f>
        <v/>
      </c>
      <c r="DA163" s="14" t="str">
        <f>IF(COUNTA('2.vize'!D62),'2.vize'!D62,"")</f>
        <v/>
      </c>
      <c r="DB163" s="14" t="str">
        <f>IF(COUNTA('2.vize'!E62),'2.vize'!E62,"")</f>
        <v/>
      </c>
      <c r="DC163" s="14" t="str">
        <f>IF(COUNTA('2.vize'!F62),'2.vize'!F62,"")</f>
        <v/>
      </c>
      <c r="DD163" s="14" t="str">
        <f>IF(COUNTA('2.vize'!G62),'2.vize'!G62,"")</f>
        <v/>
      </c>
      <c r="DE163" s="14" t="str">
        <f>IF(COUNTA('2.vize'!H62),'2.vize'!H62,"")</f>
        <v/>
      </c>
    </row>
    <row r="164" spans="1:109" x14ac:dyDescent="0.2">
      <c r="A164" s="38" t="str">
        <f>IFERROR('2.vize'!L63*100/'2.vize'!$I63,"")</f>
        <v/>
      </c>
      <c r="B164" s="38" t="str">
        <f>IFERROR('2.vize'!M63*100/'2.vize'!$I63,"")</f>
        <v/>
      </c>
      <c r="C164" s="38" t="str">
        <f>IFERROR('2.vize'!N63*100/'2.vize'!$I63,"")</f>
        <v/>
      </c>
      <c r="D164" s="38" t="str">
        <f>IFERROR('2.vize'!O63*100/'2.vize'!$I63,"")</f>
        <v/>
      </c>
      <c r="E164" s="38" t="str">
        <f>IFERROR('2.vize'!P63*100/'2.vize'!$I63,"")</f>
        <v/>
      </c>
      <c r="F164" s="38" t="str">
        <f>IFERROR('2.vize'!Q63*100/'2.vize'!$I63,"")</f>
        <v/>
      </c>
      <c r="G164" s="38" t="str">
        <f>IFERROR('2.vize'!R63*100/'2.vize'!$I63,"")</f>
        <v/>
      </c>
      <c r="H164" s="38" t="str">
        <f>IFERROR('2.vize'!S63*100/'2.vize'!$I63,"")</f>
        <v/>
      </c>
      <c r="I164" s="38" t="str">
        <f>IFERROR('2.vize'!T63*100/'2.vize'!$I63,"")</f>
        <v/>
      </c>
      <c r="J164" s="38" t="str">
        <f>IFERROR('2.vize'!U63*100/'2.vize'!$I63,"")</f>
        <v/>
      </c>
      <c r="K164" s="38" t="str">
        <f>IFERROR('2.vize'!V63*100/'2.vize'!$I63,"")</f>
        <v/>
      </c>
      <c r="L164" s="38" t="str">
        <f>IFERROR('2.vize'!W63*100/'2.vize'!$I63,"")</f>
        <v/>
      </c>
      <c r="M164" s="38" t="str">
        <f>IFERROR('2.vize'!X63*100/'2.vize'!$I63,"")</f>
        <v/>
      </c>
      <c r="N164" s="38" t="str">
        <f>IFERROR('2.vize'!Y63*100/'2.vize'!$I63,"")</f>
        <v/>
      </c>
      <c r="O164" s="38" t="str">
        <f>IFERROR('2.vize'!Z63*100/'2.vize'!$I63,"")</f>
        <v/>
      </c>
      <c r="P164" s="38" t="str">
        <f>IFERROR('2.vize'!AA63*100/'2.vize'!$I63,"")</f>
        <v/>
      </c>
      <c r="Q164" s="38" t="str">
        <f>IFERROR('2.vize'!AB63*100/'2.vize'!$I63,"")</f>
        <v/>
      </c>
      <c r="R164" s="38" t="str">
        <f>IFERROR('2.vize'!AC63*100/'2.vize'!$I63,"")</f>
        <v/>
      </c>
      <c r="S164" s="38" t="str">
        <f>IFERROR('2.vize'!AD63*100/'2.vize'!$I63,"")</f>
        <v/>
      </c>
      <c r="T164" s="38" t="str">
        <f>IFERROR('2.vize'!AE63*100/'2.vize'!$I63,"")</f>
        <v/>
      </c>
      <c r="U164" s="38" t="str">
        <f>IFERROR('2.vize'!AF63*100/'2.vize'!$I63,"")</f>
        <v/>
      </c>
      <c r="V164" s="38" t="str">
        <f>IFERROR('2.vize'!AG63*100/'2.vize'!$I63,"")</f>
        <v/>
      </c>
      <c r="W164" s="38" t="str">
        <f>IFERROR('2.vize'!AH63*100/'2.vize'!$I63,"")</f>
        <v/>
      </c>
      <c r="X164" s="38" t="str">
        <f>IFERROR('2.vize'!AI63*100/'2.vize'!$I63,"")</f>
        <v/>
      </c>
      <c r="Y164" s="38" t="str">
        <f>IFERROR('2.vize'!AJ63*100/'2.vize'!$I63,"")</f>
        <v/>
      </c>
      <c r="Z164" s="38" t="str">
        <f>IFERROR('2.vize'!AK63*100/'2.vize'!$I63,"")</f>
        <v/>
      </c>
      <c r="AA164" s="38" t="str">
        <f>IFERROR('2.vize'!AL63*100/'2.vize'!$I63,"")</f>
        <v/>
      </c>
      <c r="AB164" s="38" t="str">
        <f>IFERROR('2.vize'!AM63*100/'2.vize'!$I63,"")</f>
        <v/>
      </c>
      <c r="AC164" s="38" t="str">
        <f>IFERROR('2.vize'!AN63*100/'2.vize'!$I63,"")</f>
        <v/>
      </c>
      <c r="AD164" s="38" t="str">
        <f>IFERROR('2.vize'!AO63*100/'2.vize'!$I63,"")</f>
        <v/>
      </c>
      <c r="AE164" s="38" t="str">
        <f>IFERROR('2.vize'!AP63*100/'2.vize'!$I63,"")</f>
        <v/>
      </c>
      <c r="AF164" s="38" t="str">
        <f>IFERROR('2.vize'!AQ63*100/'2.vize'!$I63,"")</f>
        <v/>
      </c>
      <c r="AG164" s="38" t="str">
        <f>IFERROR('2.vize'!AR63*100/'2.vize'!$I63,"")</f>
        <v/>
      </c>
      <c r="AH164" s="38" t="str">
        <f>IFERROR('2.vize'!AS63*100/'2.vize'!$I63,"")</f>
        <v/>
      </c>
      <c r="AI164" s="38" t="str">
        <f>IFERROR('2.vize'!AT63*100/'2.vize'!$I63,"")</f>
        <v/>
      </c>
      <c r="AJ164" s="38" t="str">
        <f>IFERROR('2.vize'!AU63*100/'2.vize'!$I63,"")</f>
        <v/>
      </c>
      <c r="AK164" s="38" t="str">
        <f>IFERROR('2.vize'!AV63*100/'2.vize'!$I63,"")</f>
        <v/>
      </c>
      <c r="AL164" s="38" t="str">
        <f>IFERROR('2.vize'!AW63*100/'2.vize'!$I63,"")</f>
        <v/>
      </c>
      <c r="AM164" s="38" t="str">
        <f>IFERROR('2.vize'!AX63*100/'2.vize'!$I63,"")</f>
        <v/>
      </c>
      <c r="AN164" s="38" t="str">
        <f>IFERROR('2.vize'!AY63*100/'2.vize'!$I63,"")</f>
        <v/>
      </c>
      <c r="AO164" s="38" t="str">
        <f>IFERROR('2.vize'!AZ63*100/'2.vize'!$I63,"")</f>
        <v/>
      </c>
      <c r="AP164" s="38" t="str">
        <f>IFERROR('2.vize'!BA63*100/'2.vize'!$I63,"")</f>
        <v/>
      </c>
      <c r="AQ164" s="38" t="str">
        <f>IFERROR('2.vize'!BB63*100/'2.vize'!$I63,"")</f>
        <v/>
      </c>
      <c r="AR164" s="38" t="str">
        <f>IFERROR('2.vize'!BC63*100/'2.vize'!$I63,"")</f>
        <v/>
      </c>
      <c r="AS164" s="38" t="str">
        <f>IFERROR('2.vize'!BD63*100/'2.vize'!$I63,"")</f>
        <v/>
      </c>
      <c r="AT164" s="38" t="str">
        <f>IFERROR('2.vize'!BE63*100/'2.vize'!$I63,"")</f>
        <v/>
      </c>
      <c r="AU164" s="38" t="str">
        <f>IFERROR('2.vize'!BF63*100/'2.vize'!$I63,"")</f>
        <v/>
      </c>
      <c r="AV164" s="38" t="str">
        <f>IFERROR('2.vize'!BG63*100/'2.vize'!$I63,"")</f>
        <v/>
      </c>
      <c r="AW164" s="38" t="str">
        <f>IFERROR('2.vize'!BH63*100/'2.vize'!$I63,"")</f>
        <v/>
      </c>
      <c r="AX164" s="38" t="str">
        <f>IFERROR('2.vize'!BI63*100/'2.vize'!$I63,"")</f>
        <v/>
      </c>
      <c r="AY164" s="38" t="str">
        <f>IFERROR('2.vize'!BJ63*100/'2.vize'!$I63,"")</f>
        <v/>
      </c>
      <c r="AZ164" s="38" t="str">
        <f>IFERROR('2.vize'!BK63*100/'2.vize'!$I63,"")</f>
        <v/>
      </c>
      <c r="BA164" s="38" t="str">
        <f>IFERROR('2.vize'!BL63*100/'2.vize'!$I63,"")</f>
        <v/>
      </c>
      <c r="BB164" s="38" t="str">
        <f>IFERROR('2.vize'!BM63*100/'2.vize'!$I63,"")</f>
        <v/>
      </c>
      <c r="BC164" s="38" t="str">
        <f>IFERROR('2.vize'!BN63*100/'2.vize'!$I63,"")</f>
        <v/>
      </c>
      <c r="BD164" s="38" t="str">
        <f>IFERROR('2.vize'!BO63*100/'2.vize'!$I63,"")</f>
        <v/>
      </c>
      <c r="BE164" s="38" t="str">
        <f>IFERROR('2.vize'!BP63*100/'2.vize'!$I63,"")</f>
        <v/>
      </c>
      <c r="BF164" s="38" t="str">
        <f>IFERROR('2.vize'!BQ63*100/'2.vize'!$I63,"")</f>
        <v/>
      </c>
      <c r="BG164" s="38" t="str">
        <f>IFERROR('2.vize'!BR63*100/'2.vize'!$I63,"")</f>
        <v/>
      </c>
      <c r="BH164" s="38" t="str">
        <f>IFERROR('2.vize'!BS63*100/'2.vize'!$I63,"")</f>
        <v/>
      </c>
      <c r="BI164" s="38" t="str">
        <f>IFERROR('2.vize'!BT63*100/'2.vize'!$I63,"")</f>
        <v/>
      </c>
      <c r="BJ164" s="38" t="str">
        <f>IFERROR('2.vize'!BU63*100/'2.vize'!$I63,"")</f>
        <v/>
      </c>
      <c r="BK164" s="38" t="str">
        <f>IFERROR('2.vize'!BV63*100/'2.vize'!$I63,"")</f>
        <v/>
      </c>
      <c r="BL164" s="38" t="str">
        <f>IFERROR('2.vize'!BW63*100/'2.vize'!$I63,"")</f>
        <v/>
      </c>
      <c r="BM164" s="38" t="str">
        <f>IFERROR('2.vize'!BX63*100/'2.vize'!$I63,"")</f>
        <v/>
      </c>
      <c r="BN164" s="38" t="str">
        <f>IFERROR('2.vize'!BY63*100/'2.vize'!$I63,"")</f>
        <v/>
      </c>
      <c r="BO164" s="38" t="str">
        <f>IFERROR('2.vize'!BZ63*100/'2.vize'!$I63,"")</f>
        <v/>
      </c>
      <c r="BP164" s="38" t="str">
        <f>IFERROR('2.vize'!CA63*100/'2.vize'!$I63,"")</f>
        <v/>
      </c>
      <c r="BQ164" s="38" t="str">
        <f>IFERROR('2.vize'!CB63*100/'2.vize'!$I63,"")</f>
        <v/>
      </c>
      <c r="BR164" s="38" t="str">
        <f>IFERROR('2.vize'!CC63*100/'2.vize'!$I63,"")</f>
        <v/>
      </c>
      <c r="BS164" s="38" t="str">
        <f>IFERROR('2.vize'!CD63*100/'2.vize'!$I63,"")</f>
        <v/>
      </c>
      <c r="BT164" s="38" t="str">
        <f>IFERROR('2.vize'!CE63*100/'2.vize'!$I63,"")</f>
        <v/>
      </c>
      <c r="BU164" s="38" t="str">
        <f>IFERROR('2.vize'!CF63*100/'2.vize'!$I63,"")</f>
        <v/>
      </c>
      <c r="BV164" s="38" t="str">
        <f>IFERROR('2.vize'!CG63*100/'2.vize'!$I63,"")</f>
        <v/>
      </c>
      <c r="BW164" s="38" t="str">
        <f>IFERROR('2.vize'!CH63*100/'2.vize'!$I63,"")</f>
        <v/>
      </c>
      <c r="BX164" s="38" t="str">
        <f>IFERROR('2.vize'!CI63*100/'2.vize'!$I63,"")</f>
        <v/>
      </c>
      <c r="BY164" s="38" t="str">
        <f>IFERROR('2.vize'!CJ63*100/'2.vize'!$I63,"")</f>
        <v/>
      </c>
      <c r="BZ164" s="38" t="str">
        <f>IFERROR('2.vize'!CK63*100/'2.vize'!$I63,"")</f>
        <v/>
      </c>
      <c r="CA164" s="38" t="str">
        <f>IFERROR('2.vize'!CL63*100/'2.vize'!$I63,"")</f>
        <v/>
      </c>
      <c r="CB164" s="38" t="str">
        <f>IFERROR('2.vize'!CM63*100/'2.vize'!$I63,"")</f>
        <v/>
      </c>
      <c r="CC164" s="38" t="str">
        <f>IFERROR('2.vize'!CN63*100/'2.vize'!$I63,"")</f>
        <v/>
      </c>
      <c r="CD164" s="38" t="str">
        <f>IFERROR('2.vize'!CO63*100/'2.vize'!$I63,"")</f>
        <v/>
      </c>
      <c r="CE164" s="38" t="str">
        <f>IFERROR('2.vize'!CP63*100/'2.vize'!$I63,"")</f>
        <v/>
      </c>
      <c r="CF164" s="38" t="str">
        <f>IFERROR('2.vize'!CQ63*100/'2.vize'!$I63,"")</f>
        <v/>
      </c>
      <c r="CG164" s="38" t="str">
        <f>IFERROR('2.vize'!CR63*100/'2.vize'!$I63,"")</f>
        <v/>
      </c>
      <c r="CH164" s="38" t="str">
        <f>IFERROR('2.vize'!CS63*100/'2.vize'!$I63,"")</f>
        <v/>
      </c>
      <c r="CI164" s="38" t="str">
        <f>IFERROR('2.vize'!CT63*100/'2.vize'!$I63,"")</f>
        <v/>
      </c>
      <c r="CJ164" s="38" t="str">
        <f>IFERROR('2.vize'!CU63*100/'2.vize'!$I63,"")</f>
        <v/>
      </c>
      <c r="CK164" s="38" t="str">
        <f>IFERROR('2.vize'!CV63*100/'2.vize'!$I63,"")</f>
        <v/>
      </c>
      <c r="CL164" s="38" t="str">
        <f>IFERROR('2.vize'!CW63*100/'2.vize'!$I63,"")</f>
        <v/>
      </c>
      <c r="CM164" s="38" t="str">
        <f>IFERROR('2.vize'!CX63*100/'2.vize'!$I63,"")</f>
        <v/>
      </c>
      <c r="CN164" s="38" t="str">
        <f>IFERROR('2.vize'!CY63*100/'2.vize'!$I63,"")</f>
        <v/>
      </c>
      <c r="CO164" s="38" t="str">
        <f>IFERROR('2.vize'!CZ63*100/'2.vize'!$I63,"")</f>
        <v/>
      </c>
      <c r="CP164" s="38" t="str">
        <f>IFERROR('2.vize'!DA63*100/'2.vize'!$I63,"")</f>
        <v/>
      </c>
      <c r="CQ164" s="38" t="str">
        <f>IFERROR('2.vize'!DB63*100/'2.vize'!$I63,"")</f>
        <v/>
      </c>
      <c r="CR164" s="38" t="str">
        <f>IFERROR('2.vize'!DC63*100/'2.vize'!$I63,"")</f>
        <v/>
      </c>
      <c r="CS164" s="38" t="str">
        <f>IFERROR('2.vize'!DD63*100/'2.vize'!$I63,"")</f>
        <v/>
      </c>
      <c r="CT164" s="38" t="str">
        <f>IFERROR('2.vize'!DE63*100/'2.vize'!$I63,"")</f>
        <v/>
      </c>
      <c r="CU164" s="38" t="str">
        <f>IFERROR('2.vize'!DF63*100/'2.vize'!$I63,"")</f>
        <v/>
      </c>
      <c r="CV164" s="38" t="str">
        <f>IFERROR('2.vize'!DG63*100/'2.vize'!$I63,"")</f>
        <v/>
      </c>
      <c r="CW164" s="32" t="str">
        <f>IFERROR(SUM(A164:CV164)/'2.vize'!$DH$103,"")</f>
        <v/>
      </c>
      <c r="CX164" s="14" t="str">
        <f>IF(COUNTA('2.vize'!A63),'2.vize'!A63,"")</f>
        <v/>
      </c>
      <c r="CY164" s="14" t="str">
        <f>IF(COUNTA('2.vize'!B63),'2.vize'!B63,"")</f>
        <v/>
      </c>
      <c r="CZ164" s="14" t="str">
        <f>IF(COUNTA('2.vize'!C63),'2.vize'!C63,"")</f>
        <v/>
      </c>
      <c r="DA164" s="14" t="str">
        <f>IF(COUNTA('2.vize'!D63),'2.vize'!D63,"")</f>
        <v/>
      </c>
      <c r="DB164" s="14" t="str">
        <f>IF(COUNTA('2.vize'!E63),'2.vize'!E63,"")</f>
        <v/>
      </c>
      <c r="DC164" s="14" t="str">
        <f>IF(COUNTA('2.vize'!F63),'2.vize'!F63,"")</f>
        <v/>
      </c>
      <c r="DD164" s="14" t="str">
        <f>IF(COUNTA('2.vize'!G63),'2.vize'!G63,"")</f>
        <v/>
      </c>
      <c r="DE164" s="14" t="str">
        <f>IF(COUNTA('2.vize'!H63),'2.vize'!H63,"")</f>
        <v/>
      </c>
    </row>
    <row r="165" spans="1:109" x14ac:dyDescent="0.2">
      <c r="A165" s="38" t="str">
        <f>IFERROR('2.vize'!L64*100/'2.vize'!$I64,"")</f>
        <v/>
      </c>
      <c r="B165" s="38" t="str">
        <f>IFERROR('2.vize'!M64*100/'2.vize'!$I64,"")</f>
        <v/>
      </c>
      <c r="C165" s="38" t="str">
        <f>IFERROR('2.vize'!N64*100/'2.vize'!$I64,"")</f>
        <v/>
      </c>
      <c r="D165" s="38" t="str">
        <f>IFERROR('2.vize'!O64*100/'2.vize'!$I64,"")</f>
        <v/>
      </c>
      <c r="E165" s="38" t="str">
        <f>IFERROR('2.vize'!P64*100/'2.vize'!$I64,"")</f>
        <v/>
      </c>
      <c r="F165" s="38" t="str">
        <f>IFERROR('2.vize'!Q64*100/'2.vize'!$I64,"")</f>
        <v/>
      </c>
      <c r="G165" s="38" t="str">
        <f>IFERROR('2.vize'!R64*100/'2.vize'!$I64,"")</f>
        <v/>
      </c>
      <c r="H165" s="38" t="str">
        <f>IFERROR('2.vize'!S64*100/'2.vize'!$I64,"")</f>
        <v/>
      </c>
      <c r="I165" s="38" t="str">
        <f>IFERROR('2.vize'!T64*100/'2.vize'!$I64,"")</f>
        <v/>
      </c>
      <c r="J165" s="38" t="str">
        <f>IFERROR('2.vize'!U64*100/'2.vize'!$I64,"")</f>
        <v/>
      </c>
      <c r="K165" s="38" t="str">
        <f>IFERROR('2.vize'!V64*100/'2.vize'!$I64,"")</f>
        <v/>
      </c>
      <c r="L165" s="38" t="str">
        <f>IFERROR('2.vize'!W64*100/'2.vize'!$I64,"")</f>
        <v/>
      </c>
      <c r="M165" s="38" t="str">
        <f>IFERROR('2.vize'!X64*100/'2.vize'!$I64,"")</f>
        <v/>
      </c>
      <c r="N165" s="38" t="str">
        <f>IFERROR('2.vize'!Y64*100/'2.vize'!$I64,"")</f>
        <v/>
      </c>
      <c r="O165" s="38" t="str">
        <f>IFERROR('2.vize'!Z64*100/'2.vize'!$I64,"")</f>
        <v/>
      </c>
      <c r="P165" s="38" t="str">
        <f>IFERROR('2.vize'!AA64*100/'2.vize'!$I64,"")</f>
        <v/>
      </c>
      <c r="Q165" s="38" t="str">
        <f>IFERROR('2.vize'!AB64*100/'2.vize'!$I64,"")</f>
        <v/>
      </c>
      <c r="R165" s="38" t="str">
        <f>IFERROR('2.vize'!AC64*100/'2.vize'!$I64,"")</f>
        <v/>
      </c>
      <c r="S165" s="38" t="str">
        <f>IFERROR('2.vize'!AD64*100/'2.vize'!$I64,"")</f>
        <v/>
      </c>
      <c r="T165" s="38" t="str">
        <f>IFERROR('2.vize'!AE64*100/'2.vize'!$I64,"")</f>
        <v/>
      </c>
      <c r="U165" s="38" t="str">
        <f>IFERROR('2.vize'!AF64*100/'2.vize'!$I64,"")</f>
        <v/>
      </c>
      <c r="V165" s="38" t="str">
        <f>IFERROR('2.vize'!AG64*100/'2.vize'!$I64,"")</f>
        <v/>
      </c>
      <c r="W165" s="38" t="str">
        <f>IFERROR('2.vize'!AH64*100/'2.vize'!$I64,"")</f>
        <v/>
      </c>
      <c r="X165" s="38" t="str">
        <f>IFERROR('2.vize'!AI64*100/'2.vize'!$I64,"")</f>
        <v/>
      </c>
      <c r="Y165" s="38" t="str">
        <f>IFERROR('2.vize'!AJ64*100/'2.vize'!$I64,"")</f>
        <v/>
      </c>
      <c r="Z165" s="38" t="str">
        <f>IFERROR('2.vize'!AK64*100/'2.vize'!$I64,"")</f>
        <v/>
      </c>
      <c r="AA165" s="38" t="str">
        <f>IFERROR('2.vize'!AL64*100/'2.vize'!$I64,"")</f>
        <v/>
      </c>
      <c r="AB165" s="38" t="str">
        <f>IFERROR('2.vize'!AM64*100/'2.vize'!$I64,"")</f>
        <v/>
      </c>
      <c r="AC165" s="38" t="str">
        <f>IFERROR('2.vize'!AN64*100/'2.vize'!$I64,"")</f>
        <v/>
      </c>
      <c r="AD165" s="38" t="str">
        <f>IFERROR('2.vize'!AO64*100/'2.vize'!$I64,"")</f>
        <v/>
      </c>
      <c r="AE165" s="38" t="str">
        <f>IFERROR('2.vize'!AP64*100/'2.vize'!$I64,"")</f>
        <v/>
      </c>
      <c r="AF165" s="38" t="str">
        <f>IFERROR('2.vize'!AQ64*100/'2.vize'!$I64,"")</f>
        <v/>
      </c>
      <c r="AG165" s="38" t="str">
        <f>IFERROR('2.vize'!AR64*100/'2.vize'!$I64,"")</f>
        <v/>
      </c>
      <c r="AH165" s="38" t="str">
        <f>IFERROR('2.vize'!AS64*100/'2.vize'!$I64,"")</f>
        <v/>
      </c>
      <c r="AI165" s="38" t="str">
        <f>IFERROR('2.vize'!AT64*100/'2.vize'!$I64,"")</f>
        <v/>
      </c>
      <c r="AJ165" s="38" t="str">
        <f>IFERROR('2.vize'!AU64*100/'2.vize'!$I64,"")</f>
        <v/>
      </c>
      <c r="AK165" s="38" t="str">
        <f>IFERROR('2.vize'!AV64*100/'2.vize'!$I64,"")</f>
        <v/>
      </c>
      <c r="AL165" s="38" t="str">
        <f>IFERROR('2.vize'!AW64*100/'2.vize'!$I64,"")</f>
        <v/>
      </c>
      <c r="AM165" s="38" t="str">
        <f>IFERROR('2.vize'!AX64*100/'2.vize'!$I64,"")</f>
        <v/>
      </c>
      <c r="AN165" s="38" t="str">
        <f>IFERROR('2.vize'!AY64*100/'2.vize'!$I64,"")</f>
        <v/>
      </c>
      <c r="AO165" s="38" t="str">
        <f>IFERROR('2.vize'!AZ64*100/'2.vize'!$I64,"")</f>
        <v/>
      </c>
      <c r="AP165" s="38" t="str">
        <f>IFERROR('2.vize'!BA64*100/'2.vize'!$I64,"")</f>
        <v/>
      </c>
      <c r="AQ165" s="38" t="str">
        <f>IFERROR('2.vize'!BB64*100/'2.vize'!$I64,"")</f>
        <v/>
      </c>
      <c r="AR165" s="38" t="str">
        <f>IFERROR('2.vize'!BC64*100/'2.vize'!$I64,"")</f>
        <v/>
      </c>
      <c r="AS165" s="38" t="str">
        <f>IFERROR('2.vize'!BD64*100/'2.vize'!$I64,"")</f>
        <v/>
      </c>
      <c r="AT165" s="38" t="str">
        <f>IFERROR('2.vize'!BE64*100/'2.vize'!$I64,"")</f>
        <v/>
      </c>
      <c r="AU165" s="38" t="str">
        <f>IFERROR('2.vize'!BF64*100/'2.vize'!$I64,"")</f>
        <v/>
      </c>
      <c r="AV165" s="38" t="str">
        <f>IFERROR('2.vize'!BG64*100/'2.vize'!$I64,"")</f>
        <v/>
      </c>
      <c r="AW165" s="38" t="str">
        <f>IFERROR('2.vize'!BH64*100/'2.vize'!$I64,"")</f>
        <v/>
      </c>
      <c r="AX165" s="38" t="str">
        <f>IFERROR('2.vize'!BI64*100/'2.vize'!$I64,"")</f>
        <v/>
      </c>
      <c r="AY165" s="38" t="str">
        <f>IFERROR('2.vize'!BJ64*100/'2.vize'!$I64,"")</f>
        <v/>
      </c>
      <c r="AZ165" s="38" t="str">
        <f>IFERROR('2.vize'!BK64*100/'2.vize'!$I64,"")</f>
        <v/>
      </c>
      <c r="BA165" s="38" t="str">
        <f>IFERROR('2.vize'!BL64*100/'2.vize'!$I64,"")</f>
        <v/>
      </c>
      <c r="BB165" s="38" t="str">
        <f>IFERROR('2.vize'!BM64*100/'2.vize'!$I64,"")</f>
        <v/>
      </c>
      <c r="BC165" s="38" t="str">
        <f>IFERROR('2.vize'!BN64*100/'2.vize'!$I64,"")</f>
        <v/>
      </c>
      <c r="BD165" s="38" t="str">
        <f>IFERROR('2.vize'!BO64*100/'2.vize'!$I64,"")</f>
        <v/>
      </c>
      <c r="BE165" s="38" t="str">
        <f>IFERROR('2.vize'!BP64*100/'2.vize'!$I64,"")</f>
        <v/>
      </c>
      <c r="BF165" s="38" t="str">
        <f>IFERROR('2.vize'!BQ64*100/'2.vize'!$I64,"")</f>
        <v/>
      </c>
      <c r="BG165" s="38" t="str">
        <f>IFERROR('2.vize'!BR64*100/'2.vize'!$I64,"")</f>
        <v/>
      </c>
      <c r="BH165" s="38" t="str">
        <f>IFERROR('2.vize'!BS64*100/'2.vize'!$I64,"")</f>
        <v/>
      </c>
      <c r="BI165" s="38" t="str">
        <f>IFERROR('2.vize'!BT64*100/'2.vize'!$I64,"")</f>
        <v/>
      </c>
      <c r="BJ165" s="38" t="str">
        <f>IFERROR('2.vize'!BU64*100/'2.vize'!$I64,"")</f>
        <v/>
      </c>
      <c r="BK165" s="38" t="str">
        <f>IFERROR('2.vize'!BV64*100/'2.vize'!$I64,"")</f>
        <v/>
      </c>
      <c r="BL165" s="38" t="str">
        <f>IFERROR('2.vize'!BW64*100/'2.vize'!$I64,"")</f>
        <v/>
      </c>
      <c r="BM165" s="38" t="str">
        <f>IFERROR('2.vize'!BX64*100/'2.vize'!$I64,"")</f>
        <v/>
      </c>
      <c r="BN165" s="38" t="str">
        <f>IFERROR('2.vize'!BY64*100/'2.vize'!$I64,"")</f>
        <v/>
      </c>
      <c r="BO165" s="38" t="str">
        <f>IFERROR('2.vize'!BZ64*100/'2.vize'!$I64,"")</f>
        <v/>
      </c>
      <c r="BP165" s="38" t="str">
        <f>IFERROR('2.vize'!CA64*100/'2.vize'!$I64,"")</f>
        <v/>
      </c>
      <c r="BQ165" s="38" t="str">
        <f>IFERROR('2.vize'!CB64*100/'2.vize'!$I64,"")</f>
        <v/>
      </c>
      <c r="BR165" s="38" t="str">
        <f>IFERROR('2.vize'!CC64*100/'2.vize'!$I64,"")</f>
        <v/>
      </c>
      <c r="BS165" s="38" t="str">
        <f>IFERROR('2.vize'!CD64*100/'2.vize'!$I64,"")</f>
        <v/>
      </c>
      <c r="BT165" s="38" t="str">
        <f>IFERROR('2.vize'!CE64*100/'2.vize'!$I64,"")</f>
        <v/>
      </c>
      <c r="BU165" s="38" t="str">
        <f>IFERROR('2.vize'!CF64*100/'2.vize'!$I64,"")</f>
        <v/>
      </c>
      <c r="BV165" s="38" t="str">
        <f>IFERROR('2.vize'!CG64*100/'2.vize'!$I64,"")</f>
        <v/>
      </c>
      <c r="BW165" s="38" t="str">
        <f>IFERROR('2.vize'!CH64*100/'2.vize'!$I64,"")</f>
        <v/>
      </c>
      <c r="BX165" s="38" t="str">
        <f>IFERROR('2.vize'!CI64*100/'2.vize'!$I64,"")</f>
        <v/>
      </c>
      <c r="BY165" s="38" t="str">
        <f>IFERROR('2.vize'!CJ64*100/'2.vize'!$I64,"")</f>
        <v/>
      </c>
      <c r="BZ165" s="38" t="str">
        <f>IFERROR('2.vize'!CK64*100/'2.vize'!$I64,"")</f>
        <v/>
      </c>
      <c r="CA165" s="38" t="str">
        <f>IFERROR('2.vize'!CL64*100/'2.vize'!$I64,"")</f>
        <v/>
      </c>
      <c r="CB165" s="38" t="str">
        <f>IFERROR('2.vize'!CM64*100/'2.vize'!$I64,"")</f>
        <v/>
      </c>
      <c r="CC165" s="38" t="str">
        <f>IFERROR('2.vize'!CN64*100/'2.vize'!$I64,"")</f>
        <v/>
      </c>
      <c r="CD165" s="38" t="str">
        <f>IFERROR('2.vize'!CO64*100/'2.vize'!$I64,"")</f>
        <v/>
      </c>
      <c r="CE165" s="38" t="str">
        <f>IFERROR('2.vize'!CP64*100/'2.vize'!$I64,"")</f>
        <v/>
      </c>
      <c r="CF165" s="38" t="str">
        <f>IFERROR('2.vize'!CQ64*100/'2.vize'!$I64,"")</f>
        <v/>
      </c>
      <c r="CG165" s="38" t="str">
        <f>IFERROR('2.vize'!CR64*100/'2.vize'!$I64,"")</f>
        <v/>
      </c>
      <c r="CH165" s="38" t="str">
        <f>IFERROR('2.vize'!CS64*100/'2.vize'!$I64,"")</f>
        <v/>
      </c>
      <c r="CI165" s="38" t="str">
        <f>IFERROR('2.vize'!CT64*100/'2.vize'!$I64,"")</f>
        <v/>
      </c>
      <c r="CJ165" s="38" t="str">
        <f>IFERROR('2.vize'!CU64*100/'2.vize'!$I64,"")</f>
        <v/>
      </c>
      <c r="CK165" s="38" t="str">
        <f>IFERROR('2.vize'!CV64*100/'2.vize'!$I64,"")</f>
        <v/>
      </c>
      <c r="CL165" s="38" t="str">
        <f>IFERROR('2.vize'!CW64*100/'2.vize'!$I64,"")</f>
        <v/>
      </c>
      <c r="CM165" s="38" t="str">
        <f>IFERROR('2.vize'!CX64*100/'2.vize'!$I64,"")</f>
        <v/>
      </c>
      <c r="CN165" s="38" t="str">
        <f>IFERROR('2.vize'!CY64*100/'2.vize'!$I64,"")</f>
        <v/>
      </c>
      <c r="CO165" s="38" t="str">
        <f>IFERROR('2.vize'!CZ64*100/'2.vize'!$I64,"")</f>
        <v/>
      </c>
      <c r="CP165" s="38" t="str">
        <f>IFERROR('2.vize'!DA64*100/'2.vize'!$I64,"")</f>
        <v/>
      </c>
      <c r="CQ165" s="38" t="str">
        <f>IFERROR('2.vize'!DB64*100/'2.vize'!$I64,"")</f>
        <v/>
      </c>
      <c r="CR165" s="38" t="str">
        <f>IFERROR('2.vize'!DC64*100/'2.vize'!$I64,"")</f>
        <v/>
      </c>
      <c r="CS165" s="38" t="str">
        <f>IFERROR('2.vize'!DD64*100/'2.vize'!$I64,"")</f>
        <v/>
      </c>
      <c r="CT165" s="38" t="str">
        <f>IFERROR('2.vize'!DE64*100/'2.vize'!$I64,"")</f>
        <v/>
      </c>
      <c r="CU165" s="38" t="str">
        <f>IFERROR('2.vize'!DF64*100/'2.vize'!$I64,"")</f>
        <v/>
      </c>
      <c r="CV165" s="38" t="str">
        <f>IFERROR('2.vize'!DG64*100/'2.vize'!$I64,"")</f>
        <v/>
      </c>
      <c r="CW165" s="32" t="str">
        <f>IFERROR(SUM(A165:CV165)/'2.vize'!$DH$103,"")</f>
        <v/>
      </c>
      <c r="CX165" s="14" t="str">
        <f>IF(COUNTA('2.vize'!A64),'2.vize'!A64,"")</f>
        <v/>
      </c>
      <c r="CY165" s="14" t="str">
        <f>IF(COUNTA('2.vize'!B64),'2.vize'!B64,"")</f>
        <v/>
      </c>
      <c r="CZ165" s="14" t="str">
        <f>IF(COUNTA('2.vize'!C64),'2.vize'!C64,"")</f>
        <v/>
      </c>
      <c r="DA165" s="14" t="str">
        <f>IF(COUNTA('2.vize'!D64),'2.vize'!D64,"")</f>
        <v/>
      </c>
      <c r="DB165" s="14" t="str">
        <f>IF(COUNTA('2.vize'!E64),'2.vize'!E64,"")</f>
        <v/>
      </c>
      <c r="DC165" s="14" t="str">
        <f>IF(COUNTA('2.vize'!F64),'2.vize'!F64,"")</f>
        <v/>
      </c>
      <c r="DD165" s="14" t="str">
        <f>IF(COUNTA('2.vize'!G64),'2.vize'!G64,"")</f>
        <v/>
      </c>
      <c r="DE165" s="14" t="str">
        <f>IF(COUNTA('2.vize'!H64),'2.vize'!H64,"")</f>
        <v/>
      </c>
    </row>
    <row r="166" spans="1:109" x14ac:dyDescent="0.2">
      <c r="A166" s="38" t="str">
        <f>IFERROR('2.vize'!L65*100/'2.vize'!$I65,"")</f>
        <v/>
      </c>
      <c r="B166" s="38" t="str">
        <f>IFERROR('2.vize'!M65*100/'2.vize'!$I65,"")</f>
        <v/>
      </c>
      <c r="C166" s="38" t="str">
        <f>IFERROR('2.vize'!N65*100/'2.vize'!$I65,"")</f>
        <v/>
      </c>
      <c r="D166" s="38" t="str">
        <f>IFERROR('2.vize'!O65*100/'2.vize'!$I65,"")</f>
        <v/>
      </c>
      <c r="E166" s="38" t="str">
        <f>IFERROR('2.vize'!P65*100/'2.vize'!$I65,"")</f>
        <v/>
      </c>
      <c r="F166" s="38" t="str">
        <f>IFERROR('2.vize'!Q65*100/'2.vize'!$I65,"")</f>
        <v/>
      </c>
      <c r="G166" s="38" t="str">
        <f>IFERROR('2.vize'!R65*100/'2.vize'!$I65,"")</f>
        <v/>
      </c>
      <c r="H166" s="38" t="str">
        <f>IFERROR('2.vize'!S65*100/'2.vize'!$I65,"")</f>
        <v/>
      </c>
      <c r="I166" s="38" t="str">
        <f>IFERROR('2.vize'!T65*100/'2.vize'!$I65,"")</f>
        <v/>
      </c>
      <c r="J166" s="38" t="str">
        <f>IFERROR('2.vize'!U65*100/'2.vize'!$I65,"")</f>
        <v/>
      </c>
      <c r="K166" s="38" t="str">
        <f>IFERROR('2.vize'!V65*100/'2.vize'!$I65,"")</f>
        <v/>
      </c>
      <c r="L166" s="38" t="str">
        <f>IFERROR('2.vize'!W65*100/'2.vize'!$I65,"")</f>
        <v/>
      </c>
      <c r="M166" s="38" t="str">
        <f>IFERROR('2.vize'!X65*100/'2.vize'!$I65,"")</f>
        <v/>
      </c>
      <c r="N166" s="38" t="str">
        <f>IFERROR('2.vize'!Y65*100/'2.vize'!$I65,"")</f>
        <v/>
      </c>
      <c r="O166" s="38" t="str">
        <f>IFERROR('2.vize'!Z65*100/'2.vize'!$I65,"")</f>
        <v/>
      </c>
      <c r="P166" s="38" t="str">
        <f>IFERROR('2.vize'!AA65*100/'2.vize'!$I65,"")</f>
        <v/>
      </c>
      <c r="Q166" s="38" t="str">
        <f>IFERROR('2.vize'!AB65*100/'2.vize'!$I65,"")</f>
        <v/>
      </c>
      <c r="R166" s="38" t="str">
        <f>IFERROR('2.vize'!AC65*100/'2.vize'!$I65,"")</f>
        <v/>
      </c>
      <c r="S166" s="38" t="str">
        <f>IFERROR('2.vize'!AD65*100/'2.vize'!$I65,"")</f>
        <v/>
      </c>
      <c r="T166" s="38" t="str">
        <f>IFERROR('2.vize'!AE65*100/'2.vize'!$I65,"")</f>
        <v/>
      </c>
      <c r="U166" s="38" t="str">
        <f>IFERROR('2.vize'!AF65*100/'2.vize'!$I65,"")</f>
        <v/>
      </c>
      <c r="V166" s="38" t="str">
        <f>IFERROR('2.vize'!AG65*100/'2.vize'!$I65,"")</f>
        <v/>
      </c>
      <c r="W166" s="38" t="str">
        <f>IFERROR('2.vize'!AH65*100/'2.vize'!$I65,"")</f>
        <v/>
      </c>
      <c r="X166" s="38" t="str">
        <f>IFERROR('2.vize'!AI65*100/'2.vize'!$I65,"")</f>
        <v/>
      </c>
      <c r="Y166" s="38" t="str">
        <f>IFERROR('2.vize'!AJ65*100/'2.vize'!$I65,"")</f>
        <v/>
      </c>
      <c r="Z166" s="38" t="str">
        <f>IFERROR('2.vize'!AK65*100/'2.vize'!$I65,"")</f>
        <v/>
      </c>
      <c r="AA166" s="38" t="str">
        <f>IFERROR('2.vize'!AL65*100/'2.vize'!$I65,"")</f>
        <v/>
      </c>
      <c r="AB166" s="38" t="str">
        <f>IFERROR('2.vize'!AM65*100/'2.vize'!$I65,"")</f>
        <v/>
      </c>
      <c r="AC166" s="38" t="str">
        <f>IFERROR('2.vize'!AN65*100/'2.vize'!$I65,"")</f>
        <v/>
      </c>
      <c r="AD166" s="38" t="str">
        <f>IFERROR('2.vize'!AO65*100/'2.vize'!$I65,"")</f>
        <v/>
      </c>
      <c r="AE166" s="38" t="str">
        <f>IFERROR('2.vize'!AP65*100/'2.vize'!$I65,"")</f>
        <v/>
      </c>
      <c r="AF166" s="38" t="str">
        <f>IFERROR('2.vize'!AQ65*100/'2.vize'!$I65,"")</f>
        <v/>
      </c>
      <c r="AG166" s="38" t="str">
        <f>IFERROR('2.vize'!AR65*100/'2.vize'!$I65,"")</f>
        <v/>
      </c>
      <c r="AH166" s="38" t="str">
        <f>IFERROR('2.vize'!AS65*100/'2.vize'!$I65,"")</f>
        <v/>
      </c>
      <c r="AI166" s="38" t="str">
        <f>IFERROR('2.vize'!AT65*100/'2.vize'!$I65,"")</f>
        <v/>
      </c>
      <c r="AJ166" s="38" t="str">
        <f>IFERROR('2.vize'!AU65*100/'2.vize'!$I65,"")</f>
        <v/>
      </c>
      <c r="AK166" s="38" t="str">
        <f>IFERROR('2.vize'!AV65*100/'2.vize'!$I65,"")</f>
        <v/>
      </c>
      <c r="AL166" s="38" t="str">
        <f>IFERROR('2.vize'!AW65*100/'2.vize'!$I65,"")</f>
        <v/>
      </c>
      <c r="AM166" s="38" t="str">
        <f>IFERROR('2.vize'!AX65*100/'2.vize'!$I65,"")</f>
        <v/>
      </c>
      <c r="AN166" s="38" t="str">
        <f>IFERROR('2.vize'!AY65*100/'2.vize'!$I65,"")</f>
        <v/>
      </c>
      <c r="AO166" s="38" t="str">
        <f>IFERROR('2.vize'!AZ65*100/'2.vize'!$I65,"")</f>
        <v/>
      </c>
      <c r="AP166" s="38" t="str">
        <f>IFERROR('2.vize'!BA65*100/'2.vize'!$I65,"")</f>
        <v/>
      </c>
      <c r="AQ166" s="38" t="str">
        <f>IFERROR('2.vize'!BB65*100/'2.vize'!$I65,"")</f>
        <v/>
      </c>
      <c r="AR166" s="38" t="str">
        <f>IFERROR('2.vize'!BC65*100/'2.vize'!$I65,"")</f>
        <v/>
      </c>
      <c r="AS166" s="38" t="str">
        <f>IFERROR('2.vize'!BD65*100/'2.vize'!$I65,"")</f>
        <v/>
      </c>
      <c r="AT166" s="38" t="str">
        <f>IFERROR('2.vize'!BE65*100/'2.vize'!$I65,"")</f>
        <v/>
      </c>
      <c r="AU166" s="38" t="str">
        <f>IFERROR('2.vize'!BF65*100/'2.vize'!$I65,"")</f>
        <v/>
      </c>
      <c r="AV166" s="38" t="str">
        <f>IFERROR('2.vize'!BG65*100/'2.vize'!$I65,"")</f>
        <v/>
      </c>
      <c r="AW166" s="38" t="str">
        <f>IFERROR('2.vize'!BH65*100/'2.vize'!$I65,"")</f>
        <v/>
      </c>
      <c r="AX166" s="38" t="str">
        <f>IFERROR('2.vize'!BI65*100/'2.vize'!$I65,"")</f>
        <v/>
      </c>
      <c r="AY166" s="38" t="str">
        <f>IFERROR('2.vize'!BJ65*100/'2.vize'!$I65,"")</f>
        <v/>
      </c>
      <c r="AZ166" s="38" t="str">
        <f>IFERROR('2.vize'!BK65*100/'2.vize'!$I65,"")</f>
        <v/>
      </c>
      <c r="BA166" s="38" t="str">
        <f>IFERROR('2.vize'!BL65*100/'2.vize'!$I65,"")</f>
        <v/>
      </c>
      <c r="BB166" s="38" t="str">
        <f>IFERROR('2.vize'!BM65*100/'2.vize'!$I65,"")</f>
        <v/>
      </c>
      <c r="BC166" s="38" t="str">
        <f>IFERROR('2.vize'!BN65*100/'2.vize'!$I65,"")</f>
        <v/>
      </c>
      <c r="BD166" s="38" t="str">
        <f>IFERROR('2.vize'!BO65*100/'2.vize'!$I65,"")</f>
        <v/>
      </c>
      <c r="BE166" s="38" t="str">
        <f>IFERROR('2.vize'!BP65*100/'2.vize'!$I65,"")</f>
        <v/>
      </c>
      <c r="BF166" s="38" t="str">
        <f>IFERROR('2.vize'!BQ65*100/'2.vize'!$I65,"")</f>
        <v/>
      </c>
      <c r="BG166" s="38" t="str">
        <f>IFERROR('2.vize'!BR65*100/'2.vize'!$I65,"")</f>
        <v/>
      </c>
      <c r="BH166" s="38" t="str">
        <f>IFERROR('2.vize'!BS65*100/'2.vize'!$I65,"")</f>
        <v/>
      </c>
      <c r="BI166" s="38" t="str">
        <f>IFERROR('2.vize'!BT65*100/'2.vize'!$I65,"")</f>
        <v/>
      </c>
      <c r="BJ166" s="38" t="str">
        <f>IFERROR('2.vize'!BU65*100/'2.vize'!$I65,"")</f>
        <v/>
      </c>
      <c r="BK166" s="38" t="str">
        <f>IFERROR('2.vize'!BV65*100/'2.vize'!$I65,"")</f>
        <v/>
      </c>
      <c r="BL166" s="38" t="str">
        <f>IFERROR('2.vize'!BW65*100/'2.vize'!$I65,"")</f>
        <v/>
      </c>
      <c r="BM166" s="38" t="str">
        <f>IFERROR('2.vize'!BX65*100/'2.vize'!$I65,"")</f>
        <v/>
      </c>
      <c r="BN166" s="38" t="str">
        <f>IFERROR('2.vize'!BY65*100/'2.vize'!$I65,"")</f>
        <v/>
      </c>
      <c r="BO166" s="38" t="str">
        <f>IFERROR('2.vize'!BZ65*100/'2.vize'!$I65,"")</f>
        <v/>
      </c>
      <c r="BP166" s="38" t="str">
        <f>IFERROR('2.vize'!CA65*100/'2.vize'!$I65,"")</f>
        <v/>
      </c>
      <c r="BQ166" s="38" t="str">
        <f>IFERROR('2.vize'!CB65*100/'2.vize'!$I65,"")</f>
        <v/>
      </c>
      <c r="BR166" s="38" t="str">
        <f>IFERROR('2.vize'!CC65*100/'2.vize'!$I65,"")</f>
        <v/>
      </c>
      <c r="BS166" s="38" t="str">
        <f>IFERROR('2.vize'!CD65*100/'2.vize'!$I65,"")</f>
        <v/>
      </c>
      <c r="BT166" s="38" t="str">
        <f>IFERROR('2.vize'!CE65*100/'2.vize'!$I65,"")</f>
        <v/>
      </c>
      <c r="BU166" s="38" t="str">
        <f>IFERROR('2.vize'!CF65*100/'2.vize'!$I65,"")</f>
        <v/>
      </c>
      <c r="BV166" s="38" t="str">
        <f>IFERROR('2.vize'!CG65*100/'2.vize'!$I65,"")</f>
        <v/>
      </c>
      <c r="BW166" s="38" t="str">
        <f>IFERROR('2.vize'!CH65*100/'2.vize'!$I65,"")</f>
        <v/>
      </c>
      <c r="BX166" s="38" t="str">
        <f>IFERROR('2.vize'!CI65*100/'2.vize'!$I65,"")</f>
        <v/>
      </c>
      <c r="BY166" s="38" t="str">
        <f>IFERROR('2.vize'!CJ65*100/'2.vize'!$I65,"")</f>
        <v/>
      </c>
      <c r="BZ166" s="38" t="str">
        <f>IFERROR('2.vize'!CK65*100/'2.vize'!$I65,"")</f>
        <v/>
      </c>
      <c r="CA166" s="38" t="str">
        <f>IFERROR('2.vize'!CL65*100/'2.vize'!$I65,"")</f>
        <v/>
      </c>
      <c r="CB166" s="38" t="str">
        <f>IFERROR('2.vize'!CM65*100/'2.vize'!$I65,"")</f>
        <v/>
      </c>
      <c r="CC166" s="38" t="str">
        <f>IFERROR('2.vize'!CN65*100/'2.vize'!$I65,"")</f>
        <v/>
      </c>
      <c r="CD166" s="38" t="str">
        <f>IFERROR('2.vize'!CO65*100/'2.vize'!$I65,"")</f>
        <v/>
      </c>
      <c r="CE166" s="38" t="str">
        <f>IFERROR('2.vize'!CP65*100/'2.vize'!$I65,"")</f>
        <v/>
      </c>
      <c r="CF166" s="38" t="str">
        <f>IFERROR('2.vize'!CQ65*100/'2.vize'!$I65,"")</f>
        <v/>
      </c>
      <c r="CG166" s="38" t="str">
        <f>IFERROR('2.vize'!CR65*100/'2.vize'!$I65,"")</f>
        <v/>
      </c>
      <c r="CH166" s="38" t="str">
        <f>IFERROR('2.vize'!CS65*100/'2.vize'!$I65,"")</f>
        <v/>
      </c>
      <c r="CI166" s="38" t="str">
        <f>IFERROR('2.vize'!CT65*100/'2.vize'!$I65,"")</f>
        <v/>
      </c>
      <c r="CJ166" s="38" t="str">
        <f>IFERROR('2.vize'!CU65*100/'2.vize'!$I65,"")</f>
        <v/>
      </c>
      <c r="CK166" s="38" t="str">
        <f>IFERROR('2.vize'!CV65*100/'2.vize'!$I65,"")</f>
        <v/>
      </c>
      <c r="CL166" s="38" t="str">
        <f>IFERROR('2.vize'!CW65*100/'2.vize'!$I65,"")</f>
        <v/>
      </c>
      <c r="CM166" s="38" t="str">
        <f>IFERROR('2.vize'!CX65*100/'2.vize'!$I65,"")</f>
        <v/>
      </c>
      <c r="CN166" s="38" t="str">
        <f>IFERROR('2.vize'!CY65*100/'2.vize'!$I65,"")</f>
        <v/>
      </c>
      <c r="CO166" s="38" t="str">
        <f>IFERROR('2.vize'!CZ65*100/'2.vize'!$I65,"")</f>
        <v/>
      </c>
      <c r="CP166" s="38" t="str">
        <f>IFERROR('2.vize'!DA65*100/'2.vize'!$I65,"")</f>
        <v/>
      </c>
      <c r="CQ166" s="38" t="str">
        <f>IFERROR('2.vize'!DB65*100/'2.vize'!$I65,"")</f>
        <v/>
      </c>
      <c r="CR166" s="38" t="str">
        <f>IFERROR('2.vize'!DC65*100/'2.vize'!$I65,"")</f>
        <v/>
      </c>
      <c r="CS166" s="38" t="str">
        <f>IFERROR('2.vize'!DD65*100/'2.vize'!$I65,"")</f>
        <v/>
      </c>
      <c r="CT166" s="38" t="str">
        <f>IFERROR('2.vize'!DE65*100/'2.vize'!$I65,"")</f>
        <v/>
      </c>
      <c r="CU166" s="38" t="str">
        <f>IFERROR('2.vize'!DF65*100/'2.vize'!$I65,"")</f>
        <v/>
      </c>
      <c r="CV166" s="38" t="str">
        <f>IFERROR('2.vize'!DG65*100/'2.vize'!$I65,"")</f>
        <v/>
      </c>
      <c r="CW166" s="32" t="str">
        <f>IFERROR(SUM(A166:CV166)/'2.vize'!$DH$103,"")</f>
        <v/>
      </c>
      <c r="CX166" s="14" t="str">
        <f>IF(COUNTA('2.vize'!A65),'2.vize'!A65,"")</f>
        <v/>
      </c>
      <c r="CY166" s="14" t="str">
        <f>IF(COUNTA('2.vize'!B65),'2.vize'!B65,"")</f>
        <v/>
      </c>
      <c r="CZ166" s="14" t="str">
        <f>IF(COUNTA('2.vize'!C65),'2.vize'!C65,"")</f>
        <v/>
      </c>
      <c r="DA166" s="14" t="str">
        <f>IF(COUNTA('2.vize'!D65),'2.vize'!D65,"")</f>
        <v/>
      </c>
      <c r="DB166" s="14" t="str">
        <f>IF(COUNTA('2.vize'!E65),'2.vize'!E65,"")</f>
        <v/>
      </c>
      <c r="DC166" s="14" t="str">
        <f>IF(COUNTA('2.vize'!F65),'2.vize'!F65,"")</f>
        <v/>
      </c>
      <c r="DD166" s="14" t="str">
        <f>IF(COUNTA('2.vize'!G65),'2.vize'!G65,"")</f>
        <v/>
      </c>
      <c r="DE166" s="14" t="str">
        <f>IF(COUNTA('2.vize'!H65),'2.vize'!H65,"")</f>
        <v/>
      </c>
    </row>
    <row r="167" spans="1:109" x14ac:dyDescent="0.2">
      <c r="A167" s="38" t="str">
        <f>IFERROR('2.vize'!L66*100/'2.vize'!$I66,"")</f>
        <v/>
      </c>
      <c r="B167" s="38" t="str">
        <f>IFERROR('2.vize'!M66*100/'2.vize'!$I66,"")</f>
        <v/>
      </c>
      <c r="C167" s="38" t="str">
        <f>IFERROR('2.vize'!N66*100/'2.vize'!$I66,"")</f>
        <v/>
      </c>
      <c r="D167" s="38" t="str">
        <f>IFERROR('2.vize'!O66*100/'2.vize'!$I66,"")</f>
        <v/>
      </c>
      <c r="E167" s="38" t="str">
        <f>IFERROR('2.vize'!P66*100/'2.vize'!$I66,"")</f>
        <v/>
      </c>
      <c r="F167" s="38" t="str">
        <f>IFERROR('2.vize'!Q66*100/'2.vize'!$I66,"")</f>
        <v/>
      </c>
      <c r="G167" s="38" t="str">
        <f>IFERROR('2.vize'!R66*100/'2.vize'!$I66,"")</f>
        <v/>
      </c>
      <c r="H167" s="38" t="str">
        <f>IFERROR('2.vize'!S66*100/'2.vize'!$I66,"")</f>
        <v/>
      </c>
      <c r="I167" s="38" t="str">
        <f>IFERROR('2.vize'!T66*100/'2.vize'!$I66,"")</f>
        <v/>
      </c>
      <c r="J167" s="38" t="str">
        <f>IFERROR('2.vize'!U66*100/'2.vize'!$I66,"")</f>
        <v/>
      </c>
      <c r="K167" s="38" t="str">
        <f>IFERROR('2.vize'!V66*100/'2.vize'!$I66,"")</f>
        <v/>
      </c>
      <c r="L167" s="38" t="str">
        <f>IFERROR('2.vize'!W66*100/'2.vize'!$I66,"")</f>
        <v/>
      </c>
      <c r="M167" s="38" t="str">
        <f>IFERROR('2.vize'!X66*100/'2.vize'!$I66,"")</f>
        <v/>
      </c>
      <c r="N167" s="38" t="str">
        <f>IFERROR('2.vize'!Y66*100/'2.vize'!$I66,"")</f>
        <v/>
      </c>
      <c r="O167" s="38" t="str">
        <f>IFERROR('2.vize'!Z66*100/'2.vize'!$I66,"")</f>
        <v/>
      </c>
      <c r="P167" s="38" t="str">
        <f>IFERROR('2.vize'!AA66*100/'2.vize'!$I66,"")</f>
        <v/>
      </c>
      <c r="Q167" s="38" t="str">
        <f>IFERROR('2.vize'!AB66*100/'2.vize'!$I66,"")</f>
        <v/>
      </c>
      <c r="R167" s="38" t="str">
        <f>IFERROR('2.vize'!AC66*100/'2.vize'!$I66,"")</f>
        <v/>
      </c>
      <c r="S167" s="38" t="str">
        <f>IFERROR('2.vize'!AD66*100/'2.vize'!$I66,"")</f>
        <v/>
      </c>
      <c r="T167" s="38" t="str">
        <f>IFERROR('2.vize'!AE66*100/'2.vize'!$I66,"")</f>
        <v/>
      </c>
      <c r="U167" s="38" t="str">
        <f>IFERROR('2.vize'!AF66*100/'2.vize'!$I66,"")</f>
        <v/>
      </c>
      <c r="V167" s="38" t="str">
        <f>IFERROR('2.vize'!AG66*100/'2.vize'!$I66,"")</f>
        <v/>
      </c>
      <c r="W167" s="38" t="str">
        <f>IFERROR('2.vize'!AH66*100/'2.vize'!$I66,"")</f>
        <v/>
      </c>
      <c r="X167" s="38" t="str">
        <f>IFERROR('2.vize'!AI66*100/'2.vize'!$I66,"")</f>
        <v/>
      </c>
      <c r="Y167" s="38" t="str">
        <f>IFERROR('2.vize'!AJ66*100/'2.vize'!$I66,"")</f>
        <v/>
      </c>
      <c r="Z167" s="38" t="str">
        <f>IFERROR('2.vize'!AK66*100/'2.vize'!$I66,"")</f>
        <v/>
      </c>
      <c r="AA167" s="38" t="str">
        <f>IFERROR('2.vize'!AL66*100/'2.vize'!$I66,"")</f>
        <v/>
      </c>
      <c r="AB167" s="38" t="str">
        <f>IFERROR('2.vize'!AM66*100/'2.vize'!$I66,"")</f>
        <v/>
      </c>
      <c r="AC167" s="38" t="str">
        <f>IFERROR('2.vize'!AN66*100/'2.vize'!$I66,"")</f>
        <v/>
      </c>
      <c r="AD167" s="38" t="str">
        <f>IFERROR('2.vize'!AO66*100/'2.vize'!$I66,"")</f>
        <v/>
      </c>
      <c r="AE167" s="38" t="str">
        <f>IFERROR('2.vize'!AP66*100/'2.vize'!$I66,"")</f>
        <v/>
      </c>
      <c r="AF167" s="38" t="str">
        <f>IFERROR('2.vize'!AQ66*100/'2.vize'!$I66,"")</f>
        <v/>
      </c>
      <c r="AG167" s="38" t="str">
        <f>IFERROR('2.vize'!AR66*100/'2.vize'!$I66,"")</f>
        <v/>
      </c>
      <c r="AH167" s="38" t="str">
        <f>IFERROR('2.vize'!AS66*100/'2.vize'!$I66,"")</f>
        <v/>
      </c>
      <c r="AI167" s="38" t="str">
        <f>IFERROR('2.vize'!AT66*100/'2.vize'!$I66,"")</f>
        <v/>
      </c>
      <c r="AJ167" s="38" t="str">
        <f>IFERROR('2.vize'!AU66*100/'2.vize'!$I66,"")</f>
        <v/>
      </c>
      <c r="AK167" s="38" t="str">
        <f>IFERROR('2.vize'!AV66*100/'2.vize'!$I66,"")</f>
        <v/>
      </c>
      <c r="AL167" s="38" t="str">
        <f>IFERROR('2.vize'!AW66*100/'2.vize'!$I66,"")</f>
        <v/>
      </c>
      <c r="AM167" s="38" t="str">
        <f>IFERROR('2.vize'!AX66*100/'2.vize'!$I66,"")</f>
        <v/>
      </c>
      <c r="AN167" s="38" t="str">
        <f>IFERROR('2.vize'!AY66*100/'2.vize'!$I66,"")</f>
        <v/>
      </c>
      <c r="AO167" s="38" t="str">
        <f>IFERROR('2.vize'!AZ66*100/'2.vize'!$I66,"")</f>
        <v/>
      </c>
      <c r="AP167" s="38" t="str">
        <f>IFERROR('2.vize'!BA66*100/'2.vize'!$I66,"")</f>
        <v/>
      </c>
      <c r="AQ167" s="38" t="str">
        <f>IFERROR('2.vize'!BB66*100/'2.vize'!$I66,"")</f>
        <v/>
      </c>
      <c r="AR167" s="38" t="str">
        <f>IFERROR('2.vize'!BC66*100/'2.vize'!$I66,"")</f>
        <v/>
      </c>
      <c r="AS167" s="38" t="str">
        <f>IFERROR('2.vize'!BD66*100/'2.vize'!$I66,"")</f>
        <v/>
      </c>
      <c r="AT167" s="38" t="str">
        <f>IFERROR('2.vize'!BE66*100/'2.vize'!$I66,"")</f>
        <v/>
      </c>
      <c r="AU167" s="38" t="str">
        <f>IFERROR('2.vize'!BF66*100/'2.vize'!$I66,"")</f>
        <v/>
      </c>
      <c r="AV167" s="38" t="str">
        <f>IFERROR('2.vize'!BG66*100/'2.vize'!$I66,"")</f>
        <v/>
      </c>
      <c r="AW167" s="38" t="str">
        <f>IFERROR('2.vize'!BH66*100/'2.vize'!$I66,"")</f>
        <v/>
      </c>
      <c r="AX167" s="38" t="str">
        <f>IFERROR('2.vize'!BI66*100/'2.vize'!$I66,"")</f>
        <v/>
      </c>
      <c r="AY167" s="38" t="str">
        <f>IFERROR('2.vize'!BJ66*100/'2.vize'!$I66,"")</f>
        <v/>
      </c>
      <c r="AZ167" s="38" t="str">
        <f>IFERROR('2.vize'!BK66*100/'2.vize'!$I66,"")</f>
        <v/>
      </c>
      <c r="BA167" s="38" t="str">
        <f>IFERROR('2.vize'!BL66*100/'2.vize'!$I66,"")</f>
        <v/>
      </c>
      <c r="BB167" s="38" t="str">
        <f>IFERROR('2.vize'!BM66*100/'2.vize'!$I66,"")</f>
        <v/>
      </c>
      <c r="BC167" s="38" t="str">
        <f>IFERROR('2.vize'!BN66*100/'2.vize'!$I66,"")</f>
        <v/>
      </c>
      <c r="BD167" s="38" t="str">
        <f>IFERROR('2.vize'!BO66*100/'2.vize'!$I66,"")</f>
        <v/>
      </c>
      <c r="BE167" s="38" t="str">
        <f>IFERROR('2.vize'!BP66*100/'2.vize'!$I66,"")</f>
        <v/>
      </c>
      <c r="BF167" s="38" t="str">
        <f>IFERROR('2.vize'!BQ66*100/'2.vize'!$I66,"")</f>
        <v/>
      </c>
      <c r="BG167" s="38" t="str">
        <f>IFERROR('2.vize'!BR66*100/'2.vize'!$I66,"")</f>
        <v/>
      </c>
      <c r="BH167" s="38" t="str">
        <f>IFERROR('2.vize'!BS66*100/'2.vize'!$I66,"")</f>
        <v/>
      </c>
      <c r="BI167" s="38" t="str">
        <f>IFERROR('2.vize'!BT66*100/'2.vize'!$I66,"")</f>
        <v/>
      </c>
      <c r="BJ167" s="38" t="str">
        <f>IFERROR('2.vize'!BU66*100/'2.vize'!$I66,"")</f>
        <v/>
      </c>
      <c r="BK167" s="38" t="str">
        <f>IFERROR('2.vize'!BV66*100/'2.vize'!$I66,"")</f>
        <v/>
      </c>
      <c r="BL167" s="38" t="str">
        <f>IFERROR('2.vize'!BW66*100/'2.vize'!$I66,"")</f>
        <v/>
      </c>
      <c r="BM167" s="38" t="str">
        <f>IFERROR('2.vize'!BX66*100/'2.vize'!$I66,"")</f>
        <v/>
      </c>
      <c r="BN167" s="38" t="str">
        <f>IFERROR('2.vize'!BY66*100/'2.vize'!$I66,"")</f>
        <v/>
      </c>
      <c r="BO167" s="38" t="str">
        <f>IFERROR('2.vize'!BZ66*100/'2.vize'!$I66,"")</f>
        <v/>
      </c>
      <c r="BP167" s="38" t="str">
        <f>IFERROR('2.vize'!CA66*100/'2.vize'!$I66,"")</f>
        <v/>
      </c>
      <c r="BQ167" s="38" t="str">
        <f>IFERROR('2.vize'!CB66*100/'2.vize'!$I66,"")</f>
        <v/>
      </c>
      <c r="BR167" s="38" t="str">
        <f>IFERROR('2.vize'!CC66*100/'2.vize'!$I66,"")</f>
        <v/>
      </c>
      <c r="BS167" s="38" t="str">
        <f>IFERROR('2.vize'!CD66*100/'2.vize'!$I66,"")</f>
        <v/>
      </c>
      <c r="BT167" s="38" t="str">
        <f>IFERROR('2.vize'!CE66*100/'2.vize'!$I66,"")</f>
        <v/>
      </c>
      <c r="BU167" s="38" t="str">
        <f>IFERROR('2.vize'!CF66*100/'2.vize'!$I66,"")</f>
        <v/>
      </c>
      <c r="BV167" s="38" t="str">
        <f>IFERROR('2.vize'!CG66*100/'2.vize'!$I66,"")</f>
        <v/>
      </c>
      <c r="BW167" s="38" t="str">
        <f>IFERROR('2.vize'!CH66*100/'2.vize'!$I66,"")</f>
        <v/>
      </c>
      <c r="BX167" s="38" t="str">
        <f>IFERROR('2.vize'!CI66*100/'2.vize'!$I66,"")</f>
        <v/>
      </c>
      <c r="BY167" s="38" t="str">
        <f>IFERROR('2.vize'!CJ66*100/'2.vize'!$I66,"")</f>
        <v/>
      </c>
      <c r="BZ167" s="38" t="str">
        <f>IFERROR('2.vize'!CK66*100/'2.vize'!$I66,"")</f>
        <v/>
      </c>
      <c r="CA167" s="38" t="str">
        <f>IFERROR('2.vize'!CL66*100/'2.vize'!$I66,"")</f>
        <v/>
      </c>
      <c r="CB167" s="38" t="str">
        <f>IFERROR('2.vize'!CM66*100/'2.vize'!$I66,"")</f>
        <v/>
      </c>
      <c r="CC167" s="38" t="str">
        <f>IFERROR('2.vize'!CN66*100/'2.vize'!$I66,"")</f>
        <v/>
      </c>
      <c r="CD167" s="38" t="str">
        <f>IFERROR('2.vize'!CO66*100/'2.vize'!$I66,"")</f>
        <v/>
      </c>
      <c r="CE167" s="38" t="str">
        <f>IFERROR('2.vize'!CP66*100/'2.vize'!$I66,"")</f>
        <v/>
      </c>
      <c r="CF167" s="38" t="str">
        <f>IFERROR('2.vize'!CQ66*100/'2.vize'!$I66,"")</f>
        <v/>
      </c>
      <c r="CG167" s="38" t="str">
        <f>IFERROR('2.vize'!CR66*100/'2.vize'!$I66,"")</f>
        <v/>
      </c>
      <c r="CH167" s="38" t="str">
        <f>IFERROR('2.vize'!CS66*100/'2.vize'!$I66,"")</f>
        <v/>
      </c>
      <c r="CI167" s="38" t="str">
        <f>IFERROR('2.vize'!CT66*100/'2.vize'!$I66,"")</f>
        <v/>
      </c>
      <c r="CJ167" s="38" t="str">
        <f>IFERROR('2.vize'!CU66*100/'2.vize'!$I66,"")</f>
        <v/>
      </c>
      <c r="CK167" s="38" t="str">
        <f>IFERROR('2.vize'!CV66*100/'2.vize'!$I66,"")</f>
        <v/>
      </c>
      <c r="CL167" s="38" t="str">
        <f>IFERROR('2.vize'!CW66*100/'2.vize'!$I66,"")</f>
        <v/>
      </c>
      <c r="CM167" s="38" t="str">
        <f>IFERROR('2.vize'!CX66*100/'2.vize'!$I66,"")</f>
        <v/>
      </c>
      <c r="CN167" s="38" t="str">
        <f>IFERROR('2.vize'!CY66*100/'2.vize'!$I66,"")</f>
        <v/>
      </c>
      <c r="CO167" s="38" t="str">
        <f>IFERROR('2.vize'!CZ66*100/'2.vize'!$I66,"")</f>
        <v/>
      </c>
      <c r="CP167" s="38" t="str">
        <f>IFERROR('2.vize'!DA66*100/'2.vize'!$I66,"")</f>
        <v/>
      </c>
      <c r="CQ167" s="38" t="str">
        <f>IFERROR('2.vize'!DB66*100/'2.vize'!$I66,"")</f>
        <v/>
      </c>
      <c r="CR167" s="38" t="str">
        <f>IFERROR('2.vize'!DC66*100/'2.vize'!$I66,"")</f>
        <v/>
      </c>
      <c r="CS167" s="38" t="str">
        <f>IFERROR('2.vize'!DD66*100/'2.vize'!$I66,"")</f>
        <v/>
      </c>
      <c r="CT167" s="38" t="str">
        <f>IFERROR('2.vize'!DE66*100/'2.vize'!$I66,"")</f>
        <v/>
      </c>
      <c r="CU167" s="38" t="str">
        <f>IFERROR('2.vize'!DF66*100/'2.vize'!$I66,"")</f>
        <v/>
      </c>
      <c r="CV167" s="38" t="str">
        <f>IFERROR('2.vize'!DG66*100/'2.vize'!$I66,"")</f>
        <v/>
      </c>
      <c r="CW167" s="32" t="str">
        <f>IFERROR(SUM(A167:CV167)/'2.vize'!$DH$103,"")</f>
        <v/>
      </c>
      <c r="CX167" s="14" t="str">
        <f>IF(COUNTA('2.vize'!A66),'2.vize'!A66,"")</f>
        <v/>
      </c>
      <c r="CY167" s="14" t="str">
        <f>IF(COUNTA('2.vize'!B66),'2.vize'!B66,"")</f>
        <v/>
      </c>
      <c r="CZ167" s="14" t="str">
        <f>IF(COUNTA('2.vize'!C66),'2.vize'!C66,"")</f>
        <v/>
      </c>
      <c r="DA167" s="14" t="str">
        <f>IF(COUNTA('2.vize'!D66),'2.vize'!D66,"")</f>
        <v/>
      </c>
      <c r="DB167" s="14" t="str">
        <f>IF(COUNTA('2.vize'!E66),'2.vize'!E66,"")</f>
        <v/>
      </c>
      <c r="DC167" s="14" t="str">
        <f>IF(COUNTA('2.vize'!F66),'2.vize'!F66,"")</f>
        <v/>
      </c>
      <c r="DD167" s="14" t="str">
        <f>IF(COUNTA('2.vize'!G66),'2.vize'!G66,"")</f>
        <v/>
      </c>
      <c r="DE167" s="14" t="str">
        <f>IF(COUNTA('2.vize'!H66),'2.vize'!H66,"")</f>
        <v/>
      </c>
    </row>
    <row r="168" spans="1:109" x14ac:dyDescent="0.2">
      <c r="A168" s="38" t="str">
        <f>IFERROR('2.vize'!L67*100/'2.vize'!$I67,"")</f>
        <v/>
      </c>
      <c r="B168" s="38" t="str">
        <f>IFERROR('2.vize'!M67*100/'2.vize'!$I67,"")</f>
        <v/>
      </c>
      <c r="C168" s="38" t="str">
        <f>IFERROR('2.vize'!N67*100/'2.vize'!$I67,"")</f>
        <v/>
      </c>
      <c r="D168" s="38" t="str">
        <f>IFERROR('2.vize'!O67*100/'2.vize'!$I67,"")</f>
        <v/>
      </c>
      <c r="E168" s="38" t="str">
        <f>IFERROR('2.vize'!P67*100/'2.vize'!$I67,"")</f>
        <v/>
      </c>
      <c r="F168" s="38" t="str">
        <f>IFERROR('2.vize'!Q67*100/'2.vize'!$I67,"")</f>
        <v/>
      </c>
      <c r="G168" s="38" t="str">
        <f>IFERROR('2.vize'!R67*100/'2.vize'!$I67,"")</f>
        <v/>
      </c>
      <c r="H168" s="38" t="str">
        <f>IFERROR('2.vize'!S67*100/'2.vize'!$I67,"")</f>
        <v/>
      </c>
      <c r="I168" s="38" t="str">
        <f>IFERROR('2.vize'!T67*100/'2.vize'!$I67,"")</f>
        <v/>
      </c>
      <c r="J168" s="38" t="str">
        <f>IFERROR('2.vize'!U67*100/'2.vize'!$I67,"")</f>
        <v/>
      </c>
      <c r="K168" s="38" t="str">
        <f>IFERROR('2.vize'!V67*100/'2.vize'!$I67,"")</f>
        <v/>
      </c>
      <c r="L168" s="38" t="str">
        <f>IFERROR('2.vize'!W67*100/'2.vize'!$I67,"")</f>
        <v/>
      </c>
      <c r="M168" s="38" t="str">
        <f>IFERROR('2.vize'!X67*100/'2.vize'!$I67,"")</f>
        <v/>
      </c>
      <c r="N168" s="38" t="str">
        <f>IFERROR('2.vize'!Y67*100/'2.vize'!$I67,"")</f>
        <v/>
      </c>
      <c r="O168" s="38" t="str">
        <f>IFERROR('2.vize'!Z67*100/'2.vize'!$I67,"")</f>
        <v/>
      </c>
      <c r="P168" s="38" t="str">
        <f>IFERROR('2.vize'!AA67*100/'2.vize'!$I67,"")</f>
        <v/>
      </c>
      <c r="Q168" s="38" t="str">
        <f>IFERROR('2.vize'!AB67*100/'2.vize'!$I67,"")</f>
        <v/>
      </c>
      <c r="R168" s="38" t="str">
        <f>IFERROR('2.vize'!AC67*100/'2.vize'!$I67,"")</f>
        <v/>
      </c>
      <c r="S168" s="38" t="str">
        <f>IFERROR('2.vize'!AD67*100/'2.vize'!$I67,"")</f>
        <v/>
      </c>
      <c r="T168" s="38" t="str">
        <f>IFERROR('2.vize'!AE67*100/'2.vize'!$I67,"")</f>
        <v/>
      </c>
      <c r="U168" s="38" t="str">
        <f>IFERROR('2.vize'!AF67*100/'2.vize'!$I67,"")</f>
        <v/>
      </c>
      <c r="V168" s="38" t="str">
        <f>IFERROR('2.vize'!AG67*100/'2.vize'!$I67,"")</f>
        <v/>
      </c>
      <c r="W168" s="38" t="str">
        <f>IFERROR('2.vize'!AH67*100/'2.vize'!$I67,"")</f>
        <v/>
      </c>
      <c r="X168" s="38" t="str">
        <f>IFERROR('2.vize'!AI67*100/'2.vize'!$I67,"")</f>
        <v/>
      </c>
      <c r="Y168" s="38" t="str">
        <f>IFERROR('2.vize'!AJ67*100/'2.vize'!$I67,"")</f>
        <v/>
      </c>
      <c r="Z168" s="38" t="str">
        <f>IFERROR('2.vize'!AK67*100/'2.vize'!$I67,"")</f>
        <v/>
      </c>
      <c r="AA168" s="38" t="str">
        <f>IFERROR('2.vize'!AL67*100/'2.vize'!$I67,"")</f>
        <v/>
      </c>
      <c r="AB168" s="38" t="str">
        <f>IFERROR('2.vize'!AM67*100/'2.vize'!$I67,"")</f>
        <v/>
      </c>
      <c r="AC168" s="38" t="str">
        <f>IFERROR('2.vize'!AN67*100/'2.vize'!$I67,"")</f>
        <v/>
      </c>
      <c r="AD168" s="38" t="str">
        <f>IFERROR('2.vize'!AO67*100/'2.vize'!$I67,"")</f>
        <v/>
      </c>
      <c r="AE168" s="38" t="str">
        <f>IFERROR('2.vize'!AP67*100/'2.vize'!$I67,"")</f>
        <v/>
      </c>
      <c r="AF168" s="38" t="str">
        <f>IFERROR('2.vize'!AQ67*100/'2.vize'!$I67,"")</f>
        <v/>
      </c>
      <c r="AG168" s="38" t="str">
        <f>IFERROR('2.vize'!AR67*100/'2.vize'!$I67,"")</f>
        <v/>
      </c>
      <c r="AH168" s="38" t="str">
        <f>IFERROR('2.vize'!AS67*100/'2.vize'!$I67,"")</f>
        <v/>
      </c>
      <c r="AI168" s="38" t="str">
        <f>IFERROR('2.vize'!AT67*100/'2.vize'!$I67,"")</f>
        <v/>
      </c>
      <c r="AJ168" s="38" t="str">
        <f>IFERROR('2.vize'!AU67*100/'2.vize'!$I67,"")</f>
        <v/>
      </c>
      <c r="AK168" s="38" t="str">
        <f>IFERROR('2.vize'!AV67*100/'2.vize'!$I67,"")</f>
        <v/>
      </c>
      <c r="AL168" s="38" t="str">
        <f>IFERROR('2.vize'!AW67*100/'2.vize'!$I67,"")</f>
        <v/>
      </c>
      <c r="AM168" s="38" t="str">
        <f>IFERROR('2.vize'!AX67*100/'2.vize'!$I67,"")</f>
        <v/>
      </c>
      <c r="AN168" s="38" t="str">
        <f>IFERROR('2.vize'!AY67*100/'2.vize'!$I67,"")</f>
        <v/>
      </c>
      <c r="AO168" s="38" t="str">
        <f>IFERROR('2.vize'!AZ67*100/'2.vize'!$I67,"")</f>
        <v/>
      </c>
      <c r="AP168" s="38" t="str">
        <f>IFERROR('2.vize'!BA67*100/'2.vize'!$I67,"")</f>
        <v/>
      </c>
      <c r="AQ168" s="38" t="str">
        <f>IFERROR('2.vize'!BB67*100/'2.vize'!$I67,"")</f>
        <v/>
      </c>
      <c r="AR168" s="38" t="str">
        <f>IFERROR('2.vize'!BC67*100/'2.vize'!$I67,"")</f>
        <v/>
      </c>
      <c r="AS168" s="38" t="str">
        <f>IFERROR('2.vize'!BD67*100/'2.vize'!$I67,"")</f>
        <v/>
      </c>
      <c r="AT168" s="38" t="str">
        <f>IFERROR('2.vize'!BE67*100/'2.vize'!$I67,"")</f>
        <v/>
      </c>
      <c r="AU168" s="38" t="str">
        <f>IFERROR('2.vize'!BF67*100/'2.vize'!$I67,"")</f>
        <v/>
      </c>
      <c r="AV168" s="38" t="str">
        <f>IFERROR('2.vize'!BG67*100/'2.vize'!$I67,"")</f>
        <v/>
      </c>
      <c r="AW168" s="38" t="str">
        <f>IFERROR('2.vize'!BH67*100/'2.vize'!$I67,"")</f>
        <v/>
      </c>
      <c r="AX168" s="38" t="str">
        <f>IFERROR('2.vize'!BI67*100/'2.vize'!$I67,"")</f>
        <v/>
      </c>
      <c r="AY168" s="38" t="str">
        <f>IFERROR('2.vize'!BJ67*100/'2.vize'!$I67,"")</f>
        <v/>
      </c>
      <c r="AZ168" s="38" t="str">
        <f>IFERROR('2.vize'!BK67*100/'2.vize'!$I67,"")</f>
        <v/>
      </c>
      <c r="BA168" s="38" t="str">
        <f>IFERROR('2.vize'!BL67*100/'2.vize'!$I67,"")</f>
        <v/>
      </c>
      <c r="BB168" s="38" t="str">
        <f>IFERROR('2.vize'!BM67*100/'2.vize'!$I67,"")</f>
        <v/>
      </c>
      <c r="BC168" s="38" t="str">
        <f>IFERROR('2.vize'!BN67*100/'2.vize'!$I67,"")</f>
        <v/>
      </c>
      <c r="BD168" s="38" t="str">
        <f>IFERROR('2.vize'!BO67*100/'2.vize'!$I67,"")</f>
        <v/>
      </c>
      <c r="BE168" s="38" t="str">
        <f>IFERROR('2.vize'!BP67*100/'2.vize'!$I67,"")</f>
        <v/>
      </c>
      <c r="BF168" s="38" t="str">
        <f>IFERROR('2.vize'!BQ67*100/'2.vize'!$I67,"")</f>
        <v/>
      </c>
      <c r="BG168" s="38" t="str">
        <f>IFERROR('2.vize'!BR67*100/'2.vize'!$I67,"")</f>
        <v/>
      </c>
      <c r="BH168" s="38" t="str">
        <f>IFERROR('2.vize'!BS67*100/'2.vize'!$I67,"")</f>
        <v/>
      </c>
      <c r="BI168" s="38" t="str">
        <f>IFERROR('2.vize'!BT67*100/'2.vize'!$I67,"")</f>
        <v/>
      </c>
      <c r="BJ168" s="38" t="str">
        <f>IFERROR('2.vize'!BU67*100/'2.vize'!$I67,"")</f>
        <v/>
      </c>
      <c r="BK168" s="38" t="str">
        <f>IFERROR('2.vize'!BV67*100/'2.vize'!$I67,"")</f>
        <v/>
      </c>
      <c r="BL168" s="38" t="str">
        <f>IFERROR('2.vize'!BW67*100/'2.vize'!$I67,"")</f>
        <v/>
      </c>
      <c r="BM168" s="38" t="str">
        <f>IFERROR('2.vize'!BX67*100/'2.vize'!$I67,"")</f>
        <v/>
      </c>
      <c r="BN168" s="38" t="str">
        <f>IFERROR('2.vize'!BY67*100/'2.vize'!$I67,"")</f>
        <v/>
      </c>
      <c r="BO168" s="38" t="str">
        <f>IFERROR('2.vize'!BZ67*100/'2.vize'!$I67,"")</f>
        <v/>
      </c>
      <c r="BP168" s="38" t="str">
        <f>IFERROR('2.vize'!CA67*100/'2.vize'!$I67,"")</f>
        <v/>
      </c>
      <c r="BQ168" s="38" t="str">
        <f>IFERROR('2.vize'!CB67*100/'2.vize'!$I67,"")</f>
        <v/>
      </c>
      <c r="BR168" s="38" t="str">
        <f>IFERROR('2.vize'!CC67*100/'2.vize'!$I67,"")</f>
        <v/>
      </c>
      <c r="BS168" s="38" t="str">
        <f>IFERROR('2.vize'!CD67*100/'2.vize'!$I67,"")</f>
        <v/>
      </c>
      <c r="BT168" s="38" t="str">
        <f>IFERROR('2.vize'!CE67*100/'2.vize'!$I67,"")</f>
        <v/>
      </c>
      <c r="BU168" s="38" t="str">
        <f>IFERROR('2.vize'!CF67*100/'2.vize'!$I67,"")</f>
        <v/>
      </c>
      <c r="BV168" s="38" t="str">
        <f>IFERROR('2.vize'!CG67*100/'2.vize'!$I67,"")</f>
        <v/>
      </c>
      <c r="BW168" s="38" t="str">
        <f>IFERROR('2.vize'!CH67*100/'2.vize'!$I67,"")</f>
        <v/>
      </c>
      <c r="BX168" s="38" t="str">
        <f>IFERROR('2.vize'!CI67*100/'2.vize'!$I67,"")</f>
        <v/>
      </c>
      <c r="BY168" s="38" t="str">
        <f>IFERROR('2.vize'!CJ67*100/'2.vize'!$I67,"")</f>
        <v/>
      </c>
      <c r="BZ168" s="38" t="str">
        <f>IFERROR('2.vize'!CK67*100/'2.vize'!$I67,"")</f>
        <v/>
      </c>
      <c r="CA168" s="38" t="str">
        <f>IFERROR('2.vize'!CL67*100/'2.vize'!$I67,"")</f>
        <v/>
      </c>
      <c r="CB168" s="38" t="str">
        <f>IFERROR('2.vize'!CM67*100/'2.vize'!$I67,"")</f>
        <v/>
      </c>
      <c r="CC168" s="38" t="str">
        <f>IFERROR('2.vize'!CN67*100/'2.vize'!$I67,"")</f>
        <v/>
      </c>
      <c r="CD168" s="38" t="str">
        <f>IFERROR('2.vize'!CO67*100/'2.vize'!$I67,"")</f>
        <v/>
      </c>
      <c r="CE168" s="38" t="str">
        <f>IFERROR('2.vize'!CP67*100/'2.vize'!$I67,"")</f>
        <v/>
      </c>
      <c r="CF168" s="38" t="str">
        <f>IFERROR('2.vize'!CQ67*100/'2.vize'!$I67,"")</f>
        <v/>
      </c>
      <c r="CG168" s="38" t="str">
        <f>IFERROR('2.vize'!CR67*100/'2.vize'!$I67,"")</f>
        <v/>
      </c>
      <c r="CH168" s="38" t="str">
        <f>IFERROR('2.vize'!CS67*100/'2.vize'!$I67,"")</f>
        <v/>
      </c>
      <c r="CI168" s="38" t="str">
        <f>IFERROR('2.vize'!CT67*100/'2.vize'!$I67,"")</f>
        <v/>
      </c>
      <c r="CJ168" s="38" t="str">
        <f>IFERROR('2.vize'!CU67*100/'2.vize'!$I67,"")</f>
        <v/>
      </c>
      <c r="CK168" s="38" t="str">
        <f>IFERROR('2.vize'!CV67*100/'2.vize'!$I67,"")</f>
        <v/>
      </c>
      <c r="CL168" s="38" t="str">
        <f>IFERROR('2.vize'!CW67*100/'2.vize'!$I67,"")</f>
        <v/>
      </c>
      <c r="CM168" s="38" t="str">
        <f>IFERROR('2.vize'!CX67*100/'2.vize'!$I67,"")</f>
        <v/>
      </c>
      <c r="CN168" s="38" t="str">
        <f>IFERROR('2.vize'!CY67*100/'2.vize'!$I67,"")</f>
        <v/>
      </c>
      <c r="CO168" s="38" t="str">
        <f>IFERROR('2.vize'!CZ67*100/'2.vize'!$I67,"")</f>
        <v/>
      </c>
      <c r="CP168" s="38" t="str">
        <f>IFERROR('2.vize'!DA67*100/'2.vize'!$I67,"")</f>
        <v/>
      </c>
      <c r="CQ168" s="38" t="str">
        <f>IFERROR('2.vize'!DB67*100/'2.vize'!$I67,"")</f>
        <v/>
      </c>
      <c r="CR168" s="38" t="str">
        <f>IFERROR('2.vize'!DC67*100/'2.vize'!$I67,"")</f>
        <v/>
      </c>
      <c r="CS168" s="38" t="str">
        <f>IFERROR('2.vize'!DD67*100/'2.vize'!$I67,"")</f>
        <v/>
      </c>
      <c r="CT168" s="38" t="str">
        <f>IFERROR('2.vize'!DE67*100/'2.vize'!$I67,"")</f>
        <v/>
      </c>
      <c r="CU168" s="38" t="str">
        <f>IFERROR('2.vize'!DF67*100/'2.vize'!$I67,"")</f>
        <v/>
      </c>
      <c r="CV168" s="38" t="str">
        <f>IFERROR('2.vize'!DG67*100/'2.vize'!$I67,"")</f>
        <v/>
      </c>
      <c r="CW168" s="32" t="str">
        <f>IFERROR(SUM(A168:CV168)/'2.vize'!$DH$103,"")</f>
        <v/>
      </c>
      <c r="CX168" s="14" t="str">
        <f>IF(COUNTA('2.vize'!A67),'2.vize'!A67,"")</f>
        <v/>
      </c>
      <c r="CY168" s="14" t="str">
        <f>IF(COUNTA('2.vize'!B67),'2.vize'!B67,"")</f>
        <v/>
      </c>
      <c r="CZ168" s="14" t="str">
        <f>IF(COUNTA('2.vize'!C67),'2.vize'!C67,"")</f>
        <v/>
      </c>
      <c r="DA168" s="14" t="str">
        <f>IF(COUNTA('2.vize'!D67),'2.vize'!D67,"")</f>
        <v/>
      </c>
      <c r="DB168" s="14" t="str">
        <f>IF(COUNTA('2.vize'!E67),'2.vize'!E67,"")</f>
        <v/>
      </c>
      <c r="DC168" s="14" t="str">
        <f>IF(COUNTA('2.vize'!F67),'2.vize'!F67,"")</f>
        <v/>
      </c>
      <c r="DD168" s="14" t="str">
        <f>IF(COUNTA('2.vize'!G67),'2.vize'!G67,"")</f>
        <v/>
      </c>
      <c r="DE168" s="14" t="str">
        <f>IF(COUNTA('2.vize'!H67),'2.vize'!H67,"")</f>
        <v/>
      </c>
    </row>
    <row r="169" spans="1:109" x14ac:dyDescent="0.2">
      <c r="A169" s="38" t="str">
        <f>IFERROR('2.vize'!L68*100/'2.vize'!$I68,"")</f>
        <v/>
      </c>
      <c r="B169" s="38" t="str">
        <f>IFERROR('2.vize'!M68*100/'2.vize'!$I68,"")</f>
        <v/>
      </c>
      <c r="C169" s="38" t="str">
        <f>IFERROR('2.vize'!N68*100/'2.vize'!$I68,"")</f>
        <v/>
      </c>
      <c r="D169" s="38" t="str">
        <f>IFERROR('2.vize'!O68*100/'2.vize'!$I68,"")</f>
        <v/>
      </c>
      <c r="E169" s="38" t="str">
        <f>IFERROR('2.vize'!P68*100/'2.vize'!$I68,"")</f>
        <v/>
      </c>
      <c r="F169" s="38" t="str">
        <f>IFERROR('2.vize'!Q68*100/'2.vize'!$I68,"")</f>
        <v/>
      </c>
      <c r="G169" s="38" t="str">
        <f>IFERROR('2.vize'!R68*100/'2.vize'!$I68,"")</f>
        <v/>
      </c>
      <c r="H169" s="38" t="str">
        <f>IFERROR('2.vize'!S68*100/'2.vize'!$I68,"")</f>
        <v/>
      </c>
      <c r="I169" s="38" t="str">
        <f>IFERROR('2.vize'!T68*100/'2.vize'!$I68,"")</f>
        <v/>
      </c>
      <c r="J169" s="38" t="str">
        <f>IFERROR('2.vize'!U68*100/'2.vize'!$I68,"")</f>
        <v/>
      </c>
      <c r="K169" s="38" t="str">
        <f>IFERROR('2.vize'!V68*100/'2.vize'!$I68,"")</f>
        <v/>
      </c>
      <c r="L169" s="38" t="str">
        <f>IFERROR('2.vize'!W68*100/'2.vize'!$I68,"")</f>
        <v/>
      </c>
      <c r="M169" s="38" t="str">
        <f>IFERROR('2.vize'!X68*100/'2.vize'!$I68,"")</f>
        <v/>
      </c>
      <c r="N169" s="38" t="str">
        <f>IFERROR('2.vize'!Y68*100/'2.vize'!$I68,"")</f>
        <v/>
      </c>
      <c r="O169" s="38" t="str">
        <f>IFERROR('2.vize'!Z68*100/'2.vize'!$I68,"")</f>
        <v/>
      </c>
      <c r="P169" s="38" t="str">
        <f>IFERROR('2.vize'!AA68*100/'2.vize'!$I68,"")</f>
        <v/>
      </c>
      <c r="Q169" s="38" t="str">
        <f>IFERROR('2.vize'!AB68*100/'2.vize'!$I68,"")</f>
        <v/>
      </c>
      <c r="R169" s="38" t="str">
        <f>IFERROR('2.vize'!AC68*100/'2.vize'!$I68,"")</f>
        <v/>
      </c>
      <c r="S169" s="38" t="str">
        <f>IFERROR('2.vize'!AD68*100/'2.vize'!$I68,"")</f>
        <v/>
      </c>
      <c r="T169" s="38" t="str">
        <f>IFERROR('2.vize'!AE68*100/'2.vize'!$I68,"")</f>
        <v/>
      </c>
      <c r="U169" s="38" t="str">
        <f>IFERROR('2.vize'!AF68*100/'2.vize'!$I68,"")</f>
        <v/>
      </c>
      <c r="V169" s="38" t="str">
        <f>IFERROR('2.vize'!AG68*100/'2.vize'!$I68,"")</f>
        <v/>
      </c>
      <c r="W169" s="38" t="str">
        <f>IFERROR('2.vize'!AH68*100/'2.vize'!$I68,"")</f>
        <v/>
      </c>
      <c r="X169" s="38" t="str">
        <f>IFERROR('2.vize'!AI68*100/'2.vize'!$I68,"")</f>
        <v/>
      </c>
      <c r="Y169" s="38" t="str">
        <f>IFERROR('2.vize'!AJ68*100/'2.vize'!$I68,"")</f>
        <v/>
      </c>
      <c r="Z169" s="38" t="str">
        <f>IFERROR('2.vize'!AK68*100/'2.vize'!$I68,"")</f>
        <v/>
      </c>
      <c r="AA169" s="38" t="str">
        <f>IFERROR('2.vize'!AL68*100/'2.vize'!$I68,"")</f>
        <v/>
      </c>
      <c r="AB169" s="38" t="str">
        <f>IFERROR('2.vize'!AM68*100/'2.vize'!$I68,"")</f>
        <v/>
      </c>
      <c r="AC169" s="38" t="str">
        <f>IFERROR('2.vize'!AN68*100/'2.vize'!$I68,"")</f>
        <v/>
      </c>
      <c r="AD169" s="38" t="str">
        <f>IFERROR('2.vize'!AO68*100/'2.vize'!$I68,"")</f>
        <v/>
      </c>
      <c r="AE169" s="38" t="str">
        <f>IFERROR('2.vize'!AP68*100/'2.vize'!$I68,"")</f>
        <v/>
      </c>
      <c r="AF169" s="38" t="str">
        <f>IFERROR('2.vize'!AQ68*100/'2.vize'!$I68,"")</f>
        <v/>
      </c>
      <c r="AG169" s="38" t="str">
        <f>IFERROR('2.vize'!AR68*100/'2.vize'!$I68,"")</f>
        <v/>
      </c>
      <c r="AH169" s="38" t="str">
        <f>IFERROR('2.vize'!AS68*100/'2.vize'!$I68,"")</f>
        <v/>
      </c>
      <c r="AI169" s="38" t="str">
        <f>IFERROR('2.vize'!AT68*100/'2.vize'!$I68,"")</f>
        <v/>
      </c>
      <c r="AJ169" s="38" t="str">
        <f>IFERROR('2.vize'!AU68*100/'2.vize'!$I68,"")</f>
        <v/>
      </c>
      <c r="AK169" s="38" t="str">
        <f>IFERROR('2.vize'!AV68*100/'2.vize'!$I68,"")</f>
        <v/>
      </c>
      <c r="AL169" s="38" t="str">
        <f>IFERROR('2.vize'!AW68*100/'2.vize'!$I68,"")</f>
        <v/>
      </c>
      <c r="AM169" s="38" t="str">
        <f>IFERROR('2.vize'!AX68*100/'2.vize'!$I68,"")</f>
        <v/>
      </c>
      <c r="AN169" s="38" t="str">
        <f>IFERROR('2.vize'!AY68*100/'2.vize'!$I68,"")</f>
        <v/>
      </c>
      <c r="AO169" s="38" t="str">
        <f>IFERROR('2.vize'!AZ68*100/'2.vize'!$I68,"")</f>
        <v/>
      </c>
      <c r="AP169" s="38" t="str">
        <f>IFERROR('2.vize'!BA68*100/'2.vize'!$I68,"")</f>
        <v/>
      </c>
      <c r="AQ169" s="38" t="str">
        <f>IFERROR('2.vize'!BB68*100/'2.vize'!$I68,"")</f>
        <v/>
      </c>
      <c r="AR169" s="38" t="str">
        <f>IFERROR('2.vize'!BC68*100/'2.vize'!$I68,"")</f>
        <v/>
      </c>
      <c r="AS169" s="38" t="str">
        <f>IFERROR('2.vize'!BD68*100/'2.vize'!$I68,"")</f>
        <v/>
      </c>
      <c r="AT169" s="38" t="str">
        <f>IFERROR('2.vize'!BE68*100/'2.vize'!$I68,"")</f>
        <v/>
      </c>
      <c r="AU169" s="38" t="str">
        <f>IFERROR('2.vize'!BF68*100/'2.vize'!$I68,"")</f>
        <v/>
      </c>
      <c r="AV169" s="38" t="str">
        <f>IFERROR('2.vize'!BG68*100/'2.vize'!$I68,"")</f>
        <v/>
      </c>
      <c r="AW169" s="38" t="str">
        <f>IFERROR('2.vize'!BH68*100/'2.vize'!$I68,"")</f>
        <v/>
      </c>
      <c r="AX169" s="38" t="str">
        <f>IFERROR('2.vize'!BI68*100/'2.vize'!$I68,"")</f>
        <v/>
      </c>
      <c r="AY169" s="38" t="str">
        <f>IFERROR('2.vize'!BJ68*100/'2.vize'!$I68,"")</f>
        <v/>
      </c>
      <c r="AZ169" s="38" t="str">
        <f>IFERROR('2.vize'!BK68*100/'2.vize'!$I68,"")</f>
        <v/>
      </c>
      <c r="BA169" s="38" t="str">
        <f>IFERROR('2.vize'!BL68*100/'2.vize'!$I68,"")</f>
        <v/>
      </c>
      <c r="BB169" s="38" t="str">
        <f>IFERROR('2.vize'!BM68*100/'2.vize'!$I68,"")</f>
        <v/>
      </c>
      <c r="BC169" s="38" t="str">
        <f>IFERROR('2.vize'!BN68*100/'2.vize'!$I68,"")</f>
        <v/>
      </c>
      <c r="BD169" s="38" t="str">
        <f>IFERROR('2.vize'!BO68*100/'2.vize'!$I68,"")</f>
        <v/>
      </c>
      <c r="BE169" s="38" t="str">
        <f>IFERROR('2.vize'!BP68*100/'2.vize'!$I68,"")</f>
        <v/>
      </c>
      <c r="BF169" s="38" t="str">
        <f>IFERROR('2.vize'!BQ68*100/'2.vize'!$I68,"")</f>
        <v/>
      </c>
      <c r="BG169" s="38" t="str">
        <f>IFERROR('2.vize'!BR68*100/'2.vize'!$I68,"")</f>
        <v/>
      </c>
      <c r="BH169" s="38" t="str">
        <f>IFERROR('2.vize'!BS68*100/'2.vize'!$I68,"")</f>
        <v/>
      </c>
      <c r="BI169" s="38" t="str">
        <f>IFERROR('2.vize'!BT68*100/'2.vize'!$I68,"")</f>
        <v/>
      </c>
      <c r="BJ169" s="38" t="str">
        <f>IFERROR('2.vize'!BU68*100/'2.vize'!$I68,"")</f>
        <v/>
      </c>
      <c r="BK169" s="38" t="str">
        <f>IFERROR('2.vize'!BV68*100/'2.vize'!$I68,"")</f>
        <v/>
      </c>
      <c r="BL169" s="38" t="str">
        <f>IFERROR('2.vize'!BW68*100/'2.vize'!$I68,"")</f>
        <v/>
      </c>
      <c r="BM169" s="38" t="str">
        <f>IFERROR('2.vize'!BX68*100/'2.vize'!$I68,"")</f>
        <v/>
      </c>
      <c r="BN169" s="38" t="str">
        <f>IFERROR('2.vize'!BY68*100/'2.vize'!$I68,"")</f>
        <v/>
      </c>
      <c r="BO169" s="38" t="str">
        <f>IFERROR('2.vize'!BZ68*100/'2.vize'!$I68,"")</f>
        <v/>
      </c>
      <c r="BP169" s="38" t="str">
        <f>IFERROR('2.vize'!CA68*100/'2.vize'!$I68,"")</f>
        <v/>
      </c>
      <c r="BQ169" s="38" t="str">
        <f>IFERROR('2.vize'!CB68*100/'2.vize'!$I68,"")</f>
        <v/>
      </c>
      <c r="BR169" s="38" t="str">
        <f>IFERROR('2.vize'!CC68*100/'2.vize'!$I68,"")</f>
        <v/>
      </c>
      <c r="BS169" s="38" t="str">
        <f>IFERROR('2.vize'!CD68*100/'2.vize'!$I68,"")</f>
        <v/>
      </c>
      <c r="BT169" s="38" t="str">
        <f>IFERROR('2.vize'!CE68*100/'2.vize'!$I68,"")</f>
        <v/>
      </c>
      <c r="BU169" s="38" t="str">
        <f>IFERROR('2.vize'!CF68*100/'2.vize'!$I68,"")</f>
        <v/>
      </c>
      <c r="BV169" s="38" t="str">
        <f>IFERROR('2.vize'!CG68*100/'2.vize'!$I68,"")</f>
        <v/>
      </c>
      <c r="BW169" s="38" t="str">
        <f>IFERROR('2.vize'!CH68*100/'2.vize'!$I68,"")</f>
        <v/>
      </c>
      <c r="BX169" s="38" t="str">
        <f>IFERROR('2.vize'!CI68*100/'2.vize'!$I68,"")</f>
        <v/>
      </c>
      <c r="BY169" s="38" t="str">
        <f>IFERROR('2.vize'!CJ68*100/'2.vize'!$I68,"")</f>
        <v/>
      </c>
      <c r="BZ169" s="38" t="str">
        <f>IFERROR('2.vize'!CK68*100/'2.vize'!$I68,"")</f>
        <v/>
      </c>
      <c r="CA169" s="38" t="str">
        <f>IFERROR('2.vize'!CL68*100/'2.vize'!$I68,"")</f>
        <v/>
      </c>
      <c r="CB169" s="38" t="str">
        <f>IFERROR('2.vize'!CM68*100/'2.vize'!$I68,"")</f>
        <v/>
      </c>
      <c r="CC169" s="38" t="str">
        <f>IFERROR('2.vize'!CN68*100/'2.vize'!$I68,"")</f>
        <v/>
      </c>
      <c r="CD169" s="38" t="str">
        <f>IFERROR('2.vize'!CO68*100/'2.vize'!$I68,"")</f>
        <v/>
      </c>
      <c r="CE169" s="38" t="str">
        <f>IFERROR('2.vize'!CP68*100/'2.vize'!$I68,"")</f>
        <v/>
      </c>
      <c r="CF169" s="38" t="str">
        <f>IFERROR('2.vize'!CQ68*100/'2.vize'!$I68,"")</f>
        <v/>
      </c>
      <c r="CG169" s="38" t="str">
        <f>IFERROR('2.vize'!CR68*100/'2.vize'!$I68,"")</f>
        <v/>
      </c>
      <c r="CH169" s="38" t="str">
        <f>IFERROR('2.vize'!CS68*100/'2.vize'!$I68,"")</f>
        <v/>
      </c>
      <c r="CI169" s="38" t="str">
        <f>IFERROR('2.vize'!CT68*100/'2.vize'!$I68,"")</f>
        <v/>
      </c>
      <c r="CJ169" s="38" t="str">
        <f>IFERROR('2.vize'!CU68*100/'2.vize'!$I68,"")</f>
        <v/>
      </c>
      <c r="CK169" s="38" t="str">
        <f>IFERROR('2.vize'!CV68*100/'2.vize'!$I68,"")</f>
        <v/>
      </c>
      <c r="CL169" s="38" t="str">
        <f>IFERROR('2.vize'!CW68*100/'2.vize'!$I68,"")</f>
        <v/>
      </c>
      <c r="CM169" s="38" t="str">
        <f>IFERROR('2.vize'!CX68*100/'2.vize'!$I68,"")</f>
        <v/>
      </c>
      <c r="CN169" s="38" t="str">
        <f>IFERROR('2.vize'!CY68*100/'2.vize'!$I68,"")</f>
        <v/>
      </c>
      <c r="CO169" s="38" t="str">
        <f>IFERROR('2.vize'!CZ68*100/'2.vize'!$I68,"")</f>
        <v/>
      </c>
      <c r="CP169" s="38" t="str">
        <f>IFERROR('2.vize'!DA68*100/'2.vize'!$I68,"")</f>
        <v/>
      </c>
      <c r="CQ169" s="38" t="str">
        <f>IFERROR('2.vize'!DB68*100/'2.vize'!$I68,"")</f>
        <v/>
      </c>
      <c r="CR169" s="38" t="str">
        <f>IFERROR('2.vize'!DC68*100/'2.vize'!$I68,"")</f>
        <v/>
      </c>
      <c r="CS169" s="38" t="str">
        <f>IFERROR('2.vize'!DD68*100/'2.vize'!$I68,"")</f>
        <v/>
      </c>
      <c r="CT169" s="38" t="str">
        <f>IFERROR('2.vize'!DE68*100/'2.vize'!$I68,"")</f>
        <v/>
      </c>
      <c r="CU169" s="38" t="str">
        <f>IFERROR('2.vize'!DF68*100/'2.vize'!$I68,"")</f>
        <v/>
      </c>
      <c r="CV169" s="38" t="str">
        <f>IFERROR('2.vize'!DG68*100/'2.vize'!$I68,"")</f>
        <v/>
      </c>
      <c r="CW169" s="32" t="str">
        <f>IFERROR(SUM(A169:CV169)/'2.vize'!$DH$103,"")</f>
        <v/>
      </c>
      <c r="CX169" s="14" t="str">
        <f>IF(COUNTA('2.vize'!A68),'2.vize'!A68,"")</f>
        <v/>
      </c>
      <c r="CY169" s="14" t="str">
        <f>IF(COUNTA('2.vize'!B68),'2.vize'!B68,"")</f>
        <v/>
      </c>
      <c r="CZ169" s="14" t="str">
        <f>IF(COUNTA('2.vize'!C68),'2.vize'!C68,"")</f>
        <v/>
      </c>
      <c r="DA169" s="14" t="str">
        <f>IF(COUNTA('2.vize'!D68),'2.vize'!D68,"")</f>
        <v/>
      </c>
      <c r="DB169" s="14" t="str">
        <f>IF(COUNTA('2.vize'!E68),'2.vize'!E68,"")</f>
        <v/>
      </c>
      <c r="DC169" s="14" t="str">
        <f>IF(COUNTA('2.vize'!F68),'2.vize'!F68,"")</f>
        <v/>
      </c>
      <c r="DD169" s="14" t="str">
        <f>IF(COUNTA('2.vize'!G68),'2.vize'!G68,"")</f>
        <v/>
      </c>
      <c r="DE169" s="14" t="str">
        <f>IF(COUNTA('2.vize'!H68),'2.vize'!H68,"")</f>
        <v/>
      </c>
    </row>
    <row r="170" spans="1:109" x14ac:dyDescent="0.2">
      <c r="A170" s="38" t="str">
        <f>IFERROR('2.vize'!L69*100/'2.vize'!$I69,"")</f>
        <v/>
      </c>
      <c r="B170" s="38" t="str">
        <f>IFERROR('2.vize'!M69*100/'2.vize'!$I69,"")</f>
        <v/>
      </c>
      <c r="C170" s="38" t="str">
        <f>IFERROR('2.vize'!N69*100/'2.vize'!$I69,"")</f>
        <v/>
      </c>
      <c r="D170" s="38" t="str">
        <f>IFERROR('2.vize'!O69*100/'2.vize'!$I69,"")</f>
        <v/>
      </c>
      <c r="E170" s="38" t="str">
        <f>IFERROR('2.vize'!P69*100/'2.vize'!$I69,"")</f>
        <v/>
      </c>
      <c r="F170" s="38" t="str">
        <f>IFERROR('2.vize'!Q69*100/'2.vize'!$I69,"")</f>
        <v/>
      </c>
      <c r="G170" s="38" t="str">
        <f>IFERROR('2.vize'!R69*100/'2.vize'!$I69,"")</f>
        <v/>
      </c>
      <c r="H170" s="38" t="str">
        <f>IFERROR('2.vize'!S69*100/'2.vize'!$I69,"")</f>
        <v/>
      </c>
      <c r="I170" s="38" t="str">
        <f>IFERROR('2.vize'!T69*100/'2.vize'!$I69,"")</f>
        <v/>
      </c>
      <c r="J170" s="38" t="str">
        <f>IFERROR('2.vize'!U69*100/'2.vize'!$I69,"")</f>
        <v/>
      </c>
      <c r="K170" s="38" t="str">
        <f>IFERROR('2.vize'!V69*100/'2.vize'!$I69,"")</f>
        <v/>
      </c>
      <c r="L170" s="38" t="str">
        <f>IFERROR('2.vize'!W69*100/'2.vize'!$I69,"")</f>
        <v/>
      </c>
      <c r="M170" s="38" t="str">
        <f>IFERROR('2.vize'!X69*100/'2.vize'!$I69,"")</f>
        <v/>
      </c>
      <c r="N170" s="38" t="str">
        <f>IFERROR('2.vize'!Y69*100/'2.vize'!$I69,"")</f>
        <v/>
      </c>
      <c r="O170" s="38" t="str">
        <f>IFERROR('2.vize'!Z69*100/'2.vize'!$I69,"")</f>
        <v/>
      </c>
      <c r="P170" s="38" t="str">
        <f>IFERROR('2.vize'!AA69*100/'2.vize'!$I69,"")</f>
        <v/>
      </c>
      <c r="Q170" s="38" t="str">
        <f>IFERROR('2.vize'!AB69*100/'2.vize'!$I69,"")</f>
        <v/>
      </c>
      <c r="R170" s="38" t="str">
        <f>IFERROR('2.vize'!AC69*100/'2.vize'!$I69,"")</f>
        <v/>
      </c>
      <c r="S170" s="38" t="str">
        <f>IFERROR('2.vize'!AD69*100/'2.vize'!$I69,"")</f>
        <v/>
      </c>
      <c r="T170" s="38" t="str">
        <f>IFERROR('2.vize'!AE69*100/'2.vize'!$I69,"")</f>
        <v/>
      </c>
      <c r="U170" s="38" t="str">
        <f>IFERROR('2.vize'!AF69*100/'2.vize'!$I69,"")</f>
        <v/>
      </c>
      <c r="V170" s="38" t="str">
        <f>IFERROR('2.vize'!AG69*100/'2.vize'!$I69,"")</f>
        <v/>
      </c>
      <c r="W170" s="38" t="str">
        <f>IFERROR('2.vize'!AH69*100/'2.vize'!$I69,"")</f>
        <v/>
      </c>
      <c r="X170" s="38" t="str">
        <f>IFERROR('2.vize'!AI69*100/'2.vize'!$I69,"")</f>
        <v/>
      </c>
      <c r="Y170" s="38" t="str">
        <f>IFERROR('2.vize'!AJ69*100/'2.vize'!$I69,"")</f>
        <v/>
      </c>
      <c r="Z170" s="38" t="str">
        <f>IFERROR('2.vize'!AK69*100/'2.vize'!$I69,"")</f>
        <v/>
      </c>
      <c r="AA170" s="38" t="str">
        <f>IFERROR('2.vize'!AL69*100/'2.vize'!$I69,"")</f>
        <v/>
      </c>
      <c r="AB170" s="38" t="str">
        <f>IFERROR('2.vize'!AM69*100/'2.vize'!$I69,"")</f>
        <v/>
      </c>
      <c r="AC170" s="38" t="str">
        <f>IFERROR('2.vize'!AN69*100/'2.vize'!$I69,"")</f>
        <v/>
      </c>
      <c r="AD170" s="38" t="str">
        <f>IFERROR('2.vize'!AO69*100/'2.vize'!$I69,"")</f>
        <v/>
      </c>
      <c r="AE170" s="38" t="str">
        <f>IFERROR('2.vize'!AP69*100/'2.vize'!$I69,"")</f>
        <v/>
      </c>
      <c r="AF170" s="38" t="str">
        <f>IFERROR('2.vize'!AQ69*100/'2.vize'!$I69,"")</f>
        <v/>
      </c>
      <c r="AG170" s="38" t="str">
        <f>IFERROR('2.vize'!AR69*100/'2.vize'!$I69,"")</f>
        <v/>
      </c>
      <c r="AH170" s="38" t="str">
        <f>IFERROR('2.vize'!AS69*100/'2.vize'!$I69,"")</f>
        <v/>
      </c>
      <c r="AI170" s="38" t="str">
        <f>IFERROR('2.vize'!AT69*100/'2.vize'!$I69,"")</f>
        <v/>
      </c>
      <c r="AJ170" s="38" t="str">
        <f>IFERROR('2.vize'!AU69*100/'2.vize'!$I69,"")</f>
        <v/>
      </c>
      <c r="AK170" s="38" t="str">
        <f>IFERROR('2.vize'!AV69*100/'2.vize'!$I69,"")</f>
        <v/>
      </c>
      <c r="AL170" s="38" t="str">
        <f>IFERROR('2.vize'!AW69*100/'2.vize'!$I69,"")</f>
        <v/>
      </c>
      <c r="AM170" s="38" t="str">
        <f>IFERROR('2.vize'!AX69*100/'2.vize'!$I69,"")</f>
        <v/>
      </c>
      <c r="AN170" s="38" t="str">
        <f>IFERROR('2.vize'!AY69*100/'2.vize'!$I69,"")</f>
        <v/>
      </c>
      <c r="AO170" s="38" t="str">
        <f>IFERROR('2.vize'!AZ69*100/'2.vize'!$I69,"")</f>
        <v/>
      </c>
      <c r="AP170" s="38" t="str">
        <f>IFERROR('2.vize'!BA69*100/'2.vize'!$I69,"")</f>
        <v/>
      </c>
      <c r="AQ170" s="38" t="str">
        <f>IFERROR('2.vize'!BB69*100/'2.vize'!$I69,"")</f>
        <v/>
      </c>
      <c r="AR170" s="38" t="str">
        <f>IFERROR('2.vize'!BC69*100/'2.vize'!$I69,"")</f>
        <v/>
      </c>
      <c r="AS170" s="38" t="str">
        <f>IFERROR('2.vize'!BD69*100/'2.vize'!$I69,"")</f>
        <v/>
      </c>
      <c r="AT170" s="38" t="str">
        <f>IFERROR('2.vize'!BE69*100/'2.vize'!$I69,"")</f>
        <v/>
      </c>
      <c r="AU170" s="38" t="str">
        <f>IFERROR('2.vize'!BF69*100/'2.vize'!$I69,"")</f>
        <v/>
      </c>
      <c r="AV170" s="38" t="str">
        <f>IFERROR('2.vize'!BG69*100/'2.vize'!$I69,"")</f>
        <v/>
      </c>
      <c r="AW170" s="38" t="str">
        <f>IFERROR('2.vize'!BH69*100/'2.vize'!$I69,"")</f>
        <v/>
      </c>
      <c r="AX170" s="38" t="str">
        <f>IFERROR('2.vize'!BI69*100/'2.vize'!$I69,"")</f>
        <v/>
      </c>
      <c r="AY170" s="38" t="str">
        <f>IFERROR('2.vize'!BJ69*100/'2.vize'!$I69,"")</f>
        <v/>
      </c>
      <c r="AZ170" s="38" t="str">
        <f>IFERROR('2.vize'!BK69*100/'2.vize'!$I69,"")</f>
        <v/>
      </c>
      <c r="BA170" s="38" t="str">
        <f>IFERROR('2.vize'!BL69*100/'2.vize'!$I69,"")</f>
        <v/>
      </c>
      <c r="BB170" s="38" t="str">
        <f>IFERROR('2.vize'!BM69*100/'2.vize'!$I69,"")</f>
        <v/>
      </c>
      <c r="BC170" s="38" t="str">
        <f>IFERROR('2.vize'!BN69*100/'2.vize'!$I69,"")</f>
        <v/>
      </c>
      <c r="BD170" s="38" t="str">
        <f>IFERROR('2.vize'!BO69*100/'2.vize'!$I69,"")</f>
        <v/>
      </c>
      <c r="BE170" s="38" t="str">
        <f>IFERROR('2.vize'!BP69*100/'2.vize'!$I69,"")</f>
        <v/>
      </c>
      <c r="BF170" s="38" t="str">
        <f>IFERROR('2.vize'!BQ69*100/'2.vize'!$I69,"")</f>
        <v/>
      </c>
      <c r="BG170" s="38" t="str">
        <f>IFERROR('2.vize'!BR69*100/'2.vize'!$I69,"")</f>
        <v/>
      </c>
      <c r="BH170" s="38" t="str">
        <f>IFERROR('2.vize'!BS69*100/'2.vize'!$I69,"")</f>
        <v/>
      </c>
      <c r="BI170" s="38" t="str">
        <f>IFERROR('2.vize'!BT69*100/'2.vize'!$I69,"")</f>
        <v/>
      </c>
      <c r="BJ170" s="38" t="str">
        <f>IFERROR('2.vize'!BU69*100/'2.vize'!$I69,"")</f>
        <v/>
      </c>
      <c r="BK170" s="38" t="str">
        <f>IFERROR('2.vize'!BV69*100/'2.vize'!$I69,"")</f>
        <v/>
      </c>
      <c r="BL170" s="38" t="str">
        <f>IFERROR('2.vize'!BW69*100/'2.vize'!$I69,"")</f>
        <v/>
      </c>
      <c r="BM170" s="38" t="str">
        <f>IFERROR('2.vize'!BX69*100/'2.vize'!$I69,"")</f>
        <v/>
      </c>
      <c r="BN170" s="38" t="str">
        <f>IFERROR('2.vize'!BY69*100/'2.vize'!$I69,"")</f>
        <v/>
      </c>
      <c r="BO170" s="38" t="str">
        <f>IFERROR('2.vize'!BZ69*100/'2.vize'!$I69,"")</f>
        <v/>
      </c>
      <c r="BP170" s="38" t="str">
        <f>IFERROR('2.vize'!CA69*100/'2.vize'!$I69,"")</f>
        <v/>
      </c>
      <c r="BQ170" s="38" t="str">
        <f>IFERROR('2.vize'!CB69*100/'2.vize'!$I69,"")</f>
        <v/>
      </c>
      <c r="BR170" s="38" t="str">
        <f>IFERROR('2.vize'!CC69*100/'2.vize'!$I69,"")</f>
        <v/>
      </c>
      <c r="BS170" s="38" t="str">
        <f>IFERROR('2.vize'!CD69*100/'2.vize'!$I69,"")</f>
        <v/>
      </c>
      <c r="BT170" s="38" t="str">
        <f>IFERROR('2.vize'!CE69*100/'2.vize'!$I69,"")</f>
        <v/>
      </c>
      <c r="BU170" s="38" t="str">
        <f>IFERROR('2.vize'!CF69*100/'2.vize'!$I69,"")</f>
        <v/>
      </c>
      <c r="BV170" s="38" t="str">
        <f>IFERROR('2.vize'!CG69*100/'2.vize'!$I69,"")</f>
        <v/>
      </c>
      <c r="BW170" s="38" t="str">
        <f>IFERROR('2.vize'!CH69*100/'2.vize'!$I69,"")</f>
        <v/>
      </c>
      <c r="BX170" s="38" t="str">
        <f>IFERROR('2.vize'!CI69*100/'2.vize'!$I69,"")</f>
        <v/>
      </c>
      <c r="BY170" s="38" t="str">
        <f>IFERROR('2.vize'!CJ69*100/'2.vize'!$I69,"")</f>
        <v/>
      </c>
      <c r="BZ170" s="38" t="str">
        <f>IFERROR('2.vize'!CK69*100/'2.vize'!$I69,"")</f>
        <v/>
      </c>
      <c r="CA170" s="38" t="str">
        <f>IFERROR('2.vize'!CL69*100/'2.vize'!$I69,"")</f>
        <v/>
      </c>
      <c r="CB170" s="38" t="str">
        <f>IFERROR('2.vize'!CM69*100/'2.vize'!$I69,"")</f>
        <v/>
      </c>
      <c r="CC170" s="38" t="str">
        <f>IFERROR('2.vize'!CN69*100/'2.vize'!$I69,"")</f>
        <v/>
      </c>
      <c r="CD170" s="38" t="str">
        <f>IFERROR('2.vize'!CO69*100/'2.vize'!$I69,"")</f>
        <v/>
      </c>
      <c r="CE170" s="38" t="str">
        <f>IFERROR('2.vize'!CP69*100/'2.vize'!$I69,"")</f>
        <v/>
      </c>
      <c r="CF170" s="38" t="str">
        <f>IFERROR('2.vize'!CQ69*100/'2.vize'!$I69,"")</f>
        <v/>
      </c>
      <c r="CG170" s="38" t="str">
        <f>IFERROR('2.vize'!CR69*100/'2.vize'!$I69,"")</f>
        <v/>
      </c>
      <c r="CH170" s="38" t="str">
        <f>IFERROR('2.vize'!CS69*100/'2.vize'!$I69,"")</f>
        <v/>
      </c>
      <c r="CI170" s="38" t="str">
        <f>IFERROR('2.vize'!CT69*100/'2.vize'!$I69,"")</f>
        <v/>
      </c>
      <c r="CJ170" s="38" t="str">
        <f>IFERROR('2.vize'!CU69*100/'2.vize'!$I69,"")</f>
        <v/>
      </c>
      <c r="CK170" s="38" t="str">
        <f>IFERROR('2.vize'!CV69*100/'2.vize'!$I69,"")</f>
        <v/>
      </c>
      <c r="CL170" s="38" t="str">
        <f>IFERROR('2.vize'!CW69*100/'2.vize'!$I69,"")</f>
        <v/>
      </c>
      <c r="CM170" s="38" t="str">
        <f>IFERROR('2.vize'!CX69*100/'2.vize'!$I69,"")</f>
        <v/>
      </c>
      <c r="CN170" s="38" t="str">
        <f>IFERROR('2.vize'!CY69*100/'2.vize'!$I69,"")</f>
        <v/>
      </c>
      <c r="CO170" s="38" t="str">
        <f>IFERROR('2.vize'!CZ69*100/'2.vize'!$I69,"")</f>
        <v/>
      </c>
      <c r="CP170" s="38" t="str">
        <f>IFERROR('2.vize'!DA69*100/'2.vize'!$I69,"")</f>
        <v/>
      </c>
      <c r="CQ170" s="38" t="str">
        <f>IFERROR('2.vize'!DB69*100/'2.vize'!$I69,"")</f>
        <v/>
      </c>
      <c r="CR170" s="38" t="str">
        <f>IFERROR('2.vize'!DC69*100/'2.vize'!$I69,"")</f>
        <v/>
      </c>
      <c r="CS170" s="38" t="str">
        <f>IFERROR('2.vize'!DD69*100/'2.vize'!$I69,"")</f>
        <v/>
      </c>
      <c r="CT170" s="38" t="str">
        <f>IFERROR('2.vize'!DE69*100/'2.vize'!$I69,"")</f>
        <v/>
      </c>
      <c r="CU170" s="38" t="str">
        <f>IFERROR('2.vize'!DF69*100/'2.vize'!$I69,"")</f>
        <v/>
      </c>
      <c r="CV170" s="38" t="str">
        <f>IFERROR('2.vize'!DG69*100/'2.vize'!$I69,"")</f>
        <v/>
      </c>
      <c r="CW170" s="32" t="str">
        <f>IFERROR(SUM(A170:CV170)/'2.vize'!$DH$103,"")</f>
        <v/>
      </c>
      <c r="CX170" s="14" t="str">
        <f>IF(COUNTA('2.vize'!A69),'2.vize'!A69,"")</f>
        <v/>
      </c>
      <c r="CY170" s="14" t="str">
        <f>IF(COUNTA('2.vize'!B69),'2.vize'!B69,"")</f>
        <v/>
      </c>
      <c r="CZ170" s="14" t="str">
        <f>IF(COUNTA('2.vize'!C69),'2.vize'!C69,"")</f>
        <v/>
      </c>
      <c r="DA170" s="14" t="str">
        <f>IF(COUNTA('2.vize'!D69),'2.vize'!D69,"")</f>
        <v/>
      </c>
      <c r="DB170" s="14" t="str">
        <f>IF(COUNTA('2.vize'!E69),'2.vize'!E69,"")</f>
        <v/>
      </c>
      <c r="DC170" s="14" t="str">
        <f>IF(COUNTA('2.vize'!F69),'2.vize'!F69,"")</f>
        <v/>
      </c>
      <c r="DD170" s="14" t="str">
        <f>IF(COUNTA('2.vize'!G69),'2.vize'!G69,"")</f>
        <v/>
      </c>
      <c r="DE170" s="14" t="str">
        <f>IF(COUNTA('2.vize'!H69),'2.vize'!H69,"")</f>
        <v/>
      </c>
    </row>
    <row r="171" spans="1:109" x14ac:dyDescent="0.2">
      <c r="A171" s="38" t="str">
        <f>IFERROR('2.vize'!L70*100/'2.vize'!$I70,"")</f>
        <v/>
      </c>
      <c r="B171" s="38" t="str">
        <f>IFERROR('2.vize'!M70*100/'2.vize'!$I70,"")</f>
        <v/>
      </c>
      <c r="C171" s="38" t="str">
        <f>IFERROR('2.vize'!N70*100/'2.vize'!$I70,"")</f>
        <v/>
      </c>
      <c r="D171" s="38" t="str">
        <f>IFERROR('2.vize'!O70*100/'2.vize'!$I70,"")</f>
        <v/>
      </c>
      <c r="E171" s="38" t="str">
        <f>IFERROR('2.vize'!P70*100/'2.vize'!$I70,"")</f>
        <v/>
      </c>
      <c r="F171" s="38" t="str">
        <f>IFERROR('2.vize'!Q70*100/'2.vize'!$I70,"")</f>
        <v/>
      </c>
      <c r="G171" s="38" t="str">
        <f>IFERROR('2.vize'!R70*100/'2.vize'!$I70,"")</f>
        <v/>
      </c>
      <c r="H171" s="38" t="str">
        <f>IFERROR('2.vize'!S70*100/'2.vize'!$I70,"")</f>
        <v/>
      </c>
      <c r="I171" s="38" t="str">
        <f>IFERROR('2.vize'!T70*100/'2.vize'!$I70,"")</f>
        <v/>
      </c>
      <c r="J171" s="38" t="str">
        <f>IFERROR('2.vize'!U70*100/'2.vize'!$I70,"")</f>
        <v/>
      </c>
      <c r="K171" s="38" t="str">
        <f>IFERROR('2.vize'!V70*100/'2.vize'!$I70,"")</f>
        <v/>
      </c>
      <c r="L171" s="38" t="str">
        <f>IFERROR('2.vize'!W70*100/'2.vize'!$I70,"")</f>
        <v/>
      </c>
      <c r="M171" s="38" t="str">
        <f>IFERROR('2.vize'!X70*100/'2.vize'!$I70,"")</f>
        <v/>
      </c>
      <c r="N171" s="38" t="str">
        <f>IFERROR('2.vize'!Y70*100/'2.vize'!$I70,"")</f>
        <v/>
      </c>
      <c r="O171" s="38" t="str">
        <f>IFERROR('2.vize'!Z70*100/'2.vize'!$I70,"")</f>
        <v/>
      </c>
      <c r="P171" s="38" t="str">
        <f>IFERROR('2.vize'!AA70*100/'2.vize'!$I70,"")</f>
        <v/>
      </c>
      <c r="Q171" s="38" t="str">
        <f>IFERROR('2.vize'!AB70*100/'2.vize'!$I70,"")</f>
        <v/>
      </c>
      <c r="R171" s="38" t="str">
        <f>IFERROR('2.vize'!AC70*100/'2.vize'!$I70,"")</f>
        <v/>
      </c>
      <c r="S171" s="38" t="str">
        <f>IFERROR('2.vize'!AD70*100/'2.vize'!$I70,"")</f>
        <v/>
      </c>
      <c r="T171" s="38" t="str">
        <f>IFERROR('2.vize'!AE70*100/'2.vize'!$I70,"")</f>
        <v/>
      </c>
      <c r="U171" s="38" t="str">
        <f>IFERROR('2.vize'!AF70*100/'2.vize'!$I70,"")</f>
        <v/>
      </c>
      <c r="V171" s="38" t="str">
        <f>IFERROR('2.vize'!AG70*100/'2.vize'!$I70,"")</f>
        <v/>
      </c>
      <c r="W171" s="38" t="str">
        <f>IFERROR('2.vize'!AH70*100/'2.vize'!$I70,"")</f>
        <v/>
      </c>
      <c r="X171" s="38" t="str">
        <f>IFERROR('2.vize'!AI70*100/'2.vize'!$I70,"")</f>
        <v/>
      </c>
      <c r="Y171" s="38" t="str">
        <f>IFERROR('2.vize'!AJ70*100/'2.vize'!$I70,"")</f>
        <v/>
      </c>
      <c r="Z171" s="38" t="str">
        <f>IFERROR('2.vize'!AK70*100/'2.vize'!$I70,"")</f>
        <v/>
      </c>
      <c r="AA171" s="38" t="str">
        <f>IFERROR('2.vize'!AL70*100/'2.vize'!$I70,"")</f>
        <v/>
      </c>
      <c r="AB171" s="38" t="str">
        <f>IFERROR('2.vize'!AM70*100/'2.vize'!$I70,"")</f>
        <v/>
      </c>
      <c r="AC171" s="38" t="str">
        <f>IFERROR('2.vize'!AN70*100/'2.vize'!$I70,"")</f>
        <v/>
      </c>
      <c r="AD171" s="38" t="str">
        <f>IFERROR('2.vize'!AO70*100/'2.vize'!$I70,"")</f>
        <v/>
      </c>
      <c r="AE171" s="38" t="str">
        <f>IFERROR('2.vize'!AP70*100/'2.vize'!$I70,"")</f>
        <v/>
      </c>
      <c r="AF171" s="38" t="str">
        <f>IFERROR('2.vize'!AQ70*100/'2.vize'!$I70,"")</f>
        <v/>
      </c>
      <c r="AG171" s="38" t="str">
        <f>IFERROR('2.vize'!AR70*100/'2.vize'!$I70,"")</f>
        <v/>
      </c>
      <c r="AH171" s="38" t="str">
        <f>IFERROR('2.vize'!AS70*100/'2.vize'!$I70,"")</f>
        <v/>
      </c>
      <c r="AI171" s="38" t="str">
        <f>IFERROR('2.vize'!AT70*100/'2.vize'!$I70,"")</f>
        <v/>
      </c>
      <c r="AJ171" s="38" t="str">
        <f>IFERROR('2.vize'!AU70*100/'2.vize'!$I70,"")</f>
        <v/>
      </c>
      <c r="AK171" s="38" t="str">
        <f>IFERROR('2.vize'!AV70*100/'2.vize'!$I70,"")</f>
        <v/>
      </c>
      <c r="AL171" s="38" t="str">
        <f>IFERROR('2.vize'!AW70*100/'2.vize'!$I70,"")</f>
        <v/>
      </c>
      <c r="AM171" s="38" t="str">
        <f>IFERROR('2.vize'!AX70*100/'2.vize'!$I70,"")</f>
        <v/>
      </c>
      <c r="AN171" s="38" t="str">
        <f>IFERROR('2.vize'!AY70*100/'2.vize'!$I70,"")</f>
        <v/>
      </c>
      <c r="AO171" s="38" t="str">
        <f>IFERROR('2.vize'!AZ70*100/'2.vize'!$I70,"")</f>
        <v/>
      </c>
      <c r="AP171" s="38" t="str">
        <f>IFERROR('2.vize'!BA70*100/'2.vize'!$I70,"")</f>
        <v/>
      </c>
      <c r="AQ171" s="38" t="str">
        <f>IFERROR('2.vize'!BB70*100/'2.vize'!$I70,"")</f>
        <v/>
      </c>
      <c r="AR171" s="38" t="str">
        <f>IFERROR('2.vize'!BC70*100/'2.vize'!$I70,"")</f>
        <v/>
      </c>
      <c r="AS171" s="38" t="str">
        <f>IFERROR('2.vize'!BD70*100/'2.vize'!$I70,"")</f>
        <v/>
      </c>
      <c r="AT171" s="38" t="str">
        <f>IFERROR('2.vize'!BE70*100/'2.vize'!$I70,"")</f>
        <v/>
      </c>
      <c r="AU171" s="38" t="str">
        <f>IFERROR('2.vize'!BF70*100/'2.vize'!$I70,"")</f>
        <v/>
      </c>
      <c r="AV171" s="38" t="str">
        <f>IFERROR('2.vize'!BG70*100/'2.vize'!$I70,"")</f>
        <v/>
      </c>
      <c r="AW171" s="38" t="str">
        <f>IFERROR('2.vize'!BH70*100/'2.vize'!$I70,"")</f>
        <v/>
      </c>
      <c r="AX171" s="38" t="str">
        <f>IFERROR('2.vize'!BI70*100/'2.vize'!$I70,"")</f>
        <v/>
      </c>
      <c r="AY171" s="38" t="str">
        <f>IFERROR('2.vize'!BJ70*100/'2.vize'!$I70,"")</f>
        <v/>
      </c>
      <c r="AZ171" s="38" t="str">
        <f>IFERROR('2.vize'!BK70*100/'2.vize'!$I70,"")</f>
        <v/>
      </c>
      <c r="BA171" s="38" t="str">
        <f>IFERROR('2.vize'!BL70*100/'2.vize'!$I70,"")</f>
        <v/>
      </c>
      <c r="BB171" s="38" t="str">
        <f>IFERROR('2.vize'!BM70*100/'2.vize'!$I70,"")</f>
        <v/>
      </c>
      <c r="BC171" s="38" t="str">
        <f>IFERROR('2.vize'!BN70*100/'2.vize'!$I70,"")</f>
        <v/>
      </c>
      <c r="BD171" s="38" t="str">
        <f>IFERROR('2.vize'!BO70*100/'2.vize'!$I70,"")</f>
        <v/>
      </c>
      <c r="BE171" s="38" t="str">
        <f>IFERROR('2.vize'!BP70*100/'2.vize'!$I70,"")</f>
        <v/>
      </c>
      <c r="BF171" s="38" t="str">
        <f>IFERROR('2.vize'!BQ70*100/'2.vize'!$I70,"")</f>
        <v/>
      </c>
      <c r="BG171" s="38" t="str">
        <f>IFERROR('2.vize'!BR70*100/'2.vize'!$I70,"")</f>
        <v/>
      </c>
      <c r="BH171" s="38" t="str">
        <f>IFERROR('2.vize'!BS70*100/'2.vize'!$I70,"")</f>
        <v/>
      </c>
      <c r="BI171" s="38" t="str">
        <f>IFERROR('2.vize'!BT70*100/'2.vize'!$I70,"")</f>
        <v/>
      </c>
      <c r="BJ171" s="38" t="str">
        <f>IFERROR('2.vize'!BU70*100/'2.vize'!$I70,"")</f>
        <v/>
      </c>
      <c r="BK171" s="38" t="str">
        <f>IFERROR('2.vize'!BV70*100/'2.vize'!$I70,"")</f>
        <v/>
      </c>
      <c r="BL171" s="38" t="str">
        <f>IFERROR('2.vize'!BW70*100/'2.vize'!$I70,"")</f>
        <v/>
      </c>
      <c r="BM171" s="38" t="str">
        <f>IFERROR('2.vize'!BX70*100/'2.vize'!$I70,"")</f>
        <v/>
      </c>
      <c r="BN171" s="38" t="str">
        <f>IFERROR('2.vize'!BY70*100/'2.vize'!$I70,"")</f>
        <v/>
      </c>
      <c r="BO171" s="38" t="str">
        <f>IFERROR('2.vize'!BZ70*100/'2.vize'!$I70,"")</f>
        <v/>
      </c>
      <c r="BP171" s="38" t="str">
        <f>IFERROR('2.vize'!CA70*100/'2.vize'!$I70,"")</f>
        <v/>
      </c>
      <c r="BQ171" s="38" t="str">
        <f>IFERROR('2.vize'!CB70*100/'2.vize'!$I70,"")</f>
        <v/>
      </c>
      <c r="BR171" s="38" t="str">
        <f>IFERROR('2.vize'!CC70*100/'2.vize'!$I70,"")</f>
        <v/>
      </c>
      <c r="BS171" s="38" t="str">
        <f>IFERROR('2.vize'!CD70*100/'2.vize'!$I70,"")</f>
        <v/>
      </c>
      <c r="BT171" s="38" t="str">
        <f>IFERROR('2.vize'!CE70*100/'2.vize'!$I70,"")</f>
        <v/>
      </c>
      <c r="BU171" s="38" t="str">
        <f>IFERROR('2.vize'!CF70*100/'2.vize'!$I70,"")</f>
        <v/>
      </c>
      <c r="BV171" s="38" t="str">
        <f>IFERROR('2.vize'!CG70*100/'2.vize'!$I70,"")</f>
        <v/>
      </c>
      <c r="BW171" s="38" t="str">
        <f>IFERROR('2.vize'!CH70*100/'2.vize'!$I70,"")</f>
        <v/>
      </c>
      <c r="BX171" s="38" t="str">
        <f>IFERROR('2.vize'!CI70*100/'2.vize'!$I70,"")</f>
        <v/>
      </c>
      <c r="BY171" s="38" t="str">
        <f>IFERROR('2.vize'!CJ70*100/'2.vize'!$I70,"")</f>
        <v/>
      </c>
      <c r="BZ171" s="38" t="str">
        <f>IFERROR('2.vize'!CK70*100/'2.vize'!$I70,"")</f>
        <v/>
      </c>
      <c r="CA171" s="38" t="str">
        <f>IFERROR('2.vize'!CL70*100/'2.vize'!$I70,"")</f>
        <v/>
      </c>
      <c r="CB171" s="38" t="str">
        <f>IFERROR('2.vize'!CM70*100/'2.vize'!$I70,"")</f>
        <v/>
      </c>
      <c r="CC171" s="38" t="str">
        <f>IFERROR('2.vize'!CN70*100/'2.vize'!$I70,"")</f>
        <v/>
      </c>
      <c r="CD171" s="38" t="str">
        <f>IFERROR('2.vize'!CO70*100/'2.vize'!$I70,"")</f>
        <v/>
      </c>
      <c r="CE171" s="38" t="str">
        <f>IFERROR('2.vize'!CP70*100/'2.vize'!$I70,"")</f>
        <v/>
      </c>
      <c r="CF171" s="38" t="str">
        <f>IFERROR('2.vize'!CQ70*100/'2.vize'!$I70,"")</f>
        <v/>
      </c>
      <c r="CG171" s="38" t="str">
        <f>IFERROR('2.vize'!CR70*100/'2.vize'!$I70,"")</f>
        <v/>
      </c>
      <c r="CH171" s="38" t="str">
        <f>IFERROR('2.vize'!CS70*100/'2.vize'!$I70,"")</f>
        <v/>
      </c>
      <c r="CI171" s="38" t="str">
        <f>IFERROR('2.vize'!CT70*100/'2.vize'!$I70,"")</f>
        <v/>
      </c>
      <c r="CJ171" s="38" t="str">
        <f>IFERROR('2.vize'!CU70*100/'2.vize'!$I70,"")</f>
        <v/>
      </c>
      <c r="CK171" s="38" t="str">
        <f>IFERROR('2.vize'!CV70*100/'2.vize'!$I70,"")</f>
        <v/>
      </c>
      <c r="CL171" s="38" t="str">
        <f>IFERROR('2.vize'!CW70*100/'2.vize'!$I70,"")</f>
        <v/>
      </c>
      <c r="CM171" s="38" t="str">
        <f>IFERROR('2.vize'!CX70*100/'2.vize'!$I70,"")</f>
        <v/>
      </c>
      <c r="CN171" s="38" t="str">
        <f>IFERROR('2.vize'!CY70*100/'2.vize'!$I70,"")</f>
        <v/>
      </c>
      <c r="CO171" s="38" t="str">
        <f>IFERROR('2.vize'!CZ70*100/'2.vize'!$I70,"")</f>
        <v/>
      </c>
      <c r="CP171" s="38" t="str">
        <f>IFERROR('2.vize'!DA70*100/'2.vize'!$I70,"")</f>
        <v/>
      </c>
      <c r="CQ171" s="38" t="str">
        <f>IFERROR('2.vize'!DB70*100/'2.vize'!$I70,"")</f>
        <v/>
      </c>
      <c r="CR171" s="38" t="str">
        <f>IFERROR('2.vize'!DC70*100/'2.vize'!$I70,"")</f>
        <v/>
      </c>
      <c r="CS171" s="38" t="str">
        <f>IFERROR('2.vize'!DD70*100/'2.vize'!$I70,"")</f>
        <v/>
      </c>
      <c r="CT171" s="38" t="str">
        <f>IFERROR('2.vize'!DE70*100/'2.vize'!$I70,"")</f>
        <v/>
      </c>
      <c r="CU171" s="38" t="str">
        <f>IFERROR('2.vize'!DF70*100/'2.vize'!$I70,"")</f>
        <v/>
      </c>
      <c r="CV171" s="38" t="str">
        <f>IFERROR('2.vize'!DG70*100/'2.vize'!$I70,"")</f>
        <v/>
      </c>
      <c r="CW171" s="32" t="str">
        <f>IFERROR(SUM(A171:CV171)/'2.vize'!$DH$103,"")</f>
        <v/>
      </c>
      <c r="CX171" s="14" t="str">
        <f>IF(COUNTA('2.vize'!A70),'2.vize'!A70,"")</f>
        <v/>
      </c>
      <c r="CY171" s="14" t="str">
        <f>IF(COUNTA('2.vize'!B70),'2.vize'!B70,"")</f>
        <v/>
      </c>
      <c r="CZ171" s="14" t="str">
        <f>IF(COUNTA('2.vize'!C70),'2.vize'!C70,"")</f>
        <v/>
      </c>
      <c r="DA171" s="14" t="str">
        <f>IF(COUNTA('2.vize'!D70),'2.vize'!D70,"")</f>
        <v/>
      </c>
      <c r="DB171" s="14" t="str">
        <f>IF(COUNTA('2.vize'!E70),'2.vize'!E70,"")</f>
        <v/>
      </c>
      <c r="DC171" s="14" t="str">
        <f>IF(COUNTA('2.vize'!F70),'2.vize'!F70,"")</f>
        <v/>
      </c>
      <c r="DD171" s="14" t="str">
        <f>IF(COUNTA('2.vize'!G70),'2.vize'!G70,"")</f>
        <v/>
      </c>
      <c r="DE171" s="14" t="str">
        <f>IF(COUNTA('2.vize'!H70),'2.vize'!H70,"")</f>
        <v/>
      </c>
    </row>
    <row r="172" spans="1:109" x14ac:dyDescent="0.2">
      <c r="A172" s="38" t="str">
        <f>IFERROR('2.vize'!L71*100/'2.vize'!$I71,"")</f>
        <v/>
      </c>
      <c r="B172" s="38" t="str">
        <f>IFERROR('2.vize'!M71*100/'2.vize'!$I71,"")</f>
        <v/>
      </c>
      <c r="C172" s="38" t="str">
        <f>IFERROR('2.vize'!N71*100/'2.vize'!$I71,"")</f>
        <v/>
      </c>
      <c r="D172" s="38" t="str">
        <f>IFERROR('2.vize'!O71*100/'2.vize'!$I71,"")</f>
        <v/>
      </c>
      <c r="E172" s="38" t="str">
        <f>IFERROR('2.vize'!P71*100/'2.vize'!$I71,"")</f>
        <v/>
      </c>
      <c r="F172" s="38" t="str">
        <f>IFERROR('2.vize'!Q71*100/'2.vize'!$I71,"")</f>
        <v/>
      </c>
      <c r="G172" s="38" t="str">
        <f>IFERROR('2.vize'!R71*100/'2.vize'!$I71,"")</f>
        <v/>
      </c>
      <c r="H172" s="38" t="str">
        <f>IFERROR('2.vize'!S71*100/'2.vize'!$I71,"")</f>
        <v/>
      </c>
      <c r="I172" s="38" t="str">
        <f>IFERROR('2.vize'!T71*100/'2.vize'!$I71,"")</f>
        <v/>
      </c>
      <c r="J172" s="38" t="str">
        <f>IFERROR('2.vize'!U71*100/'2.vize'!$I71,"")</f>
        <v/>
      </c>
      <c r="K172" s="38" t="str">
        <f>IFERROR('2.vize'!V71*100/'2.vize'!$I71,"")</f>
        <v/>
      </c>
      <c r="L172" s="38" t="str">
        <f>IFERROR('2.vize'!W71*100/'2.vize'!$I71,"")</f>
        <v/>
      </c>
      <c r="M172" s="38" t="str">
        <f>IFERROR('2.vize'!X71*100/'2.vize'!$I71,"")</f>
        <v/>
      </c>
      <c r="N172" s="38" t="str">
        <f>IFERROR('2.vize'!Y71*100/'2.vize'!$I71,"")</f>
        <v/>
      </c>
      <c r="O172" s="38" t="str">
        <f>IFERROR('2.vize'!Z71*100/'2.vize'!$I71,"")</f>
        <v/>
      </c>
      <c r="P172" s="38" t="str">
        <f>IFERROR('2.vize'!AA71*100/'2.vize'!$I71,"")</f>
        <v/>
      </c>
      <c r="Q172" s="38" t="str">
        <f>IFERROR('2.vize'!AB71*100/'2.vize'!$I71,"")</f>
        <v/>
      </c>
      <c r="R172" s="38" t="str">
        <f>IFERROR('2.vize'!AC71*100/'2.vize'!$I71,"")</f>
        <v/>
      </c>
      <c r="S172" s="38" t="str">
        <f>IFERROR('2.vize'!AD71*100/'2.vize'!$I71,"")</f>
        <v/>
      </c>
      <c r="T172" s="38" t="str">
        <f>IFERROR('2.vize'!AE71*100/'2.vize'!$I71,"")</f>
        <v/>
      </c>
      <c r="U172" s="38" t="str">
        <f>IFERROR('2.vize'!AF71*100/'2.vize'!$I71,"")</f>
        <v/>
      </c>
      <c r="V172" s="38" t="str">
        <f>IFERROR('2.vize'!AG71*100/'2.vize'!$I71,"")</f>
        <v/>
      </c>
      <c r="W172" s="38" t="str">
        <f>IFERROR('2.vize'!AH71*100/'2.vize'!$I71,"")</f>
        <v/>
      </c>
      <c r="X172" s="38" t="str">
        <f>IFERROR('2.vize'!AI71*100/'2.vize'!$I71,"")</f>
        <v/>
      </c>
      <c r="Y172" s="38" t="str">
        <f>IFERROR('2.vize'!AJ71*100/'2.vize'!$I71,"")</f>
        <v/>
      </c>
      <c r="Z172" s="38" t="str">
        <f>IFERROR('2.vize'!AK71*100/'2.vize'!$I71,"")</f>
        <v/>
      </c>
      <c r="AA172" s="38" t="str">
        <f>IFERROR('2.vize'!AL71*100/'2.vize'!$I71,"")</f>
        <v/>
      </c>
      <c r="AB172" s="38" t="str">
        <f>IFERROR('2.vize'!AM71*100/'2.vize'!$I71,"")</f>
        <v/>
      </c>
      <c r="AC172" s="38" t="str">
        <f>IFERROR('2.vize'!AN71*100/'2.vize'!$I71,"")</f>
        <v/>
      </c>
      <c r="AD172" s="38" t="str">
        <f>IFERROR('2.vize'!AO71*100/'2.vize'!$I71,"")</f>
        <v/>
      </c>
      <c r="AE172" s="38" t="str">
        <f>IFERROR('2.vize'!AP71*100/'2.vize'!$I71,"")</f>
        <v/>
      </c>
      <c r="AF172" s="38" t="str">
        <f>IFERROR('2.vize'!AQ71*100/'2.vize'!$I71,"")</f>
        <v/>
      </c>
      <c r="AG172" s="38" t="str">
        <f>IFERROR('2.vize'!AR71*100/'2.vize'!$I71,"")</f>
        <v/>
      </c>
      <c r="AH172" s="38" t="str">
        <f>IFERROR('2.vize'!AS71*100/'2.vize'!$I71,"")</f>
        <v/>
      </c>
      <c r="AI172" s="38" t="str">
        <f>IFERROR('2.vize'!AT71*100/'2.vize'!$I71,"")</f>
        <v/>
      </c>
      <c r="AJ172" s="38" t="str">
        <f>IFERROR('2.vize'!AU71*100/'2.vize'!$I71,"")</f>
        <v/>
      </c>
      <c r="AK172" s="38" t="str">
        <f>IFERROR('2.vize'!AV71*100/'2.vize'!$I71,"")</f>
        <v/>
      </c>
      <c r="AL172" s="38" t="str">
        <f>IFERROR('2.vize'!AW71*100/'2.vize'!$I71,"")</f>
        <v/>
      </c>
      <c r="AM172" s="38" t="str">
        <f>IFERROR('2.vize'!AX71*100/'2.vize'!$I71,"")</f>
        <v/>
      </c>
      <c r="AN172" s="38" t="str">
        <f>IFERROR('2.vize'!AY71*100/'2.vize'!$I71,"")</f>
        <v/>
      </c>
      <c r="AO172" s="38" t="str">
        <f>IFERROR('2.vize'!AZ71*100/'2.vize'!$I71,"")</f>
        <v/>
      </c>
      <c r="AP172" s="38" t="str">
        <f>IFERROR('2.vize'!BA71*100/'2.vize'!$I71,"")</f>
        <v/>
      </c>
      <c r="AQ172" s="38" t="str">
        <f>IFERROR('2.vize'!BB71*100/'2.vize'!$I71,"")</f>
        <v/>
      </c>
      <c r="AR172" s="38" t="str">
        <f>IFERROR('2.vize'!BC71*100/'2.vize'!$I71,"")</f>
        <v/>
      </c>
      <c r="AS172" s="38" t="str">
        <f>IFERROR('2.vize'!BD71*100/'2.vize'!$I71,"")</f>
        <v/>
      </c>
      <c r="AT172" s="38" t="str">
        <f>IFERROR('2.vize'!BE71*100/'2.vize'!$I71,"")</f>
        <v/>
      </c>
      <c r="AU172" s="38" t="str">
        <f>IFERROR('2.vize'!BF71*100/'2.vize'!$I71,"")</f>
        <v/>
      </c>
      <c r="AV172" s="38" t="str">
        <f>IFERROR('2.vize'!BG71*100/'2.vize'!$I71,"")</f>
        <v/>
      </c>
      <c r="AW172" s="38" t="str">
        <f>IFERROR('2.vize'!BH71*100/'2.vize'!$I71,"")</f>
        <v/>
      </c>
      <c r="AX172" s="38" t="str">
        <f>IFERROR('2.vize'!BI71*100/'2.vize'!$I71,"")</f>
        <v/>
      </c>
      <c r="AY172" s="38" t="str">
        <f>IFERROR('2.vize'!BJ71*100/'2.vize'!$I71,"")</f>
        <v/>
      </c>
      <c r="AZ172" s="38" t="str">
        <f>IFERROR('2.vize'!BK71*100/'2.vize'!$I71,"")</f>
        <v/>
      </c>
      <c r="BA172" s="38" t="str">
        <f>IFERROR('2.vize'!BL71*100/'2.vize'!$I71,"")</f>
        <v/>
      </c>
      <c r="BB172" s="38" t="str">
        <f>IFERROR('2.vize'!BM71*100/'2.vize'!$I71,"")</f>
        <v/>
      </c>
      <c r="BC172" s="38" t="str">
        <f>IFERROR('2.vize'!BN71*100/'2.vize'!$I71,"")</f>
        <v/>
      </c>
      <c r="BD172" s="38" t="str">
        <f>IFERROR('2.vize'!BO71*100/'2.vize'!$I71,"")</f>
        <v/>
      </c>
      <c r="BE172" s="38" t="str">
        <f>IFERROR('2.vize'!BP71*100/'2.vize'!$I71,"")</f>
        <v/>
      </c>
      <c r="BF172" s="38" t="str">
        <f>IFERROR('2.vize'!BQ71*100/'2.vize'!$I71,"")</f>
        <v/>
      </c>
      <c r="BG172" s="38" t="str">
        <f>IFERROR('2.vize'!BR71*100/'2.vize'!$I71,"")</f>
        <v/>
      </c>
      <c r="BH172" s="38" t="str">
        <f>IFERROR('2.vize'!BS71*100/'2.vize'!$I71,"")</f>
        <v/>
      </c>
      <c r="BI172" s="38" t="str">
        <f>IFERROR('2.vize'!BT71*100/'2.vize'!$I71,"")</f>
        <v/>
      </c>
      <c r="BJ172" s="38" t="str">
        <f>IFERROR('2.vize'!BU71*100/'2.vize'!$I71,"")</f>
        <v/>
      </c>
      <c r="BK172" s="38" t="str">
        <f>IFERROR('2.vize'!BV71*100/'2.vize'!$I71,"")</f>
        <v/>
      </c>
      <c r="BL172" s="38" t="str">
        <f>IFERROR('2.vize'!BW71*100/'2.vize'!$I71,"")</f>
        <v/>
      </c>
      <c r="BM172" s="38" t="str">
        <f>IFERROR('2.vize'!BX71*100/'2.vize'!$I71,"")</f>
        <v/>
      </c>
      <c r="BN172" s="38" t="str">
        <f>IFERROR('2.vize'!BY71*100/'2.vize'!$I71,"")</f>
        <v/>
      </c>
      <c r="BO172" s="38" t="str">
        <f>IFERROR('2.vize'!BZ71*100/'2.vize'!$I71,"")</f>
        <v/>
      </c>
      <c r="BP172" s="38" t="str">
        <f>IFERROR('2.vize'!CA71*100/'2.vize'!$I71,"")</f>
        <v/>
      </c>
      <c r="BQ172" s="38" t="str">
        <f>IFERROR('2.vize'!CB71*100/'2.vize'!$I71,"")</f>
        <v/>
      </c>
      <c r="BR172" s="38" t="str">
        <f>IFERROR('2.vize'!CC71*100/'2.vize'!$I71,"")</f>
        <v/>
      </c>
      <c r="BS172" s="38" t="str">
        <f>IFERROR('2.vize'!CD71*100/'2.vize'!$I71,"")</f>
        <v/>
      </c>
      <c r="BT172" s="38" t="str">
        <f>IFERROR('2.vize'!CE71*100/'2.vize'!$I71,"")</f>
        <v/>
      </c>
      <c r="BU172" s="38" t="str">
        <f>IFERROR('2.vize'!CF71*100/'2.vize'!$I71,"")</f>
        <v/>
      </c>
      <c r="BV172" s="38" t="str">
        <f>IFERROR('2.vize'!CG71*100/'2.vize'!$I71,"")</f>
        <v/>
      </c>
      <c r="BW172" s="38" t="str">
        <f>IFERROR('2.vize'!CH71*100/'2.vize'!$I71,"")</f>
        <v/>
      </c>
      <c r="BX172" s="38" t="str">
        <f>IFERROR('2.vize'!CI71*100/'2.vize'!$I71,"")</f>
        <v/>
      </c>
      <c r="BY172" s="38" t="str">
        <f>IFERROR('2.vize'!CJ71*100/'2.vize'!$I71,"")</f>
        <v/>
      </c>
      <c r="BZ172" s="38" t="str">
        <f>IFERROR('2.vize'!CK71*100/'2.vize'!$I71,"")</f>
        <v/>
      </c>
      <c r="CA172" s="38" t="str">
        <f>IFERROR('2.vize'!CL71*100/'2.vize'!$I71,"")</f>
        <v/>
      </c>
      <c r="CB172" s="38" t="str">
        <f>IFERROR('2.vize'!CM71*100/'2.vize'!$I71,"")</f>
        <v/>
      </c>
      <c r="CC172" s="38" t="str">
        <f>IFERROR('2.vize'!CN71*100/'2.vize'!$I71,"")</f>
        <v/>
      </c>
      <c r="CD172" s="38" t="str">
        <f>IFERROR('2.vize'!CO71*100/'2.vize'!$I71,"")</f>
        <v/>
      </c>
      <c r="CE172" s="38" t="str">
        <f>IFERROR('2.vize'!CP71*100/'2.vize'!$I71,"")</f>
        <v/>
      </c>
      <c r="CF172" s="38" t="str">
        <f>IFERROR('2.vize'!CQ71*100/'2.vize'!$I71,"")</f>
        <v/>
      </c>
      <c r="CG172" s="38" t="str">
        <f>IFERROR('2.vize'!CR71*100/'2.vize'!$I71,"")</f>
        <v/>
      </c>
      <c r="CH172" s="38" t="str">
        <f>IFERROR('2.vize'!CS71*100/'2.vize'!$I71,"")</f>
        <v/>
      </c>
      <c r="CI172" s="38" t="str">
        <f>IFERROR('2.vize'!CT71*100/'2.vize'!$I71,"")</f>
        <v/>
      </c>
      <c r="CJ172" s="38" t="str">
        <f>IFERROR('2.vize'!CU71*100/'2.vize'!$I71,"")</f>
        <v/>
      </c>
      <c r="CK172" s="38" t="str">
        <f>IFERROR('2.vize'!CV71*100/'2.vize'!$I71,"")</f>
        <v/>
      </c>
      <c r="CL172" s="38" t="str">
        <f>IFERROR('2.vize'!CW71*100/'2.vize'!$I71,"")</f>
        <v/>
      </c>
      <c r="CM172" s="38" t="str">
        <f>IFERROR('2.vize'!CX71*100/'2.vize'!$I71,"")</f>
        <v/>
      </c>
      <c r="CN172" s="38" t="str">
        <f>IFERROR('2.vize'!CY71*100/'2.vize'!$I71,"")</f>
        <v/>
      </c>
      <c r="CO172" s="38" t="str">
        <f>IFERROR('2.vize'!CZ71*100/'2.vize'!$I71,"")</f>
        <v/>
      </c>
      <c r="CP172" s="38" t="str">
        <f>IFERROR('2.vize'!DA71*100/'2.vize'!$I71,"")</f>
        <v/>
      </c>
      <c r="CQ172" s="38" t="str">
        <f>IFERROR('2.vize'!DB71*100/'2.vize'!$I71,"")</f>
        <v/>
      </c>
      <c r="CR172" s="38" t="str">
        <f>IFERROR('2.vize'!DC71*100/'2.vize'!$I71,"")</f>
        <v/>
      </c>
      <c r="CS172" s="38" t="str">
        <f>IFERROR('2.vize'!DD71*100/'2.vize'!$I71,"")</f>
        <v/>
      </c>
      <c r="CT172" s="38" t="str">
        <f>IFERROR('2.vize'!DE71*100/'2.vize'!$I71,"")</f>
        <v/>
      </c>
      <c r="CU172" s="38" t="str">
        <f>IFERROR('2.vize'!DF71*100/'2.vize'!$I71,"")</f>
        <v/>
      </c>
      <c r="CV172" s="38" t="str">
        <f>IFERROR('2.vize'!DG71*100/'2.vize'!$I71,"")</f>
        <v/>
      </c>
      <c r="CW172" s="32" t="str">
        <f>IFERROR(SUM(A172:CV172)/'2.vize'!$DH$103,"")</f>
        <v/>
      </c>
      <c r="CX172" s="14" t="str">
        <f>IF(COUNTA('2.vize'!A71),'2.vize'!A71,"")</f>
        <v/>
      </c>
      <c r="CY172" s="14" t="str">
        <f>IF(COUNTA('2.vize'!B71),'2.vize'!B71,"")</f>
        <v/>
      </c>
      <c r="CZ172" s="14" t="str">
        <f>IF(COUNTA('2.vize'!C71),'2.vize'!C71,"")</f>
        <v/>
      </c>
      <c r="DA172" s="14" t="str">
        <f>IF(COUNTA('2.vize'!D71),'2.vize'!D71,"")</f>
        <v/>
      </c>
      <c r="DB172" s="14" t="str">
        <f>IF(COUNTA('2.vize'!E71),'2.vize'!E71,"")</f>
        <v/>
      </c>
      <c r="DC172" s="14" t="str">
        <f>IF(COUNTA('2.vize'!F71),'2.vize'!F71,"")</f>
        <v/>
      </c>
      <c r="DD172" s="14" t="str">
        <f>IF(COUNTA('2.vize'!G71),'2.vize'!G71,"")</f>
        <v/>
      </c>
      <c r="DE172" s="14" t="str">
        <f>IF(COUNTA('2.vize'!H71),'2.vize'!H71,"")</f>
        <v/>
      </c>
    </row>
    <row r="173" spans="1:109" x14ac:dyDescent="0.2">
      <c r="A173" s="38" t="str">
        <f>IFERROR('2.vize'!L72*100/'2.vize'!$I72,"")</f>
        <v/>
      </c>
      <c r="B173" s="38" t="str">
        <f>IFERROR('2.vize'!M72*100/'2.vize'!$I72,"")</f>
        <v/>
      </c>
      <c r="C173" s="38" t="str">
        <f>IFERROR('2.vize'!N72*100/'2.vize'!$I72,"")</f>
        <v/>
      </c>
      <c r="D173" s="38" t="str">
        <f>IFERROR('2.vize'!O72*100/'2.vize'!$I72,"")</f>
        <v/>
      </c>
      <c r="E173" s="38" t="str">
        <f>IFERROR('2.vize'!P72*100/'2.vize'!$I72,"")</f>
        <v/>
      </c>
      <c r="F173" s="38" t="str">
        <f>IFERROR('2.vize'!Q72*100/'2.vize'!$I72,"")</f>
        <v/>
      </c>
      <c r="G173" s="38" t="str">
        <f>IFERROR('2.vize'!R72*100/'2.vize'!$I72,"")</f>
        <v/>
      </c>
      <c r="H173" s="38" t="str">
        <f>IFERROR('2.vize'!S72*100/'2.vize'!$I72,"")</f>
        <v/>
      </c>
      <c r="I173" s="38" t="str">
        <f>IFERROR('2.vize'!T72*100/'2.vize'!$I72,"")</f>
        <v/>
      </c>
      <c r="J173" s="38" t="str">
        <f>IFERROR('2.vize'!U72*100/'2.vize'!$I72,"")</f>
        <v/>
      </c>
      <c r="K173" s="38" t="str">
        <f>IFERROR('2.vize'!V72*100/'2.vize'!$I72,"")</f>
        <v/>
      </c>
      <c r="L173" s="38" t="str">
        <f>IFERROR('2.vize'!W72*100/'2.vize'!$I72,"")</f>
        <v/>
      </c>
      <c r="M173" s="38" t="str">
        <f>IFERROR('2.vize'!X72*100/'2.vize'!$I72,"")</f>
        <v/>
      </c>
      <c r="N173" s="38" t="str">
        <f>IFERROR('2.vize'!Y72*100/'2.vize'!$I72,"")</f>
        <v/>
      </c>
      <c r="O173" s="38" t="str">
        <f>IFERROR('2.vize'!Z72*100/'2.vize'!$I72,"")</f>
        <v/>
      </c>
      <c r="P173" s="38" t="str">
        <f>IFERROR('2.vize'!AA72*100/'2.vize'!$I72,"")</f>
        <v/>
      </c>
      <c r="Q173" s="38" t="str">
        <f>IFERROR('2.vize'!AB72*100/'2.vize'!$I72,"")</f>
        <v/>
      </c>
      <c r="R173" s="38" t="str">
        <f>IFERROR('2.vize'!AC72*100/'2.vize'!$I72,"")</f>
        <v/>
      </c>
      <c r="S173" s="38" t="str">
        <f>IFERROR('2.vize'!AD72*100/'2.vize'!$I72,"")</f>
        <v/>
      </c>
      <c r="T173" s="38" t="str">
        <f>IFERROR('2.vize'!AE72*100/'2.vize'!$I72,"")</f>
        <v/>
      </c>
      <c r="U173" s="38" t="str">
        <f>IFERROR('2.vize'!AF72*100/'2.vize'!$I72,"")</f>
        <v/>
      </c>
      <c r="V173" s="38" t="str">
        <f>IFERROR('2.vize'!AG72*100/'2.vize'!$I72,"")</f>
        <v/>
      </c>
      <c r="W173" s="38" t="str">
        <f>IFERROR('2.vize'!AH72*100/'2.vize'!$I72,"")</f>
        <v/>
      </c>
      <c r="X173" s="38" t="str">
        <f>IFERROR('2.vize'!AI72*100/'2.vize'!$I72,"")</f>
        <v/>
      </c>
      <c r="Y173" s="38" t="str">
        <f>IFERROR('2.vize'!AJ72*100/'2.vize'!$I72,"")</f>
        <v/>
      </c>
      <c r="Z173" s="38" t="str">
        <f>IFERROR('2.vize'!AK72*100/'2.vize'!$I72,"")</f>
        <v/>
      </c>
      <c r="AA173" s="38" t="str">
        <f>IFERROR('2.vize'!AL72*100/'2.vize'!$I72,"")</f>
        <v/>
      </c>
      <c r="AB173" s="38" t="str">
        <f>IFERROR('2.vize'!AM72*100/'2.vize'!$I72,"")</f>
        <v/>
      </c>
      <c r="AC173" s="38" t="str">
        <f>IFERROR('2.vize'!AN72*100/'2.vize'!$I72,"")</f>
        <v/>
      </c>
      <c r="AD173" s="38" t="str">
        <f>IFERROR('2.vize'!AO72*100/'2.vize'!$I72,"")</f>
        <v/>
      </c>
      <c r="AE173" s="38" t="str">
        <f>IFERROR('2.vize'!AP72*100/'2.vize'!$I72,"")</f>
        <v/>
      </c>
      <c r="AF173" s="38" t="str">
        <f>IFERROR('2.vize'!AQ72*100/'2.vize'!$I72,"")</f>
        <v/>
      </c>
      <c r="AG173" s="38" t="str">
        <f>IFERROR('2.vize'!AR72*100/'2.vize'!$I72,"")</f>
        <v/>
      </c>
      <c r="AH173" s="38" t="str">
        <f>IFERROR('2.vize'!AS72*100/'2.vize'!$I72,"")</f>
        <v/>
      </c>
      <c r="AI173" s="38" t="str">
        <f>IFERROR('2.vize'!AT72*100/'2.vize'!$I72,"")</f>
        <v/>
      </c>
      <c r="AJ173" s="38" t="str">
        <f>IFERROR('2.vize'!AU72*100/'2.vize'!$I72,"")</f>
        <v/>
      </c>
      <c r="AK173" s="38" t="str">
        <f>IFERROR('2.vize'!AV72*100/'2.vize'!$I72,"")</f>
        <v/>
      </c>
      <c r="AL173" s="38" t="str">
        <f>IFERROR('2.vize'!AW72*100/'2.vize'!$I72,"")</f>
        <v/>
      </c>
      <c r="AM173" s="38" t="str">
        <f>IFERROR('2.vize'!AX72*100/'2.vize'!$I72,"")</f>
        <v/>
      </c>
      <c r="AN173" s="38" t="str">
        <f>IFERROR('2.vize'!AY72*100/'2.vize'!$I72,"")</f>
        <v/>
      </c>
      <c r="AO173" s="38" t="str">
        <f>IFERROR('2.vize'!AZ72*100/'2.vize'!$I72,"")</f>
        <v/>
      </c>
      <c r="AP173" s="38" t="str">
        <f>IFERROR('2.vize'!BA72*100/'2.vize'!$I72,"")</f>
        <v/>
      </c>
      <c r="AQ173" s="38" t="str">
        <f>IFERROR('2.vize'!BB72*100/'2.vize'!$I72,"")</f>
        <v/>
      </c>
      <c r="AR173" s="38" t="str">
        <f>IFERROR('2.vize'!BC72*100/'2.vize'!$I72,"")</f>
        <v/>
      </c>
      <c r="AS173" s="38" t="str">
        <f>IFERROR('2.vize'!BD72*100/'2.vize'!$I72,"")</f>
        <v/>
      </c>
      <c r="AT173" s="38" t="str">
        <f>IFERROR('2.vize'!BE72*100/'2.vize'!$I72,"")</f>
        <v/>
      </c>
      <c r="AU173" s="38" t="str">
        <f>IFERROR('2.vize'!BF72*100/'2.vize'!$I72,"")</f>
        <v/>
      </c>
      <c r="AV173" s="38" t="str">
        <f>IFERROR('2.vize'!BG72*100/'2.vize'!$I72,"")</f>
        <v/>
      </c>
      <c r="AW173" s="38" t="str">
        <f>IFERROR('2.vize'!BH72*100/'2.vize'!$I72,"")</f>
        <v/>
      </c>
      <c r="AX173" s="38" t="str">
        <f>IFERROR('2.vize'!BI72*100/'2.vize'!$I72,"")</f>
        <v/>
      </c>
      <c r="AY173" s="38" t="str">
        <f>IFERROR('2.vize'!BJ72*100/'2.vize'!$I72,"")</f>
        <v/>
      </c>
      <c r="AZ173" s="38" t="str">
        <f>IFERROR('2.vize'!BK72*100/'2.vize'!$I72,"")</f>
        <v/>
      </c>
      <c r="BA173" s="38" t="str">
        <f>IFERROR('2.vize'!BL72*100/'2.vize'!$I72,"")</f>
        <v/>
      </c>
      <c r="BB173" s="38" t="str">
        <f>IFERROR('2.vize'!BM72*100/'2.vize'!$I72,"")</f>
        <v/>
      </c>
      <c r="BC173" s="38" t="str">
        <f>IFERROR('2.vize'!BN72*100/'2.vize'!$I72,"")</f>
        <v/>
      </c>
      <c r="BD173" s="38" t="str">
        <f>IFERROR('2.vize'!BO72*100/'2.vize'!$I72,"")</f>
        <v/>
      </c>
      <c r="BE173" s="38" t="str">
        <f>IFERROR('2.vize'!BP72*100/'2.vize'!$I72,"")</f>
        <v/>
      </c>
      <c r="BF173" s="38" t="str">
        <f>IFERROR('2.vize'!BQ72*100/'2.vize'!$I72,"")</f>
        <v/>
      </c>
      <c r="BG173" s="38" t="str">
        <f>IFERROR('2.vize'!BR72*100/'2.vize'!$I72,"")</f>
        <v/>
      </c>
      <c r="BH173" s="38" t="str">
        <f>IFERROR('2.vize'!BS72*100/'2.vize'!$I72,"")</f>
        <v/>
      </c>
      <c r="BI173" s="38" t="str">
        <f>IFERROR('2.vize'!BT72*100/'2.vize'!$I72,"")</f>
        <v/>
      </c>
      <c r="BJ173" s="38" t="str">
        <f>IFERROR('2.vize'!BU72*100/'2.vize'!$I72,"")</f>
        <v/>
      </c>
      <c r="BK173" s="38" t="str">
        <f>IFERROR('2.vize'!BV72*100/'2.vize'!$I72,"")</f>
        <v/>
      </c>
      <c r="BL173" s="38" t="str">
        <f>IFERROR('2.vize'!BW72*100/'2.vize'!$I72,"")</f>
        <v/>
      </c>
      <c r="BM173" s="38" t="str">
        <f>IFERROR('2.vize'!BX72*100/'2.vize'!$I72,"")</f>
        <v/>
      </c>
      <c r="BN173" s="38" t="str">
        <f>IFERROR('2.vize'!BY72*100/'2.vize'!$I72,"")</f>
        <v/>
      </c>
      <c r="BO173" s="38" t="str">
        <f>IFERROR('2.vize'!BZ72*100/'2.vize'!$I72,"")</f>
        <v/>
      </c>
      <c r="BP173" s="38" t="str">
        <f>IFERROR('2.vize'!CA72*100/'2.vize'!$I72,"")</f>
        <v/>
      </c>
      <c r="BQ173" s="38" t="str">
        <f>IFERROR('2.vize'!CB72*100/'2.vize'!$I72,"")</f>
        <v/>
      </c>
      <c r="BR173" s="38" t="str">
        <f>IFERROR('2.vize'!CC72*100/'2.vize'!$I72,"")</f>
        <v/>
      </c>
      <c r="BS173" s="38" t="str">
        <f>IFERROR('2.vize'!CD72*100/'2.vize'!$I72,"")</f>
        <v/>
      </c>
      <c r="BT173" s="38" t="str">
        <f>IFERROR('2.vize'!CE72*100/'2.vize'!$I72,"")</f>
        <v/>
      </c>
      <c r="BU173" s="38" t="str">
        <f>IFERROR('2.vize'!CF72*100/'2.vize'!$I72,"")</f>
        <v/>
      </c>
      <c r="BV173" s="38" t="str">
        <f>IFERROR('2.vize'!CG72*100/'2.vize'!$I72,"")</f>
        <v/>
      </c>
      <c r="BW173" s="38" t="str">
        <f>IFERROR('2.vize'!CH72*100/'2.vize'!$I72,"")</f>
        <v/>
      </c>
      <c r="BX173" s="38" t="str">
        <f>IFERROR('2.vize'!CI72*100/'2.vize'!$I72,"")</f>
        <v/>
      </c>
      <c r="BY173" s="38" t="str">
        <f>IFERROR('2.vize'!CJ72*100/'2.vize'!$I72,"")</f>
        <v/>
      </c>
      <c r="BZ173" s="38" t="str">
        <f>IFERROR('2.vize'!CK72*100/'2.vize'!$I72,"")</f>
        <v/>
      </c>
      <c r="CA173" s="38" t="str">
        <f>IFERROR('2.vize'!CL72*100/'2.vize'!$I72,"")</f>
        <v/>
      </c>
      <c r="CB173" s="38" t="str">
        <f>IFERROR('2.vize'!CM72*100/'2.vize'!$I72,"")</f>
        <v/>
      </c>
      <c r="CC173" s="38" t="str">
        <f>IFERROR('2.vize'!CN72*100/'2.vize'!$I72,"")</f>
        <v/>
      </c>
      <c r="CD173" s="38" t="str">
        <f>IFERROR('2.vize'!CO72*100/'2.vize'!$I72,"")</f>
        <v/>
      </c>
      <c r="CE173" s="38" t="str">
        <f>IFERROR('2.vize'!CP72*100/'2.vize'!$I72,"")</f>
        <v/>
      </c>
      <c r="CF173" s="38" t="str">
        <f>IFERROR('2.vize'!CQ72*100/'2.vize'!$I72,"")</f>
        <v/>
      </c>
      <c r="CG173" s="38" t="str">
        <f>IFERROR('2.vize'!CR72*100/'2.vize'!$I72,"")</f>
        <v/>
      </c>
      <c r="CH173" s="38" t="str">
        <f>IFERROR('2.vize'!CS72*100/'2.vize'!$I72,"")</f>
        <v/>
      </c>
      <c r="CI173" s="38" t="str">
        <f>IFERROR('2.vize'!CT72*100/'2.vize'!$I72,"")</f>
        <v/>
      </c>
      <c r="CJ173" s="38" t="str">
        <f>IFERROR('2.vize'!CU72*100/'2.vize'!$I72,"")</f>
        <v/>
      </c>
      <c r="CK173" s="38" t="str">
        <f>IFERROR('2.vize'!CV72*100/'2.vize'!$I72,"")</f>
        <v/>
      </c>
      <c r="CL173" s="38" t="str">
        <f>IFERROR('2.vize'!CW72*100/'2.vize'!$I72,"")</f>
        <v/>
      </c>
      <c r="CM173" s="38" t="str">
        <f>IFERROR('2.vize'!CX72*100/'2.vize'!$I72,"")</f>
        <v/>
      </c>
      <c r="CN173" s="38" t="str">
        <f>IFERROR('2.vize'!CY72*100/'2.vize'!$I72,"")</f>
        <v/>
      </c>
      <c r="CO173" s="38" t="str">
        <f>IFERROR('2.vize'!CZ72*100/'2.vize'!$I72,"")</f>
        <v/>
      </c>
      <c r="CP173" s="38" t="str">
        <f>IFERROR('2.vize'!DA72*100/'2.vize'!$I72,"")</f>
        <v/>
      </c>
      <c r="CQ173" s="38" t="str">
        <f>IFERROR('2.vize'!DB72*100/'2.vize'!$I72,"")</f>
        <v/>
      </c>
      <c r="CR173" s="38" t="str">
        <f>IFERROR('2.vize'!DC72*100/'2.vize'!$I72,"")</f>
        <v/>
      </c>
      <c r="CS173" s="38" t="str">
        <f>IFERROR('2.vize'!DD72*100/'2.vize'!$I72,"")</f>
        <v/>
      </c>
      <c r="CT173" s="38" t="str">
        <f>IFERROR('2.vize'!DE72*100/'2.vize'!$I72,"")</f>
        <v/>
      </c>
      <c r="CU173" s="38" t="str">
        <f>IFERROR('2.vize'!DF72*100/'2.vize'!$I72,"")</f>
        <v/>
      </c>
      <c r="CV173" s="38" t="str">
        <f>IFERROR('2.vize'!DG72*100/'2.vize'!$I72,"")</f>
        <v/>
      </c>
      <c r="CW173" s="32" t="str">
        <f>IFERROR(SUM(A173:CV173)/'2.vize'!$DH$103,"")</f>
        <v/>
      </c>
      <c r="CX173" s="14" t="str">
        <f>IF(COUNTA('2.vize'!A72),'2.vize'!A72,"")</f>
        <v/>
      </c>
      <c r="CY173" s="14" t="str">
        <f>IF(COUNTA('2.vize'!B72),'2.vize'!B72,"")</f>
        <v/>
      </c>
      <c r="CZ173" s="14" t="str">
        <f>IF(COUNTA('2.vize'!C72),'2.vize'!C72,"")</f>
        <v/>
      </c>
      <c r="DA173" s="14" t="str">
        <f>IF(COUNTA('2.vize'!D72),'2.vize'!D72,"")</f>
        <v/>
      </c>
      <c r="DB173" s="14" t="str">
        <f>IF(COUNTA('2.vize'!E72),'2.vize'!E72,"")</f>
        <v/>
      </c>
      <c r="DC173" s="14" t="str">
        <f>IF(COUNTA('2.vize'!F72),'2.vize'!F72,"")</f>
        <v/>
      </c>
      <c r="DD173" s="14" t="str">
        <f>IF(COUNTA('2.vize'!G72),'2.vize'!G72,"")</f>
        <v/>
      </c>
      <c r="DE173" s="14" t="str">
        <f>IF(COUNTA('2.vize'!H72),'2.vize'!H72,"")</f>
        <v/>
      </c>
    </row>
    <row r="174" spans="1:109" x14ac:dyDescent="0.2">
      <c r="A174" s="38" t="str">
        <f>IFERROR('2.vize'!L73*100/'2.vize'!$I73,"")</f>
        <v/>
      </c>
      <c r="B174" s="38" t="str">
        <f>IFERROR('2.vize'!M73*100/'2.vize'!$I73,"")</f>
        <v/>
      </c>
      <c r="C174" s="38" t="str">
        <f>IFERROR('2.vize'!N73*100/'2.vize'!$I73,"")</f>
        <v/>
      </c>
      <c r="D174" s="38" t="str">
        <f>IFERROR('2.vize'!O73*100/'2.vize'!$I73,"")</f>
        <v/>
      </c>
      <c r="E174" s="38" t="str">
        <f>IFERROR('2.vize'!P73*100/'2.vize'!$I73,"")</f>
        <v/>
      </c>
      <c r="F174" s="38" t="str">
        <f>IFERROR('2.vize'!Q73*100/'2.vize'!$I73,"")</f>
        <v/>
      </c>
      <c r="G174" s="38" t="str">
        <f>IFERROR('2.vize'!R73*100/'2.vize'!$I73,"")</f>
        <v/>
      </c>
      <c r="H174" s="38" t="str">
        <f>IFERROR('2.vize'!S73*100/'2.vize'!$I73,"")</f>
        <v/>
      </c>
      <c r="I174" s="38" t="str">
        <f>IFERROR('2.vize'!T73*100/'2.vize'!$I73,"")</f>
        <v/>
      </c>
      <c r="J174" s="38" t="str">
        <f>IFERROR('2.vize'!U73*100/'2.vize'!$I73,"")</f>
        <v/>
      </c>
      <c r="K174" s="38" t="str">
        <f>IFERROR('2.vize'!V73*100/'2.vize'!$I73,"")</f>
        <v/>
      </c>
      <c r="L174" s="38" t="str">
        <f>IFERROR('2.vize'!W73*100/'2.vize'!$I73,"")</f>
        <v/>
      </c>
      <c r="M174" s="38" t="str">
        <f>IFERROR('2.vize'!X73*100/'2.vize'!$I73,"")</f>
        <v/>
      </c>
      <c r="N174" s="38" t="str">
        <f>IFERROR('2.vize'!Y73*100/'2.vize'!$I73,"")</f>
        <v/>
      </c>
      <c r="O174" s="38" t="str">
        <f>IFERROR('2.vize'!Z73*100/'2.vize'!$I73,"")</f>
        <v/>
      </c>
      <c r="P174" s="38" t="str">
        <f>IFERROR('2.vize'!AA73*100/'2.vize'!$I73,"")</f>
        <v/>
      </c>
      <c r="Q174" s="38" t="str">
        <f>IFERROR('2.vize'!AB73*100/'2.vize'!$I73,"")</f>
        <v/>
      </c>
      <c r="R174" s="38" t="str">
        <f>IFERROR('2.vize'!AC73*100/'2.vize'!$I73,"")</f>
        <v/>
      </c>
      <c r="S174" s="38" t="str">
        <f>IFERROR('2.vize'!AD73*100/'2.vize'!$I73,"")</f>
        <v/>
      </c>
      <c r="T174" s="38" t="str">
        <f>IFERROR('2.vize'!AE73*100/'2.vize'!$I73,"")</f>
        <v/>
      </c>
      <c r="U174" s="38" t="str">
        <f>IFERROR('2.vize'!AF73*100/'2.vize'!$I73,"")</f>
        <v/>
      </c>
      <c r="V174" s="38" t="str">
        <f>IFERROR('2.vize'!AG73*100/'2.vize'!$I73,"")</f>
        <v/>
      </c>
      <c r="W174" s="38" t="str">
        <f>IFERROR('2.vize'!AH73*100/'2.vize'!$I73,"")</f>
        <v/>
      </c>
      <c r="X174" s="38" t="str">
        <f>IFERROR('2.vize'!AI73*100/'2.vize'!$I73,"")</f>
        <v/>
      </c>
      <c r="Y174" s="38" t="str">
        <f>IFERROR('2.vize'!AJ73*100/'2.vize'!$I73,"")</f>
        <v/>
      </c>
      <c r="Z174" s="38" t="str">
        <f>IFERROR('2.vize'!AK73*100/'2.vize'!$I73,"")</f>
        <v/>
      </c>
      <c r="AA174" s="38" t="str">
        <f>IFERROR('2.vize'!AL73*100/'2.vize'!$I73,"")</f>
        <v/>
      </c>
      <c r="AB174" s="38" t="str">
        <f>IFERROR('2.vize'!AM73*100/'2.vize'!$I73,"")</f>
        <v/>
      </c>
      <c r="AC174" s="38" t="str">
        <f>IFERROR('2.vize'!AN73*100/'2.vize'!$I73,"")</f>
        <v/>
      </c>
      <c r="AD174" s="38" t="str">
        <f>IFERROR('2.vize'!AO73*100/'2.vize'!$I73,"")</f>
        <v/>
      </c>
      <c r="AE174" s="38" t="str">
        <f>IFERROR('2.vize'!AP73*100/'2.vize'!$I73,"")</f>
        <v/>
      </c>
      <c r="AF174" s="38" t="str">
        <f>IFERROR('2.vize'!AQ73*100/'2.vize'!$I73,"")</f>
        <v/>
      </c>
      <c r="AG174" s="38" t="str">
        <f>IFERROR('2.vize'!AR73*100/'2.vize'!$I73,"")</f>
        <v/>
      </c>
      <c r="AH174" s="38" t="str">
        <f>IFERROR('2.vize'!AS73*100/'2.vize'!$I73,"")</f>
        <v/>
      </c>
      <c r="AI174" s="38" t="str">
        <f>IFERROR('2.vize'!AT73*100/'2.vize'!$I73,"")</f>
        <v/>
      </c>
      <c r="AJ174" s="38" t="str">
        <f>IFERROR('2.vize'!AU73*100/'2.vize'!$I73,"")</f>
        <v/>
      </c>
      <c r="AK174" s="38" t="str">
        <f>IFERROR('2.vize'!AV73*100/'2.vize'!$I73,"")</f>
        <v/>
      </c>
      <c r="AL174" s="38" t="str">
        <f>IFERROR('2.vize'!AW73*100/'2.vize'!$I73,"")</f>
        <v/>
      </c>
      <c r="AM174" s="38" t="str">
        <f>IFERROR('2.vize'!AX73*100/'2.vize'!$I73,"")</f>
        <v/>
      </c>
      <c r="AN174" s="38" t="str">
        <f>IFERROR('2.vize'!AY73*100/'2.vize'!$I73,"")</f>
        <v/>
      </c>
      <c r="AO174" s="38" t="str">
        <f>IFERROR('2.vize'!AZ73*100/'2.vize'!$I73,"")</f>
        <v/>
      </c>
      <c r="AP174" s="38" t="str">
        <f>IFERROR('2.vize'!BA73*100/'2.vize'!$I73,"")</f>
        <v/>
      </c>
      <c r="AQ174" s="38" t="str">
        <f>IFERROR('2.vize'!BB73*100/'2.vize'!$I73,"")</f>
        <v/>
      </c>
      <c r="AR174" s="38" t="str">
        <f>IFERROR('2.vize'!BC73*100/'2.vize'!$I73,"")</f>
        <v/>
      </c>
      <c r="AS174" s="38" t="str">
        <f>IFERROR('2.vize'!BD73*100/'2.vize'!$I73,"")</f>
        <v/>
      </c>
      <c r="AT174" s="38" t="str">
        <f>IFERROR('2.vize'!BE73*100/'2.vize'!$I73,"")</f>
        <v/>
      </c>
      <c r="AU174" s="38" t="str">
        <f>IFERROR('2.vize'!BF73*100/'2.vize'!$I73,"")</f>
        <v/>
      </c>
      <c r="AV174" s="38" t="str">
        <f>IFERROR('2.vize'!BG73*100/'2.vize'!$I73,"")</f>
        <v/>
      </c>
      <c r="AW174" s="38" t="str">
        <f>IFERROR('2.vize'!BH73*100/'2.vize'!$I73,"")</f>
        <v/>
      </c>
      <c r="AX174" s="38" t="str">
        <f>IFERROR('2.vize'!BI73*100/'2.vize'!$I73,"")</f>
        <v/>
      </c>
      <c r="AY174" s="38" t="str">
        <f>IFERROR('2.vize'!BJ73*100/'2.vize'!$I73,"")</f>
        <v/>
      </c>
      <c r="AZ174" s="38" t="str">
        <f>IFERROR('2.vize'!BK73*100/'2.vize'!$I73,"")</f>
        <v/>
      </c>
      <c r="BA174" s="38" t="str">
        <f>IFERROR('2.vize'!BL73*100/'2.vize'!$I73,"")</f>
        <v/>
      </c>
      <c r="BB174" s="38" t="str">
        <f>IFERROR('2.vize'!BM73*100/'2.vize'!$I73,"")</f>
        <v/>
      </c>
      <c r="BC174" s="38" t="str">
        <f>IFERROR('2.vize'!BN73*100/'2.vize'!$I73,"")</f>
        <v/>
      </c>
      <c r="BD174" s="38" t="str">
        <f>IFERROR('2.vize'!BO73*100/'2.vize'!$I73,"")</f>
        <v/>
      </c>
      <c r="BE174" s="38" t="str">
        <f>IFERROR('2.vize'!BP73*100/'2.vize'!$I73,"")</f>
        <v/>
      </c>
      <c r="BF174" s="38" t="str">
        <f>IFERROR('2.vize'!BQ73*100/'2.vize'!$I73,"")</f>
        <v/>
      </c>
      <c r="BG174" s="38" t="str">
        <f>IFERROR('2.vize'!BR73*100/'2.vize'!$I73,"")</f>
        <v/>
      </c>
      <c r="BH174" s="38" t="str">
        <f>IFERROR('2.vize'!BS73*100/'2.vize'!$I73,"")</f>
        <v/>
      </c>
      <c r="BI174" s="38" t="str">
        <f>IFERROR('2.vize'!BT73*100/'2.vize'!$I73,"")</f>
        <v/>
      </c>
      <c r="BJ174" s="38" t="str">
        <f>IFERROR('2.vize'!BU73*100/'2.vize'!$I73,"")</f>
        <v/>
      </c>
      <c r="BK174" s="38" t="str">
        <f>IFERROR('2.vize'!BV73*100/'2.vize'!$I73,"")</f>
        <v/>
      </c>
      <c r="BL174" s="38" t="str">
        <f>IFERROR('2.vize'!BW73*100/'2.vize'!$I73,"")</f>
        <v/>
      </c>
      <c r="BM174" s="38" t="str">
        <f>IFERROR('2.vize'!BX73*100/'2.vize'!$I73,"")</f>
        <v/>
      </c>
      <c r="BN174" s="38" t="str">
        <f>IFERROR('2.vize'!BY73*100/'2.vize'!$I73,"")</f>
        <v/>
      </c>
      <c r="BO174" s="38" t="str">
        <f>IFERROR('2.vize'!BZ73*100/'2.vize'!$I73,"")</f>
        <v/>
      </c>
      <c r="BP174" s="38" t="str">
        <f>IFERROR('2.vize'!CA73*100/'2.vize'!$I73,"")</f>
        <v/>
      </c>
      <c r="BQ174" s="38" t="str">
        <f>IFERROR('2.vize'!CB73*100/'2.vize'!$I73,"")</f>
        <v/>
      </c>
      <c r="BR174" s="38" t="str">
        <f>IFERROR('2.vize'!CC73*100/'2.vize'!$I73,"")</f>
        <v/>
      </c>
      <c r="BS174" s="38" t="str">
        <f>IFERROR('2.vize'!CD73*100/'2.vize'!$I73,"")</f>
        <v/>
      </c>
      <c r="BT174" s="38" t="str">
        <f>IFERROR('2.vize'!CE73*100/'2.vize'!$I73,"")</f>
        <v/>
      </c>
      <c r="BU174" s="38" t="str">
        <f>IFERROR('2.vize'!CF73*100/'2.vize'!$I73,"")</f>
        <v/>
      </c>
      <c r="BV174" s="38" t="str">
        <f>IFERROR('2.vize'!CG73*100/'2.vize'!$I73,"")</f>
        <v/>
      </c>
      <c r="BW174" s="38" t="str">
        <f>IFERROR('2.vize'!CH73*100/'2.vize'!$I73,"")</f>
        <v/>
      </c>
      <c r="BX174" s="38" t="str">
        <f>IFERROR('2.vize'!CI73*100/'2.vize'!$I73,"")</f>
        <v/>
      </c>
      <c r="BY174" s="38" t="str">
        <f>IFERROR('2.vize'!CJ73*100/'2.vize'!$I73,"")</f>
        <v/>
      </c>
      <c r="BZ174" s="38" t="str">
        <f>IFERROR('2.vize'!CK73*100/'2.vize'!$I73,"")</f>
        <v/>
      </c>
      <c r="CA174" s="38" t="str">
        <f>IFERROR('2.vize'!CL73*100/'2.vize'!$I73,"")</f>
        <v/>
      </c>
      <c r="CB174" s="38" t="str">
        <f>IFERROR('2.vize'!CM73*100/'2.vize'!$I73,"")</f>
        <v/>
      </c>
      <c r="CC174" s="38" t="str">
        <f>IFERROR('2.vize'!CN73*100/'2.vize'!$I73,"")</f>
        <v/>
      </c>
      <c r="CD174" s="38" t="str">
        <f>IFERROR('2.vize'!CO73*100/'2.vize'!$I73,"")</f>
        <v/>
      </c>
      <c r="CE174" s="38" t="str">
        <f>IFERROR('2.vize'!CP73*100/'2.vize'!$I73,"")</f>
        <v/>
      </c>
      <c r="CF174" s="38" t="str">
        <f>IFERROR('2.vize'!CQ73*100/'2.vize'!$I73,"")</f>
        <v/>
      </c>
      <c r="CG174" s="38" t="str">
        <f>IFERROR('2.vize'!CR73*100/'2.vize'!$I73,"")</f>
        <v/>
      </c>
      <c r="CH174" s="38" t="str">
        <f>IFERROR('2.vize'!CS73*100/'2.vize'!$I73,"")</f>
        <v/>
      </c>
      <c r="CI174" s="38" t="str">
        <f>IFERROR('2.vize'!CT73*100/'2.vize'!$I73,"")</f>
        <v/>
      </c>
      <c r="CJ174" s="38" t="str">
        <f>IFERROR('2.vize'!CU73*100/'2.vize'!$I73,"")</f>
        <v/>
      </c>
      <c r="CK174" s="38" t="str">
        <f>IFERROR('2.vize'!CV73*100/'2.vize'!$I73,"")</f>
        <v/>
      </c>
      <c r="CL174" s="38" t="str">
        <f>IFERROR('2.vize'!CW73*100/'2.vize'!$I73,"")</f>
        <v/>
      </c>
      <c r="CM174" s="38" t="str">
        <f>IFERROR('2.vize'!CX73*100/'2.vize'!$I73,"")</f>
        <v/>
      </c>
      <c r="CN174" s="38" t="str">
        <f>IFERROR('2.vize'!CY73*100/'2.vize'!$I73,"")</f>
        <v/>
      </c>
      <c r="CO174" s="38" t="str">
        <f>IFERROR('2.vize'!CZ73*100/'2.vize'!$I73,"")</f>
        <v/>
      </c>
      <c r="CP174" s="38" t="str">
        <f>IFERROR('2.vize'!DA73*100/'2.vize'!$I73,"")</f>
        <v/>
      </c>
      <c r="CQ174" s="38" t="str">
        <f>IFERROR('2.vize'!DB73*100/'2.vize'!$I73,"")</f>
        <v/>
      </c>
      <c r="CR174" s="38" t="str">
        <f>IFERROR('2.vize'!DC73*100/'2.vize'!$I73,"")</f>
        <v/>
      </c>
      <c r="CS174" s="38" t="str">
        <f>IFERROR('2.vize'!DD73*100/'2.vize'!$I73,"")</f>
        <v/>
      </c>
      <c r="CT174" s="38" t="str">
        <f>IFERROR('2.vize'!DE73*100/'2.vize'!$I73,"")</f>
        <v/>
      </c>
      <c r="CU174" s="38" t="str">
        <f>IFERROR('2.vize'!DF73*100/'2.vize'!$I73,"")</f>
        <v/>
      </c>
      <c r="CV174" s="38" t="str">
        <f>IFERROR('2.vize'!DG73*100/'2.vize'!$I73,"")</f>
        <v/>
      </c>
      <c r="CW174" s="32" t="str">
        <f>IFERROR(SUM(A174:CV174)/'2.vize'!$DH$103,"")</f>
        <v/>
      </c>
      <c r="CX174" s="14" t="str">
        <f>IF(COUNTA('2.vize'!A73),'2.vize'!A73,"")</f>
        <v/>
      </c>
      <c r="CY174" s="14" t="str">
        <f>IF(COUNTA('2.vize'!B73),'2.vize'!B73,"")</f>
        <v/>
      </c>
      <c r="CZ174" s="14" t="str">
        <f>IF(COUNTA('2.vize'!C73),'2.vize'!C73,"")</f>
        <v/>
      </c>
      <c r="DA174" s="14" t="str">
        <f>IF(COUNTA('2.vize'!D73),'2.vize'!D73,"")</f>
        <v/>
      </c>
      <c r="DB174" s="14" t="str">
        <f>IF(COUNTA('2.vize'!E73),'2.vize'!E73,"")</f>
        <v/>
      </c>
      <c r="DC174" s="14" t="str">
        <f>IF(COUNTA('2.vize'!F73),'2.vize'!F73,"")</f>
        <v/>
      </c>
      <c r="DD174" s="14" t="str">
        <f>IF(COUNTA('2.vize'!G73),'2.vize'!G73,"")</f>
        <v/>
      </c>
      <c r="DE174" s="14" t="str">
        <f>IF(COUNTA('2.vize'!H73),'2.vize'!H73,"")</f>
        <v/>
      </c>
    </row>
    <row r="175" spans="1:109" x14ac:dyDescent="0.2">
      <c r="A175" s="38" t="str">
        <f>IFERROR('2.vize'!L74*100/'2.vize'!$I74,"")</f>
        <v/>
      </c>
      <c r="B175" s="38" t="str">
        <f>IFERROR('2.vize'!M74*100/'2.vize'!$I74,"")</f>
        <v/>
      </c>
      <c r="C175" s="38" t="str">
        <f>IFERROR('2.vize'!N74*100/'2.vize'!$I74,"")</f>
        <v/>
      </c>
      <c r="D175" s="38" t="str">
        <f>IFERROR('2.vize'!O74*100/'2.vize'!$I74,"")</f>
        <v/>
      </c>
      <c r="E175" s="38" t="str">
        <f>IFERROR('2.vize'!P74*100/'2.vize'!$I74,"")</f>
        <v/>
      </c>
      <c r="F175" s="38" t="str">
        <f>IFERROR('2.vize'!Q74*100/'2.vize'!$I74,"")</f>
        <v/>
      </c>
      <c r="G175" s="38" t="str">
        <f>IFERROR('2.vize'!R74*100/'2.vize'!$I74,"")</f>
        <v/>
      </c>
      <c r="H175" s="38" t="str">
        <f>IFERROR('2.vize'!S74*100/'2.vize'!$I74,"")</f>
        <v/>
      </c>
      <c r="I175" s="38" t="str">
        <f>IFERROR('2.vize'!T74*100/'2.vize'!$I74,"")</f>
        <v/>
      </c>
      <c r="J175" s="38" t="str">
        <f>IFERROR('2.vize'!U74*100/'2.vize'!$I74,"")</f>
        <v/>
      </c>
      <c r="K175" s="38" t="str">
        <f>IFERROR('2.vize'!V74*100/'2.vize'!$I74,"")</f>
        <v/>
      </c>
      <c r="L175" s="38" t="str">
        <f>IFERROR('2.vize'!W74*100/'2.vize'!$I74,"")</f>
        <v/>
      </c>
      <c r="M175" s="38" t="str">
        <f>IFERROR('2.vize'!X74*100/'2.vize'!$I74,"")</f>
        <v/>
      </c>
      <c r="N175" s="38" t="str">
        <f>IFERROR('2.vize'!Y74*100/'2.vize'!$I74,"")</f>
        <v/>
      </c>
      <c r="O175" s="38" t="str">
        <f>IFERROR('2.vize'!Z74*100/'2.vize'!$I74,"")</f>
        <v/>
      </c>
      <c r="P175" s="38" t="str">
        <f>IFERROR('2.vize'!AA74*100/'2.vize'!$I74,"")</f>
        <v/>
      </c>
      <c r="Q175" s="38" t="str">
        <f>IFERROR('2.vize'!AB74*100/'2.vize'!$I74,"")</f>
        <v/>
      </c>
      <c r="R175" s="38" t="str">
        <f>IFERROR('2.vize'!AC74*100/'2.vize'!$I74,"")</f>
        <v/>
      </c>
      <c r="S175" s="38" t="str">
        <f>IFERROR('2.vize'!AD74*100/'2.vize'!$I74,"")</f>
        <v/>
      </c>
      <c r="T175" s="38" t="str">
        <f>IFERROR('2.vize'!AE74*100/'2.vize'!$I74,"")</f>
        <v/>
      </c>
      <c r="U175" s="38" t="str">
        <f>IFERROR('2.vize'!AF74*100/'2.vize'!$I74,"")</f>
        <v/>
      </c>
      <c r="V175" s="38" t="str">
        <f>IFERROR('2.vize'!AG74*100/'2.vize'!$I74,"")</f>
        <v/>
      </c>
      <c r="W175" s="38" t="str">
        <f>IFERROR('2.vize'!AH74*100/'2.vize'!$I74,"")</f>
        <v/>
      </c>
      <c r="X175" s="38" t="str">
        <f>IFERROR('2.vize'!AI74*100/'2.vize'!$I74,"")</f>
        <v/>
      </c>
      <c r="Y175" s="38" t="str">
        <f>IFERROR('2.vize'!AJ74*100/'2.vize'!$I74,"")</f>
        <v/>
      </c>
      <c r="Z175" s="38" t="str">
        <f>IFERROR('2.vize'!AK74*100/'2.vize'!$I74,"")</f>
        <v/>
      </c>
      <c r="AA175" s="38" t="str">
        <f>IFERROR('2.vize'!AL74*100/'2.vize'!$I74,"")</f>
        <v/>
      </c>
      <c r="AB175" s="38" t="str">
        <f>IFERROR('2.vize'!AM74*100/'2.vize'!$I74,"")</f>
        <v/>
      </c>
      <c r="AC175" s="38" t="str">
        <f>IFERROR('2.vize'!AN74*100/'2.vize'!$I74,"")</f>
        <v/>
      </c>
      <c r="AD175" s="38" t="str">
        <f>IFERROR('2.vize'!AO74*100/'2.vize'!$I74,"")</f>
        <v/>
      </c>
      <c r="AE175" s="38" t="str">
        <f>IFERROR('2.vize'!AP74*100/'2.vize'!$I74,"")</f>
        <v/>
      </c>
      <c r="AF175" s="38" t="str">
        <f>IFERROR('2.vize'!AQ74*100/'2.vize'!$I74,"")</f>
        <v/>
      </c>
      <c r="AG175" s="38" t="str">
        <f>IFERROR('2.vize'!AR74*100/'2.vize'!$I74,"")</f>
        <v/>
      </c>
      <c r="AH175" s="38" t="str">
        <f>IFERROR('2.vize'!AS74*100/'2.vize'!$I74,"")</f>
        <v/>
      </c>
      <c r="AI175" s="38" t="str">
        <f>IFERROR('2.vize'!AT74*100/'2.vize'!$I74,"")</f>
        <v/>
      </c>
      <c r="AJ175" s="38" t="str">
        <f>IFERROR('2.vize'!AU74*100/'2.vize'!$I74,"")</f>
        <v/>
      </c>
      <c r="AK175" s="38" t="str">
        <f>IFERROR('2.vize'!AV74*100/'2.vize'!$I74,"")</f>
        <v/>
      </c>
      <c r="AL175" s="38" t="str">
        <f>IFERROR('2.vize'!AW74*100/'2.vize'!$I74,"")</f>
        <v/>
      </c>
      <c r="AM175" s="38" t="str">
        <f>IFERROR('2.vize'!AX74*100/'2.vize'!$I74,"")</f>
        <v/>
      </c>
      <c r="AN175" s="38" t="str">
        <f>IFERROR('2.vize'!AY74*100/'2.vize'!$I74,"")</f>
        <v/>
      </c>
      <c r="AO175" s="38" t="str">
        <f>IFERROR('2.vize'!AZ74*100/'2.vize'!$I74,"")</f>
        <v/>
      </c>
      <c r="AP175" s="38" t="str">
        <f>IFERROR('2.vize'!BA74*100/'2.vize'!$I74,"")</f>
        <v/>
      </c>
      <c r="AQ175" s="38" t="str">
        <f>IFERROR('2.vize'!BB74*100/'2.vize'!$I74,"")</f>
        <v/>
      </c>
      <c r="AR175" s="38" t="str">
        <f>IFERROR('2.vize'!BC74*100/'2.vize'!$I74,"")</f>
        <v/>
      </c>
      <c r="AS175" s="38" t="str">
        <f>IFERROR('2.vize'!BD74*100/'2.vize'!$I74,"")</f>
        <v/>
      </c>
      <c r="AT175" s="38" t="str">
        <f>IFERROR('2.vize'!BE74*100/'2.vize'!$I74,"")</f>
        <v/>
      </c>
      <c r="AU175" s="38" t="str">
        <f>IFERROR('2.vize'!BF74*100/'2.vize'!$I74,"")</f>
        <v/>
      </c>
      <c r="AV175" s="38" t="str">
        <f>IFERROR('2.vize'!BG74*100/'2.vize'!$I74,"")</f>
        <v/>
      </c>
      <c r="AW175" s="38" t="str">
        <f>IFERROR('2.vize'!BH74*100/'2.vize'!$I74,"")</f>
        <v/>
      </c>
      <c r="AX175" s="38" t="str">
        <f>IFERROR('2.vize'!BI74*100/'2.vize'!$I74,"")</f>
        <v/>
      </c>
      <c r="AY175" s="38" t="str">
        <f>IFERROR('2.vize'!BJ74*100/'2.vize'!$I74,"")</f>
        <v/>
      </c>
      <c r="AZ175" s="38" t="str">
        <f>IFERROR('2.vize'!BK74*100/'2.vize'!$I74,"")</f>
        <v/>
      </c>
      <c r="BA175" s="38" t="str">
        <f>IFERROR('2.vize'!BL74*100/'2.vize'!$I74,"")</f>
        <v/>
      </c>
      <c r="BB175" s="38" t="str">
        <f>IFERROR('2.vize'!BM74*100/'2.vize'!$I74,"")</f>
        <v/>
      </c>
      <c r="BC175" s="38" t="str">
        <f>IFERROR('2.vize'!BN74*100/'2.vize'!$I74,"")</f>
        <v/>
      </c>
      <c r="BD175" s="38" t="str">
        <f>IFERROR('2.vize'!BO74*100/'2.vize'!$I74,"")</f>
        <v/>
      </c>
      <c r="BE175" s="38" t="str">
        <f>IFERROR('2.vize'!BP74*100/'2.vize'!$I74,"")</f>
        <v/>
      </c>
      <c r="BF175" s="38" t="str">
        <f>IFERROR('2.vize'!BQ74*100/'2.vize'!$I74,"")</f>
        <v/>
      </c>
      <c r="BG175" s="38" t="str">
        <f>IFERROR('2.vize'!BR74*100/'2.vize'!$I74,"")</f>
        <v/>
      </c>
      <c r="BH175" s="38" t="str">
        <f>IFERROR('2.vize'!BS74*100/'2.vize'!$I74,"")</f>
        <v/>
      </c>
      <c r="BI175" s="38" t="str">
        <f>IFERROR('2.vize'!BT74*100/'2.vize'!$I74,"")</f>
        <v/>
      </c>
      <c r="BJ175" s="38" t="str">
        <f>IFERROR('2.vize'!BU74*100/'2.vize'!$I74,"")</f>
        <v/>
      </c>
      <c r="BK175" s="38" t="str">
        <f>IFERROR('2.vize'!BV74*100/'2.vize'!$I74,"")</f>
        <v/>
      </c>
      <c r="BL175" s="38" t="str">
        <f>IFERROR('2.vize'!BW74*100/'2.vize'!$I74,"")</f>
        <v/>
      </c>
      <c r="BM175" s="38" t="str">
        <f>IFERROR('2.vize'!BX74*100/'2.vize'!$I74,"")</f>
        <v/>
      </c>
      <c r="BN175" s="38" t="str">
        <f>IFERROR('2.vize'!BY74*100/'2.vize'!$I74,"")</f>
        <v/>
      </c>
      <c r="BO175" s="38" t="str">
        <f>IFERROR('2.vize'!BZ74*100/'2.vize'!$I74,"")</f>
        <v/>
      </c>
      <c r="BP175" s="38" t="str">
        <f>IFERROR('2.vize'!CA74*100/'2.vize'!$I74,"")</f>
        <v/>
      </c>
      <c r="BQ175" s="38" t="str">
        <f>IFERROR('2.vize'!CB74*100/'2.vize'!$I74,"")</f>
        <v/>
      </c>
      <c r="BR175" s="38" t="str">
        <f>IFERROR('2.vize'!CC74*100/'2.vize'!$I74,"")</f>
        <v/>
      </c>
      <c r="BS175" s="38" t="str">
        <f>IFERROR('2.vize'!CD74*100/'2.vize'!$I74,"")</f>
        <v/>
      </c>
      <c r="BT175" s="38" t="str">
        <f>IFERROR('2.vize'!CE74*100/'2.vize'!$I74,"")</f>
        <v/>
      </c>
      <c r="BU175" s="38" t="str">
        <f>IFERROR('2.vize'!CF74*100/'2.vize'!$I74,"")</f>
        <v/>
      </c>
      <c r="BV175" s="38" t="str">
        <f>IFERROR('2.vize'!CG74*100/'2.vize'!$I74,"")</f>
        <v/>
      </c>
      <c r="BW175" s="38" t="str">
        <f>IFERROR('2.vize'!CH74*100/'2.vize'!$I74,"")</f>
        <v/>
      </c>
      <c r="BX175" s="38" t="str">
        <f>IFERROR('2.vize'!CI74*100/'2.vize'!$I74,"")</f>
        <v/>
      </c>
      <c r="BY175" s="38" t="str">
        <f>IFERROR('2.vize'!CJ74*100/'2.vize'!$I74,"")</f>
        <v/>
      </c>
      <c r="BZ175" s="38" t="str">
        <f>IFERROR('2.vize'!CK74*100/'2.vize'!$I74,"")</f>
        <v/>
      </c>
      <c r="CA175" s="38" t="str">
        <f>IFERROR('2.vize'!CL74*100/'2.vize'!$I74,"")</f>
        <v/>
      </c>
      <c r="CB175" s="38" t="str">
        <f>IFERROR('2.vize'!CM74*100/'2.vize'!$I74,"")</f>
        <v/>
      </c>
      <c r="CC175" s="38" t="str">
        <f>IFERROR('2.vize'!CN74*100/'2.vize'!$I74,"")</f>
        <v/>
      </c>
      <c r="CD175" s="38" t="str">
        <f>IFERROR('2.vize'!CO74*100/'2.vize'!$I74,"")</f>
        <v/>
      </c>
      <c r="CE175" s="38" t="str">
        <f>IFERROR('2.vize'!CP74*100/'2.vize'!$I74,"")</f>
        <v/>
      </c>
      <c r="CF175" s="38" t="str">
        <f>IFERROR('2.vize'!CQ74*100/'2.vize'!$I74,"")</f>
        <v/>
      </c>
      <c r="CG175" s="38" t="str">
        <f>IFERROR('2.vize'!CR74*100/'2.vize'!$I74,"")</f>
        <v/>
      </c>
      <c r="CH175" s="38" t="str">
        <f>IFERROR('2.vize'!CS74*100/'2.vize'!$I74,"")</f>
        <v/>
      </c>
      <c r="CI175" s="38" t="str">
        <f>IFERROR('2.vize'!CT74*100/'2.vize'!$I74,"")</f>
        <v/>
      </c>
      <c r="CJ175" s="38" t="str">
        <f>IFERROR('2.vize'!CU74*100/'2.vize'!$I74,"")</f>
        <v/>
      </c>
      <c r="CK175" s="38" t="str">
        <f>IFERROR('2.vize'!CV74*100/'2.vize'!$I74,"")</f>
        <v/>
      </c>
      <c r="CL175" s="38" t="str">
        <f>IFERROR('2.vize'!CW74*100/'2.vize'!$I74,"")</f>
        <v/>
      </c>
      <c r="CM175" s="38" t="str">
        <f>IFERROR('2.vize'!CX74*100/'2.vize'!$I74,"")</f>
        <v/>
      </c>
      <c r="CN175" s="38" t="str">
        <f>IFERROR('2.vize'!CY74*100/'2.vize'!$I74,"")</f>
        <v/>
      </c>
      <c r="CO175" s="38" t="str">
        <f>IFERROR('2.vize'!CZ74*100/'2.vize'!$I74,"")</f>
        <v/>
      </c>
      <c r="CP175" s="38" t="str">
        <f>IFERROR('2.vize'!DA74*100/'2.vize'!$I74,"")</f>
        <v/>
      </c>
      <c r="CQ175" s="38" t="str">
        <f>IFERROR('2.vize'!DB74*100/'2.vize'!$I74,"")</f>
        <v/>
      </c>
      <c r="CR175" s="38" t="str">
        <f>IFERROR('2.vize'!DC74*100/'2.vize'!$I74,"")</f>
        <v/>
      </c>
      <c r="CS175" s="38" t="str">
        <f>IFERROR('2.vize'!DD74*100/'2.vize'!$I74,"")</f>
        <v/>
      </c>
      <c r="CT175" s="38" t="str">
        <f>IFERROR('2.vize'!DE74*100/'2.vize'!$I74,"")</f>
        <v/>
      </c>
      <c r="CU175" s="38" t="str">
        <f>IFERROR('2.vize'!DF74*100/'2.vize'!$I74,"")</f>
        <v/>
      </c>
      <c r="CV175" s="38" t="str">
        <f>IFERROR('2.vize'!DG74*100/'2.vize'!$I74,"")</f>
        <v/>
      </c>
      <c r="CW175" s="32" t="str">
        <f>IFERROR(SUM(A175:CV175)/'2.vize'!$DH$103,"")</f>
        <v/>
      </c>
      <c r="CX175" s="14" t="str">
        <f>IF(COUNTA('2.vize'!A74),'2.vize'!A74,"")</f>
        <v/>
      </c>
      <c r="CY175" s="14" t="str">
        <f>IF(COUNTA('2.vize'!B74),'2.vize'!B74,"")</f>
        <v/>
      </c>
      <c r="CZ175" s="14" t="str">
        <f>IF(COUNTA('2.vize'!C74),'2.vize'!C74,"")</f>
        <v/>
      </c>
      <c r="DA175" s="14" t="str">
        <f>IF(COUNTA('2.vize'!D74),'2.vize'!D74,"")</f>
        <v/>
      </c>
      <c r="DB175" s="14" t="str">
        <f>IF(COUNTA('2.vize'!E74),'2.vize'!E74,"")</f>
        <v/>
      </c>
      <c r="DC175" s="14" t="str">
        <f>IF(COUNTA('2.vize'!F74),'2.vize'!F74,"")</f>
        <v/>
      </c>
      <c r="DD175" s="14" t="str">
        <f>IF(COUNTA('2.vize'!G74),'2.vize'!G74,"")</f>
        <v/>
      </c>
      <c r="DE175" s="14" t="str">
        <f>IF(COUNTA('2.vize'!H74),'2.vize'!H74,"")</f>
        <v/>
      </c>
    </row>
    <row r="176" spans="1:109" x14ac:dyDescent="0.2">
      <c r="A176" s="38" t="str">
        <f>IFERROR('2.vize'!L75*100/'2.vize'!$I75,"")</f>
        <v/>
      </c>
      <c r="B176" s="38" t="str">
        <f>IFERROR('2.vize'!M75*100/'2.vize'!$I75,"")</f>
        <v/>
      </c>
      <c r="C176" s="38" t="str">
        <f>IFERROR('2.vize'!N75*100/'2.vize'!$I75,"")</f>
        <v/>
      </c>
      <c r="D176" s="38" t="str">
        <f>IFERROR('2.vize'!O75*100/'2.vize'!$I75,"")</f>
        <v/>
      </c>
      <c r="E176" s="38" t="str">
        <f>IFERROR('2.vize'!P75*100/'2.vize'!$I75,"")</f>
        <v/>
      </c>
      <c r="F176" s="38" t="str">
        <f>IFERROR('2.vize'!Q75*100/'2.vize'!$I75,"")</f>
        <v/>
      </c>
      <c r="G176" s="38" t="str">
        <f>IFERROR('2.vize'!R75*100/'2.vize'!$I75,"")</f>
        <v/>
      </c>
      <c r="H176" s="38" t="str">
        <f>IFERROR('2.vize'!S75*100/'2.vize'!$I75,"")</f>
        <v/>
      </c>
      <c r="I176" s="38" t="str">
        <f>IFERROR('2.vize'!T75*100/'2.vize'!$I75,"")</f>
        <v/>
      </c>
      <c r="J176" s="38" t="str">
        <f>IFERROR('2.vize'!U75*100/'2.vize'!$I75,"")</f>
        <v/>
      </c>
      <c r="K176" s="38" t="str">
        <f>IFERROR('2.vize'!V75*100/'2.vize'!$I75,"")</f>
        <v/>
      </c>
      <c r="L176" s="38" t="str">
        <f>IFERROR('2.vize'!W75*100/'2.vize'!$I75,"")</f>
        <v/>
      </c>
      <c r="M176" s="38" t="str">
        <f>IFERROR('2.vize'!X75*100/'2.vize'!$I75,"")</f>
        <v/>
      </c>
      <c r="N176" s="38" t="str">
        <f>IFERROR('2.vize'!Y75*100/'2.vize'!$I75,"")</f>
        <v/>
      </c>
      <c r="O176" s="38" t="str">
        <f>IFERROR('2.vize'!Z75*100/'2.vize'!$I75,"")</f>
        <v/>
      </c>
      <c r="P176" s="38" t="str">
        <f>IFERROR('2.vize'!AA75*100/'2.vize'!$I75,"")</f>
        <v/>
      </c>
      <c r="Q176" s="38" t="str">
        <f>IFERROR('2.vize'!AB75*100/'2.vize'!$I75,"")</f>
        <v/>
      </c>
      <c r="R176" s="38" t="str">
        <f>IFERROR('2.vize'!AC75*100/'2.vize'!$I75,"")</f>
        <v/>
      </c>
      <c r="S176" s="38" t="str">
        <f>IFERROR('2.vize'!AD75*100/'2.vize'!$I75,"")</f>
        <v/>
      </c>
      <c r="T176" s="38" t="str">
        <f>IFERROR('2.vize'!AE75*100/'2.vize'!$I75,"")</f>
        <v/>
      </c>
      <c r="U176" s="38" t="str">
        <f>IFERROR('2.vize'!AF75*100/'2.vize'!$I75,"")</f>
        <v/>
      </c>
      <c r="V176" s="38" t="str">
        <f>IFERROR('2.vize'!AG75*100/'2.vize'!$I75,"")</f>
        <v/>
      </c>
      <c r="W176" s="38" t="str">
        <f>IFERROR('2.vize'!AH75*100/'2.vize'!$I75,"")</f>
        <v/>
      </c>
      <c r="X176" s="38" t="str">
        <f>IFERROR('2.vize'!AI75*100/'2.vize'!$I75,"")</f>
        <v/>
      </c>
      <c r="Y176" s="38" t="str">
        <f>IFERROR('2.vize'!AJ75*100/'2.vize'!$I75,"")</f>
        <v/>
      </c>
      <c r="Z176" s="38" t="str">
        <f>IFERROR('2.vize'!AK75*100/'2.vize'!$I75,"")</f>
        <v/>
      </c>
      <c r="AA176" s="38" t="str">
        <f>IFERROR('2.vize'!AL75*100/'2.vize'!$I75,"")</f>
        <v/>
      </c>
      <c r="AB176" s="38" t="str">
        <f>IFERROR('2.vize'!AM75*100/'2.vize'!$I75,"")</f>
        <v/>
      </c>
      <c r="AC176" s="38" t="str">
        <f>IFERROR('2.vize'!AN75*100/'2.vize'!$I75,"")</f>
        <v/>
      </c>
      <c r="AD176" s="38" t="str">
        <f>IFERROR('2.vize'!AO75*100/'2.vize'!$I75,"")</f>
        <v/>
      </c>
      <c r="AE176" s="38" t="str">
        <f>IFERROR('2.vize'!AP75*100/'2.vize'!$I75,"")</f>
        <v/>
      </c>
      <c r="AF176" s="38" t="str">
        <f>IFERROR('2.vize'!AQ75*100/'2.vize'!$I75,"")</f>
        <v/>
      </c>
      <c r="AG176" s="38" t="str">
        <f>IFERROR('2.vize'!AR75*100/'2.vize'!$I75,"")</f>
        <v/>
      </c>
      <c r="AH176" s="38" t="str">
        <f>IFERROR('2.vize'!AS75*100/'2.vize'!$I75,"")</f>
        <v/>
      </c>
      <c r="AI176" s="38" t="str">
        <f>IFERROR('2.vize'!AT75*100/'2.vize'!$I75,"")</f>
        <v/>
      </c>
      <c r="AJ176" s="38" t="str">
        <f>IFERROR('2.vize'!AU75*100/'2.vize'!$I75,"")</f>
        <v/>
      </c>
      <c r="AK176" s="38" t="str">
        <f>IFERROR('2.vize'!AV75*100/'2.vize'!$I75,"")</f>
        <v/>
      </c>
      <c r="AL176" s="38" t="str">
        <f>IFERROR('2.vize'!AW75*100/'2.vize'!$I75,"")</f>
        <v/>
      </c>
      <c r="AM176" s="38" t="str">
        <f>IFERROR('2.vize'!AX75*100/'2.vize'!$I75,"")</f>
        <v/>
      </c>
      <c r="AN176" s="38" t="str">
        <f>IFERROR('2.vize'!AY75*100/'2.vize'!$I75,"")</f>
        <v/>
      </c>
      <c r="AO176" s="38" t="str">
        <f>IFERROR('2.vize'!AZ75*100/'2.vize'!$I75,"")</f>
        <v/>
      </c>
      <c r="AP176" s="38" t="str">
        <f>IFERROR('2.vize'!BA75*100/'2.vize'!$I75,"")</f>
        <v/>
      </c>
      <c r="AQ176" s="38" t="str">
        <f>IFERROR('2.vize'!BB75*100/'2.vize'!$I75,"")</f>
        <v/>
      </c>
      <c r="AR176" s="38" t="str">
        <f>IFERROR('2.vize'!BC75*100/'2.vize'!$I75,"")</f>
        <v/>
      </c>
      <c r="AS176" s="38" t="str">
        <f>IFERROR('2.vize'!BD75*100/'2.vize'!$I75,"")</f>
        <v/>
      </c>
      <c r="AT176" s="38" t="str">
        <f>IFERROR('2.vize'!BE75*100/'2.vize'!$I75,"")</f>
        <v/>
      </c>
      <c r="AU176" s="38" t="str">
        <f>IFERROR('2.vize'!BF75*100/'2.vize'!$I75,"")</f>
        <v/>
      </c>
      <c r="AV176" s="38" t="str">
        <f>IFERROR('2.vize'!BG75*100/'2.vize'!$I75,"")</f>
        <v/>
      </c>
      <c r="AW176" s="38" t="str">
        <f>IFERROR('2.vize'!BH75*100/'2.vize'!$I75,"")</f>
        <v/>
      </c>
      <c r="AX176" s="38" t="str">
        <f>IFERROR('2.vize'!BI75*100/'2.vize'!$I75,"")</f>
        <v/>
      </c>
      <c r="AY176" s="38" t="str">
        <f>IFERROR('2.vize'!BJ75*100/'2.vize'!$I75,"")</f>
        <v/>
      </c>
      <c r="AZ176" s="38" t="str">
        <f>IFERROR('2.vize'!BK75*100/'2.vize'!$I75,"")</f>
        <v/>
      </c>
      <c r="BA176" s="38" t="str">
        <f>IFERROR('2.vize'!BL75*100/'2.vize'!$I75,"")</f>
        <v/>
      </c>
      <c r="BB176" s="38" t="str">
        <f>IFERROR('2.vize'!BM75*100/'2.vize'!$I75,"")</f>
        <v/>
      </c>
      <c r="BC176" s="38" t="str">
        <f>IFERROR('2.vize'!BN75*100/'2.vize'!$I75,"")</f>
        <v/>
      </c>
      <c r="BD176" s="38" t="str">
        <f>IFERROR('2.vize'!BO75*100/'2.vize'!$I75,"")</f>
        <v/>
      </c>
      <c r="BE176" s="38" t="str">
        <f>IFERROR('2.vize'!BP75*100/'2.vize'!$I75,"")</f>
        <v/>
      </c>
      <c r="BF176" s="38" t="str">
        <f>IFERROR('2.vize'!BQ75*100/'2.vize'!$I75,"")</f>
        <v/>
      </c>
      <c r="BG176" s="38" t="str">
        <f>IFERROR('2.vize'!BR75*100/'2.vize'!$I75,"")</f>
        <v/>
      </c>
      <c r="BH176" s="38" t="str">
        <f>IFERROR('2.vize'!BS75*100/'2.vize'!$I75,"")</f>
        <v/>
      </c>
      <c r="BI176" s="38" t="str">
        <f>IFERROR('2.vize'!BT75*100/'2.vize'!$I75,"")</f>
        <v/>
      </c>
      <c r="BJ176" s="38" t="str">
        <f>IFERROR('2.vize'!BU75*100/'2.vize'!$I75,"")</f>
        <v/>
      </c>
      <c r="BK176" s="38" t="str">
        <f>IFERROR('2.vize'!BV75*100/'2.vize'!$I75,"")</f>
        <v/>
      </c>
      <c r="BL176" s="38" t="str">
        <f>IFERROR('2.vize'!BW75*100/'2.vize'!$I75,"")</f>
        <v/>
      </c>
      <c r="BM176" s="38" t="str">
        <f>IFERROR('2.vize'!BX75*100/'2.vize'!$I75,"")</f>
        <v/>
      </c>
      <c r="BN176" s="38" t="str">
        <f>IFERROR('2.vize'!BY75*100/'2.vize'!$I75,"")</f>
        <v/>
      </c>
      <c r="BO176" s="38" t="str">
        <f>IFERROR('2.vize'!BZ75*100/'2.vize'!$I75,"")</f>
        <v/>
      </c>
      <c r="BP176" s="38" t="str">
        <f>IFERROR('2.vize'!CA75*100/'2.vize'!$I75,"")</f>
        <v/>
      </c>
      <c r="BQ176" s="38" t="str">
        <f>IFERROR('2.vize'!CB75*100/'2.vize'!$I75,"")</f>
        <v/>
      </c>
      <c r="BR176" s="38" t="str">
        <f>IFERROR('2.vize'!CC75*100/'2.vize'!$I75,"")</f>
        <v/>
      </c>
      <c r="BS176" s="38" t="str">
        <f>IFERROR('2.vize'!CD75*100/'2.vize'!$I75,"")</f>
        <v/>
      </c>
      <c r="BT176" s="38" t="str">
        <f>IFERROR('2.vize'!CE75*100/'2.vize'!$I75,"")</f>
        <v/>
      </c>
      <c r="BU176" s="38" t="str">
        <f>IFERROR('2.vize'!CF75*100/'2.vize'!$I75,"")</f>
        <v/>
      </c>
      <c r="BV176" s="38" t="str">
        <f>IFERROR('2.vize'!CG75*100/'2.vize'!$I75,"")</f>
        <v/>
      </c>
      <c r="BW176" s="38" t="str">
        <f>IFERROR('2.vize'!CH75*100/'2.vize'!$I75,"")</f>
        <v/>
      </c>
      <c r="BX176" s="38" t="str">
        <f>IFERROR('2.vize'!CI75*100/'2.vize'!$I75,"")</f>
        <v/>
      </c>
      <c r="BY176" s="38" t="str">
        <f>IFERROR('2.vize'!CJ75*100/'2.vize'!$I75,"")</f>
        <v/>
      </c>
      <c r="BZ176" s="38" t="str">
        <f>IFERROR('2.vize'!CK75*100/'2.vize'!$I75,"")</f>
        <v/>
      </c>
      <c r="CA176" s="38" t="str">
        <f>IFERROR('2.vize'!CL75*100/'2.vize'!$I75,"")</f>
        <v/>
      </c>
      <c r="CB176" s="38" t="str">
        <f>IFERROR('2.vize'!CM75*100/'2.vize'!$I75,"")</f>
        <v/>
      </c>
      <c r="CC176" s="38" t="str">
        <f>IFERROR('2.vize'!CN75*100/'2.vize'!$I75,"")</f>
        <v/>
      </c>
      <c r="CD176" s="38" t="str">
        <f>IFERROR('2.vize'!CO75*100/'2.vize'!$I75,"")</f>
        <v/>
      </c>
      <c r="CE176" s="38" t="str">
        <f>IFERROR('2.vize'!CP75*100/'2.vize'!$I75,"")</f>
        <v/>
      </c>
      <c r="CF176" s="38" t="str">
        <f>IFERROR('2.vize'!CQ75*100/'2.vize'!$I75,"")</f>
        <v/>
      </c>
      <c r="CG176" s="38" t="str">
        <f>IFERROR('2.vize'!CR75*100/'2.vize'!$I75,"")</f>
        <v/>
      </c>
      <c r="CH176" s="38" t="str">
        <f>IFERROR('2.vize'!CS75*100/'2.vize'!$I75,"")</f>
        <v/>
      </c>
      <c r="CI176" s="38" t="str">
        <f>IFERROR('2.vize'!CT75*100/'2.vize'!$I75,"")</f>
        <v/>
      </c>
      <c r="CJ176" s="38" t="str">
        <f>IFERROR('2.vize'!CU75*100/'2.vize'!$I75,"")</f>
        <v/>
      </c>
      <c r="CK176" s="38" t="str">
        <f>IFERROR('2.vize'!CV75*100/'2.vize'!$I75,"")</f>
        <v/>
      </c>
      <c r="CL176" s="38" t="str">
        <f>IFERROR('2.vize'!CW75*100/'2.vize'!$I75,"")</f>
        <v/>
      </c>
      <c r="CM176" s="38" t="str">
        <f>IFERROR('2.vize'!CX75*100/'2.vize'!$I75,"")</f>
        <v/>
      </c>
      <c r="CN176" s="38" t="str">
        <f>IFERROR('2.vize'!CY75*100/'2.vize'!$I75,"")</f>
        <v/>
      </c>
      <c r="CO176" s="38" t="str">
        <f>IFERROR('2.vize'!CZ75*100/'2.vize'!$I75,"")</f>
        <v/>
      </c>
      <c r="CP176" s="38" t="str">
        <f>IFERROR('2.vize'!DA75*100/'2.vize'!$I75,"")</f>
        <v/>
      </c>
      <c r="CQ176" s="38" t="str">
        <f>IFERROR('2.vize'!DB75*100/'2.vize'!$I75,"")</f>
        <v/>
      </c>
      <c r="CR176" s="38" t="str">
        <f>IFERROR('2.vize'!DC75*100/'2.vize'!$I75,"")</f>
        <v/>
      </c>
      <c r="CS176" s="38" t="str">
        <f>IFERROR('2.vize'!DD75*100/'2.vize'!$I75,"")</f>
        <v/>
      </c>
      <c r="CT176" s="38" t="str">
        <f>IFERROR('2.vize'!DE75*100/'2.vize'!$I75,"")</f>
        <v/>
      </c>
      <c r="CU176" s="38" t="str">
        <f>IFERROR('2.vize'!DF75*100/'2.vize'!$I75,"")</f>
        <v/>
      </c>
      <c r="CV176" s="38" t="str">
        <f>IFERROR('2.vize'!DG75*100/'2.vize'!$I75,"")</f>
        <v/>
      </c>
      <c r="CW176" s="32" t="str">
        <f>IFERROR(SUM(A176:CV176)/'2.vize'!$DH$103,"")</f>
        <v/>
      </c>
      <c r="CX176" s="14" t="str">
        <f>IF(COUNTA('2.vize'!A75),'2.vize'!A75,"")</f>
        <v/>
      </c>
      <c r="CY176" s="14" t="str">
        <f>IF(COUNTA('2.vize'!B75),'2.vize'!B75,"")</f>
        <v/>
      </c>
      <c r="CZ176" s="14" t="str">
        <f>IF(COUNTA('2.vize'!C75),'2.vize'!C75,"")</f>
        <v/>
      </c>
      <c r="DA176" s="14" t="str">
        <f>IF(COUNTA('2.vize'!D75),'2.vize'!D75,"")</f>
        <v/>
      </c>
      <c r="DB176" s="14" t="str">
        <f>IF(COUNTA('2.vize'!E75),'2.vize'!E75,"")</f>
        <v/>
      </c>
      <c r="DC176" s="14" t="str">
        <f>IF(COUNTA('2.vize'!F75),'2.vize'!F75,"")</f>
        <v/>
      </c>
      <c r="DD176" s="14" t="str">
        <f>IF(COUNTA('2.vize'!G75),'2.vize'!G75,"")</f>
        <v/>
      </c>
      <c r="DE176" s="14" t="str">
        <f>IF(COUNTA('2.vize'!H75),'2.vize'!H75,"")</f>
        <v/>
      </c>
    </row>
    <row r="177" spans="1:109" x14ac:dyDescent="0.2">
      <c r="A177" s="38" t="str">
        <f>IFERROR('2.vize'!L76*100/'2.vize'!$I76,"")</f>
        <v/>
      </c>
      <c r="B177" s="38" t="str">
        <f>IFERROR('2.vize'!M76*100/'2.vize'!$I76,"")</f>
        <v/>
      </c>
      <c r="C177" s="38" t="str">
        <f>IFERROR('2.vize'!N76*100/'2.vize'!$I76,"")</f>
        <v/>
      </c>
      <c r="D177" s="38" t="str">
        <f>IFERROR('2.vize'!O76*100/'2.vize'!$I76,"")</f>
        <v/>
      </c>
      <c r="E177" s="38" t="str">
        <f>IFERROR('2.vize'!P76*100/'2.vize'!$I76,"")</f>
        <v/>
      </c>
      <c r="F177" s="38" t="str">
        <f>IFERROR('2.vize'!Q76*100/'2.vize'!$I76,"")</f>
        <v/>
      </c>
      <c r="G177" s="38" t="str">
        <f>IFERROR('2.vize'!R76*100/'2.vize'!$I76,"")</f>
        <v/>
      </c>
      <c r="H177" s="38" t="str">
        <f>IFERROR('2.vize'!S76*100/'2.vize'!$I76,"")</f>
        <v/>
      </c>
      <c r="I177" s="38" t="str">
        <f>IFERROR('2.vize'!T76*100/'2.vize'!$I76,"")</f>
        <v/>
      </c>
      <c r="J177" s="38" t="str">
        <f>IFERROR('2.vize'!U76*100/'2.vize'!$I76,"")</f>
        <v/>
      </c>
      <c r="K177" s="38" t="str">
        <f>IFERROR('2.vize'!V76*100/'2.vize'!$I76,"")</f>
        <v/>
      </c>
      <c r="L177" s="38" t="str">
        <f>IFERROR('2.vize'!W76*100/'2.vize'!$I76,"")</f>
        <v/>
      </c>
      <c r="M177" s="38" t="str">
        <f>IFERROR('2.vize'!X76*100/'2.vize'!$I76,"")</f>
        <v/>
      </c>
      <c r="N177" s="38" t="str">
        <f>IFERROR('2.vize'!Y76*100/'2.vize'!$I76,"")</f>
        <v/>
      </c>
      <c r="O177" s="38" t="str">
        <f>IFERROR('2.vize'!Z76*100/'2.vize'!$I76,"")</f>
        <v/>
      </c>
      <c r="P177" s="38" t="str">
        <f>IFERROR('2.vize'!AA76*100/'2.vize'!$I76,"")</f>
        <v/>
      </c>
      <c r="Q177" s="38" t="str">
        <f>IFERROR('2.vize'!AB76*100/'2.vize'!$I76,"")</f>
        <v/>
      </c>
      <c r="R177" s="38" t="str">
        <f>IFERROR('2.vize'!AC76*100/'2.vize'!$I76,"")</f>
        <v/>
      </c>
      <c r="S177" s="38" t="str">
        <f>IFERROR('2.vize'!AD76*100/'2.vize'!$I76,"")</f>
        <v/>
      </c>
      <c r="T177" s="38" t="str">
        <f>IFERROR('2.vize'!AE76*100/'2.vize'!$I76,"")</f>
        <v/>
      </c>
      <c r="U177" s="38" t="str">
        <f>IFERROR('2.vize'!AF76*100/'2.vize'!$I76,"")</f>
        <v/>
      </c>
      <c r="V177" s="38" t="str">
        <f>IFERROR('2.vize'!AG76*100/'2.vize'!$I76,"")</f>
        <v/>
      </c>
      <c r="W177" s="38" t="str">
        <f>IFERROR('2.vize'!AH76*100/'2.vize'!$I76,"")</f>
        <v/>
      </c>
      <c r="X177" s="38" t="str">
        <f>IFERROR('2.vize'!AI76*100/'2.vize'!$I76,"")</f>
        <v/>
      </c>
      <c r="Y177" s="38" t="str">
        <f>IFERROR('2.vize'!AJ76*100/'2.vize'!$I76,"")</f>
        <v/>
      </c>
      <c r="Z177" s="38" t="str">
        <f>IFERROR('2.vize'!AK76*100/'2.vize'!$I76,"")</f>
        <v/>
      </c>
      <c r="AA177" s="38" t="str">
        <f>IFERROR('2.vize'!AL76*100/'2.vize'!$I76,"")</f>
        <v/>
      </c>
      <c r="AB177" s="38" t="str">
        <f>IFERROR('2.vize'!AM76*100/'2.vize'!$I76,"")</f>
        <v/>
      </c>
      <c r="AC177" s="38" t="str">
        <f>IFERROR('2.vize'!AN76*100/'2.vize'!$I76,"")</f>
        <v/>
      </c>
      <c r="AD177" s="38" t="str">
        <f>IFERROR('2.vize'!AO76*100/'2.vize'!$I76,"")</f>
        <v/>
      </c>
      <c r="AE177" s="38" t="str">
        <f>IFERROR('2.vize'!AP76*100/'2.vize'!$I76,"")</f>
        <v/>
      </c>
      <c r="AF177" s="38" t="str">
        <f>IFERROR('2.vize'!AQ76*100/'2.vize'!$I76,"")</f>
        <v/>
      </c>
      <c r="AG177" s="38" t="str">
        <f>IFERROR('2.vize'!AR76*100/'2.vize'!$I76,"")</f>
        <v/>
      </c>
      <c r="AH177" s="38" t="str">
        <f>IFERROR('2.vize'!AS76*100/'2.vize'!$I76,"")</f>
        <v/>
      </c>
      <c r="AI177" s="38" t="str">
        <f>IFERROR('2.vize'!AT76*100/'2.vize'!$I76,"")</f>
        <v/>
      </c>
      <c r="AJ177" s="38" t="str">
        <f>IFERROR('2.vize'!AU76*100/'2.vize'!$I76,"")</f>
        <v/>
      </c>
      <c r="AK177" s="38" t="str">
        <f>IFERROR('2.vize'!AV76*100/'2.vize'!$I76,"")</f>
        <v/>
      </c>
      <c r="AL177" s="38" t="str">
        <f>IFERROR('2.vize'!AW76*100/'2.vize'!$I76,"")</f>
        <v/>
      </c>
      <c r="AM177" s="38" t="str">
        <f>IFERROR('2.vize'!AX76*100/'2.vize'!$I76,"")</f>
        <v/>
      </c>
      <c r="AN177" s="38" t="str">
        <f>IFERROR('2.vize'!AY76*100/'2.vize'!$I76,"")</f>
        <v/>
      </c>
      <c r="AO177" s="38" t="str">
        <f>IFERROR('2.vize'!AZ76*100/'2.vize'!$I76,"")</f>
        <v/>
      </c>
      <c r="AP177" s="38" t="str">
        <f>IFERROR('2.vize'!BA76*100/'2.vize'!$I76,"")</f>
        <v/>
      </c>
      <c r="AQ177" s="38" t="str">
        <f>IFERROR('2.vize'!BB76*100/'2.vize'!$I76,"")</f>
        <v/>
      </c>
      <c r="AR177" s="38" t="str">
        <f>IFERROR('2.vize'!BC76*100/'2.vize'!$I76,"")</f>
        <v/>
      </c>
      <c r="AS177" s="38" t="str">
        <f>IFERROR('2.vize'!BD76*100/'2.vize'!$I76,"")</f>
        <v/>
      </c>
      <c r="AT177" s="38" t="str">
        <f>IFERROR('2.vize'!BE76*100/'2.vize'!$I76,"")</f>
        <v/>
      </c>
      <c r="AU177" s="38" t="str">
        <f>IFERROR('2.vize'!BF76*100/'2.vize'!$I76,"")</f>
        <v/>
      </c>
      <c r="AV177" s="38" t="str">
        <f>IFERROR('2.vize'!BG76*100/'2.vize'!$I76,"")</f>
        <v/>
      </c>
      <c r="AW177" s="38" t="str">
        <f>IFERROR('2.vize'!BH76*100/'2.vize'!$I76,"")</f>
        <v/>
      </c>
      <c r="AX177" s="38" t="str">
        <f>IFERROR('2.vize'!BI76*100/'2.vize'!$I76,"")</f>
        <v/>
      </c>
      <c r="AY177" s="38" t="str">
        <f>IFERROR('2.vize'!BJ76*100/'2.vize'!$I76,"")</f>
        <v/>
      </c>
      <c r="AZ177" s="38" t="str">
        <f>IFERROR('2.vize'!BK76*100/'2.vize'!$I76,"")</f>
        <v/>
      </c>
      <c r="BA177" s="38" t="str">
        <f>IFERROR('2.vize'!BL76*100/'2.vize'!$I76,"")</f>
        <v/>
      </c>
      <c r="BB177" s="38" t="str">
        <f>IFERROR('2.vize'!BM76*100/'2.vize'!$I76,"")</f>
        <v/>
      </c>
      <c r="BC177" s="38" t="str">
        <f>IFERROR('2.vize'!BN76*100/'2.vize'!$I76,"")</f>
        <v/>
      </c>
      <c r="BD177" s="38" t="str">
        <f>IFERROR('2.vize'!BO76*100/'2.vize'!$I76,"")</f>
        <v/>
      </c>
      <c r="BE177" s="38" t="str">
        <f>IFERROR('2.vize'!BP76*100/'2.vize'!$I76,"")</f>
        <v/>
      </c>
      <c r="BF177" s="38" t="str">
        <f>IFERROR('2.vize'!BQ76*100/'2.vize'!$I76,"")</f>
        <v/>
      </c>
      <c r="BG177" s="38" t="str">
        <f>IFERROR('2.vize'!BR76*100/'2.vize'!$I76,"")</f>
        <v/>
      </c>
      <c r="BH177" s="38" t="str">
        <f>IFERROR('2.vize'!BS76*100/'2.vize'!$I76,"")</f>
        <v/>
      </c>
      <c r="BI177" s="38" t="str">
        <f>IFERROR('2.vize'!BT76*100/'2.vize'!$I76,"")</f>
        <v/>
      </c>
      <c r="BJ177" s="38" t="str">
        <f>IFERROR('2.vize'!BU76*100/'2.vize'!$I76,"")</f>
        <v/>
      </c>
      <c r="BK177" s="38" t="str">
        <f>IFERROR('2.vize'!BV76*100/'2.vize'!$I76,"")</f>
        <v/>
      </c>
      <c r="BL177" s="38" t="str">
        <f>IFERROR('2.vize'!BW76*100/'2.vize'!$I76,"")</f>
        <v/>
      </c>
      <c r="BM177" s="38" t="str">
        <f>IFERROR('2.vize'!BX76*100/'2.vize'!$I76,"")</f>
        <v/>
      </c>
      <c r="BN177" s="38" t="str">
        <f>IFERROR('2.vize'!BY76*100/'2.vize'!$I76,"")</f>
        <v/>
      </c>
      <c r="BO177" s="38" t="str">
        <f>IFERROR('2.vize'!BZ76*100/'2.vize'!$I76,"")</f>
        <v/>
      </c>
      <c r="BP177" s="38" t="str">
        <f>IFERROR('2.vize'!CA76*100/'2.vize'!$I76,"")</f>
        <v/>
      </c>
      <c r="BQ177" s="38" t="str">
        <f>IFERROR('2.vize'!CB76*100/'2.vize'!$I76,"")</f>
        <v/>
      </c>
      <c r="BR177" s="38" t="str">
        <f>IFERROR('2.vize'!CC76*100/'2.vize'!$I76,"")</f>
        <v/>
      </c>
      <c r="BS177" s="38" t="str">
        <f>IFERROR('2.vize'!CD76*100/'2.vize'!$I76,"")</f>
        <v/>
      </c>
      <c r="BT177" s="38" t="str">
        <f>IFERROR('2.vize'!CE76*100/'2.vize'!$I76,"")</f>
        <v/>
      </c>
      <c r="BU177" s="38" t="str">
        <f>IFERROR('2.vize'!CF76*100/'2.vize'!$I76,"")</f>
        <v/>
      </c>
      <c r="BV177" s="38" t="str">
        <f>IFERROR('2.vize'!CG76*100/'2.vize'!$I76,"")</f>
        <v/>
      </c>
      <c r="BW177" s="38" t="str">
        <f>IFERROR('2.vize'!CH76*100/'2.vize'!$I76,"")</f>
        <v/>
      </c>
      <c r="BX177" s="38" t="str">
        <f>IFERROR('2.vize'!CI76*100/'2.vize'!$I76,"")</f>
        <v/>
      </c>
      <c r="BY177" s="38" t="str">
        <f>IFERROR('2.vize'!CJ76*100/'2.vize'!$I76,"")</f>
        <v/>
      </c>
      <c r="BZ177" s="38" t="str">
        <f>IFERROR('2.vize'!CK76*100/'2.vize'!$I76,"")</f>
        <v/>
      </c>
      <c r="CA177" s="38" t="str">
        <f>IFERROR('2.vize'!CL76*100/'2.vize'!$I76,"")</f>
        <v/>
      </c>
      <c r="CB177" s="38" t="str">
        <f>IFERROR('2.vize'!CM76*100/'2.vize'!$I76,"")</f>
        <v/>
      </c>
      <c r="CC177" s="38" t="str">
        <f>IFERROR('2.vize'!CN76*100/'2.vize'!$I76,"")</f>
        <v/>
      </c>
      <c r="CD177" s="38" t="str">
        <f>IFERROR('2.vize'!CO76*100/'2.vize'!$I76,"")</f>
        <v/>
      </c>
      <c r="CE177" s="38" t="str">
        <f>IFERROR('2.vize'!CP76*100/'2.vize'!$I76,"")</f>
        <v/>
      </c>
      <c r="CF177" s="38" t="str">
        <f>IFERROR('2.vize'!CQ76*100/'2.vize'!$I76,"")</f>
        <v/>
      </c>
      <c r="CG177" s="38" t="str">
        <f>IFERROR('2.vize'!CR76*100/'2.vize'!$I76,"")</f>
        <v/>
      </c>
      <c r="CH177" s="38" t="str">
        <f>IFERROR('2.vize'!CS76*100/'2.vize'!$I76,"")</f>
        <v/>
      </c>
      <c r="CI177" s="38" t="str">
        <f>IFERROR('2.vize'!CT76*100/'2.vize'!$I76,"")</f>
        <v/>
      </c>
      <c r="CJ177" s="38" t="str">
        <f>IFERROR('2.vize'!CU76*100/'2.vize'!$I76,"")</f>
        <v/>
      </c>
      <c r="CK177" s="38" t="str">
        <f>IFERROR('2.vize'!CV76*100/'2.vize'!$I76,"")</f>
        <v/>
      </c>
      <c r="CL177" s="38" t="str">
        <f>IFERROR('2.vize'!CW76*100/'2.vize'!$I76,"")</f>
        <v/>
      </c>
      <c r="CM177" s="38" t="str">
        <f>IFERROR('2.vize'!CX76*100/'2.vize'!$I76,"")</f>
        <v/>
      </c>
      <c r="CN177" s="38" t="str">
        <f>IFERROR('2.vize'!CY76*100/'2.vize'!$I76,"")</f>
        <v/>
      </c>
      <c r="CO177" s="38" t="str">
        <f>IFERROR('2.vize'!CZ76*100/'2.vize'!$I76,"")</f>
        <v/>
      </c>
      <c r="CP177" s="38" t="str">
        <f>IFERROR('2.vize'!DA76*100/'2.vize'!$I76,"")</f>
        <v/>
      </c>
      <c r="CQ177" s="38" t="str">
        <f>IFERROR('2.vize'!DB76*100/'2.vize'!$I76,"")</f>
        <v/>
      </c>
      <c r="CR177" s="38" t="str">
        <f>IFERROR('2.vize'!DC76*100/'2.vize'!$I76,"")</f>
        <v/>
      </c>
      <c r="CS177" s="38" t="str">
        <f>IFERROR('2.vize'!DD76*100/'2.vize'!$I76,"")</f>
        <v/>
      </c>
      <c r="CT177" s="38" t="str">
        <f>IFERROR('2.vize'!DE76*100/'2.vize'!$I76,"")</f>
        <v/>
      </c>
      <c r="CU177" s="38" t="str">
        <f>IFERROR('2.vize'!DF76*100/'2.vize'!$I76,"")</f>
        <v/>
      </c>
      <c r="CV177" s="38" t="str">
        <f>IFERROR('2.vize'!DG76*100/'2.vize'!$I76,"")</f>
        <v/>
      </c>
      <c r="CW177" s="32" t="str">
        <f>IFERROR(SUM(A177:CV177)/'2.vize'!$DH$103,"")</f>
        <v/>
      </c>
      <c r="CX177" s="14" t="str">
        <f>IF(COUNTA('2.vize'!A76),'2.vize'!A76,"")</f>
        <v/>
      </c>
      <c r="CY177" s="14" t="str">
        <f>IF(COUNTA('2.vize'!B76),'2.vize'!B76,"")</f>
        <v/>
      </c>
      <c r="CZ177" s="14" t="str">
        <f>IF(COUNTA('2.vize'!C76),'2.vize'!C76,"")</f>
        <v/>
      </c>
      <c r="DA177" s="14" t="str">
        <f>IF(COUNTA('2.vize'!D76),'2.vize'!D76,"")</f>
        <v/>
      </c>
      <c r="DB177" s="14" t="str">
        <f>IF(COUNTA('2.vize'!E76),'2.vize'!E76,"")</f>
        <v/>
      </c>
      <c r="DC177" s="14" t="str">
        <f>IF(COUNTA('2.vize'!F76),'2.vize'!F76,"")</f>
        <v/>
      </c>
      <c r="DD177" s="14" t="str">
        <f>IF(COUNTA('2.vize'!G76),'2.vize'!G76,"")</f>
        <v/>
      </c>
      <c r="DE177" s="14" t="str">
        <f>IF(COUNTA('2.vize'!H76),'2.vize'!H76,"")</f>
        <v/>
      </c>
    </row>
    <row r="178" spans="1:109" x14ac:dyDescent="0.2">
      <c r="A178" s="38" t="str">
        <f>IFERROR('2.vize'!L77*100/'2.vize'!$I77,"")</f>
        <v/>
      </c>
      <c r="B178" s="38" t="str">
        <f>IFERROR('2.vize'!M77*100/'2.vize'!$I77,"")</f>
        <v/>
      </c>
      <c r="C178" s="38" t="str">
        <f>IFERROR('2.vize'!N77*100/'2.vize'!$I77,"")</f>
        <v/>
      </c>
      <c r="D178" s="38" t="str">
        <f>IFERROR('2.vize'!O77*100/'2.vize'!$I77,"")</f>
        <v/>
      </c>
      <c r="E178" s="38" t="str">
        <f>IFERROR('2.vize'!P77*100/'2.vize'!$I77,"")</f>
        <v/>
      </c>
      <c r="F178" s="38" t="str">
        <f>IFERROR('2.vize'!Q77*100/'2.vize'!$I77,"")</f>
        <v/>
      </c>
      <c r="G178" s="38" t="str">
        <f>IFERROR('2.vize'!R77*100/'2.vize'!$I77,"")</f>
        <v/>
      </c>
      <c r="H178" s="38" t="str">
        <f>IFERROR('2.vize'!S77*100/'2.vize'!$I77,"")</f>
        <v/>
      </c>
      <c r="I178" s="38" t="str">
        <f>IFERROR('2.vize'!T77*100/'2.vize'!$I77,"")</f>
        <v/>
      </c>
      <c r="J178" s="38" t="str">
        <f>IFERROR('2.vize'!U77*100/'2.vize'!$I77,"")</f>
        <v/>
      </c>
      <c r="K178" s="38" t="str">
        <f>IFERROR('2.vize'!V77*100/'2.vize'!$I77,"")</f>
        <v/>
      </c>
      <c r="L178" s="38" t="str">
        <f>IFERROR('2.vize'!W77*100/'2.vize'!$I77,"")</f>
        <v/>
      </c>
      <c r="M178" s="38" t="str">
        <f>IFERROR('2.vize'!X77*100/'2.vize'!$I77,"")</f>
        <v/>
      </c>
      <c r="N178" s="38" t="str">
        <f>IFERROR('2.vize'!Y77*100/'2.vize'!$I77,"")</f>
        <v/>
      </c>
      <c r="O178" s="38" t="str">
        <f>IFERROR('2.vize'!Z77*100/'2.vize'!$I77,"")</f>
        <v/>
      </c>
      <c r="P178" s="38" t="str">
        <f>IFERROR('2.vize'!AA77*100/'2.vize'!$I77,"")</f>
        <v/>
      </c>
      <c r="Q178" s="38" t="str">
        <f>IFERROR('2.vize'!AB77*100/'2.vize'!$I77,"")</f>
        <v/>
      </c>
      <c r="R178" s="38" t="str">
        <f>IFERROR('2.vize'!AC77*100/'2.vize'!$I77,"")</f>
        <v/>
      </c>
      <c r="S178" s="38" t="str">
        <f>IFERROR('2.vize'!AD77*100/'2.vize'!$I77,"")</f>
        <v/>
      </c>
      <c r="T178" s="38" t="str">
        <f>IFERROR('2.vize'!AE77*100/'2.vize'!$I77,"")</f>
        <v/>
      </c>
      <c r="U178" s="38" t="str">
        <f>IFERROR('2.vize'!AF77*100/'2.vize'!$I77,"")</f>
        <v/>
      </c>
      <c r="V178" s="38" t="str">
        <f>IFERROR('2.vize'!AG77*100/'2.vize'!$I77,"")</f>
        <v/>
      </c>
      <c r="W178" s="38" t="str">
        <f>IFERROR('2.vize'!AH77*100/'2.vize'!$I77,"")</f>
        <v/>
      </c>
      <c r="X178" s="38" t="str">
        <f>IFERROR('2.vize'!AI77*100/'2.vize'!$I77,"")</f>
        <v/>
      </c>
      <c r="Y178" s="38" t="str">
        <f>IFERROR('2.vize'!AJ77*100/'2.vize'!$I77,"")</f>
        <v/>
      </c>
      <c r="Z178" s="38" t="str">
        <f>IFERROR('2.vize'!AK77*100/'2.vize'!$I77,"")</f>
        <v/>
      </c>
      <c r="AA178" s="38" t="str">
        <f>IFERROR('2.vize'!AL77*100/'2.vize'!$I77,"")</f>
        <v/>
      </c>
      <c r="AB178" s="38" t="str">
        <f>IFERROR('2.vize'!AM77*100/'2.vize'!$I77,"")</f>
        <v/>
      </c>
      <c r="AC178" s="38" t="str">
        <f>IFERROR('2.vize'!AN77*100/'2.vize'!$I77,"")</f>
        <v/>
      </c>
      <c r="AD178" s="38" t="str">
        <f>IFERROR('2.vize'!AO77*100/'2.vize'!$I77,"")</f>
        <v/>
      </c>
      <c r="AE178" s="38" t="str">
        <f>IFERROR('2.vize'!AP77*100/'2.vize'!$I77,"")</f>
        <v/>
      </c>
      <c r="AF178" s="38" t="str">
        <f>IFERROR('2.vize'!AQ77*100/'2.vize'!$I77,"")</f>
        <v/>
      </c>
      <c r="AG178" s="38" t="str">
        <f>IFERROR('2.vize'!AR77*100/'2.vize'!$I77,"")</f>
        <v/>
      </c>
      <c r="AH178" s="38" t="str">
        <f>IFERROR('2.vize'!AS77*100/'2.vize'!$I77,"")</f>
        <v/>
      </c>
      <c r="AI178" s="38" t="str">
        <f>IFERROR('2.vize'!AT77*100/'2.vize'!$I77,"")</f>
        <v/>
      </c>
      <c r="AJ178" s="38" t="str">
        <f>IFERROR('2.vize'!AU77*100/'2.vize'!$I77,"")</f>
        <v/>
      </c>
      <c r="AK178" s="38" t="str">
        <f>IFERROR('2.vize'!AV77*100/'2.vize'!$I77,"")</f>
        <v/>
      </c>
      <c r="AL178" s="38" t="str">
        <f>IFERROR('2.vize'!AW77*100/'2.vize'!$I77,"")</f>
        <v/>
      </c>
      <c r="AM178" s="38" t="str">
        <f>IFERROR('2.vize'!AX77*100/'2.vize'!$I77,"")</f>
        <v/>
      </c>
      <c r="AN178" s="38" t="str">
        <f>IFERROR('2.vize'!AY77*100/'2.vize'!$I77,"")</f>
        <v/>
      </c>
      <c r="AO178" s="38" t="str">
        <f>IFERROR('2.vize'!AZ77*100/'2.vize'!$I77,"")</f>
        <v/>
      </c>
      <c r="AP178" s="38" t="str">
        <f>IFERROR('2.vize'!BA77*100/'2.vize'!$I77,"")</f>
        <v/>
      </c>
      <c r="AQ178" s="38" t="str">
        <f>IFERROR('2.vize'!BB77*100/'2.vize'!$I77,"")</f>
        <v/>
      </c>
      <c r="AR178" s="38" t="str">
        <f>IFERROR('2.vize'!BC77*100/'2.vize'!$I77,"")</f>
        <v/>
      </c>
      <c r="AS178" s="38" t="str">
        <f>IFERROR('2.vize'!BD77*100/'2.vize'!$I77,"")</f>
        <v/>
      </c>
      <c r="AT178" s="38" t="str">
        <f>IFERROR('2.vize'!BE77*100/'2.vize'!$I77,"")</f>
        <v/>
      </c>
      <c r="AU178" s="38" t="str">
        <f>IFERROR('2.vize'!BF77*100/'2.vize'!$I77,"")</f>
        <v/>
      </c>
      <c r="AV178" s="38" t="str">
        <f>IFERROR('2.vize'!BG77*100/'2.vize'!$I77,"")</f>
        <v/>
      </c>
      <c r="AW178" s="38" t="str">
        <f>IFERROR('2.vize'!BH77*100/'2.vize'!$I77,"")</f>
        <v/>
      </c>
      <c r="AX178" s="38" t="str">
        <f>IFERROR('2.vize'!BI77*100/'2.vize'!$I77,"")</f>
        <v/>
      </c>
      <c r="AY178" s="38" t="str">
        <f>IFERROR('2.vize'!BJ77*100/'2.vize'!$I77,"")</f>
        <v/>
      </c>
      <c r="AZ178" s="38" t="str">
        <f>IFERROR('2.vize'!BK77*100/'2.vize'!$I77,"")</f>
        <v/>
      </c>
      <c r="BA178" s="38" t="str">
        <f>IFERROR('2.vize'!BL77*100/'2.vize'!$I77,"")</f>
        <v/>
      </c>
      <c r="BB178" s="38" t="str">
        <f>IFERROR('2.vize'!BM77*100/'2.vize'!$I77,"")</f>
        <v/>
      </c>
      <c r="BC178" s="38" t="str">
        <f>IFERROR('2.vize'!BN77*100/'2.vize'!$I77,"")</f>
        <v/>
      </c>
      <c r="BD178" s="38" t="str">
        <f>IFERROR('2.vize'!BO77*100/'2.vize'!$I77,"")</f>
        <v/>
      </c>
      <c r="BE178" s="38" t="str">
        <f>IFERROR('2.vize'!BP77*100/'2.vize'!$I77,"")</f>
        <v/>
      </c>
      <c r="BF178" s="38" t="str">
        <f>IFERROR('2.vize'!BQ77*100/'2.vize'!$I77,"")</f>
        <v/>
      </c>
      <c r="BG178" s="38" t="str">
        <f>IFERROR('2.vize'!BR77*100/'2.vize'!$I77,"")</f>
        <v/>
      </c>
      <c r="BH178" s="38" t="str">
        <f>IFERROR('2.vize'!BS77*100/'2.vize'!$I77,"")</f>
        <v/>
      </c>
      <c r="BI178" s="38" t="str">
        <f>IFERROR('2.vize'!BT77*100/'2.vize'!$I77,"")</f>
        <v/>
      </c>
      <c r="BJ178" s="38" t="str">
        <f>IFERROR('2.vize'!BU77*100/'2.vize'!$I77,"")</f>
        <v/>
      </c>
      <c r="BK178" s="38" t="str">
        <f>IFERROR('2.vize'!BV77*100/'2.vize'!$I77,"")</f>
        <v/>
      </c>
      <c r="BL178" s="38" t="str">
        <f>IFERROR('2.vize'!BW77*100/'2.vize'!$I77,"")</f>
        <v/>
      </c>
      <c r="BM178" s="38" t="str">
        <f>IFERROR('2.vize'!BX77*100/'2.vize'!$I77,"")</f>
        <v/>
      </c>
      <c r="BN178" s="38" t="str">
        <f>IFERROR('2.vize'!BY77*100/'2.vize'!$I77,"")</f>
        <v/>
      </c>
      <c r="BO178" s="38" t="str">
        <f>IFERROR('2.vize'!BZ77*100/'2.vize'!$I77,"")</f>
        <v/>
      </c>
      <c r="BP178" s="38" t="str">
        <f>IFERROR('2.vize'!CA77*100/'2.vize'!$I77,"")</f>
        <v/>
      </c>
      <c r="BQ178" s="38" t="str">
        <f>IFERROR('2.vize'!CB77*100/'2.vize'!$I77,"")</f>
        <v/>
      </c>
      <c r="BR178" s="38" t="str">
        <f>IFERROR('2.vize'!CC77*100/'2.vize'!$I77,"")</f>
        <v/>
      </c>
      <c r="BS178" s="38" t="str">
        <f>IFERROR('2.vize'!CD77*100/'2.vize'!$I77,"")</f>
        <v/>
      </c>
      <c r="BT178" s="38" t="str">
        <f>IFERROR('2.vize'!CE77*100/'2.vize'!$I77,"")</f>
        <v/>
      </c>
      <c r="BU178" s="38" t="str">
        <f>IFERROR('2.vize'!CF77*100/'2.vize'!$I77,"")</f>
        <v/>
      </c>
      <c r="BV178" s="38" t="str">
        <f>IFERROR('2.vize'!CG77*100/'2.vize'!$I77,"")</f>
        <v/>
      </c>
      <c r="BW178" s="38" t="str">
        <f>IFERROR('2.vize'!CH77*100/'2.vize'!$I77,"")</f>
        <v/>
      </c>
      <c r="BX178" s="38" t="str">
        <f>IFERROR('2.vize'!CI77*100/'2.vize'!$I77,"")</f>
        <v/>
      </c>
      <c r="BY178" s="38" t="str">
        <f>IFERROR('2.vize'!CJ77*100/'2.vize'!$I77,"")</f>
        <v/>
      </c>
      <c r="BZ178" s="38" t="str">
        <f>IFERROR('2.vize'!CK77*100/'2.vize'!$I77,"")</f>
        <v/>
      </c>
      <c r="CA178" s="38" t="str">
        <f>IFERROR('2.vize'!CL77*100/'2.vize'!$I77,"")</f>
        <v/>
      </c>
      <c r="CB178" s="38" t="str">
        <f>IFERROR('2.vize'!CM77*100/'2.vize'!$I77,"")</f>
        <v/>
      </c>
      <c r="CC178" s="38" t="str">
        <f>IFERROR('2.vize'!CN77*100/'2.vize'!$I77,"")</f>
        <v/>
      </c>
      <c r="CD178" s="38" t="str">
        <f>IFERROR('2.vize'!CO77*100/'2.vize'!$I77,"")</f>
        <v/>
      </c>
      <c r="CE178" s="38" t="str">
        <f>IFERROR('2.vize'!CP77*100/'2.vize'!$I77,"")</f>
        <v/>
      </c>
      <c r="CF178" s="38" t="str">
        <f>IFERROR('2.vize'!CQ77*100/'2.vize'!$I77,"")</f>
        <v/>
      </c>
      <c r="CG178" s="38" t="str">
        <f>IFERROR('2.vize'!CR77*100/'2.vize'!$I77,"")</f>
        <v/>
      </c>
      <c r="CH178" s="38" t="str">
        <f>IFERROR('2.vize'!CS77*100/'2.vize'!$I77,"")</f>
        <v/>
      </c>
      <c r="CI178" s="38" t="str">
        <f>IFERROR('2.vize'!CT77*100/'2.vize'!$I77,"")</f>
        <v/>
      </c>
      <c r="CJ178" s="38" t="str">
        <f>IFERROR('2.vize'!CU77*100/'2.vize'!$I77,"")</f>
        <v/>
      </c>
      <c r="CK178" s="38" t="str">
        <f>IFERROR('2.vize'!CV77*100/'2.vize'!$I77,"")</f>
        <v/>
      </c>
      <c r="CL178" s="38" t="str">
        <f>IFERROR('2.vize'!CW77*100/'2.vize'!$I77,"")</f>
        <v/>
      </c>
      <c r="CM178" s="38" t="str">
        <f>IFERROR('2.vize'!CX77*100/'2.vize'!$I77,"")</f>
        <v/>
      </c>
      <c r="CN178" s="38" t="str">
        <f>IFERROR('2.vize'!CY77*100/'2.vize'!$I77,"")</f>
        <v/>
      </c>
      <c r="CO178" s="38" t="str">
        <f>IFERROR('2.vize'!CZ77*100/'2.vize'!$I77,"")</f>
        <v/>
      </c>
      <c r="CP178" s="38" t="str">
        <f>IFERROR('2.vize'!DA77*100/'2.vize'!$I77,"")</f>
        <v/>
      </c>
      <c r="CQ178" s="38" t="str">
        <f>IFERROR('2.vize'!DB77*100/'2.vize'!$I77,"")</f>
        <v/>
      </c>
      <c r="CR178" s="38" t="str">
        <f>IFERROR('2.vize'!DC77*100/'2.vize'!$I77,"")</f>
        <v/>
      </c>
      <c r="CS178" s="38" t="str">
        <f>IFERROR('2.vize'!DD77*100/'2.vize'!$I77,"")</f>
        <v/>
      </c>
      <c r="CT178" s="38" t="str">
        <f>IFERROR('2.vize'!DE77*100/'2.vize'!$I77,"")</f>
        <v/>
      </c>
      <c r="CU178" s="38" t="str">
        <f>IFERROR('2.vize'!DF77*100/'2.vize'!$I77,"")</f>
        <v/>
      </c>
      <c r="CV178" s="38" t="str">
        <f>IFERROR('2.vize'!DG77*100/'2.vize'!$I77,"")</f>
        <v/>
      </c>
      <c r="CW178" s="32" t="str">
        <f>IFERROR(SUM(A178:CV178)/'2.vize'!$DH$103,"")</f>
        <v/>
      </c>
      <c r="CX178" s="14" t="str">
        <f>IF(COUNTA('2.vize'!A77),'2.vize'!A77,"")</f>
        <v/>
      </c>
      <c r="CY178" s="14" t="str">
        <f>IF(COUNTA('2.vize'!B77),'2.vize'!B77,"")</f>
        <v/>
      </c>
      <c r="CZ178" s="14" t="str">
        <f>IF(COUNTA('2.vize'!C77),'2.vize'!C77,"")</f>
        <v/>
      </c>
      <c r="DA178" s="14" t="str">
        <f>IF(COUNTA('2.vize'!D77),'2.vize'!D77,"")</f>
        <v/>
      </c>
      <c r="DB178" s="14" t="str">
        <f>IF(COUNTA('2.vize'!E77),'2.vize'!E77,"")</f>
        <v/>
      </c>
      <c r="DC178" s="14" t="str">
        <f>IF(COUNTA('2.vize'!F77),'2.vize'!F77,"")</f>
        <v/>
      </c>
      <c r="DD178" s="14" t="str">
        <f>IF(COUNTA('2.vize'!G77),'2.vize'!G77,"")</f>
        <v/>
      </c>
      <c r="DE178" s="14" t="str">
        <f>IF(COUNTA('2.vize'!H77),'2.vize'!H77,"")</f>
        <v/>
      </c>
    </row>
    <row r="179" spans="1:109" x14ac:dyDescent="0.2">
      <c r="A179" s="38" t="str">
        <f>IFERROR('2.vize'!L78*100/'2.vize'!$I78,"")</f>
        <v/>
      </c>
      <c r="B179" s="38" t="str">
        <f>IFERROR('2.vize'!M78*100/'2.vize'!$I78,"")</f>
        <v/>
      </c>
      <c r="C179" s="38" t="str">
        <f>IFERROR('2.vize'!N78*100/'2.vize'!$I78,"")</f>
        <v/>
      </c>
      <c r="D179" s="38" t="str">
        <f>IFERROR('2.vize'!O78*100/'2.vize'!$I78,"")</f>
        <v/>
      </c>
      <c r="E179" s="38" t="str">
        <f>IFERROR('2.vize'!P78*100/'2.vize'!$I78,"")</f>
        <v/>
      </c>
      <c r="F179" s="38" t="str">
        <f>IFERROR('2.vize'!Q78*100/'2.vize'!$I78,"")</f>
        <v/>
      </c>
      <c r="G179" s="38" t="str">
        <f>IFERROR('2.vize'!R78*100/'2.vize'!$I78,"")</f>
        <v/>
      </c>
      <c r="H179" s="38" t="str">
        <f>IFERROR('2.vize'!S78*100/'2.vize'!$I78,"")</f>
        <v/>
      </c>
      <c r="I179" s="38" t="str">
        <f>IFERROR('2.vize'!T78*100/'2.vize'!$I78,"")</f>
        <v/>
      </c>
      <c r="J179" s="38" t="str">
        <f>IFERROR('2.vize'!U78*100/'2.vize'!$I78,"")</f>
        <v/>
      </c>
      <c r="K179" s="38" t="str">
        <f>IFERROR('2.vize'!V78*100/'2.vize'!$I78,"")</f>
        <v/>
      </c>
      <c r="L179" s="38" t="str">
        <f>IFERROR('2.vize'!W78*100/'2.vize'!$I78,"")</f>
        <v/>
      </c>
      <c r="M179" s="38" t="str">
        <f>IFERROR('2.vize'!X78*100/'2.vize'!$I78,"")</f>
        <v/>
      </c>
      <c r="N179" s="38" t="str">
        <f>IFERROR('2.vize'!Y78*100/'2.vize'!$I78,"")</f>
        <v/>
      </c>
      <c r="O179" s="38" t="str">
        <f>IFERROR('2.vize'!Z78*100/'2.vize'!$I78,"")</f>
        <v/>
      </c>
      <c r="P179" s="38" t="str">
        <f>IFERROR('2.vize'!AA78*100/'2.vize'!$I78,"")</f>
        <v/>
      </c>
      <c r="Q179" s="38" t="str">
        <f>IFERROR('2.vize'!AB78*100/'2.vize'!$I78,"")</f>
        <v/>
      </c>
      <c r="R179" s="38" t="str">
        <f>IFERROR('2.vize'!AC78*100/'2.vize'!$I78,"")</f>
        <v/>
      </c>
      <c r="S179" s="38" t="str">
        <f>IFERROR('2.vize'!AD78*100/'2.vize'!$I78,"")</f>
        <v/>
      </c>
      <c r="T179" s="38" t="str">
        <f>IFERROR('2.vize'!AE78*100/'2.vize'!$I78,"")</f>
        <v/>
      </c>
      <c r="U179" s="38" t="str">
        <f>IFERROR('2.vize'!AF78*100/'2.vize'!$I78,"")</f>
        <v/>
      </c>
      <c r="V179" s="38" t="str">
        <f>IFERROR('2.vize'!AG78*100/'2.vize'!$I78,"")</f>
        <v/>
      </c>
      <c r="W179" s="38" t="str">
        <f>IFERROR('2.vize'!AH78*100/'2.vize'!$I78,"")</f>
        <v/>
      </c>
      <c r="X179" s="38" t="str">
        <f>IFERROR('2.vize'!AI78*100/'2.vize'!$I78,"")</f>
        <v/>
      </c>
      <c r="Y179" s="38" t="str">
        <f>IFERROR('2.vize'!AJ78*100/'2.vize'!$I78,"")</f>
        <v/>
      </c>
      <c r="Z179" s="38" t="str">
        <f>IFERROR('2.vize'!AK78*100/'2.vize'!$I78,"")</f>
        <v/>
      </c>
      <c r="AA179" s="38" t="str">
        <f>IFERROR('2.vize'!AL78*100/'2.vize'!$I78,"")</f>
        <v/>
      </c>
      <c r="AB179" s="38" t="str">
        <f>IFERROR('2.vize'!AM78*100/'2.vize'!$I78,"")</f>
        <v/>
      </c>
      <c r="AC179" s="38" t="str">
        <f>IFERROR('2.vize'!AN78*100/'2.vize'!$I78,"")</f>
        <v/>
      </c>
      <c r="AD179" s="38" t="str">
        <f>IFERROR('2.vize'!AO78*100/'2.vize'!$I78,"")</f>
        <v/>
      </c>
      <c r="AE179" s="38" t="str">
        <f>IFERROR('2.vize'!AP78*100/'2.vize'!$I78,"")</f>
        <v/>
      </c>
      <c r="AF179" s="38" t="str">
        <f>IFERROR('2.vize'!AQ78*100/'2.vize'!$I78,"")</f>
        <v/>
      </c>
      <c r="AG179" s="38" t="str">
        <f>IFERROR('2.vize'!AR78*100/'2.vize'!$I78,"")</f>
        <v/>
      </c>
      <c r="AH179" s="38" t="str">
        <f>IFERROR('2.vize'!AS78*100/'2.vize'!$I78,"")</f>
        <v/>
      </c>
      <c r="AI179" s="38" t="str">
        <f>IFERROR('2.vize'!AT78*100/'2.vize'!$I78,"")</f>
        <v/>
      </c>
      <c r="AJ179" s="38" t="str">
        <f>IFERROR('2.vize'!AU78*100/'2.vize'!$I78,"")</f>
        <v/>
      </c>
      <c r="AK179" s="38" t="str">
        <f>IFERROR('2.vize'!AV78*100/'2.vize'!$I78,"")</f>
        <v/>
      </c>
      <c r="AL179" s="38" t="str">
        <f>IFERROR('2.vize'!AW78*100/'2.vize'!$I78,"")</f>
        <v/>
      </c>
      <c r="AM179" s="38" t="str">
        <f>IFERROR('2.vize'!AX78*100/'2.vize'!$I78,"")</f>
        <v/>
      </c>
      <c r="AN179" s="38" t="str">
        <f>IFERROR('2.vize'!AY78*100/'2.vize'!$I78,"")</f>
        <v/>
      </c>
      <c r="AO179" s="38" t="str">
        <f>IFERROR('2.vize'!AZ78*100/'2.vize'!$I78,"")</f>
        <v/>
      </c>
      <c r="AP179" s="38" t="str">
        <f>IFERROR('2.vize'!BA78*100/'2.vize'!$I78,"")</f>
        <v/>
      </c>
      <c r="AQ179" s="38" t="str">
        <f>IFERROR('2.vize'!BB78*100/'2.vize'!$I78,"")</f>
        <v/>
      </c>
      <c r="AR179" s="38" t="str">
        <f>IFERROR('2.vize'!BC78*100/'2.vize'!$I78,"")</f>
        <v/>
      </c>
      <c r="AS179" s="38" t="str">
        <f>IFERROR('2.vize'!BD78*100/'2.vize'!$I78,"")</f>
        <v/>
      </c>
      <c r="AT179" s="38" t="str">
        <f>IFERROR('2.vize'!BE78*100/'2.vize'!$I78,"")</f>
        <v/>
      </c>
      <c r="AU179" s="38" t="str">
        <f>IFERROR('2.vize'!BF78*100/'2.vize'!$I78,"")</f>
        <v/>
      </c>
      <c r="AV179" s="38" t="str">
        <f>IFERROR('2.vize'!BG78*100/'2.vize'!$I78,"")</f>
        <v/>
      </c>
      <c r="AW179" s="38" t="str">
        <f>IFERROR('2.vize'!BH78*100/'2.vize'!$I78,"")</f>
        <v/>
      </c>
      <c r="AX179" s="38" t="str">
        <f>IFERROR('2.vize'!BI78*100/'2.vize'!$I78,"")</f>
        <v/>
      </c>
      <c r="AY179" s="38" t="str">
        <f>IFERROR('2.vize'!BJ78*100/'2.vize'!$I78,"")</f>
        <v/>
      </c>
      <c r="AZ179" s="38" t="str">
        <f>IFERROR('2.vize'!BK78*100/'2.vize'!$I78,"")</f>
        <v/>
      </c>
      <c r="BA179" s="38" t="str">
        <f>IFERROR('2.vize'!BL78*100/'2.vize'!$I78,"")</f>
        <v/>
      </c>
      <c r="BB179" s="38" t="str">
        <f>IFERROR('2.vize'!BM78*100/'2.vize'!$I78,"")</f>
        <v/>
      </c>
      <c r="BC179" s="38" t="str">
        <f>IFERROR('2.vize'!BN78*100/'2.vize'!$I78,"")</f>
        <v/>
      </c>
      <c r="BD179" s="38" t="str">
        <f>IFERROR('2.vize'!BO78*100/'2.vize'!$I78,"")</f>
        <v/>
      </c>
      <c r="BE179" s="38" t="str">
        <f>IFERROR('2.vize'!BP78*100/'2.vize'!$I78,"")</f>
        <v/>
      </c>
      <c r="BF179" s="38" t="str">
        <f>IFERROR('2.vize'!BQ78*100/'2.vize'!$I78,"")</f>
        <v/>
      </c>
      <c r="BG179" s="38" t="str">
        <f>IFERROR('2.vize'!BR78*100/'2.vize'!$I78,"")</f>
        <v/>
      </c>
      <c r="BH179" s="38" t="str">
        <f>IFERROR('2.vize'!BS78*100/'2.vize'!$I78,"")</f>
        <v/>
      </c>
      <c r="BI179" s="38" t="str">
        <f>IFERROR('2.vize'!BT78*100/'2.vize'!$I78,"")</f>
        <v/>
      </c>
      <c r="BJ179" s="38" t="str">
        <f>IFERROR('2.vize'!BU78*100/'2.vize'!$I78,"")</f>
        <v/>
      </c>
      <c r="BK179" s="38" t="str">
        <f>IFERROR('2.vize'!BV78*100/'2.vize'!$I78,"")</f>
        <v/>
      </c>
      <c r="BL179" s="38" t="str">
        <f>IFERROR('2.vize'!BW78*100/'2.vize'!$I78,"")</f>
        <v/>
      </c>
      <c r="BM179" s="38" t="str">
        <f>IFERROR('2.vize'!BX78*100/'2.vize'!$I78,"")</f>
        <v/>
      </c>
      <c r="BN179" s="38" t="str">
        <f>IFERROR('2.vize'!BY78*100/'2.vize'!$I78,"")</f>
        <v/>
      </c>
      <c r="BO179" s="38" t="str">
        <f>IFERROR('2.vize'!BZ78*100/'2.vize'!$I78,"")</f>
        <v/>
      </c>
      <c r="BP179" s="38" t="str">
        <f>IFERROR('2.vize'!CA78*100/'2.vize'!$I78,"")</f>
        <v/>
      </c>
      <c r="BQ179" s="38" t="str">
        <f>IFERROR('2.vize'!CB78*100/'2.vize'!$I78,"")</f>
        <v/>
      </c>
      <c r="BR179" s="38" t="str">
        <f>IFERROR('2.vize'!CC78*100/'2.vize'!$I78,"")</f>
        <v/>
      </c>
      <c r="BS179" s="38" t="str">
        <f>IFERROR('2.vize'!CD78*100/'2.vize'!$I78,"")</f>
        <v/>
      </c>
      <c r="BT179" s="38" t="str">
        <f>IFERROR('2.vize'!CE78*100/'2.vize'!$I78,"")</f>
        <v/>
      </c>
      <c r="BU179" s="38" t="str">
        <f>IFERROR('2.vize'!CF78*100/'2.vize'!$I78,"")</f>
        <v/>
      </c>
      <c r="BV179" s="38" t="str">
        <f>IFERROR('2.vize'!CG78*100/'2.vize'!$I78,"")</f>
        <v/>
      </c>
      <c r="BW179" s="38" t="str">
        <f>IFERROR('2.vize'!CH78*100/'2.vize'!$I78,"")</f>
        <v/>
      </c>
      <c r="BX179" s="38" t="str">
        <f>IFERROR('2.vize'!CI78*100/'2.vize'!$I78,"")</f>
        <v/>
      </c>
      <c r="BY179" s="38" t="str">
        <f>IFERROR('2.vize'!CJ78*100/'2.vize'!$I78,"")</f>
        <v/>
      </c>
      <c r="BZ179" s="38" t="str">
        <f>IFERROR('2.vize'!CK78*100/'2.vize'!$I78,"")</f>
        <v/>
      </c>
      <c r="CA179" s="38" t="str">
        <f>IFERROR('2.vize'!CL78*100/'2.vize'!$I78,"")</f>
        <v/>
      </c>
      <c r="CB179" s="38" t="str">
        <f>IFERROR('2.vize'!CM78*100/'2.vize'!$I78,"")</f>
        <v/>
      </c>
      <c r="CC179" s="38" t="str">
        <f>IFERROR('2.vize'!CN78*100/'2.vize'!$I78,"")</f>
        <v/>
      </c>
      <c r="CD179" s="38" t="str">
        <f>IFERROR('2.vize'!CO78*100/'2.vize'!$I78,"")</f>
        <v/>
      </c>
      <c r="CE179" s="38" t="str">
        <f>IFERROR('2.vize'!CP78*100/'2.vize'!$I78,"")</f>
        <v/>
      </c>
      <c r="CF179" s="38" t="str">
        <f>IFERROR('2.vize'!CQ78*100/'2.vize'!$I78,"")</f>
        <v/>
      </c>
      <c r="CG179" s="38" t="str">
        <f>IFERROR('2.vize'!CR78*100/'2.vize'!$I78,"")</f>
        <v/>
      </c>
      <c r="CH179" s="38" t="str">
        <f>IFERROR('2.vize'!CS78*100/'2.vize'!$I78,"")</f>
        <v/>
      </c>
      <c r="CI179" s="38" t="str">
        <f>IFERROR('2.vize'!CT78*100/'2.vize'!$I78,"")</f>
        <v/>
      </c>
      <c r="CJ179" s="38" t="str">
        <f>IFERROR('2.vize'!CU78*100/'2.vize'!$I78,"")</f>
        <v/>
      </c>
      <c r="CK179" s="38" t="str">
        <f>IFERROR('2.vize'!CV78*100/'2.vize'!$I78,"")</f>
        <v/>
      </c>
      <c r="CL179" s="38" t="str">
        <f>IFERROR('2.vize'!CW78*100/'2.vize'!$I78,"")</f>
        <v/>
      </c>
      <c r="CM179" s="38" t="str">
        <f>IFERROR('2.vize'!CX78*100/'2.vize'!$I78,"")</f>
        <v/>
      </c>
      <c r="CN179" s="38" t="str">
        <f>IFERROR('2.vize'!CY78*100/'2.vize'!$I78,"")</f>
        <v/>
      </c>
      <c r="CO179" s="38" t="str">
        <f>IFERROR('2.vize'!CZ78*100/'2.vize'!$I78,"")</f>
        <v/>
      </c>
      <c r="CP179" s="38" t="str">
        <f>IFERROR('2.vize'!DA78*100/'2.vize'!$I78,"")</f>
        <v/>
      </c>
      <c r="CQ179" s="38" t="str">
        <f>IFERROR('2.vize'!DB78*100/'2.vize'!$I78,"")</f>
        <v/>
      </c>
      <c r="CR179" s="38" t="str">
        <f>IFERROR('2.vize'!DC78*100/'2.vize'!$I78,"")</f>
        <v/>
      </c>
      <c r="CS179" s="38" t="str">
        <f>IFERROR('2.vize'!DD78*100/'2.vize'!$I78,"")</f>
        <v/>
      </c>
      <c r="CT179" s="38" t="str">
        <f>IFERROR('2.vize'!DE78*100/'2.vize'!$I78,"")</f>
        <v/>
      </c>
      <c r="CU179" s="38" t="str">
        <f>IFERROR('2.vize'!DF78*100/'2.vize'!$I78,"")</f>
        <v/>
      </c>
      <c r="CV179" s="38" t="str">
        <f>IFERROR('2.vize'!DG78*100/'2.vize'!$I78,"")</f>
        <v/>
      </c>
      <c r="CW179" s="32" t="str">
        <f>IFERROR(SUM(A179:CV179)/'2.vize'!$DH$103,"")</f>
        <v/>
      </c>
      <c r="CX179" s="14" t="str">
        <f>IF(COUNTA('2.vize'!A78),'2.vize'!A78,"")</f>
        <v/>
      </c>
      <c r="CY179" s="14" t="str">
        <f>IF(COUNTA('2.vize'!B78),'2.vize'!B78,"")</f>
        <v/>
      </c>
      <c r="CZ179" s="14" t="str">
        <f>IF(COUNTA('2.vize'!C78),'2.vize'!C78,"")</f>
        <v/>
      </c>
      <c r="DA179" s="14" t="str">
        <f>IF(COUNTA('2.vize'!D78),'2.vize'!D78,"")</f>
        <v/>
      </c>
      <c r="DB179" s="14" t="str">
        <f>IF(COUNTA('2.vize'!E78),'2.vize'!E78,"")</f>
        <v/>
      </c>
      <c r="DC179" s="14" t="str">
        <f>IF(COUNTA('2.vize'!F78),'2.vize'!F78,"")</f>
        <v/>
      </c>
      <c r="DD179" s="14" t="str">
        <f>IF(COUNTA('2.vize'!G78),'2.vize'!G78,"")</f>
        <v/>
      </c>
      <c r="DE179" s="14" t="str">
        <f>IF(COUNTA('2.vize'!H78),'2.vize'!H78,"")</f>
        <v/>
      </c>
    </row>
    <row r="180" spans="1:109" x14ac:dyDescent="0.2">
      <c r="A180" s="38" t="str">
        <f>IFERROR('2.vize'!L79*100/'2.vize'!$I79,"")</f>
        <v/>
      </c>
      <c r="B180" s="38" t="str">
        <f>IFERROR('2.vize'!M79*100/'2.vize'!$I79,"")</f>
        <v/>
      </c>
      <c r="C180" s="38" t="str">
        <f>IFERROR('2.vize'!N79*100/'2.vize'!$I79,"")</f>
        <v/>
      </c>
      <c r="D180" s="38" t="str">
        <f>IFERROR('2.vize'!O79*100/'2.vize'!$I79,"")</f>
        <v/>
      </c>
      <c r="E180" s="38" t="str">
        <f>IFERROR('2.vize'!P79*100/'2.vize'!$I79,"")</f>
        <v/>
      </c>
      <c r="F180" s="38" t="str">
        <f>IFERROR('2.vize'!Q79*100/'2.vize'!$I79,"")</f>
        <v/>
      </c>
      <c r="G180" s="38" t="str">
        <f>IFERROR('2.vize'!R79*100/'2.vize'!$I79,"")</f>
        <v/>
      </c>
      <c r="H180" s="38" t="str">
        <f>IFERROR('2.vize'!S79*100/'2.vize'!$I79,"")</f>
        <v/>
      </c>
      <c r="I180" s="38" t="str">
        <f>IFERROR('2.vize'!T79*100/'2.vize'!$I79,"")</f>
        <v/>
      </c>
      <c r="J180" s="38" t="str">
        <f>IFERROR('2.vize'!U79*100/'2.vize'!$I79,"")</f>
        <v/>
      </c>
      <c r="K180" s="38" t="str">
        <f>IFERROR('2.vize'!V79*100/'2.vize'!$I79,"")</f>
        <v/>
      </c>
      <c r="L180" s="38" t="str">
        <f>IFERROR('2.vize'!W79*100/'2.vize'!$I79,"")</f>
        <v/>
      </c>
      <c r="M180" s="38" t="str">
        <f>IFERROR('2.vize'!X79*100/'2.vize'!$I79,"")</f>
        <v/>
      </c>
      <c r="N180" s="38" t="str">
        <f>IFERROR('2.vize'!Y79*100/'2.vize'!$I79,"")</f>
        <v/>
      </c>
      <c r="O180" s="38" t="str">
        <f>IFERROR('2.vize'!Z79*100/'2.vize'!$I79,"")</f>
        <v/>
      </c>
      <c r="P180" s="38" t="str">
        <f>IFERROR('2.vize'!AA79*100/'2.vize'!$I79,"")</f>
        <v/>
      </c>
      <c r="Q180" s="38" t="str">
        <f>IFERROR('2.vize'!AB79*100/'2.vize'!$I79,"")</f>
        <v/>
      </c>
      <c r="R180" s="38" t="str">
        <f>IFERROR('2.vize'!AC79*100/'2.vize'!$I79,"")</f>
        <v/>
      </c>
      <c r="S180" s="38" t="str">
        <f>IFERROR('2.vize'!AD79*100/'2.vize'!$I79,"")</f>
        <v/>
      </c>
      <c r="T180" s="38" t="str">
        <f>IFERROR('2.vize'!AE79*100/'2.vize'!$I79,"")</f>
        <v/>
      </c>
      <c r="U180" s="38" t="str">
        <f>IFERROR('2.vize'!AF79*100/'2.vize'!$I79,"")</f>
        <v/>
      </c>
      <c r="V180" s="38" t="str">
        <f>IFERROR('2.vize'!AG79*100/'2.vize'!$I79,"")</f>
        <v/>
      </c>
      <c r="W180" s="38" t="str">
        <f>IFERROR('2.vize'!AH79*100/'2.vize'!$I79,"")</f>
        <v/>
      </c>
      <c r="X180" s="38" t="str">
        <f>IFERROR('2.vize'!AI79*100/'2.vize'!$I79,"")</f>
        <v/>
      </c>
      <c r="Y180" s="38" t="str">
        <f>IFERROR('2.vize'!AJ79*100/'2.vize'!$I79,"")</f>
        <v/>
      </c>
      <c r="Z180" s="38" t="str">
        <f>IFERROR('2.vize'!AK79*100/'2.vize'!$I79,"")</f>
        <v/>
      </c>
      <c r="AA180" s="38" t="str">
        <f>IFERROR('2.vize'!AL79*100/'2.vize'!$I79,"")</f>
        <v/>
      </c>
      <c r="AB180" s="38" t="str">
        <f>IFERROR('2.vize'!AM79*100/'2.vize'!$I79,"")</f>
        <v/>
      </c>
      <c r="AC180" s="38" t="str">
        <f>IFERROR('2.vize'!AN79*100/'2.vize'!$I79,"")</f>
        <v/>
      </c>
      <c r="AD180" s="38" t="str">
        <f>IFERROR('2.vize'!AO79*100/'2.vize'!$I79,"")</f>
        <v/>
      </c>
      <c r="AE180" s="38" t="str">
        <f>IFERROR('2.vize'!AP79*100/'2.vize'!$I79,"")</f>
        <v/>
      </c>
      <c r="AF180" s="38" t="str">
        <f>IFERROR('2.vize'!AQ79*100/'2.vize'!$I79,"")</f>
        <v/>
      </c>
      <c r="AG180" s="38" t="str">
        <f>IFERROR('2.vize'!AR79*100/'2.vize'!$I79,"")</f>
        <v/>
      </c>
      <c r="AH180" s="38" t="str">
        <f>IFERROR('2.vize'!AS79*100/'2.vize'!$I79,"")</f>
        <v/>
      </c>
      <c r="AI180" s="38" t="str">
        <f>IFERROR('2.vize'!AT79*100/'2.vize'!$I79,"")</f>
        <v/>
      </c>
      <c r="AJ180" s="38" t="str">
        <f>IFERROR('2.vize'!AU79*100/'2.vize'!$I79,"")</f>
        <v/>
      </c>
      <c r="AK180" s="38" t="str">
        <f>IFERROR('2.vize'!AV79*100/'2.vize'!$I79,"")</f>
        <v/>
      </c>
      <c r="AL180" s="38" t="str">
        <f>IFERROR('2.vize'!AW79*100/'2.vize'!$I79,"")</f>
        <v/>
      </c>
      <c r="AM180" s="38" t="str">
        <f>IFERROR('2.vize'!AX79*100/'2.vize'!$I79,"")</f>
        <v/>
      </c>
      <c r="AN180" s="38" t="str">
        <f>IFERROR('2.vize'!AY79*100/'2.vize'!$I79,"")</f>
        <v/>
      </c>
      <c r="AO180" s="38" t="str">
        <f>IFERROR('2.vize'!AZ79*100/'2.vize'!$I79,"")</f>
        <v/>
      </c>
      <c r="AP180" s="38" t="str">
        <f>IFERROR('2.vize'!BA79*100/'2.vize'!$I79,"")</f>
        <v/>
      </c>
      <c r="AQ180" s="38" t="str">
        <f>IFERROR('2.vize'!BB79*100/'2.vize'!$I79,"")</f>
        <v/>
      </c>
      <c r="AR180" s="38" t="str">
        <f>IFERROR('2.vize'!BC79*100/'2.vize'!$I79,"")</f>
        <v/>
      </c>
      <c r="AS180" s="38" t="str">
        <f>IFERROR('2.vize'!BD79*100/'2.vize'!$I79,"")</f>
        <v/>
      </c>
      <c r="AT180" s="38" t="str">
        <f>IFERROR('2.vize'!BE79*100/'2.vize'!$I79,"")</f>
        <v/>
      </c>
      <c r="AU180" s="38" t="str">
        <f>IFERROR('2.vize'!BF79*100/'2.vize'!$I79,"")</f>
        <v/>
      </c>
      <c r="AV180" s="38" t="str">
        <f>IFERROR('2.vize'!BG79*100/'2.vize'!$I79,"")</f>
        <v/>
      </c>
      <c r="AW180" s="38" t="str">
        <f>IFERROR('2.vize'!BH79*100/'2.vize'!$I79,"")</f>
        <v/>
      </c>
      <c r="AX180" s="38" t="str">
        <f>IFERROR('2.vize'!BI79*100/'2.vize'!$I79,"")</f>
        <v/>
      </c>
      <c r="AY180" s="38" t="str">
        <f>IFERROR('2.vize'!BJ79*100/'2.vize'!$I79,"")</f>
        <v/>
      </c>
      <c r="AZ180" s="38" t="str">
        <f>IFERROR('2.vize'!BK79*100/'2.vize'!$I79,"")</f>
        <v/>
      </c>
      <c r="BA180" s="38" t="str">
        <f>IFERROR('2.vize'!BL79*100/'2.vize'!$I79,"")</f>
        <v/>
      </c>
      <c r="BB180" s="38" t="str">
        <f>IFERROR('2.vize'!BM79*100/'2.vize'!$I79,"")</f>
        <v/>
      </c>
      <c r="BC180" s="38" t="str">
        <f>IFERROR('2.vize'!BN79*100/'2.vize'!$I79,"")</f>
        <v/>
      </c>
      <c r="BD180" s="38" t="str">
        <f>IFERROR('2.vize'!BO79*100/'2.vize'!$I79,"")</f>
        <v/>
      </c>
      <c r="BE180" s="38" t="str">
        <f>IFERROR('2.vize'!BP79*100/'2.vize'!$I79,"")</f>
        <v/>
      </c>
      <c r="BF180" s="38" t="str">
        <f>IFERROR('2.vize'!BQ79*100/'2.vize'!$I79,"")</f>
        <v/>
      </c>
      <c r="BG180" s="38" t="str">
        <f>IFERROR('2.vize'!BR79*100/'2.vize'!$I79,"")</f>
        <v/>
      </c>
      <c r="BH180" s="38" t="str">
        <f>IFERROR('2.vize'!BS79*100/'2.vize'!$I79,"")</f>
        <v/>
      </c>
      <c r="BI180" s="38" t="str">
        <f>IFERROR('2.vize'!BT79*100/'2.vize'!$I79,"")</f>
        <v/>
      </c>
      <c r="BJ180" s="38" t="str">
        <f>IFERROR('2.vize'!BU79*100/'2.vize'!$I79,"")</f>
        <v/>
      </c>
      <c r="BK180" s="38" t="str">
        <f>IFERROR('2.vize'!BV79*100/'2.vize'!$I79,"")</f>
        <v/>
      </c>
      <c r="BL180" s="38" t="str">
        <f>IFERROR('2.vize'!BW79*100/'2.vize'!$I79,"")</f>
        <v/>
      </c>
      <c r="BM180" s="38" t="str">
        <f>IFERROR('2.vize'!BX79*100/'2.vize'!$I79,"")</f>
        <v/>
      </c>
      <c r="BN180" s="38" t="str">
        <f>IFERROR('2.vize'!BY79*100/'2.vize'!$I79,"")</f>
        <v/>
      </c>
      <c r="BO180" s="38" t="str">
        <f>IFERROR('2.vize'!BZ79*100/'2.vize'!$I79,"")</f>
        <v/>
      </c>
      <c r="BP180" s="38" t="str">
        <f>IFERROR('2.vize'!CA79*100/'2.vize'!$I79,"")</f>
        <v/>
      </c>
      <c r="BQ180" s="38" t="str">
        <f>IFERROR('2.vize'!CB79*100/'2.vize'!$I79,"")</f>
        <v/>
      </c>
      <c r="BR180" s="38" t="str">
        <f>IFERROR('2.vize'!CC79*100/'2.vize'!$I79,"")</f>
        <v/>
      </c>
      <c r="BS180" s="38" t="str">
        <f>IFERROR('2.vize'!CD79*100/'2.vize'!$I79,"")</f>
        <v/>
      </c>
      <c r="BT180" s="38" t="str">
        <f>IFERROR('2.vize'!CE79*100/'2.vize'!$I79,"")</f>
        <v/>
      </c>
      <c r="BU180" s="38" t="str">
        <f>IFERROR('2.vize'!CF79*100/'2.vize'!$I79,"")</f>
        <v/>
      </c>
      <c r="BV180" s="38" t="str">
        <f>IFERROR('2.vize'!CG79*100/'2.vize'!$I79,"")</f>
        <v/>
      </c>
      <c r="BW180" s="38" t="str">
        <f>IFERROR('2.vize'!CH79*100/'2.vize'!$I79,"")</f>
        <v/>
      </c>
      <c r="BX180" s="38" t="str">
        <f>IFERROR('2.vize'!CI79*100/'2.vize'!$I79,"")</f>
        <v/>
      </c>
      <c r="BY180" s="38" t="str">
        <f>IFERROR('2.vize'!CJ79*100/'2.vize'!$I79,"")</f>
        <v/>
      </c>
      <c r="BZ180" s="38" t="str">
        <f>IFERROR('2.vize'!CK79*100/'2.vize'!$I79,"")</f>
        <v/>
      </c>
      <c r="CA180" s="38" t="str">
        <f>IFERROR('2.vize'!CL79*100/'2.vize'!$I79,"")</f>
        <v/>
      </c>
      <c r="CB180" s="38" t="str">
        <f>IFERROR('2.vize'!CM79*100/'2.vize'!$I79,"")</f>
        <v/>
      </c>
      <c r="CC180" s="38" t="str">
        <f>IFERROR('2.vize'!CN79*100/'2.vize'!$I79,"")</f>
        <v/>
      </c>
      <c r="CD180" s="38" t="str">
        <f>IFERROR('2.vize'!CO79*100/'2.vize'!$I79,"")</f>
        <v/>
      </c>
      <c r="CE180" s="38" t="str">
        <f>IFERROR('2.vize'!CP79*100/'2.vize'!$I79,"")</f>
        <v/>
      </c>
      <c r="CF180" s="38" t="str">
        <f>IFERROR('2.vize'!CQ79*100/'2.vize'!$I79,"")</f>
        <v/>
      </c>
      <c r="CG180" s="38" t="str">
        <f>IFERROR('2.vize'!CR79*100/'2.vize'!$I79,"")</f>
        <v/>
      </c>
      <c r="CH180" s="38" t="str">
        <f>IFERROR('2.vize'!CS79*100/'2.vize'!$I79,"")</f>
        <v/>
      </c>
      <c r="CI180" s="38" t="str">
        <f>IFERROR('2.vize'!CT79*100/'2.vize'!$I79,"")</f>
        <v/>
      </c>
      <c r="CJ180" s="38" t="str">
        <f>IFERROR('2.vize'!CU79*100/'2.vize'!$I79,"")</f>
        <v/>
      </c>
      <c r="CK180" s="38" t="str">
        <f>IFERROR('2.vize'!CV79*100/'2.vize'!$I79,"")</f>
        <v/>
      </c>
      <c r="CL180" s="38" t="str">
        <f>IFERROR('2.vize'!CW79*100/'2.vize'!$I79,"")</f>
        <v/>
      </c>
      <c r="CM180" s="38" t="str">
        <f>IFERROR('2.vize'!CX79*100/'2.vize'!$I79,"")</f>
        <v/>
      </c>
      <c r="CN180" s="38" t="str">
        <f>IFERROR('2.vize'!CY79*100/'2.vize'!$I79,"")</f>
        <v/>
      </c>
      <c r="CO180" s="38" t="str">
        <f>IFERROR('2.vize'!CZ79*100/'2.vize'!$I79,"")</f>
        <v/>
      </c>
      <c r="CP180" s="38" t="str">
        <f>IFERROR('2.vize'!DA79*100/'2.vize'!$I79,"")</f>
        <v/>
      </c>
      <c r="CQ180" s="38" t="str">
        <f>IFERROR('2.vize'!DB79*100/'2.vize'!$I79,"")</f>
        <v/>
      </c>
      <c r="CR180" s="38" t="str">
        <f>IFERROR('2.vize'!DC79*100/'2.vize'!$I79,"")</f>
        <v/>
      </c>
      <c r="CS180" s="38" t="str">
        <f>IFERROR('2.vize'!DD79*100/'2.vize'!$I79,"")</f>
        <v/>
      </c>
      <c r="CT180" s="38" t="str">
        <f>IFERROR('2.vize'!DE79*100/'2.vize'!$I79,"")</f>
        <v/>
      </c>
      <c r="CU180" s="38" t="str">
        <f>IFERROR('2.vize'!DF79*100/'2.vize'!$I79,"")</f>
        <v/>
      </c>
      <c r="CV180" s="38" t="str">
        <f>IFERROR('2.vize'!DG79*100/'2.vize'!$I79,"")</f>
        <v/>
      </c>
      <c r="CW180" s="32" t="str">
        <f>IFERROR(SUM(A180:CV180)/'2.vize'!$DH$103,"")</f>
        <v/>
      </c>
      <c r="CX180" s="14" t="str">
        <f>IF(COUNTA('2.vize'!A79),'2.vize'!A79,"")</f>
        <v/>
      </c>
      <c r="CY180" s="14" t="str">
        <f>IF(COUNTA('2.vize'!B79),'2.vize'!B79,"")</f>
        <v/>
      </c>
      <c r="CZ180" s="14" t="str">
        <f>IF(COUNTA('2.vize'!C79),'2.vize'!C79,"")</f>
        <v/>
      </c>
      <c r="DA180" s="14" t="str">
        <f>IF(COUNTA('2.vize'!D79),'2.vize'!D79,"")</f>
        <v/>
      </c>
      <c r="DB180" s="14" t="str">
        <f>IF(COUNTA('2.vize'!E79),'2.vize'!E79,"")</f>
        <v/>
      </c>
      <c r="DC180" s="14" t="str">
        <f>IF(COUNTA('2.vize'!F79),'2.vize'!F79,"")</f>
        <v/>
      </c>
      <c r="DD180" s="14" t="str">
        <f>IF(COUNTA('2.vize'!G79),'2.vize'!G79,"")</f>
        <v/>
      </c>
      <c r="DE180" s="14" t="str">
        <f>IF(COUNTA('2.vize'!H79),'2.vize'!H79,"")</f>
        <v/>
      </c>
    </row>
    <row r="181" spans="1:109" x14ac:dyDescent="0.2">
      <c r="A181" s="38" t="str">
        <f>IFERROR('2.vize'!L80*100/'2.vize'!$I80,"")</f>
        <v/>
      </c>
      <c r="B181" s="38" t="str">
        <f>IFERROR('2.vize'!M80*100/'2.vize'!$I80,"")</f>
        <v/>
      </c>
      <c r="C181" s="38" t="str">
        <f>IFERROR('2.vize'!N80*100/'2.vize'!$I80,"")</f>
        <v/>
      </c>
      <c r="D181" s="38" t="str">
        <f>IFERROR('2.vize'!O80*100/'2.vize'!$I80,"")</f>
        <v/>
      </c>
      <c r="E181" s="38" t="str">
        <f>IFERROR('2.vize'!P80*100/'2.vize'!$I80,"")</f>
        <v/>
      </c>
      <c r="F181" s="38" t="str">
        <f>IFERROR('2.vize'!Q80*100/'2.vize'!$I80,"")</f>
        <v/>
      </c>
      <c r="G181" s="38" t="str">
        <f>IFERROR('2.vize'!R80*100/'2.vize'!$I80,"")</f>
        <v/>
      </c>
      <c r="H181" s="38" t="str">
        <f>IFERROR('2.vize'!S80*100/'2.vize'!$I80,"")</f>
        <v/>
      </c>
      <c r="I181" s="38" t="str">
        <f>IFERROR('2.vize'!T80*100/'2.vize'!$I80,"")</f>
        <v/>
      </c>
      <c r="J181" s="38" t="str">
        <f>IFERROR('2.vize'!U80*100/'2.vize'!$I80,"")</f>
        <v/>
      </c>
      <c r="K181" s="38" t="str">
        <f>IFERROR('2.vize'!V80*100/'2.vize'!$I80,"")</f>
        <v/>
      </c>
      <c r="L181" s="38" t="str">
        <f>IFERROR('2.vize'!W80*100/'2.vize'!$I80,"")</f>
        <v/>
      </c>
      <c r="M181" s="38" t="str">
        <f>IFERROR('2.vize'!X80*100/'2.vize'!$I80,"")</f>
        <v/>
      </c>
      <c r="N181" s="38" t="str">
        <f>IFERROR('2.vize'!Y80*100/'2.vize'!$I80,"")</f>
        <v/>
      </c>
      <c r="O181" s="38" t="str">
        <f>IFERROR('2.vize'!Z80*100/'2.vize'!$I80,"")</f>
        <v/>
      </c>
      <c r="P181" s="38" t="str">
        <f>IFERROR('2.vize'!AA80*100/'2.vize'!$I80,"")</f>
        <v/>
      </c>
      <c r="Q181" s="38" t="str">
        <f>IFERROR('2.vize'!AB80*100/'2.vize'!$I80,"")</f>
        <v/>
      </c>
      <c r="R181" s="38" t="str">
        <f>IFERROR('2.vize'!AC80*100/'2.vize'!$I80,"")</f>
        <v/>
      </c>
      <c r="S181" s="38" t="str">
        <f>IFERROR('2.vize'!AD80*100/'2.vize'!$I80,"")</f>
        <v/>
      </c>
      <c r="T181" s="38" t="str">
        <f>IFERROR('2.vize'!AE80*100/'2.vize'!$I80,"")</f>
        <v/>
      </c>
      <c r="U181" s="38" t="str">
        <f>IFERROR('2.vize'!AF80*100/'2.vize'!$I80,"")</f>
        <v/>
      </c>
      <c r="V181" s="38" t="str">
        <f>IFERROR('2.vize'!AG80*100/'2.vize'!$I80,"")</f>
        <v/>
      </c>
      <c r="W181" s="38" t="str">
        <f>IFERROR('2.vize'!AH80*100/'2.vize'!$I80,"")</f>
        <v/>
      </c>
      <c r="X181" s="38" t="str">
        <f>IFERROR('2.vize'!AI80*100/'2.vize'!$I80,"")</f>
        <v/>
      </c>
      <c r="Y181" s="38" t="str">
        <f>IFERROR('2.vize'!AJ80*100/'2.vize'!$I80,"")</f>
        <v/>
      </c>
      <c r="Z181" s="38" t="str">
        <f>IFERROR('2.vize'!AK80*100/'2.vize'!$I80,"")</f>
        <v/>
      </c>
      <c r="AA181" s="38" t="str">
        <f>IFERROR('2.vize'!AL80*100/'2.vize'!$I80,"")</f>
        <v/>
      </c>
      <c r="AB181" s="38" t="str">
        <f>IFERROR('2.vize'!AM80*100/'2.vize'!$I80,"")</f>
        <v/>
      </c>
      <c r="AC181" s="38" t="str">
        <f>IFERROR('2.vize'!AN80*100/'2.vize'!$I80,"")</f>
        <v/>
      </c>
      <c r="AD181" s="38" t="str">
        <f>IFERROR('2.vize'!AO80*100/'2.vize'!$I80,"")</f>
        <v/>
      </c>
      <c r="AE181" s="38" t="str">
        <f>IFERROR('2.vize'!AP80*100/'2.vize'!$I80,"")</f>
        <v/>
      </c>
      <c r="AF181" s="38" t="str">
        <f>IFERROR('2.vize'!AQ80*100/'2.vize'!$I80,"")</f>
        <v/>
      </c>
      <c r="AG181" s="38" t="str">
        <f>IFERROR('2.vize'!AR80*100/'2.vize'!$I80,"")</f>
        <v/>
      </c>
      <c r="AH181" s="38" t="str">
        <f>IFERROR('2.vize'!AS80*100/'2.vize'!$I80,"")</f>
        <v/>
      </c>
      <c r="AI181" s="38" t="str">
        <f>IFERROR('2.vize'!AT80*100/'2.vize'!$I80,"")</f>
        <v/>
      </c>
      <c r="AJ181" s="38" t="str">
        <f>IFERROR('2.vize'!AU80*100/'2.vize'!$I80,"")</f>
        <v/>
      </c>
      <c r="AK181" s="38" t="str">
        <f>IFERROR('2.vize'!AV80*100/'2.vize'!$I80,"")</f>
        <v/>
      </c>
      <c r="AL181" s="38" t="str">
        <f>IFERROR('2.vize'!AW80*100/'2.vize'!$I80,"")</f>
        <v/>
      </c>
      <c r="AM181" s="38" t="str">
        <f>IFERROR('2.vize'!AX80*100/'2.vize'!$I80,"")</f>
        <v/>
      </c>
      <c r="AN181" s="38" t="str">
        <f>IFERROR('2.vize'!AY80*100/'2.vize'!$I80,"")</f>
        <v/>
      </c>
      <c r="AO181" s="38" t="str">
        <f>IFERROR('2.vize'!AZ80*100/'2.vize'!$I80,"")</f>
        <v/>
      </c>
      <c r="AP181" s="38" t="str">
        <f>IFERROR('2.vize'!BA80*100/'2.vize'!$I80,"")</f>
        <v/>
      </c>
      <c r="AQ181" s="38" t="str">
        <f>IFERROR('2.vize'!BB80*100/'2.vize'!$I80,"")</f>
        <v/>
      </c>
      <c r="AR181" s="38" t="str">
        <f>IFERROR('2.vize'!BC80*100/'2.vize'!$I80,"")</f>
        <v/>
      </c>
      <c r="AS181" s="38" t="str">
        <f>IFERROR('2.vize'!BD80*100/'2.vize'!$I80,"")</f>
        <v/>
      </c>
      <c r="AT181" s="38" t="str">
        <f>IFERROR('2.vize'!BE80*100/'2.vize'!$I80,"")</f>
        <v/>
      </c>
      <c r="AU181" s="38" t="str">
        <f>IFERROR('2.vize'!BF80*100/'2.vize'!$I80,"")</f>
        <v/>
      </c>
      <c r="AV181" s="38" t="str">
        <f>IFERROR('2.vize'!BG80*100/'2.vize'!$I80,"")</f>
        <v/>
      </c>
      <c r="AW181" s="38" t="str">
        <f>IFERROR('2.vize'!BH80*100/'2.vize'!$I80,"")</f>
        <v/>
      </c>
      <c r="AX181" s="38" t="str">
        <f>IFERROR('2.vize'!BI80*100/'2.vize'!$I80,"")</f>
        <v/>
      </c>
      <c r="AY181" s="38" t="str">
        <f>IFERROR('2.vize'!BJ80*100/'2.vize'!$I80,"")</f>
        <v/>
      </c>
      <c r="AZ181" s="38" t="str">
        <f>IFERROR('2.vize'!BK80*100/'2.vize'!$I80,"")</f>
        <v/>
      </c>
      <c r="BA181" s="38" t="str">
        <f>IFERROR('2.vize'!BL80*100/'2.vize'!$I80,"")</f>
        <v/>
      </c>
      <c r="BB181" s="38" t="str">
        <f>IFERROR('2.vize'!BM80*100/'2.vize'!$I80,"")</f>
        <v/>
      </c>
      <c r="BC181" s="38" t="str">
        <f>IFERROR('2.vize'!BN80*100/'2.vize'!$I80,"")</f>
        <v/>
      </c>
      <c r="BD181" s="38" t="str">
        <f>IFERROR('2.vize'!BO80*100/'2.vize'!$I80,"")</f>
        <v/>
      </c>
      <c r="BE181" s="38" t="str">
        <f>IFERROR('2.vize'!BP80*100/'2.vize'!$I80,"")</f>
        <v/>
      </c>
      <c r="BF181" s="38" t="str">
        <f>IFERROR('2.vize'!BQ80*100/'2.vize'!$I80,"")</f>
        <v/>
      </c>
      <c r="BG181" s="38" t="str">
        <f>IFERROR('2.vize'!BR80*100/'2.vize'!$I80,"")</f>
        <v/>
      </c>
      <c r="BH181" s="38" t="str">
        <f>IFERROR('2.vize'!BS80*100/'2.vize'!$I80,"")</f>
        <v/>
      </c>
      <c r="BI181" s="38" t="str">
        <f>IFERROR('2.vize'!BT80*100/'2.vize'!$I80,"")</f>
        <v/>
      </c>
      <c r="BJ181" s="38" t="str">
        <f>IFERROR('2.vize'!BU80*100/'2.vize'!$I80,"")</f>
        <v/>
      </c>
      <c r="BK181" s="38" t="str">
        <f>IFERROR('2.vize'!BV80*100/'2.vize'!$I80,"")</f>
        <v/>
      </c>
      <c r="BL181" s="38" t="str">
        <f>IFERROR('2.vize'!BW80*100/'2.vize'!$I80,"")</f>
        <v/>
      </c>
      <c r="BM181" s="38" t="str">
        <f>IFERROR('2.vize'!BX80*100/'2.vize'!$I80,"")</f>
        <v/>
      </c>
      <c r="BN181" s="38" t="str">
        <f>IFERROR('2.vize'!BY80*100/'2.vize'!$I80,"")</f>
        <v/>
      </c>
      <c r="BO181" s="38" t="str">
        <f>IFERROR('2.vize'!BZ80*100/'2.vize'!$I80,"")</f>
        <v/>
      </c>
      <c r="BP181" s="38" t="str">
        <f>IFERROR('2.vize'!CA80*100/'2.vize'!$I80,"")</f>
        <v/>
      </c>
      <c r="BQ181" s="38" t="str">
        <f>IFERROR('2.vize'!CB80*100/'2.vize'!$I80,"")</f>
        <v/>
      </c>
      <c r="BR181" s="38" t="str">
        <f>IFERROR('2.vize'!CC80*100/'2.vize'!$I80,"")</f>
        <v/>
      </c>
      <c r="BS181" s="38" t="str">
        <f>IFERROR('2.vize'!CD80*100/'2.vize'!$I80,"")</f>
        <v/>
      </c>
      <c r="BT181" s="38" t="str">
        <f>IFERROR('2.vize'!CE80*100/'2.vize'!$I80,"")</f>
        <v/>
      </c>
      <c r="BU181" s="38" t="str">
        <f>IFERROR('2.vize'!CF80*100/'2.vize'!$I80,"")</f>
        <v/>
      </c>
      <c r="BV181" s="38" t="str">
        <f>IFERROR('2.vize'!CG80*100/'2.vize'!$I80,"")</f>
        <v/>
      </c>
      <c r="BW181" s="38" t="str">
        <f>IFERROR('2.vize'!CH80*100/'2.vize'!$I80,"")</f>
        <v/>
      </c>
      <c r="BX181" s="38" t="str">
        <f>IFERROR('2.vize'!CI80*100/'2.vize'!$I80,"")</f>
        <v/>
      </c>
      <c r="BY181" s="38" t="str">
        <f>IFERROR('2.vize'!CJ80*100/'2.vize'!$I80,"")</f>
        <v/>
      </c>
      <c r="BZ181" s="38" t="str">
        <f>IFERROR('2.vize'!CK80*100/'2.vize'!$I80,"")</f>
        <v/>
      </c>
      <c r="CA181" s="38" t="str">
        <f>IFERROR('2.vize'!CL80*100/'2.vize'!$I80,"")</f>
        <v/>
      </c>
      <c r="CB181" s="38" t="str">
        <f>IFERROR('2.vize'!CM80*100/'2.vize'!$I80,"")</f>
        <v/>
      </c>
      <c r="CC181" s="38" t="str">
        <f>IFERROR('2.vize'!CN80*100/'2.vize'!$I80,"")</f>
        <v/>
      </c>
      <c r="CD181" s="38" t="str">
        <f>IFERROR('2.vize'!CO80*100/'2.vize'!$I80,"")</f>
        <v/>
      </c>
      <c r="CE181" s="38" t="str">
        <f>IFERROR('2.vize'!CP80*100/'2.vize'!$I80,"")</f>
        <v/>
      </c>
      <c r="CF181" s="38" t="str">
        <f>IFERROR('2.vize'!CQ80*100/'2.vize'!$I80,"")</f>
        <v/>
      </c>
      <c r="CG181" s="38" t="str">
        <f>IFERROR('2.vize'!CR80*100/'2.vize'!$I80,"")</f>
        <v/>
      </c>
      <c r="CH181" s="38" t="str">
        <f>IFERROR('2.vize'!CS80*100/'2.vize'!$I80,"")</f>
        <v/>
      </c>
      <c r="CI181" s="38" t="str">
        <f>IFERROR('2.vize'!CT80*100/'2.vize'!$I80,"")</f>
        <v/>
      </c>
      <c r="CJ181" s="38" t="str">
        <f>IFERROR('2.vize'!CU80*100/'2.vize'!$I80,"")</f>
        <v/>
      </c>
      <c r="CK181" s="38" t="str">
        <f>IFERROR('2.vize'!CV80*100/'2.vize'!$I80,"")</f>
        <v/>
      </c>
      <c r="CL181" s="38" t="str">
        <f>IFERROR('2.vize'!CW80*100/'2.vize'!$I80,"")</f>
        <v/>
      </c>
      <c r="CM181" s="38" t="str">
        <f>IFERROR('2.vize'!CX80*100/'2.vize'!$I80,"")</f>
        <v/>
      </c>
      <c r="CN181" s="38" t="str">
        <f>IFERROR('2.vize'!CY80*100/'2.vize'!$I80,"")</f>
        <v/>
      </c>
      <c r="CO181" s="38" t="str">
        <f>IFERROR('2.vize'!CZ80*100/'2.vize'!$I80,"")</f>
        <v/>
      </c>
      <c r="CP181" s="38" t="str">
        <f>IFERROR('2.vize'!DA80*100/'2.vize'!$I80,"")</f>
        <v/>
      </c>
      <c r="CQ181" s="38" t="str">
        <f>IFERROR('2.vize'!DB80*100/'2.vize'!$I80,"")</f>
        <v/>
      </c>
      <c r="CR181" s="38" t="str">
        <f>IFERROR('2.vize'!DC80*100/'2.vize'!$I80,"")</f>
        <v/>
      </c>
      <c r="CS181" s="38" t="str">
        <f>IFERROR('2.vize'!DD80*100/'2.vize'!$I80,"")</f>
        <v/>
      </c>
      <c r="CT181" s="38" t="str">
        <f>IFERROR('2.vize'!DE80*100/'2.vize'!$I80,"")</f>
        <v/>
      </c>
      <c r="CU181" s="38" t="str">
        <f>IFERROR('2.vize'!DF80*100/'2.vize'!$I80,"")</f>
        <v/>
      </c>
      <c r="CV181" s="38" t="str">
        <f>IFERROR('2.vize'!DG80*100/'2.vize'!$I80,"")</f>
        <v/>
      </c>
      <c r="CW181" s="32" t="str">
        <f>IFERROR(SUM(A181:CV181)/'2.vize'!$DH$103,"")</f>
        <v/>
      </c>
      <c r="CX181" s="14" t="str">
        <f>IF(COUNTA('2.vize'!A80),'2.vize'!A80,"")</f>
        <v/>
      </c>
      <c r="CY181" s="14" t="str">
        <f>IF(COUNTA('2.vize'!B80),'2.vize'!B80,"")</f>
        <v/>
      </c>
      <c r="CZ181" s="14" t="str">
        <f>IF(COUNTA('2.vize'!C80),'2.vize'!C80,"")</f>
        <v/>
      </c>
      <c r="DA181" s="14" t="str">
        <f>IF(COUNTA('2.vize'!D80),'2.vize'!D80,"")</f>
        <v/>
      </c>
      <c r="DB181" s="14" t="str">
        <f>IF(COUNTA('2.vize'!E80),'2.vize'!E80,"")</f>
        <v/>
      </c>
      <c r="DC181" s="14" t="str">
        <f>IF(COUNTA('2.vize'!F80),'2.vize'!F80,"")</f>
        <v/>
      </c>
      <c r="DD181" s="14" t="str">
        <f>IF(COUNTA('2.vize'!G80),'2.vize'!G80,"")</f>
        <v/>
      </c>
      <c r="DE181" s="14" t="str">
        <f>IF(COUNTA('2.vize'!H80),'2.vize'!H80,"")</f>
        <v/>
      </c>
    </row>
    <row r="182" spans="1:109" x14ac:dyDescent="0.2">
      <c r="A182" s="38" t="str">
        <f>IFERROR('2.vize'!L81*100/'2.vize'!$I81,"")</f>
        <v/>
      </c>
      <c r="B182" s="38" t="str">
        <f>IFERROR('2.vize'!M81*100/'2.vize'!$I81,"")</f>
        <v/>
      </c>
      <c r="C182" s="38" t="str">
        <f>IFERROR('2.vize'!N81*100/'2.vize'!$I81,"")</f>
        <v/>
      </c>
      <c r="D182" s="38" t="str">
        <f>IFERROR('2.vize'!O81*100/'2.vize'!$I81,"")</f>
        <v/>
      </c>
      <c r="E182" s="38" t="str">
        <f>IFERROR('2.vize'!P81*100/'2.vize'!$I81,"")</f>
        <v/>
      </c>
      <c r="F182" s="38" t="str">
        <f>IFERROR('2.vize'!Q81*100/'2.vize'!$I81,"")</f>
        <v/>
      </c>
      <c r="G182" s="38" t="str">
        <f>IFERROR('2.vize'!R81*100/'2.vize'!$I81,"")</f>
        <v/>
      </c>
      <c r="H182" s="38" t="str">
        <f>IFERROR('2.vize'!S81*100/'2.vize'!$I81,"")</f>
        <v/>
      </c>
      <c r="I182" s="38" t="str">
        <f>IFERROR('2.vize'!T81*100/'2.vize'!$I81,"")</f>
        <v/>
      </c>
      <c r="J182" s="38" t="str">
        <f>IFERROR('2.vize'!U81*100/'2.vize'!$I81,"")</f>
        <v/>
      </c>
      <c r="K182" s="38" t="str">
        <f>IFERROR('2.vize'!V81*100/'2.vize'!$I81,"")</f>
        <v/>
      </c>
      <c r="L182" s="38" t="str">
        <f>IFERROR('2.vize'!W81*100/'2.vize'!$I81,"")</f>
        <v/>
      </c>
      <c r="M182" s="38" t="str">
        <f>IFERROR('2.vize'!X81*100/'2.vize'!$I81,"")</f>
        <v/>
      </c>
      <c r="N182" s="38" t="str">
        <f>IFERROR('2.vize'!Y81*100/'2.vize'!$I81,"")</f>
        <v/>
      </c>
      <c r="O182" s="38" t="str">
        <f>IFERROR('2.vize'!Z81*100/'2.vize'!$I81,"")</f>
        <v/>
      </c>
      <c r="P182" s="38" t="str">
        <f>IFERROR('2.vize'!AA81*100/'2.vize'!$I81,"")</f>
        <v/>
      </c>
      <c r="Q182" s="38" t="str">
        <f>IFERROR('2.vize'!AB81*100/'2.vize'!$I81,"")</f>
        <v/>
      </c>
      <c r="R182" s="38" t="str">
        <f>IFERROR('2.vize'!AC81*100/'2.vize'!$I81,"")</f>
        <v/>
      </c>
      <c r="S182" s="38" t="str">
        <f>IFERROR('2.vize'!AD81*100/'2.vize'!$I81,"")</f>
        <v/>
      </c>
      <c r="T182" s="38" t="str">
        <f>IFERROR('2.vize'!AE81*100/'2.vize'!$I81,"")</f>
        <v/>
      </c>
      <c r="U182" s="38" t="str">
        <f>IFERROR('2.vize'!AF81*100/'2.vize'!$I81,"")</f>
        <v/>
      </c>
      <c r="V182" s="38" t="str">
        <f>IFERROR('2.vize'!AG81*100/'2.vize'!$I81,"")</f>
        <v/>
      </c>
      <c r="W182" s="38" t="str">
        <f>IFERROR('2.vize'!AH81*100/'2.vize'!$I81,"")</f>
        <v/>
      </c>
      <c r="X182" s="38" t="str">
        <f>IFERROR('2.vize'!AI81*100/'2.vize'!$I81,"")</f>
        <v/>
      </c>
      <c r="Y182" s="38" t="str">
        <f>IFERROR('2.vize'!AJ81*100/'2.vize'!$I81,"")</f>
        <v/>
      </c>
      <c r="Z182" s="38" t="str">
        <f>IFERROR('2.vize'!AK81*100/'2.vize'!$I81,"")</f>
        <v/>
      </c>
      <c r="AA182" s="38" t="str">
        <f>IFERROR('2.vize'!AL81*100/'2.vize'!$I81,"")</f>
        <v/>
      </c>
      <c r="AB182" s="38" t="str">
        <f>IFERROR('2.vize'!AM81*100/'2.vize'!$I81,"")</f>
        <v/>
      </c>
      <c r="AC182" s="38" t="str">
        <f>IFERROR('2.vize'!AN81*100/'2.vize'!$I81,"")</f>
        <v/>
      </c>
      <c r="AD182" s="38" t="str">
        <f>IFERROR('2.vize'!AO81*100/'2.vize'!$I81,"")</f>
        <v/>
      </c>
      <c r="AE182" s="38" t="str">
        <f>IFERROR('2.vize'!AP81*100/'2.vize'!$I81,"")</f>
        <v/>
      </c>
      <c r="AF182" s="38" t="str">
        <f>IFERROR('2.vize'!AQ81*100/'2.vize'!$I81,"")</f>
        <v/>
      </c>
      <c r="AG182" s="38" t="str">
        <f>IFERROR('2.vize'!AR81*100/'2.vize'!$I81,"")</f>
        <v/>
      </c>
      <c r="AH182" s="38" t="str">
        <f>IFERROR('2.vize'!AS81*100/'2.vize'!$I81,"")</f>
        <v/>
      </c>
      <c r="AI182" s="38" t="str">
        <f>IFERROR('2.vize'!AT81*100/'2.vize'!$I81,"")</f>
        <v/>
      </c>
      <c r="AJ182" s="38" t="str">
        <f>IFERROR('2.vize'!AU81*100/'2.vize'!$I81,"")</f>
        <v/>
      </c>
      <c r="AK182" s="38" t="str">
        <f>IFERROR('2.vize'!AV81*100/'2.vize'!$I81,"")</f>
        <v/>
      </c>
      <c r="AL182" s="38" t="str">
        <f>IFERROR('2.vize'!AW81*100/'2.vize'!$I81,"")</f>
        <v/>
      </c>
      <c r="AM182" s="38" t="str">
        <f>IFERROR('2.vize'!AX81*100/'2.vize'!$I81,"")</f>
        <v/>
      </c>
      <c r="AN182" s="38" t="str">
        <f>IFERROR('2.vize'!AY81*100/'2.vize'!$I81,"")</f>
        <v/>
      </c>
      <c r="AO182" s="38" t="str">
        <f>IFERROR('2.vize'!AZ81*100/'2.vize'!$I81,"")</f>
        <v/>
      </c>
      <c r="AP182" s="38" t="str">
        <f>IFERROR('2.vize'!BA81*100/'2.vize'!$I81,"")</f>
        <v/>
      </c>
      <c r="AQ182" s="38" t="str">
        <f>IFERROR('2.vize'!BB81*100/'2.vize'!$I81,"")</f>
        <v/>
      </c>
      <c r="AR182" s="38" t="str">
        <f>IFERROR('2.vize'!BC81*100/'2.vize'!$I81,"")</f>
        <v/>
      </c>
      <c r="AS182" s="38" t="str">
        <f>IFERROR('2.vize'!BD81*100/'2.vize'!$I81,"")</f>
        <v/>
      </c>
      <c r="AT182" s="38" t="str">
        <f>IFERROR('2.vize'!BE81*100/'2.vize'!$I81,"")</f>
        <v/>
      </c>
      <c r="AU182" s="38" t="str">
        <f>IFERROR('2.vize'!BF81*100/'2.vize'!$I81,"")</f>
        <v/>
      </c>
      <c r="AV182" s="38" t="str">
        <f>IFERROR('2.vize'!BG81*100/'2.vize'!$I81,"")</f>
        <v/>
      </c>
      <c r="AW182" s="38" t="str">
        <f>IFERROR('2.vize'!BH81*100/'2.vize'!$I81,"")</f>
        <v/>
      </c>
      <c r="AX182" s="38" t="str">
        <f>IFERROR('2.vize'!BI81*100/'2.vize'!$I81,"")</f>
        <v/>
      </c>
      <c r="AY182" s="38" t="str">
        <f>IFERROR('2.vize'!BJ81*100/'2.vize'!$I81,"")</f>
        <v/>
      </c>
      <c r="AZ182" s="38" t="str">
        <f>IFERROR('2.vize'!BK81*100/'2.vize'!$I81,"")</f>
        <v/>
      </c>
      <c r="BA182" s="38" t="str">
        <f>IFERROR('2.vize'!BL81*100/'2.vize'!$I81,"")</f>
        <v/>
      </c>
      <c r="BB182" s="38" t="str">
        <f>IFERROR('2.vize'!BM81*100/'2.vize'!$I81,"")</f>
        <v/>
      </c>
      <c r="BC182" s="38" t="str">
        <f>IFERROR('2.vize'!BN81*100/'2.vize'!$I81,"")</f>
        <v/>
      </c>
      <c r="BD182" s="38" t="str">
        <f>IFERROR('2.vize'!BO81*100/'2.vize'!$I81,"")</f>
        <v/>
      </c>
      <c r="BE182" s="38" t="str">
        <f>IFERROR('2.vize'!BP81*100/'2.vize'!$I81,"")</f>
        <v/>
      </c>
      <c r="BF182" s="38" t="str">
        <f>IFERROR('2.vize'!BQ81*100/'2.vize'!$I81,"")</f>
        <v/>
      </c>
      <c r="BG182" s="38" t="str">
        <f>IFERROR('2.vize'!BR81*100/'2.vize'!$I81,"")</f>
        <v/>
      </c>
      <c r="BH182" s="38" t="str">
        <f>IFERROR('2.vize'!BS81*100/'2.vize'!$I81,"")</f>
        <v/>
      </c>
      <c r="BI182" s="38" t="str">
        <f>IFERROR('2.vize'!BT81*100/'2.vize'!$I81,"")</f>
        <v/>
      </c>
      <c r="BJ182" s="38" t="str">
        <f>IFERROR('2.vize'!BU81*100/'2.vize'!$I81,"")</f>
        <v/>
      </c>
      <c r="BK182" s="38" t="str">
        <f>IFERROR('2.vize'!BV81*100/'2.vize'!$I81,"")</f>
        <v/>
      </c>
      <c r="BL182" s="38" t="str">
        <f>IFERROR('2.vize'!BW81*100/'2.vize'!$I81,"")</f>
        <v/>
      </c>
      <c r="BM182" s="38" t="str">
        <f>IFERROR('2.vize'!BX81*100/'2.vize'!$I81,"")</f>
        <v/>
      </c>
      <c r="BN182" s="38" t="str">
        <f>IFERROR('2.vize'!BY81*100/'2.vize'!$I81,"")</f>
        <v/>
      </c>
      <c r="BO182" s="38" t="str">
        <f>IFERROR('2.vize'!BZ81*100/'2.vize'!$I81,"")</f>
        <v/>
      </c>
      <c r="BP182" s="38" t="str">
        <f>IFERROR('2.vize'!CA81*100/'2.vize'!$I81,"")</f>
        <v/>
      </c>
      <c r="BQ182" s="38" t="str">
        <f>IFERROR('2.vize'!CB81*100/'2.vize'!$I81,"")</f>
        <v/>
      </c>
      <c r="BR182" s="38" t="str">
        <f>IFERROR('2.vize'!CC81*100/'2.vize'!$I81,"")</f>
        <v/>
      </c>
      <c r="BS182" s="38" t="str">
        <f>IFERROR('2.vize'!CD81*100/'2.vize'!$I81,"")</f>
        <v/>
      </c>
      <c r="BT182" s="38" t="str">
        <f>IFERROR('2.vize'!CE81*100/'2.vize'!$I81,"")</f>
        <v/>
      </c>
      <c r="BU182" s="38" t="str">
        <f>IFERROR('2.vize'!CF81*100/'2.vize'!$I81,"")</f>
        <v/>
      </c>
      <c r="BV182" s="38" t="str">
        <f>IFERROR('2.vize'!CG81*100/'2.vize'!$I81,"")</f>
        <v/>
      </c>
      <c r="BW182" s="38" t="str">
        <f>IFERROR('2.vize'!CH81*100/'2.vize'!$I81,"")</f>
        <v/>
      </c>
      <c r="BX182" s="38" t="str">
        <f>IFERROR('2.vize'!CI81*100/'2.vize'!$I81,"")</f>
        <v/>
      </c>
      <c r="BY182" s="38" t="str">
        <f>IFERROR('2.vize'!CJ81*100/'2.vize'!$I81,"")</f>
        <v/>
      </c>
      <c r="BZ182" s="38" t="str">
        <f>IFERROR('2.vize'!CK81*100/'2.vize'!$I81,"")</f>
        <v/>
      </c>
      <c r="CA182" s="38" t="str">
        <f>IFERROR('2.vize'!CL81*100/'2.vize'!$I81,"")</f>
        <v/>
      </c>
      <c r="CB182" s="38" t="str">
        <f>IFERROR('2.vize'!CM81*100/'2.vize'!$I81,"")</f>
        <v/>
      </c>
      <c r="CC182" s="38" t="str">
        <f>IFERROR('2.vize'!CN81*100/'2.vize'!$I81,"")</f>
        <v/>
      </c>
      <c r="CD182" s="38" t="str">
        <f>IFERROR('2.vize'!CO81*100/'2.vize'!$I81,"")</f>
        <v/>
      </c>
      <c r="CE182" s="38" t="str">
        <f>IFERROR('2.vize'!CP81*100/'2.vize'!$I81,"")</f>
        <v/>
      </c>
      <c r="CF182" s="38" t="str">
        <f>IFERROR('2.vize'!CQ81*100/'2.vize'!$I81,"")</f>
        <v/>
      </c>
      <c r="CG182" s="38" t="str">
        <f>IFERROR('2.vize'!CR81*100/'2.vize'!$I81,"")</f>
        <v/>
      </c>
      <c r="CH182" s="38" t="str">
        <f>IFERROR('2.vize'!CS81*100/'2.vize'!$I81,"")</f>
        <v/>
      </c>
      <c r="CI182" s="38" t="str">
        <f>IFERROR('2.vize'!CT81*100/'2.vize'!$I81,"")</f>
        <v/>
      </c>
      <c r="CJ182" s="38" t="str">
        <f>IFERROR('2.vize'!CU81*100/'2.vize'!$I81,"")</f>
        <v/>
      </c>
      <c r="CK182" s="38" t="str">
        <f>IFERROR('2.vize'!CV81*100/'2.vize'!$I81,"")</f>
        <v/>
      </c>
      <c r="CL182" s="38" t="str">
        <f>IFERROR('2.vize'!CW81*100/'2.vize'!$I81,"")</f>
        <v/>
      </c>
      <c r="CM182" s="38" t="str">
        <f>IFERROR('2.vize'!CX81*100/'2.vize'!$I81,"")</f>
        <v/>
      </c>
      <c r="CN182" s="38" t="str">
        <f>IFERROR('2.vize'!CY81*100/'2.vize'!$I81,"")</f>
        <v/>
      </c>
      <c r="CO182" s="38" t="str">
        <f>IFERROR('2.vize'!CZ81*100/'2.vize'!$I81,"")</f>
        <v/>
      </c>
      <c r="CP182" s="38" t="str">
        <f>IFERROR('2.vize'!DA81*100/'2.vize'!$I81,"")</f>
        <v/>
      </c>
      <c r="CQ182" s="38" t="str">
        <f>IFERROR('2.vize'!DB81*100/'2.vize'!$I81,"")</f>
        <v/>
      </c>
      <c r="CR182" s="38" t="str">
        <f>IFERROR('2.vize'!DC81*100/'2.vize'!$I81,"")</f>
        <v/>
      </c>
      <c r="CS182" s="38" t="str">
        <f>IFERROR('2.vize'!DD81*100/'2.vize'!$I81,"")</f>
        <v/>
      </c>
      <c r="CT182" s="38" t="str">
        <f>IFERROR('2.vize'!DE81*100/'2.vize'!$I81,"")</f>
        <v/>
      </c>
      <c r="CU182" s="38" t="str">
        <f>IFERROR('2.vize'!DF81*100/'2.vize'!$I81,"")</f>
        <v/>
      </c>
      <c r="CV182" s="38" t="str">
        <f>IFERROR('2.vize'!DG81*100/'2.vize'!$I81,"")</f>
        <v/>
      </c>
      <c r="CW182" s="32" t="str">
        <f>IFERROR(SUM(A182:CV182)/'2.vize'!$DH$103,"")</f>
        <v/>
      </c>
      <c r="CX182" s="14" t="str">
        <f>IF(COUNTA('2.vize'!A81),'2.vize'!A81,"")</f>
        <v/>
      </c>
      <c r="CY182" s="14" t="str">
        <f>IF(COUNTA('2.vize'!B81),'2.vize'!B81,"")</f>
        <v/>
      </c>
      <c r="CZ182" s="14" t="str">
        <f>IF(COUNTA('2.vize'!C81),'2.vize'!C81,"")</f>
        <v/>
      </c>
      <c r="DA182" s="14" t="str">
        <f>IF(COUNTA('2.vize'!D81),'2.vize'!D81,"")</f>
        <v/>
      </c>
      <c r="DB182" s="14" t="str">
        <f>IF(COUNTA('2.vize'!E81),'2.vize'!E81,"")</f>
        <v/>
      </c>
      <c r="DC182" s="14" t="str">
        <f>IF(COUNTA('2.vize'!F81),'2.vize'!F81,"")</f>
        <v/>
      </c>
      <c r="DD182" s="14" t="str">
        <f>IF(COUNTA('2.vize'!G81),'2.vize'!G81,"")</f>
        <v/>
      </c>
      <c r="DE182" s="14" t="str">
        <f>IF(COUNTA('2.vize'!H81),'2.vize'!H81,"")</f>
        <v/>
      </c>
    </row>
    <row r="183" spans="1:109" x14ac:dyDescent="0.2">
      <c r="A183" s="38" t="str">
        <f>IFERROR('2.vize'!L82*100/'2.vize'!$I82,"")</f>
        <v/>
      </c>
      <c r="B183" s="38" t="str">
        <f>IFERROR('2.vize'!M82*100/'2.vize'!$I82,"")</f>
        <v/>
      </c>
      <c r="C183" s="38" t="str">
        <f>IFERROR('2.vize'!N82*100/'2.vize'!$I82,"")</f>
        <v/>
      </c>
      <c r="D183" s="38" t="str">
        <f>IFERROR('2.vize'!O82*100/'2.vize'!$I82,"")</f>
        <v/>
      </c>
      <c r="E183" s="38" t="str">
        <f>IFERROR('2.vize'!P82*100/'2.vize'!$I82,"")</f>
        <v/>
      </c>
      <c r="F183" s="38" t="str">
        <f>IFERROR('2.vize'!Q82*100/'2.vize'!$I82,"")</f>
        <v/>
      </c>
      <c r="G183" s="38" t="str">
        <f>IFERROR('2.vize'!R82*100/'2.vize'!$I82,"")</f>
        <v/>
      </c>
      <c r="H183" s="38" t="str">
        <f>IFERROR('2.vize'!S82*100/'2.vize'!$I82,"")</f>
        <v/>
      </c>
      <c r="I183" s="38" t="str">
        <f>IFERROR('2.vize'!T82*100/'2.vize'!$I82,"")</f>
        <v/>
      </c>
      <c r="J183" s="38" t="str">
        <f>IFERROR('2.vize'!U82*100/'2.vize'!$I82,"")</f>
        <v/>
      </c>
      <c r="K183" s="38" t="str">
        <f>IFERROR('2.vize'!V82*100/'2.vize'!$I82,"")</f>
        <v/>
      </c>
      <c r="L183" s="38" t="str">
        <f>IFERROR('2.vize'!W82*100/'2.vize'!$I82,"")</f>
        <v/>
      </c>
      <c r="M183" s="38" t="str">
        <f>IFERROR('2.vize'!X82*100/'2.vize'!$I82,"")</f>
        <v/>
      </c>
      <c r="N183" s="38" t="str">
        <f>IFERROR('2.vize'!Y82*100/'2.vize'!$I82,"")</f>
        <v/>
      </c>
      <c r="O183" s="38" t="str">
        <f>IFERROR('2.vize'!Z82*100/'2.vize'!$I82,"")</f>
        <v/>
      </c>
      <c r="P183" s="38" t="str">
        <f>IFERROR('2.vize'!AA82*100/'2.vize'!$I82,"")</f>
        <v/>
      </c>
      <c r="Q183" s="38" t="str">
        <f>IFERROR('2.vize'!AB82*100/'2.vize'!$I82,"")</f>
        <v/>
      </c>
      <c r="R183" s="38" t="str">
        <f>IFERROR('2.vize'!AC82*100/'2.vize'!$I82,"")</f>
        <v/>
      </c>
      <c r="S183" s="38" t="str">
        <f>IFERROR('2.vize'!AD82*100/'2.vize'!$I82,"")</f>
        <v/>
      </c>
      <c r="T183" s="38" t="str">
        <f>IFERROR('2.vize'!AE82*100/'2.vize'!$I82,"")</f>
        <v/>
      </c>
      <c r="U183" s="38" t="str">
        <f>IFERROR('2.vize'!AF82*100/'2.vize'!$I82,"")</f>
        <v/>
      </c>
      <c r="V183" s="38" t="str">
        <f>IFERROR('2.vize'!AG82*100/'2.vize'!$I82,"")</f>
        <v/>
      </c>
      <c r="W183" s="38" t="str">
        <f>IFERROR('2.vize'!AH82*100/'2.vize'!$I82,"")</f>
        <v/>
      </c>
      <c r="X183" s="38" t="str">
        <f>IFERROR('2.vize'!AI82*100/'2.vize'!$I82,"")</f>
        <v/>
      </c>
      <c r="Y183" s="38" t="str">
        <f>IFERROR('2.vize'!AJ82*100/'2.vize'!$I82,"")</f>
        <v/>
      </c>
      <c r="Z183" s="38" t="str">
        <f>IFERROR('2.vize'!AK82*100/'2.vize'!$I82,"")</f>
        <v/>
      </c>
      <c r="AA183" s="38" t="str">
        <f>IFERROR('2.vize'!AL82*100/'2.vize'!$I82,"")</f>
        <v/>
      </c>
      <c r="AB183" s="38" t="str">
        <f>IFERROR('2.vize'!AM82*100/'2.vize'!$I82,"")</f>
        <v/>
      </c>
      <c r="AC183" s="38" t="str">
        <f>IFERROR('2.vize'!AN82*100/'2.vize'!$I82,"")</f>
        <v/>
      </c>
      <c r="AD183" s="38" t="str">
        <f>IFERROR('2.vize'!AO82*100/'2.vize'!$I82,"")</f>
        <v/>
      </c>
      <c r="AE183" s="38" t="str">
        <f>IFERROR('2.vize'!AP82*100/'2.vize'!$I82,"")</f>
        <v/>
      </c>
      <c r="AF183" s="38" t="str">
        <f>IFERROR('2.vize'!AQ82*100/'2.vize'!$I82,"")</f>
        <v/>
      </c>
      <c r="AG183" s="38" t="str">
        <f>IFERROR('2.vize'!AR82*100/'2.vize'!$I82,"")</f>
        <v/>
      </c>
      <c r="AH183" s="38" t="str">
        <f>IFERROR('2.vize'!AS82*100/'2.vize'!$I82,"")</f>
        <v/>
      </c>
      <c r="AI183" s="38" t="str">
        <f>IFERROR('2.vize'!AT82*100/'2.vize'!$I82,"")</f>
        <v/>
      </c>
      <c r="AJ183" s="38" t="str">
        <f>IFERROR('2.vize'!AU82*100/'2.vize'!$I82,"")</f>
        <v/>
      </c>
      <c r="AK183" s="38" t="str">
        <f>IFERROR('2.vize'!AV82*100/'2.vize'!$I82,"")</f>
        <v/>
      </c>
      <c r="AL183" s="38" t="str">
        <f>IFERROR('2.vize'!AW82*100/'2.vize'!$I82,"")</f>
        <v/>
      </c>
      <c r="AM183" s="38" t="str">
        <f>IFERROR('2.vize'!AX82*100/'2.vize'!$I82,"")</f>
        <v/>
      </c>
      <c r="AN183" s="38" t="str">
        <f>IFERROR('2.vize'!AY82*100/'2.vize'!$I82,"")</f>
        <v/>
      </c>
      <c r="AO183" s="38" t="str">
        <f>IFERROR('2.vize'!AZ82*100/'2.vize'!$I82,"")</f>
        <v/>
      </c>
      <c r="AP183" s="38" t="str">
        <f>IFERROR('2.vize'!BA82*100/'2.vize'!$I82,"")</f>
        <v/>
      </c>
      <c r="AQ183" s="38" t="str">
        <f>IFERROR('2.vize'!BB82*100/'2.vize'!$I82,"")</f>
        <v/>
      </c>
      <c r="AR183" s="38" t="str">
        <f>IFERROR('2.vize'!BC82*100/'2.vize'!$I82,"")</f>
        <v/>
      </c>
      <c r="AS183" s="38" t="str">
        <f>IFERROR('2.vize'!BD82*100/'2.vize'!$I82,"")</f>
        <v/>
      </c>
      <c r="AT183" s="38" t="str">
        <f>IFERROR('2.vize'!BE82*100/'2.vize'!$I82,"")</f>
        <v/>
      </c>
      <c r="AU183" s="38" t="str">
        <f>IFERROR('2.vize'!BF82*100/'2.vize'!$I82,"")</f>
        <v/>
      </c>
      <c r="AV183" s="38" t="str">
        <f>IFERROR('2.vize'!BG82*100/'2.vize'!$I82,"")</f>
        <v/>
      </c>
      <c r="AW183" s="38" t="str">
        <f>IFERROR('2.vize'!BH82*100/'2.vize'!$I82,"")</f>
        <v/>
      </c>
      <c r="AX183" s="38" t="str">
        <f>IFERROR('2.vize'!BI82*100/'2.vize'!$I82,"")</f>
        <v/>
      </c>
      <c r="AY183" s="38" t="str">
        <f>IFERROR('2.vize'!BJ82*100/'2.vize'!$I82,"")</f>
        <v/>
      </c>
      <c r="AZ183" s="38" t="str">
        <f>IFERROR('2.vize'!BK82*100/'2.vize'!$I82,"")</f>
        <v/>
      </c>
      <c r="BA183" s="38" t="str">
        <f>IFERROR('2.vize'!BL82*100/'2.vize'!$I82,"")</f>
        <v/>
      </c>
      <c r="BB183" s="38" t="str">
        <f>IFERROR('2.vize'!BM82*100/'2.vize'!$I82,"")</f>
        <v/>
      </c>
      <c r="BC183" s="38" t="str">
        <f>IFERROR('2.vize'!BN82*100/'2.vize'!$I82,"")</f>
        <v/>
      </c>
      <c r="BD183" s="38" t="str">
        <f>IFERROR('2.vize'!BO82*100/'2.vize'!$I82,"")</f>
        <v/>
      </c>
      <c r="BE183" s="38" t="str">
        <f>IFERROR('2.vize'!BP82*100/'2.vize'!$I82,"")</f>
        <v/>
      </c>
      <c r="BF183" s="38" t="str">
        <f>IFERROR('2.vize'!BQ82*100/'2.vize'!$I82,"")</f>
        <v/>
      </c>
      <c r="BG183" s="38" t="str">
        <f>IFERROR('2.vize'!BR82*100/'2.vize'!$I82,"")</f>
        <v/>
      </c>
      <c r="BH183" s="38" t="str">
        <f>IFERROR('2.vize'!BS82*100/'2.vize'!$I82,"")</f>
        <v/>
      </c>
      <c r="BI183" s="38" t="str">
        <f>IFERROR('2.vize'!BT82*100/'2.vize'!$I82,"")</f>
        <v/>
      </c>
      <c r="BJ183" s="38" t="str">
        <f>IFERROR('2.vize'!BU82*100/'2.vize'!$I82,"")</f>
        <v/>
      </c>
      <c r="BK183" s="38" t="str">
        <f>IFERROR('2.vize'!BV82*100/'2.vize'!$I82,"")</f>
        <v/>
      </c>
      <c r="BL183" s="38" t="str">
        <f>IFERROR('2.vize'!BW82*100/'2.vize'!$I82,"")</f>
        <v/>
      </c>
      <c r="BM183" s="38" t="str">
        <f>IFERROR('2.vize'!BX82*100/'2.vize'!$I82,"")</f>
        <v/>
      </c>
      <c r="BN183" s="38" t="str">
        <f>IFERROR('2.vize'!BY82*100/'2.vize'!$I82,"")</f>
        <v/>
      </c>
      <c r="BO183" s="38" t="str">
        <f>IFERROR('2.vize'!BZ82*100/'2.vize'!$I82,"")</f>
        <v/>
      </c>
      <c r="BP183" s="38" t="str">
        <f>IFERROR('2.vize'!CA82*100/'2.vize'!$I82,"")</f>
        <v/>
      </c>
      <c r="BQ183" s="38" t="str">
        <f>IFERROR('2.vize'!CB82*100/'2.vize'!$I82,"")</f>
        <v/>
      </c>
      <c r="BR183" s="38" t="str">
        <f>IFERROR('2.vize'!CC82*100/'2.vize'!$I82,"")</f>
        <v/>
      </c>
      <c r="BS183" s="38" t="str">
        <f>IFERROR('2.vize'!CD82*100/'2.vize'!$I82,"")</f>
        <v/>
      </c>
      <c r="BT183" s="38" t="str">
        <f>IFERROR('2.vize'!CE82*100/'2.vize'!$I82,"")</f>
        <v/>
      </c>
      <c r="BU183" s="38" t="str">
        <f>IFERROR('2.vize'!CF82*100/'2.vize'!$I82,"")</f>
        <v/>
      </c>
      <c r="BV183" s="38" t="str">
        <f>IFERROR('2.vize'!CG82*100/'2.vize'!$I82,"")</f>
        <v/>
      </c>
      <c r="BW183" s="38" t="str">
        <f>IFERROR('2.vize'!CH82*100/'2.vize'!$I82,"")</f>
        <v/>
      </c>
      <c r="BX183" s="38" t="str">
        <f>IFERROR('2.vize'!CI82*100/'2.vize'!$I82,"")</f>
        <v/>
      </c>
      <c r="BY183" s="38" t="str">
        <f>IFERROR('2.vize'!CJ82*100/'2.vize'!$I82,"")</f>
        <v/>
      </c>
      <c r="BZ183" s="38" t="str">
        <f>IFERROR('2.vize'!CK82*100/'2.vize'!$I82,"")</f>
        <v/>
      </c>
      <c r="CA183" s="38" t="str">
        <f>IFERROR('2.vize'!CL82*100/'2.vize'!$I82,"")</f>
        <v/>
      </c>
      <c r="CB183" s="38" t="str">
        <f>IFERROR('2.vize'!CM82*100/'2.vize'!$I82,"")</f>
        <v/>
      </c>
      <c r="CC183" s="38" t="str">
        <f>IFERROR('2.vize'!CN82*100/'2.vize'!$I82,"")</f>
        <v/>
      </c>
      <c r="CD183" s="38" t="str">
        <f>IFERROR('2.vize'!CO82*100/'2.vize'!$I82,"")</f>
        <v/>
      </c>
      <c r="CE183" s="38" t="str">
        <f>IFERROR('2.vize'!CP82*100/'2.vize'!$I82,"")</f>
        <v/>
      </c>
      <c r="CF183" s="38" t="str">
        <f>IFERROR('2.vize'!CQ82*100/'2.vize'!$I82,"")</f>
        <v/>
      </c>
      <c r="CG183" s="38" t="str">
        <f>IFERROR('2.vize'!CR82*100/'2.vize'!$I82,"")</f>
        <v/>
      </c>
      <c r="CH183" s="38" t="str">
        <f>IFERROR('2.vize'!CS82*100/'2.vize'!$I82,"")</f>
        <v/>
      </c>
      <c r="CI183" s="38" t="str">
        <f>IFERROR('2.vize'!CT82*100/'2.vize'!$I82,"")</f>
        <v/>
      </c>
      <c r="CJ183" s="38" t="str">
        <f>IFERROR('2.vize'!CU82*100/'2.vize'!$I82,"")</f>
        <v/>
      </c>
      <c r="CK183" s="38" t="str">
        <f>IFERROR('2.vize'!CV82*100/'2.vize'!$I82,"")</f>
        <v/>
      </c>
      <c r="CL183" s="38" t="str">
        <f>IFERROR('2.vize'!CW82*100/'2.vize'!$I82,"")</f>
        <v/>
      </c>
      <c r="CM183" s="38" t="str">
        <f>IFERROR('2.vize'!CX82*100/'2.vize'!$I82,"")</f>
        <v/>
      </c>
      <c r="CN183" s="38" t="str">
        <f>IFERROR('2.vize'!CY82*100/'2.vize'!$I82,"")</f>
        <v/>
      </c>
      <c r="CO183" s="38" t="str">
        <f>IFERROR('2.vize'!CZ82*100/'2.vize'!$I82,"")</f>
        <v/>
      </c>
      <c r="CP183" s="38" t="str">
        <f>IFERROR('2.vize'!DA82*100/'2.vize'!$I82,"")</f>
        <v/>
      </c>
      <c r="CQ183" s="38" t="str">
        <f>IFERROR('2.vize'!DB82*100/'2.vize'!$I82,"")</f>
        <v/>
      </c>
      <c r="CR183" s="38" t="str">
        <f>IFERROR('2.vize'!DC82*100/'2.vize'!$I82,"")</f>
        <v/>
      </c>
      <c r="CS183" s="38" t="str">
        <f>IFERROR('2.vize'!DD82*100/'2.vize'!$I82,"")</f>
        <v/>
      </c>
      <c r="CT183" s="38" t="str">
        <f>IFERROR('2.vize'!DE82*100/'2.vize'!$I82,"")</f>
        <v/>
      </c>
      <c r="CU183" s="38" t="str">
        <f>IFERROR('2.vize'!DF82*100/'2.vize'!$I82,"")</f>
        <v/>
      </c>
      <c r="CV183" s="38" t="str">
        <f>IFERROR('2.vize'!DG82*100/'2.vize'!$I82,"")</f>
        <v/>
      </c>
      <c r="CW183" s="32" t="str">
        <f>IFERROR(SUM(A183:CV183)/'2.vize'!$DH$103,"")</f>
        <v/>
      </c>
      <c r="CX183" s="14" t="str">
        <f>IF(COUNTA('2.vize'!A82),'2.vize'!A82,"")</f>
        <v/>
      </c>
      <c r="CY183" s="14" t="str">
        <f>IF(COUNTA('2.vize'!B82),'2.vize'!B82,"")</f>
        <v/>
      </c>
      <c r="CZ183" s="14" t="str">
        <f>IF(COUNTA('2.vize'!C82),'2.vize'!C82,"")</f>
        <v/>
      </c>
      <c r="DA183" s="14" t="str">
        <f>IF(COUNTA('2.vize'!D82),'2.vize'!D82,"")</f>
        <v/>
      </c>
      <c r="DB183" s="14" t="str">
        <f>IF(COUNTA('2.vize'!E82),'2.vize'!E82,"")</f>
        <v/>
      </c>
      <c r="DC183" s="14" t="str">
        <f>IF(COUNTA('2.vize'!F82),'2.vize'!F82,"")</f>
        <v/>
      </c>
      <c r="DD183" s="14" t="str">
        <f>IF(COUNTA('2.vize'!G82),'2.vize'!G82,"")</f>
        <v/>
      </c>
      <c r="DE183" s="14" t="str">
        <f>IF(COUNTA('2.vize'!H82),'2.vize'!H82,"")</f>
        <v/>
      </c>
    </row>
    <row r="184" spans="1:109" x14ac:dyDescent="0.2">
      <c r="A184" s="38" t="str">
        <f>IFERROR('2.vize'!L83*100/'2.vize'!$I83,"")</f>
        <v/>
      </c>
      <c r="B184" s="38" t="str">
        <f>IFERROR('2.vize'!M83*100/'2.vize'!$I83,"")</f>
        <v/>
      </c>
      <c r="C184" s="38" t="str">
        <f>IFERROR('2.vize'!N83*100/'2.vize'!$I83,"")</f>
        <v/>
      </c>
      <c r="D184" s="38" t="str">
        <f>IFERROR('2.vize'!O83*100/'2.vize'!$I83,"")</f>
        <v/>
      </c>
      <c r="E184" s="38" t="str">
        <f>IFERROR('2.vize'!P83*100/'2.vize'!$I83,"")</f>
        <v/>
      </c>
      <c r="F184" s="38" t="str">
        <f>IFERROR('2.vize'!Q83*100/'2.vize'!$I83,"")</f>
        <v/>
      </c>
      <c r="G184" s="38" t="str">
        <f>IFERROR('2.vize'!R83*100/'2.vize'!$I83,"")</f>
        <v/>
      </c>
      <c r="H184" s="38" t="str">
        <f>IFERROR('2.vize'!S83*100/'2.vize'!$I83,"")</f>
        <v/>
      </c>
      <c r="I184" s="38" t="str">
        <f>IFERROR('2.vize'!T83*100/'2.vize'!$I83,"")</f>
        <v/>
      </c>
      <c r="J184" s="38" t="str">
        <f>IFERROR('2.vize'!U83*100/'2.vize'!$I83,"")</f>
        <v/>
      </c>
      <c r="K184" s="38" t="str">
        <f>IFERROR('2.vize'!V83*100/'2.vize'!$I83,"")</f>
        <v/>
      </c>
      <c r="L184" s="38" t="str">
        <f>IFERROR('2.vize'!W83*100/'2.vize'!$I83,"")</f>
        <v/>
      </c>
      <c r="M184" s="38" t="str">
        <f>IFERROR('2.vize'!X83*100/'2.vize'!$I83,"")</f>
        <v/>
      </c>
      <c r="N184" s="38" t="str">
        <f>IFERROR('2.vize'!Y83*100/'2.vize'!$I83,"")</f>
        <v/>
      </c>
      <c r="O184" s="38" t="str">
        <f>IFERROR('2.vize'!Z83*100/'2.vize'!$I83,"")</f>
        <v/>
      </c>
      <c r="P184" s="38" t="str">
        <f>IFERROR('2.vize'!AA83*100/'2.vize'!$I83,"")</f>
        <v/>
      </c>
      <c r="Q184" s="38" t="str">
        <f>IFERROR('2.vize'!AB83*100/'2.vize'!$I83,"")</f>
        <v/>
      </c>
      <c r="R184" s="38" t="str">
        <f>IFERROR('2.vize'!AC83*100/'2.vize'!$I83,"")</f>
        <v/>
      </c>
      <c r="S184" s="38" t="str">
        <f>IFERROR('2.vize'!AD83*100/'2.vize'!$I83,"")</f>
        <v/>
      </c>
      <c r="T184" s="38" t="str">
        <f>IFERROR('2.vize'!AE83*100/'2.vize'!$I83,"")</f>
        <v/>
      </c>
      <c r="U184" s="38" t="str">
        <f>IFERROR('2.vize'!AF83*100/'2.vize'!$I83,"")</f>
        <v/>
      </c>
      <c r="V184" s="38" t="str">
        <f>IFERROR('2.vize'!AG83*100/'2.vize'!$I83,"")</f>
        <v/>
      </c>
      <c r="W184" s="38" t="str">
        <f>IFERROR('2.vize'!AH83*100/'2.vize'!$I83,"")</f>
        <v/>
      </c>
      <c r="X184" s="38" t="str">
        <f>IFERROR('2.vize'!AI83*100/'2.vize'!$I83,"")</f>
        <v/>
      </c>
      <c r="Y184" s="38" t="str">
        <f>IFERROR('2.vize'!AJ83*100/'2.vize'!$I83,"")</f>
        <v/>
      </c>
      <c r="Z184" s="38" t="str">
        <f>IFERROR('2.vize'!AK83*100/'2.vize'!$I83,"")</f>
        <v/>
      </c>
      <c r="AA184" s="38" t="str">
        <f>IFERROR('2.vize'!AL83*100/'2.vize'!$I83,"")</f>
        <v/>
      </c>
      <c r="AB184" s="38" t="str">
        <f>IFERROR('2.vize'!AM83*100/'2.vize'!$I83,"")</f>
        <v/>
      </c>
      <c r="AC184" s="38" t="str">
        <f>IFERROR('2.vize'!AN83*100/'2.vize'!$I83,"")</f>
        <v/>
      </c>
      <c r="AD184" s="38" t="str">
        <f>IFERROR('2.vize'!AO83*100/'2.vize'!$I83,"")</f>
        <v/>
      </c>
      <c r="AE184" s="38" t="str">
        <f>IFERROR('2.vize'!AP83*100/'2.vize'!$I83,"")</f>
        <v/>
      </c>
      <c r="AF184" s="38" t="str">
        <f>IFERROR('2.vize'!AQ83*100/'2.vize'!$I83,"")</f>
        <v/>
      </c>
      <c r="AG184" s="38" t="str">
        <f>IFERROR('2.vize'!AR83*100/'2.vize'!$I83,"")</f>
        <v/>
      </c>
      <c r="AH184" s="38" t="str">
        <f>IFERROR('2.vize'!AS83*100/'2.vize'!$I83,"")</f>
        <v/>
      </c>
      <c r="AI184" s="38" t="str">
        <f>IFERROR('2.vize'!AT83*100/'2.vize'!$I83,"")</f>
        <v/>
      </c>
      <c r="AJ184" s="38" t="str">
        <f>IFERROR('2.vize'!AU83*100/'2.vize'!$I83,"")</f>
        <v/>
      </c>
      <c r="AK184" s="38" t="str">
        <f>IFERROR('2.vize'!AV83*100/'2.vize'!$I83,"")</f>
        <v/>
      </c>
      <c r="AL184" s="38" t="str">
        <f>IFERROR('2.vize'!AW83*100/'2.vize'!$I83,"")</f>
        <v/>
      </c>
      <c r="AM184" s="38" t="str">
        <f>IFERROR('2.vize'!AX83*100/'2.vize'!$I83,"")</f>
        <v/>
      </c>
      <c r="AN184" s="38" t="str">
        <f>IFERROR('2.vize'!AY83*100/'2.vize'!$I83,"")</f>
        <v/>
      </c>
      <c r="AO184" s="38" t="str">
        <f>IFERROR('2.vize'!AZ83*100/'2.vize'!$I83,"")</f>
        <v/>
      </c>
      <c r="AP184" s="38" t="str">
        <f>IFERROR('2.vize'!BA83*100/'2.vize'!$I83,"")</f>
        <v/>
      </c>
      <c r="AQ184" s="38" t="str">
        <f>IFERROR('2.vize'!BB83*100/'2.vize'!$I83,"")</f>
        <v/>
      </c>
      <c r="AR184" s="38" t="str">
        <f>IFERROR('2.vize'!BC83*100/'2.vize'!$I83,"")</f>
        <v/>
      </c>
      <c r="AS184" s="38" t="str">
        <f>IFERROR('2.vize'!BD83*100/'2.vize'!$I83,"")</f>
        <v/>
      </c>
      <c r="AT184" s="38" t="str">
        <f>IFERROR('2.vize'!BE83*100/'2.vize'!$I83,"")</f>
        <v/>
      </c>
      <c r="AU184" s="38" t="str">
        <f>IFERROR('2.vize'!BF83*100/'2.vize'!$I83,"")</f>
        <v/>
      </c>
      <c r="AV184" s="38" t="str">
        <f>IFERROR('2.vize'!BG83*100/'2.vize'!$I83,"")</f>
        <v/>
      </c>
      <c r="AW184" s="38" t="str">
        <f>IFERROR('2.vize'!BH83*100/'2.vize'!$I83,"")</f>
        <v/>
      </c>
      <c r="AX184" s="38" t="str">
        <f>IFERROR('2.vize'!BI83*100/'2.vize'!$I83,"")</f>
        <v/>
      </c>
      <c r="AY184" s="38" t="str">
        <f>IFERROR('2.vize'!BJ83*100/'2.vize'!$I83,"")</f>
        <v/>
      </c>
      <c r="AZ184" s="38" t="str">
        <f>IFERROR('2.vize'!BK83*100/'2.vize'!$I83,"")</f>
        <v/>
      </c>
      <c r="BA184" s="38" t="str">
        <f>IFERROR('2.vize'!BL83*100/'2.vize'!$I83,"")</f>
        <v/>
      </c>
      <c r="BB184" s="38" t="str">
        <f>IFERROR('2.vize'!BM83*100/'2.vize'!$I83,"")</f>
        <v/>
      </c>
      <c r="BC184" s="38" t="str">
        <f>IFERROR('2.vize'!BN83*100/'2.vize'!$I83,"")</f>
        <v/>
      </c>
      <c r="BD184" s="38" t="str">
        <f>IFERROR('2.vize'!BO83*100/'2.vize'!$I83,"")</f>
        <v/>
      </c>
      <c r="BE184" s="38" t="str">
        <f>IFERROR('2.vize'!BP83*100/'2.vize'!$I83,"")</f>
        <v/>
      </c>
      <c r="BF184" s="38" t="str">
        <f>IFERROR('2.vize'!BQ83*100/'2.vize'!$I83,"")</f>
        <v/>
      </c>
      <c r="BG184" s="38" t="str">
        <f>IFERROR('2.vize'!BR83*100/'2.vize'!$I83,"")</f>
        <v/>
      </c>
      <c r="BH184" s="38" t="str">
        <f>IFERROR('2.vize'!BS83*100/'2.vize'!$I83,"")</f>
        <v/>
      </c>
      <c r="BI184" s="38" t="str">
        <f>IFERROR('2.vize'!BT83*100/'2.vize'!$I83,"")</f>
        <v/>
      </c>
      <c r="BJ184" s="38" t="str">
        <f>IFERROR('2.vize'!BU83*100/'2.vize'!$I83,"")</f>
        <v/>
      </c>
      <c r="BK184" s="38" t="str">
        <f>IFERROR('2.vize'!BV83*100/'2.vize'!$I83,"")</f>
        <v/>
      </c>
      <c r="BL184" s="38" t="str">
        <f>IFERROR('2.vize'!BW83*100/'2.vize'!$I83,"")</f>
        <v/>
      </c>
      <c r="BM184" s="38" t="str">
        <f>IFERROR('2.vize'!BX83*100/'2.vize'!$I83,"")</f>
        <v/>
      </c>
      <c r="BN184" s="38" t="str">
        <f>IFERROR('2.vize'!BY83*100/'2.vize'!$I83,"")</f>
        <v/>
      </c>
      <c r="BO184" s="38" t="str">
        <f>IFERROR('2.vize'!BZ83*100/'2.vize'!$I83,"")</f>
        <v/>
      </c>
      <c r="BP184" s="38" t="str">
        <f>IFERROR('2.vize'!CA83*100/'2.vize'!$I83,"")</f>
        <v/>
      </c>
      <c r="BQ184" s="38" t="str">
        <f>IFERROR('2.vize'!CB83*100/'2.vize'!$I83,"")</f>
        <v/>
      </c>
      <c r="BR184" s="38" t="str">
        <f>IFERROR('2.vize'!CC83*100/'2.vize'!$I83,"")</f>
        <v/>
      </c>
      <c r="BS184" s="38" t="str">
        <f>IFERROR('2.vize'!CD83*100/'2.vize'!$I83,"")</f>
        <v/>
      </c>
      <c r="BT184" s="38" t="str">
        <f>IFERROR('2.vize'!CE83*100/'2.vize'!$I83,"")</f>
        <v/>
      </c>
      <c r="BU184" s="38" t="str">
        <f>IFERROR('2.vize'!CF83*100/'2.vize'!$I83,"")</f>
        <v/>
      </c>
      <c r="BV184" s="38" t="str">
        <f>IFERROR('2.vize'!CG83*100/'2.vize'!$I83,"")</f>
        <v/>
      </c>
      <c r="BW184" s="38" t="str">
        <f>IFERROR('2.vize'!CH83*100/'2.vize'!$I83,"")</f>
        <v/>
      </c>
      <c r="BX184" s="38" t="str">
        <f>IFERROR('2.vize'!CI83*100/'2.vize'!$I83,"")</f>
        <v/>
      </c>
      <c r="BY184" s="38" t="str">
        <f>IFERROR('2.vize'!CJ83*100/'2.vize'!$I83,"")</f>
        <v/>
      </c>
      <c r="BZ184" s="38" t="str">
        <f>IFERROR('2.vize'!CK83*100/'2.vize'!$I83,"")</f>
        <v/>
      </c>
      <c r="CA184" s="38" t="str">
        <f>IFERROR('2.vize'!CL83*100/'2.vize'!$I83,"")</f>
        <v/>
      </c>
      <c r="CB184" s="38" t="str">
        <f>IFERROR('2.vize'!CM83*100/'2.vize'!$I83,"")</f>
        <v/>
      </c>
      <c r="CC184" s="38" t="str">
        <f>IFERROR('2.vize'!CN83*100/'2.vize'!$I83,"")</f>
        <v/>
      </c>
      <c r="CD184" s="38" t="str">
        <f>IFERROR('2.vize'!CO83*100/'2.vize'!$I83,"")</f>
        <v/>
      </c>
      <c r="CE184" s="38" t="str">
        <f>IFERROR('2.vize'!CP83*100/'2.vize'!$I83,"")</f>
        <v/>
      </c>
      <c r="CF184" s="38" t="str">
        <f>IFERROR('2.vize'!CQ83*100/'2.vize'!$I83,"")</f>
        <v/>
      </c>
      <c r="CG184" s="38" t="str">
        <f>IFERROR('2.vize'!CR83*100/'2.vize'!$I83,"")</f>
        <v/>
      </c>
      <c r="CH184" s="38" t="str">
        <f>IFERROR('2.vize'!CS83*100/'2.vize'!$I83,"")</f>
        <v/>
      </c>
      <c r="CI184" s="38" t="str">
        <f>IFERROR('2.vize'!CT83*100/'2.vize'!$I83,"")</f>
        <v/>
      </c>
      <c r="CJ184" s="38" t="str">
        <f>IFERROR('2.vize'!CU83*100/'2.vize'!$I83,"")</f>
        <v/>
      </c>
      <c r="CK184" s="38" t="str">
        <f>IFERROR('2.vize'!CV83*100/'2.vize'!$I83,"")</f>
        <v/>
      </c>
      <c r="CL184" s="38" t="str">
        <f>IFERROR('2.vize'!CW83*100/'2.vize'!$I83,"")</f>
        <v/>
      </c>
      <c r="CM184" s="38" t="str">
        <f>IFERROR('2.vize'!CX83*100/'2.vize'!$I83,"")</f>
        <v/>
      </c>
      <c r="CN184" s="38" t="str">
        <f>IFERROR('2.vize'!CY83*100/'2.vize'!$I83,"")</f>
        <v/>
      </c>
      <c r="CO184" s="38" t="str">
        <f>IFERROR('2.vize'!CZ83*100/'2.vize'!$I83,"")</f>
        <v/>
      </c>
      <c r="CP184" s="38" t="str">
        <f>IFERROR('2.vize'!DA83*100/'2.vize'!$I83,"")</f>
        <v/>
      </c>
      <c r="CQ184" s="38" t="str">
        <f>IFERROR('2.vize'!DB83*100/'2.vize'!$I83,"")</f>
        <v/>
      </c>
      <c r="CR184" s="38" t="str">
        <f>IFERROR('2.vize'!DC83*100/'2.vize'!$I83,"")</f>
        <v/>
      </c>
      <c r="CS184" s="38" t="str">
        <f>IFERROR('2.vize'!DD83*100/'2.vize'!$I83,"")</f>
        <v/>
      </c>
      <c r="CT184" s="38" t="str">
        <f>IFERROR('2.vize'!DE83*100/'2.vize'!$I83,"")</f>
        <v/>
      </c>
      <c r="CU184" s="38" t="str">
        <f>IFERROR('2.vize'!DF83*100/'2.vize'!$I83,"")</f>
        <v/>
      </c>
      <c r="CV184" s="38" t="str">
        <f>IFERROR('2.vize'!DG83*100/'2.vize'!$I83,"")</f>
        <v/>
      </c>
      <c r="CW184" s="32" t="str">
        <f>IFERROR(SUM(A184:CV184)/'2.vize'!$DH$103,"")</f>
        <v/>
      </c>
      <c r="CX184" s="14" t="str">
        <f>IF(COUNTA('2.vize'!A83),'2.vize'!A83,"")</f>
        <v/>
      </c>
      <c r="CY184" s="14" t="str">
        <f>IF(COUNTA('2.vize'!B83),'2.vize'!B83,"")</f>
        <v/>
      </c>
      <c r="CZ184" s="14" t="str">
        <f>IF(COUNTA('2.vize'!C83),'2.vize'!C83,"")</f>
        <v/>
      </c>
      <c r="DA184" s="14" t="str">
        <f>IF(COUNTA('2.vize'!D83),'2.vize'!D83,"")</f>
        <v/>
      </c>
      <c r="DB184" s="14" t="str">
        <f>IF(COUNTA('2.vize'!E83),'2.vize'!E83,"")</f>
        <v/>
      </c>
      <c r="DC184" s="14" t="str">
        <f>IF(COUNTA('2.vize'!F83),'2.vize'!F83,"")</f>
        <v/>
      </c>
      <c r="DD184" s="14" t="str">
        <f>IF(COUNTA('2.vize'!G83),'2.vize'!G83,"")</f>
        <v/>
      </c>
      <c r="DE184" s="14" t="str">
        <f>IF(COUNTA('2.vize'!H83),'2.vize'!H83,"")</f>
        <v/>
      </c>
    </row>
    <row r="185" spans="1:109" x14ac:dyDescent="0.2">
      <c r="A185" s="38" t="str">
        <f>IFERROR('2.vize'!L84*100/'2.vize'!$I84,"")</f>
        <v/>
      </c>
      <c r="B185" s="38" t="str">
        <f>IFERROR('2.vize'!M84*100/'2.vize'!$I84,"")</f>
        <v/>
      </c>
      <c r="C185" s="38" t="str">
        <f>IFERROR('2.vize'!N84*100/'2.vize'!$I84,"")</f>
        <v/>
      </c>
      <c r="D185" s="38" t="str">
        <f>IFERROR('2.vize'!O84*100/'2.vize'!$I84,"")</f>
        <v/>
      </c>
      <c r="E185" s="38" t="str">
        <f>IFERROR('2.vize'!P84*100/'2.vize'!$I84,"")</f>
        <v/>
      </c>
      <c r="F185" s="38" t="str">
        <f>IFERROR('2.vize'!Q84*100/'2.vize'!$I84,"")</f>
        <v/>
      </c>
      <c r="G185" s="38" t="str">
        <f>IFERROR('2.vize'!R84*100/'2.vize'!$I84,"")</f>
        <v/>
      </c>
      <c r="H185" s="38" t="str">
        <f>IFERROR('2.vize'!S84*100/'2.vize'!$I84,"")</f>
        <v/>
      </c>
      <c r="I185" s="38" t="str">
        <f>IFERROR('2.vize'!T84*100/'2.vize'!$I84,"")</f>
        <v/>
      </c>
      <c r="J185" s="38" t="str">
        <f>IFERROR('2.vize'!U84*100/'2.vize'!$I84,"")</f>
        <v/>
      </c>
      <c r="K185" s="38" t="str">
        <f>IFERROR('2.vize'!V84*100/'2.vize'!$I84,"")</f>
        <v/>
      </c>
      <c r="L185" s="38" t="str">
        <f>IFERROR('2.vize'!W84*100/'2.vize'!$I84,"")</f>
        <v/>
      </c>
      <c r="M185" s="38" t="str">
        <f>IFERROR('2.vize'!X84*100/'2.vize'!$I84,"")</f>
        <v/>
      </c>
      <c r="N185" s="38" t="str">
        <f>IFERROR('2.vize'!Y84*100/'2.vize'!$I84,"")</f>
        <v/>
      </c>
      <c r="O185" s="38" t="str">
        <f>IFERROR('2.vize'!Z84*100/'2.vize'!$I84,"")</f>
        <v/>
      </c>
      <c r="P185" s="38" t="str">
        <f>IFERROR('2.vize'!AA84*100/'2.vize'!$I84,"")</f>
        <v/>
      </c>
      <c r="Q185" s="38" t="str">
        <f>IFERROR('2.vize'!AB84*100/'2.vize'!$I84,"")</f>
        <v/>
      </c>
      <c r="R185" s="38" t="str">
        <f>IFERROR('2.vize'!AC84*100/'2.vize'!$I84,"")</f>
        <v/>
      </c>
      <c r="S185" s="38" t="str">
        <f>IFERROR('2.vize'!AD84*100/'2.vize'!$I84,"")</f>
        <v/>
      </c>
      <c r="T185" s="38" t="str">
        <f>IFERROR('2.vize'!AE84*100/'2.vize'!$I84,"")</f>
        <v/>
      </c>
      <c r="U185" s="38" t="str">
        <f>IFERROR('2.vize'!AF84*100/'2.vize'!$I84,"")</f>
        <v/>
      </c>
      <c r="V185" s="38" t="str">
        <f>IFERROR('2.vize'!AG84*100/'2.vize'!$I84,"")</f>
        <v/>
      </c>
      <c r="W185" s="38" t="str">
        <f>IFERROR('2.vize'!AH84*100/'2.vize'!$I84,"")</f>
        <v/>
      </c>
      <c r="X185" s="38" t="str">
        <f>IFERROR('2.vize'!AI84*100/'2.vize'!$I84,"")</f>
        <v/>
      </c>
      <c r="Y185" s="38" t="str">
        <f>IFERROR('2.vize'!AJ84*100/'2.vize'!$I84,"")</f>
        <v/>
      </c>
      <c r="Z185" s="38" t="str">
        <f>IFERROR('2.vize'!AK84*100/'2.vize'!$I84,"")</f>
        <v/>
      </c>
      <c r="AA185" s="38" t="str">
        <f>IFERROR('2.vize'!AL84*100/'2.vize'!$I84,"")</f>
        <v/>
      </c>
      <c r="AB185" s="38" t="str">
        <f>IFERROR('2.vize'!AM84*100/'2.vize'!$I84,"")</f>
        <v/>
      </c>
      <c r="AC185" s="38" t="str">
        <f>IFERROR('2.vize'!AN84*100/'2.vize'!$I84,"")</f>
        <v/>
      </c>
      <c r="AD185" s="38" t="str">
        <f>IFERROR('2.vize'!AO84*100/'2.vize'!$I84,"")</f>
        <v/>
      </c>
      <c r="AE185" s="38" t="str">
        <f>IFERROR('2.vize'!AP84*100/'2.vize'!$I84,"")</f>
        <v/>
      </c>
      <c r="AF185" s="38" t="str">
        <f>IFERROR('2.vize'!AQ84*100/'2.vize'!$I84,"")</f>
        <v/>
      </c>
      <c r="AG185" s="38" t="str">
        <f>IFERROR('2.vize'!AR84*100/'2.vize'!$I84,"")</f>
        <v/>
      </c>
      <c r="AH185" s="38" t="str">
        <f>IFERROR('2.vize'!AS84*100/'2.vize'!$I84,"")</f>
        <v/>
      </c>
      <c r="AI185" s="38" t="str">
        <f>IFERROR('2.vize'!AT84*100/'2.vize'!$I84,"")</f>
        <v/>
      </c>
      <c r="AJ185" s="38" t="str">
        <f>IFERROR('2.vize'!AU84*100/'2.vize'!$I84,"")</f>
        <v/>
      </c>
      <c r="AK185" s="38" t="str">
        <f>IFERROR('2.vize'!AV84*100/'2.vize'!$I84,"")</f>
        <v/>
      </c>
      <c r="AL185" s="38" t="str">
        <f>IFERROR('2.vize'!AW84*100/'2.vize'!$I84,"")</f>
        <v/>
      </c>
      <c r="AM185" s="38" t="str">
        <f>IFERROR('2.vize'!AX84*100/'2.vize'!$I84,"")</f>
        <v/>
      </c>
      <c r="AN185" s="38" t="str">
        <f>IFERROR('2.vize'!AY84*100/'2.vize'!$I84,"")</f>
        <v/>
      </c>
      <c r="AO185" s="38" t="str">
        <f>IFERROR('2.vize'!AZ84*100/'2.vize'!$I84,"")</f>
        <v/>
      </c>
      <c r="AP185" s="38" t="str">
        <f>IFERROR('2.vize'!BA84*100/'2.vize'!$I84,"")</f>
        <v/>
      </c>
      <c r="AQ185" s="38" t="str">
        <f>IFERROR('2.vize'!BB84*100/'2.vize'!$I84,"")</f>
        <v/>
      </c>
      <c r="AR185" s="38" t="str">
        <f>IFERROR('2.vize'!BC84*100/'2.vize'!$I84,"")</f>
        <v/>
      </c>
      <c r="AS185" s="38" t="str">
        <f>IFERROR('2.vize'!BD84*100/'2.vize'!$I84,"")</f>
        <v/>
      </c>
      <c r="AT185" s="38" t="str">
        <f>IFERROR('2.vize'!BE84*100/'2.vize'!$I84,"")</f>
        <v/>
      </c>
      <c r="AU185" s="38" t="str">
        <f>IFERROR('2.vize'!BF84*100/'2.vize'!$I84,"")</f>
        <v/>
      </c>
      <c r="AV185" s="38" t="str">
        <f>IFERROR('2.vize'!BG84*100/'2.vize'!$I84,"")</f>
        <v/>
      </c>
      <c r="AW185" s="38" t="str">
        <f>IFERROR('2.vize'!BH84*100/'2.vize'!$I84,"")</f>
        <v/>
      </c>
      <c r="AX185" s="38" t="str">
        <f>IFERROR('2.vize'!BI84*100/'2.vize'!$I84,"")</f>
        <v/>
      </c>
      <c r="AY185" s="38" t="str">
        <f>IFERROR('2.vize'!BJ84*100/'2.vize'!$I84,"")</f>
        <v/>
      </c>
      <c r="AZ185" s="38" t="str">
        <f>IFERROR('2.vize'!BK84*100/'2.vize'!$I84,"")</f>
        <v/>
      </c>
      <c r="BA185" s="38" t="str">
        <f>IFERROR('2.vize'!BL84*100/'2.vize'!$I84,"")</f>
        <v/>
      </c>
      <c r="BB185" s="38" t="str">
        <f>IFERROR('2.vize'!BM84*100/'2.vize'!$I84,"")</f>
        <v/>
      </c>
      <c r="BC185" s="38" t="str">
        <f>IFERROR('2.vize'!BN84*100/'2.vize'!$I84,"")</f>
        <v/>
      </c>
      <c r="BD185" s="38" t="str">
        <f>IFERROR('2.vize'!BO84*100/'2.vize'!$I84,"")</f>
        <v/>
      </c>
      <c r="BE185" s="38" t="str">
        <f>IFERROR('2.vize'!BP84*100/'2.vize'!$I84,"")</f>
        <v/>
      </c>
      <c r="BF185" s="38" t="str">
        <f>IFERROR('2.vize'!BQ84*100/'2.vize'!$I84,"")</f>
        <v/>
      </c>
      <c r="BG185" s="38" t="str">
        <f>IFERROR('2.vize'!BR84*100/'2.vize'!$I84,"")</f>
        <v/>
      </c>
      <c r="BH185" s="38" t="str">
        <f>IFERROR('2.vize'!BS84*100/'2.vize'!$I84,"")</f>
        <v/>
      </c>
      <c r="BI185" s="38" t="str">
        <f>IFERROR('2.vize'!BT84*100/'2.vize'!$I84,"")</f>
        <v/>
      </c>
      <c r="BJ185" s="38" t="str">
        <f>IFERROR('2.vize'!BU84*100/'2.vize'!$I84,"")</f>
        <v/>
      </c>
      <c r="BK185" s="38" t="str">
        <f>IFERROR('2.vize'!BV84*100/'2.vize'!$I84,"")</f>
        <v/>
      </c>
      <c r="BL185" s="38" t="str">
        <f>IFERROR('2.vize'!BW84*100/'2.vize'!$I84,"")</f>
        <v/>
      </c>
      <c r="BM185" s="38" t="str">
        <f>IFERROR('2.vize'!BX84*100/'2.vize'!$I84,"")</f>
        <v/>
      </c>
      <c r="BN185" s="38" t="str">
        <f>IFERROR('2.vize'!BY84*100/'2.vize'!$I84,"")</f>
        <v/>
      </c>
      <c r="BO185" s="38" t="str">
        <f>IFERROR('2.vize'!BZ84*100/'2.vize'!$I84,"")</f>
        <v/>
      </c>
      <c r="BP185" s="38" t="str">
        <f>IFERROR('2.vize'!CA84*100/'2.vize'!$I84,"")</f>
        <v/>
      </c>
      <c r="BQ185" s="38" t="str">
        <f>IFERROR('2.vize'!CB84*100/'2.vize'!$I84,"")</f>
        <v/>
      </c>
      <c r="BR185" s="38" t="str">
        <f>IFERROR('2.vize'!CC84*100/'2.vize'!$I84,"")</f>
        <v/>
      </c>
      <c r="BS185" s="38" t="str">
        <f>IFERROR('2.vize'!CD84*100/'2.vize'!$I84,"")</f>
        <v/>
      </c>
      <c r="BT185" s="38" t="str">
        <f>IFERROR('2.vize'!CE84*100/'2.vize'!$I84,"")</f>
        <v/>
      </c>
      <c r="BU185" s="38" t="str">
        <f>IFERROR('2.vize'!CF84*100/'2.vize'!$I84,"")</f>
        <v/>
      </c>
      <c r="BV185" s="38" t="str">
        <f>IFERROR('2.vize'!CG84*100/'2.vize'!$I84,"")</f>
        <v/>
      </c>
      <c r="BW185" s="38" t="str">
        <f>IFERROR('2.vize'!CH84*100/'2.vize'!$I84,"")</f>
        <v/>
      </c>
      <c r="BX185" s="38" t="str">
        <f>IFERROR('2.vize'!CI84*100/'2.vize'!$I84,"")</f>
        <v/>
      </c>
      <c r="BY185" s="38" t="str">
        <f>IFERROR('2.vize'!CJ84*100/'2.vize'!$I84,"")</f>
        <v/>
      </c>
      <c r="BZ185" s="38" t="str">
        <f>IFERROR('2.vize'!CK84*100/'2.vize'!$I84,"")</f>
        <v/>
      </c>
      <c r="CA185" s="38" t="str">
        <f>IFERROR('2.vize'!CL84*100/'2.vize'!$I84,"")</f>
        <v/>
      </c>
      <c r="CB185" s="38" t="str">
        <f>IFERROR('2.vize'!CM84*100/'2.vize'!$I84,"")</f>
        <v/>
      </c>
      <c r="CC185" s="38" t="str">
        <f>IFERROR('2.vize'!CN84*100/'2.vize'!$I84,"")</f>
        <v/>
      </c>
      <c r="CD185" s="38" t="str">
        <f>IFERROR('2.vize'!CO84*100/'2.vize'!$I84,"")</f>
        <v/>
      </c>
      <c r="CE185" s="38" t="str">
        <f>IFERROR('2.vize'!CP84*100/'2.vize'!$I84,"")</f>
        <v/>
      </c>
      <c r="CF185" s="38" t="str">
        <f>IFERROR('2.vize'!CQ84*100/'2.vize'!$I84,"")</f>
        <v/>
      </c>
      <c r="CG185" s="38" t="str">
        <f>IFERROR('2.vize'!CR84*100/'2.vize'!$I84,"")</f>
        <v/>
      </c>
      <c r="CH185" s="38" t="str">
        <f>IFERROR('2.vize'!CS84*100/'2.vize'!$I84,"")</f>
        <v/>
      </c>
      <c r="CI185" s="38" t="str">
        <f>IFERROR('2.vize'!CT84*100/'2.vize'!$I84,"")</f>
        <v/>
      </c>
      <c r="CJ185" s="38" t="str">
        <f>IFERROR('2.vize'!CU84*100/'2.vize'!$I84,"")</f>
        <v/>
      </c>
      <c r="CK185" s="38" t="str">
        <f>IFERROR('2.vize'!CV84*100/'2.vize'!$I84,"")</f>
        <v/>
      </c>
      <c r="CL185" s="38" t="str">
        <f>IFERROR('2.vize'!CW84*100/'2.vize'!$I84,"")</f>
        <v/>
      </c>
      <c r="CM185" s="38" t="str">
        <f>IFERROR('2.vize'!CX84*100/'2.vize'!$I84,"")</f>
        <v/>
      </c>
      <c r="CN185" s="38" t="str">
        <f>IFERROR('2.vize'!CY84*100/'2.vize'!$I84,"")</f>
        <v/>
      </c>
      <c r="CO185" s="38" t="str">
        <f>IFERROR('2.vize'!CZ84*100/'2.vize'!$I84,"")</f>
        <v/>
      </c>
      <c r="CP185" s="38" t="str">
        <f>IFERROR('2.vize'!DA84*100/'2.vize'!$I84,"")</f>
        <v/>
      </c>
      <c r="CQ185" s="38" t="str">
        <f>IFERROR('2.vize'!DB84*100/'2.vize'!$I84,"")</f>
        <v/>
      </c>
      <c r="CR185" s="38" t="str">
        <f>IFERROR('2.vize'!DC84*100/'2.vize'!$I84,"")</f>
        <v/>
      </c>
      <c r="CS185" s="38" t="str">
        <f>IFERROR('2.vize'!DD84*100/'2.vize'!$I84,"")</f>
        <v/>
      </c>
      <c r="CT185" s="38" t="str">
        <f>IFERROR('2.vize'!DE84*100/'2.vize'!$I84,"")</f>
        <v/>
      </c>
      <c r="CU185" s="38" t="str">
        <f>IFERROR('2.vize'!DF84*100/'2.vize'!$I84,"")</f>
        <v/>
      </c>
      <c r="CV185" s="38" t="str">
        <f>IFERROR('2.vize'!DG84*100/'2.vize'!$I84,"")</f>
        <v/>
      </c>
      <c r="CW185" s="32" t="str">
        <f>IFERROR(SUM(A185:CV185)/'2.vize'!$DH$103,"")</f>
        <v/>
      </c>
      <c r="CX185" s="14" t="str">
        <f>IF(COUNTA('2.vize'!A84),'2.vize'!A84,"")</f>
        <v/>
      </c>
      <c r="CY185" s="14" t="str">
        <f>IF(COUNTA('2.vize'!B84),'2.vize'!B84,"")</f>
        <v/>
      </c>
      <c r="CZ185" s="14" t="str">
        <f>IF(COUNTA('2.vize'!C84),'2.vize'!C84,"")</f>
        <v/>
      </c>
      <c r="DA185" s="14" t="str">
        <f>IF(COUNTA('2.vize'!D84),'2.vize'!D84,"")</f>
        <v/>
      </c>
      <c r="DB185" s="14" t="str">
        <f>IF(COUNTA('2.vize'!E84),'2.vize'!E84,"")</f>
        <v/>
      </c>
      <c r="DC185" s="14" t="str">
        <f>IF(COUNTA('2.vize'!F84),'2.vize'!F84,"")</f>
        <v/>
      </c>
      <c r="DD185" s="14" t="str">
        <f>IF(COUNTA('2.vize'!G84),'2.vize'!G84,"")</f>
        <v/>
      </c>
      <c r="DE185" s="14" t="str">
        <f>IF(COUNTA('2.vize'!H84),'2.vize'!H84,"")</f>
        <v/>
      </c>
    </row>
    <row r="186" spans="1:109" x14ac:dyDescent="0.2">
      <c r="A186" s="38" t="str">
        <f>IFERROR('2.vize'!L85*100/'2.vize'!$I85,"")</f>
        <v/>
      </c>
      <c r="B186" s="38" t="str">
        <f>IFERROR('2.vize'!M85*100/'2.vize'!$I85,"")</f>
        <v/>
      </c>
      <c r="C186" s="38" t="str">
        <f>IFERROR('2.vize'!N85*100/'2.vize'!$I85,"")</f>
        <v/>
      </c>
      <c r="D186" s="38" t="str">
        <f>IFERROR('2.vize'!O85*100/'2.vize'!$I85,"")</f>
        <v/>
      </c>
      <c r="E186" s="38" t="str">
        <f>IFERROR('2.vize'!P85*100/'2.vize'!$I85,"")</f>
        <v/>
      </c>
      <c r="F186" s="38" t="str">
        <f>IFERROR('2.vize'!Q85*100/'2.vize'!$I85,"")</f>
        <v/>
      </c>
      <c r="G186" s="38" t="str">
        <f>IFERROR('2.vize'!R85*100/'2.vize'!$I85,"")</f>
        <v/>
      </c>
      <c r="H186" s="38" t="str">
        <f>IFERROR('2.vize'!S85*100/'2.vize'!$I85,"")</f>
        <v/>
      </c>
      <c r="I186" s="38" t="str">
        <f>IFERROR('2.vize'!T85*100/'2.vize'!$I85,"")</f>
        <v/>
      </c>
      <c r="J186" s="38" t="str">
        <f>IFERROR('2.vize'!U85*100/'2.vize'!$I85,"")</f>
        <v/>
      </c>
      <c r="K186" s="38" t="str">
        <f>IFERROR('2.vize'!V85*100/'2.vize'!$I85,"")</f>
        <v/>
      </c>
      <c r="L186" s="38" t="str">
        <f>IFERROR('2.vize'!W85*100/'2.vize'!$I85,"")</f>
        <v/>
      </c>
      <c r="M186" s="38" t="str">
        <f>IFERROR('2.vize'!X85*100/'2.vize'!$I85,"")</f>
        <v/>
      </c>
      <c r="N186" s="38" t="str">
        <f>IFERROR('2.vize'!Y85*100/'2.vize'!$I85,"")</f>
        <v/>
      </c>
      <c r="O186" s="38" t="str">
        <f>IFERROR('2.vize'!Z85*100/'2.vize'!$I85,"")</f>
        <v/>
      </c>
      <c r="P186" s="38" t="str">
        <f>IFERROR('2.vize'!AA85*100/'2.vize'!$I85,"")</f>
        <v/>
      </c>
      <c r="Q186" s="38" t="str">
        <f>IFERROR('2.vize'!AB85*100/'2.vize'!$I85,"")</f>
        <v/>
      </c>
      <c r="R186" s="38" t="str">
        <f>IFERROR('2.vize'!AC85*100/'2.vize'!$I85,"")</f>
        <v/>
      </c>
      <c r="S186" s="38" t="str">
        <f>IFERROR('2.vize'!AD85*100/'2.vize'!$I85,"")</f>
        <v/>
      </c>
      <c r="T186" s="38" t="str">
        <f>IFERROR('2.vize'!AE85*100/'2.vize'!$I85,"")</f>
        <v/>
      </c>
      <c r="U186" s="38" t="str">
        <f>IFERROR('2.vize'!AF85*100/'2.vize'!$I85,"")</f>
        <v/>
      </c>
      <c r="V186" s="38" t="str">
        <f>IFERROR('2.vize'!AG85*100/'2.vize'!$I85,"")</f>
        <v/>
      </c>
      <c r="W186" s="38" t="str">
        <f>IFERROR('2.vize'!AH85*100/'2.vize'!$I85,"")</f>
        <v/>
      </c>
      <c r="X186" s="38" t="str">
        <f>IFERROR('2.vize'!AI85*100/'2.vize'!$I85,"")</f>
        <v/>
      </c>
      <c r="Y186" s="38" t="str">
        <f>IFERROR('2.vize'!AJ85*100/'2.vize'!$I85,"")</f>
        <v/>
      </c>
      <c r="Z186" s="38" t="str">
        <f>IFERROR('2.vize'!AK85*100/'2.vize'!$I85,"")</f>
        <v/>
      </c>
      <c r="AA186" s="38" t="str">
        <f>IFERROR('2.vize'!AL85*100/'2.vize'!$I85,"")</f>
        <v/>
      </c>
      <c r="AB186" s="38" t="str">
        <f>IFERROR('2.vize'!AM85*100/'2.vize'!$I85,"")</f>
        <v/>
      </c>
      <c r="AC186" s="38" t="str">
        <f>IFERROR('2.vize'!AN85*100/'2.vize'!$I85,"")</f>
        <v/>
      </c>
      <c r="AD186" s="38" t="str">
        <f>IFERROR('2.vize'!AO85*100/'2.vize'!$I85,"")</f>
        <v/>
      </c>
      <c r="AE186" s="38" t="str">
        <f>IFERROR('2.vize'!AP85*100/'2.vize'!$I85,"")</f>
        <v/>
      </c>
      <c r="AF186" s="38" t="str">
        <f>IFERROR('2.vize'!AQ85*100/'2.vize'!$I85,"")</f>
        <v/>
      </c>
      <c r="AG186" s="38" t="str">
        <f>IFERROR('2.vize'!AR85*100/'2.vize'!$I85,"")</f>
        <v/>
      </c>
      <c r="AH186" s="38" t="str">
        <f>IFERROR('2.vize'!AS85*100/'2.vize'!$I85,"")</f>
        <v/>
      </c>
      <c r="AI186" s="38" t="str">
        <f>IFERROR('2.vize'!AT85*100/'2.vize'!$I85,"")</f>
        <v/>
      </c>
      <c r="AJ186" s="38" t="str">
        <f>IFERROR('2.vize'!AU85*100/'2.vize'!$I85,"")</f>
        <v/>
      </c>
      <c r="AK186" s="38" t="str">
        <f>IFERROR('2.vize'!AV85*100/'2.vize'!$I85,"")</f>
        <v/>
      </c>
      <c r="AL186" s="38" t="str">
        <f>IFERROR('2.vize'!AW85*100/'2.vize'!$I85,"")</f>
        <v/>
      </c>
      <c r="AM186" s="38" t="str">
        <f>IFERROR('2.vize'!AX85*100/'2.vize'!$I85,"")</f>
        <v/>
      </c>
      <c r="AN186" s="38" t="str">
        <f>IFERROR('2.vize'!AY85*100/'2.vize'!$I85,"")</f>
        <v/>
      </c>
      <c r="AO186" s="38" t="str">
        <f>IFERROR('2.vize'!AZ85*100/'2.vize'!$I85,"")</f>
        <v/>
      </c>
      <c r="AP186" s="38" t="str">
        <f>IFERROR('2.vize'!BA85*100/'2.vize'!$I85,"")</f>
        <v/>
      </c>
      <c r="AQ186" s="38" t="str">
        <f>IFERROR('2.vize'!BB85*100/'2.vize'!$I85,"")</f>
        <v/>
      </c>
      <c r="AR186" s="38" t="str">
        <f>IFERROR('2.vize'!BC85*100/'2.vize'!$I85,"")</f>
        <v/>
      </c>
      <c r="AS186" s="38" t="str">
        <f>IFERROR('2.vize'!BD85*100/'2.vize'!$I85,"")</f>
        <v/>
      </c>
      <c r="AT186" s="38" t="str">
        <f>IFERROR('2.vize'!BE85*100/'2.vize'!$I85,"")</f>
        <v/>
      </c>
      <c r="AU186" s="38" t="str">
        <f>IFERROR('2.vize'!BF85*100/'2.vize'!$I85,"")</f>
        <v/>
      </c>
      <c r="AV186" s="38" t="str">
        <f>IFERROR('2.vize'!BG85*100/'2.vize'!$I85,"")</f>
        <v/>
      </c>
      <c r="AW186" s="38" t="str">
        <f>IFERROR('2.vize'!BH85*100/'2.vize'!$I85,"")</f>
        <v/>
      </c>
      <c r="AX186" s="38" t="str">
        <f>IFERROR('2.vize'!BI85*100/'2.vize'!$I85,"")</f>
        <v/>
      </c>
      <c r="AY186" s="38" t="str">
        <f>IFERROR('2.vize'!BJ85*100/'2.vize'!$I85,"")</f>
        <v/>
      </c>
      <c r="AZ186" s="38" t="str">
        <f>IFERROR('2.vize'!BK85*100/'2.vize'!$I85,"")</f>
        <v/>
      </c>
      <c r="BA186" s="38" t="str">
        <f>IFERROR('2.vize'!BL85*100/'2.vize'!$I85,"")</f>
        <v/>
      </c>
      <c r="BB186" s="38" t="str">
        <f>IFERROR('2.vize'!BM85*100/'2.vize'!$I85,"")</f>
        <v/>
      </c>
      <c r="BC186" s="38" t="str">
        <f>IFERROR('2.vize'!BN85*100/'2.vize'!$I85,"")</f>
        <v/>
      </c>
      <c r="BD186" s="38" t="str">
        <f>IFERROR('2.vize'!BO85*100/'2.vize'!$I85,"")</f>
        <v/>
      </c>
      <c r="BE186" s="38" t="str">
        <f>IFERROR('2.vize'!BP85*100/'2.vize'!$I85,"")</f>
        <v/>
      </c>
      <c r="BF186" s="38" t="str">
        <f>IFERROR('2.vize'!BQ85*100/'2.vize'!$I85,"")</f>
        <v/>
      </c>
      <c r="BG186" s="38" t="str">
        <f>IFERROR('2.vize'!BR85*100/'2.vize'!$I85,"")</f>
        <v/>
      </c>
      <c r="BH186" s="38" t="str">
        <f>IFERROR('2.vize'!BS85*100/'2.vize'!$I85,"")</f>
        <v/>
      </c>
      <c r="BI186" s="38" t="str">
        <f>IFERROR('2.vize'!BT85*100/'2.vize'!$I85,"")</f>
        <v/>
      </c>
      <c r="BJ186" s="38" t="str">
        <f>IFERROR('2.vize'!BU85*100/'2.vize'!$I85,"")</f>
        <v/>
      </c>
      <c r="BK186" s="38" t="str">
        <f>IFERROR('2.vize'!BV85*100/'2.vize'!$I85,"")</f>
        <v/>
      </c>
      <c r="BL186" s="38" t="str">
        <f>IFERROR('2.vize'!BW85*100/'2.vize'!$I85,"")</f>
        <v/>
      </c>
      <c r="BM186" s="38" t="str">
        <f>IFERROR('2.vize'!BX85*100/'2.vize'!$I85,"")</f>
        <v/>
      </c>
      <c r="BN186" s="38" t="str">
        <f>IFERROR('2.vize'!BY85*100/'2.vize'!$I85,"")</f>
        <v/>
      </c>
      <c r="BO186" s="38" t="str">
        <f>IFERROR('2.vize'!BZ85*100/'2.vize'!$I85,"")</f>
        <v/>
      </c>
      <c r="BP186" s="38" t="str">
        <f>IFERROR('2.vize'!CA85*100/'2.vize'!$I85,"")</f>
        <v/>
      </c>
      <c r="BQ186" s="38" t="str">
        <f>IFERROR('2.vize'!CB85*100/'2.vize'!$I85,"")</f>
        <v/>
      </c>
      <c r="BR186" s="38" t="str">
        <f>IFERROR('2.vize'!CC85*100/'2.vize'!$I85,"")</f>
        <v/>
      </c>
      <c r="BS186" s="38" t="str">
        <f>IFERROR('2.vize'!CD85*100/'2.vize'!$I85,"")</f>
        <v/>
      </c>
      <c r="BT186" s="38" t="str">
        <f>IFERROR('2.vize'!CE85*100/'2.vize'!$I85,"")</f>
        <v/>
      </c>
      <c r="BU186" s="38" t="str">
        <f>IFERROR('2.vize'!CF85*100/'2.vize'!$I85,"")</f>
        <v/>
      </c>
      <c r="BV186" s="38" t="str">
        <f>IFERROR('2.vize'!CG85*100/'2.vize'!$I85,"")</f>
        <v/>
      </c>
      <c r="BW186" s="38" t="str">
        <f>IFERROR('2.vize'!CH85*100/'2.vize'!$I85,"")</f>
        <v/>
      </c>
      <c r="BX186" s="38" t="str">
        <f>IFERROR('2.vize'!CI85*100/'2.vize'!$I85,"")</f>
        <v/>
      </c>
      <c r="BY186" s="38" t="str">
        <f>IFERROR('2.vize'!CJ85*100/'2.vize'!$I85,"")</f>
        <v/>
      </c>
      <c r="BZ186" s="38" t="str">
        <f>IFERROR('2.vize'!CK85*100/'2.vize'!$I85,"")</f>
        <v/>
      </c>
      <c r="CA186" s="38" t="str">
        <f>IFERROR('2.vize'!CL85*100/'2.vize'!$I85,"")</f>
        <v/>
      </c>
      <c r="CB186" s="38" t="str">
        <f>IFERROR('2.vize'!CM85*100/'2.vize'!$I85,"")</f>
        <v/>
      </c>
      <c r="CC186" s="38" t="str">
        <f>IFERROR('2.vize'!CN85*100/'2.vize'!$I85,"")</f>
        <v/>
      </c>
      <c r="CD186" s="38" t="str">
        <f>IFERROR('2.vize'!CO85*100/'2.vize'!$I85,"")</f>
        <v/>
      </c>
      <c r="CE186" s="38" t="str">
        <f>IFERROR('2.vize'!CP85*100/'2.vize'!$I85,"")</f>
        <v/>
      </c>
      <c r="CF186" s="38" t="str">
        <f>IFERROR('2.vize'!CQ85*100/'2.vize'!$I85,"")</f>
        <v/>
      </c>
      <c r="CG186" s="38" t="str">
        <f>IFERROR('2.vize'!CR85*100/'2.vize'!$I85,"")</f>
        <v/>
      </c>
      <c r="CH186" s="38" t="str">
        <f>IFERROR('2.vize'!CS85*100/'2.vize'!$I85,"")</f>
        <v/>
      </c>
      <c r="CI186" s="38" t="str">
        <f>IFERROR('2.vize'!CT85*100/'2.vize'!$I85,"")</f>
        <v/>
      </c>
      <c r="CJ186" s="38" t="str">
        <f>IFERROR('2.vize'!CU85*100/'2.vize'!$I85,"")</f>
        <v/>
      </c>
      <c r="CK186" s="38" t="str">
        <f>IFERROR('2.vize'!CV85*100/'2.vize'!$I85,"")</f>
        <v/>
      </c>
      <c r="CL186" s="38" t="str">
        <f>IFERROR('2.vize'!CW85*100/'2.vize'!$I85,"")</f>
        <v/>
      </c>
      <c r="CM186" s="38" t="str">
        <f>IFERROR('2.vize'!CX85*100/'2.vize'!$I85,"")</f>
        <v/>
      </c>
      <c r="CN186" s="38" t="str">
        <f>IFERROR('2.vize'!CY85*100/'2.vize'!$I85,"")</f>
        <v/>
      </c>
      <c r="CO186" s="38" t="str">
        <f>IFERROR('2.vize'!CZ85*100/'2.vize'!$I85,"")</f>
        <v/>
      </c>
      <c r="CP186" s="38" t="str">
        <f>IFERROR('2.vize'!DA85*100/'2.vize'!$I85,"")</f>
        <v/>
      </c>
      <c r="CQ186" s="38" t="str">
        <f>IFERROR('2.vize'!DB85*100/'2.vize'!$I85,"")</f>
        <v/>
      </c>
      <c r="CR186" s="38" t="str">
        <f>IFERROR('2.vize'!DC85*100/'2.vize'!$I85,"")</f>
        <v/>
      </c>
      <c r="CS186" s="38" t="str">
        <f>IFERROR('2.vize'!DD85*100/'2.vize'!$I85,"")</f>
        <v/>
      </c>
      <c r="CT186" s="38" t="str">
        <f>IFERROR('2.vize'!DE85*100/'2.vize'!$I85,"")</f>
        <v/>
      </c>
      <c r="CU186" s="38" t="str">
        <f>IFERROR('2.vize'!DF85*100/'2.vize'!$I85,"")</f>
        <v/>
      </c>
      <c r="CV186" s="38" t="str">
        <f>IFERROR('2.vize'!DG85*100/'2.vize'!$I85,"")</f>
        <v/>
      </c>
      <c r="CW186" s="32" t="str">
        <f>IFERROR(SUM(A186:CV186)/'2.vize'!$DH$103,"")</f>
        <v/>
      </c>
      <c r="CX186" s="14" t="str">
        <f>IF(COUNTA('2.vize'!A85),'2.vize'!A85,"")</f>
        <v/>
      </c>
      <c r="CY186" s="14" t="str">
        <f>IF(COUNTA('2.vize'!B85),'2.vize'!B85,"")</f>
        <v/>
      </c>
      <c r="CZ186" s="14" t="str">
        <f>IF(COUNTA('2.vize'!C85),'2.vize'!C85,"")</f>
        <v/>
      </c>
      <c r="DA186" s="14" t="str">
        <f>IF(COUNTA('2.vize'!D85),'2.vize'!D85,"")</f>
        <v/>
      </c>
      <c r="DB186" s="14" t="str">
        <f>IF(COUNTA('2.vize'!E85),'2.vize'!E85,"")</f>
        <v/>
      </c>
      <c r="DC186" s="14" t="str">
        <f>IF(COUNTA('2.vize'!F85),'2.vize'!F85,"")</f>
        <v/>
      </c>
      <c r="DD186" s="14" t="str">
        <f>IF(COUNTA('2.vize'!G85),'2.vize'!G85,"")</f>
        <v/>
      </c>
      <c r="DE186" s="14" t="str">
        <f>IF(COUNTA('2.vize'!H85),'2.vize'!H85,"")</f>
        <v/>
      </c>
    </row>
    <row r="187" spans="1:109" x14ac:dyDescent="0.2">
      <c r="A187" s="38" t="str">
        <f>IFERROR('2.vize'!L86*100/'2.vize'!$I86,"")</f>
        <v/>
      </c>
      <c r="B187" s="38" t="str">
        <f>IFERROR('2.vize'!M86*100/'2.vize'!$I86,"")</f>
        <v/>
      </c>
      <c r="C187" s="38" t="str">
        <f>IFERROR('2.vize'!N86*100/'2.vize'!$I86,"")</f>
        <v/>
      </c>
      <c r="D187" s="38" t="str">
        <f>IFERROR('2.vize'!O86*100/'2.vize'!$I86,"")</f>
        <v/>
      </c>
      <c r="E187" s="38" t="str">
        <f>IFERROR('2.vize'!P86*100/'2.vize'!$I86,"")</f>
        <v/>
      </c>
      <c r="F187" s="38" t="str">
        <f>IFERROR('2.vize'!Q86*100/'2.vize'!$I86,"")</f>
        <v/>
      </c>
      <c r="G187" s="38" t="str">
        <f>IFERROR('2.vize'!R86*100/'2.vize'!$I86,"")</f>
        <v/>
      </c>
      <c r="H187" s="38" t="str">
        <f>IFERROR('2.vize'!S86*100/'2.vize'!$I86,"")</f>
        <v/>
      </c>
      <c r="I187" s="38" t="str">
        <f>IFERROR('2.vize'!T86*100/'2.vize'!$I86,"")</f>
        <v/>
      </c>
      <c r="J187" s="38" t="str">
        <f>IFERROR('2.vize'!U86*100/'2.vize'!$I86,"")</f>
        <v/>
      </c>
      <c r="K187" s="38" t="str">
        <f>IFERROR('2.vize'!V86*100/'2.vize'!$I86,"")</f>
        <v/>
      </c>
      <c r="L187" s="38" t="str">
        <f>IFERROR('2.vize'!W86*100/'2.vize'!$I86,"")</f>
        <v/>
      </c>
      <c r="M187" s="38" t="str">
        <f>IFERROR('2.vize'!X86*100/'2.vize'!$I86,"")</f>
        <v/>
      </c>
      <c r="N187" s="38" t="str">
        <f>IFERROR('2.vize'!Y86*100/'2.vize'!$I86,"")</f>
        <v/>
      </c>
      <c r="O187" s="38" t="str">
        <f>IFERROR('2.vize'!Z86*100/'2.vize'!$I86,"")</f>
        <v/>
      </c>
      <c r="P187" s="38" t="str">
        <f>IFERROR('2.vize'!AA86*100/'2.vize'!$I86,"")</f>
        <v/>
      </c>
      <c r="Q187" s="38" t="str">
        <f>IFERROR('2.vize'!AB86*100/'2.vize'!$I86,"")</f>
        <v/>
      </c>
      <c r="R187" s="38" t="str">
        <f>IFERROR('2.vize'!AC86*100/'2.vize'!$I86,"")</f>
        <v/>
      </c>
      <c r="S187" s="38" t="str">
        <f>IFERROR('2.vize'!AD86*100/'2.vize'!$I86,"")</f>
        <v/>
      </c>
      <c r="T187" s="38" t="str">
        <f>IFERROR('2.vize'!AE86*100/'2.vize'!$I86,"")</f>
        <v/>
      </c>
      <c r="U187" s="38" t="str">
        <f>IFERROR('2.vize'!AF86*100/'2.vize'!$I86,"")</f>
        <v/>
      </c>
      <c r="V187" s="38" t="str">
        <f>IFERROR('2.vize'!AG86*100/'2.vize'!$I86,"")</f>
        <v/>
      </c>
      <c r="W187" s="38" t="str">
        <f>IFERROR('2.vize'!AH86*100/'2.vize'!$I86,"")</f>
        <v/>
      </c>
      <c r="X187" s="38" t="str">
        <f>IFERROR('2.vize'!AI86*100/'2.vize'!$I86,"")</f>
        <v/>
      </c>
      <c r="Y187" s="38" t="str">
        <f>IFERROR('2.vize'!AJ86*100/'2.vize'!$I86,"")</f>
        <v/>
      </c>
      <c r="Z187" s="38" t="str">
        <f>IFERROR('2.vize'!AK86*100/'2.vize'!$I86,"")</f>
        <v/>
      </c>
      <c r="AA187" s="38" t="str">
        <f>IFERROR('2.vize'!AL86*100/'2.vize'!$I86,"")</f>
        <v/>
      </c>
      <c r="AB187" s="38" t="str">
        <f>IFERROR('2.vize'!AM86*100/'2.vize'!$I86,"")</f>
        <v/>
      </c>
      <c r="AC187" s="38" t="str">
        <f>IFERROR('2.vize'!AN86*100/'2.vize'!$I86,"")</f>
        <v/>
      </c>
      <c r="AD187" s="38" t="str">
        <f>IFERROR('2.vize'!AO86*100/'2.vize'!$I86,"")</f>
        <v/>
      </c>
      <c r="AE187" s="38" t="str">
        <f>IFERROR('2.vize'!AP86*100/'2.vize'!$I86,"")</f>
        <v/>
      </c>
      <c r="AF187" s="38" t="str">
        <f>IFERROR('2.vize'!AQ86*100/'2.vize'!$I86,"")</f>
        <v/>
      </c>
      <c r="AG187" s="38" t="str">
        <f>IFERROR('2.vize'!AR86*100/'2.vize'!$I86,"")</f>
        <v/>
      </c>
      <c r="AH187" s="38" t="str">
        <f>IFERROR('2.vize'!AS86*100/'2.vize'!$I86,"")</f>
        <v/>
      </c>
      <c r="AI187" s="38" t="str">
        <f>IFERROR('2.vize'!AT86*100/'2.vize'!$I86,"")</f>
        <v/>
      </c>
      <c r="AJ187" s="38" t="str">
        <f>IFERROR('2.vize'!AU86*100/'2.vize'!$I86,"")</f>
        <v/>
      </c>
      <c r="AK187" s="38" t="str">
        <f>IFERROR('2.vize'!AV86*100/'2.vize'!$I86,"")</f>
        <v/>
      </c>
      <c r="AL187" s="38" t="str">
        <f>IFERROR('2.vize'!AW86*100/'2.vize'!$I86,"")</f>
        <v/>
      </c>
      <c r="AM187" s="38" t="str">
        <f>IFERROR('2.vize'!AX86*100/'2.vize'!$I86,"")</f>
        <v/>
      </c>
      <c r="AN187" s="38" t="str">
        <f>IFERROR('2.vize'!AY86*100/'2.vize'!$I86,"")</f>
        <v/>
      </c>
      <c r="AO187" s="38" t="str">
        <f>IFERROR('2.vize'!AZ86*100/'2.vize'!$I86,"")</f>
        <v/>
      </c>
      <c r="AP187" s="38" t="str">
        <f>IFERROR('2.vize'!BA86*100/'2.vize'!$I86,"")</f>
        <v/>
      </c>
      <c r="AQ187" s="38" t="str">
        <f>IFERROR('2.vize'!BB86*100/'2.vize'!$I86,"")</f>
        <v/>
      </c>
      <c r="AR187" s="38" t="str">
        <f>IFERROR('2.vize'!BC86*100/'2.vize'!$I86,"")</f>
        <v/>
      </c>
      <c r="AS187" s="38" t="str">
        <f>IFERROR('2.vize'!BD86*100/'2.vize'!$I86,"")</f>
        <v/>
      </c>
      <c r="AT187" s="38" t="str">
        <f>IFERROR('2.vize'!BE86*100/'2.vize'!$I86,"")</f>
        <v/>
      </c>
      <c r="AU187" s="38" t="str">
        <f>IFERROR('2.vize'!BF86*100/'2.vize'!$I86,"")</f>
        <v/>
      </c>
      <c r="AV187" s="38" t="str">
        <f>IFERROR('2.vize'!BG86*100/'2.vize'!$I86,"")</f>
        <v/>
      </c>
      <c r="AW187" s="38" t="str">
        <f>IFERROR('2.vize'!BH86*100/'2.vize'!$I86,"")</f>
        <v/>
      </c>
      <c r="AX187" s="38" t="str">
        <f>IFERROR('2.vize'!BI86*100/'2.vize'!$I86,"")</f>
        <v/>
      </c>
      <c r="AY187" s="38" t="str">
        <f>IFERROR('2.vize'!BJ86*100/'2.vize'!$I86,"")</f>
        <v/>
      </c>
      <c r="AZ187" s="38" t="str">
        <f>IFERROR('2.vize'!BK86*100/'2.vize'!$I86,"")</f>
        <v/>
      </c>
      <c r="BA187" s="38" t="str">
        <f>IFERROR('2.vize'!BL86*100/'2.vize'!$I86,"")</f>
        <v/>
      </c>
      <c r="BB187" s="38" t="str">
        <f>IFERROR('2.vize'!BM86*100/'2.vize'!$I86,"")</f>
        <v/>
      </c>
      <c r="BC187" s="38" t="str">
        <f>IFERROR('2.vize'!BN86*100/'2.vize'!$I86,"")</f>
        <v/>
      </c>
      <c r="BD187" s="38" t="str">
        <f>IFERROR('2.vize'!BO86*100/'2.vize'!$I86,"")</f>
        <v/>
      </c>
      <c r="BE187" s="38" t="str">
        <f>IFERROR('2.vize'!BP86*100/'2.vize'!$I86,"")</f>
        <v/>
      </c>
      <c r="BF187" s="38" t="str">
        <f>IFERROR('2.vize'!BQ86*100/'2.vize'!$I86,"")</f>
        <v/>
      </c>
      <c r="BG187" s="38" t="str">
        <f>IFERROR('2.vize'!BR86*100/'2.vize'!$I86,"")</f>
        <v/>
      </c>
      <c r="BH187" s="38" t="str">
        <f>IFERROR('2.vize'!BS86*100/'2.vize'!$I86,"")</f>
        <v/>
      </c>
      <c r="BI187" s="38" t="str">
        <f>IFERROR('2.vize'!BT86*100/'2.vize'!$I86,"")</f>
        <v/>
      </c>
      <c r="BJ187" s="38" t="str">
        <f>IFERROR('2.vize'!BU86*100/'2.vize'!$I86,"")</f>
        <v/>
      </c>
      <c r="BK187" s="38" t="str">
        <f>IFERROR('2.vize'!BV86*100/'2.vize'!$I86,"")</f>
        <v/>
      </c>
      <c r="BL187" s="38" t="str">
        <f>IFERROR('2.vize'!BW86*100/'2.vize'!$I86,"")</f>
        <v/>
      </c>
      <c r="BM187" s="38" t="str">
        <f>IFERROR('2.vize'!BX86*100/'2.vize'!$I86,"")</f>
        <v/>
      </c>
      <c r="BN187" s="38" t="str">
        <f>IFERROR('2.vize'!BY86*100/'2.vize'!$I86,"")</f>
        <v/>
      </c>
      <c r="BO187" s="38" t="str">
        <f>IFERROR('2.vize'!BZ86*100/'2.vize'!$I86,"")</f>
        <v/>
      </c>
      <c r="BP187" s="38" t="str">
        <f>IFERROR('2.vize'!CA86*100/'2.vize'!$I86,"")</f>
        <v/>
      </c>
      <c r="BQ187" s="38" t="str">
        <f>IFERROR('2.vize'!CB86*100/'2.vize'!$I86,"")</f>
        <v/>
      </c>
      <c r="BR187" s="38" t="str">
        <f>IFERROR('2.vize'!CC86*100/'2.vize'!$I86,"")</f>
        <v/>
      </c>
      <c r="BS187" s="38" t="str">
        <f>IFERROR('2.vize'!CD86*100/'2.vize'!$I86,"")</f>
        <v/>
      </c>
      <c r="BT187" s="38" t="str">
        <f>IFERROR('2.vize'!CE86*100/'2.vize'!$I86,"")</f>
        <v/>
      </c>
      <c r="BU187" s="38" t="str">
        <f>IFERROR('2.vize'!CF86*100/'2.vize'!$I86,"")</f>
        <v/>
      </c>
      <c r="BV187" s="38" t="str">
        <f>IFERROR('2.vize'!CG86*100/'2.vize'!$I86,"")</f>
        <v/>
      </c>
      <c r="BW187" s="38" t="str">
        <f>IFERROR('2.vize'!CH86*100/'2.vize'!$I86,"")</f>
        <v/>
      </c>
      <c r="BX187" s="38" t="str">
        <f>IFERROR('2.vize'!CI86*100/'2.vize'!$I86,"")</f>
        <v/>
      </c>
      <c r="BY187" s="38" t="str">
        <f>IFERROR('2.vize'!CJ86*100/'2.vize'!$I86,"")</f>
        <v/>
      </c>
      <c r="BZ187" s="38" t="str">
        <f>IFERROR('2.vize'!CK86*100/'2.vize'!$I86,"")</f>
        <v/>
      </c>
      <c r="CA187" s="38" t="str">
        <f>IFERROR('2.vize'!CL86*100/'2.vize'!$I86,"")</f>
        <v/>
      </c>
      <c r="CB187" s="38" t="str">
        <f>IFERROR('2.vize'!CM86*100/'2.vize'!$I86,"")</f>
        <v/>
      </c>
      <c r="CC187" s="38" t="str">
        <f>IFERROR('2.vize'!CN86*100/'2.vize'!$I86,"")</f>
        <v/>
      </c>
      <c r="CD187" s="38" t="str">
        <f>IFERROR('2.vize'!CO86*100/'2.vize'!$I86,"")</f>
        <v/>
      </c>
      <c r="CE187" s="38" t="str">
        <f>IFERROR('2.vize'!CP86*100/'2.vize'!$I86,"")</f>
        <v/>
      </c>
      <c r="CF187" s="38" t="str">
        <f>IFERROR('2.vize'!CQ86*100/'2.vize'!$I86,"")</f>
        <v/>
      </c>
      <c r="CG187" s="38" t="str">
        <f>IFERROR('2.vize'!CR86*100/'2.vize'!$I86,"")</f>
        <v/>
      </c>
      <c r="CH187" s="38" t="str">
        <f>IFERROR('2.vize'!CS86*100/'2.vize'!$I86,"")</f>
        <v/>
      </c>
      <c r="CI187" s="38" t="str">
        <f>IFERROR('2.vize'!CT86*100/'2.vize'!$I86,"")</f>
        <v/>
      </c>
      <c r="CJ187" s="38" t="str">
        <f>IFERROR('2.vize'!CU86*100/'2.vize'!$I86,"")</f>
        <v/>
      </c>
      <c r="CK187" s="38" t="str">
        <f>IFERROR('2.vize'!CV86*100/'2.vize'!$I86,"")</f>
        <v/>
      </c>
      <c r="CL187" s="38" t="str">
        <f>IFERROR('2.vize'!CW86*100/'2.vize'!$I86,"")</f>
        <v/>
      </c>
      <c r="CM187" s="38" t="str">
        <f>IFERROR('2.vize'!CX86*100/'2.vize'!$I86,"")</f>
        <v/>
      </c>
      <c r="CN187" s="38" t="str">
        <f>IFERROR('2.vize'!CY86*100/'2.vize'!$I86,"")</f>
        <v/>
      </c>
      <c r="CO187" s="38" t="str">
        <f>IFERROR('2.vize'!CZ86*100/'2.vize'!$I86,"")</f>
        <v/>
      </c>
      <c r="CP187" s="38" t="str">
        <f>IFERROR('2.vize'!DA86*100/'2.vize'!$I86,"")</f>
        <v/>
      </c>
      <c r="CQ187" s="38" t="str">
        <f>IFERROR('2.vize'!DB86*100/'2.vize'!$I86,"")</f>
        <v/>
      </c>
      <c r="CR187" s="38" t="str">
        <f>IFERROR('2.vize'!DC86*100/'2.vize'!$I86,"")</f>
        <v/>
      </c>
      <c r="CS187" s="38" t="str">
        <f>IFERROR('2.vize'!DD86*100/'2.vize'!$I86,"")</f>
        <v/>
      </c>
      <c r="CT187" s="38" t="str">
        <f>IFERROR('2.vize'!DE86*100/'2.vize'!$I86,"")</f>
        <v/>
      </c>
      <c r="CU187" s="38" t="str">
        <f>IFERROR('2.vize'!DF86*100/'2.vize'!$I86,"")</f>
        <v/>
      </c>
      <c r="CV187" s="38" t="str">
        <f>IFERROR('2.vize'!DG86*100/'2.vize'!$I86,"")</f>
        <v/>
      </c>
      <c r="CW187" s="32" t="str">
        <f>IFERROR(SUM(A187:CV187)/'2.vize'!$DH$103,"")</f>
        <v/>
      </c>
      <c r="CX187" s="14" t="str">
        <f>IF(COUNTA('2.vize'!A86),'2.vize'!A86,"")</f>
        <v/>
      </c>
      <c r="CY187" s="14" t="str">
        <f>IF(COUNTA('2.vize'!B86),'2.vize'!B86,"")</f>
        <v/>
      </c>
      <c r="CZ187" s="14" t="str">
        <f>IF(COUNTA('2.vize'!C86),'2.vize'!C86,"")</f>
        <v/>
      </c>
      <c r="DA187" s="14" t="str">
        <f>IF(COUNTA('2.vize'!D86),'2.vize'!D86,"")</f>
        <v/>
      </c>
      <c r="DB187" s="14" t="str">
        <f>IF(COUNTA('2.vize'!E86),'2.vize'!E86,"")</f>
        <v/>
      </c>
      <c r="DC187" s="14" t="str">
        <f>IF(COUNTA('2.vize'!F86),'2.vize'!F86,"")</f>
        <v/>
      </c>
      <c r="DD187" s="14" t="str">
        <f>IF(COUNTA('2.vize'!G86),'2.vize'!G86,"")</f>
        <v/>
      </c>
      <c r="DE187" s="14" t="str">
        <f>IF(COUNTA('2.vize'!H86),'2.vize'!H86,"")</f>
        <v/>
      </c>
    </row>
    <row r="188" spans="1:109" x14ac:dyDescent="0.2">
      <c r="A188" s="38" t="str">
        <f>IFERROR('2.vize'!L87*100/'2.vize'!$I87,"")</f>
        <v/>
      </c>
      <c r="B188" s="38" t="str">
        <f>IFERROR('2.vize'!M87*100/'2.vize'!$I87,"")</f>
        <v/>
      </c>
      <c r="C188" s="38" t="str">
        <f>IFERROR('2.vize'!N87*100/'2.vize'!$I87,"")</f>
        <v/>
      </c>
      <c r="D188" s="38" t="str">
        <f>IFERROR('2.vize'!O87*100/'2.vize'!$I87,"")</f>
        <v/>
      </c>
      <c r="E188" s="38" t="str">
        <f>IFERROR('2.vize'!P87*100/'2.vize'!$I87,"")</f>
        <v/>
      </c>
      <c r="F188" s="38" t="str">
        <f>IFERROR('2.vize'!Q87*100/'2.vize'!$I87,"")</f>
        <v/>
      </c>
      <c r="G188" s="38" t="str">
        <f>IFERROR('2.vize'!R87*100/'2.vize'!$I87,"")</f>
        <v/>
      </c>
      <c r="H188" s="38" t="str">
        <f>IFERROR('2.vize'!S87*100/'2.vize'!$I87,"")</f>
        <v/>
      </c>
      <c r="I188" s="38" t="str">
        <f>IFERROR('2.vize'!T87*100/'2.vize'!$I87,"")</f>
        <v/>
      </c>
      <c r="J188" s="38" t="str">
        <f>IFERROR('2.vize'!U87*100/'2.vize'!$I87,"")</f>
        <v/>
      </c>
      <c r="K188" s="38" t="str">
        <f>IFERROR('2.vize'!V87*100/'2.vize'!$I87,"")</f>
        <v/>
      </c>
      <c r="L188" s="38" t="str">
        <f>IFERROR('2.vize'!W87*100/'2.vize'!$I87,"")</f>
        <v/>
      </c>
      <c r="M188" s="38" t="str">
        <f>IFERROR('2.vize'!X87*100/'2.vize'!$I87,"")</f>
        <v/>
      </c>
      <c r="N188" s="38" t="str">
        <f>IFERROR('2.vize'!Y87*100/'2.vize'!$I87,"")</f>
        <v/>
      </c>
      <c r="O188" s="38" t="str">
        <f>IFERROR('2.vize'!Z87*100/'2.vize'!$I87,"")</f>
        <v/>
      </c>
      <c r="P188" s="38" t="str">
        <f>IFERROR('2.vize'!AA87*100/'2.vize'!$I87,"")</f>
        <v/>
      </c>
      <c r="Q188" s="38" t="str">
        <f>IFERROR('2.vize'!AB87*100/'2.vize'!$I87,"")</f>
        <v/>
      </c>
      <c r="R188" s="38" t="str">
        <f>IFERROR('2.vize'!AC87*100/'2.vize'!$I87,"")</f>
        <v/>
      </c>
      <c r="S188" s="38" t="str">
        <f>IFERROR('2.vize'!AD87*100/'2.vize'!$I87,"")</f>
        <v/>
      </c>
      <c r="T188" s="38" t="str">
        <f>IFERROR('2.vize'!AE87*100/'2.vize'!$I87,"")</f>
        <v/>
      </c>
      <c r="U188" s="38" t="str">
        <f>IFERROR('2.vize'!AF87*100/'2.vize'!$I87,"")</f>
        <v/>
      </c>
      <c r="V188" s="38" t="str">
        <f>IFERROR('2.vize'!AG87*100/'2.vize'!$I87,"")</f>
        <v/>
      </c>
      <c r="W188" s="38" t="str">
        <f>IFERROR('2.vize'!AH87*100/'2.vize'!$I87,"")</f>
        <v/>
      </c>
      <c r="X188" s="38" t="str">
        <f>IFERROR('2.vize'!AI87*100/'2.vize'!$I87,"")</f>
        <v/>
      </c>
      <c r="Y188" s="38" t="str">
        <f>IFERROR('2.vize'!AJ87*100/'2.vize'!$I87,"")</f>
        <v/>
      </c>
      <c r="Z188" s="38" t="str">
        <f>IFERROR('2.vize'!AK87*100/'2.vize'!$I87,"")</f>
        <v/>
      </c>
      <c r="AA188" s="38" t="str">
        <f>IFERROR('2.vize'!AL87*100/'2.vize'!$I87,"")</f>
        <v/>
      </c>
      <c r="AB188" s="38" t="str">
        <f>IFERROR('2.vize'!AM87*100/'2.vize'!$I87,"")</f>
        <v/>
      </c>
      <c r="AC188" s="38" t="str">
        <f>IFERROR('2.vize'!AN87*100/'2.vize'!$I87,"")</f>
        <v/>
      </c>
      <c r="AD188" s="38" t="str">
        <f>IFERROR('2.vize'!AO87*100/'2.vize'!$I87,"")</f>
        <v/>
      </c>
      <c r="AE188" s="38" t="str">
        <f>IFERROR('2.vize'!AP87*100/'2.vize'!$I87,"")</f>
        <v/>
      </c>
      <c r="AF188" s="38" t="str">
        <f>IFERROR('2.vize'!AQ87*100/'2.vize'!$I87,"")</f>
        <v/>
      </c>
      <c r="AG188" s="38" t="str">
        <f>IFERROR('2.vize'!AR87*100/'2.vize'!$I87,"")</f>
        <v/>
      </c>
      <c r="AH188" s="38" t="str">
        <f>IFERROR('2.vize'!AS87*100/'2.vize'!$I87,"")</f>
        <v/>
      </c>
      <c r="AI188" s="38" t="str">
        <f>IFERROR('2.vize'!AT87*100/'2.vize'!$I87,"")</f>
        <v/>
      </c>
      <c r="AJ188" s="38" t="str">
        <f>IFERROR('2.vize'!AU87*100/'2.vize'!$I87,"")</f>
        <v/>
      </c>
      <c r="AK188" s="38" t="str">
        <f>IFERROR('2.vize'!AV87*100/'2.vize'!$I87,"")</f>
        <v/>
      </c>
      <c r="AL188" s="38" t="str">
        <f>IFERROR('2.vize'!AW87*100/'2.vize'!$I87,"")</f>
        <v/>
      </c>
      <c r="AM188" s="38" t="str">
        <f>IFERROR('2.vize'!AX87*100/'2.vize'!$I87,"")</f>
        <v/>
      </c>
      <c r="AN188" s="38" t="str">
        <f>IFERROR('2.vize'!AY87*100/'2.vize'!$I87,"")</f>
        <v/>
      </c>
      <c r="AO188" s="38" t="str">
        <f>IFERROR('2.vize'!AZ87*100/'2.vize'!$I87,"")</f>
        <v/>
      </c>
      <c r="AP188" s="38" t="str">
        <f>IFERROR('2.vize'!BA87*100/'2.vize'!$I87,"")</f>
        <v/>
      </c>
      <c r="AQ188" s="38" t="str">
        <f>IFERROR('2.vize'!BB87*100/'2.vize'!$I87,"")</f>
        <v/>
      </c>
      <c r="AR188" s="38" t="str">
        <f>IFERROR('2.vize'!BC87*100/'2.vize'!$I87,"")</f>
        <v/>
      </c>
      <c r="AS188" s="38" t="str">
        <f>IFERROR('2.vize'!BD87*100/'2.vize'!$I87,"")</f>
        <v/>
      </c>
      <c r="AT188" s="38" t="str">
        <f>IFERROR('2.vize'!BE87*100/'2.vize'!$I87,"")</f>
        <v/>
      </c>
      <c r="AU188" s="38" t="str">
        <f>IFERROR('2.vize'!BF87*100/'2.vize'!$I87,"")</f>
        <v/>
      </c>
      <c r="AV188" s="38" t="str">
        <f>IFERROR('2.vize'!BG87*100/'2.vize'!$I87,"")</f>
        <v/>
      </c>
      <c r="AW188" s="38" t="str">
        <f>IFERROR('2.vize'!BH87*100/'2.vize'!$I87,"")</f>
        <v/>
      </c>
      <c r="AX188" s="38" t="str">
        <f>IFERROR('2.vize'!BI87*100/'2.vize'!$I87,"")</f>
        <v/>
      </c>
      <c r="AY188" s="38" t="str">
        <f>IFERROR('2.vize'!BJ87*100/'2.vize'!$I87,"")</f>
        <v/>
      </c>
      <c r="AZ188" s="38" t="str">
        <f>IFERROR('2.vize'!BK87*100/'2.vize'!$I87,"")</f>
        <v/>
      </c>
      <c r="BA188" s="38" t="str">
        <f>IFERROR('2.vize'!BL87*100/'2.vize'!$I87,"")</f>
        <v/>
      </c>
      <c r="BB188" s="38" t="str">
        <f>IFERROR('2.vize'!BM87*100/'2.vize'!$I87,"")</f>
        <v/>
      </c>
      <c r="BC188" s="38" t="str">
        <f>IFERROR('2.vize'!BN87*100/'2.vize'!$I87,"")</f>
        <v/>
      </c>
      <c r="BD188" s="38" t="str">
        <f>IFERROR('2.vize'!BO87*100/'2.vize'!$I87,"")</f>
        <v/>
      </c>
      <c r="BE188" s="38" t="str">
        <f>IFERROR('2.vize'!BP87*100/'2.vize'!$I87,"")</f>
        <v/>
      </c>
      <c r="BF188" s="38" t="str">
        <f>IFERROR('2.vize'!BQ87*100/'2.vize'!$I87,"")</f>
        <v/>
      </c>
      <c r="BG188" s="38" t="str">
        <f>IFERROR('2.vize'!BR87*100/'2.vize'!$I87,"")</f>
        <v/>
      </c>
      <c r="BH188" s="38" t="str">
        <f>IFERROR('2.vize'!BS87*100/'2.vize'!$I87,"")</f>
        <v/>
      </c>
      <c r="BI188" s="38" t="str">
        <f>IFERROR('2.vize'!BT87*100/'2.vize'!$I87,"")</f>
        <v/>
      </c>
      <c r="BJ188" s="38" t="str">
        <f>IFERROR('2.vize'!BU87*100/'2.vize'!$I87,"")</f>
        <v/>
      </c>
      <c r="BK188" s="38" t="str">
        <f>IFERROR('2.vize'!BV87*100/'2.vize'!$I87,"")</f>
        <v/>
      </c>
      <c r="BL188" s="38" t="str">
        <f>IFERROR('2.vize'!BW87*100/'2.vize'!$I87,"")</f>
        <v/>
      </c>
      <c r="BM188" s="38" t="str">
        <f>IFERROR('2.vize'!BX87*100/'2.vize'!$I87,"")</f>
        <v/>
      </c>
      <c r="BN188" s="38" t="str">
        <f>IFERROR('2.vize'!BY87*100/'2.vize'!$I87,"")</f>
        <v/>
      </c>
      <c r="BO188" s="38" t="str">
        <f>IFERROR('2.vize'!BZ87*100/'2.vize'!$I87,"")</f>
        <v/>
      </c>
      <c r="BP188" s="38" t="str">
        <f>IFERROR('2.vize'!CA87*100/'2.vize'!$I87,"")</f>
        <v/>
      </c>
      <c r="BQ188" s="38" t="str">
        <f>IFERROR('2.vize'!CB87*100/'2.vize'!$I87,"")</f>
        <v/>
      </c>
      <c r="BR188" s="38" t="str">
        <f>IFERROR('2.vize'!CC87*100/'2.vize'!$I87,"")</f>
        <v/>
      </c>
      <c r="BS188" s="38" t="str">
        <f>IFERROR('2.vize'!CD87*100/'2.vize'!$I87,"")</f>
        <v/>
      </c>
      <c r="BT188" s="38" t="str">
        <f>IFERROR('2.vize'!CE87*100/'2.vize'!$I87,"")</f>
        <v/>
      </c>
      <c r="BU188" s="38" t="str">
        <f>IFERROR('2.vize'!CF87*100/'2.vize'!$I87,"")</f>
        <v/>
      </c>
      <c r="BV188" s="38" t="str">
        <f>IFERROR('2.vize'!CG87*100/'2.vize'!$I87,"")</f>
        <v/>
      </c>
      <c r="BW188" s="38" t="str">
        <f>IFERROR('2.vize'!CH87*100/'2.vize'!$I87,"")</f>
        <v/>
      </c>
      <c r="BX188" s="38" t="str">
        <f>IFERROR('2.vize'!CI87*100/'2.vize'!$I87,"")</f>
        <v/>
      </c>
      <c r="BY188" s="38" t="str">
        <f>IFERROR('2.vize'!CJ87*100/'2.vize'!$I87,"")</f>
        <v/>
      </c>
      <c r="BZ188" s="38" t="str">
        <f>IFERROR('2.vize'!CK87*100/'2.vize'!$I87,"")</f>
        <v/>
      </c>
      <c r="CA188" s="38" t="str">
        <f>IFERROR('2.vize'!CL87*100/'2.vize'!$I87,"")</f>
        <v/>
      </c>
      <c r="CB188" s="38" t="str">
        <f>IFERROR('2.vize'!CM87*100/'2.vize'!$I87,"")</f>
        <v/>
      </c>
      <c r="CC188" s="38" t="str">
        <f>IFERROR('2.vize'!CN87*100/'2.vize'!$I87,"")</f>
        <v/>
      </c>
      <c r="CD188" s="38" t="str">
        <f>IFERROR('2.vize'!CO87*100/'2.vize'!$I87,"")</f>
        <v/>
      </c>
      <c r="CE188" s="38" t="str">
        <f>IFERROR('2.vize'!CP87*100/'2.vize'!$I87,"")</f>
        <v/>
      </c>
      <c r="CF188" s="38" t="str">
        <f>IFERROR('2.vize'!CQ87*100/'2.vize'!$I87,"")</f>
        <v/>
      </c>
      <c r="CG188" s="38" t="str">
        <f>IFERROR('2.vize'!CR87*100/'2.vize'!$I87,"")</f>
        <v/>
      </c>
      <c r="CH188" s="38" t="str">
        <f>IFERROR('2.vize'!CS87*100/'2.vize'!$I87,"")</f>
        <v/>
      </c>
      <c r="CI188" s="38" t="str">
        <f>IFERROR('2.vize'!CT87*100/'2.vize'!$I87,"")</f>
        <v/>
      </c>
      <c r="CJ188" s="38" t="str">
        <f>IFERROR('2.vize'!CU87*100/'2.vize'!$I87,"")</f>
        <v/>
      </c>
      <c r="CK188" s="38" t="str">
        <f>IFERROR('2.vize'!CV87*100/'2.vize'!$I87,"")</f>
        <v/>
      </c>
      <c r="CL188" s="38" t="str">
        <f>IFERROR('2.vize'!CW87*100/'2.vize'!$I87,"")</f>
        <v/>
      </c>
      <c r="CM188" s="38" t="str">
        <f>IFERROR('2.vize'!CX87*100/'2.vize'!$I87,"")</f>
        <v/>
      </c>
      <c r="CN188" s="38" t="str">
        <f>IFERROR('2.vize'!CY87*100/'2.vize'!$I87,"")</f>
        <v/>
      </c>
      <c r="CO188" s="38" t="str">
        <f>IFERROR('2.vize'!CZ87*100/'2.vize'!$I87,"")</f>
        <v/>
      </c>
      <c r="CP188" s="38" t="str">
        <f>IFERROR('2.vize'!DA87*100/'2.vize'!$I87,"")</f>
        <v/>
      </c>
      <c r="CQ188" s="38" t="str">
        <f>IFERROR('2.vize'!DB87*100/'2.vize'!$I87,"")</f>
        <v/>
      </c>
      <c r="CR188" s="38" t="str">
        <f>IFERROR('2.vize'!DC87*100/'2.vize'!$I87,"")</f>
        <v/>
      </c>
      <c r="CS188" s="38" t="str">
        <f>IFERROR('2.vize'!DD87*100/'2.vize'!$I87,"")</f>
        <v/>
      </c>
      <c r="CT188" s="38" t="str">
        <f>IFERROR('2.vize'!DE87*100/'2.vize'!$I87,"")</f>
        <v/>
      </c>
      <c r="CU188" s="38" t="str">
        <f>IFERROR('2.vize'!DF87*100/'2.vize'!$I87,"")</f>
        <v/>
      </c>
      <c r="CV188" s="38" t="str">
        <f>IFERROR('2.vize'!DG87*100/'2.vize'!$I87,"")</f>
        <v/>
      </c>
      <c r="CW188" s="32" t="str">
        <f>IFERROR(SUM(A188:CV188)/'2.vize'!$DH$103,"")</f>
        <v/>
      </c>
      <c r="CX188" s="14" t="str">
        <f>IF(COUNTA('2.vize'!A87),'2.vize'!A87,"")</f>
        <v/>
      </c>
      <c r="CY188" s="14" t="str">
        <f>IF(COUNTA('2.vize'!B87),'2.vize'!B87,"")</f>
        <v/>
      </c>
      <c r="CZ188" s="14" t="str">
        <f>IF(COUNTA('2.vize'!C87),'2.vize'!C87,"")</f>
        <v/>
      </c>
      <c r="DA188" s="14" t="str">
        <f>IF(COUNTA('2.vize'!D87),'2.vize'!D87,"")</f>
        <v/>
      </c>
      <c r="DB188" s="14" t="str">
        <f>IF(COUNTA('2.vize'!E87),'2.vize'!E87,"")</f>
        <v/>
      </c>
      <c r="DC188" s="14" t="str">
        <f>IF(COUNTA('2.vize'!F87),'2.vize'!F87,"")</f>
        <v/>
      </c>
      <c r="DD188" s="14" t="str">
        <f>IF(COUNTA('2.vize'!G87),'2.vize'!G87,"")</f>
        <v/>
      </c>
      <c r="DE188" s="14" t="str">
        <f>IF(COUNTA('2.vize'!H87),'2.vize'!H87,"")</f>
        <v/>
      </c>
    </row>
    <row r="189" spans="1:109" x14ac:dyDescent="0.2">
      <c r="A189" s="38" t="str">
        <f>IFERROR('2.vize'!L88*100/'2.vize'!$I88,"")</f>
        <v/>
      </c>
      <c r="B189" s="38" t="str">
        <f>IFERROR('2.vize'!M88*100/'2.vize'!$I88,"")</f>
        <v/>
      </c>
      <c r="C189" s="38" t="str">
        <f>IFERROR('2.vize'!N88*100/'2.vize'!$I88,"")</f>
        <v/>
      </c>
      <c r="D189" s="38" t="str">
        <f>IFERROR('2.vize'!O88*100/'2.vize'!$I88,"")</f>
        <v/>
      </c>
      <c r="E189" s="38" t="str">
        <f>IFERROR('2.vize'!P88*100/'2.vize'!$I88,"")</f>
        <v/>
      </c>
      <c r="F189" s="38" t="str">
        <f>IFERROR('2.vize'!Q88*100/'2.vize'!$I88,"")</f>
        <v/>
      </c>
      <c r="G189" s="38" t="str">
        <f>IFERROR('2.vize'!R88*100/'2.vize'!$I88,"")</f>
        <v/>
      </c>
      <c r="H189" s="38" t="str">
        <f>IFERROR('2.vize'!S88*100/'2.vize'!$I88,"")</f>
        <v/>
      </c>
      <c r="I189" s="38" t="str">
        <f>IFERROR('2.vize'!T88*100/'2.vize'!$I88,"")</f>
        <v/>
      </c>
      <c r="J189" s="38" t="str">
        <f>IFERROR('2.vize'!U88*100/'2.vize'!$I88,"")</f>
        <v/>
      </c>
      <c r="K189" s="38" t="str">
        <f>IFERROR('2.vize'!V88*100/'2.vize'!$I88,"")</f>
        <v/>
      </c>
      <c r="L189" s="38" t="str">
        <f>IFERROR('2.vize'!W88*100/'2.vize'!$I88,"")</f>
        <v/>
      </c>
      <c r="M189" s="38" t="str">
        <f>IFERROR('2.vize'!X88*100/'2.vize'!$I88,"")</f>
        <v/>
      </c>
      <c r="N189" s="38" t="str">
        <f>IFERROR('2.vize'!Y88*100/'2.vize'!$I88,"")</f>
        <v/>
      </c>
      <c r="O189" s="38" t="str">
        <f>IFERROR('2.vize'!Z88*100/'2.vize'!$I88,"")</f>
        <v/>
      </c>
      <c r="P189" s="38" t="str">
        <f>IFERROR('2.vize'!AA88*100/'2.vize'!$I88,"")</f>
        <v/>
      </c>
      <c r="Q189" s="38" t="str">
        <f>IFERROR('2.vize'!AB88*100/'2.vize'!$I88,"")</f>
        <v/>
      </c>
      <c r="R189" s="38" t="str">
        <f>IFERROR('2.vize'!AC88*100/'2.vize'!$I88,"")</f>
        <v/>
      </c>
      <c r="S189" s="38" t="str">
        <f>IFERROR('2.vize'!AD88*100/'2.vize'!$I88,"")</f>
        <v/>
      </c>
      <c r="T189" s="38" t="str">
        <f>IFERROR('2.vize'!AE88*100/'2.vize'!$I88,"")</f>
        <v/>
      </c>
      <c r="U189" s="38" t="str">
        <f>IFERROR('2.vize'!AF88*100/'2.vize'!$I88,"")</f>
        <v/>
      </c>
      <c r="V189" s="38" t="str">
        <f>IFERROR('2.vize'!AG88*100/'2.vize'!$I88,"")</f>
        <v/>
      </c>
      <c r="W189" s="38" t="str">
        <f>IFERROR('2.vize'!AH88*100/'2.vize'!$I88,"")</f>
        <v/>
      </c>
      <c r="X189" s="38" t="str">
        <f>IFERROR('2.vize'!AI88*100/'2.vize'!$I88,"")</f>
        <v/>
      </c>
      <c r="Y189" s="38" t="str">
        <f>IFERROR('2.vize'!AJ88*100/'2.vize'!$I88,"")</f>
        <v/>
      </c>
      <c r="Z189" s="38" t="str">
        <f>IFERROR('2.vize'!AK88*100/'2.vize'!$I88,"")</f>
        <v/>
      </c>
      <c r="AA189" s="38" t="str">
        <f>IFERROR('2.vize'!AL88*100/'2.vize'!$I88,"")</f>
        <v/>
      </c>
      <c r="AB189" s="38" t="str">
        <f>IFERROR('2.vize'!AM88*100/'2.vize'!$I88,"")</f>
        <v/>
      </c>
      <c r="AC189" s="38" t="str">
        <f>IFERROR('2.vize'!AN88*100/'2.vize'!$I88,"")</f>
        <v/>
      </c>
      <c r="AD189" s="38" t="str">
        <f>IFERROR('2.vize'!AO88*100/'2.vize'!$I88,"")</f>
        <v/>
      </c>
      <c r="AE189" s="38" t="str">
        <f>IFERROR('2.vize'!AP88*100/'2.vize'!$I88,"")</f>
        <v/>
      </c>
      <c r="AF189" s="38" t="str">
        <f>IFERROR('2.vize'!AQ88*100/'2.vize'!$I88,"")</f>
        <v/>
      </c>
      <c r="AG189" s="38" t="str">
        <f>IFERROR('2.vize'!AR88*100/'2.vize'!$I88,"")</f>
        <v/>
      </c>
      <c r="AH189" s="38" t="str">
        <f>IFERROR('2.vize'!AS88*100/'2.vize'!$I88,"")</f>
        <v/>
      </c>
      <c r="AI189" s="38" t="str">
        <f>IFERROR('2.vize'!AT88*100/'2.vize'!$I88,"")</f>
        <v/>
      </c>
      <c r="AJ189" s="38" t="str">
        <f>IFERROR('2.vize'!AU88*100/'2.vize'!$I88,"")</f>
        <v/>
      </c>
      <c r="AK189" s="38" t="str">
        <f>IFERROR('2.vize'!AV88*100/'2.vize'!$I88,"")</f>
        <v/>
      </c>
      <c r="AL189" s="38" t="str">
        <f>IFERROR('2.vize'!AW88*100/'2.vize'!$I88,"")</f>
        <v/>
      </c>
      <c r="AM189" s="38" t="str">
        <f>IFERROR('2.vize'!AX88*100/'2.vize'!$I88,"")</f>
        <v/>
      </c>
      <c r="AN189" s="38" t="str">
        <f>IFERROR('2.vize'!AY88*100/'2.vize'!$I88,"")</f>
        <v/>
      </c>
      <c r="AO189" s="38" t="str">
        <f>IFERROR('2.vize'!AZ88*100/'2.vize'!$I88,"")</f>
        <v/>
      </c>
      <c r="AP189" s="38" t="str">
        <f>IFERROR('2.vize'!BA88*100/'2.vize'!$I88,"")</f>
        <v/>
      </c>
      <c r="AQ189" s="38" t="str">
        <f>IFERROR('2.vize'!BB88*100/'2.vize'!$I88,"")</f>
        <v/>
      </c>
      <c r="AR189" s="38" t="str">
        <f>IFERROR('2.vize'!BC88*100/'2.vize'!$I88,"")</f>
        <v/>
      </c>
      <c r="AS189" s="38" t="str">
        <f>IFERROR('2.vize'!BD88*100/'2.vize'!$I88,"")</f>
        <v/>
      </c>
      <c r="AT189" s="38" t="str">
        <f>IFERROR('2.vize'!BE88*100/'2.vize'!$I88,"")</f>
        <v/>
      </c>
      <c r="AU189" s="38" t="str">
        <f>IFERROR('2.vize'!BF88*100/'2.vize'!$I88,"")</f>
        <v/>
      </c>
      <c r="AV189" s="38" t="str">
        <f>IFERROR('2.vize'!BG88*100/'2.vize'!$I88,"")</f>
        <v/>
      </c>
      <c r="AW189" s="38" t="str">
        <f>IFERROR('2.vize'!BH88*100/'2.vize'!$I88,"")</f>
        <v/>
      </c>
      <c r="AX189" s="38" t="str">
        <f>IFERROR('2.vize'!BI88*100/'2.vize'!$I88,"")</f>
        <v/>
      </c>
      <c r="AY189" s="38" t="str">
        <f>IFERROR('2.vize'!BJ88*100/'2.vize'!$I88,"")</f>
        <v/>
      </c>
      <c r="AZ189" s="38" t="str">
        <f>IFERROR('2.vize'!BK88*100/'2.vize'!$I88,"")</f>
        <v/>
      </c>
      <c r="BA189" s="38" t="str">
        <f>IFERROR('2.vize'!BL88*100/'2.vize'!$I88,"")</f>
        <v/>
      </c>
      <c r="BB189" s="38" t="str">
        <f>IFERROR('2.vize'!BM88*100/'2.vize'!$I88,"")</f>
        <v/>
      </c>
      <c r="BC189" s="38" t="str">
        <f>IFERROR('2.vize'!BN88*100/'2.vize'!$I88,"")</f>
        <v/>
      </c>
      <c r="BD189" s="38" t="str">
        <f>IFERROR('2.vize'!BO88*100/'2.vize'!$I88,"")</f>
        <v/>
      </c>
      <c r="BE189" s="38" t="str">
        <f>IFERROR('2.vize'!BP88*100/'2.vize'!$I88,"")</f>
        <v/>
      </c>
      <c r="BF189" s="38" t="str">
        <f>IFERROR('2.vize'!BQ88*100/'2.vize'!$I88,"")</f>
        <v/>
      </c>
      <c r="BG189" s="38" t="str">
        <f>IFERROR('2.vize'!BR88*100/'2.vize'!$I88,"")</f>
        <v/>
      </c>
      <c r="BH189" s="38" t="str">
        <f>IFERROR('2.vize'!BS88*100/'2.vize'!$I88,"")</f>
        <v/>
      </c>
      <c r="BI189" s="38" t="str">
        <f>IFERROR('2.vize'!BT88*100/'2.vize'!$I88,"")</f>
        <v/>
      </c>
      <c r="BJ189" s="38" t="str">
        <f>IFERROR('2.vize'!BU88*100/'2.vize'!$I88,"")</f>
        <v/>
      </c>
      <c r="BK189" s="38" t="str">
        <f>IFERROR('2.vize'!BV88*100/'2.vize'!$I88,"")</f>
        <v/>
      </c>
      <c r="BL189" s="38" t="str">
        <f>IFERROR('2.vize'!BW88*100/'2.vize'!$I88,"")</f>
        <v/>
      </c>
      <c r="BM189" s="38" t="str">
        <f>IFERROR('2.vize'!BX88*100/'2.vize'!$I88,"")</f>
        <v/>
      </c>
      <c r="BN189" s="38" t="str">
        <f>IFERROR('2.vize'!BY88*100/'2.vize'!$I88,"")</f>
        <v/>
      </c>
      <c r="BO189" s="38" t="str">
        <f>IFERROR('2.vize'!BZ88*100/'2.vize'!$I88,"")</f>
        <v/>
      </c>
      <c r="BP189" s="38" t="str">
        <f>IFERROR('2.vize'!CA88*100/'2.vize'!$I88,"")</f>
        <v/>
      </c>
      <c r="BQ189" s="38" t="str">
        <f>IFERROR('2.vize'!CB88*100/'2.vize'!$I88,"")</f>
        <v/>
      </c>
      <c r="BR189" s="38" t="str">
        <f>IFERROR('2.vize'!CC88*100/'2.vize'!$I88,"")</f>
        <v/>
      </c>
      <c r="BS189" s="38" t="str">
        <f>IFERROR('2.vize'!CD88*100/'2.vize'!$I88,"")</f>
        <v/>
      </c>
      <c r="BT189" s="38" t="str">
        <f>IFERROR('2.vize'!CE88*100/'2.vize'!$I88,"")</f>
        <v/>
      </c>
      <c r="BU189" s="38" t="str">
        <f>IFERROR('2.vize'!CF88*100/'2.vize'!$I88,"")</f>
        <v/>
      </c>
      <c r="BV189" s="38" t="str">
        <f>IFERROR('2.vize'!CG88*100/'2.vize'!$I88,"")</f>
        <v/>
      </c>
      <c r="BW189" s="38" t="str">
        <f>IFERROR('2.vize'!CH88*100/'2.vize'!$I88,"")</f>
        <v/>
      </c>
      <c r="BX189" s="38" t="str">
        <f>IFERROR('2.vize'!CI88*100/'2.vize'!$I88,"")</f>
        <v/>
      </c>
      <c r="BY189" s="38" t="str">
        <f>IFERROR('2.vize'!CJ88*100/'2.vize'!$I88,"")</f>
        <v/>
      </c>
      <c r="BZ189" s="38" t="str">
        <f>IFERROR('2.vize'!CK88*100/'2.vize'!$I88,"")</f>
        <v/>
      </c>
      <c r="CA189" s="38" t="str">
        <f>IFERROR('2.vize'!CL88*100/'2.vize'!$I88,"")</f>
        <v/>
      </c>
      <c r="CB189" s="38" t="str">
        <f>IFERROR('2.vize'!CM88*100/'2.vize'!$I88,"")</f>
        <v/>
      </c>
      <c r="CC189" s="38" t="str">
        <f>IFERROR('2.vize'!CN88*100/'2.vize'!$I88,"")</f>
        <v/>
      </c>
      <c r="CD189" s="38" t="str">
        <f>IFERROR('2.vize'!CO88*100/'2.vize'!$I88,"")</f>
        <v/>
      </c>
      <c r="CE189" s="38" t="str">
        <f>IFERROR('2.vize'!CP88*100/'2.vize'!$I88,"")</f>
        <v/>
      </c>
      <c r="CF189" s="38" t="str">
        <f>IFERROR('2.vize'!CQ88*100/'2.vize'!$I88,"")</f>
        <v/>
      </c>
      <c r="CG189" s="38" t="str">
        <f>IFERROR('2.vize'!CR88*100/'2.vize'!$I88,"")</f>
        <v/>
      </c>
      <c r="CH189" s="38" t="str">
        <f>IFERROR('2.vize'!CS88*100/'2.vize'!$I88,"")</f>
        <v/>
      </c>
      <c r="CI189" s="38" t="str">
        <f>IFERROR('2.vize'!CT88*100/'2.vize'!$I88,"")</f>
        <v/>
      </c>
      <c r="CJ189" s="38" t="str">
        <f>IFERROR('2.vize'!CU88*100/'2.vize'!$I88,"")</f>
        <v/>
      </c>
      <c r="CK189" s="38" t="str">
        <f>IFERROR('2.vize'!CV88*100/'2.vize'!$I88,"")</f>
        <v/>
      </c>
      <c r="CL189" s="38" t="str">
        <f>IFERROR('2.vize'!CW88*100/'2.vize'!$I88,"")</f>
        <v/>
      </c>
      <c r="CM189" s="38" t="str">
        <f>IFERROR('2.vize'!CX88*100/'2.vize'!$I88,"")</f>
        <v/>
      </c>
      <c r="CN189" s="38" t="str">
        <f>IFERROR('2.vize'!CY88*100/'2.vize'!$I88,"")</f>
        <v/>
      </c>
      <c r="CO189" s="38" t="str">
        <f>IFERROR('2.vize'!CZ88*100/'2.vize'!$I88,"")</f>
        <v/>
      </c>
      <c r="CP189" s="38" t="str">
        <f>IFERROR('2.vize'!DA88*100/'2.vize'!$I88,"")</f>
        <v/>
      </c>
      <c r="CQ189" s="38" t="str">
        <f>IFERROR('2.vize'!DB88*100/'2.vize'!$I88,"")</f>
        <v/>
      </c>
      <c r="CR189" s="38" t="str">
        <f>IFERROR('2.vize'!DC88*100/'2.vize'!$I88,"")</f>
        <v/>
      </c>
      <c r="CS189" s="38" t="str">
        <f>IFERROR('2.vize'!DD88*100/'2.vize'!$I88,"")</f>
        <v/>
      </c>
      <c r="CT189" s="38" t="str">
        <f>IFERROR('2.vize'!DE88*100/'2.vize'!$I88,"")</f>
        <v/>
      </c>
      <c r="CU189" s="38" t="str">
        <f>IFERROR('2.vize'!DF88*100/'2.vize'!$I88,"")</f>
        <v/>
      </c>
      <c r="CV189" s="38" t="str">
        <f>IFERROR('2.vize'!DG88*100/'2.vize'!$I88,"")</f>
        <v/>
      </c>
      <c r="CW189" s="32" t="str">
        <f>IFERROR(SUM(A189:CV189)/'2.vize'!$DH$103,"")</f>
        <v/>
      </c>
      <c r="CX189" s="14" t="str">
        <f>IF(COUNTA('2.vize'!A88),'2.vize'!A88,"")</f>
        <v/>
      </c>
      <c r="CY189" s="14" t="str">
        <f>IF(COUNTA('2.vize'!B88),'2.vize'!B88,"")</f>
        <v/>
      </c>
      <c r="CZ189" s="14" t="str">
        <f>IF(COUNTA('2.vize'!C88),'2.vize'!C88,"")</f>
        <v/>
      </c>
      <c r="DA189" s="14" t="str">
        <f>IF(COUNTA('2.vize'!D88),'2.vize'!D88,"")</f>
        <v/>
      </c>
      <c r="DB189" s="14" t="str">
        <f>IF(COUNTA('2.vize'!E88),'2.vize'!E88,"")</f>
        <v/>
      </c>
      <c r="DC189" s="14" t="str">
        <f>IF(COUNTA('2.vize'!F88),'2.vize'!F88,"")</f>
        <v/>
      </c>
      <c r="DD189" s="14" t="str">
        <f>IF(COUNTA('2.vize'!G88),'2.vize'!G88,"")</f>
        <v/>
      </c>
      <c r="DE189" s="14" t="str">
        <f>IF(COUNTA('2.vize'!H88),'2.vize'!H88,"")</f>
        <v/>
      </c>
    </row>
    <row r="190" spans="1:109" x14ac:dyDescent="0.2">
      <c r="A190" s="38" t="str">
        <f>IFERROR('2.vize'!L89*100/'2.vize'!$I89,"")</f>
        <v/>
      </c>
      <c r="B190" s="38" t="str">
        <f>IFERROR('2.vize'!M89*100/'2.vize'!$I89,"")</f>
        <v/>
      </c>
      <c r="C190" s="38" t="str">
        <f>IFERROR('2.vize'!N89*100/'2.vize'!$I89,"")</f>
        <v/>
      </c>
      <c r="D190" s="38" t="str">
        <f>IFERROR('2.vize'!O89*100/'2.vize'!$I89,"")</f>
        <v/>
      </c>
      <c r="E190" s="38" t="str">
        <f>IFERROR('2.vize'!P89*100/'2.vize'!$I89,"")</f>
        <v/>
      </c>
      <c r="F190" s="38" t="str">
        <f>IFERROR('2.vize'!Q89*100/'2.vize'!$I89,"")</f>
        <v/>
      </c>
      <c r="G190" s="38" t="str">
        <f>IFERROR('2.vize'!R89*100/'2.vize'!$I89,"")</f>
        <v/>
      </c>
      <c r="H190" s="38" t="str">
        <f>IFERROR('2.vize'!S89*100/'2.vize'!$I89,"")</f>
        <v/>
      </c>
      <c r="I190" s="38" t="str">
        <f>IFERROR('2.vize'!T89*100/'2.vize'!$I89,"")</f>
        <v/>
      </c>
      <c r="J190" s="38" t="str">
        <f>IFERROR('2.vize'!U89*100/'2.vize'!$I89,"")</f>
        <v/>
      </c>
      <c r="K190" s="38" t="str">
        <f>IFERROR('2.vize'!V89*100/'2.vize'!$I89,"")</f>
        <v/>
      </c>
      <c r="L190" s="38" t="str">
        <f>IFERROR('2.vize'!W89*100/'2.vize'!$I89,"")</f>
        <v/>
      </c>
      <c r="M190" s="38" t="str">
        <f>IFERROR('2.vize'!X89*100/'2.vize'!$I89,"")</f>
        <v/>
      </c>
      <c r="N190" s="38" t="str">
        <f>IFERROR('2.vize'!Y89*100/'2.vize'!$I89,"")</f>
        <v/>
      </c>
      <c r="O190" s="38" t="str">
        <f>IFERROR('2.vize'!Z89*100/'2.vize'!$I89,"")</f>
        <v/>
      </c>
      <c r="P190" s="38" t="str">
        <f>IFERROR('2.vize'!AA89*100/'2.vize'!$I89,"")</f>
        <v/>
      </c>
      <c r="Q190" s="38" t="str">
        <f>IFERROR('2.vize'!AB89*100/'2.vize'!$I89,"")</f>
        <v/>
      </c>
      <c r="R190" s="38" t="str">
        <f>IFERROR('2.vize'!AC89*100/'2.vize'!$I89,"")</f>
        <v/>
      </c>
      <c r="S190" s="38" t="str">
        <f>IFERROR('2.vize'!AD89*100/'2.vize'!$I89,"")</f>
        <v/>
      </c>
      <c r="T190" s="38" t="str">
        <f>IFERROR('2.vize'!AE89*100/'2.vize'!$I89,"")</f>
        <v/>
      </c>
      <c r="U190" s="38" t="str">
        <f>IFERROR('2.vize'!AF89*100/'2.vize'!$I89,"")</f>
        <v/>
      </c>
      <c r="V190" s="38" t="str">
        <f>IFERROR('2.vize'!AG89*100/'2.vize'!$I89,"")</f>
        <v/>
      </c>
      <c r="W190" s="38" t="str">
        <f>IFERROR('2.vize'!AH89*100/'2.vize'!$I89,"")</f>
        <v/>
      </c>
      <c r="X190" s="38" t="str">
        <f>IFERROR('2.vize'!AI89*100/'2.vize'!$I89,"")</f>
        <v/>
      </c>
      <c r="Y190" s="38" t="str">
        <f>IFERROR('2.vize'!AJ89*100/'2.vize'!$I89,"")</f>
        <v/>
      </c>
      <c r="Z190" s="38" t="str">
        <f>IFERROR('2.vize'!AK89*100/'2.vize'!$I89,"")</f>
        <v/>
      </c>
      <c r="AA190" s="38" t="str">
        <f>IFERROR('2.vize'!AL89*100/'2.vize'!$I89,"")</f>
        <v/>
      </c>
      <c r="AB190" s="38" t="str">
        <f>IFERROR('2.vize'!AM89*100/'2.vize'!$I89,"")</f>
        <v/>
      </c>
      <c r="AC190" s="38" t="str">
        <f>IFERROR('2.vize'!AN89*100/'2.vize'!$I89,"")</f>
        <v/>
      </c>
      <c r="AD190" s="38" t="str">
        <f>IFERROR('2.vize'!AO89*100/'2.vize'!$I89,"")</f>
        <v/>
      </c>
      <c r="AE190" s="38" t="str">
        <f>IFERROR('2.vize'!AP89*100/'2.vize'!$I89,"")</f>
        <v/>
      </c>
      <c r="AF190" s="38" t="str">
        <f>IFERROR('2.vize'!AQ89*100/'2.vize'!$I89,"")</f>
        <v/>
      </c>
      <c r="AG190" s="38" t="str">
        <f>IFERROR('2.vize'!AR89*100/'2.vize'!$I89,"")</f>
        <v/>
      </c>
      <c r="AH190" s="38" t="str">
        <f>IFERROR('2.vize'!AS89*100/'2.vize'!$I89,"")</f>
        <v/>
      </c>
      <c r="AI190" s="38" t="str">
        <f>IFERROR('2.vize'!AT89*100/'2.vize'!$I89,"")</f>
        <v/>
      </c>
      <c r="AJ190" s="38" t="str">
        <f>IFERROR('2.vize'!AU89*100/'2.vize'!$I89,"")</f>
        <v/>
      </c>
      <c r="AK190" s="38" t="str">
        <f>IFERROR('2.vize'!AV89*100/'2.vize'!$I89,"")</f>
        <v/>
      </c>
      <c r="AL190" s="38" t="str">
        <f>IFERROR('2.vize'!AW89*100/'2.vize'!$I89,"")</f>
        <v/>
      </c>
      <c r="AM190" s="38" t="str">
        <f>IFERROR('2.vize'!AX89*100/'2.vize'!$I89,"")</f>
        <v/>
      </c>
      <c r="AN190" s="38" t="str">
        <f>IFERROR('2.vize'!AY89*100/'2.vize'!$I89,"")</f>
        <v/>
      </c>
      <c r="AO190" s="38" t="str">
        <f>IFERROR('2.vize'!AZ89*100/'2.vize'!$I89,"")</f>
        <v/>
      </c>
      <c r="AP190" s="38" t="str">
        <f>IFERROR('2.vize'!BA89*100/'2.vize'!$I89,"")</f>
        <v/>
      </c>
      <c r="AQ190" s="38" t="str">
        <f>IFERROR('2.vize'!BB89*100/'2.vize'!$I89,"")</f>
        <v/>
      </c>
      <c r="AR190" s="38" t="str">
        <f>IFERROR('2.vize'!BC89*100/'2.vize'!$I89,"")</f>
        <v/>
      </c>
      <c r="AS190" s="38" t="str">
        <f>IFERROR('2.vize'!BD89*100/'2.vize'!$I89,"")</f>
        <v/>
      </c>
      <c r="AT190" s="38" t="str">
        <f>IFERROR('2.vize'!BE89*100/'2.vize'!$I89,"")</f>
        <v/>
      </c>
      <c r="AU190" s="38" t="str">
        <f>IFERROR('2.vize'!BF89*100/'2.vize'!$I89,"")</f>
        <v/>
      </c>
      <c r="AV190" s="38" t="str">
        <f>IFERROR('2.vize'!BG89*100/'2.vize'!$I89,"")</f>
        <v/>
      </c>
      <c r="AW190" s="38" t="str">
        <f>IFERROR('2.vize'!BH89*100/'2.vize'!$I89,"")</f>
        <v/>
      </c>
      <c r="AX190" s="38" t="str">
        <f>IFERROR('2.vize'!BI89*100/'2.vize'!$I89,"")</f>
        <v/>
      </c>
      <c r="AY190" s="38" t="str">
        <f>IFERROR('2.vize'!BJ89*100/'2.vize'!$I89,"")</f>
        <v/>
      </c>
      <c r="AZ190" s="38" t="str">
        <f>IFERROR('2.vize'!BK89*100/'2.vize'!$I89,"")</f>
        <v/>
      </c>
      <c r="BA190" s="38" t="str">
        <f>IFERROR('2.vize'!BL89*100/'2.vize'!$I89,"")</f>
        <v/>
      </c>
      <c r="BB190" s="38" t="str">
        <f>IFERROR('2.vize'!BM89*100/'2.vize'!$I89,"")</f>
        <v/>
      </c>
      <c r="BC190" s="38" t="str">
        <f>IFERROR('2.vize'!BN89*100/'2.vize'!$I89,"")</f>
        <v/>
      </c>
      <c r="BD190" s="38" t="str">
        <f>IFERROR('2.vize'!BO89*100/'2.vize'!$I89,"")</f>
        <v/>
      </c>
      <c r="BE190" s="38" t="str">
        <f>IFERROR('2.vize'!BP89*100/'2.vize'!$I89,"")</f>
        <v/>
      </c>
      <c r="BF190" s="38" t="str">
        <f>IFERROR('2.vize'!BQ89*100/'2.vize'!$I89,"")</f>
        <v/>
      </c>
      <c r="BG190" s="38" t="str">
        <f>IFERROR('2.vize'!BR89*100/'2.vize'!$I89,"")</f>
        <v/>
      </c>
      <c r="BH190" s="38" t="str">
        <f>IFERROR('2.vize'!BS89*100/'2.vize'!$I89,"")</f>
        <v/>
      </c>
      <c r="BI190" s="38" t="str">
        <f>IFERROR('2.vize'!BT89*100/'2.vize'!$I89,"")</f>
        <v/>
      </c>
      <c r="BJ190" s="38" t="str">
        <f>IFERROR('2.vize'!BU89*100/'2.vize'!$I89,"")</f>
        <v/>
      </c>
      <c r="BK190" s="38" t="str">
        <f>IFERROR('2.vize'!BV89*100/'2.vize'!$I89,"")</f>
        <v/>
      </c>
      <c r="BL190" s="38" t="str">
        <f>IFERROR('2.vize'!BW89*100/'2.vize'!$I89,"")</f>
        <v/>
      </c>
      <c r="BM190" s="38" t="str">
        <f>IFERROR('2.vize'!BX89*100/'2.vize'!$I89,"")</f>
        <v/>
      </c>
      <c r="BN190" s="38" t="str">
        <f>IFERROR('2.vize'!BY89*100/'2.vize'!$I89,"")</f>
        <v/>
      </c>
      <c r="BO190" s="38" t="str">
        <f>IFERROR('2.vize'!BZ89*100/'2.vize'!$I89,"")</f>
        <v/>
      </c>
      <c r="BP190" s="38" t="str">
        <f>IFERROR('2.vize'!CA89*100/'2.vize'!$I89,"")</f>
        <v/>
      </c>
      <c r="BQ190" s="38" t="str">
        <f>IFERROR('2.vize'!CB89*100/'2.vize'!$I89,"")</f>
        <v/>
      </c>
      <c r="BR190" s="38" t="str">
        <f>IFERROR('2.vize'!CC89*100/'2.vize'!$I89,"")</f>
        <v/>
      </c>
      <c r="BS190" s="38" t="str">
        <f>IFERROR('2.vize'!CD89*100/'2.vize'!$I89,"")</f>
        <v/>
      </c>
      <c r="BT190" s="38" t="str">
        <f>IFERROR('2.vize'!CE89*100/'2.vize'!$I89,"")</f>
        <v/>
      </c>
      <c r="BU190" s="38" t="str">
        <f>IFERROR('2.vize'!CF89*100/'2.vize'!$I89,"")</f>
        <v/>
      </c>
      <c r="BV190" s="38" t="str">
        <f>IFERROR('2.vize'!CG89*100/'2.vize'!$I89,"")</f>
        <v/>
      </c>
      <c r="BW190" s="38" t="str">
        <f>IFERROR('2.vize'!CH89*100/'2.vize'!$I89,"")</f>
        <v/>
      </c>
      <c r="BX190" s="38" t="str">
        <f>IFERROR('2.vize'!CI89*100/'2.vize'!$I89,"")</f>
        <v/>
      </c>
      <c r="BY190" s="38" t="str">
        <f>IFERROR('2.vize'!CJ89*100/'2.vize'!$I89,"")</f>
        <v/>
      </c>
      <c r="BZ190" s="38" t="str">
        <f>IFERROR('2.vize'!CK89*100/'2.vize'!$I89,"")</f>
        <v/>
      </c>
      <c r="CA190" s="38" t="str">
        <f>IFERROR('2.vize'!CL89*100/'2.vize'!$I89,"")</f>
        <v/>
      </c>
      <c r="CB190" s="38" t="str">
        <f>IFERROR('2.vize'!CM89*100/'2.vize'!$I89,"")</f>
        <v/>
      </c>
      <c r="CC190" s="38" t="str">
        <f>IFERROR('2.vize'!CN89*100/'2.vize'!$I89,"")</f>
        <v/>
      </c>
      <c r="CD190" s="38" t="str">
        <f>IFERROR('2.vize'!CO89*100/'2.vize'!$I89,"")</f>
        <v/>
      </c>
      <c r="CE190" s="38" t="str">
        <f>IFERROR('2.vize'!CP89*100/'2.vize'!$I89,"")</f>
        <v/>
      </c>
      <c r="CF190" s="38" t="str">
        <f>IFERROR('2.vize'!CQ89*100/'2.vize'!$I89,"")</f>
        <v/>
      </c>
      <c r="CG190" s="38" t="str">
        <f>IFERROR('2.vize'!CR89*100/'2.vize'!$I89,"")</f>
        <v/>
      </c>
      <c r="CH190" s="38" t="str">
        <f>IFERROR('2.vize'!CS89*100/'2.vize'!$I89,"")</f>
        <v/>
      </c>
      <c r="CI190" s="38" t="str">
        <f>IFERROR('2.vize'!CT89*100/'2.vize'!$I89,"")</f>
        <v/>
      </c>
      <c r="CJ190" s="38" t="str">
        <f>IFERROR('2.vize'!CU89*100/'2.vize'!$I89,"")</f>
        <v/>
      </c>
      <c r="CK190" s="38" t="str">
        <f>IFERROR('2.vize'!CV89*100/'2.vize'!$I89,"")</f>
        <v/>
      </c>
      <c r="CL190" s="38" t="str">
        <f>IFERROR('2.vize'!CW89*100/'2.vize'!$I89,"")</f>
        <v/>
      </c>
      <c r="CM190" s="38" t="str">
        <f>IFERROR('2.vize'!CX89*100/'2.vize'!$I89,"")</f>
        <v/>
      </c>
      <c r="CN190" s="38" t="str">
        <f>IFERROR('2.vize'!CY89*100/'2.vize'!$I89,"")</f>
        <v/>
      </c>
      <c r="CO190" s="38" t="str">
        <f>IFERROR('2.vize'!CZ89*100/'2.vize'!$I89,"")</f>
        <v/>
      </c>
      <c r="CP190" s="38" t="str">
        <f>IFERROR('2.vize'!DA89*100/'2.vize'!$I89,"")</f>
        <v/>
      </c>
      <c r="CQ190" s="38" t="str">
        <f>IFERROR('2.vize'!DB89*100/'2.vize'!$I89,"")</f>
        <v/>
      </c>
      <c r="CR190" s="38" t="str">
        <f>IFERROR('2.vize'!DC89*100/'2.vize'!$I89,"")</f>
        <v/>
      </c>
      <c r="CS190" s="38" t="str">
        <f>IFERROR('2.vize'!DD89*100/'2.vize'!$I89,"")</f>
        <v/>
      </c>
      <c r="CT190" s="38" t="str">
        <f>IFERROR('2.vize'!DE89*100/'2.vize'!$I89,"")</f>
        <v/>
      </c>
      <c r="CU190" s="38" t="str">
        <f>IFERROR('2.vize'!DF89*100/'2.vize'!$I89,"")</f>
        <v/>
      </c>
      <c r="CV190" s="38" t="str">
        <f>IFERROR('2.vize'!DG89*100/'2.vize'!$I89,"")</f>
        <v/>
      </c>
      <c r="CW190" s="32" t="str">
        <f>IFERROR(SUM(A190:CV190)/'2.vize'!$DH$103,"")</f>
        <v/>
      </c>
      <c r="CX190" s="14" t="str">
        <f>IF(COUNTA('2.vize'!A89),'2.vize'!A89,"")</f>
        <v/>
      </c>
      <c r="CY190" s="14" t="str">
        <f>IF(COUNTA('2.vize'!B89),'2.vize'!B89,"")</f>
        <v/>
      </c>
      <c r="CZ190" s="14" t="str">
        <f>IF(COUNTA('2.vize'!C89),'2.vize'!C89,"")</f>
        <v/>
      </c>
      <c r="DA190" s="14" t="str">
        <f>IF(COUNTA('2.vize'!D89),'2.vize'!D89,"")</f>
        <v/>
      </c>
      <c r="DB190" s="14" t="str">
        <f>IF(COUNTA('2.vize'!E89),'2.vize'!E89,"")</f>
        <v/>
      </c>
      <c r="DC190" s="14" t="str">
        <f>IF(COUNTA('2.vize'!F89),'2.vize'!F89,"")</f>
        <v/>
      </c>
      <c r="DD190" s="14" t="str">
        <f>IF(COUNTA('2.vize'!G89),'2.vize'!G89,"")</f>
        <v/>
      </c>
      <c r="DE190" s="14" t="str">
        <f>IF(COUNTA('2.vize'!H89),'2.vize'!H89,"")</f>
        <v/>
      </c>
    </row>
    <row r="191" spans="1:109" x14ac:dyDescent="0.2">
      <c r="A191" s="38" t="str">
        <f>IFERROR('2.vize'!L90*100/'2.vize'!$I90,"")</f>
        <v/>
      </c>
      <c r="B191" s="38" t="str">
        <f>IFERROR('2.vize'!M90*100/'2.vize'!$I90,"")</f>
        <v/>
      </c>
      <c r="C191" s="38" t="str">
        <f>IFERROR('2.vize'!N90*100/'2.vize'!$I90,"")</f>
        <v/>
      </c>
      <c r="D191" s="38" t="str">
        <f>IFERROR('2.vize'!O90*100/'2.vize'!$I90,"")</f>
        <v/>
      </c>
      <c r="E191" s="38" t="str">
        <f>IFERROR('2.vize'!P90*100/'2.vize'!$I90,"")</f>
        <v/>
      </c>
      <c r="F191" s="38" t="str">
        <f>IFERROR('2.vize'!Q90*100/'2.vize'!$I90,"")</f>
        <v/>
      </c>
      <c r="G191" s="38" t="str">
        <f>IFERROR('2.vize'!R90*100/'2.vize'!$I90,"")</f>
        <v/>
      </c>
      <c r="H191" s="38" t="str">
        <f>IFERROR('2.vize'!S90*100/'2.vize'!$I90,"")</f>
        <v/>
      </c>
      <c r="I191" s="38" t="str">
        <f>IFERROR('2.vize'!T90*100/'2.vize'!$I90,"")</f>
        <v/>
      </c>
      <c r="J191" s="38" t="str">
        <f>IFERROR('2.vize'!U90*100/'2.vize'!$I90,"")</f>
        <v/>
      </c>
      <c r="K191" s="38" t="str">
        <f>IFERROR('2.vize'!V90*100/'2.vize'!$I90,"")</f>
        <v/>
      </c>
      <c r="L191" s="38" t="str">
        <f>IFERROR('2.vize'!W90*100/'2.vize'!$I90,"")</f>
        <v/>
      </c>
      <c r="M191" s="38" t="str">
        <f>IFERROR('2.vize'!X90*100/'2.vize'!$I90,"")</f>
        <v/>
      </c>
      <c r="N191" s="38" t="str">
        <f>IFERROR('2.vize'!Y90*100/'2.vize'!$I90,"")</f>
        <v/>
      </c>
      <c r="O191" s="38" t="str">
        <f>IFERROR('2.vize'!Z90*100/'2.vize'!$I90,"")</f>
        <v/>
      </c>
      <c r="P191" s="38" t="str">
        <f>IFERROR('2.vize'!AA90*100/'2.vize'!$I90,"")</f>
        <v/>
      </c>
      <c r="Q191" s="38" t="str">
        <f>IFERROR('2.vize'!AB90*100/'2.vize'!$I90,"")</f>
        <v/>
      </c>
      <c r="R191" s="38" t="str">
        <f>IFERROR('2.vize'!AC90*100/'2.vize'!$I90,"")</f>
        <v/>
      </c>
      <c r="S191" s="38" t="str">
        <f>IFERROR('2.vize'!AD90*100/'2.vize'!$I90,"")</f>
        <v/>
      </c>
      <c r="T191" s="38" t="str">
        <f>IFERROR('2.vize'!AE90*100/'2.vize'!$I90,"")</f>
        <v/>
      </c>
      <c r="U191" s="38" t="str">
        <f>IFERROR('2.vize'!AF90*100/'2.vize'!$I90,"")</f>
        <v/>
      </c>
      <c r="V191" s="38" t="str">
        <f>IFERROR('2.vize'!AG90*100/'2.vize'!$I90,"")</f>
        <v/>
      </c>
      <c r="W191" s="38" t="str">
        <f>IFERROR('2.vize'!AH90*100/'2.vize'!$I90,"")</f>
        <v/>
      </c>
      <c r="X191" s="38" t="str">
        <f>IFERROR('2.vize'!AI90*100/'2.vize'!$I90,"")</f>
        <v/>
      </c>
      <c r="Y191" s="38" t="str">
        <f>IFERROR('2.vize'!AJ90*100/'2.vize'!$I90,"")</f>
        <v/>
      </c>
      <c r="Z191" s="38" t="str">
        <f>IFERROR('2.vize'!AK90*100/'2.vize'!$I90,"")</f>
        <v/>
      </c>
      <c r="AA191" s="38" t="str">
        <f>IFERROR('2.vize'!AL90*100/'2.vize'!$I90,"")</f>
        <v/>
      </c>
      <c r="AB191" s="38" t="str">
        <f>IFERROR('2.vize'!AM90*100/'2.vize'!$I90,"")</f>
        <v/>
      </c>
      <c r="AC191" s="38" t="str">
        <f>IFERROR('2.vize'!AN90*100/'2.vize'!$I90,"")</f>
        <v/>
      </c>
      <c r="AD191" s="38" t="str">
        <f>IFERROR('2.vize'!AO90*100/'2.vize'!$I90,"")</f>
        <v/>
      </c>
      <c r="AE191" s="38" t="str">
        <f>IFERROR('2.vize'!AP90*100/'2.vize'!$I90,"")</f>
        <v/>
      </c>
      <c r="AF191" s="38" t="str">
        <f>IFERROR('2.vize'!AQ90*100/'2.vize'!$I90,"")</f>
        <v/>
      </c>
      <c r="AG191" s="38" t="str">
        <f>IFERROR('2.vize'!AR90*100/'2.vize'!$I90,"")</f>
        <v/>
      </c>
      <c r="AH191" s="38" t="str">
        <f>IFERROR('2.vize'!AS90*100/'2.vize'!$I90,"")</f>
        <v/>
      </c>
      <c r="AI191" s="38" t="str">
        <f>IFERROR('2.vize'!AT90*100/'2.vize'!$I90,"")</f>
        <v/>
      </c>
      <c r="AJ191" s="38" t="str">
        <f>IFERROR('2.vize'!AU90*100/'2.vize'!$I90,"")</f>
        <v/>
      </c>
      <c r="AK191" s="38" t="str">
        <f>IFERROR('2.vize'!AV90*100/'2.vize'!$I90,"")</f>
        <v/>
      </c>
      <c r="AL191" s="38" t="str">
        <f>IFERROR('2.vize'!AW90*100/'2.vize'!$I90,"")</f>
        <v/>
      </c>
      <c r="AM191" s="38" t="str">
        <f>IFERROR('2.vize'!AX90*100/'2.vize'!$I90,"")</f>
        <v/>
      </c>
      <c r="AN191" s="38" t="str">
        <f>IFERROR('2.vize'!AY90*100/'2.vize'!$I90,"")</f>
        <v/>
      </c>
      <c r="AO191" s="38" t="str">
        <f>IFERROR('2.vize'!AZ90*100/'2.vize'!$I90,"")</f>
        <v/>
      </c>
      <c r="AP191" s="38" t="str">
        <f>IFERROR('2.vize'!BA90*100/'2.vize'!$I90,"")</f>
        <v/>
      </c>
      <c r="AQ191" s="38" t="str">
        <f>IFERROR('2.vize'!BB90*100/'2.vize'!$I90,"")</f>
        <v/>
      </c>
      <c r="AR191" s="38" t="str">
        <f>IFERROR('2.vize'!BC90*100/'2.vize'!$I90,"")</f>
        <v/>
      </c>
      <c r="AS191" s="38" t="str">
        <f>IFERROR('2.vize'!BD90*100/'2.vize'!$I90,"")</f>
        <v/>
      </c>
      <c r="AT191" s="38" t="str">
        <f>IFERROR('2.vize'!BE90*100/'2.vize'!$I90,"")</f>
        <v/>
      </c>
      <c r="AU191" s="38" t="str">
        <f>IFERROR('2.vize'!BF90*100/'2.vize'!$I90,"")</f>
        <v/>
      </c>
      <c r="AV191" s="38" t="str">
        <f>IFERROR('2.vize'!BG90*100/'2.vize'!$I90,"")</f>
        <v/>
      </c>
      <c r="AW191" s="38" t="str">
        <f>IFERROR('2.vize'!BH90*100/'2.vize'!$I90,"")</f>
        <v/>
      </c>
      <c r="AX191" s="38" t="str">
        <f>IFERROR('2.vize'!BI90*100/'2.vize'!$I90,"")</f>
        <v/>
      </c>
      <c r="AY191" s="38" t="str">
        <f>IFERROR('2.vize'!BJ90*100/'2.vize'!$I90,"")</f>
        <v/>
      </c>
      <c r="AZ191" s="38" t="str">
        <f>IFERROR('2.vize'!BK90*100/'2.vize'!$I90,"")</f>
        <v/>
      </c>
      <c r="BA191" s="38" t="str">
        <f>IFERROR('2.vize'!BL90*100/'2.vize'!$I90,"")</f>
        <v/>
      </c>
      <c r="BB191" s="38" t="str">
        <f>IFERROR('2.vize'!BM90*100/'2.vize'!$I90,"")</f>
        <v/>
      </c>
      <c r="BC191" s="38" t="str">
        <f>IFERROR('2.vize'!BN90*100/'2.vize'!$I90,"")</f>
        <v/>
      </c>
      <c r="BD191" s="38" t="str">
        <f>IFERROR('2.vize'!BO90*100/'2.vize'!$I90,"")</f>
        <v/>
      </c>
      <c r="BE191" s="38" t="str">
        <f>IFERROR('2.vize'!BP90*100/'2.vize'!$I90,"")</f>
        <v/>
      </c>
      <c r="BF191" s="38" t="str">
        <f>IFERROR('2.vize'!BQ90*100/'2.vize'!$I90,"")</f>
        <v/>
      </c>
      <c r="BG191" s="38" t="str">
        <f>IFERROR('2.vize'!BR90*100/'2.vize'!$I90,"")</f>
        <v/>
      </c>
      <c r="BH191" s="38" t="str">
        <f>IFERROR('2.vize'!BS90*100/'2.vize'!$I90,"")</f>
        <v/>
      </c>
      <c r="BI191" s="38" t="str">
        <f>IFERROR('2.vize'!BT90*100/'2.vize'!$I90,"")</f>
        <v/>
      </c>
      <c r="BJ191" s="38" t="str">
        <f>IFERROR('2.vize'!BU90*100/'2.vize'!$I90,"")</f>
        <v/>
      </c>
      <c r="BK191" s="38" t="str">
        <f>IFERROR('2.vize'!BV90*100/'2.vize'!$I90,"")</f>
        <v/>
      </c>
      <c r="BL191" s="38" t="str">
        <f>IFERROR('2.vize'!BW90*100/'2.vize'!$I90,"")</f>
        <v/>
      </c>
      <c r="BM191" s="38" t="str">
        <f>IFERROR('2.vize'!BX90*100/'2.vize'!$I90,"")</f>
        <v/>
      </c>
      <c r="BN191" s="38" t="str">
        <f>IFERROR('2.vize'!BY90*100/'2.vize'!$I90,"")</f>
        <v/>
      </c>
      <c r="BO191" s="38" t="str">
        <f>IFERROR('2.vize'!BZ90*100/'2.vize'!$I90,"")</f>
        <v/>
      </c>
      <c r="BP191" s="38" t="str">
        <f>IFERROR('2.vize'!CA90*100/'2.vize'!$I90,"")</f>
        <v/>
      </c>
      <c r="BQ191" s="38" t="str">
        <f>IFERROR('2.vize'!CB90*100/'2.vize'!$I90,"")</f>
        <v/>
      </c>
      <c r="BR191" s="38" t="str">
        <f>IFERROR('2.vize'!CC90*100/'2.vize'!$I90,"")</f>
        <v/>
      </c>
      <c r="BS191" s="38" t="str">
        <f>IFERROR('2.vize'!CD90*100/'2.vize'!$I90,"")</f>
        <v/>
      </c>
      <c r="BT191" s="38" t="str">
        <f>IFERROR('2.vize'!CE90*100/'2.vize'!$I90,"")</f>
        <v/>
      </c>
      <c r="BU191" s="38" t="str">
        <f>IFERROR('2.vize'!CF90*100/'2.vize'!$I90,"")</f>
        <v/>
      </c>
      <c r="BV191" s="38" t="str">
        <f>IFERROR('2.vize'!CG90*100/'2.vize'!$I90,"")</f>
        <v/>
      </c>
      <c r="BW191" s="38" t="str">
        <f>IFERROR('2.vize'!CH90*100/'2.vize'!$I90,"")</f>
        <v/>
      </c>
      <c r="BX191" s="38" t="str">
        <f>IFERROR('2.vize'!CI90*100/'2.vize'!$I90,"")</f>
        <v/>
      </c>
      <c r="BY191" s="38" t="str">
        <f>IFERROR('2.vize'!CJ90*100/'2.vize'!$I90,"")</f>
        <v/>
      </c>
      <c r="BZ191" s="38" t="str">
        <f>IFERROR('2.vize'!CK90*100/'2.vize'!$I90,"")</f>
        <v/>
      </c>
      <c r="CA191" s="38" t="str">
        <f>IFERROR('2.vize'!CL90*100/'2.vize'!$I90,"")</f>
        <v/>
      </c>
      <c r="CB191" s="38" t="str">
        <f>IFERROR('2.vize'!CM90*100/'2.vize'!$I90,"")</f>
        <v/>
      </c>
      <c r="CC191" s="38" t="str">
        <f>IFERROR('2.vize'!CN90*100/'2.vize'!$I90,"")</f>
        <v/>
      </c>
      <c r="CD191" s="38" t="str">
        <f>IFERROR('2.vize'!CO90*100/'2.vize'!$I90,"")</f>
        <v/>
      </c>
      <c r="CE191" s="38" t="str">
        <f>IFERROR('2.vize'!CP90*100/'2.vize'!$I90,"")</f>
        <v/>
      </c>
      <c r="CF191" s="38" t="str">
        <f>IFERROR('2.vize'!CQ90*100/'2.vize'!$I90,"")</f>
        <v/>
      </c>
      <c r="CG191" s="38" t="str">
        <f>IFERROR('2.vize'!CR90*100/'2.vize'!$I90,"")</f>
        <v/>
      </c>
      <c r="CH191" s="38" t="str">
        <f>IFERROR('2.vize'!CS90*100/'2.vize'!$I90,"")</f>
        <v/>
      </c>
      <c r="CI191" s="38" t="str">
        <f>IFERROR('2.vize'!CT90*100/'2.vize'!$I90,"")</f>
        <v/>
      </c>
      <c r="CJ191" s="38" t="str">
        <f>IFERROR('2.vize'!CU90*100/'2.vize'!$I90,"")</f>
        <v/>
      </c>
      <c r="CK191" s="38" t="str">
        <f>IFERROR('2.vize'!CV90*100/'2.vize'!$I90,"")</f>
        <v/>
      </c>
      <c r="CL191" s="38" t="str">
        <f>IFERROR('2.vize'!CW90*100/'2.vize'!$I90,"")</f>
        <v/>
      </c>
      <c r="CM191" s="38" t="str">
        <f>IFERROR('2.vize'!CX90*100/'2.vize'!$I90,"")</f>
        <v/>
      </c>
      <c r="CN191" s="38" t="str">
        <f>IFERROR('2.vize'!CY90*100/'2.vize'!$I90,"")</f>
        <v/>
      </c>
      <c r="CO191" s="38" t="str">
        <f>IFERROR('2.vize'!CZ90*100/'2.vize'!$I90,"")</f>
        <v/>
      </c>
      <c r="CP191" s="38" t="str">
        <f>IFERROR('2.vize'!DA90*100/'2.vize'!$I90,"")</f>
        <v/>
      </c>
      <c r="CQ191" s="38" t="str">
        <f>IFERROR('2.vize'!DB90*100/'2.vize'!$I90,"")</f>
        <v/>
      </c>
      <c r="CR191" s="38" t="str">
        <f>IFERROR('2.vize'!DC90*100/'2.vize'!$I90,"")</f>
        <v/>
      </c>
      <c r="CS191" s="38" t="str">
        <f>IFERROR('2.vize'!DD90*100/'2.vize'!$I90,"")</f>
        <v/>
      </c>
      <c r="CT191" s="38" t="str">
        <f>IFERROR('2.vize'!DE90*100/'2.vize'!$I90,"")</f>
        <v/>
      </c>
      <c r="CU191" s="38" t="str">
        <f>IFERROR('2.vize'!DF90*100/'2.vize'!$I90,"")</f>
        <v/>
      </c>
      <c r="CV191" s="38" t="str">
        <f>IFERROR('2.vize'!DG90*100/'2.vize'!$I90,"")</f>
        <v/>
      </c>
      <c r="CW191" s="32" t="str">
        <f>IFERROR(SUM(A191:CV191)/'2.vize'!$DH$103,"")</f>
        <v/>
      </c>
      <c r="CX191" s="14" t="str">
        <f>IF(COUNTA('2.vize'!A90),'2.vize'!A90,"")</f>
        <v/>
      </c>
      <c r="CY191" s="14" t="str">
        <f>IF(COUNTA('2.vize'!B90),'2.vize'!B90,"")</f>
        <v/>
      </c>
      <c r="CZ191" s="14" t="str">
        <f>IF(COUNTA('2.vize'!C90),'2.vize'!C90,"")</f>
        <v/>
      </c>
      <c r="DA191" s="14" t="str">
        <f>IF(COUNTA('2.vize'!D90),'2.vize'!D90,"")</f>
        <v/>
      </c>
      <c r="DB191" s="14" t="str">
        <f>IF(COUNTA('2.vize'!E90),'2.vize'!E90,"")</f>
        <v/>
      </c>
      <c r="DC191" s="14" t="str">
        <f>IF(COUNTA('2.vize'!F90),'2.vize'!F90,"")</f>
        <v/>
      </c>
      <c r="DD191" s="14" t="str">
        <f>IF(COUNTA('2.vize'!G90),'2.vize'!G90,"")</f>
        <v/>
      </c>
      <c r="DE191" s="14" t="str">
        <f>IF(COUNTA('2.vize'!H90),'2.vize'!H90,"")</f>
        <v/>
      </c>
    </row>
    <row r="192" spans="1:109" x14ac:dyDescent="0.2">
      <c r="A192" s="38" t="str">
        <f>IFERROR('2.vize'!L91*100/'2.vize'!$I91,"")</f>
        <v/>
      </c>
      <c r="B192" s="38" t="str">
        <f>IFERROR('2.vize'!M91*100/'2.vize'!$I91,"")</f>
        <v/>
      </c>
      <c r="C192" s="38" t="str">
        <f>IFERROR('2.vize'!N91*100/'2.vize'!$I91,"")</f>
        <v/>
      </c>
      <c r="D192" s="38" t="str">
        <f>IFERROR('2.vize'!O91*100/'2.vize'!$I91,"")</f>
        <v/>
      </c>
      <c r="E192" s="38" t="str">
        <f>IFERROR('2.vize'!P91*100/'2.vize'!$I91,"")</f>
        <v/>
      </c>
      <c r="F192" s="38" t="str">
        <f>IFERROR('2.vize'!Q91*100/'2.vize'!$I91,"")</f>
        <v/>
      </c>
      <c r="G192" s="38" t="str">
        <f>IFERROR('2.vize'!R91*100/'2.vize'!$I91,"")</f>
        <v/>
      </c>
      <c r="H192" s="38" t="str">
        <f>IFERROR('2.vize'!S91*100/'2.vize'!$I91,"")</f>
        <v/>
      </c>
      <c r="I192" s="38" t="str">
        <f>IFERROR('2.vize'!T91*100/'2.vize'!$I91,"")</f>
        <v/>
      </c>
      <c r="J192" s="38" t="str">
        <f>IFERROR('2.vize'!U91*100/'2.vize'!$I91,"")</f>
        <v/>
      </c>
      <c r="K192" s="38" t="str">
        <f>IFERROR('2.vize'!V91*100/'2.vize'!$I91,"")</f>
        <v/>
      </c>
      <c r="L192" s="38" t="str">
        <f>IFERROR('2.vize'!W91*100/'2.vize'!$I91,"")</f>
        <v/>
      </c>
      <c r="M192" s="38" t="str">
        <f>IFERROR('2.vize'!X91*100/'2.vize'!$I91,"")</f>
        <v/>
      </c>
      <c r="N192" s="38" t="str">
        <f>IFERROR('2.vize'!Y91*100/'2.vize'!$I91,"")</f>
        <v/>
      </c>
      <c r="O192" s="38" t="str">
        <f>IFERROR('2.vize'!Z91*100/'2.vize'!$I91,"")</f>
        <v/>
      </c>
      <c r="P192" s="38" t="str">
        <f>IFERROR('2.vize'!AA91*100/'2.vize'!$I91,"")</f>
        <v/>
      </c>
      <c r="Q192" s="38" t="str">
        <f>IFERROR('2.vize'!AB91*100/'2.vize'!$I91,"")</f>
        <v/>
      </c>
      <c r="R192" s="38" t="str">
        <f>IFERROR('2.vize'!AC91*100/'2.vize'!$I91,"")</f>
        <v/>
      </c>
      <c r="S192" s="38" t="str">
        <f>IFERROR('2.vize'!AD91*100/'2.vize'!$I91,"")</f>
        <v/>
      </c>
      <c r="T192" s="38" t="str">
        <f>IFERROR('2.vize'!AE91*100/'2.vize'!$I91,"")</f>
        <v/>
      </c>
      <c r="U192" s="38" t="str">
        <f>IFERROR('2.vize'!AF91*100/'2.vize'!$I91,"")</f>
        <v/>
      </c>
      <c r="V192" s="38" t="str">
        <f>IFERROR('2.vize'!AG91*100/'2.vize'!$I91,"")</f>
        <v/>
      </c>
      <c r="W192" s="38" t="str">
        <f>IFERROR('2.vize'!AH91*100/'2.vize'!$I91,"")</f>
        <v/>
      </c>
      <c r="X192" s="38" t="str">
        <f>IFERROR('2.vize'!AI91*100/'2.vize'!$I91,"")</f>
        <v/>
      </c>
      <c r="Y192" s="38" t="str">
        <f>IFERROR('2.vize'!AJ91*100/'2.vize'!$I91,"")</f>
        <v/>
      </c>
      <c r="Z192" s="38" t="str">
        <f>IFERROR('2.vize'!AK91*100/'2.vize'!$I91,"")</f>
        <v/>
      </c>
      <c r="AA192" s="38" t="str">
        <f>IFERROR('2.vize'!AL91*100/'2.vize'!$I91,"")</f>
        <v/>
      </c>
      <c r="AB192" s="38" t="str">
        <f>IFERROR('2.vize'!AM91*100/'2.vize'!$I91,"")</f>
        <v/>
      </c>
      <c r="AC192" s="38" t="str">
        <f>IFERROR('2.vize'!AN91*100/'2.vize'!$I91,"")</f>
        <v/>
      </c>
      <c r="AD192" s="38" t="str">
        <f>IFERROR('2.vize'!AO91*100/'2.vize'!$I91,"")</f>
        <v/>
      </c>
      <c r="AE192" s="38" t="str">
        <f>IFERROR('2.vize'!AP91*100/'2.vize'!$I91,"")</f>
        <v/>
      </c>
      <c r="AF192" s="38" t="str">
        <f>IFERROR('2.vize'!AQ91*100/'2.vize'!$I91,"")</f>
        <v/>
      </c>
      <c r="AG192" s="38" t="str">
        <f>IFERROR('2.vize'!AR91*100/'2.vize'!$I91,"")</f>
        <v/>
      </c>
      <c r="AH192" s="38" t="str">
        <f>IFERROR('2.vize'!AS91*100/'2.vize'!$I91,"")</f>
        <v/>
      </c>
      <c r="AI192" s="38" t="str">
        <f>IFERROR('2.vize'!AT91*100/'2.vize'!$I91,"")</f>
        <v/>
      </c>
      <c r="AJ192" s="38" t="str">
        <f>IFERROR('2.vize'!AU91*100/'2.vize'!$I91,"")</f>
        <v/>
      </c>
      <c r="AK192" s="38" t="str">
        <f>IFERROR('2.vize'!AV91*100/'2.vize'!$I91,"")</f>
        <v/>
      </c>
      <c r="AL192" s="38" t="str">
        <f>IFERROR('2.vize'!AW91*100/'2.vize'!$I91,"")</f>
        <v/>
      </c>
      <c r="AM192" s="38" t="str">
        <f>IFERROR('2.vize'!AX91*100/'2.vize'!$I91,"")</f>
        <v/>
      </c>
      <c r="AN192" s="38" t="str">
        <f>IFERROR('2.vize'!AY91*100/'2.vize'!$I91,"")</f>
        <v/>
      </c>
      <c r="AO192" s="38" t="str">
        <f>IFERROR('2.vize'!AZ91*100/'2.vize'!$I91,"")</f>
        <v/>
      </c>
      <c r="AP192" s="38" t="str">
        <f>IFERROR('2.vize'!BA91*100/'2.vize'!$I91,"")</f>
        <v/>
      </c>
      <c r="AQ192" s="38" t="str">
        <f>IFERROR('2.vize'!BB91*100/'2.vize'!$I91,"")</f>
        <v/>
      </c>
      <c r="AR192" s="38" t="str">
        <f>IFERROR('2.vize'!BC91*100/'2.vize'!$I91,"")</f>
        <v/>
      </c>
      <c r="AS192" s="38" t="str">
        <f>IFERROR('2.vize'!BD91*100/'2.vize'!$I91,"")</f>
        <v/>
      </c>
      <c r="AT192" s="38" t="str">
        <f>IFERROR('2.vize'!BE91*100/'2.vize'!$I91,"")</f>
        <v/>
      </c>
      <c r="AU192" s="38" t="str">
        <f>IFERROR('2.vize'!BF91*100/'2.vize'!$I91,"")</f>
        <v/>
      </c>
      <c r="AV192" s="38" t="str">
        <f>IFERROR('2.vize'!BG91*100/'2.vize'!$I91,"")</f>
        <v/>
      </c>
      <c r="AW192" s="38" t="str">
        <f>IFERROR('2.vize'!BH91*100/'2.vize'!$I91,"")</f>
        <v/>
      </c>
      <c r="AX192" s="38" t="str">
        <f>IFERROR('2.vize'!BI91*100/'2.vize'!$I91,"")</f>
        <v/>
      </c>
      <c r="AY192" s="38" t="str">
        <f>IFERROR('2.vize'!BJ91*100/'2.vize'!$I91,"")</f>
        <v/>
      </c>
      <c r="AZ192" s="38" t="str">
        <f>IFERROR('2.vize'!BK91*100/'2.vize'!$I91,"")</f>
        <v/>
      </c>
      <c r="BA192" s="38" t="str">
        <f>IFERROR('2.vize'!BL91*100/'2.vize'!$I91,"")</f>
        <v/>
      </c>
      <c r="BB192" s="38" t="str">
        <f>IFERROR('2.vize'!BM91*100/'2.vize'!$I91,"")</f>
        <v/>
      </c>
      <c r="BC192" s="38" t="str">
        <f>IFERROR('2.vize'!BN91*100/'2.vize'!$I91,"")</f>
        <v/>
      </c>
      <c r="BD192" s="38" t="str">
        <f>IFERROR('2.vize'!BO91*100/'2.vize'!$I91,"")</f>
        <v/>
      </c>
      <c r="BE192" s="38" t="str">
        <f>IFERROR('2.vize'!BP91*100/'2.vize'!$I91,"")</f>
        <v/>
      </c>
      <c r="BF192" s="38" t="str">
        <f>IFERROR('2.vize'!BQ91*100/'2.vize'!$I91,"")</f>
        <v/>
      </c>
      <c r="BG192" s="38" t="str">
        <f>IFERROR('2.vize'!BR91*100/'2.vize'!$I91,"")</f>
        <v/>
      </c>
      <c r="BH192" s="38" t="str">
        <f>IFERROR('2.vize'!BS91*100/'2.vize'!$I91,"")</f>
        <v/>
      </c>
      <c r="BI192" s="38" t="str">
        <f>IFERROR('2.vize'!BT91*100/'2.vize'!$I91,"")</f>
        <v/>
      </c>
      <c r="BJ192" s="38" t="str">
        <f>IFERROR('2.vize'!BU91*100/'2.vize'!$I91,"")</f>
        <v/>
      </c>
      <c r="BK192" s="38" t="str">
        <f>IFERROR('2.vize'!BV91*100/'2.vize'!$I91,"")</f>
        <v/>
      </c>
      <c r="BL192" s="38" t="str">
        <f>IFERROR('2.vize'!BW91*100/'2.vize'!$I91,"")</f>
        <v/>
      </c>
      <c r="BM192" s="38" t="str">
        <f>IFERROR('2.vize'!BX91*100/'2.vize'!$I91,"")</f>
        <v/>
      </c>
      <c r="BN192" s="38" t="str">
        <f>IFERROR('2.vize'!BY91*100/'2.vize'!$I91,"")</f>
        <v/>
      </c>
      <c r="BO192" s="38" t="str">
        <f>IFERROR('2.vize'!BZ91*100/'2.vize'!$I91,"")</f>
        <v/>
      </c>
      <c r="BP192" s="38" t="str">
        <f>IFERROR('2.vize'!CA91*100/'2.vize'!$I91,"")</f>
        <v/>
      </c>
      <c r="BQ192" s="38" t="str">
        <f>IFERROR('2.vize'!CB91*100/'2.vize'!$I91,"")</f>
        <v/>
      </c>
      <c r="BR192" s="38" t="str">
        <f>IFERROR('2.vize'!CC91*100/'2.vize'!$I91,"")</f>
        <v/>
      </c>
      <c r="BS192" s="38" t="str">
        <f>IFERROR('2.vize'!CD91*100/'2.vize'!$I91,"")</f>
        <v/>
      </c>
      <c r="BT192" s="38" t="str">
        <f>IFERROR('2.vize'!CE91*100/'2.vize'!$I91,"")</f>
        <v/>
      </c>
      <c r="BU192" s="38" t="str">
        <f>IFERROR('2.vize'!CF91*100/'2.vize'!$I91,"")</f>
        <v/>
      </c>
      <c r="BV192" s="38" t="str">
        <f>IFERROR('2.vize'!CG91*100/'2.vize'!$I91,"")</f>
        <v/>
      </c>
      <c r="BW192" s="38" t="str">
        <f>IFERROR('2.vize'!CH91*100/'2.vize'!$I91,"")</f>
        <v/>
      </c>
      <c r="BX192" s="38" t="str">
        <f>IFERROR('2.vize'!CI91*100/'2.vize'!$I91,"")</f>
        <v/>
      </c>
      <c r="BY192" s="38" t="str">
        <f>IFERROR('2.vize'!CJ91*100/'2.vize'!$I91,"")</f>
        <v/>
      </c>
      <c r="BZ192" s="38" t="str">
        <f>IFERROR('2.vize'!CK91*100/'2.vize'!$I91,"")</f>
        <v/>
      </c>
      <c r="CA192" s="38" t="str">
        <f>IFERROR('2.vize'!CL91*100/'2.vize'!$I91,"")</f>
        <v/>
      </c>
      <c r="CB192" s="38" t="str">
        <f>IFERROR('2.vize'!CM91*100/'2.vize'!$I91,"")</f>
        <v/>
      </c>
      <c r="CC192" s="38" t="str">
        <f>IFERROR('2.vize'!CN91*100/'2.vize'!$I91,"")</f>
        <v/>
      </c>
      <c r="CD192" s="38" t="str">
        <f>IFERROR('2.vize'!CO91*100/'2.vize'!$I91,"")</f>
        <v/>
      </c>
      <c r="CE192" s="38" t="str">
        <f>IFERROR('2.vize'!CP91*100/'2.vize'!$I91,"")</f>
        <v/>
      </c>
      <c r="CF192" s="38" t="str">
        <f>IFERROR('2.vize'!CQ91*100/'2.vize'!$I91,"")</f>
        <v/>
      </c>
      <c r="CG192" s="38" t="str">
        <f>IFERROR('2.vize'!CR91*100/'2.vize'!$I91,"")</f>
        <v/>
      </c>
      <c r="CH192" s="38" t="str">
        <f>IFERROR('2.vize'!CS91*100/'2.vize'!$I91,"")</f>
        <v/>
      </c>
      <c r="CI192" s="38" t="str">
        <f>IFERROR('2.vize'!CT91*100/'2.vize'!$I91,"")</f>
        <v/>
      </c>
      <c r="CJ192" s="38" t="str">
        <f>IFERROR('2.vize'!CU91*100/'2.vize'!$I91,"")</f>
        <v/>
      </c>
      <c r="CK192" s="38" t="str">
        <f>IFERROR('2.vize'!CV91*100/'2.vize'!$I91,"")</f>
        <v/>
      </c>
      <c r="CL192" s="38" t="str">
        <f>IFERROR('2.vize'!CW91*100/'2.vize'!$I91,"")</f>
        <v/>
      </c>
      <c r="CM192" s="38" t="str">
        <f>IFERROR('2.vize'!CX91*100/'2.vize'!$I91,"")</f>
        <v/>
      </c>
      <c r="CN192" s="38" t="str">
        <f>IFERROR('2.vize'!CY91*100/'2.vize'!$I91,"")</f>
        <v/>
      </c>
      <c r="CO192" s="38" t="str">
        <f>IFERROR('2.vize'!CZ91*100/'2.vize'!$I91,"")</f>
        <v/>
      </c>
      <c r="CP192" s="38" t="str">
        <f>IFERROR('2.vize'!DA91*100/'2.vize'!$I91,"")</f>
        <v/>
      </c>
      <c r="CQ192" s="38" t="str">
        <f>IFERROR('2.vize'!DB91*100/'2.vize'!$I91,"")</f>
        <v/>
      </c>
      <c r="CR192" s="38" t="str">
        <f>IFERROR('2.vize'!DC91*100/'2.vize'!$I91,"")</f>
        <v/>
      </c>
      <c r="CS192" s="38" t="str">
        <f>IFERROR('2.vize'!DD91*100/'2.vize'!$I91,"")</f>
        <v/>
      </c>
      <c r="CT192" s="38" t="str">
        <f>IFERROR('2.vize'!DE91*100/'2.vize'!$I91,"")</f>
        <v/>
      </c>
      <c r="CU192" s="38" t="str">
        <f>IFERROR('2.vize'!DF91*100/'2.vize'!$I91,"")</f>
        <v/>
      </c>
      <c r="CV192" s="38" t="str">
        <f>IFERROR('2.vize'!DG91*100/'2.vize'!$I91,"")</f>
        <v/>
      </c>
      <c r="CW192" s="32" t="str">
        <f>IFERROR(SUM(A192:CV192)/'2.vize'!$DH$103,"")</f>
        <v/>
      </c>
      <c r="CX192" s="14" t="str">
        <f>IF(COUNTA('2.vize'!A91),'2.vize'!A91,"")</f>
        <v/>
      </c>
      <c r="CY192" s="14" t="str">
        <f>IF(COUNTA('2.vize'!B91),'2.vize'!B91,"")</f>
        <v/>
      </c>
      <c r="CZ192" s="14" t="str">
        <f>IF(COUNTA('2.vize'!C91),'2.vize'!C91,"")</f>
        <v/>
      </c>
      <c r="DA192" s="14" t="str">
        <f>IF(COUNTA('2.vize'!D91),'2.vize'!D91,"")</f>
        <v/>
      </c>
      <c r="DB192" s="14" t="str">
        <f>IF(COUNTA('2.vize'!E91),'2.vize'!E91,"")</f>
        <v/>
      </c>
      <c r="DC192" s="14" t="str">
        <f>IF(COUNTA('2.vize'!F91),'2.vize'!F91,"")</f>
        <v/>
      </c>
      <c r="DD192" s="14" t="str">
        <f>IF(COUNTA('2.vize'!G91),'2.vize'!G91,"")</f>
        <v/>
      </c>
      <c r="DE192" s="14" t="str">
        <f>IF(COUNTA('2.vize'!H91),'2.vize'!H91,"")</f>
        <v/>
      </c>
    </row>
    <row r="193" spans="1:118" x14ac:dyDescent="0.2">
      <c r="A193" s="38" t="str">
        <f>IFERROR('2.vize'!L92*100/'2.vize'!$I92,"")</f>
        <v/>
      </c>
      <c r="B193" s="38" t="str">
        <f>IFERROR('2.vize'!M92*100/'2.vize'!$I92,"")</f>
        <v/>
      </c>
      <c r="C193" s="38" t="str">
        <f>IFERROR('2.vize'!N92*100/'2.vize'!$I92,"")</f>
        <v/>
      </c>
      <c r="D193" s="38" t="str">
        <f>IFERROR('2.vize'!O92*100/'2.vize'!$I92,"")</f>
        <v/>
      </c>
      <c r="E193" s="38" t="str">
        <f>IFERROR('2.vize'!P92*100/'2.vize'!$I92,"")</f>
        <v/>
      </c>
      <c r="F193" s="38" t="str">
        <f>IFERROR('2.vize'!Q92*100/'2.vize'!$I92,"")</f>
        <v/>
      </c>
      <c r="G193" s="38" t="str">
        <f>IFERROR('2.vize'!R92*100/'2.vize'!$I92,"")</f>
        <v/>
      </c>
      <c r="H193" s="38" t="str">
        <f>IFERROR('2.vize'!S92*100/'2.vize'!$I92,"")</f>
        <v/>
      </c>
      <c r="I193" s="38" t="str">
        <f>IFERROR('2.vize'!T92*100/'2.vize'!$I92,"")</f>
        <v/>
      </c>
      <c r="J193" s="38" t="str">
        <f>IFERROR('2.vize'!U92*100/'2.vize'!$I92,"")</f>
        <v/>
      </c>
      <c r="K193" s="38" t="str">
        <f>IFERROR('2.vize'!V92*100/'2.vize'!$I92,"")</f>
        <v/>
      </c>
      <c r="L193" s="38" t="str">
        <f>IFERROR('2.vize'!W92*100/'2.vize'!$I92,"")</f>
        <v/>
      </c>
      <c r="M193" s="38" t="str">
        <f>IFERROR('2.vize'!X92*100/'2.vize'!$I92,"")</f>
        <v/>
      </c>
      <c r="N193" s="38" t="str">
        <f>IFERROR('2.vize'!Y92*100/'2.vize'!$I92,"")</f>
        <v/>
      </c>
      <c r="O193" s="38" t="str">
        <f>IFERROR('2.vize'!Z92*100/'2.vize'!$I92,"")</f>
        <v/>
      </c>
      <c r="P193" s="38" t="str">
        <f>IFERROR('2.vize'!AA92*100/'2.vize'!$I92,"")</f>
        <v/>
      </c>
      <c r="Q193" s="38" t="str">
        <f>IFERROR('2.vize'!AB92*100/'2.vize'!$I92,"")</f>
        <v/>
      </c>
      <c r="R193" s="38" t="str">
        <f>IFERROR('2.vize'!AC92*100/'2.vize'!$I92,"")</f>
        <v/>
      </c>
      <c r="S193" s="38" t="str">
        <f>IFERROR('2.vize'!AD92*100/'2.vize'!$I92,"")</f>
        <v/>
      </c>
      <c r="T193" s="38" t="str">
        <f>IFERROR('2.vize'!AE92*100/'2.vize'!$I92,"")</f>
        <v/>
      </c>
      <c r="U193" s="38" t="str">
        <f>IFERROR('2.vize'!AF92*100/'2.vize'!$I92,"")</f>
        <v/>
      </c>
      <c r="V193" s="38" t="str">
        <f>IFERROR('2.vize'!AG92*100/'2.vize'!$I92,"")</f>
        <v/>
      </c>
      <c r="W193" s="38" t="str">
        <f>IFERROR('2.vize'!AH92*100/'2.vize'!$I92,"")</f>
        <v/>
      </c>
      <c r="X193" s="38" t="str">
        <f>IFERROR('2.vize'!AI92*100/'2.vize'!$I92,"")</f>
        <v/>
      </c>
      <c r="Y193" s="38" t="str">
        <f>IFERROR('2.vize'!AJ92*100/'2.vize'!$I92,"")</f>
        <v/>
      </c>
      <c r="Z193" s="38" t="str">
        <f>IFERROR('2.vize'!AK92*100/'2.vize'!$I92,"")</f>
        <v/>
      </c>
      <c r="AA193" s="38" t="str">
        <f>IFERROR('2.vize'!AL92*100/'2.vize'!$I92,"")</f>
        <v/>
      </c>
      <c r="AB193" s="38" t="str">
        <f>IFERROR('2.vize'!AM92*100/'2.vize'!$I92,"")</f>
        <v/>
      </c>
      <c r="AC193" s="38" t="str">
        <f>IFERROR('2.vize'!AN92*100/'2.vize'!$I92,"")</f>
        <v/>
      </c>
      <c r="AD193" s="38" t="str">
        <f>IFERROR('2.vize'!AO92*100/'2.vize'!$I92,"")</f>
        <v/>
      </c>
      <c r="AE193" s="38" t="str">
        <f>IFERROR('2.vize'!AP92*100/'2.vize'!$I92,"")</f>
        <v/>
      </c>
      <c r="AF193" s="38" t="str">
        <f>IFERROR('2.vize'!AQ92*100/'2.vize'!$I92,"")</f>
        <v/>
      </c>
      <c r="AG193" s="38" t="str">
        <f>IFERROR('2.vize'!AR92*100/'2.vize'!$I92,"")</f>
        <v/>
      </c>
      <c r="AH193" s="38" t="str">
        <f>IFERROR('2.vize'!AS92*100/'2.vize'!$I92,"")</f>
        <v/>
      </c>
      <c r="AI193" s="38" t="str">
        <f>IFERROR('2.vize'!AT92*100/'2.vize'!$I92,"")</f>
        <v/>
      </c>
      <c r="AJ193" s="38" t="str">
        <f>IFERROR('2.vize'!AU92*100/'2.vize'!$I92,"")</f>
        <v/>
      </c>
      <c r="AK193" s="38" t="str">
        <f>IFERROR('2.vize'!AV92*100/'2.vize'!$I92,"")</f>
        <v/>
      </c>
      <c r="AL193" s="38" t="str">
        <f>IFERROR('2.vize'!AW92*100/'2.vize'!$I92,"")</f>
        <v/>
      </c>
      <c r="AM193" s="38" t="str">
        <f>IFERROR('2.vize'!AX92*100/'2.vize'!$I92,"")</f>
        <v/>
      </c>
      <c r="AN193" s="38" t="str">
        <f>IFERROR('2.vize'!AY92*100/'2.vize'!$I92,"")</f>
        <v/>
      </c>
      <c r="AO193" s="38" t="str">
        <f>IFERROR('2.vize'!AZ92*100/'2.vize'!$I92,"")</f>
        <v/>
      </c>
      <c r="AP193" s="38" t="str">
        <f>IFERROR('2.vize'!BA92*100/'2.vize'!$I92,"")</f>
        <v/>
      </c>
      <c r="AQ193" s="38" t="str">
        <f>IFERROR('2.vize'!BB92*100/'2.vize'!$I92,"")</f>
        <v/>
      </c>
      <c r="AR193" s="38" t="str">
        <f>IFERROR('2.vize'!BC92*100/'2.vize'!$I92,"")</f>
        <v/>
      </c>
      <c r="AS193" s="38" t="str">
        <f>IFERROR('2.vize'!BD92*100/'2.vize'!$I92,"")</f>
        <v/>
      </c>
      <c r="AT193" s="38" t="str">
        <f>IFERROR('2.vize'!BE92*100/'2.vize'!$I92,"")</f>
        <v/>
      </c>
      <c r="AU193" s="38" t="str">
        <f>IFERROR('2.vize'!BF92*100/'2.vize'!$I92,"")</f>
        <v/>
      </c>
      <c r="AV193" s="38" t="str">
        <f>IFERROR('2.vize'!BG92*100/'2.vize'!$I92,"")</f>
        <v/>
      </c>
      <c r="AW193" s="38" t="str">
        <f>IFERROR('2.vize'!BH92*100/'2.vize'!$I92,"")</f>
        <v/>
      </c>
      <c r="AX193" s="38" t="str">
        <f>IFERROR('2.vize'!BI92*100/'2.vize'!$I92,"")</f>
        <v/>
      </c>
      <c r="AY193" s="38" t="str">
        <f>IFERROR('2.vize'!BJ92*100/'2.vize'!$I92,"")</f>
        <v/>
      </c>
      <c r="AZ193" s="38" t="str">
        <f>IFERROR('2.vize'!BK92*100/'2.vize'!$I92,"")</f>
        <v/>
      </c>
      <c r="BA193" s="38" t="str">
        <f>IFERROR('2.vize'!BL92*100/'2.vize'!$I92,"")</f>
        <v/>
      </c>
      <c r="BB193" s="38" t="str">
        <f>IFERROR('2.vize'!BM92*100/'2.vize'!$I92,"")</f>
        <v/>
      </c>
      <c r="BC193" s="38" t="str">
        <f>IFERROR('2.vize'!BN92*100/'2.vize'!$I92,"")</f>
        <v/>
      </c>
      <c r="BD193" s="38" t="str">
        <f>IFERROR('2.vize'!BO92*100/'2.vize'!$I92,"")</f>
        <v/>
      </c>
      <c r="BE193" s="38" t="str">
        <f>IFERROR('2.vize'!BP92*100/'2.vize'!$I92,"")</f>
        <v/>
      </c>
      <c r="BF193" s="38" t="str">
        <f>IFERROR('2.vize'!BQ92*100/'2.vize'!$I92,"")</f>
        <v/>
      </c>
      <c r="BG193" s="38" t="str">
        <f>IFERROR('2.vize'!BR92*100/'2.vize'!$I92,"")</f>
        <v/>
      </c>
      <c r="BH193" s="38" t="str">
        <f>IFERROR('2.vize'!BS92*100/'2.vize'!$I92,"")</f>
        <v/>
      </c>
      <c r="BI193" s="38" t="str">
        <f>IFERROR('2.vize'!BT92*100/'2.vize'!$I92,"")</f>
        <v/>
      </c>
      <c r="BJ193" s="38" t="str">
        <f>IFERROR('2.vize'!BU92*100/'2.vize'!$I92,"")</f>
        <v/>
      </c>
      <c r="BK193" s="38" t="str">
        <f>IFERROR('2.vize'!BV92*100/'2.vize'!$I92,"")</f>
        <v/>
      </c>
      <c r="BL193" s="38" t="str">
        <f>IFERROR('2.vize'!BW92*100/'2.vize'!$I92,"")</f>
        <v/>
      </c>
      <c r="BM193" s="38" t="str">
        <f>IFERROR('2.vize'!BX92*100/'2.vize'!$I92,"")</f>
        <v/>
      </c>
      <c r="BN193" s="38" t="str">
        <f>IFERROR('2.vize'!BY92*100/'2.vize'!$I92,"")</f>
        <v/>
      </c>
      <c r="BO193" s="38" t="str">
        <f>IFERROR('2.vize'!BZ92*100/'2.vize'!$I92,"")</f>
        <v/>
      </c>
      <c r="BP193" s="38" t="str">
        <f>IFERROR('2.vize'!CA92*100/'2.vize'!$I92,"")</f>
        <v/>
      </c>
      <c r="BQ193" s="38" t="str">
        <f>IFERROR('2.vize'!CB92*100/'2.vize'!$I92,"")</f>
        <v/>
      </c>
      <c r="BR193" s="38" t="str">
        <f>IFERROR('2.vize'!CC92*100/'2.vize'!$I92,"")</f>
        <v/>
      </c>
      <c r="BS193" s="38" t="str">
        <f>IFERROR('2.vize'!CD92*100/'2.vize'!$I92,"")</f>
        <v/>
      </c>
      <c r="BT193" s="38" t="str">
        <f>IFERROR('2.vize'!CE92*100/'2.vize'!$I92,"")</f>
        <v/>
      </c>
      <c r="BU193" s="38" t="str">
        <f>IFERROR('2.vize'!CF92*100/'2.vize'!$I92,"")</f>
        <v/>
      </c>
      <c r="BV193" s="38" t="str">
        <f>IFERROR('2.vize'!CG92*100/'2.vize'!$I92,"")</f>
        <v/>
      </c>
      <c r="BW193" s="38" t="str">
        <f>IFERROR('2.vize'!CH92*100/'2.vize'!$I92,"")</f>
        <v/>
      </c>
      <c r="BX193" s="38" t="str">
        <f>IFERROR('2.vize'!CI92*100/'2.vize'!$I92,"")</f>
        <v/>
      </c>
      <c r="BY193" s="38" t="str">
        <f>IFERROR('2.vize'!CJ92*100/'2.vize'!$I92,"")</f>
        <v/>
      </c>
      <c r="BZ193" s="38" t="str">
        <f>IFERROR('2.vize'!CK92*100/'2.vize'!$I92,"")</f>
        <v/>
      </c>
      <c r="CA193" s="38" t="str">
        <f>IFERROR('2.vize'!CL92*100/'2.vize'!$I92,"")</f>
        <v/>
      </c>
      <c r="CB193" s="38" t="str">
        <f>IFERROR('2.vize'!CM92*100/'2.vize'!$I92,"")</f>
        <v/>
      </c>
      <c r="CC193" s="38" t="str">
        <f>IFERROR('2.vize'!CN92*100/'2.vize'!$I92,"")</f>
        <v/>
      </c>
      <c r="CD193" s="38" t="str">
        <f>IFERROR('2.vize'!CO92*100/'2.vize'!$I92,"")</f>
        <v/>
      </c>
      <c r="CE193" s="38" t="str">
        <f>IFERROR('2.vize'!CP92*100/'2.vize'!$I92,"")</f>
        <v/>
      </c>
      <c r="CF193" s="38" t="str">
        <f>IFERROR('2.vize'!CQ92*100/'2.vize'!$I92,"")</f>
        <v/>
      </c>
      <c r="CG193" s="38" t="str">
        <f>IFERROR('2.vize'!CR92*100/'2.vize'!$I92,"")</f>
        <v/>
      </c>
      <c r="CH193" s="38" t="str">
        <f>IFERROR('2.vize'!CS92*100/'2.vize'!$I92,"")</f>
        <v/>
      </c>
      <c r="CI193" s="38" t="str">
        <f>IFERROR('2.vize'!CT92*100/'2.vize'!$I92,"")</f>
        <v/>
      </c>
      <c r="CJ193" s="38" t="str">
        <f>IFERROR('2.vize'!CU92*100/'2.vize'!$I92,"")</f>
        <v/>
      </c>
      <c r="CK193" s="38" t="str">
        <f>IFERROR('2.vize'!CV92*100/'2.vize'!$I92,"")</f>
        <v/>
      </c>
      <c r="CL193" s="38" t="str">
        <f>IFERROR('2.vize'!CW92*100/'2.vize'!$I92,"")</f>
        <v/>
      </c>
      <c r="CM193" s="38" t="str">
        <f>IFERROR('2.vize'!CX92*100/'2.vize'!$I92,"")</f>
        <v/>
      </c>
      <c r="CN193" s="38" t="str">
        <f>IFERROR('2.vize'!CY92*100/'2.vize'!$I92,"")</f>
        <v/>
      </c>
      <c r="CO193" s="38" t="str">
        <f>IFERROR('2.vize'!CZ92*100/'2.vize'!$I92,"")</f>
        <v/>
      </c>
      <c r="CP193" s="38" t="str">
        <f>IFERROR('2.vize'!DA92*100/'2.vize'!$I92,"")</f>
        <v/>
      </c>
      <c r="CQ193" s="38" t="str">
        <f>IFERROR('2.vize'!DB92*100/'2.vize'!$I92,"")</f>
        <v/>
      </c>
      <c r="CR193" s="38" t="str">
        <f>IFERROR('2.vize'!DC92*100/'2.vize'!$I92,"")</f>
        <v/>
      </c>
      <c r="CS193" s="38" t="str">
        <f>IFERROR('2.vize'!DD92*100/'2.vize'!$I92,"")</f>
        <v/>
      </c>
      <c r="CT193" s="38" t="str">
        <f>IFERROR('2.vize'!DE92*100/'2.vize'!$I92,"")</f>
        <v/>
      </c>
      <c r="CU193" s="38" t="str">
        <f>IFERROR('2.vize'!DF92*100/'2.vize'!$I92,"")</f>
        <v/>
      </c>
      <c r="CV193" s="38" t="str">
        <f>IFERROR('2.vize'!DG92*100/'2.vize'!$I92,"")</f>
        <v/>
      </c>
      <c r="CW193" s="32" t="str">
        <f>IFERROR(SUM(A193:CV193)/'2.vize'!$DH$103,"")</f>
        <v/>
      </c>
      <c r="CX193" s="14" t="str">
        <f>IF(COUNTA('2.vize'!A92),'2.vize'!A92,"")</f>
        <v/>
      </c>
      <c r="CY193" s="14" t="str">
        <f>IF(COUNTA('2.vize'!B92),'2.vize'!B92,"")</f>
        <v/>
      </c>
      <c r="CZ193" s="14" t="str">
        <f>IF(COUNTA('2.vize'!C92),'2.vize'!C92,"")</f>
        <v/>
      </c>
      <c r="DA193" s="14" t="str">
        <f>IF(COUNTA('2.vize'!D92),'2.vize'!D92,"")</f>
        <v/>
      </c>
      <c r="DB193" s="14" t="str">
        <f>IF(COUNTA('2.vize'!E92),'2.vize'!E92,"")</f>
        <v/>
      </c>
      <c r="DC193" s="14" t="str">
        <f>IF(COUNTA('2.vize'!F92),'2.vize'!F92,"")</f>
        <v/>
      </c>
      <c r="DD193" s="14" t="str">
        <f>IF(COUNTA('2.vize'!G92),'2.vize'!G92,"")</f>
        <v/>
      </c>
      <c r="DE193" s="14" t="str">
        <f>IF(COUNTA('2.vize'!H92),'2.vize'!H92,"")</f>
        <v/>
      </c>
    </row>
    <row r="194" spans="1:118" x14ac:dyDescent="0.2">
      <c r="A194" s="38" t="str">
        <f>IFERROR('2.vize'!L93*100/'2.vize'!$I93,"")</f>
        <v/>
      </c>
      <c r="B194" s="38" t="str">
        <f>IFERROR('2.vize'!M93*100/'2.vize'!$I93,"")</f>
        <v/>
      </c>
      <c r="C194" s="38" t="str">
        <f>IFERROR('2.vize'!N93*100/'2.vize'!$I93,"")</f>
        <v/>
      </c>
      <c r="D194" s="38" t="str">
        <f>IFERROR('2.vize'!O93*100/'2.vize'!$I93,"")</f>
        <v/>
      </c>
      <c r="E194" s="38" t="str">
        <f>IFERROR('2.vize'!P93*100/'2.vize'!$I93,"")</f>
        <v/>
      </c>
      <c r="F194" s="38" t="str">
        <f>IFERROR('2.vize'!Q93*100/'2.vize'!$I93,"")</f>
        <v/>
      </c>
      <c r="G194" s="38" t="str">
        <f>IFERROR('2.vize'!R93*100/'2.vize'!$I93,"")</f>
        <v/>
      </c>
      <c r="H194" s="38" t="str">
        <f>IFERROR('2.vize'!S93*100/'2.vize'!$I93,"")</f>
        <v/>
      </c>
      <c r="I194" s="38" t="str">
        <f>IFERROR('2.vize'!T93*100/'2.vize'!$I93,"")</f>
        <v/>
      </c>
      <c r="J194" s="38" t="str">
        <f>IFERROR('2.vize'!U93*100/'2.vize'!$I93,"")</f>
        <v/>
      </c>
      <c r="K194" s="38" t="str">
        <f>IFERROR('2.vize'!V93*100/'2.vize'!$I93,"")</f>
        <v/>
      </c>
      <c r="L194" s="38" t="str">
        <f>IFERROR('2.vize'!W93*100/'2.vize'!$I93,"")</f>
        <v/>
      </c>
      <c r="M194" s="38" t="str">
        <f>IFERROR('2.vize'!X93*100/'2.vize'!$I93,"")</f>
        <v/>
      </c>
      <c r="N194" s="38" t="str">
        <f>IFERROR('2.vize'!Y93*100/'2.vize'!$I93,"")</f>
        <v/>
      </c>
      <c r="O194" s="38" t="str">
        <f>IFERROR('2.vize'!Z93*100/'2.vize'!$I93,"")</f>
        <v/>
      </c>
      <c r="P194" s="38" t="str">
        <f>IFERROR('2.vize'!AA93*100/'2.vize'!$I93,"")</f>
        <v/>
      </c>
      <c r="Q194" s="38" t="str">
        <f>IFERROR('2.vize'!AB93*100/'2.vize'!$I93,"")</f>
        <v/>
      </c>
      <c r="R194" s="38" t="str">
        <f>IFERROR('2.vize'!AC93*100/'2.vize'!$I93,"")</f>
        <v/>
      </c>
      <c r="S194" s="38" t="str">
        <f>IFERROR('2.vize'!AD93*100/'2.vize'!$I93,"")</f>
        <v/>
      </c>
      <c r="T194" s="38" t="str">
        <f>IFERROR('2.vize'!AE93*100/'2.vize'!$I93,"")</f>
        <v/>
      </c>
      <c r="U194" s="38" t="str">
        <f>IFERROR('2.vize'!AF93*100/'2.vize'!$I93,"")</f>
        <v/>
      </c>
      <c r="V194" s="38" t="str">
        <f>IFERROR('2.vize'!AG93*100/'2.vize'!$I93,"")</f>
        <v/>
      </c>
      <c r="W194" s="38" t="str">
        <f>IFERROR('2.vize'!AH93*100/'2.vize'!$I93,"")</f>
        <v/>
      </c>
      <c r="X194" s="38" t="str">
        <f>IFERROR('2.vize'!AI93*100/'2.vize'!$I93,"")</f>
        <v/>
      </c>
      <c r="Y194" s="38" t="str">
        <f>IFERROR('2.vize'!AJ93*100/'2.vize'!$I93,"")</f>
        <v/>
      </c>
      <c r="Z194" s="38" t="str">
        <f>IFERROR('2.vize'!AK93*100/'2.vize'!$I93,"")</f>
        <v/>
      </c>
      <c r="AA194" s="38" t="str">
        <f>IFERROR('2.vize'!AL93*100/'2.vize'!$I93,"")</f>
        <v/>
      </c>
      <c r="AB194" s="38" t="str">
        <f>IFERROR('2.vize'!AM93*100/'2.vize'!$I93,"")</f>
        <v/>
      </c>
      <c r="AC194" s="38" t="str">
        <f>IFERROR('2.vize'!AN93*100/'2.vize'!$I93,"")</f>
        <v/>
      </c>
      <c r="AD194" s="38" t="str">
        <f>IFERROR('2.vize'!AO93*100/'2.vize'!$I93,"")</f>
        <v/>
      </c>
      <c r="AE194" s="38" t="str">
        <f>IFERROR('2.vize'!AP93*100/'2.vize'!$I93,"")</f>
        <v/>
      </c>
      <c r="AF194" s="38" t="str">
        <f>IFERROR('2.vize'!AQ93*100/'2.vize'!$I93,"")</f>
        <v/>
      </c>
      <c r="AG194" s="38" t="str">
        <f>IFERROR('2.vize'!AR93*100/'2.vize'!$I93,"")</f>
        <v/>
      </c>
      <c r="AH194" s="38" t="str">
        <f>IFERROR('2.vize'!AS93*100/'2.vize'!$I93,"")</f>
        <v/>
      </c>
      <c r="AI194" s="38" t="str">
        <f>IFERROR('2.vize'!AT93*100/'2.vize'!$I93,"")</f>
        <v/>
      </c>
      <c r="AJ194" s="38" t="str">
        <f>IFERROR('2.vize'!AU93*100/'2.vize'!$I93,"")</f>
        <v/>
      </c>
      <c r="AK194" s="38" t="str">
        <f>IFERROR('2.vize'!AV93*100/'2.vize'!$I93,"")</f>
        <v/>
      </c>
      <c r="AL194" s="38" t="str">
        <f>IFERROR('2.vize'!AW93*100/'2.vize'!$I93,"")</f>
        <v/>
      </c>
      <c r="AM194" s="38" t="str">
        <f>IFERROR('2.vize'!AX93*100/'2.vize'!$I93,"")</f>
        <v/>
      </c>
      <c r="AN194" s="38" t="str">
        <f>IFERROR('2.vize'!AY93*100/'2.vize'!$I93,"")</f>
        <v/>
      </c>
      <c r="AO194" s="38" t="str">
        <f>IFERROR('2.vize'!AZ93*100/'2.vize'!$I93,"")</f>
        <v/>
      </c>
      <c r="AP194" s="38" t="str">
        <f>IFERROR('2.vize'!BA93*100/'2.vize'!$I93,"")</f>
        <v/>
      </c>
      <c r="AQ194" s="38" t="str">
        <f>IFERROR('2.vize'!BB93*100/'2.vize'!$I93,"")</f>
        <v/>
      </c>
      <c r="AR194" s="38" t="str">
        <f>IFERROR('2.vize'!BC93*100/'2.vize'!$I93,"")</f>
        <v/>
      </c>
      <c r="AS194" s="38" t="str">
        <f>IFERROR('2.vize'!BD93*100/'2.vize'!$I93,"")</f>
        <v/>
      </c>
      <c r="AT194" s="38" t="str">
        <f>IFERROR('2.vize'!BE93*100/'2.vize'!$I93,"")</f>
        <v/>
      </c>
      <c r="AU194" s="38" t="str">
        <f>IFERROR('2.vize'!BF93*100/'2.vize'!$I93,"")</f>
        <v/>
      </c>
      <c r="AV194" s="38" t="str">
        <f>IFERROR('2.vize'!BG93*100/'2.vize'!$I93,"")</f>
        <v/>
      </c>
      <c r="AW194" s="38" t="str">
        <f>IFERROR('2.vize'!BH93*100/'2.vize'!$I93,"")</f>
        <v/>
      </c>
      <c r="AX194" s="38" t="str">
        <f>IFERROR('2.vize'!BI93*100/'2.vize'!$I93,"")</f>
        <v/>
      </c>
      <c r="AY194" s="38" t="str">
        <f>IFERROR('2.vize'!BJ93*100/'2.vize'!$I93,"")</f>
        <v/>
      </c>
      <c r="AZ194" s="38" t="str">
        <f>IFERROR('2.vize'!BK93*100/'2.vize'!$I93,"")</f>
        <v/>
      </c>
      <c r="BA194" s="38" t="str">
        <f>IFERROR('2.vize'!BL93*100/'2.vize'!$I93,"")</f>
        <v/>
      </c>
      <c r="BB194" s="38" t="str">
        <f>IFERROR('2.vize'!BM93*100/'2.vize'!$I93,"")</f>
        <v/>
      </c>
      <c r="BC194" s="38" t="str">
        <f>IFERROR('2.vize'!BN93*100/'2.vize'!$I93,"")</f>
        <v/>
      </c>
      <c r="BD194" s="38" t="str">
        <f>IFERROR('2.vize'!BO93*100/'2.vize'!$I93,"")</f>
        <v/>
      </c>
      <c r="BE194" s="38" t="str">
        <f>IFERROR('2.vize'!BP93*100/'2.vize'!$I93,"")</f>
        <v/>
      </c>
      <c r="BF194" s="38" t="str">
        <f>IFERROR('2.vize'!BQ93*100/'2.vize'!$I93,"")</f>
        <v/>
      </c>
      <c r="BG194" s="38" t="str">
        <f>IFERROR('2.vize'!BR93*100/'2.vize'!$I93,"")</f>
        <v/>
      </c>
      <c r="BH194" s="38" t="str">
        <f>IFERROR('2.vize'!BS93*100/'2.vize'!$I93,"")</f>
        <v/>
      </c>
      <c r="BI194" s="38" t="str">
        <f>IFERROR('2.vize'!BT93*100/'2.vize'!$I93,"")</f>
        <v/>
      </c>
      <c r="BJ194" s="38" t="str">
        <f>IFERROR('2.vize'!BU93*100/'2.vize'!$I93,"")</f>
        <v/>
      </c>
      <c r="BK194" s="38" t="str">
        <f>IFERROR('2.vize'!BV93*100/'2.vize'!$I93,"")</f>
        <v/>
      </c>
      <c r="BL194" s="38" t="str">
        <f>IFERROR('2.vize'!BW93*100/'2.vize'!$I93,"")</f>
        <v/>
      </c>
      <c r="BM194" s="38" t="str">
        <f>IFERROR('2.vize'!BX93*100/'2.vize'!$I93,"")</f>
        <v/>
      </c>
      <c r="BN194" s="38" t="str">
        <f>IFERROR('2.vize'!BY93*100/'2.vize'!$I93,"")</f>
        <v/>
      </c>
      <c r="BO194" s="38" t="str">
        <f>IFERROR('2.vize'!BZ93*100/'2.vize'!$I93,"")</f>
        <v/>
      </c>
      <c r="BP194" s="38" t="str">
        <f>IFERROR('2.vize'!CA93*100/'2.vize'!$I93,"")</f>
        <v/>
      </c>
      <c r="BQ194" s="38" t="str">
        <f>IFERROR('2.vize'!CB93*100/'2.vize'!$I93,"")</f>
        <v/>
      </c>
      <c r="BR194" s="38" t="str">
        <f>IFERROR('2.vize'!CC93*100/'2.vize'!$I93,"")</f>
        <v/>
      </c>
      <c r="BS194" s="38" t="str">
        <f>IFERROR('2.vize'!CD93*100/'2.vize'!$I93,"")</f>
        <v/>
      </c>
      <c r="BT194" s="38" t="str">
        <f>IFERROR('2.vize'!CE93*100/'2.vize'!$I93,"")</f>
        <v/>
      </c>
      <c r="BU194" s="38" t="str">
        <f>IFERROR('2.vize'!CF93*100/'2.vize'!$I93,"")</f>
        <v/>
      </c>
      <c r="BV194" s="38" t="str">
        <f>IFERROR('2.vize'!CG93*100/'2.vize'!$I93,"")</f>
        <v/>
      </c>
      <c r="BW194" s="38" t="str">
        <f>IFERROR('2.vize'!CH93*100/'2.vize'!$I93,"")</f>
        <v/>
      </c>
      <c r="BX194" s="38" t="str">
        <f>IFERROR('2.vize'!CI93*100/'2.vize'!$I93,"")</f>
        <v/>
      </c>
      <c r="BY194" s="38" t="str">
        <f>IFERROR('2.vize'!CJ93*100/'2.vize'!$I93,"")</f>
        <v/>
      </c>
      <c r="BZ194" s="38" t="str">
        <f>IFERROR('2.vize'!CK93*100/'2.vize'!$I93,"")</f>
        <v/>
      </c>
      <c r="CA194" s="38" t="str">
        <f>IFERROR('2.vize'!CL93*100/'2.vize'!$I93,"")</f>
        <v/>
      </c>
      <c r="CB194" s="38" t="str">
        <f>IFERROR('2.vize'!CM93*100/'2.vize'!$I93,"")</f>
        <v/>
      </c>
      <c r="CC194" s="38" t="str">
        <f>IFERROR('2.vize'!CN93*100/'2.vize'!$I93,"")</f>
        <v/>
      </c>
      <c r="CD194" s="38" t="str">
        <f>IFERROR('2.vize'!CO93*100/'2.vize'!$I93,"")</f>
        <v/>
      </c>
      <c r="CE194" s="38" t="str">
        <f>IFERROR('2.vize'!CP93*100/'2.vize'!$I93,"")</f>
        <v/>
      </c>
      <c r="CF194" s="38" t="str">
        <f>IFERROR('2.vize'!CQ93*100/'2.vize'!$I93,"")</f>
        <v/>
      </c>
      <c r="CG194" s="38" t="str">
        <f>IFERROR('2.vize'!CR93*100/'2.vize'!$I93,"")</f>
        <v/>
      </c>
      <c r="CH194" s="38" t="str">
        <f>IFERROR('2.vize'!CS93*100/'2.vize'!$I93,"")</f>
        <v/>
      </c>
      <c r="CI194" s="38" t="str">
        <f>IFERROR('2.vize'!CT93*100/'2.vize'!$I93,"")</f>
        <v/>
      </c>
      <c r="CJ194" s="38" t="str">
        <f>IFERROR('2.vize'!CU93*100/'2.vize'!$I93,"")</f>
        <v/>
      </c>
      <c r="CK194" s="38" t="str">
        <f>IFERROR('2.vize'!CV93*100/'2.vize'!$I93,"")</f>
        <v/>
      </c>
      <c r="CL194" s="38" t="str">
        <f>IFERROR('2.vize'!CW93*100/'2.vize'!$I93,"")</f>
        <v/>
      </c>
      <c r="CM194" s="38" t="str">
        <f>IFERROR('2.vize'!CX93*100/'2.vize'!$I93,"")</f>
        <v/>
      </c>
      <c r="CN194" s="38" t="str">
        <f>IFERROR('2.vize'!CY93*100/'2.vize'!$I93,"")</f>
        <v/>
      </c>
      <c r="CO194" s="38" t="str">
        <f>IFERROR('2.vize'!CZ93*100/'2.vize'!$I93,"")</f>
        <v/>
      </c>
      <c r="CP194" s="38" t="str">
        <f>IFERROR('2.vize'!DA93*100/'2.vize'!$I93,"")</f>
        <v/>
      </c>
      <c r="CQ194" s="38" t="str">
        <f>IFERROR('2.vize'!DB93*100/'2.vize'!$I93,"")</f>
        <v/>
      </c>
      <c r="CR194" s="38" t="str">
        <f>IFERROR('2.vize'!DC93*100/'2.vize'!$I93,"")</f>
        <v/>
      </c>
      <c r="CS194" s="38" t="str">
        <f>IFERROR('2.vize'!DD93*100/'2.vize'!$I93,"")</f>
        <v/>
      </c>
      <c r="CT194" s="38" t="str">
        <f>IFERROR('2.vize'!DE93*100/'2.vize'!$I93,"")</f>
        <v/>
      </c>
      <c r="CU194" s="38" t="str">
        <f>IFERROR('2.vize'!DF93*100/'2.vize'!$I93,"")</f>
        <v/>
      </c>
      <c r="CV194" s="38" t="str">
        <f>IFERROR('2.vize'!DG93*100/'2.vize'!$I93,"")</f>
        <v/>
      </c>
      <c r="CW194" s="32" t="str">
        <f>IFERROR(SUM(A194:CV194)/'2.vize'!$DH$103,"")</f>
        <v/>
      </c>
      <c r="CX194" s="14" t="str">
        <f>IF(COUNTA('2.vize'!A93),'2.vize'!A93,"")</f>
        <v/>
      </c>
      <c r="CY194" s="14" t="str">
        <f>IF(COUNTA('2.vize'!B93),'2.vize'!B93,"")</f>
        <v/>
      </c>
      <c r="CZ194" s="14" t="str">
        <f>IF(COUNTA('2.vize'!C93),'2.vize'!C93,"")</f>
        <v/>
      </c>
      <c r="DA194" s="14" t="str">
        <f>IF(COUNTA('2.vize'!D93),'2.vize'!D93,"")</f>
        <v/>
      </c>
      <c r="DB194" s="14" t="str">
        <f>IF(COUNTA('2.vize'!E93),'2.vize'!E93,"")</f>
        <v/>
      </c>
      <c r="DC194" s="14" t="str">
        <f>IF(COUNTA('2.vize'!F93),'2.vize'!F93,"")</f>
        <v/>
      </c>
      <c r="DD194" s="14" t="str">
        <f>IF(COUNTA('2.vize'!G93),'2.vize'!G93,"")</f>
        <v/>
      </c>
      <c r="DE194" s="14" t="str">
        <f>IF(COUNTA('2.vize'!H93),'2.vize'!H93,"")</f>
        <v/>
      </c>
    </row>
    <row r="195" spans="1:118" x14ac:dyDescent="0.2">
      <c r="A195" s="38" t="str">
        <f>IFERROR('2.vize'!L94*100/'2.vize'!$I94,"")</f>
        <v/>
      </c>
      <c r="B195" s="38" t="str">
        <f>IFERROR('2.vize'!M94*100/'2.vize'!$I94,"")</f>
        <v/>
      </c>
      <c r="C195" s="38" t="str">
        <f>IFERROR('2.vize'!N94*100/'2.vize'!$I94,"")</f>
        <v/>
      </c>
      <c r="D195" s="38" t="str">
        <f>IFERROR('2.vize'!O94*100/'2.vize'!$I94,"")</f>
        <v/>
      </c>
      <c r="E195" s="38" t="str">
        <f>IFERROR('2.vize'!P94*100/'2.vize'!$I94,"")</f>
        <v/>
      </c>
      <c r="F195" s="38" t="str">
        <f>IFERROR('2.vize'!Q94*100/'2.vize'!$I94,"")</f>
        <v/>
      </c>
      <c r="G195" s="38" t="str">
        <f>IFERROR('2.vize'!R94*100/'2.vize'!$I94,"")</f>
        <v/>
      </c>
      <c r="H195" s="38" t="str">
        <f>IFERROR('2.vize'!S94*100/'2.vize'!$I94,"")</f>
        <v/>
      </c>
      <c r="I195" s="38" t="str">
        <f>IFERROR('2.vize'!T94*100/'2.vize'!$I94,"")</f>
        <v/>
      </c>
      <c r="J195" s="38" t="str">
        <f>IFERROR('2.vize'!U94*100/'2.vize'!$I94,"")</f>
        <v/>
      </c>
      <c r="K195" s="38" t="str">
        <f>IFERROR('2.vize'!V94*100/'2.vize'!$I94,"")</f>
        <v/>
      </c>
      <c r="L195" s="38" t="str">
        <f>IFERROR('2.vize'!W94*100/'2.vize'!$I94,"")</f>
        <v/>
      </c>
      <c r="M195" s="38" t="str">
        <f>IFERROR('2.vize'!X94*100/'2.vize'!$I94,"")</f>
        <v/>
      </c>
      <c r="N195" s="38" t="str">
        <f>IFERROR('2.vize'!Y94*100/'2.vize'!$I94,"")</f>
        <v/>
      </c>
      <c r="O195" s="38" t="str">
        <f>IFERROR('2.vize'!Z94*100/'2.vize'!$I94,"")</f>
        <v/>
      </c>
      <c r="P195" s="38" t="str">
        <f>IFERROR('2.vize'!AA94*100/'2.vize'!$I94,"")</f>
        <v/>
      </c>
      <c r="Q195" s="38" t="str">
        <f>IFERROR('2.vize'!AB94*100/'2.vize'!$I94,"")</f>
        <v/>
      </c>
      <c r="R195" s="38" t="str">
        <f>IFERROR('2.vize'!AC94*100/'2.vize'!$I94,"")</f>
        <v/>
      </c>
      <c r="S195" s="38" t="str">
        <f>IFERROR('2.vize'!AD94*100/'2.vize'!$I94,"")</f>
        <v/>
      </c>
      <c r="T195" s="38" t="str">
        <f>IFERROR('2.vize'!AE94*100/'2.vize'!$I94,"")</f>
        <v/>
      </c>
      <c r="U195" s="38" t="str">
        <f>IFERROR('2.vize'!AF94*100/'2.vize'!$I94,"")</f>
        <v/>
      </c>
      <c r="V195" s="38" t="str">
        <f>IFERROR('2.vize'!AG94*100/'2.vize'!$I94,"")</f>
        <v/>
      </c>
      <c r="W195" s="38" t="str">
        <f>IFERROR('2.vize'!AH94*100/'2.vize'!$I94,"")</f>
        <v/>
      </c>
      <c r="X195" s="38" t="str">
        <f>IFERROR('2.vize'!AI94*100/'2.vize'!$I94,"")</f>
        <v/>
      </c>
      <c r="Y195" s="38" t="str">
        <f>IFERROR('2.vize'!AJ94*100/'2.vize'!$I94,"")</f>
        <v/>
      </c>
      <c r="Z195" s="38" t="str">
        <f>IFERROR('2.vize'!AK94*100/'2.vize'!$I94,"")</f>
        <v/>
      </c>
      <c r="AA195" s="38" t="str">
        <f>IFERROR('2.vize'!AL94*100/'2.vize'!$I94,"")</f>
        <v/>
      </c>
      <c r="AB195" s="38" t="str">
        <f>IFERROR('2.vize'!AM94*100/'2.vize'!$I94,"")</f>
        <v/>
      </c>
      <c r="AC195" s="38" t="str">
        <f>IFERROR('2.vize'!AN94*100/'2.vize'!$I94,"")</f>
        <v/>
      </c>
      <c r="AD195" s="38" t="str">
        <f>IFERROR('2.vize'!AO94*100/'2.vize'!$I94,"")</f>
        <v/>
      </c>
      <c r="AE195" s="38" t="str">
        <f>IFERROR('2.vize'!AP94*100/'2.vize'!$I94,"")</f>
        <v/>
      </c>
      <c r="AF195" s="38" t="str">
        <f>IFERROR('2.vize'!AQ94*100/'2.vize'!$I94,"")</f>
        <v/>
      </c>
      <c r="AG195" s="38" t="str">
        <f>IFERROR('2.vize'!AR94*100/'2.vize'!$I94,"")</f>
        <v/>
      </c>
      <c r="AH195" s="38" t="str">
        <f>IFERROR('2.vize'!AS94*100/'2.vize'!$I94,"")</f>
        <v/>
      </c>
      <c r="AI195" s="38" t="str">
        <f>IFERROR('2.vize'!AT94*100/'2.vize'!$I94,"")</f>
        <v/>
      </c>
      <c r="AJ195" s="38" t="str">
        <f>IFERROR('2.vize'!AU94*100/'2.vize'!$I94,"")</f>
        <v/>
      </c>
      <c r="AK195" s="38" t="str">
        <f>IFERROR('2.vize'!AV94*100/'2.vize'!$I94,"")</f>
        <v/>
      </c>
      <c r="AL195" s="38" t="str">
        <f>IFERROR('2.vize'!AW94*100/'2.vize'!$I94,"")</f>
        <v/>
      </c>
      <c r="AM195" s="38" t="str">
        <f>IFERROR('2.vize'!AX94*100/'2.vize'!$I94,"")</f>
        <v/>
      </c>
      <c r="AN195" s="38" t="str">
        <f>IFERROR('2.vize'!AY94*100/'2.vize'!$I94,"")</f>
        <v/>
      </c>
      <c r="AO195" s="38" t="str">
        <f>IFERROR('2.vize'!AZ94*100/'2.vize'!$I94,"")</f>
        <v/>
      </c>
      <c r="AP195" s="38" t="str">
        <f>IFERROR('2.vize'!BA94*100/'2.vize'!$I94,"")</f>
        <v/>
      </c>
      <c r="AQ195" s="38" t="str">
        <f>IFERROR('2.vize'!BB94*100/'2.vize'!$I94,"")</f>
        <v/>
      </c>
      <c r="AR195" s="38" t="str">
        <f>IFERROR('2.vize'!BC94*100/'2.vize'!$I94,"")</f>
        <v/>
      </c>
      <c r="AS195" s="38" t="str">
        <f>IFERROR('2.vize'!BD94*100/'2.vize'!$I94,"")</f>
        <v/>
      </c>
      <c r="AT195" s="38" t="str">
        <f>IFERROR('2.vize'!BE94*100/'2.vize'!$I94,"")</f>
        <v/>
      </c>
      <c r="AU195" s="38" t="str">
        <f>IFERROR('2.vize'!BF94*100/'2.vize'!$I94,"")</f>
        <v/>
      </c>
      <c r="AV195" s="38" t="str">
        <f>IFERROR('2.vize'!BG94*100/'2.vize'!$I94,"")</f>
        <v/>
      </c>
      <c r="AW195" s="38" t="str">
        <f>IFERROR('2.vize'!BH94*100/'2.vize'!$I94,"")</f>
        <v/>
      </c>
      <c r="AX195" s="38" t="str">
        <f>IFERROR('2.vize'!BI94*100/'2.vize'!$I94,"")</f>
        <v/>
      </c>
      <c r="AY195" s="38" t="str">
        <f>IFERROR('2.vize'!BJ94*100/'2.vize'!$I94,"")</f>
        <v/>
      </c>
      <c r="AZ195" s="38" t="str">
        <f>IFERROR('2.vize'!BK94*100/'2.vize'!$I94,"")</f>
        <v/>
      </c>
      <c r="BA195" s="38" t="str">
        <f>IFERROR('2.vize'!BL94*100/'2.vize'!$I94,"")</f>
        <v/>
      </c>
      <c r="BB195" s="38" t="str">
        <f>IFERROR('2.vize'!BM94*100/'2.vize'!$I94,"")</f>
        <v/>
      </c>
      <c r="BC195" s="38" t="str">
        <f>IFERROR('2.vize'!BN94*100/'2.vize'!$I94,"")</f>
        <v/>
      </c>
      <c r="BD195" s="38" t="str">
        <f>IFERROR('2.vize'!BO94*100/'2.vize'!$I94,"")</f>
        <v/>
      </c>
      <c r="BE195" s="38" t="str">
        <f>IFERROR('2.vize'!BP94*100/'2.vize'!$I94,"")</f>
        <v/>
      </c>
      <c r="BF195" s="38" t="str">
        <f>IFERROR('2.vize'!BQ94*100/'2.vize'!$I94,"")</f>
        <v/>
      </c>
      <c r="BG195" s="38" t="str">
        <f>IFERROR('2.vize'!BR94*100/'2.vize'!$I94,"")</f>
        <v/>
      </c>
      <c r="BH195" s="38" t="str">
        <f>IFERROR('2.vize'!BS94*100/'2.vize'!$I94,"")</f>
        <v/>
      </c>
      <c r="BI195" s="38" t="str">
        <f>IFERROR('2.vize'!BT94*100/'2.vize'!$I94,"")</f>
        <v/>
      </c>
      <c r="BJ195" s="38" t="str">
        <f>IFERROR('2.vize'!BU94*100/'2.vize'!$I94,"")</f>
        <v/>
      </c>
      <c r="BK195" s="38" t="str">
        <f>IFERROR('2.vize'!BV94*100/'2.vize'!$I94,"")</f>
        <v/>
      </c>
      <c r="BL195" s="38" t="str">
        <f>IFERROR('2.vize'!BW94*100/'2.vize'!$I94,"")</f>
        <v/>
      </c>
      <c r="BM195" s="38" t="str">
        <f>IFERROR('2.vize'!BX94*100/'2.vize'!$I94,"")</f>
        <v/>
      </c>
      <c r="BN195" s="38" t="str">
        <f>IFERROR('2.vize'!BY94*100/'2.vize'!$I94,"")</f>
        <v/>
      </c>
      <c r="BO195" s="38" t="str">
        <f>IFERROR('2.vize'!BZ94*100/'2.vize'!$I94,"")</f>
        <v/>
      </c>
      <c r="BP195" s="38" t="str">
        <f>IFERROR('2.vize'!CA94*100/'2.vize'!$I94,"")</f>
        <v/>
      </c>
      <c r="BQ195" s="38" t="str">
        <f>IFERROR('2.vize'!CB94*100/'2.vize'!$I94,"")</f>
        <v/>
      </c>
      <c r="BR195" s="38" t="str">
        <f>IFERROR('2.vize'!CC94*100/'2.vize'!$I94,"")</f>
        <v/>
      </c>
      <c r="BS195" s="38" t="str">
        <f>IFERROR('2.vize'!CD94*100/'2.vize'!$I94,"")</f>
        <v/>
      </c>
      <c r="BT195" s="38" t="str">
        <f>IFERROR('2.vize'!CE94*100/'2.vize'!$I94,"")</f>
        <v/>
      </c>
      <c r="BU195" s="38" t="str">
        <f>IFERROR('2.vize'!CF94*100/'2.vize'!$I94,"")</f>
        <v/>
      </c>
      <c r="BV195" s="38" t="str">
        <f>IFERROR('2.vize'!CG94*100/'2.vize'!$I94,"")</f>
        <v/>
      </c>
      <c r="BW195" s="38" t="str">
        <f>IFERROR('2.vize'!CH94*100/'2.vize'!$I94,"")</f>
        <v/>
      </c>
      <c r="BX195" s="38" t="str">
        <f>IFERROR('2.vize'!CI94*100/'2.vize'!$I94,"")</f>
        <v/>
      </c>
      <c r="BY195" s="38" t="str">
        <f>IFERROR('2.vize'!CJ94*100/'2.vize'!$I94,"")</f>
        <v/>
      </c>
      <c r="BZ195" s="38" t="str">
        <f>IFERROR('2.vize'!CK94*100/'2.vize'!$I94,"")</f>
        <v/>
      </c>
      <c r="CA195" s="38" t="str">
        <f>IFERROR('2.vize'!CL94*100/'2.vize'!$I94,"")</f>
        <v/>
      </c>
      <c r="CB195" s="38" t="str">
        <f>IFERROR('2.vize'!CM94*100/'2.vize'!$I94,"")</f>
        <v/>
      </c>
      <c r="CC195" s="38" t="str">
        <f>IFERROR('2.vize'!CN94*100/'2.vize'!$I94,"")</f>
        <v/>
      </c>
      <c r="CD195" s="38" t="str">
        <f>IFERROR('2.vize'!CO94*100/'2.vize'!$I94,"")</f>
        <v/>
      </c>
      <c r="CE195" s="38" t="str">
        <f>IFERROR('2.vize'!CP94*100/'2.vize'!$I94,"")</f>
        <v/>
      </c>
      <c r="CF195" s="38" t="str">
        <f>IFERROR('2.vize'!CQ94*100/'2.vize'!$I94,"")</f>
        <v/>
      </c>
      <c r="CG195" s="38" t="str">
        <f>IFERROR('2.vize'!CR94*100/'2.vize'!$I94,"")</f>
        <v/>
      </c>
      <c r="CH195" s="38" t="str">
        <f>IFERROR('2.vize'!CS94*100/'2.vize'!$I94,"")</f>
        <v/>
      </c>
      <c r="CI195" s="38" t="str">
        <f>IFERROR('2.vize'!CT94*100/'2.vize'!$I94,"")</f>
        <v/>
      </c>
      <c r="CJ195" s="38" t="str">
        <f>IFERROR('2.vize'!CU94*100/'2.vize'!$I94,"")</f>
        <v/>
      </c>
      <c r="CK195" s="38" t="str">
        <f>IFERROR('2.vize'!CV94*100/'2.vize'!$I94,"")</f>
        <v/>
      </c>
      <c r="CL195" s="38" t="str">
        <f>IFERROR('2.vize'!CW94*100/'2.vize'!$I94,"")</f>
        <v/>
      </c>
      <c r="CM195" s="38" t="str">
        <f>IFERROR('2.vize'!CX94*100/'2.vize'!$I94,"")</f>
        <v/>
      </c>
      <c r="CN195" s="38" t="str">
        <f>IFERROR('2.vize'!CY94*100/'2.vize'!$I94,"")</f>
        <v/>
      </c>
      <c r="CO195" s="38" t="str">
        <f>IFERROR('2.vize'!CZ94*100/'2.vize'!$I94,"")</f>
        <v/>
      </c>
      <c r="CP195" s="38" t="str">
        <f>IFERROR('2.vize'!DA94*100/'2.vize'!$I94,"")</f>
        <v/>
      </c>
      <c r="CQ195" s="38" t="str">
        <f>IFERROR('2.vize'!DB94*100/'2.vize'!$I94,"")</f>
        <v/>
      </c>
      <c r="CR195" s="38" t="str">
        <f>IFERROR('2.vize'!DC94*100/'2.vize'!$I94,"")</f>
        <v/>
      </c>
      <c r="CS195" s="38" t="str">
        <f>IFERROR('2.vize'!DD94*100/'2.vize'!$I94,"")</f>
        <v/>
      </c>
      <c r="CT195" s="38" t="str">
        <f>IFERROR('2.vize'!DE94*100/'2.vize'!$I94,"")</f>
        <v/>
      </c>
      <c r="CU195" s="38" t="str">
        <f>IFERROR('2.vize'!DF94*100/'2.vize'!$I94,"")</f>
        <v/>
      </c>
      <c r="CV195" s="38" t="str">
        <f>IFERROR('2.vize'!DG94*100/'2.vize'!$I94,"")</f>
        <v/>
      </c>
      <c r="CW195" s="32" t="str">
        <f>IFERROR(SUM(A195:CV195)/'2.vize'!$DH$103,"")</f>
        <v/>
      </c>
      <c r="CX195" s="14" t="str">
        <f>IF(COUNTA('2.vize'!A94),'2.vize'!A94,"")</f>
        <v/>
      </c>
      <c r="CY195" s="14" t="str">
        <f>IF(COUNTA('2.vize'!B94),'2.vize'!B94,"")</f>
        <v/>
      </c>
      <c r="CZ195" s="14" t="str">
        <f>IF(COUNTA('2.vize'!C94),'2.vize'!C94,"")</f>
        <v/>
      </c>
      <c r="DA195" s="14" t="str">
        <f>IF(COUNTA('2.vize'!D94),'2.vize'!D94,"")</f>
        <v/>
      </c>
      <c r="DB195" s="14" t="str">
        <f>IF(COUNTA('2.vize'!E94),'2.vize'!E94,"")</f>
        <v/>
      </c>
      <c r="DC195" s="14" t="str">
        <f>IF(COUNTA('2.vize'!F94),'2.vize'!F94,"")</f>
        <v/>
      </c>
      <c r="DD195" s="14" t="str">
        <f>IF(COUNTA('2.vize'!G94),'2.vize'!G94,"")</f>
        <v/>
      </c>
      <c r="DE195" s="14" t="str">
        <f>IF(COUNTA('2.vize'!H94),'2.vize'!H94,"")</f>
        <v/>
      </c>
    </row>
    <row r="196" spans="1:118" x14ac:dyDescent="0.2">
      <c r="A196" s="38" t="str">
        <f>IFERROR('2.vize'!L95*100/'2.vize'!$I95,"")</f>
        <v/>
      </c>
      <c r="B196" s="38" t="str">
        <f>IFERROR('2.vize'!M95*100/'2.vize'!$I95,"")</f>
        <v/>
      </c>
      <c r="C196" s="38" t="str">
        <f>IFERROR('2.vize'!N95*100/'2.vize'!$I95,"")</f>
        <v/>
      </c>
      <c r="D196" s="38" t="str">
        <f>IFERROR('2.vize'!O95*100/'2.vize'!$I95,"")</f>
        <v/>
      </c>
      <c r="E196" s="38" t="str">
        <f>IFERROR('2.vize'!P95*100/'2.vize'!$I95,"")</f>
        <v/>
      </c>
      <c r="F196" s="38" t="str">
        <f>IFERROR('2.vize'!Q95*100/'2.vize'!$I95,"")</f>
        <v/>
      </c>
      <c r="G196" s="38" t="str">
        <f>IFERROR('2.vize'!R95*100/'2.vize'!$I95,"")</f>
        <v/>
      </c>
      <c r="H196" s="38" t="str">
        <f>IFERROR('2.vize'!S95*100/'2.vize'!$I95,"")</f>
        <v/>
      </c>
      <c r="I196" s="38" t="str">
        <f>IFERROR('2.vize'!T95*100/'2.vize'!$I95,"")</f>
        <v/>
      </c>
      <c r="J196" s="38" t="str">
        <f>IFERROR('2.vize'!U95*100/'2.vize'!$I95,"")</f>
        <v/>
      </c>
      <c r="K196" s="38" t="str">
        <f>IFERROR('2.vize'!V95*100/'2.vize'!$I95,"")</f>
        <v/>
      </c>
      <c r="L196" s="38" t="str">
        <f>IFERROR('2.vize'!W95*100/'2.vize'!$I95,"")</f>
        <v/>
      </c>
      <c r="M196" s="38" t="str">
        <f>IFERROR('2.vize'!X95*100/'2.vize'!$I95,"")</f>
        <v/>
      </c>
      <c r="N196" s="38" t="str">
        <f>IFERROR('2.vize'!Y95*100/'2.vize'!$I95,"")</f>
        <v/>
      </c>
      <c r="O196" s="38" t="str">
        <f>IFERROR('2.vize'!Z95*100/'2.vize'!$I95,"")</f>
        <v/>
      </c>
      <c r="P196" s="38" t="str">
        <f>IFERROR('2.vize'!AA95*100/'2.vize'!$I95,"")</f>
        <v/>
      </c>
      <c r="Q196" s="38" t="str">
        <f>IFERROR('2.vize'!AB95*100/'2.vize'!$I95,"")</f>
        <v/>
      </c>
      <c r="R196" s="38" t="str">
        <f>IFERROR('2.vize'!AC95*100/'2.vize'!$I95,"")</f>
        <v/>
      </c>
      <c r="S196" s="38" t="str">
        <f>IFERROR('2.vize'!AD95*100/'2.vize'!$I95,"")</f>
        <v/>
      </c>
      <c r="T196" s="38" t="str">
        <f>IFERROR('2.vize'!AE95*100/'2.vize'!$I95,"")</f>
        <v/>
      </c>
      <c r="U196" s="38" t="str">
        <f>IFERROR('2.vize'!AF95*100/'2.vize'!$I95,"")</f>
        <v/>
      </c>
      <c r="V196" s="38" t="str">
        <f>IFERROR('2.vize'!AG95*100/'2.vize'!$I95,"")</f>
        <v/>
      </c>
      <c r="W196" s="38" t="str">
        <f>IFERROR('2.vize'!AH95*100/'2.vize'!$I95,"")</f>
        <v/>
      </c>
      <c r="X196" s="38" t="str">
        <f>IFERROR('2.vize'!AI95*100/'2.vize'!$I95,"")</f>
        <v/>
      </c>
      <c r="Y196" s="38" t="str">
        <f>IFERROR('2.vize'!AJ95*100/'2.vize'!$I95,"")</f>
        <v/>
      </c>
      <c r="Z196" s="38" t="str">
        <f>IFERROR('2.vize'!AK95*100/'2.vize'!$I95,"")</f>
        <v/>
      </c>
      <c r="AA196" s="38" t="str">
        <f>IFERROR('2.vize'!AL95*100/'2.vize'!$I95,"")</f>
        <v/>
      </c>
      <c r="AB196" s="38" t="str">
        <f>IFERROR('2.vize'!AM95*100/'2.vize'!$I95,"")</f>
        <v/>
      </c>
      <c r="AC196" s="38" t="str">
        <f>IFERROR('2.vize'!AN95*100/'2.vize'!$I95,"")</f>
        <v/>
      </c>
      <c r="AD196" s="38" t="str">
        <f>IFERROR('2.vize'!AO95*100/'2.vize'!$I95,"")</f>
        <v/>
      </c>
      <c r="AE196" s="38" t="str">
        <f>IFERROR('2.vize'!AP95*100/'2.vize'!$I95,"")</f>
        <v/>
      </c>
      <c r="AF196" s="38" t="str">
        <f>IFERROR('2.vize'!AQ95*100/'2.vize'!$I95,"")</f>
        <v/>
      </c>
      <c r="AG196" s="38" t="str">
        <f>IFERROR('2.vize'!AR95*100/'2.vize'!$I95,"")</f>
        <v/>
      </c>
      <c r="AH196" s="38" t="str">
        <f>IFERROR('2.vize'!AS95*100/'2.vize'!$I95,"")</f>
        <v/>
      </c>
      <c r="AI196" s="38" t="str">
        <f>IFERROR('2.vize'!AT95*100/'2.vize'!$I95,"")</f>
        <v/>
      </c>
      <c r="AJ196" s="38" t="str">
        <f>IFERROR('2.vize'!AU95*100/'2.vize'!$I95,"")</f>
        <v/>
      </c>
      <c r="AK196" s="38" t="str">
        <f>IFERROR('2.vize'!AV95*100/'2.vize'!$I95,"")</f>
        <v/>
      </c>
      <c r="AL196" s="38" t="str">
        <f>IFERROR('2.vize'!AW95*100/'2.vize'!$I95,"")</f>
        <v/>
      </c>
      <c r="AM196" s="38" t="str">
        <f>IFERROR('2.vize'!AX95*100/'2.vize'!$I95,"")</f>
        <v/>
      </c>
      <c r="AN196" s="38" t="str">
        <f>IFERROR('2.vize'!AY95*100/'2.vize'!$I95,"")</f>
        <v/>
      </c>
      <c r="AO196" s="38" t="str">
        <f>IFERROR('2.vize'!AZ95*100/'2.vize'!$I95,"")</f>
        <v/>
      </c>
      <c r="AP196" s="38" t="str">
        <f>IFERROR('2.vize'!BA95*100/'2.vize'!$I95,"")</f>
        <v/>
      </c>
      <c r="AQ196" s="38" t="str">
        <f>IFERROR('2.vize'!BB95*100/'2.vize'!$I95,"")</f>
        <v/>
      </c>
      <c r="AR196" s="38" t="str">
        <f>IFERROR('2.vize'!BC95*100/'2.vize'!$I95,"")</f>
        <v/>
      </c>
      <c r="AS196" s="38" t="str">
        <f>IFERROR('2.vize'!BD95*100/'2.vize'!$I95,"")</f>
        <v/>
      </c>
      <c r="AT196" s="38" t="str">
        <f>IFERROR('2.vize'!BE95*100/'2.vize'!$I95,"")</f>
        <v/>
      </c>
      <c r="AU196" s="38" t="str">
        <f>IFERROR('2.vize'!BF95*100/'2.vize'!$I95,"")</f>
        <v/>
      </c>
      <c r="AV196" s="38" t="str">
        <f>IFERROR('2.vize'!BG95*100/'2.vize'!$I95,"")</f>
        <v/>
      </c>
      <c r="AW196" s="38" t="str">
        <f>IFERROR('2.vize'!BH95*100/'2.vize'!$I95,"")</f>
        <v/>
      </c>
      <c r="AX196" s="38" t="str">
        <f>IFERROR('2.vize'!BI95*100/'2.vize'!$I95,"")</f>
        <v/>
      </c>
      <c r="AY196" s="38" t="str">
        <f>IFERROR('2.vize'!BJ95*100/'2.vize'!$I95,"")</f>
        <v/>
      </c>
      <c r="AZ196" s="38" t="str">
        <f>IFERROR('2.vize'!BK95*100/'2.vize'!$I95,"")</f>
        <v/>
      </c>
      <c r="BA196" s="38" t="str">
        <f>IFERROR('2.vize'!BL95*100/'2.vize'!$I95,"")</f>
        <v/>
      </c>
      <c r="BB196" s="38" t="str">
        <f>IFERROR('2.vize'!BM95*100/'2.vize'!$I95,"")</f>
        <v/>
      </c>
      <c r="BC196" s="38" t="str">
        <f>IFERROR('2.vize'!BN95*100/'2.vize'!$I95,"")</f>
        <v/>
      </c>
      <c r="BD196" s="38" t="str">
        <f>IFERROR('2.vize'!BO95*100/'2.vize'!$I95,"")</f>
        <v/>
      </c>
      <c r="BE196" s="38" t="str">
        <f>IFERROR('2.vize'!BP95*100/'2.vize'!$I95,"")</f>
        <v/>
      </c>
      <c r="BF196" s="38" t="str">
        <f>IFERROR('2.vize'!BQ95*100/'2.vize'!$I95,"")</f>
        <v/>
      </c>
      <c r="BG196" s="38" t="str">
        <f>IFERROR('2.vize'!BR95*100/'2.vize'!$I95,"")</f>
        <v/>
      </c>
      <c r="BH196" s="38" t="str">
        <f>IFERROR('2.vize'!BS95*100/'2.vize'!$I95,"")</f>
        <v/>
      </c>
      <c r="BI196" s="38" t="str">
        <f>IFERROR('2.vize'!BT95*100/'2.vize'!$I95,"")</f>
        <v/>
      </c>
      <c r="BJ196" s="38" t="str">
        <f>IFERROR('2.vize'!BU95*100/'2.vize'!$I95,"")</f>
        <v/>
      </c>
      <c r="BK196" s="38" t="str">
        <f>IFERROR('2.vize'!BV95*100/'2.vize'!$I95,"")</f>
        <v/>
      </c>
      <c r="BL196" s="38" t="str">
        <f>IFERROR('2.vize'!BW95*100/'2.vize'!$I95,"")</f>
        <v/>
      </c>
      <c r="BM196" s="38" t="str">
        <f>IFERROR('2.vize'!BX95*100/'2.vize'!$I95,"")</f>
        <v/>
      </c>
      <c r="BN196" s="38" t="str">
        <f>IFERROR('2.vize'!BY95*100/'2.vize'!$I95,"")</f>
        <v/>
      </c>
      <c r="BO196" s="38" t="str">
        <f>IFERROR('2.vize'!BZ95*100/'2.vize'!$I95,"")</f>
        <v/>
      </c>
      <c r="BP196" s="38" t="str">
        <f>IFERROR('2.vize'!CA95*100/'2.vize'!$I95,"")</f>
        <v/>
      </c>
      <c r="BQ196" s="38" t="str">
        <f>IFERROR('2.vize'!CB95*100/'2.vize'!$I95,"")</f>
        <v/>
      </c>
      <c r="BR196" s="38" t="str">
        <f>IFERROR('2.vize'!CC95*100/'2.vize'!$I95,"")</f>
        <v/>
      </c>
      <c r="BS196" s="38" t="str">
        <f>IFERROR('2.vize'!CD95*100/'2.vize'!$I95,"")</f>
        <v/>
      </c>
      <c r="BT196" s="38" t="str">
        <f>IFERROR('2.vize'!CE95*100/'2.vize'!$I95,"")</f>
        <v/>
      </c>
      <c r="BU196" s="38" t="str">
        <f>IFERROR('2.vize'!CF95*100/'2.vize'!$I95,"")</f>
        <v/>
      </c>
      <c r="BV196" s="38" t="str">
        <f>IFERROR('2.vize'!CG95*100/'2.vize'!$I95,"")</f>
        <v/>
      </c>
      <c r="BW196" s="38" t="str">
        <f>IFERROR('2.vize'!CH95*100/'2.vize'!$I95,"")</f>
        <v/>
      </c>
      <c r="BX196" s="38" t="str">
        <f>IFERROR('2.vize'!CI95*100/'2.vize'!$I95,"")</f>
        <v/>
      </c>
      <c r="BY196" s="38" t="str">
        <f>IFERROR('2.vize'!CJ95*100/'2.vize'!$I95,"")</f>
        <v/>
      </c>
      <c r="BZ196" s="38" t="str">
        <f>IFERROR('2.vize'!CK95*100/'2.vize'!$I95,"")</f>
        <v/>
      </c>
      <c r="CA196" s="38" t="str">
        <f>IFERROR('2.vize'!CL95*100/'2.vize'!$I95,"")</f>
        <v/>
      </c>
      <c r="CB196" s="38" t="str">
        <f>IFERROR('2.vize'!CM95*100/'2.vize'!$I95,"")</f>
        <v/>
      </c>
      <c r="CC196" s="38" t="str">
        <f>IFERROR('2.vize'!CN95*100/'2.vize'!$I95,"")</f>
        <v/>
      </c>
      <c r="CD196" s="38" t="str">
        <f>IFERROR('2.vize'!CO95*100/'2.vize'!$I95,"")</f>
        <v/>
      </c>
      <c r="CE196" s="38" t="str">
        <f>IFERROR('2.vize'!CP95*100/'2.vize'!$I95,"")</f>
        <v/>
      </c>
      <c r="CF196" s="38" t="str">
        <f>IFERROR('2.vize'!CQ95*100/'2.vize'!$I95,"")</f>
        <v/>
      </c>
      <c r="CG196" s="38" t="str">
        <f>IFERROR('2.vize'!CR95*100/'2.vize'!$I95,"")</f>
        <v/>
      </c>
      <c r="CH196" s="38" t="str">
        <f>IFERROR('2.vize'!CS95*100/'2.vize'!$I95,"")</f>
        <v/>
      </c>
      <c r="CI196" s="38" t="str">
        <f>IFERROR('2.vize'!CT95*100/'2.vize'!$I95,"")</f>
        <v/>
      </c>
      <c r="CJ196" s="38" t="str">
        <f>IFERROR('2.vize'!CU95*100/'2.vize'!$I95,"")</f>
        <v/>
      </c>
      <c r="CK196" s="38" t="str">
        <f>IFERROR('2.vize'!CV95*100/'2.vize'!$I95,"")</f>
        <v/>
      </c>
      <c r="CL196" s="38" t="str">
        <f>IFERROR('2.vize'!CW95*100/'2.vize'!$I95,"")</f>
        <v/>
      </c>
      <c r="CM196" s="38" t="str">
        <f>IFERROR('2.vize'!CX95*100/'2.vize'!$I95,"")</f>
        <v/>
      </c>
      <c r="CN196" s="38" t="str">
        <f>IFERROR('2.vize'!CY95*100/'2.vize'!$I95,"")</f>
        <v/>
      </c>
      <c r="CO196" s="38" t="str">
        <f>IFERROR('2.vize'!CZ95*100/'2.vize'!$I95,"")</f>
        <v/>
      </c>
      <c r="CP196" s="38" t="str">
        <f>IFERROR('2.vize'!DA95*100/'2.vize'!$I95,"")</f>
        <v/>
      </c>
      <c r="CQ196" s="38" t="str">
        <f>IFERROR('2.vize'!DB95*100/'2.vize'!$I95,"")</f>
        <v/>
      </c>
      <c r="CR196" s="38" t="str">
        <f>IFERROR('2.vize'!DC95*100/'2.vize'!$I95,"")</f>
        <v/>
      </c>
      <c r="CS196" s="38" t="str">
        <f>IFERROR('2.vize'!DD95*100/'2.vize'!$I95,"")</f>
        <v/>
      </c>
      <c r="CT196" s="38" t="str">
        <f>IFERROR('2.vize'!DE95*100/'2.vize'!$I95,"")</f>
        <v/>
      </c>
      <c r="CU196" s="38" t="str">
        <f>IFERROR('2.vize'!DF95*100/'2.vize'!$I95,"")</f>
        <v/>
      </c>
      <c r="CV196" s="38" t="str">
        <f>IFERROR('2.vize'!DG95*100/'2.vize'!$I95,"")</f>
        <v/>
      </c>
      <c r="CW196" s="32" t="str">
        <f>IFERROR(SUM(A196:CV196)/'2.vize'!$DH$103,"")</f>
        <v/>
      </c>
      <c r="CX196" s="14" t="str">
        <f>IF(COUNTA('2.vize'!A95),'2.vize'!A95,"")</f>
        <v/>
      </c>
      <c r="CY196" s="14" t="str">
        <f>IF(COUNTA('2.vize'!B95),'2.vize'!B95,"")</f>
        <v/>
      </c>
      <c r="CZ196" s="14" t="str">
        <f>IF(COUNTA('2.vize'!C95),'2.vize'!C95,"")</f>
        <v/>
      </c>
      <c r="DA196" s="14" t="str">
        <f>IF(COUNTA('2.vize'!D95),'2.vize'!D95,"")</f>
        <v/>
      </c>
      <c r="DB196" s="14" t="str">
        <f>IF(COUNTA('2.vize'!E95),'2.vize'!E95,"")</f>
        <v/>
      </c>
      <c r="DC196" s="14" t="str">
        <f>IF(COUNTA('2.vize'!F95),'2.vize'!F95,"")</f>
        <v/>
      </c>
      <c r="DD196" s="14" t="str">
        <f>IF(COUNTA('2.vize'!G95),'2.vize'!G95,"")</f>
        <v/>
      </c>
      <c r="DE196" s="14" t="str">
        <f>IF(COUNTA('2.vize'!H95),'2.vize'!H95,"")</f>
        <v/>
      </c>
    </row>
    <row r="197" spans="1:118" x14ac:dyDescent="0.2">
      <c r="A197" s="38" t="str">
        <f>IFERROR('2.vize'!L96*100/'2.vize'!$I96,"")</f>
        <v/>
      </c>
      <c r="B197" s="38" t="str">
        <f>IFERROR('2.vize'!M96*100/'2.vize'!$I96,"")</f>
        <v/>
      </c>
      <c r="C197" s="38" t="str">
        <f>IFERROR('2.vize'!N96*100/'2.vize'!$I96,"")</f>
        <v/>
      </c>
      <c r="D197" s="38" t="str">
        <f>IFERROR('2.vize'!O96*100/'2.vize'!$I96,"")</f>
        <v/>
      </c>
      <c r="E197" s="38" t="str">
        <f>IFERROR('2.vize'!P96*100/'2.vize'!$I96,"")</f>
        <v/>
      </c>
      <c r="F197" s="38" t="str">
        <f>IFERROR('2.vize'!Q96*100/'2.vize'!$I96,"")</f>
        <v/>
      </c>
      <c r="G197" s="38" t="str">
        <f>IFERROR('2.vize'!R96*100/'2.vize'!$I96,"")</f>
        <v/>
      </c>
      <c r="H197" s="38" t="str">
        <f>IFERROR('2.vize'!S96*100/'2.vize'!$I96,"")</f>
        <v/>
      </c>
      <c r="I197" s="38" t="str">
        <f>IFERROR('2.vize'!T96*100/'2.vize'!$I96,"")</f>
        <v/>
      </c>
      <c r="J197" s="38" t="str">
        <f>IFERROR('2.vize'!U96*100/'2.vize'!$I96,"")</f>
        <v/>
      </c>
      <c r="K197" s="38" t="str">
        <f>IFERROR('2.vize'!V96*100/'2.vize'!$I96,"")</f>
        <v/>
      </c>
      <c r="L197" s="38" t="str">
        <f>IFERROR('2.vize'!W96*100/'2.vize'!$I96,"")</f>
        <v/>
      </c>
      <c r="M197" s="38" t="str">
        <f>IFERROR('2.vize'!X96*100/'2.vize'!$I96,"")</f>
        <v/>
      </c>
      <c r="N197" s="38" t="str">
        <f>IFERROR('2.vize'!Y96*100/'2.vize'!$I96,"")</f>
        <v/>
      </c>
      <c r="O197" s="38" t="str">
        <f>IFERROR('2.vize'!Z96*100/'2.vize'!$I96,"")</f>
        <v/>
      </c>
      <c r="P197" s="38" t="str">
        <f>IFERROR('2.vize'!AA96*100/'2.vize'!$I96,"")</f>
        <v/>
      </c>
      <c r="Q197" s="38" t="str">
        <f>IFERROR('2.vize'!AB96*100/'2.vize'!$I96,"")</f>
        <v/>
      </c>
      <c r="R197" s="38" t="str">
        <f>IFERROR('2.vize'!AC96*100/'2.vize'!$I96,"")</f>
        <v/>
      </c>
      <c r="S197" s="38" t="str">
        <f>IFERROR('2.vize'!AD96*100/'2.vize'!$I96,"")</f>
        <v/>
      </c>
      <c r="T197" s="38" t="str">
        <f>IFERROR('2.vize'!AE96*100/'2.vize'!$I96,"")</f>
        <v/>
      </c>
      <c r="U197" s="38" t="str">
        <f>IFERROR('2.vize'!AF96*100/'2.vize'!$I96,"")</f>
        <v/>
      </c>
      <c r="V197" s="38" t="str">
        <f>IFERROR('2.vize'!AG96*100/'2.vize'!$I96,"")</f>
        <v/>
      </c>
      <c r="W197" s="38" t="str">
        <f>IFERROR('2.vize'!AH96*100/'2.vize'!$I96,"")</f>
        <v/>
      </c>
      <c r="X197" s="38" t="str">
        <f>IFERROR('2.vize'!AI96*100/'2.vize'!$I96,"")</f>
        <v/>
      </c>
      <c r="Y197" s="38" t="str">
        <f>IFERROR('2.vize'!AJ96*100/'2.vize'!$I96,"")</f>
        <v/>
      </c>
      <c r="Z197" s="38" t="str">
        <f>IFERROR('2.vize'!AK96*100/'2.vize'!$I96,"")</f>
        <v/>
      </c>
      <c r="AA197" s="38" t="str">
        <f>IFERROR('2.vize'!AL96*100/'2.vize'!$I96,"")</f>
        <v/>
      </c>
      <c r="AB197" s="38" t="str">
        <f>IFERROR('2.vize'!AM96*100/'2.vize'!$I96,"")</f>
        <v/>
      </c>
      <c r="AC197" s="38" t="str">
        <f>IFERROR('2.vize'!AN96*100/'2.vize'!$I96,"")</f>
        <v/>
      </c>
      <c r="AD197" s="38" t="str">
        <f>IFERROR('2.vize'!AO96*100/'2.vize'!$I96,"")</f>
        <v/>
      </c>
      <c r="AE197" s="38" t="str">
        <f>IFERROR('2.vize'!AP96*100/'2.vize'!$I96,"")</f>
        <v/>
      </c>
      <c r="AF197" s="38" t="str">
        <f>IFERROR('2.vize'!AQ96*100/'2.vize'!$I96,"")</f>
        <v/>
      </c>
      <c r="AG197" s="38" t="str">
        <f>IFERROR('2.vize'!AR96*100/'2.vize'!$I96,"")</f>
        <v/>
      </c>
      <c r="AH197" s="38" t="str">
        <f>IFERROR('2.vize'!AS96*100/'2.vize'!$I96,"")</f>
        <v/>
      </c>
      <c r="AI197" s="38" t="str">
        <f>IFERROR('2.vize'!AT96*100/'2.vize'!$I96,"")</f>
        <v/>
      </c>
      <c r="AJ197" s="38" t="str">
        <f>IFERROR('2.vize'!AU96*100/'2.vize'!$I96,"")</f>
        <v/>
      </c>
      <c r="AK197" s="38" t="str">
        <f>IFERROR('2.vize'!AV96*100/'2.vize'!$I96,"")</f>
        <v/>
      </c>
      <c r="AL197" s="38" t="str">
        <f>IFERROR('2.vize'!AW96*100/'2.vize'!$I96,"")</f>
        <v/>
      </c>
      <c r="AM197" s="38" t="str">
        <f>IFERROR('2.vize'!AX96*100/'2.vize'!$I96,"")</f>
        <v/>
      </c>
      <c r="AN197" s="38" t="str">
        <f>IFERROR('2.vize'!AY96*100/'2.vize'!$I96,"")</f>
        <v/>
      </c>
      <c r="AO197" s="38" t="str">
        <f>IFERROR('2.vize'!AZ96*100/'2.vize'!$I96,"")</f>
        <v/>
      </c>
      <c r="AP197" s="38" t="str">
        <f>IFERROR('2.vize'!BA96*100/'2.vize'!$I96,"")</f>
        <v/>
      </c>
      <c r="AQ197" s="38" t="str">
        <f>IFERROR('2.vize'!BB96*100/'2.vize'!$I96,"")</f>
        <v/>
      </c>
      <c r="AR197" s="38" t="str">
        <f>IFERROR('2.vize'!BC96*100/'2.vize'!$I96,"")</f>
        <v/>
      </c>
      <c r="AS197" s="38" t="str">
        <f>IFERROR('2.vize'!BD96*100/'2.vize'!$I96,"")</f>
        <v/>
      </c>
      <c r="AT197" s="38" t="str">
        <f>IFERROR('2.vize'!BE96*100/'2.vize'!$I96,"")</f>
        <v/>
      </c>
      <c r="AU197" s="38" t="str">
        <f>IFERROR('2.vize'!BF96*100/'2.vize'!$I96,"")</f>
        <v/>
      </c>
      <c r="AV197" s="38" t="str">
        <f>IFERROR('2.vize'!BG96*100/'2.vize'!$I96,"")</f>
        <v/>
      </c>
      <c r="AW197" s="38" t="str">
        <f>IFERROR('2.vize'!BH96*100/'2.vize'!$I96,"")</f>
        <v/>
      </c>
      <c r="AX197" s="38" t="str">
        <f>IFERROR('2.vize'!BI96*100/'2.vize'!$I96,"")</f>
        <v/>
      </c>
      <c r="AY197" s="38" t="str">
        <f>IFERROR('2.vize'!BJ96*100/'2.vize'!$I96,"")</f>
        <v/>
      </c>
      <c r="AZ197" s="38" t="str">
        <f>IFERROR('2.vize'!BK96*100/'2.vize'!$I96,"")</f>
        <v/>
      </c>
      <c r="BA197" s="38" t="str">
        <f>IFERROR('2.vize'!BL96*100/'2.vize'!$I96,"")</f>
        <v/>
      </c>
      <c r="BB197" s="38" t="str">
        <f>IFERROR('2.vize'!BM96*100/'2.vize'!$I96,"")</f>
        <v/>
      </c>
      <c r="BC197" s="38" t="str">
        <f>IFERROR('2.vize'!BN96*100/'2.vize'!$I96,"")</f>
        <v/>
      </c>
      <c r="BD197" s="38" t="str">
        <f>IFERROR('2.vize'!BO96*100/'2.vize'!$I96,"")</f>
        <v/>
      </c>
      <c r="BE197" s="38" t="str">
        <f>IFERROR('2.vize'!BP96*100/'2.vize'!$I96,"")</f>
        <v/>
      </c>
      <c r="BF197" s="38" t="str">
        <f>IFERROR('2.vize'!BQ96*100/'2.vize'!$I96,"")</f>
        <v/>
      </c>
      <c r="BG197" s="38" t="str">
        <f>IFERROR('2.vize'!BR96*100/'2.vize'!$I96,"")</f>
        <v/>
      </c>
      <c r="BH197" s="38" t="str">
        <f>IFERROR('2.vize'!BS96*100/'2.vize'!$I96,"")</f>
        <v/>
      </c>
      <c r="BI197" s="38" t="str">
        <f>IFERROR('2.vize'!BT96*100/'2.vize'!$I96,"")</f>
        <v/>
      </c>
      <c r="BJ197" s="38" t="str">
        <f>IFERROR('2.vize'!BU96*100/'2.vize'!$I96,"")</f>
        <v/>
      </c>
      <c r="BK197" s="38" t="str">
        <f>IFERROR('2.vize'!BV96*100/'2.vize'!$I96,"")</f>
        <v/>
      </c>
      <c r="BL197" s="38" t="str">
        <f>IFERROR('2.vize'!BW96*100/'2.vize'!$I96,"")</f>
        <v/>
      </c>
      <c r="BM197" s="38" t="str">
        <f>IFERROR('2.vize'!BX96*100/'2.vize'!$I96,"")</f>
        <v/>
      </c>
      <c r="BN197" s="38" t="str">
        <f>IFERROR('2.vize'!BY96*100/'2.vize'!$I96,"")</f>
        <v/>
      </c>
      <c r="BO197" s="38" t="str">
        <f>IFERROR('2.vize'!BZ96*100/'2.vize'!$I96,"")</f>
        <v/>
      </c>
      <c r="BP197" s="38" t="str">
        <f>IFERROR('2.vize'!CA96*100/'2.vize'!$I96,"")</f>
        <v/>
      </c>
      <c r="BQ197" s="38" t="str">
        <f>IFERROR('2.vize'!CB96*100/'2.vize'!$I96,"")</f>
        <v/>
      </c>
      <c r="BR197" s="38" t="str">
        <f>IFERROR('2.vize'!CC96*100/'2.vize'!$I96,"")</f>
        <v/>
      </c>
      <c r="BS197" s="38" t="str">
        <f>IFERROR('2.vize'!CD96*100/'2.vize'!$I96,"")</f>
        <v/>
      </c>
      <c r="BT197" s="38" t="str">
        <f>IFERROR('2.vize'!CE96*100/'2.vize'!$I96,"")</f>
        <v/>
      </c>
      <c r="BU197" s="38" t="str">
        <f>IFERROR('2.vize'!CF96*100/'2.vize'!$I96,"")</f>
        <v/>
      </c>
      <c r="BV197" s="38" t="str">
        <f>IFERROR('2.vize'!CG96*100/'2.vize'!$I96,"")</f>
        <v/>
      </c>
      <c r="BW197" s="38" t="str">
        <f>IFERROR('2.vize'!CH96*100/'2.vize'!$I96,"")</f>
        <v/>
      </c>
      <c r="BX197" s="38" t="str">
        <f>IFERROR('2.vize'!CI96*100/'2.vize'!$I96,"")</f>
        <v/>
      </c>
      <c r="BY197" s="38" t="str">
        <f>IFERROR('2.vize'!CJ96*100/'2.vize'!$I96,"")</f>
        <v/>
      </c>
      <c r="BZ197" s="38" t="str">
        <f>IFERROR('2.vize'!CK96*100/'2.vize'!$I96,"")</f>
        <v/>
      </c>
      <c r="CA197" s="38" t="str">
        <f>IFERROR('2.vize'!CL96*100/'2.vize'!$I96,"")</f>
        <v/>
      </c>
      <c r="CB197" s="38" t="str">
        <f>IFERROR('2.vize'!CM96*100/'2.vize'!$I96,"")</f>
        <v/>
      </c>
      <c r="CC197" s="38" t="str">
        <f>IFERROR('2.vize'!CN96*100/'2.vize'!$I96,"")</f>
        <v/>
      </c>
      <c r="CD197" s="38" t="str">
        <f>IFERROR('2.vize'!CO96*100/'2.vize'!$I96,"")</f>
        <v/>
      </c>
      <c r="CE197" s="38" t="str">
        <f>IFERROR('2.vize'!CP96*100/'2.vize'!$I96,"")</f>
        <v/>
      </c>
      <c r="CF197" s="38" t="str">
        <f>IFERROR('2.vize'!CQ96*100/'2.vize'!$I96,"")</f>
        <v/>
      </c>
      <c r="CG197" s="38" t="str">
        <f>IFERROR('2.vize'!CR96*100/'2.vize'!$I96,"")</f>
        <v/>
      </c>
      <c r="CH197" s="38" t="str">
        <f>IFERROR('2.vize'!CS96*100/'2.vize'!$I96,"")</f>
        <v/>
      </c>
      <c r="CI197" s="38" t="str">
        <f>IFERROR('2.vize'!CT96*100/'2.vize'!$I96,"")</f>
        <v/>
      </c>
      <c r="CJ197" s="38" t="str">
        <f>IFERROR('2.vize'!CU96*100/'2.vize'!$I96,"")</f>
        <v/>
      </c>
      <c r="CK197" s="38" t="str">
        <f>IFERROR('2.vize'!CV96*100/'2.vize'!$I96,"")</f>
        <v/>
      </c>
      <c r="CL197" s="38" t="str">
        <f>IFERROR('2.vize'!CW96*100/'2.vize'!$I96,"")</f>
        <v/>
      </c>
      <c r="CM197" s="38" t="str">
        <f>IFERROR('2.vize'!CX96*100/'2.vize'!$I96,"")</f>
        <v/>
      </c>
      <c r="CN197" s="38" t="str">
        <f>IFERROR('2.vize'!CY96*100/'2.vize'!$I96,"")</f>
        <v/>
      </c>
      <c r="CO197" s="38" t="str">
        <f>IFERROR('2.vize'!CZ96*100/'2.vize'!$I96,"")</f>
        <v/>
      </c>
      <c r="CP197" s="38" t="str">
        <f>IFERROR('2.vize'!DA96*100/'2.vize'!$I96,"")</f>
        <v/>
      </c>
      <c r="CQ197" s="38" t="str">
        <f>IFERROR('2.vize'!DB96*100/'2.vize'!$I96,"")</f>
        <v/>
      </c>
      <c r="CR197" s="38" t="str">
        <f>IFERROR('2.vize'!DC96*100/'2.vize'!$I96,"")</f>
        <v/>
      </c>
      <c r="CS197" s="38" t="str">
        <f>IFERROR('2.vize'!DD96*100/'2.vize'!$I96,"")</f>
        <v/>
      </c>
      <c r="CT197" s="38" t="str">
        <f>IFERROR('2.vize'!DE96*100/'2.vize'!$I96,"")</f>
        <v/>
      </c>
      <c r="CU197" s="38" t="str">
        <f>IFERROR('2.vize'!DF96*100/'2.vize'!$I96,"")</f>
        <v/>
      </c>
      <c r="CV197" s="38" t="str">
        <f>IFERROR('2.vize'!DG96*100/'2.vize'!$I96,"")</f>
        <v/>
      </c>
      <c r="CW197" s="32" t="str">
        <f>IFERROR(SUM(A197:CV197)/'2.vize'!$DH$103,"")</f>
        <v/>
      </c>
      <c r="CX197" s="14" t="str">
        <f>IF(COUNTA('2.vize'!A96),'2.vize'!A96,"")</f>
        <v/>
      </c>
      <c r="CY197" s="14" t="str">
        <f>IF(COUNTA('2.vize'!B96),'2.vize'!B96,"")</f>
        <v/>
      </c>
      <c r="CZ197" s="14" t="str">
        <f>IF(COUNTA('2.vize'!C96),'2.vize'!C96,"")</f>
        <v/>
      </c>
      <c r="DA197" s="14" t="str">
        <f>IF(COUNTA('2.vize'!D96),'2.vize'!D96,"")</f>
        <v/>
      </c>
      <c r="DB197" s="14" t="str">
        <f>IF(COUNTA('2.vize'!E96),'2.vize'!E96,"")</f>
        <v/>
      </c>
      <c r="DC197" s="14" t="str">
        <f>IF(COUNTA('2.vize'!F96),'2.vize'!F96,"")</f>
        <v/>
      </c>
      <c r="DD197" s="14" t="str">
        <f>IF(COUNTA('2.vize'!G96),'2.vize'!G96,"")</f>
        <v/>
      </c>
      <c r="DE197" s="14" t="str">
        <f>IF(COUNTA('2.vize'!H96),'2.vize'!H96,"")</f>
        <v/>
      </c>
    </row>
    <row r="198" spans="1:118" x14ac:dyDescent="0.2">
      <c r="A198" s="38" t="str">
        <f>IFERROR('2.vize'!L97*100/'2.vize'!$I97,"")</f>
        <v/>
      </c>
      <c r="B198" s="38" t="str">
        <f>IFERROR('2.vize'!M97*100/'2.vize'!$I97,"")</f>
        <v/>
      </c>
      <c r="C198" s="38" t="str">
        <f>IFERROR('2.vize'!N97*100/'2.vize'!$I97,"")</f>
        <v/>
      </c>
      <c r="D198" s="38" t="str">
        <f>IFERROR('2.vize'!O97*100/'2.vize'!$I97,"")</f>
        <v/>
      </c>
      <c r="E198" s="38" t="str">
        <f>IFERROR('2.vize'!P97*100/'2.vize'!$I97,"")</f>
        <v/>
      </c>
      <c r="F198" s="38" t="str">
        <f>IFERROR('2.vize'!Q97*100/'2.vize'!$I97,"")</f>
        <v/>
      </c>
      <c r="G198" s="38" t="str">
        <f>IFERROR('2.vize'!R97*100/'2.vize'!$I97,"")</f>
        <v/>
      </c>
      <c r="H198" s="38" t="str">
        <f>IFERROR('2.vize'!S97*100/'2.vize'!$I97,"")</f>
        <v/>
      </c>
      <c r="I198" s="38" t="str">
        <f>IFERROR('2.vize'!T97*100/'2.vize'!$I97,"")</f>
        <v/>
      </c>
      <c r="J198" s="38" t="str">
        <f>IFERROR('2.vize'!U97*100/'2.vize'!$I97,"")</f>
        <v/>
      </c>
      <c r="K198" s="38" t="str">
        <f>IFERROR('2.vize'!V97*100/'2.vize'!$I97,"")</f>
        <v/>
      </c>
      <c r="L198" s="38" t="str">
        <f>IFERROR('2.vize'!W97*100/'2.vize'!$I97,"")</f>
        <v/>
      </c>
      <c r="M198" s="38" t="str">
        <f>IFERROR('2.vize'!X97*100/'2.vize'!$I97,"")</f>
        <v/>
      </c>
      <c r="N198" s="38" t="str">
        <f>IFERROR('2.vize'!Y97*100/'2.vize'!$I97,"")</f>
        <v/>
      </c>
      <c r="O198" s="38" t="str">
        <f>IFERROR('2.vize'!Z97*100/'2.vize'!$I97,"")</f>
        <v/>
      </c>
      <c r="P198" s="38" t="str">
        <f>IFERROR('2.vize'!AA97*100/'2.vize'!$I97,"")</f>
        <v/>
      </c>
      <c r="Q198" s="38" t="str">
        <f>IFERROR('2.vize'!AB97*100/'2.vize'!$I97,"")</f>
        <v/>
      </c>
      <c r="R198" s="38" t="str">
        <f>IFERROR('2.vize'!AC97*100/'2.vize'!$I97,"")</f>
        <v/>
      </c>
      <c r="S198" s="38" t="str">
        <f>IFERROR('2.vize'!AD97*100/'2.vize'!$I97,"")</f>
        <v/>
      </c>
      <c r="T198" s="38" t="str">
        <f>IFERROR('2.vize'!AE97*100/'2.vize'!$I97,"")</f>
        <v/>
      </c>
      <c r="U198" s="38" t="str">
        <f>IFERROR('2.vize'!AF97*100/'2.vize'!$I97,"")</f>
        <v/>
      </c>
      <c r="V198" s="38" t="str">
        <f>IFERROR('2.vize'!AG97*100/'2.vize'!$I97,"")</f>
        <v/>
      </c>
      <c r="W198" s="38" t="str">
        <f>IFERROR('2.vize'!AH97*100/'2.vize'!$I97,"")</f>
        <v/>
      </c>
      <c r="X198" s="38" t="str">
        <f>IFERROR('2.vize'!AI97*100/'2.vize'!$I97,"")</f>
        <v/>
      </c>
      <c r="Y198" s="38" t="str">
        <f>IFERROR('2.vize'!AJ97*100/'2.vize'!$I97,"")</f>
        <v/>
      </c>
      <c r="Z198" s="38" t="str">
        <f>IFERROR('2.vize'!AK97*100/'2.vize'!$I97,"")</f>
        <v/>
      </c>
      <c r="AA198" s="38" t="str">
        <f>IFERROR('2.vize'!AL97*100/'2.vize'!$I97,"")</f>
        <v/>
      </c>
      <c r="AB198" s="38" t="str">
        <f>IFERROR('2.vize'!AM97*100/'2.vize'!$I97,"")</f>
        <v/>
      </c>
      <c r="AC198" s="38" t="str">
        <f>IFERROR('2.vize'!AN97*100/'2.vize'!$I97,"")</f>
        <v/>
      </c>
      <c r="AD198" s="38" t="str">
        <f>IFERROR('2.vize'!AO97*100/'2.vize'!$I97,"")</f>
        <v/>
      </c>
      <c r="AE198" s="38" t="str">
        <f>IFERROR('2.vize'!AP97*100/'2.vize'!$I97,"")</f>
        <v/>
      </c>
      <c r="AF198" s="38" t="str">
        <f>IFERROR('2.vize'!AQ97*100/'2.vize'!$I97,"")</f>
        <v/>
      </c>
      <c r="AG198" s="38" t="str">
        <f>IFERROR('2.vize'!AR97*100/'2.vize'!$I97,"")</f>
        <v/>
      </c>
      <c r="AH198" s="38" t="str">
        <f>IFERROR('2.vize'!AS97*100/'2.vize'!$I97,"")</f>
        <v/>
      </c>
      <c r="AI198" s="38" t="str">
        <f>IFERROR('2.vize'!AT97*100/'2.vize'!$I97,"")</f>
        <v/>
      </c>
      <c r="AJ198" s="38" t="str">
        <f>IFERROR('2.vize'!AU97*100/'2.vize'!$I97,"")</f>
        <v/>
      </c>
      <c r="AK198" s="38" t="str">
        <f>IFERROR('2.vize'!AV97*100/'2.vize'!$I97,"")</f>
        <v/>
      </c>
      <c r="AL198" s="38" t="str">
        <f>IFERROR('2.vize'!AW97*100/'2.vize'!$I97,"")</f>
        <v/>
      </c>
      <c r="AM198" s="38" t="str">
        <f>IFERROR('2.vize'!AX97*100/'2.vize'!$I97,"")</f>
        <v/>
      </c>
      <c r="AN198" s="38" t="str">
        <f>IFERROR('2.vize'!AY97*100/'2.vize'!$I97,"")</f>
        <v/>
      </c>
      <c r="AO198" s="38" t="str">
        <f>IFERROR('2.vize'!AZ97*100/'2.vize'!$I97,"")</f>
        <v/>
      </c>
      <c r="AP198" s="38" t="str">
        <f>IFERROR('2.vize'!BA97*100/'2.vize'!$I97,"")</f>
        <v/>
      </c>
      <c r="AQ198" s="38" t="str">
        <f>IFERROR('2.vize'!BB97*100/'2.vize'!$I97,"")</f>
        <v/>
      </c>
      <c r="AR198" s="38" t="str">
        <f>IFERROR('2.vize'!BC97*100/'2.vize'!$I97,"")</f>
        <v/>
      </c>
      <c r="AS198" s="38" t="str">
        <f>IFERROR('2.vize'!BD97*100/'2.vize'!$I97,"")</f>
        <v/>
      </c>
      <c r="AT198" s="38" t="str">
        <f>IFERROR('2.vize'!BE97*100/'2.vize'!$I97,"")</f>
        <v/>
      </c>
      <c r="AU198" s="38" t="str">
        <f>IFERROR('2.vize'!BF97*100/'2.vize'!$I97,"")</f>
        <v/>
      </c>
      <c r="AV198" s="38" t="str">
        <f>IFERROR('2.vize'!BG97*100/'2.vize'!$I97,"")</f>
        <v/>
      </c>
      <c r="AW198" s="38" t="str">
        <f>IFERROR('2.vize'!BH97*100/'2.vize'!$I97,"")</f>
        <v/>
      </c>
      <c r="AX198" s="38" t="str">
        <f>IFERROR('2.vize'!BI97*100/'2.vize'!$I97,"")</f>
        <v/>
      </c>
      <c r="AY198" s="38" t="str">
        <f>IFERROR('2.vize'!BJ97*100/'2.vize'!$I97,"")</f>
        <v/>
      </c>
      <c r="AZ198" s="38" t="str">
        <f>IFERROR('2.vize'!BK97*100/'2.vize'!$I97,"")</f>
        <v/>
      </c>
      <c r="BA198" s="38" t="str">
        <f>IFERROR('2.vize'!BL97*100/'2.vize'!$I97,"")</f>
        <v/>
      </c>
      <c r="BB198" s="38" t="str">
        <f>IFERROR('2.vize'!BM97*100/'2.vize'!$I97,"")</f>
        <v/>
      </c>
      <c r="BC198" s="38" t="str">
        <f>IFERROR('2.vize'!BN97*100/'2.vize'!$I97,"")</f>
        <v/>
      </c>
      <c r="BD198" s="38" t="str">
        <f>IFERROR('2.vize'!BO97*100/'2.vize'!$I97,"")</f>
        <v/>
      </c>
      <c r="BE198" s="38" t="str">
        <f>IFERROR('2.vize'!BP97*100/'2.vize'!$I97,"")</f>
        <v/>
      </c>
      <c r="BF198" s="38" t="str">
        <f>IFERROR('2.vize'!BQ97*100/'2.vize'!$I97,"")</f>
        <v/>
      </c>
      <c r="BG198" s="38" t="str">
        <f>IFERROR('2.vize'!BR97*100/'2.vize'!$I97,"")</f>
        <v/>
      </c>
      <c r="BH198" s="38" t="str">
        <f>IFERROR('2.vize'!BS97*100/'2.vize'!$I97,"")</f>
        <v/>
      </c>
      <c r="BI198" s="38" t="str">
        <f>IFERROR('2.vize'!BT97*100/'2.vize'!$I97,"")</f>
        <v/>
      </c>
      <c r="BJ198" s="38" t="str">
        <f>IFERROR('2.vize'!BU97*100/'2.vize'!$I97,"")</f>
        <v/>
      </c>
      <c r="BK198" s="38" t="str">
        <f>IFERROR('2.vize'!BV97*100/'2.vize'!$I97,"")</f>
        <v/>
      </c>
      <c r="BL198" s="38" t="str">
        <f>IFERROR('2.vize'!BW97*100/'2.vize'!$I97,"")</f>
        <v/>
      </c>
      <c r="BM198" s="38" t="str">
        <f>IFERROR('2.vize'!BX97*100/'2.vize'!$I97,"")</f>
        <v/>
      </c>
      <c r="BN198" s="38" t="str">
        <f>IFERROR('2.vize'!BY97*100/'2.vize'!$I97,"")</f>
        <v/>
      </c>
      <c r="BO198" s="38" t="str">
        <f>IFERROR('2.vize'!BZ97*100/'2.vize'!$I97,"")</f>
        <v/>
      </c>
      <c r="BP198" s="38" t="str">
        <f>IFERROR('2.vize'!CA97*100/'2.vize'!$I97,"")</f>
        <v/>
      </c>
      <c r="BQ198" s="38" t="str">
        <f>IFERROR('2.vize'!CB97*100/'2.vize'!$I97,"")</f>
        <v/>
      </c>
      <c r="BR198" s="38" t="str">
        <f>IFERROR('2.vize'!CC97*100/'2.vize'!$I97,"")</f>
        <v/>
      </c>
      <c r="BS198" s="38" t="str">
        <f>IFERROR('2.vize'!CD97*100/'2.vize'!$I97,"")</f>
        <v/>
      </c>
      <c r="BT198" s="38" t="str">
        <f>IFERROR('2.vize'!CE97*100/'2.vize'!$I97,"")</f>
        <v/>
      </c>
      <c r="BU198" s="38" t="str">
        <f>IFERROR('2.vize'!CF97*100/'2.vize'!$I97,"")</f>
        <v/>
      </c>
      <c r="BV198" s="38" t="str">
        <f>IFERROR('2.vize'!CG97*100/'2.vize'!$I97,"")</f>
        <v/>
      </c>
      <c r="BW198" s="38" t="str">
        <f>IFERROR('2.vize'!CH97*100/'2.vize'!$I97,"")</f>
        <v/>
      </c>
      <c r="BX198" s="38" t="str">
        <f>IFERROR('2.vize'!CI97*100/'2.vize'!$I97,"")</f>
        <v/>
      </c>
      <c r="BY198" s="38" t="str">
        <f>IFERROR('2.vize'!CJ97*100/'2.vize'!$I97,"")</f>
        <v/>
      </c>
      <c r="BZ198" s="38" t="str">
        <f>IFERROR('2.vize'!CK97*100/'2.vize'!$I97,"")</f>
        <v/>
      </c>
      <c r="CA198" s="38" t="str">
        <f>IFERROR('2.vize'!CL97*100/'2.vize'!$I97,"")</f>
        <v/>
      </c>
      <c r="CB198" s="38" t="str">
        <f>IFERROR('2.vize'!CM97*100/'2.vize'!$I97,"")</f>
        <v/>
      </c>
      <c r="CC198" s="38" t="str">
        <f>IFERROR('2.vize'!CN97*100/'2.vize'!$I97,"")</f>
        <v/>
      </c>
      <c r="CD198" s="38" t="str">
        <f>IFERROR('2.vize'!CO97*100/'2.vize'!$I97,"")</f>
        <v/>
      </c>
      <c r="CE198" s="38" t="str">
        <f>IFERROR('2.vize'!CP97*100/'2.vize'!$I97,"")</f>
        <v/>
      </c>
      <c r="CF198" s="38" t="str">
        <f>IFERROR('2.vize'!CQ97*100/'2.vize'!$I97,"")</f>
        <v/>
      </c>
      <c r="CG198" s="38" t="str">
        <f>IFERROR('2.vize'!CR97*100/'2.vize'!$I97,"")</f>
        <v/>
      </c>
      <c r="CH198" s="38" t="str">
        <f>IFERROR('2.vize'!CS97*100/'2.vize'!$I97,"")</f>
        <v/>
      </c>
      <c r="CI198" s="38" t="str">
        <f>IFERROR('2.vize'!CT97*100/'2.vize'!$I97,"")</f>
        <v/>
      </c>
      <c r="CJ198" s="38" t="str">
        <f>IFERROR('2.vize'!CU97*100/'2.vize'!$I97,"")</f>
        <v/>
      </c>
      <c r="CK198" s="38" t="str">
        <f>IFERROR('2.vize'!CV97*100/'2.vize'!$I97,"")</f>
        <v/>
      </c>
      <c r="CL198" s="38" t="str">
        <f>IFERROR('2.vize'!CW97*100/'2.vize'!$I97,"")</f>
        <v/>
      </c>
      <c r="CM198" s="38" t="str">
        <f>IFERROR('2.vize'!CX97*100/'2.vize'!$I97,"")</f>
        <v/>
      </c>
      <c r="CN198" s="38" t="str">
        <f>IFERROR('2.vize'!CY97*100/'2.vize'!$I97,"")</f>
        <v/>
      </c>
      <c r="CO198" s="38" t="str">
        <f>IFERROR('2.vize'!CZ97*100/'2.vize'!$I97,"")</f>
        <v/>
      </c>
      <c r="CP198" s="38" t="str">
        <f>IFERROR('2.vize'!DA97*100/'2.vize'!$I97,"")</f>
        <v/>
      </c>
      <c r="CQ198" s="38" t="str">
        <f>IFERROR('2.vize'!DB97*100/'2.vize'!$I97,"")</f>
        <v/>
      </c>
      <c r="CR198" s="38" t="str">
        <f>IFERROR('2.vize'!DC97*100/'2.vize'!$I97,"")</f>
        <v/>
      </c>
      <c r="CS198" s="38" t="str">
        <f>IFERROR('2.vize'!DD97*100/'2.vize'!$I97,"")</f>
        <v/>
      </c>
      <c r="CT198" s="38" t="str">
        <f>IFERROR('2.vize'!DE97*100/'2.vize'!$I97,"")</f>
        <v/>
      </c>
      <c r="CU198" s="38" t="str">
        <f>IFERROR('2.vize'!DF97*100/'2.vize'!$I97,"")</f>
        <v/>
      </c>
      <c r="CV198" s="38" t="str">
        <f>IFERROR('2.vize'!DG97*100/'2.vize'!$I97,"")</f>
        <v/>
      </c>
      <c r="CW198" s="32" t="str">
        <f>IFERROR(SUM(A198:CV198)/'2.vize'!$DH$103,"")</f>
        <v/>
      </c>
      <c r="CX198" s="14" t="str">
        <f>IF(COUNTA('2.vize'!A97),'2.vize'!A97,"")</f>
        <v/>
      </c>
      <c r="CY198" s="14" t="str">
        <f>IF(COUNTA('2.vize'!B97),'2.vize'!B97,"")</f>
        <v/>
      </c>
      <c r="CZ198" s="14" t="str">
        <f>IF(COUNTA('2.vize'!C97),'2.vize'!C97,"")</f>
        <v/>
      </c>
      <c r="DA198" s="14" t="str">
        <f>IF(COUNTA('2.vize'!D97),'2.vize'!D97,"")</f>
        <v/>
      </c>
      <c r="DB198" s="14" t="str">
        <f>IF(COUNTA('2.vize'!E97),'2.vize'!E97,"")</f>
        <v/>
      </c>
      <c r="DC198" s="14" t="str">
        <f>IF(COUNTA('2.vize'!F97),'2.vize'!F97,"")</f>
        <v/>
      </c>
      <c r="DD198" s="14" t="str">
        <f>IF(COUNTA('2.vize'!G97),'2.vize'!G97,"")</f>
        <v/>
      </c>
      <c r="DE198" s="14" t="str">
        <f>IF(COUNTA('2.vize'!H97),'2.vize'!H97,"")</f>
        <v/>
      </c>
    </row>
    <row r="199" spans="1:118" x14ac:dyDescent="0.2">
      <c r="A199" s="38" t="str">
        <f>IFERROR('2.vize'!L98*100/'2.vize'!$I98,"")</f>
        <v/>
      </c>
      <c r="B199" s="38" t="str">
        <f>IFERROR('2.vize'!M98*100/'2.vize'!$I98,"")</f>
        <v/>
      </c>
      <c r="C199" s="38" t="str">
        <f>IFERROR('2.vize'!N98*100/'2.vize'!$I98,"")</f>
        <v/>
      </c>
      <c r="D199" s="38" t="str">
        <f>IFERROR('2.vize'!O98*100/'2.vize'!$I98,"")</f>
        <v/>
      </c>
      <c r="E199" s="38" t="str">
        <f>IFERROR('2.vize'!P98*100/'2.vize'!$I98,"")</f>
        <v/>
      </c>
      <c r="F199" s="38" t="str">
        <f>IFERROR('2.vize'!Q98*100/'2.vize'!$I98,"")</f>
        <v/>
      </c>
      <c r="G199" s="38" t="str">
        <f>IFERROR('2.vize'!R98*100/'2.vize'!$I98,"")</f>
        <v/>
      </c>
      <c r="H199" s="38" t="str">
        <f>IFERROR('2.vize'!S98*100/'2.vize'!$I98,"")</f>
        <v/>
      </c>
      <c r="I199" s="38" t="str">
        <f>IFERROR('2.vize'!T98*100/'2.vize'!$I98,"")</f>
        <v/>
      </c>
      <c r="J199" s="38" t="str">
        <f>IFERROR('2.vize'!U98*100/'2.vize'!$I98,"")</f>
        <v/>
      </c>
      <c r="K199" s="38" t="str">
        <f>IFERROR('2.vize'!V98*100/'2.vize'!$I98,"")</f>
        <v/>
      </c>
      <c r="L199" s="38" t="str">
        <f>IFERROR('2.vize'!W98*100/'2.vize'!$I98,"")</f>
        <v/>
      </c>
      <c r="M199" s="38" t="str">
        <f>IFERROR('2.vize'!X98*100/'2.vize'!$I98,"")</f>
        <v/>
      </c>
      <c r="N199" s="38" t="str">
        <f>IFERROR('2.vize'!Y98*100/'2.vize'!$I98,"")</f>
        <v/>
      </c>
      <c r="O199" s="38" t="str">
        <f>IFERROR('2.vize'!Z98*100/'2.vize'!$I98,"")</f>
        <v/>
      </c>
      <c r="P199" s="38" t="str">
        <f>IFERROR('2.vize'!AA98*100/'2.vize'!$I98,"")</f>
        <v/>
      </c>
      <c r="Q199" s="38" t="str">
        <f>IFERROR('2.vize'!AB98*100/'2.vize'!$I98,"")</f>
        <v/>
      </c>
      <c r="R199" s="38" t="str">
        <f>IFERROR('2.vize'!AC98*100/'2.vize'!$I98,"")</f>
        <v/>
      </c>
      <c r="S199" s="38" t="str">
        <f>IFERROR('2.vize'!AD98*100/'2.vize'!$I98,"")</f>
        <v/>
      </c>
      <c r="T199" s="38" t="str">
        <f>IFERROR('2.vize'!AE98*100/'2.vize'!$I98,"")</f>
        <v/>
      </c>
      <c r="U199" s="38" t="str">
        <f>IFERROR('2.vize'!AF98*100/'2.vize'!$I98,"")</f>
        <v/>
      </c>
      <c r="V199" s="38" t="str">
        <f>IFERROR('2.vize'!AG98*100/'2.vize'!$I98,"")</f>
        <v/>
      </c>
      <c r="W199" s="38" t="str">
        <f>IFERROR('2.vize'!AH98*100/'2.vize'!$I98,"")</f>
        <v/>
      </c>
      <c r="X199" s="38" t="str">
        <f>IFERROR('2.vize'!AI98*100/'2.vize'!$I98,"")</f>
        <v/>
      </c>
      <c r="Y199" s="38" t="str">
        <f>IFERROR('2.vize'!AJ98*100/'2.vize'!$I98,"")</f>
        <v/>
      </c>
      <c r="Z199" s="38" t="str">
        <f>IFERROR('2.vize'!AK98*100/'2.vize'!$I98,"")</f>
        <v/>
      </c>
      <c r="AA199" s="38" t="str">
        <f>IFERROR('2.vize'!AL98*100/'2.vize'!$I98,"")</f>
        <v/>
      </c>
      <c r="AB199" s="38" t="str">
        <f>IFERROR('2.vize'!AM98*100/'2.vize'!$I98,"")</f>
        <v/>
      </c>
      <c r="AC199" s="38" t="str">
        <f>IFERROR('2.vize'!AN98*100/'2.vize'!$I98,"")</f>
        <v/>
      </c>
      <c r="AD199" s="38" t="str">
        <f>IFERROR('2.vize'!AO98*100/'2.vize'!$I98,"")</f>
        <v/>
      </c>
      <c r="AE199" s="38" t="str">
        <f>IFERROR('2.vize'!AP98*100/'2.vize'!$I98,"")</f>
        <v/>
      </c>
      <c r="AF199" s="38" t="str">
        <f>IFERROR('2.vize'!AQ98*100/'2.vize'!$I98,"")</f>
        <v/>
      </c>
      <c r="AG199" s="38" t="str">
        <f>IFERROR('2.vize'!AR98*100/'2.vize'!$I98,"")</f>
        <v/>
      </c>
      <c r="AH199" s="38" t="str">
        <f>IFERROR('2.vize'!AS98*100/'2.vize'!$I98,"")</f>
        <v/>
      </c>
      <c r="AI199" s="38" t="str">
        <f>IFERROR('2.vize'!AT98*100/'2.vize'!$I98,"")</f>
        <v/>
      </c>
      <c r="AJ199" s="38" t="str">
        <f>IFERROR('2.vize'!AU98*100/'2.vize'!$I98,"")</f>
        <v/>
      </c>
      <c r="AK199" s="38" t="str">
        <f>IFERROR('2.vize'!AV98*100/'2.vize'!$I98,"")</f>
        <v/>
      </c>
      <c r="AL199" s="38" t="str">
        <f>IFERROR('2.vize'!AW98*100/'2.vize'!$I98,"")</f>
        <v/>
      </c>
      <c r="AM199" s="38" t="str">
        <f>IFERROR('2.vize'!AX98*100/'2.vize'!$I98,"")</f>
        <v/>
      </c>
      <c r="AN199" s="38" t="str">
        <f>IFERROR('2.vize'!AY98*100/'2.vize'!$I98,"")</f>
        <v/>
      </c>
      <c r="AO199" s="38" t="str">
        <f>IFERROR('2.vize'!AZ98*100/'2.vize'!$I98,"")</f>
        <v/>
      </c>
      <c r="AP199" s="38" t="str">
        <f>IFERROR('2.vize'!BA98*100/'2.vize'!$I98,"")</f>
        <v/>
      </c>
      <c r="AQ199" s="38" t="str">
        <f>IFERROR('2.vize'!BB98*100/'2.vize'!$I98,"")</f>
        <v/>
      </c>
      <c r="AR199" s="38" t="str">
        <f>IFERROR('2.vize'!BC98*100/'2.vize'!$I98,"")</f>
        <v/>
      </c>
      <c r="AS199" s="38" t="str">
        <f>IFERROR('2.vize'!BD98*100/'2.vize'!$I98,"")</f>
        <v/>
      </c>
      <c r="AT199" s="38" t="str">
        <f>IFERROR('2.vize'!BE98*100/'2.vize'!$I98,"")</f>
        <v/>
      </c>
      <c r="AU199" s="38" t="str">
        <f>IFERROR('2.vize'!BF98*100/'2.vize'!$I98,"")</f>
        <v/>
      </c>
      <c r="AV199" s="38" t="str">
        <f>IFERROR('2.vize'!BG98*100/'2.vize'!$I98,"")</f>
        <v/>
      </c>
      <c r="AW199" s="38" t="str">
        <f>IFERROR('2.vize'!BH98*100/'2.vize'!$I98,"")</f>
        <v/>
      </c>
      <c r="AX199" s="38" t="str">
        <f>IFERROR('2.vize'!BI98*100/'2.vize'!$I98,"")</f>
        <v/>
      </c>
      <c r="AY199" s="38" t="str">
        <f>IFERROR('2.vize'!BJ98*100/'2.vize'!$I98,"")</f>
        <v/>
      </c>
      <c r="AZ199" s="38" t="str">
        <f>IFERROR('2.vize'!BK98*100/'2.vize'!$I98,"")</f>
        <v/>
      </c>
      <c r="BA199" s="38" t="str">
        <f>IFERROR('2.vize'!BL98*100/'2.vize'!$I98,"")</f>
        <v/>
      </c>
      <c r="BB199" s="38" t="str">
        <f>IFERROR('2.vize'!BM98*100/'2.vize'!$I98,"")</f>
        <v/>
      </c>
      <c r="BC199" s="38" t="str">
        <f>IFERROR('2.vize'!BN98*100/'2.vize'!$I98,"")</f>
        <v/>
      </c>
      <c r="BD199" s="38" t="str">
        <f>IFERROR('2.vize'!BO98*100/'2.vize'!$I98,"")</f>
        <v/>
      </c>
      <c r="BE199" s="38" t="str">
        <f>IFERROR('2.vize'!BP98*100/'2.vize'!$I98,"")</f>
        <v/>
      </c>
      <c r="BF199" s="38" t="str">
        <f>IFERROR('2.vize'!BQ98*100/'2.vize'!$I98,"")</f>
        <v/>
      </c>
      <c r="BG199" s="38" t="str">
        <f>IFERROR('2.vize'!BR98*100/'2.vize'!$I98,"")</f>
        <v/>
      </c>
      <c r="BH199" s="38" t="str">
        <f>IFERROR('2.vize'!BS98*100/'2.vize'!$I98,"")</f>
        <v/>
      </c>
      <c r="BI199" s="38" t="str">
        <f>IFERROR('2.vize'!BT98*100/'2.vize'!$I98,"")</f>
        <v/>
      </c>
      <c r="BJ199" s="38" t="str">
        <f>IFERROR('2.vize'!BU98*100/'2.vize'!$I98,"")</f>
        <v/>
      </c>
      <c r="BK199" s="38" t="str">
        <f>IFERROR('2.vize'!BV98*100/'2.vize'!$I98,"")</f>
        <v/>
      </c>
      <c r="BL199" s="38" t="str">
        <f>IFERROR('2.vize'!BW98*100/'2.vize'!$I98,"")</f>
        <v/>
      </c>
      <c r="BM199" s="38" t="str">
        <f>IFERROR('2.vize'!BX98*100/'2.vize'!$I98,"")</f>
        <v/>
      </c>
      <c r="BN199" s="38" t="str">
        <f>IFERROR('2.vize'!BY98*100/'2.vize'!$I98,"")</f>
        <v/>
      </c>
      <c r="BO199" s="38" t="str">
        <f>IFERROR('2.vize'!BZ98*100/'2.vize'!$I98,"")</f>
        <v/>
      </c>
      <c r="BP199" s="38" t="str">
        <f>IFERROR('2.vize'!CA98*100/'2.vize'!$I98,"")</f>
        <v/>
      </c>
      <c r="BQ199" s="38" t="str">
        <f>IFERROR('2.vize'!CB98*100/'2.vize'!$I98,"")</f>
        <v/>
      </c>
      <c r="BR199" s="38" t="str">
        <f>IFERROR('2.vize'!CC98*100/'2.vize'!$I98,"")</f>
        <v/>
      </c>
      <c r="BS199" s="38" t="str">
        <f>IFERROR('2.vize'!CD98*100/'2.vize'!$I98,"")</f>
        <v/>
      </c>
      <c r="BT199" s="38" t="str">
        <f>IFERROR('2.vize'!CE98*100/'2.vize'!$I98,"")</f>
        <v/>
      </c>
      <c r="BU199" s="38" t="str">
        <f>IFERROR('2.vize'!CF98*100/'2.vize'!$I98,"")</f>
        <v/>
      </c>
      <c r="BV199" s="38" t="str">
        <f>IFERROR('2.vize'!CG98*100/'2.vize'!$I98,"")</f>
        <v/>
      </c>
      <c r="BW199" s="38" t="str">
        <f>IFERROR('2.vize'!CH98*100/'2.vize'!$I98,"")</f>
        <v/>
      </c>
      <c r="BX199" s="38" t="str">
        <f>IFERROR('2.vize'!CI98*100/'2.vize'!$I98,"")</f>
        <v/>
      </c>
      <c r="BY199" s="38" t="str">
        <f>IFERROR('2.vize'!CJ98*100/'2.vize'!$I98,"")</f>
        <v/>
      </c>
      <c r="BZ199" s="38" t="str">
        <f>IFERROR('2.vize'!CK98*100/'2.vize'!$I98,"")</f>
        <v/>
      </c>
      <c r="CA199" s="38" t="str">
        <f>IFERROR('2.vize'!CL98*100/'2.vize'!$I98,"")</f>
        <v/>
      </c>
      <c r="CB199" s="38" t="str">
        <f>IFERROR('2.vize'!CM98*100/'2.vize'!$I98,"")</f>
        <v/>
      </c>
      <c r="CC199" s="38" t="str">
        <f>IFERROR('2.vize'!CN98*100/'2.vize'!$I98,"")</f>
        <v/>
      </c>
      <c r="CD199" s="38" t="str">
        <f>IFERROR('2.vize'!CO98*100/'2.vize'!$I98,"")</f>
        <v/>
      </c>
      <c r="CE199" s="38" t="str">
        <f>IFERROR('2.vize'!CP98*100/'2.vize'!$I98,"")</f>
        <v/>
      </c>
      <c r="CF199" s="38" t="str">
        <f>IFERROR('2.vize'!CQ98*100/'2.vize'!$I98,"")</f>
        <v/>
      </c>
      <c r="CG199" s="38" t="str">
        <f>IFERROR('2.vize'!CR98*100/'2.vize'!$I98,"")</f>
        <v/>
      </c>
      <c r="CH199" s="38" t="str">
        <f>IFERROR('2.vize'!CS98*100/'2.vize'!$I98,"")</f>
        <v/>
      </c>
      <c r="CI199" s="38" t="str">
        <f>IFERROR('2.vize'!CT98*100/'2.vize'!$I98,"")</f>
        <v/>
      </c>
      <c r="CJ199" s="38" t="str">
        <f>IFERROR('2.vize'!CU98*100/'2.vize'!$I98,"")</f>
        <v/>
      </c>
      <c r="CK199" s="38" t="str">
        <f>IFERROR('2.vize'!CV98*100/'2.vize'!$I98,"")</f>
        <v/>
      </c>
      <c r="CL199" s="38" t="str">
        <f>IFERROR('2.vize'!CW98*100/'2.vize'!$I98,"")</f>
        <v/>
      </c>
      <c r="CM199" s="38" t="str">
        <f>IFERROR('2.vize'!CX98*100/'2.vize'!$I98,"")</f>
        <v/>
      </c>
      <c r="CN199" s="38" t="str">
        <f>IFERROR('2.vize'!CY98*100/'2.vize'!$I98,"")</f>
        <v/>
      </c>
      <c r="CO199" s="38" t="str">
        <f>IFERROR('2.vize'!CZ98*100/'2.vize'!$I98,"")</f>
        <v/>
      </c>
      <c r="CP199" s="38" t="str">
        <f>IFERROR('2.vize'!DA98*100/'2.vize'!$I98,"")</f>
        <v/>
      </c>
      <c r="CQ199" s="38" t="str">
        <f>IFERROR('2.vize'!DB98*100/'2.vize'!$I98,"")</f>
        <v/>
      </c>
      <c r="CR199" s="38" t="str">
        <f>IFERROR('2.vize'!DC98*100/'2.vize'!$I98,"")</f>
        <v/>
      </c>
      <c r="CS199" s="38" t="str">
        <f>IFERROR('2.vize'!DD98*100/'2.vize'!$I98,"")</f>
        <v/>
      </c>
      <c r="CT199" s="38" t="str">
        <f>IFERROR('2.vize'!DE98*100/'2.vize'!$I98,"")</f>
        <v/>
      </c>
      <c r="CU199" s="38" t="str">
        <f>IFERROR('2.vize'!DF98*100/'2.vize'!$I98,"")</f>
        <v/>
      </c>
      <c r="CV199" s="38" t="str">
        <f>IFERROR('2.vize'!DG98*100/'2.vize'!$I98,"")</f>
        <v/>
      </c>
      <c r="CW199" s="32" t="str">
        <f>IFERROR(SUM(A199:CV199)/'2.vize'!$DH$103,"")</f>
        <v/>
      </c>
      <c r="CX199" s="14" t="str">
        <f>IF(COUNTA('2.vize'!A98),'2.vize'!A98,"")</f>
        <v/>
      </c>
      <c r="CY199" s="14" t="str">
        <f>IF(COUNTA('2.vize'!B98),'2.vize'!B98,"")</f>
        <v/>
      </c>
      <c r="CZ199" s="14" t="str">
        <f>IF(COUNTA('2.vize'!C98),'2.vize'!C98,"")</f>
        <v/>
      </c>
      <c r="DA199" s="14" t="str">
        <f>IF(COUNTA('2.vize'!D98),'2.vize'!D98,"")</f>
        <v/>
      </c>
      <c r="DB199" s="14" t="str">
        <f>IF(COUNTA('2.vize'!E98),'2.vize'!E98,"")</f>
        <v/>
      </c>
      <c r="DC199" s="14" t="str">
        <f>IF(COUNTA('2.vize'!F98),'2.vize'!F98,"")</f>
        <v/>
      </c>
      <c r="DD199" s="14" t="str">
        <f>IF(COUNTA('2.vize'!G98),'2.vize'!G98,"")</f>
        <v/>
      </c>
      <c r="DE199" s="14" t="str">
        <f>IF(COUNTA('2.vize'!H98),'2.vize'!H98,"")</f>
        <v/>
      </c>
    </row>
    <row r="200" spans="1:118" x14ac:dyDescent="0.2">
      <c r="A200" s="38" t="str">
        <f>IFERROR('2.vize'!L99*100/'2.vize'!$I99,"")</f>
        <v/>
      </c>
      <c r="B200" s="38" t="str">
        <f>IFERROR('2.vize'!M99*100/'2.vize'!$I99,"")</f>
        <v/>
      </c>
      <c r="C200" s="38" t="str">
        <f>IFERROR('2.vize'!N99*100/'2.vize'!$I99,"")</f>
        <v/>
      </c>
      <c r="D200" s="38" t="str">
        <f>IFERROR('2.vize'!O99*100/'2.vize'!$I99,"")</f>
        <v/>
      </c>
      <c r="E200" s="38" t="str">
        <f>IFERROR('2.vize'!P99*100/'2.vize'!$I99,"")</f>
        <v/>
      </c>
      <c r="F200" s="38" t="str">
        <f>IFERROR('2.vize'!Q99*100/'2.vize'!$I99,"")</f>
        <v/>
      </c>
      <c r="G200" s="38" t="str">
        <f>IFERROR('2.vize'!R99*100/'2.vize'!$I99,"")</f>
        <v/>
      </c>
      <c r="H200" s="38" t="str">
        <f>IFERROR('2.vize'!S99*100/'2.vize'!$I99,"")</f>
        <v/>
      </c>
      <c r="I200" s="38" t="str">
        <f>IFERROR('2.vize'!T99*100/'2.vize'!$I99,"")</f>
        <v/>
      </c>
      <c r="J200" s="38" t="str">
        <f>IFERROR('2.vize'!U99*100/'2.vize'!$I99,"")</f>
        <v/>
      </c>
      <c r="K200" s="38" t="str">
        <f>IFERROR('2.vize'!V99*100/'2.vize'!$I99,"")</f>
        <v/>
      </c>
      <c r="L200" s="38" t="str">
        <f>IFERROR('2.vize'!W99*100/'2.vize'!$I99,"")</f>
        <v/>
      </c>
      <c r="M200" s="38" t="str">
        <f>IFERROR('2.vize'!X99*100/'2.vize'!$I99,"")</f>
        <v/>
      </c>
      <c r="N200" s="38" t="str">
        <f>IFERROR('2.vize'!Y99*100/'2.vize'!$I99,"")</f>
        <v/>
      </c>
      <c r="O200" s="38" t="str">
        <f>IFERROR('2.vize'!Z99*100/'2.vize'!$I99,"")</f>
        <v/>
      </c>
      <c r="P200" s="38" t="str">
        <f>IFERROR('2.vize'!AA99*100/'2.vize'!$I99,"")</f>
        <v/>
      </c>
      <c r="Q200" s="38" t="str">
        <f>IFERROR('2.vize'!AB99*100/'2.vize'!$I99,"")</f>
        <v/>
      </c>
      <c r="R200" s="38" t="str">
        <f>IFERROR('2.vize'!AC99*100/'2.vize'!$I99,"")</f>
        <v/>
      </c>
      <c r="S200" s="38" t="str">
        <f>IFERROR('2.vize'!AD99*100/'2.vize'!$I99,"")</f>
        <v/>
      </c>
      <c r="T200" s="38" t="str">
        <f>IFERROR('2.vize'!AE99*100/'2.vize'!$I99,"")</f>
        <v/>
      </c>
      <c r="U200" s="38" t="str">
        <f>IFERROR('2.vize'!AF99*100/'2.vize'!$I99,"")</f>
        <v/>
      </c>
      <c r="V200" s="38" t="str">
        <f>IFERROR('2.vize'!AG99*100/'2.vize'!$I99,"")</f>
        <v/>
      </c>
      <c r="W200" s="38" t="str">
        <f>IFERROR('2.vize'!AH99*100/'2.vize'!$I99,"")</f>
        <v/>
      </c>
      <c r="X200" s="38" t="str">
        <f>IFERROR('2.vize'!AI99*100/'2.vize'!$I99,"")</f>
        <v/>
      </c>
      <c r="Y200" s="38" t="str">
        <f>IFERROR('2.vize'!AJ99*100/'2.vize'!$I99,"")</f>
        <v/>
      </c>
      <c r="Z200" s="38" t="str">
        <f>IFERROR('2.vize'!AK99*100/'2.vize'!$I99,"")</f>
        <v/>
      </c>
      <c r="AA200" s="38" t="str">
        <f>IFERROR('2.vize'!AL99*100/'2.vize'!$I99,"")</f>
        <v/>
      </c>
      <c r="AB200" s="38" t="str">
        <f>IFERROR('2.vize'!AM99*100/'2.vize'!$I99,"")</f>
        <v/>
      </c>
      <c r="AC200" s="38" t="str">
        <f>IFERROR('2.vize'!AN99*100/'2.vize'!$I99,"")</f>
        <v/>
      </c>
      <c r="AD200" s="38" t="str">
        <f>IFERROR('2.vize'!AO99*100/'2.vize'!$I99,"")</f>
        <v/>
      </c>
      <c r="AE200" s="38" t="str">
        <f>IFERROR('2.vize'!AP99*100/'2.vize'!$I99,"")</f>
        <v/>
      </c>
      <c r="AF200" s="38" t="str">
        <f>IFERROR('2.vize'!AQ99*100/'2.vize'!$I99,"")</f>
        <v/>
      </c>
      <c r="AG200" s="38" t="str">
        <f>IFERROR('2.vize'!AR99*100/'2.vize'!$I99,"")</f>
        <v/>
      </c>
      <c r="AH200" s="38" t="str">
        <f>IFERROR('2.vize'!AS99*100/'2.vize'!$I99,"")</f>
        <v/>
      </c>
      <c r="AI200" s="38" t="str">
        <f>IFERROR('2.vize'!AT99*100/'2.vize'!$I99,"")</f>
        <v/>
      </c>
      <c r="AJ200" s="38" t="str">
        <f>IFERROR('2.vize'!AU99*100/'2.vize'!$I99,"")</f>
        <v/>
      </c>
      <c r="AK200" s="38" t="str">
        <f>IFERROR('2.vize'!AV99*100/'2.vize'!$I99,"")</f>
        <v/>
      </c>
      <c r="AL200" s="38" t="str">
        <f>IFERROR('2.vize'!AW99*100/'2.vize'!$I99,"")</f>
        <v/>
      </c>
      <c r="AM200" s="38" t="str">
        <f>IFERROR('2.vize'!AX99*100/'2.vize'!$I99,"")</f>
        <v/>
      </c>
      <c r="AN200" s="38" t="str">
        <f>IFERROR('2.vize'!AY99*100/'2.vize'!$I99,"")</f>
        <v/>
      </c>
      <c r="AO200" s="38" t="str">
        <f>IFERROR('2.vize'!AZ99*100/'2.vize'!$I99,"")</f>
        <v/>
      </c>
      <c r="AP200" s="38" t="str">
        <f>IFERROR('2.vize'!BA99*100/'2.vize'!$I99,"")</f>
        <v/>
      </c>
      <c r="AQ200" s="38" t="str">
        <f>IFERROR('2.vize'!BB99*100/'2.vize'!$I99,"")</f>
        <v/>
      </c>
      <c r="AR200" s="38" t="str">
        <f>IFERROR('2.vize'!BC99*100/'2.vize'!$I99,"")</f>
        <v/>
      </c>
      <c r="AS200" s="38" t="str">
        <f>IFERROR('2.vize'!BD99*100/'2.vize'!$I99,"")</f>
        <v/>
      </c>
      <c r="AT200" s="38" t="str">
        <f>IFERROR('2.vize'!BE99*100/'2.vize'!$I99,"")</f>
        <v/>
      </c>
      <c r="AU200" s="38" t="str">
        <f>IFERROR('2.vize'!BF99*100/'2.vize'!$I99,"")</f>
        <v/>
      </c>
      <c r="AV200" s="38" t="str">
        <f>IFERROR('2.vize'!BG99*100/'2.vize'!$I99,"")</f>
        <v/>
      </c>
      <c r="AW200" s="38" t="str">
        <f>IFERROR('2.vize'!BH99*100/'2.vize'!$I99,"")</f>
        <v/>
      </c>
      <c r="AX200" s="38" t="str">
        <f>IFERROR('2.vize'!BI99*100/'2.vize'!$I99,"")</f>
        <v/>
      </c>
      <c r="AY200" s="38" t="str">
        <f>IFERROR('2.vize'!BJ99*100/'2.vize'!$I99,"")</f>
        <v/>
      </c>
      <c r="AZ200" s="38" t="str">
        <f>IFERROR('2.vize'!BK99*100/'2.vize'!$I99,"")</f>
        <v/>
      </c>
      <c r="BA200" s="38" t="str">
        <f>IFERROR('2.vize'!BL99*100/'2.vize'!$I99,"")</f>
        <v/>
      </c>
      <c r="BB200" s="38" t="str">
        <f>IFERROR('2.vize'!BM99*100/'2.vize'!$I99,"")</f>
        <v/>
      </c>
      <c r="BC200" s="38" t="str">
        <f>IFERROR('2.vize'!BN99*100/'2.vize'!$I99,"")</f>
        <v/>
      </c>
      <c r="BD200" s="38" t="str">
        <f>IFERROR('2.vize'!BO99*100/'2.vize'!$I99,"")</f>
        <v/>
      </c>
      <c r="BE200" s="38" t="str">
        <f>IFERROR('2.vize'!BP99*100/'2.vize'!$I99,"")</f>
        <v/>
      </c>
      <c r="BF200" s="38" t="str">
        <f>IFERROR('2.vize'!BQ99*100/'2.vize'!$I99,"")</f>
        <v/>
      </c>
      <c r="BG200" s="38" t="str">
        <f>IFERROR('2.vize'!BR99*100/'2.vize'!$I99,"")</f>
        <v/>
      </c>
      <c r="BH200" s="38" t="str">
        <f>IFERROR('2.vize'!BS99*100/'2.vize'!$I99,"")</f>
        <v/>
      </c>
      <c r="BI200" s="38" t="str">
        <f>IFERROR('2.vize'!BT99*100/'2.vize'!$I99,"")</f>
        <v/>
      </c>
      <c r="BJ200" s="38" t="str">
        <f>IFERROR('2.vize'!BU99*100/'2.vize'!$I99,"")</f>
        <v/>
      </c>
      <c r="BK200" s="38" t="str">
        <f>IFERROR('2.vize'!BV99*100/'2.vize'!$I99,"")</f>
        <v/>
      </c>
      <c r="BL200" s="38" t="str">
        <f>IFERROR('2.vize'!BW99*100/'2.vize'!$I99,"")</f>
        <v/>
      </c>
      <c r="BM200" s="38" t="str">
        <f>IFERROR('2.vize'!BX99*100/'2.vize'!$I99,"")</f>
        <v/>
      </c>
      <c r="BN200" s="38" t="str">
        <f>IFERROR('2.vize'!BY99*100/'2.vize'!$I99,"")</f>
        <v/>
      </c>
      <c r="BO200" s="38" t="str">
        <f>IFERROR('2.vize'!BZ99*100/'2.vize'!$I99,"")</f>
        <v/>
      </c>
      <c r="BP200" s="38" t="str">
        <f>IFERROR('2.vize'!CA99*100/'2.vize'!$I99,"")</f>
        <v/>
      </c>
      <c r="BQ200" s="38" t="str">
        <f>IFERROR('2.vize'!CB99*100/'2.vize'!$I99,"")</f>
        <v/>
      </c>
      <c r="BR200" s="38" t="str">
        <f>IFERROR('2.vize'!CC99*100/'2.vize'!$I99,"")</f>
        <v/>
      </c>
      <c r="BS200" s="38" t="str">
        <f>IFERROR('2.vize'!CD99*100/'2.vize'!$I99,"")</f>
        <v/>
      </c>
      <c r="BT200" s="38" t="str">
        <f>IFERROR('2.vize'!CE99*100/'2.vize'!$I99,"")</f>
        <v/>
      </c>
      <c r="BU200" s="38" t="str">
        <f>IFERROR('2.vize'!CF99*100/'2.vize'!$I99,"")</f>
        <v/>
      </c>
      <c r="BV200" s="38" t="str">
        <f>IFERROR('2.vize'!CG99*100/'2.vize'!$I99,"")</f>
        <v/>
      </c>
      <c r="BW200" s="38" t="str">
        <f>IFERROR('2.vize'!CH99*100/'2.vize'!$I99,"")</f>
        <v/>
      </c>
      <c r="BX200" s="38" t="str">
        <f>IFERROR('2.vize'!CI99*100/'2.vize'!$I99,"")</f>
        <v/>
      </c>
      <c r="BY200" s="38" t="str">
        <f>IFERROR('2.vize'!CJ99*100/'2.vize'!$I99,"")</f>
        <v/>
      </c>
      <c r="BZ200" s="38" t="str">
        <f>IFERROR('2.vize'!CK99*100/'2.vize'!$I99,"")</f>
        <v/>
      </c>
      <c r="CA200" s="38" t="str">
        <f>IFERROR('2.vize'!CL99*100/'2.vize'!$I99,"")</f>
        <v/>
      </c>
      <c r="CB200" s="38" t="str">
        <f>IFERROR('2.vize'!CM99*100/'2.vize'!$I99,"")</f>
        <v/>
      </c>
      <c r="CC200" s="38" t="str">
        <f>IFERROR('2.vize'!CN99*100/'2.vize'!$I99,"")</f>
        <v/>
      </c>
      <c r="CD200" s="38" t="str">
        <f>IFERROR('2.vize'!CO99*100/'2.vize'!$I99,"")</f>
        <v/>
      </c>
      <c r="CE200" s="38" t="str">
        <f>IFERROR('2.vize'!CP99*100/'2.vize'!$I99,"")</f>
        <v/>
      </c>
      <c r="CF200" s="38" t="str">
        <f>IFERROR('2.vize'!CQ99*100/'2.vize'!$I99,"")</f>
        <v/>
      </c>
      <c r="CG200" s="38" t="str">
        <f>IFERROR('2.vize'!CR99*100/'2.vize'!$I99,"")</f>
        <v/>
      </c>
      <c r="CH200" s="38" t="str">
        <f>IFERROR('2.vize'!CS99*100/'2.vize'!$I99,"")</f>
        <v/>
      </c>
      <c r="CI200" s="38" t="str">
        <f>IFERROR('2.vize'!CT99*100/'2.vize'!$I99,"")</f>
        <v/>
      </c>
      <c r="CJ200" s="38" t="str">
        <f>IFERROR('2.vize'!CU99*100/'2.vize'!$I99,"")</f>
        <v/>
      </c>
      <c r="CK200" s="38" t="str">
        <f>IFERROR('2.vize'!CV99*100/'2.vize'!$I99,"")</f>
        <v/>
      </c>
      <c r="CL200" s="38" t="str">
        <f>IFERROR('2.vize'!CW99*100/'2.vize'!$I99,"")</f>
        <v/>
      </c>
      <c r="CM200" s="38" t="str">
        <f>IFERROR('2.vize'!CX99*100/'2.vize'!$I99,"")</f>
        <v/>
      </c>
      <c r="CN200" s="38" t="str">
        <f>IFERROR('2.vize'!CY99*100/'2.vize'!$I99,"")</f>
        <v/>
      </c>
      <c r="CO200" s="38" t="str">
        <f>IFERROR('2.vize'!CZ99*100/'2.vize'!$I99,"")</f>
        <v/>
      </c>
      <c r="CP200" s="38" t="str">
        <f>IFERROR('2.vize'!DA99*100/'2.vize'!$I99,"")</f>
        <v/>
      </c>
      <c r="CQ200" s="38" t="str">
        <f>IFERROR('2.vize'!DB99*100/'2.vize'!$I99,"")</f>
        <v/>
      </c>
      <c r="CR200" s="38" t="str">
        <f>IFERROR('2.vize'!DC99*100/'2.vize'!$I99,"")</f>
        <v/>
      </c>
      <c r="CS200" s="38" t="str">
        <f>IFERROR('2.vize'!DD99*100/'2.vize'!$I99,"")</f>
        <v/>
      </c>
      <c r="CT200" s="38" t="str">
        <f>IFERROR('2.vize'!DE99*100/'2.vize'!$I99,"")</f>
        <v/>
      </c>
      <c r="CU200" s="38" t="str">
        <f>IFERROR('2.vize'!DF99*100/'2.vize'!$I99,"")</f>
        <v/>
      </c>
      <c r="CV200" s="38" t="str">
        <f>IFERROR('2.vize'!DG99*100/'2.vize'!$I99,"")</f>
        <v/>
      </c>
      <c r="CW200" s="32" t="str">
        <f>IFERROR(SUM(A200:CV200)/'2.vize'!$DH$103,"")</f>
        <v/>
      </c>
      <c r="CX200" s="14" t="str">
        <f>IF(COUNTA('2.vize'!A99),'2.vize'!A99,"")</f>
        <v/>
      </c>
      <c r="CY200" s="14" t="str">
        <f>IF(COUNTA('2.vize'!B99),'2.vize'!B99,"")</f>
        <v/>
      </c>
      <c r="CZ200" s="14" t="str">
        <f>IF(COUNTA('2.vize'!C99),'2.vize'!C99,"")</f>
        <v/>
      </c>
      <c r="DA200" s="14" t="str">
        <f>IF(COUNTA('2.vize'!D99),'2.vize'!D99,"")</f>
        <v/>
      </c>
      <c r="DB200" s="14" t="str">
        <f>IF(COUNTA('2.vize'!E99),'2.vize'!E99,"")</f>
        <v/>
      </c>
      <c r="DC200" s="14" t="str">
        <f>IF(COUNTA('2.vize'!F99),'2.vize'!F99,"")</f>
        <v/>
      </c>
      <c r="DD200" s="14" t="str">
        <f>IF(COUNTA('2.vize'!G99),'2.vize'!G99,"")</f>
        <v/>
      </c>
      <c r="DE200" s="14" t="str">
        <f>IF(COUNTA('2.vize'!H99),'2.vize'!H99,"")</f>
        <v/>
      </c>
    </row>
    <row r="201" spans="1:118" x14ac:dyDescent="0.2">
      <c r="A201" s="38" t="str">
        <f>IFERROR('2.vize'!L100*100/'2.vize'!$I100,"")</f>
        <v/>
      </c>
      <c r="B201" s="38" t="str">
        <f>IFERROR('2.vize'!M100*100/'2.vize'!$I100,"")</f>
        <v/>
      </c>
      <c r="C201" s="38" t="str">
        <f>IFERROR('2.vize'!N100*100/'2.vize'!$I100,"")</f>
        <v/>
      </c>
      <c r="D201" s="38" t="str">
        <f>IFERROR('2.vize'!O100*100/'2.vize'!$I100,"")</f>
        <v/>
      </c>
      <c r="E201" s="38" t="str">
        <f>IFERROR('2.vize'!P100*100/'2.vize'!$I100,"")</f>
        <v/>
      </c>
      <c r="F201" s="38" t="str">
        <f>IFERROR('2.vize'!Q100*100/'2.vize'!$I100,"")</f>
        <v/>
      </c>
      <c r="G201" s="38" t="str">
        <f>IFERROR('2.vize'!R100*100/'2.vize'!$I100,"")</f>
        <v/>
      </c>
      <c r="H201" s="38" t="str">
        <f>IFERROR('2.vize'!S100*100/'2.vize'!$I100,"")</f>
        <v/>
      </c>
      <c r="I201" s="38" t="str">
        <f>IFERROR('2.vize'!T100*100/'2.vize'!$I100,"")</f>
        <v/>
      </c>
      <c r="J201" s="38" t="str">
        <f>IFERROR('2.vize'!U100*100/'2.vize'!$I100,"")</f>
        <v/>
      </c>
      <c r="K201" s="38" t="str">
        <f>IFERROR('2.vize'!V100*100/'2.vize'!$I100,"")</f>
        <v/>
      </c>
      <c r="L201" s="38" t="str">
        <f>IFERROR('2.vize'!W100*100/'2.vize'!$I100,"")</f>
        <v/>
      </c>
      <c r="M201" s="38" t="str">
        <f>IFERROR('2.vize'!X100*100/'2.vize'!$I100,"")</f>
        <v/>
      </c>
      <c r="N201" s="38" t="str">
        <f>IFERROR('2.vize'!Y100*100/'2.vize'!$I100,"")</f>
        <v/>
      </c>
      <c r="O201" s="38" t="str">
        <f>IFERROR('2.vize'!Z100*100/'2.vize'!$I100,"")</f>
        <v/>
      </c>
      <c r="P201" s="38" t="str">
        <f>IFERROR('2.vize'!AA100*100/'2.vize'!$I100,"")</f>
        <v/>
      </c>
      <c r="Q201" s="38" t="str">
        <f>IFERROR('2.vize'!AB100*100/'2.vize'!$I100,"")</f>
        <v/>
      </c>
      <c r="R201" s="38" t="str">
        <f>IFERROR('2.vize'!AC100*100/'2.vize'!$I100,"")</f>
        <v/>
      </c>
      <c r="S201" s="38" t="str">
        <f>IFERROR('2.vize'!AD100*100/'2.vize'!$I100,"")</f>
        <v/>
      </c>
      <c r="T201" s="38" t="str">
        <f>IFERROR('2.vize'!AE100*100/'2.vize'!$I100,"")</f>
        <v/>
      </c>
      <c r="U201" s="38" t="str">
        <f>IFERROR('2.vize'!AF100*100/'2.vize'!$I100,"")</f>
        <v/>
      </c>
      <c r="V201" s="38" t="str">
        <f>IFERROR('2.vize'!AG100*100/'2.vize'!$I100,"")</f>
        <v/>
      </c>
      <c r="W201" s="38" t="str">
        <f>IFERROR('2.vize'!AH100*100/'2.vize'!$I100,"")</f>
        <v/>
      </c>
      <c r="X201" s="38" t="str">
        <f>IFERROR('2.vize'!AI100*100/'2.vize'!$I100,"")</f>
        <v/>
      </c>
      <c r="Y201" s="38" t="str">
        <f>IFERROR('2.vize'!AJ100*100/'2.vize'!$I100,"")</f>
        <v/>
      </c>
      <c r="Z201" s="38" t="str">
        <f>IFERROR('2.vize'!AK100*100/'2.vize'!$I100,"")</f>
        <v/>
      </c>
      <c r="AA201" s="38" t="str">
        <f>IFERROR('2.vize'!AL100*100/'2.vize'!$I100,"")</f>
        <v/>
      </c>
      <c r="AB201" s="38" t="str">
        <f>IFERROR('2.vize'!AM100*100/'2.vize'!$I100,"")</f>
        <v/>
      </c>
      <c r="AC201" s="38" t="str">
        <f>IFERROR('2.vize'!AN100*100/'2.vize'!$I100,"")</f>
        <v/>
      </c>
      <c r="AD201" s="38" t="str">
        <f>IFERROR('2.vize'!AO100*100/'2.vize'!$I100,"")</f>
        <v/>
      </c>
      <c r="AE201" s="38" t="str">
        <f>IFERROR('2.vize'!AP100*100/'2.vize'!$I100,"")</f>
        <v/>
      </c>
      <c r="AF201" s="38" t="str">
        <f>IFERROR('2.vize'!AQ100*100/'2.vize'!$I100,"")</f>
        <v/>
      </c>
      <c r="AG201" s="38" t="str">
        <f>IFERROR('2.vize'!AR100*100/'2.vize'!$I100,"")</f>
        <v/>
      </c>
      <c r="AH201" s="38" t="str">
        <f>IFERROR('2.vize'!AS100*100/'2.vize'!$I100,"")</f>
        <v/>
      </c>
      <c r="AI201" s="38" t="str">
        <f>IFERROR('2.vize'!AT100*100/'2.vize'!$I100,"")</f>
        <v/>
      </c>
      <c r="AJ201" s="38" t="str">
        <f>IFERROR('2.vize'!AU100*100/'2.vize'!$I100,"")</f>
        <v/>
      </c>
      <c r="AK201" s="38" t="str">
        <f>IFERROR('2.vize'!AV100*100/'2.vize'!$I100,"")</f>
        <v/>
      </c>
      <c r="AL201" s="38" t="str">
        <f>IFERROR('2.vize'!AW100*100/'2.vize'!$I100,"")</f>
        <v/>
      </c>
      <c r="AM201" s="38" t="str">
        <f>IFERROR('2.vize'!AX100*100/'2.vize'!$I100,"")</f>
        <v/>
      </c>
      <c r="AN201" s="38" t="str">
        <f>IFERROR('2.vize'!AY100*100/'2.vize'!$I100,"")</f>
        <v/>
      </c>
      <c r="AO201" s="38" t="str">
        <f>IFERROR('2.vize'!AZ100*100/'2.vize'!$I100,"")</f>
        <v/>
      </c>
      <c r="AP201" s="38" t="str">
        <f>IFERROR('2.vize'!BA100*100/'2.vize'!$I100,"")</f>
        <v/>
      </c>
      <c r="AQ201" s="38" t="str">
        <f>IFERROR('2.vize'!BB100*100/'2.vize'!$I100,"")</f>
        <v/>
      </c>
      <c r="AR201" s="38" t="str">
        <f>IFERROR('2.vize'!BC100*100/'2.vize'!$I100,"")</f>
        <v/>
      </c>
      <c r="AS201" s="38" t="str">
        <f>IFERROR('2.vize'!BD100*100/'2.vize'!$I100,"")</f>
        <v/>
      </c>
      <c r="AT201" s="38" t="str">
        <f>IFERROR('2.vize'!BE100*100/'2.vize'!$I100,"")</f>
        <v/>
      </c>
      <c r="AU201" s="38" t="str">
        <f>IFERROR('2.vize'!BF100*100/'2.vize'!$I100,"")</f>
        <v/>
      </c>
      <c r="AV201" s="38" t="str">
        <f>IFERROR('2.vize'!BG100*100/'2.vize'!$I100,"")</f>
        <v/>
      </c>
      <c r="AW201" s="38" t="str">
        <f>IFERROR('2.vize'!BH100*100/'2.vize'!$I100,"")</f>
        <v/>
      </c>
      <c r="AX201" s="38" t="str">
        <f>IFERROR('2.vize'!BI100*100/'2.vize'!$I100,"")</f>
        <v/>
      </c>
      <c r="AY201" s="38" t="str">
        <f>IFERROR('2.vize'!BJ100*100/'2.vize'!$I100,"")</f>
        <v/>
      </c>
      <c r="AZ201" s="38" t="str">
        <f>IFERROR('2.vize'!BK100*100/'2.vize'!$I100,"")</f>
        <v/>
      </c>
      <c r="BA201" s="38" t="str">
        <f>IFERROR('2.vize'!BL100*100/'2.vize'!$I100,"")</f>
        <v/>
      </c>
      <c r="BB201" s="38" t="str">
        <f>IFERROR('2.vize'!BM100*100/'2.vize'!$I100,"")</f>
        <v/>
      </c>
      <c r="BC201" s="38" t="str">
        <f>IFERROR('2.vize'!BN100*100/'2.vize'!$I100,"")</f>
        <v/>
      </c>
      <c r="BD201" s="38" t="str">
        <f>IFERROR('2.vize'!BO100*100/'2.vize'!$I100,"")</f>
        <v/>
      </c>
      <c r="BE201" s="38" t="str">
        <f>IFERROR('2.vize'!BP100*100/'2.vize'!$I100,"")</f>
        <v/>
      </c>
      <c r="BF201" s="38" t="str">
        <f>IFERROR('2.vize'!BQ100*100/'2.vize'!$I100,"")</f>
        <v/>
      </c>
      <c r="BG201" s="38" t="str">
        <f>IFERROR('2.vize'!BR100*100/'2.vize'!$I100,"")</f>
        <v/>
      </c>
      <c r="BH201" s="38" t="str">
        <f>IFERROR('2.vize'!BS100*100/'2.vize'!$I100,"")</f>
        <v/>
      </c>
      <c r="BI201" s="38" t="str">
        <f>IFERROR('2.vize'!BT100*100/'2.vize'!$I100,"")</f>
        <v/>
      </c>
      <c r="BJ201" s="38" t="str">
        <f>IFERROR('2.vize'!BU100*100/'2.vize'!$I100,"")</f>
        <v/>
      </c>
      <c r="BK201" s="38" t="str">
        <f>IFERROR('2.vize'!BV100*100/'2.vize'!$I100,"")</f>
        <v/>
      </c>
      <c r="BL201" s="38" t="str">
        <f>IFERROR('2.vize'!BW100*100/'2.vize'!$I100,"")</f>
        <v/>
      </c>
      <c r="BM201" s="38" t="str">
        <f>IFERROR('2.vize'!BX100*100/'2.vize'!$I100,"")</f>
        <v/>
      </c>
      <c r="BN201" s="38" t="str">
        <f>IFERROR('2.vize'!BY100*100/'2.vize'!$I100,"")</f>
        <v/>
      </c>
      <c r="BO201" s="38" t="str">
        <f>IFERROR('2.vize'!BZ100*100/'2.vize'!$I100,"")</f>
        <v/>
      </c>
      <c r="BP201" s="38" t="str">
        <f>IFERROR('2.vize'!CA100*100/'2.vize'!$I100,"")</f>
        <v/>
      </c>
      <c r="BQ201" s="38" t="str">
        <f>IFERROR('2.vize'!CB100*100/'2.vize'!$I100,"")</f>
        <v/>
      </c>
      <c r="BR201" s="38" t="str">
        <f>IFERROR('2.vize'!CC100*100/'2.vize'!$I100,"")</f>
        <v/>
      </c>
      <c r="BS201" s="38" t="str">
        <f>IFERROR('2.vize'!CD100*100/'2.vize'!$I100,"")</f>
        <v/>
      </c>
      <c r="BT201" s="38" t="str">
        <f>IFERROR('2.vize'!CE100*100/'2.vize'!$I100,"")</f>
        <v/>
      </c>
      <c r="BU201" s="38" t="str">
        <f>IFERROR('2.vize'!CF100*100/'2.vize'!$I100,"")</f>
        <v/>
      </c>
      <c r="BV201" s="38" t="str">
        <f>IFERROR('2.vize'!CG100*100/'2.vize'!$I100,"")</f>
        <v/>
      </c>
      <c r="BW201" s="38" t="str">
        <f>IFERROR('2.vize'!CH100*100/'2.vize'!$I100,"")</f>
        <v/>
      </c>
      <c r="BX201" s="38" t="str">
        <f>IFERROR('2.vize'!CI100*100/'2.vize'!$I100,"")</f>
        <v/>
      </c>
      <c r="BY201" s="38" t="str">
        <f>IFERROR('2.vize'!CJ100*100/'2.vize'!$I100,"")</f>
        <v/>
      </c>
      <c r="BZ201" s="38" t="str">
        <f>IFERROR('2.vize'!CK100*100/'2.vize'!$I100,"")</f>
        <v/>
      </c>
      <c r="CA201" s="38" t="str">
        <f>IFERROR('2.vize'!CL100*100/'2.vize'!$I100,"")</f>
        <v/>
      </c>
      <c r="CB201" s="38" t="str">
        <f>IFERROR('2.vize'!CM100*100/'2.vize'!$I100,"")</f>
        <v/>
      </c>
      <c r="CC201" s="38" t="str">
        <f>IFERROR('2.vize'!CN100*100/'2.vize'!$I100,"")</f>
        <v/>
      </c>
      <c r="CD201" s="38" t="str">
        <f>IFERROR('2.vize'!CO100*100/'2.vize'!$I100,"")</f>
        <v/>
      </c>
      <c r="CE201" s="38" t="str">
        <f>IFERROR('2.vize'!CP100*100/'2.vize'!$I100,"")</f>
        <v/>
      </c>
      <c r="CF201" s="38" t="str">
        <f>IFERROR('2.vize'!CQ100*100/'2.vize'!$I100,"")</f>
        <v/>
      </c>
      <c r="CG201" s="38" t="str">
        <f>IFERROR('2.vize'!CR100*100/'2.vize'!$I100,"")</f>
        <v/>
      </c>
      <c r="CH201" s="38" t="str">
        <f>IFERROR('2.vize'!CS100*100/'2.vize'!$I100,"")</f>
        <v/>
      </c>
      <c r="CI201" s="38" t="str">
        <f>IFERROR('2.vize'!CT100*100/'2.vize'!$I100,"")</f>
        <v/>
      </c>
      <c r="CJ201" s="38" t="str">
        <f>IFERROR('2.vize'!CU100*100/'2.vize'!$I100,"")</f>
        <v/>
      </c>
      <c r="CK201" s="38" t="str">
        <f>IFERROR('2.vize'!CV100*100/'2.vize'!$I100,"")</f>
        <v/>
      </c>
      <c r="CL201" s="38" t="str">
        <f>IFERROR('2.vize'!CW100*100/'2.vize'!$I100,"")</f>
        <v/>
      </c>
      <c r="CM201" s="38" t="str">
        <f>IFERROR('2.vize'!CX100*100/'2.vize'!$I100,"")</f>
        <v/>
      </c>
      <c r="CN201" s="38" t="str">
        <f>IFERROR('2.vize'!CY100*100/'2.vize'!$I100,"")</f>
        <v/>
      </c>
      <c r="CO201" s="38" t="str">
        <f>IFERROR('2.vize'!CZ100*100/'2.vize'!$I100,"")</f>
        <v/>
      </c>
      <c r="CP201" s="38" t="str">
        <f>IFERROR('2.vize'!DA100*100/'2.vize'!$I100,"")</f>
        <v/>
      </c>
      <c r="CQ201" s="38" t="str">
        <f>IFERROR('2.vize'!DB100*100/'2.vize'!$I100,"")</f>
        <v/>
      </c>
      <c r="CR201" s="38" t="str">
        <f>IFERROR('2.vize'!DC100*100/'2.vize'!$I100,"")</f>
        <v/>
      </c>
      <c r="CS201" s="38" t="str">
        <f>IFERROR('2.vize'!DD100*100/'2.vize'!$I100,"")</f>
        <v/>
      </c>
      <c r="CT201" s="38" t="str">
        <f>IFERROR('2.vize'!DE100*100/'2.vize'!$I100,"")</f>
        <v/>
      </c>
      <c r="CU201" s="38" t="str">
        <f>IFERROR('2.vize'!DF100*100/'2.vize'!$I100,"")</f>
        <v/>
      </c>
      <c r="CV201" s="38" t="str">
        <f>IFERROR('2.vize'!DG100*100/'2.vize'!$I100,"")</f>
        <v/>
      </c>
      <c r="CW201" s="32" t="str">
        <f>IFERROR(SUM(A201:CV201)/'2.vize'!$DH$103,"")</f>
        <v/>
      </c>
      <c r="CX201" s="14" t="str">
        <f>IF(COUNTA('2.vize'!A100),'2.vize'!A100,"")</f>
        <v/>
      </c>
      <c r="CY201" s="14" t="str">
        <f>IF(COUNTA('2.vize'!B100),'2.vize'!B100,"")</f>
        <v/>
      </c>
      <c r="CZ201" s="14" t="str">
        <f>IF(COUNTA('2.vize'!C100),'2.vize'!C100,"")</f>
        <v/>
      </c>
      <c r="DA201" s="14" t="str">
        <f>IF(COUNTA('2.vize'!D100),'2.vize'!D100,"")</f>
        <v/>
      </c>
      <c r="DB201" s="14" t="str">
        <f>IF(COUNTA('2.vize'!E100),'2.vize'!E100,"")</f>
        <v/>
      </c>
      <c r="DC201" s="14" t="str">
        <f>IF(COUNTA('2.vize'!F100),'2.vize'!F100,"")</f>
        <v/>
      </c>
      <c r="DD201" s="14" t="str">
        <f>IF(COUNTA('2.vize'!G100),'2.vize'!G100,"")</f>
        <v/>
      </c>
      <c r="DE201" s="14" t="str">
        <f>IF(COUNTA('2.vize'!H100),'2.vize'!H100,"")</f>
        <v/>
      </c>
    </row>
    <row r="202" spans="1:118" x14ac:dyDescent="0.2">
      <c r="A202" s="38" t="str">
        <f>IFERROR('2.vize'!L101*100/'2.vize'!$I101,"")</f>
        <v/>
      </c>
      <c r="B202" s="38" t="str">
        <f>IFERROR('2.vize'!M101*100/'2.vize'!$I101,"")</f>
        <v/>
      </c>
      <c r="C202" s="38" t="str">
        <f>IFERROR('2.vize'!N101*100/'2.vize'!$I101,"")</f>
        <v/>
      </c>
      <c r="D202" s="38" t="str">
        <f>IFERROR('2.vize'!O101*100/'2.vize'!$I101,"")</f>
        <v/>
      </c>
      <c r="E202" s="38" t="str">
        <f>IFERROR('2.vize'!P101*100/'2.vize'!$I101,"")</f>
        <v/>
      </c>
      <c r="F202" s="38" t="str">
        <f>IFERROR('2.vize'!Q101*100/'2.vize'!$I101,"")</f>
        <v/>
      </c>
      <c r="G202" s="38" t="str">
        <f>IFERROR('2.vize'!R101*100/'2.vize'!$I101,"")</f>
        <v/>
      </c>
      <c r="H202" s="38" t="str">
        <f>IFERROR('2.vize'!S101*100/'2.vize'!$I101,"")</f>
        <v/>
      </c>
      <c r="I202" s="38" t="str">
        <f>IFERROR('2.vize'!T101*100/'2.vize'!$I101,"")</f>
        <v/>
      </c>
      <c r="J202" s="38" t="str">
        <f>IFERROR('2.vize'!U101*100/'2.vize'!$I101,"")</f>
        <v/>
      </c>
      <c r="K202" s="38" t="str">
        <f>IFERROR('2.vize'!V101*100/'2.vize'!$I101,"")</f>
        <v/>
      </c>
      <c r="L202" s="38" t="str">
        <f>IFERROR('2.vize'!W101*100/'2.vize'!$I101,"")</f>
        <v/>
      </c>
      <c r="M202" s="38" t="str">
        <f>IFERROR('2.vize'!X101*100/'2.vize'!$I101,"")</f>
        <v/>
      </c>
      <c r="N202" s="38" t="str">
        <f>IFERROR('2.vize'!Y101*100/'2.vize'!$I101,"")</f>
        <v/>
      </c>
      <c r="O202" s="38" t="str">
        <f>IFERROR('2.vize'!Z101*100/'2.vize'!$I101,"")</f>
        <v/>
      </c>
      <c r="P202" s="38" t="str">
        <f>IFERROR('2.vize'!AA101*100/'2.vize'!$I101,"")</f>
        <v/>
      </c>
      <c r="Q202" s="38" t="str">
        <f>IFERROR('2.vize'!AB101*100/'2.vize'!$I101,"")</f>
        <v/>
      </c>
      <c r="R202" s="38" t="str">
        <f>IFERROR('2.vize'!AC101*100/'2.vize'!$I101,"")</f>
        <v/>
      </c>
      <c r="S202" s="38" t="str">
        <f>IFERROR('2.vize'!AD101*100/'2.vize'!$I101,"")</f>
        <v/>
      </c>
      <c r="T202" s="38" t="str">
        <f>IFERROR('2.vize'!AE101*100/'2.vize'!$I101,"")</f>
        <v/>
      </c>
      <c r="U202" s="38" t="str">
        <f>IFERROR('2.vize'!AF101*100/'2.vize'!$I101,"")</f>
        <v/>
      </c>
      <c r="V202" s="38" t="str">
        <f>IFERROR('2.vize'!AG101*100/'2.vize'!$I101,"")</f>
        <v/>
      </c>
      <c r="W202" s="38" t="str">
        <f>IFERROR('2.vize'!AH101*100/'2.vize'!$I101,"")</f>
        <v/>
      </c>
      <c r="X202" s="38" t="str">
        <f>IFERROR('2.vize'!AI101*100/'2.vize'!$I101,"")</f>
        <v/>
      </c>
      <c r="Y202" s="38" t="str">
        <f>IFERROR('2.vize'!AJ101*100/'2.vize'!$I101,"")</f>
        <v/>
      </c>
      <c r="Z202" s="38" t="str">
        <f>IFERROR('2.vize'!AK101*100/'2.vize'!$I101,"")</f>
        <v/>
      </c>
      <c r="AA202" s="38" t="str">
        <f>IFERROR('2.vize'!AL101*100/'2.vize'!$I101,"")</f>
        <v/>
      </c>
      <c r="AB202" s="38" t="str">
        <f>IFERROR('2.vize'!AM101*100/'2.vize'!$I101,"")</f>
        <v/>
      </c>
      <c r="AC202" s="38" t="str">
        <f>IFERROR('2.vize'!AN101*100/'2.vize'!$I101,"")</f>
        <v/>
      </c>
      <c r="AD202" s="38" t="str">
        <f>IFERROR('2.vize'!AO101*100/'2.vize'!$I101,"")</f>
        <v/>
      </c>
      <c r="AE202" s="38" t="str">
        <f>IFERROR('2.vize'!AP101*100/'2.vize'!$I101,"")</f>
        <v/>
      </c>
      <c r="AF202" s="38" t="str">
        <f>IFERROR('2.vize'!AQ101*100/'2.vize'!$I101,"")</f>
        <v/>
      </c>
      <c r="AG202" s="38" t="str">
        <f>IFERROR('2.vize'!AR101*100/'2.vize'!$I101,"")</f>
        <v/>
      </c>
      <c r="AH202" s="38" t="str">
        <f>IFERROR('2.vize'!AS101*100/'2.vize'!$I101,"")</f>
        <v/>
      </c>
      <c r="AI202" s="38" t="str">
        <f>IFERROR('2.vize'!AT101*100/'2.vize'!$I101,"")</f>
        <v/>
      </c>
      <c r="AJ202" s="38" t="str">
        <f>IFERROR('2.vize'!AU101*100/'2.vize'!$I101,"")</f>
        <v/>
      </c>
      <c r="AK202" s="38" t="str">
        <f>IFERROR('2.vize'!AV101*100/'2.vize'!$I101,"")</f>
        <v/>
      </c>
      <c r="AL202" s="38" t="str">
        <f>IFERROR('2.vize'!AW101*100/'2.vize'!$I101,"")</f>
        <v/>
      </c>
      <c r="AM202" s="38" t="str">
        <f>IFERROR('2.vize'!AX101*100/'2.vize'!$I101,"")</f>
        <v/>
      </c>
      <c r="AN202" s="38" t="str">
        <f>IFERROR('2.vize'!AY101*100/'2.vize'!$I101,"")</f>
        <v/>
      </c>
      <c r="AO202" s="38" t="str">
        <f>IFERROR('2.vize'!AZ101*100/'2.vize'!$I101,"")</f>
        <v/>
      </c>
      <c r="AP202" s="38" t="str">
        <f>IFERROR('2.vize'!BA101*100/'2.vize'!$I101,"")</f>
        <v/>
      </c>
      <c r="AQ202" s="38" t="str">
        <f>IFERROR('2.vize'!BB101*100/'2.vize'!$I101,"")</f>
        <v/>
      </c>
      <c r="AR202" s="38" t="str">
        <f>IFERROR('2.vize'!BC101*100/'2.vize'!$I101,"")</f>
        <v/>
      </c>
      <c r="AS202" s="38" t="str">
        <f>IFERROR('2.vize'!BD101*100/'2.vize'!$I101,"")</f>
        <v/>
      </c>
      <c r="AT202" s="38" t="str">
        <f>IFERROR('2.vize'!BE101*100/'2.vize'!$I101,"")</f>
        <v/>
      </c>
      <c r="AU202" s="38" t="str">
        <f>IFERROR('2.vize'!BF101*100/'2.vize'!$I101,"")</f>
        <v/>
      </c>
      <c r="AV202" s="38" t="str">
        <f>IFERROR('2.vize'!BG101*100/'2.vize'!$I101,"")</f>
        <v/>
      </c>
      <c r="AW202" s="38" t="str">
        <f>IFERROR('2.vize'!BH101*100/'2.vize'!$I101,"")</f>
        <v/>
      </c>
      <c r="AX202" s="38" t="str">
        <f>IFERROR('2.vize'!BI101*100/'2.vize'!$I101,"")</f>
        <v/>
      </c>
      <c r="AY202" s="38" t="str">
        <f>IFERROR('2.vize'!BJ101*100/'2.vize'!$I101,"")</f>
        <v/>
      </c>
      <c r="AZ202" s="38" t="str">
        <f>IFERROR('2.vize'!BK101*100/'2.vize'!$I101,"")</f>
        <v/>
      </c>
      <c r="BA202" s="38" t="str">
        <f>IFERROR('2.vize'!BL101*100/'2.vize'!$I101,"")</f>
        <v/>
      </c>
      <c r="BB202" s="38" t="str">
        <f>IFERROR('2.vize'!BM101*100/'2.vize'!$I101,"")</f>
        <v/>
      </c>
      <c r="BC202" s="38" t="str">
        <f>IFERROR('2.vize'!BN101*100/'2.vize'!$I101,"")</f>
        <v/>
      </c>
      <c r="BD202" s="38" t="str">
        <f>IFERROR('2.vize'!BO101*100/'2.vize'!$I101,"")</f>
        <v/>
      </c>
      <c r="BE202" s="38" t="str">
        <f>IFERROR('2.vize'!BP101*100/'2.vize'!$I101,"")</f>
        <v/>
      </c>
      <c r="BF202" s="38" t="str">
        <f>IFERROR('2.vize'!BQ101*100/'2.vize'!$I101,"")</f>
        <v/>
      </c>
      <c r="BG202" s="38" t="str">
        <f>IFERROR('2.vize'!BR101*100/'2.vize'!$I101,"")</f>
        <v/>
      </c>
      <c r="BH202" s="38" t="str">
        <f>IFERROR('2.vize'!BS101*100/'2.vize'!$I101,"")</f>
        <v/>
      </c>
      <c r="BI202" s="38" t="str">
        <f>IFERROR('2.vize'!BT101*100/'2.vize'!$I101,"")</f>
        <v/>
      </c>
      <c r="BJ202" s="38" t="str">
        <f>IFERROR('2.vize'!BU101*100/'2.vize'!$I101,"")</f>
        <v/>
      </c>
      <c r="BK202" s="38" t="str">
        <f>IFERROR('2.vize'!BV101*100/'2.vize'!$I101,"")</f>
        <v/>
      </c>
      <c r="BL202" s="38" t="str">
        <f>IFERROR('2.vize'!BW101*100/'2.vize'!$I101,"")</f>
        <v/>
      </c>
      <c r="BM202" s="38" t="str">
        <f>IFERROR('2.vize'!BX101*100/'2.vize'!$I101,"")</f>
        <v/>
      </c>
      <c r="BN202" s="38" t="str">
        <f>IFERROR('2.vize'!BY101*100/'2.vize'!$I101,"")</f>
        <v/>
      </c>
      <c r="BO202" s="38" t="str">
        <f>IFERROR('2.vize'!BZ101*100/'2.vize'!$I101,"")</f>
        <v/>
      </c>
      <c r="BP202" s="38" t="str">
        <f>IFERROR('2.vize'!CA101*100/'2.vize'!$I101,"")</f>
        <v/>
      </c>
      <c r="BQ202" s="38" t="str">
        <f>IFERROR('2.vize'!CB101*100/'2.vize'!$I101,"")</f>
        <v/>
      </c>
      <c r="BR202" s="38" t="str">
        <f>IFERROR('2.vize'!CC101*100/'2.vize'!$I101,"")</f>
        <v/>
      </c>
      <c r="BS202" s="38" t="str">
        <f>IFERROR('2.vize'!CD101*100/'2.vize'!$I101,"")</f>
        <v/>
      </c>
      <c r="BT202" s="38" t="str">
        <f>IFERROR('2.vize'!CE101*100/'2.vize'!$I101,"")</f>
        <v/>
      </c>
      <c r="BU202" s="38" t="str">
        <f>IFERROR('2.vize'!CF101*100/'2.vize'!$I101,"")</f>
        <v/>
      </c>
      <c r="BV202" s="38" t="str">
        <f>IFERROR('2.vize'!CG101*100/'2.vize'!$I101,"")</f>
        <v/>
      </c>
      <c r="BW202" s="38" t="str">
        <f>IFERROR('2.vize'!CH101*100/'2.vize'!$I101,"")</f>
        <v/>
      </c>
      <c r="BX202" s="38" t="str">
        <f>IFERROR('2.vize'!CI101*100/'2.vize'!$I101,"")</f>
        <v/>
      </c>
      <c r="BY202" s="38" t="str">
        <f>IFERROR('2.vize'!CJ101*100/'2.vize'!$I101,"")</f>
        <v/>
      </c>
      <c r="BZ202" s="38" t="str">
        <f>IFERROR('2.vize'!CK101*100/'2.vize'!$I101,"")</f>
        <v/>
      </c>
      <c r="CA202" s="38" t="str">
        <f>IFERROR('2.vize'!CL101*100/'2.vize'!$I101,"")</f>
        <v/>
      </c>
      <c r="CB202" s="38" t="str">
        <f>IFERROR('2.vize'!CM101*100/'2.vize'!$I101,"")</f>
        <v/>
      </c>
      <c r="CC202" s="38" t="str">
        <f>IFERROR('2.vize'!CN101*100/'2.vize'!$I101,"")</f>
        <v/>
      </c>
      <c r="CD202" s="38" t="str">
        <f>IFERROR('2.vize'!CO101*100/'2.vize'!$I101,"")</f>
        <v/>
      </c>
      <c r="CE202" s="38" t="str">
        <f>IFERROR('2.vize'!CP101*100/'2.vize'!$I101,"")</f>
        <v/>
      </c>
      <c r="CF202" s="38" t="str">
        <f>IFERROR('2.vize'!CQ101*100/'2.vize'!$I101,"")</f>
        <v/>
      </c>
      <c r="CG202" s="38" t="str">
        <f>IFERROR('2.vize'!CR101*100/'2.vize'!$I101,"")</f>
        <v/>
      </c>
      <c r="CH202" s="38" t="str">
        <f>IFERROR('2.vize'!CS101*100/'2.vize'!$I101,"")</f>
        <v/>
      </c>
      <c r="CI202" s="38" t="str">
        <f>IFERROR('2.vize'!CT101*100/'2.vize'!$I101,"")</f>
        <v/>
      </c>
      <c r="CJ202" s="38" t="str">
        <f>IFERROR('2.vize'!CU101*100/'2.vize'!$I101,"")</f>
        <v/>
      </c>
      <c r="CK202" s="38" t="str">
        <f>IFERROR('2.vize'!CV101*100/'2.vize'!$I101,"")</f>
        <v/>
      </c>
      <c r="CL202" s="38" t="str">
        <f>IFERROR('2.vize'!CW101*100/'2.vize'!$I101,"")</f>
        <v/>
      </c>
      <c r="CM202" s="38" t="str">
        <f>IFERROR('2.vize'!CX101*100/'2.vize'!$I101,"")</f>
        <v/>
      </c>
      <c r="CN202" s="38" t="str">
        <f>IFERROR('2.vize'!CY101*100/'2.vize'!$I101,"")</f>
        <v/>
      </c>
      <c r="CO202" s="38" t="str">
        <f>IFERROR('2.vize'!CZ101*100/'2.vize'!$I101,"")</f>
        <v/>
      </c>
      <c r="CP202" s="38" t="str">
        <f>IFERROR('2.vize'!DA101*100/'2.vize'!$I101,"")</f>
        <v/>
      </c>
      <c r="CQ202" s="38" t="str">
        <f>IFERROR('2.vize'!DB101*100/'2.vize'!$I101,"")</f>
        <v/>
      </c>
      <c r="CR202" s="38" t="str">
        <f>IFERROR('2.vize'!DC101*100/'2.vize'!$I101,"")</f>
        <v/>
      </c>
      <c r="CS202" s="38" t="str">
        <f>IFERROR('2.vize'!DD101*100/'2.vize'!$I101,"")</f>
        <v/>
      </c>
      <c r="CT202" s="38" t="str">
        <f>IFERROR('2.vize'!DE101*100/'2.vize'!$I101,"")</f>
        <v/>
      </c>
      <c r="CU202" s="38" t="str">
        <f>IFERROR('2.vize'!DF101*100/'2.vize'!$I101,"")</f>
        <v/>
      </c>
      <c r="CV202" s="38" t="str">
        <f>IFERROR('2.vize'!DG101*100/'2.vize'!$I101,"")</f>
        <v/>
      </c>
      <c r="CW202" s="32" t="str">
        <f>IFERROR(SUM(A202:CV202)/'2.vize'!$DH$103,"")</f>
        <v/>
      </c>
      <c r="CX202" s="14" t="str">
        <f>IF(COUNTA('2.vize'!A101),'2.vize'!A101,"")</f>
        <v/>
      </c>
      <c r="CY202" s="14" t="str">
        <f>IF(COUNTA('2.vize'!B101),'2.vize'!B101,"")</f>
        <v/>
      </c>
      <c r="CZ202" s="14" t="str">
        <f>IF(COUNTA('2.vize'!C101),'2.vize'!C101,"")</f>
        <v/>
      </c>
      <c r="DA202" s="14" t="str">
        <f>IF(COUNTA('2.vize'!D101),'2.vize'!D101,"")</f>
        <v/>
      </c>
      <c r="DB202" s="14" t="str">
        <f>IF(COUNTA('2.vize'!E101),'2.vize'!E101,"")</f>
        <v/>
      </c>
      <c r="DC202" s="14" t="str">
        <f>IF(COUNTA('2.vize'!F101),'2.vize'!F101,"")</f>
        <v/>
      </c>
      <c r="DD202" s="14" t="str">
        <f>IF(COUNTA('2.vize'!G101),'2.vize'!G101,"")</f>
        <v/>
      </c>
      <c r="DE202" s="14" t="str">
        <f>IF(COUNTA('2.vize'!H101),'2.vize'!H101,"")</f>
        <v/>
      </c>
    </row>
    <row r="204" spans="1:118" x14ac:dyDescent="0.2">
      <c r="A204" s="39" t="str">
        <f>IFERROR(final!L2*100/final!$I2,"")</f>
        <v/>
      </c>
      <c r="B204" s="39" t="str">
        <f>IFERROR(final!M2*100/final!$I2,"")</f>
        <v/>
      </c>
      <c r="C204" s="39" t="str">
        <f>IFERROR(final!N2*100/final!$I2,"")</f>
        <v/>
      </c>
      <c r="D204" s="39" t="str">
        <f>IFERROR(final!O2*100/final!$I2,"")</f>
        <v/>
      </c>
      <c r="E204" s="39" t="str">
        <f>IFERROR(final!P2*100/final!$I2,"")</f>
        <v/>
      </c>
      <c r="F204" s="39" t="str">
        <f>IFERROR(final!Q2*100/final!$I2,"")</f>
        <v/>
      </c>
      <c r="G204" s="39" t="str">
        <f>IFERROR(final!R2*100/final!$I2,"")</f>
        <v/>
      </c>
      <c r="H204" s="39" t="str">
        <f>IFERROR(final!S2*100/final!$I2,"")</f>
        <v/>
      </c>
      <c r="I204" s="39" t="str">
        <f>IFERROR(final!T2*100/final!$I2,"")</f>
        <v/>
      </c>
      <c r="J204" s="39" t="str">
        <f>IFERROR(final!U2*100/final!$I2,"")</f>
        <v/>
      </c>
      <c r="K204" s="39" t="str">
        <f>IFERROR(final!V2*100/final!$I2,"")</f>
        <v/>
      </c>
      <c r="L204" s="39" t="str">
        <f>IFERROR(final!W2*100/final!$I2,"")</f>
        <v/>
      </c>
      <c r="M204" s="39" t="str">
        <f>IFERROR(final!X2*100/final!$I2,"")</f>
        <v/>
      </c>
      <c r="N204" s="39" t="str">
        <f>IFERROR(final!Y2*100/final!$I2,"")</f>
        <v/>
      </c>
      <c r="O204" s="39" t="str">
        <f>IFERROR(final!Z2*100/final!$I2,"")</f>
        <v/>
      </c>
      <c r="P204" s="39" t="str">
        <f>IFERROR(final!AA2*100/final!$I2,"")</f>
        <v/>
      </c>
      <c r="Q204" s="39" t="str">
        <f>IFERROR(final!AB2*100/final!$I2,"")</f>
        <v/>
      </c>
      <c r="R204" s="39" t="str">
        <f>IFERROR(final!AC2*100/final!$I2,"")</f>
        <v/>
      </c>
      <c r="S204" s="39" t="str">
        <f>IFERROR(final!AD2*100/final!$I2,"")</f>
        <v/>
      </c>
      <c r="T204" s="39" t="str">
        <f>IFERROR(final!AE2*100/final!$I2,"")</f>
        <v/>
      </c>
      <c r="U204" s="39" t="str">
        <f>IFERROR(final!AF2*100/final!$I2,"")</f>
        <v/>
      </c>
      <c r="V204" s="39" t="str">
        <f>IFERROR(final!AG2*100/final!$I2,"")</f>
        <v/>
      </c>
      <c r="W204" s="39" t="str">
        <f>IFERROR(final!AH2*100/final!$I2,"")</f>
        <v/>
      </c>
      <c r="X204" s="39" t="str">
        <f>IFERROR(final!AI2*100/final!$I2,"")</f>
        <v/>
      </c>
      <c r="Y204" s="39" t="str">
        <f>IFERROR(final!AJ2*100/final!$I2,"")</f>
        <v/>
      </c>
      <c r="Z204" s="39" t="str">
        <f>IFERROR(final!AK2*100/final!$I2,"")</f>
        <v/>
      </c>
      <c r="AA204" s="39" t="str">
        <f>IFERROR(final!AL2*100/final!$I2,"")</f>
        <v/>
      </c>
      <c r="AB204" s="39" t="str">
        <f>IFERROR(final!AM2*100/final!$I2,"")</f>
        <v/>
      </c>
      <c r="AC204" s="39" t="str">
        <f>IFERROR(final!AN2*100/final!$I2,"")</f>
        <v/>
      </c>
      <c r="AD204" s="39" t="str">
        <f>IFERROR(final!AO2*100/final!$I2,"")</f>
        <v/>
      </c>
      <c r="AE204" s="39" t="str">
        <f>IFERROR(final!AP2*100/final!$I2,"")</f>
        <v/>
      </c>
      <c r="AF204" s="39" t="str">
        <f>IFERROR(final!AQ2*100/final!$I2,"")</f>
        <v/>
      </c>
      <c r="AG204" s="39" t="str">
        <f>IFERROR(final!AR2*100/final!$I2,"")</f>
        <v/>
      </c>
      <c r="AH204" s="39" t="str">
        <f>IFERROR(final!AS2*100/final!$I2,"")</f>
        <v/>
      </c>
      <c r="AI204" s="39" t="str">
        <f>IFERROR(final!AT2*100/final!$I2,"")</f>
        <v/>
      </c>
      <c r="AJ204" s="39" t="str">
        <f>IFERROR(final!AU2*100/final!$I2,"")</f>
        <v/>
      </c>
      <c r="AK204" s="39" t="str">
        <f>IFERROR(final!AV2*100/final!$I2,"")</f>
        <v/>
      </c>
      <c r="AL204" s="39" t="str">
        <f>IFERROR(final!AW2*100/final!$I2,"")</f>
        <v/>
      </c>
      <c r="AM204" s="39" t="str">
        <f>IFERROR(final!AX2*100/final!$I2,"")</f>
        <v/>
      </c>
      <c r="AN204" s="39" t="str">
        <f>IFERROR(final!AY2*100/final!$I2,"")</f>
        <v/>
      </c>
      <c r="AO204" s="39" t="str">
        <f>IFERROR(final!AZ2*100/final!$I2,"")</f>
        <v/>
      </c>
      <c r="AP204" s="39" t="str">
        <f>IFERROR(final!BA2*100/final!$I2,"")</f>
        <v/>
      </c>
      <c r="AQ204" s="39" t="str">
        <f>IFERROR(final!BB2*100/final!$I2,"")</f>
        <v/>
      </c>
      <c r="AR204" s="39" t="str">
        <f>IFERROR(final!BC2*100/final!$I2,"")</f>
        <v/>
      </c>
      <c r="AS204" s="39" t="str">
        <f>IFERROR(final!BD2*100/final!$I2,"")</f>
        <v/>
      </c>
      <c r="AT204" s="39" t="str">
        <f>IFERROR(final!BE2*100/final!$I2,"")</f>
        <v/>
      </c>
      <c r="AU204" s="39" t="str">
        <f>IFERROR(final!BF2*100/final!$I2,"")</f>
        <v/>
      </c>
      <c r="AV204" s="39" t="str">
        <f>IFERROR(final!BG2*100/final!$I2,"")</f>
        <v/>
      </c>
      <c r="AW204" s="39" t="str">
        <f>IFERROR(final!BH2*100/final!$I2,"")</f>
        <v/>
      </c>
      <c r="AX204" s="39" t="str">
        <f>IFERROR(final!BI2*100/final!$I2,"")</f>
        <v/>
      </c>
      <c r="AY204" s="39" t="str">
        <f>IFERROR(final!BJ2*100/final!$I2,"")</f>
        <v/>
      </c>
      <c r="AZ204" s="39" t="str">
        <f>IFERROR(final!BK2*100/final!$I2,"")</f>
        <v/>
      </c>
      <c r="BA204" s="39" t="str">
        <f>IFERROR(final!BL2*100/final!$I2,"")</f>
        <v/>
      </c>
      <c r="BB204" s="39" t="str">
        <f>IFERROR(final!BM2*100/final!$I2,"")</f>
        <v/>
      </c>
      <c r="BC204" s="39" t="str">
        <f>IFERROR(final!BN2*100/final!$I2,"")</f>
        <v/>
      </c>
      <c r="BD204" s="39" t="str">
        <f>IFERROR(final!BO2*100/final!$I2,"")</f>
        <v/>
      </c>
      <c r="BE204" s="39" t="str">
        <f>IFERROR(final!BP2*100/final!$I2,"")</f>
        <v/>
      </c>
      <c r="BF204" s="39" t="str">
        <f>IFERROR(final!BQ2*100/final!$I2,"")</f>
        <v/>
      </c>
      <c r="BG204" s="39" t="str">
        <f>IFERROR(final!BR2*100/final!$I2,"")</f>
        <v/>
      </c>
      <c r="BH204" s="39" t="str">
        <f>IFERROR(final!BS2*100/final!$I2,"")</f>
        <v/>
      </c>
      <c r="BI204" s="39" t="str">
        <f>IFERROR(final!BT2*100/final!$I2,"")</f>
        <v/>
      </c>
      <c r="BJ204" s="39" t="str">
        <f>IFERROR(final!BU2*100/final!$I2,"")</f>
        <v/>
      </c>
      <c r="BK204" s="39" t="str">
        <f>IFERROR(final!BV2*100/final!$I2,"")</f>
        <v/>
      </c>
      <c r="BL204" s="39" t="str">
        <f>IFERROR(final!BW2*100/final!$I2,"")</f>
        <v/>
      </c>
      <c r="BM204" s="39" t="str">
        <f>IFERROR(final!BX2*100/final!$I2,"")</f>
        <v/>
      </c>
      <c r="BN204" s="39" t="str">
        <f>IFERROR(final!BY2*100/final!$I2,"")</f>
        <v/>
      </c>
      <c r="BO204" s="39" t="str">
        <f>IFERROR(final!BZ2*100/final!$I2,"")</f>
        <v/>
      </c>
      <c r="BP204" s="39" t="str">
        <f>IFERROR(final!CA2*100/final!$I2,"")</f>
        <v/>
      </c>
      <c r="BQ204" s="39" t="str">
        <f>IFERROR(final!CB2*100/final!$I2,"")</f>
        <v/>
      </c>
      <c r="BR204" s="39" t="str">
        <f>IFERROR(final!CC2*100/final!$I2,"")</f>
        <v/>
      </c>
      <c r="BS204" s="39" t="str">
        <f>IFERROR(final!CD2*100/final!$I2,"")</f>
        <v/>
      </c>
      <c r="BT204" s="39" t="str">
        <f>IFERROR(final!CE2*100/final!$I2,"")</f>
        <v/>
      </c>
      <c r="BU204" s="39" t="str">
        <f>IFERROR(final!CF2*100/final!$I2,"")</f>
        <v/>
      </c>
      <c r="BV204" s="39" t="str">
        <f>IFERROR(final!CG2*100/final!$I2,"")</f>
        <v/>
      </c>
      <c r="BW204" s="39" t="str">
        <f>IFERROR(final!CH2*100/final!$I2,"")</f>
        <v/>
      </c>
      <c r="BX204" s="39" t="str">
        <f>IFERROR(final!CI2*100/final!$I2,"")</f>
        <v/>
      </c>
      <c r="BY204" s="39" t="str">
        <f>IFERROR(final!CJ2*100/final!$I2,"")</f>
        <v/>
      </c>
      <c r="BZ204" s="39" t="str">
        <f>IFERROR(final!CK2*100/final!$I2,"")</f>
        <v/>
      </c>
      <c r="CA204" s="39" t="str">
        <f>IFERROR(final!CL2*100/final!$I2,"")</f>
        <v/>
      </c>
      <c r="CB204" s="39" t="str">
        <f>IFERROR(final!CM2*100/final!$I2,"")</f>
        <v/>
      </c>
      <c r="CC204" s="39" t="str">
        <f>IFERROR(final!CN2*100/final!$I2,"")</f>
        <v/>
      </c>
      <c r="CD204" s="39" t="str">
        <f>IFERROR(final!CO2*100/final!$I2,"")</f>
        <v/>
      </c>
      <c r="CE204" s="39" t="str">
        <f>IFERROR(final!CP2*100/final!$I2,"")</f>
        <v/>
      </c>
      <c r="CF204" s="39" t="str">
        <f>IFERROR(final!CQ2*100/final!$I2,"")</f>
        <v/>
      </c>
      <c r="CG204" s="39" t="str">
        <f>IFERROR(final!CR2*100/final!$I2,"")</f>
        <v/>
      </c>
      <c r="CH204" s="39" t="str">
        <f>IFERROR(final!CS2*100/final!$I2,"")</f>
        <v/>
      </c>
      <c r="CI204" s="39" t="str">
        <f>IFERROR(final!CT2*100/final!$I2,"")</f>
        <v/>
      </c>
      <c r="CJ204" s="39" t="str">
        <f>IFERROR(final!CU2*100/final!$I2,"")</f>
        <v/>
      </c>
      <c r="CK204" s="39" t="str">
        <f>IFERROR(final!CV2*100/final!$I2,"")</f>
        <v/>
      </c>
      <c r="CL204" s="39" t="str">
        <f>IFERROR(final!CW2*100/final!$I2,"")</f>
        <v/>
      </c>
      <c r="CM204" s="39" t="str">
        <f>IFERROR(final!CX2*100/final!$I2,"")</f>
        <v/>
      </c>
      <c r="CN204" s="39" t="str">
        <f>IFERROR(final!CY2*100/final!$I2,"")</f>
        <v/>
      </c>
      <c r="CO204" s="39" t="str">
        <f>IFERROR(final!CZ2*100/final!$I2,"")</f>
        <v/>
      </c>
      <c r="CP204" s="39" t="str">
        <f>IFERROR(final!DA2*100/final!$I2,"")</f>
        <v/>
      </c>
      <c r="CQ204" s="39" t="str">
        <f>IFERROR(final!DB2*100/final!$I2,"")</f>
        <v/>
      </c>
      <c r="CR204" s="39" t="str">
        <f>IFERROR(final!DC2*100/final!$I2,"")</f>
        <v/>
      </c>
      <c r="CS204" s="39" t="str">
        <f>IFERROR(final!DD2*100/final!$I2,"")</f>
        <v/>
      </c>
      <c r="CT204" s="39" t="str">
        <f>IFERROR(final!DE2*100/final!$I2,"")</f>
        <v/>
      </c>
      <c r="CU204" s="39" t="str">
        <f>IFERROR(final!DF2*100/final!$I2,"")</f>
        <v/>
      </c>
      <c r="CV204" s="39" t="str">
        <f>IFERROR(final!DG2*100/final!$I2,"")</f>
        <v/>
      </c>
      <c r="CW204" s="32" t="str">
        <f>IFERROR(SUM(A204:CV204)/final!$DH$103,"")</f>
        <v/>
      </c>
      <c r="CX204" s="14" t="str">
        <f>IF(COUNTA(final!A2),final!A2,"")</f>
        <v/>
      </c>
      <c r="CY204" s="14" t="str">
        <f>IF(COUNTA(final!B2),final!B2,"")</f>
        <v/>
      </c>
      <c r="CZ204" s="14" t="str">
        <f>IF(COUNTA(final!C2),final!C2,"")</f>
        <v/>
      </c>
      <c r="DA204" s="14" t="str">
        <f>IF(COUNTA(final!D2),final!D2,"")</f>
        <v/>
      </c>
      <c r="DB204" s="14" t="str">
        <f>IF(COUNTA(final!E2),final!E2,"")</f>
        <v/>
      </c>
      <c r="DC204" s="14" t="str">
        <f>IF(COUNTA(final!F2),final!F2,"")</f>
        <v/>
      </c>
      <c r="DD204" s="14" t="str">
        <f>IF(COUNTA(final!G2),final!G2,"")</f>
        <v/>
      </c>
      <c r="DE204" s="14" t="str">
        <f>IF(COUNTA(final!H2),final!H2,"")</f>
        <v/>
      </c>
      <c r="DG204" s="35" t="str">
        <f>IFERROR(AVERAGEIFS($CW$204:$CW$303,$CX$204:$CX$303,1),"")</f>
        <v/>
      </c>
      <c r="DH204" s="35" t="str">
        <f>IFERROR(AVERAGEIFS($CW$204:$CW$303,$CY$204:$CY$303,2),"")</f>
        <v/>
      </c>
      <c r="DI204" s="35" t="str">
        <f>IFERROR(AVERAGEIFS($CW$204:$CW$303,$CZ$204:$CZ$303,3),"")</f>
        <v/>
      </c>
      <c r="DJ204" s="35" t="str">
        <f>IFERROR(AVERAGEIFS($CW$204:$CW$303,$DA$204:$DA$303,4),"")</f>
        <v/>
      </c>
      <c r="DK204" s="35" t="str">
        <f>IFERROR(AVERAGEIFS($CW$204:$CW$303,$DB$204:$DB$303,5),"")</f>
        <v/>
      </c>
      <c r="DL204" s="35" t="str">
        <f>IFERROR(AVERAGEIFS($CW$204:$CW$303,$DC$204:$DC$303,6),"")</f>
        <v/>
      </c>
      <c r="DM204" s="35" t="str">
        <f>IFERROR(AVERAGEIFS($CW$204:$CW$303,$DD$204:$DD$303,7),"")</f>
        <v/>
      </c>
      <c r="DN204" s="35" t="str">
        <f>IFERROR(AVERAGEIFS($CW$204:$CW$303,$DE$204:$DE$303,8),"")</f>
        <v/>
      </c>
    </row>
    <row r="205" spans="1:118" x14ac:dyDescent="0.2">
      <c r="A205" s="39" t="str">
        <f>IFERROR(final!L3*100/final!$I3,"")</f>
        <v/>
      </c>
      <c r="B205" s="39" t="str">
        <f>IFERROR(final!M3*100/final!$I3,"")</f>
        <v/>
      </c>
      <c r="C205" s="39" t="str">
        <f>IFERROR(final!N3*100/final!$I3,"")</f>
        <v/>
      </c>
      <c r="D205" s="39" t="str">
        <f>IFERROR(final!O3*100/final!$I3,"")</f>
        <v/>
      </c>
      <c r="E205" s="39" t="str">
        <f>IFERROR(final!P3*100/final!$I3,"")</f>
        <v/>
      </c>
      <c r="F205" s="39" t="str">
        <f>IFERROR(final!Q3*100/final!$I3,"")</f>
        <v/>
      </c>
      <c r="G205" s="39" t="str">
        <f>IFERROR(final!R3*100/final!$I3,"")</f>
        <v/>
      </c>
      <c r="H205" s="39" t="str">
        <f>IFERROR(final!S3*100/final!$I3,"")</f>
        <v/>
      </c>
      <c r="I205" s="39" t="str">
        <f>IFERROR(final!T3*100/final!$I3,"")</f>
        <v/>
      </c>
      <c r="J205" s="39" t="str">
        <f>IFERROR(final!U3*100/final!$I3,"")</f>
        <v/>
      </c>
      <c r="K205" s="39" t="str">
        <f>IFERROR(final!V3*100/final!$I3,"")</f>
        <v/>
      </c>
      <c r="L205" s="39" t="str">
        <f>IFERROR(final!W3*100/final!$I3,"")</f>
        <v/>
      </c>
      <c r="M205" s="39" t="str">
        <f>IFERROR(final!X3*100/final!$I3,"")</f>
        <v/>
      </c>
      <c r="N205" s="39" t="str">
        <f>IFERROR(final!Y3*100/final!$I3,"")</f>
        <v/>
      </c>
      <c r="O205" s="39" t="str">
        <f>IFERROR(final!Z3*100/final!$I3,"")</f>
        <v/>
      </c>
      <c r="P205" s="39" t="str">
        <f>IFERROR(final!AA3*100/final!$I3,"")</f>
        <v/>
      </c>
      <c r="Q205" s="39" t="str">
        <f>IFERROR(final!AB3*100/final!$I3,"")</f>
        <v/>
      </c>
      <c r="R205" s="39" t="str">
        <f>IFERROR(final!AC3*100/final!$I3,"")</f>
        <v/>
      </c>
      <c r="S205" s="39" t="str">
        <f>IFERROR(final!AD3*100/final!$I3,"")</f>
        <v/>
      </c>
      <c r="T205" s="39" t="str">
        <f>IFERROR(final!AE3*100/final!$I3,"")</f>
        <v/>
      </c>
      <c r="U205" s="39" t="str">
        <f>IFERROR(final!AF3*100/final!$I3,"")</f>
        <v/>
      </c>
      <c r="V205" s="39" t="str">
        <f>IFERROR(final!AG3*100/final!$I3,"")</f>
        <v/>
      </c>
      <c r="W205" s="39" t="str">
        <f>IFERROR(final!AH3*100/final!$I3,"")</f>
        <v/>
      </c>
      <c r="X205" s="39" t="str">
        <f>IFERROR(final!AI3*100/final!$I3,"")</f>
        <v/>
      </c>
      <c r="Y205" s="39" t="str">
        <f>IFERROR(final!AJ3*100/final!$I3,"")</f>
        <v/>
      </c>
      <c r="Z205" s="39" t="str">
        <f>IFERROR(final!AK3*100/final!$I3,"")</f>
        <v/>
      </c>
      <c r="AA205" s="39" t="str">
        <f>IFERROR(final!AL3*100/final!$I3,"")</f>
        <v/>
      </c>
      <c r="AB205" s="39" t="str">
        <f>IFERROR(final!AM3*100/final!$I3,"")</f>
        <v/>
      </c>
      <c r="AC205" s="39" t="str">
        <f>IFERROR(final!AN3*100/final!$I3,"")</f>
        <v/>
      </c>
      <c r="AD205" s="39" t="str">
        <f>IFERROR(final!AO3*100/final!$I3,"")</f>
        <v/>
      </c>
      <c r="AE205" s="39" t="str">
        <f>IFERROR(final!AP3*100/final!$I3,"")</f>
        <v/>
      </c>
      <c r="AF205" s="39" t="str">
        <f>IFERROR(final!AQ3*100/final!$I3,"")</f>
        <v/>
      </c>
      <c r="AG205" s="39" t="str">
        <f>IFERROR(final!AR3*100/final!$I3,"")</f>
        <v/>
      </c>
      <c r="AH205" s="39" t="str">
        <f>IFERROR(final!AS3*100/final!$I3,"")</f>
        <v/>
      </c>
      <c r="AI205" s="39" t="str">
        <f>IFERROR(final!AT3*100/final!$I3,"")</f>
        <v/>
      </c>
      <c r="AJ205" s="39" t="str">
        <f>IFERROR(final!AU3*100/final!$I3,"")</f>
        <v/>
      </c>
      <c r="AK205" s="39" t="str">
        <f>IFERROR(final!AV3*100/final!$I3,"")</f>
        <v/>
      </c>
      <c r="AL205" s="39" t="str">
        <f>IFERROR(final!AW3*100/final!$I3,"")</f>
        <v/>
      </c>
      <c r="AM205" s="39" t="str">
        <f>IFERROR(final!AX3*100/final!$I3,"")</f>
        <v/>
      </c>
      <c r="AN205" s="39" t="str">
        <f>IFERROR(final!AY3*100/final!$I3,"")</f>
        <v/>
      </c>
      <c r="AO205" s="39" t="str">
        <f>IFERROR(final!AZ3*100/final!$I3,"")</f>
        <v/>
      </c>
      <c r="AP205" s="39" t="str">
        <f>IFERROR(final!BA3*100/final!$I3,"")</f>
        <v/>
      </c>
      <c r="AQ205" s="39" t="str">
        <f>IFERROR(final!BB3*100/final!$I3,"")</f>
        <v/>
      </c>
      <c r="AR205" s="39" t="str">
        <f>IFERROR(final!BC3*100/final!$I3,"")</f>
        <v/>
      </c>
      <c r="AS205" s="39" t="str">
        <f>IFERROR(final!BD3*100/final!$I3,"")</f>
        <v/>
      </c>
      <c r="AT205" s="39" t="str">
        <f>IFERROR(final!BE3*100/final!$I3,"")</f>
        <v/>
      </c>
      <c r="AU205" s="39" t="str">
        <f>IFERROR(final!BF3*100/final!$I3,"")</f>
        <v/>
      </c>
      <c r="AV205" s="39" t="str">
        <f>IFERROR(final!BG3*100/final!$I3,"")</f>
        <v/>
      </c>
      <c r="AW205" s="39" t="str">
        <f>IFERROR(final!BH3*100/final!$I3,"")</f>
        <v/>
      </c>
      <c r="AX205" s="39" t="str">
        <f>IFERROR(final!BI3*100/final!$I3,"")</f>
        <v/>
      </c>
      <c r="AY205" s="39" t="str">
        <f>IFERROR(final!BJ3*100/final!$I3,"")</f>
        <v/>
      </c>
      <c r="AZ205" s="39" t="str">
        <f>IFERROR(final!BK3*100/final!$I3,"")</f>
        <v/>
      </c>
      <c r="BA205" s="39" t="str">
        <f>IFERROR(final!BL3*100/final!$I3,"")</f>
        <v/>
      </c>
      <c r="BB205" s="39" t="str">
        <f>IFERROR(final!BM3*100/final!$I3,"")</f>
        <v/>
      </c>
      <c r="BC205" s="39" t="str">
        <f>IFERROR(final!BN3*100/final!$I3,"")</f>
        <v/>
      </c>
      <c r="BD205" s="39" t="str">
        <f>IFERROR(final!BO3*100/final!$I3,"")</f>
        <v/>
      </c>
      <c r="BE205" s="39" t="str">
        <f>IFERROR(final!BP3*100/final!$I3,"")</f>
        <v/>
      </c>
      <c r="BF205" s="39" t="str">
        <f>IFERROR(final!BQ3*100/final!$I3,"")</f>
        <v/>
      </c>
      <c r="BG205" s="39" t="str">
        <f>IFERROR(final!BR3*100/final!$I3,"")</f>
        <v/>
      </c>
      <c r="BH205" s="39" t="str">
        <f>IFERROR(final!BS3*100/final!$I3,"")</f>
        <v/>
      </c>
      <c r="BI205" s="39" t="str">
        <f>IFERROR(final!BT3*100/final!$I3,"")</f>
        <v/>
      </c>
      <c r="BJ205" s="39" t="str">
        <f>IFERROR(final!BU3*100/final!$I3,"")</f>
        <v/>
      </c>
      <c r="BK205" s="39" t="str">
        <f>IFERROR(final!BV3*100/final!$I3,"")</f>
        <v/>
      </c>
      <c r="BL205" s="39" t="str">
        <f>IFERROR(final!BW3*100/final!$I3,"")</f>
        <v/>
      </c>
      <c r="BM205" s="39" t="str">
        <f>IFERROR(final!BX3*100/final!$I3,"")</f>
        <v/>
      </c>
      <c r="BN205" s="39" t="str">
        <f>IFERROR(final!BY3*100/final!$I3,"")</f>
        <v/>
      </c>
      <c r="BO205" s="39" t="str">
        <f>IFERROR(final!BZ3*100/final!$I3,"")</f>
        <v/>
      </c>
      <c r="BP205" s="39" t="str">
        <f>IFERROR(final!CA3*100/final!$I3,"")</f>
        <v/>
      </c>
      <c r="BQ205" s="39" t="str">
        <f>IFERROR(final!CB3*100/final!$I3,"")</f>
        <v/>
      </c>
      <c r="BR205" s="39" t="str">
        <f>IFERROR(final!CC3*100/final!$I3,"")</f>
        <v/>
      </c>
      <c r="BS205" s="39" t="str">
        <f>IFERROR(final!CD3*100/final!$I3,"")</f>
        <v/>
      </c>
      <c r="BT205" s="39" t="str">
        <f>IFERROR(final!CE3*100/final!$I3,"")</f>
        <v/>
      </c>
      <c r="BU205" s="39" t="str">
        <f>IFERROR(final!CF3*100/final!$I3,"")</f>
        <v/>
      </c>
      <c r="BV205" s="39" t="str">
        <f>IFERROR(final!CG3*100/final!$I3,"")</f>
        <v/>
      </c>
      <c r="BW205" s="39" t="str">
        <f>IFERROR(final!CH3*100/final!$I3,"")</f>
        <v/>
      </c>
      <c r="BX205" s="39" t="str">
        <f>IFERROR(final!CI3*100/final!$I3,"")</f>
        <v/>
      </c>
      <c r="BY205" s="39" t="str">
        <f>IFERROR(final!CJ3*100/final!$I3,"")</f>
        <v/>
      </c>
      <c r="BZ205" s="39" t="str">
        <f>IFERROR(final!CK3*100/final!$I3,"")</f>
        <v/>
      </c>
      <c r="CA205" s="39" t="str">
        <f>IFERROR(final!CL3*100/final!$I3,"")</f>
        <v/>
      </c>
      <c r="CB205" s="39" t="str">
        <f>IFERROR(final!CM3*100/final!$I3,"")</f>
        <v/>
      </c>
      <c r="CC205" s="39" t="str">
        <f>IFERROR(final!CN3*100/final!$I3,"")</f>
        <v/>
      </c>
      <c r="CD205" s="39" t="str">
        <f>IFERROR(final!CO3*100/final!$I3,"")</f>
        <v/>
      </c>
      <c r="CE205" s="39" t="str">
        <f>IFERROR(final!CP3*100/final!$I3,"")</f>
        <v/>
      </c>
      <c r="CF205" s="39" t="str">
        <f>IFERROR(final!CQ3*100/final!$I3,"")</f>
        <v/>
      </c>
      <c r="CG205" s="39" t="str">
        <f>IFERROR(final!CR3*100/final!$I3,"")</f>
        <v/>
      </c>
      <c r="CH205" s="39" t="str">
        <f>IFERROR(final!CS3*100/final!$I3,"")</f>
        <v/>
      </c>
      <c r="CI205" s="39" t="str">
        <f>IFERROR(final!CT3*100/final!$I3,"")</f>
        <v/>
      </c>
      <c r="CJ205" s="39" t="str">
        <f>IFERROR(final!CU3*100/final!$I3,"")</f>
        <v/>
      </c>
      <c r="CK205" s="39" t="str">
        <f>IFERROR(final!CV3*100/final!$I3,"")</f>
        <v/>
      </c>
      <c r="CL205" s="39" t="str">
        <f>IFERROR(final!CW3*100/final!$I3,"")</f>
        <v/>
      </c>
      <c r="CM205" s="39" t="str">
        <f>IFERROR(final!CX3*100/final!$I3,"")</f>
        <v/>
      </c>
      <c r="CN205" s="39" t="str">
        <f>IFERROR(final!CY3*100/final!$I3,"")</f>
        <v/>
      </c>
      <c r="CO205" s="39" t="str">
        <f>IFERROR(final!CZ3*100/final!$I3,"")</f>
        <v/>
      </c>
      <c r="CP205" s="39" t="str">
        <f>IFERROR(final!DA3*100/final!$I3,"")</f>
        <v/>
      </c>
      <c r="CQ205" s="39" t="str">
        <f>IFERROR(final!DB3*100/final!$I3,"")</f>
        <v/>
      </c>
      <c r="CR205" s="39" t="str">
        <f>IFERROR(final!DC3*100/final!$I3,"")</f>
        <v/>
      </c>
      <c r="CS205" s="39" t="str">
        <f>IFERROR(final!DD3*100/final!$I3,"")</f>
        <v/>
      </c>
      <c r="CT205" s="39" t="str">
        <f>IFERROR(final!DE3*100/final!$I3,"")</f>
        <v/>
      </c>
      <c r="CU205" s="39" t="str">
        <f>IFERROR(final!DF3*100/final!$I3,"")</f>
        <v/>
      </c>
      <c r="CV205" s="39" t="str">
        <f>IFERROR(final!DG3*100/final!$I3,"")</f>
        <v/>
      </c>
      <c r="CW205" s="32" t="str">
        <f>IFERROR(SUM(A205:CV205)/final!$DH$103,"")</f>
        <v/>
      </c>
      <c r="CX205" s="14" t="str">
        <f>IF(COUNTA(final!A3),final!A3,"")</f>
        <v/>
      </c>
      <c r="CY205" s="14" t="str">
        <f>IF(COUNTA(final!B3),final!B3,"")</f>
        <v/>
      </c>
      <c r="CZ205" s="14" t="str">
        <f>IF(COUNTA(final!C3),final!C3,"")</f>
        <v/>
      </c>
      <c r="DA205" s="14" t="str">
        <f>IF(COUNTA(final!D3),final!D3,"")</f>
        <v/>
      </c>
      <c r="DB205" s="14" t="str">
        <f>IF(COUNTA(final!E3),final!E3,"")</f>
        <v/>
      </c>
      <c r="DC205" s="14" t="str">
        <f>IF(COUNTA(final!F3),final!F3,"")</f>
        <v/>
      </c>
      <c r="DD205" s="14" t="str">
        <f>IF(COUNTA(final!G3),final!G3,"")</f>
        <v/>
      </c>
      <c r="DE205" s="14" t="str">
        <f>IF(COUNTA(final!H3),final!H3,"")</f>
        <v/>
      </c>
    </row>
    <row r="206" spans="1:118" x14ac:dyDescent="0.2">
      <c r="A206" s="39" t="str">
        <f>IFERROR(final!L4*100/final!$I4,"")</f>
        <v/>
      </c>
      <c r="B206" s="39" t="str">
        <f>IFERROR(final!M4*100/final!$I4,"")</f>
        <v/>
      </c>
      <c r="C206" s="39" t="str">
        <f>IFERROR(final!N4*100/final!$I4,"")</f>
        <v/>
      </c>
      <c r="D206" s="39" t="str">
        <f>IFERROR(final!O4*100/final!$I4,"")</f>
        <v/>
      </c>
      <c r="E206" s="39" t="str">
        <f>IFERROR(final!P4*100/final!$I4,"")</f>
        <v/>
      </c>
      <c r="F206" s="39" t="str">
        <f>IFERROR(final!Q4*100/final!$I4,"")</f>
        <v/>
      </c>
      <c r="G206" s="39" t="str">
        <f>IFERROR(final!R4*100/final!$I4,"")</f>
        <v/>
      </c>
      <c r="H206" s="39" t="str">
        <f>IFERROR(final!S4*100/final!$I4,"")</f>
        <v/>
      </c>
      <c r="I206" s="39" t="str">
        <f>IFERROR(final!T4*100/final!$I4,"")</f>
        <v/>
      </c>
      <c r="J206" s="39" t="str">
        <f>IFERROR(final!U4*100/final!$I4,"")</f>
        <v/>
      </c>
      <c r="K206" s="39" t="str">
        <f>IFERROR(final!V4*100/final!$I4,"")</f>
        <v/>
      </c>
      <c r="L206" s="39" t="str">
        <f>IFERROR(final!W4*100/final!$I4,"")</f>
        <v/>
      </c>
      <c r="M206" s="39" t="str">
        <f>IFERROR(final!X4*100/final!$I4,"")</f>
        <v/>
      </c>
      <c r="N206" s="39" t="str">
        <f>IFERROR(final!Y4*100/final!$I4,"")</f>
        <v/>
      </c>
      <c r="O206" s="39" t="str">
        <f>IFERROR(final!Z4*100/final!$I4,"")</f>
        <v/>
      </c>
      <c r="P206" s="39" t="str">
        <f>IFERROR(final!AA4*100/final!$I4,"")</f>
        <v/>
      </c>
      <c r="Q206" s="39" t="str">
        <f>IFERROR(final!AB4*100/final!$I4,"")</f>
        <v/>
      </c>
      <c r="R206" s="39" t="str">
        <f>IFERROR(final!AC4*100/final!$I4,"")</f>
        <v/>
      </c>
      <c r="S206" s="39" t="str">
        <f>IFERROR(final!AD4*100/final!$I4,"")</f>
        <v/>
      </c>
      <c r="T206" s="39" t="str">
        <f>IFERROR(final!AE4*100/final!$I4,"")</f>
        <v/>
      </c>
      <c r="U206" s="39" t="str">
        <f>IFERROR(final!AF4*100/final!$I4,"")</f>
        <v/>
      </c>
      <c r="V206" s="39" t="str">
        <f>IFERROR(final!AG4*100/final!$I4,"")</f>
        <v/>
      </c>
      <c r="W206" s="39" t="str">
        <f>IFERROR(final!AH4*100/final!$I4,"")</f>
        <v/>
      </c>
      <c r="X206" s="39" t="str">
        <f>IFERROR(final!AI4*100/final!$I4,"")</f>
        <v/>
      </c>
      <c r="Y206" s="39" t="str">
        <f>IFERROR(final!AJ4*100/final!$I4,"")</f>
        <v/>
      </c>
      <c r="Z206" s="39" t="str">
        <f>IFERROR(final!AK4*100/final!$I4,"")</f>
        <v/>
      </c>
      <c r="AA206" s="39" t="str">
        <f>IFERROR(final!AL4*100/final!$I4,"")</f>
        <v/>
      </c>
      <c r="AB206" s="39" t="str">
        <f>IFERROR(final!AM4*100/final!$I4,"")</f>
        <v/>
      </c>
      <c r="AC206" s="39" t="str">
        <f>IFERROR(final!AN4*100/final!$I4,"")</f>
        <v/>
      </c>
      <c r="AD206" s="39" t="str">
        <f>IFERROR(final!AO4*100/final!$I4,"")</f>
        <v/>
      </c>
      <c r="AE206" s="39" t="str">
        <f>IFERROR(final!AP4*100/final!$I4,"")</f>
        <v/>
      </c>
      <c r="AF206" s="39" t="str">
        <f>IFERROR(final!AQ4*100/final!$I4,"")</f>
        <v/>
      </c>
      <c r="AG206" s="39" t="str">
        <f>IFERROR(final!AR4*100/final!$I4,"")</f>
        <v/>
      </c>
      <c r="AH206" s="39" t="str">
        <f>IFERROR(final!AS4*100/final!$I4,"")</f>
        <v/>
      </c>
      <c r="AI206" s="39" t="str">
        <f>IFERROR(final!AT4*100/final!$I4,"")</f>
        <v/>
      </c>
      <c r="AJ206" s="39" t="str">
        <f>IFERROR(final!AU4*100/final!$I4,"")</f>
        <v/>
      </c>
      <c r="AK206" s="39" t="str">
        <f>IFERROR(final!AV4*100/final!$I4,"")</f>
        <v/>
      </c>
      <c r="AL206" s="39" t="str">
        <f>IFERROR(final!AW4*100/final!$I4,"")</f>
        <v/>
      </c>
      <c r="AM206" s="39" t="str">
        <f>IFERROR(final!AX4*100/final!$I4,"")</f>
        <v/>
      </c>
      <c r="AN206" s="39" t="str">
        <f>IFERROR(final!AY4*100/final!$I4,"")</f>
        <v/>
      </c>
      <c r="AO206" s="39" t="str">
        <f>IFERROR(final!AZ4*100/final!$I4,"")</f>
        <v/>
      </c>
      <c r="AP206" s="39" t="str">
        <f>IFERROR(final!BA4*100/final!$I4,"")</f>
        <v/>
      </c>
      <c r="AQ206" s="39" t="str">
        <f>IFERROR(final!BB4*100/final!$I4,"")</f>
        <v/>
      </c>
      <c r="AR206" s="39" t="str">
        <f>IFERROR(final!BC4*100/final!$I4,"")</f>
        <v/>
      </c>
      <c r="AS206" s="39" t="str">
        <f>IFERROR(final!BD4*100/final!$I4,"")</f>
        <v/>
      </c>
      <c r="AT206" s="39" t="str">
        <f>IFERROR(final!BE4*100/final!$I4,"")</f>
        <v/>
      </c>
      <c r="AU206" s="39" t="str">
        <f>IFERROR(final!BF4*100/final!$I4,"")</f>
        <v/>
      </c>
      <c r="AV206" s="39" t="str">
        <f>IFERROR(final!BG4*100/final!$I4,"")</f>
        <v/>
      </c>
      <c r="AW206" s="39" t="str">
        <f>IFERROR(final!BH4*100/final!$I4,"")</f>
        <v/>
      </c>
      <c r="AX206" s="39" t="str">
        <f>IFERROR(final!BI4*100/final!$I4,"")</f>
        <v/>
      </c>
      <c r="AY206" s="39" t="str">
        <f>IFERROR(final!BJ4*100/final!$I4,"")</f>
        <v/>
      </c>
      <c r="AZ206" s="39" t="str">
        <f>IFERROR(final!BK4*100/final!$I4,"")</f>
        <v/>
      </c>
      <c r="BA206" s="39" t="str">
        <f>IFERROR(final!BL4*100/final!$I4,"")</f>
        <v/>
      </c>
      <c r="BB206" s="39" t="str">
        <f>IFERROR(final!BM4*100/final!$I4,"")</f>
        <v/>
      </c>
      <c r="BC206" s="39" t="str">
        <f>IFERROR(final!BN4*100/final!$I4,"")</f>
        <v/>
      </c>
      <c r="BD206" s="39" t="str">
        <f>IFERROR(final!BO4*100/final!$I4,"")</f>
        <v/>
      </c>
      <c r="BE206" s="39" t="str">
        <f>IFERROR(final!BP4*100/final!$I4,"")</f>
        <v/>
      </c>
      <c r="BF206" s="39" t="str">
        <f>IFERROR(final!BQ4*100/final!$I4,"")</f>
        <v/>
      </c>
      <c r="BG206" s="39" t="str">
        <f>IFERROR(final!BR4*100/final!$I4,"")</f>
        <v/>
      </c>
      <c r="BH206" s="39" t="str">
        <f>IFERROR(final!BS4*100/final!$I4,"")</f>
        <v/>
      </c>
      <c r="BI206" s="39" t="str">
        <f>IFERROR(final!BT4*100/final!$I4,"")</f>
        <v/>
      </c>
      <c r="BJ206" s="39" t="str">
        <f>IFERROR(final!BU4*100/final!$I4,"")</f>
        <v/>
      </c>
      <c r="BK206" s="39" t="str">
        <f>IFERROR(final!BV4*100/final!$I4,"")</f>
        <v/>
      </c>
      <c r="BL206" s="39" t="str">
        <f>IFERROR(final!BW4*100/final!$I4,"")</f>
        <v/>
      </c>
      <c r="BM206" s="39" t="str">
        <f>IFERROR(final!BX4*100/final!$I4,"")</f>
        <v/>
      </c>
      <c r="BN206" s="39" t="str">
        <f>IFERROR(final!BY4*100/final!$I4,"")</f>
        <v/>
      </c>
      <c r="BO206" s="39" t="str">
        <f>IFERROR(final!BZ4*100/final!$I4,"")</f>
        <v/>
      </c>
      <c r="BP206" s="39" t="str">
        <f>IFERROR(final!CA4*100/final!$I4,"")</f>
        <v/>
      </c>
      <c r="BQ206" s="39" t="str">
        <f>IFERROR(final!CB4*100/final!$I4,"")</f>
        <v/>
      </c>
      <c r="BR206" s="39" t="str">
        <f>IFERROR(final!CC4*100/final!$I4,"")</f>
        <v/>
      </c>
      <c r="BS206" s="39" t="str">
        <f>IFERROR(final!CD4*100/final!$I4,"")</f>
        <v/>
      </c>
      <c r="BT206" s="39" t="str">
        <f>IFERROR(final!CE4*100/final!$I4,"")</f>
        <v/>
      </c>
      <c r="BU206" s="39" t="str">
        <f>IFERROR(final!CF4*100/final!$I4,"")</f>
        <v/>
      </c>
      <c r="BV206" s="39" t="str">
        <f>IFERROR(final!CG4*100/final!$I4,"")</f>
        <v/>
      </c>
      <c r="BW206" s="39" t="str">
        <f>IFERROR(final!CH4*100/final!$I4,"")</f>
        <v/>
      </c>
      <c r="BX206" s="39" t="str">
        <f>IFERROR(final!CI4*100/final!$I4,"")</f>
        <v/>
      </c>
      <c r="BY206" s="39" t="str">
        <f>IFERROR(final!CJ4*100/final!$I4,"")</f>
        <v/>
      </c>
      <c r="BZ206" s="39" t="str">
        <f>IFERROR(final!CK4*100/final!$I4,"")</f>
        <v/>
      </c>
      <c r="CA206" s="39" t="str">
        <f>IFERROR(final!CL4*100/final!$I4,"")</f>
        <v/>
      </c>
      <c r="CB206" s="39" t="str">
        <f>IFERROR(final!CM4*100/final!$I4,"")</f>
        <v/>
      </c>
      <c r="CC206" s="39" t="str">
        <f>IFERROR(final!CN4*100/final!$I4,"")</f>
        <v/>
      </c>
      <c r="CD206" s="39" t="str">
        <f>IFERROR(final!CO4*100/final!$I4,"")</f>
        <v/>
      </c>
      <c r="CE206" s="39" t="str">
        <f>IFERROR(final!CP4*100/final!$I4,"")</f>
        <v/>
      </c>
      <c r="CF206" s="39" t="str">
        <f>IFERROR(final!CQ4*100/final!$I4,"")</f>
        <v/>
      </c>
      <c r="CG206" s="39" t="str">
        <f>IFERROR(final!CR4*100/final!$I4,"")</f>
        <v/>
      </c>
      <c r="CH206" s="39" t="str">
        <f>IFERROR(final!CS4*100/final!$I4,"")</f>
        <v/>
      </c>
      <c r="CI206" s="39" t="str">
        <f>IFERROR(final!CT4*100/final!$I4,"")</f>
        <v/>
      </c>
      <c r="CJ206" s="39" t="str">
        <f>IFERROR(final!CU4*100/final!$I4,"")</f>
        <v/>
      </c>
      <c r="CK206" s="39" t="str">
        <f>IFERROR(final!CV4*100/final!$I4,"")</f>
        <v/>
      </c>
      <c r="CL206" s="39" t="str">
        <f>IFERROR(final!CW4*100/final!$I4,"")</f>
        <v/>
      </c>
      <c r="CM206" s="39" t="str">
        <f>IFERROR(final!CX4*100/final!$I4,"")</f>
        <v/>
      </c>
      <c r="CN206" s="39" t="str">
        <f>IFERROR(final!CY4*100/final!$I4,"")</f>
        <v/>
      </c>
      <c r="CO206" s="39" t="str">
        <f>IFERROR(final!CZ4*100/final!$I4,"")</f>
        <v/>
      </c>
      <c r="CP206" s="39" t="str">
        <f>IFERROR(final!DA4*100/final!$I4,"")</f>
        <v/>
      </c>
      <c r="CQ206" s="39" t="str">
        <f>IFERROR(final!DB4*100/final!$I4,"")</f>
        <v/>
      </c>
      <c r="CR206" s="39" t="str">
        <f>IFERROR(final!DC4*100/final!$I4,"")</f>
        <v/>
      </c>
      <c r="CS206" s="39" t="str">
        <f>IFERROR(final!DD4*100/final!$I4,"")</f>
        <v/>
      </c>
      <c r="CT206" s="39" t="str">
        <f>IFERROR(final!DE4*100/final!$I4,"")</f>
        <v/>
      </c>
      <c r="CU206" s="39" t="str">
        <f>IFERROR(final!DF4*100/final!$I4,"")</f>
        <v/>
      </c>
      <c r="CV206" s="39" t="str">
        <f>IFERROR(final!DG4*100/final!$I4,"")</f>
        <v/>
      </c>
      <c r="CW206" s="32" t="str">
        <f>IFERROR(SUM(A206:CV206)/final!$DH$103,"")</f>
        <v/>
      </c>
      <c r="CX206" s="14" t="str">
        <f>IF(COUNTA(final!A4),final!A4,"")</f>
        <v/>
      </c>
      <c r="CY206" s="14" t="str">
        <f>IF(COUNTA(final!B4),final!B4,"")</f>
        <v/>
      </c>
      <c r="CZ206" s="14" t="str">
        <f>IF(COUNTA(final!C4),final!C4,"")</f>
        <v/>
      </c>
      <c r="DA206" s="14" t="str">
        <f>IF(COUNTA(final!D4),final!D4,"")</f>
        <v/>
      </c>
      <c r="DB206" s="14" t="str">
        <f>IF(COUNTA(final!E4),final!E4,"")</f>
        <v/>
      </c>
      <c r="DC206" s="14" t="str">
        <f>IF(COUNTA(final!F4),final!F4,"")</f>
        <v/>
      </c>
      <c r="DD206" s="14" t="str">
        <f>IF(COUNTA(final!G4),final!G4,"")</f>
        <v/>
      </c>
      <c r="DE206" s="14" t="str">
        <f>IF(COUNTA(final!H4),final!H4,"")</f>
        <v/>
      </c>
    </row>
    <row r="207" spans="1:118" x14ac:dyDescent="0.2">
      <c r="A207" s="39" t="str">
        <f>IFERROR(final!L5*100/final!$I5,"")</f>
        <v/>
      </c>
      <c r="B207" s="39" t="str">
        <f>IFERROR(final!M5*100/final!$I5,"")</f>
        <v/>
      </c>
      <c r="C207" s="39" t="str">
        <f>IFERROR(final!N5*100/final!$I5,"")</f>
        <v/>
      </c>
      <c r="D207" s="39" t="str">
        <f>IFERROR(final!O5*100/final!$I5,"")</f>
        <v/>
      </c>
      <c r="E207" s="39" t="str">
        <f>IFERROR(final!P5*100/final!$I5,"")</f>
        <v/>
      </c>
      <c r="F207" s="39" t="str">
        <f>IFERROR(final!Q5*100/final!$I5,"")</f>
        <v/>
      </c>
      <c r="G207" s="39" t="str">
        <f>IFERROR(final!R5*100/final!$I5,"")</f>
        <v/>
      </c>
      <c r="H207" s="39" t="str">
        <f>IFERROR(final!S5*100/final!$I5,"")</f>
        <v/>
      </c>
      <c r="I207" s="39" t="str">
        <f>IFERROR(final!T5*100/final!$I5,"")</f>
        <v/>
      </c>
      <c r="J207" s="39" t="str">
        <f>IFERROR(final!U5*100/final!$I5,"")</f>
        <v/>
      </c>
      <c r="K207" s="39" t="str">
        <f>IFERROR(final!V5*100/final!$I5,"")</f>
        <v/>
      </c>
      <c r="L207" s="39" t="str">
        <f>IFERROR(final!W5*100/final!$I5,"")</f>
        <v/>
      </c>
      <c r="M207" s="39" t="str">
        <f>IFERROR(final!X5*100/final!$I5,"")</f>
        <v/>
      </c>
      <c r="N207" s="39" t="str">
        <f>IFERROR(final!Y5*100/final!$I5,"")</f>
        <v/>
      </c>
      <c r="O207" s="39" t="str">
        <f>IFERROR(final!Z5*100/final!$I5,"")</f>
        <v/>
      </c>
      <c r="P207" s="39" t="str">
        <f>IFERROR(final!AA5*100/final!$I5,"")</f>
        <v/>
      </c>
      <c r="Q207" s="39" t="str">
        <f>IFERROR(final!AB5*100/final!$I5,"")</f>
        <v/>
      </c>
      <c r="R207" s="39" t="str">
        <f>IFERROR(final!AC5*100/final!$I5,"")</f>
        <v/>
      </c>
      <c r="S207" s="39" t="str">
        <f>IFERROR(final!AD5*100/final!$I5,"")</f>
        <v/>
      </c>
      <c r="T207" s="39" t="str">
        <f>IFERROR(final!AE5*100/final!$I5,"")</f>
        <v/>
      </c>
      <c r="U207" s="39" t="str">
        <f>IFERROR(final!AF5*100/final!$I5,"")</f>
        <v/>
      </c>
      <c r="V207" s="39" t="str">
        <f>IFERROR(final!AG5*100/final!$I5,"")</f>
        <v/>
      </c>
      <c r="W207" s="39" t="str">
        <f>IFERROR(final!AH5*100/final!$I5,"")</f>
        <v/>
      </c>
      <c r="X207" s="39" t="str">
        <f>IFERROR(final!AI5*100/final!$I5,"")</f>
        <v/>
      </c>
      <c r="Y207" s="39" t="str">
        <f>IFERROR(final!AJ5*100/final!$I5,"")</f>
        <v/>
      </c>
      <c r="Z207" s="39" t="str">
        <f>IFERROR(final!AK5*100/final!$I5,"")</f>
        <v/>
      </c>
      <c r="AA207" s="39" t="str">
        <f>IFERROR(final!AL5*100/final!$I5,"")</f>
        <v/>
      </c>
      <c r="AB207" s="39" t="str">
        <f>IFERROR(final!AM5*100/final!$I5,"")</f>
        <v/>
      </c>
      <c r="AC207" s="39" t="str">
        <f>IFERROR(final!AN5*100/final!$I5,"")</f>
        <v/>
      </c>
      <c r="AD207" s="39" t="str">
        <f>IFERROR(final!AO5*100/final!$I5,"")</f>
        <v/>
      </c>
      <c r="AE207" s="39" t="str">
        <f>IFERROR(final!AP5*100/final!$I5,"")</f>
        <v/>
      </c>
      <c r="AF207" s="39" t="str">
        <f>IFERROR(final!AQ5*100/final!$I5,"")</f>
        <v/>
      </c>
      <c r="AG207" s="39" t="str">
        <f>IFERROR(final!AR5*100/final!$I5,"")</f>
        <v/>
      </c>
      <c r="AH207" s="39" t="str">
        <f>IFERROR(final!AS5*100/final!$I5,"")</f>
        <v/>
      </c>
      <c r="AI207" s="39" t="str">
        <f>IFERROR(final!AT5*100/final!$I5,"")</f>
        <v/>
      </c>
      <c r="AJ207" s="39" t="str">
        <f>IFERROR(final!AU5*100/final!$I5,"")</f>
        <v/>
      </c>
      <c r="AK207" s="39" t="str">
        <f>IFERROR(final!AV5*100/final!$I5,"")</f>
        <v/>
      </c>
      <c r="AL207" s="39" t="str">
        <f>IFERROR(final!AW5*100/final!$I5,"")</f>
        <v/>
      </c>
      <c r="AM207" s="39" t="str">
        <f>IFERROR(final!AX5*100/final!$I5,"")</f>
        <v/>
      </c>
      <c r="AN207" s="39" t="str">
        <f>IFERROR(final!AY5*100/final!$I5,"")</f>
        <v/>
      </c>
      <c r="AO207" s="39" t="str">
        <f>IFERROR(final!AZ5*100/final!$I5,"")</f>
        <v/>
      </c>
      <c r="AP207" s="39" t="str">
        <f>IFERROR(final!BA5*100/final!$I5,"")</f>
        <v/>
      </c>
      <c r="AQ207" s="39" t="str">
        <f>IFERROR(final!BB5*100/final!$I5,"")</f>
        <v/>
      </c>
      <c r="AR207" s="39" t="str">
        <f>IFERROR(final!BC5*100/final!$I5,"")</f>
        <v/>
      </c>
      <c r="AS207" s="39" t="str">
        <f>IFERROR(final!BD5*100/final!$I5,"")</f>
        <v/>
      </c>
      <c r="AT207" s="39" t="str">
        <f>IFERROR(final!BE5*100/final!$I5,"")</f>
        <v/>
      </c>
      <c r="AU207" s="39" t="str">
        <f>IFERROR(final!BF5*100/final!$I5,"")</f>
        <v/>
      </c>
      <c r="AV207" s="39" t="str">
        <f>IFERROR(final!BG5*100/final!$I5,"")</f>
        <v/>
      </c>
      <c r="AW207" s="39" t="str">
        <f>IFERROR(final!BH5*100/final!$I5,"")</f>
        <v/>
      </c>
      <c r="AX207" s="39" t="str">
        <f>IFERROR(final!BI5*100/final!$I5,"")</f>
        <v/>
      </c>
      <c r="AY207" s="39" t="str">
        <f>IFERROR(final!BJ5*100/final!$I5,"")</f>
        <v/>
      </c>
      <c r="AZ207" s="39" t="str">
        <f>IFERROR(final!BK5*100/final!$I5,"")</f>
        <v/>
      </c>
      <c r="BA207" s="39" t="str">
        <f>IFERROR(final!BL5*100/final!$I5,"")</f>
        <v/>
      </c>
      <c r="BB207" s="39" t="str">
        <f>IFERROR(final!BM5*100/final!$I5,"")</f>
        <v/>
      </c>
      <c r="BC207" s="39" t="str">
        <f>IFERROR(final!BN5*100/final!$I5,"")</f>
        <v/>
      </c>
      <c r="BD207" s="39" t="str">
        <f>IFERROR(final!BO5*100/final!$I5,"")</f>
        <v/>
      </c>
      <c r="BE207" s="39" t="str">
        <f>IFERROR(final!BP5*100/final!$I5,"")</f>
        <v/>
      </c>
      <c r="BF207" s="39" t="str">
        <f>IFERROR(final!BQ5*100/final!$I5,"")</f>
        <v/>
      </c>
      <c r="BG207" s="39" t="str">
        <f>IFERROR(final!BR5*100/final!$I5,"")</f>
        <v/>
      </c>
      <c r="BH207" s="39" t="str">
        <f>IFERROR(final!BS5*100/final!$I5,"")</f>
        <v/>
      </c>
      <c r="BI207" s="39" t="str">
        <f>IFERROR(final!BT5*100/final!$I5,"")</f>
        <v/>
      </c>
      <c r="BJ207" s="39" t="str">
        <f>IFERROR(final!BU5*100/final!$I5,"")</f>
        <v/>
      </c>
      <c r="BK207" s="39" t="str">
        <f>IFERROR(final!BV5*100/final!$I5,"")</f>
        <v/>
      </c>
      <c r="BL207" s="39" t="str">
        <f>IFERROR(final!BW5*100/final!$I5,"")</f>
        <v/>
      </c>
      <c r="BM207" s="39" t="str">
        <f>IFERROR(final!BX5*100/final!$I5,"")</f>
        <v/>
      </c>
      <c r="BN207" s="39" t="str">
        <f>IFERROR(final!BY5*100/final!$I5,"")</f>
        <v/>
      </c>
      <c r="BO207" s="39" t="str">
        <f>IFERROR(final!BZ5*100/final!$I5,"")</f>
        <v/>
      </c>
      <c r="BP207" s="39" t="str">
        <f>IFERROR(final!CA5*100/final!$I5,"")</f>
        <v/>
      </c>
      <c r="BQ207" s="39" t="str">
        <f>IFERROR(final!CB5*100/final!$I5,"")</f>
        <v/>
      </c>
      <c r="BR207" s="39" t="str">
        <f>IFERROR(final!CC5*100/final!$I5,"")</f>
        <v/>
      </c>
      <c r="BS207" s="39" t="str">
        <f>IFERROR(final!CD5*100/final!$I5,"")</f>
        <v/>
      </c>
      <c r="BT207" s="39" t="str">
        <f>IFERROR(final!CE5*100/final!$I5,"")</f>
        <v/>
      </c>
      <c r="BU207" s="39" t="str">
        <f>IFERROR(final!CF5*100/final!$I5,"")</f>
        <v/>
      </c>
      <c r="BV207" s="39" t="str">
        <f>IFERROR(final!CG5*100/final!$I5,"")</f>
        <v/>
      </c>
      <c r="BW207" s="39" t="str">
        <f>IFERROR(final!CH5*100/final!$I5,"")</f>
        <v/>
      </c>
      <c r="BX207" s="39" t="str">
        <f>IFERROR(final!CI5*100/final!$I5,"")</f>
        <v/>
      </c>
      <c r="BY207" s="39" t="str">
        <f>IFERROR(final!CJ5*100/final!$I5,"")</f>
        <v/>
      </c>
      <c r="BZ207" s="39" t="str">
        <f>IFERROR(final!CK5*100/final!$I5,"")</f>
        <v/>
      </c>
      <c r="CA207" s="39" t="str">
        <f>IFERROR(final!CL5*100/final!$I5,"")</f>
        <v/>
      </c>
      <c r="CB207" s="39" t="str">
        <f>IFERROR(final!CM5*100/final!$I5,"")</f>
        <v/>
      </c>
      <c r="CC207" s="39" t="str">
        <f>IFERROR(final!CN5*100/final!$I5,"")</f>
        <v/>
      </c>
      <c r="CD207" s="39" t="str">
        <f>IFERROR(final!CO5*100/final!$I5,"")</f>
        <v/>
      </c>
      <c r="CE207" s="39" t="str">
        <f>IFERROR(final!CP5*100/final!$I5,"")</f>
        <v/>
      </c>
      <c r="CF207" s="39" t="str">
        <f>IFERROR(final!CQ5*100/final!$I5,"")</f>
        <v/>
      </c>
      <c r="CG207" s="39" t="str">
        <f>IFERROR(final!CR5*100/final!$I5,"")</f>
        <v/>
      </c>
      <c r="CH207" s="39" t="str">
        <f>IFERROR(final!CS5*100/final!$I5,"")</f>
        <v/>
      </c>
      <c r="CI207" s="39" t="str">
        <f>IFERROR(final!CT5*100/final!$I5,"")</f>
        <v/>
      </c>
      <c r="CJ207" s="39" t="str">
        <f>IFERROR(final!CU5*100/final!$I5,"")</f>
        <v/>
      </c>
      <c r="CK207" s="39" t="str">
        <f>IFERROR(final!CV5*100/final!$I5,"")</f>
        <v/>
      </c>
      <c r="CL207" s="39" t="str">
        <f>IFERROR(final!CW5*100/final!$I5,"")</f>
        <v/>
      </c>
      <c r="CM207" s="39" t="str">
        <f>IFERROR(final!CX5*100/final!$I5,"")</f>
        <v/>
      </c>
      <c r="CN207" s="39" t="str">
        <f>IFERROR(final!CY5*100/final!$I5,"")</f>
        <v/>
      </c>
      <c r="CO207" s="39" t="str">
        <f>IFERROR(final!CZ5*100/final!$I5,"")</f>
        <v/>
      </c>
      <c r="CP207" s="39" t="str">
        <f>IFERROR(final!DA5*100/final!$I5,"")</f>
        <v/>
      </c>
      <c r="CQ207" s="39" t="str">
        <f>IFERROR(final!DB5*100/final!$I5,"")</f>
        <v/>
      </c>
      <c r="CR207" s="39" t="str">
        <f>IFERROR(final!DC5*100/final!$I5,"")</f>
        <v/>
      </c>
      <c r="CS207" s="39" t="str">
        <f>IFERROR(final!DD5*100/final!$I5,"")</f>
        <v/>
      </c>
      <c r="CT207" s="39" t="str">
        <f>IFERROR(final!DE5*100/final!$I5,"")</f>
        <v/>
      </c>
      <c r="CU207" s="39" t="str">
        <f>IFERROR(final!DF5*100/final!$I5,"")</f>
        <v/>
      </c>
      <c r="CV207" s="39" t="str">
        <f>IFERROR(final!DG5*100/final!$I5,"")</f>
        <v/>
      </c>
      <c r="CW207" s="32" t="str">
        <f>IFERROR(SUM(A207:CV207)/final!$DH$103,"")</f>
        <v/>
      </c>
      <c r="CX207" s="14" t="str">
        <f>IF(COUNTA(final!A5),final!A5,"")</f>
        <v/>
      </c>
      <c r="CY207" s="14" t="str">
        <f>IF(COUNTA(final!B5),final!B5,"")</f>
        <v/>
      </c>
      <c r="CZ207" s="14" t="str">
        <f>IF(COUNTA(final!C5),final!C5,"")</f>
        <v/>
      </c>
      <c r="DA207" s="14" t="str">
        <f>IF(COUNTA(final!D5),final!D5,"")</f>
        <v/>
      </c>
      <c r="DB207" s="14" t="str">
        <f>IF(COUNTA(final!E5),final!E5,"")</f>
        <v/>
      </c>
      <c r="DC207" s="14" t="str">
        <f>IF(COUNTA(final!F5),final!F5,"")</f>
        <v/>
      </c>
      <c r="DD207" s="14" t="str">
        <f>IF(COUNTA(final!G5),final!G5,"")</f>
        <v/>
      </c>
      <c r="DE207" s="14" t="str">
        <f>IF(COUNTA(final!H5),final!H5,"")</f>
        <v/>
      </c>
    </row>
    <row r="208" spans="1:118" x14ac:dyDescent="0.2">
      <c r="A208" s="39" t="str">
        <f>IFERROR(final!L6*100/final!$I6,"")</f>
        <v/>
      </c>
      <c r="B208" s="39" t="str">
        <f>IFERROR(final!M6*100/final!$I6,"")</f>
        <v/>
      </c>
      <c r="C208" s="39" t="str">
        <f>IFERROR(final!N6*100/final!$I6,"")</f>
        <v/>
      </c>
      <c r="D208" s="39" t="str">
        <f>IFERROR(final!O6*100/final!$I6,"")</f>
        <v/>
      </c>
      <c r="E208" s="39" t="str">
        <f>IFERROR(final!P6*100/final!$I6,"")</f>
        <v/>
      </c>
      <c r="F208" s="39" t="str">
        <f>IFERROR(final!Q6*100/final!$I6,"")</f>
        <v/>
      </c>
      <c r="G208" s="39" t="str">
        <f>IFERROR(final!R6*100/final!$I6,"")</f>
        <v/>
      </c>
      <c r="H208" s="39" t="str">
        <f>IFERROR(final!S6*100/final!$I6,"")</f>
        <v/>
      </c>
      <c r="I208" s="39" t="str">
        <f>IFERROR(final!T6*100/final!$I6,"")</f>
        <v/>
      </c>
      <c r="J208" s="39" t="str">
        <f>IFERROR(final!U6*100/final!$I6,"")</f>
        <v/>
      </c>
      <c r="K208" s="39" t="str">
        <f>IFERROR(final!V6*100/final!$I6,"")</f>
        <v/>
      </c>
      <c r="L208" s="39" t="str">
        <f>IFERROR(final!W6*100/final!$I6,"")</f>
        <v/>
      </c>
      <c r="M208" s="39" t="str">
        <f>IFERROR(final!X6*100/final!$I6,"")</f>
        <v/>
      </c>
      <c r="N208" s="39" t="str">
        <f>IFERROR(final!Y6*100/final!$I6,"")</f>
        <v/>
      </c>
      <c r="O208" s="39" t="str">
        <f>IFERROR(final!Z6*100/final!$I6,"")</f>
        <v/>
      </c>
      <c r="P208" s="39" t="str">
        <f>IFERROR(final!AA6*100/final!$I6,"")</f>
        <v/>
      </c>
      <c r="Q208" s="39" t="str">
        <f>IFERROR(final!AB6*100/final!$I6,"")</f>
        <v/>
      </c>
      <c r="R208" s="39" t="str">
        <f>IFERROR(final!AC6*100/final!$I6,"")</f>
        <v/>
      </c>
      <c r="S208" s="39" t="str">
        <f>IFERROR(final!AD6*100/final!$I6,"")</f>
        <v/>
      </c>
      <c r="T208" s="39" t="str">
        <f>IFERROR(final!AE6*100/final!$I6,"")</f>
        <v/>
      </c>
      <c r="U208" s="39" t="str">
        <f>IFERROR(final!AF6*100/final!$I6,"")</f>
        <v/>
      </c>
      <c r="V208" s="39" t="str">
        <f>IFERROR(final!AG6*100/final!$I6,"")</f>
        <v/>
      </c>
      <c r="W208" s="39" t="str">
        <f>IFERROR(final!AH6*100/final!$I6,"")</f>
        <v/>
      </c>
      <c r="X208" s="39" t="str">
        <f>IFERROR(final!AI6*100/final!$I6,"")</f>
        <v/>
      </c>
      <c r="Y208" s="39" t="str">
        <f>IFERROR(final!AJ6*100/final!$I6,"")</f>
        <v/>
      </c>
      <c r="Z208" s="39" t="str">
        <f>IFERROR(final!AK6*100/final!$I6,"")</f>
        <v/>
      </c>
      <c r="AA208" s="39" t="str">
        <f>IFERROR(final!AL6*100/final!$I6,"")</f>
        <v/>
      </c>
      <c r="AB208" s="39" t="str">
        <f>IFERROR(final!AM6*100/final!$I6,"")</f>
        <v/>
      </c>
      <c r="AC208" s="39" t="str">
        <f>IFERROR(final!AN6*100/final!$I6,"")</f>
        <v/>
      </c>
      <c r="AD208" s="39" t="str">
        <f>IFERROR(final!AO6*100/final!$I6,"")</f>
        <v/>
      </c>
      <c r="AE208" s="39" t="str">
        <f>IFERROR(final!AP6*100/final!$I6,"")</f>
        <v/>
      </c>
      <c r="AF208" s="39" t="str">
        <f>IFERROR(final!AQ6*100/final!$I6,"")</f>
        <v/>
      </c>
      <c r="AG208" s="39" t="str">
        <f>IFERROR(final!AR6*100/final!$I6,"")</f>
        <v/>
      </c>
      <c r="AH208" s="39" t="str">
        <f>IFERROR(final!AS6*100/final!$I6,"")</f>
        <v/>
      </c>
      <c r="AI208" s="39" t="str">
        <f>IFERROR(final!AT6*100/final!$I6,"")</f>
        <v/>
      </c>
      <c r="AJ208" s="39" t="str">
        <f>IFERROR(final!AU6*100/final!$I6,"")</f>
        <v/>
      </c>
      <c r="AK208" s="39" t="str">
        <f>IFERROR(final!AV6*100/final!$I6,"")</f>
        <v/>
      </c>
      <c r="AL208" s="39" t="str">
        <f>IFERROR(final!AW6*100/final!$I6,"")</f>
        <v/>
      </c>
      <c r="AM208" s="39" t="str">
        <f>IFERROR(final!AX6*100/final!$I6,"")</f>
        <v/>
      </c>
      <c r="AN208" s="39" t="str">
        <f>IFERROR(final!AY6*100/final!$I6,"")</f>
        <v/>
      </c>
      <c r="AO208" s="39" t="str">
        <f>IFERROR(final!AZ6*100/final!$I6,"")</f>
        <v/>
      </c>
      <c r="AP208" s="39" t="str">
        <f>IFERROR(final!BA6*100/final!$I6,"")</f>
        <v/>
      </c>
      <c r="AQ208" s="39" t="str">
        <f>IFERROR(final!BB6*100/final!$I6,"")</f>
        <v/>
      </c>
      <c r="AR208" s="39" t="str">
        <f>IFERROR(final!BC6*100/final!$I6,"")</f>
        <v/>
      </c>
      <c r="AS208" s="39" t="str">
        <f>IFERROR(final!BD6*100/final!$I6,"")</f>
        <v/>
      </c>
      <c r="AT208" s="39" t="str">
        <f>IFERROR(final!BE6*100/final!$I6,"")</f>
        <v/>
      </c>
      <c r="AU208" s="39" t="str">
        <f>IFERROR(final!BF6*100/final!$I6,"")</f>
        <v/>
      </c>
      <c r="AV208" s="39" t="str">
        <f>IFERROR(final!BG6*100/final!$I6,"")</f>
        <v/>
      </c>
      <c r="AW208" s="39" t="str">
        <f>IFERROR(final!BH6*100/final!$I6,"")</f>
        <v/>
      </c>
      <c r="AX208" s="39" t="str">
        <f>IFERROR(final!BI6*100/final!$I6,"")</f>
        <v/>
      </c>
      <c r="AY208" s="39" t="str">
        <f>IFERROR(final!BJ6*100/final!$I6,"")</f>
        <v/>
      </c>
      <c r="AZ208" s="39" t="str">
        <f>IFERROR(final!BK6*100/final!$I6,"")</f>
        <v/>
      </c>
      <c r="BA208" s="39" t="str">
        <f>IFERROR(final!BL6*100/final!$I6,"")</f>
        <v/>
      </c>
      <c r="BB208" s="39" t="str">
        <f>IFERROR(final!BM6*100/final!$I6,"")</f>
        <v/>
      </c>
      <c r="BC208" s="39" t="str">
        <f>IFERROR(final!BN6*100/final!$I6,"")</f>
        <v/>
      </c>
      <c r="BD208" s="39" t="str">
        <f>IFERROR(final!BO6*100/final!$I6,"")</f>
        <v/>
      </c>
      <c r="BE208" s="39" t="str">
        <f>IFERROR(final!BP6*100/final!$I6,"")</f>
        <v/>
      </c>
      <c r="BF208" s="39" t="str">
        <f>IFERROR(final!BQ6*100/final!$I6,"")</f>
        <v/>
      </c>
      <c r="BG208" s="39" t="str">
        <f>IFERROR(final!BR6*100/final!$I6,"")</f>
        <v/>
      </c>
      <c r="BH208" s="39" t="str">
        <f>IFERROR(final!BS6*100/final!$I6,"")</f>
        <v/>
      </c>
      <c r="BI208" s="39" t="str">
        <f>IFERROR(final!BT6*100/final!$I6,"")</f>
        <v/>
      </c>
      <c r="BJ208" s="39" t="str">
        <f>IFERROR(final!BU6*100/final!$I6,"")</f>
        <v/>
      </c>
      <c r="BK208" s="39" t="str">
        <f>IFERROR(final!BV6*100/final!$I6,"")</f>
        <v/>
      </c>
      <c r="BL208" s="39" t="str">
        <f>IFERROR(final!BW6*100/final!$I6,"")</f>
        <v/>
      </c>
      <c r="BM208" s="39" t="str">
        <f>IFERROR(final!BX6*100/final!$I6,"")</f>
        <v/>
      </c>
      <c r="BN208" s="39" t="str">
        <f>IFERROR(final!BY6*100/final!$I6,"")</f>
        <v/>
      </c>
      <c r="BO208" s="39" t="str">
        <f>IFERROR(final!BZ6*100/final!$I6,"")</f>
        <v/>
      </c>
      <c r="BP208" s="39" t="str">
        <f>IFERROR(final!CA6*100/final!$I6,"")</f>
        <v/>
      </c>
      <c r="BQ208" s="39" t="str">
        <f>IFERROR(final!CB6*100/final!$I6,"")</f>
        <v/>
      </c>
      <c r="BR208" s="39" t="str">
        <f>IFERROR(final!CC6*100/final!$I6,"")</f>
        <v/>
      </c>
      <c r="BS208" s="39" t="str">
        <f>IFERROR(final!CD6*100/final!$I6,"")</f>
        <v/>
      </c>
      <c r="BT208" s="39" t="str">
        <f>IFERROR(final!CE6*100/final!$I6,"")</f>
        <v/>
      </c>
      <c r="BU208" s="39" t="str">
        <f>IFERROR(final!CF6*100/final!$I6,"")</f>
        <v/>
      </c>
      <c r="BV208" s="39" t="str">
        <f>IFERROR(final!CG6*100/final!$I6,"")</f>
        <v/>
      </c>
      <c r="BW208" s="39" t="str">
        <f>IFERROR(final!CH6*100/final!$I6,"")</f>
        <v/>
      </c>
      <c r="BX208" s="39" t="str">
        <f>IFERROR(final!CI6*100/final!$I6,"")</f>
        <v/>
      </c>
      <c r="BY208" s="39" t="str">
        <f>IFERROR(final!CJ6*100/final!$I6,"")</f>
        <v/>
      </c>
      <c r="BZ208" s="39" t="str">
        <f>IFERROR(final!CK6*100/final!$I6,"")</f>
        <v/>
      </c>
      <c r="CA208" s="39" t="str">
        <f>IFERROR(final!CL6*100/final!$I6,"")</f>
        <v/>
      </c>
      <c r="CB208" s="39" t="str">
        <f>IFERROR(final!CM6*100/final!$I6,"")</f>
        <v/>
      </c>
      <c r="CC208" s="39" t="str">
        <f>IFERROR(final!CN6*100/final!$I6,"")</f>
        <v/>
      </c>
      <c r="CD208" s="39" t="str">
        <f>IFERROR(final!CO6*100/final!$I6,"")</f>
        <v/>
      </c>
      <c r="CE208" s="39" t="str">
        <f>IFERROR(final!CP6*100/final!$I6,"")</f>
        <v/>
      </c>
      <c r="CF208" s="39" t="str">
        <f>IFERROR(final!CQ6*100/final!$I6,"")</f>
        <v/>
      </c>
      <c r="CG208" s="39" t="str">
        <f>IFERROR(final!CR6*100/final!$I6,"")</f>
        <v/>
      </c>
      <c r="CH208" s="39" t="str">
        <f>IFERROR(final!CS6*100/final!$I6,"")</f>
        <v/>
      </c>
      <c r="CI208" s="39" t="str">
        <f>IFERROR(final!CT6*100/final!$I6,"")</f>
        <v/>
      </c>
      <c r="CJ208" s="39" t="str">
        <f>IFERROR(final!CU6*100/final!$I6,"")</f>
        <v/>
      </c>
      <c r="CK208" s="39" t="str">
        <f>IFERROR(final!CV6*100/final!$I6,"")</f>
        <v/>
      </c>
      <c r="CL208" s="39" t="str">
        <f>IFERROR(final!CW6*100/final!$I6,"")</f>
        <v/>
      </c>
      <c r="CM208" s="39" t="str">
        <f>IFERROR(final!CX6*100/final!$I6,"")</f>
        <v/>
      </c>
      <c r="CN208" s="39" t="str">
        <f>IFERROR(final!CY6*100/final!$I6,"")</f>
        <v/>
      </c>
      <c r="CO208" s="39" t="str">
        <f>IFERROR(final!CZ6*100/final!$I6,"")</f>
        <v/>
      </c>
      <c r="CP208" s="39" t="str">
        <f>IFERROR(final!DA6*100/final!$I6,"")</f>
        <v/>
      </c>
      <c r="CQ208" s="39" t="str">
        <f>IFERROR(final!DB6*100/final!$I6,"")</f>
        <v/>
      </c>
      <c r="CR208" s="39" t="str">
        <f>IFERROR(final!DC6*100/final!$I6,"")</f>
        <v/>
      </c>
      <c r="CS208" s="39" t="str">
        <f>IFERROR(final!DD6*100/final!$I6,"")</f>
        <v/>
      </c>
      <c r="CT208" s="39" t="str">
        <f>IFERROR(final!DE6*100/final!$I6,"")</f>
        <v/>
      </c>
      <c r="CU208" s="39" t="str">
        <f>IFERROR(final!DF6*100/final!$I6,"")</f>
        <v/>
      </c>
      <c r="CV208" s="39" t="str">
        <f>IFERROR(final!DG6*100/final!$I6,"")</f>
        <v/>
      </c>
      <c r="CW208" s="32" t="str">
        <f>IFERROR(SUM(A208:CV208)/final!$DH$103,"")</f>
        <v/>
      </c>
      <c r="CX208" s="14" t="str">
        <f>IF(COUNTA(final!A6),final!A6,"")</f>
        <v/>
      </c>
      <c r="CY208" s="14" t="str">
        <f>IF(COUNTA(final!B6),final!B6,"")</f>
        <v/>
      </c>
      <c r="CZ208" s="14" t="str">
        <f>IF(COUNTA(final!C6),final!C6,"")</f>
        <v/>
      </c>
      <c r="DA208" s="14" t="str">
        <f>IF(COUNTA(final!D6),final!D6,"")</f>
        <v/>
      </c>
      <c r="DB208" s="14" t="str">
        <f>IF(COUNTA(final!E6),final!E6,"")</f>
        <v/>
      </c>
      <c r="DC208" s="14" t="str">
        <f>IF(COUNTA(final!F6),final!F6,"")</f>
        <v/>
      </c>
      <c r="DD208" s="14" t="str">
        <f>IF(COUNTA(final!G6),final!G6,"")</f>
        <v/>
      </c>
      <c r="DE208" s="14" t="str">
        <f>IF(COUNTA(final!H6),final!H6,"")</f>
        <v/>
      </c>
    </row>
    <row r="209" spans="1:109" x14ac:dyDescent="0.2">
      <c r="A209" s="39" t="str">
        <f>IFERROR(final!L7*100/final!$I7,"")</f>
        <v/>
      </c>
      <c r="B209" s="39" t="str">
        <f>IFERROR(final!M7*100/final!$I7,"")</f>
        <v/>
      </c>
      <c r="C209" s="39" t="str">
        <f>IFERROR(final!N7*100/final!$I7,"")</f>
        <v/>
      </c>
      <c r="D209" s="39" t="str">
        <f>IFERROR(final!O7*100/final!$I7,"")</f>
        <v/>
      </c>
      <c r="E209" s="39" t="str">
        <f>IFERROR(final!P7*100/final!$I7,"")</f>
        <v/>
      </c>
      <c r="F209" s="39" t="str">
        <f>IFERROR(final!Q7*100/final!$I7,"")</f>
        <v/>
      </c>
      <c r="G209" s="39" t="str">
        <f>IFERROR(final!R7*100/final!$I7,"")</f>
        <v/>
      </c>
      <c r="H209" s="39" t="str">
        <f>IFERROR(final!S7*100/final!$I7,"")</f>
        <v/>
      </c>
      <c r="I209" s="39" t="str">
        <f>IFERROR(final!T7*100/final!$I7,"")</f>
        <v/>
      </c>
      <c r="J209" s="39" t="str">
        <f>IFERROR(final!U7*100/final!$I7,"")</f>
        <v/>
      </c>
      <c r="K209" s="39" t="str">
        <f>IFERROR(final!V7*100/final!$I7,"")</f>
        <v/>
      </c>
      <c r="L209" s="39" t="str">
        <f>IFERROR(final!W7*100/final!$I7,"")</f>
        <v/>
      </c>
      <c r="M209" s="39" t="str">
        <f>IFERROR(final!X7*100/final!$I7,"")</f>
        <v/>
      </c>
      <c r="N209" s="39" t="str">
        <f>IFERROR(final!Y7*100/final!$I7,"")</f>
        <v/>
      </c>
      <c r="O209" s="39" t="str">
        <f>IFERROR(final!Z7*100/final!$I7,"")</f>
        <v/>
      </c>
      <c r="P209" s="39" t="str">
        <f>IFERROR(final!AA7*100/final!$I7,"")</f>
        <v/>
      </c>
      <c r="Q209" s="39" t="str">
        <f>IFERROR(final!AB7*100/final!$I7,"")</f>
        <v/>
      </c>
      <c r="R209" s="39" t="str">
        <f>IFERROR(final!AC7*100/final!$I7,"")</f>
        <v/>
      </c>
      <c r="S209" s="39" t="str">
        <f>IFERROR(final!AD7*100/final!$I7,"")</f>
        <v/>
      </c>
      <c r="T209" s="39" t="str">
        <f>IFERROR(final!AE7*100/final!$I7,"")</f>
        <v/>
      </c>
      <c r="U209" s="39" t="str">
        <f>IFERROR(final!AF7*100/final!$I7,"")</f>
        <v/>
      </c>
      <c r="V209" s="39" t="str">
        <f>IFERROR(final!AG7*100/final!$I7,"")</f>
        <v/>
      </c>
      <c r="W209" s="39" t="str">
        <f>IFERROR(final!AH7*100/final!$I7,"")</f>
        <v/>
      </c>
      <c r="X209" s="39" t="str">
        <f>IFERROR(final!AI7*100/final!$I7,"")</f>
        <v/>
      </c>
      <c r="Y209" s="39" t="str">
        <f>IFERROR(final!AJ7*100/final!$I7,"")</f>
        <v/>
      </c>
      <c r="Z209" s="39" t="str">
        <f>IFERROR(final!AK7*100/final!$I7,"")</f>
        <v/>
      </c>
      <c r="AA209" s="39" t="str">
        <f>IFERROR(final!AL7*100/final!$I7,"")</f>
        <v/>
      </c>
      <c r="AB209" s="39" t="str">
        <f>IFERROR(final!AM7*100/final!$I7,"")</f>
        <v/>
      </c>
      <c r="AC209" s="39" t="str">
        <f>IFERROR(final!AN7*100/final!$I7,"")</f>
        <v/>
      </c>
      <c r="AD209" s="39" t="str">
        <f>IFERROR(final!AO7*100/final!$I7,"")</f>
        <v/>
      </c>
      <c r="AE209" s="39" t="str">
        <f>IFERROR(final!AP7*100/final!$I7,"")</f>
        <v/>
      </c>
      <c r="AF209" s="39" t="str">
        <f>IFERROR(final!AQ7*100/final!$I7,"")</f>
        <v/>
      </c>
      <c r="AG209" s="39" t="str">
        <f>IFERROR(final!AR7*100/final!$I7,"")</f>
        <v/>
      </c>
      <c r="AH209" s="39" t="str">
        <f>IFERROR(final!AS7*100/final!$I7,"")</f>
        <v/>
      </c>
      <c r="AI209" s="39" t="str">
        <f>IFERROR(final!AT7*100/final!$I7,"")</f>
        <v/>
      </c>
      <c r="AJ209" s="39" t="str">
        <f>IFERROR(final!AU7*100/final!$I7,"")</f>
        <v/>
      </c>
      <c r="AK209" s="39" t="str">
        <f>IFERROR(final!AV7*100/final!$I7,"")</f>
        <v/>
      </c>
      <c r="AL209" s="39" t="str">
        <f>IFERROR(final!AW7*100/final!$I7,"")</f>
        <v/>
      </c>
      <c r="AM209" s="39" t="str">
        <f>IFERROR(final!AX7*100/final!$I7,"")</f>
        <v/>
      </c>
      <c r="AN209" s="39" t="str">
        <f>IFERROR(final!AY7*100/final!$I7,"")</f>
        <v/>
      </c>
      <c r="AO209" s="39" t="str">
        <f>IFERROR(final!AZ7*100/final!$I7,"")</f>
        <v/>
      </c>
      <c r="AP209" s="39" t="str">
        <f>IFERROR(final!BA7*100/final!$I7,"")</f>
        <v/>
      </c>
      <c r="AQ209" s="39" t="str">
        <f>IFERROR(final!BB7*100/final!$I7,"")</f>
        <v/>
      </c>
      <c r="AR209" s="39" t="str">
        <f>IFERROR(final!BC7*100/final!$I7,"")</f>
        <v/>
      </c>
      <c r="AS209" s="39" t="str">
        <f>IFERROR(final!BD7*100/final!$I7,"")</f>
        <v/>
      </c>
      <c r="AT209" s="39" t="str">
        <f>IFERROR(final!BE7*100/final!$I7,"")</f>
        <v/>
      </c>
      <c r="AU209" s="39" t="str">
        <f>IFERROR(final!BF7*100/final!$I7,"")</f>
        <v/>
      </c>
      <c r="AV209" s="39" t="str">
        <f>IFERROR(final!BG7*100/final!$I7,"")</f>
        <v/>
      </c>
      <c r="AW209" s="39" t="str">
        <f>IFERROR(final!BH7*100/final!$I7,"")</f>
        <v/>
      </c>
      <c r="AX209" s="39" t="str">
        <f>IFERROR(final!BI7*100/final!$I7,"")</f>
        <v/>
      </c>
      <c r="AY209" s="39" t="str">
        <f>IFERROR(final!BJ7*100/final!$I7,"")</f>
        <v/>
      </c>
      <c r="AZ209" s="39" t="str">
        <f>IFERROR(final!BK7*100/final!$I7,"")</f>
        <v/>
      </c>
      <c r="BA209" s="39" t="str">
        <f>IFERROR(final!BL7*100/final!$I7,"")</f>
        <v/>
      </c>
      <c r="BB209" s="39" t="str">
        <f>IFERROR(final!BM7*100/final!$I7,"")</f>
        <v/>
      </c>
      <c r="BC209" s="39" t="str">
        <f>IFERROR(final!BN7*100/final!$I7,"")</f>
        <v/>
      </c>
      <c r="BD209" s="39" t="str">
        <f>IFERROR(final!BO7*100/final!$I7,"")</f>
        <v/>
      </c>
      <c r="BE209" s="39" t="str">
        <f>IFERROR(final!BP7*100/final!$I7,"")</f>
        <v/>
      </c>
      <c r="BF209" s="39" t="str">
        <f>IFERROR(final!BQ7*100/final!$I7,"")</f>
        <v/>
      </c>
      <c r="BG209" s="39" t="str">
        <f>IFERROR(final!BR7*100/final!$I7,"")</f>
        <v/>
      </c>
      <c r="BH209" s="39" t="str">
        <f>IFERROR(final!BS7*100/final!$I7,"")</f>
        <v/>
      </c>
      <c r="BI209" s="39" t="str">
        <f>IFERROR(final!BT7*100/final!$I7,"")</f>
        <v/>
      </c>
      <c r="BJ209" s="39" t="str">
        <f>IFERROR(final!BU7*100/final!$I7,"")</f>
        <v/>
      </c>
      <c r="BK209" s="39" t="str">
        <f>IFERROR(final!BV7*100/final!$I7,"")</f>
        <v/>
      </c>
      <c r="BL209" s="39" t="str">
        <f>IFERROR(final!BW7*100/final!$I7,"")</f>
        <v/>
      </c>
      <c r="BM209" s="39" t="str">
        <f>IFERROR(final!BX7*100/final!$I7,"")</f>
        <v/>
      </c>
      <c r="BN209" s="39" t="str">
        <f>IFERROR(final!BY7*100/final!$I7,"")</f>
        <v/>
      </c>
      <c r="BO209" s="39" t="str">
        <f>IFERROR(final!BZ7*100/final!$I7,"")</f>
        <v/>
      </c>
      <c r="BP209" s="39" t="str">
        <f>IFERROR(final!CA7*100/final!$I7,"")</f>
        <v/>
      </c>
      <c r="BQ209" s="39" t="str">
        <f>IFERROR(final!CB7*100/final!$I7,"")</f>
        <v/>
      </c>
      <c r="BR209" s="39" t="str">
        <f>IFERROR(final!CC7*100/final!$I7,"")</f>
        <v/>
      </c>
      <c r="BS209" s="39" t="str">
        <f>IFERROR(final!CD7*100/final!$I7,"")</f>
        <v/>
      </c>
      <c r="BT209" s="39" t="str">
        <f>IFERROR(final!CE7*100/final!$I7,"")</f>
        <v/>
      </c>
      <c r="BU209" s="39" t="str">
        <f>IFERROR(final!CF7*100/final!$I7,"")</f>
        <v/>
      </c>
      <c r="BV209" s="39" t="str">
        <f>IFERROR(final!CG7*100/final!$I7,"")</f>
        <v/>
      </c>
      <c r="BW209" s="39" t="str">
        <f>IFERROR(final!CH7*100/final!$I7,"")</f>
        <v/>
      </c>
      <c r="BX209" s="39" t="str">
        <f>IFERROR(final!CI7*100/final!$I7,"")</f>
        <v/>
      </c>
      <c r="BY209" s="39" t="str">
        <f>IFERROR(final!CJ7*100/final!$I7,"")</f>
        <v/>
      </c>
      <c r="BZ209" s="39" t="str">
        <f>IFERROR(final!CK7*100/final!$I7,"")</f>
        <v/>
      </c>
      <c r="CA209" s="39" t="str">
        <f>IFERROR(final!CL7*100/final!$I7,"")</f>
        <v/>
      </c>
      <c r="CB209" s="39" t="str">
        <f>IFERROR(final!CM7*100/final!$I7,"")</f>
        <v/>
      </c>
      <c r="CC209" s="39" t="str">
        <f>IFERROR(final!CN7*100/final!$I7,"")</f>
        <v/>
      </c>
      <c r="CD209" s="39" t="str">
        <f>IFERROR(final!CO7*100/final!$I7,"")</f>
        <v/>
      </c>
      <c r="CE209" s="39" t="str">
        <f>IFERROR(final!CP7*100/final!$I7,"")</f>
        <v/>
      </c>
      <c r="CF209" s="39" t="str">
        <f>IFERROR(final!CQ7*100/final!$I7,"")</f>
        <v/>
      </c>
      <c r="CG209" s="39" t="str">
        <f>IFERROR(final!CR7*100/final!$I7,"")</f>
        <v/>
      </c>
      <c r="CH209" s="39" t="str">
        <f>IFERROR(final!CS7*100/final!$I7,"")</f>
        <v/>
      </c>
      <c r="CI209" s="39" t="str">
        <f>IFERROR(final!CT7*100/final!$I7,"")</f>
        <v/>
      </c>
      <c r="CJ209" s="39" t="str">
        <f>IFERROR(final!CU7*100/final!$I7,"")</f>
        <v/>
      </c>
      <c r="CK209" s="39" t="str">
        <f>IFERROR(final!CV7*100/final!$I7,"")</f>
        <v/>
      </c>
      <c r="CL209" s="39" t="str">
        <f>IFERROR(final!CW7*100/final!$I7,"")</f>
        <v/>
      </c>
      <c r="CM209" s="39" t="str">
        <f>IFERROR(final!CX7*100/final!$I7,"")</f>
        <v/>
      </c>
      <c r="CN209" s="39" t="str">
        <f>IFERROR(final!CY7*100/final!$I7,"")</f>
        <v/>
      </c>
      <c r="CO209" s="39" t="str">
        <f>IFERROR(final!CZ7*100/final!$I7,"")</f>
        <v/>
      </c>
      <c r="CP209" s="39" t="str">
        <f>IFERROR(final!DA7*100/final!$I7,"")</f>
        <v/>
      </c>
      <c r="CQ209" s="39" t="str">
        <f>IFERROR(final!DB7*100/final!$I7,"")</f>
        <v/>
      </c>
      <c r="CR209" s="39" t="str">
        <f>IFERROR(final!DC7*100/final!$I7,"")</f>
        <v/>
      </c>
      <c r="CS209" s="39" t="str">
        <f>IFERROR(final!DD7*100/final!$I7,"")</f>
        <v/>
      </c>
      <c r="CT209" s="39" t="str">
        <f>IFERROR(final!DE7*100/final!$I7,"")</f>
        <v/>
      </c>
      <c r="CU209" s="39" t="str">
        <f>IFERROR(final!DF7*100/final!$I7,"")</f>
        <v/>
      </c>
      <c r="CV209" s="39" t="str">
        <f>IFERROR(final!DG7*100/final!$I7,"")</f>
        <v/>
      </c>
      <c r="CW209" s="32" t="str">
        <f>IFERROR(SUM(A209:CV209)/final!$DH$103,"")</f>
        <v/>
      </c>
      <c r="CX209" s="14" t="str">
        <f>IF(COUNTA(final!A7),final!A7,"")</f>
        <v/>
      </c>
      <c r="CY209" s="14" t="str">
        <f>IF(COUNTA(final!B7),final!B7,"")</f>
        <v/>
      </c>
      <c r="CZ209" s="14" t="str">
        <f>IF(COUNTA(final!C7),final!C7,"")</f>
        <v/>
      </c>
      <c r="DA209" s="14" t="str">
        <f>IF(COUNTA(final!D7),final!D7,"")</f>
        <v/>
      </c>
      <c r="DB209" s="14" t="str">
        <f>IF(COUNTA(final!E7),final!E7,"")</f>
        <v/>
      </c>
      <c r="DC209" s="14" t="str">
        <f>IF(COUNTA(final!F7),final!F7,"")</f>
        <v/>
      </c>
      <c r="DD209" s="14" t="str">
        <f>IF(COUNTA(final!G7),final!G7,"")</f>
        <v/>
      </c>
      <c r="DE209" s="14" t="str">
        <f>IF(COUNTA(final!H7),final!H7,"")</f>
        <v/>
      </c>
    </row>
    <row r="210" spans="1:109" x14ac:dyDescent="0.2">
      <c r="A210" s="39" t="str">
        <f>IFERROR(final!L8*100/final!$I8,"")</f>
        <v/>
      </c>
      <c r="B210" s="39" t="str">
        <f>IFERROR(final!M8*100/final!$I8,"")</f>
        <v/>
      </c>
      <c r="C210" s="39" t="str">
        <f>IFERROR(final!N8*100/final!$I8,"")</f>
        <v/>
      </c>
      <c r="D210" s="39" t="str">
        <f>IFERROR(final!O8*100/final!$I8,"")</f>
        <v/>
      </c>
      <c r="E210" s="39" t="str">
        <f>IFERROR(final!P8*100/final!$I8,"")</f>
        <v/>
      </c>
      <c r="F210" s="39" t="str">
        <f>IFERROR(final!Q8*100/final!$I8,"")</f>
        <v/>
      </c>
      <c r="G210" s="39" t="str">
        <f>IFERROR(final!R8*100/final!$I8,"")</f>
        <v/>
      </c>
      <c r="H210" s="39" t="str">
        <f>IFERROR(final!S8*100/final!$I8,"")</f>
        <v/>
      </c>
      <c r="I210" s="39" t="str">
        <f>IFERROR(final!T8*100/final!$I8,"")</f>
        <v/>
      </c>
      <c r="J210" s="39" t="str">
        <f>IFERROR(final!U8*100/final!$I8,"")</f>
        <v/>
      </c>
      <c r="K210" s="39" t="str">
        <f>IFERROR(final!V8*100/final!$I8,"")</f>
        <v/>
      </c>
      <c r="L210" s="39" t="str">
        <f>IFERROR(final!W8*100/final!$I8,"")</f>
        <v/>
      </c>
      <c r="M210" s="39" t="str">
        <f>IFERROR(final!X8*100/final!$I8,"")</f>
        <v/>
      </c>
      <c r="N210" s="39" t="str">
        <f>IFERROR(final!Y8*100/final!$I8,"")</f>
        <v/>
      </c>
      <c r="O210" s="39" t="str">
        <f>IFERROR(final!Z8*100/final!$I8,"")</f>
        <v/>
      </c>
      <c r="P210" s="39" t="str">
        <f>IFERROR(final!AA8*100/final!$I8,"")</f>
        <v/>
      </c>
      <c r="Q210" s="39" t="str">
        <f>IFERROR(final!AB8*100/final!$I8,"")</f>
        <v/>
      </c>
      <c r="R210" s="39" t="str">
        <f>IFERROR(final!AC8*100/final!$I8,"")</f>
        <v/>
      </c>
      <c r="S210" s="39" t="str">
        <f>IFERROR(final!AD8*100/final!$I8,"")</f>
        <v/>
      </c>
      <c r="T210" s="39" t="str">
        <f>IFERROR(final!AE8*100/final!$I8,"")</f>
        <v/>
      </c>
      <c r="U210" s="39" t="str">
        <f>IFERROR(final!AF8*100/final!$I8,"")</f>
        <v/>
      </c>
      <c r="V210" s="39" t="str">
        <f>IFERROR(final!AG8*100/final!$I8,"")</f>
        <v/>
      </c>
      <c r="W210" s="39" t="str">
        <f>IFERROR(final!AH8*100/final!$I8,"")</f>
        <v/>
      </c>
      <c r="X210" s="39" t="str">
        <f>IFERROR(final!AI8*100/final!$I8,"")</f>
        <v/>
      </c>
      <c r="Y210" s="39" t="str">
        <f>IFERROR(final!AJ8*100/final!$I8,"")</f>
        <v/>
      </c>
      <c r="Z210" s="39" t="str">
        <f>IFERROR(final!AK8*100/final!$I8,"")</f>
        <v/>
      </c>
      <c r="AA210" s="39" t="str">
        <f>IFERROR(final!AL8*100/final!$I8,"")</f>
        <v/>
      </c>
      <c r="AB210" s="39" t="str">
        <f>IFERROR(final!AM8*100/final!$I8,"")</f>
        <v/>
      </c>
      <c r="AC210" s="39" t="str">
        <f>IFERROR(final!AN8*100/final!$I8,"")</f>
        <v/>
      </c>
      <c r="AD210" s="39" t="str">
        <f>IFERROR(final!AO8*100/final!$I8,"")</f>
        <v/>
      </c>
      <c r="AE210" s="39" t="str">
        <f>IFERROR(final!AP8*100/final!$I8,"")</f>
        <v/>
      </c>
      <c r="AF210" s="39" t="str">
        <f>IFERROR(final!AQ8*100/final!$I8,"")</f>
        <v/>
      </c>
      <c r="AG210" s="39" t="str">
        <f>IFERROR(final!AR8*100/final!$I8,"")</f>
        <v/>
      </c>
      <c r="AH210" s="39" t="str">
        <f>IFERROR(final!AS8*100/final!$I8,"")</f>
        <v/>
      </c>
      <c r="AI210" s="39" t="str">
        <f>IFERROR(final!AT8*100/final!$I8,"")</f>
        <v/>
      </c>
      <c r="AJ210" s="39" t="str">
        <f>IFERROR(final!AU8*100/final!$I8,"")</f>
        <v/>
      </c>
      <c r="AK210" s="39" t="str">
        <f>IFERROR(final!AV8*100/final!$I8,"")</f>
        <v/>
      </c>
      <c r="AL210" s="39" t="str">
        <f>IFERROR(final!AW8*100/final!$I8,"")</f>
        <v/>
      </c>
      <c r="AM210" s="39" t="str">
        <f>IFERROR(final!AX8*100/final!$I8,"")</f>
        <v/>
      </c>
      <c r="AN210" s="39" t="str">
        <f>IFERROR(final!AY8*100/final!$I8,"")</f>
        <v/>
      </c>
      <c r="AO210" s="39" t="str">
        <f>IFERROR(final!AZ8*100/final!$I8,"")</f>
        <v/>
      </c>
      <c r="AP210" s="39" t="str">
        <f>IFERROR(final!BA8*100/final!$I8,"")</f>
        <v/>
      </c>
      <c r="AQ210" s="39" t="str">
        <f>IFERROR(final!BB8*100/final!$I8,"")</f>
        <v/>
      </c>
      <c r="AR210" s="39" t="str">
        <f>IFERROR(final!BC8*100/final!$I8,"")</f>
        <v/>
      </c>
      <c r="AS210" s="39" t="str">
        <f>IFERROR(final!BD8*100/final!$I8,"")</f>
        <v/>
      </c>
      <c r="AT210" s="39" t="str">
        <f>IFERROR(final!BE8*100/final!$I8,"")</f>
        <v/>
      </c>
      <c r="AU210" s="39" t="str">
        <f>IFERROR(final!BF8*100/final!$I8,"")</f>
        <v/>
      </c>
      <c r="AV210" s="39" t="str">
        <f>IFERROR(final!BG8*100/final!$I8,"")</f>
        <v/>
      </c>
      <c r="AW210" s="39" t="str">
        <f>IFERROR(final!BH8*100/final!$I8,"")</f>
        <v/>
      </c>
      <c r="AX210" s="39" t="str">
        <f>IFERROR(final!BI8*100/final!$I8,"")</f>
        <v/>
      </c>
      <c r="AY210" s="39" t="str">
        <f>IFERROR(final!BJ8*100/final!$I8,"")</f>
        <v/>
      </c>
      <c r="AZ210" s="39" t="str">
        <f>IFERROR(final!BK8*100/final!$I8,"")</f>
        <v/>
      </c>
      <c r="BA210" s="39" t="str">
        <f>IFERROR(final!BL8*100/final!$I8,"")</f>
        <v/>
      </c>
      <c r="BB210" s="39" t="str">
        <f>IFERROR(final!BM8*100/final!$I8,"")</f>
        <v/>
      </c>
      <c r="BC210" s="39" t="str">
        <f>IFERROR(final!BN8*100/final!$I8,"")</f>
        <v/>
      </c>
      <c r="BD210" s="39" t="str">
        <f>IFERROR(final!BO8*100/final!$I8,"")</f>
        <v/>
      </c>
      <c r="BE210" s="39" t="str">
        <f>IFERROR(final!BP8*100/final!$I8,"")</f>
        <v/>
      </c>
      <c r="BF210" s="39" t="str">
        <f>IFERROR(final!BQ8*100/final!$I8,"")</f>
        <v/>
      </c>
      <c r="BG210" s="39" t="str">
        <f>IFERROR(final!BR8*100/final!$I8,"")</f>
        <v/>
      </c>
      <c r="BH210" s="39" t="str">
        <f>IFERROR(final!BS8*100/final!$I8,"")</f>
        <v/>
      </c>
      <c r="BI210" s="39" t="str">
        <f>IFERROR(final!BT8*100/final!$I8,"")</f>
        <v/>
      </c>
      <c r="BJ210" s="39" t="str">
        <f>IFERROR(final!BU8*100/final!$I8,"")</f>
        <v/>
      </c>
      <c r="BK210" s="39" t="str">
        <f>IFERROR(final!BV8*100/final!$I8,"")</f>
        <v/>
      </c>
      <c r="BL210" s="39" t="str">
        <f>IFERROR(final!BW8*100/final!$I8,"")</f>
        <v/>
      </c>
      <c r="BM210" s="39" t="str">
        <f>IFERROR(final!BX8*100/final!$I8,"")</f>
        <v/>
      </c>
      <c r="BN210" s="39" t="str">
        <f>IFERROR(final!BY8*100/final!$I8,"")</f>
        <v/>
      </c>
      <c r="BO210" s="39" t="str">
        <f>IFERROR(final!BZ8*100/final!$I8,"")</f>
        <v/>
      </c>
      <c r="BP210" s="39" t="str">
        <f>IFERROR(final!CA8*100/final!$I8,"")</f>
        <v/>
      </c>
      <c r="BQ210" s="39" t="str">
        <f>IFERROR(final!CB8*100/final!$I8,"")</f>
        <v/>
      </c>
      <c r="BR210" s="39" t="str">
        <f>IFERROR(final!CC8*100/final!$I8,"")</f>
        <v/>
      </c>
      <c r="BS210" s="39" t="str">
        <f>IFERROR(final!CD8*100/final!$I8,"")</f>
        <v/>
      </c>
      <c r="BT210" s="39" t="str">
        <f>IFERROR(final!CE8*100/final!$I8,"")</f>
        <v/>
      </c>
      <c r="BU210" s="39" t="str">
        <f>IFERROR(final!CF8*100/final!$I8,"")</f>
        <v/>
      </c>
      <c r="BV210" s="39" t="str">
        <f>IFERROR(final!CG8*100/final!$I8,"")</f>
        <v/>
      </c>
      <c r="BW210" s="39" t="str">
        <f>IFERROR(final!CH8*100/final!$I8,"")</f>
        <v/>
      </c>
      <c r="BX210" s="39" t="str">
        <f>IFERROR(final!CI8*100/final!$I8,"")</f>
        <v/>
      </c>
      <c r="BY210" s="39" t="str">
        <f>IFERROR(final!CJ8*100/final!$I8,"")</f>
        <v/>
      </c>
      <c r="BZ210" s="39" t="str">
        <f>IFERROR(final!CK8*100/final!$I8,"")</f>
        <v/>
      </c>
      <c r="CA210" s="39" t="str">
        <f>IFERROR(final!CL8*100/final!$I8,"")</f>
        <v/>
      </c>
      <c r="CB210" s="39" t="str">
        <f>IFERROR(final!CM8*100/final!$I8,"")</f>
        <v/>
      </c>
      <c r="CC210" s="39" t="str">
        <f>IFERROR(final!CN8*100/final!$I8,"")</f>
        <v/>
      </c>
      <c r="CD210" s="39" t="str">
        <f>IFERROR(final!CO8*100/final!$I8,"")</f>
        <v/>
      </c>
      <c r="CE210" s="39" t="str">
        <f>IFERROR(final!CP8*100/final!$I8,"")</f>
        <v/>
      </c>
      <c r="CF210" s="39" t="str">
        <f>IFERROR(final!CQ8*100/final!$I8,"")</f>
        <v/>
      </c>
      <c r="CG210" s="39" t="str">
        <f>IFERROR(final!CR8*100/final!$I8,"")</f>
        <v/>
      </c>
      <c r="CH210" s="39" t="str">
        <f>IFERROR(final!CS8*100/final!$I8,"")</f>
        <v/>
      </c>
      <c r="CI210" s="39" t="str">
        <f>IFERROR(final!CT8*100/final!$I8,"")</f>
        <v/>
      </c>
      <c r="CJ210" s="39" t="str">
        <f>IFERROR(final!CU8*100/final!$I8,"")</f>
        <v/>
      </c>
      <c r="CK210" s="39" t="str">
        <f>IFERROR(final!CV8*100/final!$I8,"")</f>
        <v/>
      </c>
      <c r="CL210" s="39" t="str">
        <f>IFERROR(final!CW8*100/final!$I8,"")</f>
        <v/>
      </c>
      <c r="CM210" s="39" t="str">
        <f>IFERROR(final!CX8*100/final!$I8,"")</f>
        <v/>
      </c>
      <c r="CN210" s="39" t="str">
        <f>IFERROR(final!CY8*100/final!$I8,"")</f>
        <v/>
      </c>
      <c r="CO210" s="39" t="str">
        <f>IFERROR(final!CZ8*100/final!$I8,"")</f>
        <v/>
      </c>
      <c r="CP210" s="39" t="str">
        <f>IFERROR(final!DA8*100/final!$I8,"")</f>
        <v/>
      </c>
      <c r="CQ210" s="39" t="str">
        <f>IFERROR(final!DB8*100/final!$I8,"")</f>
        <v/>
      </c>
      <c r="CR210" s="39" t="str">
        <f>IFERROR(final!DC8*100/final!$I8,"")</f>
        <v/>
      </c>
      <c r="CS210" s="39" t="str">
        <f>IFERROR(final!DD8*100/final!$I8,"")</f>
        <v/>
      </c>
      <c r="CT210" s="39" t="str">
        <f>IFERROR(final!DE8*100/final!$I8,"")</f>
        <v/>
      </c>
      <c r="CU210" s="39" t="str">
        <f>IFERROR(final!DF8*100/final!$I8,"")</f>
        <v/>
      </c>
      <c r="CV210" s="39" t="str">
        <f>IFERROR(final!DG8*100/final!$I8,"")</f>
        <v/>
      </c>
      <c r="CW210" s="32" t="str">
        <f>IFERROR(SUM(A210:CV210)/final!$DH$103,"")</f>
        <v/>
      </c>
      <c r="CX210" s="14" t="str">
        <f>IF(COUNTA(final!A8),final!A8,"")</f>
        <v/>
      </c>
      <c r="CY210" s="14" t="str">
        <f>IF(COUNTA(final!B8),final!B8,"")</f>
        <v/>
      </c>
      <c r="CZ210" s="14" t="str">
        <f>IF(COUNTA(final!C8),final!C8,"")</f>
        <v/>
      </c>
      <c r="DA210" s="14" t="str">
        <f>IF(COUNTA(final!D8),final!D8,"")</f>
        <v/>
      </c>
      <c r="DB210" s="14" t="str">
        <f>IF(COUNTA(final!E8),final!E8,"")</f>
        <v/>
      </c>
      <c r="DC210" s="14" t="str">
        <f>IF(COUNTA(final!F8),final!F8,"")</f>
        <v/>
      </c>
      <c r="DD210" s="14" t="str">
        <f>IF(COUNTA(final!G8),final!G8,"")</f>
        <v/>
      </c>
      <c r="DE210" s="14" t="str">
        <f>IF(COUNTA(final!H8),final!H8,"")</f>
        <v/>
      </c>
    </row>
    <row r="211" spans="1:109" x14ac:dyDescent="0.2">
      <c r="A211" s="39" t="str">
        <f>IFERROR(final!L9*100/final!$I9,"")</f>
        <v/>
      </c>
      <c r="B211" s="39" t="str">
        <f>IFERROR(final!M9*100/final!$I9,"")</f>
        <v/>
      </c>
      <c r="C211" s="39" t="str">
        <f>IFERROR(final!N9*100/final!$I9,"")</f>
        <v/>
      </c>
      <c r="D211" s="39" t="str">
        <f>IFERROR(final!O9*100/final!$I9,"")</f>
        <v/>
      </c>
      <c r="E211" s="39" t="str">
        <f>IFERROR(final!P9*100/final!$I9,"")</f>
        <v/>
      </c>
      <c r="F211" s="39" t="str">
        <f>IFERROR(final!Q9*100/final!$I9,"")</f>
        <v/>
      </c>
      <c r="G211" s="39" t="str">
        <f>IFERROR(final!R9*100/final!$I9,"")</f>
        <v/>
      </c>
      <c r="H211" s="39" t="str">
        <f>IFERROR(final!S9*100/final!$I9,"")</f>
        <v/>
      </c>
      <c r="I211" s="39" t="str">
        <f>IFERROR(final!T9*100/final!$I9,"")</f>
        <v/>
      </c>
      <c r="J211" s="39" t="str">
        <f>IFERROR(final!U9*100/final!$I9,"")</f>
        <v/>
      </c>
      <c r="K211" s="39" t="str">
        <f>IFERROR(final!V9*100/final!$I9,"")</f>
        <v/>
      </c>
      <c r="L211" s="39" t="str">
        <f>IFERROR(final!W9*100/final!$I9,"")</f>
        <v/>
      </c>
      <c r="M211" s="39" t="str">
        <f>IFERROR(final!X9*100/final!$I9,"")</f>
        <v/>
      </c>
      <c r="N211" s="39" t="str">
        <f>IFERROR(final!Y9*100/final!$I9,"")</f>
        <v/>
      </c>
      <c r="O211" s="39" t="str">
        <f>IFERROR(final!Z9*100/final!$I9,"")</f>
        <v/>
      </c>
      <c r="P211" s="39" t="str">
        <f>IFERROR(final!AA9*100/final!$I9,"")</f>
        <v/>
      </c>
      <c r="Q211" s="39" t="str">
        <f>IFERROR(final!AB9*100/final!$I9,"")</f>
        <v/>
      </c>
      <c r="R211" s="39" t="str">
        <f>IFERROR(final!AC9*100/final!$I9,"")</f>
        <v/>
      </c>
      <c r="S211" s="39" t="str">
        <f>IFERROR(final!AD9*100/final!$I9,"")</f>
        <v/>
      </c>
      <c r="T211" s="39" t="str">
        <f>IFERROR(final!AE9*100/final!$I9,"")</f>
        <v/>
      </c>
      <c r="U211" s="39" t="str">
        <f>IFERROR(final!AF9*100/final!$I9,"")</f>
        <v/>
      </c>
      <c r="V211" s="39" t="str">
        <f>IFERROR(final!AG9*100/final!$I9,"")</f>
        <v/>
      </c>
      <c r="W211" s="39" t="str">
        <f>IFERROR(final!AH9*100/final!$I9,"")</f>
        <v/>
      </c>
      <c r="X211" s="39" t="str">
        <f>IFERROR(final!AI9*100/final!$I9,"")</f>
        <v/>
      </c>
      <c r="Y211" s="39" t="str">
        <f>IFERROR(final!AJ9*100/final!$I9,"")</f>
        <v/>
      </c>
      <c r="Z211" s="39" t="str">
        <f>IFERROR(final!AK9*100/final!$I9,"")</f>
        <v/>
      </c>
      <c r="AA211" s="39" t="str">
        <f>IFERROR(final!AL9*100/final!$I9,"")</f>
        <v/>
      </c>
      <c r="AB211" s="39" t="str">
        <f>IFERROR(final!AM9*100/final!$I9,"")</f>
        <v/>
      </c>
      <c r="AC211" s="39" t="str">
        <f>IFERROR(final!AN9*100/final!$I9,"")</f>
        <v/>
      </c>
      <c r="AD211" s="39" t="str">
        <f>IFERROR(final!AO9*100/final!$I9,"")</f>
        <v/>
      </c>
      <c r="AE211" s="39" t="str">
        <f>IFERROR(final!AP9*100/final!$I9,"")</f>
        <v/>
      </c>
      <c r="AF211" s="39" t="str">
        <f>IFERROR(final!AQ9*100/final!$I9,"")</f>
        <v/>
      </c>
      <c r="AG211" s="39" t="str">
        <f>IFERROR(final!AR9*100/final!$I9,"")</f>
        <v/>
      </c>
      <c r="AH211" s="39" t="str">
        <f>IFERROR(final!AS9*100/final!$I9,"")</f>
        <v/>
      </c>
      <c r="AI211" s="39" t="str">
        <f>IFERROR(final!AT9*100/final!$I9,"")</f>
        <v/>
      </c>
      <c r="AJ211" s="39" t="str">
        <f>IFERROR(final!AU9*100/final!$I9,"")</f>
        <v/>
      </c>
      <c r="AK211" s="39" t="str">
        <f>IFERROR(final!AV9*100/final!$I9,"")</f>
        <v/>
      </c>
      <c r="AL211" s="39" t="str">
        <f>IFERROR(final!AW9*100/final!$I9,"")</f>
        <v/>
      </c>
      <c r="AM211" s="39" t="str">
        <f>IFERROR(final!AX9*100/final!$I9,"")</f>
        <v/>
      </c>
      <c r="AN211" s="39" t="str">
        <f>IFERROR(final!AY9*100/final!$I9,"")</f>
        <v/>
      </c>
      <c r="AO211" s="39" t="str">
        <f>IFERROR(final!AZ9*100/final!$I9,"")</f>
        <v/>
      </c>
      <c r="AP211" s="39" t="str">
        <f>IFERROR(final!BA9*100/final!$I9,"")</f>
        <v/>
      </c>
      <c r="AQ211" s="39" t="str">
        <f>IFERROR(final!BB9*100/final!$I9,"")</f>
        <v/>
      </c>
      <c r="AR211" s="39" t="str">
        <f>IFERROR(final!BC9*100/final!$I9,"")</f>
        <v/>
      </c>
      <c r="AS211" s="39" t="str">
        <f>IFERROR(final!BD9*100/final!$I9,"")</f>
        <v/>
      </c>
      <c r="AT211" s="39" t="str">
        <f>IFERROR(final!BE9*100/final!$I9,"")</f>
        <v/>
      </c>
      <c r="AU211" s="39" t="str">
        <f>IFERROR(final!BF9*100/final!$I9,"")</f>
        <v/>
      </c>
      <c r="AV211" s="39" t="str">
        <f>IFERROR(final!BG9*100/final!$I9,"")</f>
        <v/>
      </c>
      <c r="AW211" s="39" t="str">
        <f>IFERROR(final!BH9*100/final!$I9,"")</f>
        <v/>
      </c>
      <c r="AX211" s="39" t="str">
        <f>IFERROR(final!BI9*100/final!$I9,"")</f>
        <v/>
      </c>
      <c r="AY211" s="39" t="str">
        <f>IFERROR(final!BJ9*100/final!$I9,"")</f>
        <v/>
      </c>
      <c r="AZ211" s="39" t="str">
        <f>IFERROR(final!BK9*100/final!$I9,"")</f>
        <v/>
      </c>
      <c r="BA211" s="39" t="str">
        <f>IFERROR(final!BL9*100/final!$I9,"")</f>
        <v/>
      </c>
      <c r="BB211" s="39" t="str">
        <f>IFERROR(final!BM9*100/final!$I9,"")</f>
        <v/>
      </c>
      <c r="BC211" s="39" t="str">
        <f>IFERROR(final!BN9*100/final!$I9,"")</f>
        <v/>
      </c>
      <c r="BD211" s="39" t="str">
        <f>IFERROR(final!BO9*100/final!$I9,"")</f>
        <v/>
      </c>
      <c r="BE211" s="39" t="str">
        <f>IFERROR(final!BP9*100/final!$I9,"")</f>
        <v/>
      </c>
      <c r="BF211" s="39" t="str">
        <f>IFERROR(final!BQ9*100/final!$I9,"")</f>
        <v/>
      </c>
      <c r="BG211" s="39" t="str">
        <f>IFERROR(final!BR9*100/final!$I9,"")</f>
        <v/>
      </c>
      <c r="BH211" s="39" t="str">
        <f>IFERROR(final!BS9*100/final!$I9,"")</f>
        <v/>
      </c>
      <c r="BI211" s="39" t="str">
        <f>IFERROR(final!BT9*100/final!$I9,"")</f>
        <v/>
      </c>
      <c r="BJ211" s="39" t="str">
        <f>IFERROR(final!BU9*100/final!$I9,"")</f>
        <v/>
      </c>
      <c r="BK211" s="39" t="str">
        <f>IFERROR(final!BV9*100/final!$I9,"")</f>
        <v/>
      </c>
      <c r="BL211" s="39" t="str">
        <f>IFERROR(final!BW9*100/final!$I9,"")</f>
        <v/>
      </c>
      <c r="BM211" s="39" t="str">
        <f>IFERROR(final!BX9*100/final!$I9,"")</f>
        <v/>
      </c>
      <c r="BN211" s="39" t="str">
        <f>IFERROR(final!BY9*100/final!$I9,"")</f>
        <v/>
      </c>
      <c r="BO211" s="39" t="str">
        <f>IFERROR(final!BZ9*100/final!$I9,"")</f>
        <v/>
      </c>
      <c r="BP211" s="39" t="str">
        <f>IFERROR(final!CA9*100/final!$I9,"")</f>
        <v/>
      </c>
      <c r="BQ211" s="39" t="str">
        <f>IFERROR(final!CB9*100/final!$I9,"")</f>
        <v/>
      </c>
      <c r="BR211" s="39" t="str">
        <f>IFERROR(final!CC9*100/final!$I9,"")</f>
        <v/>
      </c>
      <c r="BS211" s="39" t="str">
        <f>IFERROR(final!CD9*100/final!$I9,"")</f>
        <v/>
      </c>
      <c r="BT211" s="39" t="str">
        <f>IFERROR(final!CE9*100/final!$I9,"")</f>
        <v/>
      </c>
      <c r="BU211" s="39" t="str">
        <f>IFERROR(final!CF9*100/final!$I9,"")</f>
        <v/>
      </c>
      <c r="BV211" s="39" t="str">
        <f>IFERROR(final!CG9*100/final!$I9,"")</f>
        <v/>
      </c>
      <c r="BW211" s="39" t="str">
        <f>IFERROR(final!CH9*100/final!$I9,"")</f>
        <v/>
      </c>
      <c r="BX211" s="39" t="str">
        <f>IFERROR(final!CI9*100/final!$I9,"")</f>
        <v/>
      </c>
      <c r="BY211" s="39" t="str">
        <f>IFERROR(final!CJ9*100/final!$I9,"")</f>
        <v/>
      </c>
      <c r="BZ211" s="39" t="str">
        <f>IFERROR(final!CK9*100/final!$I9,"")</f>
        <v/>
      </c>
      <c r="CA211" s="39" t="str">
        <f>IFERROR(final!CL9*100/final!$I9,"")</f>
        <v/>
      </c>
      <c r="CB211" s="39" t="str">
        <f>IFERROR(final!CM9*100/final!$I9,"")</f>
        <v/>
      </c>
      <c r="CC211" s="39" t="str">
        <f>IFERROR(final!CN9*100/final!$I9,"")</f>
        <v/>
      </c>
      <c r="CD211" s="39" t="str">
        <f>IFERROR(final!CO9*100/final!$I9,"")</f>
        <v/>
      </c>
      <c r="CE211" s="39" t="str">
        <f>IFERROR(final!CP9*100/final!$I9,"")</f>
        <v/>
      </c>
      <c r="CF211" s="39" t="str">
        <f>IFERROR(final!CQ9*100/final!$I9,"")</f>
        <v/>
      </c>
      <c r="CG211" s="39" t="str">
        <f>IFERROR(final!CR9*100/final!$I9,"")</f>
        <v/>
      </c>
      <c r="CH211" s="39" t="str">
        <f>IFERROR(final!CS9*100/final!$I9,"")</f>
        <v/>
      </c>
      <c r="CI211" s="39" t="str">
        <f>IFERROR(final!CT9*100/final!$I9,"")</f>
        <v/>
      </c>
      <c r="CJ211" s="39" t="str">
        <f>IFERROR(final!CU9*100/final!$I9,"")</f>
        <v/>
      </c>
      <c r="CK211" s="39" t="str">
        <f>IFERROR(final!CV9*100/final!$I9,"")</f>
        <v/>
      </c>
      <c r="CL211" s="39" t="str">
        <f>IFERROR(final!CW9*100/final!$I9,"")</f>
        <v/>
      </c>
      <c r="CM211" s="39" t="str">
        <f>IFERROR(final!CX9*100/final!$I9,"")</f>
        <v/>
      </c>
      <c r="CN211" s="39" t="str">
        <f>IFERROR(final!CY9*100/final!$I9,"")</f>
        <v/>
      </c>
      <c r="CO211" s="39" t="str">
        <f>IFERROR(final!CZ9*100/final!$I9,"")</f>
        <v/>
      </c>
      <c r="CP211" s="39" t="str">
        <f>IFERROR(final!DA9*100/final!$I9,"")</f>
        <v/>
      </c>
      <c r="CQ211" s="39" t="str">
        <f>IFERROR(final!DB9*100/final!$I9,"")</f>
        <v/>
      </c>
      <c r="CR211" s="39" t="str">
        <f>IFERROR(final!DC9*100/final!$I9,"")</f>
        <v/>
      </c>
      <c r="CS211" s="39" t="str">
        <f>IFERROR(final!DD9*100/final!$I9,"")</f>
        <v/>
      </c>
      <c r="CT211" s="39" t="str">
        <f>IFERROR(final!DE9*100/final!$I9,"")</f>
        <v/>
      </c>
      <c r="CU211" s="39" t="str">
        <f>IFERROR(final!DF9*100/final!$I9,"")</f>
        <v/>
      </c>
      <c r="CV211" s="39" t="str">
        <f>IFERROR(final!DG9*100/final!$I9,"")</f>
        <v/>
      </c>
      <c r="CW211" s="32" t="str">
        <f>IFERROR(SUM(A211:CV211)/final!$DH$103,"")</f>
        <v/>
      </c>
      <c r="CX211" s="14" t="str">
        <f>IF(COUNTA(final!A9),final!A9,"")</f>
        <v/>
      </c>
      <c r="CY211" s="14" t="str">
        <f>IF(COUNTA(final!B9),final!B9,"")</f>
        <v/>
      </c>
      <c r="CZ211" s="14" t="str">
        <f>IF(COUNTA(final!C9),final!C9,"")</f>
        <v/>
      </c>
      <c r="DA211" s="14" t="str">
        <f>IF(COUNTA(final!D9),final!D9,"")</f>
        <v/>
      </c>
      <c r="DB211" s="14" t="str">
        <f>IF(COUNTA(final!E9),final!E9,"")</f>
        <v/>
      </c>
      <c r="DC211" s="14" t="str">
        <f>IF(COUNTA(final!F9),final!F9,"")</f>
        <v/>
      </c>
      <c r="DD211" s="14" t="str">
        <f>IF(COUNTA(final!G9),final!G9,"")</f>
        <v/>
      </c>
      <c r="DE211" s="14" t="str">
        <f>IF(COUNTA(final!H9),final!H9,"")</f>
        <v/>
      </c>
    </row>
    <row r="212" spans="1:109" x14ac:dyDescent="0.2">
      <c r="A212" s="39" t="str">
        <f>IFERROR(final!L10*100/final!$I10,"")</f>
        <v/>
      </c>
      <c r="B212" s="39" t="str">
        <f>IFERROR(final!M10*100/final!$I10,"")</f>
        <v/>
      </c>
      <c r="C212" s="39" t="str">
        <f>IFERROR(final!N10*100/final!$I10,"")</f>
        <v/>
      </c>
      <c r="D212" s="39" t="str">
        <f>IFERROR(final!O10*100/final!$I10,"")</f>
        <v/>
      </c>
      <c r="E212" s="39" t="str">
        <f>IFERROR(final!P10*100/final!$I10,"")</f>
        <v/>
      </c>
      <c r="F212" s="39" t="str">
        <f>IFERROR(final!Q10*100/final!$I10,"")</f>
        <v/>
      </c>
      <c r="G212" s="39" t="str">
        <f>IFERROR(final!R10*100/final!$I10,"")</f>
        <v/>
      </c>
      <c r="H212" s="39" t="str">
        <f>IFERROR(final!S10*100/final!$I10,"")</f>
        <v/>
      </c>
      <c r="I212" s="39" t="str">
        <f>IFERROR(final!T10*100/final!$I10,"")</f>
        <v/>
      </c>
      <c r="J212" s="39" t="str">
        <f>IFERROR(final!U10*100/final!$I10,"")</f>
        <v/>
      </c>
      <c r="K212" s="39" t="str">
        <f>IFERROR(final!V10*100/final!$I10,"")</f>
        <v/>
      </c>
      <c r="L212" s="39" t="str">
        <f>IFERROR(final!W10*100/final!$I10,"")</f>
        <v/>
      </c>
      <c r="M212" s="39" t="str">
        <f>IFERROR(final!X10*100/final!$I10,"")</f>
        <v/>
      </c>
      <c r="N212" s="39" t="str">
        <f>IFERROR(final!Y10*100/final!$I10,"")</f>
        <v/>
      </c>
      <c r="O212" s="39" t="str">
        <f>IFERROR(final!Z10*100/final!$I10,"")</f>
        <v/>
      </c>
      <c r="P212" s="39" t="str">
        <f>IFERROR(final!AA10*100/final!$I10,"")</f>
        <v/>
      </c>
      <c r="Q212" s="39" t="str">
        <f>IFERROR(final!AB10*100/final!$I10,"")</f>
        <v/>
      </c>
      <c r="R212" s="39" t="str">
        <f>IFERROR(final!AC10*100/final!$I10,"")</f>
        <v/>
      </c>
      <c r="S212" s="39" t="str">
        <f>IFERROR(final!AD10*100/final!$I10,"")</f>
        <v/>
      </c>
      <c r="T212" s="39" t="str">
        <f>IFERROR(final!AE10*100/final!$I10,"")</f>
        <v/>
      </c>
      <c r="U212" s="39" t="str">
        <f>IFERROR(final!AF10*100/final!$I10,"")</f>
        <v/>
      </c>
      <c r="V212" s="39" t="str">
        <f>IFERROR(final!AG10*100/final!$I10,"")</f>
        <v/>
      </c>
      <c r="W212" s="39" t="str">
        <f>IFERROR(final!AH10*100/final!$I10,"")</f>
        <v/>
      </c>
      <c r="X212" s="39" t="str">
        <f>IFERROR(final!AI10*100/final!$I10,"")</f>
        <v/>
      </c>
      <c r="Y212" s="39" t="str">
        <f>IFERROR(final!AJ10*100/final!$I10,"")</f>
        <v/>
      </c>
      <c r="Z212" s="39" t="str">
        <f>IFERROR(final!AK10*100/final!$I10,"")</f>
        <v/>
      </c>
      <c r="AA212" s="39" t="str">
        <f>IFERROR(final!AL10*100/final!$I10,"")</f>
        <v/>
      </c>
      <c r="AB212" s="39" t="str">
        <f>IFERROR(final!AM10*100/final!$I10,"")</f>
        <v/>
      </c>
      <c r="AC212" s="39" t="str">
        <f>IFERROR(final!AN10*100/final!$I10,"")</f>
        <v/>
      </c>
      <c r="AD212" s="39" t="str">
        <f>IFERROR(final!AO10*100/final!$I10,"")</f>
        <v/>
      </c>
      <c r="AE212" s="39" t="str">
        <f>IFERROR(final!AP10*100/final!$I10,"")</f>
        <v/>
      </c>
      <c r="AF212" s="39" t="str">
        <f>IFERROR(final!AQ10*100/final!$I10,"")</f>
        <v/>
      </c>
      <c r="AG212" s="39" t="str">
        <f>IFERROR(final!AR10*100/final!$I10,"")</f>
        <v/>
      </c>
      <c r="AH212" s="39" t="str">
        <f>IFERROR(final!AS10*100/final!$I10,"")</f>
        <v/>
      </c>
      <c r="AI212" s="39" t="str">
        <f>IFERROR(final!AT10*100/final!$I10,"")</f>
        <v/>
      </c>
      <c r="AJ212" s="39" t="str">
        <f>IFERROR(final!AU10*100/final!$I10,"")</f>
        <v/>
      </c>
      <c r="AK212" s="39" t="str">
        <f>IFERROR(final!AV10*100/final!$I10,"")</f>
        <v/>
      </c>
      <c r="AL212" s="39" t="str">
        <f>IFERROR(final!AW10*100/final!$I10,"")</f>
        <v/>
      </c>
      <c r="AM212" s="39" t="str">
        <f>IFERROR(final!AX10*100/final!$I10,"")</f>
        <v/>
      </c>
      <c r="AN212" s="39" t="str">
        <f>IFERROR(final!AY10*100/final!$I10,"")</f>
        <v/>
      </c>
      <c r="AO212" s="39" t="str">
        <f>IFERROR(final!AZ10*100/final!$I10,"")</f>
        <v/>
      </c>
      <c r="AP212" s="39" t="str">
        <f>IFERROR(final!BA10*100/final!$I10,"")</f>
        <v/>
      </c>
      <c r="AQ212" s="39" t="str">
        <f>IFERROR(final!BB10*100/final!$I10,"")</f>
        <v/>
      </c>
      <c r="AR212" s="39" t="str">
        <f>IFERROR(final!BC10*100/final!$I10,"")</f>
        <v/>
      </c>
      <c r="AS212" s="39" t="str">
        <f>IFERROR(final!BD10*100/final!$I10,"")</f>
        <v/>
      </c>
      <c r="AT212" s="39" t="str">
        <f>IFERROR(final!BE10*100/final!$I10,"")</f>
        <v/>
      </c>
      <c r="AU212" s="39" t="str">
        <f>IFERROR(final!BF10*100/final!$I10,"")</f>
        <v/>
      </c>
      <c r="AV212" s="39" t="str">
        <f>IFERROR(final!BG10*100/final!$I10,"")</f>
        <v/>
      </c>
      <c r="AW212" s="39" t="str">
        <f>IFERROR(final!BH10*100/final!$I10,"")</f>
        <v/>
      </c>
      <c r="AX212" s="39" t="str">
        <f>IFERROR(final!BI10*100/final!$I10,"")</f>
        <v/>
      </c>
      <c r="AY212" s="39" t="str">
        <f>IFERROR(final!BJ10*100/final!$I10,"")</f>
        <v/>
      </c>
      <c r="AZ212" s="39" t="str">
        <f>IFERROR(final!BK10*100/final!$I10,"")</f>
        <v/>
      </c>
      <c r="BA212" s="39" t="str">
        <f>IFERROR(final!BL10*100/final!$I10,"")</f>
        <v/>
      </c>
      <c r="BB212" s="39" t="str">
        <f>IFERROR(final!BM10*100/final!$I10,"")</f>
        <v/>
      </c>
      <c r="BC212" s="39" t="str">
        <f>IFERROR(final!BN10*100/final!$I10,"")</f>
        <v/>
      </c>
      <c r="BD212" s="39" t="str">
        <f>IFERROR(final!BO10*100/final!$I10,"")</f>
        <v/>
      </c>
      <c r="BE212" s="39" t="str">
        <f>IFERROR(final!BP10*100/final!$I10,"")</f>
        <v/>
      </c>
      <c r="BF212" s="39" t="str">
        <f>IFERROR(final!BQ10*100/final!$I10,"")</f>
        <v/>
      </c>
      <c r="BG212" s="39" t="str">
        <f>IFERROR(final!BR10*100/final!$I10,"")</f>
        <v/>
      </c>
      <c r="BH212" s="39" t="str">
        <f>IFERROR(final!BS10*100/final!$I10,"")</f>
        <v/>
      </c>
      <c r="BI212" s="39" t="str">
        <f>IFERROR(final!BT10*100/final!$I10,"")</f>
        <v/>
      </c>
      <c r="BJ212" s="39" t="str">
        <f>IFERROR(final!BU10*100/final!$I10,"")</f>
        <v/>
      </c>
      <c r="BK212" s="39" t="str">
        <f>IFERROR(final!BV10*100/final!$I10,"")</f>
        <v/>
      </c>
      <c r="BL212" s="39" t="str">
        <f>IFERROR(final!BW10*100/final!$I10,"")</f>
        <v/>
      </c>
      <c r="BM212" s="39" t="str">
        <f>IFERROR(final!BX10*100/final!$I10,"")</f>
        <v/>
      </c>
      <c r="BN212" s="39" t="str">
        <f>IFERROR(final!BY10*100/final!$I10,"")</f>
        <v/>
      </c>
      <c r="BO212" s="39" t="str">
        <f>IFERROR(final!BZ10*100/final!$I10,"")</f>
        <v/>
      </c>
      <c r="BP212" s="39" t="str">
        <f>IFERROR(final!CA10*100/final!$I10,"")</f>
        <v/>
      </c>
      <c r="BQ212" s="39" t="str">
        <f>IFERROR(final!CB10*100/final!$I10,"")</f>
        <v/>
      </c>
      <c r="BR212" s="39" t="str">
        <f>IFERROR(final!CC10*100/final!$I10,"")</f>
        <v/>
      </c>
      <c r="BS212" s="39" t="str">
        <f>IFERROR(final!CD10*100/final!$I10,"")</f>
        <v/>
      </c>
      <c r="BT212" s="39" t="str">
        <f>IFERROR(final!CE10*100/final!$I10,"")</f>
        <v/>
      </c>
      <c r="BU212" s="39" t="str">
        <f>IFERROR(final!CF10*100/final!$I10,"")</f>
        <v/>
      </c>
      <c r="BV212" s="39" t="str">
        <f>IFERROR(final!CG10*100/final!$I10,"")</f>
        <v/>
      </c>
      <c r="BW212" s="39" t="str">
        <f>IFERROR(final!CH10*100/final!$I10,"")</f>
        <v/>
      </c>
      <c r="BX212" s="39" t="str">
        <f>IFERROR(final!CI10*100/final!$I10,"")</f>
        <v/>
      </c>
      <c r="BY212" s="39" t="str">
        <f>IFERROR(final!CJ10*100/final!$I10,"")</f>
        <v/>
      </c>
      <c r="BZ212" s="39" t="str">
        <f>IFERROR(final!CK10*100/final!$I10,"")</f>
        <v/>
      </c>
      <c r="CA212" s="39" t="str">
        <f>IFERROR(final!CL10*100/final!$I10,"")</f>
        <v/>
      </c>
      <c r="CB212" s="39" t="str">
        <f>IFERROR(final!CM10*100/final!$I10,"")</f>
        <v/>
      </c>
      <c r="CC212" s="39" t="str">
        <f>IFERROR(final!CN10*100/final!$I10,"")</f>
        <v/>
      </c>
      <c r="CD212" s="39" t="str">
        <f>IFERROR(final!CO10*100/final!$I10,"")</f>
        <v/>
      </c>
      <c r="CE212" s="39" t="str">
        <f>IFERROR(final!CP10*100/final!$I10,"")</f>
        <v/>
      </c>
      <c r="CF212" s="39" t="str">
        <f>IFERROR(final!CQ10*100/final!$I10,"")</f>
        <v/>
      </c>
      <c r="CG212" s="39" t="str">
        <f>IFERROR(final!CR10*100/final!$I10,"")</f>
        <v/>
      </c>
      <c r="CH212" s="39" t="str">
        <f>IFERROR(final!CS10*100/final!$I10,"")</f>
        <v/>
      </c>
      <c r="CI212" s="39" t="str">
        <f>IFERROR(final!CT10*100/final!$I10,"")</f>
        <v/>
      </c>
      <c r="CJ212" s="39" t="str">
        <f>IFERROR(final!CU10*100/final!$I10,"")</f>
        <v/>
      </c>
      <c r="CK212" s="39" t="str">
        <f>IFERROR(final!CV10*100/final!$I10,"")</f>
        <v/>
      </c>
      <c r="CL212" s="39" t="str">
        <f>IFERROR(final!CW10*100/final!$I10,"")</f>
        <v/>
      </c>
      <c r="CM212" s="39" t="str">
        <f>IFERROR(final!CX10*100/final!$I10,"")</f>
        <v/>
      </c>
      <c r="CN212" s="39" t="str">
        <f>IFERROR(final!CY10*100/final!$I10,"")</f>
        <v/>
      </c>
      <c r="CO212" s="39" t="str">
        <f>IFERROR(final!CZ10*100/final!$I10,"")</f>
        <v/>
      </c>
      <c r="CP212" s="39" t="str">
        <f>IFERROR(final!DA10*100/final!$I10,"")</f>
        <v/>
      </c>
      <c r="CQ212" s="39" t="str">
        <f>IFERROR(final!DB10*100/final!$I10,"")</f>
        <v/>
      </c>
      <c r="CR212" s="39" t="str">
        <f>IFERROR(final!DC10*100/final!$I10,"")</f>
        <v/>
      </c>
      <c r="CS212" s="39" t="str">
        <f>IFERROR(final!DD10*100/final!$I10,"")</f>
        <v/>
      </c>
      <c r="CT212" s="39" t="str">
        <f>IFERROR(final!DE10*100/final!$I10,"")</f>
        <v/>
      </c>
      <c r="CU212" s="39" t="str">
        <f>IFERROR(final!DF10*100/final!$I10,"")</f>
        <v/>
      </c>
      <c r="CV212" s="39" t="str">
        <f>IFERROR(final!DG10*100/final!$I10,"")</f>
        <v/>
      </c>
      <c r="CW212" s="32" t="str">
        <f>IFERROR(SUM(A212:CV212)/final!$DH$103,"")</f>
        <v/>
      </c>
      <c r="CX212" s="14" t="str">
        <f>IF(COUNTA(final!A10),final!A10,"")</f>
        <v/>
      </c>
      <c r="CY212" s="14" t="str">
        <f>IF(COUNTA(final!B10),final!B10,"")</f>
        <v/>
      </c>
      <c r="CZ212" s="14" t="str">
        <f>IF(COUNTA(final!C10),final!C10,"")</f>
        <v/>
      </c>
      <c r="DA212" s="14" t="str">
        <f>IF(COUNTA(final!D10),final!D10,"")</f>
        <v/>
      </c>
      <c r="DB212" s="14" t="str">
        <f>IF(COUNTA(final!E10),final!E10,"")</f>
        <v/>
      </c>
      <c r="DC212" s="14" t="str">
        <f>IF(COUNTA(final!F10),final!F10,"")</f>
        <v/>
      </c>
      <c r="DD212" s="14" t="str">
        <f>IF(COUNTA(final!G10),final!G10,"")</f>
        <v/>
      </c>
      <c r="DE212" s="14" t="str">
        <f>IF(COUNTA(final!H10),final!H10,"")</f>
        <v/>
      </c>
    </row>
    <row r="213" spans="1:109" x14ac:dyDescent="0.2">
      <c r="A213" s="39" t="str">
        <f>IFERROR(final!L11*100/final!$I11,"")</f>
        <v/>
      </c>
      <c r="B213" s="39" t="str">
        <f>IFERROR(final!M11*100/final!$I11,"")</f>
        <v/>
      </c>
      <c r="C213" s="39" t="str">
        <f>IFERROR(final!N11*100/final!$I11,"")</f>
        <v/>
      </c>
      <c r="D213" s="39" t="str">
        <f>IFERROR(final!O11*100/final!$I11,"")</f>
        <v/>
      </c>
      <c r="E213" s="39" t="str">
        <f>IFERROR(final!P11*100/final!$I11,"")</f>
        <v/>
      </c>
      <c r="F213" s="39" t="str">
        <f>IFERROR(final!Q11*100/final!$I11,"")</f>
        <v/>
      </c>
      <c r="G213" s="39" t="str">
        <f>IFERROR(final!R11*100/final!$I11,"")</f>
        <v/>
      </c>
      <c r="H213" s="39" t="str">
        <f>IFERROR(final!S11*100/final!$I11,"")</f>
        <v/>
      </c>
      <c r="I213" s="39" t="str">
        <f>IFERROR(final!T11*100/final!$I11,"")</f>
        <v/>
      </c>
      <c r="J213" s="39" t="str">
        <f>IFERROR(final!U11*100/final!$I11,"")</f>
        <v/>
      </c>
      <c r="K213" s="39" t="str">
        <f>IFERROR(final!V11*100/final!$I11,"")</f>
        <v/>
      </c>
      <c r="L213" s="39" t="str">
        <f>IFERROR(final!W11*100/final!$I11,"")</f>
        <v/>
      </c>
      <c r="M213" s="39" t="str">
        <f>IFERROR(final!X11*100/final!$I11,"")</f>
        <v/>
      </c>
      <c r="N213" s="39" t="str">
        <f>IFERROR(final!Y11*100/final!$I11,"")</f>
        <v/>
      </c>
      <c r="O213" s="39" t="str">
        <f>IFERROR(final!Z11*100/final!$I11,"")</f>
        <v/>
      </c>
      <c r="P213" s="39" t="str">
        <f>IFERROR(final!AA11*100/final!$I11,"")</f>
        <v/>
      </c>
      <c r="Q213" s="39" t="str">
        <f>IFERROR(final!AB11*100/final!$I11,"")</f>
        <v/>
      </c>
      <c r="R213" s="39" t="str">
        <f>IFERROR(final!AC11*100/final!$I11,"")</f>
        <v/>
      </c>
      <c r="S213" s="39" t="str">
        <f>IFERROR(final!AD11*100/final!$I11,"")</f>
        <v/>
      </c>
      <c r="T213" s="39" t="str">
        <f>IFERROR(final!AE11*100/final!$I11,"")</f>
        <v/>
      </c>
      <c r="U213" s="39" t="str">
        <f>IFERROR(final!AF11*100/final!$I11,"")</f>
        <v/>
      </c>
      <c r="V213" s="39" t="str">
        <f>IFERROR(final!AG11*100/final!$I11,"")</f>
        <v/>
      </c>
      <c r="W213" s="39" t="str">
        <f>IFERROR(final!AH11*100/final!$I11,"")</f>
        <v/>
      </c>
      <c r="X213" s="39" t="str">
        <f>IFERROR(final!AI11*100/final!$I11,"")</f>
        <v/>
      </c>
      <c r="Y213" s="39" t="str">
        <f>IFERROR(final!AJ11*100/final!$I11,"")</f>
        <v/>
      </c>
      <c r="Z213" s="39" t="str">
        <f>IFERROR(final!AK11*100/final!$I11,"")</f>
        <v/>
      </c>
      <c r="AA213" s="39" t="str">
        <f>IFERROR(final!AL11*100/final!$I11,"")</f>
        <v/>
      </c>
      <c r="AB213" s="39" t="str">
        <f>IFERROR(final!AM11*100/final!$I11,"")</f>
        <v/>
      </c>
      <c r="AC213" s="39" t="str">
        <f>IFERROR(final!AN11*100/final!$I11,"")</f>
        <v/>
      </c>
      <c r="AD213" s="39" t="str">
        <f>IFERROR(final!AO11*100/final!$I11,"")</f>
        <v/>
      </c>
      <c r="AE213" s="39" t="str">
        <f>IFERROR(final!AP11*100/final!$I11,"")</f>
        <v/>
      </c>
      <c r="AF213" s="39" t="str">
        <f>IFERROR(final!AQ11*100/final!$I11,"")</f>
        <v/>
      </c>
      <c r="AG213" s="39" t="str">
        <f>IFERROR(final!AR11*100/final!$I11,"")</f>
        <v/>
      </c>
      <c r="AH213" s="39" t="str">
        <f>IFERROR(final!AS11*100/final!$I11,"")</f>
        <v/>
      </c>
      <c r="AI213" s="39" t="str">
        <f>IFERROR(final!AT11*100/final!$I11,"")</f>
        <v/>
      </c>
      <c r="AJ213" s="39" t="str">
        <f>IFERROR(final!AU11*100/final!$I11,"")</f>
        <v/>
      </c>
      <c r="AK213" s="39" t="str">
        <f>IFERROR(final!AV11*100/final!$I11,"")</f>
        <v/>
      </c>
      <c r="AL213" s="39" t="str">
        <f>IFERROR(final!AW11*100/final!$I11,"")</f>
        <v/>
      </c>
      <c r="AM213" s="39" t="str">
        <f>IFERROR(final!AX11*100/final!$I11,"")</f>
        <v/>
      </c>
      <c r="AN213" s="39" t="str">
        <f>IFERROR(final!AY11*100/final!$I11,"")</f>
        <v/>
      </c>
      <c r="AO213" s="39" t="str">
        <f>IFERROR(final!AZ11*100/final!$I11,"")</f>
        <v/>
      </c>
      <c r="AP213" s="39" t="str">
        <f>IFERROR(final!BA11*100/final!$I11,"")</f>
        <v/>
      </c>
      <c r="AQ213" s="39" t="str">
        <f>IFERROR(final!BB11*100/final!$I11,"")</f>
        <v/>
      </c>
      <c r="AR213" s="39" t="str">
        <f>IFERROR(final!BC11*100/final!$I11,"")</f>
        <v/>
      </c>
      <c r="AS213" s="39" t="str">
        <f>IFERROR(final!BD11*100/final!$I11,"")</f>
        <v/>
      </c>
      <c r="AT213" s="39" t="str">
        <f>IFERROR(final!BE11*100/final!$I11,"")</f>
        <v/>
      </c>
      <c r="AU213" s="39" t="str">
        <f>IFERROR(final!BF11*100/final!$I11,"")</f>
        <v/>
      </c>
      <c r="AV213" s="39" t="str">
        <f>IFERROR(final!BG11*100/final!$I11,"")</f>
        <v/>
      </c>
      <c r="AW213" s="39" t="str">
        <f>IFERROR(final!BH11*100/final!$I11,"")</f>
        <v/>
      </c>
      <c r="AX213" s="39" t="str">
        <f>IFERROR(final!BI11*100/final!$I11,"")</f>
        <v/>
      </c>
      <c r="AY213" s="39" t="str">
        <f>IFERROR(final!BJ11*100/final!$I11,"")</f>
        <v/>
      </c>
      <c r="AZ213" s="39" t="str">
        <f>IFERROR(final!BK11*100/final!$I11,"")</f>
        <v/>
      </c>
      <c r="BA213" s="39" t="str">
        <f>IFERROR(final!BL11*100/final!$I11,"")</f>
        <v/>
      </c>
      <c r="BB213" s="39" t="str">
        <f>IFERROR(final!BM11*100/final!$I11,"")</f>
        <v/>
      </c>
      <c r="BC213" s="39" t="str">
        <f>IFERROR(final!BN11*100/final!$I11,"")</f>
        <v/>
      </c>
      <c r="BD213" s="39" t="str">
        <f>IFERROR(final!BO11*100/final!$I11,"")</f>
        <v/>
      </c>
      <c r="BE213" s="39" t="str">
        <f>IFERROR(final!BP11*100/final!$I11,"")</f>
        <v/>
      </c>
      <c r="BF213" s="39" t="str">
        <f>IFERROR(final!BQ11*100/final!$I11,"")</f>
        <v/>
      </c>
      <c r="BG213" s="39" t="str">
        <f>IFERROR(final!BR11*100/final!$I11,"")</f>
        <v/>
      </c>
      <c r="BH213" s="39" t="str">
        <f>IFERROR(final!BS11*100/final!$I11,"")</f>
        <v/>
      </c>
      <c r="BI213" s="39" t="str">
        <f>IFERROR(final!BT11*100/final!$I11,"")</f>
        <v/>
      </c>
      <c r="BJ213" s="39" t="str">
        <f>IFERROR(final!BU11*100/final!$I11,"")</f>
        <v/>
      </c>
      <c r="BK213" s="39" t="str">
        <f>IFERROR(final!BV11*100/final!$I11,"")</f>
        <v/>
      </c>
      <c r="BL213" s="39" t="str">
        <f>IFERROR(final!BW11*100/final!$I11,"")</f>
        <v/>
      </c>
      <c r="BM213" s="39" t="str">
        <f>IFERROR(final!BX11*100/final!$I11,"")</f>
        <v/>
      </c>
      <c r="BN213" s="39" t="str">
        <f>IFERROR(final!BY11*100/final!$I11,"")</f>
        <v/>
      </c>
      <c r="BO213" s="39" t="str">
        <f>IFERROR(final!BZ11*100/final!$I11,"")</f>
        <v/>
      </c>
      <c r="BP213" s="39" t="str">
        <f>IFERROR(final!CA11*100/final!$I11,"")</f>
        <v/>
      </c>
      <c r="BQ213" s="39" t="str">
        <f>IFERROR(final!CB11*100/final!$I11,"")</f>
        <v/>
      </c>
      <c r="BR213" s="39" t="str">
        <f>IFERROR(final!CC11*100/final!$I11,"")</f>
        <v/>
      </c>
      <c r="BS213" s="39" t="str">
        <f>IFERROR(final!CD11*100/final!$I11,"")</f>
        <v/>
      </c>
      <c r="BT213" s="39" t="str">
        <f>IFERROR(final!CE11*100/final!$I11,"")</f>
        <v/>
      </c>
      <c r="BU213" s="39" t="str">
        <f>IFERROR(final!CF11*100/final!$I11,"")</f>
        <v/>
      </c>
      <c r="BV213" s="39" t="str">
        <f>IFERROR(final!CG11*100/final!$I11,"")</f>
        <v/>
      </c>
      <c r="BW213" s="39" t="str">
        <f>IFERROR(final!CH11*100/final!$I11,"")</f>
        <v/>
      </c>
      <c r="BX213" s="39" t="str">
        <f>IFERROR(final!CI11*100/final!$I11,"")</f>
        <v/>
      </c>
      <c r="BY213" s="39" t="str">
        <f>IFERROR(final!CJ11*100/final!$I11,"")</f>
        <v/>
      </c>
      <c r="BZ213" s="39" t="str">
        <f>IFERROR(final!CK11*100/final!$I11,"")</f>
        <v/>
      </c>
      <c r="CA213" s="39" t="str">
        <f>IFERROR(final!CL11*100/final!$I11,"")</f>
        <v/>
      </c>
      <c r="CB213" s="39" t="str">
        <f>IFERROR(final!CM11*100/final!$I11,"")</f>
        <v/>
      </c>
      <c r="CC213" s="39" t="str">
        <f>IFERROR(final!CN11*100/final!$I11,"")</f>
        <v/>
      </c>
      <c r="CD213" s="39" t="str">
        <f>IFERROR(final!CO11*100/final!$I11,"")</f>
        <v/>
      </c>
      <c r="CE213" s="39" t="str">
        <f>IFERROR(final!CP11*100/final!$I11,"")</f>
        <v/>
      </c>
      <c r="CF213" s="39" t="str">
        <f>IFERROR(final!CQ11*100/final!$I11,"")</f>
        <v/>
      </c>
      <c r="CG213" s="39" t="str">
        <f>IFERROR(final!CR11*100/final!$I11,"")</f>
        <v/>
      </c>
      <c r="CH213" s="39" t="str">
        <f>IFERROR(final!CS11*100/final!$I11,"")</f>
        <v/>
      </c>
      <c r="CI213" s="39" t="str">
        <f>IFERROR(final!CT11*100/final!$I11,"")</f>
        <v/>
      </c>
      <c r="CJ213" s="39" t="str">
        <f>IFERROR(final!CU11*100/final!$I11,"")</f>
        <v/>
      </c>
      <c r="CK213" s="39" t="str">
        <f>IFERROR(final!CV11*100/final!$I11,"")</f>
        <v/>
      </c>
      <c r="CL213" s="39" t="str">
        <f>IFERROR(final!CW11*100/final!$I11,"")</f>
        <v/>
      </c>
      <c r="CM213" s="39" t="str">
        <f>IFERROR(final!CX11*100/final!$I11,"")</f>
        <v/>
      </c>
      <c r="CN213" s="39" t="str">
        <f>IFERROR(final!CY11*100/final!$I11,"")</f>
        <v/>
      </c>
      <c r="CO213" s="39" t="str">
        <f>IFERROR(final!CZ11*100/final!$I11,"")</f>
        <v/>
      </c>
      <c r="CP213" s="39" t="str">
        <f>IFERROR(final!DA11*100/final!$I11,"")</f>
        <v/>
      </c>
      <c r="CQ213" s="39" t="str">
        <f>IFERROR(final!DB11*100/final!$I11,"")</f>
        <v/>
      </c>
      <c r="CR213" s="39" t="str">
        <f>IFERROR(final!DC11*100/final!$I11,"")</f>
        <v/>
      </c>
      <c r="CS213" s="39" t="str">
        <f>IFERROR(final!DD11*100/final!$I11,"")</f>
        <v/>
      </c>
      <c r="CT213" s="39" t="str">
        <f>IFERROR(final!DE11*100/final!$I11,"")</f>
        <v/>
      </c>
      <c r="CU213" s="39" t="str">
        <f>IFERROR(final!DF11*100/final!$I11,"")</f>
        <v/>
      </c>
      <c r="CV213" s="39" t="str">
        <f>IFERROR(final!DG11*100/final!$I11,"")</f>
        <v/>
      </c>
      <c r="CW213" s="32" t="str">
        <f>IFERROR(SUM(A213:CV213)/final!$DH$103,"")</f>
        <v/>
      </c>
      <c r="CX213" s="14" t="str">
        <f>IF(COUNTA(final!A11),final!A11,"")</f>
        <v/>
      </c>
      <c r="CY213" s="14" t="str">
        <f>IF(COUNTA(final!B11),final!B11,"")</f>
        <v/>
      </c>
      <c r="CZ213" s="14" t="str">
        <f>IF(COUNTA(final!C11),final!C11,"")</f>
        <v/>
      </c>
      <c r="DA213" s="14" t="str">
        <f>IF(COUNTA(final!D11),final!D11,"")</f>
        <v/>
      </c>
      <c r="DB213" s="14" t="str">
        <f>IF(COUNTA(final!E11),final!E11,"")</f>
        <v/>
      </c>
      <c r="DC213" s="14" t="str">
        <f>IF(COUNTA(final!F11),final!F11,"")</f>
        <v/>
      </c>
      <c r="DD213" s="14" t="str">
        <f>IF(COUNTA(final!G11),final!G11,"")</f>
        <v/>
      </c>
      <c r="DE213" s="14" t="str">
        <f>IF(COUNTA(final!H11),final!H11,"")</f>
        <v/>
      </c>
    </row>
    <row r="214" spans="1:109" x14ac:dyDescent="0.2">
      <c r="A214" s="39" t="str">
        <f>IFERROR(final!L12*100/final!$I12,"")</f>
        <v/>
      </c>
      <c r="B214" s="39" t="str">
        <f>IFERROR(final!M12*100/final!$I12,"")</f>
        <v/>
      </c>
      <c r="C214" s="39" t="str">
        <f>IFERROR(final!N12*100/final!$I12,"")</f>
        <v/>
      </c>
      <c r="D214" s="39" t="str">
        <f>IFERROR(final!O12*100/final!$I12,"")</f>
        <v/>
      </c>
      <c r="E214" s="39" t="str">
        <f>IFERROR(final!P12*100/final!$I12,"")</f>
        <v/>
      </c>
      <c r="F214" s="39" t="str">
        <f>IFERROR(final!Q12*100/final!$I12,"")</f>
        <v/>
      </c>
      <c r="G214" s="39" t="str">
        <f>IFERROR(final!R12*100/final!$I12,"")</f>
        <v/>
      </c>
      <c r="H214" s="39" t="str">
        <f>IFERROR(final!S12*100/final!$I12,"")</f>
        <v/>
      </c>
      <c r="I214" s="39" t="str">
        <f>IFERROR(final!T12*100/final!$I12,"")</f>
        <v/>
      </c>
      <c r="J214" s="39" t="str">
        <f>IFERROR(final!U12*100/final!$I12,"")</f>
        <v/>
      </c>
      <c r="K214" s="39" t="str">
        <f>IFERROR(final!V12*100/final!$I12,"")</f>
        <v/>
      </c>
      <c r="L214" s="39" t="str">
        <f>IFERROR(final!W12*100/final!$I12,"")</f>
        <v/>
      </c>
      <c r="M214" s="39" t="str">
        <f>IFERROR(final!X12*100/final!$I12,"")</f>
        <v/>
      </c>
      <c r="N214" s="39" t="str">
        <f>IFERROR(final!Y12*100/final!$I12,"")</f>
        <v/>
      </c>
      <c r="O214" s="39" t="str">
        <f>IFERROR(final!Z12*100/final!$I12,"")</f>
        <v/>
      </c>
      <c r="P214" s="39" t="str">
        <f>IFERROR(final!AA12*100/final!$I12,"")</f>
        <v/>
      </c>
      <c r="Q214" s="39" t="str">
        <f>IFERROR(final!AB12*100/final!$I12,"")</f>
        <v/>
      </c>
      <c r="R214" s="39" t="str">
        <f>IFERROR(final!AC12*100/final!$I12,"")</f>
        <v/>
      </c>
      <c r="S214" s="39" t="str">
        <f>IFERROR(final!AD12*100/final!$I12,"")</f>
        <v/>
      </c>
      <c r="T214" s="39" t="str">
        <f>IFERROR(final!AE12*100/final!$I12,"")</f>
        <v/>
      </c>
      <c r="U214" s="39" t="str">
        <f>IFERROR(final!AF12*100/final!$I12,"")</f>
        <v/>
      </c>
      <c r="V214" s="39" t="str">
        <f>IFERROR(final!AG12*100/final!$I12,"")</f>
        <v/>
      </c>
      <c r="W214" s="39" t="str">
        <f>IFERROR(final!AH12*100/final!$I12,"")</f>
        <v/>
      </c>
      <c r="X214" s="39" t="str">
        <f>IFERROR(final!AI12*100/final!$I12,"")</f>
        <v/>
      </c>
      <c r="Y214" s="39" t="str">
        <f>IFERROR(final!AJ12*100/final!$I12,"")</f>
        <v/>
      </c>
      <c r="Z214" s="39" t="str">
        <f>IFERROR(final!AK12*100/final!$I12,"")</f>
        <v/>
      </c>
      <c r="AA214" s="39" t="str">
        <f>IFERROR(final!AL12*100/final!$I12,"")</f>
        <v/>
      </c>
      <c r="AB214" s="39" t="str">
        <f>IFERROR(final!AM12*100/final!$I12,"")</f>
        <v/>
      </c>
      <c r="AC214" s="39" t="str">
        <f>IFERROR(final!AN12*100/final!$I12,"")</f>
        <v/>
      </c>
      <c r="AD214" s="39" t="str">
        <f>IFERROR(final!AO12*100/final!$I12,"")</f>
        <v/>
      </c>
      <c r="AE214" s="39" t="str">
        <f>IFERROR(final!AP12*100/final!$I12,"")</f>
        <v/>
      </c>
      <c r="AF214" s="39" t="str">
        <f>IFERROR(final!AQ12*100/final!$I12,"")</f>
        <v/>
      </c>
      <c r="AG214" s="39" t="str">
        <f>IFERROR(final!AR12*100/final!$I12,"")</f>
        <v/>
      </c>
      <c r="AH214" s="39" t="str">
        <f>IFERROR(final!AS12*100/final!$I12,"")</f>
        <v/>
      </c>
      <c r="AI214" s="39" t="str">
        <f>IFERROR(final!AT12*100/final!$I12,"")</f>
        <v/>
      </c>
      <c r="AJ214" s="39" t="str">
        <f>IFERROR(final!AU12*100/final!$I12,"")</f>
        <v/>
      </c>
      <c r="AK214" s="39" t="str">
        <f>IFERROR(final!AV12*100/final!$I12,"")</f>
        <v/>
      </c>
      <c r="AL214" s="39" t="str">
        <f>IFERROR(final!AW12*100/final!$I12,"")</f>
        <v/>
      </c>
      <c r="AM214" s="39" t="str">
        <f>IFERROR(final!AX12*100/final!$I12,"")</f>
        <v/>
      </c>
      <c r="AN214" s="39" t="str">
        <f>IFERROR(final!AY12*100/final!$I12,"")</f>
        <v/>
      </c>
      <c r="AO214" s="39" t="str">
        <f>IFERROR(final!AZ12*100/final!$I12,"")</f>
        <v/>
      </c>
      <c r="AP214" s="39" t="str">
        <f>IFERROR(final!BA12*100/final!$I12,"")</f>
        <v/>
      </c>
      <c r="AQ214" s="39" t="str">
        <f>IFERROR(final!BB12*100/final!$I12,"")</f>
        <v/>
      </c>
      <c r="AR214" s="39" t="str">
        <f>IFERROR(final!BC12*100/final!$I12,"")</f>
        <v/>
      </c>
      <c r="AS214" s="39" t="str">
        <f>IFERROR(final!BD12*100/final!$I12,"")</f>
        <v/>
      </c>
      <c r="AT214" s="39" t="str">
        <f>IFERROR(final!BE12*100/final!$I12,"")</f>
        <v/>
      </c>
      <c r="AU214" s="39" t="str">
        <f>IFERROR(final!BF12*100/final!$I12,"")</f>
        <v/>
      </c>
      <c r="AV214" s="39" t="str">
        <f>IFERROR(final!BG12*100/final!$I12,"")</f>
        <v/>
      </c>
      <c r="AW214" s="39" t="str">
        <f>IFERROR(final!BH12*100/final!$I12,"")</f>
        <v/>
      </c>
      <c r="AX214" s="39" t="str">
        <f>IFERROR(final!BI12*100/final!$I12,"")</f>
        <v/>
      </c>
      <c r="AY214" s="39" t="str">
        <f>IFERROR(final!BJ12*100/final!$I12,"")</f>
        <v/>
      </c>
      <c r="AZ214" s="39" t="str">
        <f>IFERROR(final!BK12*100/final!$I12,"")</f>
        <v/>
      </c>
      <c r="BA214" s="39" t="str">
        <f>IFERROR(final!BL12*100/final!$I12,"")</f>
        <v/>
      </c>
      <c r="BB214" s="39" t="str">
        <f>IFERROR(final!BM12*100/final!$I12,"")</f>
        <v/>
      </c>
      <c r="BC214" s="39" t="str">
        <f>IFERROR(final!BN12*100/final!$I12,"")</f>
        <v/>
      </c>
      <c r="BD214" s="39" t="str">
        <f>IFERROR(final!BO12*100/final!$I12,"")</f>
        <v/>
      </c>
      <c r="BE214" s="39" t="str">
        <f>IFERROR(final!BP12*100/final!$I12,"")</f>
        <v/>
      </c>
      <c r="BF214" s="39" t="str">
        <f>IFERROR(final!BQ12*100/final!$I12,"")</f>
        <v/>
      </c>
      <c r="BG214" s="39" t="str">
        <f>IFERROR(final!BR12*100/final!$I12,"")</f>
        <v/>
      </c>
      <c r="BH214" s="39" t="str">
        <f>IFERROR(final!BS12*100/final!$I12,"")</f>
        <v/>
      </c>
      <c r="BI214" s="39" t="str">
        <f>IFERROR(final!BT12*100/final!$I12,"")</f>
        <v/>
      </c>
      <c r="BJ214" s="39" t="str">
        <f>IFERROR(final!BU12*100/final!$I12,"")</f>
        <v/>
      </c>
      <c r="BK214" s="39" t="str">
        <f>IFERROR(final!BV12*100/final!$I12,"")</f>
        <v/>
      </c>
      <c r="BL214" s="39" t="str">
        <f>IFERROR(final!BW12*100/final!$I12,"")</f>
        <v/>
      </c>
      <c r="BM214" s="39" t="str">
        <f>IFERROR(final!BX12*100/final!$I12,"")</f>
        <v/>
      </c>
      <c r="BN214" s="39" t="str">
        <f>IFERROR(final!BY12*100/final!$I12,"")</f>
        <v/>
      </c>
      <c r="BO214" s="39" t="str">
        <f>IFERROR(final!BZ12*100/final!$I12,"")</f>
        <v/>
      </c>
      <c r="BP214" s="39" t="str">
        <f>IFERROR(final!CA12*100/final!$I12,"")</f>
        <v/>
      </c>
      <c r="BQ214" s="39" t="str">
        <f>IFERROR(final!CB12*100/final!$I12,"")</f>
        <v/>
      </c>
      <c r="BR214" s="39" t="str">
        <f>IFERROR(final!CC12*100/final!$I12,"")</f>
        <v/>
      </c>
      <c r="BS214" s="39" t="str">
        <f>IFERROR(final!CD12*100/final!$I12,"")</f>
        <v/>
      </c>
      <c r="BT214" s="39" t="str">
        <f>IFERROR(final!CE12*100/final!$I12,"")</f>
        <v/>
      </c>
      <c r="BU214" s="39" t="str">
        <f>IFERROR(final!CF12*100/final!$I12,"")</f>
        <v/>
      </c>
      <c r="BV214" s="39" t="str">
        <f>IFERROR(final!CG12*100/final!$I12,"")</f>
        <v/>
      </c>
      <c r="BW214" s="39" t="str">
        <f>IFERROR(final!CH12*100/final!$I12,"")</f>
        <v/>
      </c>
      <c r="BX214" s="39" t="str">
        <f>IFERROR(final!CI12*100/final!$I12,"")</f>
        <v/>
      </c>
      <c r="BY214" s="39" t="str">
        <f>IFERROR(final!CJ12*100/final!$I12,"")</f>
        <v/>
      </c>
      <c r="BZ214" s="39" t="str">
        <f>IFERROR(final!CK12*100/final!$I12,"")</f>
        <v/>
      </c>
      <c r="CA214" s="39" t="str">
        <f>IFERROR(final!CL12*100/final!$I12,"")</f>
        <v/>
      </c>
      <c r="CB214" s="39" t="str">
        <f>IFERROR(final!CM12*100/final!$I12,"")</f>
        <v/>
      </c>
      <c r="CC214" s="39" t="str">
        <f>IFERROR(final!CN12*100/final!$I12,"")</f>
        <v/>
      </c>
      <c r="CD214" s="39" t="str">
        <f>IFERROR(final!CO12*100/final!$I12,"")</f>
        <v/>
      </c>
      <c r="CE214" s="39" t="str">
        <f>IFERROR(final!CP12*100/final!$I12,"")</f>
        <v/>
      </c>
      <c r="CF214" s="39" t="str">
        <f>IFERROR(final!CQ12*100/final!$I12,"")</f>
        <v/>
      </c>
      <c r="CG214" s="39" t="str">
        <f>IFERROR(final!CR12*100/final!$I12,"")</f>
        <v/>
      </c>
      <c r="CH214" s="39" t="str">
        <f>IFERROR(final!CS12*100/final!$I12,"")</f>
        <v/>
      </c>
      <c r="CI214" s="39" t="str">
        <f>IFERROR(final!CT12*100/final!$I12,"")</f>
        <v/>
      </c>
      <c r="CJ214" s="39" t="str">
        <f>IFERROR(final!CU12*100/final!$I12,"")</f>
        <v/>
      </c>
      <c r="CK214" s="39" t="str">
        <f>IFERROR(final!CV12*100/final!$I12,"")</f>
        <v/>
      </c>
      <c r="CL214" s="39" t="str">
        <f>IFERROR(final!CW12*100/final!$I12,"")</f>
        <v/>
      </c>
      <c r="CM214" s="39" t="str">
        <f>IFERROR(final!CX12*100/final!$I12,"")</f>
        <v/>
      </c>
      <c r="CN214" s="39" t="str">
        <f>IFERROR(final!CY12*100/final!$I12,"")</f>
        <v/>
      </c>
      <c r="CO214" s="39" t="str">
        <f>IFERROR(final!CZ12*100/final!$I12,"")</f>
        <v/>
      </c>
      <c r="CP214" s="39" t="str">
        <f>IFERROR(final!DA12*100/final!$I12,"")</f>
        <v/>
      </c>
      <c r="CQ214" s="39" t="str">
        <f>IFERROR(final!DB12*100/final!$I12,"")</f>
        <v/>
      </c>
      <c r="CR214" s="39" t="str">
        <f>IFERROR(final!DC12*100/final!$I12,"")</f>
        <v/>
      </c>
      <c r="CS214" s="39" t="str">
        <f>IFERROR(final!DD12*100/final!$I12,"")</f>
        <v/>
      </c>
      <c r="CT214" s="39" t="str">
        <f>IFERROR(final!DE12*100/final!$I12,"")</f>
        <v/>
      </c>
      <c r="CU214" s="39" t="str">
        <f>IFERROR(final!DF12*100/final!$I12,"")</f>
        <v/>
      </c>
      <c r="CV214" s="39" t="str">
        <f>IFERROR(final!DG12*100/final!$I12,"")</f>
        <v/>
      </c>
      <c r="CW214" s="32" t="str">
        <f>IFERROR(SUM(A214:CV214)/final!$DH$103,"")</f>
        <v/>
      </c>
      <c r="CX214" s="14" t="str">
        <f>IF(COUNTA(final!A12),final!A12,"")</f>
        <v/>
      </c>
      <c r="CY214" s="14" t="str">
        <f>IF(COUNTA(final!B12),final!B12,"")</f>
        <v/>
      </c>
      <c r="CZ214" s="14" t="str">
        <f>IF(COUNTA(final!C12),final!C12,"")</f>
        <v/>
      </c>
      <c r="DA214" s="14" t="str">
        <f>IF(COUNTA(final!D12),final!D12,"")</f>
        <v/>
      </c>
      <c r="DB214" s="14" t="str">
        <f>IF(COUNTA(final!E12),final!E12,"")</f>
        <v/>
      </c>
      <c r="DC214" s="14" t="str">
        <f>IF(COUNTA(final!F12),final!F12,"")</f>
        <v/>
      </c>
      <c r="DD214" s="14" t="str">
        <f>IF(COUNTA(final!G12),final!G12,"")</f>
        <v/>
      </c>
      <c r="DE214" s="14" t="str">
        <f>IF(COUNTA(final!H12),final!H12,"")</f>
        <v/>
      </c>
    </row>
    <row r="215" spans="1:109" x14ac:dyDescent="0.2">
      <c r="A215" s="39" t="str">
        <f>IFERROR(final!L13*100/final!$I13,"")</f>
        <v/>
      </c>
      <c r="B215" s="39" t="str">
        <f>IFERROR(final!M13*100/final!$I13,"")</f>
        <v/>
      </c>
      <c r="C215" s="39" t="str">
        <f>IFERROR(final!N13*100/final!$I13,"")</f>
        <v/>
      </c>
      <c r="D215" s="39" t="str">
        <f>IFERROR(final!O13*100/final!$I13,"")</f>
        <v/>
      </c>
      <c r="E215" s="39" t="str">
        <f>IFERROR(final!P13*100/final!$I13,"")</f>
        <v/>
      </c>
      <c r="F215" s="39" t="str">
        <f>IFERROR(final!Q13*100/final!$I13,"")</f>
        <v/>
      </c>
      <c r="G215" s="39" t="str">
        <f>IFERROR(final!R13*100/final!$I13,"")</f>
        <v/>
      </c>
      <c r="H215" s="39" t="str">
        <f>IFERROR(final!S13*100/final!$I13,"")</f>
        <v/>
      </c>
      <c r="I215" s="39" t="str">
        <f>IFERROR(final!T13*100/final!$I13,"")</f>
        <v/>
      </c>
      <c r="J215" s="39" t="str">
        <f>IFERROR(final!U13*100/final!$I13,"")</f>
        <v/>
      </c>
      <c r="K215" s="39" t="str">
        <f>IFERROR(final!V13*100/final!$I13,"")</f>
        <v/>
      </c>
      <c r="L215" s="39" t="str">
        <f>IFERROR(final!W13*100/final!$I13,"")</f>
        <v/>
      </c>
      <c r="M215" s="39" t="str">
        <f>IFERROR(final!X13*100/final!$I13,"")</f>
        <v/>
      </c>
      <c r="N215" s="39" t="str">
        <f>IFERROR(final!Y13*100/final!$I13,"")</f>
        <v/>
      </c>
      <c r="O215" s="39" t="str">
        <f>IFERROR(final!Z13*100/final!$I13,"")</f>
        <v/>
      </c>
      <c r="P215" s="39" t="str">
        <f>IFERROR(final!AA13*100/final!$I13,"")</f>
        <v/>
      </c>
      <c r="Q215" s="39" t="str">
        <f>IFERROR(final!AB13*100/final!$I13,"")</f>
        <v/>
      </c>
      <c r="R215" s="39" t="str">
        <f>IFERROR(final!AC13*100/final!$I13,"")</f>
        <v/>
      </c>
      <c r="S215" s="39" t="str">
        <f>IFERROR(final!AD13*100/final!$I13,"")</f>
        <v/>
      </c>
      <c r="T215" s="39" t="str">
        <f>IFERROR(final!AE13*100/final!$I13,"")</f>
        <v/>
      </c>
      <c r="U215" s="39" t="str">
        <f>IFERROR(final!AF13*100/final!$I13,"")</f>
        <v/>
      </c>
      <c r="V215" s="39" t="str">
        <f>IFERROR(final!AG13*100/final!$I13,"")</f>
        <v/>
      </c>
      <c r="W215" s="39" t="str">
        <f>IFERROR(final!AH13*100/final!$I13,"")</f>
        <v/>
      </c>
      <c r="X215" s="39" t="str">
        <f>IFERROR(final!AI13*100/final!$I13,"")</f>
        <v/>
      </c>
      <c r="Y215" s="39" t="str">
        <f>IFERROR(final!AJ13*100/final!$I13,"")</f>
        <v/>
      </c>
      <c r="Z215" s="39" t="str">
        <f>IFERROR(final!AK13*100/final!$I13,"")</f>
        <v/>
      </c>
      <c r="AA215" s="39" t="str">
        <f>IFERROR(final!AL13*100/final!$I13,"")</f>
        <v/>
      </c>
      <c r="AB215" s="39" t="str">
        <f>IFERROR(final!AM13*100/final!$I13,"")</f>
        <v/>
      </c>
      <c r="AC215" s="39" t="str">
        <f>IFERROR(final!AN13*100/final!$I13,"")</f>
        <v/>
      </c>
      <c r="AD215" s="39" t="str">
        <f>IFERROR(final!AO13*100/final!$I13,"")</f>
        <v/>
      </c>
      <c r="AE215" s="39" t="str">
        <f>IFERROR(final!AP13*100/final!$I13,"")</f>
        <v/>
      </c>
      <c r="AF215" s="39" t="str">
        <f>IFERROR(final!AQ13*100/final!$I13,"")</f>
        <v/>
      </c>
      <c r="AG215" s="39" t="str">
        <f>IFERROR(final!AR13*100/final!$I13,"")</f>
        <v/>
      </c>
      <c r="AH215" s="39" t="str">
        <f>IFERROR(final!AS13*100/final!$I13,"")</f>
        <v/>
      </c>
      <c r="AI215" s="39" t="str">
        <f>IFERROR(final!AT13*100/final!$I13,"")</f>
        <v/>
      </c>
      <c r="AJ215" s="39" t="str">
        <f>IFERROR(final!AU13*100/final!$I13,"")</f>
        <v/>
      </c>
      <c r="AK215" s="39" t="str">
        <f>IFERROR(final!AV13*100/final!$I13,"")</f>
        <v/>
      </c>
      <c r="AL215" s="39" t="str">
        <f>IFERROR(final!AW13*100/final!$I13,"")</f>
        <v/>
      </c>
      <c r="AM215" s="39" t="str">
        <f>IFERROR(final!AX13*100/final!$I13,"")</f>
        <v/>
      </c>
      <c r="AN215" s="39" t="str">
        <f>IFERROR(final!AY13*100/final!$I13,"")</f>
        <v/>
      </c>
      <c r="AO215" s="39" t="str">
        <f>IFERROR(final!AZ13*100/final!$I13,"")</f>
        <v/>
      </c>
      <c r="AP215" s="39" t="str">
        <f>IFERROR(final!BA13*100/final!$I13,"")</f>
        <v/>
      </c>
      <c r="AQ215" s="39" t="str">
        <f>IFERROR(final!BB13*100/final!$I13,"")</f>
        <v/>
      </c>
      <c r="AR215" s="39" t="str">
        <f>IFERROR(final!BC13*100/final!$I13,"")</f>
        <v/>
      </c>
      <c r="AS215" s="39" t="str">
        <f>IFERROR(final!BD13*100/final!$I13,"")</f>
        <v/>
      </c>
      <c r="AT215" s="39" t="str">
        <f>IFERROR(final!BE13*100/final!$I13,"")</f>
        <v/>
      </c>
      <c r="AU215" s="39" t="str">
        <f>IFERROR(final!BF13*100/final!$I13,"")</f>
        <v/>
      </c>
      <c r="AV215" s="39" t="str">
        <f>IFERROR(final!BG13*100/final!$I13,"")</f>
        <v/>
      </c>
      <c r="AW215" s="39" t="str">
        <f>IFERROR(final!BH13*100/final!$I13,"")</f>
        <v/>
      </c>
      <c r="AX215" s="39" t="str">
        <f>IFERROR(final!BI13*100/final!$I13,"")</f>
        <v/>
      </c>
      <c r="AY215" s="39" t="str">
        <f>IFERROR(final!BJ13*100/final!$I13,"")</f>
        <v/>
      </c>
      <c r="AZ215" s="39" t="str">
        <f>IFERROR(final!BK13*100/final!$I13,"")</f>
        <v/>
      </c>
      <c r="BA215" s="39" t="str">
        <f>IFERROR(final!BL13*100/final!$I13,"")</f>
        <v/>
      </c>
      <c r="BB215" s="39" t="str">
        <f>IFERROR(final!BM13*100/final!$I13,"")</f>
        <v/>
      </c>
      <c r="BC215" s="39" t="str">
        <f>IFERROR(final!BN13*100/final!$I13,"")</f>
        <v/>
      </c>
      <c r="BD215" s="39" t="str">
        <f>IFERROR(final!BO13*100/final!$I13,"")</f>
        <v/>
      </c>
      <c r="BE215" s="39" t="str">
        <f>IFERROR(final!BP13*100/final!$I13,"")</f>
        <v/>
      </c>
      <c r="BF215" s="39" t="str">
        <f>IFERROR(final!BQ13*100/final!$I13,"")</f>
        <v/>
      </c>
      <c r="BG215" s="39" t="str">
        <f>IFERROR(final!BR13*100/final!$I13,"")</f>
        <v/>
      </c>
      <c r="BH215" s="39" t="str">
        <f>IFERROR(final!BS13*100/final!$I13,"")</f>
        <v/>
      </c>
      <c r="BI215" s="39" t="str">
        <f>IFERROR(final!BT13*100/final!$I13,"")</f>
        <v/>
      </c>
      <c r="BJ215" s="39" t="str">
        <f>IFERROR(final!BU13*100/final!$I13,"")</f>
        <v/>
      </c>
      <c r="BK215" s="39" t="str">
        <f>IFERROR(final!BV13*100/final!$I13,"")</f>
        <v/>
      </c>
      <c r="BL215" s="39" t="str">
        <f>IFERROR(final!BW13*100/final!$I13,"")</f>
        <v/>
      </c>
      <c r="BM215" s="39" t="str">
        <f>IFERROR(final!BX13*100/final!$I13,"")</f>
        <v/>
      </c>
      <c r="BN215" s="39" t="str">
        <f>IFERROR(final!BY13*100/final!$I13,"")</f>
        <v/>
      </c>
      <c r="BO215" s="39" t="str">
        <f>IFERROR(final!BZ13*100/final!$I13,"")</f>
        <v/>
      </c>
      <c r="BP215" s="39" t="str">
        <f>IFERROR(final!CA13*100/final!$I13,"")</f>
        <v/>
      </c>
      <c r="BQ215" s="39" t="str">
        <f>IFERROR(final!CB13*100/final!$I13,"")</f>
        <v/>
      </c>
      <c r="BR215" s="39" t="str">
        <f>IFERROR(final!CC13*100/final!$I13,"")</f>
        <v/>
      </c>
      <c r="BS215" s="39" t="str">
        <f>IFERROR(final!CD13*100/final!$I13,"")</f>
        <v/>
      </c>
      <c r="BT215" s="39" t="str">
        <f>IFERROR(final!CE13*100/final!$I13,"")</f>
        <v/>
      </c>
      <c r="BU215" s="39" t="str">
        <f>IFERROR(final!CF13*100/final!$I13,"")</f>
        <v/>
      </c>
      <c r="BV215" s="39" t="str">
        <f>IFERROR(final!CG13*100/final!$I13,"")</f>
        <v/>
      </c>
      <c r="BW215" s="39" t="str">
        <f>IFERROR(final!CH13*100/final!$I13,"")</f>
        <v/>
      </c>
      <c r="BX215" s="39" t="str">
        <f>IFERROR(final!CI13*100/final!$I13,"")</f>
        <v/>
      </c>
      <c r="BY215" s="39" t="str">
        <f>IFERROR(final!CJ13*100/final!$I13,"")</f>
        <v/>
      </c>
      <c r="BZ215" s="39" t="str">
        <f>IFERROR(final!CK13*100/final!$I13,"")</f>
        <v/>
      </c>
      <c r="CA215" s="39" t="str">
        <f>IFERROR(final!CL13*100/final!$I13,"")</f>
        <v/>
      </c>
      <c r="CB215" s="39" t="str">
        <f>IFERROR(final!CM13*100/final!$I13,"")</f>
        <v/>
      </c>
      <c r="CC215" s="39" t="str">
        <f>IFERROR(final!CN13*100/final!$I13,"")</f>
        <v/>
      </c>
      <c r="CD215" s="39" t="str">
        <f>IFERROR(final!CO13*100/final!$I13,"")</f>
        <v/>
      </c>
      <c r="CE215" s="39" t="str">
        <f>IFERROR(final!CP13*100/final!$I13,"")</f>
        <v/>
      </c>
      <c r="CF215" s="39" t="str">
        <f>IFERROR(final!CQ13*100/final!$I13,"")</f>
        <v/>
      </c>
      <c r="CG215" s="39" t="str">
        <f>IFERROR(final!CR13*100/final!$I13,"")</f>
        <v/>
      </c>
      <c r="CH215" s="39" t="str">
        <f>IFERROR(final!CS13*100/final!$I13,"")</f>
        <v/>
      </c>
      <c r="CI215" s="39" t="str">
        <f>IFERROR(final!CT13*100/final!$I13,"")</f>
        <v/>
      </c>
      <c r="CJ215" s="39" t="str">
        <f>IFERROR(final!CU13*100/final!$I13,"")</f>
        <v/>
      </c>
      <c r="CK215" s="39" t="str">
        <f>IFERROR(final!CV13*100/final!$I13,"")</f>
        <v/>
      </c>
      <c r="CL215" s="39" t="str">
        <f>IFERROR(final!CW13*100/final!$I13,"")</f>
        <v/>
      </c>
      <c r="CM215" s="39" t="str">
        <f>IFERROR(final!CX13*100/final!$I13,"")</f>
        <v/>
      </c>
      <c r="CN215" s="39" t="str">
        <f>IFERROR(final!CY13*100/final!$I13,"")</f>
        <v/>
      </c>
      <c r="CO215" s="39" t="str">
        <f>IFERROR(final!CZ13*100/final!$I13,"")</f>
        <v/>
      </c>
      <c r="CP215" s="39" t="str">
        <f>IFERROR(final!DA13*100/final!$I13,"")</f>
        <v/>
      </c>
      <c r="CQ215" s="39" t="str">
        <f>IFERROR(final!DB13*100/final!$I13,"")</f>
        <v/>
      </c>
      <c r="CR215" s="39" t="str">
        <f>IFERROR(final!DC13*100/final!$I13,"")</f>
        <v/>
      </c>
      <c r="CS215" s="39" t="str">
        <f>IFERROR(final!DD13*100/final!$I13,"")</f>
        <v/>
      </c>
      <c r="CT215" s="39" t="str">
        <f>IFERROR(final!DE13*100/final!$I13,"")</f>
        <v/>
      </c>
      <c r="CU215" s="39" t="str">
        <f>IFERROR(final!DF13*100/final!$I13,"")</f>
        <v/>
      </c>
      <c r="CV215" s="39" t="str">
        <f>IFERROR(final!DG13*100/final!$I13,"")</f>
        <v/>
      </c>
      <c r="CW215" s="32" t="str">
        <f>IFERROR(SUM(A215:CV215)/final!$DH$103,"")</f>
        <v/>
      </c>
      <c r="CX215" s="14" t="str">
        <f>IF(COUNTA(final!A13),final!A13,"")</f>
        <v/>
      </c>
      <c r="CY215" s="14" t="str">
        <f>IF(COUNTA(final!B13),final!B13,"")</f>
        <v/>
      </c>
      <c r="CZ215" s="14" t="str">
        <f>IF(COUNTA(final!C13),final!C13,"")</f>
        <v/>
      </c>
      <c r="DA215" s="14" t="str">
        <f>IF(COUNTA(final!D13),final!D13,"")</f>
        <v/>
      </c>
      <c r="DB215" s="14" t="str">
        <f>IF(COUNTA(final!E13),final!E13,"")</f>
        <v/>
      </c>
      <c r="DC215" s="14" t="str">
        <f>IF(COUNTA(final!F13),final!F13,"")</f>
        <v/>
      </c>
      <c r="DD215" s="14" t="str">
        <f>IF(COUNTA(final!G13),final!G13,"")</f>
        <v/>
      </c>
      <c r="DE215" s="14" t="str">
        <f>IF(COUNTA(final!H13),final!H13,"")</f>
        <v/>
      </c>
    </row>
    <row r="216" spans="1:109" x14ac:dyDescent="0.2">
      <c r="A216" s="39" t="str">
        <f>IFERROR(final!L14*100/final!$I14,"")</f>
        <v/>
      </c>
      <c r="B216" s="39" t="str">
        <f>IFERROR(final!M14*100/final!$I14,"")</f>
        <v/>
      </c>
      <c r="C216" s="39" t="str">
        <f>IFERROR(final!N14*100/final!$I14,"")</f>
        <v/>
      </c>
      <c r="D216" s="39" t="str">
        <f>IFERROR(final!O14*100/final!$I14,"")</f>
        <v/>
      </c>
      <c r="E216" s="39" t="str">
        <f>IFERROR(final!P14*100/final!$I14,"")</f>
        <v/>
      </c>
      <c r="F216" s="39" t="str">
        <f>IFERROR(final!Q14*100/final!$I14,"")</f>
        <v/>
      </c>
      <c r="G216" s="39" t="str">
        <f>IFERROR(final!R14*100/final!$I14,"")</f>
        <v/>
      </c>
      <c r="H216" s="39" t="str">
        <f>IFERROR(final!S14*100/final!$I14,"")</f>
        <v/>
      </c>
      <c r="I216" s="39" t="str">
        <f>IFERROR(final!T14*100/final!$I14,"")</f>
        <v/>
      </c>
      <c r="J216" s="39" t="str">
        <f>IFERROR(final!U14*100/final!$I14,"")</f>
        <v/>
      </c>
      <c r="K216" s="39" t="str">
        <f>IFERROR(final!V14*100/final!$I14,"")</f>
        <v/>
      </c>
      <c r="L216" s="39" t="str">
        <f>IFERROR(final!W14*100/final!$I14,"")</f>
        <v/>
      </c>
      <c r="M216" s="39" t="str">
        <f>IFERROR(final!X14*100/final!$I14,"")</f>
        <v/>
      </c>
      <c r="N216" s="39" t="str">
        <f>IFERROR(final!Y14*100/final!$I14,"")</f>
        <v/>
      </c>
      <c r="O216" s="39" t="str">
        <f>IFERROR(final!Z14*100/final!$I14,"")</f>
        <v/>
      </c>
      <c r="P216" s="39" t="str">
        <f>IFERROR(final!AA14*100/final!$I14,"")</f>
        <v/>
      </c>
      <c r="Q216" s="39" t="str">
        <f>IFERROR(final!AB14*100/final!$I14,"")</f>
        <v/>
      </c>
      <c r="R216" s="39" t="str">
        <f>IFERROR(final!AC14*100/final!$I14,"")</f>
        <v/>
      </c>
      <c r="S216" s="39" t="str">
        <f>IFERROR(final!AD14*100/final!$I14,"")</f>
        <v/>
      </c>
      <c r="T216" s="39" t="str">
        <f>IFERROR(final!AE14*100/final!$I14,"")</f>
        <v/>
      </c>
      <c r="U216" s="39" t="str">
        <f>IFERROR(final!AF14*100/final!$I14,"")</f>
        <v/>
      </c>
      <c r="V216" s="39" t="str">
        <f>IFERROR(final!AG14*100/final!$I14,"")</f>
        <v/>
      </c>
      <c r="W216" s="39" t="str">
        <f>IFERROR(final!AH14*100/final!$I14,"")</f>
        <v/>
      </c>
      <c r="X216" s="39" t="str">
        <f>IFERROR(final!AI14*100/final!$I14,"")</f>
        <v/>
      </c>
      <c r="Y216" s="39" t="str">
        <f>IFERROR(final!AJ14*100/final!$I14,"")</f>
        <v/>
      </c>
      <c r="Z216" s="39" t="str">
        <f>IFERROR(final!AK14*100/final!$I14,"")</f>
        <v/>
      </c>
      <c r="AA216" s="39" t="str">
        <f>IFERROR(final!AL14*100/final!$I14,"")</f>
        <v/>
      </c>
      <c r="AB216" s="39" t="str">
        <f>IFERROR(final!AM14*100/final!$I14,"")</f>
        <v/>
      </c>
      <c r="AC216" s="39" t="str">
        <f>IFERROR(final!AN14*100/final!$I14,"")</f>
        <v/>
      </c>
      <c r="AD216" s="39" t="str">
        <f>IFERROR(final!AO14*100/final!$I14,"")</f>
        <v/>
      </c>
      <c r="AE216" s="39" t="str">
        <f>IFERROR(final!AP14*100/final!$I14,"")</f>
        <v/>
      </c>
      <c r="AF216" s="39" t="str">
        <f>IFERROR(final!AQ14*100/final!$I14,"")</f>
        <v/>
      </c>
      <c r="AG216" s="39" t="str">
        <f>IFERROR(final!AR14*100/final!$I14,"")</f>
        <v/>
      </c>
      <c r="AH216" s="39" t="str">
        <f>IFERROR(final!AS14*100/final!$I14,"")</f>
        <v/>
      </c>
      <c r="AI216" s="39" t="str">
        <f>IFERROR(final!AT14*100/final!$I14,"")</f>
        <v/>
      </c>
      <c r="AJ216" s="39" t="str">
        <f>IFERROR(final!AU14*100/final!$I14,"")</f>
        <v/>
      </c>
      <c r="AK216" s="39" t="str">
        <f>IFERROR(final!AV14*100/final!$I14,"")</f>
        <v/>
      </c>
      <c r="AL216" s="39" t="str">
        <f>IFERROR(final!AW14*100/final!$I14,"")</f>
        <v/>
      </c>
      <c r="AM216" s="39" t="str">
        <f>IFERROR(final!AX14*100/final!$I14,"")</f>
        <v/>
      </c>
      <c r="AN216" s="39" t="str">
        <f>IFERROR(final!AY14*100/final!$I14,"")</f>
        <v/>
      </c>
      <c r="AO216" s="39" t="str">
        <f>IFERROR(final!AZ14*100/final!$I14,"")</f>
        <v/>
      </c>
      <c r="AP216" s="39" t="str">
        <f>IFERROR(final!BA14*100/final!$I14,"")</f>
        <v/>
      </c>
      <c r="AQ216" s="39" t="str">
        <f>IFERROR(final!BB14*100/final!$I14,"")</f>
        <v/>
      </c>
      <c r="AR216" s="39" t="str">
        <f>IFERROR(final!BC14*100/final!$I14,"")</f>
        <v/>
      </c>
      <c r="AS216" s="39" t="str">
        <f>IFERROR(final!BD14*100/final!$I14,"")</f>
        <v/>
      </c>
      <c r="AT216" s="39" t="str">
        <f>IFERROR(final!BE14*100/final!$I14,"")</f>
        <v/>
      </c>
      <c r="AU216" s="39" t="str">
        <f>IFERROR(final!BF14*100/final!$I14,"")</f>
        <v/>
      </c>
      <c r="AV216" s="39" t="str">
        <f>IFERROR(final!BG14*100/final!$I14,"")</f>
        <v/>
      </c>
      <c r="AW216" s="39" t="str">
        <f>IFERROR(final!BH14*100/final!$I14,"")</f>
        <v/>
      </c>
      <c r="AX216" s="39" t="str">
        <f>IFERROR(final!BI14*100/final!$I14,"")</f>
        <v/>
      </c>
      <c r="AY216" s="39" t="str">
        <f>IFERROR(final!BJ14*100/final!$I14,"")</f>
        <v/>
      </c>
      <c r="AZ216" s="39" t="str">
        <f>IFERROR(final!BK14*100/final!$I14,"")</f>
        <v/>
      </c>
      <c r="BA216" s="39" t="str">
        <f>IFERROR(final!BL14*100/final!$I14,"")</f>
        <v/>
      </c>
      <c r="BB216" s="39" t="str">
        <f>IFERROR(final!BM14*100/final!$I14,"")</f>
        <v/>
      </c>
      <c r="BC216" s="39" t="str">
        <f>IFERROR(final!BN14*100/final!$I14,"")</f>
        <v/>
      </c>
      <c r="BD216" s="39" t="str">
        <f>IFERROR(final!BO14*100/final!$I14,"")</f>
        <v/>
      </c>
      <c r="BE216" s="39" t="str">
        <f>IFERROR(final!BP14*100/final!$I14,"")</f>
        <v/>
      </c>
      <c r="BF216" s="39" t="str">
        <f>IFERROR(final!BQ14*100/final!$I14,"")</f>
        <v/>
      </c>
      <c r="BG216" s="39" t="str">
        <f>IFERROR(final!BR14*100/final!$I14,"")</f>
        <v/>
      </c>
      <c r="BH216" s="39" t="str">
        <f>IFERROR(final!BS14*100/final!$I14,"")</f>
        <v/>
      </c>
      <c r="BI216" s="39" t="str">
        <f>IFERROR(final!BT14*100/final!$I14,"")</f>
        <v/>
      </c>
      <c r="BJ216" s="39" t="str">
        <f>IFERROR(final!BU14*100/final!$I14,"")</f>
        <v/>
      </c>
      <c r="BK216" s="39" t="str">
        <f>IFERROR(final!BV14*100/final!$I14,"")</f>
        <v/>
      </c>
      <c r="BL216" s="39" t="str">
        <f>IFERROR(final!BW14*100/final!$I14,"")</f>
        <v/>
      </c>
      <c r="BM216" s="39" t="str">
        <f>IFERROR(final!BX14*100/final!$I14,"")</f>
        <v/>
      </c>
      <c r="BN216" s="39" t="str">
        <f>IFERROR(final!BY14*100/final!$I14,"")</f>
        <v/>
      </c>
      <c r="BO216" s="39" t="str">
        <f>IFERROR(final!BZ14*100/final!$I14,"")</f>
        <v/>
      </c>
      <c r="BP216" s="39" t="str">
        <f>IFERROR(final!CA14*100/final!$I14,"")</f>
        <v/>
      </c>
      <c r="BQ216" s="39" t="str">
        <f>IFERROR(final!CB14*100/final!$I14,"")</f>
        <v/>
      </c>
      <c r="BR216" s="39" t="str">
        <f>IFERROR(final!CC14*100/final!$I14,"")</f>
        <v/>
      </c>
      <c r="BS216" s="39" t="str">
        <f>IFERROR(final!CD14*100/final!$I14,"")</f>
        <v/>
      </c>
      <c r="BT216" s="39" t="str">
        <f>IFERROR(final!CE14*100/final!$I14,"")</f>
        <v/>
      </c>
      <c r="BU216" s="39" t="str">
        <f>IFERROR(final!CF14*100/final!$I14,"")</f>
        <v/>
      </c>
      <c r="BV216" s="39" t="str">
        <f>IFERROR(final!CG14*100/final!$I14,"")</f>
        <v/>
      </c>
      <c r="BW216" s="39" t="str">
        <f>IFERROR(final!CH14*100/final!$I14,"")</f>
        <v/>
      </c>
      <c r="BX216" s="39" t="str">
        <f>IFERROR(final!CI14*100/final!$I14,"")</f>
        <v/>
      </c>
      <c r="BY216" s="39" t="str">
        <f>IFERROR(final!CJ14*100/final!$I14,"")</f>
        <v/>
      </c>
      <c r="BZ216" s="39" t="str">
        <f>IFERROR(final!CK14*100/final!$I14,"")</f>
        <v/>
      </c>
      <c r="CA216" s="39" t="str">
        <f>IFERROR(final!CL14*100/final!$I14,"")</f>
        <v/>
      </c>
      <c r="CB216" s="39" t="str">
        <f>IFERROR(final!CM14*100/final!$I14,"")</f>
        <v/>
      </c>
      <c r="CC216" s="39" t="str">
        <f>IFERROR(final!CN14*100/final!$I14,"")</f>
        <v/>
      </c>
      <c r="CD216" s="39" t="str">
        <f>IFERROR(final!CO14*100/final!$I14,"")</f>
        <v/>
      </c>
      <c r="CE216" s="39" t="str">
        <f>IFERROR(final!CP14*100/final!$I14,"")</f>
        <v/>
      </c>
      <c r="CF216" s="39" t="str">
        <f>IFERROR(final!CQ14*100/final!$I14,"")</f>
        <v/>
      </c>
      <c r="CG216" s="39" t="str">
        <f>IFERROR(final!CR14*100/final!$I14,"")</f>
        <v/>
      </c>
      <c r="CH216" s="39" t="str">
        <f>IFERROR(final!CS14*100/final!$I14,"")</f>
        <v/>
      </c>
      <c r="CI216" s="39" t="str">
        <f>IFERROR(final!CT14*100/final!$I14,"")</f>
        <v/>
      </c>
      <c r="CJ216" s="39" t="str">
        <f>IFERROR(final!CU14*100/final!$I14,"")</f>
        <v/>
      </c>
      <c r="CK216" s="39" t="str">
        <f>IFERROR(final!CV14*100/final!$I14,"")</f>
        <v/>
      </c>
      <c r="CL216" s="39" t="str">
        <f>IFERROR(final!CW14*100/final!$I14,"")</f>
        <v/>
      </c>
      <c r="CM216" s="39" t="str">
        <f>IFERROR(final!CX14*100/final!$I14,"")</f>
        <v/>
      </c>
      <c r="CN216" s="39" t="str">
        <f>IFERROR(final!CY14*100/final!$I14,"")</f>
        <v/>
      </c>
      <c r="CO216" s="39" t="str">
        <f>IFERROR(final!CZ14*100/final!$I14,"")</f>
        <v/>
      </c>
      <c r="CP216" s="39" t="str">
        <f>IFERROR(final!DA14*100/final!$I14,"")</f>
        <v/>
      </c>
      <c r="CQ216" s="39" t="str">
        <f>IFERROR(final!DB14*100/final!$I14,"")</f>
        <v/>
      </c>
      <c r="CR216" s="39" t="str">
        <f>IFERROR(final!DC14*100/final!$I14,"")</f>
        <v/>
      </c>
      <c r="CS216" s="39" t="str">
        <f>IFERROR(final!DD14*100/final!$I14,"")</f>
        <v/>
      </c>
      <c r="CT216" s="39" t="str">
        <f>IFERROR(final!DE14*100/final!$I14,"")</f>
        <v/>
      </c>
      <c r="CU216" s="39" t="str">
        <f>IFERROR(final!DF14*100/final!$I14,"")</f>
        <v/>
      </c>
      <c r="CV216" s="39" t="str">
        <f>IFERROR(final!DG14*100/final!$I14,"")</f>
        <v/>
      </c>
      <c r="CW216" s="32" t="str">
        <f>IFERROR(SUM(A216:CV216)/final!$DH$103,"")</f>
        <v/>
      </c>
      <c r="CX216" s="14" t="str">
        <f>IF(COUNTA(final!A14),final!A14,"")</f>
        <v/>
      </c>
      <c r="CY216" s="14" t="str">
        <f>IF(COUNTA(final!B14),final!B14,"")</f>
        <v/>
      </c>
      <c r="CZ216" s="14" t="str">
        <f>IF(COUNTA(final!C14),final!C14,"")</f>
        <v/>
      </c>
      <c r="DA216" s="14" t="str">
        <f>IF(COUNTA(final!D14),final!D14,"")</f>
        <v/>
      </c>
      <c r="DB216" s="14" t="str">
        <f>IF(COUNTA(final!E14),final!E14,"")</f>
        <v/>
      </c>
      <c r="DC216" s="14" t="str">
        <f>IF(COUNTA(final!F14),final!F14,"")</f>
        <v/>
      </c>
      <c r="DD216" s="14" t="str">
        <f>IF(COUNTA(final!G14),final!G14,"")</f>
        <v/>
      </c>
      <c r="DE216" s="14" t="str">
        <f>IF(COUNTA(final!H14),final!H14,"")</f>
        <v/>
      </c>
    </row>
    <row r="217" spans="1:109" x14ac:dyDescent="0.2">
      <c r="A217" s="39" t="str">
        <f>IFERROR(final!L15*100/final!$I15,"")</f>
        <v/>
      </c>
      <c r="B217" s="39" t="str">
        <f>IFERROR(final!M15*100/final!$I15,"")</f>
        <v/>
      </c>
      <c r="C217" s="39" t="str">
        <f>IFERROR(final!N15*100/final!$I15,"")</f>
        <v/>
      </c>
      <c r="D217" s="39" t="str">
        <f>IFERROR(final!O15*100/final!$I15,"")</f>
        <v/>
      </c>
      <c r="E217" s="39" t="str">
        <f>IFERROR(final!P15*100/final!$I15,"")</f>
        <v/>
      </c>
      <c r="F217" s="39" t="str">
        <f>IFERROR(final!Q15*100/final!$I15,"")</f>
        <v/>
      </c>
      <c r="G217" s="39" t="str">
        <f>IFERROR(final!R15*100/final!$I15,"")</f>
        <v/>
      </c>
      <c r="H217" s="39" t="str">
        <f>IFERROR(final!S15*100/final!$I15,"")</f>
        <v/>
      </c>
      <c r="I217" s="39" t="str">
        <f>IFERROR(final!T15*100/final!$I15,"")</f>
        <v/>
      </c>
      <c r="J217" s="39" t="str">
        <f>IFERROR(final!U15*100/final!$I15,"")</f>
        <v/>
      </c>
      <c r="K217" s="39" t="str">
        <f>IFERROR(final!V15*100/final!$I15,"")</f>
        <v/>
      </c>
      <c r="L217" s="39" t="str">
        <f>IFERROR(final!W15*100/final!$I15,"")</f>
        <v/>
      </c>
      <c r="M217" s="39" t="str">
        <f>IFERROR(final!X15*100/final!$I15,"")</f>
        <v/>
      </c>
      <c r="N217" s="39" t="str">
        <f>IFERROR(final!Y15*100/final!$I15,"")</f>
        <v/>
      </c>
      <c r="O217" s="39" t="str">
        <f>IFERROR(final!Z15*100/final!$I15,"")</f>
        <v/>
      </c>
      <c r="P217" s="39" t="str">
        <f>IFERROR(final!AA15*100/final!$I15,"")</f>
        <v/>
      </c>
      <c r="Q217" s="39" t="str">
        <f>IFERROR(final!AB15*100/final!$I15,"")</f>
        <v/>
      </c>
      <c r="R217" s="39" t="str">
        <f>IFERROR(final!AC15*100/final!$I15,"")</f>
        <v/>
      </c>
      <c r="S217" s="39" t="str">
        <f>IFERROR(final!AD15*100/final!$I15,"")</f>
        <v/>
      </c>
      <c r="T217" s="39" t="str">
        <f>IFERROR(final!AE15*100/final!$I15,"")</f>
        <v/>
      </c>
      <c r="U217" s="39" t="str">
        <f>IFERROR(final!AF15*100/final!$I15,"")</f>
        <v/>
      </c>
      <c r="V217" s="39" t="str">
        <f>IFERROR(final!AG15*100/final!$I15,"")</f>
        <v/>
      </c>
      <c r="W217" s="39" t="str">
        <f>IFERROR(final!AH15*100/final!$I15,"")</f>
        <v/>
      </c>
      <c r="X217" s="39" t="str">
        <f>IFERROR(final!AI15*100/final!$I15,"")</f>
        <v/>
      </c>
      <c r="Y217" s="39" t="str">
        <f>IFERROR(final!AJ15*100/final!$I15,"")</f>
        <v/>
      </c>
      <c r="Z217" s="39" t="str">
        <f>IFERROR(final!AK15*100/final!$I15,"")</f>
        <v/>
      </c>
      <c r="AA217" s="39" t="str">
        <f>IFERROR(final!AL15*100/final!$I15,"")</f>
        <v/>
      </c>
      <c r="AB217" s="39" t="str">
        <f>IFERROR(final!AM15*100/final!$I15,"")</f>
        <v/>
      </c>
      <c r="AC217" s="39" t="str">
        <f>IFERROR(final!AN15*100/final!$I15,"")</f>
        <v/>
      </c>
      <c r="AD217" s="39" t="str">
        <f>IFERROR(final!AO15*100/final!$I15,"")</f>
        <v/>
      </c>
      <c r="AE217" s="39" t="str">
        <f>IFERROR(final!AP15*100/final!$I15,"")</f>
        <v/>
      </c>
      <c r="AF217" s="39" t="str">
        <f>IFERROR(final!AQ15*100/final!$I15,"")</f>
        <v/>
      </c>
      <c r="AG217" s="39" t="str">
        <f>IFERROR(final!AR15*100/final!$I15,"")</f>
        <v/>
      </c>
      <c r="AH217" s="39" t="str">
        <f>IFERROR(final!AS15*100/final!$I15,"")</f>
        <v/>
      </c>
      <c r="AI217" s="39" t="str">
        <f>IFERROR(final!AT15*100/final!$I15,"")</f>
        <v/>
      </c>
      <c r="AJ217" s="39" t="str">
        <f>IFERROR(final!AU15*100/final!$I15,"")</f>
        <v/>
      </c>
      <c r="AK217" s="39" t="str">
        <f>IFERROR(final!AV15*100/final!$I15,"")</f>
        <v/>
      </c>
      <c r="AL217" s="39" t="str">
        <f>IFERROR(final!AW15*100/final!$I15,"")</f>
        <v/>
      </c>
      <c r="AM217" s="39" t="str">
        <f>IFERROR(final!AX15*100/final!$I15,"")</f>
        <v/>
      </c>
      <c r="AN217" s="39" t="str">
        <f>IFERROR(final!AY15*100/final!$I15,"")</f>
        <v/>
      </c>
      <c r="AO217" s="39" t="str">
        <f>IFERROR(final!AZ15*100/final!$I15,"")</f>
        <v/>
      </c>
      <c r="AP217" s="39" t="str">
        <f>IFERROR(final!BA15*100/final!$I15,"")</f>
        <v/>
      </c>
      <c r="AQ217" s="39" t="str">
        <f>IFERROR(final!BB15*100/final!$I15,"")</f>
        <v/>
      </c>
      <c r="AR217" s="39" t="str">
        <f>IFERROR(final!BC15*100/final!$I15,"")</f>
        <v/>
      </c>
      <c r="AS217" s="39" t="str">
        <f>IFERROR(final!BD15*100/final!$I15,"")</f>
        <v/>
      </c>
      <c r="AT217" s="39" t="str">
        <f>IFERROR(final!BE15*100/final!$I15,"")</f>
        <v/>
      </c>
      <c r="AU217" s="39" t="str">
        <f>IFERROR(final!BF15*100/final!$I15,"")</f>
        <v/>
      </c>
      <c r="AV217" s="39" t="str">
        <f>IFERROR(final!BG15*100/final!$I15,"")</f>
        <v/>
      </c>
      <c r="AW217" s="39" t="str">
        <f>IFERROR(final!BH15*100/final!$I15,"")</f>
        <v/>
      </c>
      <c r="AX217" s="39" t="str">
        <f>IFERROR(final!BI15*100/final!$I15,"")</f>
        <v/>
      </c>
      <c r="AY217" s="39" t="str">
        <f>IFERROR(final!BJ15*100/final!$I15,"")</f>
        <v/>
      </c>
      <c r="AZ217" s="39" t="str">
        <f>IFERROR(final!BK15*100/final!$I15,"")</f>
        <v/>
      </c>
      <c r="BA217" s="39" t="str">
        <f>IFERROR(final!BL15*100/final!$I15,"")</f>
        <v/>
      </c>
      <c r="BB217" s="39" t="str">
        <f>IFERROR(final!BM15*100/final!$I15,"")</f>
        <v/>
      </c>
      <c r="BC217" s="39" t="str">
        <f>IFERROR(final!BN15*100/final!$I15,"")</f>
        <v/>
      </c>
      <c r="BD217" s="39" t="str">
        <f>IFERROR(final!BO15*100/final!$I15,"")</f>
        <v/>
      </c>
      <c r="BE217" s="39" t="str">
        <f>IFERROR(final!BP15*100/final!$I15,"")</f>
        <v/>
      </c>
      <c r="BF217" s="39" t="str">
        <f>IFERROR(final!BQ15*100/final!$I15,"")</f>
        <v/>
      </c>
      <c r="BG217" s="39" t="str">
        <f>IFERROR(final!BR15*100/final!$I15,"")</f>
        <v/>
      </c>
      <c r="BH217" s="39" t="str">
        <f>IFERROR(final!BS15*100/final!$I15,"")</f>
        <v/>
      </c>
      <c r="BI217" s="39" t="str">
        <f>IFERROR(final!BT15*100/final!$I15,"")</f>
        <v/>
      </c>
      <c r="BJ217" s="39" t="str">
        <f>IFERROR(final!BU15*100/final!$I15,"")</f>
        <v/>
      </c>
      <c r="BK217" s="39" t="str">
        <f>IFERROR(final!BV15*100/final!$I15,"")</f>
        <v/>
      </c>
      <c r="BL217" s="39" t="str">
        <f>IFERROR(final!BW15*100/final!$I15,"")</f>
        <v/>
      </c>
      <c r="BM217" s="39" t="str">
        <f>IFERROR(final!BX15*100/final!$I15,"")</f>
        <v/>
      </c>
      <c r="BN217" s="39" t="str">
        <f>IFERROR(final!BY15*100/final!$I15,"")</f>
        <v/>
      </c>
      <c r="BO217" s="39" t="str">
        <f>IFERROR(final!BZ15*100/final!$I15,"")</f>
        <v/>
      </c>
      <c r="BP217" s="39" t="str">
        <f>IFERROR(final!CA15*100/final!$I15,"")</f>
        <v/>
      </c>
      <c r="BQ217" s="39" t="str">
        <f>IFERROR(final!CB15*100/final!$I15,"")</f>
        <v/>
      </c>
      <c r="BR217" s="39" t="str">
        <f>IFERROR(final!CC15*100/final!$I15,"")</f>
        <v/>
      </c>
      <c r="BS217" s="39" t="str">
        <f>IFERROR(final!CD15*100/final!$I15,"")</f>
        <v/>
      </c>
      <c r="BT217" s="39" t="str">
        <f>IFERROR(final!CE15*100/final!$I15,"")</f>
        <v/>
      </c>
      <c r="BU217" s="39" t="str">
        <f>IFERROR(final!CF15*100/final!$I15,"")</f>
        <v/>
      </c>
      <c r="BV217" s="39" t="str">
        <f>IFERROR(final!CG15*100/final!$I15,"")</f>
        <v/>
      </c>
      <c r="BW217" s="39" t="str">
        <f>IFERROR(final!CH15*100/final!$I15,"")</f>
        <v/>
      </c>
      <c r="BX217" s="39" t="str">
        <f>IFERROR(final!CI15*100/final!$I15,"")</f>
        <v/>
      </c>
      <c r="BY217" s="39" t="str">
        <f>IFERROR(final!CJ15*100/final!$I15,"")</f>
        <v/>
      </c>
      <c r="BZ217" s="39" t="str">
        <f>IFERROR(final!CK15*100/final!$I15,"")</f>
        <v/>
      </c>
      <c r="CA217" s="39" t="str">
        <f>IFERROR(final!CL15*100/final!$I15,"")</f>
        <v/>
      </c>
      <c r="CB217" s="39" t="str">
        <f>IFERROR(final!CM15*100/final!$I15,"")</f>
        <v/>
      </c>
      <c r="CC217" s="39" t="str">
        <f>IFERROR(final!CN15*100/final!$I15,"")</f>
        <v/>
      </c>
      <c r="CD217" s="39" t="str">
        <f>IFERROR(final!CO15*100/final!$I15,"")</f>
        <v/>
      </c>
      <c r="CE217" s="39" t="str">
        <f>IFERROR(final!CP15*100/final!$I15,"")</f>
        <v/>
      </c>
      <c r="CF217" s="39" t="str">
        <f>IFERROR(final!CQ15*100/final!$I15,"")</f>
        <v/>
      </c>
      <c r="CG217" s="39" t="str">
        <f>IFERROR(final!CR15*100/final!$I15,"")</f>
        <v/>
      </c>
      <c r="CH217" s="39" t="str">
        <f>IFERROR(final!CS15*100/final!$I15,"")</f>
        <v/>
      </c>
      <c r="CI217" s="39" t="str">
        <f>IFERROR(final!CT15*100/final!$I15,"")</f>
        <v/>
      </c>
      <c r="CJ217" s="39" t="str">
        <f>IFERROR(final!CU15*100/final!$I15,"")</f>
        <v/>
      </c>
      <c r="CK217" s="39" t="str">
        <f>IFERROR(final!CV15*100/final!$I15,"")</f>
        <v/>
      </c>
      <c r="CL217" s="39" t="str">
        <f>IFERROR(final!CW15*100/final!$I15,"")</f>
        <v/>
      </c>
      <c r="CM217" s="39" t="str">
        <f>IFERROR(final!CX15*100/final!$I15,"")</f>
        <v/>
      </c>
      <c r="CN217" s="39" t="str">
        <f>IFERROR(final!CY15*100/final!$I15,"")</f>
        <v/>
      </c>
      <c r="CO217" s="39" t="str">
        <f>IFERROR(final!CZ15*100/final!$I15,"")</f>
        <v/>
      </c>
      <c r="CP217" s="39" t="str">
        <f>IFERROR(final!DA15*100/final!$I15,"")</f>
        <v/>
      </c>
      <c r="CQ217" s="39" t="str">
        <f>IFERROR(final!DB15*100/final!$I15,"")</f>
        <v/>
      </c>
      <c r="CR217" s="39" t="str">
        <f>IFERROR(final!DC15*100/final!$I15,"")</f>
        <v/>
      </c>
      <c r="CS217" s="39" t="str">
        <f>IFERROR(final!DD15*100/final!$I15,"")</f>
        <v/>
      </c>
      <c r="CT217" s="39" t="str">
        <f>IFERROR(final!DE15*100/final!$I15,"")</f>
        <v/>
      </c>
      <c r="CU217" s="39" t="str">
        <f>IFERROR(final!DF15*100/final!$I15,"")</f>
        <v/>
      </c>
      <c r="CV217" s="39" t="str">
        <f>IFERROR(final!DG15*100/final!$I15,"")</f>
        <v/>
      </c>
      <c r="CW217" s="32" t="str">
        <f>IFERROR(SUM(A217:CV217)/final!$DH$103,"")</f>
        <v/>
      </c>
      <c r="CX217" s="14" t="str">
        <f>IF(COUNTA(final!A15),final!A15,"")</f>
        <v/>
      </c>
      <c r="CY217" s="14" t="str">
        <f>IF(COUNTA(final!B15),final!B15,"")</f>
        <v/>
      </c>
      <c r="CZ217" s="14" t="str">
        <f>IF(COUNTA(final!C15),final!C15,"")</f>
        <v/>
      </c>
      <c r="DA217" s="14" t="str">
        <f>IF(COUNTA(final!D15),final!D15,"")</f>
        <v/>
      </c>
      <c r="DB217" s="14" t="str">
        <f>IF(COUNTA(final!E15),final!E15,"")</f>
        <v/>
      </c>
      <c r="DC217" s="14" t="str">
        <f>IF(COUNTA(final!F15),final!F15,"")</f>
        <v/>
      </c>
      <c r="DD217" s="14" t="str">
        <f>IF(COUNTA(final!G15),final!G15,"")</f>
        <v/>
      </c>
      <c r="DE217" s="14" t="str">
        <f>IF(COUNTA(final!H15),final!H15,"")</f>
        <v/>
      </c>
    </row>
    <row r="218" spans="1:109" x14ac:dyDescent="0.2">
      <c r="A218" s="39" t="str">
        <f>IFERROR(final!L16*100/final!$I16,"")</f>
        <v/>
      </c>
      <c r="B218" s="39" t="str">
        <f>IFERROR(final!M16*100/final!$I16,"")</f>
        <v/>
      </c>
      <c r="C218" s="39" t="str">
        <f>IFERROR(final!N16*100/final!$I16,"")</f>
        <v/>
      </c>
      <c r="D218" s="39" t="str">
        <f>IFERROR(final!O16*100/final!$I16,"")</f>
        <v/>
      </c>
      <c r="E218" s="39" t="str">
        <f>IFERROR(final!P16*100/final!$I16,"")</f>
        <v/>
      </c>
      <c r="F218" s="39" t="str">
        <f>IFERROR(final!Q16*100/final!$I16,"")</f>
        <v/>
      </c>
      <c r="G218" s="39" t="str">
        <f>IFERROR(final!R16*100/final!$I16,"")</f>
        <v/>
      </c>
      <c r="H218" s="39" t="str">
        <f>IFERROR(final!S16*100/final!$I16,"")</f>
        <v/>
      </c>
      <c r="I218" s="39" t="str">
        <f>IFERROR(final!T16*100/final!$I16,"")</f>
        <v/>
      </c>
      <c r="J218" s="39" t="str">
        <f>IFERROR(final!U16*100/final!$I16,"")</f>
        <v/>
      </c>
      <c r="K218" s="39" t="str">
        <f>IFERROR(final!V16*100/final!$I16,"")</f>
        <v/>
      </c>
      <c r="L218" s="39" t="str">
        <f>IFERROR(final!W16*100/final!$I16,"")</f>
        <v/>
      </c>
      <c r="M218" s="39" t="str">
        <f>IFERROR(final!X16*100/final!$I16,"")</f>
        <v/>
      </c>
      <c r="N218" s="39" t="str">
        <f>IFERROR(final!Y16*100/final!$I16,"")</f>
        <v/>
      </c>
      <c r="O218" s="39" t="str">
        <f>IFERROR(final!Z16*100/final!$I16,"")</f>
        <v/>
      </c>
      <c r="P218" s="39" t="str">
        <f>IFERROR(final!AA16*100/final!$I16,"")</f>
        <v/>
      </c>
      <c r="Q218" s="39" t="str">
        <f>IFERROR(final!AB16*100/final!$I16,"")</f>
        <v/>
      </c>
      <c r="R218" s="39" t="str">
        <f>IFERROR(final!AC16*100/final!$I16,"")</f>
        <v/>
      </c>
      <c r="S218" s="39" t="str">
        <f>IFERROR(final!AD16*100/final!$I16,"")</f>
        <v/>
      </c>
      <c r="T218" s="39" t="str">
        <f>IFERROR(final!AE16*100/final!$I16,"")</f>
        <v/>
      </c>
      <c r="U218" s="39" t="str">
        <f>IFERROR(final!AF16*100/final!$I16,"")</f>
        <v/>
      </c>
      <c r="V218" s="39" t="str">
        <f>IFERROR(final!AG16*100/final!$I16,"")</f>
        <v/>
      </c>
      <c r="W218" s="39" t="str">
        <f>IFERROR(final!AH16*100/final!$I16,"")</f>
        <v/>
      </c>
      <c r="X218" s="39" t="str">
        <f>IFERROR(final!AI16*100/final!$I16,"")</f>
        <v/>
      </c>
      <c r="Y218" s="39" t="str">
        <f>IFERROR(final!AJ16*100/final!$I16,"")</f>
        <v/>
      </c>
      <c r="Z218" s="39" t="str">
        <f>IFERROR(final!AK16*100/final!$I16,"")</f>
        <v/>
      </c>
      <c r="AA218" s="39" t="str">
        <f>IFERROR(final!AL16*100/final!$I16,"")</f>
        <v/>
      </c>
      <c r="AB218" s="39" t="str">
        <f>IFERROR(final!AM16*100/final!$I16,"")</f>
        <v/>
      </c>
      <c r="AC218" s="39" t="str">
        <f>IFERROR(final!AN16*100/final!$I16,"")</f>
        <v/>
      </c>
      <c r="AD218" s="39" t="str">
        <f>IFERROR(final!AO16*100/final!$I16,"")</f>
        <v/>
      </c>
      <c r="AE218" s="39" t="str">
        <f>IFERROR(final!AP16*100/final!$I16,"")</f>
        <v/>
      </c>
      <c r="AF218" s="39" t="str">
        <f>IFERROR(final!AQ16*100/final!$I16,"")</f>
        <v/>
      </c>
      <c r="AG218" s="39" t="str">
        <f>IFERROR(final!AR16*100/final!$I16,"")</f>
        <v/>
      </c>
      <c r="AH218" s="39" t="str">
        <f>IFERROR(final!AS16*100/final!$I16,"")</f>
        <v/>
      </c>
      <c r="AI218" s="39" t="str">
        <f>IFERROR(final!AT16*100/final!$I16,"")</f>
        <v/>
      </c>
      <c r="AJ218" s="39" t="str">
        <f>IFERROR(final!AU16*100/final!$I16,"")</f>
        <v/>
      </c>
      <c r="AK218" s="39" t="str">
        <f>IFERROR(final!AV16*100/final!$I16,"")</f>
        <v/>
      </c>
      <c r="AL218" s="39" t="str">
        <f>IFERROR(final!AW16*100/final!$I16,"")</f>
        <v/>
      </c>
      <c r="AM218" s="39" t="str">
        <f>IFERROR(final!AX16*100/final!$I16,"")</f>
        <v/>
      </c>
      <c r="AN218" s="39" t="str">
        <f>IFERROR(final!AY16*100/final!$I16,"")</f>
        <v/>
      </c>
      <c r="AO218" s="39" t="str">
        <f>IFERROR(final!AZ16*100/final!$I16,"")</f>
        <v/>
      </c>
      <c r="AP218" s="39" t="str">
        <f>IFERROR(final!BA16*100/final!$I16,"")</f>
        <v/>
      </c>
      <c r="AQ218" s="39" t="str">
        <f>IFERROR(final!BB16*100/final!$I16,"")</f>
        <v/>
      </c>
      <c r="AR218" s="39" t="str">
        <f>IFERROR(final!BC16*100/final!$I16,"")</f>
        <v/>
      </c>
      <c r="AS218" s="39" t="str">
        <f>IFERROR(final!BD16*100/final!$I16,"")</f>
        <v/>
      </c>
      <c r="AT218" s="39" t="str">
        <f>IFERROR(final!BE16*100/final!$I16,"")</f>
        <v/>
      </c>
      <c r="AU218" s="39" t="str">
        <f>IFERROR(final!BF16*100/final!$I16,"")</f>
        <v/>
      </c>
      <c r="AV218" s="39" t="str">
        <f>IFERROR(final!BG16*100/final!$I16,"")</f>
        <v/>
      </c>
      <c r="AW218" s="39" t="str">
        <f>IFERROR(final!BH16*100/final!$I16,"")</f>
        <v/>
      </c>
      <c r="AX218" s="39" t="str">
        <f>IFERROR(final!BI16*100/final!$I16,"")</f>
        <v/>
      </c>
      <c r="AY218" s="39" t="str">
        <f>IFERROR(final!BJ16*100/final!$I16,"")</f>
        <v/>
      </c>
      <c r="AZ218" s="39" t="str">
        <f>IFERROR(final!BK16*100/final!$I16,"")</f>
        <v/>
      </c>
      <c r="BA218" s="39" t="str">
        <f>IFERROR(final!BL16*100/final!$I16,"")</f>
        <v/>
      </c>
      <c r="BB218" s="39" t="str">
        <f>IFERROR(final!BM16*100/final!$I16,"")</f>
        <v/>
      </c>
      <c r="BC218" s="39" t="str">
        <f>IFERROR(final!BN16*100/final!$I16,"")</f>
        <v/>
      </c>
      <c r="BD218" s="39" t="str">
        <f>IFERROR(final!BO16*100/final!$I16,"")</f>
        <v/>
      </c>
      <c r="BE218" s="39" t="str">
        <f>IFERROR(final!BP16*100/final!$I16,"")</f>
        <v/>
      </c>
      <c r="BF218" s="39" t="str">
        <f>IFERROR(final!BQ16*100/final!$I16,"")</f>
        <v/>
      </c>
      <c r="BG218" s="39" t="str">
        <f>IFERROR(final!BR16*100/final!$I16,"")</f>
        <v/>
      </c>
      <c r="BH218" s="39" t="str">
        <f>IFERROR(final!BS16*100/final!$I16,"")</f>
        <v/>
      </c>
      <c r="BI218" s="39" t="str">
        <f>IFERROR(final!BT16*100/final!$I16,"")</f>
        <v/>
      </c>
      <c r="BJ218" s="39" t="str">
        <f>IFERROR(final!BU16*100/final!$I16,"")</f>
        <v/>
      </c>
      <c r="BK218" s="39" t="str">
        <f>IFERROR(final!BV16*100/final!$I16,"")</f>
        <v/>
      </c>
      <c r="BL218" s="39" t="str">
        <f>IFERROR(final!BW16*100/final!$I16,"")</f>
        <v/>
      </c>
      <c r="BM218" s="39" t="str">
        <f>IFERROR(final!BX16*100/final!$I16,"")</f>
        <v/>
      </c>
      <c r="BN218" s="39" t="str">
        <f>IFERROR(final!BY16*100/final!$I16,"")</f>
        <v/>
      </c>
      <c r="BO218" s="39" t="str">
        <f>IFERROR(final!BZ16*100/final!$I16,"")</f>
        <v/>
      </c>
      <c r="BP218" s="39" t="str">
        <f>IFERROR(final!CA16*100/final!$I16,"")</f>
        <v/>
      </c>
      <c r="BQ218" s="39" t="str">
        <f>IFERROR(final!CB16*100/final!$I16,"")</f>
        <v/>
      </c>
      <c r="BR218" s="39" t="str">
        <f>IFERROR(final!CC16*100/final!$I16,"")</f>
        <v/>
      </c>
      <c r="BS218" s="39" t="str">
        <f>IFERROR(final!CD16*100/final!$I16,"")</f>
        <v/>
      </c>
      <c r="BT218" s="39" t="str">
        <f>IFERROR(final!CE16*100/final!$I16,"")</f>
        <v/>
      </c>
      <c r="BU218" s="39" t="str">
        <f>IFERROR(final!CF16*100/final!$I16,"")</f>
        <v/>
      </c>
      <c r="BV218" s="39" t="str">
        <f>IFERROR(final!CG16*100/final!$I16,"")</f>
        <v/>
      </c>
      <c r="BW218" s="39" t="str">
        <f>IFERROR(final!CH16*100/final!$I16,"")</f>
        <v/>
      </c>
      <c r="BX218" s="39" t="str">
        <f>IFERROR(final!CI16*100/final!$I16,"")</f>
        <v/>
      </c>
      <c r="BY218" s="39" t="str">
        <f>IFERROR(final!CJ16*100/final!$I16,"")</f>
        <v/>
      </c>
      <c r="BZ218" s="39" t="str">
        <f>IFERROR(final!CK16*100/final!$I16,"")</f>
        <v/>
      </c>
      <c r="CA218" s="39" t="str">
        <f>IFERROR(final!CL16*100/final!$I16,"")</f>
        <v/>
      </c>
      <c r="CB218" s="39" t="str">
        <f>IFERROR(final!CM16*100/final!$I16,"")</f>
        <v/>
      </c>
      <c r="CC218" s="39" t="str">
        <f>IFERROR(final!CN16*100/final!$I16,"")</f>
        <v/>
      </c>
      <c r="CD218" s="39" t="str">
        <f>IFERROR(final!CO16*100/final!$I16,"")</f>
        <v/>
      </c>
      <c r="CE218" s="39" t="str">
        <f>IFERROR(final!CP16*100/final!$I16,"")</f>
        <v/>
      </c>
      <c r="CF218" s="39" t="str">
        <f>IFERROR(final!CQ16*100/final!$I16,"")</f>
        <v/>
      </c>
      <c r="CG218" s="39" t="str">
        <f>IFERROR(final!CR16*100/final!$I16,"")</f>
        <v/>
      </c>
      <c r="CH218" s="39" t="str">
        <f>IFERROR(final!CS16*100/final!$I16,"")</f>
        <v/>
      </c>
      <c r="CI218" s="39" t="str">
        <f>IFERROR(final!CT16*100/final!$I16,"")</f>
        <v/>
      </c>
      <c r="CJ218" s="39" t="str">
        <f>IFERROR(final!CU16*100/final!$I16,"")</f>
        <v/>
      </c>
      <c r="CK218" s="39" t="str">
        <f>IFERROR(final!CV16*100/final!$I16,"")</f>
        <v/>
      </c>
      <c r="CL218" s="39" t="str">
        <f>IFERROR(final!CW16*100/final!$I16,"")</f>
        <v/>
      </c>
      <c r="CM218" s="39" t="str">
        <f>IFERROR(final!CX16*100/final!$I16,"")</f>
        <v/>
      </c>
      <c r="CN218" s="39" t="str">
        <f>IFERROR(final!CY16*100/final!$I16,"")</f>
        <v/>
      </c>
      <c r="CO218" s="39" t="str">
        <f>IFERROR(final!CZ16*100/final!$I16,"")</f>
        <v/>
      </c>
      <c r="CP218" s="39" t="str">
        <f>IFERROR(final!DA16*100/final!$I16,"")</f>
        <v/>
      </c>
      <c r="CQ218" s="39" t="str">
        <f>IFERROR(final!DB16*100/final!$I16,"")</f>
        <v/>
      </c>
      <c r="CR218" s="39" t="str">
        <f>IFERROR(final!DC16*100/final!$I16,"")</f>
        <v/>
      </c>
      <c r="CS218" s="39" t="str">
        <f>IFERROR(final!DD16*100/final!$I16,"")</f>
        <v/>
      </c>
      <c r="CT218" s="39" t="str">
        <f>IFERROR(final!DE16*100/final!$I16,"")</f>
        <v/>
      </c>
      <c r="CU218" s="39" t="str">
        <f>IFERROR(final!DF16*100/final!$I16,"")</f>
        <v/>
      </c>
      <c r="CV218" s="39" t="str">
        <f>IFERROR(final!DG16*100/final!$I16,"")</f>
        <v/>
      </c>
      <c r="CW218" s="32" t="str">
        <f>IFERROR(SUM(A218:CV218)/final!$DH$103,"")</f>
        <v/>
      </c>
      <c r="CX218" s="14" t="str">
        <f>IF(COUNTA(final!A16),final!A16,"")</f>
        <v/>
      </c>
      <c r="CY218" s="14" t="str">
        <f>IF(COUNTA(final!B16),final!B16,"")</f>
        <v/>
      </c>
      <c r="CZ218" s="14" t="str">
        <f>IF(COUNTA(final!C16),final!C16,"")</f>
        <v/>
      </c>
      <c r="DA218" s="14" t="str">
        <f>IF(COUNTA(final!D16),final!D16,"")</f>
        <v/>
      </c>
      <c r="DB218" s="14" t="str">
        <f>IF(COUNTA(final!E16),final!E16,"")</f>
        <v/>
      </c>
      <c r="DC218" s="14" t="str">
        <f>IF(COUNTA(final!F16),final!F16,"")</f>
        <v/>
      </c>
      <c r="DD218" s="14" t="str">
        <f>IF(COUNTA(final!G16),final!G16,"")</f>
        <v/>
      </c>
      <c r="DE218" s="14" t="str">
        <f>IF(COUNTA(final!H16),final!H16,"")</f>
        <v/>
      </c>
    </row>
    <row r="219" spans="1:109" x14ac:dyDescent="0.2">
      <c r="A219" s="39" t="str">
        <f>IFERROR(final!L17*100/final!$I17,"")</f>
        <v/>
      </c>
      <c r="B219" s="39" t="str">
        <f>IFERROR(final!M17*100/final!$I17,"")</f>
        <v/>
      </c>
      <c r="C219" s="39" t="str">
        <f>IFERROR(final!N17*100/final!$I17,"")</f>
        <v/>
      </c>
      <c r="D219" s="39" t="str">
        <f>IFERROR(final!O17*100/final!$I17,"")</f>
        <v/>
      </c>
      <c r="E219" s="39" t="str">
        <f>IFERROR(final!P17*100/final!$I17,"")</f>
        <v/>
      </c>
      <c r="F219" s="39" t="str">
        <f>IFERROR(final!Q17*100/final!$I17,"")</f>
        <v/>
      </c>
      <c r="G219" s="39" t="str">
        <f>IFERROR(final!R17*100/final!$I17,"")</f>
        <v/>
      </c>
      <c r="H219" s="39" t="str">
        <f>IFERROR(final!S17*100/final!$I17,"")</f>
        <v/>
      </c>
      <c r="I219" s="39" t="str">
        <f>IFERROR(final!T17*100/final!$I17,"")</f>
        <v/>
      </c>
      <c r="J219" s="39" t="str">
        <f>IFERROR(final!U17*100/final!$I17,"")</f>
        <v/>
      </c>
      <c r="K219" s="39" t="str">
        <f>IFERROR(final!V17*100/final!$I17,"")</f>
        <v/>
      </c>
      <c r="L219" s="39" t="str">
        <f>IFERROR(final!W17*100/final!$I17,"")</f>
        <v/>
      </c>
      <c r="M219" s="39" t="str">
        <f>IFERROR(final!X17*100/final!$I17,"")</f>
        <v/>
      </c>
      <c r="N219" s="39" t="str">
        <f>IFERROR(final!Y17*100/final!$I17,"")</f>
        <v/>
      </c>
      <c r="O219" s="39" t="str">
        <f>IFERROR(final!Z17*100/final!$I17,"")</f>
        <v/>
      </c>
      <c r="P219" s="39" t="str">
        <f>IFERROR(final!AA17*100/final!$I17,"")</f>
        <v/>
      </c>
      <c r="Q219" s="39" t="str">
        <f>IFERROR(final!AB17*100/final!$I17,"")</f>
        <v/>
      </c>
      <c r="R219" s="39" t="str">
        <f>IFERROR(final!AC17*100/final!$I17,"")</f>
        <v/>
      </c>
      <c r="S219" s="39" t="str">
        <f>IFERROR(final!AD17*100/final!$I17,"")</f>
        <v/>
      </c>
      <c r="T219" s="39" t="str">
        <f>IFERROR(final!AE17*100/final!$I17,"")</f>
        <v/>
      </c>
      <c r="U219" s="39" t="str">
        <f>IFERROR(final!AF17*100/final!$I17,"")</f>
        <v/>
      </c>
      <c r="V219" s="39" t="str">
        <f>IFERROR(final!AG17*100/final!$I17,"")</f>
        <v/>
      </c>
      <c r="W219" s="39" t="str">
        <f>IFERROR(final!AH17*100/final!$I17,"")</f>
        <v/>
      </c>
      <c r="X219" s="39" t="str">
        <f>IFERROR(final!AI17*100/final!$I17,"")</f>
        <v/>
      </c>
      <c r="Y219" s="39" t="str">
        <f>IFERROR(final!AJ17*100/final!$I17,"")</f>
        <v/>
      </c>
      <c r="Z219" s="39" t="str">
        <f>IFERROR(final!AK17*100/final!$I17,"")</f>
        <v/>
      </c>
      <c r="AA219" s="39" t="str">
        <f>IFERROR(final!AL17*100/final!$I17,"")</f>
        <v/>
      </c>
      <c r="AB219" s="39" t="str">
        <f>IFERROR(final!AM17*100/final!$I17,"")</f>
        <v/>
      </c>
      <c r="AC219" s="39" t="str">
        <f>IFERROR(final!AN17*100/final!$I17,"")</f>
        <v/>
      </c>
      <c r="AD219" s="39" t="str">
        <f>IFERROR(final!AO17*100/final!$I17,"")</f>
        <v/>
      </c>
      <c r="AE219" s="39" t="str">
        <f>IFERROR(final!AP17*100/final!$I17,"")</f>
        <v/>
      </c>
      <c r="AF219" s="39" t="str">
        <f>IFERROR(final!AQ17*100/final!$I17,"")</f>
        <v/>
      </c>
      <c r="AG219" s="39" t="str">
        <f>IFERROR(final!AR17*100/final!$I17,"")</f>
        <v/>
      </c>
      <c r="AH219" s="39" t="str">
        <f>IFERROR(final!AS17*100/final!$I17,"")</f>
        <v/>
      </c>
      <c r="AI219" s="39" t="str">
        <f>IFERROR(final!AT17*100/final!$I17,"")</f>
        <v/>
      </c>
      <c r="AJ219" s="39" t="str">
        <f>IFERROR(final!AU17*100/final!$I17,"")</f>
        <v/>
      </c>
      <c r="AK219" s="39" t="str">
        <f>IFERROR(final!AV17*100/final!$I17,"")</f>
        <v/>
      </c>
      <c r="AL219" s="39" t="str">
        <f>IFERROR(final!AW17*100/final!$I17,"")</f>
        <v/>
      </c>
      <c r="AM219" s="39" t="str">
        <f>IFERROR(final!AX17*100/final!$I17,"")</f>
        <v/>
      </c>
      <c r="AN219" s="39" t="str">
        <f>IFERROR(final!AY17*100/final!$I17,"")</f>
        <v/>
      </c>
      <c r="AO219" s="39" t="str">
        <f>IFERROR(final!AZ17*100/final!$I17,"")</f>
        <v/>
      </c>
      <c r="AP219" s="39" t="str">
        <f>IFERROR(final!BA17*100/final!$I17,"")</f>
        <v/>
      </c>
      <c r="AQ219" s="39" t="str">
        <f>IFERROR(final!BB17*100/final!$I17,"")</f>
        <v/>
      </c>
      <c r="AR219" s="39" t="str">
        <f>IFERROR(final!BC17*100/final!$I17,"")</f>
        <v/>
      </c>
      <c r="AS219" s="39" t="str">
        <f>IFERROR(final!BD17*100/final!$I17,"")</f>
        <v/>
      </c>
      <c r="AT219" s="39" t="str">
        <f>IFERROR(final!BE17*100/final!$I17,"")</f>
        <v/>
      </c>
      <c r="AU219" s="39" t="str">
        <f>IFERROR(final!BF17*100/final!$I17,"")</f>
        <v/>
      </c>
      <c r="AV219" s="39" t="str">
        <f>IFERROR(final!BG17*100/final!$I17,"")</f>
        <v/>
      </c>
      <c r="AW219" s="39" t="str">
        <f>IFERROR(final!BH17*100/final!$I17,"")</f>
        <v/>
      </c>
      <c r="AX219" s="39" t="str">
        <f>IFERROR(final!BI17*100/final!$I17,"")</f>
        <v/>
      </c>
      <c r="AY219" s="39" t="str">
        <f>IFERROR(final!BJ17*100/final!$I17,"")</f>
        <v/>
      </c>
      <c r="AZ219" s="39" t="str">
        <f>IFERROR(final!BK17*100/final!$I17,"")</f>
        <v/>
      </c>
      <c r="BA219" s="39" t="str">
        <f>IFERROR(final!BL17*100/final!$I17,"")</f>
        <v/>
      </c>
      <c r="BB219" s="39" t="str">
        <f>IFERROR(final!BM17*100/final!$I17,"")</f>
        <v/>
      </c>
      <c r="BC219" s="39" t="str">
        <f>IFERROR(final!BN17*100/final!$I17,"")</f>
        <v/>
      </c>
      <c r="BD219" s="39" t="str">
        <f>IFERROR(final!BO17*100/final!$I17,"")</f>
        <v/>
      </c>
      <c r="BE219" s="39" t="str">
        <f>IFERROR(final!BP17*100/final!$I17,"")</f>
        <v/>
      </c>
      <c r="BF219" s="39" t="str">
        <f>IFERROR(final!BQ17*100/final!$I17,"")</f>
        <v/>
      </c>
      <c r="BG219" s="39" t="str">
        <f>IFERROR(final!BR17*100/final!$I17,"")</f>
        <v/>
      </c>
      <c r="BH219" s="39" t="str">
        <f>IFERROR(final!BS17*100/final!$I17,"")</f>
        <v/>
      </c>
      <c r="BI219" s="39" t="str">
        <f>IFERROR(final!BT17*100/final!$I17,"")</f>
        <v/>
      </c>
      <c r="BJ219" s="39" t="str">
        <f>IFERROR(final!BU17*100/final!$I17,"")</f>
        <v/>
      </c>
      <c r="BK219" s="39" t="str">
        <f>IFERROR(final!BV17*100/final!$I17,"")</f>
        <v/>
      </c>
      <c r="BL219" s="39" t="str">
        <f>IFERROR(final!BW17*100/final!$I17,"")</f>
        <v/>
      </c>
      <c r="BM219" s="39" t="str">
        <f>IFERROR(final!BX17*100/final!$I17,"")</f>
        <v/>
      </c>
      <c r="BN219" s="39" t="str">
        <f>IFERROR(final!BY17*100/final!$I17,"")</f>
        <v/>
      </c>
      <c r="BO219" s="39" t="str">
        <f>IFERROR(final!BZ17*100/final!$I17,"")</f>
        <v/>
      </c>
      <c r="BP219" s="39" t="str">
        <f>IFERROR(final!CA17*100/final!$I17,"")</f>
        <v/>
      </c>
      <c r="BQ219" s="39" t="str">
        <f>IFERROR(final!CB17*100/final!$I17,"")</f>
        <v/>
      </c>
      <c r="BR219" s="39" t="str">
        <f>IFERROR(final!CC17*100/final!$I17,"")</f>
        <v/>
      </c>
      <c r="BS219" s="39" t="str">
        <f>IFERROR(final!CD17*100/final!$I17,"")</f>
        <v/>
      </c>
      <c r="BT219" s="39" t="str">
        <f>IFERROR(final!CE17*100/final!$I17,"")</f>
        <v/>
      </c>
      <c r="BU219" s="39" t="str">
        <f>IFERROR(final!CF17*100/final!$I17,"")</f>
        <v/>
      </c>
      <c r="BV219" s="39" t="str">
        <f>IFERROR(final!CG17*100/final!$I17,"")</f>
        <v/>
      </c>
      <c r="BW219" s="39" t="str">
        <f>IFERROR(final!CH17*100/final!$I17,"")</f>
        <v/>
      </c>
      <c r="BX219" s="39" t="str">
        <f>IFERROR(final!CI17*100/final!$I17,"")</f>
        <v/>
      </c>
      <c r="BY219" s="39" t="str">
        <f>IFERROR(final!CJ17*100/final!$I17,"")</f>
        <v/>
      </c>
      <c r="BZ219" s="39" t="str">
        <f>IFERROR(final!CK17*100/final!$I17,"")</f>
        <v/>
      </c>
      <c r="CA219" s="39" t="str">
        <f>IFERROR(final!CL17*100/final!$I17,"")</f>
        <v/>
      </c>
      <c r="CB219" s="39" t="str">
        <f>IFERROR(final!CM17*100/final!$I17,"")</f>
        <v/>
      </c>
      <c r="CC219" s="39" t="str">
        <f>IFERROR(final!CN17*100/final!$I17,"")</f>
        <v/>
      </c>
      <c r="CD219" s="39" t="str">
        <f>IFERROR(final!CO17*100/final!$I17,"")</f>
        <v/>
      </c>
      <c r="CE219" s="39" t="str">
        <f>IFERROR(final!CP17*100/final!$I17,"")</f>
        <v/>
      </c>
      <c r="CF219" s="39" t="str">
        <f>IFERROR(final!CQ17*100/final!$I17,"")</f>
        <v/>
      </c>
      <c r="CG219" s="39" t="str">
        <f>IFERROR(final!CR17*100/final!$I17,"")</f>
        <v/>
      </c>
      <c r="CH219" s="39" t="str">
        <f>IFERROR(final!CS17*100/final!$I17,"")</f>
        <v/>
      </c>
      <c r="CI219" s="39" t="str">
        <f>IFERROR(final!CT17*100/final!$I17,"")</f>
        <v/>
      </c>
      <c r="CJ219" s="39" t="str">
        <f>IFERROR(final!CU17*100/final!$I17,"")</f>
        <v/>
      </c>
      <c r="CK219" s="39" t="str">
        <f>IFERROR(final!CV17*100/final!$I17,"")</f>
        <v/>
      </c>
      <c r="CL219" s="39" t="str">
        <f>IFERROR(final!CW17*100/final!$I17,"")</f>
        <v/>
      </c>
      <c r="CM219" s="39" t="str">
        <f>IFERROR(final!CX17*100/final!$I17,"")</f>
        <v/>
      </c>
      <c r="CN219" s="39" t="str">
        <f>IFERROR(final!CY17*100/final!$I17,"")</f>
        <v/>
      </c>
      <c r="CO219" s="39" t="str">
        <f>IFERROR(final!CZ17*100/final!$I17,"")</f>
        <v/>
      </c>
      <c r="CP219" s="39" t="str">
        <f>IFERROR(final!DA17*100/final!$I17,"")</f>
        <v/>
      </c>
      <c r="CQ219" s="39" t="str">
        <f>IFERROR(final!DB17*100/final!$I17,"")</f>
        <v/>
      </c>
      <c r="CR219" s="39" t="str">
        <f>IFERROR(final!DC17*100/final!$I17,"")</f>
        <v/>
      </c>
      <c r="CS219" s="39" t="str">
        <f>IFERROR(final!DD17*100/final!$I17,"")</f>
        <v/>
      </c>
      <c r="CT219" s="39" t="str">
        <f>IFERROR(final!DE17*100/final!$I17,"")</f>
        <v/>
      </c>
      <c r="CU219" s="39" t="str">
        <f>IFERROR(final!DF17*100/final!$I17,"")</f>
        <v/>
      </c>
      <c r="CV219" s="39" t="str">
        <f>IFERROR(final!DG17*100/final!$I17,"")</f>
        <v/>
      </c>
      <c r="CW219" s="32" t="str">
        <f>IFERROR(SUM(A219:CV219)/final!$DH$103,"")</f>
        <v/>
      </c>
      <c r="CX219" s="14" t="str">
        <f>IF(COUNTA(final!A17),final!A17,"")</f>
        <v/>
      </c>
      <c r="CY219" s="14" t="str">
        <f>IF(COUNTA(final!B17),final!B17,"")</f>
        <v/>
      </c>
      <c r="CZ219" s="14" t="str">
        <f>IF(COUNTA(final!C17),final!C17,"")</f>
        <v/>
      </c>
      <c r="DA219" s="14" t="str">
        <f>IF(COUNTA(final!D17),final!D17,"")</f>
        <v/>
      </c>
      <c r="DB219" s="14" t="str">
        <f>IF(COUNTA(final!E17),final!E17,"")</f>
        <v/>
      </c>
      <c r="DC219" s="14" t="str">
        <f>IF(COUNTA(final!F17),final!F17,"")</f>
        <v/>
      </c>
      <c r="DD219" s="14" t="str">
        <f>IF(COUNTA(final!G17),final!G17,"")</f>
        <v/>
      </c>
      <c r="DE219" s="14" t="str">
        <f>IF(COUNTA(final!H17),final!H17,"")</f>
        <v/>
      </c>
    </row>
    <row r="220" spans="1:109" x14ac:dyDescent="0.2">
      <c r="A220" s="39" t="str">
        <f>IFERROR(final!L18*100/final!$I18,"")</f>
        <v/>
      </c>
      <c r="B220" s="39" t="str">
        <f>IFERROR(final!M18*100/final!$I18,"")</f>
        <v/>
      </c>
      <c r="C220" s="39" t="str">
        <f>IFERROR(final!N18*100/final!$I18,"")</f>
        <v/>
      </c>
      <c r="D220" s="39" t="str">
        <f>IFERROR(final!O18*100/final!$I18,"")</f>
        <v/>
      </c>
      <c r="E220" s="39" t="str">
        <f>IFERROR(final!P18*100/final!$I18,"")</f>
        <v/>
      </c>
      <c r="F220" s="39" t="str">
        <f>IFERROR(final!Q18*100/final!$I18,"")</f>
        <v/>
      </c>
      <c r="G220" s="39" t="str">
        <f>IFERROR(final!R18*100/final!$I18,"")</f>
        <v/>
      </c>
      <c r="H220" s="39" t="str">
        <f>IFERROR(final!S18*100/final!$I18,"")</f>
        <v/>
      </c>
      <c r="I220" s="39" t="str">
        <f>IFERROR(final!T18*100/final!$I18,"")</f>
        <v/>
      </c>
      <c r="J220" s="39" t="str">
        <f>IFERROR(final!U18*100/final!$I18,"")</f>
        <v/>
      </c>
      <c r="K220" s="39" t="str">
        <f>IFERROR(final!V18*100/final!$I18,"")</f>
        <v/>
      </c>
      <c r="L220" s="39" t="str">
        <f>IFERROR(final!W18*100/final!$I18,"")</f>
        <v/>
      </c>
      <c r="M220" s="39" t="str">
        <f>IFERROR(final!X18*100/final!$I18,"")</f>
        <v/>
      </c>
      <c r="N220" s="39" t="str">
        <f>IFERROR(final!Y18*100/final!$I18,"")</f>
        <v/>
      </c>
      <c r="O220" s="39" t="str">
        <f>IFERROR(final!Z18*100/final!$I18,"")</f>
        <v/>
      </c>
      <c r="P220" s="39" t="str">
        <f>IFERROR(final!AA18*100/final!$I18,"")</f>
        <v/>
      </c>
      <c r="Q220" s="39" t="str">
        <f>IFERROR(final!AB18*100/final!$I18,"")</f>
        <v/>
      </c>
      <c r="R220" s="39" t="str">
        <f>IFERROR(final!AC18*100/final!$I18,"")</f>
        <v/>
      </c>
      <c r="S220" s="39" t="str">
        <f>IFERROR(final!AD18*100/final!$I18,"")</f>
        <v/>
      </c>
      <c r="T220" s="39" t="str">
        <f>IFERROR(final!AE18*100/final!$I18,"")</f>
        <v/>
      </c>
      <c r="U220" s="39" t="str">
        <f>IFERROR(final!AF18*100/final!$I18,"")</f>
        <v/>
      </c>
      <c r="V220" s="39" t="str">
        <f>IFERROR(final!AG18*100/final!$I18,"")</f>
        <v/>
      </c>
      <c r="W220" s="39" t="str">
        <f>IFERROR(final!AH18*100/final!$I18,"")</f>
        <v/>
      </c>
      <c r="X220" s="39" t="str">
        <f>IFERROR(final!AI18*100/final!$I18,"")</f>
        <v/>
      </c>
      <c r="Y220" s="39" t="str">
        <f>IFERROR(final!AJ18*100/final!$I18,"")</f>
        <v/>
      </c>
      <c r="Z220" s="39" t="str">
        <f>IFERROR(final!AK18*100/final!$I18,"")</f>
        <v/>
      </c>
      <c r="AA220" s="39" t="str">
        <f>IFERROR(final!AL18*100/final!$I18,"")</f>
        <v/>
      </c>
      <c r="AB220" s="39" t="str">
        <f>IFERROR(final!AM18*100/final!$I18,"")</f>
        <v/>
      </c>
      <c r="AC220" s="39" t="str">
        <f>IFERROR(final!AN18*100/final!$I18,"")</f>
        <v/>
      </c>
      <c r="AD220" s="39" t="str">
        <f>IFERROR(final!AO18*100/final!$I18,"")</f>
        <v/>
      </c>
      <c r="AE220" s="39" t="str">
        <f>IFERROR(final!AP18*100/final!$I18,"")</f>
        <v/>
      </c>
      <c r="AF220" s="39" t="str">
        <f>IFERROR(final!AQ18*100/final!$I18,"")</f>
        <v/>
      </c>
      <c r="AG220" s="39" t="str">
        <f>IFERROR(final!AR18*100/final!$I18,"")</f>
        <v/>
      </c>
      <c r="AH220" s="39" t="str">
        <f>IFERROR(final!AS18*100/final!$I18,"")</f>
        <v/>
      </c>
      <c r="AI220" s="39" t="str">
        <f>IFERROR(final!AT18*100/final!$I18,"")</f>
        <v/>
      </c>
      <c r="AJ220" s="39" t="str">
        <f>IFERROR(final!AU18*100/final!$I18,"")</f>
        <v/>
      </c>
      <c r="AK220" s="39" t="str">
        <f>IFERROR(final!AV18*100/final!$I18,"")</f>
        <v/>
      </c>
      <c r="AL220" s="39" t="str">
        <f>IFERROR(final!AW18*100/final!$I18,"")</f>
        <v/>
      </c>
      <c r="AM220" s="39" t="str">
        <f>IFERROR(final!AX18*100/final!$I18,"")</f>
        <v/>
      </c>
      <c r="AN220" s="39" t="str">
        <f>IFERROR(final!AY18*100/final!$I18,"")</f>
        <v/>
      </c>
      <c r="AO220" s="39" t="str">
        <f>IFERROR(final!AZ18*100/final!$I18,"")</f>
        <v/>
      </c>
      <c r="AP220" s="39" t="str">
        <f>IFERROR(final!BA18*100/final!$I18,"")</f>
        <v/>
      </c>
      <c r="AQ220" s="39" t="str">
        <f>IFERROR(final!BB18*100/final!$I18,"")</f>
        <v/>
      </c>
      <c r="AR220" s="39" t="str">
        <f>IFERROR(final!BC18*100/final!$I18,"")</f>
        <v/>
      </c>
      <c r="AS220" s="39" t="str">
        <f>IFERROR(final!BD18*100/final!$I18,"")</f>
        <v/>
      </c>
      <c r="AT220" s="39" t="str">
        <f>IFERROR(final!BE18*100/final!$I18,"")</f>
        <v/>
      </c>
      <c r="AU220" s="39" t="str">
        <f>IFERROR(final!BF18*100/final!$I18,"")</f>
        <v/>
      </c>
      <c r="AV220" s="39" t="str">
        <f>IFERROR(final!BG18*100/final!$I18,"")</f>
        <v/>
      </c>
      <c r="AW220" s="39" t="str">
        <f>IFERROR(final!BH18*100/final!$I18,"")</f>
        <v/>
      </c>
      <c r="AX220" s="39" t="str">
        <f>IFERROR(final!BI18*100/final!$I18,"")</f>
        <v/>
      </c>
      <c r="AY220" s="39" t="str">
        <f>IFERROR(final!BJ18*100/final!$I18,"")</f>
        <v/>
      </c>
      <c r="AZ220" s="39" t="str">
        <f>IFERROR(final!BK18*100/final!$I18,"")</f>
        <v/>
      </c>
      <c r="BA220" s="39" t="str">
        <f>IFERROR(final!BL18*100/final!$I18,"")</f>
        <v/>
      </c>
      <c r="BB220" s="39" t="str">
        <f>IFERROR(final!BM18*100/final!$I18,"")</f>
        <v/>
      </c>
      <c r="BC220" s="39" t="str">
        <f>IFERROR(final!BN18*100/final!$I18,"")</f>
        <v/>
      </c>
      <c r="BD220" s="39" t="str">
        <f>IFERROR(final!BO18*100/final!$I18,"")</f>
        <v/>
      </c>
      <c r="BE220" s="39" t="str">
        <f>IFERROR(final!BP18*100/final!$I18,"")</f>
        <v/>
      </c>
      <c r="BF220" s="39" t="str">
        <f>IFERROR(final!BQ18*100/final!$I18,"")</f>
        <v/>
      </c>
      <c r="BG220" s="39" t="str">
        <f>IFERROR(final!BR18*100/final!$I18,"")</f>
        <v/>
      </c>
      <c r="BH220" s="39" t="str">
        <f>IFERROR(final!BS18*100/final!$I18,"")</f>
        <v/>
      </c>
      <c r="BI220" s="39" t="str">
        <f>IFERROR(final!BT18*100/final!$I18,"")</f>
        <v/>
      </c>
      <c r="BJ220" s="39" t="str">
        <f>IFERROR(final!BU18*100/final!$I18,"")</f>
        <v/>
      </c>
      <c r="BK220" s="39" t="str">
        <f>IFERROR(final!BV18*100/final!$I18,"")</f>
        <v/>
      </c>
      <c r="BL220" s="39" t="str">
        <f>IFERROR(final!BW18*100/final!$I18,"")</f>
        <v/>
      </c>
      <c r="BM220" s="39" t="str">
        <f>IFERROR(final!BX18*100/final!$I18,"")</f>
        <v/>
      </c>
      <c r="BN220" s="39" t="str">
        <f>IFERROR(final!BY18*100/final!$I18,"")</f>
        <v/>
      </c>
      <c r="BO220" s="39" t="str">
        <f>IFERROR(final!BZ18*100/final!$I18,"")</f>
        <v/>
      </c>
      <c r="BP220" s="39" t="str">
        <f>IFERROR(final!CA18*100/final!$I18,"")</f>
        <v/>
      </c>
      <c r="BQ220" s="39" t="str">
        <f>IFERROR(final!CB18*100/final!$I18,"")</f>
        <v/>
      </c>
      <c r="BR220" s="39" t="str">
        <f>IFERROR(final!CC18*100/final!$I18,"")</f>
        <v/>
      </c>
      <c r="BS220" s="39" t="str">
        <f>IFERROR(final!CD18*100/final!$I18,"")</f>
        <v/>
      </c>
      <c r="BT220" s="39" t="str">
        <f>IFERROR(final!CE18*100/final!$I18,"")</f>
        <v/>
      </c>
      <c r="BU220" s="39" t="str">
        <f>IFERROR(final!CF18*100/final!$I18,"")</f>
        <v/>
      </c>
      <c r="BV220" s="39" t="str">
        <f>IFERROR(final!CG18*100/final!$I18,"")</f>
        <v/>
      </c>
      <c r="BW220" s="39" t="str">
        <f>IFERROR(final!CH18*100/final!$I18,"")</f>
        <v/>
      </c>
      <c r="BX220" s="39" t="str">
        <f>IFERROR(final!CI18*100/final!$I18,"")</f>
        <v/>
      </c>
      <c r="BY220" s="39" t="str">
        <f>IFERROR(final!CJ18*100/final!$I18,"")</f>
        <v/>
      </c>
      <c r="BZ220" s="39" t="str">
        <f>IFERROR(final!CK18*100/final!$I18,"")</f>
        <v/>
      </c>
      <c r="CA220" s="39" t="str">
        <f>IFERROR(final!CL18*100/final!$I18,"")</f>
        <v/>
      </c>
      <c r="CB220" s="39" t="str">
        <f>IFERROR(final!CM18*100/final!$I18,"")</f>
        <v/>
      </c>
      <c r="CC220" s="39" t="str">
        <f>IFERROR(final!CN18*100/final!$I18,"")</f>
        <v/>
      </c>
      <c r="CD220" s="39" t="str">
        <f>IFERROR(final!CO18*100/final!$I18,"")</f>
        <v/>
      </c>
      <c r="CE220" s="39" t="str">
        <f>IFERROR(final!CP18*100/final!$I18,"")</f>
        <v/>
      </c>
      <c r="CF220" s="39" t="str">
        <f>IFERROR(final!CQ18*100/final!$I18,"")</f>
        <v/>
      </c>
      <c r="CG220" s="39" t="str">
        <f>IFERROR(final!CR18*100/final!$I18,"")</f>
        <v/>
      </c>
      <c r="CH220" s="39" t="str">
        <f>IFERROR(final!CS18*100/final!$I18,"")</f>
        <v/>
      </c>
      <c r="CI220" s="39" t="str">
        <f>IFERROR(final!CT18*100/final!$I18,"")</f>
        <v/>
      </c>
      <c r="CJ220" s="39" t="str">
        <f>IFERROR(final!CU18*100/final!$I18,"")</f>
        <v/>
      </c>
      <c r="CK220" s="39" t="str">
        <f>IFERROR(final!CV18*100/final!$I18,"")</f>
        <v/>
      </c>
      <c r="CL220" s="39" t="str">
        <f>IFERROR(final!CW18*100/final!$I18,"")</f>
        <v/>
      </c>
      <c r="CM220" s="39" t="str">
        <f>IFERROR(final!CX18*100/final!$I18,"")</f>
        <v/>
      </c>
      <c r="CN220" s="39" t="str">
        <f>IFERROR(final!CY18*100/final!$I18,"")</f>
        <v/>
      </c>
      <c r="CO220" s="39" t="str">
        <f>IFERROR(final!CZ18*100/final!$I18,"")</f>
        <v/>
      </c>
      <c r="CP220" s="39" t="str">
        <f>IFERROR(final!DA18*100/final!$I18,"")</f>
        <v/>
      </c>
      <c r="CQ220" s="39" t="str">
        <f>IFERROR(final!DB18*100/final!$I18,"")</f>
        <v/>
      </c>
      <c r="CR220" s="39" t="str">
        <f>IFERROR(final!DC18*100/final!$I18,"")</f>
        <v/>
      </c>
      <c r="CS220" s="39" t="str">
        <f>IFERROR(final!DD18*100/final!$I18,"")</f>
        <v/>
      </c>
      <c r="CT220" s="39" t="str">
        <f>IFERROR(final!DE18*100/final!$I18,"")</f>
        <v/>
      </c>
      <c r="CU220" s="39" t="str">
        <f>IFERROR(final!DF18*100/final!$I18,"")</f>
        <v/>
      </c>
      <c r="CV220" s="39" t="str">
        <f>IFERROR(final!DG18*100/final!$I18,"")</f>
        <v/>
      </c>
      <c r="CW220" s="32" t="str">
        <f>IFERROR(SUM(A220:CV220)/final!$DH$103,"")</f>
        <v/>
      </c>
      <c r="CX220" s="14" t="str">
        <f>IF(COUNTA(final!A18),final!A18,"")</f>
        <v/>
      </c>
      <c r="CY220" s="14" t="str">
        <f>IF(COUNTA(final!B18),final!B18,"")</f>
        <v/>
      </c>
      <c r="CZ220" s="14" t="str">
        <f>IF(COUNTA(final!C18),final!C18,"")</f>
        <v/>
      </c>
      <c r="DA220" s="14" t="str">
        <f>IF(COUNTA(final!D18),final!D18,"")</f>
        <v/>
      </c>
      <c r="DB220" s="14" t="str">
        <f>IF(COUNTA(final!E18),final!E18,"")</f>
        <v/>
      </c>
      <c r="DC220" s="14" t="str">
        <f>IF(COUNTA(final!F18),final!F18,"")</f>
        <v/>
      </c>
      <c r="DD220" s="14" t="str">
        <f>IF(COUNTA(final!G18),final!G18,"")</f>
        <v/>
      </c>
      <c r="DE220" s="14" t="str">
        <f>IF(COUNTA(final!H18),final!H18,"")</f>
        <v/>
      </c>
    </row>
    <row r="221" spans="1:109" x14ac:dyDescent="0.2">
      <c r="A221" s="39" t="str">
        <f>IFERROR(final!L19*100/final!$I19,"")</f>
        <v/>
      </c>
      <c r="B221" s="39" t="str">
        <f>IFERROR(final!M19*100/final!$I19,"")</f>
        <v/>
      </c>
      <c r="C221" s="39" t="str">
        <f>IFERROR(final!N19*100/final!$I19,"")</f>
        <v/>
      </c>
      <c r="D221" s="39" t="str">
        <f>IFERROR(final!O19*100/final!$I19,"")</f>
        <v/>
      </c>
      <c r="E221" s="39" t="str">
        <f>IFERROR(final!P19*100/final!$I19,"")</f>
        <v/>
      </c>
      <c r="F221" s="39" t="str">
        <f>IFERROR(final!Q19*100/final!$I19,"")</f>
        <v/>
      </c>
      <c r="G221" s="39" t="str">
        <f>IFERROR(final!R19*100/final!$I19,"")</f>
        <v/>
      </c>
      <c r="H221" s="39" t="str">
        <f>IFERROR(final!S19*100/final!$I19,"")</f>
        <v/>
      </c>
      <c r="I221" s="39" t="str">
        <f>IFERROR(final!T19*100/final!$I19,"")</f>
        <v/>
      </c>
      <c r="J221" s="39" t="str">
        <f>IFERROR(final!U19*100/final!$I19,"")</f>
        <v/>
      </c>
      <c r="K221" s="39" t="str">
        <f>IFERROR(final!V19*100/final!$I19,"")</f>
        <v/>
      </c>
      <c r="L221" s="39" t="str">
        <f>IFERROR(final!W19*100/final!$I19,"")</f>
        <v/>
      </c>
      <c r="M221" s="39" t="str">
        <f>IFERROR(final!X19*100/final!$I19,"")</f>
        <v/>
      </c>
      <c r="N221" s="39" t="str">
        <f>IFERROR(final!Y19*100/final!$I19,"")</f>
        <v/>
      </c>
      <c r="O221" s="39" t="str">
        <f>IFERROR(final!Z19*100/final!$I19,"")</f>
        <v/>
      </c>
      <c r="P221" s="39" t="str">
        <f>IFERROR(final!AA19*100/final!$I19,"")</f>
        <v/>
      </c>
      <c r="Q221" s="39" t="str">
        <f>IFERROR(final!AB19*100/final!$I19,"")</f>
        <v/>
      </c>
      <c r="R221" s="39" t="str">
        <f>IFERROR(final!AC19*100/final!$I19,"")</f>
        <v/>
      </c>
      <c r="S221" s="39" t="str">
        <f>IFERROR(final!AD19*100/final!$I19,"")</f>
        <v/>
      </c>
      <c r="T221" s="39" t="str">
        <f>IFERROR(final!AE19*100/final!$I19,"")</f>
        <v/>
      </c>
      <c r="U221" s="39" t="str">
        <f>IFERROR(final!AF19*100/final!$I19,"")</f>
        <v/>
      </c>
      <c r="V221" s="39" t="str">
        <f>IFERROR(final!AG19*100/final!$I19,"")</f>
        <v/>
      </c>
      <c r="W221" s="39" t="str">
        <f>IFERROR(final!AH19*100/final!$I19,"")</f>
        <v/>
      </c>
      <c r="X221" s="39" t="str">
        <f>IFERROR(final!AI19*100/final!$I19,"")</f>
        <v/>
      </c>
      <c r="Y221" s="39" t="str">
        <f>IFERROR(final!AJ19*100/final!$I19,"")</f>
        <v/>
      </c>
      <c r="Z221" s="39" t="str">
        <f>IFERROR(final!AK19*100/final!$I19,"")</f>
        <v/>
      </c>
      <c r="AA221" s="39" t="str">
        <f>IFERROR(final!AL19*100/final!$I19,"")</f>
        <v/>
      </c>
      <c r="AB221" s="39" t="str">
        <f>IFERROR(final!AM19*100/final!$I19,"")</f>
        <v/>
      </c>
      <c r="AC221" s="39" t="str">
        <f>IFERROR(final!AN19*100/final!$I19,"")</f>
        <v/>
      </c>
      <c r="AD221" s="39" t="str">
        <f>IFERROR(final!AO19*100/final!$I19,"")</f>
        <v/>
      </c>
      <c r="AE221" s="39" t="str">
        <f>IFERROR(final!AP19*100/final!$I19,"")</f>
        <v/>
      </c>
      <c r="AF221" s="39" t="str">
        <f>IFERROR(final!AQ19*100/final!$I19,"")</f>
        <v/>
      </c>
      <c r="AG221" s="39" t="str">
        <f>IFERROR(final!AR19*100/final!$I19,"")</f>
        <v/>
      </c>
      <c r="AH221" s="39" t="str">
        <f>IFERROR(final!AS19*100/final!$I19,"")</f>
        <v/>
      </c>
      <c r="AI221" s="39" t="str">
        <f>IFERROR(final!AT19*100/final!$I19,"")</f>
        <v/>
      </c>
      <c r="AJ221" s="39" t="str">
        <f>IFERROR(final!AU19*100/final!$I19,"")</f>
        <v/>
      </c>
      <c r="AK221" s="39" t="str">
        <f>IFERROR(final!AV19*100/final!$I19,"")</f>
        <v/>
      </c>
      <c r="AL221" s="39" t="str">
        <f>IFERROR(final!AW19*100/final!$I19,"")</f>
        <v/>
      </c>
      <c r="AM221" s="39" t="str">
        <f>IFERROR(final!AX19*100/final!$I19,"")</f>
        <v/>
      </c>
      <c r="AN221" s="39" t="str">
        <f>IFERROR(final!AY19*100/final!$I19,"")</f>
        <v/>
      </c>
      <c r="AO221" s="39" t="str">
        <f>IFERROR(final!AZ19*100/final!$I19,"")</f>
        <v/>
      </c>
      <c r="AP221" s="39" t="str">
        <f>IFERROR(final!BA19*100/final!$I19,"")</f>
        <v/>
      </c>
      <c r="AQ221" s="39" t="str">
        <f>IFERROR(final!BB19*100/final!$I19,"")</f>
        <v/>
      </c>
      <c r="AR221" s="39" t="str">
        <f>IFERROR(final!BC19*100/final!$I19,"")</f>
        <v/>
      </c>
      <c r="AS221" s="39" t="str">
        <f>IFERROR(final!BD19*100/final!$I19,"")</f>
        <v/>
      </c>
      <c r="AT221" s="39" t="str">
        <f>IFERROR(final!BE19*100/final!$I19,"")</f>
        <v/>
      </c>
      <c r="AU221" s="39" t="str">
        <f>IFERROR(final!BF19*100/final!$I19,"")</f>
        <v/>
      </c>
      <c r="AV221" s="39" t="str">
        <f>IFERROR(final!BG19*100/final!$I19,"")</f>
        <v/>
      </c>
      <c r="AW221" s="39" t="str">
        <f>IFERROR(final!BH19*100/final!$I19,"")</f>
        <v/>
      </c>
      <c r="AX221" s="39" t="str">
        <f>IFERROR(final!BI19*100/final!$I19,"")</f>
        <v/>
      </c>
      <c r="AY221" s="39" t="str">
        <f>IFERROR(final!BJ19*100/final!$I19,"")</f>
        <v/>
      </c>
      <c r="AZ221" s="39" t="str">
        <f>IFERROR(final!BK19*100/final!$I19,"")</f>
        <v/>
      </c>
      <c r="BA221" s="39" t="str">
        <f>IFERROR(final!BL19*100/final!$I19,"")</f>
        <v/>
      </c>
      <c r="BB221" s="39" t="str">
        <f>IFERROR(final!BM19*100/final!$I19,"")</f>
        <v/>
      </c>
      <c r="BC221" s="39" t="str">
        <f>IFERROR(final!BN19*100/final!$I19,"")</f>
        <v/>
      </c>
      <c r="BD221" s="39" t="str">
        <f>IFERROR(final!BO19*100/final!$I19,"")</f>
        <v/>
      </c>
      <c r="BE221" s="39" t="str">
        <f>IFERROR(final!BP19*100/final!$I19,"")</f>
        <v/>
      </c>
      <c r="BF221" s="39" t="str">
        <f>IFERROR(final!BQ19*100/final!$I19,"")</f>
        <v/>
      </c>
      <c r="BG221" s="39" t="str">
        <f>IFERROR(final!BR19*100/final!$I19,"")</f>
        <v/>
      </c>
      <c r="BH221" s="39" t="str">
        <f>IFERROR(final!BS19*100/final!$I19,"")</f>
        <v/>
      </c>
      <c r="BI221" s="39" t="str">
        <f>IFERROR(final!BT19*100/final!$I19,"")</f>
        <v/>
      </c>
      <c r="BJ221" s="39" t="str">
        <f>IFERROR(final!BU19*100/final!$I19,"")</f>
        <v/>
      </c>
      <c r="BK221" s="39" t="str">
        <f>IFERROR(final!BV19*100/final!$I19,"")</f>
        <v/>
      </c>
      <c r="BL221" s="39" t="str">
        <f>IFERROR(final!BW19*100/final!$I19,"")</f>
        <v/>
      </c>
      <c r="BM221" s="39" t="str">
        <f>IFERROR(final!BX19*100/final!$I19,"")</f>
        <v/>
      </c>
      <c r="BN221" s="39" t="str">
        <f>IFERROR(final!BY19*100/final!$I19,"")</f>
        <v/>
      </c>
      <c r="BO221" s="39" t="str">
        <f>IFERROR(final!BZ19*100/final!$I19,"")</f>
        <v/>
      </c>
      <c r="BP221" s="39" t="str">
        <f>IFERROR(final!CA19*100/final!$I19,"")</f>
        <v/>
      </c>
      <c r="BQ221" s="39" t="str">
        <f>IFERROR(final!CB19*100/final!$I19,"")</f>
        <v/>
      </c>
      <c r="BR221" s="39" t="str">
        <f>IFERROR(final!CC19*100/final!$I19,"")</f>
        <v/>
      </c>
      <c r="BS221" s="39" t="str">
        <f>IFERROR(final!CD19*100/final!$I19,"")</f>
        <v/>
      </c>
      <c r="BT221" s="39" t="str">
        <f>IFERROR(final!CE19*100/final!$I19,"")</f>
        <v/>
      </c>
      <c r="BU221" s="39" t="str">
        <f>IFERROR(final!CF19*100/final!$I19,"")</f>
        <v/>
      </c>
      <c r="BV221" s="39" t="str">
        <f>IFERROR(final!CG19*100/final!$I19,"")</f>
        <v/>
      </c>
      <c r="BW221" s="39" t="str">
        <f>IFERROR(final!CH19*100/final!$I19,"")</f>
        <v/>
      </c>
      <c r="BX221" s="39" t="str">
        <f>IFERROR(final!CI19*100/final!$I19,"")</f>
        <v/>
      </c>
      <c r="BY221" s="39" t="str">
        <f>IFERROR(final!CJ19*100/final!$I19,"")</f>
        <v/>
      </c>
      <c r="BZ221" s="39" t="str">
        <f>IFERROR(final!CK19*100/final!$I19,"")</f>
        <v/>
      </c>
      <c r="CA221" s="39" t="str">
        <f>IFERROR(final!CL19*100/final!$I19,"")</f>
        <v/>
      </c>
      <c r="CB221" s="39" t="str">
        <f>IFERROR(final!CM19*100/final!$I19,"")</f>
        <v/>
      </c>
      <c r="CC221" s="39" t="str">
        <f>IFERROR(final!CN19*100/final!$I19,"")</f>
        <v/>
      </c>
      <c r="CD221" s="39" t="str">
        <f>IFERROR(final!CO19*100/final!$I19,"")</f>
        <v/>
      </c>
      <c r="CE221" s="39" t="str">
        <f>IFERROR(final!CP19*100/final!$I19,"")</f>
        <v/>
      </c>
      <c r="CF221" s="39" t="str">
        <f>IFERROR(final!CQ19*100/final!$I19,"")</f>
        <v/>
      </c>
      <c r="CG221" s="39" t="str">
        <f>IFERROR(final!CR19*100/final!$I19,"")</f>
        <v/>
      </c>
      <c r="CH221" s="39" t="str">
        <f>IFERROR(final!CS19*100/final!$I19,"")</f>
        <v/>
      </c>
      <c r="CI221" s="39" t="str">
        <f>IFERROR(final!CT19*100/final!$I19,"")</f>
        <v/>
      </c>
      <c r="CJ221" s="39" t="str">
        <f>IFERROR(final!CU19*100/final!$I19,"")</f>
        <v/>
      </c>
      <c r="CK221" s="39" t="str">
        <f>IFERROR(final!CV19*100/final!$I19,"")</f>
        <v/>
      </c>
      <c r="CL221" s="39" t="str">
        <f>IFERROR(final!CW19*100/final!$I19,"")</f>
        <v/>
      </c>
      <c r="CM221" s="39" t="str">
        <f>IFERROR(final!CX19*100/final!$I19,"")</f>
        <v/>
      </c>
      <c r="CN221" s="39" t="str">
        <f>IFERROR(final!CY19*100/final!$I19,"")</f>
        <v/>
      </c>
      <c r="CO221" s="39" t="str">
        <f>IFERROR(final!CZ19*100/final!$I19,"")</f>
        <v/>
      </c>
      <c r="CP221" s="39" t="str">
        <f>IFERROR(final!DA19*100/final!$I19,"")</f>
        <v/>
      </c>
      <c r="CQ221" s="39" t="str">
        <f>IFERROR(final!DB19*100/final!$I19,"")</f>
        <v/>
      </c>
      <c r="CR221" s="39" t="str">
        <f>IFERROR(final!DC19*100/final!$I19,"")</f>
        <v/>
      </c>
      <c r="CS221" s="39" t="str">
        <f>IFERROR(final!DD19*100/final!$I19,"")</f>
        <v/>
      </c>
      <c r="CT221" s="39" t="str">
        <f>IFERROR(final!DE19*100/final!$I19,"")</f>
        <v/>
      </c>
      <c r="CU221" s="39" t="str">
        <f>IFERROR(final!DF19*100/final!$I19,"")</f>
        <v/>
      </c>
      <c r="CV221" s="39" t="str">
        <f>IFERROR(final!DG19*100/final!$I19,"")</f>
        <v/>
      </c>
      <c r="CW221" s="32" t="str">
        <f>IFERROR(SUM(A221:CV221)/final!$DH$103,"")</f>
        <v/>
      </c>
      <c r="CX221" s="14" t="str">
        <f>IF(COUNTA(final!A19),final!A19,"")</f>
        <v/>
      </c>
      <c r="CY221" s="14" t="str">
        <f>IF(COUNTA(final!B19),final!B19,"")</f>
        <v/>
      </c>
      <c r="CZ221" s="14" t="str">
        <f>IF(COUNTA(final!C19),final!C19,"")</f>
        <v/>
      </c>
      <c r="DA221" s="14" t="str">
        <f>IF(COUNTA(final!D19),final!D19,"")</f>
        <v/>
      </c>
      <c r="DB221" s="14" t="str">
        <f>IF(COUNTA(final!E19),final!E19,"")</f>
        <v/>
      </c>
      <c r="DC221" s="14" t="str">
        <f>IF(COUNTA(final!F19),final!F19,"")</f>
        <v/>
      </c>
      <c r="DD221" s="14" t="str">
        <f>IF(COUNTA(final!G19),final!G19,"")</f>
        <v/>
      </c>
      <c r="DE221" s="14" t="str">
        <f>IF(COUNTA(final!H19),final!H19,"")</f>
        <v/>
      </c>
    </row>
    <row r="222" spans="1:109" x14ac:dyDescent="0.2">
      <c r="A222" s="39" t="str">
        <f>IFERROR(final!L20*100/final!$I20,"")</f>
        <v/>
      </c>
      <c r="B222" s="39" t="str">
        <f>IFERROR(final!M20*100/final!$I20,"")</f>
        <v/>
      </c>
      <c r="C222" s="39" t="str">
        <f>IFERROR(final!N20*100/final!$I20,"")</f>
        <v/>
      </c>
      <c r="D222" s="39" t="str">
        <f>IFERROR(final!O20*100/final!$I20,"")</f>
        <v/>
      </c>
      <c r="E222" s="39" t="str">
        <f>IFERROR(final!P20*100/final!$I20,"")</f>
        <v/>
      </c>
      <c r="F222" s="39" t="str">
        <f>IFERROR(final!Q20*100/final!$I20,"")</f>
        <v/>
      </c>
      <c r="G222" s="39" t="str">
        <f>IFERROR(final!R20*100/final!$I20,"")</f>
        <v/>
      </c>
      <c r="H222" s="39" t="str">
        <f>IFERROR(final!S20*100/final!$I20,"")</f>
        <v/>
      </c>
      <c r="I222" s="39" t="str">
        <f>IFERROR(final!T20*100/final!$I20,"")</f>
        <v/>
      </c>
      <c r="J222" s="39" t="str">
        <f>IFERROR(final!U20*100/final!$I20,"")</f>
        <v/>
      </c>
      <c r="K222" s="39" t="str">
        <f>IFERROR(final!V20*100/final!$I20,"")</f>
        <v/>
      </c>
      <c r="L222" s="39" t="str">
        <f>IFERROR(final!W20*100/final!$I20,"")</f>
        <v/>
      </c>
      <c r="M222" s="39" t="str">
        <f>IFERROR(final!X20*100/final!$I20,"")</f>
        <v/>
      </c>
      <c r="N222" s="39" t="str">
        <f>IFERROR(final!Y20*100/final!$I20,"")</f>
        <v/>
      </c>
      <c r="O222" s="39" t="str">
        <f>IFERROR(final!Z20*100/final!$I20,"")</f>
        <v/>
      </c>
      <c r="P222" s="39" t="str">
        <f>IFERROR(final!AA20*100/final!$I20,"")</f>
        <v/>
      </c>
      <c r="Q222" s="39" t="str">
        <f>IFERROR(final!AB20*100/final!$I20,"")</f>
        <v/>
      </c>
      <c r="R222" s="39" t="str">
        <f>IFERROR(final!AC20*100/final!$I20,"")</f>
        <v/>
      </c>
      <c r="S222" s="39" t="str">
        <f>IFERROR(final!AD20*100/final!$I20,"")</f>
        <v/>
      </c>
      <c r="T222" s="39" t="str">
        <f>IFERROR(final!AE20*100/final!$I20,"")</f>
        <v/>
      </c>
      <c r="U222" s="39" t="str">
        <f>IFERROR(final!AF20*100/final!$I20,"")</f>
        <v/>
      </c>
      <c r="V222" s="39" t="str">
        <f>IFERROR(final!AG20*100/final!$I20,"")</f>
        <v/>
      </c>
      <c r="W222" s="39" t="str">
        <f>IFERROR(final!AH20*100/final!$I20,"")</f>
        <v/>
      </c>
      <c r="X222" s="39" t="str">
        <f>IFERROR(final!AI20*100/final!$I20,"")</f>
        <v/>
      </c>
      <c r="Y222" s="39" t="str">
        <f>IFERROR(final!AJ20*100/final!$I20,"")</f>
        <v/>
      </c>
      <c r="Z222" s="39" t="str">
        <f>IFERROR(final!AK20*100/final!$I20,"")</f>
        <v/>
      </c>
      <c r="AA222" s="39" t="str">
        <f>IFERROR(final!AL20*100/final!$I20,"")</f>
        <v/>
      </c>
      <c r="AB222" s="39" t="str">
        <f>IFERROR(final!AM20*100/final!$I20,"")</f>
        <v/>
      </c>
      <c r="AC222" s="39" t="str">
        <f>IFERROR(final!AN20*100/final!$I20,"")</f>
        <v/>
      </c>
      <c r="AD222" s="39" t="str">
        <f>IFERROR(final!AO20*100/final!$I20,"")</f>
        <v/>
      </c>
      <c r="AE222" s="39" t="str">
        <f>IFERROR(final!AP20*100/final!$I20,"")</f>
        <v/>
      </c>
      <c r="AF222" s="39" t="str">
        <f>IFERROR(final!AQ20*100/final!$I20,"")</f>
        <v/>
      </c>
      <c r="AG222" s="39" t="str">
        <f>IFERROR(final!AR20*100/final!$I20,"")</f>
        <v/>
      </c>
      <c r="AH222" s="39" t="str">
        <f>IFERROR(final!AS20*100/final!$I20,"")</f>
        <v/>
      </c>
      <c r="AI222" s="39" t="str">
        <f>IFERROR(final!AT20*100/final!$I20,"")</f>
        <v/>
      </c>
      <c r="AJ222" s="39" t="str">
        <f>IFERROR(final!AU20*100/final!$I20,"")</f>
        <v/>
      </c>
      <c r="AK222" s="39" t="str">
        <f>IFERROR(final!AV20*100/final!$I20,"")</f>
        <v/>
      </c>
      <c r="AL222" s="39" t="str">
        <f>IFERROR(final!AW20*100/final!$I20,"")</f>
        <v/>
      </c>
      <c r="AM222" s="39" t="str">
        <f>IFERROR(final!AX20*100/final!$I20,"")</f>
        <v/>
      </c>
      <c r="AN222" s="39" t="str">
        <f>IFERROR(final!AY20*100/final!$I20,"")</f>
        <v/>
      </c>
      <c r="AO222" s="39" t="str">
        <f>IFERROR(final!AZ20*100/final!$I20,"")</f>
        <v/>
      </c>
      <c r="AP222" s="39" t="str">
        <f>IFERROR(final!BA20*100/final!$I20,"")</f>
        <v/>
      </c>
      <c r="AQ222" s="39" t="str">
        <f>IFERROR(final!BB20*100/final!$I20,"")</f>
        <v/>
      </c>
      <c r="AR222" s="39" t="str">
        <f>IFERROR(final!BC20*100/final!$I20,"")</f>
        <v/>
      </c>
      <c r="AS222" s="39" t="str">
        <f>IFERROR(final!BD20*100/final!$I20,"")</f>
        <v/>
      </c>
      <c r="AT222" s="39" t="str">
        <f>IFERROR(final!BE20*100/final!$I20,"")</f>
        <v/>
      </c>
      <c r="AU222" s="39" t="str">
        <f>IFERROR(final!BF20*100/final!$I20,"")</f>
        <v/>
      </c>
      <c r="AV222" s="39" t="str">
        <f>IFERROR(final!BG20*100/final!$I20,"")</f>
        <v/>
      </c>
      <c r="AW222" s="39" t="str">
        <f>IFERROR(final!BH20*100/final!$I20,"")</f>
        <v/>
      </c>
      <c r="AX222" s="39" t="str">
        <f>IFERROR(final!BI20*100/final!$I20,"")</f>
        <v/>
      </c>
      <c r="AY222" s="39" t="str">
        <f>IFERROR(final!BJ20*100/final!$I20,"")</f>
        <v/>
      </c>
      <c r="AZ222" s="39" t="str">
        <f>IFERROR(final!BK20*100/final!$I20,"")</f>
        <v/>
      </c>
      <c r="BA222" s="39" t="str">
        <f>IFERROR(final!BL20*100/final!$I20,"")</f>
        <v/>
      </c>
      <c r="BB222" s="39" t="str">
        <f>IFERROR(final!BM20*100/final!$I20,"")</f>
        <v/>
      </c>
      <c r="BC222" s="39" t="str">
        <f>IFERROR(final!BN20*100/final!$I20,"")</f>
        <v/>
      </c>
      <c r="BD222" s="39" t="str">
        <f>IFERROR(final!BO20*100/final!$I20,"")</f>
        <v/>
      </c>
      <c r="BE222" s="39" t="str">
        <f>IFERROR(final!BP20*100/final!$I20,"")</f>
        <v/>
      </c>
      <c r="BF222" s="39" t="str">
        <f>IFERROR(final!BQ20*100/final!$I20,"")</f>
        <v/>
      </c>
      <c r="BG222" s="39" t="str">
        <f>IFERROR(final!BR20*100/final!$I20,"")</f>
        <v/>
      </c>
      <c r="BH222" s="39" t="str">
        <f>IFERROR(final!BS20*100/final!$I20,"")</f>
        <v/>
      </c>
      <c r="BI222" s="39" t="str">
        <f>IFERROR(final!BT20*100/final!$I20,"")</f>
        <v/>
      </c>
      <c r="BJ222" s="39" t="str">
        <f>IFERROR(final!BU20*100/final!$I20,"")</f>
        <v/>
      </c>
      <c r="BK222" s="39" t="str">
        <f>IFERROR(final!BV20*100/final!$I20,"")</f>
        <v/>
      </c>
      <c r="BL222" s="39" t="str">
        <f>IFERROR(final!BW20*100/final!$I20,"")</f>
        <v/>
      </c>
      <c r="BM222" s="39" t="str">
        <f>IFERROR(final!BX20*100/final!$I20,"")</f>
        <v/>
      </c>
      <c r="BN222" s="39" t="str">
        <f>IFERROR(final!BY20*100/final!$I20,"")</f>
        <v/>
      </c>
      <c r="BO222" s="39" t="str">
        <f>IFERROR(final!BZ20*100/final!$I20,"")</f>
        <v/>
      </c>
      <c r="BP222" s="39" t="str">
        <f>IFERROR(final!CA20*100/final!$I20,"")</f>
        <v/>
      </c>
      <c r="BQ222" s="39" t="str">
        <f>IFERROR(final!CB20*100/final!$I20,"")</f>
        <v/>
      </c>
      <c r="BR222" s="39" t="str">
        <f>IFERROR(final!CC20*100/final!$I20,"")</f>
        <v/>
      </c>
      <c r="BS222" s="39" t="str">
        <f>IFERROR(final!CD20*100/final!$I20,"")</f>
        <v/>
      </c>
      <c r="BT222" s="39" t="str">
        <f>IFERROR(final!CE20*100/final!$I20,"")</f>
        <v/>
      </c>
      <c r="BU222" s="39" t="str">
        <f>IFERROR(final!CF20*100/final!$I20,"")</f>
        <v/>
      </c>
      <c r="BV222" s="39" t="str">
        <f>IFERROR(final!CG20*100/final!$I20,"")</f>
        <v/>
      </c>
      <c r="BW222" s="39" t="str">
        <f>IFERROR(final!CH20*100/final!$I20,"")</f>
        <v/>
      </c>
      <c r="BX222" s="39" t="str">
        <f>IFERROR(final!CI20*100/final!$I20,"")</f>
        <v/>
      </c>
      <c r="BY222" s="39" t="str">
        <f>IFERROR(final!CJ20*100/final!$I20,"")</f>
        <v/>
      </c>
      <c r="BZ222" s="39" t="str">
        <f>IFERROR(final!CK20*100/final!$I20,"")</f>
        <v/>
      </c>
      <c r="CA222" s="39" t="str">
        <f>IFERROR(final!CL20*100/final!$I20,"")</f>
        <v/>
      </c>
      <c r="CB222" s="39" t="str">
        <f>IFERROR(final!CM20*100/final!$I20,"")</f>
        <v/>
      </c>
      <c r="CC222" s="39" t="str">
        <f>IFERROR(final!CN20*100/final!$I20,"")</f>
        <v/>
      </c>
      <c r="CD222" s="39" t="str">
        <f>IFERROR(final!CO20*100/final!$I20,"")</f>
        <v/>
      </c>
      <c r="CE222" s="39" t="str">
        <f>IFERROR(final!CP20*100/final!$I20,"")</f>
        <v/>
      </c>
      <c r="CF222" s="39" t="str">
        <f>IFERROR(final!CQ20*100/final!$I20,"")</f>
        <v/>
      </c>
      <c r="CG222" s="39" t="str">
        <f>IFERROR(final!CR20*100/final!$I20,"")</f>
        <v/>
      </c>
      <c r="CH222" s="39" t="str">
        <f>IFERROR(final!CS20*100/final!$I20,"")</f>
        <v/>
      </c>
      <c r="CI222" s="39" t="str">
        <f>IFERROR(final!CT20*100/final!$I20,"")</f>
        <v/>
      </c>
      <c r="CJ222" s="39" t="str">
        <f>IFERROR(final!CU20*100/final!$I20,"")</f>
        <v/>
      </c>
      <c r="CK222" s="39" t="str">
        <f>IFERROR(final!CV20*100/final!$I20,"")</f>
        <v/>
      </c>
      <c r="CL222" s="39" t="str">
        <f>IFERROR(final!CW20*100/final!$I20,"")</f>
        <v/>
      </c>
      <c r="CM222" s="39" t="str">
        <f>IFERROR(final!CX20*100/final!$I20,"")</f>
        <v/>
      </c>
      <c r="CN222" s="39" t="str">
        <f>IFERROR(final!CY20*100/final!$I20,"")</f>
        <v/>
      </c>
      <c r="CO222" s="39" t="str">
        <f>IFERROR(final!CZ20*100/final!$I20,"")</f>
        <v/>
      </c>
      <c r="CP222" s="39" t="str">
        <f>IFERROR(final!DA20*100/final!$I20,"")</f>
        <v/>
      </c>
      <c r="CQ222" s="39" t="str">
        <f>IFERROR(final!DB20*100/final!$I20,"")</f>
        <v/>
      </c>
      <c r="CR222" s="39" t="str">
        <f>IFERROR(final!DC20*100/final!$I20,"")</f>
        <v/>
      </c>
      <c r="CS222" s="39" t="str">
        <f>IFERROR(final!DD20*100/final!$I20,"")</f>
        <v/>
      </c>
      <c r="CT222" s="39" t="str">
        <f>IFERROR(final!DE20*100/final!$I20,"")</f>
        <v/>
      </c>
      <c r="CU222" s="39" t="str">
        <f>IFERROR(final!DF20*100/final!$I20,"")</f>
        <v/>
      </c>
      <c r="CV222" s="39" t="str">
        <f>IFERROR(final!DG20*100/final!$I20,"")</f>
        <v/>
      </c>
      <c r="CW222" s="32" t="str">
        <f>IFERROR(SUM(A222:CV222)/final!$DH$103,"")</f>
        <v/>
      </c>
      <c r="CX222" s="14" t="str">
        <f>IF(COUNTA(final!A20),final!A20,"")</f>
        <v/>
      </c>
      <c r="CY222" s="14" t="str">
        <f>IF(COUNTA(final!B20),final!B20,"")</f>
        <v/>
      </c>
      <c r="CZ222" s="14" t="str">
        <f>IF(COUNTA(final!C20),final!C20,"")</f>
        <v/>
      </c>
      <c r="DA222" s="14" t="str">
        <f>IF(COUNTA(final!D20),final!D20,"")</f>
        <v/>
      </c>
      <c r="DB222" s="14" t="str">
        <f>IF(COUNTA(final!E20),final!E20,"")</f>
        <v/>
      </c>
      <c r="DC222" s="14" t="str">
        <f>IF(COUNTA(final!F20),final!F20,"")</f>
        <v/>
      </c>
      <c r="DD222" s="14" t="str">
        <f>IF(COUNTA(final!G20),final!G20,"")</f>
        <v/>
      </c>
      <c r="DE222" s="14" t="str">
        <f>IF(COUNTA(final!H20),final!H20,"")</f>
        <v/>
      </c>
    </row>
    <row r="223" spans="1:109" x14ac:dyDescent="0.2">
      <c r="A223" s="39" t="str">
        <f>IFERROR(final!L21*100/final!$I21,"")</f>
        <v/>
      </c>
      <c r="B223" s="39" t="str">
        <f>IFERROR(final!M21*100/final!$I21,"")</f>
        <v/>
      </c>
      <c r="C223" s="39" t="str">
        <f>IFERROR(final!N21*100/final!$I21,"")</f>
        <v/>
      </c>
      <c r="D223" s="39" t="str">
        <f>IFERROR(final!O21*100/final!$I21,"")</f>
        <v/>
      </c>
      <c r="E223" s="39" t="str">
        <f>IFERROR(final!P21*100/final!$I21,"")</f>
        <v/>
      </c>
      <c r="F223" s="39" t="str">
        <f>IFERROR(final!Q21*100/final!$I21,"")</f>
        <v/>
      </c>
      <c r="G223" s="39" t="str">
        <f>IFERROR(final!R21*100/final!$I21,"")</f>
        <v/>
      </c>
      <c r="H223" s="39" t="str">
        <f>IFERROR(final!S21*100/final!$I21,"")</f>
        <v/>
      </c>
      <c r="I223" s="39" t="str">
        <f>IFERROR(final!T21*100/final!$I21,"")</f>
        <v/>
      </c>
      <c r="J223" s="39" t="str">
        <f>IFERROR(final!U21*100/final!$I21,"")</f>
        <v/>
      </c>
      <c r="K223" s="39" t="str">
        <f>IFERROR(final!V21*100/final!$I21,"")</f>
        <v/>
      </c>
      <c r="L223" s="39" t="str">
        <f>IFERROR(final!W21*100/final!$I21,"")</f>
        <v/>
      </c>
      <c r="M223" s="39" t="str">
        <f>IFERROR(final!X21*100/final!$I21,"")</f>
        <v/>
      </c>
      <c r="N223" s="39" t="str">
        <f>IFERROR(final!Y21*100/final!$I21,"")</f>
        <v/>
      </c>
      <c r="O223" s="39" t="str">
        <f>IFERROR(final!Z21*100/final!$I21,"")</f>
        <v/>
      </c>
      <c r="P223" s="39" t="str">
        <f>IFERROR(final!AA21*100/final!$I21,"")</f>
        <v/>
      </c>
      <c r="Q223" s="39" t="str">
        <f>IFERROR(final!AB21*100/final!$I21,"")</f>
        <v/>
      </c>
      <c r="R223" s="39" t="str">
        <f>IFERROR(final!AC21*100/final!$I21,"")</f>
        <v/>
      </c>
      <c r="S223" s="39" t="str">
        <f>IFERROR(final!AD21*100/final!$I21,"")</f>
        <v/>
      </c>
      <c r="T223" s="39" t="str">
        <f>IFERROR(final!AE21*100/final!$I21,"")</f>
        <v/>
      </c>
      <c r="U223" s="39" t="str">
        <f>IFERROR(final!AF21*100/final!$I21,"")</f>
        <v/>
      </c>
      <c r="V223" s="39" t="str">
        <f>IFERROR(final!AG21*100/final!$I21,"")</f>
        <v/>
      </c>
      <c r="W223" s="39" t="str">
        <f>IFERROR(final!AH21*100/final!$I21,"")</f>
        <v/>
      </c>
      <c r="X223" s="39" t="str">
        <f>IFERROR(final!AI21*100/final!$I21,"")</f>
        <v/>
      </c>
      <c r="Y223" s="39" t="str">
        <f>IFERROR(final!AJ21*100/final!$I21,"")</f>
        <v/>
      </c>
      <c r="Z223" s="39" t="str">
        <f>IFERROR(final!AK21*100/final!$I21,"")</f>
        <v/>
      </c>
      <c r="AA223" s="39" t="str">
        <f>IFERROR(final!AL21*100/final!$I21,"")</f>
        <v/>
      </c>
      <c r="AB223" s="39" t="str">
        <f>IFERROR(final!AM21*100/final!$I21,"")</f>
        <v/>
      </c>
      <c r="AC223" s="39" t="str">
        <f>IFERROR(final!AN21*100/final!$I21,"")</f>
        <v/>
      </c>
      <c r="AD223" s="39" t="str">
        <f>IFERROR(final!AO21*100/final!$I21,"")</f>
        <v/>
      </c>
      <c r="AE223" s="39" t="str">
        <f>IFERROR(final!AP21*100/final!$I21,"")</f>
        <v/>
      </c>
      <c r="AF223" s="39" t="str">
        <f>IFERROR(final!AQ21*100/final!$I21,"")</f>
        <v/>
      </c>
      <c r="AG223" s="39" t="str">
        <f>IFERROR(final!AR21*100/final!$I21,"")</f>
        <v/>
      </c>
      <c r="AH223" s="39" t="str">
        <f>IFERROR(final!AS21*100/final!$I21,"")</f>
        <v/>
      </c>
      <c r="AI223" s="39" t="str">
        <f>IFERROR(final!AT21*100/final!$I21,"")</f>
        <v/>
      </c>
      <c r="AJ223" s="39" t="str">
        <f>IFERROR(final!AU21*100/final!$I21,"")</f>
        <v/>
      </c>
      <c r="AK223" s="39" t="str">
        <f>IFERROR(final!AV21*100/final!$I21,"")</f>
        <v/>
      </c>
      <c r="AL223" s="39" t="str">
        <f>IFERROR(final!AW21*100/final!$I21,"")</f>
        <v/>
      </c>
      <c r="AM223" s="39" t="str">
        <f>IFERROR(final!AX21*100/final!$I21,"")</f>
        <v/>
      </c>
      <c r="AN223" s="39" t="str">
        <f>IFERROR(final!AY21*100/final!$I21,"")</f>
        <v/>
      </c>
      <c r="AO223" s="39" t="str">
        <f>IFERROR(final!AZ21*100/final!$I21,"")</f>
        <v/>
      </c>
      <c r="AP223" s="39" t="str">
        <f>IFERROR(final!BA21*100/final!$I21,"")</f>
        <v/>
      </c>
      <c r="AQ223" s="39" t="str">
        <f>IFERROR(final!BB21*100/final!$I21,"")</f>
        <v/>
      </c>
      <c r="AR223" s="39" t="str">
        <f>IFERROR(final!BC21*100/final!$I21,"")</f>
        <v/>
      </c>
      <c r="AS223" s="39" t="str">
        <f>IFERROR(final!BD21*100/final!$I21,"")</f>
        <v/>
      </c>
      <c r="AT223" s="39" t="str">
        <f>IFERROR(final!BE21*100/final!$I21,"")</f>
        <v/>
      </c>
      <c r="AU223" s="39" t="str">
        <f>IFERROR(final!BF21*100/final!$I21,"")</f>
        <v/>
      </c>
      <c r="AV223" s="39" t="str">
        <f>IFERROR(final!BG21*100/final!$I21,"")</f>
        <v/>
      </c>
      <c r="AW223" s="39" t="str">
        <f>IFERROR(final!BH21*100/final!$I21,"")</f>
        <v/>
      </c>
      <c r="AX223" s="39" t="str">
        <f>IFERROR(final!BI21*100/final!$I21,"")</f>
        <v/>
      </c>
      <c r="AY223" s="39" t="str">
        <f>IFERROR(final!BJ21*100/final!$I21,"")</f>
        <v/>
      </c>
      <c r="AZ223" s="39" t="str">
        <f>IFERROR(final!BK21*100/final!$I21,"")</f>
        <v/>
      </c>
      <c r="BA223" s="39" t="str">
        <f>IFERROR(final!BL21*100/final!$I21,"")</f>
        <v/>
      </c>
      <c r="BB223" s="39" t="str">
        <f>IFERROR(final!BM21*100/final!$I21,"")</f>
        <v/>
      </c>
      <c r="BC223" s="39" t="str">
        <f>IFERROR(final!BN21*100/final!$I21,"")</f>
        <v/>
      </c>
      <c r="BD223" s="39" t="str">
        <f>IFERROR(final!BO21*100/final!$I21,"")</f>
        <v/>
      </c>
      <c r="BE223" s="39" t="str">
        <f>IFERROR(final!BP21*100/final!$I21,"")</f>
        <v/>
      </c>
      <c r="BF223" s="39" t="str">
        <f>IFERROR(final!BQ21*100/final!$I21,"")</f>
        <v/>
      </c>
      <c r="BG223" s="39" t="str">
        <f>IFERROR(final!BR21*100/final!$I21,"")</f>
        <v/>
      </c>
      <c r="BH223" s="39" t="str">
        <f>IFERROR(final!BS21*100/final!$I21,"")</f>
        <v/>
      </c>
      <c r="BI223" s="39" t="str">
        <f>IFERROR(final!BT21*100/final!$I21,"")</f>
        <v/>
      </c>
      <c r="BJ223" s="39" t="str">
        <f>IFERROR(final!BU21*100/final!$I21,"")</f>
        <v/>
      </c>
      <c r="BK223" s="39" t="str">
        <f>IFERROR(final!BV21*100/final!$I21,"")</f>
        <v/>
      </c>
      <c r="BL223" s="39" t="str">
        <f>IFERROR(final!BW21*100/final!$I21,"")</f>
        <v/>
      </c>
      <c r="BM223" s="39" t="str">
        <f>IFERROR(final!BX21*100/final!$I21,"")</f>
        <v/>
      </c>
      <c r="BN223" s="39" t="str">
        <f>IFERROR(final!BY21*100/final!$I21,"")</f>
        <v/>
      </c>
      <c r="BO223" s="39" t="str">
        <f>IFERROR(final!BZ21*100/final!$I21,"")</f>
        <v/>
      </c>
      <c r="BP223" s="39" t="str">
        <f>IFERROR(final!CA21*100/final!$I21,"")</f>
        <v/>
      </c>
      <c r="BQ223" s="39" t="str">
        <f>IFERROR(final!CB21*100/final!$I21,"")</f>
        <v/>
      </c>
      <c r="BR223" s="39" t="str">
        <f>IFERROR(final!CC21*100/final!$I21,"")</f>
        <v/>
      </c>
      <c r="BS223" s="39" t="str">
        <f>IFERROR(final!CD21*100/final!$I21,"")</f>
        <v/>
      </c>
      <c r="BT223" s="39" t="str">
        <f>IFERROR(final!CE21*100/final!$I21,"")</f>
        <v/>
      </c>
      <c r="BU223" s="39" t="str">
        <f>IFERROR(final!CF21*100/final!$I21,"")</f>
        <v/>
      </c>
      <c r="BV223" s="39" t="str">
        <f>IFERROR(final!CG21*100/final!$I21,"")</f>
        <v/>
      </c>
      <c r="BW223" s="39" t="str">
        <f>IFERROR(final!CH21*100/final!$I21,"")</f>
        <v/>
      </c>
      <c r="BX223" s="39" t="str">
        <f>IFERROR(final!CI21*100/final!$I21,"")</f>
        <v/>
      </c>
      <c r="BY223" s="39" t="str">
        <f>IFERROR(final!CJ21*100/final!$I21,"")</f>
        <v/>
      </c>
      <c r="BZ223" s="39" t="str">
        <f>IFERROR(final!CK21*100/final!$I21,"")</f>
        <v/>
      </c>
      <c r="CA223" s="39" t="str">
        <f>IFERROR(final!CL21*100/final!$I21,"")</f>
        <v/>
      </c>
      <c r="CB223" s="39" t="str">
        <f>IFERROR(final!CM21*100/final!$I21,"")</f>
        <v/>
      </c>
      <c r="CC223" s="39" t="str">
        <f>IFERROR(final!CN21*100/final!$I21,"")</f>
        <v/>
      </c>
      <c r="CD223" s="39" t="str">
        <f>IFERROR(final!CO21*100/final!$I21,"")</f>
        <v/>
      </c>
      <c r="CE223" s="39" t="str">
        <f>IFERROR(final!CP21*100/final!$I21,"")</f>
        <v/>
      </c>
      <c r="CF223" s="39" t="str">
        <f>IFERROR(final!CQ21*100/final!$I21,"")</f>
        <v/>
      </c>
      <c r="CG223" s="39" t="str">
        <f>IFERROR(final!CR21*100/final!$I21,"")</f>
        <v/>
      </c>
      <c r="CH223" s="39" t="str">
        <f>IFERROR(final!CS21*100/final!$I21,"")</f>
        <v/>
      </c>
      <c r="CI223" s="39" t="str">
        <f>IFERROR(final!CT21*100/final!$I21,"")</f>
        <v/>
      </c>
      <c r="CJ223" s="39" t="str">
        <f>IFERROR(final!CU21*100/final!$I21,"")</f>
        <v/>
      </c>
      <c r="CK223" s="39" t="str">
        <f>IFERROR(final!CV21*100/final!$I21,"")</f>
        <v/>
      </c>
      <c r="CL223" s="39" t="str">
        <f>IFERROR(final!CW21*100/final!$I21,"")</f>
        <v/>
      </c>
      <c r="CM223" s="39" t="str">
        <f>IFERROR(final!CX21*100/final!$I21,"")</f>
        <v/>
      </c>
      <c r="CN223" s="39" t="str">
        <f>IFERROR(final!CY21*100/final!$I21,"")</f>
        <v/>
      </c>
      <c r="CO223" s="39" t="str">
        <f>IFERROR(final!CZ21*100/final!$I21,"")</f>
        <v/>
      </c>
      <c r="CP223" s="39" t="str">
        <f>IFERROR(final!DA21*100/final!$I21,"")</f>
        <v/>
      </c>
      <c r="CQ223" s="39" t="str">
        <f>IFERROR(final!DB21*100/final!$I21,"")</f>
        <v/>
      </c>
      <c r="CR223" s="39" t="str">
        <f>IFERROR(final!DC21*100/final!$I21,"")</f>
        <v/>
      </c>
      <c r="CS223" s="39" t="str">
        <f>IFERROR(final!DD21*100/final!$I21,"")</f>
        <v/>
      </c>
      <c r="CT223" s="39" t="str">
        <f>IFERROR(final!DE21*100/final!$I21,"")</f>
        <v/>
      </c>
      <c r="CU223" s="39" t="str">
        <f>IFERROR(final!DF21*100/final!$I21,"")</f>
        <v/>
      </c>
      <c r="CV223" s="39" t="str">
        <f>IFERROR(final!DG21*100/final!$I21,"")</f>
        <v/>
      </c>
      <c r="CW223" s="32" t="str">
        <f>IFERROR(SUM(A223:CV223)/final!$DH$103,"")</f>
        <v/>
      </c>
      <c r="CX223" s="14" t="str">
        <f>IF(COUNTA(final!A21),final!A21,"")</f>
        <v/>
      </c>
      <c r="CY223" s="14" t="str">
        <f>IF(COUNTA(final!B21),final!B21,"")</f>
        <v/>
      </c>
      <c r="CZ223" s="14" t="str">
        <f>IF(COUNTA(final!C21),final!C21,"")</f>
        <v/>
      </c>
      <c r="DA223" s="14" t="str">
        <f>IF(COUNTA(final!D21),final!D21,"")</f>
        <v/>
      </c>
      <c r="DB223" s="14" t="str">
        <f>IF(COUNTA(final!E21),final!E21,"")</f>
        <v/>
      </c>
      <c r="DC223" s="14" t="str">
        <f>IF(COUNTA(final!F21),final!F21,"")</f>
        <v/>
      </c>
      <c r="DD223" s="14" t="str">
        <f>IF(COUNTA(final!G21),final!G21,"")</f>
        <v/>
      </c>
      <c r="DE223" s="14" t="str">
        <f>IF(COUNTA(final!H21),final!H21,"")</f>
        <v/>
      </c>
    </row>
    <row r="224" spans="1:109" x14ac:dyDescent="0.2">
      <c r="A224" s="39" t="str">
        <f>IFERROR(final!L22*100/final!$I22,"")</f>
        <v/>
      </c>
      <c r="B224" s="39" t="str">
        <f>IFERROR(final!M22*100/final!$I22,"")</f>
        <v/>
      </c>
      <c r="C224" s="39" t="str">
        <f>IFERROR(final!N22*100/final!$I22,"")</f>
        <v/>
      </c>
      <c r="D224" s="39" t="str">
        <f>IFERROR(final!O22*100/final!$I22,"")</f>
        <v/>
      </c>
      <c r="E224" s="39" t="str">
        <f>IFERROR(final!P22*100/final!$I22,"")</f>
        <v/>
      </c>
      <c r="F224" s="39" t="str">
        <f>IFERROR(final!Q22*100/final!$I22,"")</f>
        <v/>
      </c>
      <c r="G224" s="39" t="str">
        <f>IFERROR(final!R22*100/final!$I22,"")</f>
        <v/>
      </c>
      <c r="H224" s="39" t="str">
        <f>IFERROR(final!S22*100/final!$I22,"")</f>
        <v/>
      </c>
      <c r="I224" s="39" t="str">
        <f>IFERROR(final!T22*100/final!$I22,"")</f>
        <v/>
      </c>
      <c r="J224" s="39" t="str">
        <f>IFERROR(final!U22*100/final!$I22,"")</f>
        <v/>
      </c>
      <c r="K224" s="39" t="str">
        <f>IFERROR(final!V22*100/final!$I22,"")</f>
        <v/>
      </c>
      <c r="L224" s="39" t="str">
        <f>IFERROR(final!W22*100/final!$I22,"")</f>
        <v/>
      </c>
      <c r="M224" s="39" t="str">
        <f>IFERROR(final!X22*100/final!$I22,"")</f>
        <v/>
      </c>
      <c r="N224" s="39" t="str">
        <f>IFERROR(final!Y22*100/final!$I22,"")</f>
        <v/>
      </c>
      <c r="O224" s="39" t="str">
        <f>IFERROR(final!Z22*100/final!$I22,"")</f>
        <v/>
      </c>
      <c r="P224" s="39" t="str">
        <f>IFERROR(final!AA22*100/final!$I22,"")</f>
        <v/>
      </c>
      <c r="Q224" s="39" t="str">
        <f>IFERROR(final!AB22*100/final!$I22,"")</f>
        <v/>
      </c>
      <c r="R224" s="39" t="str">
        <f>IFERROR(final!AC22*100/final!$I22,"")</f>
        <v/>
      </c>
      <c r="S224" s="39" t="str">
        <f>IFERROR(final!AD22*100/final!$I22,"")</f>
        <v/>
      </c>
      <c r="T224" s="39" t="str">
        <f>IFERROR(final!AE22*100/final!$I22,"")</f>
        <v/>
      </c>
      <c r="U224" s="39" t="str">
        <f>IFERROR(final!AF22*100/final!$I22,"")</f>
        <v/>
      </c>
      <c r="V224" s="39" t="str">
        <f>IFERROR(final!AG22*100/final!$I22,"")</f>
        <v/>
      </c>
      <c r="W224" s="39" t="str">
        <f>IFERROR(final!AH22*100/final!$I22,"")</f>
        <v/>
      </c>
      <c r="X224" s="39" t="str">
        <f>IFERROR(final!AI22*100/final!$I22,"")</f>
        <v/>
      </c>
      <c r="Y224" s="39" t="str">
        <f>IFERROR(final!AJ22*100/final!$I22,"")</f>
        <v/>
      </c>
      <c r="Z224" s="39" t="str">
        <f>IFERROR(final!AK22*100/final!$I22,"")</f>
        <v/>
      </c>
      <c r="AA224" s="39" t="str">
        <f>IFERROR(final!AL22*100/final!$I22,"")</f>
        <v/>
      </c>
      <c r="AB224" s="39" t="str">
        <f>IFERROR(final!AM22*100/final!$I22,"")</f>
        <v/>
      </c>
      <c r="AC224" s="39" t="str">
        <f>IFERROR(final!AN22*100/final!$I22,"")</f>
        <v/>
      </c>
      <c r="AD224" s="39" t="str">
        <f>IFERROR(final!AO22*100/final!$I22,"")</f>
        <v/>
      </c>
      <c r="AE224" s="39" t="str">
        <f>IFERROR(final!AP22*100/final!$I22,"")</f>
        <v/>
      </c>
      <c r="AF224" s="39" t="str">
        <f>IFERROR(final!AQ22*100/final!$I22,"")</f>
        <v/>
      </c>
      <c r="AG224" s="39" t="str">
        <f>IFERROR(final!AR22*100/final!$I22,"")</f>
        <v/>
      </c>
      <c r="AH224" s="39" t="str">
        <f>IFERROR(final!AS22*100/final!$I22,"")</f>
        <v/>
      </c>
      <c r="AI224" s="39" t="str">
        <f>IFERROR(final!AT22*100/final!$I22,"")</f>
        <v/>
      </c>
      <c r="AJ224" s="39" t="str">
        <f>IFERROR(final!AU22*100/final!$I22,"")</f>
        <v/>
      </c>
      <c r="AK224" s="39" t="str">
        <f>IFERROR(final!AV22*100/final!$I22,"")</f>
        <v/>
      </c>
      <c r="AL224" s="39" t="str">
        <f>IFERROR(final!AW22*100/final!$I22,"")</f>
        <v/>
      </c>
      <c r="AM224" s="39" t="str">
        <f>IFERROR(final!AX22*100/final!$I22,"")</f>
        <v/>
      </c>
      <c r="AN224" s="39" t="str">
        <f>IFERROR(final!AY22*100/final!$I22,"")</f>
        <v/>
      </c>
      <c r="AO224" s="39" t="str">
        <f>IFERROR(final!AZ22*100/final!$I22,"")</f>
        <v/>
      </c>
      <c r="AP224" s="39" t="str">
        <f>IFERROR(final!BA22*100/final!$I22,"")</f>
        <v/>
      </c>
      <c r="AQ224" s="39" t="str">
        <f>IFERROR(final!BB22*100/final!$I22,"")</f>
        <v/>
      </c>
      <c r="AR224" s="39" t="str">
        <f>IFERROR(final!BC22*100/final!$I22,"")</f>
        <v/>
      </c>
      <c r="AS224" s="39" t="str">
        <f>IFERROR(final!BD22*100/final!$I22,"")</f>
        <v/>
      </c>
      <c r="AT224" s="39" t="str">
        <f>IFERROR(final!BE22*100/final!$I22,"")</f>
        <v/>
      </c>
      <c r="AU224" s="39" t="str">
        <f>IFERROR(final!BF22*100/final!$I22,"")</f>
        <v/>
      </c>
      <c r="AV224" s="39" t="str">
        <f>IFERROR(final!BG22*100/final!$I22,"")</f>
        <v/>
      </c>
      <c r="AW224" s="39" t="str">
        <f>IFERROR(final!BH22*100/final!$I22,"")</f>
        <v/>
      </c>
      <c r="AX224" s="39" t="str">
        <f>IFERROR(final!BI22*100/final!$I22,"")</f>
        <v/>
      </c>
      <c r="AY224" s="39" t="str">
        <f>IFERROR(final!BJ22*100/final!$I22,"")</f>
        <v/>
      </c>
      <c r="AZ224" s="39" t="str">
        <f>IFERROR(final!BK22*100/final!$I22,"")</f>
        <v/>
      </c>
      <c r="BA224" s="39" t="str">
        <f>IFERROR(final!BL22*100/final!$I22,"")</f>
        <v/>
      </c>
      <c r="BB224" s="39" t="str">
        <f>IFERROR(final!BM22*100/final!$I22,"")</f>
        <v/>
      </c>
      <c r="BC224" s="39" t="str">
        <f>IFERROR(final!BN22*100/final!$I22,"")</f>
        <v/>
      </c>
      <c r="BD224" s="39" t="str">
        <f>IFERROR(final!BO22*100/final!$I22,"")</f>
        <v/>
      </c>
      <c r="BE224" s="39" t="str">
        <f>IFERROR(final!BP22*100/final!$I22,"")</f>
        <v/>
      </c>
      <c r="BF224" s="39" t="str">
        <f>IFERROR(final!BQ22*100/final!$I22,"")</f>
        <v/>
      </c>
      <c r="BG224" s="39" t="str">
        <f>IFERROR(final!BR22*100/final!$I22,"")</f>
        <v/>
      </c>
      <c r="BH224" s="39" t="str">
        <f>IFERROR(final!BS22*100/final!$I22,"")</f>
        <v/>
      </c>
      <c r="BI224" s="39" t="str">
        <f>IFERROR(final!BT22*100/final!$I22,"")</f>
        <v/>
      </c>
      <c r="BJ224" s="39" t="str">
        <f>IFERROR(final!BU22*100/final!$I22,"")</f>
        <v/>
      </c>
      <c r="BK224" s="39" t="str">
        <f>IFERROR(final!BV22*100/final!$I22,"")</f>
        <v/>
      </c>
      <c r="BL224" s="39" t="str">
        <f>IFERROR(final!BW22*100/final!$I22,"")</f>
        <v/>
      </c>
      <c r="BM224" s="39" t="str">
        <f>IFERROR(final!BX22*100/final!$I22,"")</f>
        <v/>
      </c>
      <c r="BN224" s="39" t="str">
        <f>IFERROR(final!BY22*100/final!$I22,"")</f>
        <v/>
      </c>
      <c r="BO224" s="39" t="str">
        <f>IFERROR(final!BZ22*100/final!$I22,"")</f>
        <v/>
      </c>
      <c r="BP224" s="39" t="str">
        <f>IFERROR(final!CA22*100/final!$I22,"")</f>
        <v/>
      </c>
      <c r="BQ224" s="39" t="str">
        <f>IFERROR(final!CB22*100/final!$I22,"")</f>
        <v/>
      </c>
      <c r="BR224" s="39" t="str">
        <f>IFERROR(final!CC22*100/final!$I22,"")</f>
        <v/>
      </c>
      <c r="BS224" s="39" t="str">
        <f>IFERROR(final!CD22*100/final!$I22,"")</f>
        <v/>
      </c>
      <c r="BT224" s="39" t="str">
        <f>IFERROR(final!CE22*100/final!$I22,"")</f>
        <v/>
      </c>
      <c r="BU224" s="39" t="str">
        <f>IFERROR(final!CF22*100/final!$I22,"")</f>
        <v/>
      </c>
      <c r="BV224" s="39" t="str">
        <f>IFERROR(final!CG22*100/final!$I22,"")</f>
        <v/>
      </c>
      <c r="BW224" s="39" t="str">
        <f>IFERROR(final!CH22*100/final!$I22,"")</f>
        <v/>
      </c>
      <c r="BX224" s="39" t="str">
        <f>IFERROR(final!CI22*100/final!$I22,"")</f>
        <v/>
      </c>
      <c r="BY224" s="39" t="str">
        <f>IFERROR(final!CJ22*100/final!$I22,"")</f>
        <v/>
      </c>
      <c r="BZ224" s="39" t="str">
        <f>IFERROR(final!CK22*100/final!$I22,"")</f>
        <v/>
      </c>
      <c r="CA224" s="39" t="str">
        <f>IFERROR(final!CL22*100/final!$I22,"")</f>
        <v/>
      </c>
      <c r="CB224" s="39" t="str">
        <f>IFERROR(final!CM22*100/final!$I22,"")</f>
        <v/>
      </c>
      <c r="CC224" s="39" t="str">
        <f>IFERROR(final!CN22*100/final!$I22,"")</f>
        <v/>
      </c>
      <c r="CD224" s="39" t="str">
        <f>IFERROR(final!CO22*100/final!$I22,"")</f>
        <v/>
      </c>
      <c r="CE224" s="39" t="str">
        <f>IFERROR(final!CP22*100/final!$I22,"")</f>
        <v/>
      </c>
      <c r="CF224" s="39" t="str">
        <f>IFERROR(final!CQ22*100/final!$I22,"")</f>
        <v/>
      </c>
      <c r="CG224" s="39" t="str">
        <f>IFERROR(final!CR22*100/final!$I22,"")</f>
        <v/>
      </c>
      <c r="CH224" s="39" t="str">
        <f>IFERROR(final!CS22*100/final!$I22,"")</f>
        <v/>
      </c>
      <c r="CI224" s="39" t="str">
        <f>IFERROR(final!CT22*100/final!$I22,"")</f>
        <v/>
      </c>
      <c r="CJ224" s="39" t="str">
        <f>IFERROR(final!CU22*100/final!$I22,"")</f>
        <v/>
      </c>
      <c r="CK224" s="39" t="str">
        <f>IFERROR(final!CV22*100/final!$I22,"")</f>
        <v/>
      </c>
      <c r="CL224" s="39" t="str">
        <f>IFERROR(final!CW22*100/final!$I22,"")</f>
        <v/>
      </c>
      <c r="CM224" s="39" t="str">
        <f>IFERROR(final!CX22*100/final!$I22,"")</f>
        <v/>
      </c>
      <c r="CN224" s="39" t="str">
        <f>IFERROR(final!CY22*100/final!$I22,"")</f>
        <v/>
      </c>
      <c r="CO224" s="39" t="str">
        <f>IFERROR(final!CZ22*100/final!$I22,"")</f>
        <v/>
      </c>
      <c r="CP224" s="39" t="str">
        <f>IFERROR(final!DA22*100/final!$I22,"")</f>
        <v/>
      </c>
      <c r="CQ224" s="39" t="str">
        <f>IFERROR(final!DB22*100/final!$I22,"")</f>
        <v/>
      </c>
      <c r="CR224" s="39" t="str">
        <f>IFERROR(final!DC22*100/final!$I22,"")</f>
        <v/>
      </c>
      <c r="CS224" s="39" t="str">
        <f>IFERROR(final!DD22*100/final!$I22,"")</f>
        <v/>
      </c>
      <c r="CT224" s="39" t="str">
        <f>IFERROR(final!DE22*100/final!$I22,"")</f>
        <v/>
      </c>
      <c r="CU224" s="39" t="str">
        <f>IFERROR(final!DF22*100/final!$I22,"")</f>
        <v/>
      </c>
      <c r="CV224" s="39" t="str">
        <f>IFERROR(final!DG22*100/final!$I22,"")</f>
        <v/>
      </c>
      <c r="CW224" s="32" t="str">
        <f>IFERROR(SUM(A224:CV224)/final!$DH$103,"")</f>
        <v/>
      </c>
      <c r="CX224" s="14" t="str">
        <f>IF(COUNTA(final!A22),final!A22,"")</f>
        <v/>
      </c>
      <c r="CY224" s="14" t="str">
        <f>IF(COUNTA(final!B22),final!B22,"")</f>
        <v/>
      </c>
      <c r="CZ224" s="14" t="str">
        <f>IF(COUNTA(final!C22),final!C22,"")</f>
        <v/>
      </c>
      <c r="DA224" s="14" t="str">
        <f>IF(COUNTA(final!D22),final!D22,"")</f>
        <v/>
      </c>
      <c r="DB224" s="14" t="str">
        <f>IF(COUNTA(final!E22),final!E22,"")</f>
        <v/>
      </c>
      <c r="DC224" s="14" t="str">
        <f>IF(COUNTA(final!F22),final!F22,"")</f>
        <v/>
      </c>
      <c r="DD224" s="14" t="str">
        <f>IF(COUNTA(final!G22),final!G22,"")</f>
        <v/>
      </c>
      <c r="DE224" s="14" t="str">
        <f>IF(COUNTA(final!H22),final!H22,"")</f>
        <v/>
      </c>
    </row>
    <row r="225" spans="1:109" x14ac:dyDescent="0.2">
      <c r="A225" s="39" t="str">
        <f>IFERROR(final!L23*100/final!$I23,"")</f>
        <v/>
      </c>
      <c r="B225" s="39" t="str">
        <f>IFERROR(final!M23*100/final!$I23,"")</f>
        <v/>
      </c>
      <c r="C225" s="39" t="str">
        <f>IFERROR(final!N23*100/final!$I23,"")</f>
        <v/>
      </c>
      <c r="D225" s="39" t="str">
        <f>IFERROR(final!O23*100/final!$I23,"")</f>
        <v/>
      </c>
      <c r="E225" s="39" t="str">
        <f>IFERROR(final!P23*100/final!$I23,"")</f>
        <v/>
      </c>
      <c r="F225" s="39" t="str">
        <f>IFERROR(final!Q23*100/final!$I23,"")</f>
        <v/>
      </c>
      <c r="G225" s="39" t="str">
        <f>IFERROR(final!R23*100/final!$I23,"")</f>
        <v/>
      </c>
      <c r="H225" s="39" t="str">
        <f>IFERROR(final!S23*100/final!$I23,"")</f>
        <v/>
      </c>
      <c r="I225" s="39" t="str">
        <f>IFERROR(final!T23*100/final!$I23,"")</f>
        <v/>
      </c>
      <c r="J225" s="39" t="str">
        <f>IFERROR(final!U23*100/final!$I23,"")</f>
        <v/>
      </c>
      <c r="K225" s="39" t="str">
        <f>IFERROR(final!V23*100/final!$I23,"")</f>
        <v/>
      </c>
      <c r="L225" s="39" t="str">
        <f>IFERROR(final!W23*100/final!$I23,"")</f>
        <v/>
      </c>
      <c r="M225" s="39" t="str">
        <f>IFERROR(final!X23*100/final!$I23,"")</f>
        <v/>
      </c>
      <c r="N225" s="39" t="str">
        <f>IFERROR(final!Y23*100/final!$I23,"")</f>
        <v/>
      </c>
      <c r="O225" s="39" t="str">
        <f>IFERROR(final!Z23*100/final!$I23,"")</f>
        <v/>
      </c>
      <c r="P225" s="39" t="str">
        <f>IFERROR(final!AA23*100/final!$I23,"")</f>
        <v/>
      </c>
      <c r="Q225" s="39" t="str">
        <f>IFERROR(final!AB23*100/final!$I23,"")</f>
        <v/>
      </c>
      <c r="R225" s="39" t="str">
        <f>IFERROR(final!AC23*100/final!$I23,"")</f>
        <v/>
      </c>
      <c r="S225" s="39" t="str">
        <f>IFERROR(final!AD23*100/final!$I23,"")</f>
        <v/>
      </c>
      <c r="T225" s="39" t="str">
        <f>IFERROR(final!AE23*100/final!$I23,"")</f>
        <v/>
      </c>
      <c r="U225" s="39" t="str">
        <f>IFERROR(final!AF23*100/final!$I23,"")</f>
        <v/>
      </c>
      <c r="V225" s="39" t="str">
        <f>IFERROR(final!AG23*100/final!$I23,"")</f>
        <v/>
      </c>
      <c r="W225" s="39" t="str">
        <f>IFERROR(final!AH23*100/final!$I23,"")</f>
        <v/>
      </c>
      <c r="X225" s="39" t="str">
        <f>IFERROR(final!AI23*100/final!$I23,"")</f>
        <v/>
      </c>
      <c r="Y225" s="39" t="str">
        <f>IFERROR(final!AJ23*100/final!$I23,"")</f>
        <v/>
      </c>
      <c r="Z225" s="39" t="str">
        <f>IFERROR(final!AK23*100/final!$I23,"")</f>
        <v/>
      </c>
      <c r="AA225" s="39" t="str">
        <f>IFERROR(final!AL23*100/final!$I23,"")</f>
        <v/>
      </c>
      <c r="AB225" s="39" t="str">
        <f>IFERROR(final!AM23*100/final!$I23,"")</f>
        <v/>
      </c>
      <c r="AC225" s="39" t="str">
        <f>IFERROR(final!AN23*100/final!$I23,"")</f>
        <v/>
      </c>
      <c r="AD225" s="39" t="str">
        <f>IFERROR(final!AO23*100/final!$I23,"")</f>
        <v/>
      </c>
      <c r="AE225" s="39" t="str">
        <f>IFERROR(final!AP23*100/final!$I23,"")</f>
        <v/>
      </c>
      <c r="AF225" s="39" t="str">
        <f>IFERROR(final!AQ23*100/final!$I23,"")</f>
        <v/>
      </c>
      <c r="AG225" s="39" t="str">
        <f>IFERROR(final!AR23*100/final!$I23,"")</f>
        <v/>
      </c>
      <c r="AH225" s="39" t="str">
        <f>IFERROR(final!AS23*100/final!$I23,"")</f>
        <v/>
      </c>
      <c r="AI225" s="39" t="str">
        <f>IFERROR(final!AT23*100/final!$I23,"")</f>
        <v/>
      </c>
      <c r="AJ225" s="39" t="str">
        <f>IFERROR(final!AU23*100/final!$I23,"")</f>
        <v/>
      </c>
      <c r="AK225" s="39" t="str">
        <f>IFERROR(final!AV23*100/final!$I23,"")</f>
        <v/>
      </c>
      <c r="AL225" s="39" t="str">
        <f>IFERROR(final!AW23*100/final!$I23,"")</f>
        <v/>
      </c>
      <c r="AM225" s="39" t="str">
        <f>IFERROR(final!AX23*100/final!$I23,"")</f>
        <v/>
      </c>
      <c r="AN225" s="39" t="str">
        <f>IFERROR(final!AY23*100/final!$I23,"")</f>
        <v/>
      </c>
      <c r="AO225" s="39" t="str">
        <f>IFERROR(final!AZ23*100/final!$I23,"")</f>
        <v/>
      </c>
      <c r="AP225" s="39" t="str">
        <f>IFERROR(final!BA23*100/final!$I23,"")</f>
        <v/>
      </c>
      <c r="AQ225" s="39" t="str">
        <f>IFERROR(final!BB23*100/final!$I23,"")</f>
        <v/>
      </c>
      <c r="AR225" s="39" t="str">
        <f>IFERROR(final!BC23*100/final!$I23,"")</f>
        <v/>
      </c>
      <c r="AS225" s="39" t="str">
        <f>IFERROR(final!BD23*100/final!$I23,"")</f>
        <v/>
      </c>
      <c r="AT225" s="39" t="str">
        <f>IFERROR(final!BE23*100/final!$I23,"")</f>
        <v/>
      </c>
      <c r="AU225" s="39" t="str">
        <f>IFERROR(final!BF23*100/final!$I23,"")</f>
        <v/>
      </c>
      <c r="AV225" s="39" t="str">
        <f>IFERROR(final!BG23*100/final!$I23,"")</f>
        <v/>
      </c>
      <c r="AW225" s="39" t="str">
        <f>IFERROR(final!BH23*100/final!$I23,"")</f>
        <v/>
      </c>
      <c r="AX225" s="39" t="str">
        <f>IFERROR(final!BI23*100/final!$I23,"")</f>
        <v/>
      </c>
      <c r="AY225" s="39" t="str">
        <f>IFERROR(final!BJ23*100/final!$I23,"")</f>
        <v/>
      </c>
      <c r="AZ225" s="39" t="str">
        <f>IFERROR(final!BK23*100/final!$I23,"")</f>
        <v/>
      </c>
      <c r="BA225" s="39" t="str">
        <f>IFERROR(final!BL23*100/final!$I23,"")</f>
        <v/>
      </c>
      <c r="BB225" s="39" t="str">
        <f>IFERROR(final!BM23*100/final!$I23,"")</f>
        <v/>
      </c>
      <c r="BC225" s="39" t="str">
        <f>IFERROR(final!BN23*100/final!$I23,"")</f>
        <v/>
      </c>
      <c r="BD225" s="39" t="str">
        <f>IFERROR(final!BO23*100/final!$I23,"")</f>
        <v/>
      </c>
      <c r="BE225" s="39" t="str">
        <f>IFERROR(final!BP23*100/final!$I23,"")</f>
        <v/>
      </c>
      <c r="BF225" s="39" t="str">
        <f>IFERROR(final!BQ23*100/final!$I23,"")</f>
        <v/>
      </c>
      <c r="BG225" s="39" t="str">
        <f>IFERROR(final!BR23*100/final!$I23,"")</f>
        <v/>
      </c>
      <c r="BH225" s="39" t="str">
        <f>IFERROR(final!BS23*100/final!$I23,"")</f>
        <v/>
      </c>
      <c r="BI225" s="39" t="str">
        <f>IFERROR(final!BT23*100/final!$I23,"")</f>
        <v/>
      </c>
      <c r="BJ225" s="39" t="str">
        <f>IFERROR(final!BU23*100/final!$I23,"")</f>
        <v/>
      </c>
      <c r="BK225" s="39" t="str">
        <f>IFERROR(final!BV23*100/final!$I23,"")</f>
        <v/>
      </c>
      <c r="BL225" s="39" t="str">
        <f>IFERROR(final!BW23*100/final!$I23,"")</f>
        <v/>
      </c>
      <c r="BM225" s="39" t="str">
        <f>IFERROR(final!BX23*100/final!$I23,"")</f>
        <v/>
      </c>
      <c r="BN225" s="39" t="str">
        <f>IFERROR(final!BY23*100/final!$I23,"")</f>
        <v/>
      </c>
      <c r="BO225" s="39" t="str">
        <f>IFERROR(final!BZ23*100/final!$I23,"")</f>
        <v/>
      </c>
      <c r="BP225" s="39" t="str">
        <f>IFERROR(final!CA23*100/final!$I23,"")</f>
        <v/>
      </c>
      <c r="BQ225" s="39" t="str">
        <f>IFERROR(final!CB23*100/final!$I23,"")</f>
        <v/>
      </c>
      <c r="BR225" s="39" t="str">
        <f>IFERROR(final!CC23*100/final!$I23,"")</f>
        <v/>
      </c>
      <c r="BS225" s="39" t="str">
        <f>IFERROR(final!CD23*100/final!$I23,"")</f>
        <v/>
      </c>
      <c r="BT225" s="39" t="str">
        <f>IFERROR(final!CE23*100/final!$I23,"")</f>
        <v/>
      </c>
      <c r="BU225" s="39" t="str">
        <f>IFERROR(final!CF23*100/final!$I23,"")</f>
        <v/>
      </c>
      <c r="BV225" s="39" t="str">
        <f>IFERROR(final!CG23*100/final!$I23,"")</f>
        <v/>
      </c>
      <c r="BW225" s="39" t="str">
        <f>IFERROR(final!CH23*100/final!$I23,"")</f>
        <v/>
      </c>
      <c r="BX225" s="39" t="str">
        <f>IFERROR(final!CI23*100/final!$I23,"")</f>
        <v/>
      </c>
      <c r="BY225" s="39" t="str">
        <f>IFERROR(final!CJ23*100/final!$I23,"")</f>
        <v/>
      </c>
      <c r="BZ225" s="39" t="str">
        <f>IFERROR(final!CK23*100/final!$I23,"")</f>
        <v/>
      </c>
      <c r="CA225" s="39" t="str">
        <f>IFERROR(final!CL23*100/final!$I23,"")</f>
        <v/>
      </c>
      <c r="CB225" s="39" t="str">
        <f>IFERROR(final!CM23*100/final!$I23,"")</f>
        <v/>
      </c>
      <c r="CC225" s="39" t="str">
        <f>IFERROR(final!CN23*100/final!$I23,"")</f>
        <v/>
      </c>
      <c r="CD225" s="39" t="str">
        <f>IFERROR(final!CO23*100/final!$I23,"")</f>
        <v/>
      </c>
      <c r="CE225" s="39" t="str">
        <f>IFERROR(final!CP23*100/final!$I23,"")</f>
        <v/>
      </c>
      <c r="CF225" s="39" t="str">
        <f>IFERROR(final!CQ23*100/final!$I23,"")</f>
        <v/>
      </c>
      <c r="CG225" s="39" t="str">
        <f>IFERROR(final!CR23*100/final!$I23,"")</f>
        <v/>
      </c>
      <c r="CH225" s="39" t="str">
        <f>IFERROR(final!CS23*100/final!$I23,"")</f>
        <v/>
      </c>
      <c r="CI225" s="39" t="str">
        <f>IFERROR(final!CT23*100/final!$I23,"")</f>
        <v/>
      </c>
      <c r="CJ225" s="39" t="str">
        <f>IFERROR(final!CU23*100/final!$I23,"")</f>
        <v/>
      </c>
      <c r="CK225" s="39" t="str">
        <f>IFERROR(final!CV23*100/final!$I23,"")</f>
        <v/>
      </c>
      <c r="CL225" s="39" t="str">
        <f>IFERROR(final!CW23*100/final!$I23,"")</f>
        <v/>
      </c>
      <c r="CM225" s="39" t="str">
        <f>IFERROR(final!CX23*100/final!$I23,"")</f>
        <v/>
      </c>
      <c r="CN225" s="39" t="str">
        <f>IFERROR(final!CY23*100/final!$I23,"")</f>
        <v/>
      </c>
      <c r="CO225" s="39" t="str">
        <f>IFERROR(final!CZ23*100/final!$I23,"")</f>
        <v/>
      </c>
      <c r="CP225" s="39" t="str">
        <f>IFERROR(final!DA23*100/final!$I23,"")</f>
        <v/>
      </c>
      <c r="CQ225" s="39" t="str">
        <f>IFERROR(final!DB23*100/final!$I23,"")</f>
        <v/>
      </c>
      <c r="CR225" s="39" t="str">
        <f>IFERROR(final!DC23*100/final!$I23,"")</f>
        <v/>
      </c>
      <c r="CS225" s="39" t="str">
        <f>IFERROR(final!DD23*100/final!$I23,"")</f>
        <v/>
      </c>
      <c r="CT225" s="39" t="str">
        <f>IFERROR(final!DE23*100/final!$I23,"")</f>
        <v/>
      </c>
      <c r="CU225" s="39" t="str">
        <f>IFERROR(final!DF23*100/final!$I23,"")</f>
        <v/>
      </c>
      <c r="CV225" s="39" t="str">
        <f>IFERROR(final!DG23*100/final!$I23,"")</f>
        <v/>
      </c>
      <c r="CW225" s="32" t="str">
        <f>IFERROR(SUM(A225:CV225)/final!$DH$103,"")</f>
        <v/>
      </c>
      <c r="CX225" s="14" t="str">
        <f>IF(COUNTA(final!A23),final!A23,"")</f>
        <v/>
      </c>
      <c r="CY225" s="14" t="str">
        <f>IF(COUNTA(final!B23),final!B23,"")</f>
        <v/>
      </c>
      <c r="CZ225" s="14" t="str">
        <f>IF(COUNTA(final!C23),final!C23,"")</f>
        <v/>
      </c>
      <c r="DA225" s="14" t="str">
        <f>IF(COUNTA(final!D23),final!D23,"")</f>
        <v/>
      </c>
      <c r="DB225" s="14" t="str">
        <f>IF(COUNTA(final!E23),final!E23,"")</f>
        <v/>
      </c>
      <c r="DC225" s="14" t="str">
        <f>IF(COUNTA(final!F23),final!F23,"")</f>
        <v/>
      </c>
      <c r="DD225" s="14" t="str">
        <f>IF(COUNTA(final!G23),final!G23,"")</f>
        <v/>
      </c>
      <c r="DE225" s="14" t="str">
        <f>IF(COUNTA(final!H23),final!H23,"")</f>
        <v/>
      </c>
    </row>
    <row r="226" spans="1:109" x14ac:dyDescent="0.2">
      <c r="A226" s="39" t="str">
        <f>IFERROR(final!L24*100/final!$I24,"")</f>
        <v/>
      </c>
      <c r="B226" s="39" t="str">
        <f>IFERROR(final!M24*100/final!$I24,"")</f>
        <v/>
      </c>
      <c r="C226" s="39" t="str">
        <f>IFERROR(final!N24*100/final!$I24,"")</f>
        <v/>
      </c>
      <c r="D226" s="39" t="str">
        <f>IFERROR(final!O24*100/final!$I24,"")</f>
        <v/>
      </c>
      <c r="E226" s="39" t="str">
        <f>IFERROR(final!P24*100/final!$I24,"")</f>
        <v/>
      </c>
      <c r="F226" s="39" t="str">
        <f>IFERROR(final!Q24*100/final!$I24,"")</f>
        <v/>
      </c>
      <c r="G226" s="39" t="str">
        <f>IFERROR(final!R24*100/final!$I24,"")</f>
        <v/>
      </c>
      <c r="H226" s="39" t="str">
        <f>IFERROR(final!S24*100/final!$I24,"")</f>
        <v/>
      </c>
      <c r="I226" s="39" t="str">
        <f>IFERROR(final!T24*100/final!$I24,"")</f>
        <v/>
      </c>
      <c r="J226" s="39" t="str">
        <f>IFERROR(final!U24*100/final!$I24,"")</f>
        <v/>
      </c>
      <c r="K226" s="39" t="str">
        <f>IFERROR(final!V24*100/final!$I24,"")</f>
        <v/>
      </c>
      <c r="L226" s="39" t="str">
        <f>IFERROR(final!W24*100/final!$I24,"")</f>
        <v/>
      </c>
      <c r="M226" s="39" t="str">
        <f>IFERROR(final!X24*100/final!$I24,"")</f>
        <v/>
      </c>
      <c r="N226" s="39" t="str">
        <f>IFERROR(final!Y24*100/final!$I24,"")</f>
        <v/>
      </c>
      <c r="O226" s="39" t="str">
        <f>IFERROR(final!Z24*100/final!$I24,"")</f>
        <v/>
      </c>
      <c r="P226" s="39" t="str">
        <f>IFERROR(final!AA24*100/final!$I24,"")</f>
        <v/>
      </c>
      <c r="Q226" s="39" t="str">
        <f>IFERROR(final!AB24*100/final!$I24,"")</f>
        <v/>
      </c>
      <c r="R226" s="39" t="str">
        <f>IFERROR(final!AC24*100/final!$I24,"")</f>
        <v/>
      </c>
      <c r="S226" s="39" t="str">
        <f>IFERROR(final!AD24*100/final!$I24,"")</f>
        <v/>
      </c>
      <c r="T226" s="39" t="str">
        <f>IFERROR(final!AE24*100/final!$I24,"")</f>
        <v/>
      </c>
      <c r="U226" s="39" t="str">
        <f>IFERROR(final!AF24*100/final!$I24,"")</f>
        <v/>
      </c>
      <c r="V226" s="39" t="str">
        <f>IFERROR(final!AG24*100/final!$I24,"")</f>
        <v/>
      </c>
      <c r="W226" s="39" t="str">
        <f>IFERROR(final!AH24*100/final!$I24,"")</f>
        <v/>
      </c>
      <c r="X226" s="39" t="str">
        <f>IFERROR(final!AI24*100/final!$I24,"")</f>
        <v/>
      </c>
      <c r="Y226" s="39" t="str">
        <f>IFERROR(final!AJ24*100/final!$I24,"")</f>
        <v/>
      </c>
      <c r="Z226" s="39" t="str">
        <f>IFERROR(final!AK24*100/final!$I24,"")</f>
        <v/>
      </c>
      <c r="AA226" s="39" t="str">
        <f>IFERROR(final!AL24*100/final!$I24,"")</f>
        <v/>
      </c>
      <c r="AB226" s="39" t="str">
        <f>IFERROR(final!AM24*100/final!$I24,"")</f>
        <v/>
      </c>
      <c r="AC226" s="39" t="str">
        <f>IFERROR(final!AN24*100/final!$I24,"")</f>
        <v/>
      </c>
      <c r="AD226" s="39" t="str">
        <f>IFERROR(final!AO24*100/final!$I24,"")</f>
        <v/>
      </c>
      <c r="AE226" s="39" t="str">
        <f>IFERROR(final!AP24*100/final!$I24,"")</f>
        <v/>
      </c>
      <c r="AF226" s="39" t="str">
        <f>IFERROR(final!AQ24*100/final!$I24,"")</f>
        <v/>
      </c>
      <c r="AG226" s="39" t="str">
        <f>IFERROR(final!AR24*100/final!$I24,"")</f>
        <v/>
      </c>
      <c r="AH226" s="39" t="str">
        <f>IFERROR(final!AS24*100/final!$I24,"")</f>
        <v/>
      </c>
      <c r="AI226" s="39" t="str">
        <f>IFERROR(final!AT24*100/final!$I24,"")</f>
        <v/>
      </c>
      <c r="AJ226" s="39" t="str">
        <f>IFERROR(final!AU24*100/final!$I24,"")</f>
        <v/>
      </c>
      <c r="AK226" s="39" t="str">
        <f>IFERROR(final!AV24*100/final!$I24,"")</f>
        <v/>
      </c>
      <c r="AL226" s="39" t="str">
        <f>IFERROR(final!AW24*100/final!$I24,"")</f>
        <v/>
      </c>
      <c r="AM226" s="39" t="str">
        <f>IFERROR(final!AX24*100/final!$I24,"")</f>
        <v/>
      </c>
      <c r="AN226" s="39" t="str">
        <f>IFERROR(final!AY24*100/final!$I24,"")</f>
        <v/>
      </c>
      <c r="AO226" s="39" t="str">
        <f>IFERROR(final!AZ24*100/final!$I24,"")</f>
        <v/>
      </c>
      <c r="AP226" s="39" t="str">
        <f>IFERROR(final!BA24*100/final!$I24,"")</f>
        <v/>
      </c>
      <c r="AQ226" s="39" t="str">
        <f>IFERROR(final!BB24*100/final!$I24,"")</f>
        <v/>
      </c>
      <c r="AR226" s="39" t="str">
        <f>IFERROR(final!BC24*100/final!$I24,"")</f>
        <v/>
      </c>
      <c r="AS226" s="39" t="str">
        <f>IFERROR(final!BD24*100/final!$I24,"")</f>
        <v/>
      </c>
      <c r="AT226" s="39" t="str">
        <f>IFERROR(final!BE24*100/final!$I24,"")</f>
        <v/>
      </c>
      <c r="AU226" s="39" t="str">
        <f>IFERROR(final!BF24*100/final!$I24,"")</f>
        <v/>
      </c>
      <c r="AV226" s="39" t="str">
        <f>IFERROR(final!BG24*100/final!$I24,"")</f>
        <v/>
      </c>
      <c r="AW226" s="39" t="str">
        <f>IFERROR(final!BH24*100/final!$I24,"")</f>
        <v/>
      </c>
      <c r="AX226" s="39" t="str">
        <f>IFERROR(final!BI24*100/final!$I24,"")</f>
        <v/>
      </c>
      <c r="AY226" s="39" t="str">
        <f>IFERROR(final!BJ24*100/final!$I24,"")</f>
        <v/>
      </c>
      <c r="AZ226" s="39" t="str">
        <f>IFERROR(final!BK24*100/final!$I24,"")</f>
        <v/>
      </c>
      <c r="BA226" s="39" t="str">
        <f>IFERROR(final!BL24*100/final!$I24,"")</f>
        <v/>
      </c>
      <c r="BB226" s="39" t="str">
        <f>IFERROR(final!BM24*100/final!$I24,"")</f>
        <v/>
      </c>
      <c r="BC226" s="39" t="str">
        <f>IFERROR(final!BN24*100/final!$I24,"")</f>
        <v/>
      </c>
      <c r="BD226" s="39" t="str">
        <f>IFERROR(final!BO24*100/final!$I24,"")</f>
        <v/>
      </c>
      <c r="BE226" s="39" t="str">
        <f>IFERROR(final!BP24*100/final!$I24,"")</f>
        <v/>
      </c>
      <c r="BF226" s="39" t="str">
        <f>IFERROR(final!BQ24*100/final!$I24,"")</f>
        <v/>
      </c>
      <c r="BG226" s="39" t="str">
        <f>IFERROR(final!BR24*100/final!$I24,"")</f>
        <v/>
      </c>
      <c r="BH226" s="39" t="str">
        <f>IFERROR(final!BS24*100/final!$I24,"")</f>
        <v/>
      </c>
      <c r="BI226" s="39" t="str">
        <f>IFERROR(final!BT24*100/final!$I24,"")</f>
        <v/>
      </c>
      <c r="BJ226" s="39" t="str">
        <f>IFERROR(final!BU24*100/final!$I24,"")</f>
        <v/>
      </c>
      <c r="BK226" s="39" t="str">
        <f>IFERROR(final!BV24*100/final!$I24,"")</f>
        <v/>
      </c>
      <c r="BL226" s="39" t="str">
        <f>IFERROR(final!BW24*100/final!$I24,"")</f>
        <v/>
      </c>
      <c r="BM226" s="39" t="str">
        <f>IFERROR(final!BX24*100/final!$I24,"")</f>
        <v/>
      </c>
      <c r="BN226" s="39" t="str">
        <f>IFERROR(final!BY24*100/final!$I24,"")</f>
        <v/>
      </c>
      <c r="BO226" s="39" t="str">
        <f>IFERROR(final!BZ24*100/final!$I24,"")</f>
        <v/>
      </c>
      <c r="BP226" s="39" t="str">
        <f>IFERROR(final!CA24*100/final!$I24,"")</f>
        <v/>
      </c>
      <c r="BQ226" s="39" t="str">
        <f>IFERROR(final!CB24*100/final!$I24,"")</f>
        <v/>
      </c>
      <c r="BR226" s="39" t="str">
        <f>IFERROR(final!CC24*100/final!$I24,"")</f>
        <v/>
      </c>
      <c r="BS226" s="39" t="str">
        <f>IFERROR(final!CD24*100/final!$I24,"")</f>
        <v/>
      </c>
      <c r="BT226" s="39" t="str">
        <f>IFERROR(final!CE24*100/final!$I24,"")</f>
        <v/>
      </c>
      <c r="BU226" s="39" t="str">
        <f>IFERROR(final!CF24*100/final!$I24,"")</f>
        <v/>
      </c>
      <c r="BV226" s="39" t="str">
        <f>IFERROR(final!CG24*100/final!$I24,"")</f>
        <v/>
      </c>
      <c r="BW226" s="39" t="str">
        <f>IFERROR(final!CH24*100/final!$I24,"")</f>
        <v/>
      </c>
      <c r="BX226" s="39" t="str">
        <f>IFERROR(final!CI24*100/final!$I24,"")</f>
        <v/>
      </c>
      <c r="BY226" s="39" t="str">
        <f>IFERROR(final!CJ24*100/final!$I24,"")</f>
        <v/>
      </c>
      <c r="BZ226" s="39" t="str">
        <f>IFERROR(final!CK24*100/final!$I24,"")</f>
        <v/>
      </c>
      <c r="CA226" s="39" t="str">
        <f>IFERROR(final!CL24*100/final!$I24,"")</f>
        <v/>
      </c>
      <c r="CB226" s="39" t="str">
        <f>IFERROR(final!CM24*100/final!$I24,"")</f>
        <v/>
      </c>
      <c r="CC226" s="39" t="str">
        <f>IFERROR(final!CN24*100/final!$I24,"")</f>
        <v/>
      </c>
      <c r="CD226" s="39" t="str">
        <f>IFERROR(final!CO24*100/final!$I24,"")</f>
        <v/>
      </c>
      <c r="CE226" s="39" t="str">
        <f>IFERROR(final!CP24*100/final!$I24,"")</f>
        <v/>
      </c>
      <c r="CF226" s="39" t="str">
        <f>IFERROR(final!CQ24*100/final!$I24,"")</f>
        <v/>
      </c>
      <c r="CG226" s="39" t="str">
        <f>IFERROR(final!CR24*100/final!$I24,"")</f>
        <v/>
      </c>
      <c r="CH226" s="39" t="str">
        <f>IFERROR(final!CS24*100/final!$I24,"")</f>
        <v/>
      </c>
      <c r="CI226" s="39" t="str">
        <f>IFERROR(final!CT24*100/final!$I24,"")</f>
        <v/>
      </c>
      <c r="CJ226" s="39" t="str">
        <f>IFERROR(final!CU24*100/final!$I24,"")</f>
        <v/>
      </c>
      <c r="CK226" s="39" t="str">
        <f>IFERROR(final!CV24*100/final!$I24,"")</f>
        <v/>
      </c>
      <c r="CL226" s="39" t="str">
        <f>IFERROR(final!CW24*100/final!$I24,"")</f>
        <v/>
      </c>
      <c r="CM226" s="39" t="str">
        <f>IFERROR(final!CX24*100/final!$I24,"")</f>
        <v/>
      </c>
      <c r="CN226" s="39" t="str">
        <f>IFERROR(final!CY24*100/final!$I24,"")</f>
        <v/>
      </c>
      <c r="CO226" s="39" t="str">
        <f>IFERROR(final!CZ24*100/final!$I24,"")</f>
        <v/>
      </c>
      <c r="CP226" s="39" t="str">
        <f>IFERROR(final!DA24*100/final!$I24,"")</f>
        <v/>
      </c>
      <c r="CQ226" s="39" t="str">
        <f>IFERROR(final!DB24*100/final!$I24,"")</f>
        <v/>
      </c>
      <c r="CR226" s="39" t="str">
        <f>IFERROR(final!DC24*100/final!$I24,"")</f>
        <v/>
      </c>
      <c r="CS226" s="39" t="str">
        <f>IFERROR(final!DD24*100/final!$I24,"")</f>
        <v/>
      </c>
      <c r="CT226" s="39" t="str">
        <f>IFERROR(final!DE24*100/final!$I24,"")</f>
        <v/>
      </c>
      <c r="CU226" s="39" t="str">
        <f>IFERROR(final!DF24*100/final!$I24,"")</f>
        <v/>
      </c>
      <c r="CV226" s="39" t="str">
        <f>IFERROR(final!DG24*100/final!$I24,"")</f>
        <v/>
      </c>
      <c r="CW226" s="32" t="str">
        <f>IFERROR(SUM(A226:CV226)/final!$DH$103,"")</f>
        <v/>
      </c>
      <c r="CX226" s="14" t="str">
        <f>IF(COUNTA(final!A24),final!A24,"")</f>
        <v/>
      </c>
      <c r="CY226" s="14" t="str">
        <f>IF(COUNTA(final!B24),final!B24,"")</f>
        <v/>
      </c>
      <c r="CZ226" s="14" t="str">
        <f>IF(COUNTA(final!C24),final!C24,"")</f>
        <v/>
      </c>
      <c r="DA226" s="14" t="str">
        <f>IF(COUNTA(final!D24),final!D24,"")</f>
        <v/>
      </c>
      <c r="DB226" s="14" t="str">
        <f>IF(COUNTA(final!E24),final!E24,"")</f>
        <v/>
      </c>
      <c r="DC226" s="14" t="str">
        <f>IF(COUNTA(final!F24),final!F24,"")</f>
        <v/>
      </c>
      <c r="DD226" s="14" t="str">
        <f>IF(COUNTA(final!G24),final!G24,"")</f>
        <v/>
      </c>
      <c r="DE226" s="14" t="str">
        <f>IF(COUNTA(final!H24),final!H24,"")</f>
        <v/>
      </c>
    </row>
    <row r="227" spans="1:109" x14ac:dyDescent="0.2">
      <c r="A227" s="39" t="str">
        <f>IFERROR(final!L25*100/final!$I25,"")</f>
        <v/>
      </c>
      <c r="B227" s="39" t="str">
        <f>IFERROR(final!M25*100/final!$I25,"")</f>
        <v/>
      </c>
      <c r="C227" s="39" t="str">
        <f>IFERROR(final!N25*100/final!$I25,"")</f>
        <v/>
      </c>
      <c r="D227" s="39" t="str">
        <f>IFERROR(final!O25*100/final!$I25,"")</f>
        <v/>
      </c>
      <c r="E227" s="39" t="str">
        <f>IFERROR(final!P25*100/final!$I25,"")</f>
        <v/>
      </c>
      <c r="F227" s="39" t="str">
        <f>IFERROR(final!Q25*100/final!$I25,"")</f>
        <v/>
      </c>
      <c r="G227" s="39" t="str">
        <f>IFERROR(final!R25*100/final!$I25,"")</f>
        <v/>
      </c>
      <c r="H227" s="39" t="str">
        <f>IFERROR(final!S25*100/final!$I25,"")</f>
        <v/>
      </c>
      <c r="I227" s="39" t="str">
        <f>IFERROR(final!T25*100/final!$I25,"")</f>
        <v/>
      </c>
      <c r="J227" s="39" t="str">
        <f>IFERROR(final!U25*100/final!$I25,"")</f>
        <v/>
      </c>
      <c r="K227" s="39" t="str">
        <f>IFERROR(final!V25*100/final!$I25,"")</f>
        <v/>
      </c>
      <c r="L227" s="39" t="str">
        <f>IFERROR(final!W25*100/final!$I25,"")</f>
        <v/>
      </c>
      <c r="M227" s="39" t="str">
        <f>IFERROR(final!X25*100/final!$I25,"")</f>
        <v/>
      </c>
      <c r="N227" s="39" t="str">
        <f>IFERROR(final!Y25*100/final!$I25,"")</f>
        <v/>
      </c>
      <c r="O227" s="39" t="str">
        <f>IFERROR(final!Z25*100/final!$I25,"")</f>
        <v/>
      </c>
      <c r="P227" s="39" t="str">
        <f>IFERROR(final!AA25*100/final!$I25,"")</f>
        <v/>
      </c>
      <c r="Q227" s="39" t="str">
        <f>IFERROR(final!AB25*100/final!$I25,"")</f>
        <v/>
      </c>
      <c r="R227" s="39" t="str">
        <f>IFERROR(final!AC25*100/final!$I25,"")</f>
        <v/>
      </c>
      <c r="S227" s="39" t="str">
        <f>IFERROR(final!AD25*100/final!$I25,"")</f>
        <v/>
      </c>
      <c r="T227" s="39" t="str">
        <f>IFERROR(final!AE25*100/final!$I25,"")</f>
        <v/>
      </c>
      <c r="U227" s="39" t="str">
        <f>IFERROR(final!AF25*100/final!$I25,"")</f>
        <v/>
      </c>
      <c r="V227" s="39" t="str">
        <f>IFERROR(final!AG25*100/final!$I25,"")</f>
        <v/>
      </c>
      <c r="W227" s="39" t="str">
        <f>IFERROR(final!AH25*100/final!$I25,"")</f>
        <v/>
      </c>
      <c r="X227" s="39" t="str">
        <f>IFERROR(final!AI25*100/final!$I25,"")</f>
        <v/>
      </c>
      <c r="Y227" s="39" t="str">
        <f>IFERROR(final!AJ25*100/final!$I25,"")</f>
        <v/>
      </c>
      <c r="Z227" s="39" t="str">
        <f>IFERROR(final!AK25*100/final!$I25,"")</f>
        <v/>
      </c>
      <c r="AA227" s="39" t="str">
        <f>IFERROR(final!AL25*100/final!$I25,"")</f>
        <v/>
      </c>
      <c r="AB227" s="39" t="str">
        <f>IFERROR(final!AM25*100/final!$I25,"")</f>
        <v/>
      </c>
      <c r="AC227" s="39" t="str">
        <f>IFERROR(final!AN25*100/final!$I25,"")</f>
        <v/>
      </c>
      <c r="AD227" s="39" t="str">
        <f>IFERROR(final!AO25*100/final!$I25,"")</f>
        <v/>
      </c>
      <c r="AE227" s="39" t="str">
        <f>IFERROR(final!AP25*100/final!$I25,"")</f>
        <v/>
      </c>
      <c r="AF227" s="39" t="str">
        <f>IFERROR(final!AQ25*100/final!$I25,"")</f>
        <v/>
      </c>
      <c r="AG227" s="39" t="str">
        <f>IFERROR(final!AR25*100/final!$I25,"")</f>
        <v/>
      </c>
      <c r="AH227" s="39" t="str">
        <f>IFERROR(final!AS25*100/final!$I25,"")</f>
        <v/>
      </c>
      <c r="AI227" s="39" t="str">
        <f>IFERROR(final!AT25*100/final!$I25,"")</f>
        <v/>
      </c>
      <c r="AJ227" s="39" t="str">
        <f>IFERROR(final!AU25*100/final!$I25,"")</f>
        <v/>
      </c>
      <c r="AK227" s="39" t="str">
        <f>IFERROR(final!AV25*100/final!$I25,"")</f>
        <v/>
      </c>
      <c r="AL227" s="39" t="str">
        <f>IFERROR(final!AW25*100/final!$I25,"")</f>
        <v/>
      </c>
      <c r="AM227" s="39" t="str">
        <f>IFERROR(final!AX25*100/final!$I25,"")</f>
        <v/>
      </c>
      <c r="AN227" s="39" t="str">
        <f>IFERROR(final!AY25*100/final!$I25,"")</f>
        <v/>
      </c>
      <c r="AO227" s="39" t="str">
        <f>IFERROR(final!AZ25*100/final!$I25,"")</f>
        <v/>
      </c>
      <c r="AP227" s="39" t="str">
        <f>IFERROR(final!BA25*100/final!$I25,"")</f>
        <v/>
      </c>
      <c r="AQ227" s="39" t="str">
        <f>IFERROR(final!BB25*100/final!$I25,"")</f>
        <v/>
      </c>
      <c r="AR227" s="39" t="str">
        <f>IFERROR(final!BC25*100/final!$I25,"")</f>
        <v/>
      </c>
      <c r="AS227" s="39" t="str">
        <f>IFERROR(final!BD25*100/final!$I25,"")</f>
        <v/>
      </c>
      <c r="AT227" s="39" t="str">
        <f>IFERROR(final!BE25*100/final!$I25,"")</f>
        <v/>
      </c>
      <c r="AU227" s="39" t="str">
        <f>IFERROR(final!BF25*100/final!$I25,"")</f>
        <v/>
      </c>
      <c r="AV227" s="39" t="str">
        <f>IFERROR(final!BG25*100/final!$I25,"")</f>
        <v/>
      </c>
      <c r="AW227" s="39" t="str">
        <f>IFERROR(final!BH25*100/final!$I25,"")</f>
        <v/>
      </c>
      <c r="AX227" s="39" t="str">
        <f>IFERROR(final!BI25*100/final!$I25,"")</f>
        <v/>
      </c>
      <c r="AY227" s="39" t="str">
        <f>IFERROR(final!BJ25*100/final!$I25,"")</f>
        <v/>
      </c>
      <c r="AZ227" s="39" t="str">
        <f>IFERROR(final!BK25*100/final!$I25,"")</f>
        <v/>
      </c>
      <c r="BA227" s="39" t="str">
        <f>IFERROR(final!BL25*100/final!$I25,"")</f>
        <v/>
      </c>
      <c r="BB227" s="39" t="str">
        <f>IFERROR(final!BM25*100/final!$I25,"")</f>
        <v/>
      </c>
      <c r="BC227" s="39" t="str">
        <f>IFERROR(final!BN25*100/final!$I25,"")</f>
        <v/>
      </c>
      <c r="BD227" s="39" t="str">
        <f>IFERROR(final!BO25*100/final!$I25,"")</f>
        <v/>
      </c>
      <c r="BE227" s="39" t="str">
        <f>IFERROR(final!BP25*100/final!$I25,"")</f>
        <v/>
      </c>
      <c r="BF227" s="39" t="str">
        <f>IFERROR(final!BQ25*100/final!$I25,"")</f>
        <v/>
      </c>
      <c r="BG227" s="39" t="str">
        <f>IFERROR(final!BR25*100/final!$I25,"")</f>
        <v/>
      </c>
      <c r="BH227" s="39" t="str">
        <f>IFERROR(final!BS25*100/final!$I25,"")</f>
        <v/>
      </c>
      <c r="BI227" s="39" t="str">
        <f>IFERROR(final!BT25*100/final!$I25,"")</f>
        <v/>
      </c>
      <c r="BJ227" s="39" t="str">
        <f>IFERROR(final!BU25*100/final!$I25,"")</f>
        <v/>
      </c>
      <c r="BK227" s="39" t="str">
        <f>IFERROR(final!BV25*100/final!$I25,"")</f>
        <v/>
      </c>
      <c r="BL227" s="39" t="str">
        <f>IFERROR(final!BW25*100/final!$I25,"")</f>
        <v/>
      </c>
      <c r="BM227" s="39" t="str">
        <f>IFERROR(final!BX25*100/final!$I25,"")</f>
        <v/>
      </c>
      <c r="BN227" s="39" t="str">
        <f>IFERROR(final!BY25*100/final!$I25,"")</f>
        <v/>
      </c>
      <c r="BO227" s="39" t="str">
        <f>IFERROR(final!BZ25*100/final!$I25,"")</f>
        <v/>
      </c>
      <c r="BP227" s="39" t="str">
        <f>IFERROR(final!CA25*100/final!$I25,"")</f>
        <v/>
      </c>
      <c r="BQ227" s="39" t="str">
        <f>IFERROR(final!CB25*100/final!$I25,"")</f>
        <v/>
      </c>
      <c r="BR227" s="39" t="str">
        <f>IFERROR(final!CC25*100/final!$I25,"")</f>
        <v/>
      </c>
      <c r="BS227" s="39" t="str">
        <f>IFERROR(final!CD25*100/final!$I25,"")</f>
        <v/>
      </c>
      <c r="BT227" s="39" t="str">
        <f>IFERROR(final!CE25*100/final!$I25,"")</f>
        <v/>
      </c>
      <c r="BU227" s="39" t="str">
        <f>IFERROR(final!CF25*100/final!$I25,"")</f>
        <v/>
      </c>
      <c r="BV227" s="39" t="str">
        <f>IFERROR(final!CG25*100/final!$I25,"")</f>
        <v/>
      </c>
      <c r="BW227" s="39" t="str">
        <f>IFERROR(final!CH25*100/final!$I25,"")</f>
        <v/>
      </c>
      <c r="BX227" s="39" t="str">
        <f>IFERROR(final!CI25*100/final!$I25,"")</f>
        <v/>
      </c>
      <c r="BY227" s="39" t="str">
        <f>IFERROR(final!CJ25*100/final!$I25,"")</f>
        <v/>
      </c>
      <c r="BZ227" s="39" t="str">
        <f>IFERROR(final!CK25*100/final!$I25,"")</f>
        <v/>
      </c>
      <c r="CA227" s="39" t="str">
        <f>IFERROR(final!CL25*100/final!$I25,"")</f>
        <v/>
      </c>
      <c r="CB227" s="39" t="str">
        <f>IFERROR(final!CM25*100/final!$I25,"")</f>
        <v/>
      </c>
      <c r="CC227" s="39" t="str">
        <f>IFERROR(final!CN25*100/final!$I25,"")</f>
        <v/>
      </c>
      <c r="CD227" s="39" t="str">
        <f>IFERROR(final!CO25*100/final!$I25,"")</f>
        <v/>
      </c>
      <c r="CE227" s="39" t="str">
        <f>IFERROR(final!CP25*100/final!$I25,"")</f>
        <v/>
      </c>
      <c r="CF227" s="39" t="str">
        <f>IFERROR(final!CQ25*100/final!$I25,"")</f>
        <v/>
      </c>
      <c r="CG227" s="39" t="str">
        <f>IFERROR(final!CR25*100/final!$I25,"")</f>
        <v/>
      </c>
      <c r="CH227" s="39" t="str">
        <f>IFERROR(final!CS25*100/final!$I25,"")</f>
        <v/>
      </c>
      <c r="CI227" s="39" t="str">
        <f>IFERROR(final!CT25*100/final!$I25,"")</f>
        <v/>
      </c>
      <c r="CJ227" s="39" t="str">
        <f>IFERROR(final!CU25*100/final!$I25,"")</f>
        <v/>
      </c>
      <c r="CK227" s="39" t="str">
        <f>IFERROR(final!CV25*100/final!$I25,"")</f>
        <v/>
      </c>
      <c r="CL227" s="39" t="str">
        <f>IFERROR(final!CW25*100/final!$I25,"")</f>
        <v/>
      </c>
      <c r="CM227" s="39" t="str">
        <f>IFERROR(final!CX25*100/final!$I25,"")</f>
        <v/>
      </c>
      <c r="CN227" s="39" t="str">
        <f>IFERROR(final!CY25*100/final!$I25,"")</f>
        <v/>
      </c>
      <c r="CO227" s="39" t="str">
        <f>IFERROR(final!CZ25*100/final!$I25,"")</f>
        <v/>
      </c>
      <c r="CP227" s="39" t="str">
        <f>IFERROR(final!DA25*100/final!$I25,"")</f>
        <v/>
      </c>
      <c r="CQ227" s="39" t="str">
        <f>IFERROR(final!DB25*100/final!$I25,"")</f>
        <v/>
      </c>
      <c r="CR227" s="39" t="str">
        <f>IFERROR(final!DC25*100/final!$I25,"")</f>
        <v/>
      </c>
      <c r="CS227" s="39" t="str">
        <f>IFERROR(final!DD25*100/final!$I25,"")</f>
        <v/>
      </c>
      <c r="CT227" s="39" t="str">
        <f>IFERROR(final!DE25*100/final!$I25,"")</f>
        <v/>
      </c>
      <c r="CU227" s="39" t="str">
        <f>IFERROR(final!DF25*100/final!$I25,"")</f>
        <v/>
      </c>
      <c r="CV227" s="39" t="str">
        <f>IFERROR(final!DG25*100/final!$I25,"")</f>
        <v/>
      </c>
      <c r="CW227" s="32" t="str">
        <f>IFERROR(SUM(A227:CV227)/final!$DH$103,"")</f>
        <v/>
      </c>
      <c r="CX227" s="14" t="str">
        <f>IF(COUNTA(final!A25),final!A25,"")</f>
        <v/>
      </c>
      <c r="CY227" s="14" t="str">
        <f>IF(COUNTA(final!B25),final!B25,"")</f>
        <v/>
      </c>
      <c r="CZ227" s="14" t="str">
        <f>IF(COUNTA(final!C25),final!C25,"")</f>
        <v/>
      </c>
      <c r="DA227" s="14" t="str">
        <f>IF(COUNTA(final!D25),final!D25,"")</f>
        <v/>
      </c>
      <c r="DB227" s="14" t="str">
        <f>IF(COUNTA(final!E25),final!E25,"")</f>
        <v/>
      </c>
      <c r="DC227" s="14" t="str">
        <f>IF(COUNTA(final!F25),final!F25,"")</f>
        <v/>
      </c>
      <c r="DD227" s="14" t="str">
        <f>IF(COUNTA(final!G25),final!G25,"")</f>
        <v/>
      </c>
      <c r="DE227" s="14" t="str">
        <f>IF(COUNTA(final!H25),final!H25,"")</f>
        <v/>
      </c>
    </row>
    <row r="228" spans="1:109" x14ac:dyDescent="0.2">
      <c r="A228" s="39" t="str">
        <f>IFERROR(final!L26*100/final!$I26,"")</f>
        <v/>
      </c>
      <c r="B228" s="39" t="str">
        <f>IFERROR(final!M26*100/final!$I26,"")</f>
        <v/>
      </c>
      <c r="C228" s="39" t="str">
        <f>IFERROR(final!N26*100/final!$I26,"")</f>
        <v/>
      </c>
      <c r="D228" s="39" t="str">
        <f>IFERROR(final!O26*100/final!$I26,"")</f>
        <v/>
      </c>
      <c r="E228" s="39" t="str">
        <f>IFERROR(final!P26*100/final!$I26,"")</f>
        <v/>
      </c>
      <c r="F228" s="39" t="str">
        <f>IFERROR(final!Q26*100/final!$I26,"")</f>
        <v/>
      </c>
      <c r="G228" s="39" t="str">
        <f>IFERROR(final!R26*100/final!$I26,"")</f>
        <v/>
      </c>
      <c r="H228" s="39" t="str">
        <f>IFERROR(final!S26*100/final!$I26,"")</f>
        <v/>
      </c>
      <c r="I228" s="39" t="str">
        <f>IFERROR(final!T26*100/final!$I26,"")</f>
        <v/>
      </c>
      <c r="J228" s="39" t="str">
        <f>IFERROR(final!U26*100/final!$I26,"")</f>
        <v/>
      </c>
      <c r="K228" s="39" t="str">
        <f>IFERROR(final!V26*100/final!$I26,"")</f>
        <v/>
      </c>
      <c r="L228" s="39" t="str">
        <f>IFERROR(final!W26*100/final!$I26,"")</f>
        <v/>
      </c>
      <c r="M228" s="39" t="str">
        <f>IFERROR(final!X26*100/final!$I26,"")</f>
        <v/>
      </c>
      <c r="N228" s="39" t="str">
        <f>IFERROR(final!Y26*100/final!$I26,"")</f>
        <v/>
      </c>
      <c r="O228" s="39" t="str">
        <f>IFERROR(final!Z26*100/final!$I26,"")</f>
        <v/>
      </c>
      <c r="P228" s="39" t="str">
        <f>IFERROR(final!AA26*100/final!$I26,"")</f>
        <v/>
      </c>
      <c r="Q228" s="39" t="str">
        <f>IFERROR(final!AB26*100/final!$I26,"")</f>
        <v/>
      </c>
      <c r="R228" s="39" t="str">
        <f>IFERROR(final!AC26*100/final!$I26,"")</f>
        <v/>
      </c>
      <c r="S228" s="39" t="str">
        <f>IFERROR(final!AD26*100/final!$I26,"")</f>
        <v/>
      </c>
      <c r="T228" s="39" t="str">
        <f>IFERROR(final!AE26*100/final!$I26,"")</f>
        <v/>
      </c>
      <c r="U228" s="39" t="str">
        <f>IFERROR(final!AF26*100/final!$I26,"")</f>
        <v/>
      </c>
      <c r="V228" s="39" t="str">
        <f>IFERROR(final!AG26*100/final!$I26,"")</f>
        <v/>
      </c>
      <c r="W228" s="39" t="str">
        <f>IFERROR(final!AH26*100/final!$I26,"")</f>
        <v/>
      </c>
      <c r="X228" s="39" t="str">
        <f>IFERROR(final!AI26*100/final!$I26,"")</f>
        <v/>
      </c>
      <c r="Y228" s="39" t="str">
        <f>IFERROR(final!AJ26*100/final!$I26,"")</f>
        <v/>
      </c>
      <c r="Z228" s="39" t="str">
        <f>IFERROR(final!AK26*100/final!$I26,"")</f>
        <v/>
      </c>
      <c r="AA228" s="39" t="str">
        <f>IFERROR(final!AL26*100/final!$I26,"")</f>
        <v/>
      </c>
      <c r="AB228" s="39" t="str">
        <f>IFERROR(final!AM26*100/final!$I26,"")</f>
        <v/>
      </c>
      <c r="AC228" s="39" t="str">
        <f>IFERROR(final!AN26*100/final!$I26,"")</f>
        <v/>
      </c>
      <c r="AD228" s="39" t="str">
        <f>IFERROR(final!AO26*100/final!$I26,"")</f>
        <v/>
      </c>
      <c r="AE228" s="39" t="str">
        <f>IFERROR(final!AP26*100/final!$I26,"")</f>
        <v/>
      </c>
      <c r="AF228" s="39" t="str">
        <f>IFERROR(final!AQ26*100/final!$I26,"")</f>
        <v/>
      </c>
      <c r="AG228" s="39" t="str">
        <f>IFERROR(final!AR26*100/final!$I26,"")</f>
        <v/>
      </c>
      <c r="AH228" s="39" t="str">
        <f>IFERROR(final!AS26*100/final!$I26,"")</f>
        <v/>
      </c>
      <c r="AI228" s="39" t="str">
        <f>IFERROR(final!AT26*100/final!$I26,"")</f>
        <v/>
      </c>
      <c r="AJ228" s="39" t="str">
        <f>IFERROR(final!AU26*100/final!$I26,"")</f>
        <v/>
      </c>
      <c r="AK228" s="39" t="str">
        <f>IFERROR(final!AV26*100/final!$I26,"")</f>
        <v/>
      </c>
      <c r="AL228" s="39" t="str">
        <f>IFERROR(final!AW26*100/final!$I26,"")</f>
        <v/>
      </c>
      <c r="AM228" s="39" t="str">
        <f>IFERROR(final!AX26*100/final!$I26,"")</f>
        <v/>
      </c>
      <c r="AN228" s="39" t="str">
        <f>IFERROR(final!AY26*100/final!$I26,"")</f>
        <v/>
      </c>
      <c r="AO228" s="39" t="str">
        <f>IFERROR(final!AZ26*100/final!$I26,"")</f>
        <v/>
      </c>
      <c r="AP228" s="39" t="str">
        <f>IFERROR(final!BA26*100/final!$I26,"")</f>
        <v/>
      </c>
      <c r="AQ228" s="39" t="str">
        <f>IFERROR(final!BB26*100/final!$I26,"")</f>
        <v/>
      </c>
      <c r="AR228" s="39" t="str">
        <f>IFERROR(final!BC26*100/final!$I26,"")</f>
        <v/>
      </c>
      <c r="AS228" s="39" t="str">
        <f>IFERROR(final!BD26*100/final!$I26,"")</f>
        <v/>
      </c>
      <c r="AT228" s="39" t="str">
        <f>IFERROR(final!BE26*100/final!$I26,"")</f>
        <v/>
      </c>
      <c r="AU228" s="39" t="str">
        <f>IFERROR(final!BF26*100/final!$I26,"")</f>
        <v/>
      </c>
      <c r="AV228" s="39" t="str">
        <f>IFERROR(final!BG26*100/final!$I26,"")</f>
        <v/>
      </c>
      <c r="AW228" s="39" t="str">
        <f>IFERROR(final!BH26*100/final!$I26,"")</f>
        <v/>
      </c>
      <c r="AX228" s="39" t="str">
        <f>IFERROR(final!BI26*100/final!$I26,"")</f>
        <v/>
      </c>
      <c r="AY228" s="39" t="str">
        <f>IFERROR(final!BJ26*100/final!$I26,"")</f>
        <v/>
      </c>
      <c r="AZ228" s="39" t="str">
        <f>IFERROR(final!BK26*100/final!$I26,"")</f>
        <v/>
      </c>
      <c r="BA228" s="39" t="str">
        <f>IFERROR(final!BL26*100/final!$I26,"")</f>
        <v/>
      </c>
      <c r="BB228" s="39" t="str">
        <f>IFERROR(final!BM26*100/final!$I26,"")</f>
        <v/>
      </c>
      <c r="BC228" s="39" t="str">
        <f>IFERROR(final!BN26*100/final!$I26,"")</f>
        <v/>
      </c>
      <c r="BD228" s="39" t="str">
        <f>IFERROR(final!BO26*100/final!$I26,"")</f>
        <v/>
      </c>
      <c r="BE228" s="39" t="str">
        <f>IFERROR(final!BP26*100/final!$I26,"")</f>
        <v/>
      </c>
      <c r="BF228" s="39" t="str">
        <f>IFERROR(final!BQ26*100/final!$I26,"")</f>
        <v/>
      </c>
      <c r="BG228" s="39" t="str">
        <f>IFERROR(final!BR26*100/final!$I26,"")</f>
        <v/>
      </c>
      <c r="BH228" s="39" t="str">
        <f>IFERROR(final!BS26*100/final!$I26,"")</f>
        <v/>
      </c>
      <c r="BI228" s="39" t="str">
        <f>IFERROR(final!BT26*100/final!$I26,"")</f>
        <v/>
      </c>
      <c r="BJ228" s="39" t="str">
        <f>IFERROR(final!BU26*100/final!$I26,"")</f>
        <v/>
      </c>
      <c r="BK228" s="39" t="str">
        <f>IFERROR(final!BV26*100/final!$I26,"")</f>
        <v/>
      </c>
      <c r="BL228" s="39" t="str">
        <f>IFERROR(final!BW26*100/final!$I26,"")</f>
        <v/>
      </c>
      <c r="BM228" s="39" t="str">
        <f>IFERROR(final!BX26*100/final!$I26,"")</f>
        <v/>
      </c>
      <c r="BN228" s="39" t="str">
        <f>IFERROR(final!BY26*100/final!$I26,"")</f>
        <v/>
      </c>
      <c r="BO228" s="39" t="str">
        <f>IFERROR(final!BZ26*100/final!$I26,"")</f>
        <v/>
      </c>
      <c r="BP228" s="39" t="str">
        <f>IFERROR(final!CA26*100/final!$I26,"")</f>
        <v/>
      </c>
      <c r="BQ228" s="39" t="str">
        <f>IFERROR(final!CB26*100/final!$I26,"")</f>
        <v/>
      </c>
      <c r="BR228" s="39" t="str">
        <f>IFERROR(final!CC26*100/final!$I26,"")</f>
        <v/>
      </c>
      <c r="BS228" s="39" t="str">
        <f>IFERROR(final!CD26*100/final!$I26,"")</f>
        <v/>
      </c>
      <c r="BT228" s="39" t="str">
        <f>IFERROR(final!CE26*100/final!$I26,"")</f>
        <v/>
      </c>
      <c r="BU228" s="39" t="str">
        <f>IFERROR(final!CF26*100/final!$I26,"")</f>
        <v/>
      </c>
      <c r="BV228" s="39" t="str">
        <f>IFERROR(final!CG26*100/final!$I26,"")</f>
        <v/>
      </c>
      <c r="BW228" s="39" t="str">
        <f>IFERROR(final!CH26*100/final!$I26,"")</f>
        <v/>
      </c>
      <c r="BX228" s="39" t="str">
        <f>IFERROR(final!CI26*100/final!$I26,"")</f>
        <v/>
      </c>
      <c r="BY228" s="39" t="str">
        <f>IFERROR(final!CJ26*100/final!$I26,"")</f>
        <v/>
      </c>
      <c r="BZ228" s="39" t="str">
        <f>IFERROR(final!CK26*100/final!$I26,"")</f>
        <v/>
      </c>
      <c r="CA228" s="39" t="str">
        <f>IFERROR(final!CL26*100/final!$I26,"")</f>
        <v/>
      </c>
      <c r="CB228" s="39" t="str">
        <f>IFERROR(final!CM26*100/final!$I26,"")</f>
        <v/>
      </c>
      <c r="CC228" s="39" t="str">
        <f>IFERROR(final!CN26*100/final!$I26,"")</f>
        <v/>
      </c>
      <c r="CD228" s="39" t="str">
        <f>IFERROR(final!CO26*100/final!$I26,"")</f>
        <v/>
      </c>
      <c r="CE228" s="39" t="str">
        <f>IFERROR(final!CP26*100/final!$I26,"")</f>
        <v/>
      </c>
      <c r="CF228" s="39" t="str">
        <f>IFERROR(final!CQ26*100/final!$I26,"")</f>
        <v/>
      </c>
      <c r="CG228" s="39" t="str">
        <f>IFERROR(final!CR26*100/final!$I26,"")</f>
        <v/>
      </c>
      <c r="CH228" s="39" t="str">
        <f>IFERROR(final!CS26*100/final!$I26,"")</f>
        <v/>
      </c>
      <c r="CI228" s="39" t="str">
        <f>IFERROR(final!CT26*100/final!$I26,"")</f>
        <v/>
      </c>
      <c r="CJ228" s="39" t="str">
        <f>IFERROR(final!CU26*100/final!$I26,"")</f>
        <v/>
      </c>
      <c r="CK228" s="39" t="str">
        <f>IFERROR(final!CV26*100/final!$I26,"")</f>
        <v/>
      </c>
      <c r="CL228" s="39" t="str">
        <f>IFERROR(final!CW26*100/final!$I26,"")</f>
        <v/>
      </c>
      <c r="CM228" s="39" t="str">
        <f>IFERROR(final!CX26*100/final!$I26,"")</f>
        <v/>
      </c>
      <c r="CN228" s="39" t="str">
        <f>IFERROR(final!CY26*100/final!$I26,"")</f>
        <v/>
      </c>
      <c r="CO228" s="39" t="str">
        <f>IFERROR(final!CZ26*100/final!$I26,"")</f>
        <v/>
      </c>
      <c r="CP228" s="39" t="str">
        <f>IFERROR(final!DA26*100/final!$I26,"")</f>
        <v/>
      </c>
      <c r="CQ228" s="39" t="str">
        <f>IFERROR(final!DB26*100/final!$I26,"")</f>
        <v/>
      </c>
      <c r="CR228" s="39" t="str">
        <f>IFERROR(final!DC26*100/final!$I26,"")</f>
        <v/>
      </c>
      <c r="CS228" s="39" t="str">
        <f>IFERROR(final!DD26*100/final!$I26,"")</f>
        <v/>
      </c>
      <c r="CT228" s="39" t="str">
        <f>IFERROR(final!DE26*100/final!$I26,"")</f>
        <v/>
      </c>
      <c r="CU228" s="39" t="str">
        <f>IFERROR(final!DF26*100/final!$I26,"")</f>
        <v/>
      </c>
      <c r="CV228" s="39" t="str">
        <f>IFERROR(final!DG26*100/final!$I26,"")</f>
        <v/>
      </c>
      <c r="CW228" s="32" t="str">
        <f>IFERROR(SUM(A228:CV228)/final!$DH$103,"")</f>
        <v/>
      </c>
      <c r="CX228" s="14" t="str">
        <f>IF(COUNTA(final!A26),final!A26,"")</f>
        <v/>
      </c>
      <c r="CY228" s="14" t="str">
        <f>IF(COUNTA(final!B26),final!B26,"")</f>
        <v/>
      </c>
      <c r="CZ228" s="14" t="str">
        <f>IF(COUNTA(final!C26),final!C26,"")</f>
        <v/>
      </c>
      <c r="DA228" s="14" t="str">
        <f>IF(COUNTA(final!D26),final!D26,"")</f>
        <v/>
      </c>
      <c r="DB228" s="14" t="str">
        <f>IF(COUNTA(final!E26),final!E26,"")</f>
        <v/>
      </c>
      <c r="DC228" s="14" t="str">
        <f>IF(COUNTA(final!F26),final!F26,"")</f>
        <v/>
      </c>
      <c r="DD228" s="14" t="str">
        <f>IF(COUNTA(final!G26),final!G26,"")</f>
        <v/>
      </c>
      <c r="DE228" s="14" t="str">
        <f>IF(COUNTA(final!H26),final!H26,"")</f>
        <v/>
      </c>
    </row>
    <row r="229" spans="1:109" x14ac:dyDescent="0.2">
      <c r="A229" s="39" t="str">
        <f>IFERROR(final!L27*100/final!$I27,"")</f>
        <v/>
      </c>
      <c r="B229" s="39" t="str">
        <f>IFERROR(final!M27*100/final!$I27,"")</f>
        <v/>
      </c>
      <c r="C229" s="39" t="str">
        <f>IFERROR(final!N27*100/final!$I27,"")</f>
        <v/>
      </c>
      <c r="D229" s="39" t="str">
        <f>IFERROR(final!O27*100/final!$I27,"")</f>
        <v/>
      </c>
      <c r="E229" s="39" t="str">
        <f>IFERROR(final!P27*100/final!$I27,"")</f>
        <v/>
      </c>
      <c r="F229" s="39" t="str">
        <f>IFERROR(final!Q27*100/final!$I27,"")</f>
        <v/>
      </c>
      <c r="G229" s="39" t="str">
        <f>IFERROR(final!R27*100/final!$I27,"")</f>
        <v/>
      </c>
      <c r="H229" s="39" t="str">
        <f>IFERROR(final!S27*100/final!$I27,"")</f>
        <v/>
      </c>
      <c r="I229" s="39" t="str">
        <f>IFERROR(final!T27*100/final!$I27,"")</f>
        <v/>
      </c>
      <c r="J229" s="39" t="str">
        <f>IFERROR(final!U27*100/final!$I27,"")</f>
        <v/>
      </c>
      <c r="K229" s="39" t="str">
        <f>IFERROR(final!V27*100/final!$I27,"")</f>
        <v/>
      </c>
      <c r="L229" s="39" t="str">
        <f>IFERROR(final!W27*100/final!$I27,"")</f>
        <v/>
      </c>
      <c r="M229" s="39" t="str">
        <f>IFERROR(final!X27*100/final!$I27,"")</f>
        <v/>
      </c>
      <c r="N229" s="39" t="str">
        <f>IFERROR(final!Y27*100/final!$I27,"")</f>
        <v/>
      </c>
      <c r="O229" s="39" t="str">
        <f>IFERROR(final!Z27*100/final!$I27,"")</f>
        <v/>
      </c>
      <c r="P229" s="39" t="str">
        <f>IFERROR(final!AA27*100/final!$I27,"")</f>
        <v/>
      </c>
      <c r="Q229" s="39" t="str">
        <f>IFERROR(final!AB27*100/final!$I27,"")</f>
        <v/>
      </c>
      <c r="R229" s="39" t="str">
        <f>IFERROR(final!AC27*100/final!$I27,"")</f>
        <v/>
      </c>
      <c r="S229" s="39" t="str">
        <f>IFERROR(final!AD27*100/final!$I27,"")</f>
        <v/>
      </c>
      <c r="T229" s="39" t="str">
        <f>IFERROR(final!AE27*100/final!$I27,"")</f>
        <v/>
      </c>
      <c r="U229" s="39" t="str">
        <f>IFERROR(final!AF27*100/final!$I27,"")</f>
        <v/>
      </c>
      <c r="V229" s="39" t="str">
        <f>IFERROR(final!AG27*100/final!$I27,"")</f>
        <v/>
      </c>
      <c r="W229" s="39" t="str">
        <f>IFERROR(final!AH27*100/final!$I27,"")</f>
        <v/>
      </c>
      <c r="X229" s="39" t="str">
        <f>IFERROR(final!AI27*100/final!$I27,"")</f>
        <v/>
      </c>
      <c r="Y229" s="39" t="str">
        <f>IFERROR(final!AJ27*100/final!$I27,"")</f>
        <v/>
      </c>
      <c r="Z229" s="39" t="str">
        <f>IFERROR(final!AK27*100/final!$I27,"")</f>
        <v/>
      </c>
      <c r="AA229" s="39" t="str">
        <f>IFERROR(final!AL27*100/final!$I27,"")</f>
        <v/>
      </c>
      <c r="AB229" s="39" t="str">
        <f>IFERROR(final!AM27*100/final!$I27,"")</f>
        <v/>
      </c>
      <c r="AC229" s="39" t="str">
        <f>IFERROR(final!AN27*100/final!$I27,"")</f>
        <v/>
      </c>
      <c r="AD229" s="39" t="str">
        <f>IFERROR(final!AO27*100/final!$I27,"")</f>
        <v/>
      </c>
      <c r="AE229" s="39" t="str">
        <f>IFERROR(final!AP27*100/final!$I27,"")</f>
        <v/>
      </c>
      <c r="AF229" s="39" t="str">
        <f>IFERROR(final!AQ27*100/final!$I27,"")</f>
        <v/>
      </c>
      <c r="AG229" s="39" t="str">
        <f>IFERROR(final!AR27*100/final!$I27,"")</f>
        <v/>
      </c>
      <c r="AH229" s="39" t="str">
        <f>IFERROR(final!AS27*100/final!$I27,"")</f>
        <v/>
      </c>
      <c r="AI229" s="39" t="str">
        <f>IFERROR(final!AT27*100/final!$I27,"")</f>
        <v/>
      </c>
      <c r="AJ229" s="39" t="str">
        <f>IFERROR(final!AU27*100/final!$I27,"")</f>
        <v/>
      </c>
      <c r="AK229" s="39" t="str">
        <f>IFERROR(final!AV27*100/final!$I27,"")</f>
        <v/>
      </c>
      <c r="AL229" s="39" t="str">
        <f>IFERROR(final!AW27*100/final!$I27,"")</f>
        <v/>
      </c>
      <c r="AM229" s="39" t="str">
        <f>IFERROR(final!AX27*100/final!$I27,"")</f>
        <v/>
      </c>
      <c r="AN229" s="39" t="str">
        <f>IFERROR(final!AY27*100/final!$I27,"")</f>
        <v/>
      </c>
      <c r="AO229" s="39" t="str">
        <f>IFERROR(final!AZ27*100/final!$I27,"")</f>
        <v/>
      </c>
      <c r="AP229" s="39" t="str">
        <f>IFERROR(final!BA27*100/final!$I27,"")</f>
        <v/>
      </c>
      <c r="AQ229" s="39" t="str">
        <f>IFERROR(final!BB27*100/final!$I27,"")</f>
        <v/>
      </c>
      <c r="AR229" s="39" t="str">
        <f>IFERROR(final!BC27*100/final!$I27,"")</f>
        <v/>
      </c>
      <c r="AS229" s="39" t="str">
        <f>IFERROR(final!BD27*100/final!$I27,"")</f>
        <v/>
      </c>
      <c r="AT229" s="39" t="str">
        <f>IFERROR(final!BE27*100/final!$I27,"")</f>
        <v/>
      </c>
      <c r="AU229" s="39" t="str">
        <f>IFERROR(final!BF27*100/final!$I27,"")</f>
        <v/>
      </c>
      <c r="AV229" s="39" t="str">
        <f>IFERROR(final!BG27*100/final!$I27,"")</f>
        <v/>
      </c>
      <c r="AW229" s="39" t="str">
        <f>IFERROR(final!BH27*100/final!$I27,"")</f>
        <v/>
      </c>
      <c r="AX229" s="39" t="str">
        <f>IFERROR(final!BI27*100/final!$I27,"")</f>
        <v/>
      </c>
      <c r="AY229" s="39" t="str">
        <f>IFERROR(final!BJ27*100/final!$I27,"")</f>
        <v/>
      </c>
      <c r="AZ229" s="39" t="str">
        <f>IFERROR(final!BK27*100/final!$I27,"")</f>
        <v/>
      </c>
      <c r="BA229" s="39" t="str">
        <f>IFERROR(final!BL27*100/final!$I27,"")</f>
        <v/>
      </c>
      <c r="BB229" s="39" t="str">
        <f>IFERROR(final!BM27*100/final!$I27,"")</f>
        <v/>
      </c>
      <c r="BC229" s="39" t="str">
        <f>IFERROR(final!BN27*100/final!$I27,"")</f>
        <v/>
      </c>
      <c r="BD229" s="39" t="str">
        <f>IFERROR(final!BO27*100/final!$I27,"")</f>
        <v/>
      </c>
      <c r="BE229" s="39" t="str">
        <f>IFERROR(final!BP27*100/final!$I27,"")</f>
        <v/>
      </c>
      <c r="BF229" s="39" t="str">
        <f>IFERROR(final!BQ27*100/final!$I27,"")</f>
        <v/>
      </c>
      <c r="BG229" s="39" t="str">
        <f>IFERROR(final!BR27*100/final!$I27,"")</f>
        <v/>
      </c>
      <c r="BH229" s="39" t="str">
        <f>IFERROR(final!BS27*100/final!$I27,"")</f>
        <v/>
      </c>
      <c r="BI229" s="39" t="str">
        <f>IFERROR(final!BT27*100/final!$I27,"")</f>
        <v/>
      </c>
      <c r="BJ229" s="39" t="str">
        <f>IFERROR(final!BU27*100/final!$I27,"")</f>
        <v/>
      </c>
      <c r="BK229" s="39" t="str">
        <f>IFERROR(final!BV27*100/final!$I27,"")</f>
        <v/>
      </c>
      <c r="BL229" s="39" t="str">
        <f>IFERROR(final!BW27*100/final!$I27,"")</f>
        <v/>
      </c>
      <c r="BM229" s="39" t="str">
        <f>IFERROR(final!BX27*100/final!$I27,"")</f>
        <v/>
      </c>
      <c r="BN229" s="39" t="str">
        <f>IFERROR(final!BY27*100/final!$I27,"")</f>
        <v/>
      </c>
      <c r="BO229" s="39" t="str">
        <f>IFERROR(final!BZ27*100/final!$I27,"")</f>
        <v/>
      </c>
      <c r="BP229" s="39" t="str">
        <f>IFERROR(final!CA27*100/final!$I27,"")</f>
        <v/>
      </c>
      <c r="BQ229" s="39" t="str">
        <f>IFERROR(final!CB27*100/final!$I27,"")</f>
        <v/>
      </c>
      <c r="BR229" s="39" t="str">
        <f>IFERROR(final!CC27*100/final!$I27,"")</f>
        <v/>
      </c>
      <c r="BS229" s="39" t="str">
        <f>IFERROR(final!CD27*100/final!$I27,"")</f>
        <v/>
      </c>
      <c r="BT229" s="39" t="str">
        <f>IFERROR(final!CE27*100/final!$I27,"")</f>
        <v/>
      </c>
      <c r="BU229" s="39" t="str">
        <f>IFERROR(final!CF27*100/final!$I27,"")</f>
        <v/>
      </c>
      <c r="BV229" s="39" t="str">
        <f>IFERROR(final!CG27*100/final!$I27,"")</f>
        <v/>
      </c>
      <c r="BW229" s="39" t="str">
        <f>IFERROR(final!CH27*100/final!$I27,"")</f>
        <v/>
      </c>
      <c r="BX229" s="39" t="str">
        <f>IFERROR(final!CI27*100/final!$I27,"")</f>
        <v/>
      </c>
      <c r="BY229" s="39" t="str">
        <f>IFERROR(final!CJ27*100/final!$I27,"")</f>
        <v/>
      </c>
      <c r="BZ229" s="39" t="str">
        <f>IFERROR(final!CK27*100/final!$I27,"")</f>
        <v/>
      </c>
      <c r="CA229" s="39" t="str">
        <f>IFERROR(final!CL27*100/final!$I27,"")</f>
        <v/>
      </c>
      <c r="CB229" s="39" t="str">
        <f>IFERROR(final!CM27*100/final!$I27,"")</f>
        <v/>
      </c>
      <c r="CC229" s="39" t="str">
        <f>IFERROR(final!CN27*100/final!$I27,"")</f>
        <v/>
      </c>
      <c r="CD229" s="39" t="str">
        <f>IFERROR(final!CO27*100/final!$I27,"")</f>
        <v/>
      </c>
      <c r="CE229" s="39" t="str">
        <f>IFERROR(final!CP27*100/final!$I27,"")</f>
        <v/>
      </c>
      <c r="CF229" s="39" t="str">
        <f>IFERROR(final!CQ27*100/final!$I27,"")</f>
        <v/>
      </c>
      <c r="CG229" s="39" t="str">
        <f>IFERROR(final!CR27*100/final!$I27,"")</f>
        <v/>
      </c>
      <c r="CH229" s="39" t="str">
        <f>IFERROR(final!CS27*100/final!$I27,"")</f>
        <v/>
      </c>
      <c r="CI229" s="39" t="str">
        <f>IFERROR(final!CT27*100/final!$I27,"")</f>
        <v/>
      </c>
      <c r="CJ229" s="39" t="str">
        <f>IFERROR(final!CU27*100/final!$I27,"")</f>
        <v/>
      </c>
      <c r="CK229" s="39" t="str">
        <f>IFERROR(final!CV27*100/final!$I27,"")</f>
        <v/>
      </c>
      <c r="CL229" s="39" t="str">
        <f>IFERROR(final!CW27*100/final!$I27,"")</f>
        <v/>
      </c>
      <c r="CM229" s="39" t="str">
        <f>IFERROR(final!CX27*100/final!$I27,"")</f>
        <v/>
      </c>
      <c r="CN229" s="39" t="str">
        <f>IFERROR(final!CY27*100/final!$I27,"")</f>
        <v/>
      </c>
      <c r="CO229" s="39" t="str">
        <f>IFERROR(final!CZ27*100/final!$I27,"")</f>
        <v/>
      </c>
      <c r="CP229" s="39" t="str">
        <f>IFERROR(final!DA27*100/final!$I27,"")</f>
        <v/>
      </c>
      <c r="CQ229" s="39" t="str">
        <f>IFERROR(final!DB27*100/final!$I27,"")</f>
        <v/>
      </c>
      <c r="CR229" s="39" t="str">
        <f>IFERROR(final!DC27*100/final!$I27,"")</f>
        <v/>
      </c>
      <c r="CS229" s="39" t="str">
        <f>IFERROR(final!DD27*100/final!$I27,"")</f>
        <v/>
      </c>
      <c r="CT229" s="39" t="str">
        <f>IFERROR(final!DE27*100/final!$I27,"")</f>
        <v/>
      </c>
      <c r="CU229" s="39" t="str">
        <f>IFERROR(final!DF27*100/final!$I27,"")</f>
        <v/>
      </c>
      <c r="CV229" s="39" t="str">
        <f>IFERROR(final!DG27*100/final!$I27,"")</f>
        <v/>
      </c>
      <c r="CW229" s="32" t="str">
        <f>IFERROR(SUM(A229:CV229)/final!$DH$103,"")</f>
        <v/>
      </c>
      <c r="CX229" s="14" t="str">
        <f>IF(COUNTA(final!A27),final!A27,"")</f>
        <v/>
      </c>
      <c r="CY229" s="14" t="str">
        <f>IF(COUNTA(final!B27),final!B27,"")</f>
        <v/>
      </c>
      <c r="CZ229" s="14" t="str">
        <f>IF(COUNTA(final!C27),final!C27,"")</f>
        <v/>
      </c>
      <c r="DA229" s="14" t="str">
        <f>IF(COUNTA(final!D27),final!D27,"")</f>
        <v/>
      </c>
      <c r="DB229" s="14" t="str">
        <f>IF(COUNTA(final!E27),final!E27,"")</f>
        <v/>
      </c>
      <c r="DC229" s="14" t="str">
        <f>IF(COUNTA(final!F27),final!F27,"")</f>
        <v/>
      </c>
      <c r="DD229" s="14" t="str">
        <f>IF(COUNTA(final!G27),final!G27,"")</f>
        <v/>
      </c>
      <c r="DE229" s="14" t="str">
        <f>IF(COUNTA(final!H27),final!H27,"")</f>
        <v/>
      </c>
    </row>
    <row r="230" spans="1:109" x14ac:dyDescent="0.2">
      <c r="A230" s="39" t="str">
        <f>IFERROR(final!L28*100/final!$I28,"")</f>
        <v/>
      </c>
      <c r="B230" s="39" t="str">
        <f>IFERROR(final!M28*100/final!$I28,"")</f>
        <v/>
      </c>
      <c r="C230" s="39" t="str">
        <f>IFERROR(final!N28*100/final!$I28,"")</f>
        <v/>
      </c>
      <c r="D230" s="39" t="str">
        <f>IFERROR(final!O28*100/final!$I28,"")</f>
        <v/>
      </c>
      <c r="E230" s="39" t="str">
        <f>IFERROR(final!P28*100/final!$I28,"")</f>
        <v/>
      </c>
      <c r="F230" s="39" t="str">
        <f>IFERROR(final!Q28*100/final!$I28,"")</f>
        <v/>
      </c>
      <c r="G230" s="39" t="str">
        <f>IFERROR(final!R28*100/final!$I28,"")</f>
        <v/>
      </c>
      <c r="H230" s="39" t="str">
        <f>IFERROR(final!S28*100/final!$I28,"")</f>
        <v/>
      </c>
      <c r="I230" s="39" t="str">
        <f>IFERROR(final!T28*100/final!$I28,"")</f>
        <v/>
      </c>
      <c r="J230" s="39" t="str">
        <f>IFERROR(final!U28*100/final!$I28,"")</f>
        <v/>
      </c>
      <c r="K230" s="39" t="str">
        <f>IFERROR(final!V28*100/final!$I28,"")</f>
        <v/>
      </c>
      <c r="L230" s="39" t="str">
        <f>IFERROR(final!W28*100/final!$I28,"")</f>
        <v/>
      </c>
      <c r="M230" s="39" t="str">
        <f>IFERROR(final!X28*100/final!$I28,"")</f>
        <v/>
      </c>
      <c r="N230" s="39" t="str">
        <f>IFERROR(final!Y28*100/final!$I28,"")</f>
        <v/>
      </c>
      <c r="O230" s="39" t="str">
        <f>IFERROR(final!Z28*100/final!$I28,"")</f>
        <v/>
      </c>
      <c r="P230" s="39" t="str">
        <f>IFERROR(final!AA28*100/final!$I28,"")</f>
        <v/>
      </c>
      <c r="Q230" s="39" t="str">
        <f>IFERROR(final!AB28*100/final!$I28,"")</f>
        <v/>
      </c>
      <c r="R230" s="39" t="str">
        <f>IFERROR(final!AC28*100/final!$I28,"")</f>
        <v/>
      </c>
      <c r="S230" s="39" t="str">
        <f>IFERROR(final!AD28*100/final!$I28,"")</f>
        <v/>
      </c>
      <c r="T230" s="39" t="str">
        <f>IFERROR(final!AE28*100/final!$I28,"")</f>
        <v/>
      </c>
      <c r="U230" s="39" t="str">
        <f>IFERROR(final!AF28*100/final!$I28,"")</f>
        <v/>
      </c>
      <c r="V230" s="39" t="str">
        <f>IFERROR(final!AG28*100/final!$I28,"")</f>
        <v/>
      </c>
      <c r="W230" s="39" t="str">
        <f>IFERROR(final!AH28*100/final!$I28,"")</f>
        <v/>
      </c>
      <c r="X230" s="39" t="str">
        <f>IFERROR(final!AI28*100/final!$I28,"")</f>
        <v/>
      </c>
      <c r="Y230" s="39" t="str">
        <f>IFERROR(final!AJ28*100/final!$I28,"")</f>
        <v/>
      </c>
      <c r="Z230" s="39" t="str">
        <f>IFERROR(final!AK28*100/final!$I28,"")</f>
        <v/>
      </c>
      <c r="AA230" s="39" t="str">
        <f>IFERROR(final!AL28*100/final!$I28,"")</f>
        <v/>
      </c>
      <c r="AB230" s="39" t="str">
        <f>IFERROR(final!AM28*100/final!$I28,"")</f>
        <v/>
      </c>
      <c r="AC230" s="39" t="str">
        <f>IFERROR(final!AN28*100/final!$I28,"")</f>
        <v/>
      </c>
      <c r="AD230" s="39" t="str">
        <f>IFERROR(final!AO28*100/final!$I28,"")</f>
        <v/>
      </c>
      <c r="AE230" s="39" t="str">
        <f>IFERROR(final!AP28*100/final!$I28,"")</f>
        <v/>
      </c>
      <c r="AF230" s="39" t="str">
        <f>IFERROR(final!AQ28*100/final!$I28,"")</f>
        <v/>
      </c>
      <c r="AG230" s="39" t="str">
        <f>IFERROR(final!AR28*100/final!$I28,"")</f>
        <v/>
      </c>
      <c r="AH230" s="39" t="str">
        <f>IFERROR(final!AS28*100/final!$I28,"")</f>
        <v/>
      </c>
      <c r="AI230" s="39" t="str">
        <f>IFERROR(final!AT28*100/final!$I28,"")</f>
        <v/>
      </c>
      <c r="AJ230" s="39" t="str">
        <f>IFERROR(final!AU28*100/final!$I28,"")</f>
        <v/>
      </c>
      <c r="AK230" s="39" t="str">
        <f>IFERROR(final!AV28*100/final!$I28,"")</f>
        <v/>
      </c>
      <c r="AL230" s="39" t="str">
        <f>IFERROR(final!AW28*100/final!$I28,"")</f>
        <v/>
      </c>
      <c r="AM230" s="39" t="str">
        <f>IFERROR(final!AX28*100/final!$I28,"")</f>
        <v/>
      </c>
      <c r="AN230" s="39" t="str">
        <f>IFERROR(final!AY28*100/final!$I28,"")</f>
        <v/>
      </c>
      <c r="AO230" s="39" t="str">
        <f>IFERROR(final!AZ28*100/final!$I28,"")</f>
        <v/>
      </c>
      <c r="AP230" s="39" t="str">
        <f>IFERROR(final!BA28*100/final!$I28,"")</f>
        <v/>
      </c>
      <c r="AQ230" s="39" t="str">
        <f>IFERROR(final!BB28*100/final!$I28,"")</f>
        <v/>
      </c>
      <c r="AR230" s="39" t="str">
        <f>IFERROR(final!BC28*100/final!$I28,"")</f>
        <v/>
      </c>
      <c r="AS230" s="39" t="str">
        <f>IFERROR(final!BD28*100/final!$I28,"")</f>
        <v/>
      </c>
      <c r="AT230" s="39" t="str">
        <f>IFERROR(final!BE28*100/final!$I28,"")</f>
        <v/>
      </c>
      <c r="AU230" s="39" t="str">
        <f>IFERROR(final!BF28*100/final!$I28,"")</f>
        <v/>
      </c>
      <c r="AV230" s="39" t="str">
        <f>IFERROR(final!BG28*100/final!$I28,"")</f>
        <v/>
      </c>
      <c r="AW230" s="39" t="str">
        <f>IFERROR(final!BH28*100/final!$I28,"")</f>
        <v/>
      </c>
      <c r="AX230" s="39" t="str">
        <f>IFERROR(final!BI28*100/final!$I28,"")</f>
        <v/>
      </c>
      <c r="AY230" s="39" t="str">
        <f>IFERROR(final!BJ28*100/final!$I28,"")</f>
        <v/>
      </c>
      <c r="AZ230" s="39" t="str">
        <f>IFERROR(final!BK28*100/final!$I28,"")</f>
        <v/>
      </c>
      <c r="BA230" s="39" t="str">
        <f>IFERROR(final!BL28*100/final!$I28,"")</f>
        <v/>
      </c>
      <c r="BB230" s="39" t="str">
        <f>IFERROR(final!BM28*100/final!$I28,"")</f>
        <v/>
      </c>
      <c r="BC230" s="39" t="str">
        <f>IFERROR(final!BN28*100/final!$I28,"")</f>
        <v/>
      </c>
      <c r="BD230" s="39" t="str">
        <f>IFERROR(final!BO28*100/final!$I28,"")</f>
        <v/>
      </c>
      <c r="BE230" s="39" t="str">
        <f>IFERROR(final!BP28*100/final!$I28,"")</f>
        <v/>
      </c>
      <c r="BF230" s="39" t="str">
        <f>IFERROR(final!BQ28*100/final!$I28,"")</f>
        <v/>
      </c>
      <c r="BG230" s="39" t="str">
        <f>IFERROR(final!BR28*100/final!$I28,"")</f>
        <v/>
      </c>
      <c r="BH230" s="39" t="str">
        <f>IFERROR(final!BS28*100/final!$I28,"")</f>
        <v/>
      </c>
      <c r="BI230" s="39" t="str">
        <f>IFERROR(final!BT28*100/final!$I28,"")</f>
        <v/>
      </c>
      <c r="BJ230" s="39" t="str">
        <f>IFERROR(final!BU28*100/final!$I28,"")</f>
        <v/>
      </c>
      <c r="BK230" s="39" t="str">
        <f>IFERROR(final!BV28*100/final!$I28,"")</f>
        <v/>
      </c>
      <c r="BL230" s="39" t="str">
        <f>IFERROR(final!BW28*100/final!$I28,"")</f>
        <v/>
      </c>
      <c r="BM230" s="39" t="str">
        <f>IFERROR(final!BX28*100/final!$I28,"")</f>
        <v/>
      </c>
      <c r="BN230" s="39" t="str">
        <f>IFERROR(final!BY28*100/final!$I28,"")</f>
        <v/>
      </c>
      <c r="BO230" s="39" t="str">
        <f>IFERROR(final!BZ28*100/final!$I28,"")</f>
        <v/>
      </c>
      <c r="BP230" s="39" t="str">
        <f>IFERROR(final!CA28*100/final!$I28,"")</f>
        <v/>
      </c>
      <c r="BQ230" s="39" t="str">
        <f>IFERROR(final!CB28*100/final!$I28,"")</f>
        <v/>
      </c>
      <c r="BR230" s="39" t="str">
        <f>IFERROR(final!CC28*100/final!$I28,"")</f>
        <v/>
      </c>
      <c r="BS230" s="39" t="str">
        <f>IFERROR(final!CD28*100/final!$I28,"")</f>
        <v/>
      </c>
      <c r="BT230" s="39" t="str">
        <f>IFERROR(final!CE28*100/final!$I28,"")</f>
        <v/>
      </c>
      <c r="BU230" s="39" t="str">
        <f>IFERROR(final!CF28*100/final!$I28,"")</f>
        <v/>
      </c>
      <c r="BV230" s="39" t="str">
        <f>IFERROR(final!CG28*100/final!$I28,"")</f>
        <v/>
      </c>
      <c r="BW230" s="39" t="str">
        <f>IFERROR(final!CH28*100/final!$I28,"")</f>
        <v/>
      </c>
      <c r="BX230" s="39" t="str">
        <f>IFERROR(final!CI28*100/final!$I28,"")</f>
        <v/>
      </c>
      <c r="BY230" s="39" t="str">
        <f>IFERROR(final!CJ28*100/final!$I28,"")</f>
        <v/>
      </c>
      <c r="BZ230" s="39" t="str">
        <f>IFERROR(final!CK28*100/final!$I28,"")</f>
        <v/>
      </c>
      <c r="CA230" s="39" t="str">
        <f>IFERROR(final!CL28*100/final!$I28,"")</f>
        <v/>
      </c>
      <c r="CB230" s="39" t="str">
        <f>IFERROR(final!CM28*100/final!$I28,"")</f>
        <v/>
      </c>
      <c r="CC230" s="39" t="str">
        <f>IFERROR(final!CN28*100/final!$I28,"")</f>
        <v/>
      </c>
      <c r="CD230" s="39" t="str">
        <f>IFERROR(final!CO28*100/final!$I28,"")</f>
        <v/>
      </c>
      <c r="CE230" s="39" t="str">
        <f>IFERROR(final!CP28*100/final!$I28,"")</f>
        <v/>
      </c>
      <c r="CF230" s="39" t="str">
        <f>IFERROR(final!CQ28*100/final!$I28,"")</f>
        <v/>
      </c>
      <c r="CG230" s="39" t="str">
        <f>IFERROR(final!CR28*100/final!$I28,"")</f>
        <v/>
      </c>
      <c r="CH230" s="39" t="str">
        <f>IFERROR(final!CS28*100/final!$I28,"")</f>
        <v/>
      </c>
      <c r="CI230" s="39" t="str">
        <f>IFERROR(final!CT28*100/final!$I28,"")</f>
        <v/>
      </c>
      <c r="CJ230" s="39" t="str">
        <f>IFERROR(final!CU28*100/final!$I28,"")</f>
        <v/>
      </c>
      <c r="CK230" s="39" t="str">
        <f>IFERROR(final!CV28*100/final!$I28,"")</f>
        <v/>
      </c>
      <c r="CL230" s="39" t="str">
        <f>IFERROR(final!CW28*100/final!$I28,"")</f>
        <v/>
      </c>
      <c r="CM230" s="39" t="str">
        <f>IFERROR(final!CX28*100/final!$I28,"")</f>
        <v/>
      </c>
      <c r="CN230" s="39" t="str">
        <f>IFERROR(final!CY28*100/final!$I28,"")</f>
        <v/>
      </c>
      <c r="CO230" s="39" t="str">
        <f>IFERROR(final!CZ28*100/final!$I28,"")</f>
        <v/>
      </c>
      <c r="CP230" s="39" t="str">
        <f>IFERROR(final!DA28*100/final!$I28,"")</f>
        <v/>
      </c>
      <c r="CQ230" s="39" t="str">
        <f>IFERROR(final!DB28*100/final!$I28,"")</f>
        <v/>
      </c>
      <c r="CR230" s="39" t="str">
        <f>IFERROR(final!DC28*100/final!$I28,"")</f>
        <v/>
      </c>
      <c r="CS230" s="39" t="str">
        <f>IFERROR(final!DD28*100/final!$I28,"")</f>
        <v/>
      </c>
      <c r="CT230" s="39" t="str">
        <f>IFERROR(final!DE28*100/final!$I28,"")</f>
        <v/>
      </c>
      <c r="CU230" s="39" t="str">
        <f>IFERROR(final!DF28*100/final!$I28,"")</f>
        <v/>
      </c>
      <c r="CV230" s="39" t="str">
        <f>IFERROR(final!DG28*100/final!$I28,"")</f>
        <v/>
      </c>
      <c r="CW230" s="32" t="str">
        <f>IFERROR(SUM(A230:CV230)/final!$DH$103,"")</f>
        <v/>
      </c>
      <c r="CX230" s="14" t="str">
        <f>IF(COUNTA(final!A28),final!A28,"")</f>
        <v/>
      </c>
      <c r="CY230" s="14" t="str">
        <f>IF(COUNTA(final!B28),final!B28,"")</f>
        <v/>
      </c>
      <c r="CZ230" s="14" t="str">
        <f>IF(COUNTA(final!C28),final!C28,"")</f>
        <v/>
      </c>
      <c r="DA230" s="14" t="str">
        <f>IF(COUNTA(final!D28),final!D28,"")</f>
        <v/>
      </c>
      <c r="DB230" s="14" t="str">
        <f>IF(COUNTA(final!E28),final!E28,"")</f>
        <v/>
      </c>
      <c r="DC230" s="14" t="str">
        <f>IF(COUNTA(final!F28),final!F28,"")</f>
        <v/>
      </c>
      <c r="DD230" s="14" t="str">
        <f>IF(COUNTA(final!G28),final!G28,"")</f>
        <v/>
      </c>
      <c r="DE230" s="14" t="str">
        <f>IF(COUNTA(final!H28),final!H28,"")</f>
        <v/>
      </c>
    </row>
    <row r="231" spans="1:109" x14ac:dyDescent="0.2">
      <c r="A231" s="39" t="str">
        <f>IFERROR(final!L29*100/final!$I29,"")</f>
        <v/>
      </c>
      <c r="B231" s="39" t="str">
        <f>IFERROR(final!M29*100/final!$I29,"")</f>
        <v/>
      </c>
      <c r="C231" s="39" t="str">
        <f>IFERROR(final!N29*100/final!$I29,"")</f>
        <v/>
      </c>
      <c r="D231" s="39" t="str">
        <f>IFERROR(final!O29*100/final!$I29,"")</f>
        <v/>
      </c>
      <c r="E231" s="39" t="str">
        <f>IFERROR(final!P29*100/final!$I29,"")</f>
        <v/>
      </c>
      <c r="F231" s="39" t="str">
        <f>IFERROR(final!Q29*100/final!$I29,"")</f>
        <v/>
      </c>
      <c r="G231" s="39" t="str">
        <f>IFERROR(final!R29*100/final!$I29,"")</f>
        <v/>
      </c>
      <c r="H231" s="39" t="str">
        <f>IFERROR(final!S29*100/final!$I29,"")</f>
        <v/>
      </c>
      <c r="I231" s="39" t="str">
        <f>IFERROR(final!T29*100/final!$I29,"")</f>
        <v/>
      </c>
      <c r="J231" s="39" t="str">
        <f>IFERROR(final!U29*100/final!$I29,"")</f>
        <v/>
      </c>
      <c r="K231" s="39" t="str">
        <f>IFERROR(final!V29*100/final!$I29,"")</f>
        <v/>
      </c>
      <c r="L231" s="39" t="str">
        <f>IFERROR(final!W29*100/final!$I29,"")</f>
        <v/>
      </c>
      <c r="M231" s="39" t="str">
        <f>IFERROR(final!X29*100/final!$I29,"")</f>
        <v/>
      </c>
      <c r="N231" s="39" t="str">
        <f>IFERROR(final!Y29*100/final!$I29,"")</f>
        <v/>
      </c>
      <c r="O231" s="39" t="str">
        <f>IFERROR(final!Z29*100/final!$I29,"")</f>
        <v/>
      </c>
      <c r="P231" s="39" t="str">
        <f>IFERROR(final!AA29*100/final!$I29,"")</f>
        <v/>
      </c>
      <c r="Q231" s="39" t="str">
        <f>IFERROR(final!AB29*100/final!$I29,"")</f>
        <v/>
      </c>
      <c r="R231" s="39" t="str">
        <f>IFERROR(final!AC29*100/final!$I29,"")</f>
        <v/>
      </c>
      <c r="S231" s="39" t="str">
        <f>IFERROR(final!AD29*100/final!$I29,"")</f>
        <v/>
      </c>
      <c r="T231" s="39" t="str">
        <f>IFERROR(final!AE29*100/final!$I29,"")</f>
        <v/>
      </c>
      <c r="U231" s="39" t="str">
        <f>IFERROR(final!AF29*100/final!$I29,"")</f>
        <v/>
      </c>
      <c r="V231" s="39" t="str">
        <f>IFERROR(final!AG29*100/final!$I29,"")</f>
        <v/>
      </c>
      <c r="W231" s="39" t="str">
        <f>IFERROR(final!AH29*100/final!$I29,"")</f>
        <v/>
      </c>
      <c r="X231" s="39" t="str">
        <f>IFERROR(final!AI29*100/final!$I29,"")</f>
        <v/>
      </c>
      <c r="Y231" s="39" t="str">
        <f>IFERROR(final!AJ29*100/final!$I29,"")</f>
        <v/>
      </c>
      <c r="Z231" s="39" t="str">
        <f>IFERROR(final!AK29*100/final!$I29,"")</f>
        <v/>
      </c>
      <c r="AA231" s="39" t="str">
        <f>IFERROR(final!AL29*100/final!$I29,"")</f>
        <v/>
      </c>
      <c r="AB231" s="39" t="str">
        <f>IFERROR(final!AM29*100/final!$I29,"")</f>
        <v/>
      </c>
      <c r="AC231" s="39" t="str">
        <f>IFERROR(final!AN29*100/final!$I29,"")</f>
        <v/>
      </c>
      <c r="AD231" s="39" t="str">
        <f>IFERROR(final!AO29*100/final!$I29,"")</f>
        <v/>
      </c>
      <c r="AE231" s="39" t="str">
        <f>IFERROR(final!AP29*100/final!$I29,"")</f>
        <v/>
      </c>
      <c r="AF231" s="39" t="str">
        <f>IFERROR(final!AQ29*100/final!$I29,"")</f>
        <v/>
      </c>
      <c r="AG231" s="39" t="str">
        <f>IFERROR(final!AR29*100/final!$I29,"")</f>
        <v/>
      </c>
      <c r="AH231" s="39" t="str">
        <f>IFERROR(final!AS29*100/final!$I29,"")</f>
        <v/>
      </c>
      <c r="AI231" s="39" t="str">
        <f>IFERROR(final!AT29*100/final!$I29,"")</f>
        <v/>
      </c>
      <c r="AJ231" s="39" t="str">
        <f>IFERROR(final!AU29*100/final!$I29,"")</f>
        <v/>
      </c>
      <c r="AK231" s="39" t="str">
        <f>IFERROR(final!AV29*100/final!$I29,"")</f>
        <v/>
      </c>
      <c r="AL231" s="39" t="str">
        <f>IFERROR(final!AW29*100/final!$I29,"")</f>
        <v/>
      </c>
      <c r="AM231" s="39" t="str">
        <f>IFERROR(final!AX29*100/final!$I29,"")</f>
        <v/>
      </c>
      <c r="AN231" s="39" t="str">
        <f>IFERROR(final!AY29*100/final!$I29,"")</f>
        <v/>
      </c>
      <c r="AO231" s="39" t="str">
        <f>IFERROR(final!AZ29*100/final!$I29,"")</f>
        <v/>
      </c>
      <c r="AP231" s="39" t="str">
        <f>IFERROR(final!BA29*100/final!$I29,"")</f>
        <v/>
      </c>
      <c r="AQ231" s="39" t="str">
        <f>IFERROR(final!BB29*100/final!$I29,"")</f>
        <v/>
      </c>
      <c r="AR231" s="39" t="str">
        <f>IFERROR(final!BC29*100/final!$I29,"")</f>
        <v/>
      </c>
      <c r="AS231" s="39" t="str">
        <f>IFERROR(final!BD29*100/final!$I29,"")</f>
        <v/>
      </c>
      <c r="AT231" s="39" t="str">
        <f>IFERROR(final!BE29*100/final!$I29,"")</f>
        <v/>
      </c>
      <c r="AU231" s="39" t="str">
        <f>IFERROR(final!BF29*100/final!$I29,"")</f>
        <v/>
      </c>
      <c r="AV231" s="39" t="str">
        <f>IFERROR(final!BG29*100/final!$I29,"")</f>
        <v/>
      </c>
      <c r="AW231" s="39" t="str">
        <f>IFERROR(final!BH29*100/final!$I29,"")</f>
        <v/>
      </c>
      <c r="AX231" s="39" t="str">
        <f>IFERROR(final!BI29*100/final!$I29,"")</f>
        <v/>
      </c>
      <c r="AY231" s="39" t="str">
        <f>IFERROR(final!BJ29*100/final!$I29,"")</f>
        <v/>
      </c>
      <c r="AZ231" s="39" t="str">
        <f>IFERROR(final!BK29*100/final!$I29,"")</f>
        <v/>
      </c>
      <c r="BA231" s="39" t="str">
        <f>IFERROR(final!BL29*100/final!$I29,"")</f>
        <v/>
      </c>
      <c r="BB231" s="39" t="str">
        <f>IFERROR(final!BM29*100/final!$I29,"")</f>
        <v/>
      </c>
      <c r="BC231" s="39" t="str">
        <f>IFERROR(final!BN29*100/final!$I29,"")</f>
        <v/>
      </c>
      <c r="BD231" s="39" t="str">
        <f>IFERROR(final!BO29*100/final!$I29,"")</f>
        <v/>
      </c>
      <c r="BE231" s="39" t="str">
        <f>IFERROR(final!BP29*100/final!$I29,"")</f>
        <v/>
      </c>
      <c r="BF231" s="39" t="str">
        <f>IFERROR(final!BQ29*100/final!$I29,"")</f>
        <v/>
      </c>
      <c r="BG231" s="39" t="str">
        <f>IFERROR(final!BR29*100/final!$I29,"")</f>
        <v/>
      </c>
      <c r="BH231" s="39" t="str">
        <f>IFERROR(final!BS29*100/final!$I29,"")</f>
        <v/>
      </c>
      <c r="BI231" s="39" t="str">
        <f>IFERROR(final!BT29*100/final!$I29,"")</f>
        <v/>
      </c>
      <c r="BJ231" s="39" t="str">
        <f>IFERROR(final!BU29*100/final!$I29,"")</f>
        <v/>
      </c>
      <c r="BK231" s="39" t="str">
        <f>IFERROR(final!BV29*100/final!$I29,"")</f>
        <v/>
      </c>
      <c r="BL231" s="39" t="str">
        <f>IFERROR(final!BW29*100/final!$I29,"")</f>
        <v/>
      </c>
      <c r="BM231" s="39" t="str">
        <f>IFERROR(final!BX29*100/final!$I29,"")</f>
        <v/>
      </c>
      <c r="BN231" s="39" t="str">
        <f>IFERROR(final!BY29*100/final!$I29,"")</f>
        <v/>
      </c>
      <c r="BO231" s="39" t="str">
        <f>IFERROR(final!BZ29*100/final!$I29,"")</f>
        <v/>
      </c>
      <c r="BP231" s="39" t="str">
        <f>IFERROR(final!CA29*100/final!$I29,"")</f>
        <v/>
      </c>
      <c r="BQ231" s="39" t="str">
        <f>IFERROR(final!CB29*100/final!$I29,"")</f>
        <v/>
      </c>
      <c r="BR231" s="39" t="str">
        <f>IFERROR(final!CC29*100/final!$I29,"")</f>
        <v/>
      </c>
      <c r="BS231" s="39" t="str">
        <f>IFERROR(final!CD29*100/final!$I29,"")</f>
        <v/>
      </c>
      <c r="BT231" s="39" t="str">
        <f>IFERROR(final!CE29*100/final!$I29,"")</f>
        <v/>
      </c>
      <c r="BU231" s="39" t="str">
        <f>IFERROR(final!CF29*100/final!$I29,"")</f>
        <v/>
      </c>
      <c r="BV231" s="39" t="str">
        <f>IFERROR(final!CG29*100/final!$I29,"")</f>
        <v/>
      </c>
      <c r="BW231" s="39" t="str">
        <f>IFERROR(final!CH29*100/final!$I29,"")</f>
        <v/>
      </c>
      <c r="BX231" s="39" t="str">
        <f>IFERROR(final!CI29*100/final!$I29,"")</f>
        <v/>
      </c>
      <c r="BY231" s="39" t="str">
        <f>IFERROR(final!CJ29*100/final!$I29,"")</f>
        <v/>
      </c>
      <c r="BZ231" s="39" t="str">
        <f>IFERROR(final!CK29*100/final!$I29,"")</f>
        <v/>
      </c>
      <c r="CA231" s="39" t="str">
        <f>IFERROR(final!CL29*100/final!$I29,"")</f>
        <v/>
      </c>
      <c r="CB231" s="39" t="str">
        <f>IFERROR(final!CM29*100/final!$I29,"")</f>
        <v/>
      </c>
      <c r="CC231" s="39" t="str">
        <f>IFERROR(final!CN29*100/final!$I29,"")</f>
        <v/>
      </c>
      <c r="CD231" s="39" t="str">
        <f>IFERROR(final!CO29*100/final!$I29,"")</f>
        <v/>
      </c>
      <c r="CE231" s="39" t="str">
        <f>IFERROR(final!CP29*100/final!$I29,"")</f>
        <v/>
      </c>
      <c r="CF231" s="39" t="str">
        <f>IFERROR(final!CQ29*100/final!$I29,"")</f>
        <v/>
      </c>
      <c r="CG231" s="39" t="str">
        <f>IFERROR(final!CR29*100/final!$I29,"")</f>
        <v/>
      </c>
      <c r="CH231" s="39" t="str">
        <f>IFERROR(final!CS29*100/final!$I29,"")</f>
        <v/>
      </c>
      <c r="CI231" s="39" t="str">
        <f>IFERROR(final!CT29*100/final!$I29,"")</f>
        <v/>
      </c>
      <c r="CJ231" s="39" t="str">
        <f>IFERROR(final!CU29*100/final!$I29,"")</f>
        <v/>
      </c>
      <c r="CK231" s="39" t="str">
        <f>IFERROR(final!CV29*100/final!$I29,"")</f>
        <v/>
      </c>
      <c r="CL231" s="39" t="str">
        <f>IFERROR(final!CW29*100/final!$I29,"")</f>
        <v/>
      </c>
      <c r="CM231" s="39" t="str">
        <f>IFERROR(final!CX29*100/final!$I29,"")</f>
        <v/>
      </c>
      <c r="CN231" s="39" t="str">
        <f>IFERROR(final!CY29*100/final!$I29,"")</f>
        <v/>
      </c>
      <c r="CO231" s="39" t="str">
        <f>IFERROR(final!CZ29*100/final!$I29,"")</f>
        <v/>
      </c>
      <c r="CP231" s="39" t="str">
        <f>IFERROR(final!DA29*100/final!$I29,"")</f>
        <v/>
      </c>
      <c r="CQ231" s="39" t="str">
        <f>IFERROR(final!DB29*100/final!$I29,"")</f>
        <v/>
      </c>
      <c r="CR231" s="39" t="str">
        <f>IFERROR(final!DC29*100/final!$I29,"")</f>
        <v/>
      </c>
      <c r="CS231" s="39" t="str">
        <f>IFERROR(final!DD29*100/final!$I29,"")</f>
        <v/>
      </c>
      <c r="CT231" s="39" t="str">
        <f>IFERROR(final!DE29*100/final!$I29,"")</f>
        <v/>
      </c>
      <c r="CU231" s="39" t="str">
        <f>IFERROR(final!DF29*100/final!$I29,"")</f>
        <v/>
      </c>
      <c r="CV231" s="39" t="str">
        <f>IFERROR(final!DG29*100/final!$I29,"")</f>
        <v/>
      </c>
      <c r="CW231" s="32" t="str">
        <f>IFERROR(SUM(A231:CV231)/final!$DH$103,"")</f>
        <v/>
      </c>
      <c r="CX231" s="14" t="str">
        <f>IF(COUNTA(final!A29),final!A29,"")</f>
        <v/>
      </c>
      <c r="CY231" s="14" t="str">
        <f>IF(COUNTA(final!B29),final!B29,"")</f>
        <v/>
      </c>
      <c r="CZ231" s="14" t="str">
        <f>IF(COUNTA(final!C29),final!C29,"")</f>
        <v/>
      </c>
      <c r="DA231" s="14" t="str">
        <f>IF(COUNTA(final!D29),final!D29,"")</f>
        <v/>
      </c>
      <c r="DB231" s="14" t="str">
        <f>IF(COUNTA(final!E29),final!E29,"")</f>
        <v/>
      </c>
      <c r="DC231" s="14" t="str">
        <f>IF(COUNTA(final!F29),final!F29,"")</f>
        <v/>
      </c>
      <c r="DD231" s="14" t="str">
        <f>IF(COUNTA(final!G29),final!G29,"")</f>
        <v/>
      </c>
      <c r="DE231" s="14" t="str">
        <f>IF(COUNTA(final!H29),final!H29,"")</f>
        <v/>
      </c>
    </row>
    <row r="232" spans="1:109" x14ac:dyDescent="0.2">
      <c r="A232" s="39" t="str">
        <f>IFERROR(final!L30*100/final!$I30,"")</f>
        <v/>
      </c>
      <c r="B232" s="39" t="str">
        <f>IFERROR(final!M30*100/final!$I30,"")</f>
        <v/>
      </c>
      <c r="C232" s="39" t="str">
        <f>IFERROR(final!N30*100/final!$I30,"")</f>
        <v/>
      </c>
      <c r="D232" s="39" t="str">
        <f>IFERROR(final!O30*100/final!$I30,"")</f>
        <v/>
      </c>
      <c r="E232" s="39" t="str">
        <f>IFERROR(final!P30*100/final!$I30,"")</f>
        <v/>
      </c>
      <c r="F232" s="39" t="str">
        <f>IFERROR(final!Q30*100/final!$I30,"")</f>
        <v/>
      </c>
      <c r="G232" s="39" t="str">
        <f>IFERROR(final!R30*100/final!$I30,"")</f>
        <v/>
      </c>
      <c r="H232" s="39" t="str">
        <f>IFERROR(final!S30*100/final!$I30,"")</f>
        <v/>
      </c>
      <c r="I232" s="39" t="str">
        <f>IFERROR(final!T30*100/final!$I30,"")</f>
        <v/>
      </c>
      <c r="J232" s="39" t="str">
        <f>IFERROR(final!U30*100/final!$I30,"")</f>
        <v/>
      </c>
      <c r="K232" s="39" t="str">
        <f>IFERROR(final!V30*100/final!$I30,"")</f>
        <v/>
      </c>
      <c r="L232" s="39" t="str">
        <f>IFERROR(final!W30*100/final!$I30,"")</f>
        <v/>
      </c>
      <c r="M232" s="39" t="str">
        <f>IFERROR(final!X30*100/final!$I30,"")</f>
        <v/>
      </c>
      <c r="N232" s="39" t="str">
        <f>IFERROR(final!Y30*100/final!$I30,"")</f>
        <v/>
      </c>
      <c r="O232" s="39" t="str">
        <f>IFERROR(final!Z30*100/final!$I30,"")</f>
        <v/>
      </c>
      <c r="P232" s="39" t="str">
        <f>IFERROR(final!AA30*100/final!$I30,"")</f>
        <v/>
      </c>
      <c r="Q232" s="39" t="str">
        <f>IFERROR(final!AB30*100/final!$I30,"")</f>
        <v/>
      </c>
      <c r="R232" s="39" t="str">
        <f>IFERROR(final!AC30*100/final!$I30,"")</f>
        <v/>
      </c>
      <c r="S232" s="39" t="str">
        <f>IFERROR(final!AD30*100/final!$I30,"")</f>
        <v/>
      </c>
      <c r="T232" s="39" t="str">
        <f>IFERROR(final!AE30*100/final!$I30,"")</f>
        <v/>
      </c>
      <c r="U232" s="39" t="str">
        <f>IFERROR(final!AF30*100/final!$I30,"")</f>
        <v/>
      </c>
      <c r="V232" s="39" t="str">
        <f>IFERROR(final!AG30*100/final!$I30,"")</f>
        <v/>
      </c>
      <c r="W232" s="39" t="str">
        <f>IFERROR(final!AH30*100/final!$I30,"")</f>
        <v/>
      </c>
      <c r="X232" s="39" t="str">
        <f>IFERROR(final!AI30*100/final!$I30,"")</f>
        <v/>
      </c>
      <c r="Y232" s="39" t="str">
        <f>IFERROR(final!AJ30*100/final!$I30,"")</f>
        <v/>
      </c>
      <c r="Z232" s="39" t="str">
        <f>IFERROR(final!AK30*100/final!$I30,"")</f>
        <v/>
      </c>
      <c r="AA232" s="39" t="str">
        <f>IFERROR(final!AL30*100/final!$I30,"")</f>
        <v/>
      </c>
      <c r="AB232" s="39" t="str">
        <f>IFERROR(final!AM30*100/final!$I30,"")</f>
        <v/>
      </c>
      <c r="AC232" s="39" t="str">
        <f>IFERROR(final!AN30*100/final!$I30,"")</f>
        <v/>
      </c>
      <c r="AD232" s="39" t="str">
        <f>IFERROR(final!AO30*100/final!$I30,"")</f>
        <v/>
      </c>
      <c r="AE232" s="39" t="str">
        <f>IFERROR(final!AP30*100/final!$I30,"")</f>
        <v/>
      </c>
      <c r="AF232" s="39" t="str">
        <f>IFERROR(final!AQ30*100/final!$I30,"")</f>
        <v/>
      </c>
      <c r="AG232" s="39" t="str">
        <f>IFERROR(final!AR30*100/final!$I30,"")</f>
        <v/>
      </c>
      <c r="AH232" s="39" t="str">
        <f>IFERROR(final!AS30*100/final!$I30,"")</f>
        <v/>
      </c>
      <c r="AI232" s="39" t="str">
        <f>IFERROR(final!AT30*100/final!$I30,"")</f>
        <v/>
      </c>
      <c r="AJ232" s="39" t="str">
        <f>IFERROR(final!AU30*100/final!$I30,"")</f>
        <v/>
      </c>
      <c r="AK232" s="39" t="str">
        <f>IFERROR(final!AV30*100/final!$I30,"")</f>
        <v/>
      </c>
      <c r="AL232" s="39" t="str">
        <f>IFERROR(final!AW30*100/final!$I30,"")</f>
        <v/>
      </c>
      <c r="AM232" s="39" t="str">
        <f>IFERROR(final!AX30*100/final!$I30,"")</f>
        <v/>
      </c>
      <c r="AN232" s="39" t="str">
        <f>IFERROR(final!AY30*100/final!$I30,"")</f>
        <v/>
      </c>
      <c r="AO232" s="39" t="str">
        <f>IFERROR(final!AZ30*100/final!$I30,"")</f>
        <v/>
      </c>
      <c r="AP232" s="39" t="str">
        <f>IFERROR(final!BA30*100/final!$I30,"")</f>
        <v/>
      </c>
      <c r="AQ232" s="39" t="str">
        <f>IFERROR(final!BB30*100/final!$I30,"")</f>
        <v/>
      </c>
      <c r="AR232" s="39" t="str">
        <f>IFERROR(final!BC30*100/final!$I30,"")</f>
        <v/>
      </c>
      <c r="AS232" s="39" t="str">
        <f>IFERROR(final!BD30*100/final!$I30,"")</f>
        <v/>
      </c>
      <c r="AT232" s="39" t="str">
        <f>IFERROR(final!BE30*100/final!$I30,"")</f>
        <v/>
      </c>
      <c r="AU232" s="39" t="str">
        <f>IFERROR(final!BF30*100/final!$I30,"")</f>
        <v/>
      </c>
      <c r="AV232" s="39" t="str">
        <f>IFERROR(final!BG30*100/final!$I30,"")</f>
        <v/>
      </c>
      <c r="AW232" s="39" t="str">
        <f>IFERROR(final!BH30*100/final!$I30,"")</f>
        <v/>
      </c>
      <c r="AX232" s="39" t="str">
        <f>IFERROR(final!BI30*100/final!$I30,"")</f>
        <v/>
      </c>
      <c r="AY232" s="39" t="str">
        <f>IFERROR(final!BJ30*100/final!$I30,"")</f>
        <v/>
      </c>
      <c r="AZ232" s="39" t="str">
        <f>IFERROR(final!BK30*100/final!$I30,"")</f>
        <v/>
      </c>
      <c r="BA232" s="39" t="str">
        <f>IFERROR(final!BL30*100/final!$I30,"")</f>
        <v/>
      </c>
      <c r="BB232" s="39" t="str">
        <f>IFERROR(final!BM30*100/final!$I30,"")</f>
        <v/>
      </c>
      <c r="BC232" s="39" t="str">
        <f>IFERROR(final!BN30*100/final!$I30,"")</f>
        <v/>
      </c>
      <c r="BD232" s="39" t="str">
        <f>IFERROR(final!BO30*100/final!$I30,"")</f>
        <v/>
      </c>
      <c r="BE232" s="39" t="str">
        <f>IFERROR(final!BP30*100/final!$I30,"")</f>
        <v/>
      </c>
      <c r="BF232" s="39" t="str">
        <f>IFERROR(final!BQ30*100/final!$I30,"")</f>
        <v/>
      </c>
      <c r="BG232" s="39" t="str">
        <f>IFERROR(final!BR30*100/final!$I30,"")</f>
        <v/>
      </c>
      <c r="BH232" s="39" t="str">
        <f>IFERROR(final!BS30*100/final!$I30,"")</f>
        <v/>
      </c>
      <c r="BI232" s="39" t="str">
        <f>IFERROR(final!BT30*100/final!$I30,"")</f>
        <v/>
      </c>
      <c r="BJ232" s="39" t="str">
        <f>IFERROR(final!BU30*100/final!$I30,"")</f>
        <v/>
      </c>
      <c r="BK232" s="39" t="str">
        <f>IFERROR(final!BV30*100/final!$I30,"")</f>
        <v/>
      </c>
      <c r="BL232" s="39" t="str">
        <f>IFERROR(final!BW30*100/final!$I30,"")</f>
        <v/>
      </c>
      <c r="BM232" s="39" t="str">
        <f>IFERROR(final!BX30*100/final!$I30,"")</f>
        <v/>
      </c>
      <c r="BN232" s="39" t="str">
        <f>IFERROR(final!BY30*100/final!$I30,"")</f>
        <v/>
      </c>
      <c r="BO232" s="39" t="str">
        <f>IFERROR(final!BZ30*100/final!$I30,"")</f>
        <v/>
      </c>
      <c r="BP232" s="39" t="str">
        <f>IFERROR(final!CA30*100/final!$I30,"")</f>
        <v/>
      </c>
      <c r="BQ232" s="39" t="str">
        <f>IFERROR(final!CB30*100/final!$I30,"")</f>
        <v/>
      </c>
      <c r="BR232" s="39" t="str">
        <f>IFERROR(final!CC30*100/final!$I30,"")</f>
        <v/>
      </c>
      <c r="BS232" s="39" t="str">
        <f>IFERROR(final!CD30*100/final!$I30,"")</f>
        <v/>
      </c>
      <c r="BT232" s="39" t="str">
        <f>IFERROR(final!CE30*100/final!$I30,"")</f>
        <v/>
      </c>
      <c r="BU232" s="39" t="str">
        <f>IFERROR(final!CF30*100/final!$I30,"")</f>
        <v/>
      </c>
      <c r="BV232" s="39" t="str">
        <f>IFERROR(final!CG30*100/final!$I30,"")</f>
        <v/>
      </c>
      <c r="BW232" s="39" t="str">
        <f>IFERROR(final!CH30*100/final!$I30,"")</f>
        <v/>
      </c>
      <c r="BX232" s="39" t="str">
        <f>IFERROR(final!CI30*100/final!$I30,"")</f>
        <v/>
      </c>
      <c r="BY232" s="39" t="str">
        <f>IFERROR(final!CJ30*100/final!$I30,"")</f>
        <v/>
      </c>
      <c r="BZ232" s="39" t="str">
        <f>IFERROR(final!CK30*100/final!$I30,"")</f>
        <v/>
      </c>
      <c r="CA232" s="39" t="str">
        <f>IFERROR(final!CL30*100/final!$I30,"")</f>
        <v/>
      </c>
      <c r="CB232" s="39" t="str">
        <f>IFERROR(final!CM30*100/final!$I30,"")</f>
        <v/>
      </c>
      <c r="CC232" s="39" t="str">
        <f>IFERROR(final!CN30*100/final!$I30,"")</f>
        <v/>
      </c>
      <c r="CD232" s="39" t="str">
        <f>IFERROR(final!CO30*100/final!$I30,"")</f>
        <v/>
      </c>
      <c r="CE232" s="39" t="str">
        <f>IFERROR(final!CP30*100/final!$I30,"")</f>
        <v/>
      </c>
      <c r="CF232" s="39" t="str">
        <f>IFERROR(final!CQ30*100/final!$I30,"")</f>
        <v/>
      </c>
      <c r="CG232" s="39" t="str">
        <f>IFERROR(final!CR30*100/final!$I30,"")</f>
        <v/>
      </c>
      <c r="CH232" s="39" t="str">
        <f>IFERROR(final!CS30*100/final!$I30,"")</f>
        <v/>
      </c>
      <c r="CI232" s="39" t="str">
        <f>IFERROR(final!CT30*100/final!$I30,"")</f>
        <v/>
      </c>
      <c r="CJ232" s="39" t="str">
        <f>IFERROR(final!CU30*100/final!$I30,"")</f>
        <v/>
      </c>
      <c r="CK232" s="39" t="str">
        <f>IFERROR(final!CV30*100/final!$I30,"")</f>
        <v/>
      </c>
      <c r="CL232" s="39" t="str">
        <f>IFERROR(final!CW30*100/final!$I30,"")</f>
        <v/>
      </c>
      <c r="CM232" s="39" t="str">
        <f>IFERROR(final!CX30*100/final!$I30,"")</f>
        <v/>
      </c>
      <c r="CN232" s="39" t="str">
        <f>IFERROR(final!CY30*100/final!$I30,"")</f>
        <v/>
      </c>
      <c r="CO232" s="39" t="str">
        <f>IFERROR(final!CZ30*100/final!$I30,"")</f>
        <v/>
      </c>
      <c r="CP232" s="39" t="str">
        <f>IFERROR(final!DA30*100/final!$I30,"")</f>
        <v/>
      </c>
      <c r="CQ232" s="39" t="str">
        <f>IFERROR(final!DB30*100/final!$I30,"")</f>
        <v/>
      </c>
      <c r="CR232" s="39" t="str">
        <f>IFERROR(final!DC30*100/final!$I30,"")</f>
        <v/>
      </c>
      <c r="CS232" s="39" t="str">
        <f>IFERROR(final!DD30*100/final!$I30,"")</f>
        <v/>
      </c>
      <c r="CT232" s="39" t="str">
        <f>IFERROR(final!DE30*100/final!$I30,"")</f>
        <v/>
      </c>
      <c r="CU232" s="39" t="str">
        <f>IFERROR(final!DF30*100/final!$I30,"")</f>
        <v/>
      </c>
      <c r="CV232" s="39" t="str">
        <f>IFERROR(final!DG30*100/final!$I30,"")</f>
        <v/>
      </c>
      <c r="CW232" s="32" t="str">
        <f>IFERROR(SUM(A232:CV232)/final!$DH$103,"")</f>
        <v/>
      </c>
      <c r="CX232" s="14" t="str">
        <f>IF(COUNTA(final!A30),final!A30,"")</f>
        <v/>
      </c>
      <c r="CY232" s="14" t="str">
        <f>IF(COUNTA(final!B30),final!B30,"")</f>
        <v/>
      </c>
      <c r="CZ232" s="14" t="str">
        <f>IF(COUNTA(final!C30),final!C30,"")</f>
        <v/>
      </c>
      <c r="DA232" s="14" t="str">
        <f>IF(COUNTA(final!D30),final!D30,"")</f>
        <v/>
      </c>
      <c r="DB232" s="14" t="str">
        <f>IF(COUNTA(final!E30),final!E30,"")</f>
        <v/>
      </c>
      <c r="DC232" s="14" t="str">
        <f>IF(COUNTA(final!F30),final!F30,"")</f>
        <v/>
      </c>
      <c r="DD232" s="14" t="str">
        <f>IF(COUNTA(final!G30),final!G30,"")</f>
        <v/>
      </c>
      <c r="DE232" s="14" t="str">
        <f>IF(COUNTA(final!H30),final!H30,"")</f>
        <v/>
      </c>
    </row>
    <row r="233" spans="1:109" x14ac:dyDescent="0.2">
      <c r="A233" s="39" t="str">
        <f>IFERROR(final!L31*100/final!$I31,"")</f>
        <v/>
      </c>
      <c r="B233" s="39" t="str">
        <f>IFERROR(final!M31*100/final!$I31,"")</f>
        <v/>
      </c>
      <c r="C233" s="39" t="str">
        <f>IFERROR(final!N31*100/final!$I31,"")</f>
        <v/>
      </c>
      <c r="D233" s="39" t="str">
        <f>IFERROR(final!O31*100/final!$I31,"")</f>
        <v/>
      </c>
      <c r="E233" s="39" t="str">
        <f>IFERROR(final!P31*100/final!$I31,"")</f>
        <v/>
      </c>
      <c r="F233" s="39" t="str">
        <f>IFERROR(final!Q31*100/final!$I31,"")</f>
        <v/>
      </c>
      <c r="G233" s="39" t="str">
        <f>IFERROR(final!R31*100/final!$I31,"")</f>
        <v/>
      </c>
      <c r="H233" s="39" t="str">
        <f>IFERROR(final!S31*100/final!$I31,"")</f>
        <v/>
      </c>
      <c r="I233" s="39" t="str">
        <f>IFERROR(final!T31*100/final!$I31,"")</f>
        <v/>
      </c>
      <c r="J233" s="39" t="str">
        <f>IFERROR(final!U31*100/final!$I31,"")</f>
        <v/>
      </c>
      <c r="K233" s="39" t="str">
        <f>IFERROR(final!V31*100/final!$I31,"")</f>
        <v/>
      </c>
      <c r="L233" s="39" t="str">
        <f>IFERROR(final!W31*100/final!$I31,"")</f>
        <v/>
      </c>
      <c r="M233" s="39" t="str">
        <f>IFERROR(final!X31*100/final!$I31,"")</f>
        <v/>
      </c>
      <c r="N233" s="39" t="str">
        <f>IFERROR(final!Y31*100/final!$I31,"")</f>
        <v/>
      </c>
      <c r="O233" s="39" t="str">
        <f>IFERROR(final!Z31*100/final!$I31,"")</f>
        <v/>
      </c>
      <c r="P233" s="39" t="str">
        <f>IFERROR(final!AA31*100/final!$I31,"")</f>
        <v/>
      </c>
      <c r="Q233" s="39" t="str">
        <f>IFERROR(final!AB31*100/final!$I31,"")</f>
        <v/>
      </c>
      <c r="R233" s="39" t="str">
        <f>IFERROR(final!AC31*100/final!$I31,"")</f>
        <v/>
      </c>
      <c r="S233" s="39" t="str">
        <f>IFERROR(final!AD31*100/final!$I31,"")</f>
        <v/>
      </c>
      <c r="T233" s="39" t="str">
        <f>IFERROR(final!AE31*100/final!$I31,"")</f>
        <v/>
      </c>
      <c r="U233" s="39" t="str">
        <f>IFERROR(final!AF31*100/final!$I31,"")</f>
        <v/>
      </c>
      <c r="V233" s="39" t="str">
        <f>IFERROR(final!AG31*100/final!$I31,"")</f>
        <v/>
      </c>
      <c r="W233" s="39" t="str">
        <f>IFERROR(final!AH31*100/final!$I31,"")</f>
        <v/>
      </c>
      <c r="X233" s="39" t="str">
        <f>IFERROR(final!AI31*100/final!$I31,"")</f>
        <v/>
      </c>
      <c r="Y233" s="39" t="str">
        <f>IFERROR(final!AJ31*100/final!$I31,"")</f>
        <v/>
      </c>
      <c r="Z233" s="39" t="str">
        <f>IFERROR(final!AK31*100/final!$I31,"")</f>
        <v/>
      </c>
      <c r="AA233" s="39" t="str">
        <f>IFERROR(final!AL31*100/final!$I31,"")</f>
        <v/>
      </c>
      <c r="AB233" s="39" t="str">
        <f>IFERROR(final!AM31*100/final!$I31,"")</f>
        <v/>
      </c>
      <c r="AC233" s="39" t="str">
        <f>IFERROR(final!AN31*100/final!$I31,"")</f>
        <v/>
      </c>
      <c r="AD233" s="39" t="str">
        <f>IFERROR(final!AO31*100/final!$I31,"")</f>
        <v/>
      </c>
      <c r="AE233" s="39" t="str">
        <f>IFERROR(final!AP31*100/final!$I31,"")</f>
        <v/>
      </c>
      <c r="AF233" s="39" t="str">
        <f>IFERROR(final!AQ31*100/final!$I31,"")</f>
        <v/>
      </c>
      <c r="AG233" s="39" t="str">
        <f>IFERROR(final!AR31*100/final!$I31,"")</f>
        <v/>
      </c>
      <c r="AH233" s="39" t="str">
        <f>IFERROR(final!AS31*100/final!$I31,"")</f>
        <v/>
      </c>
      <c r="AI233" s="39" t="str">
        <f>IFERROR(final!AT31*100/final!$I31,"")</f>
        <v/>
      </c>
      <c r="AJ233" s="39" t="str">
        <f>IFERROR(final!AU31*100/final!$I31,"")</f>
        <v/>
      </c>
      <c r="AK233" s="39" t="str">
        <f>IFERROR(final!AV31*100/final!$I31,"")</f>
        <v/>
      </c>
      <c r="AL233" s="39" t="str">
        <f>IFERROR(final!AW31*100/final!$I31,"")</f>
        <v/>
      </c>
      <c r="AM233" s="39" t="str">
        <f>IFERROR(final!AX31*100/final!$I31,"")</f>
        <v/>
      </c>
      <c r="AN233" s="39" t="str">
        <f>IFERROR(final!AY31*100/final!$I31,"")</f>
        <v/>
      </c>
      <c r="AO233" s="39" t="str">
        <f>IFERROR(final!AZ31*100/final!$I31,"")</f>
        <v/>
      </c>
      <c r="AP233" s="39" t="str">
        <f>IFERROR(final!BA31*100/final!$I31,"")</f>
        <v/>
      </c>
      <c r="AQ233" s="39" t="str">
        <f>IFERROR(final!BB31*100/final!$I31,"")</f>
        <v/>
      </c>
      <c r="AR233" s="39" t="str">
        <f>IFERROR(final!BC31*100/final!$I31,"")</f>
        <v/>
      </c>
      <c r="AS233" s="39" t="str">
        <f>IFERROR(final!BD31*100/final!$I31,"")</f>
        <v/>
      </c>
      <c r="AT233" s="39" t="str">
        <f>IFERROR(final!BE31*100/final!$I31,"")</f>
        <v/>
      </c>
      <c r="AU233" s="39" t="str">
        <f>IFERROR(final!BF31*100/final!$I31,"")</f>
        <v/>
      </c>
      <c r="AV233" s="39" t="str">
        <f>IFERROR(final!BG31*100/final!$I31,"")</f>
        <v/>
      </c>
      <c r="AW233" s="39" t="str">
        <f>IFERROR(final!BH31*100/final!$I31,"")</f>
        <v/>
      </c>
      <c r="AX233" s="39" t="str">
        <f>IFERROR(final!BI31*100/final!$I31,"")</f>
        <v/>
      </c>
      <c r="AY233" s="39" t="str">
        <f>IFERROR(final!BJ31*100/final!$I31,"")</f>
        <v/>
      </c>
      <c r="AZ233" s="39" t="str">
        <f>IFERROR(final!BK31*100/final!$I31,"")</f>
        <v/>
      </c>
      <c r="BA233" s="39" t="str">
        <f>IFERROR(final!BL31*100/final!$I31,"")</f>
        <v/>
      </c>
      <c r="BB233" s="39" t="str">
        <f>IFERROR(final!BM31*100/final!$I31,"")</f>
        <v/>
      </c>
      <c r="BC233" s="39" t="str">
        <f>IFERROR(final!BN31*100/final!$I31,"")</f>
        <v/>
      </c>
      <c r="BD233" s="39" t="str">
        <f>IFERROR(final!BO31*100/final!$I31,"")</f>
        <v/>
      </c>
      <c r="BE233" s="39" t="str">
        <f>IFERROR(final!BP31*100/final!$I31,"")</f>
        <v/>
      </c>
      <c r="BF233" s="39" t="str">
        <f>IFERROR(final!BQ31*100/final!$I31,"")</f>
        <v/>
      </c>
      <c r="BG233" s="39" t="str">
        <f>IFERROR(final!BR31*100/final!$I31,"")</f>
        <v/>
      </c>
      <c r="BH233" s="39" t="str">
        <f>IFERROR(final!BS31*100/final!$I31,"")</f>
        <v/>
      </c>
      <c r="BI233" s="39" t="str">
        <f>IFERROR(final!BT31*100/final!$I31,"")</f>
        <v/>
      </c>
      <c r="BJ233" s="39" t="str">
        <f>IFERROR(final!BU31*100/final!$I31,"")</f>
        <v/>
      </c>
      <c r="BK233" s="39" t="str">
        <f>IFERROR(final!BV31*100/final!$I31,"")</f>
        <v/>
      </c>
      <c r="BL233" s="39" t="str">
        <f>IFERROR(final!BW31*100/final!$I31,"")</f>
        <v/>
      </c>
      <c r="BM233" s="39" t="str">
        <f>IFERROR(final!BX31*100/final!$I31,"")</f>
        <v/>
      </c>
      <c r="BN233" s="39" t="str">
        <f>IFERROR(final!BY31*100/final!$I31,"")</f>
        <v/>
      </c>
      <c r="BO233" s="39" t="str">
        <f>IFERROR(final!BZ31*100/final!$I31,"")</f>
        <v/>
      </c>
      <c r="BP233" s="39" t="str">
        <f>IFERROR(final!CA31*100/final!$I31,"")</f>
        <v/>
      </c>
      <c r="BQ233" s="39" t="str">
        <f>IFERROR(final!CB31*100/final!$I31,"")</f>
        <v/>
      </c>
      <c r="BR233" s="39" t="str">
        <f>IFERROR(final!CC31*100/final!$I31,"")</f>
        <v/>
      </c>
      <c r="BS233" s="39" t="str">
        <f>IFERROR(final!CD31*100/final!$I31,"")</f>
        <v/>
      </c>
      <c r="BT233" s="39" t="str">
        <f>IFERROR(final!CE31*100/final!$I31,"")</f>
        <v/>
      </c>
      <c r="BU233" s="39" t="str">
        <f>IFERROR(final!CF31*100/final!$I31,"")</f>
        <v/>
      </c>
      <c r="BV233" s="39" t="str">
        <f>IFERROR(final!CG31*100/final!$I31,"")</f>
        <v/>
      </c>
      <c r="BW233" s="39" t="str">
        <f>IFERROR(final!CH31*100/final!$I31,"")</f>
        <v/>
      </c>
      <c r="BX233" s="39" t="str">
        <f>IFERROR(final!CI31*100/final!$I31,"")</f>
        <v/>
      </c>
      <c r="BY233" s="39" t="str">
        <f>IFERROR(final!CJ31*100/final!$I31,"")</f>
        <v/>
      </c>
      <c r="BZ233" s="39" t="str">
        <f>IFERROR(final!CK31*100/final!$I31,"")</f>
        <v/>
      </c>
      <c r="CA233" s="39" t="str">
        <f>IFERROR(final!CL31*100/final!$I31,"")</f>
        <v/>
      </c>
      <c r="CB233" s="39" t="str">
        <f>IFERROR(final!CM31*100/final!$I31,"")</f>
        <v/>
      </c>
      <c r="CC233" s="39" t="str">
        <f>IFERROR(final!CN31*100/final!$I31,"")</f>
        <v/>
      </c>
      <c r="CD233" s="39" t="str">
        <f>IFERROR(final!CO31*100/final!$I31,"")</f>
        <v/>
      </c>
      <c r="CE233" s="39" t="str">
        <f>IFERROR(final!CP31*100/final!$I31,"")</f>
        <v/>
      </c>
      <c r="CF233" s="39" t="str">
        <f>IFERROR(final!CQ31*100/final!$I31,"")</f>
        <v/>
      </c>
      <c r="CG233" s="39" t="str">
        <f>IFERROR(final!CR31*100/final!$I31,"")</f>
        <v/>
      </c>
      <c r="CH233" s="39" t="str">
        <f>IFERROR(final!CS31*100/final!$I31,"")</f>
        <v/>
      </c>
      <c r="CI233" s="39" t="str">
        <f>IFERROR(final!CT31*100/final!$I31,"")</f>
        <v/>
      </c>
      <c r="CJ233" s="39" t="str">
        <f>IFERROR(final!CU31*100/final!$I31,"")</f>
        <v/>
      </c>
      <c r="CK233" s="39" t="str">
        <f>IFERROR(final!CV31*100/final!$I31,"")</f>
        <v/>
      </c>
      <c r="CL233" s="39" t="str">
        <f>IFERROR(final!CW31*100/final!$I31,"")</f>
        <v/>
      </c>
      <c r="CM233" s="39" t="str">
        <f>IFERROR(final!CX31*100/final!$I31,"")</f>
        <v/>
      </c>
      <c r="CN233" s="39" t="str">
        <f>IFERROR(final!CY31*100/final!$I31,"")</f>
        <v/>
      </c>
      <c r="CO233" s="39" t="str">
        <f>IFERROR(final!CZ31*100/final!$I31,"")</f>
        <v/>
      </c>
      <c r="CP233" s="39" t="str">
        <f>IFERROR(final!DA31*100/final!$I31,"")</f>
        <v/>
      </c>
      <c r="CQ233" s="39" t="str">
        <f>IFERROR(final!DB31*100/final!$I31,"")</f>
        <v/>
      </c>
      <c r="CR233" s="39" t="str">
        <f>IFERROR(final!DC31*100/final!$I31,"")</f>
        <v/>
      </c>
      <c r="CS233" s="39" t="str">
        <f>IFERROR(final!DD31*100/final!$I31,"")</f>
        <v/>
      </c>
      <c r="CT233" s="39" t="str">
        <f>IFERROR(final!DE31*100/final!$I31,"")</f>
        <v/>
      </c>
      <c r="CU233" s="39" t="str">
        <f>IFERROR(final!DF31*100/final!$I31,"")</f>
        <v/>
      </c>
      <c r="CV233" s="39" t="str">
        <f>IFERROR(final!DG31*100/final!$I31,"")</f>
        <v/>
      </c>
      <c r="CW233" s="32" t="str">
        <f>IFERROR(SUM(A233:CV233)/final!$DH$103,"")</f>
        <v/>
      </c>
      <c r="CX233" s="14" t="str">
        <f>IF(COUNTA(final!A31),final!A31,"")</f>
        <v/>
      </c>
      <c r="CY233" s="14" t="str">
        <f>IF(COUNTA(final!B31),final!B31,"")</f>
        <v/>
      </c>
      <c r="CZ233" s="14" t="str">
        <f>IF(COUNTA(final!C31),final!C31,"")</f>
        <v/>
      </c>
      <c r="DA233" s="14" t="str">
        <f>IF(COUNTA(final!D31),final!D31,"")</f>
        <v/>
      </c>
      <c r="DB233" s="14" t="str">
        <f>IF(COUNTA(final!E31),final!E31,"")</f>
        <v/>
      </c>
      <c r="DC233" s="14" t="str">
        <f>IF(COUNTA(final!F31),final!F31,"")</f>
        <v/>
      </c>
      <c r="DD233" s="14" t="str">
        <f>IF(COUNTA(final!G31),final!G31,"")</f>
        <v/>
      </c>
      <c r="DE233" s="14" t="str">
        <f>IF(COUNTA(final!H31),final!H31,"")</f>
        <v/>
      </c>
    </row>
    <row r="234" spans="1:109" x14ac:dyDescent="0.2">
      <c r="A234" s="39" t="str">
        <f>IFERROR(final!L32*100/final!$I32,"")</f>
        <v/>
      </c>
      <c r="B234" s="39" t="str">
        <f>IFERROR(final!M32*100/final!$I32,"")</f>
        <v/>
      </c>
      <c r="C234" s="39" t="str">
        <f>IFERROR(final!N32*100/final!$I32,"")</f>
        <v/>
      </c>
      <c r="D234" s="39" t="str">
        <f>IFERROR(final!O32*100/final!$I32,"")</f>
        <v/>
      </c>
      <c r="E234" s="39" t="str">
        <f>IFERROR(final!P32*100/final!$I32,"")</f>
        <v/>
      </c>
      <c r="F234" s="39" t="str">
        <f>IFERROR(final!Q32*100/final!$I32,"")</f>
        <v/>
      </c>
      <c r="G234" s="39" t="str">
        <f>IFERROR(final!R32*100/final!$I32,"")</f>
        <v/>
      </c>
      <c r="H234" s="39" t="str">
        <f>IFERROR(final!S32*100/final!$I32,"")</f>
        <v/>
      </c>
      <c r="I234" s="39" t="str">
        <f>IFERROR(final!T32*100/final!$I32,"")</f>
        <v/>
      </c>
      <c r="J234" s="39" t="str">
        <f>IFERROR(final!U32*100/final!$I32,"")</f>
        <v/>
      </c>
      <c r="K234" s="39" t="str">
        <f>IFERROR(final!V32*100/final!$I32,"")</f>
        <v/>
      </c>
      <c r="L234" s="39" t="str">
        <f>IFERROR(final!W32*100/final!$I32,"")</f>
        <v/>
      </c>
      <c r="M234" s="39" t="str">
        <f>IFERROR(final!X32*100/final!$I32,"")</f>
        <v/>
      </c>
      <c r="N234" s="39" t="str">
        <f>IFERROR(final!Y32*100/final!$I32,"")</f>
        <v/>
      </c>
      <c r="O234" s="39" t="str">
        <f>IFERROR(final!Z32*100/final!$I32,"")</f>
        <v/>
      </c>
      <c r="P234" s="39" t="str">
        <f>IFERROR(final!AA32*100/final!$I32,"")</f>
        <v/>
      </c>
      <c r="Q234" s="39" t="str">
        <f>IFERROR(final!AB32*100/final!$I32,"")</f>
        <v/>
      </c>
      <c r="R234" s="39" t="str">
        <f>IFERROR(final!AC32*100/final!$I32,"")</f>
        <v/>
      </c>
      <c r="S234" s="39" t="str">
        <f>IFERROR(final!AD32*100/final!$I32,"")</f>
        <v/>
      </c>
      <c r="T234" s="39" t="str">
        <f>IFERROR(final!AE32*100/final!$I32,"")</f>
        <v/>
      </c>
      <c r="U234" s="39" t="str">
        <f>IFERROR(final!AF32*100/final!$I32,"")</f>
        <v/>
      </c>
      <c r="V234" s="39" t="str">
        <f>IFERROR(final!AG32*100/final!$I32,"")</f>
        <v/>
      </c>
      <c r="W234" s="39" t="str">
        <f>IFERROR(final!AH32*100/final!$I32,"")</f>
        <v/>
      </c>
      <c r="X234" s="39" t="str">
        <f>IFERROR(final!AI32*100/final!$I32,"")</f>
        <v/>
      </c>
      <c r="Y234" s="39" t="str">
        <f>IFERROR(final!AJ32*100/final!$I32,"")</f>
        <v/>
      </c>
      <c r="Z234" s="39" t="str">
        <f>IFERROR(final!AK32*100/final!$I32,"")</f>
        <v/>
      </c>
      <c r="AA234" s="39" t="str">
        <f>IFERROR(final!AL32*100/final!$I32,"")</f>
        <v/>
      </c>
      <c r="AB234" s="39" t="str">
        <f>IFERROR(final!AM32*100/final!$I32,"")</f>
        <v/>
      </c>
      <c r="AC234" s="39" t="str">
        <f>IFERROR(final!AN32*100/final!$I32,"")</f>
        <v/>
      </c>
      <c r="AD234" s="39" t="str">
        <f>IFERROR(final!AO32*100/final!$I32,"")</f>
        <v/>
      </c>
      <c r="AE234" s="39" t="str">
        <f>IFERROR(final!AP32*100/final!$I32,"")</f>
        <v/>
      </c>
      <c r="AF234" s="39" t="str">
        <f>IFERROR(final!AQ32*100/final!$I32,"")</f>
        <v/>
      </c>
      <c r="AG234" s="39" t="str">
        <f>IFERROR(final!AR32*100/final!$I32,"")</f>
        <v/>
      </c>
      <c r="AH234" s="39" t="str">
        <f>IFERROR(final!AS32*100/final!$I32,"")</f>
        <v/>
      </c>
      <c r="AI234" s="39" t="str">
        <f>IFERROR(final!AT32*100/final!$I32,"")</f>
        <v/>
      </c>
      <c r="AJ234" s="39" t="str">
        <f>IFERROR(final!AU32*100/final!$I32,"")</f>
        <v/>
      </c>
      <c r="AK234" s="39" t="str">
        <f>IFERROR(final!AV32*100/final!$I32,"")</f>
        <v/>
      </c>
      <c r="AL234" s="39" t="str">
        <f>IFERROR(final!AW32*100/final!$I32,"")</f>
        <v/>
      </c>
      <c r="AM234" s="39" t="str">
        <f>IFERROR(final!AX32*100/final!$I32,"")</f>
        <v/>
      </c>
      <c r="AN234" s="39" t="str">
        <f>IFERROR(final!AY32*100/final!$I32,"")</f>
        <v/>
      </c>
      <c r="AO234" s="39" t="str">
        <f>IFERROR(final!AZ32*100/final!$I32,"")</f>
        <v/>
      </c>
      <c r="AP234" s="39" t="str">
        <f>IFERROR(final!BA32*100/final!$I32,"")</f>
        <v/>
      </c>
      <c r="AQ234" s="39" t="str">
        <f>IFERROR(final!BB32*100/final!$I32,"")</f>
        <v/>
      </c>
      <c r="AR234" s="39" t="str">
        <f>IFERROR(final!BC32*100/final!$I32,"")</f>
        <v/>
      </c>
      <c r="AS234" s="39" t="str">
        <f>IFERROR(final!BD32*100/final!$I32,"")</f>
        <v/>
      </c>
      <c r="AT234" s="39" t="str">
        <f>IFERROR(final!BE32*100/final!$I32,"")</f>
        <v/>
      </c>
      <c r="AU234" s="39" t="str">
        <f>IFERROR(final!BF32*100/final!$I32,"")</f>
        <v/>
      </c>
      <c r="AV234" s="39" t="str">
        <f>IFERROR(final!BG32*100/final!$I32,"")</f>
        <v/>
      </c>
      <c r="AW234" s="39" t="str">
        <f>IFERROR(final!BH32*100/final!$I32,"")</f>
        <v/>
      </c>
      <c r="AX234" s="39" t="str">
        <f>IFERROR(final!BI32*100/final!$I32,"")</f>
        <v/>
      </c>
      <c r="AY234" s="39" t="str">
        <f>IFERROR(final!BJ32*100/final!$I32,"")</f>
        <v/>
      </c>
      <c r="AZ234" s="39" t="str">
        <f>IFERROR(final!BK32*100/final!$I32,"")</f>
        <v/>
      </c>
      <c r="BA234" s="39" t="str">
        <f>IFERROR(final!BL32*100/final!$I32,"")</f>
        <v/>
      </c>
      <c r="BB234" s="39" t="str">
        <f>IFERROR(final!BM32*100/final!$I32,"")</f>
        <v/>
      </c>
      <c r="BC234" s="39" t="str">
        <f>IFERROR(final!BN32*100/final!$I32,"")</f>
        <v/>
      </c>
      <c r="BD234" s="39" t="str">
        <f>IFERROR(final!BO32*100/final!$I32,"")</f>
        <v/>
      </c>
      <c r="BE234" s="39" t="str">
        <f>IFERROR(final!BP32*100/final!$I32,"")</f>
        <v/>
      </c>
      <c r="BF234" s="39" t="str">
        <f>IFERROR(final!BQ32*100/final!$I32,"")</f>
        <v/>
      </c>
      <c r="BG234" s="39" t="str">
        <f>IFERROR(final!BR32*100/final!$I32,"")</f>
        <v/>
      </c>
      <c r="BH234" s="39" t="str">
        <f>IFERROR(final!BS32*100/final!$I32,"")</f>
        <v/>
      </c>
      <c r="BI234" s="39" t="str">
        <f>IFERROR(final!BT32*100/final!$I32,"")</f>
        <v/>
      </c>
      <c r="BJ234" s="39" t="str">
        <f>IFERROR(final!BU32*100/final!$I32,"")</f>
        <v/>
      </c>
      <c r="BK234" s="39" t="str">
        <f>IFERROR(final!BV32*100/final!$I32,"")</f>
        <v/>
      </c>
      <c r="BL234" s="39" t="str">
        <f>IFERROR(final!BW32*100/final!$I32,"")</f>
        <v/>
      </c>
      <c r="BM234" s="39" t="str">
        <f>IFERROR(final!BX32*100/final!$I32,"")</f>
        <v/>
      </c>
      <c r="BN234" s="39" t="str">
        <f>IFERROR(final!BY32*100/final!$I32,"")</f>
        <v/>
      </c>
      <c r="BO234" s="39" t="str">
        <f>IFERROR(final!BZ32*100/final!$I32,"")</f>
        <v/>
      </c>
      <c r="BP234" s="39" t="str">
        <f>IFERROR(final!CA32*100/final!$I32,"")</f>
        <v/>
      </c>
      <c r="BQ234" s="39" t="str">
        <f>IFERROR(final!CB32*100/final!$I32,"")</f>
        <v/>
      </c>
      <c r="BR234" s="39" t="str">
        <f>IFERROR(final!CC32*100/final!$I32,"")</f>
        <v/>
      </c>
      <c r="BS234" s="39" t="str">
        <f>IFERROR(final!CD32*100/final!$I32,"")</f>
        <v/>
      </c>
      <c r="BT234" s="39" t="str">
        <f>IFERROR(final!CE32*100/final!$I32,"")</f>
        <v/>
      </c>
      <c r="BU234" s="39" t="str">
        <f>IFERROR(final!CF32*100/final!$I32,"")</f>
        <v/>
      </c>
      <c r="BV234" s="39" t="str">
        <f>IFERROR(final!CG32*100/final!$I32,"")</f>
        <v/>
      </c>
      <c r="BW234" s="39" t="str">
        <f>IFERROR(final!CH32*100/final!$I32,"")</f>
        <v/>
      </c>
      <c r="BX234" s="39" t="str">
        <f>IFERROR(final!CI32*100/final!$I32,"")</f>
        <v/>
      </c>
      <c r="BY234" s="39" t="str">
        <f>IFERROR(final!CJ32*100/final!$I32,"")</f>
        <v/>
      </c>
      <c r="BZ234" s="39" t="str">
        <f>IFERROR(final!CK32*100/final!$I32,"")</f>
        <v/>
      </c>
      <c r="CA234" s="39" t="str">
        <f>IFERROR(final!CL32*100/final!$I32,"")</f>
        <v/>
      </c>
      <c r="CB234" s="39" t="str">
        <f>IFERROR(final!CM32*100/final!$I32,"")</f>
        <v/>
      </c>
      <c r="CC234" s="39" t="str">
        <f>IFERROR(final!CN32*100/final!$I32,"")</f>
        <v/>
      </c>
      <c r="CD234" s="39" t="str">
        <f>IFERROR(final!CO32*100/final!$I32,"")</f>
        <v/>
      </c>
      <c r="CE234" s="39" t="str">
        <f>IFERROR(final!CP32*100/final!$I32,"")</f>
        <v/>
      </c>
      <c r="CF234" s="39" t="str">
        <f>IFERROR(final!CQ32*100/final!$I32,"")</f>
        <v/>
      </c>
      <c r="CG234" s="39" t="str">
        <f>IFERROR(final!CR32*100/final!$I32,"")</f>
        <v/>
      </c>
      <c r="CH234" s="39" t="str">
        <f>IFERROR(final!CS32*100/final!$I32,"")</f>
        <v/>
      </c>
      <c r="CI234" s="39" t="str">
        <f>IFERROR(final!CT32*100/final!$I32,"")</f>
        <v/>
      </c>
      <c r="CJ234" s="39" t="str">
        <f>IFERROR(final!CU32*100/final!$I32,"")</f>
        <v/>
      </c>
      <c r="CK234" s="39" t="str">
        <f>IFERROR(final!CV32*100/final!$I32,"")</f>
        <v/>
      </c>
      <c r="CL234" s="39" t="str">
        <f>IFERROR(final!CW32*100/final!$I32,"")</f>
        <v/>
      </c>
      <c r="CM234" s="39" t="str">
        <f>IFERROR(final!CX32*100/final!$I32,"")</f>
        <v/>
      </c>
      <c r="CN234" s="39" t="str">
        <f>IFERROR(final!CY32*100/final!$I32,"")</f>
        <v/>
      </c>
      <c r="CO234" s="39" t="str">
        <f>IFERROR(final!CZ32*100/final!$I32,"")</f>
        <v/>
      </c>
      <c r="CP234" s="39" t="str">
        <f>IFERROR(final!DA32*100/final!$I32,"")</f>
        <v/>
      </c>
      <c r="CQ234" s="39" t="str">
        <f>IFERROR(final!DB32*100/final!$I32,"")</f>
        <v/>
      </c>
      <c r="CR234" s="39" t="str">
        <f>IFERROR(final!DC32*100/final!$I32,"")</f>
        <v/>
      </c>
      <c r="CS234" s="39" t="str">
        <f>IFERROR(final!DD32*100/final!$I32,"")</f>
        <v/>
      </c>
      <c r="CT234" s="39" t="str">
        <f>IFERROR(final!DE32*100/final!$I32,"")</f>
        <v/>
      </c>
      <c r="CU234" s="39" t="str">
        <f>IFERROR(final!DF32*100/final!$I32,"")</f>
        <v/>
      </c>
      <c r="CV234" s="39" t="str">
        <f>IFERROR(final!DG32*100/final!$I32,"")</f>
        <v/>
      </c>
      <c r="CW234" s="32" t="str">
        <f>IFERROR(SUM(A234:CV234)/final!$DH$103,"")</f>
        <v/>
      </c>
      <c r="CX234" s="14" t="str">
        <f>IF(COUNTA(final!A32),final!A32,"")</f>
        <v/>
      </c>
      <c r="CY234" s="14" t="str">
        <f>IF(COUNTA(final!B32),final!B32,"")</f>
        <v/>
      </c>
      <c r="CZ234" s="14" t="str">
        <f>IF(COUNTA(final!C32),final!C32,"")</f>
        <v/>
      </c>
      <c r="DA234" s="14" t="str">
        <f>IF(COUNTA(final!D32),final!D32,"")</f>
        <v/>
      </c>
      <c r="DB234" s="14" t="str">
        <f>IF(COUNTA(final!E32),final!E32,"")</f>
        <v/>
      </c>
      <c r="DC234" s="14" t="str">
        <f>IF(COUNTA(final!F32),final!F32,"")</f>
        <v/>
      </c>
      <c r="DD234" s="14" t="str">
        <f>IF(COUNTA(final!G32),final!G32,"")</f>
        <v/>
      </c>
      <c r="DE234" s="14" t="str">
        <f>IF(COUNTA(final!H32),final!H32,"")</f>
        <v/>
      </c>
    </row>
    <row r="235" spans="1:109" x14ac:dyDescent="0.2">
      <c r="A235" s="39" t="str">
        <f>IFERROR(final!L33*100/final!$I33,"")</f>
        <v/>
      </c>
      <c r="B235" s="39" t="str">
        <f>IFERROR(final!M33*100/final!$I33,"")</f>
        <v/>
      </c>
      <c r="C235" s="39" t="str">
        <f>IFERROR(final!N33*100/final!$I33,"")</f>
        <v/>
      </c>
      <c r="D235" s="39" t="str">
        <f>IFERROR(final!O33*100/final!$I33,"")</f>
        <v/>
      </c>
      <c r="E235" s="39" t="str">
        <f>IFERROR(final!P33*100/final!$I33,"")</f>
        <v/>
      </c>
      <c r="F235" s="39" t="str">
        <f>IFERROR(final!Q33*100/final!$I33,"")</f>
        <v/>
      </c>
      <c r="G235" s="39" t="str">
        <f>IFERROR(final!R33*100/final!$I33,"")</f>
        <v/>
      </c>
      <c r="H235" s="39" t="str">
        <f>IFERROR(final!S33*100/final!$I33,"")</f>
        <v/>
      </c>
      <c r="I235" s="39" t="str">
        <f>IFERROR(final!T33*100/final!$I33,"")</f>
        <v/>
      </c>
      <c r="J235" s="39" t="str">
        <f>IFERROR(final!U33*100/final!$I33,"")</f>
        <v/>
      </c>
      <c r="K235" s="39" t="str">
        <f>IFERROR(final!V33*100/final!$I33,"")</f>
        <v/>
      </c>
      <c r="L235" s="39" t="str">
        <f>IFERROR(final!W33*100/final!$I33,"")</f>
        <v/>
      </c>
      <c r="M235" s="39" t="str">
        <f>IFERROR(final!X33*100/final!$I33,"")</f>
        <v/>
      </c>
      <c r="N235" s="39" t="str">
        <f>IFERROR(final!Y33*100/final!$I33,"")</f>
        <v/>
      </c>
      <c r="O235" s="39" t="str">
        <f>IFERROR(final!Z33*100/final!$I33,"")</f>
        <v/>
      </c>
      <c r="P235" s="39" t="str">
        <f>IFERROR(final!AA33*100/final!$I33,"")</f>
        <v/>
      </c>
      <c r="Q235" s="39" t="str">
        <f>IFERROR(final!AB33*100/final!$I33,"")</f>
        <v/>
      </c>
      <c r="R235" s="39" t="str">
        <f>IFERROR(final!AC33*100/final!$I33,"")</f>
        <v/>
      </c>
      <c r="S235" s="39" t="str">
        <f>IFERROR(final!AD33*100/final!$I33,"")</f>
        <v/>
      </c>
      <c r="T235" s="39" t="str">
        <f>IFERROR(final!AE33*100/final!$I33,"")</f>
        <v/>
      </c>
      <c r="U235" s="39" t="str">
        <f>IFERROR(final!AF33*100/final!$I33,"")</f>
        <v/>
      </c>
      <c r="V235" s="39" t="str">
        <f>IFERROR(final!AG33*100/final!$I33,"")</f>
        <v/>
      </c>
      <c r="W235" s="39" t="str">
        <f>IFERROR(final!AH33*100/final!$I33,"")</f>
        <v/>
      </c>
      <c r="X235" s="39" t="str">
        <f>IFERROR(final!AI33*100/final!$I33,"")</f>
        <v/>
      </c>
      <c r="Y235" s="39" t="str">
        <f>IFERROR(final!AJ33*100/final!$I33,"")</f>
        <v/>
      </c>
      <c r="Z235" s="39" t="str">
        <f>IFERROR(final!AK33*100/final!$I33,"")</f>
        <v/>
      </c>
      <c r="AA235" s="39" t="str">
        <f>IFERROR(final!AL33*100/final!$I33,"")</f>
        <v/>
      </c>
      <c r="AB235" s="39" t="str">
        <f>IFERROR(final!AM33*100/final!$I33,"")</f>
        <v/>
      </c>
      <c r="AC235" s="39" t="str">
        <f>IFERROR(final!AN33*100/final!$I33,"")</f>
        <v/>
      </c>
      <c r="AD235" s="39" t="str">
        <f>IFERROR(final!AO33*100/final!$I33,"")</f>
        <v/>
      </c>
      <c r="AE235" s="39" t="str">
        <f>IFERROR(final!AP33*100/final!$I33,"")</f>
        <v/>
      </c>
      <c r="AF235" s="39" t="str">
        <f>IFERROR(final!AQ33*100/final!$I33,"")</f>
        <v/>
      </c>
      <c r="AG235" s="39" t="str">
        <f>IFERROR(final!AR33*100/final!$I33,"")</f>
        <v/>
      </c>
      <c r="AH235" s="39" t="str">
        <f>IFERROR(final!AS33*100/final!$I33,"")</f>
        <v/>
      </c>
      <c r="AI235" s="39" t="str">
        <f>IFERROR(final!AT33*100/final!$I33,"")</f>
        <v/>
      </c>
      <c r="AJ235" s="39" t="str">
        <f>IFERROR(final!AU33*100/final!$I33,"")</f>
        <v/>
      </c>
      <c r="AK235" s="39" t="str">
        <f>IFERROR(final!AV33*100/final!$I33,"")</f>
        <v/>
      </c>
      <c r="AL235" s="39" t="str">
        <f>IFERROR(final!AW33*100/final!$I33,"")</f>
        <v/>
      </c>
      <c r="AM235" s="39" t="str">
        <f>IFERROR(final!AX33*100/final!$I33,"")</f>
        <v/>
      </c>
      <c r="AN235" s="39" t="str">
        <f>IFERROR(final!AY33*100/final!$I33,"")</f>
        <v/>
      </c>
      <c r="AO235" s="39" t="str">
        <f>IFERROR(final!AZ33*100/final!$I33,"")</f>
        <v/>
      </c>
      <c r="AP235" s="39" t="str">
        <f>IFERROR(final!BA33*100/final!$I33,"")</f>
        <v/>
      </c>
      <c r="AQ235" s="39" t="str">
        <f>IFERROR(final!BB33*100/final!$I33,"")</f>
        <v/>
      </c>
      <c r="AR235" s="39" t="str">
        <f>IFERROR(final!BC33*100/final!$I33,"")</f>
        <v/>
      </c>
      <c r="AS235" s="39" t="str">
        <f>IFERROR(final!BD33*100/final!$I33,"")</f>
        <v/>
      </c>
      <c r="AT235" s="39" t="str">
        <f>IFERROR(final!BE33*100/final!$I33,"")</f>
        <v/>
      </c>
      <c r="AU235" s="39" t="str">
        <f>IFERROR(final!BF33*100/final!$I33,"")</f>
        <v/>
      </c>
      <c r="AV235" s="39" t="str">
        <f>IFERROR(final!BG33*100/final!$I33,"")</f>
        <v/>
      </c>
      <c r="AW235" s="39" t="str">
        <f>IFERROR(final!BH33*100/final!$I33,"")</f>
        <v/>
      </c>
      <c r="AX235" s="39" t="str">
        <f>IFERROR(final!BI33*100/final!$I33,"")</f>
        <v/>
      </c>
      <c r="AY235" s="39" t="str">
        <f>IFERROR(final!BJ33*100/final!$I33,"")</f>
        <v/>
      </c>
      <c r="AZ235" s="39" t="str">
        <f>IFERROR(final!BK33*100/final!$I33,"")</f>
        <v/>
      </c>
      <c r="BA235" s="39" t="str">
        <f>IFERROR(final!BL33*100/final!$I33,"")</f>
        <v/>
      </c>
      <c r="BB235" s="39" t="str">
        <f>IFERROR(final!BM33*100/final!$I33,"")</f>
        <v/>
      </c>
      <c r="BC235" s="39" t="str">
        <f>IFERROR(final!BN33*100/final!$I33,"")</f>
        <v/>
      </c>
      <c r="BD235" s="39" t="str">
        <f>IFERROR(final!BO33*100/final!$I33,"")</f>
        <v/>
      </c>
      <c r="BE235" s="39" t="str">
        <f>IFERROR(final!BP33*100/final!$I33,"")</f>
        <v/>
      </c>
      <c r="BF235" s="39" t="str">
        <f>IFERROR(final!BQ33*100/final!$I33,"")</f>
        <v/>
      </c>
      <c r="BG235" s="39" t="str">
        <f>IFERROR(final!BR33*100/final!$I33,"")</f>
        <v/>
      </c>
      <c r="BH235" s="39" t="str">
        <f>IFERROR(final!BS33*100/final!$I33,"")</f>
        <v/>
      </c>
      <c r="BI235" s="39" t="str">
        <f>IFERROR(final!BT33*100/final!$I33,"")</f>
        <v/>
      </c>
      <c r="BJ235" s="39" t="str">
        <f>IFERROR(final!BU33*100/final!$I33,"")</f>
        <v/>
      </c>
      <c r="BK235" s="39" t="str">
        <f>IFERROR(final!BV33*100/final!$I33,"")</f>
        <v/>
      </c>
      <c r="BL235" s="39" t="str">
        <f>IFERROR(final!BW33*100/final!$I33,"")</f>
        <v/>
      </c>
      <c r="BM235" s="39" t="str">
        <f>IFERROR(final!BX33*100/final!$I33,"")</f>
        <v/>
      </c>
      <c r="BN235" s="39" t="str">
        <f>IFERROR(final!BY33*100/final!$I33,"")</f>
        <v/>
      </c>
      <c r="BO235" s="39" t="str">
        <f>IFERROR(final!BZ33*100/final!$I33,"")</f>
        <v/>
      </c>
      <c r="BP235" s="39" t="str">
        <f>IFERROR(final!CA33*100/final!$I33,"")</f>
        <v/>
      </c>
      <c r="BQ235" s="39" t="str">
        <f>IFERROR(final!CB33*100/final!$I33,"")</f>
        <v/>
      </c>
      <c r="BR235" s="39" t="str">
        <f>IFERROR(final!CC33*100/final!$I33,"")</f>
        <v/>
      </c>
      <c r="BS235" s="39" t="str">
        <f>IFERROR(final!CD33*100/final!$I33,"")</f>
        <v/>
      </c>
      <c r="BT235" s="39" t="str">
        <f>IFERROR(final!CE33*100/final!$I33,"")</f>
        <v/>
      </c>
      <c r="BU235" s="39" t="str">
        <f>IFERROR(final!CF33*100/final!$I33,"")</f>
        <v/>
      </c>
      <c r="BV235" s="39" t="str">
        <f>IFERROR(final!CG33*100/final!$I33,"")</f>
        <v/>
      </c>
      <c r="BW235" s="39" t="str">
        <f>IFERROR(final!CH33*100/final!$I33,"")</f>
        <v/>
      </c>
      <c r="BX235" s="39" t="str">
        <f>IFERROR(final!CI33*100/final!$I33,"")</f>
        <v/>
      </c>
      <c r="BY235" s="39" t="str">
        <f>IFERROR(final!CJ33*100/final!$I33,"")</f>
        <v/>
      </c>
      <c r="BZ235" s="39" t="str">
        <f>IFERROR(final!CK33*100/final!$I33,"")</f>
        <v/>
      </c>
      <c r="CA235" s="39" t="str">
        <f>IFERROR(final!CL33*100/final!$I33,"")</f>
        <v/>
      </c>
      <c r="CB235" s="39" t="str">
        <f>IFERROR(final!CM33*100/final!$I33,"")</f>
        <v/>
      </c>
      <c r="CC235" s="39" t="str">
        <f>IFERROR(final!CN33*100/final!$I33,"")</f>
        <v/>
      </c>
      <c r="CD235" s="39" t="str">
        <f>IFERROR(final!CO33*100/final!$I33,"")</f>
        <v/>
      </c>
      <c r="CE235" s="39" t="str">
        <f>IFERROR(final!CP33*100/final!$I33,"")</f>
        <v/>
      </c>
      <c r="CF235" s="39" t="str">
        <f>IFERROR(final!CQ33*100/final!$I33,"")</f>
        <v/>
      </c>
      <c r="CG235" s="39" t="str">
        <f>IFERROR(final!CR33*100/final!$I33,"")</f>
        <v/>
      </c>
      <c r="CH235" s="39" t="str">
        <f>IFERROR(final!CS33*100/final!$I33,"")</f>
        <v/>
      </c>
      <c r="CI235" s="39" t="str">
        <f>IFERROR(final!CT33*100/final!$I33,"")</f>
        <v/>
      </c>
      <c r="CJ235" s="39" t="str">
        <f>IFERROR(final!CU33*100/final!$I33,"")</f>
        <v/>
      </c>
      <c r="CK235" s="39" t="str">
        <f>IFERROR(final!CV33*100/final!$I33,"")</f>
        <v/>
      </c>
      <c r="CL235" s="39" t="str">
        <f>IFERROR(final!CW33*100/final!$I33,"")</f>
        <v/>
      </c>
      <c r="CM235" s="39" t="str">
        <f>IFERROR(final!CX33*100/final!$I33,"")</f>
        <v/>
      </c>
      <c r="CN235" s="39" t="str">
        <f>IFERROR(final!CY33*100/final!$I33,"")</f>
        <v/>
      </c>
      <c r="CO235" s="39" t="str">
        <f>IFERROR(final!CZ33*100/final!$I33,"")</f>
        <v/>
      </c>
      <c r="CP235" s="39" t="str">
        <f>IFERROR(final!DA33*100/final!$I33,"")</f>
        <v/>
      </c>
      <c r="CQ235" s="39" t="str">
        <f>IFERROR(final!DB33*100/final!$I33,"")</f>
        <v/>
      </c>
      <c r="CR235" s="39" t="str">
        <f>IFERROR(final!DC33*100/final!$I33,"")</f>
        <v/>
      </c>
      <c r="CS235" s="39" t="str">
        <f>IFERROR(final!DD33*100/final!$I33,"")</f>
        <v/>
      </c>
      <c r="CT235" s="39" t="str">
        <f>IFERROR(final!DE33*100/final!$I33,"")</f>
        <v/>
      </c>
      <c r="CU235" s="39" t="str">
        <f>IFERROR(final!DF33*100/final!$I33,"")</f>
        <v/>
      </c>
      <c r="CV235" s="39" t="str">
        <f>IFERROR(final!DG33*100/final!$I33,"")</f>
        <v/>
      </c>
      <c r="CW235" s="32" t="str">
        <f>IFERROR(SUM(A235:CV235)/final!$DH$103,"")</f>
        <v/>
      </c>
      <c r="CX235" s="14" t="str">
        <f>IF(COUNTA(final!A33),final!A33,"")</f>
        <v/>
      </c>
      <c r="CY235" s="14" t="str">
        <f>IF(COUNTA(final!B33),final!B33,"")</f>
        <v/>
      </c>
      <c r="CZ235" s="14" t="str">
        <f>IF(COUNTA(final!C33),final!C33,"")</f>
        <v/>
      </c>
      <c r="DA235" s="14" t="str">
        <f>IF(COUNTA(final!D33),final!D33,"")</f>
        <v/>
      </c>
      <c r="DB235" s="14" t="str">
        <f>IF(COUNTA(final!E33),final!E33,"")</f>
        <v/>
      </c>
      <c r="DC235" s="14" t="str">
        <f>IF(COUNTA(final!F33),final!F33,"")</f>
        <v/>
      </c>
      <c r="DD235" s="14" t="str">
        <f>IF(COUNTA(final!G33),final!G33,"")</f>
        <v/>
      </c>
      <c r="DE235" s="14" t="str">
        <f>IF(COUNTA(final!H33),final!H33,"")</f>
        <v/>
      </c>
    </row>
    <row r="236" spans="1:109" x14ac:dyDescent="0.2">
      <c r="A236" s="39" t="str">
        <f>IFERROR(final!L34*100/final!$I34,"")</f>
        <v/>
      </c>
      <c r="B236" s="39" t="str">
        <f>IFERROR(final!M34*100/final!$I34,"")</f>
        <v/>
      </c>
      <c r="C236" s="39" t="str">
        <f>IFERROR(final!N34*100/final!$I34,"")</f>
        <v/>
      </c>
      <c r="D236" s="39" t="str">
        <f>IFERROR(final!O34*100/final!$I34,"")</f>
        <v/>
      </c>
      <c r="E236" s="39" t="str">
        <f>IFERROR(final!P34*100/final!$I34,"")</f>
        <v/>
      </c>
      <c r="F236" s="39" t="str">
        <f>IFERROR(final!Q34*100/final!$I34,"")</f>
        <v/>
      </c>
      <c r="G236" s="39" t="str">
        <f>IFERROR(final!R34*100/final!$I34,"")</f>
        <v/>
      </c>
      <c r="H236" s="39" t="str">
        <f>IFERROR(final!S34*100/final!$I34,"")</f>
        <v/>
      </c>
      <c r="I236" s="39" t="str">
        <f>IFERROR(final!T34*100/final!$I34,"")</f>
        <v/>
      </c>
      <c r="J236" s="39" t="str">
        <f>IFERROR(final!U34*100/final!$I34,"")</f>
        <v/>
      </c>
      <c r="K236" s="39" t="str">
        <f>IFERROR(final!V34*100/final!$I34,"")</f>
        <v/>
      </c>
      <c r="L236" s="39" t="str">
        <f>IFERROR(final!W34*100/final!$I34,"")</f>
        <v/>
      </c>
      <c r="M236" s="39" t="str">
        <f>IFERROR(final!X34*100/final!$I34,"")</f>
        <v/>
      </c>
      <c r="N236" s="39" t="str">
        <f>IFERROR(final!Y34*100/final!$I34,"")</f>
        <v/>
      </c>
      <c r="O236" s="39" t="str">
        <f>IFERROR(final!Z34*100/final!$I34,"")</f>
        <v/>
      </c>
      <c r="P236" s="39" t="str">
        <f>IFERROR(final!AA34*100/final!$I34,"")</f>
        <v/>
      </c>
      <c r="Q236" s="39" t="str">
        <f>IFERROR(final!AB34*100/final!$I34,"")</f>
        <v/>
      </c>
      <c r="R236" s="39" t="str">
        <f>IFERROR(final!AC34*100/final!$I34,"")</f>
        <v/>
      </c>
      <c r="S236" s="39" t="str">
        <f>IFERROR(final!AD34*100/final!$I34,"")</f>
        <v/>
      </c>
      <c r="T236" s="39" t="str">
        <f>IFERROR(final!AE34*100/final!$I34,"")</f>
        <v/>
      </c>
      <c r="U236" s="39" t="str">
        <f>IFERROR(final!AF34*100/final!$I34,"")</f>
        <v/>
      </c>
      <c r="V236" s="39" t="str">
        <f>IFERROR(final!AG34*100/final!$I34,"")</f>
        <v/>
      </c>
      <c r="W236" s="39" t="str">
        <f>IFERROR(final!AH34*100/final!$I34,"")</f>
        <v/>
      </c>
      <c r="X236" s="39" t="str">
        <f>IFERROR(final!AI34*100/final!$I34,"")</f>
        <v/>
      </c>
      <c r="Y236" s="39" t="str">
        <f>IFERROR(final!AJ34*100/final!$I34,"")</f>
        <v/>
      </c>
      <c r="Z236" s="39" t="str">
        <f>IFERROR(final!AK34*100/final!$I34,"")</f>
        <v/>
      </c>
      <c r="AA236" s="39" t="str">
        <f>IFERROR(final!AL34*100/final!$I34,"")</f>
        <v/>
      </c>
      <c r="AB236" s="39" t="str">
        <f>IFERROR(final!AM34*100/final!$I34,"")</f>
        <v/>
      </c>
      <c r="AC236" s="39" t="str">
        <f>IFERROR(final!AN34*100/final!$I34,"")</f>
        <v/>
      </c>
      <c r="AD236" s="39" t="str">
        <f>IFERROR(final!AO34*100/final!$I34,"")</f>
        <v/>
      </c>
      <c r="AE236" s="39" t="str">
        <f>IFERROR(final!AP34*100/final!$I34,"")</f>
        <v/>
      </c>
      <c r="AF236" s="39" t="str">
        <f>IFERROR(final!AQ34*100/final!$I34,"")</f>
        <v/>
      </c>
      <c r="AG236" s="39" t="str">
        <f>IFERROR(final!AR34*100/final!$I34,"")</f>
        <v/>
      </c>
      <c r="AH236" s="39" t="str">
        <f>IFERROR(final!AS34*100/final!$I34,"")</f>
        <v/>
      </c>
      <c r="AI236" s="39" t="str">
        <f>IFERROR(final!AT34*100/final!$I34,"")</f>
        <v/>
      </c>
      <c r="AJ236" s="39" t="str">
        <f>IFERROR(final!AU34*100/final!$I34,"")</f>
        <v/>
      </c>
      <c r="AK236" s="39" t="str">
        <f>IFERROR(final!AV34*100/final!$I34,"")</f>
        <v/>
      </c>
      <c r="AL236" s="39" t="str">
        <f>IFERROR(final!AW34*100/final!$I34,"")</f>
        <v/>
      </c>
      <c r="AM236" s="39" t="str">
        <f>IFERROR(final!AX34*100/final!$I34,"")</f>
        <v/>
      </c>
      <c r="AN236" s="39" t="str">
        <f>IFERROR(final!AY34*100/final!$I34,"")</f>
        <v/>
      </c>
      <c r="AO236" s="39" t="str">
        <f>IFERROR(final!AZ34*100/final!$I34,"")</f>
        <v/>
      </c>
      <c r="AP236" s="39" t="str">
        <f>IFERROR(final!BA34*100/final!$I34,"")</f>
        <v/>
      </c>
      <c r="AQ236" s="39" t="str">
        <f>IFERROR(final!BB34*100/final!$I34,"")</f>
        <v/>
      </c>
      <c r="AR236" s="39" t="str">
        <f>IFERROR(final!BC34*100/final!$I34,"")</f>
        <v/>
      </c>
      <c r="AS236" s="39" t="str">
        <f>IFERROR(final!BD34*100/final!$I34,"")</f>
        <v/>
      </c>
      <c r="AT236" s="39" t="str">
        <f>IFERROR(final!BE34*100/final!$I34,"")</f>
        <v/>
      </c>
      <c r="AU236" s="39" t="str">
        <f>IFERROR(final!BF34*100/final!$I34,"")</f>
        <v/>
      </c>
      <c r="AV236" s="39" t="str">
        <f>IFERROR(final!BG34*100/final!$I34,"")</f>
        <v/>
      </c>
      <c r="AW236" s="39" t="str">
        <f>IFERROR(final!BH34*100/final!$I34,"")</f>
        <v/>
      </c>
      <c r="AX236" s="39" t="str">
        <f>IFERROR(final!BI34*100/final!$I34,"")</f>
        <v/>
      </c>
      <c r="AY236" s="39" t="str">
        <f>IFERROR(final!BJ34*100/final!$I34,"")</f>
        <v/>
      </c>
      <c r="AZ236" s="39" t="str">
        <f>IFERROR(final!BK34*100/final!$I34,"")</f>
        <v/>
      </c>
      <c r="BA236" s="39" t="str">
        <f>IFERROR(final!BL34*100/final!$I34,"")</f>
        <v/>
      </c>
      <c r="BB236" s="39" t="str">
        <f>IFERROR(final!BM34*100/final!$I34,"")</f>
        <v/>
      </c>
      <c r="BC236" s="39" t="str">
        <f>IFERROR(final!BN34*100/final!$I34,"")</f>
        <v/>
      </c>
      <c r="BD236" s="39" t="str">
        <f>IFERROR(final!BO34*100/final!$I34,"")</f>
        <v/>
      </c>
      <c r="BE236" s="39" t="str">
        <f>IFERROR(final!BP34*100/final!$I34,"")</f>
        <v/>
      </c>
      <c r="BF236" s="39" t="str">
        <f>IFERROR(final!BQ34*100/final!$I34,"")</f>
        <v/>
      </c>
      <c r="BG236" s="39" t="str">
        <f>IFERROR(final!BR34*100/final!$I34,"")</f>
        <v/>
      </c>
      <c r="BH236" s="39" t="str">
        <f>IFERROR(final!BS34*100/final!$I34,"")</f>
        <v/>
      </c>
      <c r="BI236" s="39" t="str">
        <f>IFERROR(final!BT34*100/final!$I34,"")</f>
        <v/>
      </c>
      <c r="BJ236" s="39" t="str">
        <f>IFERROR(final!BU34*100/final!$I34,"")</f>
        <v/>
      </c>
      <c r="BK236" s="39" t="str">
        <f>IFERROR(final!BV34*100/final!$I34,"")</f>
        <v/>
      </c>
      <c r="BL236" s="39" t="str">
        <f>IFERROR(final!BW34*100/final!$I34,"")</f>
        <v/>
      </c>
      <c r="BM236" s="39" t="str">
        <f>IFERROR(final!BX34*100/final!$I34,"")</f>
        <v/>
      </c>
      <c r="BN236" s="39" t="str">
        <f>IFERROR(final!BY34*100/final!$I34,"")</f>
        <v/>
      </c>
      <c r="BO236" s="39" t="str">
        <f>IFERROR(final!BZ34*100/final!$I34,"")</f>
        <v/>
      </c>
      <c r="BP236" s="39" t="str">
        <f>IFERROR(final!CA34*100/final!$I34,"")</f>
        <v/>
      </c>
      <c r="BQ236" s="39" t="str">
        <f>IFERROR(final!CB34*100/final!$I34,"")</f>
        <v/>
      </c>
      <c r="BR236" s="39" t="str">
        <f>IFERROR(final!CC34*100/final!$I34,"")</f>
        <v/>
      </c>
      <c r="BS236" s="39" t="str">
        <f>IFERROR(final!CD34*100/final!$I34,"")</f>
        <v/>
      </c>
      <c r="BT236" s="39" t="str">
        <f>IFERROR(final!CE34*100/final!$I34,"")</f>
        <v/>
      </c>
      <c r="BU236" s="39" t="str">
        <f>IFERROR(final!CF34*100/final!$I34,"")</f>
        <v/>
      </c>
      <c r="BV236" s="39" t="str">
        <f>IFERROR(final!CG34*100/final!$I34,"")</f>
        <v/>
      </c>
      <c r="BW236" s="39" t="str">
        <f>IFERROR(final!CH34*100/final!$I34,"")</f>
        <v/>
      </c>
      <c r="BX236" s="39" t="str">
        <f>IFERROR(final!CI34*100/final!$I34,"")</f>
        <v/>
      </c>
      <c r="BY236" s="39" t="str">
        <f>IFERROR(final!CJ34*100/final!$I34,"")</f>
        <v/>
      </c>
      <c r="BZ236" s="39" t="str">
        <f>IFERROR(final!CK34*100/final!$I34,"")</f>
        <v/>
      </c>
      <c r="CA236" s="39" t="str">
        <f>IFERROR(final!CL34*100/final!$I34,"")</f>
        <v/>
      </c>
      <c r="CB236" s="39" t="str">
        <f>IFERROR(final!CM34*100/final!$I34,"")</f>
        <v/>
      </c>
      <c r="CC236" s="39" t="str">
        <f>IFERROR(final!CN34*100/final!$I34,"")</f>
        <v/>
      </c>
      <c r="CD236" s="39" t="str">
        <f>IFERROR(final!CO34*100/final!$I34,"")</f>
        <v/>
      </c>
      <c r="CE236" s="39" t="str">
        <f>IFERROR(final!CP34*100/final!$I34,"")</f>
        <v/>
      </c>
      <c r="CF236" s="39" t="str">
        <f>IFERROR(final!CQ34*100/final!$I34,"")</f>
        <v/>
      </c>
      <c r="CG236" s="39" t="str">
        <f>IFERROR(final!CR34*100/final!$I34,"")</f>
        <v/>
      </c>
      <c r="CH236" s="39" t="str">
        <f>IFERROR(final!CS34*100/final!$I34,"")</f>
        <v/>
      </c>
      <c r="CI236" s="39" t="str">
        <f>IFERROR(final!CT34*100/final!$I34,"")</f>
        <v/>
      </c>
      <c r="CJ236" s="39" t="str">
        <f>IFERROR(final!CU34*100/final!$I34,"")</f>
        <v/>
      </c>
      <c r="CK236" s="39" t="str">
        <f>IFERROR(final!CV34*100/final!$I34,"")</f>
        <v/>
      </c>
      <c r="CL236" s="39" t="str">
        <f>IFERROR(final!CW34*100/final!$I34,"")</f>
        <v/>
      </c>
      <c r="CM236" s="39" t="str">
        <f>IFERROR(final!CX34*100/final!$I34,"")</f>
        <v/>
      </c>
      <c r="CN236" s="39" t="str">
        <f>IFERROR(final!CY34*100/final!$I34,"")</f>
        <v/>
      </c>
      <c r="CO236" s="39" t="str">
        <f>IFERROR(final!CZ34*100/final!$I34,"")</f>
        <v/>
      </c>
      <c r="CP236" s="39" t="str">
        <f>IFERROR(final!DA34*100/final!$I34,"")</f>
        <v/>
      </c>
      <c r="CQ236" s="39" t="str">
        <f>IFERROR(final!DB34*100/final!$I34,"")</f>
        <v/>
      </c>
      <c r="CR236" s="39" t="str">
        <f>IFERROR(final!DC34*100/final!$I34,"")</f>
        <v/>
      </c>
      <c r="CS236" s="39" t="str">
        <f>IFERROR(final!DD34*100/final!$I34,"")</f>
        <v/>
      </c>
      <c r="CT236" s="39" t="str">
        <f>IFERROR(final!DE34*100/final!$I34,"")</f>
        <v/>
      </c>
      <c r="CU236" s="39" t="str">
        <f>IFERROR(final!DF34*100/final!$I34,"")</f>
        <v/>
      </c>
      <c r="CV236" s="39" t="str">
        <f>IFERROR(final!DG34*100/final!$I34,"")</f>
        <v/>
      </c>
      <c r="CW236" s="32" t="str">
        <f>IFERROR(SUM(A236:CV236)/final!$DH$103,"")</f>
        <v/>
      </c>
      <c r="CX236" s="14" t="str">
        <f>IF(COUNTA(final!A34),final!A34,"")</f>
        <v/>
      </c>
      <c r="CY236" s="14" t="str">
        <f>IF(COUNTA(final!B34),final!B34,"")</f>
        <v/>
      </c>
      <c r="CZ236" s="14" t="str">
        <f>IF(COUNTA(final!C34),final!C34,"")</f>
        <v/>
      </c>
      <c r="DA236" s="14" t="str">
        <f>IF(COUNTA(final!D34),final!D34,"")</f>
        <v/>
      </c>
      <c r="DB236" s="14" t="str">
        <f>IF(COUNTA(final!E34),final!E34,"")</f>
        <v/>
      </c>
      <c r="DC236" s="14" t="str">
        <f>IF(COUNTA(final!F34),final!F34,"")</f>
        <v/>
      </c>
      <c r="DD236" s="14" t="str">
        <f>IF(COUNTA(final!G34),final!G34,"")</f>
        <v/>
      </c>
      <c r="DE236" s="14" t="str">
        <f>IF(COUNTA(final!H34),final!H34,"")</f>
        <v/>
      </c>
    </row>
    <row r="237" spans="1:109" x14ac:dyDescent="0.2">
      <c r="A237" s="39" t="str">
        <f>IFERROR(final!L35*100/final!$I35,"")</f>
        <v/>
      </c>
      <c r="B237" s="39" t="str">
        <f>IFERROR(final!M35*100/final!$I35,"")</f>
        <v/>
      </c>
      <c r="C237" s="39" t="str">
        <f>IFERROR(final!N35*100/final!$I35,"")</f>
        <v/>
      </c>
      <c r="D237" s="39" t="str">
        <f>IFERROR(final!O35*100/final!$I35,"")</f>
        <v/>
      </c>
      <c r="E237" s="39" t="str">
        <f>IFERROR(final!P35*100/final!$I35,"")</f>
        <v/>
      </c>
      <c r="F237" s="39" t="str">
        <f>IFERROR(final!Q35*100/final!$I35,"")</f>
        <v/>
      </c>
      <c r="G237" s="39" t="str">
        <f>IFERROR(final!R35*100/final!$I35,"")</f>
        <v/>
      </c>
      <c r="H237" s="39" t="str">
        <f>IFERROR(final!S35*100/final!$I35,"")</f>
        <v/>
      </c>
      <c r="I237" s="39" t="str">
        <f>IFERROR(final!T35*100/final!$I35,"")</f>
        <v/>
      </c>
      <c r="J237" s="39" t="str">
        <f>IFERROR(final!U35*100/final!$I35,"")</f>
        <v/>
      </c>
      <c r="K237" s="39" t="str">
        <f>IFERROR(final!V35*100/final!$I35,"")</f>
        <v/>
      </c>
      <c r="L237" s="39" t="str">
        <f>IFERROR(final!W35*100/final!$I35,"")</f>
        <v/>
      </c>
      <c r="M237" s="39" t="str">
        <f>IFERROR(final!X35*100/final!$I35,"")</f>
        <v/>
      </c>
      <c r="N237" s="39" t="str">
        <f>IFERROR(final!Y35*100/final!$I35,"")</f>
        <v/>
      </c>
      <c r="O237" s="39" t="str">
        <f>IFERROR(final!Z35*100/final!$I35,"")</f>
        <v/>
      </c>
      <c r="P237" s="39" t="str">
        <f>IFERROR(final!AA35*100/final!$I35,"")</f>
        <v/>
      </c>
      <c r="Q237" s="39" t="str">
        <f>IFERROR(final!AB35*100/final!$I35,"")</f>
        <v/>
      </c>
      <c r="R237" s="39" t="str">
        <f>IFERROR(final!AC35*100/final!$I35,"")</f>
        <v/>
      </c>
      <c r="S237" s="39" t="str">
        <f>IFERROR(final!AD35*100/final!$I35,"")</f>
        <v/>
      </c>
      <c r="T237" s="39" t="str">
        <f>IFERROR(final!AE35*100/final!$I35,"")</f>
        <v/>
      </c>
      <c r="U237" s="39" t="str">
        <f>IFERROR(final!AF35*100/final!$I35,"")</f>
        <v/>
      </c>
      <c r="V237" s="39" t="str">
        <f>IFERROR(final!AG35*100/final!$I35,"")</f>
        <v/>
      </c>
      <c r="W237" s="39" t="str">
        <f>IFERROR(final!AH35*100/final!$I35,"")</f>
        <v/>
      </c>
      <c r="X237" s="39" t="str">
        <f>IFERROR(final!AI35*100/final!$I35,"")</f>
        <v/>
      </c>
      <c r="Y237" s="39" t="str">
        <f>IFERROR(final!AJ35*100/final!$I35,"")</f>
        <v/>
      </c>
      <c r="Z237" s="39" t="str">
        <f>IFERROR(final!AK35*100/final!$I35,"")</f>
        <v/>
      </c>
      <c r="AA237" s="39" t="str">
        <f>IFERROR(final!AL35*100/final!$I35,"")</f>
        <v/>
      </c>
      <c r="AB237" s="39" t="str">
        <f>IFERROR(final!AM35*100/final!$I35,"")</f>
        <v/>
      </c>
      <c r="AC237" s="39" t="str">
        <f>IFERROR(final!AN35*100/final!$I35,"")</f>
        <v/>
      </c>
      <c r="AD237" s="39" t="str">
        <f>IFERROR(final!AO35*100/final!$I35,"")</f>
        <v/>
      </c>
      <c r="AE237" s="39" t="str">
        <f>IFERROR(final!AP35*100/final!$I35,"")</f>
        <v/>
      </c>
      <c r="AF237" s="39" t="str">
        <f>IFERROR(final!AQ35*100/final!$I35,"")</f>
        <v/>
      </c>
      <c r="AG237" s="39" t="str">
        <f>IFERROR(final!AR35*100/final!$I35,"")</f>
        <v/>
      </c>
      <c r="AH237" s="39" t="str">
        <f>IFERROR(final!AS35*100/final!$I35,"")</f>
        <v/>
      </c>
      <c r="AI237" s="39" t="str">
        <f>IFERROR(final!AT35*100/final!$I35,"")</f>
        <v/>
      </c>
      <c r="AJ237" s="39" t="str">
        <f>IFERROR(final!AU35*100/final!$I35,"")</f>
        <v/>
      </c>
      <c r="AK237" s="39" t="str">
        <f>IFERROR(final!AV35*100/final!$I35,"")</f>
        <v/>
      </c>
      <c r="AL237" s="39" t="str">
        <f>IFERROR(final!AW35*100/final!$I35,"")</f>
        <v/>
      </c>
      <c r="AM237" s="39" t="str">
        <f>IFERROR(final!AX35*100/final!$I35,"")</f>
        <v/>
      </c>
      <c r="AN237" s="39" t="str">
        <f>IFERROR(final!AY35*100/final!$I35,"")</f>
        <v/>
      </c>
      <c r="AO237" s="39" t="str">
        <f>IFERROR(final!AZ35*100/final!$I35,"")</f>
        <v/>
      </c>
      <c r="AP237" s="39" t="str">
        <f>IFERROR(final!BA35*100/final!$I35,"")</f>
        <v/>
      </c>
      <c r="AQ237" s="39" t="str">
        <f>IFERROR(final!BB35*100/final!$I35,"")</f>
        <v/>
      </c>
      <c r="AR237" s="39" t="str">
        <f>IFERROR(final!BC35*100/final!$I35,"")</f>
        <v/>
      </c>
      <c r="AS237" s="39" t="str">
        <f>IFERROR(final!BD35*100/final!$I35,"")</f>
        <v/>
      </c>
      <c r="AT237" s="39" t="str">
        <f>IFERROR(final!BE35*100/final!$I35,"")</f>
        <v/>
      </c>
      <c r="AU237" s="39" t="str">
        <f>IFERROR(final!BF35*100/final!$I35,"")</f>
        <v/>
      </c>
      <c r="AV237" s="39" t="str">
        <f>IFERROR(final!BG35*100/final!$I35,"")</f>
        <v/>
      </c>
      <c r="AW237" s="39" t="str">
        <f>IFERROR(final!BH35*100/final!$I35,"")</f>
        <v/>
      </c>
      <c r="AX237" s="39" t="str">
        <f>IFERROR(final!BI35*100/final!$I35,"")</f>
        <v/>
      </c>
      <c r="AY237" s="39" t="str">
        <f>IFERROR(final!BJ35*100/final!$I35,"")</f>
        <v/>
      </c>
      <c r="AZ237" s="39" t="str">
        <f>IFERROR(final!BK35*100/final!$I35,"")</f>
        <v/>
      </c>
      <c r="BA237" s="39" t="str">
        <f>IFERROR(final!BL35*100/final!$I35,"")</f>
        <v/>
      </c>
      <c r="BB237" s="39" t="str">
        <f>IFERROR(final!BM35*100/final!$I35,"")</f>
        <v/>
      </c>
      <c r="BC237" s="39" t="str">
        <f>IFERROR(final!BN35*100/final!$I35,"")</f>
        <v/>
      </c>
      <c r="BD237" s="39" t="str">
        <f>IFERROR(final!BO35*100/final!$I35,"")</f>
        <v/>
      </c>
      <c r="BE237" s="39" t="str">
        <f>IFERROR(final!BP35*100/final!$I35,"")</f>
        <v/>
      </c>
      <c r="BF237" s="39" t="str">
        <f>IFERROR(final!BQ35*100/final!$I35,"")</f>
        <v/>
      </c>
      <c r="BG237" s="39" t="str">
        <f>IFERROR(final!BR35*100/final!$I35,"")</f>
        <v/>
      </c>
      <c r="BH237" s="39" t="str">
        <f>IFERROR(final!BS35*100/final!$I35,"")</f>
        <v/>
      </c>
      <c r="BI237" s="39" t="str">
        <f>IFERROR(final!BT35*100/final!$I35,"")</f>
        <v/>
      </c>
      <c r="BJ237" s="39" t="str">
        <f>IFERROR(final!BU35*100/final!$I35,"")</f>
        <v/>
      </c>
      <c r="BK237" s="39" t="str">
        <f>IFERROR(final!BV35*100/final!$I35,"")</f>
        <v/>
      </c>
      <c r="BL237" s="39" t="str">
        <f>IFERROR(final!BW35*100/final!$I35,"")</f>
        <v/>
      </c>
      <c r="BM237" s="39" t="str">
        <f>IFERROR(final!BX35*100/final!$I35,"")</f>
        <v/>
      </c>
      <c r="BN237" s="39" t="str">
        <f>IFERROR(final!BY35*100/final!$I35,"")</f>
        <v/>
      </c>
      <c r="BO237" s="39" t="str">
        <f>IFERROR(final!BZ35*100/final!$I35,"")</f>
        <v/>
      </c>
      <c r="BP237" s="39" t="str">
        <f>IFERROR(final!CA35*100/final!$I35,"")</f>
        <v/>
      </c>
      <c r="BQ237" s="39" t="str">
        <f>IFERROR(final!CB35*100/final!$I35,"")</f>
        <v/>
      </c>
      <c r="BR237" s="39" t="str">
        <f>IFERROR(final!CC35*100/final!$I35,"")</f>
        <v/>
      </c>
      <c r="BS237" s="39" t="str">
        <f>IFERROR(final!CD35*100/final!$I35,"")</f>
        <v/>
      </c>
      <c r="BT237" s="39" t="str">
        <f>IFERROR(final!CE35*100/final!$I35,"")</f>
        <v/>
      </c>
      <c r="BU237" s="39" t="str">
        <f>IFERROR(final!CF35*100/final!$I35,"")</f>
        <v/>
      </c>
      <c r="BV237" s="39" t="str">
        <f>IFERROR(final!CG35*100/final!$I35,"")</f>
        <v/>
      </c>
      <c r="BW237" s="39" t="str">
        <f>IFERROR(final!CH35*100/final!$I35,"")</f>
        <v/>
      </c>
      <c r="BX237" s="39" t="str">
        <f>IFERROR(final!CI35*100/final!$I35,"")</f>
        <v/>
      </c>
      <c r="BY237" s="39" t="str">
        <f>IFERROR(final!CJ35*100/final!$I35,"")</f>
        <v/>
      </c>
      <c r="BZ237" s="39" t="str">
        <f>IFERROR(final!CK35*100/final!$I35,"")</f>
        <v/>
      </c>
      <c r="CA237" s="39" t="str">
        <f>IFERROR(final!CL35*100/final!$I35,"")</f>
        <v/>
      </c>
      <c r="CB237" s="39" t="str">
        <f>IFERROR(final!CM35*100/final!$I35,"")</f>
        <v/>
      </c>
      <c r="CC237" s="39" t="str">
        <f>IFERROR(final!CN35*100/final!$I35,"")</f>
        <v/>
      </c>
      <c r="CD237" s="39" t="str">
        <f>IFERROR(final!CO35*100/final!$I35,"")</f>
        <v/>
      </c>
      <c r="CE237" s="39" t="str">
        <f>IFERROR(final!CP35*100/final!$I35,"")</f>
        <v/>
      </c>
      <c r="CF237" s="39" t="str">
        <f>IFERROR(final!CQ35*100/final!$I35,"")</f>
        <v/>
      </c>
      <c r="CG237" s="39" t="str">
        <f>IFERROR(final!CR35*100/final!$I35,"")</f>
        <v/>
      </c>
      <c r="CH237" s="39" t="str">
        <f>IFERROR(final!CS35*100/final!$I35,"")</f>
        <v/>
      </c>
      <c r="CI237" s="39" t="str">
        <f>IFERROR(final!CT35*100/final!$I35,"")</f>
        <v/>
      </c>
      <c r="CJ237" s="39" t="str">
        <f>IFERROR(final!CU35*100/final!$I35,"")</f>
        <v/>
      </c>
      <c r="CK237" s="39" t="str">
        <f>IFERROR(final!CV35*100/final!$I35,"")</f>
        <v/>
      </c>
      <c r="CL237" s="39" t="str">
        <f>IFERROR(final!CW35*100/final!$I35,"")</f>
        <v/>
      </c>
      <c r="CM237" s="39" t="str">
        <f>IFERROR(final!CX35*100/final!$I35,"")</f>
        <v/>
      </c>
      <c r="CN237" s="39" t="str">
        <f>IFERROR(final!CY35*100/final!$I35,"")</f>
        <v/>
      </c>
      <c r="CO237" s="39" t="str">
        <f>IFERROR(final!CZ35*100/final!$I35,"")</f>
        <v/>
      </c>
      <c r="CP237" s="39" t="str">
        <f>IFERROR(final!DA35*100/final!$I35,"")</f>
        <v/>
      </c>
      <c r="CQ237" s="39" t="str">
        <f>IFERROR(final!DB35*100/final!$I35,"")</f>
        <v/>
      </c>
      <c r="CR237" s="39" t="str">
        <f>IFERROR(final!DC35*100/final!$I35,"")</f>
        <v/>
      </c>
      <c r="CS237" s="39" t="str">
        <f>IFERROR(final!DD35*100/final!$I35,"")</f>
        <v/>
      </c>
      <c r="CT237" s="39" t="str">
        <f>IFERROR(final!DE35*100/final!$I35,"")</f>
        <v/>
      </c>
      <c r="CU237" s="39" t="str">
        <f>IFERROR(final!DF35*100/final!$I35,"")</f>
        <v/>
      </c>
      <c r="CV237" s="39" t="str">
        <f>IFERROR(final!DG35*100/final!$I35,"")</f>
        <v/>
      </c>
      <c r="CW237" s="32" t="str">
        <f>IFERROR(SUM(A237:CV237)/final!$DH$103,"")</f>
        <v/>
      </c>
      <c r="CX237" s="14" t="str">
        <f>IF(COUNTA(final!A35),final!A35,"")</f>
        <v/>
      </c>
      <c r="CY237" s="14" t="str">
        <f>IF(COUNTA(final!B35),final!B35,"")</f>
        <v/>
      </c>
      <c r="CZ237" s="14" t="str">
        <f>IF(COUNTA(final!C35),final!C35,"")</f>
        <v/>
      </c>
      <c r="DA237" s="14" t="str">
        <f>IF(COUNTA(final!D35),final!D35,"")</f>
        <v/>
      </c>
      <c r="DB237" s="14" t="str">
        <f>IF(COUNTA(final!E35),final!E35,"")</f>
        <v/>
      </c>
      <c r="DC237" s="14" t="str">
        <f>IF(COUNTA(final!F35),final!F35,"")</f>
        <v/>
      </c>
      <c r="DD237" s="14" t="str">
        <f>IF(COUNTA(final!G35),final!G35,"")</f>
        <v/>
      </c>
      <c r="DE237" s="14" t="str">
        <f>IF(COUNTA(final!H35),final!H35,"")</f>
        <v/>
      </c>
    </row>
    <row r="238" spans="1:109" x14ac:dyDescent="0.2">
      <c r="A238" s="39" t="str">
        <f>IFERROR(final!L36*100/final!$I36,"")</f>
        <v/>
      </c>
      <c r="B238" s="39" t="str">
        <f>IFERROR(final!M36*100/final!$I36,"")</f>
        <v/>
      </c>
      <c r="C238" s="39" t="str">
        <f>IFERROR(final!N36*100/final!$I36,"")</f>
        <v/>
      </c>
      <c r="D238" s="39" t="str">
        <f>IFERROR(final!O36*100/final!$I36,"")</f>
        <v/>
      </c>
      <c r="E238" s="39" t="str">
        <f>IFERROR(final!P36*100/final!$I36,"")</f>
        <v/>
      </c>
      <c r="F238" s="39" t="str">
        <f>IFERROR(final!Q36*100/final!$I36,"")</f>
        <v/>
      </c>
      <c r="G238" s="39" t="str">
        <f>IFERROR(final!R36*100/final!$I36,"")</f>
        <v/>
      </c>
      <c r="H238" s="39" t="str">
        <f>IFERROR(final!S36*100/final!$I36,"")</f>
        <v/>
      </c>
      <c r="I238" s="39" t="str">
        <f>IFERROR(final!T36*100/final!$I36,"")</f>
        <v/>
      </c>
      <c r="J238" s="39" t="str">
        <f>IFERROR(final!U36*100/final!$I36,"")</f>
        <v/>
      </c>
      <c r="K238" s="39" t="str">
        <f>IFERROR(final!V36*100/final!$I36,"")</f>
        <v/>
      </c>
      <c r="L238" s="39" t="str">
        <f>IFERROR(final!W36*100/final!$I36,"")</f>
        <v/>
      </c>
      <c r="M238" s="39" t="str">
        <f>IFERROR(final!X36*100/final!$I36,"")</f>
        <v/>
      </c>
      <c r="N238" s="39" t="str">
        <f>IFERROR(final!Y36*100/final!$I36,"")</f>
        <v/>
      </c>
      <c r="O238" s="39" t="str">
        <f>IFERROR(final!Z36*100/final!$I36,"")</f>
        <v/>
      </c>
      <c r="P238" s="39" t="str">
        <f>IFERROR(final!AA36*100/final!$I36,"")</f>
        <v/>
      </c>
      <c r="Q238" s="39" t="str">
        <f>IFERROR(final!AB36*100/final!$I36,"")</f>
        <v/>
      </c>
      <c r="R238" s="39" t="str">
        <f>IFERROR(final!AC36*100/final!$I36,"")</f>
        <v/>
      </c>
      <c r="S238" s="39" t="str">
        <f>IFERROR(final!AD36*100/final!$I36,"")</f>
        <v/>
      </c>
      <c r="T238" s="39" t="str">
        <f>IFERROR(final!AE36*100/final!$I36,"")</f>
        <v/>
      </c>
      <c r="U238" s="39" t="str">
        <f>IFERROR(final!AF36*100/final!$I36,"")</f>
        <v/>
      </c>
      <c r="V238" s="39" t="str">
        <f>IFERROR(final!AG36*100/final!$I36,"")</f>
        <v/>
      </c>
      <c r="W238" s="39" t="str">
        <f>IFERROR(final!AH36*100/final!$I36,"")</f>
        <v/>
      </c>
      <c r="X238" s="39" t="str">
        <f>IFERROR(final!AI36*100/final!$I36,"")</f>
        <v/>
      </c>
      <c r="Y238" s="39" t="str">
        <f>IFERROR(final!AJ36*100/final!$I36,"")</f>
        <v/>
      </c>
      <c r="Z238" s="39" t="str">
        <f>IFERROR(final!AK36*100/final!$I36,"")</f>
        <v/>
      </c>
      <c r="AA238" s="39" t="str">
        <f>IFERROR(final!AL36*100/final!$I36,"")</f>
        <v/>
      </c>
      <c r="AB238" s="39" t="str">
        <f>IFERROR(final!AM36*100/final!$I36,"")</f>
        <v/>
      </c>
      <c r="AC238" s="39" t="str">
        <f>IFERROR(final!AN36*100/final!$I36,"")</f>
        <v/>
      </c>
      <c r="AD238" s="39" t="str">
        <f>IFERROR(final!AO36*100/final!$I36,"")</f>
        <v/>
      </c>
      <c r="AE238" s="39" t="str">
        <f>IFERROR(final!AP36*100/final!$I36,"")</f>
        <v/>
      </c>
      <c r="AF238" s="39" t="str">
        <f>IFERROR(final!AQ36*100/final!$I36,"")</f>
        <v/>
      </c>
      <c r="AG238" s="39" t="str">
        <f>IFERROR(final!AR36*100/final!$I36,"")</f>
        <v/>
      </c>
      <c r="AH238" s="39" t="str">
        <f>IFERROR(final!AS36*100/final!$I36,"")</f>
        <v/>
      </c>
      <c r="AI238" s="39" t="str">
        <f>IFERROR(final!AT36*100/final!$I36,"")</f>
        <v/>
      </c>
      <c r="AJ238" s="39" t="str">
        <f>IFERROR(final!AU36*100/final!$I36,"")</f>
        <v/>
      </c>
      <c r="AK238" s="39" t="str">
        <f>IFERROR(final!AV36*100/final!$I36,"")</f>
        <v/>
      </c>
      <c r="AL238" s="39" t="str">
        <f>IFERROR(final!AW36*100/final!$I36,"")</f>
        <v/>
      </c>
      <c r="AM238" s="39" t="str">
        <f>IFERROR(final!AX36*100/final!$I36,"")</f>
        <v/>
      </c>
      <c r="AN238" s="39" t="str">
        <f>IFERROR(final!AY36*100/final!$I36,"")</f>
        <v/>
      </c>
      <c r="AO238" s="39" t="str">
        <f>IFERROR(final!AZ36*100/final!$I36,"")</f>
        <v/>
      </c>
      <c r="AP238" s="39" t="str">
        <f>IFERROR(final!BA36*100/final!$I36,"")</f>
        <v/>
      </c>
      <c r="AQ238" s="39" t="str">
        <f>IFERROR(final!BB36*100/final!$I36,"")</f>
        <v/>
      </c>
      <c r="AR238" s="39" t="str">
        <f>IFERROR(final!BC36*100/final!$I36,"")</f>
        <v/>
      </c>
      <c r="AS238" s="39" t="str">
        <f>IFERROR(final!BD36*100/final!$I36,"")</f>
        <v/>
      </c>
      <c r="AT238" s="39" t="str">
        <f>IFERROR(final!BE36*100/final!$I36,"")</f>
        <v/>
      </c>
      <c r="AU238" s="39" t="str">
        <f>IFERROR(final!BF36*100/final!$I36,"")</f>
        <v/>
      </c>
      <c r="AV238" s="39" t="str">
        <f>IFERROR(final!BG36*100/final!$I36,"")</f>
        <v/>
      </c>
      <c r="AW238" s="39" t="str">
        <f>IFERROR(final!BH36*100/final!$I36,"")</f>
        <v/>
      </c>
      <c r="AX238" s="39" t="str">
        <f>IFERROR(final!BI36*100/final!$I36,"")</f>
        <v/>
      </c>
      <c r="AY238" s="39" t="str">
        <f>IFERROR(final!BJ36*100/final!$I36,"")</f>
        <v/>
      </c>
      <c r="AZ238" s="39" t="str">
        <f>IFERROR(final!BK36*100/final!$I36,"")</f>
        <v/>
      </c>
      <c r="BA238" s="39" t="str">
        <f>IFERROR(final!BL36*100/final!$I36,"")</f>
        <v/>
      </c>
      <c r="BB238" s="39" t="str">
        <f>IFERROR(final!BM36*100/final!$I36,"")</f>
        <v/>
      </c>
      <c r="BC238" s="39" t="str">
        <f>IFERROR(final!BN36*100/final!$I36,"")</f>
        <v/>
      </c>
      <c r="BD238" s="39" t="str">
        <f>IFERROR(final!BO36*100/final!$I36,"")</f>
        <v/>
      </c>
      <c r="BE238" s="39" t="str">
        <f>IFERROR(final!BP36*100/final!$I36,"")</f>
        <v/>
      </c>
      <c r="BF238" s="39" t="str">
        <f>IFERROR(final!BQ36*100/final!$I36,"")</f>
        <v/>
      </c>
      <c r="BG238" s="39" t="str">
        <f>IFERROR(final!BR36*100/final!$I36,"")</f>
        <v/>
      </c>
      <c r="BH238" s="39" t="str">
        <f>IFERROR(final!BS36*100/final!$I36,"")</f>
        <v/>
      </c>
      <c r="BI238" s="39" t="str">
        <f>IFERROR(final!BT36*100/final!$I36,"")</f>
        <v/>
      </c>
      <c r="BJ238" s="39" t="str">
        <f>IFERROR(final!BU36*100/final!$I36,"")</f>
        <v/>
      </c>
      <c r="BK238" s="39" t="str">
        <f>IFERROR(final!BV36*100/final!$I36,"")</f>
        <v/>
      </c>
      <c r="BL238" s="39" t="str">
        <f>IFERROR(final!BW36*100/final!$I36,"")</f>
        <v/>
      </c>
      <c r="BM238" s="39" t="str">
        <f>IFERROR(final!BX36*100/final!$I36,"")</f>
        <v/>
      </c>
      <c r="BN238" s="39" t="str">
        <f>IFERROR(final!BY36*100/final!$I36,"")</f>
        <v/>
      </c>
      <c r="BO238" s="39" t="str">
        <f>IFERROR(final!BZ36*100/final!$I36,"")</f>
        <v/>
      </c>
      <c r="BP238" s="39" t="str">
        <f>IFERROR(final!CA36*100/final!$I36,"")</f>
        <v/>
      </c>
      <c r="BQ238" s="39" t="str">
        <f>IFERROR(final!CB36*100/final!$I36,"")</f>
        <v/>
      </c>
      <c r="BR238" s="39" t="str">
        <f>IFERROR(final!CC36*100/final!$I36,"")</f>
        <v/>
      </c>
      <c r="BS238" s="39" t="str">
        <f>IFERROR(final!CD36*100/final!$I36,"")</f>
        <v/>
      </c>
      <c r="BT238" s="39" t="str">
        <f>IFERROR(final!CE36*100/final!$I36,"")</f>
        <v/>
      </c>
      <c r="BU238" s="39" t="str">
        <f>IFERROR(final!CF36*100/final!$I36,"")</f>
        <v/>
      </c>
      <c r="BV238" s="39" t="str">
        <f>IFERROR(final!CG36*100/final!$I36,"")</f>
        <v/>
      </c>
      <c r="BW238" s="39" t="str">
        <f>IFERROR(final!CH36*100/final!$I36,"")</f>
        <v/>
      </c>
      <c r="BX238" s="39" t="str">
        <f>IFERROR(final!CI36*100/final!$I36,"")</f>
        <v/>
      </c>
      <c r="BY238" s="39" t="str">
        <f>IFERROR(final!CJ36*100/final!$I36,"")</f>
        <v/>
      </c>
      <c r="BZ238" s="39" t="str">
        <f>IFERROR(final!CK36*100/final!$I36,"")</f>
        <v/>
      </c>
      <c r="CA238" s="39" t="str">
        <f>IFERROR(final!CL36*100/final!$I36,"")</f>
        <v/>
      </c>
      <c r="CB238" s="39" t="str">
        <f>IFERROR(final!CM36*100/final!$I36,"")</f>
        <v/>
      </c>
      <c r="CC238" s="39" t="str">
        <f>IFERROR(final!CN36*100/final!$I36,"")</f>
        <v/>
      </c>
      <c r="CD238" s="39" t="str">
        <f>IFERROR(final!CO36*100/final!$I36,"")</f>
        <v/>
      </c>
      <c r="CE238" s="39" t="str">
        <f>IFERROR(final!CP36*100/final!$I36,"")</f>
        <v/>
      </c>
      <c r="CF238" s="39" t="str">
        <f>IFERROR(final!CQ36*100/final!$I36,"")</f>
        <v/>
      </c>
      <c r="CG238" s="39" t="str">
        <f>IFERROR(final!CR36*100/final!$I36,"")</f>
        <v/>
      </c>
      <c r="CH238" s="39" t="str">
        <f>IFERROR(final!CS36*100/final!$I36,"")</f>
        <v/>
      </c>
      <c r="CI238" s="39" t="str">
        <f>IFERROR(final!CT36*100/final!$I36,"")</f>
        <v/>
      </c>
      <c r="CJ238" s="39" t="str">
        <f>IFERROR(final!CU36*100/final!$I36,"")</f>
        <v/>
      </c>
      <c r="CK238" s="39" t="str">
        <f>IFERROR(final!CV36*100/final!$I36,"")</f>
        <v/>
      </c>
      <c r="CL238" s="39" t="str">
        <f>IFERROR(final!CW36*100/final!$I36,"")</f>
        <v/>
      </c>
      <c r="CM238" s="39" t="str">
        <f>IFERROR(final!CX36*100/final!$I36,"")</f>
        <v/>
      </c>
      <c r="CN238" s="39" t="str">
        <f>IFERROR(final!CY36*100/final!$I36,"")</f>
        <v/>
      </c>
      <c r="CO238" s="39" t="str">
        <f>IFERROR(final!CZ36*100/final!$I36,"")</f>
        <v/>
      </c>
      <c r="CP238" s="39" t="str">
        <f>IFERROR(final!DA36*100/final!$I36,"")</f>
        <v/>
      </c>
      <c r="CQ238" s="39" t="str">
        <f>IFERROR(final!DB36*100/final!$I36,"")</f>
        <v/>
      </c>
      <c r="CR238" s="39" t="str">
        <f>IFERROR(final!DC36*100/final!$I36,"")</f>
        <v/>
      </c>
      <c r="CS238" s="39" t="str">
        <f>IFERROR(final!DD36*100/final!$I36,"")</f>
        <v/>
      </c>
      <c r="CT238" s="39" t="str">
        <f>IFERROR(final!DE36*100/final!$I36,"")</f>
        <v/>
      </c>
      <c r="CU238" s="39" t="str">
        <f>IFERROR(final!DF36*100/final!$I36,"")</f>
        <v/>
      </c>
      <c r="CV238" s="39" t="str">
        <f>IFERROR(final!DG36*100/final!$I36,"")</f>
        <v/>
      </c>
      <c r="CW238" s="32" t="str">
        <f>IFERROR(SUM(A238:CV238)/final!$DH$103,"")</f>
        <v/>
      </c>
      <c r="CX238" s="14" t="str">
        <f>IF(COUNTA(final!A36),final!A36,"")</f>
        <v/>
      </c>
      <c r="CY238" s="14" t="str">
        <f>IF(COUNTA(final!B36),final!B36,"")</f>
        <v/>
      </c>
      <c r="CZ238" s="14" t="str">
        <f>IF(COUNTA(final!C36),final!C36,"")</f>
        <v/>
      </c>
      <c r="DA238" s="14" t="str">
        <f>IF(COUNTA(final!D36),final!D36,"")</f>
        <v/>
      </c>
      <c r="DB238" s="14" t="str">
        <f>IF(COUNTA(final!E36),final!E36,"")</f>
        <v/>
      </c>
      <c r="DC238" s="14" t="str">
        <f>IF(COUNTA(final!F36),final!F36,"")</f>
        <v/>
      </c>
      <c r="DD238" s="14" t="str">
        <f>IF(COUNTA(final!G36),final!G36,"")</f>
        <v/>
      </c>
      <c r="DE238" s="14" t="str">
        <f>IF(COUNTA(final!H36),final!H36,"")</f>
        <v/>
      </c>
    </row>
    <row r="239" spans="1:109" x14ac:dyDescent="0.2">
      <c r="A239" s="39" t="str">
        <f>IFERROR(final!L37*100/final!$I37,"")</f>
        <v/>
      </c>
      <c r="B239" s="39" t="str">
        <f>IFERROR(final!M37*100/final!$I37,"")</f>
        <v/>
      </c>
      <c r="C239" s="39" t="str">
        <f>IFERROR(final!N37*100/final!$I37,"")</f>
        <v/>
      </c>
      <c r="D239" s="39" t="str">
        <f>IFERROR(final!O37*100/final!$I37,"")</f>
        <v/>
      </c>
      <c r="E239" s="39" t="str">
        <f>IFERROR(final!P37*100/final!$I37,"")</f>
        <v/>
      </c>
      <c r="F239" s="39" t="str">
        <f>IFERROR(final!Q37*100/final!$I37,"")</f>
        <v/>
      </c>
      <c r="G239" s="39" t="str">
        <f>IFERROR(final!R37*100/final!$I37,"")</f>
        <v/>
      </c>
      <c r="H239" s="39" t="str">
        <f>IFERROR(final!S37*100/final!$I37,"")</f>
        <v/>
      </c>
      <c r="I239" s="39" t="str">
        <f>IFERROR(final!T37*100/final!$I37,"")</f>
        <v/>
      </c>
      <c r="J239" s="39" t="str">
        <f>IFERROR(final!U37*100/final!$I37,"")</f>
        <v/>
      </c>
      <c r="K239" s="39" t="str">
        <f>IFERROR(final!V37*100/final!$I37,"")</f>
        <v/>
      </c>
      <c r="L239" s="39" t="str">
        <f>IFERROR(final!W37*100/final!$I37,"")</f>
        <v/>
      </c>
      <c r="M239" s="39" t="str">
        <f>IFERROR(final!X37*100/final!$I37,"")</f>
        <v/>
      </c>
      <c r="N239" s="39" t="str">
        <f>IFERROR(final!Y37*100/final!$I37,"")</f>
        <v/>
      </c>
      <c r="O239" s="39" t="str">
        <f>IFERROR(final!Z37*100/final!$I37,"")</f>
        <v/>
      </c>
      <c r="P239" s="39" t="str">
        <f>IFERROR(final!AA37*100/final!$I37,"")</f>
        <v/>
      </c>
      <c r="Q239" s="39" t="str">
        <f>IFERROR(final!AB37*100/final!$I37,"")</f>
        <v/>
      </c>
      <c r="R239" s="39" t="str">
        <f>IFERROR(final!AC37*100/final!$I37,"")</f>
        <v/>
      </c>
      <c r="S239" s="39" t="str">
        <f>IFERROR(final!AD37*100/final!$I37,"")</f>
        <v/>
      </c>
      <c r="T239" s="39" t="str">
        <f>IFERROR(final!AE37*100/final!$I37,"")</f>
        <v/>
      </c>
      <c r="U239" s="39" t="str">
        <f>IFERROR(final!AF37*100/final!$I37,"")</f>
        <v/>
      </c>
      <c r="V239" s="39" t="str">
        <f>IFERROR(final!AG37*100/final!$I37,"")</f>
        <v/>
      </c>
      <c r="W239" s="39" t="str">
        <f>IFERROR(final!AH37*100/final!$I37,"")</f>
        <v/>
      </c>
      <c r="X239" s="39" t="str">
        <f>IFERROR(final!AI37*100/final!$I37,"")</f>
        <v/>
      </c>
      <c r="Y239" s="39" t="str">
        <f>IFERROR(final!AJ37*100/final!$I37,"")</f>
        <v/>
      </c>
      <c r="Z239" s="39" t="str">
        <f>IFERROR(final!AK37*100/final!$I37,"")</f>
        <v/>
      </c>
      <c r="AA239" s="39" t="str">
        <f>IFERROR(final!AL37*100/final!$I37,"")</f>
        <v/>
      </c>
      <c r="AB239" s="39" t="str">
        <f>IFERROR(final!AM37*100/final!$I37,"")</f>
        <v/>
      </c>
      <c r="AC239" s="39" t="str">
        <f>IFERROR(final!AN37*100/final!$I37,"")</f>
        <v/>
      </c>
      <c r="AD239" s="39" t="str">
        <f>IFERROR(final!AO37*100/final!$I37,"")</f>
        <v/>
      </c>
      <c r="AE239" s="39" t="str">
        <f>IFERROR(final!AP37*100/final!$I37,"")</f>
        <v/>
      </c>
      <c r="AF239" s="39" t="str">
        <f>IFERROR(final!AQ37*100/final!$I37,"")</f>
        <v/>
      </c>
      <c r="AG239" s="39" t="str">
        <f>IFERROR(final!AR37*100/final!$I37,"")</f>
        <v/>
      </c>
      <c r="AH239" s="39" t="str">
        <f>IFERROR(final!AS37*100/final!$I37,"")</f>
        <v/>
      </c>
      <c r="AI239" s="39" t="str">
        <f>IFERROR(final!AT37*100/final!$I37,"")</f>
        <v/>
      </c>
      <c r="AJ239" s="39" t="str">
        <f>IFERROR(final!AU37*100/final!$I37,"")</f>
        <v/>
      </c>
      <c r="AK239" s="39" t="str">
        <f>IFERROR(final!AV37*100/final!$I37,"")</f>
        <v/>
      </c>
      <c r="AL239" s="39" t="str">
        <f>IFERROR(final!AW37*100/final!$I37,"")</f>
        <v/>
      </c>
      <c r="AM239" s="39" t="str">
        <f>IFERROR(final!AX37*100/final!$I37,"")</f>
        <v/>
      </c>
      <c r="AN239" s="39" t="str">
        <f>IFERROR(final!AY37*100/final!$I37,"")</f>
        <v/>
      </c>
      <c r="AO239" s="39" t="str">
        <f>IFERROR(final!AZ37*100/final!$I37,"")</f>
        <v/>
      </c>
      <c r="AP239" s="39" t="str">
        <f>IFERROR(final!BA37*100/final!$I37,"")</f>
        <v/>
      </c>
      <c r="AQ239" s="39" t="str">
        <f>IFERROR(final!BB37*100/final!$I37,"")</f>
        <v/>
      </c>
      <c r="AR239" s="39" t="str">
        <f>IFERROR(final!BC37*100/final!$I37,"")</f>
        <v/>
      </c>
      <c r="AS239" s="39" t="str">
        <f>IFERROR(final!BD37*100/final!$I37,"")</f>
        <v/>
      </c>
      <c r="AT239" s="39" t="str">
        <f>IFERROR(final!BE37*100/final!$I37,"")</f>
        <v/>
      </c>
      <c r="AU239" s="39" t="str">
        <f>IFERROR(final!BF37*100/final!$I37,"")</f>
        <v/>
      </c>
      <c r="AV239" s="39" t="str">
        <f>IFERROR(final!BG37*100/final!$I37,"")</f>
        <v/>
      </c>
      <c r="AW239" s="39" t="str">
        <f>IFERROR(final!BH37*100/final!$I37,"")</f>
        <v/>
      </c>
      <c r="AX239" s="39" t="str">
        <f>IFERROR(final!BI37*100/final!$I37,"")</f>
        <v/>
      </c>
      <c r="AY239" s="39" t="str">
        <f>IFERROR(final!BJ37*100/final!$I37,"")</f>
        <v/>
      </c>
      <c r="AZ239" s="39" t="str">
        <f>IFERROR(final!BK37*100/final!$I37,"")</f>
        <v/>
      </c>
      <c r="BA239" s="39" t="str">
        <f>IFERROR(final!BL37*100/final!$I37,"")</f>
        <v/>
      </c>
      <c r="BB239" s="39" t="str">
        <f>IFERROR(final!BM37*100/final!$I37,"")</f>
        <v/>
      </c>
      <c r="BC239" s="39" t="str">
        <f>IFERROR(final!BN37*100/final!$I37,"")</f>
        <v/>
      </c>
      <c r="BD239" s="39" t="str">
        <f>IFERROR(final!BO37*100/final!$I37,"")</f>
        <v/>
      </c>
      <c r="BE239" s="39" t="str">
        <f>IFERROR(final!BP37*100/final!$I37,"")</f>
        <v/>
      </c>
      <c r="BF239" s="39" t="str">
        <f>IFERROR(final!BQ37*100/final!$I37,"")</f>
        <v/>
      </c>
      <c r="BG239" s="39" t="str">
        <f>IFERROR(final!BR37*100/final!$I37,"")</f>
        <v/>
      </c>
      <c r="BH239" s="39" t="str">
        <f>IFERROR(final!BS37*100/final!$I37,"")</f>
        <v/>
      </c>
      <c r="BI239" s="39" t="str">
        <f>IFERROR(final!BT37*100/final!$I37,"")</f>
        <v/>
      </c>
      <c r="BJ239" s="39" t="str">
        <f>IFERROR(final!BU37*100/final!$I37,"")</f>
        <v/>
      </c>
      <c r="BK239" s="39" t="str">
        <f>IFERROR(final!BV37*100/final!$I37,"")</f>
        <v/>
      </c>
      <c r="BL239" s="39" t="str">
        <f>IFERROR(final!BW37*100/final!$I37,"")</f>
        <v/>
      </c>
      <c r="BM239" s="39" t="str">
        <f>IFERROR(final!BX37*100/final!$I37,"")</f>
        <v/>
      </c>
      <c r="BN239" s="39" t="str">
        <f>IFERROR(final!BY37*100/final!$I37,"")</f>
        <v/>
      </c>
      <c r="BO239" s="39" t="str">
        <f>IFERROR(final!BZ37*100/final!$I37,"")</f>
        <v/>
      </c>
      <c r="BP239" s="39" t="str">
        <f>IFERROR(final!CA37*100/final!$I37,"")</f>
        <v/>
      </c>
      <c r="BQ239" s="39" t="str">
        <f>IFERROR(final!CB37*100/final!$I37,"")</f>
        <v/>
      </c>
      <c r="BR239" s="39" t="str">
        <f>IFERROR(final!CC37*100/final!$I37,"")</f>
        <v/>
      </c>
      <c r="BS239" s="39" t="str">
        <f>IFERROR(final!CD37*100/final!$I37,"")</f>
        <v/>
      </c>
      <c r="BT239" s="39" t="str">
        <f>IFERROR(final!CE37*100/final!$I37,"")</f>
        <v/>
      </c>
      <c r="BU239" s="39" t="str">
        <f>IFERROR(final!CF37*100/final!$I37,"")</f>
        <v/>
      </c>
      <c r="BV239" s="39" t="str">
        <f>IFERROR(final!CG37*100/final!$I37,"")</f>
        <v/>
      </c>
      <c r="BW239" s="39" t="str">
        <f>IFERROR(final!CH37*100/final!$I37,"")</f>
        <v/>
      </c>
      <c r="BX239" s="39" t="str">
        <f>IFERROR(final!CI37*100/final!$I37,"")</f>
        <v/>
      </c>
      <c r="BY239" s="39" t="str">
        <f>IFERROR(final!CJ37*100/final!$I37,"")</f>
        <v/>
      </c>
      <c r="BZ239" s="39" t="str">
        <f>IFERROR(final!CK37*100/final!$I37,"")</f>
        <v/>
      </c>
      <c r="CA239" s="39" t="str">
        <f>IFERROR(final!CL37*100/final!$I37,"")</f>
        <v/>
      </c>
      <c r="CB239" s="39" t="str">
        <f>IFERROR(final!CM37*100/final!$I37,"")</f>
        <v/>
      </c>
      <c r="CC239" s="39" t="str">
        <f>IFERROR(final!CN37*100/final!$I37,"")</f>
        <v/>
      </c>
      <c r="CD239" s="39" t="str">
        <f>IFERROR(final!CO37*100/final!$I37,"")</f>
        <v/>
      </c>
      <c r="CE239" s="39" t="str">
        <f>IFERROR(final!CP37*100/final!$I37,"")</f>
        <v/>
      </c>
      <c r="CF239" s="39" t="str">
        <f>IFERROR(final!CQ37*100/final!$I37,"")</f>
        <v/>
      </c>
      <c r="CG239" s="39" t="str">
        <f>IFERROR(final!CR37*100/final!$I37,"")</f>
        <v/>
      </c>
      <c r="CH239" s="39" t="str">
        <f>IFERROR(final!CS37*100/final!$I37,"")</f>
        <v/>
      </c>
      <c r="CI239" s="39" t="str">
        <f>IFERROR(final!CT37*100/final!$I37,"")</f>
        <v/>
      </c>
      <c r="CJ239" s="39" t="str">
        <f>IFERROR(final!CU37*100/final!$I37,"")</f>
        <v/>
      </c>
      <c r="CK239" s="39" t="str">
        <f>IFERROR(final!CV37*100/final!$I37,"")</f>
        <v/>
      </c>
      <c r="CL239" s="39" t="str">
        <f>IFERROR(final!CW37*100/final!$I37,"")</f>
        <v/>
      </c>
      <c r="CM239" s="39" t="str">
        <f>IFERROR(final!CX37*100/final!$I37,"")</f>
        <v/>
      </c>
      <c r="CN239" s="39" t="str">
        <f>IFERROR(final!CY37*100/final!$I37,"")</f>
        <v/>
      </c>
      <c r="CO239" s="39" t="str">
        <f>IFERROR(final!CZ37*100/final!$I37,"")</f>
        <v/>
      </c>
      <c r="CP239" s="39" t="str">
        <f>IFERROR(final!DA37*100/final!$I37,"")</f>
        <v/>
      </c>
      <c r="CQ239" s="39" t="str">
        <f>IFERROR(final!DB37*100/final!$I37,"")</f>
        <v/>
      </c>
      <c r="CR239" s="39" t="str">
        <f>IFERROR(final!DC37*100/final!$I37,"")</f>
        <v/>
      </c>
      <c r="CS239" s="39" t="str">
        <f>IFERROR(final!DD37*100/final!$I37,"")</f>
        <v/>
      </c>
      <c r="CT239" s="39" t="str">
        <f>IFERROR(final!DE37*100/final!$I37,"")</f>
        <v/>
      </c>
      <c r="CU239" s="39" t="str">
        <f>IFERROR(final!DF37*100/final!$I37,"")</f>
        <v/>
      </c>
      <c r="CV239" s="39" t="str">
        <f>IFERROR(final!DG37*100/final!$I37,"")</f>
        <v/>
      </c>
      <c r="CW239" s="32" t="str">
        <f>IFERROR(SUM(A239:CV239)/final!$DH$103,"")</f>
        <v/>
      </c>
      <c r="CX239" s="14" t="str">
        <f>IF(COUNTA(final!A37),final!A37,"")</f>
        <v/>
      </c>
      <c r="CY239" s="14" t="str">
        <f>IF(COUNTA(final!B37),final!B37,"")</f>
        <v/>
      </c>
      <c r="CZ239" s="14" t="str">
        <f>IF(COUNTA(final!C37),final!C37,"")</f>
        <v/>
      </c>
      <c r="DA239" s="14" t="str">
        <f>IF(COUNTA(final!D37),final!D37,"")</f>
        <v/>
      </c>
      <c r="DB239" s="14" t="str">
        <f>IF(COUNTA(final!E37),final!E37,"")</f>
        <v/>
      </c>
      <c r="DC239" s="14" t="str">
        <f>IF(COUNTA(final!F37),final!F37,"")</f>
        <v/>
      </c>
      <c r="DD239" s="14" t="str">
        <f>IF(COUNTA(final!G37),final!G37,"")</f>
        <v/>
      </c>
      <c r="DE239" s="14" t="str">
        <f>IF(COUNTA(final!H37),final!H37,"")</f>
        <v/>
      </c>
    </row>
    <row r="240" spans="1:109" x14ac:dyDescent="0.2">
      <c r="A240" s="39" t="str">
        <f>IFERROR(final!L38*100/final!$I38,"")</f>
        <v/>
      </c>
      <c r="B240" s="39" t="str">
        <f>IFERROR(final!M38*100/final!$I38,"")</f>
        <v/>
      </c>
      <c r="C240" s="39" t="str">
        <f>IFERROR(final!N38*100/final!$I38,"")</f>
        <v/>
      </c>
      <c r="D240" s="39" t="str">
        <f>IFERROR(final!O38*100/final!$I38,"")</f>
        <v/>
      </c>
      <c r="E240" s="39" t="str">
        <f>IFERROR(final!P38*100/final!$I38,"")</f>
        <v/>
      </c>
      <c r="F240" s="39" t="str">
        <f>IFERROR(final!Q38*100/final!$I38,"")</f>
        <v/>
      </c>
      <c r="G240" s="39" t="str">
        <f>IFERROR(final!R38*100/final!$I38,"")</f>
        <v/>
      </c>
      <c r="H240" s="39" t="str">
        <f>IFERROR(final!S38*100/final!$I38,"")</f>
        <v/>
      </c>
      <c r="I240" s="39" t="str">
        <f>IFERROR(final!T38*100/final!$I38,"")</f>
        <v/>
      </c>
      <c r="J240" s="39" t="str">
        <f>IFERROR(final!U38*100/final!$I38,"")</f>
        <v/>
      </c>
      <c r="K240" s="39" t="str">
        <f>IFERROR(final!V38*100/final!$I38,"")</f>
        <v/>
      </c>
      <c r="L240" s="39" t="str">
        <f>IFERROR(final!W38*100/final!$I38,"")</f>
        <v/>
      </c>
      <c r="M240" s="39" t="str">
        <f>IFERROR(final!X38*100/final!$I38,"")</f>
        <v/>
      </c>
      <c r="N240" s="39" t="str">
        <f>IFERROR(final!Y38*100/final!$I38,"")</f>
        <v/>
      </c>
      <c r="O240" s="39" t="str">
        <f>IFERROR(final!Z38*100/final!$I38,"")</f>
        <v/>
      </c>
      <c r="P240" s="39" t="str">
        <f>IFERROR(final!AA38*100/final!$I38,"")</f>
        <v/>
      </c>
      <c r="Q240" s="39" t="str">
        <f>IFERROR(final!AB38*100/final!$I38,"")</f>
        <v/>
      </c>
      <c r="R240" s="39" t="str">
        <f>IFERROR(final!AC38*100/final!$I38,"")</f>
        <v/>
      </c>
      <c r="S240" s="39" t="str">
        <f>IFERROR(final!AD38*100/final!$I38,"")</f>
        <v/>
      </c>
      <c r="T240" s="39" t="str">
        <f>IFERROR(final!AE38*100/final!$I38,"")</f>
        <v/>
      </c>
      <c r="U240" s="39" t="str">
        <f>IFERROR(final!AF38*100/final!$I38,"")</f>
        <v/>
      </c>
      <c r="V240" s="39" t="str">
        <f>IFERROR(final!AG38*100/final!$I38,"")</f>
        <v/>
      </c>
      <c r="W240" s="39" t="str">
        <f>IFERROR(final!AH38*100/final!$I38,"")</f>
        <v/>
      </c>
      <c r="X240" s="39" t="str">
        <f>IFERROR(final!AI38*100/final!$I38,"")</f>
        <v/>
      </c>
      <c r="Y240" s="39" t="str">
        <f>IFERROR(final!AJ38*100/final!$I38,"")</f>
        <v/>
      </c>
      <c r="Z240" s="39" t="str">
        <f>IFERROR(final!AK38*100/final!$I38,"")</f>
        <v/>
      </c>
      <c r="AA240" s="39" t="str">
        <f>IFERROR(final!AL38*100/final!$I38,"")</f>
        <v/>
      </c>
      <c r="AB240" s="39" t="str">
        <f>IFERROR(final!AM38*100/final!$I38,"")</f>
        <v/>
      </c>
      <c r="AC240" s="39" t="str">
        <f>IFERROR(final!AN38*100/final!$I38,"")</f>
        <v/>
      </c>
      <c r="AD240" s="39" t="str">
        <f>IFERROR(final!AO38*100/final!$I38,"")</f>
        <v/>
      </c>
      <c r="AE240" s="39" t="str">
        <f>IFERROR(final!AP38*100/final!$I38,"")</f>
        <v/>
      </c>
      <c r="AF240" s="39" t="str">
        <f>IFERROR(final!AQ38*100/final!$I38,"")</f>
        <v/>
      </c>
      <c r="AG240" s="39" t="str">
        <f>IFERROR(final!AR38*100/final!$I38,"")</f>
        <v/>
      </c>
      <c r="AH240" s="39" t="str">
        <f>IFERROR(final!AS38*100/final!$I38,"")</f>
        <v/>
      </c>
      <c r="AI240" s="39" t="str">
        <f>IFERROR(final!AT38*100/final!$I38,"")</f>
        <v/>
      </c>
      <c r="AJ240" s="39" t="str">
        <f>IFERROR(final!AU38*100/final!$I38,"")</f>
        <v/>
      </c>
      <c r="AK240" s="39" t="str">
        <f>IFERROR(final!AV38*100/final!$I38,"")</f>
        <v/>
      </c>
      <c r="AL240" s="39" t="str">
        <f>IFERROR(final!AW38*100/final!$I38,"")</f>
        <v/>
      </c>
      <c r="AM240" s="39" t="str">
        <f>IFERROR(final!AX38*100/final!$I38,"")</f>
        <v/>
      </c>
      <c r="AN240" s="39" t="str">
        <f>IFERROR(final!AY38*100/final!$I38,"")</f>
        <v/>
      </c>
      <c r="AO240" s="39" t="str">
        <f>IFERROR(final!AZ38*100/final!$I38,"")</f>
        <v/>
      </c>
      <c r="AP240" s="39" t="str">
        <f>IFERROR(final!BA38*100/final!$I38,"")</f>
        <v/>
      </c>
      <c r="AQ240" s="39" t="str">
        <f>IFERROR(final!BB38*100/final!$I38,"")</f>
        <v/>
      </c>
      <c r="AR240" s="39" t="str">
        <f>IFERROR(final!BC38*100/final!$I38,"")</f>
        <v/>
      </c>
      <c r="AS240" s="39" t="str">
        <f>IFERROR(final!BD38*100/final!$I38,"")</f>
        <v/>
      </c>
      <c r="AT240" s="39" t="str">
        <f>IFERROR(final!BE38*100/final!$I38,"")</f>
        <v/>
      </c>
      <c r="AU240" s="39" t="str">
        <f>IFERROR(final!BF38*100/final!$I38,"")</f>
        <v/>
      </c>
      <c r="AV240" s="39" t="str">
        <f>IFERROR(final!BG38*100/final!$I38,"")</f>
        <v/>
      </c>
      <c r="AW240" s="39" t="str">
        <f>IFERROR(final!BH38*100/final!$I38,"")</f>
        <v/>
      </c>
      <c r="AX240" s="39" t="str">
        <f>IFERROR(final!BI38*100/final!$I38,"")</f>
        <v/>
      </c>
      <c r="AY240" s="39" t="str">
        <f>IFERROR(final!BJ38*100/final!$I38,"")</f>
        <v/>
      </c>
      <c r="AZ240" s="39" t="str">
        <f>IFERROR(final!BK38*100/final!$I38,"")</f>
        <v/>
      </c>
      <c r="BA240" s="39" t="str">
        <f>IFERROR(final!BL38*100/final!$I38,"")</f>
        <v/>
      </c>
      <c r="BB240" s="39" t="str">
        <f>IFERROR(final!BM38*100/final!$I38,"")</f>
        <v/>
      </c>
      <c r="BC240" s="39" t="str">
        <f>IFERROR(final!BN38*100/final!$I38,"")</f>
        <v/>
      </c>
      <c r="BD240" s="39" t="str">
        <f>IFERROR(final!BO38*100/final!$I38,"")</f>
        <v/>
      </c>
      <c r="BE240" s="39" t="str">
        <f>IFERROR(final!BP38*100/final!$I38,"")</f>
        <v/>
      </c>
      <c r="BF240" s="39" t="str">
        <f>IFERROR(final!BQ38*100/final!$I38,"")</f>
        <v/>
      </c>
      <c r="BG240" s="39" t="str">
        <f>IFERROR(final!BR38*100/final!$I38,"")</f>
        <v/>
      </c>
      <c r="BH240" s="39" t="str">
        <f>IFERROR(final!BS38*100/final!$I38,"")</f>
        <v/>
      </c>
      <c r="BI240" s="39" t="str">
        <f>IFERROR(final!BT38*100/final!$I38,"")</f>
        <v/>
      </c>
      <c r="BJ240" s="39" t="str">
        <f>IFERROR(final!BU38*100/final!$I38,"")</f>
        <v/>
      </c>
      <c r="BK240" s="39" t="str">
        <f>IFERROR(final!BV38*100/final!$I38,"")</f>
        <v/>
      </c>
      <c r="BL240" s="39" t="str">
        <f>IFERROR(final!BW38*100/final!$I38,"")</f>
        <v/>
      </c>
      <c r="BM240" s="39" t="str">
        <f>IFERROR(final!BX38*100/final!$I38,"")</f>
        <v/>
      </c>
      <c r="BN240" s="39" t="str">
        <f>IFERROR(final!BY38*100/final!$I38,"")</f>
        <v/>
      </c>
      <c r="BO240" s="39" t="str">
        <f>IFERROR(final!BZ38*100/final!$I38,"")</f>
        <v/>
      </c>
      <c r="BP240" s="39" t="str">
        <f>IFERROR(final!CA38*100/final!$I38,"")</f>
        <v/>
      </c>
      <c r="BQ240" s="39" t="str">
        <f>IFERROR(final!CB38*100/final!$I38,"")</f>
        <v/>
      </c>
      <c r="BR240" s="39" t="str">
        <f>IFERROR(final!CC38*100/final!$I38,"")</f>
        <v/>
      </c>
      <c r="BS240" s="39" t="str">
        <f>IFERROR(final!CD38*100/final!$I38,"")</f>
        <v/>
      </c>
      <c r="BT240" s="39" t="str">
        <f>IFERROR(final!CE38*100/final!$I38,"")</f>
        <v/>
      </c>
      <c r="BU240" s="39" t="str">
        <f>IFERROR(final!CF38*100/final!$I38,"")</f>
        <v/>
      </c>
      <c r="BV240" s="39" t="str">
        <f>IFERROR(final!CG38*100/final!$I38,"")</f>
        <v/>
      </c>
      <c r="BW240" s="39" t="str">
        <f>IFERROR(final!CH38*100/final!$I38,"")</f>
        <v/>
      </c>
      <c r="BX240" s="39" t="str">
        <f>IFERROR(final!CI38*100/final!$I38,"")</f>
        <v/>
      </c>
      <c r="BY240" s="39" t="str">
        <f>IFERROR(final!CJ38*100/final!$I38,"")</f>
        <v/>
      </c>
      <c r="BZ240" s="39" t="str">
        <f>IFERROR(final!CK38*100/final!$I38,"")</f>
        <v/>
      </c>
      <c r="CA240" s="39" t="str">
        <f>IFERROR(final!CL38*100/final!$I38,"")</f>
        <v/>
      </c>
      <c r="CB240" s="39" t="str">
        <f>IFERROR(final!CM38*100/final!$I38,"")</f>
        <v/>
      </c>
      <c r="CC240" s="39" t="str">
        <f>IFERROR(final!CN38*100/final!$I38,"")</f>
        <v/>
      </c>
      <c r="CD240" s="39" t="str">
        <f>IFERROR(final!CO38*100/final!$I38,"")</f>
        <v/>
      </c>
      <c r="CE240" s="39" t="str">
        <f>IFERROR(final!CP38*100/final!$I38,"")</f>
        <v/>
      </c>
      <c r="CF240" s="39" t="str">
        <f>IFERROR(final!CQ38*100/final!$I38,"")</f>
        <v/>
      </c>
      <c r="CG240" s="39" t="str">
        <f>IFERROR(final!CR38*100/final!$I38,"")</f>
        <v/>
      </c>
      <c r="CH240" s="39" t="str">
        <f>IFERROR(final!CS38*100/final!$I38,"")</f>
        <v/>
      </c>
      <c r="CI240" s="39" t="str">
        <f>IFERROR(final!CT38*100/final!$I38,"")</f>
        <v/>
      </c>
      <c r="CJ240" s="39" t="str">
        <f>IFERROR(final!CU38*100/final!$I38,"")</f>
        <v/>
      </c>
      <c r="CK240" s="39" t="str">
        <f>IFERROR(final!CV38*100/final!$I38,"")</f>
        <v/>
      </c>
      <c r="CL240" s="39" t="str">
        <f>IFERROR(final!CW38*100/final!$I38,"")</f>
        <v/>
      </c>
      <c r="CM240" s="39" t="str">
        <f>IFERROR(final!CX38*100/final!$I38,"")</f>
        <v/>
      </c>
      <c r="CN240" s="39" t="str">
        <f>IFERROR(final!CY38*100/final!$I38,"")</f>
        <v/>
      </c>
      <c r="CO240" s="39" t="str">
        <f>IFERROR(final!CZ38*100/final!$I38,"")</f>
        <v/>
      </c>
      <c r="CP240" s="39" t="str">
        <f>IFERROR(final!DA38*100/final!$I38,"")</f>
        <v/>
      </c>
      <c r="CQ240" s="39" t="str">
        <f>IFERROR(final!DB38*100/final!$I38,"")</f>
        <v/>
      </c>
      <c r="CR240" s="39" t="str">
        <f>IFERROR(final!DC38*100/final!$I38,"")</f>
        <v/>
      </c>
      <c r="CS240" s="39" t="str">
        <f>IFERROR(final!DD38*100/final!$I38,"")</f>
        <v/>
      </c>
      <c r="CT240" s="39" t="str">
        <f>IFERROR(final!DE38*100/final!$I38,"")</f>
        <v/>
      </c>
      <c r="CU240" s="39" t="str">
        <f>IFERROR(final!DF38*100/final!$I38,"")</f>
        <v/>
      </c>
      <c r="CV240" s="39" t="str">
        <f>IFERROR(final!DG38*100/final!$I38,"")</f>
        <v/>
      </c>
      <c r="CW240" s="32" t="str">
        <f>IFERROR(SUM(A240:CV240)/final!$DH$103,"")</f>
        <v/>
      </c>
      <c r="CX240" s="14" t="str">
        <f>IF(COUNTA(final!A38),final!A38,"")</f>
        <v/>
      </c>
      <c r="CY240" s="14" t="str">
        <f>IF(COUNTA(final!B38),final!B38,"")</f>
        <v/>
      </c>
      <c r="CZ240" s="14" t="str">
        <f>IF(COUNTA(final!C38),final!C38,"")</f>
        <v/>
      </c>
      <c r="DA240" s="14" t="str">
        <f>IF(COUNTA(final!D38),final!D38,"")</f>
        <v/>
      </c>
      <c r="DB240" s="14" t="str">
        <f>IF(COUNTA(final!E38),final!E38,"")</f>
        <v/>
      </c>
      <c r="DC240" s="14" t="str">
        <f>IF(COUNTA(final!F38),final!F38,"")</f>
        <v/>
      </c>
      <c r="DD240" s="14" t="str">
        <f>IF(COUNTA(final!G38),final!G38,"")</f>
        <v/>
      </c>
      <c r="DE240" s="14" t="str">
        <f>IF(COUNTA(final!H38),final!H38,"")</f>
        <v/>
      </c>
    </row>
    <row r="241" spans="1:109" x14ac:dyDescent="0.2">
      <c r="A241" s="39" t="str">
        <f>IFERROR(final!L39*100/final!$I39,"")</f>
        <v/>
      </c>
      <c r="B241" s="39" t="str">
        <f>IFERROR(final!M39*100/final!$I39,"")</f>
        <v/>
      </c>
      <c r="C241" s="39" t="str">
        <f>IFERROR(final!N39*100/final!$I39,"")</f>
        <v/>
      </c>
      <c r="D241" s="39" t="str">
        <f>IFERROR(final!O39*100/final!$I39,"")</f>
        <v/>
      </c>
      <c r="E241" s="39" t="str">
        <f>IFERROR(final!P39*100/final!$I39,"")</f>
        <v/>
      </c>
      <c r="F241" s="39" t="str">
        <f>IFERROR(final!Q39*100/final!$I39,"")</f>
        <v/>
      </c>
      <c r="G241" s="39" t="str">
        <f>IFERROR(final!R39*100/final!$I39,"")</f>
        <v/>
      </c>
      <c r="H241" s="39" t="str">
        <f>IFERROR(final!S39*100/final!$I39,"")</f>
        <v/>
      </c>
      <c r="I241" s="39" t="str">
        <f>IFERROR(final!T39*100/final!$I39,"")</f>
        <v/>
      </c>
      <c r="J241" s="39" t="str">
        <f>IFERROR(final!U39*100/final!$I39,"")</f>
        <v/>
      </c>
      <c r="K241" s="39" t="str">
        <f>IFERROR(final!V39*100/final!$I39,"")</f>
        <v/>
      </c>
      <c r="L241" s="39" t="str">
        <f>IFERROR(final!W39*100/final!$I39,"")</f>
        <v/>
      </c>
      <c r="M241" s="39" t="str">
        <f>IFERROR(final!X39*100/final!$I39,"")</f>
        <v/>
      </c>
      <c r="N241" s="39" t="str">
        <f>IFERROR(final!Y39*100/final!$I39,"")</f>
        <v/>
      </c>
      <c r="O241" s="39" t="str">
        <f>IFERROR(final!Z39*100/final!$I39,"")</f>
        <v/>
      </c>
      <c r="P241" s="39" t="str">
        <f>IFERROR(final!AA39*100/final!$I39,"")</f>
        <v/>
      </c>
      <c r="Q241" s="39" t="str">
        <f>IFERROR(final!AB39*100/final!$I39,"")</f>
        <v/>
      </c>
      <c r="R241" s="39" t="str">
        <f>IFERROR(final!AC39*100/final!$I39,"")</f>
        <v/>
      </c>
      <c r="S241" s="39" t="str">
        <f>IFERROR(final!AD39*100/final!$I39,"")</f>
        <v/>
      </c>
      <c r="T241" s="39" t="str">
        <f>IFERROR(final!AE39*100/final!$I39,"")</f>
        <v/>
      </c>
      <c r="U241" s="39" t="str">
        <f>IFERROR(final!AF39*100/final!$I39,"")</f>
        <v/>
      </c>
      <c r="V241" s="39" t="str">
        <f>IFERROR(final!AG39*100/final!$I39,"")</f>
        <v/>
      </c>
      <c r="W241" s="39" t="str">
        <f>IFERROR(final!AH39*100/final!$I39,"")</f>
        <v/>
      </c>
      <c r="X241" s="39" t="str">
        <f>IFERROR(final!AI39*100/final!$I39,"")</f>
        <v/>
      </c>
      <c r="Y241" s="39" t="str">
        <f>IFERROR(final!AJ39*100/final!$I39,"")</f>
        <v/>
      </c>
      <c r="Z241" s="39" t="str">
        <f>IFERROR(final!AK39*100/final!$I39,"")</f>
        <v/>
      </c>
      <c r="AA241" s="39" t="str">
        <f>IFERROR(final!AL39*100/final!$I39,"")</f>
        <v/>
      </c>
      <c r="AB241" s="39" t="str">
        <f>IFERROR(final!AM39*100/final!$I39,"")</f>
        <v/>
      </c>
      <c r="AC241" s="39" t="str">
        <f>IFERROR(final!AN39*100/final!$I39,"")</f>
        <v/>
      </c>
      <c r="AD241" s="39" t="str">
        <f>IFERROR(final!AO39*100/final!$I39,"")</f>
        <v/>
      </c>
      <c r="AE241" s="39" t="str">
        <f>IFERROR(final!AP39*100/final!$I39,"")</f>
        <v/>
      </c>
      <c r="AF241" s="39" t="str">
        <f>IFERROR(final!AQ39*100/final!$I39,"")</f>
        <v/>
      </c>
      <c r="AG241" s="39" t="str">
        <f>IFERROR(final!AR39*100/final!$I39,"")</f>
        <v/>
      </c>
      <c r="AH241" s="39" t="str">
        <f>IFERROR(final!AS39*100/final!$I39,"")</f>
        <v/>
      </c>
      <c r="AI241" s="39" t="str">
        <f>IFERROR(final!AT39*100/final!$I39,"")</f>
        <v/>
      </c>
      <c r="AJ241" s="39" t="str">
        <f>IFERROR(final!AU39*100/final!$I39,"")</f>
        <v/>
      </c>
      <c r="AK241" s="39" t="str">
        <f>IFERROR(final!AV39*100/final!$I39,"")</f>
        <v/>
      </c>
      <c r="AL241" s="39" t="str">
        <f>IFERROR(final!AW39*100/final!$I39,"")</f>
        <v/>
      </c>
      <c r="AM241" s="39" t="str">
        <f>IFERROR(final!AX39*100/final!$I39,"")</f>
        <v/>
      </c>
      <c r="AN241" s="39" t="str">
        <f>IFERROR(final!AY39*100/final!$I39,"")</f>
        <v/>
      </c>
      <c r="AO241" s="39" t="str">
        <f>IFERROR(final!AZ39*100/final!$I39,"")</f>
        <v/>
      </c>
      <c r="AP241" s="39" t="str">
        <f>IFERROR(final!BA39*100/final!$I39,"")</f>
        <v/>
      </c>
      <c r="AQ241" s="39" t="str">
        <f>IFERROR(final!BB39*100/final!$I39,"")</f>
        <v/>
      </c>
      <c r="AR241" s="39" t="str">
        <f>IFERROR(final!BC39*100/final!$I39,"")</f>
        <v/>
      </c>
      <c r="AS241" s="39" t="str">
        <f>IFERROR(final!BD39*100/final!$I39,"")</f>
        <v/>
      </c>
      <c r="AT241" s="39" t="str">
        <f>IFERROR(final!BE39*100/final!$I39,"")</f>
        <v/>
      </c>
      <c r="AU241" s="39" t="str">
        <f>IFERROR(final!BF39*100/final!$I39,"")</f>
        <v/>
      </c>
      <c r="AV241" s="39" t="str">
        <f>IFERROR(final!BG39*100/final!$I39,"")</f>
        <v/>
      </c>
      <c r="AW241" s="39" t="str">
        <f>IFERROR(final!BH39*100/final!$I39,"")</f>
        <v/>
      </c>
      <c r="AX241" s="39" t="str">
        <f>IFERROR(final!BI39*100/final!$I39,"")</f>
        <v/>
      </c>
      <c r="AY241" s="39" t="str">
        <f>IFERROR(final!BJ39*100/final!$I39,"")</f>
        <v/>
      </c>
      <c r="AZ241" s="39" t="str">
        <f>IFERROR(final!BK39*100/final!$I39,"")</f>
        <v/>
      </c>
      <c r="BA241" s="39" t="str">
        <f>IFERROR(final!BL39*100/final!$I39,"")</f>
        <v/>
      </c>
      <c r="BB241" s="39" t="str">
        <f>IFERROR(final!BM39*100/final!$I39,"")</f>
        <v/>
      </c>
      <c r="BC241" s="39" t="str">
        <f>IFERROR(final!BN39*100/final!$I39,"")</f>
        <v/>
      </c>
      <c r="BD241" s="39" t="str">
        <f>IFERROR(final!BO39*100/final!$I39,"")</f>
        <v/>
      </c>
      <c r="BE241" s="39" t="str">
        <f>IFERROR(final!BP39*100/final!$I39,"")</f>
        <v/>
      </c>
      <c r="BF241" s="39" t="str">
        <f>IFERROR(final!BQ39*100/final!$I39,"")</f>
        <v/>
      </c>
      <c r="BG241" s="39" t="str">
        <f>IFERROR(final!BR39*100/final!$I39,"")</f>
        <v/>
      </c>
      <c r="BH241" s="39" t="str">
        <f>IFERROR(final!BS39*100/final!$I39,"")</f>
        <v/>
      </c>
      <c r="BI241" s="39" t="str">
        <f>IFERROR(final!BT39*100/final!$I39,"")</f>
        <v/>
      </c>
      <c r="BJ241" s="39" t="str">
        <f>IFERROR(final!BU39*100/final!$I39,"")</f>
        <v/>
      </c>
      <c r="BK241" s="39" t="str">
        <f>IFERROR(final!BV39*100/final!$I39,"")</f>
        <v/>
      </c>
      <c r="BL241" s="39" t="str">
        <f>IFERROR(final!BW39*100/final!$I39,"")</f>
        <v/>
      </c>
      <c r="BM241" s="39" t="str">
        <f>IFERROR(final!BX39*100/final!$I39,"")</f>
        <v/>
      </c>
      <c r="BN241" s="39" t="str">
        <f>IFERROR(final!BY39*100/final!$I39,"")</f>
        <v/>
      </c>
      <c r="BO241" s="39" t="str">
        <f>IFERROR(final!BZ39*100/final!$I39,"")</f>
        <v/>
      </c>
      <c r="BP241" s="39" t="str">
        <f>IFERROR(final!CA39*100/final!$I39,"")</f>
        <v/>
      </c>
      <c r="BQ241" s="39" t="str">
        <f>IFERROR(final!CB39*100/final!$I39,"")</f>
        <v/>
      </c>
      <c r="BR241" s="39" t="str">
        <f>IFERROR(final!CC39*100/final!$I39,"")</f>
        <v/>
      </c>
      <c r="BS241" s="39" t="str">
        <f>IFERROR(final!CD39*100/final!$I39,"")</f>
        <v/>
      </c>
      <c r="BT241" s="39" t="str">
        <f>IFERROR(final!CE39*100/final!$I39,"")</f>
        <v/>
      </c>
      <c r="BU241" s="39" t="str">
        <f>IFERROR(final!CF39*100/final!$I39,"")</f>
        <v/>
      </c>
      <c r="BV241" s="39" t="str">
        <f>IFERROR(final!CG39*100/final!$I39,"")</f>
        <v/>
      </c>
      <c r="BW241" s="39" t="str">
        <f>IFERROR(final!CH39*100/final!$I39,"")</f>
        <v/>
      </c>
      <c r="BX241" s="39" t="str">
        <f>IFERROR(final!CI39*100/final!$I39,"")</f>
        <v/>
      </c>
      <c r="BY241" s="39" t="str">
        <f>IFERROR(final!CJ39*100/final!$I39,"")</f>
        <v/>
      </c>
      <c r="BZ241" s="39" t="str">
        <f>IFERROR(final!CK39*100/final!$I39,"")</f>
        <v/>
      </c>
      <c r="CA241" s="39" t="str">
        <f>IFERROR(final!CL39*100/final!$I39,"")</f>
        <v/>
      </c>
      <c r="CB241" s="39" t="str">
        <f>IFERROR(final!CM39*100/final!$I39,"")</f>
        <v/>
      </c>
      <c r="CC241" s="39" t="str">
        <f>IFERROR(final!CN39*100/final!$I39,"")</f>
        <v/>
      </c>
      <c r="CD241" s="39" t="str">
        <f>IFERROR(final!CO39*100/final!$I39,"")</f>
        <v/>
      </c>
      <c r="CE241" s="39" t="str">
        <f>IFERROR(final!CP39*100/final!$I39,"")</f>
        <v/>
      </c>
      <c r="CF241" s="39" t="str">
        <f>IFERROR(final!CQ39*100/final!$I39,"")</f>
        <v/>
      </c>
      <c r="CG241" s="39" t="str">
        <f>IFERROR(final!CR39*100/final!$I39,"")</f>
        <v/>
      </c>
      <c r="CH241" s="39" t="str">
        <f>IFERROR(final!CS39*100/final!$I39,"")</f>
        <v/>
      </c>
      <c r="CI241" s="39" t="str">
        <f>IFERROR(final!CT39*100/final!$I39,"")</f>
        <v/>
      </c>
      <c r="CJ241" s="39" t="str">
        <f>IFERROR(final!CU39*100/final!$I39,"")</f>
        <v/>
      </c>
      <c r="CK241" s="39" t="str">
        <f>IFERROR(final!CV39*100/final!$I39,"")</f>
        <v/>
      </c>
      <c r="CL241" s="39" t="str">
        <f>IFERROR(final!CW39*100/final!$I39,"")</f>
        <v/>
      </c>
      <c r="CM241" s="39" t="str">
        <f>IFERROR(final!CX39*100/final!$I39,"")</f>
        <v/>
      </c>
      <c r="CN241" s="39" t="str">
        <f>IFERROR(final!CY39*100/final!$I39,"")</f>
        <v/>
      </c>
      <c r="CO241" s="39" t="str">
        <f>IFERROR(final!CZ39*100/final!$I39,"")</f>
        <v/>
      </c>
      <c r="CP241" s="39" t="str">
        <f>IFERROR(final!DA39*100/final!$I39,"")</f>
        <v/>
      </c>
      <c r="CQ241" s="39" t="str">
        <f>IFERROR(final!DB39*100/final!$I39,"")</f>
        <v/>
      </c>
      <c r="CR241" s="39" t="str">
        <f>IFERROR(final!DC39*100/final!$I39,"")</f>
        <v/>
      </c>
      <c r="CS241" s="39" t="str">
        <f>IFERROR(final!DD39*100/final!$I39,"")</f>
        <v/>
      </c>
      <c r="CT241" s="39" t="str">
        <f>IFERROR(final!DE39*100/final!$I39,"")</f>
        <v/>
      </c>
      <c r="CU241" s="39" t="str">
        <f>IFERROR(final!DF39*100/final!$I39,"")</f>
        <v/>
      </c>
      <c r="CV241" s="39" t="str">
        <f>IFERROR(final!DG39*100/final!$I39,"")</f>
        <v/>
      </c>
      <c r="CW241" s="32" t="str">
        <f>IFERROR(SUM(A241:CV241)/final!$DH$103,"")</f>
        <v/>
      </c>
      <c r="CX241" s="14" t="str">
        <f>IF(COUNTA(final!A39),final!A39,"")</f>
        <v/>
      </c>
      <c r="CY241" s="14" t="str">
        <f>IF(COUNTA(final!B39),final!B39,"")</f>
        <v/>
      </c>
      <c r="CZ241" s="14" t="str">
        <f>IF(COUNTA(final!C39),final!C39,"")</f>
        <v/>
      </c>
      <c r="DA241" s="14" t="str">
        <f>IF(COUNTA(final!D39),final!D39,"")</f>
        <v/>
      </c>
      <c r="DB241" s="14" t="str">
        <f>IF(COUNTA(final!E39),final!E39,"")</f>
        <v/>
      </c>
      <c r="DC241" s="14" t="str">
        <f>IF(COUNTA(final!F39),final!F39,"")</f>
        <v/>
      </c>
      <c r="DD241" s="14" t="str">
        <f>IF(COUNTA(final!G39),final!G39,"")</f>
        <v/>
      </c>
      <c r="DE241" s="14" t="str">
        <f>IF(COUNTA(final!H39),final!H39,"")</f>
        <v/>
      </c>
    </row>
    <row r="242" spans="1:109" x14ac:dyDescent="0.2">
      <c r="A242" s="39" t="str">
        <f>IFERROR(final!L40*100/final!$I40,"")</f>
        <v/>
      </c>
      <c r="B242" s="39" t="str">
        <f>IFERROR(final!M40*100/final!$I40,"")</f>
        <v/>
      </c>
      <c r="C242" s="39" t="str">
        <f>IFERROR(final!N40*100/final!$I40,"")</f>
        <v/>
      </c>
      <c r="D242" s="39" t="str">
        <f>IFERROR(final!O40*100/final!$I40,"")</f>
        <v/>
      </c>
      <c r="E242" s="39" t="str">
        <f>IFERROR(final!P40*100/final!$I40,"")</f>
        <v/>
      </c>
      <c r="F242" s="39" t="str">
        <f>IFERROR(final!Q40*100/final!$I40,"")</f>
        <v/>
      </c>
      <c r="G242" s="39" t="str">
        <f>IFERROR(final!R40*100/final!$I40,"")</f>
        <v/>
      </c>
      <c r="H242" s="39" t="str">
        <f>IFERROR(final!S40*100/final!$I40,"")</f>
        <v/>
      </c>
      <c r="I242" s="39" t="str">
        <f>IFERROR(final!T40*100/final!$I40,"")</f>
        <v/>
      </c>
      <c r="J242" s="39" t="str">
        <f>IFERROR(final!U40*100/final!$I40,"")</f>
        <v/>
      </c>
      <c r="K242" s="39" t="str">
        <f>IFERROR(final!V40*100/final!$I40,"")</f>
        <v/>
      </c>
      <c r="L242" s="39" t="str">
        <f>IFERROR(final!W40*100/final!$I40,"")</f>
        <v/>
      </c>
      <c r="M242" s="39" t="str">
        <f>IFERROR(final!X40*100/final!$I40,"")</f>
        <v/>
      </c>
      <c r="N242" s="39" t="str">
        <f>IFERROR(final!Y40*100/final!$I40,"")</f>
        <v/>
      </c>
      <c r="O242" s="39" t="str">
        <f>IFERROR(final!Z40*100/final!$I40,"")</f>
        <v/>
      </c>
      <c r="P242" s="39" t="str">
        <f>IFERROR(final!AA40*100/final!$I40,"")</f>
        <v/>
      </c>
      <c r="Q242" s="39" t="str">
        <f>IFERROR(final!AB40*100/final!$I40,"")</f>
        <v/>
      </c>
      <c r="R242" s="39" t="str">
        <f>IFERROR(final!AC40*100/final!$I40,"")</f>
        <v/>
      </c>
      <c r="S242" s="39" t="str">
        <f>IFERROR(final!AD40*100/final!$I40,"")</f>
        <v/>
      </c>
      <c r="T242" s="39" t="str">
        <f>IFERROR(final!AE40*100/final!$I40,"")</f>
        <v/>
      </c>
      <c r="U242" s="39" t="str">
        <f>IFERROR(final!AF40*100/final!$I40,"")</f>
        <v/>
      </c>
      <c r="V242" s="39" t="str">
        <f>IFERROR(final!AG40*100/final!$I40,"")</f>
        <v/>
      </c>
      <c r="W242" s="39" t="str">
        <f>IFERROR(final!AH40*100/final!$I40,"")</f>
        <v/>
      </c>
      <c r="X242" s="39" t="str">
        <f>IFERROR(final!AI40*100/final!$I40,"")</f>
        <v/>
      </c>
      <c r="Y242" s="39" t="str">
        <f>IFERROR(final!AJ40*100/final!$I40,"")</f>
        <v/>
      </c>
      <c r="Z242" s="39" t="str">
        <f>IFERROR(final!AK40*100/final!$I40,"")</f>
        <v/>
      </c>
      <c r="AA242" s="39" t="str">
        <f>IFERROR(final!AL40*100/final!$I40,"")</f>
        <v/>
      </c>
      <c r="AB242" s="39" t="str">
        <f>IFERROR(final!AM40*100/final!$I40,"")</f>
        <v/>
      </c>
      <c r="AC242" s="39" t="str">
        <f>IFERROR(final!AN40*100/final!$I40,"")</f>
        <v/>
      </c>
      <c r="AD242" s="39" t="str">
        <f>IFERROR(final!AO40*100/final!$I40,"")</f>
        <v/>
      </c>
      <c r="AE242" s="39" t="str">
        <f>IFERROR(final!AP40*100/final!$I40,"")</f>
        <v/>
      </c>
      <c r="AF242" s="39" t="str">
        <f>IFERROR(final!AQ40*100/final!$I40,"")</f>
        <v/>
      </c>
      <c r="AG242" s="39" t="str">
        <f>IFERROR(final!AR40*100/final!$I40,"")</f>
        <v/>
      </c>
      <c r="AH242" s="39" t="str">
        <f>IFERROR(final!AS40*100/final!$I40,"")</f>
        <v/>
      </c>
      <c r="AI242" s="39" t="str">
        <f>IFERROR(final!AT40*100/final!$I40,"")</f>
        <v/>
      </c>
      <c r="AJ242" s="39" t="str">
        <f>IFERROR(final!AU40*100/final!$I40,"")</f>
        <v/>
      </c>
      <c r="AK242" s="39" t="str">
        <f>IFERROR(final!AV40*100/final!$I40,"")</f>
        <v/>
      </c>
      <c r="AL242" s="39" t="str">
        <f>IFERROR(final!AW40*100/final!$I40,"")</f>
        <v/>
      </c>
      <c r="AM242" s="39" t="str">
        <f>IFERROR(final!AX40*100/final!$I40,"")</f>
        <v/>
      </c>
      <c r="AN242" s="39" t="str">
        <f>IFERROR(final!AY40*100/final!$I40,"")</f>
        <v/>
      </c>
      <c r="AO242" s="39" t="str">
        <f>IFERROR(final!AZ40*100/final!$I40,"")</f>
        <v/>
      </c>
      <c r="AP242" s="39" t="str">
        <f>IFERROR(final!BA40*100/final!$I40,"")</f>
        <v/>
      </c>
      <c r="AQ242" s="39" t="str">
        <f>IFERROR(final!BB40*100/final!$I40,"")</f>
        <v/>
      </c>
      <c r="AR242" s="39" t="str">
        <f>IFERROR(final!BC40*100/final!$I40,"")</f>
        <v/>
      </c>
      <c r="AS242" s="39" t="str">
        <f>IFERROR(final!BD40*100/final!$I40,"")</f>
        <v/>
      </c>
      <c r="AT242" s="39" t="str">
        <f>IFERROR(final!BE40*100/final!$I40,"")</f>
        <v/>
      </c>
      <c r="AU242" s="39" t="str">
        <f>IFERROR(final!BF40*100/final!$I40,"")</f>
        <v/>
      </c>
      <c r="AV242" s="39" t="str">
        <f>IFERROR(final!BG40*100/final!$I40,"")</f>
        <v/>
      </c>
      <c r="AW242" s="39" t="str">
        <f>IFERROR(final!BH40*100/final!$I40,"")</f>
        <v/>
      </c>
      <c r="AX242" s="39" t="str">
        <f>IFERROR(final!BI40*100/final!$I40,"")</f>
        <v/>
      </c>
      <c r="AY242" s="39" t="str">
        <f>IFERROR(final!BJ40*100/final!$I40,"")</f>
        <v/>
      </c>
      <c r="AZ242" s="39" t="str">
        <f>IFERROR(final!BK40*100/final!$I40,"")</f>
        <v/>
      </c>
      <c r="BA242" s="39" t="str">
        <f>IFERROR(final!BL40*100/final!$I40,"")</f>
        <v/>
      </c>
      <c r="BB242" s="39" t="str">
        <f>IFERROR(final!BM40*100/final!$I40,"")</f>
        <v/>
      </c>
      <c r="BC242" s="39" t="str">
        <f>IFERROR(final!BN40*100/final!$I40,"")</f>
        <v/>
      </c>
      <c r="BD242" s="39" t="str">
        <f>IFERROR(final!BO40*100/final!$I40,"")</f>
        <v/>
      </c>
      <c r="BE242" s="39" t="str">
        <f>IFERROR(final!BP40*100/final!$I40,"")</f>
        <v/>
      </c>
      <c r="BF242" s="39" t="str">
        <f>IFERROR(final!BQ40*100/final!$I40,"")</f>
        <v/>
      </c>
      <c r="BG242" s="39" t="str">
        <f>IFERROR(final!BR40*100/final!$I40,"")</f>
        <v/>
      </c>
      <c r="BH242" s="39" t="str">
        <f>IFERROR(final!BS40*100/final!$I40,"")</f>
        <v/>
      </c>
      <c r="BI242" s="39" t="str">
        <f>IFERROR(final!BT40*100/final!$I40,"")</f>
        <v/>
      </c>
      <c r="BJ242" s="39" t="str">
        <f>IFERROR(final!BU40*100/final!$I40,"")</f>
        <v/>
      </c>
      <c r="BK242" s="39" t="str">
        <f>IFERROR(final!BV40*100/final!$I40,"")</f>
        <v/>
      </c>
      <c r="BL242" s="39" t="str">
        <f>IFERROR(final!BW40*100/final!$I40,"")</f>
        <v/>
      </c>
      <c r="BM242" s="39" t="str">
        <f>IFERROR(final!BX40*100/final!$I40,"")</f>
        <v/>
      </c>
      <c r="BN242" s="39" t="str">
        <f>IFERROR(final!BY40*100/final!$I40,"")</f>
        <v/>
      </c>
      <c r="BO242" s="39" t="str">
        <f>IFERROR(final!BZ40*100/final!$I40,"")</f>
        <v/>
      </c>
      <c r="BP242" s="39" t="str">
        <f>IFERROR(final!CA40*100/final!$I40,"")</f>
        <v/>
      </c>
      <c r="BQ242" s="39" t="str">
        <f>IFERROR(final!CB40*100/final!$I40,"")</f>
        <v/>
      </c>
      <c r="BR242" s="39" t="str">
        <f>IFERROR(final!CC40*100/final!$I40,"")</f>
        <v/>
      </c>
      <c r="BS242" s="39" t="str">
        <f>IFERROR(final!CD40*100/final!$I40,"")</f>
        <v/>
      </c>
      <c r="BT242" s="39" t="str">
        <f>IFERROR(final!CE40*100/final!$I40,"")</f>
        <v/>
      </c>
      <c r="BU242" s="39" t="str">
        <f>IFERROR(final!CF40*100/final!$I40,"")</f>
        <v/>
      </c>
      <c r="BV242" s="39" t="str">
        <f>IFERROR(final!CG40*100/final!$I40,"")</f>
        <v/>
      </c>
      <c r="BW242" s="39" t="str">
        <f>IFERROR(final!CH40*100/final!$I40,"")</f>
        <v/>
      </c>
      <c r="BX242" s="39" t="str">
        <f>IFERROR(final!CI40*100/final!$I40,"")</f>
        <v/>
      </c>
      <c r="BY242" s="39" t="str">
        <f>IFERROR(final!CJ40*100/final!$I40,"")</f>
        <v/>
      </c>
      <c r="BZ242" s="39" t="str">
        <f>IFERROR(final!CK40*100/final!$I40,"")</f>
        <v/>
      </c>
      <c r="CA242" s="39" t="str">
        <f>IFERROR(final!CL40*100/final!$I40,"")</f>
        <v/>
      </c>
      <c r="CB242" s="39" t="str">
        <f>IFERROR(final!CM40*100/final!$I40,"")</f>
        <v/>
      </c>
      <c r="CC242" s="39" t="str">
        <f>IFERROR(final!CN40*100/final!$I40,"")</f>
        <v/>
      </c>
      <c r="CD242" s="39" t="str">
        <f>IFERROR(final!CO40*100/final!$I40,"")</f>
        <v/>
      </c>
      <c r="CE242" s="39" t="str">
        <f>IFERROR(final!CP40*100/final!$I40,"")</f>
        <v/>
      </c>
      <c r="CF242" s="39" t="str">
        <f>IFERROR(final!CQ40*100/final!$I40,"")</f>
        <v/>
      </c>
      <c r="CG242" s="39" t="str">
        <f>IFERROR(final!CR40*100/final!$I40,"")</f>
        <v/>
      </c>
      <c r="CH242" s="39" t="str">
        <f>IFERROR(final!CS40*100/final!$I40,"")</f>
        <v/>
      </c>
      <c r="CI242" s="39" t="str">
        <f>IFERROR(final!CT40*100/final!$I40,"")</f>
        <v/>
      </c>
      <c r="CJ242" s="39" t="str">
        <f>IFERROR(final!CU40*100/final!$I40,"")</f>
        <v/>
      </c>
      <c r="CK242" s="39" t="str">
        <f>IFERROR(final!CV40*100/final!$I40,"")</f>
        <v/>
      </c>
      <c r="CL242" s="39" t="str">
        <f>IFERROR(final!CW40*100/final!$I40,"")</f>
        <v/>
      </c>
      <c r="CM242" s="39" t="str">
        <f>IFERROR(final!CX40*100/final!$I40,"")</f>
        <v/>
      </c>
      <c r="CN242" s="39" t="str">
        <f>IFERROR(final!CY40*100/final!$I40,"")</f>
        <v/>
      </c>
      <c r="CO242" s="39" t="str">
        <f>IFERROR(final!CZ40*100/final!$I40,"")</f>
        <v/>
      </c>
      <c r="CP242" s="39" t="str">
        <f>IFERROR(final!DA40*100/final!$I40,"")</f>
        <v/>
      </c>
      <c r="CQ242" s="39" t="str">
        <f>IFERROR(final!DB40*100/final!$I40,"")</f>
        <v/>
      </c>
      <c r="CR242" s="39" t="str">
        <f>IFERROR(final!DC40*100/final!$I40,"")</f>
        <v/>
      </c>
      <c r="CS242" s="39" t="str">
        <f>IFERROR(final!DD40*100/final!$I40,"")</f>
        <v/>
      </c>
      <c r="CT242" s="39" t="str">
        <f>IFERROR(final!DE40*100/final!$I40,"")</f>
        <v/>
      </c>
      <c r="CU242" s="39" t="str">
        <f>IFERROR(final!DF40*100/final!$I40,"")</f>
        <v/>
      </c>
      <c r="CV242" s="39" t="str">
        <f>IFERROR(final!DG40*100/final!$I40,"")</f>
        <v/>
      </c>
      <c r="CW242" s="32" t="str">
        <f>IFERROR(SUM(A242:CV242)/final!$DH$103,"")</f>
        <v/>
      </c>
      <c r="CX242" s="14" t="str">
        <f>IF(COUNTA(final!A40),final!A40,"")</f>
        <v/>
      </c>
      <c r="CY242" s="14" t="str">
        <f>IF(COUNTA(final!B40),final!B40,"")</f>
        <v/>
      </c>
      <c r="CZ242" s="14" t="str">
        <f>IF(COUNTA(final!C40),final!C40,"")</f>
        <v/>
      </c>
      <c r="DA242" s="14" t="str">
        <f>IF(COUNTA(final!D40),final!D40,"")</f>
        <v/>
      </c>
      <c r="DB242" s="14" t="str">
        <f>IF(COUNTA(final!E40),final!E40,"")</f>
        <v/>
      </c>
      <c r="DC242" s="14" t="str">
        <f>IF(COUNTA(final!F40),final!F40,"")</f>
        <v/>
      </c>
      <c r="DD242" s="14" t="str">
        <f>IF(COUNTA(final!G40),final!G40,"")</f>
        <v/>
      </c>
      <c r="DE242" s="14" t="str">
        <f>IF(COUNTA(final!H40),final!H40,"")</f>
        <v/>
      </c>
    </row>
    <row r="243" spans="1:109" x14ac:dyDescent="0.2">
      <c r="A243" s="39" t="str">
        <f>IFERROR(final!L41*100/final!$I41,"")</f>
        <v/>
      </c>
      <c r="B243" s="39" t="str">
        <f>IFERROR(final!M41*100/final!$I41,"")</f>
        <v/>
      </c>
      <c r="C243" s="39" t="str">
        <f>IFERROR(final!N41*100/final!$I41,"")</f>
        <v/>
      </c>
      <c r="D243" s="39" t="str">
        <f>IFERROR(final!O41*100/final!$I41,"")</f>
        <v/>
      </c>
      <c r="E243" s="39" t="str">
        <f>IFERROR(final!P41*100/final!$I41,"")</f>
        <v/>
      </c>
      <c r="F243" s="39" t="str">
        <f>IFERROR(final!Q41*100/final!$I41,"")</f>
        <v/>
      </c>
      <c r="G243" s="39" t="str">
        <f>IFERROR(final!R41*100/final!$I41,"")</f>
        <v/>
      </c>
      <c r="H243" s="39" t="str">
        <f>IFERROR(final!S41*100/final!$I41,"")</f>
        <v/>
      </c>
      <c r="I243" s="39" t="str">
        <f>IFERROR(final!T41*100/final!$I41,"")</f>
        <v/>
      </c>
      <c r="J243" s="39" t="str">
        <f>IFERROR(final!U41*100/final!$I41,"")</f>
        <v/>
      </c>
      <c r="K243" s="39" t="str">
        <f>IFERROR(final!V41*100/final!$I41,"")</f>
        <v/>
      </c>
      <c r="L243" s="39" t="str">
        <f>IFERROR(final!W41*100/final!$I41,"")</f>
        <v/>
      </c>
      <c r="M243" s="39" t="str">
        <f>IFERROR(final!X41*100/final!$I41,"")</f>
        <v/>
      </c>
      <c r="N243" s="39" t="str">
        <f>IFERROR(final!Y41*100/final!$I41,"")</f>
        <v/>
      </c>
      <c r="O243" s="39" t="str">
        <f>IFERROR(final!Z41*100/final!$I41,"")</f>
        <v/>
      </c>
      <c r="P243" s="39" t="str">
        <f>IFERROR(final!AA41*100/final!$I41,"")</f>
        <v/>
      </c>
      <c r="Q243" s="39" t="str">
        <f>IFERROR(final!AB41*100/final!$I41,"")</f>
        <v/>
      </c>
      <c r="R243" s="39" t="str">
        <f>IFERROR(final!AC41*100/final!$I41,"")</f>
        <v/>
      </c>
      <c r="S243" s="39" t="str">
        <f>IFERROR(final!AD41*100/final!$I41,"")</f>
        <v/>
      </c>
      <c r="T243" s="39" t="str">
        <f>IFERROR(final!AE41*100/final!$I41,"")</f>
        <v/>
      </c>
      <c r="U243" s="39" t="str">
        <f>IFERROR(final!AF41*100/final!$I41,"")</f>
        <v/>
      </c>
      <c r="V243" s="39" t="str">
        <f>IFERROR(final!AG41*100/final!$I41,"")</f>
        <v/>
      </c>
      <c r="W243" s="39" t="str">
        <f>IFERROR(final!AH41*100/final!$I41,"")</f>
        <v/>
      </c>
      <c r="X243" s="39" t="str">
        <f>IFERROR(final!AI41*100/final!$I41,"")</f>
        <v/>
      </c>
      <c r="Y243" s="39" t="str">
        <f>IFERROR(final!AJ41*100/final!$I41,"")</f>
        <v/>
      </c>
      <c r="Z243" s="39" t="str">
        <f>IFERROR(final!AK41*100/final!$I41,"")</f>
        <v/>
      </c>
      <c r="AA243" s="39" t="str">
        <f>IFERROR(final!AL41*100/final!$I41,"")</f>
        <v/>
      </c>
      <c r="AB243" s="39" t="str">
        <f>IFERROR(final!AM41*100/final!$I41,"")</f>
        <v/>
      </c>
      <c r="AC243" s="39" t="str">
        <f>IFERROR(final!AN41*100/final!$I41,"")</f>
        <v/>
      </c>
      <c r="AD243" s="39" t="str">
        <f>IFERROR(final!AO41*100/final!$I41,"")</f>
        <v/>
      </c>
      <c r="AE243" s="39" t="str">
        <f>IFERROR(final!AP41*100/final!$I41,"")</f>
        <v/>
      </c>
      <c r="AF243" s="39" t="str">
        <f>IFERROR(final!AQ41*100/final!$I41,"")</f>
        <v/>
      </c>
      <c r="AG243" s="39" t="str">
        <f>IFERROR(final!AR41*100/final!$I41,"")</f>
        <v/>
      </c>
      <c r="AH243" s="39" t="str">
        <f>IFERROR(final!AS41*100/final!$I41,"")</f>
        <v/>
      </c>
      <c r="AI243" s="39" t="str">
        <f>IFERROR(final!AT41*100/final!$I41,"")</f>
        <v/>
      </c>
      <c r="AJ243" s="39" t="str">
        <f>IFERROR(final!AU41*100/final!$I41,"")</f>
        <v/>
      </c>
      <c r="AK243" s="39" t="str">
        <f>IFERROR(final!AV41*100/final!$I41,"")</f>
        <v/>
      </c>
      <c r="AL243" s="39" t="str">
        <f>IFERROR(final!AW41*100/final!$I41,"")</f>
        <v/>
      </c>
      <c r="AM243" s="39" t="str">
        <f>IFERROR(final!AX41*100/final!$I41,"")</f>
        <v/>
      </c>
      <c r="AN243" s="39" t="str">
        <f>IFERROR(final!AY41*100/final!$I41,"")</f>
        <v/>
      </c>
      <c r="AO243" s="39" t="str">
        <f>IFERROR(final!AZ41*100/final!$I41,"")</f>
        <v/>
      </c>
      <c r="AP243" s="39" t="str">
        <f>IFERROR(final!BA41*100/final!$I41,"")</f>
        <v/>
      </c>
      <c r="AQ243" s="39" t="str">
        <f>IFERROR(final!BB41*100/final!$I41,"")</f>
        <v/>
      </c>
      <c r="AR243" s="39" t="str">
        <f>IFERROR(final!BC41*100/final!$I41,"")</f>
        <v/>
      </c>
      <c r="AS243" s="39" t="str">
        <f>IFERROR(final!BD41*100/final!$I41,"")</f>
        <v/>
      </c>
      <c r="AT243" s="39" t="str">
        <f>IFERROR(final!BE41*100/final!$I41,"")</f>
        <v/>
      </c>
      <c r="AU243" s="39" t="str">
        <f>IFERROR(final!BF41*100/final!$I41,"")</f>
        <v/>
      </c>
      <c r="AV243" s="39" t="str">
        <f>IFERROR(final!BG41*100/final!$I41,"")</f>
        <v/>
      </c>
      <c r="AW243" s="39" t="str">
        <f>IFERROR(final!BH41*100/final!$I41,"")</f>
        <v/>
      </c>
      <c r="AX243" s="39" t="str">
        <f>IFERROR(final!BI41*100/final!$I41,"")</f>
        <v/>
      </c>
      <c r="AY243" s="39" t="str">
        <f>IFERROR(final!BJ41*100/final!$I41,"")</f>
        <v/>
      </c>
      <c r="AZ243" s="39" t="str">
        <f>IFERROR(final!BK41*100/final!$I41,"")</f>
        <v/>
      </c>
      <c r="BA243" s="39" t="str">
        <f>IFERROR(final!BL41*100/final!$I41,"")</f>
        <v/>
      </c>
      <c r="BB243" s="39" t="str">
        <f>IFERROR(final!BM41*100/final!$I41,"")</f>
        <v/>
      </c>
      <c r="BC243" s="39" t="str">
        <f>IFERROR(final!BN41*100/final!$I41,"")</f>
        <v/>
      </c>
      <c r="BD243" s="39" t="str">
        <f>IFERROR(final!BO41*100/final!$I41,"")</f>
        <v/>
      </c>
      <c r="BE243" s="39" t="str">
        <f>IFERROR(final!BP41*100/final!$I41,"")</f>
        <v/>
      </c>
      <c r="BF243" s="39" t="str">
        <f>IFERROR(final!BQ41*100/final!$I41,"")</f>
        <v/>
      </c>
      <c r="BG243" s="39" t="str">
        <f>IFERROR(final!BR41*100/final!$I41,"")</f>
        <v/>
      </c>
      <c r="BH243" s="39" t="str">
        <f>IFERROR(final!BS41*100/final!$I41,"")</f>
        <v/>
      </c>
      <c r="BI243" s="39" t="str">
        <f>IFERROR(final!BT41*100/final!$I41,"")</f>
        <v/>
      </c>
      <c r="BJ243" s="39" t="str">
        <f>IFERROR(final!BU41*100/final!$I41,"")</f>
        <v/>
      </c>
      <c r="BK243" s="39" t="str">
        <f>IFERROR(final!BV41*100/final!$I41,"")</f>
        <v/>
      </c>
      <c r="BL243" s="39" t="str">
        <f>IFERROR(final!BW41*100/final!$I41,"")</f>
        <v/>
      </c>
      <c r="BM243" s="39" t="str">
        <f>IFERROR(final!BX41*100/final!$I41,"")</f>
        <v/>
      </c>
      <c r="BN243" s="39" t="str">
        <f>IFERROR(final!BY41*100/final!$I41,"")</f>
        <v/>
      </c>
      <c r="BO243" s="39" t="str">
        <f>IFERROR(final!BZ41*100/final!$I41,"")</f>
        <v/>
      </c>
      <c r="BP243" s="39" t="str">
        <f>IFERROR(final!CA41*100/final!$I41,"")</f>
        <v/>
      </c>
      <c r="BQ243" s="39" t="str">
        <f>IFERROR(final!CB41*100/final!$I41,"")</f>
        <v/>
      </c>
      <c r="BR243" s="39" t="str">
        <f>IFERROR(final!CC41*100/final!$I41,"")</f>
        <v/>
      </c>
      <c r="BS243" s="39" t="str">
        <f>IFERROR(final!CD41*100/final!$I41,"")</f>
        <v/>
      </c>
      <c r="BT243" s="39" t="str">
        <f>IFERROR(final!CE41*100/final!$I41,"")</f>
        <v/>
      </c>
      <c r="BU243" s="39" t="str">
        <f>IFERROR(final!CF41*100/final!$I41,"")</f>
        <v/>
      </c>
      <c r="BV243" s="39" t="str">
        <f>IFERROR(final!CG41*100/final!$I41,"")</f>
        <v/>
      </c>
      <c r="BW243" s="39" t="str">
        <f>IFERROR(final!CH41*100/final!$I41,"")</f>
        <v/>
      </c>
      <c r="BX243" s="39" t="str">
        <f>IFERROR(final!CI41*100/final!$I41,"")</f>
        <v/>
      </c>
      <c r="BY243" s="39" t="str">
        <f>IFERROR(final!CJ41*100/final!$I41,"")</f>
        <v/>
      </c>
      <c r="BZ243" s="39" t="str">
        <f>IFERROR(final!CK41*100/final!$I41,"")</f>
        <v/>
      </c>
      <c r="CA243" s="39" t="str">
        <f>IFERROR(final!CL41*100/final!$I41,"")</f>
        <v/>
      </c>
      <c r="CB243" s="39" t="str">
        <f>IFERROR(final!CM41*100/final!$I41,"")</f>
        <v/>
      </c>
      <c r="CC243" s="39" t="str">
        <f>IFERROR(final!CN41*100/final!$I41,"")</f>
        <v/>
      </c>
      <c r="CD243" s="39" t="str">
        <f>IFERROR(final!CO41*100/final!$I41,"")</f>
        <v/>
      </c>
      <c r="CE243" s="39" t="str">
        <f>IFERROR(final!CP41*100/final!$I41,"")</f>
        <v/>
      </c>
      <c r="CF243" s="39" t="str">
        <f>IFERROR(final!CQ41*100/final!$I41,"")</f>
        <v/>
      </c>
      <c r="CG243" s="39" t="str">
        <f>IFERROR(final!CR41*100/final!$I41,"")</f>
        <v/>
      </c>
      <c r="CH243" s="39" t="str">
        <f>IFERROR(final!CS41*100/final!$I41,"")</f>
        <v/>
      </c>
      <c r="CI243" s="39" t="str">
        <f>IFERROR(final!CT41*100/final!$I41,"")</f>
        <v/>
      </c>
      <c r="CJ243" s="39" t="str">
        <f>IFERROR(final!CU41*100/final!$I41,"")</f>
        <v/>
      </c>
      <c r="CK243" s="39" t="str">
        <f>IFERROR(final!CV41*100/final!$I41,"")</f>
        <v/>
      </c>
      <c r="CL243" s="39" t="str">
        <f>IFERROR(final!CW41*100/final!$I41,"")</f>
        <v/>
      </c>
      <c r="CM243" s="39" t="str">
        <f>IFERROR(final!CX41*100/final!$I41,"")</f>
        <v/>
      </c>
      <c r="CN243" s="39" t="str">
        <f>IFERROR(final!CY41*100/final!$I41,"")</f>
        <v/>
      </c>
      <c r="CO243" s="39" t="str">
        <f>IFERROR(final!CZ41*100/final!$I41,"")</f>
        <v/>
      </c>
      <c r="CP243" s="39" t="str">
        <f>IFERROR(final!DA41*100/final!$I41,"")</f>
        <v/>
      </c>
      <c r="CQ243" s="39" t="str">
        <f>IFERROR(final!DB41*100/final!$I41,"")</f>
        <v/>
      </c>
      <c r="CR243" s="39" t="str">
        <f>IFERROR(final!DC41*100/final!$I41,"")</f>
        <v/>
      </c>
      <c r="CS243" s="39" t="str">
        <f>IFERROR(final!DD41*100/final!$I41,"")</f>
        <v/>
      </c>
      <c r="CT243" s="39" t="str">
        <f>IFERROR(final!DE41*100/final!$I41,"")</f>
        <v/>
      </c>
      <c r="CU243" s="39" t="str">
        <f>IFERROR(final!DF41*100/final!$I41,"")</f>
        <v/>
      </c>
      <c r="CV243" s="39" t="str">
        <f>IFERROR(final!DG41*100/final!$I41,"")</f>
        <v/>
      </c>
      <c r="CW243" s="32" t="str">
        <f>IFERROR(SUM(A243:CV243)/final!$DH$103,"")</f>
        <v/>
      </c>
      <c r="CX243" s="14" t="str">
        <f>IF(COUNTA(final!A41),final!A41,"")</f>
        <v/>
      </c>
      <c r="CY243" s="14" t="str">
        <f>IF(COUNTA(final!B41),final!B41,"")</f>
        <v/>
      </c>
      <c r="CZ243" s="14" t="str">
        <f>IF(COUNTA(final!C41),final!C41,"")</f>
        <v/>
      </c>
      <c r="DA243" s="14" t="str">
        <f>IF(COUNTA(final!D41),final!D41,"")</f>
        <v/>
      </c>
      <c r="DB243" s="14" t="str">
        <f>IF(COUNTA(final!E41),final!E41,"")</f>
        <v/>
      </c>
      <c r="DC243" s="14" t="str">
        <f>IF(COUNTA(final!F41),final!F41,"")</f>
        <v/>
      </c>
      <c r="DD243" s="14" t="str">
        <f>IF(COUNTA(final!G41),final!G41,"")</f>
        <v/>
      </c>
      <c r="DE243" s="14" t="str">
        <f>IF(COUNTA(final!H41),final!H41,"")</f>
        <v/>
      </c>
    </row>
    <row r="244" spans="1:109" x14ac:dyDescent="0.2">
      <c r="A244" s="39" t="str">
        <f>IFERROR(final!L42*100/final!$I42,"")</f>
        <v/>
      </c>
      <c r="B244" s="39" t="str">
        <f>IFERROR(final!M42*100/final!$I42,"")</f>
        <v/>
      </c>
      <c r="C244" s="39" t="str">
        <f>IFERROR(final!N42*100/final!$I42,"")</f>
        <v/>
      </c>
      <c r="D244" s="39" t="str">
        <f>IFERROR(final!O42*100/final!$I42,"")</f>
        <v/>
      </c>
      <c r="E244" s="39" t="str">
        <f>IFERROR(final!P42*100/final!$I42,"")</f>
        <v/>
      </c>
      <c r="F244" s="39" t="str">
        <f>IFERROR(final!Q42*100/final!$I42,"")</f>
        <v/>
      </c>
      <c r="G244" s="39" t="str">
        <f>IFERROR(final!R42*100/final!$I42,"")</f>
        <v/>
      </c>
      <c r="H244" s="39" t="str">
        <f>IFERROR(final!S42*100/final!$I42,"")</f>
        <v/>
      </c>
      <c r="I244" s="39" t="str">
        <f>IFERROR(final!T42*100/final!$I42,"")</f>
        <v/>
      </c>
      <c r="J244" s="39" t="str">
        <f>IFERROR(final!U42*100/final!$I42,"")</f>
        <v/>
      </c>
      <c r="K244" s="39" t="str">
        <f>IFERROR(final!V42*100/final!$I42,"")</f>
        <v/>
      </c>
      <c r="L244" s="39" t="str">
        <f>IFERROR(final!W42*100/final!$I42,"")</f>
        <v/>
      </c>
      <c r="M244" s="39" t="str">
        <f>IFERROR(final!X42*100/final!$I42,"")</f>
        <v/>
      </c>
      <c r="N244" s="39" t="str">
        <f>IFERROR(final!Y42*100/final!$I42,"")</f>
        <v/>
      </c>
      <c r="O244" s="39" t="str">
        <f>IFERROR(final!Z42*100/final!$I42,"")</f>
        <v/>
      </c>
      <c r="P244" s="39" t="str">
        <f>IFERROR(final!AA42*100/final!$I42,"")</f>
        <v/>
      </c>
      <c r="Q244" s="39" t="str">
        <f>IFERROR(final!AB42*100/final!$I42,"")</f>
        <v/>
      </c>
      <c r="R244" s="39" t="str">
        <f>IFERROR(final!AC42*100/final!$I42,"")</f>
        <v/>
      </c>
      <c r="S244" s="39" t="str">
        <f>IFERROR(final!AD42*100/final!$I42,"")</f>
        <v/>
      </c>
      <c r="T244" s="39" t="str">
        <f>IFERROR(final!AE42*100/final!$I42,"")</f>
        <v/>
      </c>
      <c r="U244" s="39" t="str">
        <f>IFERROR(final!AF42*100/final!$I42,"")</f>
        <v/>
      </c>
      <c r="V244" s="39" t="str">
        <f>IFERROR(final!AG42*100/final!$I42,"")</f>
        <v/>
      </c>
      <c r="W244" s="39" t="str">
        <f>IFERROR(final!AH42*100/final!$I42,"")</f>
        <v/>
      </c>
      <c r="X244" s="39" t="str">
        <f>IFERROR(final!AI42*100/final!$I42,"")</f>
        <v/>
      </c>
      <c r="Y244" s="39" t="str">
        <f>IFERROR(final!AJ42*100/final!$I42,"")</f>
        <v/>
      </c>
      <c r="Z244" s="39" t="str">
        <f>IFERROR(final!AK42*100/final!$I42,"")</f>
        <v/>
      </c>
      <c r="AA244" s="39" t="str">
        <f>IFERROR(final!AL42*100/final!$I42,"")</f>
        <v/>
      </c>
      <c r="AB244" s="39" t="str">
        <f>IFERROR(final!AM42*100/final!$I42,"")</f>
        <v/>
      </c>
      <c r="AC244" s="39" t="str">
        <f>IFERROR(final!AN42*100/final!$I42,"")</f>
        <v/>
      </c>
      <c r="AD244" s="39" t="str">
        <f>IFERROR(final!AO42*100/final!$I42,"")</f>
        <v/>
      </c>
      <c r="AE244" s="39" t="str">
        <f>IFERROR(final!AP42*100/final!$I42,"")</f>
        <v/>
      </c>
      <c r="AF244" s="39" t="str">
        <f>IFERROR(final!AQ42*100/final!$I42,"")</f>
        <v/>
      </c>
      <c r="AG244" s="39" t="str">
        <f>IFERROR(final!AR42*100/final!$I42,"")</f>
        <v/>
      </c>
      <c r="AH244" s="39" t="str">
        <f>IFERROR(final!AS42*100/final!$I42,"")</f>
        <v/>
      </c>
      <c r="AI244" s="39" t="str">
        <f>IFERROR(final!AT42*100/final!$I42,"")</f>
        <v/>
      </c>
      <c r="AJ244" s="39" t="str">
        <f>IFERROR(final!AU42*100/final!$I42,"")</f>
        <v/>
      </c>
      <c r="AK244" s="39" t="str">
        <f>IFERROR(final!AV42*100/final!$I42,"")</f>
        <v/>
      </c>
      <c r="AL244" s="39" t="str">
        <f>IFERROR(final!AW42*100/final!$I42,"")</f>
        <v/>
      </c>
      <c r="AM244" s="39" t="str">
        <f>IFERROR(final!AX42*100/final!$I42,"")</f>
        <v/>
      </c>
      <c r="AN244" s="39" t="str">
        <f>IFERROR(final!AY42*100/final!$I42,"")</f>
        <v/>
      </c>
      <c r="AO244" s="39" t="str">
        <f>IFERROR(final!AZ42*100/final!$I42,"")</f>
        <v/>
      </c>
      <c r="AP244" s="39" t="str">
        <f>IFERROR(final!BA42*100/final!$I42,"")</f>
        <v/>
      </c>
      <c r="AQ244" s="39" t="str">
        <f>IFERROR(final!BB42*100/final!$I42,"")</f>
        <v/>
      </c>
      <c r="AR244" s="39" t="str">
        <f>IFERROR(final!BC42*100/final!$I42,"")</f>
        <v/>
      </c>
      <c r="AS244" s="39" t="str">
        <f>IFERROR(final!BD42*100/final!$I42,"")</f>
        <v/>
      </c>
      <c r="AT244" s="39" t="str">
        <f>IFERROR(final!BE42*100/final!$I42,"")</f>
        <v/>
      </c>
      <c r="AU244" s="39" t="str">
        <f>IFERROR(final!BF42*100/final!$I42,"")</f>
        <v/>
      </c>
      <c r="AV244" s="39" t="str">
        <f>IFERROR(final!BG42*100/final!$I42,"")</f>
        <v/>
      </c>
      <c r="AW244" s="39" t="str">
        <f>IFERROR(final!BH42*100/final!$I42,"")</f>
        <v/>
      </c>
      <c r="AX244" s="39" t="str">
        <f>IFERROR(final!BI42*100/final!$I42,"")</f>
        <v/>
      </c>
      <c r="AY244" s="39" t="str">
        <f>IFERROR(final!BJ42*100/final!$I42,"")</f>
        <v/>
      </c>
      <c r="AZ244" s="39" t="str">
        <f>IFERROR(final!BK42*100/final!$I42,"")</f>
        <v/>
      </c>
      <c r="BA244" s="39" t="str">
        <f>IFERROR(final!BL42*100/final!$I42,"")</f>
        <v/>
      </c>
      <c r="BB244" s="39" t="str">
        <f>IFERROR(final!BM42*100/final!$I42,"")</f>
        <v/>
      </c>
      <c r="BC244" s="39" t="str">
        <f>IFERROR(final!BN42*100/final!$I42,"")</f>
        <v/>
      </c>
      <c r="BD244" s="39" t="str">
        <f>IFERROR(final!BO42*100/final!$I42,"")</f>
        <v/>
      </c>
      <c r="BE244" s="39" t="str">
        <f>IFERROR(final!BP42*100/final!$I42,"")</f>
        <v/>
      </c>
      <c r="BF244" s="39" t="str">
        <f>IFERROR(final!BQ42*100/final!$I42,"")</f>
        <v/>
      </c>
      <c r="BG244" s="39" t="str">
        <f>IFERROR(final!BR42*100/final!$I42,"")</f>
        <v/>
      </c>
      <c r="BH244" s="39" t="str">
        <f>IFERROR(final!BS42*100/final!$I42,"")</f>
        <v/>
      </c>
      <c r="BI244" s="39" t="str">
        <f>IFERROR(final!BT42*100/final!$I42,"")</f>
        <v/>
      </c>
      <c r="BJ244" s="39" t="str">
        <f>IFERROR(final!BU42*100/final!$I42,"")</f>
        <v/>
      </c>
      <c r="BK244" s="39" t="str">
        <f>IFERROR(final!BV42*100/final!$I42,"")</f>
        <v/>
      </c>
      <c r="BL244" s="39" t="str">
        <f>IFERROR(final!BW42*100/final!$I42,"")</f>
        <v/>
      </c>
      <c r="BM244" s="39" t="str">
        <f>IFERROR(final!BX42*100/final!$I42,"")</f>
        <v/>
      </c>
      <c r="BN244" s="39" t="str">
        <f>IFERROR(final!BY42*100/final!$I42,"")</f>
        <v/>
      </c>
      <c r="BO244" s="39" t="str">
        <f>IFERROR(final!BZ42*100/final!$I42,"")</f>
        <v/>
      </c>
      <c r="BP244" s="39" t="str">
        <f>IFERROR(final!CA42*100/final!$I42,"")</f>
        <v/>
      </c>
      <c r="BQ244" s="39" t="str">
        <f>IFERROR(final!CB42*100/final!$I42,"")</f>
        <v/>
      </c>
      <c r="BR244" s="39" t="str">
        <f>IFERROR(final!CC42*100/final!$I42,"")</f>
        <v/>
      </c>
      <c r="BS244" s="39" t="str">
        <f>IFERROR(final!CD42*100/final!$I42,"")</f>
        <v/>
      </c>
      <c r="BT244" s="39" t="str">
        <f>IFERROR(final!CE42*100/final!$I42,"")</f>
        <v/>
      </c>
      <c r="BU244" s="39" t="str">
        <f>IFERROR(final!CF42*100/final!$I42,"")</f>
        <v/>
      </c>
      <c r="BV244" s="39" t="str">
        <f>IFERROR(final!CG42*100/final!$I42,"")</f>
        <v/>
      </c>
      <c r="BW244" s="39" t="str">
        <f>IFERROR(final!CH42*100/final!$I42,"")</f>
        <v/>
      </c>
      <c r="BX244" s="39" t="str">
        <f>IFERROR(final!CI42*100/final!$I42,"")</f>
        <v/>
      </c>
      <c r="BY244" s="39" t="str">
        <f>IFERROR(final!CJ42*100/final!$I42,"")</f>
        <v/>
      </c>
      <c r="BZ244" s="39" t="str">
        <f>IFERROR(final!CK42*100/final!$I42,"")</f>
        <v/>
      </c>
      <c r="CA244" s="39" t="str">
        <f>IFERROR(final!CL42*100/final!$I42,"")</f>
        <v/>
      </c>
      <c r="CB244" s="39" t="str">
        <f>IFERROR(final!CM42*100/final!$I42,"")</f>
        <v/>
      </c>
      <c r="CC244" s="39" t="str">
        <f>IFERROR(final!CN42*100/final!$I42,"")</f>
        <v/>
      </c>
      <c r="CD244" s="39" t="str">
        <f>IFERROR(final!CO42*100/final!$I42,"")</f>
        <v/>
      </c>
      <c r="CE244" s="39" t="str">
        <f>IFERROR(final!CP42*100/final!$I42,"")</f>
        <v/>
      </c>
      <c r="CF244" s="39" t="str">
        <f>IFERROR(final!CQ42*100/final!$I42,"")</f>
        <v/>
      </c>
      <c r="CG244" s="39" t="str">
        <f>IFERROR(final!CR42*100/final!$I42,"")</f>
        <v/>
      </c>
      <c r="CH244" s="39" t="str">
        <f>IFERROR(final!CS42*100/final!$I42,"")</f>
        <v/>
      </c>
      <c r="CI244" s="39" t="str">
        <f>IFERROR(final!CT42*100/final!$I42,"")</f>
        <v/>
      </c>
      <c r="CJ244" s="39" t="str">
        <f>IFERROR(final!CU42*100/final!$I42,"")</f>
        <v/>
      </c>
      <c r="CK244" s="39" t="str">
        <f>IFERROR(final!CV42*100/final!$I42,"")</f>
        <v/>
      </c>
      <c r="CL244" s="39" t="str">
        <f>IFERROR(final!CW42*100/final!$I42,"")</f>
        <v/>
      </c>
      <c r="CM244" s="39" t="str">
        <f>IFERROR(final!CX42*100/final!$I42,"")</f>
        <v/>
      </c>
      <c r="CN244" s="39" t="str">
        <f>IFERROR(final!CY42*100/final!$I42,"")</f>
        <v/>
      </c>
      <c r="CO244" s="39" t="str">
        <f>IFERROR(final!CZ42*100/final!$I42,"")</f>
        <v/>
      </c>
      <c r="CP244" s="39" t="str">
        <f>IFERROR(final!DA42*100/final!$I42,"")</f>
        <v/>
      </c>
      <c r="CQ244" s="39" t="str">
        <f>IFERROR(final!DB42*100/final!$I42,"")</f>
        <v/>
      </c>
      <c r="CR244" s="39" t="str">
        <f>IFERROR(final!DC42*100/final!$I42,"")</f>
        <v/>
      </c>
      <c r="CS244" s="39" t="str">
        <f>IFERROR(final!DD42*100/final!$I42,"")</f>
        <v/>
      </c>
      <c r="CT244" s="39" t="str">
        <f>IFERROR(final!DE42*100/final!$I42,"")</f>
        <v/>
      </c>
      <c r="CU244" s="39" t="str">
        <f>IFERROR(final!DF42*100/final!$I42,"")</f>
        <v/>
      </c>
      <c r="CV244" s="39" t="str">
        <f>IFERROR(final!DG42*100/final!$I42,"")</f>
        <v/>
      </c>
      <c r="CW244" s="32" t="str">
        <f>IFERROR(SUM(A244:CV244)/final!$DH$103,"")</f>
        <v/>
      </c>
      <c r="CX244" s="14" t="str">
        <f>IF(COUNTA(final!A42),final!A42,"")</f>
        <v/>
      </c>
      <c r="CY244" s="14" t="str">
        <f>IF(COUNTA(final!B42),final!B42,"")</f>
        <v/>
      </c>
      <c r="CZ244" s="14" t="str">
        <f>IF(COUNTA(final!C42),final!C42,"")</f>
        <v/>
      </c>
      <c r="DA244" s="14" t="str">
        <f>IF(COUNTA(final!D42),final!D42,"")</f>
        <v/>
      </c>
      <c r="DB244" s="14" t="str">
        <f>IF(COUNTA(final!E42),final!E42,"")</f>
        <v/>
      </c>
      <c r="DC244" s="14" t="str">
        <f>IF(COUNTA(final!F42),final!F42,"")</f>
        <v/>
      </c>
      <c r="DD244" s="14" t="str">
        <f>IF(COUNTA(final!G42),final!G42,"")</f>
        <v/>
      </c>
      <c r="DE244" s="14" t="str">
        <f>IF(COUNTA(final!H42),final!H42,"")</f>
        <v/>
      </c>
    </row>
    <row r="245" spans="1:109" x14ac:dyDescent="0.2">
      <c r="A245" s="39" t="str">
        <f>IFERROR(final!L43*100/final!$I43,"")</f>
        <v/>
      </c>
      <c r="B245" s="39" t="str">
        <f>IFERROR(final!M43*100/final!$I43,"")</f>
        <v/>
      </c>
      <c r="C245" s="39" t="str">
        <f>IFERROR(final!N43*100/final!$I43,"")</f>
        <v/>
      </c>
      <c r="D245" s="39" t="str">
        <f>IFERROR(final!O43*100/final!$I43,"")</f>
        <v/>
      </c>
      <c r="E245" s="39" t="str">
        <f>IFERROR(final!P43*100/final!$I43,"")</f>
        <v/>
      </c>
      <c r="F245" s="39" t="str">
        <f>IFERROR(final!Q43*100/final!$I43,"")</f>
        <v/>
      </c>
      <c r="G245" s="39" t="str">
        <f>IFERROR(final!R43*100/final!$I43,"")</f>
        <v/>
      </c>
      <c r="H245" s="39" t="str">
        <f>IFERROR(final!S43*100/final!$I43,"")</f>
        <v/>
      </c>
      <c r="I245" s="39" t="str">
        <f>IFERROR(final!T43*100/final!$I43,"")</f>
        <v/>
      </c>
      <c r="J245" s="39" t="str">
        <f>IFERROR(final!U43*100/final!$I43,"")</f>
        <v/>
      </c>
      <c r="K245" s="39" t="str">
        <f>IFERROR(final!V43*100/final!$I43,"")</f>
        <v/>
      </c>
      <c r="L245" s="39" t="str">
        <f>IFERROR(final!W43*100/final!$I43,"")</f>
        <v/>
      </c>
      <c r="M245" s="39" t="str">
        <f>IFERROR(final!X43*100/final!$I43,"")</f>
        <v/>
      </c>
      <c r="N245" s="39" t="str">
        <f>IFERROR(final!Y43*100/final!$I43,"")</f>
        <v/>
      </c>
      <c r="O245" s="39" t="str">
        <f>IFERROR(final!Z43*100/final!$I43,"")</f>
        <v/>
      </c>
      <c r="P245" s="39" t="str">
        <f>IFERROR(final!AA43*100/final!$I43,"")</f>
        <v/>
      </c>
      <c r="Q245" s="39" t="str">
        <f>IFERROR(final!AB43*100/final!$I43,"")</f>
        <v/>
      </c>
      <c r="R245" s="39" t="str">
        <f>IFERROR(final!AC43*100/final!$I43,"")</f>
        <v/>
      </c>
      <c r="S245" s="39" t="str">
        <f>IFERROR(final!AD43*100/final!$I43,"")</f>
        <v/>
      </c>
      <c r="T245" s="39" t="str">
        <f>IFERROR(final!AE43*100/final!$I43,"")</f>
        <v/>
      </c>
      <c r="U245" s="39" t="str">
        <f>IFERROR(final!AF43*100/final!$I43,"")</f>
        <v/>
      </c>
      <c r="V245" s="39" t="str">
        <f>IFERROR(final!AG43*100/final!$I43,"")</f>
        <v/>
      </c>
      <c r="W245" s="39" t="str">
        <f>IFERROR(final!AH43*100/final!$I43,"")</f>
        <v/>
      </c>
      <c r="X245" s="39" t="str">
        <f>IFERROR(final!AI43*100/final!$I43,"")</f>
        <v/>
      </c>
      <c r="Y245" s="39" t="str">
        <f>IFERROR(final!AJ43*100/final!$I43,"")</f>
        <v/>
      </c>
      <c r="Z245" s="39" t="str">
        <f>IFERROR(final!AK43*100/final!$I43,"")</f>
        <v/>
      </c>
      <c r="AA245" s="39" t="str">
        <f>IFERROR(final!AL43*100/final!$I43,"")</f>
        <v/>
      </c>
      <c r="AB245" s="39" t="str">
        <f>IFERROR(final!AM43*100/final!$I43,"")</f>
        <v/>
      </c>
      <c r="AC245" s="39" t="str">
        <f>IFERROR(final!AN43*100/final!$I43,"")</f>
        <v/>
      </c>
      <c r="AD245" s="39" t="str">
        <f>IFERROR(final!AO43*100/final!$I43,"")</f>
        <v/>
      </c>
      <c r="AE245" s="39" t="str">
        <f>IFERROR(final!AP43*100/final!$I43,"")</f>
        <v/>
      </c>
      <c r="AF245" s="39" t="str">
        <f>IFERROR(final!AQ43*100/final!$I43,"")</f>
        <v/>
      </c>
      <c r="AG245" s="39" t="str">
        <f>IFERROR(final!AR43*100/final!$I43,"")</f>
        <v/>
      </c>
      <c r="AH245" s="39" t="str">
        <f>IFERROR(final!AS43*100/final!$I43,"")</f>
        <v/>
      </c>
      <c r="AI245" s="39" t="str">
        <f>IFERROR(final!AT43*100/final!$I43,"")</f>
        <v/>
      </c>
      <c r="AJ245" s="39" t="str">
        <f>IFERROR(final!AU43*100/final!$I43,"")</f>
        <v/>
      </c>
      <c r="AK245" s="39" t="str">
        <f>IFERROR(final!AV43*100/final!$I43,"")</f>
        <v/>
      </c>
      <c r="AL245" s="39" t="str">
        <f>IFERROR(final!AW43*100/final!$I43,"")</f>
        <v/>
      </c>
      <c r="AM245" s="39" t="str">
        <f>IFERROR(final!AX43*100/final!$I43,"")</f>
        <v/>
      </c>
      <c r="AN245" s="39" t="str">
        <f>IFERROR(final!AY43*100/final!$I43,"")</f>
        <v/>
      </c>
      <c r="AO245" s="39" t="str">
        <f>IFERROR(final!AZ43*100/final!$I43,"")</f>
        <v/>
      </c>
      <c r="AP245" s="39" t="str">
        <f>IFERROR(final!BA43*100/final!$I43,"")</f>
        <v/>
      </c>
      <c r="AQ245" s="39" t="str">
        <f>IFERROR(final!BB43*100/final!$I43,"")</f>
        <v/>
      </c>
      <c r="AR245" s="39" t="str">
        <f>IFERROR(final!BC43*100/final!$I43,"")</f>
        <v/>
      </c>
      <c r="AS245" s="39" t="str">
        <f>IFERROR(final!BD43*100/final!$I43,"")</f>
        <v/>
      </c>
      <c r="AT245" s="39" t="str">
        <f>IFERROR(final!BE43*100/final!$I43,"")</f>
        <v/>
      </c>
      <c r="AU245" s="39" t="str">
        <f>IFERROR(final!BF43*100/final!$I43,"")</f>
        <v/>
      </c>
      <c r="AV245" s="39" t="str">
        <f>IFERROR(final!BG43*100/final!$I43,"")</f>
        <v/>
      </c>
      <c r="AW245" s="39" t="str">
        <f>IFERROR(final!BH43*100/final!$I43,"")</f>
        <v/>
      </c>
      <c r="AX245" s="39" t="str">
        <f>IFERROR(final!BI43*100/final!$I43,"")</f>
        <v/>
      </c>
      <c r="AY245" s="39" t="str">
        <f>IFERROR(final!BJ43*100/final!$I43,"")</f>
        <v/>
      </c>
      <c r="AZ245" s="39" t="str">
        <f>IFERROR(final!BK43*100/final!$I43,"")</f>
        <v/>
      </c>
      <c r="BA245" s="39" t="str">
        <f>IFERROR(final!BL43*100/final!$I43,"")</f>
        <v/>
      </c>
      <c r="BB245" s="39" t="str">
        <f>IFERROR(final!BM43*100/final!$I43,"")</f>
        <v/>
      </c>
      <c r="BC245" s="39" t="str">
        <f>IFERROR(final!BN43*100/final!$I43,"")</f>
        <v/>
      </c>
      <c r="BD245" s="39" t="str">
        <f>IFERROR(final!BO43*100/final!$I43,"")</f>
        <v/>
      </c>
      <c r="BE245" s="39" t="str">
        <f>IFERROR(final!BP43*100/final!$I43,"")</f>
        <v/>
      </c>
      <c r="BF245" s="39" t="str">
        <f>IFERROR(final!BQ43*100/final!$I43,"")</f>
        <v/>
      </c>
      <c r="BG245" s="39" t="str">
        <f>IFERROR(final!BR43*100/final!$I43,"")</f>
        <v/>
      </c>
      <c r="BH245" s="39" t="str">
        <f>IFERROR(final!BS43*100/final!$I43,"")</f>
        <v/>
      </c>
      <c r="BI245" s="39" t="str">
        <f>IFERROR(final!BT43*100/final!$I43,"")</f>
        <v/>
      </c>
      <c r="BJ245" s="39" t="str">
        <f>IFERROR(final!BU43*100/final!$I43,"")</f>
        <v/>
      </c>
      <c r="BK245" s="39" t="str">
        <f>IFERROR(final!BV43*100/final!$I43,"")</f>
        <v/>
      </c>
      <c r="BL245" s="39" t="str">
        <f>IFERROR(final!BW43*100/final!$I43,"")</f>
        <v/>
      </c>
      <c r="BM245" s="39" t="str">
        <f>IFERROR(final!BX43*100/final!$I43,"")</f>
        <v/>
      </c>
      <c r="BN245" s="39" t="str">
        <f>IFERROR(final!BY43*100/final!$I43,"")</f>
        <v/>
      </c>
      <c r="BO245" s="39" t="str">
        <f>IFERROR(final!BZ43*100/final!$I43,"")</f>
        <v/>
      </c>
      <c r="BP245" s="39" t="str">
        <f>IFERROR(final!CA43*100/final!$I43,"")</f>
        <v/>
      </c>
      <c r="BQ245" s="39" t="str">
        <f>IFERROR(final!CB43*100/final!$I43,"")</f>
        <v/>
      </c>
      <c r="BR245" s="39" t="str">
        <f>IFERROR(final!CC43*100/final!$I43,"")</f>
        <v/>
      </c>
      <c r="BS245" s="39" t="str">
        <f>IFERROR(final!CD43*100/final!$I43,"")</f>
        <v/>
      </c>
      <c r="BT245" s="39" t="str">
        <f>IFERROR(final!CE43*100/final!$I43,"")</f>
        <v/>
      </c>
      <c r="BU245" s="39" t="str">
        <f>IFERROR(final!CF43*100/final!$I43,"")</f>
        <v/>
      </c>
      <c r="BV245" s="39" t="str">
        <f>IFERROR(final!CG43*100/final!$I43,"")</f>
        <v/>
      </c>
      <c r="BW245" s="39" t="str">
        <f>IFERROR(final!CH43*100/final!$I43,"")</f>
        <v/>
      </c>
      <c r="BX245" s="39" t="str">
        <f>IFERROR(final!CI43*100/final!$I43,"")</f>
        <v/>
      </c>
      <c r="BY245" s="39" t="str">
        <f>IFERROR(final!CJ43*100/final!$I43,"")</f>
        <v/>
      </c>
      <c r="BZ245" s="39" t="str">
        <f>IFERROR(final!CK43*100/final!$I43,"")</f>
        <v/>
      </c>
      <c r="CA245" s="39" t="str">
        <f>IFERROR(final!CL43*100/final!$I43,"")</f>
        <v/>
      </c>
      <c r="CB245" s="39" t="str">
        <f>IFERROR(final!CM43*100/final!$I43,"")</f>
        <v/>
      </c>
      <c r="CC245" s="39" t="str">
        <f>IFERROR(final!CN43*100/final!$I43,"")</f>
        <v/>
      </c>
      <c r="CD245" s="39" t="str">
        <f>IFERROR(final!CO43*100/final!$I43,"")</f>
        <v/>
      </c>
      <c r="CE245" s="39" t="str">
        <f>IFERROR(final!CP43*100/final!$I43,"")</f>
        <v/>
      </c>
      <c r="CF245" s="39" t="str">
        <f>IFERROR(final!CQ43*100/final!$I43,"")</f>
        <v/>
      </c>
      <c r="CG245" s="39" t="str">
        <f>IFERROR(final!CR43*100/final!$I43,"")</f>
        <v/>
      </c>
      <c r="CH245" s="39" t="str">
        <f>IFERROR(final!CS43*100/final!$I43,"")</f>
        <v/>
      </c>
      <c r="CI245" s="39" t="str">
        <f>IFERROR(final!CT43*100/final!$I43,"")</f>
        <v/>
      </c>
      <c r="CJ245" s="39" t="str">
        <f>IFERROR(final!CU43*100/final!$I43,"")</f>
        <v/>
      </c>
      <c r="CK245" s="39" t="str">
        <f>IFERROR(final!CV43*100/final!$I43,"")</f>
        <v/>
      </c>
      <c r="CL245" s="39" t="str">
        <f>IFERROR(final!CW43*100/final!$I43,"")</f>
        <v/>
      </c>
      <c r="CM245" s="39" t="str">
        <f>IFERROR(final!CX43*100/final!$I43,"")</f>
        <v/>
      </c>
      <c r="CN245" s="39" t="str">
        <f>IFERROR(final!CY43*100/final!$I43,"")</f>
        <v/>
      </c>
      <c r="CO245" s="39" t="str">
        <f>IFERROR(final!CZ43*100/final!$I43,"")</f>
        <v/>
      </c>
      <c r="CP245" s="39" t="str">
        <f>IFERROR(final!DA43*100/final!$I43,"")</f>
        <v/>
      </c>
      <c r="CQ245" s="39" t="str">
        <f>IFERROR(final!DB43*100/final!$I43,"")</f>
        <v/>
      </c>
      <c r="CR245" s="39" t="str">
        <f>IFERROR(final!DC43*100/final!$I43,"")</f>
        <v/>
      </c>
      <c r="CS245" s="39" t="str">
        <f>IFERROR(final!DD43*100/final!$I43,"")</f>
        <v/>
      </c>
      <c r="CT245" s="39" t="str">
        <f>IFERROR(final!DE43*100/final!$I43,"")</f>
        <v/>
      </c>
      <c r="CU245" s="39" t="str">
        <f>IFERROR(final!DF43*100/final!$I43,"")</f>
        <v/>
      </c>
      <c r="CV245" s="39" t="str">
        <f>IFERROR(final!DG43*100/final!$I43,"")</f>
        <v/>
      </c>
      <c r="CW245" s="32" t="str">
        <f>IFERROR(SUM(A245:CV245)/final!$DH$103,"")</f>
        <v/>
      </c>
      <c r="CX245" s="14" t="str">
        <f>IF(COUNTA(final!A43),final!A43,"")</f>
        <v/>
      </c>
      <c r="CY245" s="14" t="str">
        <f>IF(COUNTA(final!B43),final!B43,"")</f>
        <v/>
      </c>
      <c r="CZ245" s="14" t="str">
        <f>IF(COUNTA(final!C43),final!C43,"")</f>
        <v/>
      </c>
      <c r="DA245" s="14" t="str">
        <f>IF(COUNTA(final!D43),final!D43,"")</f>
        <v/>
      </c>
      <c r="DB245" s="14" t="str">
        <f>IF(COUNTA(final!E43),final!E43,"")</f>
        <v/>
      </c>
      <c r="DC245" s="14" t="str">
        <f>IF(COUNTA(final!F43),final!F43,"")</f>
        <v/>
      </c>
      <c r="DD245" s="14" t="str">
        <f>IF(COUNTA(final!G43),final!G43,"")</f>
        <v/>
      </c>
      <c r="DE245" s="14" t="str">
        <f>IF(COUNTA(final!H43),final!H43,"")</f>
        <v/>
      </c>
    </row>
    <row r="246" spans="1:109" x14ac:dyDescent="0.2">
      <c r="A246" s="39" t="str">
        <f>IFERROR(final!L44*100/final!$I44,"")</f>
        <v/>
      </c>
      <c r="B246" s="39" t="str">
        <f>IFERROR(final!M44*100/final!$I44,"")</f>
        <v/>
      </c>
      <c r="C246" s="39" t="str">
        <f>IFERROR(final!N44*100/final!$I44,"")</f>
        <v/>
      </c>
      <c r="D246" s="39" t="str">
        <f>IFERROR(final!O44*100/final!$I44,"")</f>
        <v/>
      </c>
      <c r="E246" s="39" t="str">
        <f>IFERROR(final!P44*100/final!$I44,"")</f>
        <v/>
      </c>
      <c r="F246" s="39" t="str">
        <f>IFERROR(final!Q44*100/final!$I44,"")</f>
        <v/>
      </c>
      <c r="G246" s="39" t="str">
        <f>IFERROR(final!R44*100/final!$I44,"")</f>
        <v/>
      </c>
      <c r="H246" s="39" t="str">
        <f>IFERROR(final!S44*100/final!$I44,"")</f>
        <v/>
      </c>
      <c r="I246" s="39" t="str">
        <f>IFERROR(final!T44*100/final!$I44,"")</f>
        <v/>
      </c>
      <c r="J246" s="39" t="str">
        <f>IFERROR(final!U44*100/final!$I44,"")</f>
        <v/>
      </c>
      <c r="K246" s="39" t="str">
        <f>IFERROR(final!V44*100/final!$I44,"")</f>
        <v/>
      </c>
      <c r="L246" s="39" t="str">
        <f>IFERROR(final!W44*100/final!$I44,"")</f>
        <v/>
      </c>
      <c r="M246" s="39" t="str">
        <f>IFERROR(final!X44*100/final!$I44,"")</f>
        <v/>
      </c>
      <c r="N246" s="39" t="str">
        <f>IFERROR(final!Y44*100/final!$I44,"")</f>
        <v/>
      </c>
      <c r="O246" s="39" t="str">
        <f>IFERROR(final!Z44*100/final!$I44,"")</f>
        <v/>
      </c>
      <c r="P246" s="39" t="str">
        <f>IFERROR(final!AA44*100/final!$I44,"")</f>
        <v/>
      </c>
      <c r="Q246" s="39" t="str">
        <f>IFERROR(final!AB44*100/final!$I44,"")</f>
        <v/>
      </c>
      <c r="R246" s="39" t="str">
        <f>IFERROR(final!AC44*100/final!$I44,"")</f>
        <v/>
      </c>
      <c r="S246" s="39" t="str">
        <f>IFERROR(final!AD44*100/final!$I44,"")</f>
        <v/>
      </c>
      <c r="T246" s="39" t="str">
        <f>IFERROR(final!AE44*100/final!$I44,"")</f>
        <v/>
      </c>
      <c r="U246" s="39" t="str">
        <f>IFERROR(final!AF44*100/final!$I44,"")</f>
        <v/>
      </c>
      <c r="V246" s="39" t="str">
        <f>IFERROR(final!AG44*100/final!$I44,"")</f>
        <v/>
      </c>
      <c r="W246" s="39" t="str">
        <f>IFERROR(final!AH44*100/final!$I44,"")</f>
        <v/>
      </c>
      <c r="X246" s="39" t="str">
        <f>IFERROR(final!AI44*100/final!$I44,"")</f>
        <v/>
      </c>
      <c r="Y246" s="39" t="str">
        <f>IFERROR(final!AJ44*100/final!$I44,"")</f>
        <v/>
      </c>
      <c r="Z246" s="39" t="str">
        <f>IFERROR(final!AK44*100/final!$I44,"")</f>
        <v/>
      </c>
      <c r="AA246" s="39" t="str">
        <f>IFERROR(final!AL44*100/final!$I44,"")</f>
        <v/>
      </c>
      <c r="AB246" s="39" t="str">
        <f>IFERROR(final!AM44*100/final!$I44,"")</f>
        <v/>
      </c>
      <c r="AC246" s="39" t="str">
        <f>IFERROR(final!AN44*100/final!$I44,"")</f>
        <v/>
      </c>
      <c r="AD246" s="39" t="str">
        <f>IFERROR(final!AO44*100/final!$I44,"")</f>
        <v/>
      </c>
      <c r="AE246" s="39" t="str">
        <f>IFERROR(final!AP44*100/final!$I44,"")</f>
        <v/>
      </c>
      <c r="AF246" s="39" t="str">
        <f>IFERROR(final!AQ44*100/final!$I44,"")</f>
        <v/>
      </c>
      <c r="AG246" s="39" t="str">
        <f>IFERROR(final!AR44*100/final!$I44,"")</f>
        <v/>
      </c>
      <c r="AH246" s="39" t="str">
        <f>IFERROR(final!AS44*100/final!$I44,"")</f>
        <v/>
      </c>
      <c r="AI246" s="39" t="str">
        <f>IFERROR(final!AT44*100/final!$I44,"")</f>
        <v/>
      </c>
      <c r="AJ246" s="39" t="str">
        <f>IFERROR(final!AU44*100/final!$I44,"")</f>
        <v/>
      </c>
      <c r="AK246" s="39" t="str">
        <f>IFERROR(final!AV44*100/final!$I44,"")</f>
        <v/>
      </c>
      <c r="AL246" s="39" t="str">
        <f>IFERROR(final!AW44*100/final!$I44,"")</f>
        <v/>
      </c>
      <c r="AM246" s="39" t="str">
        <f>IFERROR(final!AX44*100/final!$I44,"")</f>
        <v/>
      </c>
      <c r="AN246" s="39" t="str">
        <f>IFERROR(final!AY44*100/final!$I44,"")</f>
        <v/>
      </c>
      <c r="AO246" s="39" t="str">
        <f>IFERROR(final!AZ44*100/final!$I44,"")</f>
        <v/>
      </c>
      <c r="AP246" s="39" t="str">
        <f>IFERROR(final!BA44*100/final!$I44,"")</f>
        <v/>
      </c>
      <c r="AQ246" s="39" t="str">
        <f>IFERROR(final!BB44*100/final!$I44,"")</f>
        <v/>
      </c>
      <c r="AR246" s="39" t="str">
        <f>IFERROR(final!BC44*100/final!$I44,"")</f>
        <v/>
      </c>
      <c r="AS246" s="39" t="str">
        <f>IFERROR(final!BD44*100/final!$I44,"")</f>
        <v/>
      </c>
      <c r="AT246" s="39" t="str">
        <f>IFERROR(final!BE44*100/final!$I44,"")</f>
        <v/>
      </c>
      <c r="AU246" s="39" t="str">
        <f>IFERROR(final!BF44*100/final!$I44,"")</f>
        <v/>
      </c>
      <c r="AV246" s="39" t="str">
        <f>IFERROR(final!BG44*100/final!$I44,"")</f>
        <v/>
      </c>
      <c r="AW246" s="39" t="str">
        <f>IFERROR(final!BH44*100/final!$I44,"")</f>
        <v/>
      </c>
      <c r="AX246" s="39" t="str">
        <f>IFERROR(final!BI44*100/final!$I44,"")</f>
        <v/>
      </c>
      <c r="AY246" s="39" t="str">
        <f>IFERROR(final!BJ44*100/final!$I44,"")</f>
        <v/>
      </c>
      <c r="AZ246" s="39" t="str">
        <f>IFERROR(final!BK44*100/final!$I44,"")</f>
        <v/>
      </c>
      <c r="BA246" s="39" t="str">
        <f>IFERROR(final!BL44*100/final!$I44,"")</f>
        <v/>
      </c>
      <c r="BB246" s="39" t="str">
        <f>IFERROR(final!BM44*100/final!$I44,"")</f>
        <v/>
      </c>
      <c r="BC246" s="39" t="str">
        <f>IFERROR(final!BN44*100/final!$I44,"")</f>
        <v/>
      </c>
      <c r="BD246" s="39" t="str">
        <f>IFERROR(final!BO44*100/final!$I44,"")</f>
        <v/>
      </c>
      <c r="BE246" s="39" t="str">
        <f>IFERROR(final!BP44*100/final!$I44,"")</f>
        <v/>
      </c>
      <c r="BF246" s="39" t="str">
        <f>IFERROR(final!BQ44*100/final!$I44,"")</f>
        <v/>
      </c>
      <c r="BG246" s="39" t="str">
        <f>IFERROR(final!BR44*100/final!$I44,"")</f>
        <v/>
      </c>
      <c r="BH246" s="39" t="str">
        <f>IFERROR(final!BS44*100/final!$I44,"")</f>
        <v/>
      </c>
      <c r="BI246" s="39" t="str">
        <f>IFERROR(final!BT44*100/final!$I44,"")</f>
        <v/>
      </c>
      <c r="BJ246" s="39" t="str">
        <f>IFERROR(final!BU44*100/final!$I44,"")</f>
        <v/>
      </c>
      <c r="BK246" s="39" t="str">
        <f>IFERROR(final!BV44*100/final!$I44,"")</f>
        <v/>
      </c>
      <c r="BL246" s="39" t="str">
        <f>IFERROR(final!BW44*100/final!$I44,"")</f>
        <v/>
      </c>
      <c r="BM246" s="39" t="str">
        <f>IFERROR(final!BX44*100/final!$I44,"")</f>
        <v/>
      </c>
      <c r="BN246" s="39" t="str">
        <f>IFERROR(final!BY44*100/final!$I44,"")</f>
        <v/>
      </c>
      <c r="BO246" s="39" t="str">
        <f>IFERROR(final!BZ44*100/final!$I44,"")</f>
        <v/>
      </c>
      <c r="BP246" s="39" t="str">
        <f>IFERROR(final!CA44*100/final!$I44,"")</f>
        <v/>
      </c>
      <c r="BQ246" s="39" t="str">
        <f>IFERROR(final!CB44*100/final!$I44,"")</f>
        <v/>
      </c>
      <c r="BR246" s="39" t="str">
        <f>IFERROR(final!CC44*100/final!$I44,"")</f>
        <v/>
      </c>
      <c r="BS246" s="39" t="str">
        <f>IFERROR(final!CD44*100/final!$I44,"")</f>
        <v/>
      </c>
      <c r="BT246" s="39" t="str">
        <f>IFERROR(final!CE44*100/final!$I44,"")</f>
        <v/>
      </c>
      <c r="BU246" s="39" t="str">
        <f>IFERROR(final!CF44*100/final!$I44,"")</f>
        <v/>
      </c>
      <c r="BV246" s="39" t="str">
        <f>IFERROR(final!CG44*100/final!$I44,"")</f>
        <v/>
      </c>
      <c r="BW246" s="39" t="str">
        <f>IFERROR(final!CH44*100/final!$I44,"")</f>
        <v/>
      </c>
      <c r="BX246" s="39" t="str">
        <f>IFERROR(final!CI44*100/final!$I44,"")</f>
        <v/>
      </c>
      <c r="BY246" s="39" t="str">
        <f>IFERROR(final!CJ44*100/final!$I44,"")</f>
        <v/>
      </c>
      <c r="BZ246" s="39" t="str">
        <f>IFERROR(final!CK44*100/final!$I44,"")</f>
        <v/>
      </c>
      <c r="CA246" s="39" t="str">
        <f>IFERROR(final!CL44*100/final!$I44,"")</f>
        <v/>
      </c>
      <c r="CB246" s="39" t="str">
        <f>IFERROR(final!CM44*100/final!$I44,"")</f>
        <v/>
      </c>
      <c r="CC246" s="39" t="str">
        <f>IFERROR(final!CN44*100/final!$I44,"")</f>
        <v/>
      </c>
      <c r="CD246" s="39" t="str">
        <f>IFERROR(final!CO44*100/final!$I44,"")</f>
        <v/>
      </c>
      <c r="CE246" s="39" t="str">
        <f>IFERROR(final!CP44*100/final!$I44,"")</f>
        <v/>
      </c>
      <c r="CF246" s="39" t="str">
        <f>IFERROR(final!CQ44*100/final!$I44,"")</f>
        <v/>
      </c>
      <c r="CG246" s="39" t="str">
        <f>IFERROR(final!CR44*100/final!$I44,"")</f>
        <v/>
      </c>
      <c r="CH246" s="39" t="str">
        <f>IFERROR(final!CS44*100/final!$I44,"")</f>
        <v/>
      </c>
      <c r="CI246" s="39" t="str">
        <f>IFERROR(final!CT44*100/final!$I44,"")</f>
        <v/>
      </c>
      <c r="CJ246" s="39" t="str">
        <f>IFERROR(final!CU44*100/final!$I44,"")</f>
        <v/>
      </c>
      <c r="CK246" s="39" t="str">
        <f>IFERROR(final!CV44*100/final!$I44,"")</f>
        <v/>
      </c>
      <c r="CL246" s="39" t="str">
        <f>IFERROR(final!CW44*100/final!$I44,"")</f>
        <v/>
      </c>
      <c r="CM246" s="39" t="str">
        <f>IFERROR(final!CX44*100/final!$I44,"")</f>
        <v/>
      </c>
      <c r="CN246" s="39" t="str">
        <f>IFERROR(final!CY44*100/final!$I44,"")</f>
        <v/>
      </c>
      <c r="CO246" s="39" t="str">
        <f>IFERROR(final!CZ44*100/final!$I44,"")</f>
        <v/>
      </c>
      <c r="CP246" s="39" t="str">
        <f>IFERROR(final!DA44*100/final!$I44,"")</f>
        <v/>
      </c>
      <c r="CQ246" s="39" t="str">
        <f>IFERROR(final!DB44*100/final!$I44,"")</f>
        <v/>
      </c>
      <c r="CR246" s="39" t="str">
        <f>IFERROR(final!DC44*100/final!$I44,"")</f>
        <v/>
      </c>
      <c r="CS246" s="39" t="str">
        <f>IFERROR(final!DD44*100/final!$I44,"")</f>
        <v/>
      </c>
      <c r="CT246" s="39" t="str">
        <f>IFERROR(final!DE44*100/final!$I44,"")</f>
        <v/>
      </c>
      <c r="CU246" s="39" t="str">
        <f>IFERROR(final!DF44*100/final!$I44,"")</f>
        <v/>
      </c>
      <c r="CV246" s="39" t="str">
        <f>IFERROR(final!DG44*100/final!$I44,"")</f>
        <v/>
      </c>
      <c r="CW246" s="32" t="str">
        <f>IFERROR(SUM(A246:CV246)/final!$DH$103,"")</f>
        <v/>
      </c>
      <c r="CX246" s="14" t="str">
        <f>IF(COUNTA(final!A44),final!A44,"")</f>
        <v/>
      </c>
      <c r="CY246" s="14" t="str">
        <f>IF(COUNTA(final!B44),final!B44,"")</f>
        <v/>
      </c>
      <c r="CZ246" s="14" t="str">
        <f>IF(COUNTA(final!C44),final!C44,"")</f>
        <v/>
      </c>
      <c r="DA246" s="14" t="str">
        <f>IF(COUNTA(final!D44),final!D44,"")</f>
        <v/>
      </c>
      <c r="DB246" s="14" t="str">
        <f>IF(COUNTA(final!E44),final!E44,"")</f>
        <v/>
      </c>
      <c r="DC246" s="14" t="str">
        <f>IF(COUNTA(final!F44),final!F44,"")</f>
        <v/>
      </c>
      <c r="DD246" s="14" t="str">
        <f>IF(COUNTA(final!G44),final!G44,"")</f>
        <v/>
      </c>
      <c r="DE246" s="14" t="str">
        <f>IF(COUNTA(final!H44),final!H44,"")</f>
        <v/>
      </c>
    </row>
    <row r="247" spans="1:109" x14ac:dyDescent="0.2">
      <c r="A247" s="39" t="str">
        <f>IFERROR(final!L45*100/final!$I45,"")</f>
        <v/>
      </c>
      <c r="B247" s="39" t="str">
        <f>IFERROR(final!M45*100/final!$I45,"")</f>
        <v/>
      </c>
      <c r="C247" s="39" t="str">
        <f>IFERROR(final!N45*100/final!$I45,"")</f>
        <v/>
      </c>
      <c r="D247" s="39" t="str">
        <f>IFERROR(final!O45*100/final!$I45,"")</f>
        <v/>
      </c>
      <c r="E247" s="39" t="str">
        <f>IFERROR(final!P45*100/final!$I45,"")</f>
        <v/>
      </c>
      <c r="F247" s="39" t="str">
        <f>IFERROR(final!Q45*100/final!$I45,"")</f>
        <v/>
      </c>
      <c r="G247" s="39" t="str">
        <f>IFERROR(final!R45*100/final!$I45,"")</f>
        <v/>
      </c>
      <c r="H247" s="39" t="str">
        <f>IFERROR(final!S45*100/final!$I45,"")</f>
        <v/>
      </c>
      <c r="I247" s="39" t="str">
        <f>IFERROR(final!T45*100/final!$I45,"")</f>
        <v/>
      </c>
      <c r="J247" s="39" t="str">
        <f>IFERROR(final!U45*100/final!$I45,"")</f>
        <v/>
      </c>
      <c r="K247" s="39" t="str">
        <f>IFERROR(final!V45*100/final!$I45,"")</f>
        <v/>
      </c>
      <c r="L247" s="39" t="str">
        <f>IFERROR(final!W45*100/final!$I45,"")</f>
        <v/>
      </c>
      <c r="M247" s="39" t="str">
        <f>IFERROR(final!X45*100/final!$I45,"")</f>
        <v/>
      </c>
      <c r="N247" s="39" t="str">
        <f>IFERROR(final!Y45*100/final!$I45,"")</f>
        <v/>
      </c>
      <c r="O247" s="39" t="str">
        <f>IFERROR(final!Z45*100/final!$I45,"")</f>
        <v/>
      </c>
      <c r="P247" s="39" t="str">
        <f>IFERROR(final!AA45*100/final!$I45,"")</f>
        <v/>
      </c>
      <c r="Q247" s="39" t="str">
        <f>IFERROR(final!AB45*100/final!$I45,"")</f>
        <v/>
      </c>
      <c r="R247" s="39" t="str">
        <f>IFERROR(final!AC45*100/final!$I45,"")</f>
        <v/>
      </c>
      <c r="S247" s="39" t="str">
        <f>IFERROR(final!AD45*100/final!$I45,"")</f>
        <v/>
      </c>
      <c r="T247" s="39" t="str">
        <f>IFERROR(final!AE45*100/final!$I45,"")</f>
        <v/>
      </c>
      <c r="U247" s="39" t="str">
        <f>IFERROR(final!AF45*100/final!$I45,"")</f>
        <v/>
      </c>
      <c r="V247" s="39" t="str">
        <f>IFERROR(final!AG45*100/final!$I45,"")</f>
        <v/>
      </c>
      <c r="W247" s="39" t="str">
        <f>IFERROR(final!AH45*100/final!$I45,"")</f>
        <v/>
      </c>
      <c r="X247" s="39" t="str">
        <f>IFERROR(final!AI45*100/final!$I45,"")</f>
        <v/>
      </c>
      <c r="Y247" s="39" t="str">
        <f>IFERROR(final!AJ45*100/final!$I45,"")</f>
        <v/>
      </c>
      <c r="Z247" s="39" t="str">
        <f>IFERROR(final!AK45*100/final!$I45,"")</f>
        <v/>
      </c>
      <c r="AA247" s="39" t="str">
        <f>IFERROR(final!AL45*100/final!$I45,"")</f>
        <v/>
      </c>
      <c r="AB247" s="39" t="str">
        <f>IFERROR(final!AM45*100/final!$I45,"")</f>
        <v/>
      </c>
      <c r="AC247" s="39" t="str">
        <f>IFERROR(final!AN45*100/final!$I45,"")</f>
        <v/>
      </c>
      <c r="AD247" s="39" t="str">
        <f>IFERROR(final!AO45*100/final!$I45,"")</f>
        <v/>
      </c>
      <c r="AE247" s="39" t="str">
        <f>IFERROR(final!AP45*100/final!$I45,"")</f>
        <v/>
      </c>
      <c r="AF247" s="39" t="str">
        <f>IFERROR(final!AQ45*100/final!$I45,"")</f>
        <v/>
      </c>
      <c r="AG247" s="39" t="str">
        <f>IFERROR(final!AR45*100/final!$I45,"")</f>
        <v/>
      </c>
      <c r="AH247" s="39" t="str">
        <f>IFERROR(final!AS45*100/final!$I45,"")</f>
        <v/>
      </c>
      <c r="AI247" s="39" t="str">
        <f>IFERROR(final!AT45*100/final!$I45,"")</f>
        <v/>
      </c>
      <c r="AJ247" s="39" t="str">
        <f>IFERROR(final!AU45*100/final!$I45,"")</f>
        <v/>
      </c>
      <c r="AK247" s="39" t="str">
        <f>IFERROR(final!AV45*100/final!$I45,"")</f>
        <v/>
      </c>
      <c r="AL247" s="39" t="str">
        <f>IFERROR(final!AW45*100/final!$I45,"")</f>
        <v/>
      </c>
      <c r="AM247" s="39" t="str">
        <f>IFERROR(final!AX45*100/final!$I45,"")</f>
        <v/>
      </c>
      <c r="AN247" s="39" t="str">
        <f>IFERROR(final!AY45*100/final!$I45,"")</f>
        <v/>
      </c>
      <c r="AO247" s="39" t="str">
        <f>IFERROR(final!AZ45*100/final!$I45,"")</f>
        <v/>
      </c>
      <c r="AP247" s="39" t="str">
        <f>IFERROR(final!BA45*100/final!$I45,"")</f>
        <v/>
      </c>
      <c r="AQ247" s="39" t="str">
        <f>IFERROR(final!BB45*100/final!$I45,"")</f>
        <v/>
      </c>
      <c r="AR247" s="39" t="str">
        <f>IFERROR(final!BC45*100/final!$I45,"")</f>
        <v/>
      </c>
      <c r="AS247" s="39" t="str">
        <f>IFERROR(final!BD45*100/final!$I45,"")</f>
        <v/>
      </c>
      <c r="AT247" s="39" t="str">
        <f>IFERROR(final!BE45*100/final!$I45,"")</f>
        <v/>
      </c>
      <c r="AU247" s="39" t="str">
        <f>IFERROR(final!BF45*100/final!$I45,"")</f>
        <v/>
      </c>
      <c r="AV247" s="39" t="str">
        <f>IFERROR(final!BG45*100/final!$I45,"")</f>
        <v/>
      </c>
      <c r="AW247" s="39" t="str">
        <f>IFERROR(final!BH45*100/final!$I45,"")</f>
        <v/>
      </c>
      <c r="AX247" s="39" t="str">
        <f>IFERROR(final!BI45*100/final!$I45,"")</f>
        <v/>
      </c>
      <c r="AY247" s="39" t="str">
        <f>IFERROR(final!BJ45*100/final!$I45,"")</f>
        <v/>
      </c>
      <c r="AZ247" s="39" t="str">
        <f>IFERROR(final!BK45*100/final!$I45,"")</f>
        <v/>
      </c>
      <c r="BA247" s="39" t="str">
        <f>IFERROR(final!BL45*100/final!$I45,"")</f>
        <v/>
      </c>
      <c r="BB247" s="39" t="str">
        <f>IFERROR(final!BM45*100/final!$I45,"")</f>
        <v/>
      </c>
      <c r="BC247" s="39" t="str">
        <f>IFERROR(final!BN45*100/final!$I45,"")</f>
        <v/>
      </c>
      <c r="BD247" s="39" t="str">
        <f>IFERROR(final!BO45*100/final!$I45,"")</f>
        <v/>
      </c>
      <c r="BE247" s="39" t="str">
        <f>IFERROR(final!BP45*100/final!$I45,"")</f>
        <v/>
      </c>
      <c r="BF247" s="39" t="str">
        <f>IFERROR(final!BQ45*100/final!$I45,"")</f>
        <v/>
      </c>
      <c r="BG247" s="39" t="str">
        <f>IFERROR(final!BR45*100/final!$I45,"")</f>
        <v/>
      </c>
      <c r="BH247" s="39" t="str">
        <f>IFERROR(final!BS45*100/final!$I45,"")</f>
        <v/>
      </c>
      <c r="BI247" s="39" t="str">
        <f>IFERROR(final!BT45*100/final!$I45,"")</f>
        <v/>
      </c>
      <c r="BJ247" s="39" t="str">
        <f>IFERROR(final!BU45*100/final!$I45,"")</f>
        <v/>
      </c>
      <c r="BK247" s="39" t="str">
        <f>IFERROR(final!BV45*100/final!$I45,"")</f>
        <v/>
      </c>
      <c r="BL247" s="39" t="str">
        <f>IFERROR(final!BW45*100/final!$I45,"")</f>
        <v/>
      </c>
      <c r="BM247" s="39" t="str">
        <f>IFERROR(final!BX45*100/final!$I45,"")</f>
        <v/>
      </c>
      <c r="BN247" s="39" t="str">
        <f>IFERROR(final!BY45*100/final!$I45,"")</f>
        <v/>
      </c>
      <c r="BO247" s="39" t="str">
        <f>IFERROR(final!BZ45*100/final!$I45,"")</f>
        <v/>
      </c>
      <c r="BP247" s="39" t="str">
        <f>IFERROR(final!CA45*100/final!$I45,"")</f>
        <v/>
      </c>
      <c r="BQ247" s="39" t="str">
        <f>IFERROR(final!CB45*100/final!$I45,"")</f>
        <v/>
      </c>
      <c r="BR247" s="39" t="str">
        <f>IFERROR(final!CC45*100/final!$I45,"")</f>
        <v/>
      </c>
      <c r="BS247" s="39" t="str">
        <f>IFERROR(final!CD45*100/final!$I45,"")</f>
        <v/>
      </c>
      <c r="BT247" s="39" t="str">
        <f>IFERROR(final!CE45*100/final!$I45,"")</f>
        <v/>
      </c>
      <c r="BU247" s="39" t="str">
        <f>IFERROR(final!CF45*100/final!$I45,"")</f>
        <v/>
      </c>
      <c r="BV247" s="39" t="str">
        <f>IFERROR(final!CG45*100/final!$I45,"")</f>
        <v/>
      </c>
      <c r="BW247" s="39" t="str">
        <f>IFERROR(final!CH45*100/final!$I45,"")</f>
        <v/>
      </c>
      <c r="BX247" s="39" t="str">
        <f>IFERROR(final!CI45*100/final!$I45,"")</f>
        <v/>
      </c>
      <c r="BY247" s="39" t="str">
        <f>IFERROR(final!CJ45*100/final!$I45,"")</f>
        <v/>
      </c>
      <c r="BZ247" s="39" t="str">
        <f>IFERROR(final!CK45*100/final!$I45,"")</f>
        <v/>
      </c>
      <c r="CA247" s="39" t="str">
        <f>IFERROR(final!CL45*100/final!$I45,"")</f>
        <v/>
      </c>
      <c r="CB247" s="39" t="str">
        <f>IFERROR(final!CM45*100/final!$I45,"")</f>
        <v/>
      </c>
      <c r="CC247" s="39" t="str">
        <f>IFERROR(final!CN45*100/final!$I45,"")</f>
        <v/>
      </c>
      <c r="CD247" s="39" t="str">
        <f>IFERROR(final!CO45*100/final!$I45,"")</f>
        <v/>
      </c>
      <c r="CE247" s="39" t="str">
        <f>IFERROR(final!CP45*100/final!$I45,"")</f>
        <v/>
      </c>
      <c r="CF247" s="39" t="str">
        <f>IFERROR(final!CQ45*100/final!$I45,"")</f>
        <v/>
      </c>
      <c r="CG247" s="39" t="str">
        <f>IFERROR(final!CR45*100/final!$I45,"")</f>
        <v/>
      </c>
      <c r="CH247" s="39" t="str">
        <f>IFERROR(final!CS45*100/final!$I45,"")</f>
        <v/>
      </c>
      <c r="CI247" s="39" t="str">
        <f>IFERROR(final!CT45*100/final!$I45,"")</f>
        <v/>
      </c>
      <c r="CJ247" s="39" t="str">
        <f>IFERROR(final!CU45*100/final!$I45,"")</f>
        <v/>
      </c>
      <c r="CK247" s="39" t="str">
        <f>IFERROR(final!CV45*100/final!$I45,"")</f>
        <v/>
      </c>
      <c r="CL247" s="39" t="str">
        <f>IFERROR(final!CW45*100/final!$I45,"")</f>
        <v/>
      </c>
      <c r="CM247" s="39" t="str">
        <f>IFERROR(final!CX45*100/final!$I45,"")</f>
        <v/>
      </c>
      <c r="CN247" s="39" t="str">
        <f>IFERROR(final!CY45*100/final!$I45,"")</f>
        <v/>
      </c>
      <c r="CO247" s="39" t="str">
        <f>IFERROR(final!CZ45*100/final!$I45,"")</f>
        <v/>
      </c>
      <c r="CP247" s="39" t="str">
        <f>IFERROR(final!DA45*100/final!$I45,"")</f>
        <v/>
      </c>
      <c r="CQ247" s="39" t="str">
        <f>IFERROR(final!DB45*100/final!$I45,"")</f>
        <v/>
      </c>
      <c r="CR247" s="39" t="str">
        <f>IFERROR(final!DC45*100/final!$I45,"")</f>
        <v/>
      </c>
      <c r="CS247" s="39" t="str">
        <f>IFERROR(final!DD45*100/final!$I45,"")</f>
        <v/>
      </c>
      <c r="CT247" s="39" t="str">
        <f>IFERROR(final!DE45*100/final!$I45,"")</f>
        <v/>
      </c>
      <c r="CU247" s="39" t="str">
        <f>IFERROR(final!DF45*100/final!$I45,"")</f>
        <v/>
      </c>
      <c r="CV247" s="39" t="str">
        <f>IFERROR(final!DG45*100/final!$I45,"")</f>
        <v/>
      </c>
      <c r="CW247" s="32" t="str">
        <f>IFERROR(SUM(A247:CV247)/final!$DH$103,"")</f>
        <v/>
      </c>
      <c r="CX247" s="14" t="str">
        <f>IF(COUNTA(final!A45),final!A45,"")</f>
        <v/>
      </c>
      <c r="CY247" s="14" t="str">
        <f>IF(COUNTA(final!B45),final!B45,"")</f>
        <v/>
      </c>
      <c r="CZ247" s="14" t="str">
        <f>IF(COUNTA(final!C45),final!C45,"")</f>
        <v/>
      </c>
      <c r="DA247" s="14" t="str">
        <f>IF(COUNTA(final!D45),final!D45,"")</f>
        <v/>
      </c>
      <c r="DB247" s="14" t="str">
        <f>IF(COUNTA(final!E45),final!E45,"")</f>
        <v/>
      </c>
      <c r="DC247" s="14" t="str">
        <f>IF(COUNTA(final!F45),final!F45,"")</f>
        <v/>
      </c>
      <c r="DD247" s="14" t="str">
        <f>IF(COUNTA(final!G45),final!G45,"")</f>
        <v/>
      </c>
      <c r="DE247" s="14" t="str">
        <f>IF(COUNTA(final!H45),final!H45,"")</f>
        <v/>
      </c>
    </row>
    <row r="248" spans="1:109" x14ac:dyDescent="0.2">
      <c r="A248" s="39" t="str">
        <f>IFERROR(final!L46*100/final!$I46,"")</f>
        <v/>
      </c>
      <c r="B248" s="39" t="str">
        <f>IFERROR(final!M46*100/final!$I46,"")</f>
        <v/>
      </c>
      <c r="C248" s="39" t="str">
        <f>IFERROR(final!N46*100/final!$I46,"")</f>
        <v/>
      </c>
      <c r="D248" s="39" t="str">
        <f>IFERROR(final!O46*100/final!$I46,"")</f>
        <v/>
      </c>
      <c r="E248" s="39" t="str">
        <f>IFERROR(final!P46*100/final!$I46,"")</f>
        <v/>
      </c>
      <c r="F248" s="39" t="str">
        <f>IFERROR(final!Q46*100/final!$I46,"")</f>
        <v/>
      </c>
      <c r="G248" s="39" t="str">
        <f>IFERROR(final!R46*100/final!$I46,"")</f>
        <v/>
      </c>
      <c r="H248" s="39" t="str">
        <f>IFERROR(final!S46*100/final!$I46,"")</f>
        <v/>
      </c>
      <c r="I248" s="39" t="str">
        <f>IFERROR(final!T46*100/final!$I46,"")</f>
        <v/>
      </c>
      <c r="J248" s="39" t="str">
        <f>IFERROR(final!U46*100/final!$I46,"")</f>
        <v/>
      </c>
      <c r="K248" s="39" t="str">
        <f>IFERROR(final!V46*100/final!$I46,"")</f>
        <v/>
      </c>
      <c r="L248" s="39" t="str">
        <f>IFERROR(final!W46*100/final!$I46,"")</f>
        <v/>
      </c>
      <c r="M248" s="39" t="str">
        <f>IFERROR(final!X46*100/final!$I46,"")</f>
        <v/>
      </c>
      <c r="N248" s="39" t="str">
        <f>IFERROR(final!Y46*100/final!$I46,"")</f>
        <v/>
      </c>
      <c r="O248" s="39" t="str">
        <f>IFERROR(final!Z46*100/final!$I46,"")</f>
        <v/>
      </c>
      <c r="P248" s="39" t="str">
        <f>IFERROR(final!AA46*100/final!$I46,"")</f>
        <v/>
      </c>
      <c r="Q248" s="39" t="str">
        <f>IFERROR(final!AB46*100/final!$I46,"")</f>
        <v/>
      </c>
      <c r="R248" s="39" t="str">
        <f>IFERROR(final!AC46*100/final!$I46,"")</f>
        <v/>
      </c>
      <c r="S248" s="39" t="str">
        <f>IFERROR(final!AD46*100/final!$I46,"")</f>
        <v/>
      </c>
      <c r="T248" s="39" t="str">
        <f>IFERROR(final!AE46*100/final!$I46,"")</f>
        <v/>
      </c>
      <c r="U248" s="39" t="str">
        <f>IFERROR(final!AF46*100/final!$I46,"")</f>
        <v/>
      </c>
      <c r="V248" s="39" t="str">
        <f>IFERROR(final!AG46*100/final!$I46,"")</f>
        <v/>
      </c>
      <c r="W248" s="39" t="str">
        <f>IFERROR(final!AH46*100/final!$I46,"")</f>
        <v/>
      </c>
      <c r="X248" s="39" t="str">
        <f>IFERROR(final!AI46*100/final!$I46,"")</f>
        <v/>
      </c>
      <c r="Y248" s="39" t="str">
        <f>IFERROR(final!AJ46*100/final!$I46,"")</f>
        <v/>
      </c>
      <c r="Z248" s="39" t="str">
        <f>IFERROR(final!AK46*100/final!$I46,"")</f>
        <v/>
      </c>
      <c r="AA248" s="39" t="str">
        <f>IFERROR(final!AL46*100/final!$I46,"")</f>
        <v/>
      </c>
      <c r="AB248" s="39" t="str">
        <f>IFERROR(final!AM46*100/final!$I46,"")</f>
        <v/>
      </c>
      <c r="AC248" s="39" t="str">
        <f>IFERROR(final!AN46*100/final!$I46,"")</f>
        <v/>
      </c>
      <c r="AD248" s="39" t="str">
        <f>IFERROR(final!AO46*100/final!$I46,"")</f>
        <v/>
      </c>
      <c r="AE248" s="39" t="str">
        <f>IFERROR(final!AP46*100/final!$I46,"")</f>
        <v/>
      </c>
      <c r="AF248" s="39" t="str">
        <f>IFERROR(final!AQ46*100/final!$I46,"")</f>
        <v/>
      </c>
      <c r="AG248" s="39" t="str">
        <f>IFERROR(final!AR46*100/final!$I46,"")</f>
        <v/>
      </c>
      <c r="AH248" s="39" t="str">
        <f>IFERROR(final!AS46*100/final!$I46,"")</f>
        <v/>
      </c>
      <c r="AI248" s="39" t="str">
        <f>IFERROR(final!AT46*100/final!$I46,"")</f>
        <v/>
      </c>
      <c r="AJ248" s="39" t="str">
        <f>IFERROR(final!AU46*100/final!$I46,"")</f>
        <v/>
      </c>
      <c r="AK248" s="39" t="str">
        <f>IFERROR(final!AV46*100/final!$I46,"")</f>
        <v/>
      </c>
      <c r="AL248" s="39" t="str">
        <f>IFERROR(final!AW46*100/final!$I46,"")</f>
        <v/>
      </c>
      <c r="AM248" s="39" t="str">
        <f>IFERROR(final!AX46*100/final!$I46,"")</f>
        <v/>
      </c>
      <c r="AN248" s="39" t="str">
        <f>IFERROR(final!AY46*100/final!$I46,"")</f>
        <v/>
      </c>
      <c r="AO248" s="39" t="str">
        <f>IFERROR(final!AZ46*100/final!$I46,"")</f>
        <v/>
      </c>
      <c r="AP248" s="39" t="str">
        <f>IFERROR(final!BA46*100/final!$I46,"")</f>
        <v/>
      </c>
      <c r="AQ248" s="39" t="str">
        <f>IFERROR(final!BB46*100/final!$I46,"")</f>
        <v/>
      </c>
      <c r="AR248" s="39" t="str">
        <f>IFERROR(final!BC46*100/final!$I46,"")</f>
        <v/>
      </c>
      <c r="AS248" s="39" t="str">
        <f>IFERROR(final!BD46*100/final!$I46,"")</f>
        <v/>
      </c>
      <c r="AT248" s="39" t="str">
        <f>IFERROR(final!BE46*100/final!$I46,"")</f>
        <v/>
      </c>
      <c r="AU248" s="39" t="str">
        <f>IFERROR(final!BF46*100/final!$I46,"")</f>
        <v/>
      </c>
      <c r="AV248" s="39" t="str">
        <f>IFERROR(final!BG46*100/final!$I46,"")</f>
        <v/>
      </c>
      <c r="AW248" s="39" t="str">
        <f>IFERROR(final!BH46*100/final!$I46,"")</f>
        <v/>
      </c>
      <c r="AX248" s="39" t="str">
        <f>IFERROR(final!BI46*100/final!$I46,"")</f>
        <v/>
      </c>
      <c r="AY248" s="39" t="str">
        <f>IFERROR(final!BJ46*100/final!$I46,"")</f>
        <v/>
      </c>
      <c r="AZ248" s="39" t="str">
        <f>IFERROR(final!BK46*100/final!$I46,"")</f>
        <v/>
      </c>
      <c r="BA248" s="39" t="str">
        <f>IFERROR(final!BL46*100/final!$I46,"")</f>
        <v/>
      </c>
      <c r="BB248" s="39" t="str">
        <f>IFERROR(final!BM46*100/final!$I46,"")</f>
        <v/>
      </c>
      <c r="BC248" s="39" t="str">
        <f>IFERROR(final!BN46*100/final!$I46,"")</f>
        <v/>
      </c>
      <c r="BD248" s="39" t="str">
        <f>IFERROR(final!BO46*100/final!$I46,"")</f>
        <v/>
      </c>
      <c r="BE248" s="39" t="str">
        <f>IFERROR(final!BP46*100/final!$I46,"")</f>
        <v/>
      </c>
      <c r="BF248" s="39" t="str">
        <f>IFERROR(final!BQ46*100/final!$I46,"")</f>
        <v/>
      </c>
      <c r="BG248" s="39" t="str">
        <f>IFERROR(final!BR46*100/final!$I46,"")</f>
        <v/>
      </c>
      <c r="BH248" s="39" t="str">
        <f>IFERROR(final!BS46*100/final!$I46,"")</f>
        <v/>
      </c>
      <c r="BI248" s="39" t="str">
        <f>IFERROR(final!BT46*100/final!$I46,"")</f>
        <v/>
      </c>
      <c r="BJ248" s="39" t="str">
        <f>IFERROR(final!BU46*100/final!$I46,"")</f>
        <v/>
      </c>
      <c r="BK248" s="39" t="str">
        <f>IFERROR(final!BV46*100/final!$I46,"")</f>
        <v/>
      </c>
      <c r="BL248" s="39" t="str">
        <f>IFERROR(final!BW46*100/final!$I46,"")</f>
        <v/>
      </c>
      <c r="BM248" s="39" t="str">
        <f>IFERROR(final!BX46*100/final!$I46,"")</f>
        <v/>
      </c>
      <c r="BN248" s="39" t="str">
        <f>IFERROR(final!BY46*100/final!$I46,"")</f>
        <v/>
      </c>
      <c r="BO248" s="39" t="str">
        <f>IFERROR(final!BZ46*100/final!$I46,"")</f>
        <v/>
      </c>
      <c r="BP248" s="39" t="str">
        <f>IFERROR(final!CA46*100/final!$I46,"")</f>
        <v/>
      </c>
      <c r="BQ248" s="39" t="str">
        <f>IFERROR(final!CB46*100/final!$I46,"")</f>
        <v/>
      </c>
      <c r="BR248" s="39" t="str">
        <f>IFERROR(final!CC46*100/final!$I46,"")</f>
        <v/>
      </c>
      <c r="BS248" s="39" t="str">
        <f>IFERROR(final!CD46*100/final!$I46,"")</f>
        <v/>
      </c>
      <c r="BT248" s="39" t="str">
        <f>IFERROR(final!CE46*100/final!$I46,"")</f>
        <v/>
      </c>
      <c r="BU248" s="39" t="str">
        <f>IFERROR(final!CF46*100/final!$I46,"")</f>
        <v/>
      </c>
      <c r="BV248" s="39" t="str">
        <f>IFERROR(final!CG46*100/final!$I46,"")</f>
        <v/>
      </c>
      <c r="BW248" s="39" t="str">
        <f>IFERROR(final!CH46*100/final!$I46,"")</f>
        <v/>
      </c>
      <c r="BX248" s="39" t="str">
        <f>IFERROR(final!CI46*100/final!$I46,"")</f>
        <v/>
      </c>
      <c r="BY248" s="39" t="str">
        <f>IFERROR(final!CJ46*100/final!$I46,"")</f>
        <v/>
      </c>
      <c r="BZ248" s="39" t="str">
        <f>IFERROR(final!CK46*100/final!$I46,"")</f>
        <v/>
      </c>
      <c r="CA248" s="39" t="str">
        <f>IFERROR(final!CL46*100/final!$I46,"")</f>
        <v/>
      </c>
      <c r="CB248" s="39" t="str">
        <f>IFERROR(final!CM46*100/final!$I46,"")</f>
        <v/>
      </c>
      <c r="CC248" s="39" t="str">
        <f>IFERROR(final!CN46*100/final!$I46,"")</f>
        <v/>
      </c>
      <c r="CD248" s="39" t="str">
        <f>IFERROR(final!CO46*100/final!$I46,"")</f>
        <v/>
      </c>
      <c r="CE248" s="39" t="str">
        <f>IFERROR(final!CP46*100/final!$I46,"")</f>
        <v/>
      </c>
      <c r="CF248" s="39" t="str">
        <f>IFERROR(final!CQ46*100/final!$I46,"")</f>
        <v/>
      </c>
      <c r="CG248" s="39" t="str">
        <f>IFERROR(final!CR46*100/final!$I46,"")</f>
        <v/>
      </c>
      <c r="CH248" s="39" t="str">
        <f>IFERROR(final!CS46*100/final!$I46,"")</f>
        <v/>
      </c>
      <c r="CI248" s="39" t="str">
        <f>IFERROR(final!CT46*100/final!$I46,"")</f>
        <v/>
      </c>
      <c r="CJ248" s="39" t="str">
        <f>IFERROR(final!CU46*100/final!$I46,"")</f>
        <v/>
      </c>
      <c r="CK248" s="39" t="str">
        <f>IFERROR(final!CV46*100/final!$I46,"")</f>
        <v/>
      </c>
      <c r="CL248" s="39" t="str">
        <f>IFERROR(final!CW46*100/final!$I46,"")</f>
        <v/>
      </c>
      <c r="CM248" s="39" t="str">
        <f>IFERROR(final!CX46*100/final!$I46,"")</f>
        <v/>
      </c>
      <c r="CN248" s="39" t="str">
        <f>IFERROR(final!CY46*100/final!$I46,"")</f>
        <v/>
      </c>
      <c r="CO248" s="39" t="str">
        <f>IFERROR(final!CZ46*100/final!$I46,"")</f>
        <v/>
      </c>
      <c r="CP248" s="39" t="str">
        <f>IFERROR(final!DA46*100/final!$I46,"")</f>
        <v/>
      </c>
      <c r="CQ248" s="39" t="str">
        <f>IFERROR(final!DB46*100/final!$I46,"")</f>
        <v/>
      </c>
      <c r="CR248" s="39" t="str">
        <f>IFERROR(final!DC46*100/final!$I46,"")</f>
        <v/>
      </c>
      <c r="CS248" s="39" t="str">
        <f>IFERROR(final!DD46*100/final!$I46,"")</f>
        <v/>
      </c>
      <c r="CT248" s="39" t="str">
        <f>IFERROR(final!DE46*100/final!$I46,"")</f>
        <v/>
      </c>
      <c r="CU248" s="39" t="str">
        <f>IFERROR(final!DF46*100/final!$I46,"")</f>
        <v/>
      </c>
      <c r="CV248" s="39" t="str">
        <f>IFERROR(final!DG46*100/final!$I46,"")</f>
        <v/>
      </c>
      <c r="CW248" s="32" t="str">
        <f>IFERROR(SUM(A248:CV248)/final!$DH$103,"")</f>
        <v/>
      </c>
      <c r="CX248" s="14" t="str">
        <f>IF(COUNTA(final!A46),final!A46,"")</f>
        <v/>
      </c>
      <c r="CY248" s="14" t="str">
        <f>IF(COUNTA(final!B46),final!B46,"")</f>
        <v/>
      </c>
      <c r="CZ248" s="14" t="str">
        <f>IF(COUNTA(final!C46),final!C46,"")</f>
        <v/>
      </c>
      <c r="DA248" s="14" t="str">
        <f>IF(COUNTA(final!D46),final!D46,"")</f>
        <v/>
      </c>
      <c r="DB248" s="14" t="str">
        <f>IF(COUNTA(final!E46),final!E46,"")</f>
        <v/>
      </c>
      <c r="DC248" s="14" t="str">
        <f>IF(COUNTA(final!F46),final!F46,"")</f>
        <v/>
      </c>
      <c r="DD248" s="14" t="str">
        <f>IF(COUNTA(final!G46),final!G46,"")</f>
        <v/>
      </c>
      <c r="DE248" s="14" t="str">
        <f>IF(COUNTA(final!H46),final!H46,"")</f>
        <v/>
      </c>
    </row>
    <row r="249" spans="1:109" x14ac:dyDescent="0.2">
      <c r="A249" s="39" t="str">
        <f>IFERROR(final!L47*100/final!$I47,"")</f>
        <v/>
      </c>
      <c r="B249" s="39" t="str">
        <f>IFERROR(final!M47*100/final!$I47,"")</f>
        <v/>
      </c>
      <c r="C249" s="39" t="str">
        <f>IFERROR(final!N47*100/final!$I47,"")</f>
        <v/>
      </c>
      <c r="D249" s="39" t="str">
        <f>IFERROR(final!O47*100/final!$I47,"")</f>
        <v/>
      </c>
      <c r="E249" s="39" t="str">
        <f>IFERROR(final!P47*100/final!$I47,"")</f>
        <v/>
      </c>
      <c r="F249" s="39" t="str">
        <f>IFERROR(final!Q47*100/final!$I47,"")</f>
        <v/>
      </c>
      <c r="G249" s="39" t="str">
        <f>IFERROR(final!R47*100/final!$I47,"")</f>
        <v/>
      </c>
      <c r="H249" s="39" t="str">
        <f>IFERROR(final!S47*100/final!$I47,"")</f>
        <v/>
      </c>
      <c r="I249" s="39" t="str">
        <f>IFERROR(final!T47*100/final!$I47,"")</f>
        <v/>
      </c>
      <c r="J249" s="39" t="str">
        <f>IFERROR(final!U47*100/final!$I47,"")</f>
        <v/>
      </c>
      <c r="K249" s="39" t="str">
        <f>IFERROR(final!V47*100/final!$I47,"")</f>
        <v/>
      </c>
      <c r="L249" s="39" t="str">
        <f>IFERROR(final!W47*100/final!$I47,"")</f>
        <v/>
      </c>
      <c r="M249" s="39" t="str">
        <f>IFERROR(final!X47*100/final!$I47,"")</f>
        <v/>
      </c>
      <c r="N249" s="39" t="str">
        <f>IFERROR(final!Y47*100/final!$I47,"")</f>
        <v/>
      </c>
      <c r="O249" s="39" t="str">
        <f>IFERROR(final!Z47*100/final!$I47,"")</f>
        <v/>
      </c>
      <c r="P249" s="39" t="str">
        <f>IFERROR(final!AA47*100/final!$I47,"")</f>
        <v/>
      </c>
      <c r="Q249" s="39" t="str">
        <f>IFERROR(final!AB47*100/final!$I47,"")</f>
        <v/>
      </c>
      <c r="R249" s="39" t="str">
        <f>IFERROR(final!AC47*100/final!$I47,"")</f>
        <v/>
      </c>
      <c r="S249" s="39" t="str">
        <f>IFERROR(final!AD47*100/final!$I47,"")</f>
        <v/>
      </c>
      <c r="T249" s="39" t="str">
        <f>IFERROR(final!AE47*100/final!$I47,"")</f>
        <v/>
      </c>
      <c r="U249" s="39" t="str">
        <f>IFERROR(final!AF47*100/final!$I47,"")</f>
        <v/>
      </c>
      <c r="V249" s="39" t="str">
        <f>IFERROR(final!AG47*100/final!$I47,"")</f>
        <v/>
      </c>
      <c r="W249" s="39" t="str">
        <f>IFERROR(final!AH47*100/final!$I47,"")</f>
        <v/>
      </c>
      <c r="X249" s="39" t="str">
        <f>IFERROR(final!AI47*100/final!$I47,"")</f>
        <v/>
      </c>
      <c r="Y249" s="39" t="str">
        <f>IFERROR(final!AJ47*100/final!$I47,"")</f>
        <v/>
      </c>
      <c r="Z249" s="39" t="str">
        <f>IFERROR(final!AK47*100/final!$I47,"")</f>
        <v/>
      </c>
      <c r="AA249" s="39" t="str">
        <f>IFERROR(final!AL47*100/final!$I47,"")</f>
        <v/>
      </c>
      <c r="AB249" s="39" t="str">
        <f>IFERROR(final!AM47*100/final!$I47,"")</f>
        <v/>
      </c>
      <c r="AC249" s="39" t="str">
        <f>IFERROR(final!AN47*100/final!$I47,"")</f>
        <v/>
      </c>
      <c r="AD249" s="39" t="str">
        <f>IFERROR(final!AO47*100/final!$I47,"")</f>
        <v/>
      </c>
      <c r="AE249" s="39" t="str">
        <f>IFERROR(final!AP47*100/final!$I47,"")</f>
        <v/>
      </c>
      <c r="AF249" s="39" t="str">
        <f>IFERROR(final!AQ47*100/final!$I47,"")</f>
        <v/>
      </c>
      <c r="AG249" s="39" t="str">
        <f>IFERROR(final!AR47*100/final!$I47,"")</f>
        <v/>
      </c>
      <c r="AH249" s="39" t="str">
        <f>IFERROR(final!AS47*100/final!$I47,"")</f>
        <v/>
      </c>
      <c r="AI249" s="39" t="str">
        <f>IFERROR(final!AT47*100/final!$I47,"")</f>
        <v/>
      </c>
      <c r="AJ249" s="39" t="str">
        <f>IFERROR(final!AU47*100/final!$I47,"")</f>
        <v/>
      </c>
      <c r="AK249" s="39" t="str">
        <f>IFERROR(final!AV47*100/final!$I47,"")</f>
        <v/>
      </c>
      <c r="AL249" s="39" t="str">
        <f>IFERROR(final!AW47*100/final!$I47,"")</f>
        <v/>
      </c>
      <c r="AM249" s="39" t="str">
        <f>IFERROR(final!AX47*100/final!$I47,"")</f>
        <v/>
      </c>
      <c r="AN249" s="39" t="str">
        <f>IFERROR(final!AY47*100/final!$I47,"")</f>
        <v/>
      </c>
      <c r="AO249" s="39" t="str">
        <f>IFERROR(final!AZ47*100/final!$I47,"")</f>
        <v/>
      </c>
      <c r="AP249" s="39" t="str">
        <f>IFERROR(final!BA47*100/final!$I47,"")</f>
        <v/>
      </c>
      <c r="AQ249" s="39" t="str">
        <f>IFERROR(final!BB47*100/final!$I47,"")</f>
        <v/>
      </c>
      <c r="AR249" s="39" t="str">
        <f>IFERROR(final!BC47*100/final!$I47,"")</f>
        <v/>
      </c>
      <c r="AS249" s="39" t="str">
        <f>IFERROR(final!BD47*100/final!$I47,"")</f>
        <v/>
      </c>
      <c r="AT249" s="39" t="str">
        <f>IFERROR(final!BE47*100/final!$I47,"")</f>
        <v/>
      </c>
      <c r="AU249" s="39" t="str">
        <f>IFERROR(final!BF47*100/final!$I47,"")</f>
        <v/>
      </c>
      <c r="AV249" s="39" t="str">
        <f>IFERROR(final!BG47*100/final!$I47,"")</f>
        <v/>
      </c>
      <c r="AW249" s="39" t="str">
        <f>IFERROR(final!BH47*100/final!$I47,"")</f>
        <v/>
      </c>
      <c r="AX249" s="39" t="str">
        <f>IFERROR(final!BI47*100/final!$I47,"")</f>
        <v/>
      </c>
      <c r="AY249" s="39" t="str">
        <f>IFERROR(final!BJ47*100/final!$I47,"")</f>
        <v/>
      </c>
      <c r="AZ249" s="39" t="str">
        <f>IFERROR(final!BK47*100/final!$I47,"")</f>
        <v/>
      </c>
      <c r="BA249" s="39" t="str">
        <f>IFERROR(final!BL47*100/final!$I47,"")</f>
        <v/>
      </c>
      <c r="BB249" s="39" t="str">
        <f>IFERROR(final!BM47*100/final!$I47,"")</f>
        <v/>
      </c>
      <c r="BC249" s="39" t="str">
        <f>IFERROR(final!BN47*100/final!$I47,"")</f>
        <v/>
      </c>
      <c r="BD249" s="39" t="str">
        <f>IFERROR(final!BO47*100/final!$I47,"")</f>
        <v/>
      </c>
      <c r="BE249" s="39" t="str">
        <f>IFERROR(final!BP47*100/final!$I47,"")</f>
        <v/>
      </c>
      <c r="BF249" s="39" t="str">
        <f>IFERROR(final!BQ47*100/final!$I47,"")</f>
        <v/>
      </c>
      <c r="BG249" s="39" t="str">
        <f>IFERROR(final!BR47*100/final!$I47,"")</f>
        <v/>
      </c>
      <c r="BH249" s="39" t="str">
        <f>IFERROR(final!BS47*100/final!$I47,"")</f>
        <v/>
      </c>
      <c r="BI249" s="39" t="str">
        <f>IFERROR(final!BT47*100/final!$I47,"")</f>
        <v/>
      </c>
      <c r="BJ249" s="39" t="str">
        <f>IFERROR(final!BU47*100/final!$I47,"")</f>
        <v/>
      </c>
      <c r="BK249" s="39" t="str">
        <f>IFERROR(final!BV47*100/final!$I47,"")</f>
        <v/>
      </c>
      <c r="BL249" s="39" t="str">
        <f>IFERROR(final!BW47*100/final!$I47,"")</f>
        <v/>
      </c>
      <c r="BM249" s="39" t="str">
        <f>IFERROR(final!BX47*100/final!$I47,"")</f>
        <v/>
      </c>
      <c r="BN249" s="39" t="str">
        <f>IFERROR(final!BY47*100/final!$I47,"")</f>
        <v/>
      </c>
      <c r="BO249" s="39" t="str">
        <f>IFERROR(final!BZ47*100/final!$I47,"")</f>
        <v/>
      </c>
      <c r="BP249" s="39" t="str">
        <f>IFERROR(final!CA47*100/final!$I47,"")</f>
        <v/>
      </c>
      <c r="BQ249" s="39" t="str">
        <f>IFERROR(final!CB47*100/final!$I47,"")</f>
        <v/>
      </c>
      <c r="BR249" s="39" t="str">
        <f>IFERROR(final!CC47*100/final!$I47,"")</f>
        <v/>
      </c>
      <c r="BS249" s="39" t="str">
        <f>IFERROR(final!CD47*100/final!$I47,"")</f>
        <v/>
      </c>
      <c r="BT249" s="39" t="str">
        <f>IFERROR(final!CE47*100/final!$I47,"")</f>
        <v/>
      </c>
      <c r="BU249" s="39" t="str">
        <f>IFERROR(final!CF47*100/final!$I47,"")</f>
        <v/>
      </c>
      <c r="BV249" s="39" t="str">
        <f>IFERROR(final!CG47*100/final!$I47,"")</f>
        <v/>
      </c>
      <c r="BW249" s="39" t="str">
        <f>IFERROR(final!CH47*100/final!$I47,"")</f>
        <v/>
      </c>
      <c r="BX249" s="39" t="str">
        <f>IFERROR(final!CI47*100/final!$I47,"")</f>
        <v/>
      </c>
      <c r="BY249" s="39" t="str">
        <f>IFERROR(final!CJ47*100/final!$I47,"")</f>
        <v/>
      </c>
      <c r="BZ249" s="39" t="str">
        <f>IFERROR(final!CK47*100/final!$I47,"")</f>
        <v/>
      </c>
      <c r="CA249" s="39" t="str">
        <f>IFERROR(final!CL47*100/final!$I47,"")</f>
        <v/>
      </c>
      <c r="CB249" s="39" t="str">
        <f>IFERROR(final!CM47*100/final!$I47,"")</f>
        <v/>
      </c>
      <c r="CC249" s="39" t="str">
        <f>IFERROR(final!CN47*100/final!$I47,"")</f>
        <v/>
      </c>
      <c r="CD249" s="39" t="str">
        <f>IFERROR(final!CO47*100/final!$I47,"")</f>
        <v/>
      </c>
      <c r="CE249" s="39" t="str">
        <f>IFERROR(final!CP47*100/final!$I47,"")</f>
        <v/>
      </c>
      <c r="CF249" s="39" t="str">
        <f>IFERROR(final!CQ47*100/final!$I47,"")</f>
        <v/>
      </c>
      <c r="CG249" s="39" t="str">
        <f>IFERROR(final!CR47*100/final!$I47,"")</f>
        <v/>
      </c>
      <c r="CH249" s="39" t="str">
        <f>IFERROR(final!CS47*100/final!$I47,"")</f>
        <v/>
      </c>
      <c r="CI249" s="39" t="str">
        <f>IFERROR(final!CT47*100/final!$I47,"")</f>
        <v/>
      </c>
      <c r="CJ249" s="39" t="str">
        <f>IFERROR(final!CU47*100/final!$I47,"")</f>
        <v/>
      </c>
      <c r="CK249" s="39" t="str">
        <f>IFERROR(final!CV47*100/final!$I47,"")</f>
        <v/>
      </c>
      <c r="CL249" s="39" t="str">
        <f>IFERROR(final!CW47*100/final!$I47,"")</f>
        <v/>
      </c>
      <c r="CM249" s="39" t="str">
        <f>IFERROR(final!CX47*100/final!$I47,"")</f>
        <v/>
      </c>
      <c r="CN249" s="39" t="str">
        <f>IFERROR(final!CY47*100/final!$I47,"")</f>
        <v/>
      </c>
      <c r="CO249" s="39" t="str">
        <f>IFERROR(final!CZ47*100/final!$I47,"")</f>
        <v/>
      </c>
      <c r="CP249" s="39" t="str">
        <f>IFERROR(final!DA47*100/final!$I47,"")</f>
        <v/>
      </c>
      <c r="CQ249" s="39" t="str">
        <f>IFERROR(final!DB47*100/final!$I47,"")</f>
        <v/>
      </c>
      <c r="CR249" s="39" t="str">
        <f>IFERROR(final!DC47*100/final!$I47,"")</f>
        <v/>
      </c>
      <c r="CS249" s="39" t="str">
        <f>IFERROR(final!DD47*100/final!$I47,"")</f>
        <v/>
      </c>
      <c r="CT249" s="39" t="str">
        <f>IFERROR(final!DE47*100/final!$I47,"")</f>
        <v/>
      </c>
      <c r="CU249" s="39" t="str">
        <f>IFERROR(final!DF47*100/final!$I47,"")</f>
        <v/>
      </c>
      <c r="CV249" s="39" t="str">
        <f>IFERROR(final!DG47*100/final!$I47,"")</f>
        <v/>
      </c>
      <c r="CW249" s="32" t="str">
        <f>IFERROR(SUM(A249:CV249)/final!$DH$103,"")</f>
        <v/>
      </c>
      <c r="CX249" s="14" t="str">
        <f>IF(COUNTA(final!A47),final!A47,"")</f>
        <v/>
      </c>
      <c r="CY249" s="14" t="str">
        <f>IF(COUNTA(final!B47),final!B47,"")</f>
        <v/>
      </c>
      <c r="CZ249" s="14" t="str">
        <f>IF(COUNTA(final!C47),final!C47,"")</f>
        <v/>
      </c>
      <c r="DA249" s="14" t="str">
        <f>IF(COUNTA(final!D47),final!D47,"")</f>
        <v/>
      </c>
      <c r="DB249" s="14" t="str">
        <f>IF(COUNTA(final!E47),final!E47,"")</f>
        <v/>
      </c>
      <c r="DC249" s="14" t="str">
        <f>IF(COUNTA(final!F47),final!F47,"")</f>
        <v/>
      </c>
      <c r="DD249" s="14" t="str">
        <f>IF(COUNTA(final!G47),final!G47,"")</f>
        <v/>
      </c>
      <c r="DE249" s="14" t="str">
        <f>IF(COUNTA(final!H47),final!H47,"")</f>
        <v/>
      </c>
    </row>
    <row r="250" spans="1:109" x14ac:dyDescent="0.2">
      <c r="A250" s="39" t="str">
        <f>IFERROR(final!L48*100/final!$I48,"")</f>
        <v/>
      </c>
      <c r="B250" s="39" t="str">
        <f>IFERROR(final!M48*100/final!$I48,"")</f>
        <v/>
      </c>
      <c r="C250" s="39" t="str">
        <f>IFERROR(final!N48*100/final!$I48,"")</f>
        <v/>
      </c>
      <c r="D250" s="39" t="str">
        <f>IFERROR(final!O48*100/final!$I48,"")</f>
        <v/>
      </c>
      <c r="E250" s="39" t="str">
        <f>IFERROR(final!P48*100/final!$I48,"")</f>
        <v/>
      </c>
      <c r="F250" s="39" t="str">
        <f>IFERROR(final!Q48*100/final!$I48,"")</f>
        <v/>
      </c>
      <c r="G250" s="39" t="str">
        <f>IFERROR(final!R48*100/final!$I48,"")</f>
        <v/>
      </c>
      <c r="H250" s="39" t="str">
        <f>IFERROR(final!S48*100/final!$I48,"")</f>
        <v/>
      </c>
      <c r="I250" s="39" t="str">
        <f>IFERROR(final!T48*100/final!$I48,"")</f>
        <v/>
      </c>
      <c r="J250" s="39" t="str">
        <f>IFERROR(final!U48*100/final!$I48,"")</f>
        <v/>
      </c>
      <c r="K250" s="39" t="str">
        <f>IFERROR(final!V48*100/final!$I48,"")</f>
        <v/>
      </c>
      <c r="L250" s="39" t="str">
        <f>IFERROR(final!W48*100/final!$I48,"")</f>
        <v/>
      </c>
      <c r="M250" s="39" t="str">
        <f>IFERROR(final!X48*100/final!$I48,"")</f>
        <v/>
      </c>
      <c r="N250" s="39" t="str">
        <f>IFERROR(final!Y48*100/final!$I48,"")</f>
        <v/>
      </c>
      <c r="O250" s="39" t="str">
        <f>IFERROR(final!Z48*100/final!$I48,"")</f>
        <v/>
      </c>
      <c r="P250" s="39" t="str">
        <f>IFERROR(final!AA48*100/final!$I48,"")</f>
        <v/>
      </c>
      <c r="Q250" s="39" t="str">
        <f>IFERROR(final!AB48*100/final!$I48,"")</f>
        <v/>
      </c>
      <c r="R250" s="39" t="str">
        <f>IFERROR(final!AC48*100/final!$I48,"")</f>
        <v/>
      </c>
      <c r="S250" s="39" t="str">
        <f>IFERROR(final!AD48*100/final!$I48,"")</f>
        <v/>
      </c>
      <c r="T250" s="39" t="str">
        <f>IFERROR(final!AE48*100/final!$I48,"")</f>
        <v/>
      </c>
      <c r="U250" s="39" t="str">
        <f>IFERROR(final!AF48*100/final!$I48,"")</f>
        <v/>
      </c>
      <c r="V250" s="39" t="str">
        <f>IFERROR(final!AG48*100/final!$I48,"")</f>
        <v/>
      </c>
      <c r="W250" s="39" t="str">
        <f>IFERROR(final!AH48*100/final!$I48,"")</f>
        <v/>
      </c>
      <c r="X250" s="39" t="str">
        <f>IFERROR(final!AI48*100/final!$I48,"")</f>
        <v/>
      </c>
      <c r="Y250" s="39" t="str">
        <f>IFERROR(final!AJ48*100/final!$I48,"")</f>
        <v/>
      </c>
      <c r="Z250" s="39" t="str">
        <f>IFERROR(final!AK48*100/final!$I48,"")</f>
        <v/>
      </c>
      <c r="AA250" s="39" t="str">
        <f>IFERROR(final!AL48*100/final!$I48,"")</f>
        <v/>
      </c>
      <c r="AB250" s="39" t="str">
        <f>IFERROR(final!AM48*100/final!$I48,"")</f>
        <v/>
      </c>
      <c r="AC250" s="39" t="str">
        <f>IFERROR(final!AN48*100/final!$I48,"")</f>
        <v/>
      </c>
      <c r="AD250" s="39" t="str">
        <f>IFERROR(final!AO48*100/final!$I48,"")</f>
        <v/>
      </c>
      <c r="AE250" s="39" t="str">
        <f>IFERROR(final!AP48*100/final!$I48,"")</f>
        <v/>
      </c>
      <c r="AF250" s="39" t="str">
        <f>IFERROR(final!AQ48*100/final!$I48,"")</f>
        <v/>
      </c>
      <c r="AG250" s="39" t="str">
        <f>IFERROR(final!AR48*100/final!$I48,"")</f>
        <v/>
      </c>
      <c r="AH250" s="39" t="str">
        <f>IFERROR(final!AS48*100/final!$I48,"")</f>
        <v/>
      </c>
      <c r="AI250" s="39" t="str">
        <f>IFERROR(final!AT48*100/final!$I48,"")</f>
        <v/>
      </c>
      <c r="AJ250" s="39" t="str">
        <f>IFERROR(final!AU48*100/final!$I48,"")</f>
        <v/>
      </c>
      <c r="AK250" s="39" t="str">
        <f>IFERROR(final!AV48*100/final!$I48,"")</f>
        <v/>
      </c>
      <c r="AL250" s="39" t="str">
        <f>IFERROR(final!AW48*100/final!$I48,"")</f>
        <v/>
      </c>
      <c r="AM250" s="39" t="str">
        <f>IFERROR(final!AX48*100/final!$I48,"")</f>
        <v/>
      </c>
      <c r="AN250" s="39" t="str">
        <f>IFERROR(final!AY48*100/final!$I48,"")</f>
        <v/>
      </c>
      <c r="AO250" s="39" t="str">
        <f>IFERROR(final!AZ48*100/final!$I48,"")</f>
        <v/>
      </c>
      <c r="AP250" s="39" t="str">
        <f>IFERROR(final!BA48*100/final!$I48,"")</f>
        <v/>
      </c>
      <c r="AQ250" s="39" t="str">
        <f>IFERROR(final!BB48*100/final!$I48,"")</f>
        <v/>
      </c>
      <c r="AR250" s="39" t="str">
        <f>IFERROR(final!BC48*100/final!$I48,"")</f>
        <v/>
      </c>
      <c r="AS250" s="39" t="str">
        <f>IFERROR(final!BD48*100/final!$I48,"")</f>
        <v/>
      </c>
      <c r="AT250" s="39" t="str">
        <f>IFERROR(final!BE48*100/final!$I48,"")</f>
        <v/>
      </c>
      <c r="AU250" s="39" t="str">
        <f>IFERROR(final!BF48*100/final!$I48,"")</f>
        <v/>
      </c>
      <c r="AV250" s="39" t="str">
        <f>IFERROR(final!BG48*100/final!$I48,"")</f>
        <v/>
      </c>
      <c r="AW250" s="39" t="str">
        <f>IFERROR(final!BH48*100/final!$I48,"")</f>
        <v/>
      </c>
      <c r="AX250" s="39" t="str">
        <f>IFERROR(final!BI48*100/final!$I48,"")</f>
        <v/>
      </c>
      <c r="AY250" s="39" t="str">
        <f>IFERROR(final!BJ48*100/final!$I48,"")</f>
        <v/>
      </c>
      <c r="AZ250" s="39" t="str">
        <f>IFERROR(final!BK48*100/final!$I48,"")</f>
        <v/>
      </c>
      <c r="BA250" s="39" t="str">
        <f>IFERROR(final!BL48*100/final!$I48,"")</f>
        <v/>
      </c>
      <c r="BB250" s="39" t="str">
        <f>IFERROR(final!BM48*100/final!$I48,"")</f>
        <v/>
      </c>
      <c r="BC250" s="39" t="str">
        <f>IFERROR(final!BN48*100/final!$I48,"")</f>
        <v/>
      </c>
      <c r="BD250" s="39" t="str">
        <f>IFERROR(final!BO48*100/final!$I48,"")</f>
        <v/>
      </c>
      <c r="BE250" s="39" t="str">
        <f>IFERROR(final!BP48*100/final!$I48,"")</f>
        <v/>
      </c>
      <c r="BF250" s="39" t="str">
        <f>IFERROR(final!BQ48*100/final!$I48,"")</f>
        <v/>
      </c>
      <c r="BG250" s="39" t="str">
        <f>IFERROR(final!BR48*100/final!$I48,"")</f>
        <v/>
      </c>
      <c r="BH250" s="39" t="str">
        <f>IFERROR(final!BS48*100/final!$I48,"")</f>
        <v/>
      </c>
      <c r="BI250" s="39" t="str">
        <f>IFERROR(final!BT48*100/final!$I48,"")</f>
        <v/>
      </c>
      <c r="BJ250" s="39" t="str">
        <f>IFERROR(final!BU48*100/final!$I48,"")</f>
        <v/>
      </c>
      <c r="BK250" s="39" t="str">
        <f>IFERROR(final!BV48*100/final!$I48,"")</f>
        <v/>
      </c>
      <c r="BL250" s="39" t="str">
        <f>IFERROR(final!BW48*100/final!$I48,"")</f>
        <v/>
      </c>
      <c r="BM250" s="39" t="str">
        <f>IFERROR(final!BX48*100/final!$I48,"")</f>
        <v/>
      </c>
      <c r="BN250" s="39" t="str">
        <f>IFERROR(final!BY48*100/final!$I48,"")</f>
        <v/>
      </c>
      <c r="BO250" s="39" t="str">
        <f>IFERROR(final!BZ48*100/final!$I48,"")</f>
        <v/>
      </c>
      <c r="BP250" s="39" t="str">
        <f>IFERROR(final!CA48*100/final!$I48,"")</f>
        <v/>
      </c>
      <c r="BQ250" s="39" t="str">
        <f>IFERROR(final!CB48*100/final!$I48,"")</f>
        <v/>
      </c>
      <c r="BR250" s="39" t="str">
        <f>IFERROR(final!CC48*100/final!$I48,"")</f>
        <v/>
      </c>
      <c r="BS250" s="39" t="str">
        <f>IFERROR(final!CD48*100/final!$I48,"")</f>
        <v/>
      </c>
      <c r="BT250" s="39" t="str">
        <f>IFERROR(final!CE48*100/final!$I48,"")</f>
        <v/>
      </c>
      <c r="BU250" s="39" t="str">
        <f>IFERROR(final!CF48*100/final!$I48,"")</f>
        <v/>
      </c>
      <c r="BV250" s="39" t="str">
        <f>IFERROR(final!CG48*100/final!$I48,"")</f>
        <v/>
      </c>
      <c r="BW250" s="39" t="str">
        <f>IFERROR(final!CH48*100/final!$I48,"")</f>
        <v/>
      </c>
      <c r="BX250" s="39" t="str">
        <f>IFERROR(final!CI48*100/final!$I48,"")</f>
        <v/>
      </c>
      <c r="BY250" s="39" t="str">
        <f>IFERROR(final!CJ48*100/final!$I48,"")</f>
        <v/>
      </c>
      <c r="BZ250" s="39" t="str">
        <f>IFERROR(final!CK48*100/final!$I48,"")</f>
        <v/>
      </c>
      <c r="CA250" s="39" t="str">
        <f>IFERROR(final!CL48*100/final!$I48,"")</f>
        <v/>
      </c>
      <c r="CB250" s="39" t="str">
        <f>IFERROR(final!CM48*100/final!$I48,"")</f>
        <v/>
      </c>
      <c r="CC250" s="39" t="str">
        <f>IFERROR(final!CN48*100/final!$I48,"")</f>
        <v/>
      </c>
      <c r="CD250" s="39" t="str">
        <f>IFERROR(final!CO48*100/final!$I48,"")</f>
        <v/>
      </c>
      <c r="CE250" s="39" t="str">
        <f>IFERROR(final!CP48*100/final!$I48,"")</f>
        <v/>
      </c>
      <c r="CF250" s="39" t="str">
        <f>IFERROR(final!CQ48*100/final!$I48,"")</f>
        <v/>
      </c>
      <c r="CG250" s="39" t="str">
        <f>IFERROR(final!CR48*100/final!$I48,"")</f>
        <v/>
      </c>
      <c r="CH250" s="39" t="str">
        <f>IFERROR(final!CS48*100/final!$I48,"")</f>
        <v/>
      </c>
      <c r="CI250" s="39" t="str">
        <f>IFERROR(final!CT48*100/final!$I48,"")</f>
        <v/>
      </c>
      <c r="CJ250" s="39" t="str">
        <f>IFERROR(final!CU48*100/final!$I48,"")</f>
        <v/>
      </c>
      <c r="CK250" s="39" t="str">
        <f>IFERROR(final!CV48*100/final!$I48,"")</f>
        <v/>
      </c>
      <c r="CL250" s="39" t="str">
        <f>IFERROR(final!CW48*100/final!$I48,"")</f>
        <v/>
      </c>
      <c r="CM250" s="39" t="str">
        <f>IFERROR(final!CX48*100/final!$I48,"")</f>
        <v/>
      </c>
      <c r="CN250" s="39" t="str">
        <f>IFERROR(final!CY48*100/final!$I48,"")</f>
        <v/>
      </c>
      <c r="CO250" s="39" t="str">
        <f>IFERROR(final!CZ48*100/final!$I48,"")</f>
        <v/>
      </c>
      <c r="CP250" s="39" t="str">
        <f>IFERROR(final!DA48*100/final!$I48,"")</f>
        <v/>
      </c>
      <c r="CQ250" s="39" t="str">
        <f>IFERROR(final!DB48*100/final!$I48,"")</f>
        <v/>
      </c>
      <c r="CR250" s="39" t="str">
        <f>IFERROR(final!DC48*100/final!$I48,"")</f>
        <v/>
      </c>
      <c r="CS250" s="39" t="str">
        <f>IFERROR(final!DD48*100/final!$I48,"")</f>
        <v/>
      </c>
      <c r="CT250" s="39" t="str">
        <f>IFERROR(final!DE48*100/final!$I48,"")</f>
        <v/>
      </c>
      <c r="CU250" s="39" t="str">
        <f>IFERROR(final!DF48*100/final!$I48,"")</f>
        <v/>
      </c>
      <c r="CV250" s="39" t="str">
        <f>IFERROR(final!DG48*100/final!$I48,"")</f>
        <v/>
      </c>
      <c r="CW250" s="32" t="str">
        <f>IFERROR(SUM(A250:CV250)/final!$DH$103,"")</f>
        <v/>
      </c>
      <c r="CX250" s="14" t="str">
        <f>IF(COUNTA(final!A48),final!A48,"")</f>
        <v/>
      </c>
      <c r="CY250" s="14" t="str">
        <f>IF(COUNTA(final!B48),final!B48,"")</f>
        <v/>
      </c>
      <c r="CZ250" s="14" t="str">
        <f>IF(COUNTA(final!C48),final!C48,"")</f>
        <v/>
      </c>
      <c r="DA250" s="14" t="str">
        <f>IF(COUNTA(final!D48),final!D48,"")</f>
        <v/>
      </c>
      <c r="DB250" s="14" t="str">
        <f>IF(COUNTA(final!E48),final!E48,"")</f>
        <v/>
      </c>
      <c r="DC250" s="14" t="str">
        <f>IF(COUNTA(final!F48),final!F48,"")</f>
        <v/>
      </c>
      <c r="DD250" s="14" t="str">
        <f>IF(COUNTA(final!G48),final!G48,"")</f>
        <v/>
      </c>
      <c r="DE250" s="14" t="str">
        <f>IF(COUNTA(final!H48),final!H48,"")</f>
        <v/>
      </c>
    </row>
    <row r="251" spans="1:109" x14ac:dyDescent="0.2">
      <c r="A251" s="39" t="str">
        <f>IFERROR(final!L49*100/final!$I49,"")</f>
        <v/>
      </c>
      <c r="B251" s="39" t="str">
        <f>IFERROR(final!M49*100/final!$I49,"")</f>
        <v/>
      </c>
      <c r="C251" s="39" t="str">
        <f>IFERROR(final!N49*100/final!$I49,"")</f>
        <v/>
      </c>
      <c r="D251" s="39" t="str">
        <f>IFERROR(final!O49*100/final!$I49,"")</f>
        <v/>
      </c>
      <c r="E251" s="39" t="str">
        <f>IFERROR(final!P49*100/final!$I49,"")</f>
        <v/>
      </c>
      <c r="F251" s="39" t="str">
        <f>IFERROR(final!Q49*100/final!$I49,"")</f>
        <v/>
      </c>
      <c r="G251" s="39" t="str">
        <f>IFERROR(final!R49*100/final!$I49,"")</f>
        <v/>
      </c>
      <c r="H251" s="39" t="str">
        <f>IFERROR(final!S49*100/final!$I49,"")</f>
        <v/>
      </c>
      <c r="I251" s="39" t="str">
        <f>IFERROR(final!T49*100/final!$I49,"")</f>
        <v/>
      </c>
      <c r="J251" s="39" t="str">
        <f>IFERROR(final!U49*100/final!$I49,"")</f>
        <v/>
      </c>
      <c r="K251" s="39" t="str">
        <f>IFERROR(final!V49*100/final!$I49,"")</f>
        <v/>
      </c>
      <c r="L251" s="39" t="str">
        <f>IFERROR(final!W49*100/final!$I49,"")</f>
        <v/>
      </c>
      <c r="M251" s="39" t="str">
        <f>IFERROR(final!X49*100/final!$I49,"")</f>
        <v/>
      </c>
      <c r="N251" s="39" t="str">
        <f>IFERROR(final!Y49*100/final!$I49,"")</f>
        <v/>
      </c>
      <c r="O251" s="39" t="str">
        <f>IFERROR(final!Z49*100/final!$I49,"")</f>
        <v/>
      </c>
      <c r="P251" s="39" t="str">
        <f>IFERROR(final!AA49*100/final!$I49,"")</f>
        <v/>
      </c>
      <c r="Q251" s="39" t="str">
        <f>IFERROR(final!AB49*100/final!$I49,"")</f>
        <v/>
      </c>
      <c r="R251" s="39" t="str">
        <f>IFERROR(final!AC49*100/final!$I49,"")</f>
        <v/>
      </c>
      <c r="S251" s="39" t="str">
        <f>IFERROR(final!AD49*100/final!$I49,"")</f>
        <v/>
      </c>
      <c r="T251" s="39" t="str">
        <f>IFERROR(final!AE49*100/final!$I49,"")</f>
        <v/>
      </c>
      <c r="U251" s="39" t="str">
        <f>IFERROR(final!AF49*100/final!$I49,"")</f>
        <v/>
      </c>
      <c r="V251" s="39" t="str">
        <f>IFERROR(final!AG49*100/final!$I49,"")</f>
        <v/>
      </c>
      <c r="W251" s="39" t="str">
        <f>IFERROR(final!AH49*100/final!$I49,"")</f>
        <v/>
      </c>
      <c r="X251" s="39" t="str">
        <f>IFERROR(final!AI49*100/final!$I49,"")</f>
        <v/>
      </c>
      <c r="Y251" s="39" t="str">
        <f>IFERROR(final!AJ49*100/final!$I49,"")</f>
        <v/>
      </c>
      <c r="Z251" s="39" t="str">
        <f>IFERROR(final!AK49*100/final!$I49,"")</f>
        <v/>
      </c>
      <c r="AA251" s="39" t="str">
        <f>IFERROR(final!AL49*100/final!$I49,"")</f>
        <v/>
      </c>
      <c r="AB251" s="39" t="str">
        <f>IFERROR(final!AM49*100/final!$I49,"")</f>
        <v/>
      </c>
      <c r="AC251" s="39" t="str">
        <f>IFERROR(final!AN49*100/final!$I49,"")</f>
        <v/>
      </c>
      <c r="AD251" s="39" t="str">
        <f>IFERROR(final!AO49*100/final!$I49,"")</f>
        <v/>
      </c>
      <c r="AE251" s="39" t="str">
        <f>IFERROR(final!AP49*100/final!$I49,"")</f>
        <v/>
      </c>
      <c r="AF251" s="39" t="str">
        <f>IFERROR(final!AQ49*100/final!$I49,"")</f>
        <v/>
      </c>
      <c r="AG251" s="39" t="str">
        <f>IFERROR(final!AR49*100/final!$I49,"")</f>
        <v/>
      </c>
      <c r="AH251" s="39" t="str">
        <f>IFERROR(final!AS49*100/final!$I49,"")</f>
        <v/>
      </c>
      <c r="AI251" s="39" t="str">
        <f>IFERROR(final!AT49*100/final!$I49,"")</f>
        <v/>
      </c>
      <c r="AJ251" s="39" t="str">
        <f>IFERROR(final!AU49*100/final!$I49,"")</f>
        <v/>
      </c>
      <c r="AK251" s="39" t="str">
        <f>IFERROR(final!AV49*100/final!$I49,"")</f>
        <v/>
      </c>
      <c r="AL251" s="39" t="str">
        <f>IFERROR(final!AW49*100/final!$I49,"")</f>
        <v/>
      </c>
      <c r="AM251" s="39" t="str">
        <f>IFERROR(final!AX49*100/final!$I49,"")</f>
        <v/>
      </c>
      <c r="AN251" s="39" t="str">
        <f>IFERROR(final!AY49*100/final!$I49,"")</f>
        <v/>
      </c>
      <c r="AO251" s="39" t="str">
        <f>IFERROR(final!AZ49*100/final!$I49,"")</f>
        <v/>
      </c>
      <c r="AP251" s="39" t="str">
        <f>IFERROR(final!BA49*100/final!$I49,"")</f>
        <v/>
      </c>
      <c r="AQ251" s="39" t="str">
        <f>IFERROR(final!BB49*100/final!$I49,"")</f>
        <v/>
      </c>
      <c r="AR251" s="39" t="str">
        <f>IFERROR(final!BC49*100/final!$I49,"")</f>
        <v/>
      </c>
      <c r="AS251" s="39" t="str">
        <f>IFERROR(final!BD49*100/final!$I49,"")</f>
        <v/>
      </c>
      <c r="AT251" s="39" t="str">
        <f>IFERROR(final!BE49*100/final!$I49,"")</f>
        <v/>
      </c>
      <c r="AU251" s="39" t="str">
        <f>IFERROR(final!BF49*100/final!$I49,"")</f>
        <v/>
      </c>
      <c r="AV251" s="39" t="str">
        <f>IFERROR(final!BG49*100/final!$I49,"")</f>
        <v/>
      </c>
      <c r="AW251" s="39" t="str">
        <f>IFERROR(final!BH49*100/final!$I49,"")</f>
        <v/>
      </c>
      <c r="AX251" s="39" t="str">
        <f>IFERROR(final!BI49*100/final!$I49,"")</f>
        <v/>
      </c>
      <c r="AY251" s="39" t="str">
        <f>IFERROR(final!BJ49*100/final!$I49,"")</f>
        <v/>
      </c>
      <c r="AZ251" s="39" t="str">
        <f>IFERROR(final!BK49*100/final!$I49,"")</f>
        <v/>
      </c>
      <c r="BA251" s="39" t="str">
        <f>IFERROR(final!BL49*100/final!$I49,"")</f>
        <v/>
      </c>
      <c r="BB251" s="39" t="str">
        <f>IFERROR(final!BM49*100/final!$I49,"")</f>
        <v/>
      </c>
      <c r="BC251" s="39" t="str">
        <f>IFERROR(final!BN49*100/final!$I49,"")</f>
        <v/>
      </c>
      <c r="BD251" s="39" t="str">
        <f>IFERROR(final!BO49*100/final!$I49,"")</f>
        <v/>
      </c>
      <c r="BE251" s="39" t="str">
        <f>IFERROR(final!BP49*100/final!$I49,"")</f>
        <v/>
      </c>
      <c r="BF251" s="39" t="str">
        <f>IFERROR(final!BQ49*100/final!$I49,"")</f>
        <v/>
      </c>
      <c r="BG251" s="39" t="str">
        <f>IFERROR(final!BR49*100/final!$I49,"")</f>
        <v/>
      </c>
      <c r="BH251" s="39" t="str">
        <f>IFERROR(final!BS49*100/final!$I49,"")</f>
        <v/>
      </c>
      <c r="BI251" s="39" t="str">
        <f>IFERROR(final!BT49*100/final!$I49,"")</f>
        <v/>
      </c>
      <c r="BJ251" s="39" t="str">
        <f>IFERROR(final!BU49*100/final!$I49,"")</f>
        <v/>
      </c>
      <c r="BK251" s="39" t="str">
        <f>IFERROR(final!BV49*100/final!$I49,"")</f>
        <v/>
      </c>
      <c r="BL251" s="39" t="str">
        <f>IFERROR(final!BW49*100/final!$I49,"")</f>
        <v/>
      </c>
      <c r="BM251" s="39" t="str">
        <f>IFERROR(final!BX49*100/final!$I49,"")</f>
        <v/>
      </c>
      <c r="BN251" s="39" t="str">
        <f>IFERROR(final!BY49*100/final!$I49,"")</f>
        <v/>
      </c>
      <c r="BO251" s="39" t="str">
        <f>IFERROR(final!BZ49*100/final!$I49,"")</f>
        <v/>
      </c>
      <c r="BP251" s="39" t="str">
        <f>IFERROR(final!CA49*100/final!$I49,"")</f>
        <v/>
      </c>
      <c r="BQ251" s="39" t="str">
        <f>IFERROR(final!CB49*100/final!$I49,"")</f>
        <v/>
      </c>
      <c r="BR251" s="39" t="str">
        <f>IFERROR(final!CC49*100/final!$I49,"")</f>
        <v/>
      </c>
      <c r="BS251" s="39" t="str">
        <f>IFERROR(final!CD49*100/final!$I49,"")</f>
        <v/>
      </c>
      <c r="BT251" s="39" t="str">
        <f>IFERROR(final!CE49*100/final!$I49,"")</f>
        <v/>
      </c>
      <c r="BU251" s="39" t="str">
        <f>IFERROR(final!CF49*100/final!$I49,"")</f>
        <v/>
      </c>
      <c r="BV251" s="39" t="str">
        <f>IFERROR(final!CG49*100/final!$I49,"")</f>
        <v/>
      </c>
      <c r="BW251" s="39" t="str">
        <f>IFERROR(final!CH49*100/final!$I49,"")</f>
        <v/>
      </c>
      <c r="BX251" s="39" t="str">
        <f>IFERROR(final!CI49*100/final!$I49,"")</f>
        <v/>
      </c>
      <c r="BY251" s="39" t="str">
        <f>IFERROR(final!CJ49*100/final!$I49,"")</f>
        <v/>
      </c>
      <c r="BZ251" s="39" t="str">
        <f>IFERROR(final!CK49*100/final!$I49,"")</f>
        <v/>
      </c>
      <c r="CA251" s="39" t="str">
        <f>IFERROR(final!CL49*100/final!$I49,"")</f>
        <v/>
      </c>
      <c r="CB251" s="39" t="str">
        <f>IFERROR(final!CM49*100/final!$I49,"")</f>
        <v/>
      </c>
      <c r="CC251" s="39" t="str">
        <f>IFERROR(final!CN49*100/final!$I49,"")</f>
        <v/>
      </c>
      <c r="CD251" s="39" t="str">
        <f>IFERROR(final!CO49*100/final!$I49,"")</f>
        <v/>
      </c>
      <c r="CE251" s="39" t="str">
        <f>IFERROR(final!CP49*100/final!$I49,"")</f>
        <v/>
      </c>
      <c r="CF251" s="39" t="str">
        <f>IFERROR(final!CQ49*100/final!$I49,"")</f>
        <v/>
      </c>
      <c r="CG251" s="39" t="str">
        <f>IFERROR(final!CR49*100/final!$I49,"")</f>
        <v/>
      </c>
      <c r="CH251" s="39" t="str">
        <f>IFERROR(final!CS49*100/final!$I49,"")</f>
        <v/>
      </c>
      <c r="CI251" s="39" t="str">
        <f>IFERROR(final!CT49*100/final!$I49,"")</f>
        <v/>
      </c>
      <c r="CJ251" s="39" t="str">
        <f>IFERROR(final!CU49*100/final!$I49,"")</f>
        <v/>
      </c>
      <c r="CK251" s="39" t="str">
        <f>IFERROR(final!CV49*100/final!$I49,"")</f>
        <v/>
      </c>
      <c r="CL251" s="39" t="str">
        <f>IFERROR(final!CW49*100/final!$I49,"")</f>
        <v/>
      </c>
      <c r="CM251" s="39" t="str">
        <f>IFERROR(final!CX49*100/final!$I49,"")</f>
        <v/>
      </c>
      <c r="CN251" s="39" t="str">
        <f>IFERROR(final!CY49*100/final!$I49,"")</f>
        <v/>
      </c>
      <c r="CO251" s="39" t="str">
        <f>IFERROR(final!CZ49*100/final!$I49,"")</f>
        <v/>
      </c>
      <c r="CP251" s="39" t="str">
        <f>IFERROR(final!DA49*100/final!$I49,"")</f>
        <v/>
      </c>
      <c r="CQ251" s="39" t="str">
        <f>IFERROR(final!DB49*100/final!$I49,"")</f>
        <v/>
      </c>
      <c r="CR251" s="39" t="str">
        <f>IFERROR(final!DC49*100/final!$I49,"")</f>
        <v/>
      </c>
      <c r="CS251" s="39" t="str">
        <f>IFERROR(final!DD49*100/final!$I49,"")</f>
        <v/>
      </c>
      <c r="CT251" s="39" t="str">
        <f>IFERROR(final!DE49*100/final!$I49,"")</f>
        <v/>
      </c>
      <c r="CU251" s="39" t="str">
        <f>IFERROR(final!DF49*100/final!$I49,"")</f>
        <v/>
      </c>
      <c r="CV251" s="39" t="str">
        <f>IFERROR(final!DG49*100/final!$I49,"")</f>
        <v/>
      </c>
      <c r="CW251" s="32" t="str">
        <f>IFERROR(SUM(A251:CV251)/final!$DH$103,"")</f>
        <v/>
      </c>
      <c r="CX251" s="14" t="str">
        <f>IF(COUNTA(final!A49),final!A49,"")</f>
        <v/>
      </c>
      <c r="CY251" s="14" t="str">
        <f>IF(COUNTA(final!B49),final!B49,"")</f>
        <v/>
      </c>
      <c r="CZ251" s="14" t="str">
        <f>IF(COUNTA(final!C49),final!C49,"")</f>
        <v/>
      </c>
      <c r="DA251" s="14" t="str">
        <f>IF(COUNTA(final!D49),final!D49,"")</f>
        <v/>
      </c>
      <c r="DB251" s="14" t="str">
        <f>IF(COUNTA(final!E49),final!E49,"")</f>
        <v/>
      </c>
      <c r="DC251" s="14" t="str">
        <f>IF(COUNTA(final!F49),final!F49,"")</f>
        <v/>
      </c>
      <c r="DD251" s="14" t="str">
        <f>IF(COUNTA(final!G49),final!G49,"")</f>
        <v/>
      </c>
      <c r="DE251" s="14" t="str">
        <f>IF(COUNTA(final!H49),final!H49,"")</f>
        <v/>
      </c>
    </row>
    <row r="252" spans="1:109" x14ac:dyDescent="0.2">
      <c r="A252" s="39" t="str">
        <f>IFERROR(final!L50*100/final!$I50,"")</f>
        <v/>
      </c>
      <c r="B252" s="39" t="str">
        <f>IFERROR(final!M50*100/final!$I50,"")</f>
        <v/>
      </c>
      <c r="C252" s="39" t="str">
        <f>IFERROR(final!N50*100/final!$I50,"")</f>
        <v/>
      </c>
      <c r="D252" s="39" t="str">
        <f>IFERROR(final!O50*100/final!$I50,"")</f>
        <v/>
      </c>
      <c r="E252" s="39" t="str">
        <f>IFERROR(final!P50*100/final!$I50,"")</f>
        <v/>
      </c>
      <c r="F252" s="39" t="str">
        <f>IFERROR(final!Q50*100/final!$I50,"")</f>
        <v/>
      </c>
      <c r="G252" s="39" t="str">
        <f>IFERROR(final!R50*100/final!$I50,"")</f>
        <v/>
      </c>
      <c r="H252" s="39" t="str">
        <f>IFERROR(final!S50*100/final!$I50,"")</f>
        <v/>
      </c>
      <c r="I252" s="39" t="str">
        <f>IFERROR(final!T50*100/final!$I50,"")</f>
        <v/>
      </c>
      <c r="J252" s="39" t="str">
        <f>IFERROR(final!U50*100/final!$I50,"")</f>
        <v/>
      </c>
      <c r="K252" s="39" t="str">
        <f>IFERROR(final!V50*100/final!$I50,"")</f>
        <v/>
      </c>
      <c r="L252" s="39" t="str">
        <f>IFERROR(final!W50*100/final!$I50,"")</f>
        <v/>
      </c>
      <c r="M252" s="39" t="str">
        <f>IFERROR(final!X50*100/final!$I50,"")</f>
        <v/>
      </c>
      <c r="N252" s="39" t="str">
        <f>IFERROR(final!Y50*100/final!$I50,"")</f>
        <v/>
      </c>
      <c r="O252" s="39" t="str">
        <f>IFERROR(final!Z50*100/final!$I50,"")</f>
        <v/>
      </c>
      <c r="P252" s="39" t="str">
        <f>IFERROR(final!AA50*100/final!$I50,"")</f>
        <v/>
      </c>
      <c r="Q252" s="39" t="str">
        <f>IFERROR(final!AB50*100/final!$I50,"")</f>
        <v/>
      </c>
      <c r="R252" s="39" t="str">
        <f>IFERROR(final!AC50*100/final!$I50,"")</f>
        <v/>
      </c>
      <c r="S252" s="39" t="str">
        <f>IFERROR(final!AD50*100/final!$I50,"")</f>
        <v/>
      </c>
      <c r="T252" s="39" t="str">
        <f>IFERROR(final!AE50*100/final!$I50,"")</f>
        <v/>
      </c>
      <c r="U252" s="39" t="str">
        <f>IFERROR(final!AF50*100/final!$I50,"")</f>
        <v/>
      </c>
      <c r="V252" s="39" t="str">
        <f>IFERROR(final!AG50*100/final!$I50,"")</f>
        <v/>
      </c>
      <c r="W252" s="39" t="str">
        <f>IFERROR(final!AH50*100/final!$I50,"")</f>
        <v/>
      </c>
      <c r="X252" s="39" t="str">
        <f>IFERROR(final!AI50*100/final!$I50,"")</f>
        <v/>
      </c>
      <c r="Y252" s="39" t="str">
        <f>IFERROR(final!AJ50*100/final!$I50,"")</f>
        <v/>
      </c>
      <c r="Z252" s="39" t="str">
        <f>IFERROR(final!AK50*100/final!$I50,"")</f>
        <v/>
      </c>
      <c r="AA252" s="39" t="str">
        <f>IFERROR(final!AL50*100/final!$I50,"")</f>
        <v/>
      </c>
      <c r="AB252" s="39" t="str">
        <f>IFERROR(final!AM50*100/final!$I50,"")</f>
        <v/>
      </c>
      <c r="AC252" s="39" t="str">
        <f>IFERROR(final!AN50*100/final!$I50,"")</f>
        <v/>
      </c>
      <c r="AD252" s="39" t="str">
        <f>IFERROR(final!AO50*100/final!$I50,"")</f>
        <v/>
      </c>
      <c r="AE252" s="39" t="str">
        <f>IFERROR(final!AP50*100/final!$I50,"")</f>
        <v/>
      </c>
      <c r="AF252" s="39" t="str">
        <f>IFERROR(final!AQ50*100/final!$I50,"")</f>
        <v/>
      </c>
      <c r="AG252" s="39" t="str">
        <f>IFERROR(final!AR50*100/final!$I50,"")</f>
        <v/>
      </c>
      <c r="AH252" s="39" t="str">
        <f>IFERROR(final!AS50*100/final!$I50,"")</f>
        <v/>
      </c>
      <c r="AI252" s="39" t="str">
        <f>IFERROR(final!AT50*100/final!$I50,"")</f>
        <v/>
      </c>
      <c r="AJ252" s="39" t="str">
        <f>IFERROR(final!AU50*100/final!$I50,"")</f>
        <v/>
      </c>
      <c r="AK252" s="39" t="str">
        <f>IFERROR(final!AV50*100/final!$I50,"")</f>
        <v/>
      </c>
      <c r="AL252" s="39" t="str">
        <f>IFERROR(final!AW50*100/final!$I50,"")</f>
        <v/>
      </c>
      <c r="AM252" s="39" t="str">
        <f>IFERROR(final!AX50*100/final!$I50,"")</f>
        <v/>
      </c>
      <c r="AN252" s="39" t="str">
        <f>IFERROR(final!AY50*100/final!$I50,"")</f>
        <v/>
      </c>
      <c r="AO252" s="39" t="str">
        <f>IFERROR(final!AZ50*100/final!$I50,"")</f>
        <v/>
      </c>
      <c r="AP252" s="39" t="str">
        <f>IFERROR(final!BA50*100/final!$I50,"")</f>
        <v/>
      </c>
      <c r="AQ252" s="39" t="str">
        <f>IFERROR(final!BB50*100/final!$I50,"")</f>
        <v/>
      </c>
      <c r="AR252" s="39" t="str">
        <f>IFERROR(final!BC50*100/final!$I50,"")</f>
        <v/>
      </c>
      <c r="AS252" s="39" t="str">
        <f>IFERROR(final!BD50*100/final!$I50,"")</f>
        <v/>
      </c>
      <c r="AT252" s="39" t="str">
        <f>IFERROR(final!BE50*100/final!$I50,"")</f>
        <v/>
      </c>
      <c r="AU252" s="39" t="str">
        <f>IFERROR(final!BF50*100/final!$I50,"")</f>
        <v/>
      </c>
      <c r="AV252" s="39" t="str">
        <f>IFERROR(final!BG50*100/final!$I50,"")</f>
        <v/>
      </c>
      <c r="AW252" s="39" t="str">
        <f>IFERROR(final!BH50*100/final!$I50,"")</f>
        <v/>
      </c>
      <c r="AX252" s="39" t="str">
        <f>IFERROR(final!BI50*100/final!$I50,"")</f>
        <v/>
      </c>
      <c r="AY252" s="39" t="str">
        <f>IFERROR(final!BJ50*100/final!$I50,"")</f>
        <v/>
      </c>
      <c r="AZ252" s="39" t="str">
        <f>IFERROR(final!BK50*100/final!$I50,"")</f>
        <v/>
      </c>
      <c r="BA252" s="39" t="str">
        <f>IFERROR(final!BL50*100/final!$I50,"")</f>
        <v/>
      </c>
      <c r="BB252" s="39" t="str">
        <f>IFERROR(final!BM50*100/final!$I50,"")</f>
        <v/>
      </c>
      <c r="BC252" s="39" t="str">
        <f>IFERROR(final!BN50*100/final!$I50,"")</f>
        <v/>
      </c>
      <c r="BD252" s="39" t="str">
        <f>IFERROR(final!BO50*100/final!$I50,"")</f>
        <v/>
      </c>
      <c r="BE252" s="39" t="str">
        <f>IFERROR(final!BP50*100/final!$I50,"")</f>
        <v/>
      </c>
      <c r="BF252" s="39" t="str">
        <f>IFERROR(final!BQ50*100/final!$I50,"")</f>
        <v/>
      </c>
      <c r="BG252" s="39" t="str">
        <f>IFERROR(final!BR50*100/final!$I50,"")</f>
        <v/>
      </c>
      <c r="BH252" s="39" t="str">
        <f>IFERROR(final!BS50*100/final!$I50,"")</f>
        <v/>
      </c>
      <c r="BI252" s="39" t="str">
        <f>IFERROR(final!BT50*100/final!$I50,"")</f>
        <v/>
      </c>
      <c r="BJ252" s="39" t="str">
        <f>IFERROR(final!BU50*100/final!$I50,"")</f>
        <v/>
      </c>
      <c r="BK252" s="39" t="str">
        <f>IFERROR(final!BV50*100/final!$I50,"")</f>
        <v/>
      </c>
      <c r="BL252" s="39" t="str">
        <f>IFERROR(final!BW50*100/final!$I50,"")</f>
        <v/>
      </c>
      <c r="BM252" s="39" t="str">
        <f>IFERROR(final!BX50*100/final!$I50,"")</f>
        <v/>
      </c>
      <c r="BN252" s="39" t="str">
        <f>IFERROR(final!BY50*100/final!$I50,"")</f>
        <v/>
      </c>
      <c r="BO252" s="39" t="str">
        <f>IFERROR(final!BZ50*100/final!$I50,"")</f>
        <v/>
      </c>
      <c r="BP252" s="39" t="str">
        <f>IFERROR(final!CA50*100/final!$I50,"")</f>
        <v/>
      </c>
      <c r="BQ252" s="39" t="str">
        <f>IFERROR(final!CB50*100/final!$I50,"")</f>
        <v/>
      </c>
      <c r="BR252" s="39" t="str">
        <f>IFERROR(final!CC50*100/final!$I50,"")</f>
        <v/>
      </c>
      <c r="BS252" s="39" t="str">
        <f>IFERROR(final!CD50*100/final!$I50,"")</f>
        <v/>
      </c>
      <c r="BT252" s="39" t="str">
        <f>IFERROR(final!CE50*100/final!$I50,"")</f>
        <v/>
      </c>
      <c r="BU252" s="39" t="str">
        <f>IFERROR(final!CF50*100/final!$I50,"")</f>
        <v/>
      </c>
      <c r="BV252" s="39" t="str">
        <f>IFERROR(final!CG50*100/final!$I50,"")</f>
        <v/>
      </c>
      <c r="BW252" s="39" t="str">
        <f>IFERROR(final!CH50*100/final!$I50,"")</f>
        <v/>
      </c>
      <c r="BX252" s="39" t="str">
        <f>IFERROR(final!CI50*100/final!$I50,"")</f>
        <v/>
      </c>
      <c r="BY252" s="39" t="str">
        <f>IFERROR(final!CJ50*100/final!$I50,"")</f>
        <v/>
      </c>
      <c r="BZ252" s="39" t="str">
        <f>IFERROR(final!CK50*100/final!$I50,"")</f>
        <v/>
      </c>
      <c r="CA252" s="39" t="str">
        <f>IFERROR(final!CL50*100/final!$I50,"")</f>
        <v/>
      </c>
      <c r="CB252" s="39" t="str">
        <f>IFERROR(final!CM50*100/final!$I50,"")</f>
        <v/>
      </c>
      <c r="CC252" s="39" t="str">
        <f>IFERROR(final!CN50*100/final!$I50,"")</f>
        <v/>
      </c>
      <c r="CD252" s="39" t="str">
        <f>IFERROR(final!CO50*100/final!$I50,"")</f>
        <v/>
      </c>
      <c r="CE252" s="39" t="str">
        <f>IFERROR(final!CP50*100/final!$I50,"")</f>
        <v/>
      </c>
      <c r="CF252" s="39" t="str">
        <f>IFERROR(final!CQ50*100/final!$I50,"")</f>
        <v/>
      </c>
      <c r="CG252" s="39" t="str">
        <f>IFERROR(final!CR50*100/final!$I50,"")</f>
        <v/>
      </c>
      <c r="CH252" s="39" t="str">
        <f>IFERROR(final!CS50*100/final!$I50,"")</f>
        <v/>
      </c>
      <c r="CI252" s="39" t="str">
        <f>IFERROR(final!CT50*100/final!$I50,"")</f>
        <v/>
      </c>
      <c r="CJ252" s="39" t="str">
        <f>IFERROR(final!CU50*100/final!$I50,"")</f>
        <v/>
      </c>
      <c r="CK252" s="39" t="str">
        <f>IFERROR(final!CV50*100/final!$I50,"")</f>
        <v/>
      </c>
      <c r="CL252" s="39" t="str">
        <f>IFERROR(final!CW50*100/final!$I50,"")</f>
        <v/>
      </c>
      <c r="CM252" s="39" t="str">
        <f>IFERROR(final!CX50*100/final!$I50,"")</f>
        <v/>
      </c>
      <c r="CN252" s="39" t="str">
        <f>IFERROR(final!CY50*100/final!$I50,"")</f>
        <v/>
      </c>
      <c r="CO252" s="39" t="str">
        <f>IFERROR(final!CZ50*100/final!$I50,"")</f>
        <v/>
      </c>
      <c r="CP252" s="39" t="str">
        <f>IFERROR(final!DA50*100/final!$I50,"")</f>
        <v/>
      </c>
      <c r="CQ252" s="39" t="str">
        <f>IFERROR(final!DB50*100/final!$I50,"")</f>
        <v/>
      </c>
      <c r="CR252" s="39" t="str">
        <f>IFERROR(final!DC50*100/final!$I50,"")</f>
        <v/>
      </c>
      <c r="CS252" s="39" t="str">
        <f>IFERROR(final!DD50*100/final!$I50,"")</f>
        <v/>
      </c>
      <c r="CT252" s="39" t="str">
        <f>IFERROR(final!DE50*100/final!$I50,"")</f>
        <v/>
      </c>
      <c r="CU252" s="39" t="str">
        <f>IFERROR(final!DF50*100/final!$I50,"")</f>
        <v/>
      </c>
      <c r="CV252" s="39" t="str">
        <f>IFERROR(final!DG50*100/final!$I50,"")</f>
        <v/>
      </c>
      <c r="CW252" s="32" t="str">
        <f>IFERROR(SUM(A252:CV252)/final!$DH$103,"")</f>
        <v/>
      </c>
      <c r="CX252" s="14" t="str">
        <f>IF(COUNTA(final!A50),final!A50,"")</f>
        <v/>
      </c>
      <c r="CY252" s="14" t="str">
        <f>IF(COUNTA(final!B50),final!B50,"")</f>
        <v/>
      </c>
      <c r="CZ252" s="14" t="str">
        <f>IF(COUNTA(final!C50),final!C50,"")</f>
        <v/>
      </c>
      <c r="DA252" s="14" t="str">
        <f>IF(COUNTA(final!D50),final!D50,"")</f>
        <v/>
      </c>
      <c r="DB252" s="14" t="str">
        <f>IF(COUNTA(final!E50),final!E50,"")</f>
        <v/>
      </c>
      <c r="DC252" s="14" t="str">
        <f>IF(COUNTA(final!F50),final!F50,"")</f>
        <v/>
      </c>
      <c r="DD252" s="14" t="str">
        <f>IF(COUNTA(final!G50),final!G50,"")</f>
        <v/>
      </c>
      <c r="DE252" s="14" t="str">
        <f>IF(COUNTA(final!H50),final!H50,"")</f>
        <v/>
      </c>
    </row>
    <row r="253" spans="1:109" x14ac:dyDescent="0.2">
      <c r="A253" s="39" t="str">
        <f>IFERROR(final!L51*100/final!$I51,"")</f>
        <v/>
      </c>
      <c r="B253" s="39" t="str">
        <f>IFERROR(final!M51*100/final!$I51,"")</f>
        <v/>
      </c>
      <c r="C253" s="39" t="str">
        <f>IFERROR(final!N51*100/final!$I51,"")</f>
        <v/>
      </c>
      <c r="D253" s="39" t="str">
        <f>IFERROR(final!O51*100/final!$I51,"")</f>
        <v/>
      </c>
      <c r="E253" s="39" t="str">
        <f>IFERROR(final!P51*100/final!$I51,"")</f>
        <v/>
      </c>
      <c r="F253" s="39" t="str">
        <f>IFERROR(final!Q51*100/final!$I51,"")</f>
        <v/>
      </c>
      <c r="G253" s="39" t="str">
        <f>IFERROR(final!R51*100/final!$I51,"")</f>
        <v/>
      </c>
      <c r="H253" s="39" t="str">
        <f>IFERROR(final!S51*100/final!$I51,"")</f>
        <v/>
      </c>
      <c r="I253" s="39" t="str">
        <f>IFERROR(final!T51*100/final!$I51,"")</f>
        <v/>
      </c>
      <c r="J253" s="39" t="str">
        <f>IFERROR(final!U51*100/final!$I51,"")</f>
        <v/>
      </c>
      <c r="K253" s="39" t="str">
        <f>IFERROR(final!V51*100/final!$I51,"")</f>
        <v/>
      </c>
      <c r="L253" s="39" t="str">
        <f>IFERROR(final!W51*100/final!$I51,"")</f>
        <v/>
      </c>
      <c r="M253" s="39" t="str">
        <f>IFERROR(final!X51*100/final!$I51,"")</f>
        <v/>
      </c>
      <c r="N253" s="39" t="str">
        <f>IFERROR(final!Y51*100/final!$I51,"")</f>
        <v/>
      </c>
      <c r="O253" s="39" t="str">
        <f>IFERROR(final!Z51*100/final!$I51,"")</f>
        <v/>
      </c>
      <c r="P253" s="39" t="str">
        <f>IFERROR(final!AA51*100/final!$I51,"")</f>
        <v/>
      </c>
      <c r="Q253" s="39" t="str">
        <f>IFERROR(final!AB51*100/final!$I51,"")</f>
        <v/>
      </c>
      <c r="R253" s="39" t="str">
        <f>IFERROR(final!AC51*100/final!$I51,"")</f>
        <v/>
      </c>
      <c r="S253" s="39" t="str">
        <f>IFERROR(final!AD51*100/final!$I51,"")</f>
        <v/>
      </c>
      <c r="T253" s="39" t="str">
        <f>IFERROR(final!AE51*100/final!$I51,"")</f>
        <v/>
      </c>
      <c r="U253" s="39" t="str">
        <f>IFERROR(final!AF51*100/final!$I51,"")</f>
        <v/>
      </c>
      <c r="V253" s="39" t="str">
        <f>IFERROR(final!AG51*100/final!$I51,"")</f>
        <v/>
      </c>
      <c r="W253" s="39" t="str">
        <f>IFERROR(final!AH51*100/final!$I51,"")</f>
        <v/>
      </c>
      <c r="X253" s="39" t="str">
        <f>IFERROR(final!AI51*100/final!$I51,"")</f>
        <v/>
      </c>
      <c r="Y253" s="39" t="str">
        <f>IFERROR(final!AJ51*100/final!$I51,"")</f>
        <v/>
      </c>
      <c r="Z253" s="39" t="str">
        <f>IFERROR(final!AK51*100/final!$I51,"")</f>
        <v/>
      </c>
      <c r="AA253" s="39" t="str">
        <f>IFERROR(final!AL51*100/final!$I51,"")</f>
        <v/>
      </c>
      <c r="AB253" s="39" t="str">
        <f>IFERROR(final!AM51*100/final!$I51,"")</f>
        <v/>
      </c>
      <c r="AC253" s="39" t="str">
        <f>IFERROR(final!AN51*100/final!$I51,"")</f>
        <v/>
      </c>
      <c r="AD253" s="39" t="str">
        <f>IFERROR(final!AO51*100/final!$I51,"")</f>
        <v/>
      </c>
      <c r="AE253" s="39" t="str">
        <f>IFERROR(final!AP51*100/final!$I51,"")</f>
        <v/>
      </c>
      <c r="AF253" s="39" t="str">
        <f>IFERROR(final!AQ51*100/final!$I51,"")</f>
        <v/>
      </c>
      <c r="AG253" s="39" t="str">
        <f>IFERROR(final!AR51*100/final!$I51,"")</f>
        <v/>
      </c>
      <c r="AH253" s="39" t="str">
        <f>IFERROR(final!AS51*100/final!$I51,"")</f>
        <v/>
      </c>
      <c r="AI253" s="39" t="str">
        <f>IFERROR(final!AT51*100/final!$I51,"")</f>
        <v/>
      </c>
      <c r="AJ253" s="39" t="str">
        <f>IFERROR(final!AU51*100/final!$I51,"")</f>
        <v/>
      </c>
      <c r="AK253" s="39" t="str">
        <f>IFERROR(final!AV51*100/final!$I51,"")</f>
        <v/>
      </c>
      <c r="AL253" s="39" t="str">
        <f>IFERROR(final!AW51*100/final!$I51,"")</f>
        <v/>
      </c>
      <c r="AM253" s="39" t="str">
        <f>IFERROR(final!AX51*100/final!$I51,"")</f>
        <v/>
      </c>
      <c r="AN253" s="39" t="str">
        <f>IFERROR(final!AY51*100/final!$I51,"")</f>
        <v/>
      </c>
      <c r="AO253" s="39" t="str">
        <f>IFERROR(final!AZ51*100/final!$I51,"")</f>
        <v/>
      </c>
      <c r="AP253" s="39" t="str">
        <f>IFERROR(final!BA51*100/final!$I51,"")</f>
        <v/>
      </c>
      <c r="AQ253" s="39" t="str">
        <f>IFERROR(final!BB51*100/final!$I51,"")</f>
        <v/>
      </c>
      <c r="AR253" s="39" t="str">
        <f>IFERROR(final!BC51*100/final!$I51,"")</f>
        <v/>
      </c>
      <c r="AS253" s="39" t="str">
        <f>IFERROR(final!BD51*100/final!$I51,"")</f>
        <v/>
      </c>
      <c r="AT253" s="39" t="str">
        <f>IFERROR(final!BE51*100/final!$I51,"")</f>
        <v/>
      </c>
      <c r="AU253" s="39" t="str">
        <f>IFERROR(final!BF51*100/final!$I51,"")</f>
        <v/>
      </c>
      <c r="AV253" s="39" t="str">
        <f>IFERROR(final!BG51*100/final!$I51,"")</f>
        <v/>
      </c>
      <c r="AW253" s="39" t="str">
        <f>IFERROR(final!BH51*100/final!$I51,"")</f>
        <v/>
      </c>
      <c r="AX253" s="39" t="str">
        <f>IFERROR(final!BI51*100/final!$I51,"")</f>
        <v/>
      </c>
      <c r="AY253" s="39" t="str">
        <f>IFERROR(final!BJ51*100/final!$I51,"")</f>
        <v/>
      </c>
      <c r="AZ253" s="39" t="str">
        <f>IFERROR(final!BK51*100/final!$I51,"")</f>
        <v/>
      </c>
      <c r="BA253" s="39" t="str">
        <f>IFERROR(final!BL51*100/final!$I51,"")</f>
        <v/>
      </c>
      <c r="BB253" s="39" t="str">
        <f>IFERROR(final!BM51*100/final!$I51,"")</f>
        <v/>
      </c>
      <c r="BC253" s="39" t="str">
        <f>IFERROR(final!BN51*100/final!$I51,"")</f>
        <v/>
      </c>
      <c r="BD253" s="39" t="str">
        <f>IFERROR(final!BO51*100/final!$I51,"")</f>
        <v/>
      </c>
      <c r="BE253" s="39" t="str">
        <f>IFERROR(final!BP51*100/final!$I51,"")</f>
        <v/>
      </c>
      <c r="BF253" s="39" t="str">
        <f>IFERROR(final!BQ51*100/final!$I51,"")</f>
        <v/>
      </c>
      <c r="BG253" s="39" t="str">
        <f>IFERROR(final!BR51*100/final!$I51,"")</f>
        <v/>
      </c>
      <c r="BH253" s="39" t="str">
        <f>IFERROR(final!BS51*100/final!$I51,"")</f>
        <v/>
      </c>
      <c r="BI253" s="39" t="str">
        <f>IFERROR(final!BT51*100/final!$I51,"")</f>
        <v/>
      </c>
      <c r="BJ253" s="39" t="str">
        <f>IFERROR(final!BU51*100/final!$I51,"")</f>
        <v/>
      </c>
      <c r="BK253" s="39" t="str">
        <f>IFERROR(final!BV51*100/final!$I51,"")</f>
        <v/>
      </c>
      <c r="BL253" s="39" t="str">
        <f>IFERROR(final!BW51*100/final!$I51,"")</f>
        <v/>
      </c>
      <c r="BM253" s="39" t="str">
        <f>IFERROR(final!BX51*100/final!$I51,"")</f>
        <v/>
      </c>
      <c r="BN253" s="39" t="str">
        <f>IFERROR(final!BY51*100/final!$I51,"")</f>
        <v/>
      </c>
      <c r="BO253" s="39" t="str">
        <f>IFERROR(final!BZ51*100/final!$I51,"")</f>
        <v/>
      </c>
      <c r="BP253" s="39" t="str">
        <f>IFERROR(final!CA51*100/final!$I51,"")</f>
        <v/>
      </c>
      <c r="BQ253" s="39" t="str">
        <f>IFERROR(final!CB51*100/final!$I51,"")</f>
        <v/>
      </c>
      <c r="BR253" s="39" t="str">
        <f>IFERROR(final!CC51*100/final!$I51,"")</f>
        <v/>
      </c>
      <c r="BS253" s="39" t="str">
        <f>IFERROR(final!CD51*100/final!$I51,"")</f>
        <v/>
      </c>
      <c r="BT253" s="39" t="str">
        <f>IFERROR(final!CE51*100/final!$I51,"")</f>
        <v/>
      </c>
      <c r="BU253" s="39" t="str">
        <f>IFERROR(final!CF51*100/final!$I51,"")</f>
        <v/>
      </c>
      <c r="BV253" s="39" t="str">
        <f>IFERROR(final!CG51*100/final!$I51,"")</f>
        <v/>
      </c>
      <c r="BW253" s="39" t="str">
        <f>IFERROR(final!CH51*100/final!$I51,"")</f>
        <v/>
      </c>
      <c r="BX253" s="39" t="str">
        <f>IFERROR(final!CI51*100/final!$I51,"")</f>
        <v/>
      </c>
      <c r="BY253" s="39" t="str">
        <f>IFERROR(final!CJ51*100/final!$I51,"")</f>
        <v/>
      </c>
      <c r="BZ253" s="39" t="str">
        <f>IFERROR(final!CK51*100/final!$I51,"")</f>
        <v/>
      </c>
      <c r="CA253" s="39" t="str">
        <f>IFERROR(final!CL51*100/final!$I51,"")</f>
        <v/>
      </c>
      <c r="CB253" s="39" t="str">
        <f>IFERROR(final!CM51*100/final!$I51,"")</f>
        <v/>
      </c>
      <c r="CC253" s="39" t="str">
        <f>IFERROR(final!CN51*100/final!$I51,"")</f>
        <v/>
      </c>
      <c r="CD253" s="39" t="str">
        <f>IFERROR(final!CO51*100/final!$I51,"")</f>
        <v/>
      </c>
      <c r="CE253" s="39" t="str">
        <f>IFERROR(final!CP51*100/final!$I51,"")</f>
        <v/>
      </c>
      <c r="CF253" s="39" t="str">
        <f>IFERROR(final!CQ51*100/final!$I51,"")</f>
        <v/>
      </c>
      <c r="CG253" s="39" t="str">
        <f>IFERROR(final!CR51*100/final!$I51,"")</f>
        <v/>
      </c>
      <c r="CH253" s="39" t="str">
        <f>IFERROR(final!CS51*100/final!$I51,"")</f>
        <v/>
      </c>
      <c r="CI253" s="39" t="str">
        <f>IFERROR(final!CT51*100/final!$I51,"")</f>
        <v/>
      </c>
      <c r="CJ253" s="39" t="str">
        <f>IFERROR(final!CU51*100/final!$I51,"")</f>
        <v/>
      </c>
      <c r="CK253" s="39" t="str">
        <f>IFERROR(final!CV51*100/final!$I51,"")</f>
        <v/>
      </c>
      <c r="CL253" s="39" t="str">
        <f>IFERROR(final!CW51*100/final!$I51,"")</f>
        <v/>
      </c>
      <c r="CM253" s="39" t="str">
        <f>IFERROR(final!CX51*100/final!$I51,"")</f>
        <v/>
      </c>
      <c r="CN253" s="39" t="str">
        <f>IFERROR(final!CY51*100/final!$I51,"")</f>
        <v/>
      </c>
      <c r="CO253" s="39" t="str">
        <f>IFERROR(final!CZ51*100/final!$I51,"")</f>
        <v/>
      </c>
      <c r="CP253" s="39" t="str">
        <f>IFERROR(final!DA51*100/final!$I51,"")</f>
        <v/>
      </c>
      <c r="CQ253" s="39" t="str">
        <f>IFERROR(final!DB51*100/final!$I51,"")</f>
        <v/>
      </c>
      <c r="CR253" s="39" t="str">
        <f>IFERROR(final!DC51*100/final!$I51,"")</f>
        <v/>
      </c>
      <c r="CS253" s="39" t="str">
        <f>IFERROR(final!DD51*100/final!$I51,"")</f>
        <v/>
      </c>
      <c r="CT253" s="39" t="str">
        <f>IFERROR(final!DE51*100/final!$I51,"")</f>
        <v/>
      </c>
      <c r="CU253" s="39" t="str">
        <f>IFERROR(final!DF51*100/final!$I51,"")</f>
        <v/>
      </c>
      <c r="CV253" s="39" t="str">
        <f>IFERROR(final!DG51*100/final!$I51,"")</f>
        <v/>
      </c>
      <c r="CW253" s="32" t="str">
        <f>IFERROR(SUM(A253:CV253)/final!$DH$103,"")</f>
        <v/>
      </c>
      <c r="CX253" s="14" t="str">
        <f>IF(COUNTA(final!A51),final!A51,"")</f>
        <v/>
      </c>
      <c r="CY253" s="14" t="str">
        <f>IF(COUNTA(final!B51),final!B51,"")</f>
        <v/>
      </c>
      <c r="CZ253" s="14" t="str">
        <f>IF(COUNTA(final!C51),final!C51,"")</f>
        <v/>
      </c>
      <c r="DA253" s="14" t="str">
        <f>IF(COUNTA(final!D51),final!D51,"")</f>
        <v/>
      </c>
      <c r="DB253" s="14" t="str">
        <f>IF(COUNTA(final!E51),final!E51,"")</f>
        <v/>
      </c>
      <c r="DC253" s="14" t="str">
        <f>IF(COUNTA(final!F51),final!F51,"")</f>
        <v/>
      </c>
      <c r="DD253" s="14" t="str">
        <f>IF(COUNTA(final!G51),final!G51,"")</f>
        <v/>
      </c>
      <c r="DE253" s="14" t="str">
        <f>IF(COUNTA(final!H51),final!H51,"")</f>
        <v/>
      </c>
    </row>
    <row r="254" spans="1:109" x14ac:dyDescent="0.2">
      <c r="A254" s="39" t="str">
        <f>IFERROR(final!L52*100/final!$I52,"")</f>
        <v/>
      </c>
      <c r="B254" s="39" t="str">
        <f>IFERROR(final!M52*100/final!$I52,"")</f>
        <v/>
      </c>
      <c r="C254" s="39" t="str">
        <f>IFERROR(final!N52*100/final!$I52,"")</f>
        <v/>
      </c>
      <c r="D254" s="39" t="str">
        <f>IFERROR(final!O52*100/final!$I52,"")</f>
        <v/>
      </c>
      <c r="E254" s="39" t="str">
        <f>IFERROR(final!P52*100/final!$I52,"")</f>
        <v/>
      </c>
      <c r="F254" s="39" t="str">
        <f>IFERROR(final!Q52*100/final!$I52,"")</f>
        <v/>
      </c>
      <c r="G254" s="39" t="str">
        <f>IFERROR(final!R52*100/final!$I52,"")</f>
        <v/>
      </c>
      <c r="H254" s="39" t="str">
        <f>IFERROR(final!S52*100/final!$I52,"")</f>
        <v/>
      </c>
      <c r="I254" s="39" t="str">
        <f>IFERROR(final!T52*100/final!$I52,"")</f>
        <v/>
      </c>
      <c r="J254" s="39" t="str">
        <f>IFERROR(final!U52*100/final!$I52,"")</f>
        <v/>
      </c>
      <c r="K254" s="39" t="str">
        <f>IFERROR(final!V52*100/final!$I52,"")</f>
        <v/>
      </c>
      <c r="L254" s="39" t="str">
        <f>IFERROR(final!W52*100/final!$I52,"")</f>
        <v/>
      </c>
      <c r="M254" s="39" t="str">
        <f>IFERROR(final!X52*100/final!$I52,"")</f>
        <v/>
      </c>
      <c r="N254" s="39" t="str">
        <f>IFERROR(final!Y52*100/final!$I52,"")</f>
        <v/>
      </c>
      <c r="O254" s="39" t="str">
        <f>IFERROR(final!Z52*100/final!$I52,"")</f>
        <v/>
      </c>
      <c r="P254" s="39" t="str">
        <f>IFERROR(final!AA52*100/final!$I52,"")</f>
        <v/>
      </c>
      <c r="Q254" s="39" t="str">
        <f>IFERROR(final!AB52*100/final!$I52,"")</f>
        <v/>
      </c>
      <c r="R254" s="39" t="str">
        <f>IFERROR(final!AC52*100/final!$I52,"")</f>
        <v/>
      </c>
      <c r="S254" s="39" t="str">
        <f>IFERROR(final!AD52*100/final!$I52,"")</f>
        <v/>
      </c>
      <c r="T254" s="39" t="str">
        <f>IFERROR(final!AE52*100/final!$I52,"")</f>
        <v/>
      </c>
      <c r="U254" s="39" t="str">
        <f>IFERROR(final!AF52*100/final!$I52,"")</f>
        <v/>
      </c>
      <c r="V254" s="39" t="str">
        <f>IFERROR(final!AG52*100/final!$I52,"")</f>
        <v/>
      </c>
      <c r="W254" s="39" t="str">
        <f>IFERROR(final!AH52*100/final!$I52,"")</f>
        <v/>
      </c>
      <c r="X254" s="39" t="str">
        <f>IFERROR(final!AI52*100/final!$I52,"")</f>
        <v/>
      </c>
      <c r="Y254" s="39" t="str">
        <f>IFERROR(final!AJ52*100/final!$I52,"")</f>
        <v/>
      </c>
      <c r="Z254" s="39" t="str">
        <f>IFERROR(final!AK52*100/final!$I52,"")</f>
        <v/>
      </c>
      <c r="AA254" s="39" t="str">
        <f>IFERROR(final!AL52*100/final!$I52,"")</f>
        <v/>
      </c>
      <c r="AB254" s="39" t="str">
        <f>IFERROR(final!AM52*100/final!$I52,"")</f>
        <v/>
      </c>
      <c r="AC254" s="39" t="str">
        <f>IFERROR(final!AN52*100/final!$I52,"")</f>
        <v/>
      </c>
      <c r="AD254" s="39" t="str">
        <f>IFERROR(final!AO52*100/final!$I52,"")</f>
        <v/>
      </c>
      <c r="AE254" s="39" t="str">
        <f>IFERROR(final!AP52*100/final!$I52,"")</f>
        <v/>
      </c>
      <c r="AF254" s="39" t="str">
        <f>IFERROR(final!AQ52*100/final!$I52,"")</f>
        <v/>
      </c>
      <c r="AG254" s="39" t="str">
        <f>IFERROR(final!AR52*100/final!$I52,"")</f>
        <v/>
      </c>
      <c r="AH254" s="39" t="str">
        <f>IFERROR(final!AS52*100/final!$I52,"")</f>
        <v/>
      </c>
      <c r="AI254" s="39" t="str">
        <f>IFERROR(final!AT52*100/final!$I52,"")</f>
        <v/>
      </c>
      <c r="AJ254" s="39" t="str">
        <f>IFERROR(final!AU52*100/final!$I52,"")</f>
        <v/>
      </c>
      <c r="AK254" s="39" t="str">
        <f>IFERROR(final!AV52*100/final!$I52,"")</f>
        <v/>
      </c>
      <c r="AL254" s="39" t="str">
        <f>IFERROR(final!AW52*100/final!$I52,"")</f>
        <v/>
      </c>
      <c r="AM254" s="39" t="str">
        <f>IFERROR(final!AX52*100/final!$I52,"")</f>
        <v/>
      </c>
      <c r="AN254" s="39" t="str">
        <f>IFERROR(final!AY52*100/final!$I52,"")</f>
        <v/>
      </c>
      <c r="AO254" s="39" t="str">
        <f>IFERROR(final!AZ52*100/final!$I52,"")</f>
        <v/>
      </c>
      <c r="AP254" s="39" t="str">
        <f>IFERROR(final!BA52*100/final!$I52,"")</f>
        <v/>
      </c>
      <c r="AQ254" s="39" t="str">
        <f>IFERROR(final!BB52*100/final!$I52,"")</f>
        <v/>
      </c>
      <c r="AR254" s="39" t="str">
        <f>IFERROR(final!BC52*100/final!$I52,"")</f>
        <v/>
      </c>
      <c r="AS254" s="39" t="str">
        <f>IFERROR(final!BD52*100/final!$I52,"")</f>
        <v/>
      </c>
      <c r="AT254" s="39" t="str">
        <f>IFERROR(final!BE52*100/final!$I52,"")</f>
        <v/>
      </c>
      <c r="AU254" s="39" t="str">
        <f>IFERROR(final!BF52*100/final!$I52,"")</f>
        <v/>
      </c>
      <c r="AV254" s="39" t="str">
        <f>IFERROR(final!BG52*100/final!$I52,"")</f>
        <v/>
      </c>
      <c r="AW254" s="39" t="str">
        <f>IFERROR(final!BH52*100/final!$I52,"")</f>
        <v/>
      </c>
      <c r="AX254" s="39" t="str">
        <f>IFERROR(final!BI52*100/final!$I52,"")</f>
        <v/>
      </c>
      <c r="AY254" s="39" t="str">
        <f>IFERROR(final!BJ52*100/final!$I52,"")</f>
        <v/>
      </c>
      <c r="AZ254" s="39" t="str">
        <f>IFERROR(final!BK52*100/final!$I52,"")</f>
        <v/>
      </c>
      <c r="BA254" s="39" t="str">
        <f>IFERROR(final!BL52*100/final!$I52,"")</f>
        <v/>
      </c>
      <c r="BB254" s="39" t="str">
        <f>IFERROR(final!BM52*100/final!$I52,"")</f>
        <v/>
      </c>
      <c r="BC254" s="39" t="str">
        <f>IFERROR(final!BN52*100/final!$I52,"")</f>
        <v/>
      </c>
      <c r="BD254" s="39" t="str">
        <f>IFERROR(final!BO52*100/final!$I52,"")</f>
        <v/>
      </c>
      <c r="BE254" s="39" t="str">
        <f>IFERROR(final!BP52*100/final!$I52,"")</f>
        <v/>
      </c>
      <c r="BF254" s="39" t="str">
        <f>IFERROR(final!BQ52*100/final!$I52,"")</f>
        <v/>
      </c>
      <c r="BG254" s="39" t="str">
        <f>IFERROR(final!BR52*100/final!$I52,"")</f>
        <v/>
      </c>
      <c r="BH254" s="39" t="str">
        <f>IFERROR(final!BS52*100/final!$I52,"")</f>
        <v/>
      </c>
      <c r="BI254" s="39" t="str">
        <f>IFERROR(final!BT52*100/final!$I52,"")</f>
        <v/>
      </c>
      <c r="BJ254" s="39" t="str">
        <f>IFERROR(final!BU52*100/final!$I52,"")</f>
        <v/>
      </c>
      <c r="BK254" s="39" t="str">
        <f>IFERROR(final!BV52*100/final!$I52,"")</f>
        <v/>
      </c>
      <c r="BL254" s="39" t="str">
        <f>IFERROR(final!BW52*100/final!$I52,"")</f>
        <v/>
      </c>
      <c r="BM254" s="39" t="str">
        <f>IFERROR(final!BX52*100/final!$I52,"")</f>
        <v/>
      </c>
      <c r="BN254" s="39" t="str">
        <f>IFERROR(final!BY52*100/final!$I52,"")</f>
        <v/>
      </c>
      <c r="BO254" s="39" t="str">
        <f>IFERROR(final!BZ52*100/final!$I52,"")</f>
        <v/>
      </c>
      <c r="BP254" s="39" t="str">
        <f>IFERROR(final!CA52*100/final!$I52,"")</f>
        <v/>
      </c>
      <c r="BQ254" s="39" t="str">
        <f>IFERROR(final!CB52*100/final!$I52,"")</f>
        <v/>
      </c>
      <c r="BR254" s="39" t="str">
        <f>IFERROR(final!CC52*100/final!$I52,"")</f>
        <v/>
      </c>
      <c r="BS254" s="39" t="str">
        <f>IFERROR(final!CD52*100/final!$I52,"")</f>
        <v/>
      </c>
      <c r="BT254" s="39" t="str">
        <f>IFERROR(final!CE52*100/final!$I52,"")</f>
        <v/>
      </c>
      <c r="BU254" s="39" t="str">
        <f>IFERROR(final!CF52*100/final!$I52,"")</f>
        <v/>
      </c>
      <c r="BV254" s="39" t="str">
        <f>IFERROR(final!CG52*100/final!$I52,"")</f>
        <v/>
      </c>
      <c r="BW254" s="39" t="str">
        <f>IFERROR(final!CH52*100/final!$I52,"")</f>
        <v/>
      </c>
      <c r="BX254" s="39" t="str">
        <f>IFERROR(final!CI52*100/final!$I52,"")</f>
        <v/>
      </c>
      <c r="BY254" s="39" t="str">
        <f>IFERROR(final!CJ52*100/final!$I52,"")</f>
        <v/>
      </c>
      <c r="BZ254" s="39" t="str">
        <f>IFERROR(final!CK52*100/final!$I52,"")</f>
        <v/>
      </c>
      <c r="CA254" s="39" t="str">
        <f>IFERROR(final!CL52*100/final!$I52,"")</f>
        <v/>
      </c>
      <c r="CB254" s="39" t="str">
        <f>IFERROR(final!CM52*100/final!$I52,"")</f>
        <v/>
      </c>
      <c r="CC254" s="39" t="str">
        <f>IFERROR(final!CN52*100/final!$I52,"")</f>
        <v/>
      </c>
      <c r="CD254" s="39" t="str">
        <f>IFERROR(final!CO52*100/final!$I52,"")</f>
        <v/>
      </c>
      <c r="CE254" s="39" t="str">
        <f>IFERROR(final!CP52*100/final!$I52,"")</f>
        <v/>
      </c>
      <c r="CF254" s="39" t="str">
        <f>IFERROR(final!CQ52*100/final!$I52,"")</f>
        <v/>
      </c>
      <c r="CG254" s="39" t="str">
        <f>IFERROR(final!CR52*100/final!$I52,"")</f>
        <v/>
      </c>
      <c r="CH254" s="39" t="str">
        <f>IFERROR(final!CS52*100/final!$I52,"")</f>
        <v/>
      </c>
      <c r="CI254" s="39" t="str">
        <f>IFERROR(final!CT52*100/final!$I52,"")</f>
        <v/>
      </c>
      <c r="CJ254" s="39" t="str">
        <f>IFERROR(final!CU52*100/final!$I52,"")</f>
        <v/>
      </c>
      <c r="CK254" s="39" t="str">
        <f>IFERROR(final!CV52*100/final!$I52,"")</f>
        <v/>
      </c>
      <c r="CL254" s="39" t="str">
        <f>IFERROR(final!CW52*100/final!$I52,"")</f>
        <v/>
      </c>
      <c r="CM254" s="39" t="str">
        <f>IFERROR(final!CX52*100/final!$I52,"")</f>
        <v/>
      </c>
      <c r="CN254" s="39" t="str">
        <f>IFERROR(final!CY52*100/final!$I52,"")</f>
        <v/>
      </c>
      <c r="CO254" s="39" t="str">
        <f>IFERROR(final!CZ52*100/final!$I52,"")</f>
        <v/>
      </c>
      <c r="CP254" s="39" t="str">
        <f>IFERROR(final!DA52*100/final!$I52,"")</f>
        <v/>
      </c>
      <c r="CQ254" s="39" t="str">
        <f>IFERROR(final!DB52*100/final!$I52,"")</f>
        <v/>
      </c>
      <c r="CR254" s="39" t="str">
        <f>IFERROR(final!DC52*100/final!$I52,"")</f>
        <v/>
      </c>
      <c r="CS254" s="39" t="str">
        <f>IFERROR(final!DD52*100/final!$I52,"")</f>
        <v/>
      </c>
      <c r="CT254" s="39" t="str">
        <f>IFERROR(final!DE52*100/final!$I52,"")</f>
        <v/>
      </c>
      <c r="CU254" s="39" t="str">
        <f>IFERROR(final!DF52*100/final!$I52,"")</f>
        <v/>
      </c>
      <c r="CV254" s="39" t="str">
        <f>IFERROR(final!DG52*100/final!$I52,"")</f>
        <v/>
      </c>
      <c r="CW254" s="32" t="str">
        <f>IFERROR(SUM(A254:CV254)/final!$DH$103,"")</f>
        <v/>
      </c>
      <c r="CX254" s="14" t="str">
        <f>IF(COUNTA(final!A52),final!A52,"")</f>
        <v/>
      </c>
      <c r="CY254" s="14" t="str">
        <f>IF(COUNTA(final!B52),final!B52,"")</f>
        <v/>
      </c>
      <c r="CZ254" s="14" t="str">
        <f>IF(COUNTA(final!C52),final!C52,"")</f>
        <v/>
      </c>
      <c r="DA254" s="14" t="str">
        <f>IF(COUNTA(final!D52),final!D52,"")</f>
        <v/>
      </c>
      <c r="DB254" s="14" t="str">
        <f>IF(COUNTA(final!E52),final!E52,"")</f>
        <v/>
      </c>
      <c r="DC254" s="14" t="str">
        <f>IF(COUNTA(final!F52),final!F52,"")</f>
        <v/>
      </c>
      <c r="DD254" s="14" t="str">
        <f>IF(COUNTA(final!G52),final!G52,"")</f>
        <v/>
      </c>
      <c r="DE254" s="14" t="str">
        <f>IF(COUNTA(final!H52),final!H52,"")</f>
        <v/>
      </c>
    </row>
    <row r="255" spans="1:109" x14ac:dyDescent="0.2">
      <c r="A255" s="39" t="str">
        <f>IFERROR(final!L53*100/final!$I53,"")</f>
        <v/>
      </c>
      <c r="B255" s="39" t="str">
        <f>IFERROR(final!M53*100/final!$I53,"")</f>
        <v/>
      </c>
      <c r="C255" s="39" t="str">
        <f>IFERROR(final!N53*100/final!$I53,"")</f>
        <v/>
      </c>
      <c r="D255" s="39" t="str">
        <f>IFERROR(final!O53*100/final!$I53,"")</f>
        <v/>
      </c>
      <c r="E255" s="39" t="str">
        <f>IFERROR(final!P53*100/final!$I53,"")</f>
        <v/>
      </c>
      <c r="F255" s="39" t="str">
        <f>IFERROR(final!Q53*100/final!$I53,"")</f>
        <v/>
      </c>
      <c r="G255" s="39" t="str">
        <f>IFERROR(final!R53*100/final!$I53,"")</f>
        <v/>
      </c>
      <c r="H255" s="39" t="str">
        <f>IFERROR(final!S53*100/final!$I53,"")</f>
        <v/>
      </c>
      <c r="I255" s="39" t="str">
        <f>IFERROR(final!T53*100/final!$I53,"")</f>
        <v/>
      </c>
      <c r="J255" s="39" t="str">
        <f>IFERROR(final!U53*100/final!$I53,"")</f>
        <v/>
      </c>
      <c r="K255" s="39" t="str">
        <f>IFERROR(final!V53*100/final!$I53,"")</f>
        <v/>
      </c>
      <c r="L255" s="39" t="str">
        <f>IFERROR(final!W53*100/final!$I53,"")</f>
        <v/>
      </c>
      <c r="M255" s="39" t="str">
        <f>IFERROR(final!X53*100/final!$I53,"")</f>
        <v/>
      </c>
      <c r="N255" s="39" t="str">
        <f>IFERROR(final!Y53*100/final!$I53,"")</f>
        <v/>
      </c>
      <c r="O255" s="39" t="str">
        <f>IFERROR(final!Z53*100/final!$I53,"")</f>
        <v/>
      </c>
      <c r="P255" s="39" t="str">
        <f>IFERROR(final!AA53*100/final!$I53,"")</f>
        <v/>
      </c>
      <c r="Q255" s="39" t="str">
        <f>IFERROR(final!AB53*100/final!$I53,"")</f>
        <v/>
      </c>
      <c r="R255" s="39" t="str">
        <f>IFERROR(final!AC53*100/final!$I53,"")</f>
        <v/>
      </c>
      <c r="S255" s="39" t="str">
        <f>IFERROR(final!AD53*100/final!$I53,"")</f>
        <v/>
      </c>
      <c r="T255" s="39" t="str">
        <f>IFERROR(final!AE53*100/final!$I53,"")</f>
        <v/>
      </c>
      <c r="U255" s="39" t="str">
        <f>IFERROR(final!AF53*100/final!$I53,"")</f>
        <v/>
      </c>
      <c r="V255" s="39" t="str">
        <f>IFERROR(final!AG53*100/final!$I53,"")</f>
        <v/>
      </c>
      <c r="W255" s="39" t="str">
        <f>IFERROR(final!AH53*100/final!$I53,"")</f>
        <v/>
      </c>
      <c r="X255" s="39" t="str">
        <f>IFERROR(final!AI53*100/final!$I53,"")</f>
        <v/>
      </c>
      <c r="Y255" s="39" t="str">
        <f>IFERROR(final!AJ53*100/final!$I53,"")</f>
        <v/>
      </c>
      <c r="Z255" s="39" t="str">
        <f>IFERROR(final!AK53*100/final!$I53,"")</f>
        <v/>
      </c>
      <c r="AA255" s="39" t="str">
        <f>IFERROR(final!AL53*100/final!$I53,"")</f>
        <v/>
      </c>
      <c r="AB255" s="39" t="str">
        <f>IFERROR(final!AM53*100/final!$I53,"")</f>
        <v/>
      </c>
      <c r="AC255" s="39" t="str">
        <f>IFERROR(final!AN53*100/final!$I53,"")</f>
        <v/>
      </c>
      <c r="AD255" s="39" t="str">
        <f>IFERROR(final!AO53*100/final!$I53,"")</f>
        <v/>
      </c>
      <c r="AE255" s="39" t="str">
        <f>IFERROR(final!AP53*100/final!$I53,"")</f>
        <v/>
      </c>
      <c r="AF255" s="39" t="str">
        <f>IFERROR(final!AQ53*100/final!$I53,"")</f>
        <v/>
      </c>
      <c r="AG255" s="39" t="str">
        <f>IFERROR(final!AR53*100/final!$I53,"")</f>
        <v/>
      </c>
      <c r="AH255" s="39" t="str">
        <f>IFERROR(final!AS53*100/final!$I53,"")</f>
        <v/>
      </c>
      <c r="AI255" s="39" t="str">
        <f>IFERROR(final!AT53*100/final!$I53,"")</f>
        <v/>
      </c>
      <c r="AJ255" s="39" t="str">
        <f>IFERROR(final!AU53*100/final!$I53,"")</f>
        <v/>
      </c>
      <c r="AK255" s="39" t="str">
        <f>IFERROR(final!AV53*100/final!$I53,"")</f>
        <v/>
      </c>
      <c r="AL255" s="39" t="str">
        <f>IFERROR(final!AW53*100/final!$I53,"")</f>
        <v/>
      </c>
      <c r="AM255" s="39" t="str">
        <f>IFERROR(final!AX53*100/final!$I53,"")</f>
        <v/>
      </c>
      <c r="AN255" s="39" t="str">
        <f>IFERROR(final!AY53*100/final!$I53,"")</f>
        <v/>
      </c>
      <c r="AO255" s="39" t="str">
        <f>IFERROR(final!AZ53*100/final!$I53,"")</f>
        <v/>
      </c>
      <c r="AP255" s="39" t="str">
        <f>IFERROR(final!BA53*100/final!$I53,"")</f>
        <v/>
      </c>
      <c r="AQ255" s="39" t="str">
        <f>IFERROR(final!BB53*100/final!$I53,"")</f>
        <v/>
      </c>
      <c r="AR255" s="39" t="str">
        <f>IFERROR(final!BC53*100/final!$I53,"")</f>
        <v/>
      </c>
      <c r="AS255" s="39" t="str">
        <f>IFERROR(final!BD53*100/final!$I53,"")</f>
        <v/>
      </c>
      <c r="AT255" s="39" t="str">
        <f>IFERROR(final!BE53*100/final!$I53,"")</f>
        <v/>
      </c>
      <c r="AU255" s="39" t="str">
        <f>IFERROR(final!BF53*100/final!$I53,"")</f>
        <v/>
      </c>
      <c r="AV255" s="39" t="str">
        <f>IFERROR(final!BG53*100/final!$I53,"")</f>
        <v/>
      </c>
      <c r="AW255" s="39" t="str">
        <f>IFERROR(final!BH53*100/final!$I53,"")</f>
        <v/>
      </c>
      <c r="AX255" s="39" t="str">
        <f>IFERROR(final!BI53*100/final!$I53,"")</f>
        <v/>
      </c>
      <c r="AY255" s="39" t="str">
        <f>IFERROR(final!BJ53*100/final!$I53,"")</f>
        <v/>
      </c>
      <c r="AZ255" s="39" t="str">
        <f>IFERROR(final!BK53*100/final!$I53,"")</f>
        <v/>
      </c>
      <c r="BA255" s="39" t="str">
        <f>IFERROR(final!BL53*100/final!$I53,"")</f>
        <v/>
      </c>
      <c r="BB255" s="39" t="str">
        <f>IFERROR(final!BM53*100/final!$I53,"")</f>
        <v/>
      </c>
      <c r="BC255" s="39" t="str">
        <f>IFERROR(final!BN53*100/final!$I53,"")</f>
        <v/>
      </c>
      <c r="BD255" s="39" t="str">
        <f>IFERROR(final!BO53*100/final!$I53,"")</f>
        <v/>
      </c>
      <c r="BE255" s="39" t="str">
        <f>IFERROR(final!BP53*100/final!$I53,"")</f>
        <v/>
      </c>
      <c r="BF255" s="39" t="str">
        <f>IFERROR(final!BQ53*100/final!$I53,"")</f>
        <v/>
      </c>
      <c r="BG255" s="39" t="str">
        <f>IFERROR(final!BR53*100/final!$I53,"")</f>
        <v/>
      </c>
      <c r="BH255" s="39" t="str">
        <f>IFERROR(final!BS53*100/final!$I53,"")</f>
        <v/>
      </c>
      <c r="BI255" s="39" t="str">
        <f>IFERROR(final!BT53*100/final!$I53,"")</f>
        <v/>
      </c>
      <c r="BJ255" s="39" t="str">
        <f>IFERROR(final!BU53*100/final!$I53,"")</f>
        <v/>
      </c>
      <c r="BK255" s="39" t="str">
        <f>IFERROR(final!BV53*100/final!$I53,"")</f>
        <v/>
      </c>
      <c r="BL255" s="39" t="str">
        <f>IFERROR(final!BW53*100/final!$I53,"")</f>
        <v/>
      </c>
      <c r="BM255" s="39" t="str">
        <f>IFERROR(final!BX53*100/final!$I53,"")</f>
        <v/>
      </c>
      <c r="BN255" s="39" t="str">
        <f>IFERROR(final!BY53*100/final!$I53,"")</f>
        <v/>
      </c>
      <c r="BO255" s="39" t="str">
        <f>IFERROR(final!BZ53*100/final!$I53,"")</f>
        <v/>
      </c>
      <c r="BP255" s="39" t="str">
        <f>IFERROR(final!CA53*100/final!$I53,"")</f>
        <v/>
      </c>
      <c r="BQ255" s="39" t="str">
        <f>IFERROR(final!CB53*100/final!$I53,"")</f>
        <v/>
      </c>
      <c r="BR255" s="39" t="str">
        <f>IFERROR(final!CC53*100/final!$I53,"")</f>
        <v/>
      </c>
      <c r="BS255" s="39" t="str">
        <f>IFERROR(final!CD53*100/final!$I53,"")</f>
        <v/>
      </c>
      <c r="BT255" s="39" t="str">
        <f>IFERROR(final!CE53*100/final!$I53,"")</f>
        <v/>
      </c>
      <c r="BU255" s="39" t="str">
        <f>IFERROR(final!CF53*100/final!$I53,"")</f>
        <v/>
      </c>
      <c r="BV255" s="39" t="str">
        <f>IFERROR(final!CG53*100/final!$I53,"")</f>
        <v/>
      </c>
      <c r="BW255" s="39" t="str">
        <f>IFERROR(final!CH53*100/final!$I53,"")</f>
        <v/>
      </c>
      <c r="BX255" s="39" t="str">
        <f>IFERROR(final!CI53*100/final!$I53,"")</f>
        <v/>
      </c>
      <c r="BY255" s="39" t="str">
        <f>IFERROR(final!CJ53*100/final!$I53,"")</f>
        <v/>
      </c>
      <c r="BZ255" s="39" t="str">
        <f>IFERROR(final!CK53*100/final!$I53,"")</f>
        <v/>
      </c>
      <c r="CA255" s="39" t="str">
        <f>IFERROR(final!CL53*100/final!$I53,"")</f>
        <v/>
      </c>
      <c r="CB255" s="39" t="str">
        <f>IFERROR(final!CM53*100/final!$I53,"")</f>
        <v/>
      </c>
      <c r="CC255" s="39" t="str">
        <f>IFERROR(final!CN53*100/final!$I53,"")</f>
        <v/>
      </c>
      <c r="CD255" s="39" t="str">
        <f>IFERROR(final!CO53*100/final!$I53,"")</f>
        <v/>
      </c>
      <c r="CE255" s="39" t="str">
        <f>IFERROR(final!CP53*100/final!$I53,"")</f>
        <v/>
      </c>
      <c r="CF255" s="39" t="str">
        <f>IFERROR(final!CQ53*100/final!$I53,"")</f>
        <v/>
      </c>
      <c r="CG255" s="39" t="str">
        <f>IFERROR(final!CR53*100/final!$I53,"")</f>
        <v/>
      </c>
      <c r="CH255" s="39" t="str">
        <f>IFERROR(final!CS53*100/final!$I53,"")</f>
        <v/>
      </c>
      <c r="CI255" s="39" t="str">
        <f>IFERROR(final!CT53*100/final!$I53,"")</f>
        <v/>
      </c>
      <c r="CJ255" s="39" t="str">
        <f>IFERROR(final!CU53*100/final!$I53,"")</f>
        <v/>
      </c>
      <c r="CK255" s="39" t="str">
        <f>IFERROR(final!CV53*100/final!$I53,"")</f>
        <v/>
      </c>
      <c r="CL255" s="39" t="str">
        <f>IFERROR(final!CW53*100/final!$I53,"")</f>
        <v/>
      </c>
      <c r="CM255" s="39" t="str">
        <f>IFERROR(final!CX53*100/final!$I53,"")</f>
        <v/>
      </c>
      <c r="CN255" s="39" t="str">
        <f>IFERROR(final!CY53*100/final!$I53,"")</f>
        <v/>
      </c>
      <c r="CO255" s="39" t="str">
        <f>IFERROR(final!CZ53*100/final!$I53,"")</f>
        <v/>
      </c>
      <c r="CP255" s="39" t="str">
        <f>IFERROR(final!DA53*100/final!$I53,"")</f>
        <v/>
      </c>
      <c r="CQ255" s="39" t="str">
        <f>IFERROR(final!DB53*100/final!$I53,"")</f>
        <v/>
      </c>
      <c r="CR255" s="39" t="str">
        <f>IFERROR(final!DC53*100/final!$I53,"")</f>
        <v/>
      </c>
      <c r="CS255" s="39" t="str">
        <f>IFERROR(final!DD53*100/final!$I53,"")</f>
        <v/>
      </c>
      <c r="CT255" s="39" t="str">
        <f>IFERROR(final!DE53*100/final!$I53,"")</f>
        <v/>
      </c>
      <c r="CU255" s="39" t="str">
        <f>IFERROR(final!DF53*100/final!$I53,"")</f>
        <v/>
      </c>
      <c r="CV255" s="39" t="str">
        <f>IFERROR(final!DG53*100/final!$I53,"")</f>
        <v/>
      </c>
      <c r="CW255" s="32" t="str">
        <f>IFERROR(SUM(A255:CV255)/final!$DH$103,"")</f>
        <v/>
      </c>
      <c r="CX255" s="14" t="str">
        <f>IF(COUNTA(final!A53),final!A53,"")</f>
        <v/>
      </c>
      <c r="CY255" s="14" t="str">
        <f>IF(COUNTA(final!B53),final!B53,"")</f>
        <v/>
      </c>
      <c r="CZ255" s="14" t="str">
        <f>IF(COUNTA(final!C53),final!C53,"")</f>
        <v/>
      </c>
      <c r="DA255" s="14" t="str">
        <f>IF(COUNTA(final!D53),final!D53,"")</f>
        <v/>
      </c>
      <c r="DB255" s="14" t="str">
        <f>IF(COUNTA(final!E53),final!E53,"")</f>
        <v/>
      </c>
      <c r="DC255" s="14" t="str">
        <f>IF(COUNTA(final!F53),final!F53,"")</f>
        <v/>
      </c>
      <c r="DD255" s="14" t="str">
        <f>IF(COUNTA(final!G53),final!G53,"")</f>
        <v/>
      </c>
      <c r="DE255" s="14" t="str">
        <f>IF(COUNTA(final!H53),final!H53,"")</f>
        <v/>
      </c>
    </row>
    <row r="256" spans="1:109" x14ac:dyDescent="0.2">
      <c r="A256" s="39" t="str">
        <f>IFERROR(final!L54*100/final!$I54,"")</f>
        <v/>
      </c>
      <c r="B256" s="39" t="str">
        <f>IFERROR(final!M54*100/final!$I54,"")</f>
        <v/>
      </c>
      <c r="C256" s="39" t="str">
        <f>IFERROR(final!N54*100/final!$I54,"")</f>
        <v/>
      </c>
      <c r="D256" s="39" t="str">
        <f>IFERROR(final!O54*100/final!$I54,"")</f>
        <v/>
      </c>
      <c r="E256" s="39" t="str">
        <f>IFERROR(final!P54*100/final!$I54,"")</f>
        <v/>
      </c>
      <c r="F256" s="39" t="str">
        <f>IFERROR(final!Q54*100/final!$I54,"")</f>
        <v/>
      </c>
      <c r="G256" s="39" t="str">
        <f>IFERROR(final!R54*100/final!$I54,"")</f>
        <v/>
      </c>
      <c r="H256" s="39" t="str">
        <f>IFERROR(final!S54*100/final!$I54,"")</f>
        <v/>
      </c>
      <c r="I256" s="39" t="str">
        <f>IFERROR(final!T54*100/final!$I54,"")</f>
        <v/>
      </c>
      <c r="J256" s="39" t="str">
        <f>IFERROR(final!U54*100/final!$I54,"")</f>
        <v/>
      </c>
      <c r="K256" s="39" t="str">
        <f>IFERROR(final!V54*100/final!$I54,"")</f>
        <v/>
      </c>
      <c r="L256" s="39" t="str">
        <f>IFERROR(final!W54*100/final!$I54,"")</f>
        <v/>
      </c>
      <c r="M256" s="39" t="str">
        <f>IFERROR(final!X54*100/final!$I54,"")</f>
        <v/>
      </c>
      <c r="N256" s="39" t="str">
        <f>IFERROR(final!Y54*100/final!$I54,"")</f>
        <v/>
      </c>
      <c r="O256" s="39" t="str">
        <f>IFERROR(final!Z54*100/final!$I54,"")</f>
        <v/>
      </c>
      <c r="P256" s="39" t="str">
        <f>IFERROR(final!AA54*100/final!$I54,"")</f>
        <v/>
      </c>
      <c r="Q256" s="39" t="str">
        <f>IFERROR(final!AB54*100/final!$I54,"")</f>
        <v/>
      </c>
      <c r="R256" s="39" t="str">
        <f>IFERROR(final!AC54*100/final!$I54,"")</f>
        <v/>
      </c>
      <c r="S256" s="39" t="str">
        <f>IFERROR(final!AD54*100/final!$I54,"")</f>
        <v/>
      </c>
      <c r="T256" s="39" t="str">
        <f>IFERROR(final!AE54*100/final!$I54,"")</f>
        <v/>
      </c>
      <c r="U256" s="39" t="str">
        <f>IFERROR(final!AF54*100/final!$I54,"")</f>
        <v/>
      </c>
      <c r="V256" s="39" t="str">
        <f>IFERROR(final!AG54*100/final!$I54,"")</f>
        <v/>
      </c>
      <c r="W256" s="39" t="str">
        <f>IFERROR(final!AH54*100/final!$I54,"")</f>
        <v/>
      </c>
      <c r="X256" s="39" t="str">
        <f>IFERROR(final!AI54*100/final!$I54,"")</f>
        <v/>
      </c>
      <c r="Y256" s="39" t="str">
        <f>IFERROR(final!AJ54*100/final!$I54,"")</f>
        <v/>
      </c>
      <c r="Z256" s="39" t="str">
        <f>IFERROR(final!AK54*100/final!$I54,"")</f>
        <v/>
      </c>
      <c r="AA256" s="39" t="str">
        <f>IFERROR(final!AL54*100/final!$I54,"")</f>
        <v/>
      </c>
      <c r="AB256" s="39" t="str">
        <f>IFERROR(final!AM54*100/final!$I54,"")</f>
        <v/>
      </c>
      <c r="AC256" s="39" t="str">
        <f>IFERROR(final!AN54*100/final!$I54,"")</f>
        <v/>
      </c>
      <c r="AD256" s="39" t="str">
        <f>IFERROR(final!AO54*100/final!$I54,"")</f>
        <v/>
      </c>
      <c r="AE256" s="39" t="str">
        <f>IFERROR(final!AP54*100/final!$I54,"")</f>
        <v/>
      </c>
      <c r="AF256" s="39" t="str">
        <f>IFERROR(final!AQ54*100/final!$I54,"")</f>
        <v/>
      </c>
      <c r="AG256" s="39" t="str">
        <f>IFERROR(final!AR54*100/final!$I54,"")</f>
        <v/>
      </c>
      <c r="AH256" s="39" t="str">
        <f>IFERROR(final!AS54*100/final!$I54,"")</f>
        <v/>
      </c>
      <c r="AI256" s="39" t="str">
        <f>IFERROR(final!AT54*100/final!$I54,"")</f>
        <v/>
      </c>
      <c r="AJ256" s="39" t="str">
        <f>IFERROR(final!AU54*100/final!$I54,"")</f>
        <v/>
      </c>
      <c r="AK256" s="39" t="str">
        <f>IFERROR(final!AV54*100/final!$I54,"")</f>
        <v/>
      </c>
      <c r="AL256" s="39" t="str">
        <f>IFERROR(final!AW54*100/final!$I54,"")</f>
        <v/>
      </c>
      <c r="AM256" s="39" t="str">
        <f>IFERROR(final!AX54*100/final!$I54,"")</f>
        <v/>
      </c>
      <c r="AN256" s="39" t="str">
        <f>IFERROR(final!AY54*100/final!$I54,"")</f>
        <v/>
      </c>
      <c r="AO256" s="39" t="str">
        <f>IFERROR(final!AZ54*100/final!$I54,"")</f>
        <v/>
      </c>
      <c r="AP256" s="39" t="str">
        <f>IFERROR(final!BA54*100/final!$I54,"")</f>
        <v/>
      </c>
      <c r="AQ256" s="39" t="str">
        <f>IFERROR(final!BB54*100/final!$I54,"")</f>
        <v/>
      </c>
      <c r="AR256" s="39" t="str">
        <f>IFERROR(final!BC54*100/final!$I54,"")</f>
        <v/>
      </c>
      <c r="AS256" s="39" t="str">
        <f>IFERROR(final!BD54*100/final!$I54,"")</f>
        <v/>
      </c>
      <c r="AT256" s="39" t="str">
        <f>IFERROR(final!BE54*100/final!$I54,"")</f>
        <v/>
      </c>
      <c r="AU256" s="39" t="str">
        <f>IFERROR(final!BF54*100/final!$I54,"")</f>
        <v/>
      </c>
      <c r="AV256" s="39" t="str">
        <f>IFERROR(final!BG54*100/final!$I54,"")</f>
        <v/>
      </c>
      <c r="AW256" s="39" t="str">
        <f>IFERROR(final!BH54*100/final!$I54,"")</f>
        <v/>
      </c>
      <c r="AX256" s="39" t="str">
        <f>IFERROR(final!BI54*100/final!$I54,"")</f>
        <v/>
      </c>
      <c r="AY256" s="39" t="str">
        <f>IFERROR(final!BJ54*100/final!$I54,"")</f>
        <v/>
      </c>
      <c r="AZ256" s="39" t="str">
        <f>IFERROR(final!BK54*100/final!$I54,"")</f>
        <v/>
      </c>
      <c r="BA256" s="39" t="str">
        <f>IFERROR(final!BL54*100/final!$I54,"")</f>
        <v/>
      </c>
      <c r="BB256" s="39" t="str">
        <f>IFERROR(final!BM54*100/final!$I54,"")</f>
        <v/>
      </c>
      <c r="BC256" s="39" t="str">
        <f>IFERROR(final!BN54*100/final!$I54,"")</f>
        <v/>
      </c>
      <c r="BD256" s="39" t="str">
        <f>IFERROR(final!BO54*100/final!$I54,"")</f>
        <v/>
      </c>
      <c r="BE256" s="39" t="str">
        <f>IFERROR(final!BP54*100/final!$I54,"")</f>
        <v/>
      </c>
      <c r="BF256" s="39" t="str">
        <f>IFERROR(final!BQ54*100/final!$I54,"")</f>
        <v/>
      </c>
      <c r="BG256" s="39" t="str">
        <f>IFERROR(final!BR54*100/final!$I54,"")</f>
        <v/>
      </c>
      <c r="BH256" s="39" t="str">
        <f>IFERROR(final!BS54*100/final!$I54,"")</f>
        <v/>
      </c>
      <c r="BI256" s="39" t="str">
        <f>IFERROR(final!BT54*100/final!$I54,"")</f>
        <v/>
      </c>
      <c r="BJ256" s="39" t="str">
        <f>IFERROR(final!BU54*100/final!$I54,"")</f>
        <v/>
      </c>
      <c r="BK256" s="39" t="str">
        <f>IFERROR(final!BV54*100/final!$I54,"")</f>
        <v/>
      </c>
      <c r="BL256" s="39" t="str">
        <f>IFERROR(final!BW54*100/final!$I54,"")</f>
        <v/>
      </c>
      <c r="BM256" s="39" t="str">
        <f>IFERROR(final!BX54*100/final!$I54,"")</f>
        <v/>
      </c>
      <c r="BN256" s="39" t="str">
        <f>IFERROR(final!BY54*100/final!$I54,"")</f>
        <v/>
      </c>
      <c r="BO256" s="39" t="str">
        <f>IFERROR(final!BZ54*100/final!$I54,"")</f>
        <v/>
      </c>
      <c r="BP256" s="39" t="str">
        <f>IFERROR(final!CA54*100/final!$I54,"")</f>
        <v/>
      </c>
      <c r="BQ256" s="39" t="str">
        <f>IFERROR(final!CB54*100/final!$I54,"")</f>
        <v/>
      </c>
      <c r="BR256" s="39" t="str">
        <f>IFERROR(final!CC54*100/final!$I54,"")</f>
        <v/>
      </c>
      <c r="BS256" s="39" t="str">
        <f>IFERROR(final!CD54*100/final!$I54,"")</f>
        <v/>
      </c>
      <c r="BT256" s="39" t="str">
        <f>IFERROR(final!CE54*100/final!$I54,"")</f>
        <v/>
      </c>
      <c r="BU256" s="39" t="str">
        <f>IFERROR(final!CF54*100/final!$I54,"")</f>
        <v/>
      </c>
      <c r="BV256" s="39" t="str">
        <f>IFERROR(final!CG54*100/final!$I54,"")</f>
        <v/>
      </c>
      <c r="BW256" s="39" t="str">
        <f>IFERROR(final!CH54*100/final!$I54,"")</f>
        <v/>
      </c>
      <c r="BX256" s="39" t="str">
        <f>IFERROR(final!CI54*100/final!$I54,"")</f>
        <v/>
      </c>
      <c r="BY256" s="39" t="str">
        <f>IFERROR(final!CJ54*100/final!$I54,"")</f>
        <v/>
      </c>
      <c r="BZ256" s="39" t="str">
        <f>IFERROR(final!CK54*100/final!$I54,"")</f>
        <v/>
      </c>
      <c r="CA256" s="39" t="str">
        <f>IFERROR(final!CL54*100/final!$I54,"")</f>
        <v/>
      </c>
      <c r="CB256" s="39" t="str">
        <f>IFERROR(final!CM54*100/final!$I54,"")</f>
        <v/>
      </c>
      <c r="CC256" s="39" t="str">
        <f>IFERROR(final!CN54*100/final!$I54,"")</f>
        <v/>
      </c>
      <c r="CD256" s="39" t="str">
        <f>IFERROR(final!CO54*100/final!$I54,"")</f>
        <v/>
      </c>
      <c r="CE256" s="39" t="str">
        <f>IFERROR(final!CP54*100/final!$I54,"")</f>
        <v/>
      </c>
      <c r="CF256" s="39" t="str">
        <f>IFERROR(final!CQ54*100/final!$I54,"")</f>
        <v/>
      </c>
      <c r="CG256" s="39" t="str">
        <f>IFERROR(final!CR54*100/final!$I54,"")</f>
        <v/>
      </c>
      <c r="CH256" s="39" t="str">
        <f>IFERROR(final!CS54*100/final!$I54,"")</f>
        <v/>
      </c>
      <c r="CI256" s="39" t="str">
        <f>IFERROR(final!CT54*100/final!$I54,"")</f>
        <v/>
      </c>
      <c r="CJ256" s="39" t="str">
        <f>IFERROR(final!CU54*100/final!$I54,"")</f>
        <v/>
      </c>
      <c r="CK256" s="39" t="str">
        <f>IFERROR(final!CV54*100/final!$I54,"")</f>
        <v/>
      </c>
      <c r="CL256" s="39" t="str">
        <f>IFERROR(final!CW54*100/final!$I54,"")</f>
        <v/>
      </c>
      <c r="CM256" s="39" t="str">
        <f>IFERROR(final!CX54*100/final!$I54,"")</f>
        <v/>
      </c>
      <c r="CN256" s="39" t="str">
        <f>IFERROR(final!CY54*100/final!$I54,"")</f>
        <v/>
      </c>
      <c r="CO256" s="39" t="str">
        <f>IFERROR(final!CZ54*100/final!$I54,"")</f>
        <v/>
      </c>
      <c r="CP256" s="39" t="str">
        <f>IFERROR(final!DA54*100/final!$I54,"")</f>
        <v/>
      </c>
      <c r="CQ256" s="39" t="str">
        <f>IFERROR(final!DB54*100/final!$I54,"")</f>
        <v/>
      </c>
      <c r="CR256" s="39" t="str">
        <f>IFERROR(final!DC54*100/final!$I54,"")</f>
        <v/>
      </c>
      <c r="CS256" s="39" t="str">
        <f>IFERROR(final!DD54*100/final!$I54,"")</f>
        <v/>
      </c>
      <c r="CT256" s="39" t="str">
        <f>IFERROR(final!DE54*100/final!$I54,"")</f>
        <v/>
      </c>
      <c r="CU256" s="39" t="str">
        <f>IFERROR(final!DF54*100/final!$I54,"")</f>
        <v/>
      </c>
      <c r="CV256" s="39" t="str">
        <f>IFERROR(final!DG54*100/final!$I54,"")</f>
        <v/>
      </c>
      <c r="CW256" s="32" t="str">
        <f>IFERROR(SUM(A256:CV256)/final!$DH$103,"")</f>
        <v/>
      </c>
      <c r="CX256" s="14" t="str">
        <f>IF(COUNTA(final!A54),final!A54,"")</f>
        <v/>
      </c>
      <c r="CY256" s="14" t="str">
        <f>IF(COUNTA(final!B54),final!B54,"")</f>
        <v/>
      </c>
      <c r="CZ256" s="14" t="str">
        <f>IF(COUNTA(final!C54),final!C54,"")</f>
        <v/>
      </c>
      <c r="DA256" s="14" t="str">
        <f>IF(COUNTA(final!D54),final!D54,"")</f>
        <v/>
      </c>
      <c r="DB256" s="14" t="str">
        <f>IF(COUNTA(final!E54),final!E54,"")</f>
        <v/>
      </c>
      <c r="DC256" s="14" t="str">
        <f>IF(COUNTA(final!F54),final!F54,"")</f>
        <v/>
      </c>
      <c r="DD256" s="14" t="str">
        <f>IF(COUNTA(final!G54),final!G54,"")</f>
        <v/>
      </c>
      <c r="DE256" s="14" t="str">
        <f>IF(COUNTA(final!H54),final!H54,"")</f>
        <v/>
      </c>
    </row>
    <row r="257" spans="1:109" x14ac:dyDescent="0.2">
      <c r="A257" s="39" t="str">
        <f>IFERROR(final!L55*100/final!$I55,"")</f>
        <v/>
      </c>
      <c r="B257" s="39" t="str">
        <f>IFERROR(final!M55*100/final!$I55,"")</f>
        <v/>
      </c>
      <c r="C257" s="39" t="str">
        <f>IFERROR(final!N55*100/final!$I55,"")</f>
        <v/>
      </c>
      <c r="D257" s="39" t="str">
        <f>IFERROR(final!O55*100/final!$I55,"")</f>
        <v/>
      </c>
      <c r="E257" s="39" t="str">
        <f>IFERROR(final!P55*100/final!$I55,"")</f>
        <v/>
      </c>
      <c r="F257" s="39" t="str">
        <f>IFERROR(final!Q55*100/final!$I55,"")</f>
        <v/>
      </c>
      <c r="G257" s="39" t="str">
        <f>IFERROR(final!R55*100/final!$I55,"")</f>
        <v/>
      </c>
      <c r="H257" s="39" t="str">
        <f>IFERROR(final!S55*100/final!$I55,"")</f>
        <v/>
      </c>
      <c r="I257" s="39" t="str">
        <f>IFERROR(final!T55*100/final!$I55,"")</f>
        <v/>
      </c>
      <c r="J257" s="39" t="str">
        <f>IFERROR(final!U55*100/final!$I55,"")</f>
        <v/>
      </c>
      <c r="K257" s="39" t="str">
        <f>IFERROR(final!V55*100/final!$I55,"")</f>
        <v/>
      </c>
      <c r="L257" s="39" t="str">
        <f>IFERROR(final!W55*100/final!$I55,"")</f>
        <v/>
      </c>
      <c r="M257" s="39" t="str">
        <f>IFERROR(final!X55*100/final!$I55,"")</f>
        <v/>
      </c>
      <c r="N257" s="39" t="str">
        <f>IFERROR(final!Y55*100/final!$I55,"")</f>
        <v/>
      </c>
      <c r="O257" s="39" t="str">
        <f>IFERROR(final!Z55*100/final!$I55,"")</f>
        <v/>
      </c>
      <c r="P257" s="39" t="str">
        <f>IFERROR(final!AA55*100/final!$I55,"")</f>
        <v/>
      </c>
      <c r="Q257" s="39" t="str">
        <f>IFERROR(final!AB55*100/final!$I55,"")</f>
        <v/>
      </c>
      <c r="R257" s="39" t="str">
        <f>IFERROR(final!AC55*100/final!$I55,"")</f>
        <v/>
      </c>
      <c r="S257" s="39" t="str">
        <f>IFERROR(final!AD55*100/final!$I55,"")</f>
        <v/>
      </c>
      <c r="T257" s="39" t="str">
        <f>IFERROR(final!AE55*100/final!$I55,"")</f>
        <v/>
      </c>
      <c r="U257" s="39" t="str">
        <f>IFERROR(final!AF55*100/final!$I55,"")</f>
        <v/>
      </c>
      <c r="V257" s="39" t="str">
        <f>IFERROR(final!AG55*100/final!$I55,"")</f>
        <v/>
      </c>
      <c r="W257" s="39" t="str">
        <f>IFERROR(final!AH55*100/final!$I55,"")</f>
        <v/>
      </c>
      <c r="X257" s="39" t="str">
        <f>IFERROR(final!AI55*100/final!$I55,"")</f>
        <v/>
      </c>
      <c r="Y257" s="39" t="str">
        <f>IFERROR(final!AJ55*100/final!$I55,"")</f>
        <v/>
      </c>
      <c r="Z257" s="39" t="str">
        <f>IFERROR(final!AK55*100/final!$I55,"")</f>
        <v/>
      </c>
      <c r="AA257" s="39" t="str">
        <f>IFERROR(final!AL55*100/final!$I55,"")</f>
        <v/>
      </c>
      <c r="AB257" s="39" t="str">
        <f>IFERROR(final!AM55*100/final!$I55,"")</f>
        <v/>
      </c>
      <c r="AC257" s="39" t="str">
        <f>IFERROR(final!AN55*100/final!$I55,"")</f>
        <v/>
      </c>
      <c r="AD257" s="39" t="str">
        <f>IFERROR(final!AO55*100/final!$I55,"")</f>
        <v/>
      </c>
      <c r="AE257" s="39" t="str">
        <f>IFERROR(final!AP55*100/final!$I55,"")</f>
        <v/>
      </c>
      <c r="AF257" s="39" t="str">
        <f>IFERROR(final!AQ55*100/final!$I55,"")</f>
        <v/>
      </c>
      <c r="AG257" s="39" t="str">
        <f>IFERROR(final!AR55*100/final!$I55,"")</f>
        <v/>
      </c>
      <c r="AH257" s="39" t="str">
        <f>IFERROR(final!AS55*100/final!$I55,"")</f>
        <v/>
      </c>
      <c r="AI257" s="39" t="str">
        <f>IFERROR(final!AT55*100/final!$I55,"")</f>
        <v/>
      </c>
      <c r="AJ257" s="39" t="str">
        <f>IFERROR(final!AU55*100/final!$I55,"")</f>
        <v/>
      </c>
      <c r="AK257" s="39" t="str">
        <f>IFERROR(final!AV55*100/final!$I55,"")</f>
        <v/>
      </c>
      <c r="AL257" s="39" t="str">
        <f>IFERROR(final!AW55*100/final!$I55,"")</f>
        <v/>
      </c>
      <c r="AM257" s="39" t="str">
        <f>IFERROR(final!AX55*100/final!$I55,"")</f>
        <v/>
      </c>
      <c r="AN257" s="39" t="str">
        <f>IFERROR(final!AY55*100/final!$I55,"")</f>
        <v/>
      </c>
      <c r="AO257" s="39" t="str">
        <f>IFERROR(final!AZ55*100/final!$I55,"")</f>
        <v/>
      </c>
      <c r="AP257" s="39" t="str">
        <f>IFERROR(final!BA55*100/final!$I55,"")</f>
        <v/>
      </c>
      <c r="AQ257" s="39" t="str">
        <f>IFERROR(final!BB55*100/final!$I55,"")</f>
        <v/>
      </c>
      <c r="AR257" s="39" t="str">
        <f>IFERROR(final!BC55*100/final!$I55,"")</f>
        <v/>
      </c>
      <c r="AS257" s="39" t="str">
        <f>IFERROR(final!BD55*100/final!$I55,"")</f>
        <v/>
      </c>
      <c r="AT257" s="39" t="str">
        <f>IFERROR(final!BE55*100/final!$I55,"")</f>
        <v/>
      </c>
      <c r="AU257" s="39" t="str">
        <f>IFERROR(final!BF55*100/final!$I55,"")</f>
        <v/>
      </c>
      <c r="AV257" s="39" t="str">
        <f>IFERROR(final!BG55*100/final!$I55,"")</f>
        <v/>
      </c>
      <c r="AW257" s="39" t="str">
        <f>IFERROR(final!BH55*100/final!$I55,"")</f>
        <v/>
      </c>
      <c r="AX257" s="39" t="str">
        <f>IFERROR(final!BI55*100/final!$I55,"")</f>
        <v/>
      </c>
      <c r="AY257" s="39" t="str">
        <f>IFERROR(final!BJ55*100/final!$I55,"")</f>
        <v/>
      </c>
      <c r="AZ257" s="39" t="str">
        <f>IFERROR(final!BK55*100/final!$I55,"")</f>
        <v/>
      </c>
      <c r="BA257" s="39" t="str">
        <f>IFERROR(final!BL55*100/final!$I55,"")</f>
        <v/>
      </c>
      <c r="BB257" s="39" t="str">
        <f>IFERROR(final!BM55*100/final!$I55,"")</f>
        <v/>
      </c>
      <c r="BC257" s="39" t="str">
        <f>IFERROR(final!BN55*100/final!$I55,"")</f>
        <v/>
      </c>
      <c r="BD257" s="39" t="str">
        <f>IFERROR(final!BO55*100/final!$I55,"")</f>
        <v/>
      </c>
      <c r="BE257" s="39" t="str">
        <f>IFERROR(final!BP55*100/final!$I55,"")</f>
        <v/>
      </c>
      <c r="BF257" s="39" t="str">
        <f>IFERROR(final!BQ55*100/final!$I55,"")</f>
        <v/>
      </c>
      <c r="BG257" s="39" t="str">
        <f>IFERROR(final!BR55*100/final!$I55,"")</f>
        <v/>
      </c>
      <c r="BH257" s="39" t="str">
        <f>IFERROR(final!BS55*100/final!$I55,"")</f>
        <v/>
      </c>
      <c r="BI257" s="39" t="str">
        <f>IFERROR(final!BT55*100/final!$I55,"")</f>
        <v/>
      </c>
      <c r="BJ257" s="39" t="str">
        <f>IFERROR(final!BU55*100/final!$I55,"")</f>
        <v/>
      </c>
      <c r="BK257" s="39" t="str">
        <f>IFERROR(final!BV55*100/final!$I55,"")</f>
        <v/>
      </c>
      <c r="BL257" s="39" t="str">
        <f>IFERROR(final!BW55*100/final!$I55,"")</f>
        <v/>
      </c>
      <c r="BM257" s="39" t="str">
        <f>IFERROR(final!BX55*100/final!$I55,"")</f>
        <v/>
      </c>
      <c r="BN257" s="39" t="str">
        <f>IFERROR(final!BY55*100/final!$I55,"")</f>
        <v/>
      </c>
      <c r="BO257" s="39" t="str">
        <f>IFERROR(final!BZ55*100/final!$I55,"")</f>
        <v/>
      </c>
      <c r="BP257" s="39" t="str">
        <f>IFERROR(final!CA55*100/final!$I55,"")</f>
        <v/>
      </c>
      <c r="BQ257" s="39" t="str">
        <f>IFERROR(final!CB55*100/final!$I55,"")</f>
        <v/>
      </c>
      <c r="BR257" s="39" t="str">
        <f>IFERROR(final!CC55*100/final!$I55,"")</f>
        <v/>
      </c>
      <c r="BS257" s="39" t="str">
        <f>IFERROR(final!CD55*100/final!$I55,"")</f>
        <v/>
      </c>
      <c r="BT257" s="39" t="str">
        <f>IFERROR(final!CE55*100/final!$I55,"")</f>
        <v/>
      </c>
      <c r="BU257" s="39" t="str">
        <f>IFERROR(final!CF55*100/final!$I55,"")</f>
        <v/>
      </c>
      <c r="BV257" s="39" t="str">
        <f>IFERROR(final!CG55*100/final!$I55,"")</f>
        <v/>
      </c>
      <c r="BW257" s="39" t="str">
        <f>IFERROR(final!CH55*100/final!$I55,"")</f>
        <v/>
      </c>
      <c r="BX257" s="39" t="str">
        <f>IFERROR(final!CI55*100/final!$I55,"")</f>
        <v/>
      </c>
      <c r="BY257" s="39" t="str">
        <f>IFERROR(final!CJ55*100/final!$I55,"")</f>
        <v/>
      </c>
      <c r="BZ257" s="39" t="str">
        <f>IFERROR(final!CK55*100/final!$I55,"")</f>
        <v/>
      </c>
      <c r="CA257" s="39" t="str">
        <f>IFERROR(final!CL55*100/final!$I55,"")</f>
        <v/>
      </c>
      <c r="CB257" s="39" t="str">
        <f>IFERROR(final!CM55*100/final!$I55,"")</f>
        <v/>
      </c>
      <c r="CC257" s="39" t="str">
        <f>IFERROR(final!CN55*100/final!$I55,"")</f>
        <v/>
      </c>
      <c r="CD257" s="39" t="str">
        <f>IFERROR(final!CO55*100/final!$I55,"")</f>
        <v/>
      </c>
      <c r="CE257" s="39" t="str">
        <f>IFERROR(final!CP55*100/final!$I55,"")</f>
        <v/>
      </c>
      <c r="CF257" s="39" t="str">
        <f>IFERROR(final!CQ55*100/final!$I55,"")</f>
        <v/>
      </c>
      <c r="CG257" s="39" t="str">
        <f>IFERROR(final!CR55*100/final!$I55,"")</f>
        <v/>
      </c>
      <c r="CH257" s="39" t="str">
        <f>IFERROR(final!CS55*100/final!$I55,"")</f>
        <v/>
      </c>
      <c r="CI257" s="39" t="str">
        <f>IFERROR(final!CT55*100/final!$I55,"")</f>
        <v/>
      </c>
      <c r="CJ257" s="39" t="str">
        <f>IFERROR(final!CU55*100/final!$I55,"")</f>
        <v/>
      </c>
      <c r="CK257" s="39" t="str">
        <f>IFERROR(final!CV55*100/final!$I55,"")</f>
        <v/>
      </c>
      <c r="CL257" s="39" t="str">
        <f>IFERROR(final!CW55*100/final!$I55,"")</f>
        <v/>
      </c>
      <c r="CM257" s="39" t="str">
        <f>IFERROR(final!CX55*100/final!$I55,"")</f>
        <v/>
      </c>
      <c r="CN257" s="39" t="str">
        <f>IFERROR(final!CY55*100/final!$I55,"")</f>
        <v/>
      </c>
      <c r="CO257" s="39" t="str">
        <f>IFERROR(final!CZ55*100/final!$I55,"")</f>
        <v/>
      </c>
      <c r="CP257" s="39" t="str">
        <f>IFERROR(final!DA55*100/final!$I55,"")</f>
        <v/>
      </c>
      <c r="CQ257" s="39" t="str">
        <f>IFERROR(final!DB55*100/final!$I55,"")</f>
        <v/>
      </c>
      <c r="CR257" s="39" t="str">
        <f>IFERROR(final!DC55*100/final!$I55,"")</f>
        <v/>
      </c>
      <c r="CS257" s="39" t="str">
        <f>IFERROR(final!DD55*100/final!$I55,"")</f>
        <v/>
      </c>
      <c r="CT257" s="39" t="str">
        <f>IFERROR(final!DE55*100/final!$I55,"")</f>
        <v/>
      </c>
      <c r="CU257" s="39" t="str">
        <f>IFERROR(final!DF55*100/final!$I55,"")</f>
        <v/>
      </c>
      <c r="CV257" s="39" t="str">
        <f>IFERROR(final!DG55*100/final!$I55,"")</f>
        <v/>
      </c>
      <c r="CW257" s="32" t="str">
        <f>IFERROR(SUM(A257:CV257)/final!$DH$103,"")</f>
        <v/>
      </c>
      <c r="CX257" s="14" t="str">
        <f>IF(COUNTA(final!A55),final!A55,"")</f>
        <v/>
      </c>
      <c r="CY257" s="14" t="str">
        <f>IF(COUNTA(final!B55),final!B55,"")</f>
        <v/>
      </c>
      <c r="CZ257" s="14" t="str">
        <f>IF(COUNTA(final!C55),final!C55,"")</f>
        <v/>
      </c>
      <c r="DA257" s="14" t="str">
        <f>IF(COUNTA(final!D55),final!D55,"")</f>
        <v/>
      </c>
      <c r="DB257" s="14" t="str">
        <f>IF(COUNTA(final!E55),final!E55,"")</f>
        <v/>
      </c>
      <c r="DC257" s="14" t="str">
        <f>IF(COUNTA(final!F55),final!F55,"")</f>
        <v/>
      </c>
      <c r="DD257" s="14" t="str">
        <f>IF(COUNTA(final!G55),final!G55,"")</f>
        <v/>
      </c>
      <c r="DE257" s="14" t="str">
        <f>IF(COUNTA(final!H55),final!H55,"")</f>
        <v/>
      </c>
    </row>
    <row r="258" spans="1:109" x14ac:dyDescent="0.2">
      <c r="A258" s="39" t="str">
        <f>IFERROR(final!L56*100/final!$I56,"")</f>
        <v/>
      </c>
      <c r="B258" s="39" t="str">
        <f>IFERROR(final!M56*100/final!$I56,"")</f>
        <v/>
      </c>
      <c r="C258" s="39" t="str">
        <f>IFERROR(final!N56*100/final!$I56,"")</f>
        <v/>
      </c>
      <c r="D258" s="39" t="str">
        <f>IFERROR(final!O56*100/final!$I56,"")</f>
        <v/>
      </c>
      <c r="E258" s="39" t="str">
        <f>IFERROR(final!P56*100/final!$I56,"")</f>
        <v/>
      </c>
      <c r="F258" s="39" t="str">
        <f>IFERROR(final!Q56*100/final!$I56,"")</f>
        <v/>
      </c>
      <c r="G258" s="39" t="str">
        <f>IFERROR(final!R56*100/final!$I56,"")</f>
        <v/>
      </c>
      <c r="H258" s="39" t="str">
        <f>IFERROR(final!S56*100/final!$I56,"")</f>
        <v/>
      </c>
      <c r="I258" s="39" t="str">
        <f>IFERROR(final!T56*100/final!$I56,"")</f>
        <v/>
      </c>
      <c r="J258" s="39" t="str">
        <f>IFERROR(final!U56*100/final!$I56,"")</f>
        <v/>
      </c>
      <c r="K258" s="39" t="str">
        <f>IFERROR(final!V56*100/final!$I56,"")</f>
        <v/>
      </c>
      <c r="L258" s="39" t="str">
        <f>IFERROR(final!W56*100/final!$I56,"")</f>
        <v/>
      </c>
      <c r="M258" s="39" t="str">
        <f>IFERROR(final!X56*100/final!$I56,"")</f>
        <v/>
      </c>
      <c r="N258" s="39" t="str">
        <f>IFERROR(final!Y56*100/final!$I56,"")</f>
        <v/>
      </c>
      <c r="O258" s="39" t="str">
        <f>IFERROR(final!Z56*100/final!$I56,"")</f>
        <v/>
      </c>
      <c r="P258" s="39" t="str">
        <f>IFERROR(final!AA56*100/final!$I56,"")</f>
        <v/>
      </c>
      <c r="Q258" s="39" t="str">
        <f>IFERROR(final!AB56*100/final!$I56,"")</f>
        <v/>
      </c>
      <c r="R258" s="39" t="str">
        <f>IFERROR(final!AC56*100/final!$I56,"")</f>
        <v/>
      </c>
      <c r="S258" s="39" t="str">
        <f>IFERROR(final!AD56*100/final!$I56,"")</f>
        <v/>
      </c>
      <c r="T258" s="39" t="str">
        <f>IFERROR(final!AE56*100/final!$I56,"")</f>
        <v/>
      </c>
      <c r="U258" s="39" t="str">
        <f>IFERROR(final!AF56*100/final!$I56,"")</f>
        <v/>
      </c>
      <c r="V258" s="39" t="str">
        <f>IFERROR(final!AG56*100/final!$I56,"")</f>
        <v/>
      </c>
      <c r="W258" s="39" t="str">
        <f>IFERROR(final!AH56*100/final!$I56,"")</f>
        <v/>
      </c>
      <c r="X258" s="39" t="str">
        <f>IFERROR(final!AI56*100/final!$I56,"")</f>
        <v/>
      </c>
      <c r="Y258" s="39" t="str">
        <f>IFERROR(final!AJ56*100/final!$I56,"")</f>
        <v/>
      </c>
      <c r="Z258" s="39" t="str">
        <f>IFERROR(final!AK56*100/final!$I56,"")</f>
        <v/>
      </c>
      <c r="AA258" s="39" t="str">
        <f>IFERROR(final!AL56*100/final!$I56,"")</f>
        <v/>
      </c>
      <c r="AB258" s="39" t="str">
        <f>IFERROR(final!AM56*100/final!$I56,"")</f>
        <v/>
      </c>
      <c r="AC258" s="39" t="str">
        <f>IFERROR(final!AN56*100/final!$I56,"")</f>
        <v/>
      </c>
      <c r="AD258" s="39" t="str">
        <f>IFERROR(final!AO56*100/final!$I56,"")</f>
        <v/>
      </c>
      <c r="AE258" s="39" t="str">
        <f>IFERROR(final!AP56*100/final!$I56,"")</f>
        <v/>
      </c>
      <c r="AF258" s="39" t="str">
        <f>IFERROR(final!AQ56*100/final!$I56,"")</f>
        <v/>
      </c>
      <c r="AG258" s="39" t="str">
        <f>IFERROR(final!AR56*100/final!$I56,"")</f>
        <v/>
      </c>
      <c r="AH258" s="39" t="str">
        <f>IFERROR(final!AS56*100/final!$I56,"")</f>
        <v/>
      </c>
      <c r="AI258" s="39" t="str">
        <f>IFERROR(final!AT56*100/final!$I56,"")</f>
        <v/>
      </c>
      <c r="AJ258" s="39" t="str">
        <f>IFERROR(final!AU56*100/final!$I56,"")</f>
        <v/>
      </c>
      <c r="AK258" s="39" t="str">
        <f>IFERROR(final!AV56*100/final!$I56,"")</f>
        <v/>
      </c>
      <c r="AL258" s="39" t="str">
        <f>IFERROR(final!AW56*100/final!$I56,"")</f>
        <v/>
      </c>
      <c r="AM258" s="39" t="str">
        <f>IFERROR(final!AX56*100/final!$I56,"")</f>
        <v/>
      </c>
      <c r="AN258" s="39" t="str">
        <f>IFERROR(final!AY56*100/final!$I56,"")</f>
        <v/>
      </c>
      <c r="AO258" s="39" t="str">
        <f>IFERROR(final!AZ56*100/final!$I56,"")</f>
        <v/>
      </c>
      <c r="AP258" s="39" t="str">
        <f>IFERROR(final!BA56*100/final!$I56,"")</f>
        <v/>
      </c>
      <c r="AQ258" s="39" t="str">
        <f>IFERROR(final!BB56*100/final!$I56,"")</f>
        <v/>
      </c>
      <c r="AR258" s="39" t="str">
        <f>IFERROR(final!BC56*100/final!$I56,"")</f>
        <v/>
      </c>
      <c r="AS258" s="39" t="str">
        <f>IFERROR(final!BD56*100/final!$I56,"")</f>
        <v/>
      </c>
      <c r="AT258" s="39" t="str">
        <f>IFERROR(final!BE56*100/final!$I56,"")</f>
        <v/>
      </c>
      <c r="AU258" s="39" t="str">
        <f>IFERROR(final!BF56*100/final!$I56,"")</f>
        <v/>
      </c>
      <c r="AV258" s="39" t="str">
        <f>IFERROR(final!BG56*100/final!$I56,"")</f>
        <v/>
      </c>
      <c r="AW258" s="39" t="str">
        <f>IFERROR(final!BH56*100/final!$I56,"")</f>
        <v/>
      </c>
      <c r="AX258" s="39" t="str">
        <f>IFERROR(final!BI56*100/final!$I56,"")</f>
        <v/>
      </c>
      <c r="AY258" s="39" t="str">
        <f>IFERROR(final!BJ56*100/final!$I56,"")</f>
        <v/>
      </c>
      <c r="AZ258" s="39" t="str">
        <f>IFERROR(final!BK56*100/final!$I56,"")</f>
        <v/>
      </c>
      <c r="BA258" s="39" t="str">
        <f>IFERROR(final!BL56*100/final!$I56,"")</f>
        <v/>
      </c>
      <c r="BB258" s="39" t="str">
        <f>IFERROR(final!BM56*100/final!$I56,"")</f>
        <v/>
      </c>
      <c r="BC258" s="39" t="str">
        <f>IFERROR(final!BN56*100/final!$I56,"")</f>
        <v/>
      </c>
      <c r="BD258" s="39" t="str">
        <f>IFERROR(final!BO56*100/final!$I56,"")</f>
        <v/>
      </c>
      <c r="BE258" s="39" t="str">
        <f>IFERROR(final!BP56*100/final!$I56,"")</f>
        <v/>
      </c>
      <c r="BF258" s="39" t="str">
        <f>IFERROR(final!BQ56*100/final!$I56,"")</f>
        <v/>
      </c>
      <c r="BG258" s="39" t="str">
        <f>IFERROR(final!BR56*100/final!$I56,"")</f>
        <v/>
      </c>
      <c r="BH258" s="39" t="str">
        <f>IFERROR(final!BS56*100/final!$I56,"")</f>
        <v/>
      </c>
      <c r="BI258" s="39" t="str">
        <f>IFERROR(final!BT56*100/final!$I56,"")</f>
        <v/>
      </c>
      <c r="BJ258" s="39" t="str">
        <f>IFERROR(final!BU56*100/final!$I56,"")</f>
        <v/>
      </c>
      <c r="BK258" s="39" t="str">
        <f>IFERROR(final!BV56*100/final!$I56,"")</f>
        <v/>
      </c>
      <c r="BL258" s="39" t="str">
        <f>IFERROR(final!BW56*100/final!$I56,"")</f>
        <v/>
      </c>
      <c r="BM258" s="39" t="str">
        <f>IFERROR(final!BX56*100/final!$I56,"")</f>
        <v/>
      </c>
      <c r="BN258" s="39" t="str">
        <f>IFERROR(final!BY56*100/final!$I56,"")</f>
        <v/>
      </c>
      <c r="BO258" s="39" t="str">
        <f>IFERROR(final!BZ56*100/final!$I56,"")</f>
        <v/>
      </c>
      <c r="BP258" s="39" t="str">
        <f>IFERROR(final!CA56*100/final!$I56,"")</f>
        <v/>
      </c>
      <c r="BQ258" s="39" t="str">
        <f>IFERROR(final!CB56*100/final!$I56,"")</f>
        <v/>
      </c>
      <c r="BR258" s="39" t="str">
        <f>IFERROR(final!CC56*100/final!$I56,"")</f>
        <v/>
      </c>
      <c r="BS258" s="39" t="str">
        <f>IFERROR(final!CD56*100/final!$I56,"")</f>
        <v/>
      </c>
      <c r="BT258" s="39" t="str">
        <f>IFERROR(final!CE56*100/final!$I56,"")</f>
        <v/>
      </c>
      <c r="BU258" s="39" t="str">
        <f>IFERROR(final!CF56*100/final!$I56,"")</f>
        <v/>
      </c>
      <c r="BV258" s="39" t="str">
        <f>IFERROR(final!CG56*100/final!$I56,"")</f>
        <v/>
      </c>
      <c r="BW258" s="39" t="str">
        <f>IFERROR(final!CH56*100/final!$I56,"")</f>
        <v/>
      </c>
      <c r="BX258" s="39" t="str">
        <f>IFERROR(final!CI56*100/final!$I56,"")</f>
        <v/>
      </c>
      <c r="BY258" s="39" t="str">
        <f>IFERROR(final!CJ56*100/final!$I56,"")</f>
        <v/>
      </c>
      <c r="BZ258" s="39" t="str">
        <f>IFERROR(final!CK56*100/final!$I56,"")</f>
        <v/>
      </c>
      <c r="CA258" s="39" t="str">
        <f>IFERROR(final!CL56*100/final!$I56,"")</f>
        <v/>
      </c>
      <c r="CB258" s="39" t="str">
        <f>IFERROR(final!CM56*100/final!$I56,"")</f>
        <v/>
      </c>
      <c r="CC258" s="39" t="str">
        <f>IFERROR(final!CN56*100/final!$I56,"")</f>
        <v/>
      </c>
      <c r="CD258" s="39" t="str">
        <f>IFERROR(final!CO56*100/final!$I56,"")</f>
        <v/>
      </c>
      <c r="CE258" s="39" t="str">
        <f>IFERROR(final!CP56*100/final!$I56,"")</f>
        <v/>
      </c>
      <c r="CF258" s="39" t="str">
        <f>IFERROR(final!CQ56*100/final!$I56,"")</f>
        <v/>
      </c>
      <c r="CG258" s="39" t="str">
        <f>IFERROR(final!CR56*100/final!$I56,"")</f>
        <v/>
      </c>
      <c r="CH258" s="39" t="str">
        <f>IFERROR(final!CS56*100/final!$I56,"")</f>
        <v/>
      </c>
      <c r="CI258" s="39" t="str">
        <f>IFERROR(final!CT56*100/final!$I56,"")</f>
        <v/>
      </c>
      <c r="CJ258" s="39" t="str">
        <f>IFERROR(final!CU56*100/final!$I56,"")</f>
        <v/>
      </c>
      <c r="CK258" s="39" t="str">
        <f>IFERROR(final!CV56*100/final!$I56,"")</f>
        <v/>
      </c>
      <c r="CL258" s="39" t="str">
        <f>IFERROR(final!CW56*100/final!$I56,"")</f>
        <v/>
      </c>
      <c r="CM258" s="39" t="str">
        <f>IFERROR(final!CX56*100/final!$I56,"")</f>
        <v/>
      </c>
      <c r="CN258" s="39" t="str">
        <f>IFERROR(final!CY56*100/final!$I56,"")</f>
        <v/>
      </c>
      <c r="CO258" s="39" t="str">
        <f>IFERROR(final!CZ56*100/final!$I56,"")</f>
        <v/>
      </c>
      <c r="CP258" s="39" t="str">
        <f>IFERROR(final!DA56*100/final!$I56,"")</f>
        <v/>
      </c>
      <c r="CQ258" s="39" t="str">
        <f>IFERROR(final!DB56*100/final!$I56,"")</f>
        <v/>
      </c>
      <c r="CR258" s="39" t="str">
        <f>IFERROR(final!DC56*100/final!$I56,"")</f>
        <v/>
      </c>
      <c r="CS258" s="39" t="str">
        <f>IFERROR(final!DD56*100/final!$I56,"")</f>
        <v/>
      </c>
      <c r="CT258" s="39" t="str">
        <f>IFERROR(final!DE56*100/final!$I56,"")</f>
        <v/>
      </c>
      <c r="CU258" s="39" t="str">
        <f>IFERROR(final!DF56*100/final!$I56,"")</f>
        <v/>
      </c>
      <c r="CV258" s="39" t="str">
        <f>IFERROR(final!DG56*100/final!$I56,"")</f>
        <v/>
      </c>
      <c r="CW258" s="32" t="str">
        <f>IFERROR(SUM(A258:CV258)/final!$DH$103,"")</f>
        <v/>
      </c>
      <c r="CX258" s="14" t="str">
        <f>IF(COUNTA(final!A56),final!A56,"")</f>
        <v/>
      </c>
      <c r="CY258" s="14" t="str">
        <f>IF(COUNTA(final!B56),final!B56,"")</f>
        <v/>
      </c>
      <c r="CZ258" s="14" t="str">
        <f>IF(COUNTA(final!C56),final!C56,"")</f>
        <v/>
      </c>
      <c r="DA258" s="14" t="str">
        <f>IF(COUNTA(final!D56),final!D56,"")</f>
        <v/>
      </c>
      <c r="DB258" s="14" t="str">
        <f>IF(COUNTA(final!E56),final!E56,"")</f>
        <v/>
      </c>
      <c r="DC258" s="14" t="str">
        <f>IF(COUNTA(final!F56),final!F56,"")</f>
        <v/>
      </c>
      <c r="DD258" s="14" t="str">
        <f>IF(COUNTA(final!G56),final!G56,"")</f>
        <v/>
      </c>
      <c r="DE258" s="14" t="str">
        <f>IF(COUNTA(final!H56),final!H56,"")</f>
        <v/>
      </c>
    </row>
    <row r="259" spans="1:109" x14ac:dyDescent="0.2">
      <c r="A259" s="39" t="str">
        <f>IFERROR(final!L57*100/final!$I57,"")</f>
        <v/>
      </c>
      <c r="B259" s="39" t="str">
        <f>IFERROR(final!M57*100/final!$I57,"")</f>
        <v/>
      </c>
      <c r="C259" s="39" t="str">
        <f>IFERROR(final!N57*100/final!$I57,"")</f>
        <v/>
      </c>
      <c r="D259" s="39" t="str">
        <f>IFERROR(final!O57*100/final!$I57,"")</f>
        <v/>
      </c>
      <c r="E259" s="39" t="str">
        <f>IFERROR(final!P57*100/final!$I57,"")</f>
        <v/>
      </c>
      <c r="F259" s="39" t="str">
        <f>IFERROR(final!Q57*100/final!$I57,"")</f>
        <v/>
      </c>
      <c r="G259" s="39" t="str">
        <f>IFERROR(final!R57*100/final!$I57,"")</f>
        <v/>
      </c>
      <c r="H259" s="39" t="str">
        <f>IFERROR(final!S57*100/final!$I57,"")</f>
        <v/>
      </c>
      <c r="I259" s="39" t="str">
        <f>IFERROR(final!T57*100/final!$I57,"")</f>
        <v/>
      </c>
      <c r="J259" s="39" t="str">
        <f>IFERROR(final!U57*100/final!$I57,"")</f>
        <v/>
      </c>
      <c r="K259" s="39" t="str">
        <f>IFERROR(final!V57*100/final!$I57,"")</f>
        <v/>
      </c>
      <c r="L259" s="39" t="str">
        <f>IFERROR(final!W57*100/final!$I57,"")</f>
        <v/>
      </c>
      <c r="M259" s="39" t="str">
        <f>IFERROR(final!X57*100/final!$I57,"")</f>
        <v/>
      </c>
      <c r="N259" s="39" t="str">
        <f>IFERROR(final!Y57*100/final!$I57,"")</f>
        <v/>
      </c>
      <c r="O259" s="39" t="str">
        <f>IFERROR(final!Z57*100/final!$I57,"")</f>
        <v/>
      </c>
      <c r="P259" s="39" t="str">
        <f>IFERROR(final!AA57*100/final!$I57,"")</f>
        <v/>
      </c>
      <c r="Q259" s="39" t="str">
        <f>IFERROR(final!AB57*100/final!$I57,"")</f>
        <v/>
      </c>
      <c r="R259" s="39" t="str">
        <f>IFERROR(final!AC57*100/final!$I57,"")</f>
        <v/>
      </c>
      <c r="S259" s="39" t="str">
        <f>IFERROR(final!AD57*100/final!$I57,"")</f>
        <v/>
      </c>
      <c r="T259" s="39" t="str">
        <f>IFERROR(final!AE57*100/final!$I57,"")</f>
        <v/>
      </c>
      <c r="U259" s="39" t="str">
        <f>IFERROR(final!AF57*100/final!$I57,"")</f>
        <v/>
      </c>
      <c r="V259" s="39" t="str">
        <f>IFERROR(final!AG57*100/final!$I57,"")</f>
        <v/>
      </c>
      <c r="W259" s="39" t="str">
        <f>IFERROR(final!AH57*100/final!$I57,"")</f>
        <v/>
      </c>
      <c r="X259" s="39" t="str">
        <f>IFERROR(final!AI57*100/final!$I57,"")</f>
        <v/>
      </c>
      <c r="Y259" s="39" t="str">
        <f>IFERROR(final!AJ57*100/final!$I57,"")</f>
        <v/>
      </c>
      <c r="Z259" s="39" t="str">
        <f>IFERROR(final!AK57*100/final!$I57,"")</f>
        <v/>
      </c>
      <c r="AA259" s="39" t="str">
        <f>IFERROR(final!AL57*100/final!$I57,"")</f>
        <v/>
      </c>
      <c r="AB259" s="39" t="str">
        <f>IFERROR(final!AM57*100/final!$I57,"")</f>
        <v/>
      </c>
      <c r="AC259" s="39" t="str">
        <f>IFERROR(final!AN57*100/final!$I57,"")</f>
        <v/>
      </c>
      <c r="AD259" s="39" t="str">
        <f>IFERROR(final!AO57*100/final!$I57,"")</f>
        <v/>
      </c>
      <c r="AE259" s="39" t="str">
        <f>IFERROR(final!AP57*100/final!$I57,"")</f>
        <v/>
      </c>
      <c r="AF259" s="39" t="str">
        <f>IFERROR(final!AQ57*100/final!$I57,"")</f>
        <v/>
      </c>
      <c r="AG259" s="39" t="str">
        <f>IFERROR(final!AR57*100/final!$I57,"")</f>
        <v/>
      </c>
      <c r="AH259" s="39" t="str">
        <f>IFERROR(final!AS57*100/final!$I57,"")</f>
        <v/>
      </c>
      <c r="AI259" s="39" t="str">
        <f>IFERROR(final!AT57*100/final!$I57,"")</f>
        <v/>
      </c>
      <c r="AJ259" s="39" t="str">
        <f>IFERROR(final!AU57*100/final!$I57,"")</f>
        <v/>
      </c>
      <c r="AK259" s="39" t="str">
        <f>IFERROR(final!AV57*100/final!$I57,"")</f>
        <v/>
      </c>
      <c r="AL259" s="39" t="str">
        <f>IFERROR(final!AW57*100/final!$I57,"")</f>
        <v/>
      </c>
      <c r="AM259" s="39" t="str">
        <f>IFERROR(final!AX57*100/final!$I57,"")</f>
        <v/>
      </c>
      <c r="AN259" s="39" t="str">
        <f>IFERROR(final!AY57*100/final!$I57,"")</f>
        <v/>
      </c>
      <c r="AO259" s="39" t="str">
        <f>IFERROR(final!AZ57*100/final!$I57,"")</f>
        <v/>
      </c>
      <c r="AP259" s="39" t="str">
        <f>IFERROR(final!BA57*100/final!$I57,"")</f>
        <v/>
      </c>
      <c r="AQ259" s="39" t="str">
        <f>IFERROR(final!BB57*100/final!$I57,"")</f>
        <v/>
      </c>
      <c r="AR259" s="39" t="str">
        <f>IFERROR(final!BC57*100/final!$I57,"")</f>
        <v/>
      </c>
      <c r="AS259" s="39" t="str">
        <f>IFERROR(final!BD57*100/final!$I57,"")</f>
        <v/>
      </c>
      <c r="AT259" s="39" t="str">
        <f>IFERROR(final!BE57*100/final!$I57,"")</f>
        <v/>
      </c>
      <c r="AU259" s="39" t="str">
        <f>IFERROR(final!BF57*100/final!$I57,"")</f>
        <v/>
      </c>
      <c r="AV259" s="39" t="str">
        <f>IFERROR(final!BG57*100/final!$I57,"")</f>
        <v/>
      </c>
      <c r="AW259" s="39" t="str">
        <f>IFERROR(final!BH57*100/final!$I57,"")</f>
        <v/>
      </c>
      <c r="AX259" s="39" t="str">
        <f>IFERROR(final!BI57*100/final!$I57,"")</f>
        <v/>
      </c>
      <c r="AY259" s="39" t="str">
        <f>IFERROR(final!BJ57*100/final!$I57,"")</f>
        <v/>
      </c>
      <c r="AZ259" s="39" t="str">
        <f>IFERROR(final!BK57*100/final!$I57,"")</f>
        <v/>
      </c>
      <c r="BA259" s="39" t="str">
        <f>IFERROR(final!BL57*100/final!$I57,"")</f>
        <v/>
      </c>
      <c r="BB259" s="39" t="str">
        <f>IFERROR(final!BM57*100/final!$I57,"")</f>
        <v/>
      </c>
      <c r="BC259" s="39" t="str">
        <f>IFERROR(final!BN57*100/final!$I57,"")</f>
        <v/>
      </c>
      <c r="BD259" s="39" t="str">
        <f>IFERROR(final!BO57*100/final!$I57,"")</f>
        <v/>
      </c>
      <c r="BE259" s="39" t="str">
        <f>IFERROR(final!BP57*100/final!$I57,"")</f>
        <v/>
      </c>
      <c r="BF259" s="39" t="str">
        <f>IFERROR(final!BQ57*100/final!$I57,"")</f>
        <v/>
      </c>
      <c r="BG259" s="39" t="str">
        <f>IFERROR(final!BR57*100/final!$I57,"")</f>
        <v/>
      </c>
      <c r="BH259" s="39" t="str">
        <f>IFERROR(final!BS57*100/final!$I57,"")</f>
        <v/>
      </c>
      <c r="BI259" s="39" t="str">
        <f>IFERROR(final!BT57*100/final!$I57,"")</f>
        <v/>
      </c>
      <c r="BJ259" s="39" t="str">
        <f>IFERROR(final!BU57*100/final!$I57,"")</f>
        <v/>
      </c>
      <c r="BK259" s="39" t="str">
        <f>IFERROR(final!BV57*100/final!$I57,"")</f>
        <v/>
      </c>
      <c r="BL259" s="39" t="str">
        <f>IFERROR(final!BW57*100/final!$I57,"")</f>
        <v/>
      </c>
      <c r="BM259" s="39" t="str">
        <f>IFERROR(final!BX57*100/final!$I57,"")</f>
        <v/>
      </c>
      <c r="BN259" s="39" t="str">
        <f>IFERROR(final!BY57*100/final!$I57,"")</f>
        <v/>
      </c>
      <c r="BO259" s="39" t="str">
        <f>IFERROR(final!BZ57*100/final!$I57,"")</f>
        <v/>
      </c>
      <c r="BP259" s="39" t="str">
        <f>IFERROR(final!CA57*100/final!$I57,"")</f>
        <v/>
      </c>
      <c r="BQ259" s="39" t="str">
        <f>IFERROR(final!CB57*100/final!$I57,"")</f>
        <v/>
      </c>
      <c r="BR259" s="39" t="str">
        <f>IFERROR(final!CC57*100/final!$I57,"")</f>
        <v/>
      </c>
      <c r="BS259" s="39" t="str">
        <f>IFERROR(final!CD57*100/final!$I57,"")</f>
        <v/>
      </c>
      <c r="BT259" s="39" t="str">
        <f>IFERROR(final!CE57*100/final!$I57,"")</f>
        <v/>
      </c>
      <c r="BU259" s="39" t="str">
        <f>IFERROR(final!CF57*100/final!$I57,"")</f>
        <v/>
      </c>
      <c r="BV259" s="39" t="str">
        <f>IFERROR(final!CG57*100/final!$I57,"")</f>
        <v/>
      </c>
      <c r="BW259" s="39" t="str">
        <f>IFERROR(final!CH57*100/final!$I57,"")</f>
        <v/>
      </c>
      <c r="BX259" s="39" t="str">
        <f>IFERROR(final!CI57*100/final!$I57,"")</f>
        <v/>
      </c>
      <c r="BY259" s="39" t="str">
        <f>IFERROR(final!CJ57*100/final!$I57,"")</f>
        <v/>
      </c>
      <c r="BZ259" s="39" t="str">
        <f>IFERROR(final!CK57*100/final!$I57,"")</f>
        <v/>
      </c>
      <c r="CA259" s="39" t="str">
        <f>IFERROR(final!CL57*100/final!$I57,"")</f>
        <v/>
      </c>
      <c r="CB259" s="39" t="str">
        <f>IFERROR(final!CM57*100/final!$I57,"")</f>
        <v/>
      </c>
      <c r="CC259" s="39" t="str">
        <f>IFERROR(final!CN57*100/final!$I57,"")</f>
        <v/>
      </c>
      <c r="CD259" s="39" t="str">
        <f>IFERROR(final!CO57*100/final!$I57,"")</f>
        <v/>
      </c>
      <c r="CE259" s="39" t="str">
        <f>IFERROR(final!CP57*100/final!$I57,"")</f>
        <v/>
      </c>
      <c r="CF259" s="39" t="str">
        <f>IFERROR(final!CQ57*100/final!$I57,"")</f>
        <v/>
      </c>
      <c r="CG259" s="39" t="str">
        <f>IFERROR(final!CR57*100/final!$I57,"")</f>
        <v/>
      </c>
      <c r="CH259" s="39" t="str">
        <f>IFERROR(final!CS57*100/final!$I57,"")</f>
        <v/>
      </c>
      <c r="CI259" s="39" t="str">
        <f>IFERROR(final!CT57*100/final!$I57,"")</f>
        <v/>
      </c>
      <c r="CJ259" s="39" t="str">
        <f>IFERROR(final!CU57*100/final!$I57,"")</f>
        <v/>
      </c>
      <c r="CK259" s="39" t="str">
        <f>IFERROR(final!CV57*100/final!$I57,"")</f>
        <v/>
      </c>
      <c r="CL259" s="39" t="str">
        <f>IFERROR(final!CW57*100/final!$I57,"")</f>
        <v/>
      </c>
      <c r="CM259" s="39" t="str">
        <f>IFERROR(final!CX57*100/final!$I57,"")</f>
        <v/>
      </c>
      <c r="CN259" s="39" t="str">
        <f>IFERROR(final!CY57*100/final!$I57,"")</f>
        <v/>
      </c>
      <c r="CO259" s="39" t="str">
        <f>IFERROR(final!CZ57*100/final!$I57,"")</f>
        <v/>
      </c>
      <c r="CP259" s="39" t="str">
        <f>IFERROR(final!DA57*100/final!$I57,"")</f>
        <v/>
      </c>
      <c r="CQ259" s="39" t="str">
        <f>IFERROR(final!DB57*100/final!$I57,"")</f>
        <v/>
      </c>
      <c r="CR259" s="39" t="str">
        <f>IFERROR(final!DC57*100/final!$I57,"")</f>
        <v/>
      </c>
      <c r="CS259" s="39" t="str">
        <f>IFERROR(final!DD57*100/final!$I57,"")</f>
        <v/>
      </c>
      <c r="CT259" s="39" t="str">
        <f>IFERROR(final!DE57*100/final!$I57,"")</f>
        <v/>
      </c>
      <c r="CU259" s="39" t="str">
        <f>IFERROR(final!DF57*100/final!$I57,"")</f>
        <v/>
      </c>
      <c r="CV259" s="39" t="str">
        <f>IFERROR(final!DG57*100/final!$I57,"")</f>
        <v/>
      </c>
      <c r="CW259" s="32" t="str">
        <f>IFERROR(SUM(A259:CV259)/final!$DH$103,"")</f>
        <v/>
      </c>
      <c r="CX259" s="14" t="str">
        <f>IF(COUNTA(final!A57),final!A57,"")</f>
        <v/>
      </c>
      <c r="CY259" s="14" t="str">
        <f>IF(COUNTA(final!B57),final!B57,"")</f>
        <v/>
      </c>
      <c r="CZ259" s="14" t="str">
        <f>IF(COUNTA(final!C57),final!C57,"")</f>
        <v/>
      </c>
      <c r="DA259" s="14" t="str">
        <f>IF(COUNTA(final!D57),final!D57,"")</f>
        <v/>
      </c>
      <c r="DB259" s="14" t="str">
        <f>IF(COUNTA(final!E57),final!E57,"")</f>
        <v/>
      </c>
      <c r="DC259" s="14" t="str">
        <f>IF(COUNTA(final!F57),final!F57,"")</f>
        <v/>
      </c>
      <c r="DD259" s="14" t="str">
        <f>IF(COUNTA(final!G57),final!G57,"")</f>
        <v/>
      </c>
      <c r="DE259" s="14" t="str">
        <f>IF(COUNTA(final!H57),final!H57,"")</f>
        <v/>
      </c>
    </row>
    <row r="260" spans="1:109" x14ac:dyDescent="0.2">
      <c r="A260" s="39" t="str">
        <f>IFERROR(final!L58*100/final!$I58,"")</f>
        <v/>
      </c>
      <c r="B260" s="39" t="str">
        <f>IFERROR(final!M58*100/final!$I58,"")</f>
        <v/>
      </c>
      <c r="C260" s="39" t="str">
        <f>IFERROR(final!N58*100/final!$I58,"")</f>
        <v/>
      </c>
      <c r="D260" s="39" t="str">
        <f>IFERROR(final!O58*100/final!$I58,"")</f>
        <v/>
      </c>
      <c r="E260" s="39" t="str">
        <f>IFERROR(final!P58*100/final!$I58,"")</f>
        <v/>
      </c>
      <c r="F260" s="39" t="str">
        <f>IFERROR(final!Q58*100/final!$I58,"")</f>
        <v/>
      </c>
      <c r="G260" s="39" t="str">
        <f>IFERROR(final!R58*100/final!$I58,"")</f>
        <v/>
      </c>
      <c r="H260" s="39" t="str">
        <f>IFERROR(final!S58*100/final!$I58,"")</f>
        <v/>
      </c>
      <c r="I260" s="39" t="str">
        <f>IFERROR(final!T58*100/final!$I58,"")</f>
        <v/>
      </c>
      <c r="J260" s="39" t="str">
        <f>IFERROR(final!U58*100/final!$I58,"")</f>
        <v/>
      </c>
      <c r="K260" s="39" t="str">
        <f>IFERROR(final!V58*100/final!$I58,"")</f>
        <v/>
      </c>
      <c r="L260" s="39" t="str">
        <f>IFERROR(final!W58*100/final!$I58,"")</f>
        <v/>
      </c>
      <c r="M260" s="39" t="str">
        <f>IFERROR(final!X58*100/final!$I58,"")</f>
        <v/>
      </c>
      <c r="N260" s="39" t="str">
        <f>IFERROR(final!Y58*100/final!$I58,"")</f>
        <v/>
      </c>
      <c r="O260" s="39" t="str">
        <f>IFERROR(final!Z58*100/final!$I58,"")</f>
        <v/>
      </c>
      <c r="P260" s="39" t="str">
        <f>IFERROR(final!AA58*100/final!$I58,"")</f>
        <v/>
      </c>
      <c r="Q260" s="39" t="str">
        <f>IFERROR(final!AB58*100/final!$I58,"")</f>
        <v/>
      </c>
      <c r="R260" s="39" t="str">
        <f>IFERROR(final!AC58*100/final!$I58,"")</f>
        <v/>
      </c>
      <c r="S260" s="39" t="str">
        <f>IFERROR(final!AD58*100/final!$I58,"")</f>
        <v/>
      </c>
      <c r="T260" s="39" t="str">
        <f>IFERROR(final!AE58*100/final!$I58,"")</f>
        <v/>
      </c>
      <c r="U260" s="39" t="str">
        <f>IFERROR(final!AF58*100/final!$I58,"")</f>
        <v/>
      </c>
      <c r="V260" s="39" t="str">
        <f>IFERROR(final!AG58*100/final!$I58,"")</f>
        <v/>
      </c>
      <c r="W260" s="39" t="str">
        <f>IFERROR(final!AH58*100/final!$I58,"")</f>
        <v/>
      </c>
      <c r="X260" s="39" t="str">
        <f>IFERROR(final!AI58*100/final!$I58,"")</f>
        <v/>
      </c>
      <c r="Y260" s="39" t="str">
        <f>IFERROR(final!AJ58*100/final!$I58,"")</f>
        <v/>
      </c>
      <c r="Z260" s="39" t="str">
        <f>IFERROR(final!AK58*100/final!$I58,"")</f>
        <v/>
      </c>
      <c r="AA260" s="39" t="str">
        <f>IFERROR(final!AL58*100/final!$I58,"")</f>
        <v/>
      </c>
      <c r="AB260" s="39" t="str">
        <f>IFERROR(final!AM58*100/final!$I58,"")</f>
        <v/>
      </c>
      <c r="AC260" s="39" t="str">
        <f>IFERROR(final!AN58*100/final!$I58,"")</f>
        <v/>
      </c>
      <c r="AD260" s="39" t="str">
        <f>IFERROR(final!AO58*100/final!$I58,"")</f>
        <v/>
      </c>
      <c r="AE260" s="39" t="str">
        <f>IFERROR(final!AP58*100/final!$I58,"")</f>
        <v/>
      </c>
      <c r="AF260" s="39" t="str">
        <f>IFERROR(final!AQ58*100/final!$I58,"")</f>
        <v/>
      </c>
      <c r="AG260" s="39" t="str">
        <f>IFERROR(final!AR58*100/final!$I58,"")</f>
        <v/>
      </c>
      <c r="AH260" s="39" t="str">
        <f>IFERROR(final!AS58*100/final!$I58,"")</f>
        <v/>
      </c>
      <c r="AI260" s="39" t="str">
        <f>IFERROR(final!AT58*100/final!$I58,"")</f>
        <v/>
      </c>
      <c r="AJ260" s="39" t="str">
        <f>IFERROR(final!AU58*100/final!$I58,"")</f>
        <v/>
      </c>
      <c r="AK260" s="39" t="str">
        <f>IFERROR(final!AV58*100/final!$I58,"")</f>
        <v/>
      </c>
      <c r="AL260" s="39" t="str">
        <f>IFERROR(final!AW58*100/final!$I58,"")</f>
        <v/>
      </c>
      <c r="AM260" s="39" t="str">
        <f>IFERROR(final!AX58*100/final!$I58,"")</f>
        <v/>
      </c>
      <c r="AN260" s="39" t="str">
        <f>IFERROR(final!AY58*100/final!$I58,"")</f>
        <v/>
      </c>
      <c r="AO260" s="39" t="str">
        <f>IFERROR(final!AZ58*100/final!$I58,"")</f>
        <v/>
      </c>
      <c r="AP260" s="39" t="str">
        <f>IFERROR(final!BA58*100/final!$I58,"")</f>
        <v/>
      </c>
      <c r="AQ260" s="39" t="str">
        <f>IFERROR(final!BB58*100/final!$I58,"")</f>
        <v/>
      </c>
      <c r="AR260" s="39" t="str">
        <f>IFERROR(final!BC58*100/final!$I58,"")</f>
        <v/>
      </c>
      <c r="AS260" s="39" t="str">
        <f>IFERROR(final!BD58*100/final!$I58,"")</f>
        <v/>
      </c>
      <c r="AT260" s="39" t="str">
        <f>IFERROR(final!BE58*100/final!$I58,"")</f>
        <v/>
      </c>
      <c r="AU260" s="39" t="str">
        <f>IFERROR(final!BF58*100/final!$I58,"")</f>
        <v/>
      </c>
      <c r="AV260" s="39" t="str">
        <f>IFERROR(final!BG58*100/final!$I58,"")</f>
        <v/>
      </c>
      <c r="AW260" s="39" t="str">
        <f>IFERROR(final!BH58*100/final!$I58,"")</f>
        <v/>
      </c>
      <c r="AX260" s="39" t="str">
        <f>IFERROR(final!BI58*100/final!$I58,"")</f>
        <v/>
      </c>
      <c r="AY260" s="39" t="str">
        <f>IFERROR(final!BJ58*100/final!$I58,"")</f>
        <v/>
      </c>
      <c r="AZ260" s="39" t="str">
        <f>IFERROR(final!BK58*100/final!$I58,"")</f>
        <v/>
      </c>
      <c r="BA260" s="39" t="str">
        <f>IFERROR(final!BL58*100/final!$I58,"")</f>
        <v/>
      </c>
      <c r="BB260" s="39" t="str">
        <f>IFERROR(final!BM58*100/final!$I58,"")</f>
        <v/>
      </c>
      <c r="BC260" s="39" t="str">
        <f>IFERROR(final!BN58*100/final!$I58,"")</f>
        <v/>
      </c>
      <c r="BD260" s="39" t="str">
        <f>IFERROR(final!BO58*100/final!$I58,"")</f>
        <v/>
      </c>
      <c r="BE260" s="39" t="str">
        <f>IFERROR(final!BP58*100/final!$I58,"")</f>
        <v/>
      </c>
      <c r="BF260" s="39" t="str">
        <f>IFERROR(final!BQ58*100/final!$I58,"")</f>
        <v/>
      </c>
      <c r="BG260" s="39" t="str">
        <f>IFERROR(final!BR58*100/final!$I58,"")</f>
        <v/>
      </c>
      <c r="BH260" s="39" t="str">
        <f>IFERROR(final!BS58*100/final!$I58,"")</f>
        <v/>
      </c>
      <c r="BI260" s="39" t="str">
        <f>IFERROR(final!BT58*100/final!$I58,"")</f>
        <v/>
      </c>
      <c r="BJ260" s="39" t="str">
        <f>IFERROR(final!BU58*100/final!$I58,"")</f>
        <v/>
      </c>
      <c r="BK260" s="39" t="str">
        <f>IFERROR(final!BV58*100/final!$I58,"")</f>
        <v/>
      </c>
      <c r="BL260" s="39" t="str">
        <f>IFERROR(final!BW58*100/final!$I58,"")</f>
        <v/>
      </c>
      <c r="BM260" s="39" t="str">
        <f>IFERROR(final!BX58*100/final!$I58,"")</f>
        <v/>
      </c>
      <c r="BN260" s="39" t="str">
        <f>IFERROR(final!BY58*100/final!$I58,"")</f>
        <v/>
      </c>
      <c r="BO260" s="39" t="str">
        <f>IFERROR(final!BZ58*100/final!$I58,"")</f>
        <v/>
      </c>
      <c r="BP260" s="39" t="str">
        <f>IFERROR(final!CA58*100/final!$I58,"")</f>
        <v/>
      </c>
      <c r="BQ260" s="39" t="str">
        <f>IFERROR(final!CB58*100/final!$I58,"")</f>
        <v/>
      </c>
      <c r="BR260" s="39" t="str">
        <f>IFERROR(final!CC58*100/final!$I58,"")</f>
        <v/>
      </c>
      <c r="BS260" s="39" t="str">
        <f>IFERROR(final!CD58*100/final!$I58,"")</f>
        <v/>
      </c>
      <c r="BT260" s="39" t="str">
        <f>IFERROR(final!CE58*100/final!$I58,"")</f>
        <v/>
      </c>
      <c r="BU260" s="39" t="str">
        <f>IFERROR(final!CF58*100/final!$I58,"")</f>
        <v/>
      </c>
      <c r="BV260" s="39" t="str">
        <f>IFERROR(final!CG58*100/final!$I58,"")</f>
        <v/>
      </c>
      <c r="BW260" s="39" t="str">
        <f>IFERROR(final!CH58*100/final!$I58,"")</f>
        <v/>
      </c>
      <c r="BX260" s="39" t="str">
        <f>IFERROR(final!CI58*100/final!$I58,"")</f>
        <v/>
      </c>
      <c r="BY260" s="39" t="str">
        <f>IFERROR(final!CJ58*100/final!$I58,"")</f>
        <v/>
      </c>
      <c r="BZ260" s="39" t="str">
        <f>IFERROR(final!CK58*100/final!$I58,"")</f>
        <v/>
      </c>
      <c r="CA260" s="39" t="str">
        <f>IFERROR(final!CL58*100/final!$I58,"")</f>
        <v/>
      </c>
      <c r="CB260" s="39" t="str">
        <f>IFERROR(final!CM58*100/final!$I58,"")</f>
        <v/>
      </c>
      <c r="CC260" s="39" t="str">
        <f>IFERROR(final!CN58*100/final!$I58,"")</f>
        <v/>
      </c>
      <c r="CD260" s="39" t="str">
        <f>IFERROR(final!CO58*100/final!$I58,"")</f>
        <v/>
      </c>
      <c r="CE260" s="39" t="str">
        <f>IFERROR(final!CP58*100/final!$I58,"")</f>
        <v/>
      </c>
      <c r="CF260" s="39" t="str">
        <f>IFERROR(final!CQ58*100/final!$I58,"")</f>
        <v/>
      </c>
      <c r="CG260" s="39" t="str">
        <f>IFERROR(final!CR58*100/final!$I58,"")</f>
        <v/>
      </c>
      <c r="CH260" s="39" t="str">
        <f>IFERROR(final!CS58*100/final!$I58,"")</f>
        <v/>
      </c>
      <c r="CI260" s="39" t="str">
        <f>IFERROR(final!CT58*100/final!$I58,"")</f>
        <v/>
      </c>
      <c r="CJ260" s="39" t="str">
        <f>IFERROR(final!CU58*100/final!$I58,"")</f>
        <v/>
      </c>
      <c r="CK260" s="39" t="str">
        <f>IFERROR(final!CV58*100/final!$I58,"")</f>
        <v/>
      </c>
      <c r="CL260" s="39" t="str">
        <f>IFERROR(final!CW58*100/final!$I58,"")</f>
        <v/>
      </c>
      <c r="CM260" s="39" t="str">
        <f>IFERROR(final!CX58*100/final!$I58,"")</f>
        <v/>
      </c>
      <c r="CN260" s="39" t="str">
        <f>IFERROR(final!CY58*100/final!$I58,"")</f>
        <v/>
      </c>
      <c r="CO260" s="39" t="str">
        <f>IFERROR(final!CZ58*100/final!$I58,"")</f>
        <v/>
      </c>
      <c r="CP260" s="39" t="str">
        <f>IFERROR(final!DA58*100/final!$I58,"")</f>
        <v/>
      </c>
      <c r="CQ260" s="39" t="str">
        <f>IFERROR(final!DB58*100/final!$I58,"")</f>
        <v/>
      </c>
      <c r="CR260" s="39" t="str">
        <f>IFERROR(final!DC58*100/final!$I58,"")</f>
        <v/>
      </c>
      <c r="CS260" s="39" t="str">
        <f>IFERROR(final!DD58*100/final!$I58,"")</f>
        <v/>
      </c>
      <c r="CT260" s="39" t="str">
        <f>IFERROR(final!DE58*100/final!$I58,"")</f>
        <v/>
      </c>
      <c r="CU260" s="39" t="str">
        <f>IFERROR(final!DF58*100/final!$I58,"")</f>
        <v/>
      </c>
      <c r="CV260" s="39" t="str">
        <f>IFERROR(final!DG58*100/final!$I58,"")</f>
        <v/>
      </c>
      <c r="CW260" s="32" t="str">
        <f>IFERROR(SUM(A260:CV260)/final!$DH$103,"")</f>
        <v/>
      </c>
      <c r="CX260" s="14" t="str">
        <f>IF(COUNTA(final!A58),final!A58,"")</f>
        <v/>
      </c>
      <c r="CY260" s="14" t="str">
        <f>IF(COUNTA(final!B58),final!B58,"")</f>
        <v/>
      </c>
      <c r="CZ260" s="14" t="str">
        <f>IF(COUNTA(final!C58),final!C58,"")</f>
        <v/>
      </c>
      <c r="DA260" s="14" t="str">
        <f>IF(COUNTA(final!D58),final!D58,"")</f>
        <v/>
      </c>
      <c r="DB260" s="14" t="str">
        <f>IF(COUNTA(final!E58),final!E58,"")</f>
        <v/>
      </c>
      <c r="DC260" s="14" t="str">
        <f>IF(COUNTA(final!F58),final!F58,"")</f>
        <v/>
      </c>
      <c r="DD260" s="14" t="str">
        <f>IF(COUNTA(final!G58),final!G58,"")</f>
        <v/>
      </c>
      <c r="DE260" s="14" t="str">
        <f>IF(COUNTA(final!H58),final!H58,"")</f>
        <v/>
      </c>
    </row>
    <row r="261" spans="1:109" x14ac:dyDescent="0.2">
      <c r="A261" s="39" t="str">
        <f>IFERROR(final!L59*100/final!$I59,"")</f>
        <v/>
      </c>
      <c r="B261" s="39" t="str">
        <f>IFERROR(final!M59*100/final!$I59,"")</f>
        <v/>
      </c>
      <c r="C261" s="39" t="str">
        <f>IFERROR(final!N59*100/final!$I59,"")</f>
        <v/>
      </c>
      <c r="D261" s="39" t="str">
        <f>IFERROR(final!O59*100/final!$I59,"")</f>
        <v/>
      </c>
      <c r="E261" s="39" t="str">
        <f>IFERROR(final!P59*100/final!$I59,"")</f>
        <v/>
      </c>
      <c r="F261" s="39" t="str">
        <f>IFERROR(final!Q59*100/final!$I59,"")</f>
        <v/>
      </c>
      <c r="G261" s="39" t="str">
        <f>IFERROR(final!R59*100/final!$I59,"")</f>
        <v/>
      </c>
      <c r="H261" s="39" t="str">
        <f>IFERROR(final!S59*100/final!$I59,"")</f>
        <v/>
      </c>
      <c r="I261" s="39" t="str">
        <f>IFERROR(final!T59*100/final!$I59,"")</f>
        <v/>
      </c>
      <c r="J261" s="39" t="str">
        <f>IFERROR(final!U59*100/final!$I59,"")</f>
        <v/>
      </c>
      <c r="K261" s="39" t="str">
        <f>IFERROR(final!V59*100/final!$I59,"")</f>
        <v/>
      </c>
      <c r="L261" s="39" t="str">
        <f>IFERROR(final!W59*100/final!$I59,"")</f>
        <v/>
      </c>
      <c r="M261" s="39" t="str">
        <f>IFERROR(final!X59*100/final!$I59,"")</f>
        <v/>
      </c>
      <c r="N261" s="39" t="str">
        <f>IFERROR(final!Y59*100/final!$I59,"")</f>
        <v/>
      </c>
      <c r="O261" s="39" t="str">
        <f>IFERROR(final!Z59*100/final!$I59,"")</f>
        <v/>
      </c>
      <c r="P261" s="39" t="str">
        <f>IFERROR(final!AA59*100/final!$I59,"")</f>
        <v/>
      </c>
      <c r="Q261" s="39" t="str">
        <f>IFERROR(final!AB59*100/final!$I59,"")</f>
        <v/>
      </c>
      <c r="R261" s="39" t="str">
        <f>IFERROR(final!AC59*100/final!$I59,"")</f>
        <v/>
      </c>
      <c r="S261" s="39" t="str">
        <f>IFERROR(final!AD59*100/final!$I59,"")</f>
        <v/>
      </c>
      <c r="T261" s="39" t="str">
        <f>IFERROR(final!AE59*100/final!$I59,"")</f>
        <v/>
      </c>
      <c r="U261" s="39" t="str">
        <f>IFERROR(final!AF59*100/final!$I59,"")</f>
        <v/>
      </c>
      <c r="V261" s="39" t="str">
        <f>IFERROR(final!AG59*100/final!$I59,"")</f>
        <v/>
      </c>
      <c r="W261" s="39" t="str">
        <f>IFERROR(final!AH59*100/final!$I59,"")</f>
        <v/>
      </c>
      <c r="X261" s="39" t="str">
        <f>IFERROR(final!AI59*100/final!$I59,"")</f>
        <v/>
      </c>
      <c r="Y261" s="39" t="str">
        <f>IFERROR(final!AJ59*100/final!$I59,"")</f>
        <v/>
      </c>
      <c r="Z261" s="39" t="str">
        <f>IFERROR(final!AK59*100/final!$I59,"")</f>
        <v/>
      </c>
      <c r="AA261" s="39" t="str">
        <f>IFERROR(final!AL59*100/final!$I59,"")</f>
        <v/>
      </c>
      <c r="AB261" s="39" t="str">
        <f>IFERROR(final!AM59*100/final!$I59,"")</f>
        <v/>
      </c>
      <c r="AC261" s="39" t="str">
        <f>IFERROR(final!AN59*100/final!$I59,"")</f>
        <v/>
      </c>
      <c r="AD261" s="39" t="str">
        <f>IFERROR(final!AO59*100/final!$I59,"")</f>
        <v/>
      </c>
      <c r="AE261" s="39" t="str">
        <f>IFERROR(final!AP59*100/final!$I59,"")</f>
        <v/>
      </c>
      <c r="AF261" s="39" t="str">
        <f>IFERROR(final!AQ59*100/final!$I59,"")</f>
        <v/>
      </c>
      <c r="AG261" s="39" t="str">
        <f>IFERROR(final!AR59*100/final!$I59,"")</f>
        <v/>
      </c>
      <c r="AH261" s="39" t="str">
        <f>IFERROR(final!AS59*100/final!$I59,"")</f>
        <v/>
      </c>
      <c r="AI261" s="39" t="str">
        <f>IFERROR(final!AT59*100/final!$I59,"")</f>
        <v/>
      </c>
      <c r="AJ261" s="39" t="str">
        <f>IFERROR(final!AU59*100/final!$I59,"")</f>
        <v/>
      </c>
      <c r="AK261" s="39" t="str">
        <f>IFERROR(final!AV59*100/final!$I59,"")</f>
        <v/>
      </c>
      <c r="AL261" s="39" t="str">
        <f>IFERROR(final!AW59*100/final!$I59,"")</f>
        <v/>
      </c>
      <c r="AM261" s="39" t="str">
        <f>IFERROR(final!AX59*100/final!$I59,"")</f>
        <v/>
      </c>
      <c r="AN261" s="39" t="str">
        <f>IFERROR(final!AY59*100/final!$I59,"")</f>
        <v/>
      </c>
      <c r="AO261" s="39" t="str">
        <f>IFERROR(final!AZ59*100/final!$I59,"")</f>
        <v/>
      </c>
      <c r="AP261" s="39" t="str">
        <f>IFERROR(final!BA59*100/final!$I59,"")</f>
        <v/>
      </c>
      <c r="AQ261" s="39" t="str">
        <f>IFERROR(final!BB59*100/final!$I59,"")</f>
        <v/>
      </c>
      <c r="AR261" s="39" t="str">
        <f>IFERROR(final!BC59*100/final!$I59,"")</f>
        <v/>
      </c>
      <c r="AS261" s="39" t="str">
        <f>IFERROR(final!BD59*100/final!$I59,"")</f>
        <v/>
      </c>
      <c r="AT261" s="39" t="str">
        <f>IFERROR(final!BE59*100/final!$I59,"")</f>
        <v/>
      </c>
      <c r="AU261" s="39" t="str">
        <f>IFERROR(final!BF59*100/final!$I59,"")</f>
        <v/>
      </c>
      <c r="AV261" s="39" t="str">
        <f>IFERROR(final!BG59*100/final!$I59,"")</f>
        <v/>
      </c>
      <c r="AW261" s="39" t="str">
        <f>IFERROR(final!BH59*100/final!$I59,"")</f>
        <v/>
      </c>
      <c r="AX261" s="39" t="str">
        <f>IFERROR(final!BI59*100/final!$I59,"")</f>
        <v/>
      </c>
      <c r="AY261" s="39" t="str">
        <f>IFERROR(final!BJ59*100/final!$I59,"")</f>
        <v/>
      </c>
      <c r="AZ261" s="39" t="str">
        <f>IFERROR(final!BK59*100/final!$I59,"")</f>
        <v/>
      </c>
      <c r="BA261" s="39" t="str">
        <f>IFERROR(final!BL59*100/final!$I59,"")</f>
        <v/>
      </c>
      <c r="BB261" s="39" t="str">
        <f>IFERROR(final!BM59*100/final!$I59,"")</f>
        <v/>
      </c>
      <c r="BC261" s="39" t="str">
        <f>IFERROR(final!BN59*100/final!$I59,"")</f>
        <v/>
      </c>
      <c r="BD261" s="39" t="str">
        <f>IFERROR(final!BO59*100/final!$I59,"")</f>
        <v/>
      </c>
      <c r="BE261" s="39" t="str">
        <f>IFERROR(final!BP59*100/final!$I59,"")</f>
        <v/>
      </c>
      <c r="BF261" s="39" t="str">
        <f>IFERROR(final!BQ59*100/final!$I59,"")</f>
        <v/>
      </c>
      <c r="BG261" s="39" t="str">
        <f>IFERROR(final!BR59*100/final!$I59,"")</f>
        <v/>
      </c>
      <c r="BH261" s="39" t="str">
        <f>IFERROR(final!BS59*100/final!$I59,"")</f>
        <v/>
      </c>
      <c r="BI261" s="39" t="str">
        <f>IFERROR(final!BT59*100/final!$I59,"")</f>
        <v/>
      </c>
      <c r="BJ261" s="39" t="str">
        <f>IFERROR(final!BU59*100/final!$I59,"")</f>
        <v/>
      </c>
      <c r="BK261" s="39" t="str">
        <f>IFERROR(final!BV59*100/final!$I59,"")</f>
        <v/>
      </c>
      <c r="BL261" s="39" t="str">
        <f>IFERROR(final!BW59*100/final!$I59,"")</f>
        <v/>
      </c>
      <c r="BM261" s="39" t="str">
        <f>IFERROR(final!BX59*100/final!$I59,"")</f>
        <v/>
      </c>
      <c r="BN261" s="39" t="str">
        <f>IFERROR(final!BY59*100/final!$I59,"")</f>
        <v/>
      </c>
      <c r="BO261" s="39" t="str">
        <f>IFERROR(final!BZ59*100/final!$I59,"")</f>
        <v/>
      </c>
      <c r="BP261" s="39" t="str">
        <f>IFERROR(final!CA59*100/final!$I59,"")</f>
        <v/>
      </c>
      <c r="BQ261" s="39" t="str">
        <f>IFERROR(final!CB59*100/final!$I59,"")</f>
        <v/>
      </c>
      <c r="BR261" s="39" t="str">
        <f>IFERROR(final!CC59*100/final!$I59,"")</f>
        <v/>
      </c>
      <c r="BS261" s="39" t="str">
        <f>IFERROR(final!CD59*100/final!$I59,"")</f>
        <v/>
      </c>
      <c r="BT261" s="39" t="str">
        <f>IFERROR(final!CE59*100/final!$I59,"")</f>
        <v/>
      </c>
      <c r="BU261" s="39" t="str">
        <f>IFERROR(final!CF59*100/final!$I59,"")</f>
        <v/>
      </c>
      <c r="BV261" s="39" t="str">
        <f>IFERROR(final!CG59*100/final!$I59,"")</f>
        <v/>
      </c>
      <c r="BW261" s="39" t="str">
        <f>IFERROR(final!CH59*100/final!$I59,"")</f>
        <v/>
      </c>
      <c r="BX261" s="39" t="str">
        <f>IFERROR(final!CI59*100/final!$I59,"")</f>
        <v/>
      </c>
      <c r="BY261" s="39" t="str">
        <f>IFERROR(final!CJ59*100/final!$I59,"")</f>
        <v/>
      </c>
      <c r="BZ261" s="39" t="str">
        <f>IFERROR(final!CK59*100/final!$I59,"")</f>
        <v/>
      </c>
      <c r="CA261" s="39" t="str">
        <f>IFERROR(final!CL59*100/final!$I59,"")</f>
        <v/>
      </c>
      <c r="CB261" s="39" t="str">
        <f>IFERROR(final!CM59*100/final!$I59,"")</f>
        <v/>
      </c>
      <c r="CC261" s="39" t="str">
        <f>IFERROR(final!CN59*100/final!$I59,"")</f>
        <v/>
      </c>
      <c r="CD261" s="39" t="str">
        <f>IFERROR(final!CO59*100/final!$I59,"")</f>
        <v/>
      </c>
      <c r="CE261" s="39" t="str">
        <f>IFERROR(final!CP59*100/final!$I59,"")</f>
        <v/>
      </c>
      <c r="CF261" s="39" t="str">
        <f>IFERROR(final!CQ59*100/final!$I59,"")</f>
        <v/>
      </c>
      <c r="CG261" s="39" t="str">
        <f>IFERROR(final!CR59*100/final!$I59,"")</f>
        <v/>
      </c>
      <c r="CH261" s="39" t="str">
        <f>IFERROR(final!CS59*100/final!$I59,"")</f>
        <v/>
      </c>
      <c r="CI261" s="39" t="str">
        <f>IFERROR(final!CT59*100/final!$I59,"")</f>
        <v/>
      </c>
      <c r="CJ261" s="39" t="str">
        <f>IFERROR(final!CU59*100/final!$I59,"")</f>
        <v/>
      </c>
      <c r="CK261" s="39" t="str">
        <f>IFERROR(final!CV59*100/final!$I59,"")</f>
        <v/>
      </c>
      <c r="CL261" s="39" t="str">
        <f>IFERROR(final!CW59*100/final!$I59,"")</f>
        <v/>
      </c>
      <c r="CM261" s="39" t="str">
        <f>IFERROR(final!CX59*100/final!$I59,"")</f>
        <v/>
      </c>
      <c r="CN261" s="39" t="str">
        <f>IFERROR(final!CY59*100/final!$I59,"")</f>
        <v/>
      </c>
      <c r="CO261" s="39" t="str">
        <f>IFERROR(final!CZ59*100/final!$I59,"")</f>
        <v/>
      </c>
      <c r="CP261" s="39" t="str">
        <f>IFERROR(final!DA59*100/final!$I59,"")</f>
        <v/>
      </c>
      <c r="CQ261" s="39" t="str">
        <f>IFERROR(final!DB59*100/final!$I59,"")</f>
        <v/>
      </c>
      <c r="CR261" s="39" t="str">
        <f>IFERROR(final!DC59*100/final!$I59,"")</f>
        <v/>
      </c>
      <c r="CS261" s="39" t="str">
        <f>IFERROR(final!DD59*100/final!$I59,"")</f>
        <v/>
      </c>
      <c r="CT261" s="39" t="str">
        <f>IFERROR(final!DE59*100/final!$I59,"")</f>
        <v/>
      </c>
      <c r="CU261" s="39" t="str">
        <f>IFERROR(final!DF59*100/final!$I59,"")</f>
        <v/>
      </c>
      <c r="CV261" s="39" t="str">
        <f>IFERROR(final!DG59*100/final!$I59,"")</f>
        <v/>
      </c>
      <c r="CW261" s="32" t="str">
        <f>IFERROR(SUM(A261:CV261)/final!$DH$103,"")</f>
        <v/>
      </c>
      <c r="CX261" s="14" t="str">
        <f>IF(COUNTA(final!A59),final!A59,"")</f>
        <v/>
      </c>
      <c r="CY261" s="14" t="str">
        <f>IF(COUNTA(final!B59),final!B59,"")</f>
        <v/>
      </c>
      <c r="CZ261" s="14" t="str">
        <f>IF(COUNTA(final!C59),final!C59,"")</f>
        <v/>
      </c>
      <c r="DA261" s="14" t="str">
        <f>IF(COUNTA(final!D59),final!D59,"")</f>
        <v/>
      </c>
      <c r="DB261" s="14" t="str">
        <f>IF(COUNTA(final!E59),final!E59,"")</f>
        <v/>
      </c>
      <c r="DC261" s="14" t="str">
        <f>IF(COUNTA(final!F59),final!F59,"")</f>
        <v/>
      </c>
      <c r="DD261" s="14" t="str">
        <f>IF(COUNTA(final!G59),final!G59,"")</f>
        <v/>
      </c>
      <c r="DE261" s="14" t="str">
        <f>IF(COUNTA(final!H59),final!H59,"")</f>
        <v/>
      </c>
    </row>
    <row r="262" spans="1:109" x14ac:dyDescent="0.2">
      <c r="A262" s="39" t="str">
        <f>IFERROR(final!L60*100/final!$I60,"")</f>
        <v/>
      </c>
      <c r="B262" s="39" t="str">
        <f>IFERROR(final!M60*100/final!$I60,"")</f>
        <v/>
      </c>
      <c r="C262" s="39" t="str">
        <f>IFERROR(final!N60*100/final!$I60,"")</f>
        <v/>
      </c>
      <c r="D262" s="39" t="str">
        <f>IFERROR(final!O60*100/final!$I60,"")</f>
        <v/>
      </c>
      <c r="E262" s="39" t="str">
        <f>IFERROR(final!P60*100/final!$I60,"")</f>
        <v/>
      </c>
      <c r="F262" s="39" t="str">
        <f>IFERROR(final!Q60*100/final!$I60,"")</f>
        <v/>
      </c>
      <c r="G262" s="39" t="str">
        <f>IFERROR(final!R60*100/final!$I60,"")</f>
        <v/>
      </c>
      <c r="H262" s="39" t="str">
        <f>IFERROR(final!S60*100/final!$I60,"")</f>
        <v/>
      </c>
      <c r="I262" s="39" t="str">
        <f>IFERROR(final!T60*100/final!$I60,"")</f>
        <v/>
      </c>
      <c r="J262" s="39" t="str">
        <f>IFERROR(final!U60*100/final!$I60,"")</f>
        <v/>
      </c>
      <c r="K262" s="39" t="str">
        <f>IFERROR(final!V60*100/final!$I60,"")</f>
        <v/>
      </c>
      <c r="L262" s="39" t="str">
        <f>IFERROR(final!W60*100/final!$I60,"")</f>
        <v/>
      </c>
      <c r="M262" s="39" t="str">
        <f>IFERROR(final!X60*100/final!$I60,"")</f>
        <v/>
      </c>
      <c r="N262" s="39" t="str">
        <f>IFERROR(final!Y60*100/final!$I60,"")</f>
        <v/>
      </c>
      <c r="O262" s="39" t="str">
        <f>IFERROR(final!Z60*100/final!$I60,"")</f>
        <v/>
      </c>
      <c r="P262" s="39" t="str">
        <f>IFERROR(final!AA60*100/final!$I60,"")</f>
        <v/>
      </c>
      <c r="Q262" s="39" t="str">
        <f>IFERROR(final!AB60*100/final!$I60,"")</f>
        <v/>
      </c>
      <c r="R262" s="39" t="str">
        <f>IFERROR(final!AC60*100/final!$I60,"")</f>
        <v/>
      </c>
      <c r="S262" s="39" t="str">
        <f>IFERROR(final!AD60*100/final!$I60,"")</f>
        <v/>
      </c>
      <c r="T262" s="39" t="str">
        <f>IFERROR(final!AE60*100/final!$I60,"")</f>
        <v/>
      </c>
      <c r="U262" s="39" t="str">
        <f>IFERROR(final!AF60*100/final!$I60,"")</f>
        <v/>
      </c>
      <c r="V262" s="39" t="str">
        <f>IFERROR(final!AG60*100/final!$I60,"")</f>
        <v/>
      </c>
      <c r="W262" s="39" t="str">
        <f>IFERROR(final!AH60*100/final!$I60,"")</f>
        <v/>
      </c>
      <c r="X262" s="39" t="str">
        <f>IFERROR(final!AI60*100/final!$I60,"")</f>
        <v/>
      </c>
      <c r="Y262" s="39" t="str">
        <f>IFERROR(final!AJ60*100/final!$I60,"")</f>
        <v/>
      </c>
      <c r="Z262" s="39" t="str">
        <f>IFERROR(final!AK60*100/final!$I60,"")</f>
        <v/>
      </c>
      <c r="AA262" s="39" t="str">
        <f>IFERROR(final!AL60*100/final!$I60,"")</f>
        <v/>
      </c>
      <c r="AB262" s="39" t="str">
        <f>IFERROR(final!AM60*100/final!$I60,"")</f>
        <v/>
      </c>
      <c r="AC262" s="39" t="str">
        <f>IFERROR(final!AN60*100/final!$I60,"")</f>
        <v/>
      </c>
      <c r="AD262" s="39" t="str">
        <f>IFERROR(final!AO60*100/final!$I60,"")</f>
        <v/>
      </c>
      <c r="AE262" s="39" t="str">
        <f>IFERROR(final!AP60*100/final!$I60,"")</f>
        <v/>
      </c>
      <c r="AF262" s="39" t="str">
        <f>IFERROR(final!AQ60*100/final!$I60,"")</f>
        <v/>
      </c>
      <c r="AG262" s="39" t="str">
        <f>IFERROR(final!AR60*100/final!$I60,"")</f>
        <v/>
      </c>
      <c r="AH262" s="39" t="str">
        <f>IFERROR(final!AS60*100/final!$I60,"")</f>
        <v/>
      </c>
      <c r="AI262" s="39" t="str">
        <f>IFERROR(final!AT60*100/final!$I60,"")</f>
        <v/>
      </c>
      <c r="AJ262" s="39" t="str">
        <f>IFERROR(final!AU60*100/final!$I60,"")</f>
        <v/>
      </c>
      <c r="AK262" s="39" t="str">
        <f>IFERROR(final!AV60*100/final!$I60,"")</f>
        <v/>
      </c>
      <c r="AL262" s="39" t="str">
        <f>IFERROR(final!AW60*100/final!$I60,"")</f>
        <v/>
      </c>
      <c r="AM262" s="39" t="str">
        <f>IFERROR(final!AX60*100/final!$I60,"")</f>
        <v/>
      </c>
      <c r="AN262" s="39" t="str">
        <f>IFERROR(final!AY60*100/final!$I60,"")</f>
        <v/>
      </c>
      <c r="AO262" s="39" t="str">
        <f>IFERROR(final!AZ60*100/final!$I60,"")</f>
        <v/>
      </c>
      <c r="AP262" s="39" t="str">
        <f>IFERROR(final!BA60*100/final!$I60,"")</f>
        <v/>
      </c>
      <c r="AQ262" s="39" t="str">
        <f>IFERROR(final!BB60*100/final!$I60,"")</f>
        <v/>
      </c>
      <c r="AR262" s="39" t="str">
        <f>IFERROR(final!BC60*100/final!$I60,"")</f>
        <v/>
      </c>
      <c r="AS262" s="39" t="str">
        <f>IFERROR(final!BD60*100/final!$I60,"")</f>
        <v/>
      </c>
      <c r="AT262" s="39" t="str">
        <f>IFERROR(final!BE60*100/final!$I60,"")</f>
        <v/>
      </c>
      <c r="AU262" s="39" t="str">
        <f>IFERROR(final!BF60*100/final!$I60,"")</f>
        <v/>
      </c>
      <c r="AV262" s="39" t="str">
        <f>IFERROR(final!BG60*100/final!$I60,"")</f>
        <v/>
      </c>
      <c r="AW262" s="39" t="str">
        <f>IFERROR(final!BH60*100/final!$I60,"")</f>
        <v/>
      </c>
      <c r="AX262" s="39" t="str">
        <f>IFERROR(final!BI60*100/final!$I60,"")</f>
        <v/>
      </c>
      <c r="AY262" s="39" t="str">
        <f>IFERROR(final!BJ60*100/final!$I60,"")</f>
        <v/>
      </c>
      <c r="AZ262" s="39" t="str">
        <f>IFERROR(final!BK60*100/final!$I60,"")</f>
        <v/>
      </c>
      <c r="BA262" s="39" t="str">
        <f>IFERROR(final!BL60*100/final!$I60,"")</f>
        <v/>
      </c>
      <c r="BB262" s="39" t="str">
        <f>IFERROR(final!BM60*100/final!$I60,"")</f>
        <v/>
      </c>
      <c r="BC262" s="39" t="str">
        <f>IFERROR(final!BN60*100/final!$I60,"")</f>
        <v/>
      </c>
      <c r="BD262" s="39" t="str">
        <f>IFERROR(final!BO60*100/final!$I60,"")</f>
        <v/>
      </c>
      <c r="BE262" s="39" t="str">
        <f>IFERROR(final!BP60*100/final!$I60,"")</f>
        <v/>
      </c>
      <c r="BF262" s="39" t="str">
        <f>IFERROR(final!BQ60*100/final!$I60,"")</f>
        <v/>
      </c>
      <c r="BG262" s="39" t="str">
        <f>IFERROR(final!BR60*100/final!$I60,"")</f>
        <v/>
      </c>
      <c r="BH262" s="39" t="str">
        <f>IFERROR(final!BS60*100/final!$I60,"")</f>
        <v/>
      </c>
      <c r="BI262" s="39" t="str">
        <f>IFERROR(final!BT60*100/final!$I60,"")</f>
        <v/>
      </c>
      <c r="BJ262" s="39" t="str">
        <f>IFERROR(final!BU60*100/final!$I60,"")</f>
        <v/>
      </c>
      <c r="BK262" s="39" t="str">
        <f>IFERROR(final!BV60*100/final!$I60,"")</f>
        <v/>
      </c>
      <c r="BL262" s="39" t="str">
        <f>IFERROR(final!BW60*100/final!$I60,"")</f>
        <v/>
      </c>
      <c r="BM262" s="39" t="str">
        <f>IFERROR(final!BX60*100/final!$I60,"")</f>
        <v/>
      </c>
      <c r="BN262" s="39" t="str">
        <f>IFERROR(final!BY60*100/final!$I60,"")</f>
        <v/>
      </c>
      <c r="BO262" s="39" t="str">
        <f>IFERROR(final!BZ60*100/final!$I60,"")</f>
        <v/>
      </c>
      <c r="BP262" s="39" t="str">
        <f>IFERROR(final!CA60*100/final!$I60,"")</f>
        <v/>
      </c>
      <c r="BQ262" s="39" t="str">
        <f>IFERROR(final!CB60*100/final!$I60,"")</f>
        <v/>
      </c>
      <c r="BR262" s="39" t="str">
        <f>IFERROR(final!CC60*100/final!$I60,"")</f>
        <v/>
      </c>
      <c r="BS262" s="39" t="str">
        <f>IFERROR(final!CD60*100/final!$I60,"")</f>
        <v/>
      </c>
      <c r="BT262" s="39" t="str">
        <f>IFERROR(final!CE60*100/final!$I60,"")</f>
        <v/>
      </c>
      <c r="BU262" s="39" t="str">
        <f>IFERROR(final!CF60*100/final!$I60,"")</f>
        <v/>
      </c>
      <c r="BV262" s="39" t="str">
        <f>IFERROR(final!CG60*100/final!$I60,"")</f>
        <v/>
      </c>
      <c r="BW262" s="39" t="str">
        <f>IFERROR(final!CH60*100/final!$I60,"")</f>
        <v/>
      </c>
      <c r="BX262" s="39" t="str">
        <f>IFERROR(final!CI60*100/final!$I60,"")</f>
        <v/>
      </c>
      <c r="BY262" s="39" t="str">
        <f>IFERROR(final!CJ60*100/final!$I60,"")</f>
        <v/>
      </c>
      <c r="BZ262" s="39" t="str">
        <f>IFERROR(final!CK60*100/final!$I60,"")</f>
        <v/>
      </c>
      <c r="CA262" s="39" t="str">
        <f>IFERROR(final!CL60*100/final!$I60,"")</f>
        <v/>
      </c>
      <c r="CB262" s="39" t="str">
        <f>IFERROR(final!CM60*100/final!$I60,"")</f>
        <v/>
      </c>
      <c r="CC262" s="39" t="str">
        <f>IFERROR(final!CN60*100/final!$I60,"")</f>
        <v/>
      </c>
      <c r="CD262" s="39" t="str">
        <f>IFERROR(final!CO60*100/final!$I60,"")</f>
        <v/>
      </c>
      <c r="CE262" s="39" t="str">
        <f>IFERROR(final!CP60*100/final!$I60,"")</f>
        <v/>
      </c>
      <c r="CF262" s="39" t="str">
        <f>IFERROR(final!CQ60*100/final!$I60,"")</f>
        <v/>
      </c>
      <c r="CG262" s="39" t="str">
        <f>IFERROR(final!CR60*100/final!$I60,"")</f>
        <v/>
      </c>
      <c r="CH262" s="39" t="str">
        <f>IFERROR(final!CS60*100/final!$I60,"")</f>
        <v/>
      </c>
      <c r="CI262" s="39" t="str">
        <f>IFERROR(final!CT60*100/final!$I60,"")</f>
        <v/>
      </c>
      <c r="CJ262" s="39" t="str">
        <f>IFERROR(final!CU60*100/final!$I60,"")</f>
        <v/>
      </c>
      <c r="CK262" s="39" t="str">
        <f>IFERROR(final!CV60*100/final!$I60,"")</f>
        <v/>
      </c>
      <c r="CL262" s="39" t="str">
        <f>IFERROR(final!CW60*100/final!$I60,"")</f>
        <v/>
      </c>
      <c r="CM262" s="39" t="str">
        <f>IFERROR(final!CX60*100/final!$I60,"")</f>
        <v/>
      </c>
      <c r="CN262" s="39" t="str">
        <f>IFERROR(final!CY60*100/final!$I60,"")</f>
        <v/>
      </c>
      <c r="CO262" s="39" t="str">
        <f>IFERROR(final!CZ60*100/final!$I60,"")</f>
        <v/>
      </c>
      <c r="CP262" s="39" t="str">
        <f>IFERROR(final!DA60*100/final!$I60,"")</f>
        <v/>
      </c>
      <c r="CQ262" s="39" t="str">
        <f>IFERROR(final!DB60*100/final!$I60,"")</f>
        <v/>
      </c>
      <c r="CR262" s="39" t="str">
        <f>IFERROR(final!DC60*100/final!$I60,"")</f>
        <v/>
      </c>
      <c r="CS262" s="39" t="str">
        <f>IFERROR(final!DD60*100/final!$I60,"")</f>
        <v/>
      </c>
      <c r="CT262" s="39" t="str">
        <f>IFERROR(final!DE60*100/final!$I60,"")</f>
        <v/>
      </c>
      <c r="CU262" s="39" t="str">
        <f>IFERROR(final!DF60*100/final!$I60,"")</f>
        <v/>
      </c>
      <c r="CV262" s="39" t="str">
        <f>IFERROR(final!DG60*100/final!$I60,"")</f>
        <v/>
      </c>
      <c r="CW262" s="32" t="str">
        <f>IFERROR(SUM(A262:CV262)/final!$DH$103,"")</f>
        <v/>
      </c>
      <c r="CX262" s="14" t="str">
        <f>IF(COUNTA(final!A60),final!A60,"")</f>
        <v/>
      </c>
      <c r="CY262" s="14" t="str">
        <f>IF(COUNTA(final!B60),final!B60,"")</f>
        <v/>
      </c>
      <c r="CZ262" s="14" t="str">
        <f>IF(COUNTA(final!C60),final!C60,"")</f>
        <v/>
      </c>
      <c r="DA262" s="14" t="str">
        <f>IF(COUNTA(final!D60),final!D60,"")</f>
        <v/>
      </c>
      <c r="DB262" s="14" t="str">
        <f>IF(COUNTA(final!E60),final!E60,"")</f>
        <v/>
      </c>
      <c r="DC262" s="14" t="str">
        <f>IF(COUNTA(final!F60),final!F60,"")</f>
        <v/>
      </c>
      <c r="DD262" s="14" t="str">
        <f>IF(COUNTA(final!G60),final!G60,"")</f>
        <v/>
      </c>
      <c r="DE262" s="14" t="str">
        <f>IF(COUNTA(final!H60),final!H60,"")</f>
        <v/>
      </c>
    </row>
    <row r="263" spans="1:109" x14ac:dyDescent="0.2">
      <c r="A263" s="39" t="str">
        <f>IFERROR(final!L61*100/final!$I61,"")</f>
        <v/>
      </c>
      <c r="B263" s="39" t="str">
        <f>IFERROR(final!M61*100/final!$I61,"")</f>
        <v/>
      </c>
      <c r="C263" s="39" t="str">
        <f>IFERROR(final!N61*100/final!$I61,"")</f>
        <v/>
      </c>
      <c r="D263" s="39" t="str">
        <f>IFERROR(final!O61*100/final!$I61,"")</f>
        <v/>
      </c>
      <c r="E263" s="39" t="str">
        <f>IFERROR(final!P61*100/final!$I61,"")</f>
        <v/>
      </c>
      <c r="F263" s="39" t="str">
        <f>IFERROR(final!Q61*100/final!$I61,"")</f>
        <v/>
      </c>
      <c r="G263" s="39" t="str">
        <f>IFERROR(final!R61*100/final!$I61,"")</f>
        <v/>
      </c>
      <c r="H263" s="39" t="str">
        <f>IFERROR(final!S61*100/final!$I61,"")</f>
        <v/>
      </c>
      <c r="I263" s="39" t="str">
        <f>IFERROR(final!T61*100/final!$I61,"")</f>
        <v/>
      </c>
      <c r="J263" s="39" t="str">
        <f>IFERROR(final!U61*100/final!$I61,"")</f>
        <v/>
      </c>
      <c r="K263" s="39" t="str">
        <f>IFERROR(final!V61*100/final!$I61,"")</f>
        <v/>
      </c>
      <c r="L263" s="39" t="str">
        <f>IFERROR(final!W61*100/final!$I61,"")</f>
        <v/>
      </c>
      <c r="M263" s="39" t="str">
        <f>IFERROR(final!X61*100/final!$I61,"")</f>
        <v/>
      </c>
      <c r="N263" s="39" t="str">
        <f>IFERROR(final!Y61*100/final!$I61,"")</f>
        <v/>
      </c>
      <c r="O263" s="39" t="str">
        <f>IFERROR(final!Z61*100/final!$I61,"")</f>
        <v/>
      </c>
      <c r="P263" s="39" t="str">
        <f>IFERROR(final!AA61*100/final!$I61,"")</f>
        <v/>
      </c>
      <c r="Q263" s="39" t="str">
        <f>IFERROR(final!AB61*100/final!$I61,"")</f>
        <v/>
      </c>
      <c r="R263" s="39" t="str">
        <f>IFERROR(final!AC61*100/final!$I61,"")</f>
        <v/>
      </c>
      <c r="S263" s="39" t="str">
        <f>IFERROR(final!AD61*100/final!$I61,"")</f>
        <v/>
      </c>
      <c r="T263" s="39" t="str">
        <f>IFERROR(final!AE61*100/final!$I61,"")</f>
        <v/>
      </c>
      <c r="U263" s="39" t="str">
        <f>IFERROR(final!AF61*100/final!$I61,"")</f>
        <v/>
      </c>
      <c r="V263" s="39" t="str">
        <f>IFERROR(final!AG61*100/final!$I61,"")</f>
        <v/>
      </c>
      <c r="W263" s="39" t="str">
        <f>IFERROR(final!AH61*100/final!$I61,"")</f>
        <v/>
      </c>
      <c r="X263" s="39" t="str">
        <f>IFERROR(final!AI61*100/final!$I61,"")</f>
        <v/>
      </c>
      <c r="Y263" s="39" t="str">
        <f>IFERROR(final!AJ61*100/final!$I61,"")</f>
        <v/>
      </c>
      <c r="Z263" s="39" t="str">
        <f>IFERROR(final!AK61*100/final!$I61,"")</f>
        <v/>
      </c>
      <c r="AA263" s="39" t="str">
        <f>IFERROR(final!AL61*100/final!$I61,"")</f>
        <v/>
      </c>
      <c r="AB263" s="39" t="str">
        <f>IFERROR(final!AM61*100/final!$I61,"")</f>
        <v/>
      </c>
      <c r="AC263" s="39" t="str">
        <f>IFERROR(final!AN61*100/final!$I61,"")</f>
        <v/>
      </c>
      <c r="AD263" s="39" t="str">
        <f>IFERROR(final!AO61*100/final!$I61,"")</f>
        <v/>
      </c>
      <c r="AE263" s="39" t="str">
        <f>IFERROR(final!AP61*100/final!$I61,"")</f>
        <v/>
      </c>
      <c r="AF263" s="39" t="str">
        <f>IFERROR(final!AQ61*100/final!$I61,"")</f>
        <v/>
      </c>
      <c r="AG263" s="39" t="str">
        <f>IFERROR(final!AR61*100/final!$I61,"")</f>
        <v/>
      </c>
      <c r="AH263" s="39" t="str">
        <f>IFERROR(final!AS61*100/final!$I61,"")</f>
        <v/>
      </c>
      <c r="AI263" s="39" t="str">
        <f>IFERROR(final!AT61*100/final!$I61,"")</f>
        <v/>
      </c>
      <c r="AJ263" s="39" t="str">
        <f>IFERROR(final!AU61*100/final!$I61,"")</f>
        <v/>
      </c>
      <c r="AK263" s="39" t="str">
        <f>IFERROR(final!AV61*100/final!$I61,"")</f>
        <v/>
      </c>
      <c r="AL263" s="39" t="str">
        <f>IFERROR(final!AW61*100/final!$I61,"")</f>
        <v/>
      </c>
      <c r="AM263" s="39" t="str">
        <f>IFERROR(final!AX61*100/final!$I61,"")</f>
        <v/>
      </c>
      <c r="AN263" s="39" t="str">
        <f>IFERROR(final!AY61*100/final!$I61,"")</f>
        <v/>
      </c>
      <c r="AO263" s="39" t="str">
        <f>IFERROR(final!AZ61*100/final!$I61,"")</f>
        <v/>
      </c>
      <c r="AP263" s="39" t="str">
        <f>IFERROR(final!BA61*100/final!$I61,"")</f>
        <v/>
      </c>
      <c r="AQ263" s="39" t="str">
        <f>IFERROR(final!BB61*100/final!$I61,"")</f>
        <v/>
      </c>
      <c r="AR263" s="39" t="str">
        <f>IFERROR(final!BC61*100/final!$I61,"")</f>
        <v/>
      </c>
      <c r="AS263" s="39" t="str">
        <f>IFERROR(final!BD61*100/final!$I61,"")</f>
        <v/>
      </c>
      <c r="AT263" s="39" t="str">
        <f>IFERROR(final!BE61*100/final!$I61,"")</f>
        <v/>
      </c>
      <c r="AU263" s="39" t="str">
        <f>IFERROR(final!BF61*100/final!$I61,"")</f>
        <v/>
      </c>
      <c r="AV263" s="39" t="str">
        <f>IFERROR(final!BG61*100/final!$I61,"")</f>
        <v/>
      </c>
      <c r="AW263" s="39" t="str">
        <f>IFERROR(final!BH61*100/final!$I61,"")</f>
        <v/>
      </c>
      <c r="AX263" s="39" t="str">
        <f>IFERROR(final!BI61*100/final!$I61,"")</f>
        <v/>
      </c>
      <c r="AY263" s="39" t="str">
        <f>IFERROR(final!BJ61*100/final!$I61,"")</f>
        <v/>
      </c>
      <c r="AZ263" s="39" t="str">
        <f>IFERROR(final!BK61*100/final!$I61,"")</f>
        <v/>
      </c>
      <c r="BA263" s="39" t="str">
        <f>IFERROR(final!BL61*100/final!$I61,"")</f>
        <v/>
      </c>
      <c r="BB263" s="39" t="str">
        <f>IFERROR(final!BM61*100/final!$I61,"")</f>
        <v/>
      </c>
      <c r="BC263" s="39" t="str">
        <f>IFERROR(final!BN61*100/final!$I61,"")</f>
        <v/>
      </c>
      <c r="BD263" s="39" t="str">
        <f>IFERROR(final!BO61*100/final!$I61,"")</f>
        <v/>
      </c>
      <c r="BE263" s="39" t="str">
        <f>IFERROR(final!BP61*100/final!$I61,"")</f>
        <v/>
      </c>
      <c r="BF263" s="39" t="str">
        <f>IFERROR(final!BQ61*100/final!$I61,"")</f>
        <v/>
      </c>
      <c r="BG263" s="39" t="str">
        <f>IFERROR(final!BR61*100/final!$I61,"")</f>
        <v/>
      </c>
      <c r="BH263" s="39" t="str">
        <f>IFERROR(final!BS61*100/final!$I61,"")</f>
        <v/>
      </c>
      <c r="BI263" s="39" t="str">
        <f>IFERROR(final!BT61*100/final!$I61,"")</f>
        <v/>
      </c>
      <c r="BJ263" s="39" t="str">
        <f>IFERROR(final!BU61*100/final!$I61,"")</f>
        <v/>
      </c>
      <c r="BK263" s="39" t="str">
        <f>IFERROR(final!BV61*100/final!$I61,"")</f>
        <v/>
      </c>
      <c r="BL263" s="39" t="str">
        <f>IFERROR(final!BW61*100/final!$I61,"")</f>
        <v/>
      </c>
      <c r="BM263" s="39" t="str">
        <f>IFERROR(final!BX61*100/final!$I61,"")</f>
        <v/>
      </c>
      <c r="BN263" s="39" t="str">
        <f>IFERROR(final!BY61*100/final!$I61,"")</f>
        <v/>
      </c>
      <c r="BO263" s="39" t="str">
        <f>IFERROR(final!BZ61*100/final!$I61,"")</f>
        <v/>
      </c>
      <c r="BP263" s="39" t="str">
        <f>IFERROR(final!CA61*100/final!$I61,"")</f>
        <v/>
      </c>
      <c r="BQ263" s="39" t="str">
        <f>IFERROR(final!CB61*100/final!$I61,"")</f>
        <v/>
      </c>
      <c r="BR263" s="39" t="str">
        <f>IFERROR(final!CC61*100/final!$I61,"")</f>
        <v/>
      </c>
      <c r="BS263" s="39" t="str">
        <f>IFERROR(final!CD61*100/final!$I61,"")</f>
        <v/>
      </c>
      <c r="BT263" s="39" t="str">
        <f>IFERROR(final!CE61*100/final!$I61,"")</f>
        <v/>
      </c>
      <c r="BU263" s="39" t="str">
        <f>IFERROR(final!CF61*100/final!$I61,"")</f>
        <v/>
      </c>
      <c r="BV263" s="39" t="str">
        <f>IFERROR(final!CG61*100/final!$I61,"")</f>
        <v/>
      </c>
      <c r="BW263" s="39" t="str">
        <f>IFERROR(final!CH61*100/final!$I61,"")</f>
        <v/>
      </c>
      <c r="BX263" s="39" t="str">
        <f>IFERROR(final!CI61*100/final!$I61,"")</f>
        <v/>
      </c>
      <c r="BY263" s="39" t="str">
        <f>IFERROR(final!CJ61*100/final!$I61,"")</f>
        <v/>
      </c>
      <c r="BZ263" s="39" t="str">
        <f>IFERROR(final!CK61*100/final!$I61,"")</f>
        <v/>
      </c>
      <c r="CA263" s="39" t="str">
        <f>IFERROR(final!CL61*100/final!$I61,"")</f>
        <v/>
      </c>
      <c r="CB263" s="39" t="str">
        <f>IFERROR(final!CM61*100/final!$I61,"")</f>
        <v/>
      </c>
      <c r="CC263" s="39" t="str">
        <f>IFERROR(final!CN61*100/final!$I61,"")</f>
        <v/>
      </c>
      <c r="CD263" s="39" t="str">
        <f>IFERROR(final!CO61*100/final!$I61,"")</f>
        <v/>
      </c>
      <c r="CE263" s="39" t="str">
        <f>IFERROR(final!CP61*100/final!$I61,"")</f>
        <v/>
      </c>
      <c r="CF263" s="39" t="str">
        <f>IFERROR(final!CQ61*100/final!$I61,"")</f>
        <v/>
      </c>
      <c r="CG263" s="39" t="str">
        <f>IFERROR(final!CR61*100/final!$I61,"")</f>
        <v/>
      </c>
      <c r="CH263" s="39" t="str">
        <f>IFERROR(final!CS61*100/final!$I61,"")</f>
        <v/>
      </c>
      <c r="CI263" s="39" t="str">
        <f>IFERROR(final!CT61*100/final!$I61,"")</f>
        <v/>
      </c>
      <c r="CJ263" s="39" t="str">
        <f>IFERROR(final!CU61*100/final!$I61,"")</f>
        <v/>
      </c>
      <c r="CK263" s="39" t="str">
        <f>IFERROR(final!CV61*100/final!$I61,"")</f>
        <v/>
      </c>
      <c r="CL263" s="39" t="str">
        <f>IFERROR(final!CW61*100/final!$I61,"")</f>
        <v/>
      </c>
      <c r="CM263" s="39" t="str">
        <f>IFERROR(final!CX61*100/final!$I61,"")</f>
        <v/>
      </c>
      <c r="CN263" s="39" t="str">
        <f>IFERROR(final!CY61*100/final!$I61,"")</f>
        <v/>
      </c>
      <c r="CO263" s="39" t="str">
        <f>IFERROR(final!CZ61*100/final!$I61,"")</f>
        <v/>
      </c>
      <c r="CP263" s="39" t="str">
        <f>IFERROR(final!DA61*100/final!$I61,"")</f>
        <v/>
      </c>
      <c r="CQ263" s="39" t="str">
        <f>IFERROR(final!DB61*100/final!$I61,"")</f>
        <v/>
      </c>
      <c r="CR263" s="39" t="str">
        <f>IFERROR(final!DC61*100/final!$I61,"")</f>
        <v/>
      </c>
      <c r="CS263" s="39" t="str">
        <f>IFERROR(final!DD61*100/final!$I61,"")</f>
        <v/>
      </c>
      <c r="CT263" s="39" t="str">
        <f>IFERROR(final!DE61*100/final!$I61,"")</f>
        <v/>
      </c>
      <c r="CU263" s="39" t="str">
        <f>IFERROR(final!DF61*100/final!$I61,"")</f>
        <v/>
      </c>
      <c r="CV263" s="39" t="str">
        <f>IFERROR(final!DG61*100/final!$I61,"")</f>
        <v/>
      </c>
      <c r="CW263" s="32" t="str">
        <f>IFERROR(SUM(A263:CV263)/final!$DH$103,"")</f>
        <v/>
      </c>
      <c r="CX263" s="14" t="str">
        <f>IF(COUNTA(final!A61),final!A61,"")</f>
        <v/>
      </c>
      <c r="CY263" s="14" t="str">
        <f>IF(COUNTA(final!B61),final!B61,"")</f>
        <v/>
      </c>
      <c r="CZ263" s="14" t="str">
        <f>IF(COUNTA(final!C61),final!C61,"")</f>
        <v/>
      </c>
      <c r="DA263" s="14" t="str">
        <f>IF(COUNTA(final!D61),final!D61,"")</f>
        <v/>
      </c>
      <c r="DB263" s="14" t="str">
        <f>IF(COUNTA(final!E61),final!E61,"")</f>
        <v/>
      </c>
      <c r="DC263" s="14" t="str">
        <f>IF(COUNTA(final!F61),final!F61,"")</f>
        <v/>
      </c>
      <c r="DD263" s="14" t="str">
        <f>IF(COUNTA(final!G61),final!G61,"")</f>
        <v/>
      </c>
      <c r="DE263" s="14" t="str">
        <f>IF(COUNTA(final!H61),final!H61,"")</f>
        <v/>
      </c>
    </row>
    <row r="264" spans="1:109" x14ac:dyDescent="0.2">
      <c r="A264" s="39" t="str">
        <f>IFERROR(final!L62*100/final!$I62,"")</f>
        <v/>
      </c>
      <c r="B264" s="39" t="str">
        <f>IFERROR(final!M62*100/final!$I62,"")</f>
        <v/>
      </c>
      <c r="C264" s="39" t="str">
        <f>IFERROR(final!N62*100/final!$I62,"")</f>
        <v/>
      </c>
      <c r="D264" s="39" t="str">
        <f>IFERROR(final!O62*100/final!$I62,"")</f>
        <v/>
      </c>
      <c r="E264" s="39" t="str">
        <f>IFERROR(final!P62*100/final!$I62,"")</f>
        <v/>
      </c>
      <c r="F264" s="39" t="str">
        <f>IFERROR(final!Q62*100/final!$I62,"")</f>
        <v/>
      </c>
      <c r="G264" s="39" t="str">
        <f>IFERROR(final!R62*100/final!$I62,"")</f>
        <v/>
      </c>
      <c r="H264" s="39" t="str">
        <f>IFERROR(final!S62*100/final!$I62,"")</f>
        <v/>
      </c>
      <c r="I264" s="39" t="str">
        <f>IFERROR(final!T62*100/final!$I62,"")</f>
        <v/>
      </c>
      <c r="J264" s="39" t="str">
        <f>IFERROR(final!U62*100/final!$I62,"")</f>
        <v/>
      </c>
      <c r="K264" s="39" t="str">
        <f>IFERROR(final!V62*100/final!$I62,"")</f>
        <v/>
      </c>
      <c r="L264" s="39" t="str">
        <f>IFERROR(final!W62*100/final!$I62,"")</f>
        <v/>
      </c>
      <c r="M264" s="39" t="str">
        <f>IFERROR(final!X62*100/final!$I62,"")</f>
        <v/>
      </c>
      <c r="N264" s="39" t="str">
        <f>IFERROR(final!Y62*100/final!$I62,"")</f>
        <v/>
      </c>
      <c r="O264" s="39" t="str">
        <f>IFERROR(final!Z62*100/final!$I62,"")</f>
        <v/>
      </c>
      <c r="P264" s="39" t="str">
        <f>IFERROR(final!AA62*100/final!$I62,"")</f>
        <v/>
      </c>
      <c r="Q264" s="39" t="str">
        <f>IFERROR(final!AB62*100/final!$I62,"")</f>
        <v/>
      </c>
      <c r="R264" s="39" t="str">
        <f>IFERROR(final!AC62*100/final!$I62,"")</f>
        <v/>
      </c>
      <c r="S264" s="39" t="str">
        <f>IFERROR(final!AD62*100/final!$I62,"")</f>
        <v/>
      </c>
      <c r="T264" s="39" t="str">
        <f>IFERROR(final!AE62*100/final!$I62,"")</f>
        <v/>
      </c>
      <c r="U264" s="39" t="str">
        <f>IFERROR(final!AF62*100/final!$I62,"")</f>
        <v/>
      </c>
      <c r="V264" s="39" t="str">
        <f>IFERROR(final!AG62*100/final!$I62,"")</f>
        <v/>
      </c>
      <c r="W264" s="39" t="str">
        <f>IFERROR(final!AH62*100/final!$I62,"")</f>
        <v/>
      </c>
      <c r="X264" s="39" t="str">
        <f>IFERROR(final!AI62*100/final!$I62,"")</f>
        <v/>
      </c>
      <c r="Y264" s="39" t="str">
        <f>IFERROR(final!AJ62*100/final!$I62,"")</f>
        <v/>
      </c>
      <c r="Z264" s="39" t="str">
        <f>IFERROR(final!AK62*100/final!$I62,"")</f>
        <v/>
      </c>
      <c r="AA264" s="39" t="str">
        <f>IFERROR(final!AL62*100/final!$I62,"")</f>
        <v/>
      </c>
      <c r="AB264" s="39" t="str">
        <f>IFERROR(final!AM62*100/final!$I62,"")</f>
        <v/>
      </c>
      <c r="AC264" s="39" t="str">
        <f>IFERROR(final!AN62*100/final!$I62,"")</f>
        <v/>
      </c>
      <c r="AD264" s="39" t="str">
        <f>IFERROR(final!AO62*100/final!$I62,"")</f>
        <v/>
      </c>
      <c r="AE264" s="39" t="str">
        <f>IFERROR(final!AP62*100/final!$I62,"")</f>
        <v/>
      </c>
      <c r="AF264" s="39" t="str">
        <f>IFERROR(final!AQ62*100/final!$I62,"")</f>
        <v/>
      </c>
      <c r="AG264" s="39" t="str">
        <f>IFERROR(final!AR62*100/final!$I62,"")</f>
        <v/>
      </c>
      <c r="AH264" s="39" t="str">
        <f>IFERROR(final!AS62*100/final!$I62,"")</f>
        <v/>
      </c>
      <c r="AI264" s="39" t="str">
        <f>IFERROR(final!AT62*100/final!$I62,"")</f>
        <v/>
      </c>
      <c r="AJ264" s="39" t="str">
        <f>IFERROR(final!AU62*100/final!$I62,"")</f>
        <v/>
      </c>
      <c r="AK264" s="39" t="str">
        <f>IFERROR(final!AV62*100/final!$I62,"")</f>
        <v/>
      </c>
      <c r="AL264" s="39" t="str">
        <f>IFERROR(final!AW62*100/final!$I62,"")</f>
        <v/>
      </c>
      <c r="AM264" s="39" t="str">
        <f>IFERROR(final!AX62*100/final!$I62,"")</f>
        <v/>
      </c>
      <c r="AN264" s="39" t="str">
        <f>IFERROR(final!AY62*100/final!$I62,"")</f>
        <v/>
      </c>
      <c r="AO264" s="39" t="str">
        <f>IFERROR(final!AZ62*100/final!$I62,"")</f>
        <v/>
      </c>
      <c r="AP264" s="39" t="str">
        <f>IFERROR(final!BA62*100/final!$I62,"")</f>
        <v/>
      </c>
      <c r="AQ264" s="39" t="str">
        <f>IFERROR(final!BB62*100/final!$I62,"")</f>
        <v/>
      </c>
      <c r="AR264" s="39" t="str">
        <f>IFERROR(final!BC62*100/final!$I62,"")</f>
        <v/>
      </c>
      <c r="AS264" s="39" t="str">
        <f>IFERROR(final!BD62*100/final!$I62,"")</f>
        <v/>
      </c>
      <c r="AT264" s="39" t="str">
        <f>IFERROR(final!BE62*100/final!$I62,"")</f>
        <v/>
      </c>
      <c r="AU264" s="39" t="str">
        <f>IFERROR(final!BF62*100/final!$I62,"")</f>
        <v/>
      </c>
      <c r="AV264" s="39" t="str">
        <f>IFERROR(final!BG62*100/final!$I62,"")</f>
        <v/>
      </c>
      <c r="AW264" s="39" t="str">
        <f>IFERROR(final!BH62*100/final!$I62,"")</f>
        <v/>
      </c>
      <c r="AX264" s="39" t="str">
        <f>IFERROR(final!BI62*100/final!$I62,"")</f>
        <v/>
      </c>
      <c r="AY264" s="39" t="str">
        <f>IFERROR(final!BJ62*100/final!$I62,"")</f>
        <v/>
      </c>
      <c r="AZ264" s="39" t="str">
        <f>IFERROR(final!BK62*100/final!$I62,"")</f>
        <v/>
      </c>
      <c r="BA264" s="39" t="str">
        <f>IFERROR(final!BL62*100/final!$I62,"")</f>
        <v/>
      </c>
      <c r="BB264" s="39" t="str">
        <f>IFERROR(final!BM62*100/final!$I62,"")</f>
        <v/>
      </c>
      <c r="BC264" s="39" t="str">
        <f>IFERROR(final!BN62*100/final!$I62,"")</f>
        <v/>
      </c>
      <c r="BD264" s="39" t="str">
        <f>IFERROR(final!BO62*100/final!$I62,"")</f>
        <v/>
      </c>
      <c r="BE264" s="39" t="str">
        <f>IFERROR(final!BP62*100/final!$I62,"")</f>
        <v/>
      </c>
      <c r="BF264" s="39" t="str">
        <f>IFERROR(final!BQ62*100/final!$I62,"")</f>
        <v/>
      </c>
      <c r="BG264" s="39" t="str">
        <f>IFERROR(final!BR62*100/final!$I62,"")</f>
        <v/>
      </c>
      <c r="BH264" s="39" t="str">
        <f>IFERROR(final!BS62*100/final!$I62,"")</f>
        <v/>
      </c>
      <c r="BI264" s="39" t="str">
        <f>IFERROR(final!BT62*100/final!$I62,"")</f>
        <v/>
      </c>
      <c r="BJ264" s="39" t="str">
        <f>IFERROR(final!BU62*100/final!$I62,"")</f>
        <v/>
      </c>
      <c r="BK264" s="39" t="str">
        <f>IFERROR(final!BV62*100/final!$I62,"")</f>
        <v/>
      </c>
      <c r="BL264" s="39" t="str">
        <f>IFERROR(final!BW62*100/final!$I62,"")</f>
        <v/>
      </c>
      <c r="BM264" s="39" t="str">
        <f>IFERROR(final!BX62*100/final!$I62,"")</f>
        <v/>
      </c>
      <c r="BN264" s="39" t="str">
        <f>IFERROR(final!BY62*100/final!$I62,"")</f>
        <v/>
      </c>
      <c r="BO264" s="39" t="str">
        <f>IFERROR(final!BZ62*100/final!$I62,"")</f>
        <v/>
      </c>
      <c r="BP264" s="39" t="str">
        <f>IFERROR(final!CA62*100/final!$I62,"")</f>
        <v/>
      </c>
      <c r="BQ264" s="39" t="str">
        <f>IFERROR(final!CB62*100/final!$I62,"")</f>
        <v/>
      </c>
      <c r="BR264" s="39" t="str">
        <f>IFERROR(final!CC62*100/final!$I62,"")</f>
        <v/>
      </c>
      <c r="BS264" s="39" t="str">
        <f>IFERROR(final!CD62*100/final!$I62,"")</f>
        <v/>
      </c>
      <c r="BT264" s="39" t="str">
        <f>IFERROR(final!CE62*100/final!$I62,"")</f>
        <v/>
      </c>
      <c r="BU264" s="39" t="str">
        <f>IFERROR(final!CF62*100/final!$I62,"")</f>
        <v/>
      </c>
      <c r="BV264" s="39" t="str">
        <f>IFERROR(final!CG62*100/final!$I62,"")</f>
        <v/>
      </c>
      <c r="BW264" s="39" t="str">
        <f>IFERROR(final!CH62*100/final!$I62,"")</f>
        <v/>
      </c>
      <c r="BX264" s="39" t="str">
        <f>IFERROR(final!CI62*100/final!$I62,"")</f>
        <v/>
      </c>
      <c r="BY264" s="39" t="str">
        <f>IFERROR(final!CJ62*100/final!$I62,"")</f>
        <v/>
      </c>
      <c r="BZ264" s="39" t="str">
        <f>IFERROR(final!CK62*100/final!$I62,"")</f>
        <v/>
      </c>
      <c r="CA264" s="39" t="str">
        <f>IFERROR(final!CL62*100/final!$I62,"")</f>
        <v/>
      </c>
      <c r="CB264" s="39" t="str">
        <f>IFERROR(final!CM62*100/final!$I62,"")</f>
        <v/>
      </c>
      <c r="CC264" s="39" t="str">
        <f>IFERROR(final!CN62*100/final!$I62,"")</f>
        <v/>
      </c>
      <c r="CD264" s="39" t="str">
        <f>IFERROR(final!CO62*100/final!$I62,"")</f>
        <v/>
      </c>
      <c r="CE264" s="39" t="str">
        <f>IFERROR(final!CP62*100/final!$I62,"")</f>
        <v/>
      </c>
      <c r="CF264" s="39" t="str">
        <f>IFERROR(final!CQ62*100/final!$I62,"")</f>
        <v/>
      </c>
      <c r="CG264" s="39" t="str">
        <f>IFERROR(final!CR62*100/final!$I62,"")</f>
        <v/>
      </c>
      <c r="CH264" s="39" t="str">
        <f>IFERROR(final!CS62*100/final!$I62,"")</f>
        <v/>
      </c>
      <c r="CI264" s="39" t="str">
        <f>IFERROR(final!CT62*100/final!$I62,"")</f>
        <v/>
      </c>
      <c r="CJ264" s="39" t="str">
        <f>IFERROR(final!CU62*100/final!$I62,"")</f>
        <v/>
      </c>
      <c r="CK264" s="39" t="str">
        <f>IFERROR(final!CV62*100/final!$I62,"")</f>
        <v/>
      </c>
      <c r="CL264" s="39" t="str">
        <f>IFERROR(final!CW62*100/final!$I62,"")</f>
        <v/>
      </c>
      <c r="CM264" s="39" t="str">
        <f>IFERROR(final!CX62*100/final!$I62,"")</f>
        <v/>
      </c>
      <c r="CN264" s="39" t="str">
        <f>IFERROR(final!CY62*100/final!$I62,"")</f>
        <v/>
      </c>
      <c r="CO264" s="39" t="str">
        <f>IFERROR(final!CZ62*100/final!$I62,"")</f>
        <v/>
      </c>
      <c r="CP264" s="39" t="str">
        <f>IFERROR(final!DA62*100/final!$I62,"")</f>
        <v/>
      </c>
      <c r="CQ264" s="39" t="str">
        <f>IFERROR(final!DB62*100/final!$I62,"")</f>
        <v/>
      </c>
      <c r="CR264" s="39" t="str">
        <f>IFERROR(final!DC62*100/final!$I62,"")</f>
        <v/>
      </c>
      <c r="CS264" s="39" t="str">
        <f>IFERROR(final!DD62*100/final!$I62,"")</f>
        <v/>
      </c>
      <c r="CT264" s="39" t="str">
        <f>IFERROR(final!DE62*100/final!$I62,"")</f>
        <v/>
      </c>
      <c r="CU264" s="39" t="str">
        <f>IFERROR(final!DF62*100/final!$I62,"")</f>
        <v/>
      </c>
      <c r="CV264" s="39" t="str">
        <f>IFERROR(final!DG62*100/final!$I62,"")</f>
        <v/>
      </c>
      <c r="CW264" s="32" t="str">
        <f>IFERROR(SUM(A264:CV264)/final!$DH$103,"")</f>
        <v/>
      </c>
      <c r="CX264" s="14" t="str">
        <f>IF(COUNTA(final!A62),final!A62,"")</f>
        <v/>
      </c>
      <c r="CY264" s="14" t="str">
        <f>IF(COUNTA(final!B62),final!B62,"")</f>
        <v/>
      </c>
      <c r="CZ264" s="14" t="str">
        <f>IF(COUNTA(final!C62),final!C62,"")</f>
        <v/>
      </c>
      <c r="DA264" s="14" t="str">
        <f>IF(COUNTA(final!D62),final!D62,"")</f>
        <v/>
      </c>
      <c r="DB264" s="14" t="str">
        <f>IF(COUNTA(final!E62),final!E62,"")</f>
        <v/>
      </c>
      <c r="DC264" s="14" t="str">
        <f>IF(COUNTA(final!F62),final!F62,"")</f>
        <v/>
      </c>
      <c r="DD264" s="14" t="str">
        <f>IF(COUNTA(final!G62),final!G62,"")</f>
        <v/>
      </c>
      <c r="DE264" s="14" t="str">
        <f>IF(COUNTA(final!H62),final!H62,"")</f>
        <v/>
      </c>
    </row>
    <row r="265" spans="1:109" x14ac:dyDescent="0.2">
      <c r="A265" s="39" t="str">
        <f>IFERROR(final!L63*100/final!$I63,"")</f>
        <v/>
      </c>
      <c r="B265" s="39" t="str">
        <f>IFERROR(final!M63*100/final!$I63,"")</f>
        <v/>
      </c>
      <c r="C265" s="39" t="str">
        <f>IFERROR(final!N63*100/final!$I63,"")</f>
        <v/>
      </c>
      <c r="D265" s="39" t="str">
        <f>IFERROR(final!O63*100/final!$I63,"")</f>
        <v/>
      </c>
      <c r="E265" s="39" t="str">
        <f>IFERROR(final!P63*100/final!$I63,"")</f>
        <v/>
      </c>
      <c r="F265" s="39" t="str">
        <f>IFERROR(final!Q63*100/final!$I63,"")</f>
        <v/>
      </c>
      <c r="G265" s="39" t="str">
        <f>IFERROR(final!R63*100/final!$I63,"")</f>
        <v/>
      </c>
      <c r="H265" s="39" t="str">
        <f>IFERROR(final!S63*100/final!$I63,"")</f>
        <v/>
      </c>
      <c r="I265" s="39" t="str">
        <f>IFERROR(final!T63*100/final!$I63,"")</f>
        <v/>
      </c>
      <c r="J265" s="39" t="str">
        <f>IFERROR(final!U63*100/final!$I63,"")</f>
        <v/>
      </c>
      <c r="K265" s="39" t="str">
        <f>IFERROR(final!V63*100/final!$I63,"")</f>
        <v/>
      </c>
      <c r="L265" s="39" t="str">
        <f>IFERROR(final!W63*100/final!$I63,"")</f>
        <v/>
      </c>
      <c r="M265" s="39" t="str">
        <f>IFERROR(final!X63*100/final!$I63,"")</f>
        <v/>
      </c>
      <c r="N265" s="39" t="str">
        <f>IFERROR(final!Y63*100/final!$I63,"")</f>
        <v/>
      </c>
      <c r="O265" s="39" t="str">
        <f>IFERROR(final!Z63*100/final!$I63,"")</f>
        <v/>
      </c>
      <c r="P265" s="39" t="str">
        <f>IFERROR(final!AA63*100/final!$I63,"")</f>
        <v/>
      </c>
      <c r="Q265" s="39" t="str">
        <f>IFERROR(final!AB63*100/final!$I63,"")</f>
        <v/>
      </c>
      <c r="R265" s="39" t="str">
        <f>IFERROR(final!AC63*100/final!$I63,"")</f>
        <v/>
      </c>
      <c r="S265" s="39" t="str">
        <f>IFERROR(final!AD63*100/final!$I63,"")</f>
        <v/>
      </c>
      <c r="T265" s="39" t="str">
        <f>IFERROR(final!AE63*100/final!$I63,"")</f>
        <v/>
      </c>
      <c r="U265" s="39" t="str">
        <f>IFERROR(final!AF63*100/final!$I63,"")</f>
        <v/>
      </c>
      <c r="V265" s="39" t="str">
        <f>IFERROR(final!AG63*100/final!$I63,"")</f>
        <v/>
      </c>
      <c r="W265" s="39" t="str">
        <f>IFERROR(final!AH63*100/final!$I63,"")</f>
        <v/>
      </c>
      <c r="X265" s="39" t="str">
        <f>IFERROR(final!AI63*100/final!$I63,"")</f>
        <v/>
      </c>
      <c r="Y265" s="39" t="str">
        <f>IFERROR(final!AJ63*100/final!$I63,"")</f>
        <v/>
      </c>
      <c r="Z265" s="39" t="str">
        <f>IFERROR(final!AK63*100/final!$I63,"")</f>
        <v/>
      </c>
      <c r="AA265" s="39" t="str">
        <f>IFERROR(final!AL63*100/final!$I63,"")</f>
        <v/>
      </c>
      <c r="AB265" s="39" t="str">
        <f>IFERROR(final!AM63*100/final!$I63,"")</f>
        <v/>
      </c>
      <c r="AC265" s="39" t="str">
        <f>IFERROR(final!AN63*100/final!$I63,"")</f>
        <v/>
      </c>
      <c r="AD265" s="39" t="str">
        <f>IFERROR(final!AO63*100/final!$I63,"")</f>
        <v/>
      </c>
      <c r="AE265" s="39" t="str">
        <f>IFERROR(final!AP63*100/final!$I63,"")</f>
        <v/>
      </c>
      <c r="AF265" s="39" t="str">
        <f>IFERROR(final!AQ63*100/final!$I63,"")</f>
        <v/>
      </c>
      <c r="AG265" s="39" t="str">
        <f>IFERROR(final!AR63*100/final!$I63,"")</f>
        <v/>
      </c>
      <c r="AH265" s="39" t="str">
        <f>IFERROR(final!AS63*100/final!$I63,"")</f>
        <v/>
      </c>
      <c r="AI265" s="39" t="str">
        <f>IFERROR(final!AT63*100/final!$I63,"")</f>
        <v/>
      </c>
      <c r="AJ265" s="39" t="str">
        <f>IFERROR(final!AU63*100/final!$I63,"")</f>
        <v/>
      </c>
      <c r="AK265" s="39" t="str">
        <f>IFERROR(final!AV63*100/final!$I63,"")</f>
        <v/>
      </c>
      <c r="AL265" s="39" t="str">
        <f>IFERROR(final!AW63*100/final!$I63,"")</f>
        <v/>
      </c>
      <c r="AM265" s="39" t="str">
        <f>IFERROR(final!AX63*100/final!$I63,"")</f>
        <v/>
      </c>
      <c r="AN265" s="39" t="str">
        <f>IFERROR(final!AY63*100/final!$I63,"")</f>
        <v/>
      </c>
      <c r="AO265" s="39" t="str">
        <f>IFERROR(final!AZ63*100/final!$I63,"")</f>
        <v/>
      </c>
      <c r="AP265" s="39" t="str">
        <f>IFERROR(final!BA63*100/final!$I63,"")</f>
        <v/>
      </c>
      <c r="AQ265" s="39" t="str">
        <f>IFERROR(final!BB63*100/final!$I63,"")</f>
        <v/>
      </c>
      <c r="AR265" s="39" t="str">
        <f>IFERROR(final!BC63*100/final!$I63,"")</f>
        <v/>
      </c>
      <c r="AS265" s="39" t="str">
        <f>IFERROR(final!BD63*100/final!$I63,"")</f>
        <v/>
      </c>
      <c r="AT265" s="39" t="str">
        <f>IFERROR(final!BE63*100/final!$I63,"")</f>
        <v/>
      </c>
      <c r="AU265" s="39" t="str">
        <f>IFERROR(final!BF63*100/final!$I63,"")</f>
        <v/>
      </c>
      <c r="AV265" s="39" t="str">
        <f>IFERROR(final!BG63*100/final!$I63,"")</f>
        <v/>
      </c>
      <c r="AW265" s="39" t="str">
        <f>IFERROR(final!BH63*100/final!$I63,"")</f>
        <v/>
      </c>
      <c r="AX265" s="39" t="str">
        <f>IFERROR(final!BI63*100/final!$I63,"")</f>
        <v/>
      </c>
      <c r="AY265" s="39" t="str">
        <f>IFERROR(final!BJ63*100/final!$I63,"")</f>
        <v/>
      </c>
      <c r="AZ265" s="39" t="str">
        <f>IFERROR(final!BK63*100/final!$I63,"")</f>
        <v/>
      </c>
      <c r="BA265" s="39" t="str">
        <f>IFERROR(final!BL63*100/final!$I63,"")</f>
        <v/>
      </c>
      <c r="BB265" s="39" t="str">
        <f>IFERROR(final!BM63*100/final!$I63,"")</f>
        <v/>
      </c>
      <c r="BC265" s="39" t="str">
        <f>IFERROR(final!BN63*100/final!$I63,"")</f>
        <v/>
      </c>
      <c r="BD265" s="39" t="str">
        <f>IFERROR(final!BO63*100/final!$I63,"")</f>
        <v/>
      </c>
      <c r="BE265" s="39" t="str">
        <f>IFERROR(final!BP63*100/final!$I63,"")</f>
        <v/>
      </c>
      <c r="BF265" s="39" t="str">
        <f>IFERROR(final!BQ63*100/final!$I63,"")</f>
        <v/>
      </c>
      <c r="BG265" s="39" t="str">
        <f>IFERROR(final!BR63*100/final!$I63,"")</f>
        <v/>
      </c>
      <c r="BH265" s="39" t="str">
        <f>IFERROR(final!BS63*100/final!$I63,"")</f>
        <v/>
      </c>
      <c r="BI265" s="39" t="str">
        <f>IFERROR(final!BT63*100/final!$I63,"")</f>
        <v/>
      </c>
      <c r="BJ265" s="39" t="str">
        <f>IFERROR(final!BU63*100/final!$I63,"")</f>
        <v/>
      </c>
      <c r="BK265" s="39" t="str">
        <f>IFERROR(final!BV63*100/final!$I63,"")</f>
        <v/>
      </c>
      <c r="BL265" s="39" t="str">
        <f>IFERROR(final!BW63*100/final!$I63,"")</f>
        <v/>
      </c>
      <c r="BM265" s="39" t="str">
        <f>IFERROR(final!BX63*100/final!$I63,"")</f>
        <v/>
      </c>
      <c r="BN265" s="39" t="str">
        <f>IFERROR(final!BY63*100/final!$I63,"")</f>
        <v/>
      </c>
      <c r="BO265" s="39" t="str">
        <f>IFERROR(final!BZ63*100/final!$I63,"")</f>
        <v/>
      </c>
      <c r="BP265" s="39" t="str">
        <f>IFERROR(final!CA63*100/final!$I63,"")</f>
        <v/>
      </c>
      <c r="BQ265" s="39" t="str">
        <f>IFERROR(final!CB63*100/final!$I63,"")</f>
        <v/>
      </c>
      <c r="BR265" s="39" t="str">
        <f>IFERROR(final!CC63*100/final!$I63,"")</f>
        <v/>
      </c>
      <c r="BS265" s="39" t="str">
        <f>IFERROR(final!CD63*100/final!$I63,"")</f>
        <v/>
      </c>
      <c r="BT265" s="39" t="str">
        <f>IFERROR(final!CE63*100/final!$I63,"")</f>
        <v/>
      </c>
      <c r="BU265" s="39" t="str">
        <f>IFERROR(final!CF63*100/final!$I63,"")</f>
        <v/>
      </c>
      <c r="BV265" s="39" t="str">
        <f>IFERROR(final!CG63*100/final!$I63,"")</f>
        <v/>
      </c>
      <c r="BW265" s="39" t="str">
        <f>IFERROR(final!CH63*100/final!$I63,"")</f>
        <v/>
      </c>
      <c r="BX265" s="39" t="str">
        <f>IFERROR(final!CI63*100/final!$I63,"")</f>
        <v/>
      </c>
      <c r="BY265" s="39" t="str">
        <f>IFERROR(final!CJ63*100/final!$I63,"")</f>
        <v/>
      </c>
      <c r="BZ265" s="39" t="str">
        <f>IFERROR(final!CK63*100/final!$I63,"")</f>
        <v/>
      </c>
      <c r="CA265" s="39" t="str">
        <f>IFERROR(final!CL63*100/final!$I63,"")</f>
        <v/>
      </c>
      <c r="CB265" s="39" t="str">
        <f>IFERROR(final!CM63*100/final!$I63,"")</f>
        <v/>
      </c>
      <c r="CC265" s="39" t="str">
        <f>IFERROR(final!CN63*100/final!$I63,"")</f>
        <v/>
      </c>
      <c r="CD265" s="39" t="str">
        <f>IFERROR(final!CO63*100/final!$I63,"")</f>
        <v/>
      </c>
      <c r="CE265" s="39" t="str">
        <f>IFERROR(final!CP63*100/final!$I63,"")</f>
        <v/>
      </c>
      <c r="CF265" s="39" t="str">
        <f>IFERROR(final!CQ63*100/final!$I63,"")</f>
        <v/>
      </c>
      <c r="CG265" s="39" t="str">
        <f>IFERROR(final!CR63*100/final!$I63,"")</f>
        <v/>
      </c>
      <c r="CH265" s="39" t="str">
        <f>IFERROR(final!CS63*100/final!$I63,"")</f>
        <v/>
      </c>
      <c r="CI265" s="39" t="str">
        <f>IFERROR(final!CT63*100/final!$I63,"")</f>
        <v/>
      </c>
      <c r="CJ265" s="39" t="str">
        <f>IFERROR(final!CU63*100/final!$I63,"")</f>
        <v/>
      </c>
      <c r="CK265" s="39" t="str">
        <f>IFERROR(final!CV63*100/final!$I63,"")</f>
        <v/>
      </c>
      <c r="CL265" s="39" t="str">
        <f>IFERROR(final!CW63*100/final!$I63,"")</f>
        <v/>
      </c>
      <c r="CM265" s="39" t="str">
        <f>IFERROR(final!CX63*100/final!$I63,"")</f>
        <v/>
      </c>
      <c r="CN265" s="39" t="str">
        <f>IFERROR(final!CY63*100/final!$I63,"")</f>
        <v/>
      </c>
      <c r="CO265" s="39" t="str">
        <f>IFERROR(final!CZ63*100/final!$I63,"")</f>
        <v/>
      </c>
      <c r="CP265" s="39" t="str">
        <f>IFERROR(final!DA63*100/final!$I63,"")</f>
        <v/>
      </c>
      <c r="CQ265" s="39" t="str">
        <f>IFERROR(final!DB63*100/final!$I63,"")</f>
        <v/>
      </c>
      <c r="CR265" s="39" t="str">
        <f>IFERROR(final!DC63*100/final!$I63,"")</f>
        <v/>
      </c>
      <c r="CS265" s="39" t="str">
        <f>IFERROR(final!DD63*100/final!$I63,"")</f>
        <v/>
      </c>
      <c r="CT265" s="39" t="str">
        <f>IFERROR(final!DE63*100/final!$I63,"")</f>
        <v/>
      </c>
      <c r="CU265" s="39" t="str">
        <f>IFERROR(final!DF63*100/final!$I63,"")</f>
        <v/>
      </c>
      <c r="CV265" s="39" t="str">
        <f>IFERROR(final!DG63*100/final!$I63,"")</f>
        <v/>
      </c>
      <c r="CW265" s="32" t="str">
        <f>IFERROR(SUM(A265:CV265)/final!$DH$103,"")</f>
        <v/>
      </c>
      <c r="CX265" s="14" t="str">
        <f>IF(COUNTA(final!A63),final!A63,"")</f>
        <v/>
      </c>
      <c r="CY265" s="14" t="str">
        <f>IF(COUNTA(final!B63),final!B63,"")</f>
        <v/>
      </c>
      <c r="CZ265" s="14" t="str">
        <f>IF(COUNTA(final!C63),final!C63,"")</f>
        <v/>
      </c>
      <c r="DA265" s="14" t="str">
        <f>IF(COUNTA(final!D63),final!D63,"")</f>
        <v/>
      </c>
      <c r="DB265" s="14" t="str">
        <f>IF(COUNTA(final!E63),final!E63,"")</f>
        <v/>
      </c>
      <c r="DC265" s="14" t="str">
        <f>IF(COUNTA(final!F63),final!F63,"")</f>
        <v/>
      </c>
      <c r="DD265" s="14" t="str">
        <f>IF(COUNTA(final!G63),final!G63,"")</f>
        <v/>
      </c>
      <c r="DE265" s="14" t="str">
        <f>IF(COUNTA(final!H63),final!H63,"")</f>
        <v/>
      </c>
    </row>
    <row r="266" spans="1:109" x14ac:dyDescent="0.2">
      <c r="A266" s="39" t="str">
        <f>IFERROR(final!L64*100/final!$I64,"")</f>
        <v/>
      </c>
      <c r="B266" s="39" t="str">
        <f>IFERROR(final!M64*100/final!$I64,"")</f>
        <v/>
      </c>
      <c r="C266" s="39" t="str">
        <f>IFERROR(final!N64*100/final!$I64,"")</f>
        <v/>
      </c>
      <c r="D266" s="39" t="str">
        <f>IFERROR(final!O64*100/final!$I64,"")</f>
        <v/>
      </c>
      <c r="E266" s="39" t="str">
        <f>IFERROR(final!P64*100/final!$I64,"")</f>
        <v/>
      </c>
      <c r="F266" s="39" t="str">
        <f>IFERROR(final!Q64*100/final!$I64,"")</f>
        <v/>
      </c>
      <c r="G266" s="39" t="str">
        <f>IFERROR(final!R64*100/final!$I64,"")</f>
        <v/>
      </c>
      <c r="H266" s="39" t="str">
        <f>IFERROR(final!S64*100/final!$I64,"")</f>
        <v/>
      </c>
      <c r="I266" s="39" t="str">
        <f>IFERROR(final!T64*100/final!$I64,"")</f>
        <v/>
      </c>
      <c r="J266" s="39" t="str">
        <f>IFERROR(final!U64*100/final!$I64,"")</f>
        <v/>
      </c>
      <c r="K266" s="39" t="str">
        <f>IFERROR(final!V64*100/final!$I64,"")</f>
        <v/>
      </c>
      <c r="L266" s="39" t="str">
        <f>IFERROR(final!W64*100/final!$I64,"")</f>
        <v/>
      </c>
      <c r="M266" s="39" t="str">
        <f>IFERROR(final!X64*100/final!$I64,"")</f>
        <v/>
      </c>
      <c r="N266" s="39" t="str">
        <f>IFERROR(final!Y64*100/final!$I64,"")</f>
        <v/>
      </c>
      <c r="O266" s="39" t="str">
        <f>IFERROR(final!Z64*100/final!$I64,"")</f>
        <v/>
      </c>
      <c r="P266" s="39" t="str">
        <f>IFERROR(final!AA64*100/final!$I64,"")</f>
        <v/>
      </c>
      <c r="Q266" s="39" t="str">
        <f>IFERROR(final!AB64*100/final!$I64,"")</f>
        <v/>
      </c>
      <c r="R266" s="39" t="str">
        <f>IFERROR(final!AC64*100/final!$I64,"")</f>
        <v/>
      </c>
      <c r="S266" s="39" t="str">
        <f>IFERROR(final!AD64*100/final!$I64,"")</f>
        <v/>
      </c>
      <c r="T266" s="39" t="str">
        <f>IFERROR(final!AE64*100/final!$I64,"")</f>
        <v/>
      </c>
      <c r="U266" s="39" t="str">
        <f>IFERROR(final!AF64*100/final!$I64,"")</f>
        <v/>
      </c>
      <c r="V266" s="39" t="str">
        <f>IFERROR(final!AG64*100/final!$I64,"")</f>
        <v/>
      </c>
      <c r="W266" s="39" t="str">
        <f>IFERROR(final!AH64*100/final!$I64,"")</f>
        <v/>
      </c>
      <c r="X266" s="39" t="str">
        <f>IFERROR(final!AI64*100/final!$I64,"")</f>
        <v/>
      </c>
      <c r="Y266" s="39" t="str">
        <f>IFERROR(final!AJ64*100/final!$I64,"")</f>
        <v/>
      </c>
      <c r="Z266" s="39" t="str">
        <f>IFERROR(final!AK64*100/final!$I64,"")</f>
        <v/>
      </c>
      <c r="AA266" s="39" t="str">
        <f>IFERROR(final!AL64*100/final!$I64,"")</f>
        <v/>
      </c>
      <c r="AB266" s="39" t="str">
        <f>IFERROR(final!AM64*100/final!$I64,"")</f>
        <v/>
      </c>
      <c r="AC266" s="39" t="str">
        <f>IFERROR(final!AN64*100/final!$I64,"")</f>
        <v/>
      </c>
      <c r="AD266" s="39" t="str">
        <f>IFERROR(final!AO64*100/final!$I64,"")</f>
        <v/>
      </c>
      <c r="AE266" s="39" t="str">
        <f>IFERROR(final!AP64*100/final!$I64,"")</f>
        <v/>
      </c>
      <c r="AF266" s="39" t="str">
        <f>IFERROR(final!AQ64*100/final!$I64,"")</f>
        <v/>
      </c>
      <c r="AG266" s="39" t="str">
        <f>IFERROR(final!AR64*100/final!$I64,"")</f>
        <v/>
      </c>
      <c r="AH266" s="39" t="str">
        <f>IFERROR(final!AS64*100/final!$I64,"")</f>
        <v/>
      </c>
      <c r="AI266" s="39" t="str">
        <f>IFERROR(final!AT64*100/final!$I64,"")</f>
        <v/>
      </c>
      <c r="AJ266" s="39" t="str">
        <f>IFERROR(final!AU64*100/final!$I64,"")</f>
        <v/>
      </c>
      <c r="AK266" s="39" t="str">
        <f>IFERROR(final!AV64*100/final!$I64,"")</f>
        <v/>
      </c>
      <c r="AL266" s="39" t="str">
        <f>IFERROR(final!AW64*100/final!$I64,"")</f>
        <v/>
      </c>
      <c r="AM266" s="39" t="str">
        <f>IFERROR(final!AX64*100/final!$I64,"")</f>
        <v/>
      </c>
      <c r="AN266" s="39" t="str">
        <f>IFERROR(final!AY64*100/final!$I64,"")</f>
        <v/>
      </c>
      <c r="AO266" s="39" t="str">
        <f>IFERROR(final!AZ64*100/final!$I64,"")</f>
        <v/>
      </c>
      <c r="AP266" s="39" t="str">
        <f>IFERROR(final!BA64*100/final!$I64,"")</f>
        <v/>
      </c>
      <c r="AQ266" s="39" t="str">
        <f>IFERROR(final!BB64*100/final!$I64,"")</f>
        <v/>
      </c>
      <c r="AR266" s="39" t="str">
        <f>IFERROR(final!BC64*100/final!$I64,"")</f>
        <v/>
      </c>
      <c r="AS266" s="39" t="str">
        <f>IFERROR(final!BD64*100/final!$I64,"")</f>
        <v/>
      </c>
      <c r="AT266" s="39" t="str">
        <f>IFERROR(final!BE64*100/final!$I64,"")</f>
        <v/>
      </c>
      <c r="AU266" s="39" t="str">
        <f>IFERROR(final!BF64*100/final!$I64,"")</f>
        <v/>
      </c>
      <c r="AV266" s="39" t="str">
        <f>IFERROR(final!BG64*100/final!$I64,"")</f>
        <v/>
      </c>
      <c r="AW266" s="39" t="str">
        <f>IFERROR(final!BH64*100/final!$I64,"")</f>
        <v/>
      </c>
      <c r="AX266" s="39" t="str">
        <f>IFERROR(final!BI64*100/final!$I64,"")</f>
        <v/>
      </c>
      <c r="AY266" s="39" t="str">
        <f>IFERROR(final!BJ64*100/final!$I64,"")</f>
        <v/>
      </c>
      <c r="AZ266" s="39" t="str">
        <f>IFERROR(final!BK64*100/final!$I64,"")</f>
        <v/>
      </c>
      <c r="BA266" s="39" t="str">
        <f>IFERROR(final!BL64*100/final!$I64,"")</f>
        <v/>
      </c>
      <c r="BB266" s="39" t="str">
        <f>IFERROR(final!BM64*100/final!$I64,"")</f>
        <v/>
      </c>
      <c r="BC266" s="39" t="str">
        <f>IFERROR(final!BN64*100/final!$I64,"")</f>
        <v/>
      </c>
      <c r="BD266" s="39" t="str">
        <f>IFERROR(final!BO64*100/final!$I64,"")</f>
        <v/>
      </c>
      <c r="BE266" s="39" t="str">
        <f>IFERROR(final!BP64*100/final!$I64,"")</f>
        <v/>
      </c>
      <c r="BF266" s="39" t="str">
        <f>IFERROR(final!BQ64*100/final!$I64,"")</f>
        <v/>
      </c>
      <c r="BG266" s="39" t="str">
        <f>IFERROR(final!BR64*100/final!$I64,"")</f>
        <v/>
      </c>
      <c r="BH266" s="39" t="str">
        <f>IFERROR(final!BS64*100/final!$I64,"")</f>
        <v/>
      </c>
      <c r="BI266" s="39" t="str">
        <f>IFERROR(final!BT64*100/final!$I64,"")</f>
        <v/>
      </c>
      <c r="BJ266" s="39" t="str">
        <f>IFERROR(final!BU64*100/final!$I64,"")</f>
        <v/>
      </c>
      <c r="BK266" s="39" t="str">
        <f>IFERROR(final!BV64*100/final!$I64,"")</f>
        <v/>
      </c>
      <c r="BL266" s="39" t="str">
        <f>IFERROR(final!BW64*100/final!$I64,"")</f>
        <v/>
      </c>
      <c r="BM266" s="39" t="str">
        <f>IFERROR(final!BX64*100/final!$I64,"")</f>
        <v/>
      </c>
      <c r="BN266" s="39" t="str">
        <f>IFERROR(final!BY64*100/final!$I64,"")</f>
        <v/>
      </c>
      <c r="BO266" s="39" t="str">
        <f>IFERROR(final!BZ64*100/final!$I64,"")</f>
        <v/>
      </c>
      <c r="BP266" s="39" t="str">
        <f>IFERROR(final!CA64*100/final!$I64,"")</f>
        <v/>
      </c>
      <c r="BQ266" s="39" t="str">
        <f>IFERROR(final!CB64*100/final!$I64,"")</f>
        <v/>
      </c>
      <c r="BR266" s="39" t="str">
        <f>IFERROR(final!CC64*100/final!$I64,"")</f>
        <v/>
      </c>
      <c r="BS266" s="39" t="str">
        <f>IFERROR(final!CD64*100/final!$I64,"")</f>
        <v/>
      </c>
      <c r="BT266" s="39" t="str">
        <f>IFERROR(final!CE64*100/final!$I64,"")</f>
        <v/>
      </c>
      <c r="BU266" s="39" t="str">
        <f>IFERROR(final!CF64*100/final!$I64,"")</f>
        <v/>
      </c>
      <c r="BV266" s="39" t="str">
        <f>IFERROR(final!CG64*100/final!$I64,"")</f>
        <v/>
      </c>
      <c r="BW266" s="39" t="str">
        <f>IFERROR(final!CH64*100/final!$I64,"")</f>
        <v/>
      </c>
      <c r="BX266" s="39" t="str">
        <f>IFERROR(final!CI64*100/final!$I64,"")</f>
        <v/>
      </c>
      <c r="BY266" s="39" t="str">
        <f>IFERROR(final!CJ64*100/final!$I64,"")</f>
        <v/>
      </c>
      <c r="BZ266" s="39" t="str">
        <f>IFERROR(final!CK64*100/final!$I64,"")</f>
        <v/>
      </c>
      <c r="CA266" s="39" t="str">
        <f>IFERROR(final!CL64*100/final!$I64,"")</f>
        <v/>
      </c>
      <c r="CB266" s="39" t="str">
        <f>IFERROR(final!CM64*100/final!$I64,"")</f>
        <v/>
      </c>
      <c r="CC266" s="39" t="str">
        <f>IFERROR(final!CN64*100/final!$I64,"")</f>
        <v/>
      </c>
      <c r="CD266" s="39" t="str">
        <f>IFERROR(final!CO64*100/final!$I64,"")</f>
        <v/>
      </c>
      <c r="CE266" s="39" t="str">
        <f>IFERROR(final!CP64*100/final!$I64,"")</f>
        <v/>
      </c>
      <c r="CF266" s="39" t="str">
        <f>IFERROR(final!CQ64*100/final!$I64,"")</f>
        <v/>
      </c>
      <c r="CG266" s="39" t="str">
        <f>IFERROR(final!CR64*100/final!$I64,"")</f>
        <v/>
      </c>
      <c r="CH266" s="39" t="str">
        <f>IFERROR(final!CS64*100/final!$I64,"")</f>
        <v/>
      </c>
      <c r="CI266" s="39" t="str">
        <f>IFERROR(final!CT64*100/final!$I64,"")</f>
        <v/>
      </c>
      <c r="CJ266" s="39" t="str">
        <f>IFERROR(final!CU64*100/final!$I64,"")</f>
        <v/>
      </c>
      <c r="CK266" s="39" t="str">
        <f>IFERROR(final!CV64*100/final!$I64,"")</f>
        <v/>
      </c>
      <c r="CL266" s="39" t="str">
        <f>IFERROR(final!CW64*100/final!$I64,"")</f>
        <v/>
      </c>
      <c r="CM266" s="39" t="str">
        <f>IFERROR(final!CX64*100/final!$I64,"")</f>
        <v/>
      </c>
      <c r="CN266" s="39" t="str">
        <f>IFERROR(final!CY64*100/final!$I64,"")</f>
        <v/>
      </c>
      <c r="CO266" s="39" t="str">
        <f>IFERROR(final!CZ64*100/final!$I64,"")</f>
        <v/>
      </c>
      <c r="CP266" s="39" t="str">
        <f>IFERROR(final!DA64*100/final!$I64,"")</f>
        <v/>
      </c>
      <c r="CQ266" s="39" t="str">
        <f>IFERROR(final!DB64*100/final!$I64,"")</f>
        <v/>
      </c>
      <c r="CR266" s="39" t="str">
        <f>IFERROR(final!DC64*100/final!$I64,"")</f>
        <v/>
      </c>
      <c r="CS266" s="39" t="str">
        <f>IFERROR(final!DD64*100/final!$I64,"")</f>
        <v/>
      </c>
      <c r="CT266" s="39" t="str">
        <f>IFERROR(final!DE64*100/final!$I64,"")</f>
        <v/>
      </c>
      <c r="CU266" s="39" t="str">
        <f>IFERROR(final!DF64*100/final!$I64,"")</f>
        <v/>
      </c>
      <c r="CV266" s="39" t="str">
        <f>IFERROR(final!DG64*100/final!$I64,"")</f>
        <v/>
      </c>
      <c r="CW266" s="32" t="str">
        <f>IFERROR(SUM(A266:CV266)/final!$DH$103,"")</f>
        <v/>
      </c>
      <c r="CX266" s="14" t="str">
        <f>IF(COUNTA(final!A64),final!A64,"")</f>
        <v/>
      </c>
      <c r="CY266" s="14" t="str">
        <f>IF(COUNTA(final!B64),final!B64,"")</f>
        <v/>
      </c>
      <c r="CZ266" s="14" t="str">
        <f>IF(COUNTA(final!C64),final!C64,"")</f>
        <v/>
      </c>
      <c r="DA266" s="14" t="str">
        <f>IF(COUNTA(final!D64),final!D64,"")</f>
        <v/>
      </c>
      <c r="DB266" s="14" t="str">
        <f>IF(COUNTA(final!E64),final!E64,"")</f>
        <v/>
      </c>
      <c r="DC266" s="14" t="str">
        <f>IF(COUNTA(final!F64),final!F64,"")</f>
        <v/>
      </c>
      <c r="DD266" s="14" t="str">
        <f>IF(COUNTA(final!G64),final!G64,"")</f>
        <v/>
      </c>
      <c r="DE266" s="14" t="str">
        <f>IF(COUNTA(final!H64),final!H64,"")</f>
        <v/>
      </c>
    </row>
    <row r="267" spans="1:109" x14ac:dyDescent="0.2">
      <c r="A267" s="39" t="str">
        <f>IFERROR(final!L65*100/final!$I65,"")</f>
        <v/>
      </c>
      <c r="B267" s="39" t="str">
        <f>IFERROR(final!M65*100/final!$I65,"")</f>
        <v/>
      </c>
      <c r="C267" s="39" t="str">
        <f>IFERROR(final!N65*100/final!$I65,"")</f>
        <v/>
      </c>
      <c r="D267" s="39" t="str">
        <f>IFERROR(final!O65*100/final!$I65,"")</f>
        <v/>
      </c>
      <c r="E267" s="39" t="str">
        <f>IFERROR(final!P65*100/final!$I65,"")</f>
        <v/>
      </c>
      <c r="F267" s="39" t="str">
        <f>IFERROR(final!Q65*100/final!$I65,"")</f>
        <v/>
      </c>
      <c r="G267" s="39" t="str">
        <f>IFERROR(final!R65*100/final!$I65,"")</f>
        <v/>
      </c>
      <c r="H267" s="39" t="str">
        <f>IFERROR(final!S65*100/final!$I65,"")</f>
        <v/>
      </c>
      <c r="I267" s="39" t="str">
        <f>IFERROR(final!T65*100/final!$I65,"")</f>
        <v/>
      </c>
      <c r="J267" s="39" t="str">
        <f>IFERROR(final!U65*100/final!$I65,"")</f>
        <v/>
      </c>
      <c r="K267" s="39" t="str">
        <f>IFERROR(final!V65*100/final!$I65,"")</f>
        <v/>
      </c>
      <c r="L267" s="39" t="str">
        <f>IFERROR(final!W65*100/final!$I65,"")</f>
        <v/>
      </c>
      <c r="M267" s="39" t="str">
        <f>IFERROR(final!X65*100/final!$I65,"")</f>
        <v/>
      </c>
      <c r="N267" s="39" t="str">
        <f>IFERROR(final!Y65*100/final!$I65,"")</f>
        <v/>
      </c>
      <c r="O267" s="39" t="str">
        <f>IFERROR(final!Z65*100/final!$I65,"")</f>
        <v/>
      </c>
      <c r="P267" s="39" t="str">
        <f>IFERROR(final!AA65*100/final!$I65,"")</f>
        <v/>
      </c>
      <c r="Q267" s="39" t="str">
        <f>IFERROR(final!AB65*100/final!$I65,"")</f>
        <v/>
      </c>
      <c r="R267" s="39" t="str">
        <f>IFERROR(final!AC65*100/final!$I65,"")</f>
        <v/>
      </c>
      <c r="S267" s="39" t="str">
        <f>IFERROR(final!AD65*100/final!$I65,"")</f>
        <v/>
      </c>
      <c r="T267" s="39" t="str">
        <f>IFERROR(final!AE65*100/final!$I65,"")</f>
        <v/>
      </c>
      <c r="U267" s="39" t="str">
        <f>IFERROR(final!AF65*100/final!$I65,"")</f>
        <v/>
      </c>
      <c r="V267" s="39" t="str">
        <f>IFERROR(final!AG65*100/final!$I65,"")</f>
        <v/>
      </c>
      <c r="W267" s="39" t="str">
        <f>IFERROR(final!AH65*100/final!$I65,"")</f>
        <v/>
      </c>
      <c r="X267" s="39" t="str">
        <f>IFERROR(final!AI65*100/final!$I65,"")</f>
        <v/>
      </c>
      <c r="Y267" s="39" t="str">
        <f>IFERROR(final!AJ65*100/final!$I65,"")</f>
        <v/>
      </c>
      <c r="Z267" s="39" t="str">
        <f>IFERROR(final!AK65*100/final!$I65,"")</f>
        <v/>
      </c>
      <c r="AA267" s="39" t="str">
        <f>IFERROR(final!AL65*100/final!$I65,"")</f>
        <v/>
      </c>
      <c r="AB267" s="39" t="str">
        <f>IFERROR(final!AM65*100/final!$I65,"")</f>
        <v/>
      </c>
      <c r="AC267" s="39" t="str">
        <f>IFERROR(final!AN65*100/final!$I65,"")</f>
        <v/>
      </c>
      <c r="AD267" s="39" t="str">
        <f>IFERROR(final!AO65*100/final!$I65,"")</f>
        <v/>
      </c>
      <c r="AE267" s="39" t="str">
        <f>IFERROR(final!AP65*100/final!$I65,"")</f>
        <v/>
      </c>
      <c r="AF267" s="39" t="str">
        <f>IFERROR(final!AQ65*100/final!$I65,"")</f>
        <v/>
      </c>
      <c r="AG267" s="39" t="str">
        <f>IFERROR(final!AR65*100/final!$I65,"")</f>
        <v/>
      </c>
      <c r="AH267" s="39" t="str">
        <f>IFERROR(final!AS65*100/final!$I65,"")</f>
        <v/>
      </c>
      <c r="AI267" s="39" t="str">
        <f>IFERROR(final!AT65*100/final!$I65,"")</f>
        <v/>
      </c>
      <c r="AJ267" s="39" t="str">
        <f>IFERROR(final!AU65*100/final!$I65,"")</f>
        <v/>
      </c>
      <c r="AK267" s="39" t="str">
        <f>IFERROR(final!AV65*100/final!$I65,"")</f>
        <v/>
      </c>
      <c r="AL267" s="39" t="str">
        <f>IFERROR(final!AW65*100/final!$I65,"")</f>
        <v/>
      </c>
      <c r="AM267" s="39" t="str">
        <f>IFERROR(final!AX65*100/final!$I65,"")</f>
        <v/>
      </c>
      <c r="AN267" s="39" t="str">
        <f>IFERROR(final!AY65*100/final!$I65,"")</f>
        <v/>
      </c>
      <c r="AO267" s="39" t="str">
        <f>IFERROR(final!AZ65*100/final!$I65,"")</f>
        <v/>
      </c>
      <c r="AP267" s="39" t="str">
        <f>IFERROR(final!BA65*100/final!$I65,"")</f>
        <v/>
      </c>
      <c r="AQ267" s="39" t="str">
        <f>IFERROR(final!BB65*100/final!$I65,"")</f>
        <v/>
      </c>
      <c r="AR267" s="39" t="str">
        <f>IFERROR(final!BC65*100/final!$I65,"")</f>
        <v/>
      </c>
      <c r="AS267" s="39" t="str">
        <f>IFERROR(final!BD65*100/final!$I65,"")</f>
        <v/>
      </c>
      <c r="AT267" s="39" t="str">
        <f>IFERROR(final!BE65*100/final!$I65,"")</f>
        <v/>
      </c>
      <c r="AU267" s="39" t="str">
        <f>IFERROR(final!BF65*100/final!$I65,"")</f>
        <v/>
      </c>
      <c r="AV267" s="39" t="str">
        <f>IFERROR(final!BG65*100/final!$I65,"")</f>
        <v/>
      </c>
      <c r="AW267" s="39" t="str">
        <f>IFERROR(final!BH65*100/final!$I65,"")</f>
        <v/>
      </c>
      <c r="AX267" s="39" t="str">
        <f>IFERROR(final!BI65*100/final!$I65,"")</f>
        <v/>
      </c>
      <c r="AY267" s="39" t="str">
        <f>IFERROR(final!BJ65*100/final!$I65,"")</f>
        <v/>
      </c>
      <c r="AZ267" s="39" t="str">
        <f>IFERROR(final!BK65*100/final!$I65,"")</f>
        <v/>
      </c>
      <c r="BA267" s="39" t="str">
        <f>IFERROR(final!BL65*100/final!$I65,"")</f>
        <v/>
      </c>
      <c r="BB267" s="39" t="str">
        <f>IFERROR(final!BM65*100/final!$I65,"")</f>
        <v/>
      </c>
      <c r="BC267" s="39" t="str">
        <f>IFERROR(final!BN65*100/final!$I65,"")</f>
        <v/>
      </c>
      <c r="BD267" s="39" t="str">
        <f>IFERROR(final!BO65*100/final!$I65,"")</f>
        <v/>
      </c>
      <c r="BE267" s="39" t="str">
        <f>IFERROR(final!BP65*100/final!$I65,"")</f>
        <v/>
      </c>
      <c r="BF267" s="39" t="str">
        <f>IFERROR(final!BQ65*100/final!$I65,"")</f>
        <v/>
      </c>
      <c r="BG267" s="39" t="str">
        <f>IFERROR(final!BR65*100/final!$I65,"")</f>
        <v/>
      </c>
      <c r="BH267" s="39" t="str">
        <f>IFERROR(final!BS65*100/final!$I65,"")</f>
        <v/>
      </c>
      <c r="BI267" s="39" t="str">
        <f>IFERROR(final!BT65*100/final!$I65,"")</f>
        <v/>
      </c>
      <c r="BJ267" s="39" t="str">
        <f>IFERROR(final!BU65*100/final!$I65,"")</f>
        <v/>
      </c>
      <c r="BK267" s="39" t="str">
        <f>IFERROR(final!BV65*100/final!$I65,"")</f>
        <v/>
      </c>
      <c r="BL267" s="39" t="str">
        <f>IFERROR(final!BW65*100/final!$I65,"")</f>
        <v/>
      </c>
      <c r="BM267" s="39" t="str">
        <f>IFERROR(final!BX65*100/final!$I65,"")</f>
        <v/>
      </c>
      <c r="BN267" s="39" t="str">
        <f>IFERROR(final!BY65*100/final!$I65,"")</f>
        <v/>
      </c>
      <c r="BO267" s="39" t="str">
        <f>IFERROR(final!BZ65*100/final!$I65,"")</f>
        <v/>
      </c>
      <c r="BP267" s="39" t="str">
        <f>IFERROR(final!CA65*100/final!$I65,"")</f>
        <v/>
      </c>
      <c r="BQ267" s="39" t="str">
        <f>IFERROR(final!CB65*100/final!$I65,"")</f>
        <v/>
      </c>
      <c r="BR267" s="39" t="str">
        <f>IFERROR(final!CC65*100/final!$I65,"")</f>
        <v/>
      </c>
      <c r="BS267" s="39" t="str">
        <f>IFERROR(final!CD65*100/final!$I65,"")</f>
        <v/>
      </c>
      <c r="BT267" s="39" t="str">
        <f>IFERROR(final!CE65*100/final!$I65,"")</f>
        <v/>
      </c>
      <c r="BU267" s="39" t="str">
        <f>IFERROR(final!CF65*100/final!$I65,"")</f>
        <v/>
      </c>
      <c r="BV267" s="39" t="str">
        <f>IFERROR(final!CG65*100/final!$I65,"")</f>
        <v/>
      </c>
      <c r="BW267" s="39" t="str">
        <f>IFERROR(final!CH65*100/final!$I65,"")</f>
        <v/>
      </c>
      <c r="BX267" s="39" t="str">
        <f>IFERROR(final!CI65*100/final!$I65,"")</f>
        <v/>
      </c>
      <c r="BY267" s="39" t="str">
        <f>IFERROR(final!CJ65*100/final!$I65,"")</f>
        <v/>
      </c>
      <c r="BZ267" s="39" t="str">
        <f>IFERROR(final!CK65*100/final!$I65,"")</f>
        <v/>
      </c>
      <c r="CA267" s="39" t="str">
        <f>IFERROR(final!CL65*100/final!$I65,"")</f>
        <v/>
      </c>
      <c r="CB267" s="39" t="str">
        <f>IFERROR(final!CM65*100/final!$I65,"")</f>
        <v/>
      </c>
      <c r="CC267" s="39" t="str">
        <f>IFERROR(final!CN65*100/final!$I65,"")</f>
        <v/>
      </c>
      <c r="CD267" s="39" t="str">
        <f>IFERROR(final!CO65*100/final!$I65,"")</f>
        <v/>
      </c>
      <c r="CE267" s="39" t="str">
        <f>IFERROR(final!CP65*100/final!$I65,"")</f>
        <v/>
      </c>
      <c r="CF267" s="39" t="str">
        <f>IFERROR(final!CQ65*100/final!$I65,"")</f>
        <v/>
      </c>
      <c r="CG267" s="39" t="str">
        <f>IFERROR(final!CR65*100/final!$I65,"")</f>
        <v/>
      </c>
      <c r="CH267" s="39" t="str">
        <f>IFERROR(final!CS65*100/final!$I65,"")</f>
        <v/>
      </c>
      <c r="CI267" s="39" t="str">
        <f>IFERROR(final!CT65*100/final!$I65,"")</f>
        <v/>
      </c>
      <c r="CJ267" s="39" t="str">
        <f>IFERROR(final!CU65*100/final!$I65,"")</f>
        <v/>
      </c>
      <c r="CK267" s="39" t="str">
        <f>IFERROR(final!CV65*100/final!$I65,"")</f>
        <v/>
      </c>
      <c r="CL267" s="39" t="str">
        <f>IFERROR(final!CW65*100/final!$I65,"")</f>
        <v/>
      </c>
      <c r="CM267" s="39" t="str">
        <f>IFERROR(final!CX65*100/final!$I65,"")</f>
        <v/>
      </c>
      <c r="CN267" s="39" t="str">
        <f>IFERROR(final!CY65*100/final!$I65,"")</f>
        <v/>
      </c>
      <c r="CO267" s="39" t="str">
        <f>IFERROR(final!CZ65*100/final!$I65,"")</f>
        <v/>
      </c>
      <c r="CP267" s="39" t="str">
        <f>IFERROR(final!DA65*100/final!$I65,"")</f>
        <v/>
      </c>
      <c r="CQ267" s="39" t="str">
        <f>IFERROR(final!DB65*100/final!$I65,"")</f>
        <v/>
      </c>
      <c r="CR267" s="39" t="str">
        <f>IFERROR(final!DC65*100/final!$I65,"")</f>
        <v/>
      </c>
      <c r="CS267" s="39" t="str">
        <f>IFERROR(final!DD65*100/final!$I65,"")</f>
        <v/>
      </c>
      <c r="CT267" s="39" t="str">
        <f>IFERROR(final!DE65*100/final!$I65,"")</f>
        <v/>
      </c>
      <c r="CU267" s="39" t="str">
        <f>IFERROR(final!DF65*100/final!$I65,"")</f>
        <v/>
      </c>
      <c r="CV267" s="39" t="str">
        <f>IFERROR(final!DG65*100/final!$I65,"")</f>
        <v/>
      </c>
      <c r="CW267" s="32" t="str">
        <f>IFERROR(SUM(A267:CV267)/final!$DH$103,"")</f>
        <v/>
      </c>
      <c r="CX267" s="14" t="str">
        <f>IF(COUNTA(final!A65),final!A65,"")</f>
        <v/>
      </c>
      <c r="CY267" s="14" t="str">
        <f>IF(COUNTA(final!B65),final!B65,"")</f>
        <v/>
      </c>
      <c r="CZ267" s="14" t="str">
        <f>IF(COUNTA(final!C65),final!C65,"")</f>
        <v/>
      </c>
      <c r="DA267" s="14" t="str">
        <f>IF(COUNTA(final!D65),final!D65,"")</f>
        <v/>
      </c>
      <c r="DB267" s="14" t="str">
        <f>IF(COUNTA(final!E65),final!E65,"")</f>
        <v/>
      </c>
      <c r="DC267" s="14" t="str">
        <f>IF(COUNTA(final!F65),final!F65,"")</f>
        <v/>
      </c>
      <c r="DD267" s="14" t="str">
        <f>IF(COUNTA(final!G65),final!G65,"")</f>
        <v/>
      </c>
      <c r="DE267" s="14" t="str">
        <f>IF(COUNTA(final!H65),final!H65,"")</f>
        <v/>
      </c>
    </row>
    <row r="268" spans="1:109" x14ac:dyDescent="0.2">
      <c r="A268" s="39" t="str">
        <f>IFERROR(final!L66*100/final!$I66,"")</f>
        <v/>
      </c>
      <c r="B268" s="39" t="str">
        <f>IFERROR(final!M66*100/final!$I66,"")</f>
        <v/>
      </c>
      <c r="C268" s="39" t="str">
        <f>IFERROR(final!N66*100/final!$I66,"")</f>
        <v/>
      </c>
      <c r="D268" s="39" t="str">
        <f>IFERROR(final!O66*100/final!$I66,"")</f>
        <v/>
      </c>
      <c r="E268" s="39" t="str">
        <f>IFERROR(final!P66*100/final!$I66,"")</f>
        <v/>
      </c>
      <c r="F268" s="39" t="str">
        <f>IFERROR(final!Q66*100/final!$I66,"")</f>
        <v/>
      </c>
      <c r="G268" s="39" t="str">
        <f>IFERROR(final!R66*100/final!$I66,"")</f>
        <v/>
      </c>
      <c r="H268" s="39" t="str">
        <f>IFERROR(final!S66*100/final!$I66,"")</f>
        <v/>
      </c>
      <c r="I268" s="39" t="str">
        <f>IFERROR(final!T66*100/final!$I66,"")</f>
        <v/>
      </c>
      <c r="J268" s="39" t="str">
        <f>IFERROR(final!U66*100/final!$I66,"")</f>
        <v/>
      </c>
      <c r="K268" s="39" t="str">
        <f>IFERROR(final!V66*100/final!$I66,"")</f>
        <v/>
      </c>
      <c r="L268" s="39" t="str">
        <f>IFERROR(final!W66*100/final!$I66,"")</f>
        <v/>
      </c>
      <c r="M268" s="39" t="str">
        <f>IFERROR(final!X66*100/final!$I66,"")</f>
        <v/>
      </c>
      <c r="N268" s="39" t="str">
        <f>IFERROR(final!Y66*100/final!$I66,"")</f>
        <v/>
      </c>
      <c r="O268" s="39" t="str">
        <f>IFERROR(final!Z66*100/final!$I66,"")</f>
        <v/>
      </c>
      <c r="P268" s="39" t="str">
        <f>IFERROR(final!AA66*100/final!$I66,"")</f>
        <v/>
      </c>
      <c r="Q268" s="39" t="str">
        <f>IFERROR(final!AB66*100/final!$I66,"")</f>
        <v/>
      </c>
      <c r="R268" s="39" t="str">
        <f>IFERROR(final!AC66*100/final!$I66,"")</f>
        <v/>
      </c>
      <c r="S268" s="39" t="str">
        <f>IFERROR(final!AD66*100/final!$I66,"")</f>
        <v/>
      </c>
      <c r="T268" s="39" t="str">
        <f>IFERROR(final!AE66*100/final!$I66,"")</f>
        <v/>
      </c>
      <c r="U268" s="39" t="str">
        <f>IFERROR(final!AF66*100/final!$I66,"")</f>
        <v/>
      </c>
      <c r="V268" s="39" t="str">
        <f>IFERROR(final!AG66*100/final!$I66,"")</f>
        <v/>
      </c>
      <c r="W268" s="39" t="str">
        <f>IFERROR(final!AH66*100/final!$I66,"")</f>
        <v/>
      </c>
      <c r="X268" s="39" t="str">
        <f>IFERROR(final!AI66*100/final!$I66,"")</f>
        <v/>
      </c>
      <c r="Y268" s="39" t="str">
        <f>IFERROR(final!AJ66*100/final!$I66,"")</f>
        <v/>
      </c>
      <c r="Z268" s="39" t="str">
        <f>IFERROR(final!AK66*100/final!$I66,"")</f>
        <v/>
      </c>
      <c r="AA268" s="39" t="str">
        <f>IFERROR(final!AL66*100/final!$I66,"")</f>
        <v/>
      </c>
      <c r="AB268" s="39" t="str">
        <f>IFERROR(final!AM66*100/final!$I66,"")</f>
        <v/>
      </c>
      <c r="AC268" s="39" t="str">
        <f>IFERROR(final!AN66*100/final!$I66,"")</f>
        <v/>
      </c>
      <c r="AD268" s="39" t="str">
        <f>IFERROR(final!AO66*100/final!$I66,"")</f>
        <v/>
      </c>
      <c r="AE268" s="39" t="str">
        <f>IFERROR(final!AP66*100/final!$I66,"")</f>
        <v/>
      </c>
      <c r="AF268" s="39" t="str">
        <f>IFERROR(final!AQ66*100/final!$I66,"")</f>
        <v/>
      </c>
      <c r="AG268" s="39" t="str">
        <f>IFERROR(final!AR66*100/final!$I66,"")</f>
        <v/>
      </c>
      <c r="AH268" s="39" t="str">
        <f>IFERROR(final!AS66*100/final!$I66,"")</f>
        <v/>
      </c>
      <c r="AI268" s="39" t="str">
        <f>IFERROR(final!AT66*100/final!$I66,"")</f>
        <v/>
      </c>
      <c r="AJ268" s="39" t="str">
        <f>IFERROR(final!AU66*100/final!$I66,"")</f>
        <v/>
      </c>
      <c r="AK268" s="39" t="str">
        <f>IFERROR(final!AV66*100/final!$I66,"")</f>
        <v/>
      </c>
      <c r="AL268" s="39" t="str">
        <f>IFERROR(final!AW66*100/final!$I66,"")</f>
        <v/>
      </c>
      <c r="AM268" s="39" t="str">
        <f>IFERROR(final!AX66*100/final!$I66,"")</f>
        <v/>
      </c>
      <c r="AN268" s="39" t="str">
        <f>IFERROR(final!AY66*100/final!$I66,"")</f>
        <v/>
      </c>
      <c r="AO268" s="39" t="str">
        <f>IFERROR(final!AZ66*100/final!$I66,"")</f>
        <v/>
      </c>
      <c r="AP268" s="39" t="str">
        <f>IFERROR(final!BA66*100/final!$I66,"")</f>
        <v/>
      </c>
      <c r="AQ268" s="39" t="str">
        <f>IFERROR(final!BB66*100/final!$I66,"")</f>
        <v/>
      </c>
      <c r="AR268" s="39" t="str">
        <f>IFERROR(final!BC66*100/final!$I66,"")</f>
        <v/>
      </c>
      <c r="AS268" s="39" t="str">
        <f>IFERROR(final!BD66*100/final!$I66,"")</f>
        <v/>
      </c>
      <c r="AT268" s="39" t="str">
        <f>IFERROR(final!BE66*100/final!$I66,"")</f>
        <v/>
      </c>
      <c r="AU268" s="39" t="str">
        <f>IFERROR(final!BF66*100/final!$I66,"")</f>
        <v/>
      </c>
      <c r="AV268" s="39" t="str">
        <f>IFERROR(final!BG66*100/final!$I66,"")</f>
        <v/>
      </c>
      <c r="AW268" s="39" t="str">
        <f>IFERROR(final!BH66*100/final!$I66,"")</f>
        <v/>
      </c>
      <c r="AX268" s="39" t="str">
        <f>IFERROR(final!BI66*100/final!$I66,"")</f>
        <v/>
      </c>
      <c r="AY268" s="39" t="str">
        <f>IFERROR(final!BJ66*100/final!$I66,"")</f>
        <v/>
      </c>
      <c r="AZ268" s="39" t="str">
        <f>IFERROR(final!BK66*100/final!$I66,"")</f>
        <v/>
      </c>
      <c r="BA268" s="39" t="str">
        <f>IFERROR(final!BL66*100/final!$I66,"")</f>
        <v/>
      </c>
      <c r="BB268" s="39" t="str">
        <f>IFERROR(final!BM66*100/final!$I66,"")</f>
        <v/>
      </c>
      <c r="BC268" s="39" t="str">
        <f>IFERROR(final!BN66*100/final!$I66,"")</f>
        <v/>
      </c>
      <c r="BD268" s="39" t="str">
        <f>IFERROR(final!BO66*100/final!$I66,"")</f>
        <v/>
      </c>
      <c r="BE268" s="39" t="str">
        <f>IFERROR(final!BP66*100/final!$I66,"")</f>
        <v/>
      </c>
      <c r="BF268" s="39" t="str">
        <f>IFERROR(final!BQ66*100/final!$I66,"")</f>
        <v/>
      </c>
      <c r="BG268" s="39" t="str">
        <f>IFERROR(final!BR66*100/final!$I66,"")</f>
        <v/>
      </c>
      <c r="BH268" s="39" t="str">
        <f>IFERROR(final!BS66*100/final!$I66,"")</f>
        <v/>
      </c>
      <c r="BI268" s="39" t="str">
        <f>IFERROR(final!BT66*100/final!$I66,"")</f>
        <v/>
      </c>
      <c r="BJ268" s="39" t="str">
        <f>IFERROR(final!BU66*100/final!$I66,"")</f>
        <v/>
      </c>
      <c r="BK268" s="39" t="str">
        <f>IFERROR(final!BV66*100/final!$I66,"")</f>
        <v/>
      </c>
      <c r="BL268" s="39" t="str">
        <f>IFERROR(final!BW66*100/final!$I66,"")</f>
        <v/>
      </c>
      <c r="BM268" s="39" t="str">
        <f>IFERROR(final!BX66*100/final!$I66,"")</f>
        <v/>
      </c>
      <c r="BN268" s="39" t="str">
        <f>IFERROR(final!BY66*100/final!$I66,"")</f>
        <v/>
      </c>
      <c r="BO268" s="39" t="str">
        <f>IFERROR(final!BZ66*100/final!$I66,"")</f>
        <v/>
      </c>
      <c r="BP268" s="39" t="str">
        <f>IFERROR(final!CA66*100/final!$I66,"")</f>
        <v/>
      </c>
      <c r="BQ268" s="39" t="str">
        <f>IFERROR(final!CB66*100/final!$I66,"")</f>
        <v/>
      </c>
      <c r="BR268" s="39" t="str">
        <f>IFERROR(final!CC66*100/final!$I66,"")</f>
        <v/>
      </c>
      <c r="BS268" s="39" t="str">
        <f>IFERROR(final!CD66*100/final!$I66,"")</f>
        <v/>
      </c>
      <c r="BT268" s="39" t="str">
        <f>IFERROR(final!CE66*100/final!$I66,"")</f>
        <v/>
      </c>
      <c r="BU268" s="39" t="str">
        <f>IFERROR(final!CF66*100/final!$I66,"")</f>
        <v/>
      </c>
      <c r="BV268" s="39" t="str">
        <f>IFERROR(final!CG66*100/final!$I66,"")</f>
        <v/>
      </c>
      <c r="BW268" s="39" t="str">
        <f>IFERROR(final!CH66*100/final!$I66,"")</f>
        <v/>
      </c>
      <c r="BX268" s="39" t="str">
        <f>IFERROR(final!CI66*100/final!$I66,"")</f>
        <v/>
      </c>
      <c r="BY268" s="39" t="str">
        <f>IFERROR(final!CJ66*100/final!$I66,"")</f>
        <v/>
      </c>
      <c r="BZ268" s="39" t="str">
        <f>IFERROR(final!CK66*100/final!$I66,"")</f>
        <v/>
      </c>
      <c r="CA268" s="39" t="str">
        <f>IFERROR(final!CL66*100/final!$I66,"")</f>
        <v/>
      </c>
      <c r="CB268" s="39" t="str">
        <f>IFERROR(final!CM66*100/final!$I66,"")</f>
        <v/>
      </c>
      <c r="CC268" s="39" t="str">
        <f>IFERROR(final!CN66*100/final!$I66,"")</f>
        <v/>
      </c>
      <c r="CD268" s="39" t="str">
        <f>IFERROR(final!CO66*100/final!$I66,"")</f>
        <v/>
      </c>
      <c r="CE268" s="39" t="str">
        <f>IFERROR(final!CP66*100/final!$I66,"")</f>
        <v/>
      </c>
      <c r="CF268" s="39" t="str">
        <f>IFERROR(final!CQ66*100/final!$I66,"")</f>
        <v/>
      </c>
      <c r="CG268" s="39" t="str">
        <f>IFERROR(final!CR66*100/final!$I66,"")</f>
        <v/>
      </c>
      <c r="CH268" s="39" t="str">
        <f>IFERROR(final!CS66*100/final!$I66,"")</f>
        <v/>
      </c>
      <c r="CI268" s="39" t="str">
        <f>IFERROR(final!CT66*100/final!$I66,"")</f>
        <v/>
      </c>
      <c r="CJ268" s="39" t="str">
        <f>IFERROR(final!CU66*100/final!$I66,"")</f>
        <v/>
      </c>
      <c r="CK268" s="39" t="str">
        <f>IFERROR(final!CV66*100/final!$I66,"")</f>
        <v/>
      </c>
      <c r="CL268" s="39" t="str">
        <f>IFERROR(final!CW66*100/final!$I66,"")</f>
        <v/>
      </c>
      <c r="CM268" s="39" t="str">
        <f>IFERROR(final!CX66*100/final!$I66,"")</f>
        <v/>
      </c>
      <c r="CN268" s="39" t="str">
        <f>IFERROR(final!CY66*100/final!$I66,"")</f>
        <v/>
      </c>
      <c r="CO268" s="39" t="str">
        <f>IFERROR(final!CZ66*100/final!$I66,"")</f>
        <v/>
      </c>
      <c r="CP268" s="39" t="str">
        <f>IFERROR(final!DA66*100/final!$I66,"")</f>
        <v/>
      </c>
      <c r="CQ268" s="39" t="str">
        <f>IFERROR(final!DB66*100/final!$I66,"")</f>
        <v/>
      </c>
      <c r="CR268" s="39" t="str">
        <f>IFERROR(final!DC66*100/final!$I66,"")</f>
        <v/>
      </c>
      <c r="CS268" s="39" t="str">
        <f>IFERROR(final!DD66*100/final!$I66,"")</f>
        <v/>
      </c>
      <c r="CT268" s="39" t="str">
        <f>IFERROR(final!DE66*100/final!$I66,"")</f>
        <v/>
      </c>
      <c r="CU268" s="39" t="str">
        <f>IFERROR(final!DF66*100/final!$I66,"")</f>
        <v/>
      </c>
      <c r="CV268" s="39" t="str">
        <f>IFERROR(final!DG66*100/final!$I66,"")</f>
        <v/>
      </c>
      <c r="CW268" s="32" t="str">
        <f>IFERROR(SUM(A268:CV268)/final!$DH$103,"")</f>
        <v/>
      </c>
      <c r="CX268" s="14" t="str">
        <f>IF(COUNTA(final!A66),final!A66,"")</f>
        <v/>
      </c>
      <c r="CY268" s="14" t="str">
        <f>IF(COUNTA(final!B66),final!B66,"")</f>
        <v/>
      </c>
      <c r="CZ268" s="14" t="str">
        <f>IF(COUNTA(final!C66),final!C66,"")</f>
        <v/>
      </c>
      <c r="DA268" s="14" t="str">
        <f>IF(COUNTA(final!D66),final!D66,"")</f>
        <v/>
      </c>
      <c r="DB268" s="14" t="str">
        <f>IF(COUNTA(final!E66),final!E66,"")</f>
        <v/>
      </c>
      <c r="DC268" s="14" t="str">
        <f>IF(COUNTA(final!F66),final!F66,"")</f>
        <v/>
      </c>
      <c r="DD268" s="14" t="str">
        <f>IF(COUNTA(final!G66),final!G66,"")</f>
        <v/>
      </c>
      <c r="DE268" s="14" t="str">
        <f>IF(COUNTA(final!H66),final!H66,"")</f>
        <v/>
      </c>
    </row>
    <row r="269" spans="1:109" x14ac:dyDescent="0.2">
      <c r="A269" s="39" t="str">
        <f>IFERROR(final!L67*100/final!$I67,"")</f>
        <v/>
      </c>
      <c r="B269" s="39" t="str">
        <f>IFERROR(final!M67*100/final!$I67,"")</f>
        <v/>
      </c>
      <c r="C269" s="39" t="str">
        <f>IFERROR(final!N67*100/final!$I67,"")</f>
        <v/>
      </c>
      <c r="D269" s="39" t="str">
        <f>IFERROR(final!O67*100/final!$I67,"")</f>
        <v/>
      </c>
      <c r="E269" s="39" t="str">
        <f>IFERROR(final!P67*100/final!$I67,"")</f>
        <v/>
      </c>
      <c r="F269" s="39" t="str">
        <f>IFERROR(final!Q67*100/final!$I67,"")</f>
        <v/>
      </c>
      <c r="G269" s="39" t="str">
        <f>IFERROR(final!R67*100/final!$I67,"")</f>
        <v/>
      </c>
      <c r="H269" s="39" t="str">
        <f>IFERROR(final!S67*100/final!$I67,"")</f>
        <v/>
      </c>
      <c r="I269" s="39" t="str">
        <f>IFERROR(final!T67*100/final!$I67,"")</f>
        <v/>
      </c>
      <c r="J269" s="39" t="str">
        <f>IFERROR(final!U67*100/final!$I67,"")</f>
        <v/>
      </c>
      <c r="K269" s="39" t="str">
        <f>IFERROR(final!V67*100/final!$I67,"")</f>
        <v/>
      </c>
      <c r="L269" s="39" t="str">
        <f>IFERROR(final!W67*100/final!$I67,"")</f>
        <v/>
      </c>
      <c r="M269" s="39" t="str">
        <f>IFERROR(final!X67*100/final!$I67,"")</f>
        <v/>
      </c>
      <c r="N269" s="39" t="str">
        <f>IFERROR(final!Y67*100/final!$I67,"")</f>
        <v/>
      </c>
      <c r="O269" s="39" t="str">
        <f>IFERROR(final!Z67*100/final!$I67,"")</f>
        <v/>
      </c>
      <c r="P269" s="39" t="str">
        <f>IFERROR(final!AA67*100/final!$I67,"")</f>
        <v/>
      </c>
      <c r="Q269" s="39" t="str">
        <f>IFERROR(final!AB67*100/final!$I67,"")</f>
        <v/>
      </c>
      <c r="R269" s="39" t="str">
        <f>IFERROR(final!AC67*100/final!$I67,"")</f>
        <v/>
      </c>
      <c r="S269" s="39" t="str">
        <f>IFERROR(final!AD67*100/final!$I67,"")</f>
        <v/>
      </c>
      <c r="T269" s="39" t="str">
        <f>IFERROR(final!AE67*100/final!$I67,"")</f>
        <v/>
      </c>
      <c r="U269" s="39" t="str">
        <f>IFERROR(final!AF67*100/final!$I67,"")</f>
        <v/>
      </c>
      <c r="V269" s="39" t="str">
        <f>IFERROR(final!AG67*100/final!$I67,"")</f>
        <v/>
      </c>
      <c r="W269" s="39" t="str">
        <f>IFERROR(final!AH67*100/final!$I67,"")</f>
        <v/>
      </c>
      <c r="X269" s="39" t="str">
        <f>IFERROR(final!AI67*100/final!$I67,"")</f>
        <v/>
      </c>
      <c r="Y269" s="39" t="str">
        <f>IFERROR(final!AJ67*100/final!$I67,"")</f>
        <v/>
      </c>
      <c r="Z269" s="39" t="str">
        <f>IFERROR(final!AK67*100/final!$I67,"")</f>
        <v/>
      </c>
      <c r="AA269" s="39" t="str">
        <f>IFERROR(final!AL67*100/final!$I67,"")</f>
        <v/>
      </c>
      <c r="AB269" s="39" t="str">
        <f>IFERROR(final!AM67*100/final!$I67,"")</f>
        <v/>
      </c>
      <c r="AC269" s="39" t="str">
        <f>IFERROR(final!AN67*100/final!$I67,"")</f>
        <v/>
      </c>
      <c r="AD269" s="39" t="str">
        <f>IFERROR(final!AO67*100/final!$I67,"")</f>
        <v/>
      </c>
      <c r="AE269" s="39" t="str">
        <f>IFERROR(final!AP67*100/final!$I67,"")</f>
        <v/>
      </c>
      <c r="AF269" s="39" t="str">
        <f>IFERROR(final!AQ67*100/final!$I67,"")</f>
        <v/>
      </c>
      <c r="AG269" s="39" t="str">
        <f>IFERROR(final!AR67*100/final!$I67,"")</f>
        <v/>
      </c>
      <c r="AH269" s="39" t="str">
        <f>IFERROR(final!AS67*100/final!$I67,"")</f>
        <v/>
      </c>
      <c r="AI269" s="39" t="str">
        <f>IFERROR(final!AT67*100/final!$I67,"")</f>
        <v/>
      </c>
      <c r="AJ269" s="39" t="str">
        <f>IFERROR(final!AU67*100/final!$I67,"")</f>
        <v/>
      </c>
      <c r="AK269" s="39" t="str">
        <f>IFERROR(final!AV67*100/final!$I67,"")</f>
        <v/>
      </c>
      <c r="AL269" s="39" t="str">
        <f>IFERROR(final!AW67*100/final!$I67,"")</f>
        <v/>
      </c>
      <c r="AM269" s="39" t="str">
        <f>IFERROR(final!AX67*100/final!$I67,"")</f>
        <v/>
      </c>
      <c r="AN269" s="39" t="str">
        <f>IFERROR(final!AY67*100/final!$I67,"")</f>
        <v/>
      </c>
      <c r="AO269" s="39" t="str">
        <f>IFERROR(final!AZ67*100/final!$I67,"")</f>
        <v/>
      </c>
      <c r="AP269" s="39" t="str">
        <f>IFERROR(final!BA67*100/final!$I67,"")</f>
        <v/>
      </c>
      <c r="AQ269" s="39" t="str">
        <f>IFERROR(final!BB67*100/final!$I67,"")</f>
        <v/>
      </c>
      <c r="AR269" s="39" t="str">
        <f>IFERROR(final!BC67*100/final!$I67,"")</f>
        <v/>
      </c>
      <c r="AS269" s="39" t="str">
        <f>IFERROR(final!BD67*100/final!$I67,"")</f>
        <v/>
      </c>
      <c r="AT269" s="39" t="str">
        <f>IFERROR(final!BE67*100/final!$I67,"")</f>
        <v/>
      </c>
      <c r="AU269" s="39" t="str">
        <f>IFERROR(final!BF67*100/final!$I67,"")</f>
        <v/>
      </c>
      <c r="AV269" s="39" t="str">
        <f>IFERROR(final!BG67*100/final!$I67,"")</f>
        <v/>
      </c>
      <c r="AW269" s="39" t="str">
        <f>IFERROR(final!BH67*100/final!$I67,"")</f>
        <v/>
      </c>
      <c r="AX269" s="39" t="str">
        <f>IFERROR(final!BI67*100/final!$I67,"")</f>
        <v/>
      </c>
      <c r="AY269" s="39" t="str">
        <f>IFERROR(final!BJ67*100/final!$I67,"")</f>
        <v/>
      </c>
      <c r="AZ269" s="39" t="str">
        <f>IFERROR(final!BK67*100/final!$I67,"")</f>
        <v/>
      </c>
      <c r="BA269" s="39" t="str">
        <f>IFERROR(final!BL67*100/final!$I67,"")</f>
        <v/>
      </c>
      <c r="BB269" s="39" t="str">
        <f>IFERROR(final!BM67*100/final!$I67,"")</f>
        <v/>
      </c>
      <c r="BC269" s="39" t="str">
        <f>IFERROR(final!BN67*100/final!$I67,"")</f>
        <v/>
      </c>
      <c r="BD269" s="39" t="str">
        <f>IFERROR(final!BO67*100/final!$I67,"")</f>
        <v/>
      </c>
      <c r="BE269" s="39" t="str">
        <f>IFERROR(final!BP67*100/final!$I67,"")</f>
        <v/>
      </c>
      <c r="BF269" s="39" t="str">
        <f>IFERROR(final!BQ67*100/final!$I67,"")</f>
        <v/>
      </c>
      <c r="BG269" s="39" t="str">
        <f>IFERROR(final!BR67*100/final!$I67,"")</f>
        <v/>
      </c>
      <c r="BH269" s="39" t="str">
        <f>IFERROR(final!BS67*100/final!$I67,"")</f>
        <v/>
      </c>
      <c r="BI269" s="39" t="str">
        <f>IFERROR(final!BT67*100/final!$I67,"")</f>
        <v/>
      </c>
      <c r="BJ269" s="39" t="str">
        <f>IFERROR(final!BU67*100/final!$I67,"")</f>
        <v/>
      </c>
      <c r="BK269" s="39" t="str">
        <f>IFERROR(final!BV67*100/final!$I67,"")</f>
        <v/>
      </c>
      <c r="BL269" s="39" t="str">
        <f>IFERROR(final!BW67*100/final!$I67,"")</f>
        <v/>
      </c>
      <c r="BM269" s="39" t="str">
        <f>IFERROR(final!BX67*100/final!$I67,"")</f>
        <v/>
      </c>
      <c r="BN269" s="39" t="str">
        <f>IFERROR(final!BY67*100/final!$I67,"")</f>
        <v/>
      </c>
      <c r="BO269" s="39" t="str">
        <f>IFERROR(final!BZ67*100/final!$I67,"")</f>
        <v/>
      </c>
      <c r="BP269" s="39" t="str">
        <f>IFERROR(final!CA67*100/final!$I67,"")</f>
        <v/>
      </c>
      <c r="BQ269" s="39" t="str">
        <f>IFERROR(final!CB67*100/final!$I67,"")</f>
        <v/>
      </c>
      <c r="BR269" s="39" t="str">
        <f>IFERROR(final!CC67*100/final!$I67,"")</f>
        <v/>
      </c>
      <c r="BS269" s="39" t="str">
        <f>IFERROR(final!CD67*100/final!$I67,"")</f>
        <v/>
      </c>
      <c r="BT269" s="39" t="str">
        <f>IFERROR(final!CE67*100/final!$I67,"")</f>
        <v/>
      </c>
      <c r="BU269" s="39" t="str">
        <f>IFERROR(final!CF67*100/final!$I67,"")</f>
        <v/>
      </c>
      <c r="BV269" s="39" t="str">
        <f>IFERROR(final!CG67*100/final!$I67,"")</f>
        <v/>
      </c>
      <c r="BW269" s="39" t="str">
        <f>IFERROR(final!CH67*100/final!$I67,"")</f>
        <v/>
      </c>
      <c r="BX269" s="39" t="str">
        <f>IFERROR(final!CI67*100/final!$I67,"")</f>
        <v/>
      </c>
      <c r="BY269" s="39" t="str">
        <f>IFERROR(final!CJ67*100/final!$I67,"")</f>
        <v/>
      </c>
      <c r="BZ269" s="39" t="str">
        <f>IFERROR(final!CK67*100/final!$I67,"")</f>
        <v/>
      </c>
      <c r="CA269" s="39" t="str">
        <f>IFERROR(final!CL67*100/final!$I67,"")</f>
        <v/>
      </c>
      <c r="CB269" s="39" t="str">
        <f>IFERROR(final!CM67*100/final!$I67,"")</f>
        <v/>
      </c>
      <c r="CC269" s="39" t="str">
        <f>IFERROR(final!CN67*100/final!$I67,"")</f>
        <v/>
      </c>
      <c r="CD269" s="39" t="str">
        <f>IFERROR(final!CO67*100/final!$I67,"")</f>
        <v/>
      </c>
      <c r="CE269" s="39" t="str">
        <f>IFERROR(final!CP67*100/final!$I67,"")</f>
        <v/>
      </c>
      <c r="CF269" s="39" t="str">
        <f>IFERROR(final!CQ67*100/final!$I67,"")</f>
        <v/>
      </c>
      <c r="CG269" s="39" t="str">
        <f>IFERROR(final!CR67*100/final!$I67,"")</f>
        <v/>
      </c>
      <c r="CH269" s="39" t="str">
        <f>IFERROR(final!CS67*100/final!$I67,"")</f>
        <v/>
      </c>
      <c r="CI269" s="39" t="str">
        <f>IFERROR(final!CT67*100/final!$I67,"")</f>
        <v/>
      </c>
      <c r="CJ269" s="39" t="str">
        <f>IFERROR(final!CU67*100/final!$I67,"")</f>
        <v/>
      </c>
      <c r="CK269" s="39" t="str">
        <f>IFERROR(final!CV67*100/final!$I67,"")</f>
        <v/>
      </c>
      <c r="CL269" s="39" t="str">
        <f>IFERROR(final!CW67*100/final!$I67,"")</f>
        <v/>
      </c>
      <c r="CM269" s="39" t="str">
        <f>IFERROR(final!CX67*100/final!$I67,"")</f>
        <v/>
      </c>
      <c r="CN269" s="39" t="str">
        <f>IFERROR(final!CY67*100/final!$I67,"")</f>
        <v/>
      </c>
      <c r="CO269" s="39" t="str">
        <f>IFERROR(final!CZ67*100/final!$I67,"")</f>
        <v/>
      </c>
      <c r="CP269" s="39" t="str">
        <f>IFERROR(final!DA67*100/final!$I67,"")</f>
        <v/>
      </c>
      <c r="CQ269" s="39" t="str">
        <f>IFERROR(final!DB67*100/final!$I67,"")</f>
        <v/>
      </c>
      <c r="CR269" s="39" t="str">
        <f>IFERROR(final!DC67*100/final!$I67,"")</f>
        <v/>
      </c>
      <c r="CS269" s="39" t="str">
        <f>IFERROR(final!DD67*100/final!$I67,"")</f>
        <v/>
      </c>
      <c r="CT269" s="39" t="str">
        <f>IFERROR(final!DE67*100/final!$I67,"")</f>
        <v/>
      </c>
      <c r="CU269" s="39" t="str">
        <f>IFERROR(final!DF67*100/final!$I67,"")</f>
        <v/>
      </c>
      <c r="CV269" s="39" t="str">
        <f>IFERROR(final!DG67*100/final!$I67,"")</f>
        <v/>
      </c>
      <c r="CW269" s="32" t="str">
        <f>IFERROR(SUM(A269:CV269)/final!$DH$103,"")</f>
        <v/>
      </c>
      <c r="CX269" s="14" t="str">
        <f>IF(COUNTA(final!A67),final!A67,"")</f>
        <v/>
      </c>
      <c r="CY269" s="14" t="str">
        <f>IF(COUNTA(final!B67),final!B67,"")</f>
        <v/>
      </c>
      <c r="CZ269" s="14" t="str">
        <f>IF(COUNTA(final!C67),final!C67,"")</f>
        <v/>
      </c>
      <c r="DA269" s="14" t="str">
        <f>IF(COUNTA(final!D67),final!D67,"")</f>
        <v/>
      </c>
      <c r="DB269" s="14" t="str">
        <f>IF(COUNTA(final!E67),final!E67,"")</f>
        <v/>
      </c>
      <c r="DC269" s="14" t="str">
        <f>IF(COUNTA(final!F67),final!F67,"")</f>
        <v/>
      </c>
      <c r="DD269" s="14" t="str">
        <f>IF(COUNTA(final!G67),final!G67,"")</f>
        <v/>
      </c>
      <c r="DE269" s="14" t="str">
        <f>IF(COUNTA(final!H67),final!H67,"")</f>
        <v/>
      </c>
    </row>
    <row r="270" spans="1:109" x14ac:dyDescent="0.2">
      <c r="A270" s="39" t="str">
        <f>IFERROR(final!L68*100/final!$I68,"")</f>
        <v/>
      </c>
      <c r="B270" s="39" t="str">
        <f>IFERROR(final!M68*100/final!$I68,"")</f>
        <v/>
      </c>
      <c r="C270" s="39" t="str">
        <f>IFERROR(final!N68*100/final!$I68,"")</f>
        <v/>
      </c>
      <c r="D270" s="39" t="str">
        <f>IFERROR(final!O68*100/final!$I68,"")</f>
        <v/>
      </c>
      <c r="E270" s="39" t="str">
        <f>IFERROR(final!P68*100/final!$I68,"")</f>
        <v/>
      </c>
      <c r="F270" s="39" t="str">
        <f>IFERROR(final!Q68*100/final!$I68,"")</f>
        <v/>
      </c>
      <c r="G270" s="39" t="str">
        <f>IFERROR(final!R68*100/final!$I68,"")</f>
        <v/>
      </c>
      <c r="H270" s="39" t="str">
        <f>IFERROR(final!S68*100/final!$I68,"")</f>
        <v/>
      </c>
      <c r="I270" s="39" t="str">
        <f>IFERROR(final!T68*100/final!$I68,"")</f>
        <v/>
      </c>
      <c r="J270" s="39" t="str">
        <f>IFERROR(final!U68*100/final!$I68,"")</f>
        <v/>
      </c>
      <c r="K270" s="39" t="str">
        <f>IFERROR(final!V68*100/final!$I68,"")</f>
        <v/>
      </c>
      <c r="L270" s="39" t="str">
        <f>IFERROR(final!W68*100/final!$I68,"")</f>
        <v/>
      </c>
      <c r="M270" s="39" t="str">
        <f>IFERROR(final!X68*100/final!$I68,"")</f>
        <v/>
      </c>
      <c r="N270" s="39" t="str">
        <f>IFERROR(final!Y68*100/final!$I68,"")</f>
        <v/>
      </c>
      <c r="O270" s="39" t="str">
        <f>IFERROR(final!Z68*100/final!$I68,"")</f>
        <v/>
      </c>
      <c r="P270" s="39" t="str">
        <f>IFERROR(final!AA68*100/final!$I68,"")</f>
        <v/>
      </c>
      <c r="Q270" s="39" t="str">
        <f>IFERROR(final!AB68*100/final!$I68,"")</f>
        <v/>
      </c>
      <c r="R270" s="39" t="str">
        <f>IFERROR(final!AC68*100/final!$I68,"")</f>
        <v/>
      </c>
      <c r="S270" s="39" t="str">
        <f>IFERROR(final!AD68*100/final!$I68,"")</f>
        <v/>
      </c>
      <c r="T270" s="39" t="str">
        <f>IFERROR(final!AE68*100/final!$I68,"")</f>
        <v/>
      </c>
      <c r="U270" s="39" t="str">
        <f>IFERROR(final!AF68*100/final!$I68,"")</f>
        <v/>
      </c>
      <c r="V270" s="39" t="str">
        <f>IFERROR(final!AG68*100/final!$I68,"")</f>
        <v/>
      </c>
      <c r="W270" s="39" t="str">
        <f>IFERROR(final!AH68*100/final!$I68,"")</f>
        <v/>
      </c>
      <c r="X270" s="39" t="str">
        <f>IFERROR(final!AI68*100/final!$I68,"")</f>
        <v/>
      </c>
      <c r="Y270" s="39" t="str">
        <f>IFERROR(final!AJ68*100/final!$I68,"")</f>
        <v/>
      </c>
      <c r="Z270" s="39" t="str">
        <f>IFERROR(final!AK68*100/final!$I68,"")</f>
        <v/>
      </c>
      <c r="AA270" s="39" t="str">
        <f>IFERROR(final!AL68*100/final!$I68,"")</f>
        <v/>
      </c>
      <c r="AB270" s="39" t="str">
        <f>IFERROR(final!AM68*100/final!$I68,"")</f>
        <v/>
      </c>
      <c r="AC270" s="39" t="str">
        <f>IFERROR(final!AN68*100/final!$I68,"")</f>
        <v/>
      </c>
      <c r="AD270" s="39" t="str">
        <f>IFERROR(final!AO68*100/final!$I68,"")</f>
        <v/>
      </c>
      <c r="AE270" s="39" t="str">
        <f>IFERROR(final!AP68*100/final!$I68,"")</f>
        <v/>
      </c>
      <c r="AF270" s="39" t="str">
        <f>IFERROR(final!AQ68*100/final!$I68,"")</f>
        <v/>
      </c>
      <c r="AG270" s="39" t="str">
        <f>IFERROR(final!AR68*100/final!$I68,"")</f>
        <v/>
      </c>
      <c r="AH270" s="39" t="str">
        <f>IFERROR(final!AS68*100/final!$I68,"")</f>
        <v/>
      </c>
      <c r="AI270" s="39" t="str">
        <f>IFERROR(final!AT68*100/final!$I68,"")</f>
        <v/>
      </c>
      <c r="AJ270" s="39" t="str">
        <f>IFERROR(final!AU68*100/final!$I68,"")</f>
        <v/>
      </c>
      <c r="AK270" s="39" t="str">
        <f>IFERROR(final!AV68*100/final!$I68,"")</f>
        <v/>
      </c>
      <c r="AL270" s="39" t="str">
        <f>IFERROR(final!AW68*100/final!$I68,"")</f>
        <v/>
      </c>
      <c r="AM270" s="39" t="str">
        <f>IFERROR(final!AX68*100/final!$I68,"")</f>
        <v/>
      </c>
      <c r="AN270" s="39" t="str">
        <f>IFERROR(final!AY68*100/final!$I68,"")</f>
        <v/>
      </c>
      <c r="AO270" s="39" t="str">
        <f>IFERROR(final!AZ68*100/final!$I68,"")</f>
        <v/>
      </c>
      <c r="AP270" s="39" t="str">
        <f>IFERROR(final!BA68*100/final!$I68,"")</f>
        <v/>
      </c>
      <c r="AQ270" s="39" t="str">
        <f>IFERROR(final!BB68*100/final!$I68,"")</f>
        <v/>
      </c>
      <c r="AR270" s="39" t="str">
        <f>IFERROR(final!BC68*100/final!$I68,"")</f>
        <v/>
      </c>
      <c r="AS270" s="39" t="str">
        <f>IFERROR(final!BD68*100/final!$I68,"")</f>
        <v/>
      </c>
      <c r="AT270" s="39" t="str">
        <f>IFERROR(final!BE68*100/final!$I68,"")</f>
        <v/>
      </c>
      <c r="AU270" s="39" t="str">
        <f>IFERROR(final!BF68*100/final!$I68,"")</f>
        <v/>
      </c>
      <c r="AV270" s="39" t="str">
        <f>IFERROR(final!BG68*100/final!$I68,"")</f>
        <v/>
      </c>
      <c r="AW270" s="39" t="str">
        <f>IFERROR(final!BH68*100/final!$I68,"")</f>
        <v/>
      </c>
      <c r="AX270" s="39" t="str">
        <f>IFERROR(final!BI68*100/final!$I68,"")</f>
        <v/>
      </c>
      <c r="AY270" s="39" t="str">
        <f>IFERROR(final!BJ68*100/final!$I68,"")</f>
        <v/>
      </c>
      <c r="AZ270" s="39" t="str">
        <f>IFERROR(final!BK68*100/final!$I68,"")</f>
        <v/>
      </c>
      <c r="BA270" s="39" t="str">
        <f>IFERROR(final!BL68*100/final!$I68,"")</f>
        <v/>
      </c>
      <c r="BB270" s="39" t="str">
        <f>IFERROR(final!BM68*100/final!$I68,"")</f>
        <v/>
      </c>
      <c r="BC270" s="39" t="str">
        <f>IFERROR(final!BN68*100/final!$I68,"")</f>
        <v/>
      </c>
      <c r="BD270" s="39" t="str">
        <f>IFERROR(final!BO68*100/final!$I68,"")</f>
        <v/>
      </c>
      <c r="BE270" s="39" t="str">
        <f>IFERROR(final!BP68*100/final!$I68,"")</f>
        <v/>
      </c>
      <c r="BF270" s="39" t="str">
        <f>IFERROR(final!BQ68*100/final!$I68,"")</f>
        <v/>
      </c>
      <c r="BG270" s="39" t="str">
        <f>IFERROR(final!BR68*100/final!$I68,"")</f>
        <v/>
      </c>
      <c r="BH270" s="39" t="str">
        <f>IFERROR(final!BS68*100/final!$I68,"")</f>
        <v/>
      </c>
      <c r="BI270" s="39" t="str">
        <f>IFERROR(final!BT68*100/final!$I68,"")</f>
        <v/>
      </c>
      <c r="BJ270" s="39" t="str">
        <f>IFERROR(final!BU68*100/final!$I68,"")</f>
        <v/>
      </c>
      <c r="BK270" s="39" t="str">
        <f>IFERROR(final!BV68*100/final!$I68,"")</f>
        <v/>
      </c>
      <c r="BL270" s="39" t="str">
        <f>IFERROR(final!BW68*100/final!$I68,"")</f>
        <v/>
      </c>
      <c r="BM270" s="39" t="str">
        <f>IFERROR(final!BX68*100/final!$I68,"")</f>
        <v/>
      </c>
      <c r="BN270" s="39" t="str">
        <f>IFERROR(final!BY68*100/final!$I68,"")</f>
        <v/>
      </c>
      <c r="BO270" s="39" t="str">
        <f>IFERROR(final!BZ68*100/final!$I68,"")</f>
        <v/>
      </c>
      <c r="BP270" s="39" t="str">
        <f>IFERROR(final!CA68*100/final!$I68,"")</f>
        <v/>
      </c>
      <c r="BQ270" s="39" t="str">
        <f>IFERROR(final!CB68*100/final!$I68,"")</f>
        <v/>
      </c>
      <c r="BR270" s="39" t="str">
        <f>IFERROR(final!CC68*100/final!$I68,"")</f>
        <v/>
      </c>
      <c r="BS270" s="39" t="str">
        <f>IFERROR(final!CD68*100/final!$I68,"")</f>
        <v/>
      </c>
      <c r="BT270" s="39" t="str">
        <f>IFERROR(final!CE68*100/final!$I68,"")</f>
        <v/>
      </c>
      <c r="BU270" s="39" t="str">
        <f>IFERROR(final!CF68*100/final!$I68,"")</f>
        <v/>
      </c>
      <c r="BV270" s="39" t="str">
        <f>IFERROR(final!CG68*100/final!$I68,"")</f>
        <v/>
      </c>
      <c r="BW270" s="39" t="str">
        <f>IFERROR(final!CH68*100/final!$I68,"")</f>
        <v/>
      </c>
      <c r="BX270" s="39" t="str">
        <f>IFERROR(final!CI68*100/final!$I68,"")</f>
        <v/>
      </c>
      <c r="BY270" s="39" t="str">
        <f>IFERROR(final!CJ68*100/final!$I68,"")</f>
        <v/>
      </c>
      <c r="BZ270" s="39" t="str">
        <f>IFERROR(final!CK68*100/final!$I68,"")</f>
        <v/>
      </c>
      <c r="CA270" s="39" t="str">
        <f>IFERROR(final!CL68*100/final!$I68,"")</f>
        <v/>
      </c>
      <c r="CB270" s="39" t="str">
        <f>IFERROR(final!CM68*100/final!$I68,"")</f>
        <v/>
      </c>
      <c r="CC270" s="39" t="str">
        <f>IFERROR(final!CN68*100/final!$I68,"")</f>
        <v/>
      </c>
      <c r="CD270" s="39" t="str">
        <f>IFERROR(final!CO68*100/final!$I68,"")</f>
        <v/>
      </c>
      <c r="CE270" s="39" t="str">
        <f>IFERROR(final!CP68*100/final!$I68,"")</f>
        <v/>
      </c>
      <c r="CF270" s="39" t="str">
        <f>IFERROR(final!CQ68*100/final!$I68,"")</f>
        <v/>
      </c>
      <c r="CG270" s="39" t="str">
        <f>IFERROR(final!CR68*100/final!$I68,"")</f>
        <v/>
      </c>
      <c r="CH270" s="39" t="str">
        <f>IFERROR(final!CS68*100/final!$I68,"")</f>
        <v/>
      </c>
      <c r="CI270" s="39" t="str">
        <f>IFERROR(final!CT68*100/final!$I68,"")</f>
        <v/>
      </c>
      <c r="CJ270" s="39" t="str">
        <f>IFERROR(final!CU68*100/final!$I68,"")</f>
        <v/>
      </c>
      <c r="CK270" s="39" t="str">
        <f>IFERROR(final!CV68*100/final!$I68,"")</f>
        <v/>
      </c>
      <c r="CL270" s="39" t="str">
        <f>IFERROR(final!CW68*100/final!$I68,"")</f>
        <v/>
      </c>
      <c r="CM270" s="39" t="str">
        <f>IFERROR(final!CX68*100/final!$I68,"")</f>
        <v/>
      </c>
      <c r="CN270" s="39" t="str">
        <f>IFERROR(final!CY68*100/final!$I68,"")</f>
        <v/>
      </c>
      <c r="CO270" s="39" t="str">
        <f>IFERROR(final!CZ68*100/final!$I68,"")</f>
        <v/>
      </c>
      <c r="CP270" s="39" t="str">
        <f>IFERROR(final!DA68*100/final!$I68,"")</f>
        <v/>
      </c>
      <c r="CQ270" s="39" t="str">
        <f>IFERROR(final!DB68*100/final!$I68,"")</f>
        <v/>
      </c>
      <c r="CR270" s="39" t="str">
        <f>IFERROR(final!DC68*100/final!$I68,"")</f>
        <v/>
      </c>
      <c r="CS270" s="39" t="str">
        <f>IFERROR(final!DD68*100/final!$I68,"")</f>
        <v/>
      </c>
      <c r="CT270" s="39" t="str">
        <f>IFERROR(final!DE68*100/final!$I68,"")</f>
        <v/>
      </c>
      <c r="CU270" s="39" t="str">
        <f>IFERROR(final!DF68*100/final!$I68,"")</f>
        <v/>
      </c>
      <c r="CV270" s="39" t="str">
        <f>IFERROR(final!DG68*100/final!$I68,"")</f>
        <v/>
      </c>
      <c r="CW270" s="32" t="str">
        <f>IFERROR(SUM(A270:CV270)/final!$DH$103,"")</f>
        <v/>
      </c>
      <c r="CX270" s="14" t="str">
        <f>IF(COUNTA(final!A68),final!A68,"")</f>
        <v/>
      </c>
      <c r="CY270" s="14" t="str">
        <f>IF(COUNTA(final!B68),final!B68,"")</f>
        <v/>
      </c>
      <c r="CZ270" s="14" t="str">
        <f>IF(COUNTA(final!C68),final!C68,"")</f>
        <v/>
      </c>
      <c r="DA270" s="14" t="str">
        <f>IF(COUNTA(final!D68),final!D68,"")</f>
        <v/>
      </c>
      <c r="DB270" s="14" t="str">
        <f>IF(COUNTA(final!E68),final!E68,"")</f>
        <v/>
      </c>
      <c r="DC270" s="14" t="str">
        <f>IF(COUNTA(final!F68),final!F68,"")</f>
        <v/>
      </c>
      <c r="DD270" s="14" t="str">
        <f>IF(COUNTA(final!G68),final!G68,"")</f>
        <v/>
      </c>
      <c r="DE270" s="14" t="str">
        <f>IF(COUNTA(final!H68),final!H68,"")</f>
        <v/>
      </c>
    </row>
    <row r="271" spans="1:109" x14ac:dyDescent="0.2">
      <c r="A271" s="39" t="str">
        <f>IFERROR(final!L69*100/final!$I69,"")</f>
        <v/>
      </c>
      <c r="B271" s="39" t="str">
        <f>IFERROR(final!M69*100/final!$I69,"")</f>
        <v/>
      </c>
      <c r="C271" s="39" t="str">
        <f>IFERROR(final!N69*100/final!$I69,"")</f>
        <v/>
      </c>
      <c r="D271" s="39" t="str">
        <f>IFERROR(final!O69*100/final!$I69,"")</f>
        <v/>
      </c>
      <c r="E271" s="39" t="str">
        <f>IFERROR(final!P69*100/final!$I69,"")</f>
        <v/>
      </c>
      <c r="F271" s="39" t="str">
        <f>IFERROR(final!Q69*100/final!$I69,"")</f>
        <v/>
      </c>
      <c r="G271" s="39" t="str">
        <f>IFERROR(final!R69*100/final!$I69,"")</f>
        <v/>
      </c>
      <c r="H271" s="39" t="str">
        <f>IFERROR(final!S69*100/final!$I69,"")</f>
        <v/>
      </c>
      <c r="I271" s="39" t="str">
        <f>IFERROR(final!T69*100/final!$I69,"")</f>
        <v/>
      </c>
      <c r="J271" s="39" t="str">
        <f>IFERROR(final!U69*100/final!$I69,"")</f>
        <v/>
      </c>
      <c r="K271" s="39" t="str">
        <f>IFERROR(final!V69*100/final!$I69,"")</f>
        <v/>
      </c>
      <c r="L271" s="39" t="str">
        <f>IFERROR(final!W69*100/final!$I69,"")</f>
        <v/>
      </c>
      <c r="M271" s="39" t="str">
        <f>IFERROR(final!X69*100/final!$I69,"")</f>
        <v/>
      </c>
      <c r="N271" s="39" t="str">
        <f>IFERROR(final!Y69*100/final!$I69,"")</f>
        <v/>
      </c>
      <c r="O271" s="39" t="str">
        <f>IFERROR(final!Z69*100/final!$I69,"")</f>
        <v/>
      </c>
      <c r="P271" s="39" t="str">
        <f>IFERROR(final!AA69*100/final!$I69,"")</f>
        <v/>
      </c>
      <c r="Q271" s="39" t="str">
        <f>IFERROR(final!AB69*100/final!$I69,"")</f>
        <v/>
      </c>
      <c r="R271" s="39" t="str">
        <f>IFERROR(final!AC69*100/final!$I69,"")</f>
        <v/>
      </c>
      <c r="S271" s="39" t="str">
        <f>IFERROR(final!AD69*100/final!$I69,"")</f>
        <v/>
      </c>
      <c r="T271" s="39" t="str">
        <f>IFERROR(final!AE69*100/final!$I69,"")</f>
        <v/>
      </c>
      <c r="U271" s="39" t="str">
        <f>IFERROR(final!AF69*100/final!$I69,"")</f>
        <v/>
      </c>
      <c r="V271" s="39" t="str">
        <f>IFERROR(final!AG69*100/final!$I69,"")</f>
        <v/>
      </c>
      <c r="W271" s="39" t="str">
        <f>IFERROR(final!AH69*100/final!$I69,"")</f>
        <v/>
      </c>
      <c r="X271" s="39" t="str">
        <f>IFERROR(final!AI69*100/final!$I69,"")</f>
        <v/>
      </c>
      <c r="Y271" s="39" t="str">
        <f>IFERROR(final!AJ69*100/final!$I69,"")</f>
        <v/>
      </c>
      <c r="Z271" s="39" t="str">
        <f>IFERROR(final!AK69*100/final!$I69,"")</f>
        <v/>
      </c>
      <c r="AA271" s="39" t="str">
        <f>IFERROR(final!AL69*100/final!$I69,"")</f>
        <v/>
      </c>
      <c r="AB271" s="39" t="str">
        <f>IFERROR(final!AM69*100/final!$I69,"")</f>
        <v/>
      </c>
      <c r="AC271" s="39" t="str">
        <f>IFERROR(final!AN69*100/final!$I69,"")</f>
        <v/>
      </c>
      <c r="AD271" s="39" t="str">
        <f>IFERROR(final!AO69*100/final!$I69,"")</f>
        <v/>
      </c>
      <c r="AE271" s="39" t="str">
        <f>IFERROR(final!AP69*100/final!$I69,"")</f>
        <v/>
      </c>
      <c r="AF271" s="39" t="str">
        <f>IFERROR(final!AQ69*100/final!$I69,"")</f>
        <v/>
      </c>
      <c r="AG271" s="39" t="str">
        <f>IFERROR(final!AR69*100/final!$I69,"")</f>
        <v/>
      </c>
      <c r="AH271" s="39" t="str">
        <f>IFERROR(final!AS69*100/final!$I69,"")</f>
        <v/>
      </c>
      <c r="AI271" s="39" t="str">
        <f>IFERROR(final!AT69*100/final!$I69,"")</f>
        <v/>
      </c>
      <c r="AJ271" s="39" t="str">
        <f>IFERROR(final!AU69*100/final!$I69,"")</f>
        <v/>
      </c>
      <c r="AK271" s="39" t="str">
        <f>IFERROR(final!AV69*100/final!$I69,"")</f>
        <v/>
      </c>
      <c r="AL271" s="39" t="str">
        <f>IFERROR(final!AW69*100/final!$I69,"")</f>
        <v/>
      </c>
      <c r="AM271" s="39" t="str">
        <f>IFERROR(final!AX69*100/final!$I69,"")</f>
        <v/>
      </c>
      <c r="AN271" s="39" t="str">
        <f>IFERROR(final!AY69*100/final!$I69,"")</f>
        <v/>
      </c>
      <c r="AO271" s="39" t="str">
        <f>IFERROR(final!AZ69*100/final!$I69,"")</f>
        <v/>
      </c>
      <c r="AP271" s="39" t="str">
        <f>IFERROR(final!BA69*100/final!$I69,"")</f>
        <v/>
      </c>
      <c r="AQ271" s="39" t="str">
        <f>IFERROR(final!BB69*100/final!$I69,"")</f>
        <v/>
      </c>
      <c r="AR271" s="39" t="str">
        <f>IFERROR(final!BC69*100/final!$I69,"")</f>
        <v/>
      </c>
      <c r="AS271" s="39" t="str">
        <f>IFERROR(final!BD69*100/final!$I69,"")</f>
        <v/>
      </c>
      <c r="AT271" s="39" t="str">
        <f>IFERROR(final!BE69*100/final!$I69,"")</f>
        <v/>
      </c>
      <c r="AU271" s="39" t="str">
        <f>IFERROR(final!BF69*100/final!$I69,"")</f>
        <v/>
      </c>
      <c r="AV271" s="39" t="str">
        <f>IFERROR(final!BG69*100/final!$I69,"")</f>
        <v/>
      </c>
      <c r="AW271" s="39" t="str">
        <f>IFERROR(final!BH69*100/final!$I69,"")</f>
        <v/>
      </c>
      <c r="AX271" s="39" t="str">
        <f>IFERROR(final!BI69*100/final!$I69,"")</f>
        <v/>
      </c>
      <c r="AY271" s="39" t="str">
        <f>IFERROR(final!BJ69*100/final!$I69,"")</f>
        <v/>
      </c>
      <c r="AZ271" s="39" t="str">
        <f>IFERROR(final!BK69*100/final!$I69,"")</f>
        <v/>
      </c>
      <c r="BA271" s="39" t="str">
        <f>IFERROR(final!BL69*100/final!$I69,"")</f>
        <v/>
      </c>
      <c r="BB271" s="39" t="str">
        <f>IFERROR(final!BM69*100/final!$I69,"")</f>
        <v/>
      </c>
      <c r="BC271" s="39" t="str">
        <f>IFERROR(final!BN69*100/final!$I69,"")</f>
        <v/>
      </c>
      <c r="BD271" s="39" t="str">
        <f>IFERROR(final!BO69*100/final!$I69,"")</f>
        <v/>
      </c>
      <c r="BE271" s="39" t="str">
        <f>IFERROR(final!BP69*100/final!$I69,"")</f>
        <v/>
      </c>
      <c r="BF271" s="39" t="str">
        <f>IFERROR(final!BQ69*100/final!$I69,"")</f>
        <v/>
      </c>
      <c r="BG271" s="39" t="str">
        <f>IFERROR(final!BR69*100/final!$I69,"")</f>
        <v/>
      </c>
      <c r="BH271" s="39" t="str">
        <f>IFERROR(final!BS69*100/final!$I69,"")</f>
        <v/>
      </c>
      <c r="BI271" s="39" t="str">
        <f>IFERROR(final!BT69*100/final!$I69,"")</f>
        <v/>
      </c>
      <c r="BJ271" s="39" t="str">
        <f>IFERROR(final!BU69*100/final!$I69,"")</f>
        <v/>
      </c>
      <c r="BK271" s="39" t="str">
        <f>IFERROR(final!BV69*100/final!$I69,"")</f>
        <v/>
      </c>
      <c r="BL271" s="39" t="str">
        <f>IFERROR(final!BW69*100/final!$I69,"")</f>
        <v/>
      </c>
      <c r="BM271" s="39" t="str">
        <f>IFERROR(final!BX69*100/final!$I69,"")</f>
        <v/>
      </c>
      <c r="BN271" s="39" t="str">
        <f>IFERROR(final!BY69*100/final!$I69,"")</f>
        <v/>
      </c>
      <c r="BO271" s="39" t="str">
        <f>IFERROR(final!BZ69*100/final!$I69,"")</f>
        <v/>
      </c>
      <c r="BP271" s="39" t="str">
        <f>IFERROR(final!CA69*100/final!$I69,"")</f>
        <v/>
      </c>
      <c r="BQ271" s="39" t="str">
        <f>IFERROR(final!CB69*100/final!$I69,"")</f>
        <v/>
      </c>
      <c r="BR271" s="39" t="str">
        <f>IFERROR(final!CC69*100/final!$I69,"")</f>
        <v/>
      </c>
      <c r="BS271" s="39" t="str">
        <f>IFERROR(final!CD69*100/final!$I69,"")</f>
        <v/>
      </c>
      <c r="BT271" s="39" t="str">
        <f>IFERROR(final!CE69*100/final!$I69,"")</f>
        <v/>
      </c>
      <c r="BU271" s="39" t="str">
        <f>IFERROR(final!CF69*100/final!$I69,"")</f>
        <v/>
      </c>
      <c r="BV271" s="39" t="str">
        <f>IFERROR(final!CG69*100/final!$I69,"")</f>
        <v/>
      </c>
      <c r="BW271" s="39" t="str">
        <f>IFERROR(final!CH69*100/final!$I69,"")</f>
        <v/>
      </c>
      <c r="BX271" s="39" t="str">
        <f>IFERROR(final!CI69*100/final!$I69,"")</f>
        <v/>
      </c>
      <c r="BY271" s="39" t="str">
        <f>IFERROR(final!CJ69*100/final!$I69,"")</f>
        <v/>
      </c>
      <c r="BZ271" s="39" t="str">
        <f>IFERROR(final!CK69*100/final!$I69,"")</f>
        <v/>
      </c>
      <c r="CA271" s="39" t="str">
        <f>IFERROR(final!CL69*100/final!$I69,"")</f>
        <v/>
      </c>
      <c r="CB271" s="39" t="str">
        <f>IFERROR(final!CM69*100/final!$I69,"")</f>
        <v/>
      </c>
      <c r="CC271" s="39" t="str">
        <f>IFERROR(final!CN69*100/final!$I69,"")</f>
        <v/>
      </c>
      <c r="CD271" s="39" t="str">
        <f>IFERROR(final!CO69*100/final!$I69,"")</f>
        <v/>
      </c>
      <c r="CE271" s="39" t="str">
        <f>IFERROR(final!CP69*100/final!$I69,"")</f>
        <v/>
      </c>
      <c r="CF271" s="39" t="str">
        <f>IFERROR(final!CQ69*100/final!$I69,"")</f>
        <v/>
      </c>
      <c r="CG271" s="39" t="str">
        <f>IFERROR(final!CR69*100/final!$I69,"")</f>
        <v/>
      </c>
      <c r="CH271" s="39" t="str">
        <f>IFERROR(final!CS69*100/final!$I69,"")</f>
        <v/>
      </c>
      <c r="CI271" s="39" t="str">
        <f>IFERROR(final!CT69*100/final!$I69,"")</f>
        <v/>
      </c>
      <c r="CJ271" s="39" t="str">
        <f>IFERROR(final!CU69*100/final!$I69,"")</f>
        <v/>
      </c>
      <c r="CK271" s="39" t="str">
        <f>IFERROR(final!CV69*100/final!$I69,"")</f>
        <v/>
      </c>
      <c r="CL271" s="39" t="str">
        <f>IFERROR(final!CW69*100/final!$I69,"")</f>
        <v/>
      </c>
      <c r="CM271" s="39" t="str">
        <f>IFERROR(final!CX69*100/final!$I69,"")</f>
        <v/>
      </c>
      <c r="CN271" s="39" t="str">
        <f>IFERROR(final!CY69*100/final!$I69,"")</f>
        <v/>
      </c>
      <c r="CO271" s="39" t="str">
        <f>IFERROR(final!CZ69*100/final!$I69,"")</f>
        <v/>
      </c>
      <c r="CP271" s="39" t="str">
        <f>IFERROR(final!DA69*100/final!$I69,"")</f>
        <v/>
      </c>
      <c r="CQ271" s="39" t="str">
        <f>IFERROR(final!DB69*100/final!$I69,"")</f>
        <v/>
      </c>
      <c r="CR271" s="39" t="str">
        <f>IFERROR(final!DC69*100/final!$I69,"")</f>
        <v/>
      </c>
      <c r="CS271" s="39" t="str">
        <f>IFERROR(final!DD69*100/final!$I69,"")</f>
        <v/>
      </c>
      <c r="CT271" s="39" t="str">
        <f>IFERROR(final!DE69*100/final!$I69,"")</f>
        <v/>
      </c>
      <c r="CU271" s="39" t="str">
        <f>IFERROR(final!DF69*100/final!$I69,"")</f>
        <v/>
      </c>
      <c r="CV271" s="39" t="str">
        <f>IFERROR(final!DG69*100/final!$I69,"")</f>
        <v/>
      </c>
      <c r="CW271" s="32" t="str">
        <f>IFERROR(SUM(A271:CV271)/final!$DH$103,"")</f>
        <v/>
      </c>
      <c r="CX271" s="14" t="str">
        <f>IF(COUNTA(final!A69),final!A69,"")</f>
        <v/>
      </c>
      <c r="CY271" s="14" t="str">
        <f>IF(COUNTA(final!B69),final!B69,"")</f>
        <v/>
      </c>
      <c r="CZ271" s="14" t="str">
        <f>IF(COUNTA(final!C69),final!C69,"")</f>
        <v/>
      </c>
      <c r="DA271" s="14" t="str">
        <f>IF(COUNTA(final!D69),final!D69,"")</f>
        <v/>
      </c>
      <c r="DB271" s="14" t="str">
        <f>IF(COUNTA(final!E69),final!E69,"")</f>
        <v/>
      </c>
      <c r="DC271" s="14" t="str">
        <f>IF(COUNTA(final!F69),final!F69,"")</f>
        <v/>
      </c>
      <c r="DD271" s="14" t="str">
        <f>IF(COUNTA(final!G69),final!G69,"")</f>
        <v/>
      </c>
      <c r="DE271" s="14" t="str">
        <f>IF(COUNTA(final!H69),final!H69,"")</f>
        <v/>
      </c>
    </row>
    <row r="272" spans="1:109" x14ac:dyDescent="0.2">
      <c r="A272" s="39" t="str">
        <f>IFERROR(final!L70*100/final!$I70,"")</f>
        <v/>
      </c>
      <c r="B272" s="39" t="str">
        <f>IFERROR(final!M70*100/final!$I70,"")</f>
        <v/>
      </c>
      <c r="C272" s="39" t="str">
        <f>IFERROR(final!N70*100/final!$I70,"")</f>
        <v/>
      </c>
      <c r="D272" s="39" t="str">
        <f>IFERROR(final!O70*100/final!$I70,"")</f>
        <v/>
      </c>
      <c r="E272" s="39" t="str">
        <f>IFERROR(final!P70*100/final!$I70,"")</f>
        <v/>
      </c>
      <c r="F272" s="39" t="str">
        <f>IFERROR(final!Q70*100/final!$I70,"")</f>
        <v/>
      </c>
      <c r="G272" s="39" t="str">
        <f>IFERROR(final!R70*100/final!$I70,"")</f>
        <v/>
      </c>
      <c r="H272" s="39" t="str">
        <f>IFERROR(final!S70*100/final!$I70,"")</f>
        <v/>
      </c>
      <c r="I272" s="39" t="str">
        <f>IFERROR(final!T70*100/final!$I70,"")</f>
        <v/>
      </c>
      <c r="J272" s="39" t="str">
        <f>IFERROR(final!U70*100/final!$I70,"")</f>
        <v/>
      </c>
      <c r="K272" s="39" t="str">
        <f>IFERROR(final!V70*100/final!$I70,"")</f>
        <v/>
      </c>
      <c r="L272" s="39" t="str">
        <f>IFERROR(final!W70*100/final!$I70,"")</f>
        <v/>
      </c>
      <c r="M272" s="39" t="str">
        <f>IFERROR(final!X70*100/final!$I70,"")</f>
        <v/>
      </c>
      <c r="N272" s="39" t="str">
        <f>IFERROR(final!Y70*100/final!$I70,"")</f>
        <v/>
      </c>
      <c r="O272" s="39" t="str">
        <f>IFERROR(final!Z70*100/final!$I70,"")</f>
        <v/>
      </c>
      <c r="P272" s="39" t="str">
        <f>IFERROR(final!AA70*100/final!$I70,"")</f>
        <v/>
      </c>
      <c r="Q272" s="39" t="str">
        <f>IFERROR(final!AB70*100/final!$I70,"")</f>
        <v/>
      </c>
      <c r="R272" s="39" t="str">
        <f>IFERROR(final!AC70*100/final!$I70,"")</f>
        <v/>
      </c>
      <c r="S272" s="39" t="str">
        <f>IFERROR(final!AD70*100/final!$I70,"")</f>
        <v/>
      </c>
      <c r="T272" s="39" t="str">
        <f>IFERROR(final!AE70*100/final!$I70,"")</f>
        <v/>
      </c>
      <c r="U272" s="39" t="str">
        <f>IFERROR(final!AF70*100/final!$I70,"")</f>
        <v/>
      </c>
      <c r="V272" s="39" t="str">
        <f>IFERROR(final!AG70*100/final!$I70,"")</f>
        <v/>
      </c>
      <c r="W272" s="39" t="str">
        <f>IFERROR(final!AH70*100/final!$I70,"")</f>
        <v/>
      </c>
      <c r="X272" s="39" t="str">
        <f>IFERROR(final!AI70*100/final!$I70,"")</f>
        <v/>
      </c>
      <c r="Y272" s="39" t="str">
        <f>IFERROR(final!AJ70*100/final!$I70,"")</f>
        <v/>
      </c>
      <c r="Z272" s="39" t="str">
        <f>IFERROR(final!AK70*100/final!$I70,"")</f>
        <v/>
      </c>
      <c r="AA272" s="39" t="str">
        <f>IFERROR(final!AL70*100/final!$I70,"")</f>
        <v/>
      </c>
      <c r="AB272" s="39" t="str">
        <f>IFERROR(final!AM70*100/final!$I70,"")</f>
        <v/>
      </c>
      <c r="AC272" s="39" t="str">
        <f>IFERROR(final!AN70*100/final!$I70,"")</f>
        <v/>
      </c>
      <c r="AD272" s="39" t="str">
        <f>IFERROR(final!AO70*100/final!$I70,"")</f>
        <v/>
      </c>
      <c r="AE272" s="39" t="str">
        <f>IFERROR(final!AP70*100/final!$I70,"")</f>
        <v/>
      </c>
      <c r="AF272" s="39" t="str">
        <f>IFERROR(final!AQ70*100/final!$I70,"")</f>
        <v/>
      </c>
      <c r="AG272" s="39" t="str">
        <f>IFERROR(final!AR70*100/final!$I70,"")</f>
        <v/>
      </c>
      <c r="AH272" s="39" t="str">
        <f>IFERROR(final!AS70*100/final!$I70,"")</f>
        <v/>
      </c>
      <c r="AI272" s="39" t="str">
        <f>IFERROR(final!AT70*100/final!$I70,"")</f>
        <v/>
      </c>
      <c r="AJ272" s="39" t="str">
        <f>IFERROR(final!AU70*100/final!$I70,"")</f>
        <v/>
      </c>
      <c r="AK272" s="39" t="str">
        <f>IFERROR(final!AV70*100/final!$I70,"")</f>
        <v/>
      </c>
      <c r="AL272" s="39" t="str">
        <f>IFERROR(final!AW70*100/final!$I70,"")</f>
        <v/>
      </c>
      <c r="AM272" s="39" t="str">
        <f>IFERROR(final!AX70*100/final!$I70,"")</f>
        <v/>
      </c>
      <c r="AN272" s="39" t="str">
        <f>IFERROR(final!AY70*100/final!$I70,"")</f>
        <v/>
      </c>
      <c r="AO272" s="39" t="str">
        <f>IFERROR(final!AZ70*100/final!$I70,"")</f>
        <v/>
      </c>
      <c r="AP272" s="39" t="str">
        <f>IFERROR(final!BA70*100/final!$I70,"")</f>
        <v/>
      </c>
      <c r="AQ272" s="39" t="str">
        <f>IFERROR(final!BB70*100/final!$I70,"")</f>
        <v/>
      </c>
      <c r="AR272" s="39" t="str">
        <f>IFERROR(final!BC70*100/final!$I70,"")</f>
        <v/>
      </c>
      <c r="AS272" s="39" t="str">
        <f>IFERROR(final!BD70*100/final!$I70,"")</f>
        <v/>
      </c>
      <c r="AT272" s="39" t="str">
        <f>IFERROR(final!BE70*100/final!$I70,"")</f>
        <v/>
      </c>
      <c r="AU272" s="39" t="str">
        <f>IFERROR(final!BF70*100/final!$I70,"")</f>
        <v/>
      </c>
      <c r="AV272" s="39" t="str">
        <f>IFERROR(final!BG70*100/final!$I70,"")</f>
        <v/>
      </c>
      <c r="AW272" s="39" t="str">
        <f>IFERROR(final!BH70*100/final!$I70,"")</f>
        <v/>
      </c>
      <c r="AX272" s="39" t="str">
        <f>IFERROR(final!BI70*100/final!$I70,"")</f>
        <v/>
      </c>
      <c r="AY272" s="39" t="str">
        <f>IFERROR(final!BJ70*100/final!$I70,"")</f>
        <v/>
      </c>
      <c r="AZ272" s="39" t="str">
        <f>IFERROR(final!BK70*100/final!$I70,"")</f>
        <v/>
      </c>
      <c r="BA272" s="39" t="str">
        <f>IFERROR(final!BL70*100/final!$I70,"")</f>
        <v/>
      </c>
      <c r="BB272" s="39" t="str">
        <f>IFERROR(final!BM70*100/final!$I70,"")</f>
        <v/>
      </c>
      <c r="BC272" s="39" t="str">
        <f>IFERROR(final!BN70*100/final!$I70,"")</f>
        <v/>
      </c>
      <c r="BD272" s="39" t="str">
        <f>IFERROR(final!BO70*100/final!$I70,"")</f>
        <v/>
      </c>
      <c r="BE272" s="39" t="str">
        <f>IFERROR(final!BP70*100/final!$I70,"")</f>
        <v/>
      </c>
      <c r="BF272" s="39" t="str">
        <f>IFERROR(final!BQ70*100/final!$I70,"")</f>
        <v/>
      </c>
      <c r="BG272" s="39" t="str">
        <f>IFERROR(final!BR70*100/final!$I70,"")</f>
        <v/>
      </c>
      <c r="BH272" s="39" t="str">
        <f>IFERROR(final!BS70*100/final!$I70,"")</f>
        <v/>
      </c>
      <c r="BI272" s="39" t="str">
        <f>IFERROR(final!BT70*100/final!$I70,"")</f>
        <v/>
      </c>
      <c r="BJ272" s="39" t="str">
        <f>IFERROR(final!BU70*100/final!$I70,"")</f>
        <v/>
      </c>
      <c r="BK272" s="39" t="str">
        <f>IFERROR(final!BV70*100/final!$I70,"")</f>
        <v/>
      </c>
      <c r="BL272" s="39" t="str">
        <f>IFERROR(final!BW70*100/final!$I70,"")</f>
        <v/>
      </c>
      <c r="BM272" s="39" t="str">
        <f>IFERROR(final!BX70*100/final!$I70,"")</f>
        <v/>
      </c>
      <c r="BN272" s="39" t="str">
        <f>IFERROR(final!BY70*100/final!$I70,"")</f>
        <v/>
      </c>
      <c r="BO272" s="39" t="str">
        <f>IFERROR(final!BZ70*100/final!$I70,"")</f>
        <v/>
      </c>
      <c r="BP272" s="39" t="str">
        <f>IFERROR(final!CA70*100/final!$I70,"")</f>
        <v/>
      </c>
      <c r="BQ272" s="39" t="str">
        <f>IFERROR(final!CB70*100/final!$I70,"")</f>
        <v/>
      </c>
      <c r="BR272" s="39" t="str">
        <f>IFERROR(final!CC70*100/final!$I70,"")</f>
        <v/>
      </c>
      <c r="BS272" s="39" t="str">
        <f>IFERROR(final!CD70*100/final!$I70,"")</f>
        <v/>
      </c>
      <c r="BT272" s="39" t="str">
        <f>IFERROR(final!CE70*100/final!$I70,"")</f>
        <v/>
      </c>
      <c r="BU272" s="39" t="str">
        <f>IFERROR(final!CF70*100/final!$I70,"")</f>
        <v/>
      </c>
      <c r="BV272" s="39" t="str">
        <f>IFERROR(final!CG70*100/final!$I70,"")</f>
        <v/>
      </c>
      <c r="BW272" s="39" t="str">
        <f>IFERROR(final!CH70*100/final!$I70,"")</f>
        <v/>
      </c>
      <c r="BX272" s="39" t="str">
        <f>IFERROR(final!CI70*100/final!$I70,"")</f>
        <v/>
      </c>
      <c r="BY272" s="39" t="str">
        <f>IFERROR(final!CJ70*100/final!$I70,"")</f>
        <v/>
      </c>
      <c r="BZ272" s="39" t="str">
        <f>IFERROR(final!CK70*100/final!$I70,"")</f>
        <v/>
      </c>
      <c r="CA272" s="39" t="str">
        <f>IFERROR(final!CL70*100/final!$I70,"")</f>
        <v/>
      </c>
      <c r="CB272" s="39" t="str">
        <f>IFERROR(final!CM70*100/final!$I70,"")</f>
        <v/>
      </c>
      <c r="CC272" s="39" t="str">
        <f>IFERROR(final!CN70*100/final!$I70,"")</f>
        <v/>
      </c>
      <c r="CD272" s="39" t="str">
        <f>IFERROR(final!CO70*100/final!$I70,"")</f>
        <v/>
      </c>
      <c r="CE272" s="39" t="str">
        <f>IFERROR(final!CP70*100/final!$I70,"")</f>
        <v/>
      </c>
      <c r="CF272" s="39" t="str">
        <f>IFERROR(final!CQ70*100/final!$I70,"")</f>
        <v/>
      </c>
      <c r="CG272" s="39" t="str">
        <f>IFERROR(final!CR70*100/final!$I70,"")</f>
        <v/>
      </c>
      <c r="CH272" s="39" t="str">
        <f>IFERROR(final!CS70*100/final!$I70,"")</f>
        <v/>
      </c>
      <c r="CI272" s="39" t="str">
        <f>IFERROR(final!CT70*100/final!$I70,"")</f>
        <v/>
      </c>
      <c r="CJ272" s="39" t="str">
        <f>IFERROR(final!CU70*100/final!$I70,"")</f>
        <v/>
      </c>
      <c r="CK272" s="39" t="str">
        <f>IFERROR(final!CV70*100/final!$I70,"")</f>
        <v/>
      </c>
      <c r="CL272" s="39" t="str">
        <f>IFERROR(final!CW70*100/final!$I70,"")</f>
        <v/>
      </c>
      <c r="CM272" s="39" t="str">
        <f>IFERROR(final!CX70*100/final!$I70,"")</f>
        <v/>
      </c>
      <c r="CN272" s="39" t="str">
        <f>IFERROR(final!CY70*100/final!$I70,"")</f>
        <v/>
      </c>
      <c r="CO272" s="39" t="str">
        <f>IFERROR(final!CZ70*100/final!$I70,"")</f>
        <v/>
      </c>
      <c r="CP272" s="39" t="str">
        <f>IFERROR(final!DA70*100/final!$I70,"")</f>
        <v/>
      </c>
      <c r="CQ272" s="39" t="str">
        <f>IFERROR(final!DB70*100/final!$I70,"")</f>
        <v/>
      </c>
      <c r="CR272" s="39" t="str">
        <f>IFERROR(final!DC70*100/final!$I70,"")</f>
        <v/>
      </c>
      <c r="CS272" s="39" t="str">
        <f>IFERROR(final!DD70*100/final!$I70,"")</f>
        <v/>
      </c>
      <c r="CT272" s="39" t="str">
        <f>IFERROR(final!DE70*100/final!$I70,"")</f>
        <v/>
      </c>
      <c r="CU272" s="39" t="str">
        <f>IFERROR(final!DF70*100/final!$I70,"")</f>
        <v/>
      </c>
      <c r="CV272" s="39" t="str">
        <f>IFERROR(final!DG70*100/final!$I70,"")</f>
        <v/>
      </c>
      <c r="CW272" s="32" t="str">
        <f>IFERROR(SUM(A272:CV272)/final!$DH$103,"")</f>
        <v/>
      </c>
      <c r="CX272" s="14" t="str">
        <f>IF(COUNTA(final!A70),final!A70,"")</f>
        <v/>
      </c>
      <c r="CY272" s="14" t="str">
        <f>IF(COUNTA(final!B70),final!B70,"")</f>
        <v/>
      </c>
      <c r="CZ272" s="14" t="str">
        <f>IF(COUNTA(final!C70),final!C70,"")</f>
        <v/>
      </c>
      <c r="DA272" s="14" t="str">
        <f>IF(COUNTA(final!D70),final!D70,"")</f>
        <v/>
      </c>
      <c r="DB272" s="14" t="str">
        <f>IF(COUNTA(final!E70),final!E70,"")</f>
        <v/>
      </c>
      <c r="DC272" s="14" t="str">
        <f>IF(COUNTA(final!F70),final!F70,"")</f>
        <v/>
      </c>
      <c r="DD272" s="14" t="str">
        <f>IF(COUNTA(final!G70),final!G70,"")</f>
        <v/>
      </c>
      <c r="DE272" s="14" t="str">
        <f>IF(COUNTA(final!H70),final!H70,"")</f>
        <v/>
      </c>
    </row>
    <row r="273" spans="1:109" x14ac:dyDescent="0.2">
      <c r="A273" s="39" t="str">
        <f>IFERROR(final!L71*100/final!$I71,"")</f>
        <v/>
      </c>
      <c r="B273" s="39" t="str">
        <f>IFERROR(final!M71*100/final!$I71,"")</f>
        <v/>
      </c>
      <c r="C273" s="39" t="str">
        <f>IFERROR(final!N71*100/final!$I71,"")</f>
        <v/>
      </c>
      <c r="D273" s="39" t="str">
        <f>IFERROR(final!O71*100/final!$I71,"")</f>
        <v/>
      </c>
      <c r="E273" s="39" t="str">
        <f>IFERROR(final!P71*100/final!$I71,"")</f>
        <v/>
      </c>
      <c r="F273" s="39" t="str">
        <f>IFERROR(final!Q71*100/final!$I71,"")</f>
        <v/>
      </c>
      <c r="G273" s="39" t="str">
        <f>IFERROR(final!R71*100/final!$I71,"")</f>
        <v/>
      </c>
      <c r="H273" s="39" t="str">
        <f>IFERROR(final!S71*100/final!$I71,"")</f>
        <v/>
      </c>
      <c r="I273" s="39" t="str">
        <f>IFERROR(final!T71*100/final!$I71,"")</f>
        <v/>
      </c>
      <c r="J273" s="39" t="str">
        <f>IFERROR(final!U71*100/final!$I71,"")</f>
        <v/>
      </c>
      <c r="K273" s="39" t="str">
        <f>IFERROR(final!V71*100/final!$I71,"")</f>
        <v/>
      </c>
      <c r="L273" s="39" t="str">
        <f>IFERROR(final!W71*100/final!$I71,"")</f>
        <v/>
      </c>
      <c r="M273" s="39" t="str">
        <f>IFERROR(final!X71*100/final!$I71,"")</f>
        <v/>
      </c>
      <c r="N273" s="39" t="str">
        <f>IFERROR(final!Y71*100/final!$I71,"")</f>
        <v/>
      </c>
      <c r="O273" s="39" t="str">
        <f>IFERROR(final!Z71*100/final!$I71,"")</f>
        <v/>
      </c>
      <c r="P273" s="39" t="str">
        <f>IFERROR(final!AA71*100/final!$I71,"")</f>
        <v/>
      </c>
      <c r="Q273" s="39" t="str">
        <f>IFERROR(final!AB71*100/final!$I71,"")</f>
        <v/>
      </c>
      <c r="R273" s="39" t="str">
        <f>IFERROR(final!AC71*100/final!$I71,"")</f>
        <v/>
      </c>
      <c r="S273" s="39" t="str">
        <f>IFERROR(final!AD71*100/final!$I71,"")</f>
        <v/>
      </c>
      <c r="T273" s="39" t="str">
        <f>IFERROR(final!AE71*100/final!$I71,"")</f>
        <v/>
      </c>
      <c r="U273" s="39" t="str">
        <f>IFERROR(final!AF71*100/final!$I71,"")</f>
        <v/>
      </c>
      <c r="V273" s="39" t="str">
        <f>IFERROR(final!AG71*100/final!$I71,"")</f>
        <v/>
      </c>
      <c r="W273" s="39" t="str">
        <f>IFERROR(final!AH71*100/final!$I71,"")</f>
        <v/>
      </c>
      <c r="X273" s="39" t="str">
        <f>IFERROR(final!AI71*100/final!$I71,"")</f>
        <v/>
      </c>
      <c r="Y273" s="39" t="str">
        <f>IFERROR(final!AJ71*100/final!$I71,"")</f>
        <v/>
      </c>
      <c r="Z273" s="39" t="str">
        <f>IFERROR(final!AK71*100/final!$I71,"")</f>
        <v/>
      </c>
      <c r="AA273" s="39" t="str">
        <f>IFERROR(final!AL71*100/final!$I71,"")</f>
        <v/>
      </c>
      <c r="AB273" s="39" t="str">
        <f>IFERROR(final!AM71*100/final!$I71,"")</f>
        <v/>
      </c>
      <c r="AC273" s="39" t="str">
        <f>IFERROR(final!AN71*100/final!$I71,"")</f>
        <v/>
      </c>
      <c r="AD273" s="39" t="str">
        <f>IFERROR(final!AO71*100/final!$I71,"")</f>
        <v/>
      </c>
      <c r="AE273" s="39" t="str">
        <f>IFERROR(final!AP71*100/final!$I71,"")</f>
        <v/>
      </c>
      <c r="AF273" s="39" t="str">
        <f>IFERROR(final!AQ71*100/final!$I71,"")</f>
        <v/>
      </c>
      <c r="AG273" s="39" t="str">
        <f>IFERROR(final!AR71*100/final!$I71,"")</f>
        <v/>
      </c>
      <c r="AH273" s="39" t="str">
        <f>IFERROR(final!AS71*100/final!$I71,"")</f>
        <v/>
      </c>
      <c r="AI273" s="39" t="str">
        <f>IFERROR(final!AT71*100/final!$I71,"")</f>
        <v/>
      </c>
      <c r="AJ273" s="39" t="str">
        <f>IFERROR(final!AU71*100/final!$I71,"")</f>
        <v/>
      </c>
      <c r="AK273" s="39" t="str">
        <f>IFERROR(final!AV71*100/final!$I71,"")</f>
        <v/>
      </c>
      <c r="AL273" s="39" t="str">
        <f>IFERROR(final!AW71*100/final!$I71,"")</f>
        <v/>
      </c>
      <c r="AM273" s="39" t="str">
        <f>IFERROR(final!AX71*100/final!$I71,"")</f>
        <v/>
      </c>
      <c r="AN273" s="39" t="str">
        <f>IFERROR(final!AY71*100/final!$I71,"")</f>
        <v/>
      </c>
      <c r="AO273" s="39" t="str">
        <f>IFERROR(final!AZ71*100/final!$I71,"")</f>
        <v/>
      </c>
      <c r="AP273" s="39" t="str">
        <f>IFERROR(final!BA71*100/final!$I71,"")</f>
        <v/>
      </c>
      <c r="AQ273" s="39" t="str">
        <f>IFERROR(final!BB71*100/final!$I71,"")</f>
        <v/>
      </c>
      <c r="AR273" s="39" t="str">
        <f>IFERROR(final!BC71*100/final!$I71,"")</f>
        <v/>
      </c>
      <c r="AS273" s="39" t="str">
        <f>IFERROR(final!BD71*100/final!$I71,"")</f>
        <v/>
      </c>
      <c r="AT273" s="39" t="str">
        <f>IFERROR(final!BE71*100/final!$I71,"")</f>
        <v/>
      </c>
      <c r="AU273" s="39" t="str">
        <f>IFERROR(final!BF71*100/final!$I71,"")</f>
        <v/>
      </c>
      <c r="AV273" s="39" t="str">
        <f>IFERROR(final!BG71*100/final!$I71,"")</f>
        <v/>
      </c>
      <c r="AW273" s="39" t="str">
        <f>IFERROR(final!BH71*100/final!$I71,"")</f>
        <v/>
      </c>
      <c r="AX273" s="39" t="str">
        <f>IFERROR(final!BI71*100/final!$I71,"")</f>
        <v/>
      </c>
      <c r="AY273" s="39" t="str">
        <f>IFERROR(final!BJ71*100/final!$I71,"")</f>
        <v/>
      </c>
      <c r="AZ273" s="39" t="str">
        <f>IFERROR(final!BK71*100/final!$I71,"")</f>
        <v/>
      </c>
      <c r="BA273" s="39" t="str">
        <f>IFERROR(final!BL71*100/final!$I71,"")</f>
        <v/>
      </c>
      <c r="BB273" s="39" t="str">
        <f>IFERROR(final!BM71*100/final!$I71,"")</f>
        <v/>
      </c>
      <c r="BC273" s="39" t="str">
        <f>IFERROR(final!BN71*100/final!$I71,"")</f>
        <v/>
      </c>
      <c r="BD273" s="39" t="str">
        <f>IFERROR(final!BO71*100/final!$I71,"")</f>
        <v/>
      </c>
      <c r="BE273" s="39" t="str">
        <f>IFERROR(final!BP71*100/final!$I71,"")</f>
        <v/>
      </c>
      <c r="BF273" s="39" t="str">
        <f>IFERROR(final!BQ71*100/final!$I71,"")</f>
        <v/>
      </c>
      <c r="BG273" s="39" t="str">
        <f>IFERROR(final!BR71*100/final!$I71,"")</f>
        <v/>
      </c>
      <c r="BH273" s="39" t="str">
        <f>IFERROR(final!BS71*100/final!$I71,"")</f>
        <v/>
      </c>
      <c r="BI273" s="39" t="str">
        <f>IFERROR(final!BT71*100/final!$I71,"")</f>
        <v/>
      </c>
      <c r="BJ273" s="39" t="str">
        <f>IFERROR(final!BU71*100/final!$I71,"")</f>
        <v/>
      </c>
      <c r="BK273" s="39" t="str">
        <f>IFERROR(final!BV71*100/final!$I71,"")</f>
        <v/>
      </c>
      <c r="BL273" s="39" t="str">
        <f>IFERROR(final!BW71*100/final!$I71,"")</f>
        <v/>
      </c>
      <c r="BM273" s="39" t="str">
        <f>IFERROR(final!BX71*100/final!$I71,"")</f>
        <v/>
      </c>
      <c r="BN273" s="39" t="str">
        <f>IFERROR(final!BY71*100/final!$I71,"")</f>
        <v/>
      </c>
      <c r="BO273" s="39" t="str">
        <f>IFERROR(final!BZ71*100/final!$I71,"")</f>
        <v/>
      </c>
      <c r="BP273" s="39" t="str">
        <f>IFERROR(final!CA71*100/final!$I71,"")</f>
        <v/>
      </c>
      <c r="BQ273" s="39" t="str">
        <f>IFERROR(final!CB71*100/final!$I71,"")</f>
        <v/>
      </c>
      <c r="BR273" s="39" t="str">
        <f>IFERROR(final!CC71*100/final!$I71,"")</f>
        <v/>
      </c>
      <c r="BS273" s="39" t="str">
        <f>IFERROR(final!CD71*100/final!$I71,"")</f>
        <v/>
      </c>
      <c r="BT273" s="39" t="str">
        <f>IFERROR(final!CE71*100/final!$I71,"")</f>
        <v/>
      </c>
      <c r="BU273" s="39" t="str">
        <f>IFERROR(final!CF71*100/final!$I71,"")</f>
        <v/>
      </c>
      <c r="BV273" s="39" t="str">
        <f>IFERROR(final!CG71*100/final!$I71,"")</f>
        <v/>
      </c>
      <c r="BW273" s="39" t="str">
        <f>IFERROR(final!CH71*100/final!$I71,"")</f>
        <v/>
      </c>
      <c r="BX273" s="39" t="str">
        <f>IFERROR(final!CI71*100/final!$I71,"")</f>
        <v/>
      </c>
      <c r="BY273" s="39" t="str">
        <f>IFERROR(final!CJ71*100/final!$I71,"")</f>
        <v/>
      </c>
      <c r="BZ273" s="39" t="str">
        <f>IFERROR(final!CK71*100/final!$I71,"")</f>
        <v/>
      </c>
      <c r="CA273" s="39" t="str">
        <f>IFERROR(final!CL71*100/final!$I71,"")</f>
        <v/>
      </c>
      <c r="CB273" s="39" t="str">
        <f>IFERROR(final!CM71*100/final!$I71,"")</f>
        <v/>
      </c>
      <c r="CC273" s="39" t="str">
        <f>IFERROR(final!CN71*100/final!$I71,"")</f>
        <v/>
      </c>
      <c r="CD273" s="39" t="str">
        <f>IFERROR(final!CO71*100/final!$I71,"")</f>
        <v/>
      </c>
      <c r="CE273" s="39" t="str">
        <f>IFERROR(final!CP71*100/final!$I71,"")</f>
        <v/>
      </c>
      <c r="CF273" s="39" t="str">
        <f>IFERROR(final!CQ71*100/final!$I71,"")</f>
        <v/>
      </c>
      <c r="CG273" s="39" t="str">
        <f>IFERROR(final!CR71*100/final!$I71,"")</f>
        <v/>
      </c>
      <c r="CH273" s="39" t="str">
        <f>IFERROR(final!CS71*100/final!$I71,"")</f>
        <v/>
      </c>
      <c r="CI273" s="39" t="str">
        <f>IFERROR(final!CT71*100/final!$I71,"")</f>
        <v/>
      </c>
      <c r="CJ273" s="39" t="str">
        <f>IFERROR(final!CU71*100/final!$I71,"")</f>
        <v/>
      </c>
      <c r="CK273" s="39" t="str">
        <f>IFERROR(final!CV71*100/final!$I71,"")</f>
        <v/>
      </c>
      <c r="CL273" s="39" t="str">
        <f>IFERROR(final!CW71*100/final!$I71,"")</f>
        <v/>
      </c>
      <c r="CM273" s="39" t="str">
        <f>IFERROR(final!CX71*100/final!$I71,"")</f>
        <v/>
      </c>
      <c r="CN273" s="39" t="str">
        <f>IFERROR(final!CY71*100/final!$I71,"")</f>
        <v/>
      </c>
      <c r="CO273" s="39" t="str">
        <f>IFERROR(final!CZ71*100/final!$I71,"")</f>
        <v/>
      </c>
      <c r="CP273" s="39" t="str">
        <f>IFERROR(final!DA71*100/final!$I71,"")</f>
        <v/>
      </c>
      <c r="CQ273" s="39" t="str">
        <f>IFERROR(final!DB71*100/final!$I71,"")</f>
        <v/>
      </c>
      <c r="CR273" s="39" t="str">
        <f>IFERROR(final!DC71*100/final!$I71,"")</f>
        <v/>
      </c>
      <c r="CS273" s="39" t="str">
        <f>IFERROR(final!DD71*100/final!$I71,"")</f>
        <v/>
      </c>
      <c r="CT273" s="39" t="str">
        <f>IFERROR(final!DE71*100/final!$I71,"")</f>
        <v/>
      </c>
      <c r="CU273" s="39" t="str">
        <f>IFERROR(final!DF71*100/final!$I71,"")</f>
        <v/>
      </c>
      <c r="CV273" s="39" t="str">
        <f>IFERROR(final!DG71*100/final!$I71,"")</f>
        <v/>
      </c>
      <c r="CW273" s="32" t="str">
        <f>IFERROR(SUM(A273:CV273)/final!$DH$103,"")</f>
        <v/>
      </c>
      <c r="CX273" s="14" t="str">
        <f>IF(COUNTA(final!A71),final!A71,"")</f>
        <v/>
      </c>
      <c r="CY273" s="14" t="str">
        <f>IF(COUNTA(final!B71),final!B71,"")</f>
        <v/>
      </c>
      <c r="CZ273" s="14" t="str">
        <f>IF(COUNTA(final!C71),final!C71,"")</f>
        <v/>
      </c>
      <c r="DA273" s="14" t="str">
        <f>IF(COUNTA(final!D71),final!D71,"")</f>
        <v/>
      </c>
      <c r="DB273" s="14" t="str">
        <f>IF(COUNTA(final!E71),final!E71,"")</f>
        <v/>
      </c>
      <c r="DC273" s="14" t="str">
        <f>IF(COUNTA(final!F71),final!F71,"")</f>
        <v/>
      </c>
      <c r="DD273" s="14" t="str">
        <f>IF(COUNTA(final!G71),final!G71,"")</f>
        <v/>
      </c>
      <c r="DE273" s="14" t="str">
        <f>IF(COUNTA(final!H71),final!H71,"")</f>
        <v/>
      </c>
    </row>
    <row r="274" spans="1:109" x14ac:dyDescent="0.2">
      <c r="A274" s="39" t="str">
        <f>IFERROR(final!L72*100/final!$I72,"")</f>
        <v/>
      </c>
      <c r="B274" s="39" t="str">
        <f>IFERROR(final!M72*100/final!$I72,"")</f>
        <v/>
      </c>
      <c r="C274" s="39" t="str">
        <f>IFERROR(final!N72*100/final!$I72,"")</f>
        <v/>
      </c>
      <c r="D274" s="39" t="str">
        <f>IFERROR(final!O72*100/final!$I72,"")</f>
        <v/>
      </c>
      <c r="E274" s="39" t="str">
        <f>IFERROR(final!P72*100/final!$I72,"")</f>
        <v/>
      </c>
      <c r="F274" s="39" t="str">
        <f>IFERROR(final!Q72*100/final!$I72,"")</f>
        <v/>
      </c>
      <c r="G274" s="39" t="str">
        <f>IFERROR(final!R72*100/final!$I72,"")</f>
        <v/>
      </c>
      <c r="H274" s="39" t="str">
        <f>IFERROR(final!S72*100/final!$I72,"")</f>
        <v/>
      </c>
      <c r="I274" s="39" t="str">
        <f>IFERROR(final!T72*100/final!$I72,"")</f>
        <v/>
      </c>
      <c r="J274" s="39" t="str">
        <f>IFERROR(final!U72*100/final!$I72,"")</f>
        <v/>
      </c>
      <c r="K274" s="39" t="str">
        <f>IFERROR(final!V72*100/final!$I72,"")</f>
        <v/>
      </c>
      <c r="L274" s="39" t="str">
        <f>IFERROR(final!W72*100/final!$I72,"")</f>
        <v/>
      </c>
      <c r="M274" s="39" t="str">
        <f>IFERROR(final!X72*100/final!$I72,"")</f>
        <v/>
      </c>
      <c r="N274" s="39" t="str">
        <f>IFERROR(final!Y72*100/final!$I72,"")</f>
        <v/>
      </c>
      <c r="O274" s="39" t="str">
        <f>IFERROR(final!Z72*100/final!$I72,"")</f>
        <v/>
      </c>
      <c r="P274" s="39" t="str">
        <f>IFERROR(final!AA72*100/final!$I72,"")</f>
        <v/>
      </c>
      <c r="Q274" s="39" t="str">
        <f>IFERROR(final!AB72*100/final!$I72,"")</f>
        <v/>
      </c>
      <c r="R274" s="39" t="str">
        <f>IFERROR(final!AC72*100/final!$I72,"")</f>
        <v/>
      </c>
      <c r="S274" s="39" t="str">
        <f>IFERROR(final!AD72*100/final!$I72,"")</f>
        <v/>
      </c>
      <c r="T274" s="39" t="str">
        <f>IFERROR(final!AE72*100/final!$I72,"")</f>
        <v/>
      </c>
      <c r="U274" s="39" t="str">
        <f>IFERROR(final!AF72*100/final!$I72,"")</f>
        <v/>
      </c>
      <c r="V274" s="39" t="str">
        <f>IFERROR(final!AG72*100/final!$I72,"")</f>
        <v/>
      </c>
      <c r="W274" s="39" t="str">
        <f>IFERROR(final!AH72*100/final!$I72,"")</f>
        <v/>
      </c>
      <c r="X274" s="39" t="str">
        <f>IFERROR(final!AI72*100/final!$I72,"")</f>
        <v/>
      </c>
      <c r="Y274" s="39" t="str">
        <f>IFERROR(final!AJ72*100/final!$I72,"")</f>
        <v/>
      </c>
      <c r="Z274" s="39" t="str">
        <f>IFERROR(final!AK72*100/final!$I72,"")</f>
        <v/>
      </c>
      <c r="AA274" s="39" t="str">
        <f>IFERROR(final!AL72*100/final!$I72,"")</f>
        <v/>
      </c>
      <c r="AB274" s="39" t="str">
        <f>IFERROR(final!AM72*100/final!$I72,"")</f>
        <v/>
      </c>
      <c r="AC274" s="39" t="str">
        <f>IFERROR(final!AN72*100/final!$I72,"")</f>
        <v/>
      </c>
      <c r="AD274" s="39" t="str">
        <f>IFERROR(final!AO72*100/final!$I72,"")</f>
        <v/>
      </c>
      <c r="AE274" s="39" t="str">
        <f>IFERROR(final!AP72*100/final!$I72,"")</f>
        <v/>
      </c>
      <c r="AF274" s="39" t="str">
        <f>IFERROR(final!AQ72*100/final!$I72,"")</f>
        <v/>
      </c>
      <c r="AG274" s="39" t="str">
        <f>IFERROR(final!AR72*100/final!$I72,"")</f>
        <v/>
      </c>
      <c r="AH274" s="39" t="str">
        <f>IFERROR(final!AS72*100/final!$I72,"")</f>
        <v/>
      </c>
      <c r="AI274" s="39" t="str">
        <f>IFERROR(final!AT72*100/final!$I72,"")</f>
        <v/>
      </c>
      <c r="AJ274" s="39" t="str">
        <f>IFERROR(final!AU72*100/final!$I72,"")</f>
        <v/>
      </c>
      <c r="AK274" s="39" t="str">
        <f>IFERROR(final!AV72*100/final!$I72,"")</f>
        <v/>
      </c>
      <c r="AL274" s="39" t="str">
        <f>IFERROR(final!AW72*100/final!$I72,"")</f>
        <v/>
      </c>
      <c r="AM274" s="39" t="str">
        <f>IFERROR(final!AX72*100/final!$I72,"")</f>
        <v/>
      </c>
      <c r="AN274" s="39" t="str">
        <f>IFERROR(final!AY72*100/final!$I72,"")</f>
        <v/>
      </c>
      <c r="AO274" s="39" t="str">
        <f>IFERROR(final!AZ72*100/final!$I72,"")</f>
        <v/>
      </c>
      <c r="AP274" s="39" t="str">
        <f>IFERROR(final!BA72*100/final!$I72,"")</f>
        <v/>
      </c>
      <c r="AQ274" s="39" t="str">
        <f>IFERROR(final!BB72*100/final!$I72,"")</f>
        <v/>
      </c>
      <c r="AR274" s="39" t="str">
        <f>IFERROR(final!BC72*100/final!$I72,"")</f>
        <v/>
      </c>
      <c r="AS274" s="39" t="str">
        <f>IFERROR(final!BD72*100/final!$I72,"")</f>
        <v/>
      </c>
      <c r="AT274" s="39" t="str">
        <f>IFERROR(final!BE72*100/final!$I72,"")</f>
        <v/>
      </c>
      <c r="AU274" s="39" t="str">
        <f>IFERROR(final!BF72*100/final!$I72,"")</f>
        <v/>
      </c>
      <c r="AV274" s="39" t="str">
        <f>IFERROR(final!BG72*100/final!$I72,"")</f>
        <v/>
      </c>
      <c r="AW274" s="39" t="str">
        <f>IFERROR(final!BH72*100/final!$I72,"")</f>
        <v/>
      </c>
      <c r="AX274" s="39" t="str">
        <f>IFERROR(final!BI72*100/final!$I72,"")</f>
        <v/>
      </c>
      <c r="AY274" s="39" t="str">
        <f>IFERROR(final!BJ72*100/final!$I72,"")</f>
        <v/>
      </c>
      <c r="AZ274" s="39" t="str">
        <f>IFERROR(final!BK72*100/final!$I72,"")</f>
        <v/>
      </c>
      <c r="BA274" s="39" t="str">
        <f>IFERROR(final!BL72*100/final!$I72,"")</f>
        <v/>
      </c>
      <c r="BB274" s="39" t="str">
        <f>IFERROR(final!BM72*100/final!$I72,"")</f>
        <v/>
      </c>
      <c r="BC274" s="39" t="str">
        <f>IFERROR(final!BN72*100/final!$I72,"")</f>
        <v/>
      </c>
      <c r="BD274" s="39" t="str">
        <f>IFERROR(final!BO72*100/final!$I72,"")</f>
        <v/>
      </c>
      <c r="BE274" s="39" t="str">
        <f>IFERROR(final!BP72*100/final!$I72,"")</f>
        <v/>
      </c>
      <c r="BF274" s="39" t="str">
        <f>IFERROR(final!BQ72*100/final!$I72,"")</f>
        <v/>
      </c>
      <c r="BG274" s="39" t="str">
        <f>IFERROR(final!BR72*100/final!$I72,"")</f>
        <v/>
      </c>
      <c r="BH274" s="39" t="str">
        <f>IFERROR(final!BS72*100/final!$I72,"")</f>
        <v/>
      </c>
      <c r="BI274" s="39" t="str">
        <f>IFERROR(final!BT72*100/final!$I72,"")</f>
        <v/>
      </c>
      <c r="BJ274" s="39" t="str">
        <f>IFERROR(final!BU72*100/final!$I72,"")</f>
        <v/>
      </c>
      <c r="BK274" s="39" t="str">
        <f>IFERROR(final!BV72*100/final!$I72,"")</f>
        <v/>
      </c>
      <c r="BL274" s="39" t="str">
        <f>IFERROR(final!BW72*100/final!$I72,"")</f>
        <v/>
      </c>
      <c r="BM274" s="39" t="str">
        <f>IFERROR(final!BX72*100/final!$I72,"")</f>
        <v/>
      </c>
      <c r="BN274" s="39" t="str">
        <f>IFERROR(final!BY72*100/final!$I72,"")</f>
        <v/>
      </c>
      <c r="BO274" s="39" t="str">
        <f>IFERROR(final!BZ72*100/final!$I72,"")</f>
        <v/>
      </c>
      <c r="BP274" s="39" t="str">
        <f>IFERROR(final!CA72*100/final!$I72,"")</f>
        <v/>
      </c>
      <c r="BQ274" s="39" t="str">
        <f>IFERROR(final!CB72*100/final!$I72,"")</f>
        <v/>
      </c>
      <c r="BR274" s="39" t="str">
        <f>IFERROR(final!CC72*100/final!$I72,"")</f>
        <v/>
      </c>
      <c r="BS274" s="39" t="str">
        <f>IFERROR(final!CD72*100/final!$I72,"")</f>
        <v/>
      </c>
      <c r="BT274" s="39" t="str">
        <f>IFERROR(final!CE72*100/final!$I72,"")</f>
        <v/>
      </c>
      <c r="BU274" s="39" t="str">
        <f>IFERROR(final!CF72*100/final!$I72,"")</f>
        <v/>
      </c>
      <c r="BV274" s="39" t="str">
        <f>IFERROR(final!CG72*100/final!$I72,"")</f>
        <v/>
      </c>
      <c r="BW274" s="39" t="str">
        <f>IFERROR(final!CH72*100/final!$I72,"")</f>
        <v/>
      </c>
      <c r="BX274" s="39" t="str">
        <f>IFERROR(final!CI72*100/final!$I72,"")</f>
        <v/>
      </c>
      <c r="BY274" s="39" t="str">
        <f>IFERROR(final!CJ72*100/final!$I72,"")</f>
        <v/>
      </c>
      <c r="BZ274" s="39" t="str">
        <f>IFERROR(final!CK72*100/final!$I72,"")</f>
        <v/>
      </c>
      <c r="CA274" s="39" t="str">
        <f>IFERROR(final!CL72*100/final!$I72,"")</f>
        <v/>
      </c>
      <c r="CB274" s="39" t="str">
        <f>IFERROR(final!CM72*100/final!$I72,"")</f>
        <v/>
      </c>
      <c r="CC274" s="39" t="str">
        <f>IFERROR(final!CN72*100/final!$I72,"")</f>
        <v/>
      </c>
      <c r="CD274" s="39" t="str">
        <f>IFERROR(final!CO72*100/final!$I72,"")</f>
        <v/>
      </c>
      <c r="CE274" s="39" t="str">
        <f>IFERROR(final!CP72*100/final!$I72,"")</f>
        <v/>
      </c>
      <c r="CF274" s="39" t="str">
        <f>IFERROR(final!CQ72*100/final!$I72,"")</f>
        <v/>
      </c>
      <c r="CG274" s="39" t="str">
        <f>IFERROR(final!CR72*100/final!$I72,"")</f>
        <v/>
      </c>
      <c r="CH274" s="39" t="str">
        <f>IFERROR(final!CS72*100/final!$I72,"")</f>
        <v/>
      </c>
      <c r="CI274" s="39" t="str">
        <f>IFERROR(final!CT72*100/final!$I72,"")</f>
        <v/>
      </c>
      <c r="CJ274" s="39" t="str">
        <f>IFERROR(final!CU72*100/final!$I72,"")</f>
        <v/>
      </c>
      <c r="CK274" s="39" t="str">
        <f>IFERROR(final!CV72*100/final!$I72,"")</f>
        <v/>
      </c>
      <c r="CL274" s="39" t="str">
        <f>IFERROR(final!CW72*100/final!$I72,"")</f>
        <v/>
      </c>
      <c r="CM274" s="39" t="str">
        <f>IFERROR(final!CX72*100/final!$I72,"")</f>
        <v/>
      </c>
      <c r="CN274" s="39" t="str">
        <f>IFERROR(final!CY72*100/final!$I72,"")</f>
        <v/>
      </c>
      <c r="CO274" s="39" t="str">
        <f>IFERROR(final!CZ72*100/final!$I72,"")</f>
        <v/>
      </c>
      <c r="CP274" s="39" t="str">
        <f>IFERROR(final!DA72*100/final!$I72,"")</f>
        <v/>
      </c>
      <c r="CQ274" s="39" t="str">
        <f>IFERROR(final!DB72*100/final!$I72,"")</f>
        <v/>
      </c>
      <c r="CR274" s="39" t="str">
        <f>IFERROR(final!DC72*100/final!$I72,"")</f>
        <v/>
      </c>
      <c r="CS274" s="39" t="str">
        <f>IFERROR(final!DD72*100/final!$I72,"")</f>
        <v/>
      </c>
      <c r="CT274" s="39" t="str">
        <f>IFERROR(final!DE72*100/final!$I72,"")</f>
        <v/>
      </c>
      <c r="CU274" s="39" t="str">
        <f>IFERROR(final!DF72*100/final!$I72,"")</f>
        <v/>
      </c>
      <c r="CV274" s="39" t="str">
        <f>IFERROR(final!DG72*100/final!$I72,"")</f>
        <v/>
      </c>
      <c r="CW274" s="32" t="str">
        <f>IFERROR(SUM(A274:CV274)/final!$DH$103,"")</f>
        <v/>
      </c>
      <c r="CX274" s="14" t="str">
        <f>IF(COUNTA(final!A72),final!A72,"")</f>
        <v/>
      </c>
      <c r="CY274" s="14" t="str">
        <f>IF(COUNTA(final!B72),final!B72,"")</f>
        <v/>
      </c>
      <c r="CZ274" s="14" t="str">
        <f>IF(COUNTA(final!C72),final!C72,"")</f>
        <v/>
      </c>
      <c r="DA274" s="14" t="str">
        <f>IF(COUNTA(final!D72),final!D72,"")</f>
        <v/>
      </c>
      <c r="DB274" s="14" t="str">
        <f>IF(COUNTA(final!E72),final!E72,"")</f>
        <v/>
      </c>
      <c r="DC274" s="14" t="str">
        <f>IF(COUNTA(final!F72),final!F72,"")</f>
        <v/>
      </c>
      <c r="DD274" s="14" t="str">
        <f>IF(COUNTA(final!G72),final!G72,"")</f>
        <v/>
      </c>
      <c r="DE274" s="14" t="str">
        <f>IF(COUNTA(final!H72),final!H72,"")</f>
        <v/>
      </c>
    </row>
    <row r="275" spans="1:109" x14ac:dyDescent="0.2">
      <c r="A275" s="39" t="str">
        <f>IFERROR(final!L73*100/final!$I73,"")</f>
        <v/>
      </c>
      <c r="B275" s="39" t="str">
        <f>IFERROR(final!M73*100/final!$I73,"")</f>
        <v/>
      </c>
      <c r="C275" s="39" t="str">
        <f>IFERROR(final!N73*100/final!$I73,"")</f>
        <v/>
      </c>
      <c r="D275" s="39" t="str">
        <f>IFERROR(final!O73*100/final!$I73,"")</f>
        <v/>
      </c>
      <c r="E275" s="39" t="str">
        <f>IFERROR(final!P73*100/final!$I73,"")</f>
        <v/>
      </c>
      <c r="F275" s="39" t="str">
        <f>IFERROR(final!Q73*100/final!$I73,"")</f>
        <v/>
      </c>
      <c r="G275" s="39" t="str">
        <f>IFERROR(final!R73*100/final!$I73,"")</f>
        <v/>
      </c>
      <c r="H275" s="39" t="str">
        <f>IFERROR(final!S73*100/final!$I73,"")</f>
        <v/>
      </c>
      <c r="I275" s="39" t="str">
        <f>IFERROR(final!T73*100/final!$I73,"")</f>
        <v/>
      </c>
      <c r="J275" s="39" t="str">
        <f>IFERROR(final!U73*100/final!$I73,"")</f>
        <v/>
      </c>
      <c r="K275" s="39" t="str">
        <f>IFERROR(final!V73*100/final!$I73,"")</f>
        <v/>
      </c>
      <c r="L275" s="39" t="str">
        <f>IFERROR(final!W73*100/final!$I73,"")</f>
        <v/>
      </c>
      <c r="M275" s="39" t="str">
        <f>IFERROR(final!X73*100/final!$I73,"")</f>
        <v/>
      </c>
      <c r="N275" s="39" t="str">
        <f>IFERROR(final!Y73*100/final!$I73,"")</f>
        <v/>
      </c>
      <c r="O275" s="39" t="str">
        <f>IFERROR(final!Z73*100/final!$I73,"")</f>
        <v/>
      </c>
      <c r="P275" s="39" t="str">
        <f>IFERROR(final!AA73*100/final!$I73,"")</f>
        <v/>
      </c>
      <c r="Q275" s="39" t="str">
        <f>IFERROR(final!AB73*100/final!$I73,"")</f>
        <v/>
      </c>
      <c r="R275" s="39" t="str">
        <f>IFERROR(final!AC73*100/final!$I73,"")</f>
        <v/>
      </c>
      <c r="S275" s="39" t="str">
        <f>IFERROR(final!AD73*100/final!$I73,"")</f>
        <v/>
      </c>
      <c r="T275" s="39" t="str">
        <f>IFERROR(final!AE73*100/final!$I73,"")</f>
        <v/>
      </c>
      <c r="U275" s="39" t="str">
        <f>IFERROR(final!AF73*100/final!$I73,"")</f>
        <v/>
      </c>
      <c r="V275" s="39" t="str">
        <f>IFERROR(final!AG73*100/final!$I73,"")</f>
        <v/>
      </c>
      <c r="W275" s="39" t="str">
        <f>IFERROR(final!AH73*100/final!$I73,"")</f>
        <v/>
      </c>
      <c r="X275" s="39" t="str">
        <f>IFERROR(final!AI73*100/final!$I73,"")</f>
        <v/>
      </c>
      <c r="Y275" s="39" t="str">
        <f>IFERROR(final!AJ73*100/final!$I73,"")</f>
        <v/>
      </c>
      <c r="Z275" s="39" t="str">
        <f>IFERROR(final!AK73*100/final!$I73,"")</f>
        <v/>
      </c>
      <c r="AA275" s="39" t="str">
        <f>IFERROR(final!AL73*100/final!$I73,"")</f>
        <v/>
      </c>
      <c r="AB275" s="39" t="str">
        <f>IFERROR(final!AM73*100/final!$I73,"")</f>
        <v/>
      </c>
      <c r="AC275" s="39" t="str">
        <f>IFERROR(final!AN73*100/final!$I73,"")</f>
        <v/>
      </c>
      <c r="AD275" s="39" t="str">
        <f>IFERROR(final!AO73*100/final!$I73,"")</f>
        <v/>
      </c>
      <c r="AE275" s="39" t="str">
        <f>IFERROR(final!AP73*100/final!$I73,"")</f>
        <v/>
      </c>
      <c r="AF275" s="39" t="str">
        <f>IFERROR(final!AQ73*100/final!$I73,"")</f>
        <v/>
      </c>
      <c r="AG275" s="39" t="str">
        <f>IFERROR(final!AR73*100/final!$I73,"")</f>
        <v/>
      </c>
      <c r="AH275" s="39" t="str">
        <f>IFERROR(final!AS73*100/final!$I73,"")</f>
        <v/>
      </c>
      <c r="AI275" s="39" t="str">
        <f>IFERROR(final!AT73*100/final!$I73,"")</f>
        <v/>
      </c>
      <c r="AJ275" s="39" t="str">
        <f>IFERROR(final!AU73*100/final!$I73,"")</f>
        <v/>
      </c>
      <c r="AK275" s="39" t="str">
        <f>IFERROR(final!AV73*100/final!$I73,"")</f>
        <v/>
      </c>
      <c r="AL275" s="39" t="str">
        <f>IFERROR(final!AW73*100/final!$I73,"")</f>
        <v/>
      </c>
      <c r="AM275" s="39" t="str">
        <f>IFERROR(final!AX73*100/final!$I73,"")</f>
        <v/>
      </c>
      <c r="AN275" s="39" t="str">
        <f>IFERROR(final!AY73*100/final!$I73,"")</f>
        <v/>
      </c>
      <c r="AO275" s="39" t="str">
        <f>IFERROR(final!AZ73*100/final!$I73,"")</f>
        <v/>
      </c>
      <c r="AP275" s="39" t="str">
        <f>IFERROR(final!BA73*100/final!$I73,"")</f>
        <v/>
      </c>
      <c r="AQ275" s="39" t="str">
        <f>IFERROR(final!BB73*100/final!$I73,"")</f>
        <v/>
      </c>
      <c r="AR275" s="39" t="str">
        <f>IFERROR(final!BC73*100/final!$I73,"")</f>
        <v/>
      </c>
      <c r="AS275" s="39" t="str">
        <f>IFERROR(final!BD73*100/final!$I73,"")</f>
        <v/>
      </c>
      <c r="AT275" s="39" t="str">
        <f>IFERROR(final!BE73*100/final!$I73,"")</f>
        <v/>
      </c>
      <c r="AU275" s="39" t="str">
        <f>IFERROR(final!BF73*100/final!$I73,"")</f>
        <v/>
      </c>
      <c r="AV275" s="39" t="str">
        <f>IFERROR(final!BG73*100/final!$I73,"")</f>
        <v/>
      </c>
      <c r="AW275" s="39" t="str">
        <f>IFERROR(final!BH73*100/final!$I73,"")</f>
        <v/>
      </c>
      <c r="AX275" s="39" t="str">
        <f>IFERROR(final!BI73*100/final!$I73,"")</f>
        <v/>
      </c>
      <c r="AY275" s="39" t="str">
        <f>IFERROR(final!BJ73*100/final!$I73,"")</f>
        <v/>
      </c>
      <c r="AZ275" s="39" t="str">
        <f>IFERROR(final!BK73*100/final!$I73,"")</f>
        <v/>
      </c>
      <c r="BA275" s="39" t="str">
        <f>IFERROR(final!BL73*100/final!$I73,"")</f>
        <v/>
      </c>
      <c r="BB275" s="39" t="str">
        <f>IFERROR(final!BM73*100/final!$I73,"")</f>
        <v/>
      </c>
      <c r="BC275" s="39" t="str">
        <f>IFERROR(final!BN73*100/final!$I73,"")</f>
        <v/>
      </c>
      <c r="BD275" s="39" t="str">
        <f>IFERROR(final!BO73*100/final!$I73,"")</f>
        <v/>
      </c>
      <c r="BE275" s="39" t="str">
        <f>IFERROR(final!BP73*100/final!$I73,"")</f>
        <v/>
      </c>
      <c r="BF275" s="39" t="str">
        <f>IFERROR(final!BQ73*100/final!$I73,"")</f>
        <v/>
      </c>
      <c r="BG275" s="39" t="str">
        <f>IFERROR(final!BR73*100/final!$I73,"")</f>
        <v/>
      </c>
      <c r="BH275" s="39" t="str">
        <f>IFERROR(final!BS73*100/final!$I73,"")</f>
        <v/>
      </c>
      <c r="BI275" s="39" t="str">
        <f>IFERROR(final!BT73*100/final!$I73,"")</f>
        <v/>
      </c>
      <c r="BJ275" s="39" t="str">
        <f>IFERROR(final!BU73*100/final!$I73,"")</f>
        <v/>
      </c>
      <c r="BK275" s="39" t="str">
        <f>IFERROR(final!BV73*100/final!$I73,"")</f>
        <v/>
      </c>
      <c r="BL275" s="39" t="str">
        <f>IFERROR(final!BW73*100/final!$I73,"")</f>
        <v/>
      </c>
      <c r="BM275" s="39" t="str">
        <f>IFERROR(final!BX73*100/final!$I73,"")</f>
        <v/>
      </c>
      <c r="BN275" s="39" t="str">
        <f>IFERROR(final!BY73*100/final!$I73,"")</f>
        <v/>
      </c>
      <c r="BO275" s="39" t="str">
        <f>IFERROR(final!BZ73*100/final!$I73,"")</f>
        <v/>
      </c>
      <c r="BP275" s="39" t="str">
        <f>IFERROR(final!CA73*100/final!$I73,"")</f>
        <v/>
      </c>
      <c r="BQ275" s="39" t="str">
        <f>IFERROR(final!CB73*100/final!$I73,"")</f>
        <v/>
      </c>
      <c r="BR275" s="39" t="str">
        <f>IFERROR(final!CC73*100/final!$I73,"")</f>
        <v/>
      </c>
      <c r="BS275" s="39" t="str">
        <f>IFERROR(final!CD73*100/final!$I73,"")</f>
        <v/>
      </c>
      <c r="BT275" s="39" t="str">
        <f>IFERROR(final!CE73*100/final!$I73,"")</f>
        <v/>
      </c>
      <c r="BU275" s="39" t="str">
        <f>IFERROR(final!CF73*100/final!$I73,"")</f>
        <v/>
      </c>
      <c r="BV275" s="39" t="str">
        <f>IFERROR(final!CG73*100/final!$I73,"")</f>
        <v/>
      </c>
      <c r="BW275" s="39" t="str">
        <f>IFERROR(final!CH73*100/final!$I73,"")</f>
        <v/>
      </c>
      <c r="BX275" s="39" t="str">
        <f>IFERROR(final!CI73*100/final!$I73,"")</f>
        <v/>
      </c>
      <c r="BY275" s="39" t="str">
        <f>IFERROR(final!CJ73*100/final!$I73,"")</f>
        <v/>
      </c>
      <c r="BZ275" s="39" t="str">
        <f>IFERROR(final!CK73*100/final!$I73,"")</f>
        <v/>
      </c>
      <c r="CA275" s="39" t="str">
        <f>IFERROR(final!CL73*100/final!$I73,"")</f>
        <v/>
      </c>
      <c r="CB275" s="39" t="str">
        <f>IFERROR(final!CM73*100/final!$I73,"")</f>
        <v/>
      </c>
      <c r="CC275" s="39" t="str">
        <f>IFERROR(final!CN73*100/final!$I73,"")</f>
        <v/>
      </c>
      <c r="CD275" s="39" t="str">
        <f>IFERROR(final!CO73*100/final!$I73,"")</f>
        <v/>
      </c>
      <c r="CE275" s="39" t="str">
        <f>IFERROR(final!CP73*100/final!$I73,"")</f>
        <v/>
      </c>
      <c r="CF275" s="39" t="str">
        <f>IFERROR(final!CQ73*100/final!$I73,"")</f>
        <v/>
      </c>
      <c r="CG275" s="39" t="str">
        <f>IFERROR(final!CR73*100/final!$I73,"")</f>
        <v/>
      </c>
      <c r="CH275" s="39" t="str">
        <f>IFERROR(final!CS73*100/final!$I73,"")</f>
        <v/>
      </c>
      <c r="CI275" s="39" t="str">
        <f>IFERROR(final!CT73*100/final!$I73,"")</f>
        <v/>
      </c>
      <c r="CJ275" s="39" t="str">
        <f>IFERROR(final!CU73*100/final!$I73,"")</f>
        <v/>
      </c>
      <c r="CK275" s="39" t="str">
        <f>IFERROR(final!CV73*100/final!$I73,"")</f>
        <v/>
      </c>
      <c r="CL275" s="39" t="str">
        <f>IFERROR(final!CW73*100/final!$I73,"")</f>
        <v/>
      </c>
      <c r="CM275" s="39" t="str">
        <f>IFERROR(final!CX73*100/final!$I73,"")</f>
        <v/>
      </c>
      <c r="CN275" s="39" t="str">
        <f>IFERROR(final!CY73*100/final!$I73,"")</f>
        <v/>
      </c>
      <c r="CO275" s="39" t="str">
        <f>IFERROR(final!CZ73*100/final!$I73,"")</f>
        <v/>
      </c>
      <c r="CP275" s="39" t="str">
        <f>IFERROR(final!DA73*100/final!$I73,"")</f>
        <v/>
      </c>
      <c r="CQ275" s="39" t="str">
        <f>IFERROR(final!DB73*100/final!$I73,"")</f>
        <v/>
      </c>
      <c r="CR275" s="39" t="str">
        <f>IFERROR(final!DC73*100/final!$I73,"")</f>
        <v/>
      </c>
      <c r="CS275" s="39" t="str">
        <f>IFERROR(final!DD73*100/final!$I73,"")</f>
        <v/>
      </c>
      <c r="CT275" s="39" t="str">
        <f>IFERROR(final!DE73*100/final!$I73,"")</f>
        <v/>
      </c>
      <c r="CU275" s="39" t="str">
        <f>IFERROR(final!DF73*100/final!$I73,"")</f>
        <v/>
      </c>
      <c r="CV275" s="39" t="str">
        <f>IFERROR(final!DG73*100/final!$I73,"")</f>
        <v/>
      </c>
      <c r="CW275" s="32" t="str">
        <f>IFERROR(SUM(A275:CV275)/final!$DH$103,"")</f>
        <v/>
      </c>
      <c r="CX275" s="14" t="str">
        <f>IF(COUNTA(final!A73),final!A73,"")</f>
        <v/>
      </c>
      <c r="CY275" s="14" t="str">
        <f>IF(COUNTA(final!B73),final!B73,"")</f>
        <v/>
      </c>
      <c r="CZ275" s="14" t="str">
        <f>IF(COUNTA(final!C73),final!C73,"")</f>
        <v/>
      </c>
      <c r="DA275" s="14" t="str">
        <f>IF(COUNTA(final!D73),final!D73,"")</f>
        <v/>
      </c>
      <c r="DB275" s="14" t="str">
        <f>IF(COUNTA(final!E73),final!E73,"")</f>
        <v/>
      </c>
      <c r="DC275" s="14" t="str">
        <f>IF(COUNTA(final!F73),final!F73,"")</f>
        <v/>
      </c>
      <c r="DD275" s="14" t="str">
        <f>IF(COUNTA(final!G73),final!G73,"")</f>
        <v/>
      </c>
      <c r="DE275" s="14" t="str">
        <f>IF(COUNTA(final!H73),final!H73,"")</f>
        <v/>
      </c>
    </row>
    <row r="276" spans="1:109" x14ac:dyDescent="0.2">
      <c r="A276" s="39" t="str">
        <f>IFERROR(final!L74*100/final!$I74,"")</f>
        <v/>
      </c>
      <c r="B276" s="39" t="str">
        <f>IFERROR(final!M74*100/final!$I74,"")</f>
        <v/>
      </c>
      <c r="C276" s="39" t="str">
        <f>IFERROR(final!N74*100/final!$I74,"")</f>
        <v/>
      </c>
      <c r="D276" s="39" t="str">
        <f>IFERROR(final!O74*100/final!$I74,"")</f>
        <v/>
      </c>
      <c r="E276" s="39" t="str">
        <f>IFERROR(final!P74*100/final!$I74,"")</f>
        <v/>
      </c>
      <c r="F276" s="39" t="str">
        <f>IFERROR(final!Q74*100/final!$I74,"")</f>
        <v/>
      </c>
      <c r="G276" s="39" t="str">
        <f>IFERROR(final!R74*100/final!$I74,"")</f>
        <v/>
      </c>
      <c r="H276" s="39" t="str">
        <f>IFERROR(final!S74*100/final!$I74,"")</f>
        <v/>
      </c>
      <c r="I276" s="39" t="str">
        <f>IFERROR(final!T74*100/final!$I74,"")</f>
        <v/>
      </c>
      <c r="J276" s="39" t="str">
        <f>IFERROR(final!U74*100/final!$I74,"")</f>
        <v/>
      </c>
      <c r="K276" s="39" t="str">
        <f>IFERROR(final!V74*100/final!$I74,"")</f>
        <v/>
      </c>
      <c r="L276" s="39" t="str">
        <f>IFERROR(final!W74*100/final!$I74,"")</f>
        <v/>
      </c>
      <c r="M276" s="39" t="str">
        <f>IFERROR(final!X74*100/final!$I74,"")</f>
        <v/>
      </c>
      <c r="N276" s="39" t="str">
        <f>IFERROR(final!Y74*100/final!$I74,"")</f>
        <v/>
      </c>
      <c r="O276" s="39" t="str">
        <f>IFERROR(final!Z74*100/final!$I74,"")</f>
        <v/>
      </c>
      <c r="P276" s="39" t="str">
        <f>IFERROR(final!AA74*100/final!$I74,"")</f>
        <v/>
      </c>
      <c r="Q276" s="39" t="str">
        <f>IFERROR(final!AB74*100/final!$I74,"")</f>
        <v/>
      </c>
      <c r="R276" s="39" t="str">
        <f>IFERROR(final!AC74*100/final!$I74,"")</f>
        <v/>
      </c>
      <c r="S276" s="39" t="str">
        <f>IFERROR(final!AD74*100/final!$I74,"")</f>
        <v/>
      </c>
      <c r="T276" s="39" t="str">
        <f>IFERROR(final!AE74*100/final!$I74,"")</f>
        <v/>
      </c>
      <c r="U276" s="39" t="str">
        <f>IFERROR(final!AF74*100/final!$I74,"")</f>
        <v/>
      </c>
      <c r="V276" s="39" t="str">
        <f>IFERROR(final!AG74*100/final!$I74,"")</f>
        <v/>
      </c>
      <c r="W276" s="39" t="str">
        <f>IFERROR(final!AH74*100/final!$I74,"")</f>
        <v/>
      </c>
      <c r="X276" s="39" t="str">
        <f>IFERROR(final!AI74*100/final!$I74,"")</f>
        <v/>
      </c>
      <c r="Y276" s="39" t="str">
        <f>IFERROR(final!AJ74*100/final!$I74,"")</f>
        <v/>
      </c>
      <c r="Z276" s="39" t="str">
        <f>IFERROR(final!AK74*100/final!$I74,"")</f>
        <v/>
      </c>
      <c r="AA276" s="39" t="str">
        <f>IFERROR(final!AL74*100/final!$I74,"")</f>
        <v/>
      </c>
      <c r="AB276" s="39" t="str">
        <f>IFERROR(final!AM74*100/final!$I74,"")</f>
        <v/>
      </c>
      <c r="AC276" s="39" t="str">
        <f>IFERROR(final!AN74*100/final!$I74,"")</f>
        <v/>
      </c>
      <c r="AD276" s="39" t="str">
        <f>IFERROR(final!AO74*100/final!$I74,"")</f>
        <v/>
      </c>
      <c r="AE276" s="39" t="str">
        <f>IFERROR(final!AP74*100/final!$I74,"")</f>
        <v/>
      </c>
      <c r="AF276" s="39" t="str">
        <f>IFERROR(final!AQ74*100/final!$I74,"")</f>
        <v/>
      </c>
      <c r="AG276" s="39" t="str">
        <f>IFERROR(final!AR74*100/final!$I74,"")</f>
        <v/>
      </c>
      <c r="AH276" s="39" t="str">
        <f>IFERROR(final!AS74*100/final!$I74,"")</f>
        <v/>
      </c>
      <c r="AI276" s="39" t="str">
        <f>IFERROR(final!AT74*100/final!$I74,"")</f>
        <v/>
      </c>
      <c r="AJ276" s="39" t="str">
        <f>IFERROR(final!AU74*100/final!$I74,"")</f>
        <v/>
      </c>
      <c r="AK276" s="39" t="str">
        <f>IFERROR(final!AV74*100/final!$I74,"")</f>
        <v/>
      </c>
      <c r="AL276" s="39" t="str">
        <f>IFERROR(final!AW74*100/final!$I74,"")</f>
        <v/>
      </c>
      <c r="AM276" s="39" t="str">
        <f>IFERROR(final!AX74*100/final!$I74,"")</f>
        <v/>
      </c>
      <c r="AN276" s="39" t="str">
        <f>IFERROR(final!AY74*100/final!$I74,"")</f>
        <v/>
      </c>
      <c r="AO276" s="39" t="str">
        <f>IFERROR(final!AZ74*100/final!$I74,"")</f>
        <v/>
      </c>
      <c r="AP276" s="39" t="str">
        <f>IFERROR(final!BA74*100/final!$I74,"")</f>
        <v/>
      </c>
      <c r="AQ276" s="39" t="str">
        <f>IFERROR(final!BB74*100/final!$I74,"")</f>
        <v/>
      </c>
      <c r="AR276" s="39" t="str">
        <f>IFERROR(final!BC74*100/final!$I74,"")</f>
        <v/>
      </c>
      <c r="AS276" s="39" t="str">
        <f>IFERROR(final!BD74*100/final!$I74,"")</f>
        <v/>
      </c>
      <c r="AT276" s="39" t="str">
        <f>IFERROR(final!BE74*100/final!$I74,"")</f>
        <v/>
      </c>
      <c r="AU276" s="39" t="str">
        <f>IFERROR(final!BF74*100/final!$I74,"")</f>
        <v/>
      </c>
      <c r="AV276" s="39" t="str">
        <f>IFERROR(final!BG74*100/final!$I74,"")</f>
        <v/>
      </c>
      <c r="AW276" s="39" t="str">
        <f>IFERROR(final!BH74*100/final!$I74,"")</f>
        <v/>
      </c>
      <c r="AX276" s="39" t="str">
        <f>IFERROR(final!BI74*100/final!$I74,"")</f>
        <v/>
      </c>
      <c r="AY276" s="39" t="str">
        <f>IFERROR(final!BJ74*100/final!$I74,"")</f>
        <v/>
      </c>
      <c r="AZ276" s="39" t="str">
        <f>IFERROR(final!BK74*100/final!$I74,"")</f>
        <v/>
      </c>
      <c r="BA276" s="39" t="str">
        <f>IFERROR(final!BL74*100/final!$I74,"")</f>
        <v/>
      </c>
      <c r="BB276" s="39" t="str">
        <f>IFERROR(final!BM74*100/final!$I74,"")</f>
        <v/>
      </c>
      <c r="BC276" s="39" t="str">
        <f>IFERROR(final!BN74*100/final!$I74,"")</f>
        <v/>
      </c>
      <c r="BD276" s="39" t="str">
        <f>IFERROR(final!BO74*100/final!$I74,"")</f>
        <v/>
      </c>
      <c r="BE276" s="39" t="str">
        <f>IFERROR(final!BP74*100/final!$I74,"")</f>
        <v/>
      </c>
      <c r="BF276" s="39" t="str">
        <f>IFERROR(final!BQ74*100/final!$I74,"")</f>
        <v/>
      </c>
      <c r="BG276" s="39" t="str">
        <f>IFERROR(final!BR74*100/final!$I74,"")</f>
        <v/>
      </c>
      <c r="BH276" s="39" t="str">
        <f>IFERROR(final!BS74*100/final!$I74,"")</f>
        <v/>
      </c>
      <c r="BI276" s="39" t="str">
        <f>IFERROR(final!BT74*100/final!$I74,"")</f>
        <v/>
      </c>
      <c r="BJ276" s="39" t="str">
        <f>IFERROR(final!BU74*100/final!$I74,"")</f>
        <v/>
      </c>
      <c r="BK276" s="39" t="str">
        <f>IFERROR(final!BV74*100/final!$I74,"")</f>
        <v/>
      </c>
      <c r="BL276" s="39" t="str">
        <f>IFERROR(final!BW74*100/final!$I74,"")</f>
        <v/>
      </c>
      <c r="BM276" s="39" t="str">
        <f>IFERROR(final!BX74*100/final!$I74,"")</f>
        <v/>
      </c>
      <c r="BN276" s="39" t="str">
        <f>IFERROR(final!BY74*100/final!$I74,"")</f>
        <v/>
      </c>
      <c r="BO276" s="39" t="str">
        <f>IFERROR(final!BZ74*100/final!$I74,"")</f>
        <v/>
      </c>
      <c r="BP276" s="39" t="str">
        <f>IFERROR(final!CA74*100/final!$I74,"")</f>
        <v/>
      </c>
      <c r="BQ276" s="39" t="str">
        <f>IFERROR(final!CB74*100/final!$I74,"")</f>
        <v/>
      </c>
      <c r="BR276" s="39" t="str">
        <f>IFERROR(final!CC74*100/final!$I74,"")</f>
        <v/>
      </c>
      <c r="BS276" s="39" t="str">
        <f>IFERROR(final!CD74*100/final!$I74,"")</f>
        <v/>
      </c>
      <c r="BT276" s="39" t="str">
        <f>IFERROR(final!CE74*100/final!$I74,"")</f>
        <v/>
      </c>
      <c r="BU276" s="39" t="str">
        <f>IFERROR(final!CF74*100/final!$I74,"")</f>
        <v/>
      </c>
      <c r="BV276" s="39" t="str">
        <f>IFERROR(final!CG74*100/final!$I74,"")</f>
        <v/>
      </c>
      <c r="BW276" s="39" t="str">
        <f>IFERROR(final!CH74*100/final!$I74,"")</f>
        <v/>
      </c>
      <c r="BX276" s="39" t="str">
        <f>IFERROR(final!CI74*100/final!$I74,"")</f>
        <v/>
      </c>
      <c r="BY276" s="39" t="str">
        <f>IFERROR(final!CJ74*100/final!$I74,"")</f>
        <v/>
      </c>
      <c r="BZ276" s="39" t="str">
        <f>IFERROR(final!CK74*100/final!$I74,"")</f>
        <v/>
      </c>
      <c r="CA276" s="39" t="str">
        <f>IFERROR(final!CL74*100/final!$I74,"")</f>
        <v/>
      </c>
      <c r="CB276" s="39" t="str">
        <f>IFERROR(final!CM74*100/final!$I74,"")</f>
        <v/>
      </c>
      <c r="CC276" s="39" t="str">
        <f>IFERROR(final!CN74*100/final!$I74,"")</f>
        <v/>
      </c>
      <c r="CD276" s="39" t="str">
        <f>IFERROR(final!CO74*100/final!$I74,"")</f>
        <v/>
      </c>
      <c r="CE276" s="39" t="str">
        <f>IFERROR(final!CP74*100/final!$I74,"")</f>
        <v/>
      </c>
      <c r="CF276" s="39" t="str">
        <f>IFERROR(final!CQ74*100/final!$I74,"")</f>
        <v/>
      </c>
      <c r="CG276" s="39" t="str">
        <f>IFERROR(final!CR74*100/final!$I74,"")</f>
        <v/>
      </c>
      <c r="CH276" s="39" t="str">
        <f>IFERROR(final!CS74*100/final!$I74,"")</f>
        <v/>
      </c>
      <c r="CI276" s="39" t="str">
        <f>IFERROR(final!CT74*100/final!$I74,"")</f>
        <v/>
      </c>
      <c r="CJ276" s="39" t="str">
        <f>IFERROR(final!CU74*100/final!$I74,"")</f>
        <v/>
      </c>
      <c r="CK276" s="39" t="str">
        <f>IFERROR(final!CV74*100/final!$I74,"")</f>
        <v/>
      </c>
      <c r="CL276" s="39" t="str">
        <f>IFERROR(final!CW74*100/final!$I74,"")</f>
        <v/>
      </c>
      <c r="CM276" s="39" t="str">
        <f>IFERROR(final!CX74*100/final!$I74,"")</f>
        <v/>
      </c>
      <c r="CN276" s="39" t="str">
        <f>IFERROR(final!CY74*100/final!$I74,"")</f>
        <v/>
      </c>
      <c r="CO276" s="39" t="str">
        <f>IFERROR(final!CZ74*100/final!$I74,"")</f>
        <v/>
      </c>
      <c r="CP276" s="39" t="str">
        <f>IFERROR(final!DA74*100/final!$I74,"")</f>
        <v/>
      </c>
      <c r="CQ276" s="39" t="str">
        <f>IFERROR(final!DB74*100/final!$I74,"")</f>
        <v/>
      </c>
      <c r="CR276" s="39" t="str">
        <f>IFERROR(final!DC74*100/final!$I74,"")</f>
        <v/>
      </c>
      <c r="CS276" s="39" t="str">
        <f>IFERROR(final!DD74*100/final!$I74,"")</f>
        <v/>
      </c>
      <c r="CT276" s="39" t="str">
        <f>IFERROR(final!DE74*100/final!$I74,"")</f>
        <v/>
      </c>
      <c r="CU276" s="39" t="str">
        <f>IFERROR(final!DF74*100/final!$I74,"")</f>
        <v/>
      </c>
      <c r="CV276" s="39" t="str">
        <f>IFERROR(final!DG74*100/final!$I74,"")</f>
        <v/>
      </c>
      <c r="CW276" s="32" t="str">
        <f>IFERROR(SUM(A276:CV276)/final!$DH$103,"")</f>
        <v/>
      </c>
      <c r="CX276" s="14" t="str">
        <f>IF(COUNTA(final!A74),final!A74,"")</f>
        <v/>
      </c>
      <c r="CY276" s="14" t="str">
        <f>IF(COUNTA(final!B74),final!B74,"")</f>
        <v/>
      </c>
      <c r="CZ276" s="14" t="str">
        <f>IF(COUNTA(final!C74),final!C74,"")</f>
        <v/>
      </c>
      <c r="DA276" s="14" t="str">
        <f>IF(COUNTA(final!D74),final!D74,"")</f>
        <v/>
      </c>
      <c r="DB276" s="14" t="str">
        <f>IF(COUNTA(final!E74),final!E74,"")</f>
        <v/>
      </c>
      <c r="DC276" s="14" t="str">
        <f>IF(COUNTA(final!F74),final!F74,"")</f>
        <v/>
      </c>
      <c r="DD276" s="14" t="str">
        <f>IF(COUNTA(final!G74),final!G74,"")</f>
        <v/>
      </c>
      <c r="DE276" s="14" t="str">
        <f>IF(COUNTA(final!H74),final!H74,"")</f>
        <v/>
      </c>
    </row>
    <row r="277" spans="1:109" x14ac:dyDescent="0.2">
      <c r="A277" s="39" t="str">
        <f>IFERROR(final!L75*100/final!$I75,"")</f>
        <v/>
      </c>
      <c r="B277" s="39" t="str">
        <f>IFERROR(final!M75*100/final!$I75,"")</f>
        <v/>
      </c>
      <c r="C277" s="39" t="str">
        <f>IFERROR(final!N75*100/final!$I75,"")</f>
        <v/>
      </c>
      <c r="D277" s="39" t="str">
        <f>IFERROR(final!O75*100/final!$I75,"")</f>
        <v/>
      </c>
      <c r="E277" s="39" t="str">
        <f>IFERROR(final!P75*100/final!$I75,"")</f>
        <v/>
      </c>
      <c r="F277" s="39" t="str">
        <f>IFERROR(final!Q75*100/final!$I75,"")</f>
        <v/>
      </c>
      <c r="G277" s="39" t="str">
        <f>IFERROR(final!R75*100/final!$I75,"")</f>
        <v/>
      </c>
      <c r="H277" s="39" t="str">
        <f>IFERROR(final!S75*100/final!$I75,"")</f>
        <v/>
      </c>
      <c r="I277" s="39" t="str">
        <f>IFERROR(final!T75*100/final!$I75,"")</f>
        <v/>
      </c>
      <c r="J277" s="39" t="str">
        <f>IFERROR(final!U75*100/final!$I75,"")</f>
        <v/>
      </c>
      <c r="K277" s="39" t="str">
        <f>IFERROR(final!V75*100/final!$I75,"")</f>
        <v/>
      </c>
      <c r="L277" s="39" t="str">
        <f>IFERROR(final!W75*100/final!$I75,"")</f>
        <v/>
      </c>
      <c r="M277" s="39" t="str">
        <f>IFERROR(final!X75*100/final!$I75,"")</f>
        <v/>
      </c>
      <c r="N277" s="39" t="str">
        <f>IFERROR(final!Y75*100/final!$I75,"")</f>
        <v/>
      </c>
      <c r="O277" s="39" t="str">
        <f>IFERROR(final!Z75*100/final!$I75,"")</f>
        <v/>
      </c>
      <c r="P277" s="39" t="str">
        <f>IFERROR(final!AA75*100/final!$I75,"")</f>
        <v/>
      </c>
      <c r="Q277" s="39" t="str">
        <f>IFERROR(final!AB75*100/final!$I75,"")</f>
        <v/>
      </c>
      <c r="R277" s="39" t="str">
        <f>IFERROR(final!AC75*100/final!$I75,"")</f>
        <v/>
      </c>
      <c r="S277" s="39" t="str">
        <f>IFERROR(final!AD75*100/final!$I75,"")</f>
        <v/>
      </c>
      <c r="T277" s="39" t="str">
        <f>IFERROR(final!AE75*100/final!$I75,"")</f>
        <v/>
      </c>
      <c r="U277" s="39" t="str">
        <f>IFERROR(final!AF75*100/final!$I75,"")</f>
        <v/>
      </c>
      <c r="V277" s="39" t="str">
        <f>IFERROR(final!AG75*100/final!$I75,"")</f>
        <v/>
      </c>
      <c r="W277" s="39" t="str">
        <f>IFERROR(final!AH75*100/final!$I75,"")</f>
        <v/>
      </c>
      <c r="X277" s="39" t="str">
        <f>IFERROR(final!AI75*100/final!$I75,"")</f>
        <v/>
      </c>
      <c r="Y277" s="39" t="str">
        <f>IFERROR(final!AJ75*100/final!$I75,"")</f>
        <v/>
      </c>
      <c r="Z277" s="39" t="str">
        <f>IFERROR(final!AK75*100/final!$I75,"")</f>
        <v/>
      </c>
      <c r="AA277" s="39" t="str">
        <f>IFERROR(final!AL75*100/final!$I75,"")</f>
        <v/>
      </c>
      <c r="AB277" s="39" t="str">
        <f>IFERROR(final!AM75*100/final!$I75,"")</f>
        <v/>
      </c>
      <c r="AC277" s="39" t="str">
        <f>IFERROR(final!AN75*100/final!$I75,"")</f>
        <v/>
      </c>
      <c r="AD277" s="39" t="str">
        <f>IFERROR(final!AO75*100/final!$I75,"")</f>
        <v/>
      </c>
      <c r="AE277" s="39" t="str">
        <f>IFERROR(final!AP75*100/final!$I75,"")</f>
        <v/>
      </c>
      <c r="AF277" s="39" t="str">
        <f>IFERROR(final!AQ75*100/final!$I75,"")</f>
        <v/>
      </c>
      <c r="AG277" s="39" t="str">
        <f>IFERROR(final!AR75*100/final!$I75,"")</f>
        <v/>
      </c>
      <c r="AH277" s="39" t="str">
        <f>IFERROR(final!AS75*100/final!$I75,"")</f>
        <v/>
      </c>
      <c r="AI277" s="39" t="str">
        <f>IFERROR(final!AT75*100/final!$I75,"")</f>
        <v/>
      </c>
      <c r="AJ277" s="39" t="str">
        <f>IFERROR(final!AU75*100/final!$I75,"")</f>
        <v/>
      </c>
      <c r="AK277" s="39" t="str">
        <f>IFERROR(final!AV75*100/final!$I75,"")</f>
        <v/>
      </c>
      <c r="AL277" s="39" t="str">
        <f>IFERROR(final!AW75*100/final!$I75,"")</f>
        <v/>
      </c>
      <c r="AM277" s="39" t="str">
        <f>IFERROR(final!AX75*100/final!$I75,"")</f>
        <v/>
      </c>
      <c r="AN277" s="39" t="str">
        <f>IFERROR(final!AY75*100/final!$I75,"")</f>
        <v/>
      </c>
      <c r="AO277" s="39" t="str">
        <f>IFERROR(final!AZ75*100/final!$I75,"")</f>
        <v/>
      </c>
      <c r="AP277" s="39" t="str">
        <f>IFERROR(final!BA75*100/final!$I75,"")</f>
        <v/>
      </c>
      <c r="AQ277" s="39" t="str">
        <f>IFERROR(final!BB75*100/final!$I75,"")</f>
        <v/>
      </c>
      <c r="AR277" s="39" t="str">
        <f>IFERROR(final!BC75*100/final!$I75,"")</f>
        <v/>
      </c>
      <c r="AS277" s="39" t="str">
        <f>IFERROR(final!BD75*100/final!$I75,"")</f>
        <v/>
      </c>
      <c r="AT277" s="39" t="str">
        <f>IFERROR(final!BE75*100/final!$I75,"")</f>
        <v/>
      </c>
      <c r="AU277" s="39" t="str">
        <f>IFERROR(final!BF75*100/final!$I75,"")</f>
        <v/>
      </c>
      <c r="AV277" s="39" t="str">
        <f>IFERROR(final!BG75*100/final!$I75,"")</f>
        <v/>
      </c>
      <c r="AW277" s="39" t="str">
        <f>IFERROR(final!BH75*100/final!$I75,"")</f>
        <v/>
      </c>
      <c r="AX277" s="39" t="str">
        <f>IFERROR(final!BI75*100/final!$I75,"")</f>
        <v/>
      </c>
      <c r="AY277" s="39" t="str">
        <f>IFERROR(final!BJ75*100/final!$I75,"")</f>
        <v/>
      </c>
      <c r="AZ277" s="39" t="str">
        <f>IFERROR(final!BK75*100/final!$I75,"")</f>
        <v/>
      </c>
      <c r="BA277" s="39" t="str">
        <f>IFERROR(final!BL75*100/final!$I75,"")</f>
        <v/>
      </c>
      <c r="BB277" s="39" t="str">
        <f>IFERROR(final!BM75*100/final!$I75,"")</f>
        <v/>
      </c>
      <c r="BC277" s="39" t="str">
        <f>IFERROR(final!BN75*100/final!$I75,"")</f>
        <v/>
      </c>
      <c r="BD277" s="39" t="str">
        <f>IFERROR(final!BO75*100/final!$I75,"")</f>
        <v/>
      </c>
      <c r="BE277" s="39" t="str">
        <f>IFERROR(final!BP75*100/final!$I75,"")</f>
        <v/>
      </c>
      <c r="BF277" s="39" t="str">
        <f>IFERROR(final!BQ75*100/final!$I75,"")</f>
        <v/>
      </c>
      <c r="BG277" s="39" t="str">
        <f>IFERROR(final!BR75*100/final!$I75,"")</f>
        <v/>
      </c>
      <c r="BH277" s="39" t="str">
        <f>IFERROR(final!BS75*100/final!$I75,"")</f>
        <v/>
      </c>
      <c r="BI277" s="39" t="str">
        <f>IFERROR(final!BT75*100/final!$I75,"")</f>
        <v/>
      </c>
      <c r="BJ277" s="39" t="str">
        <f>IFERROR(final!BU75*100/final!$I75,"")</f>
        <v/>
      </c>
      <c r="BK277" s="39" t="str">
        <f>IFERROR(final!BV75*100/final!$I75,"")</f>
        <v/>
      </c>
      <c r="BL277" s="39" t="str">
        <f>IFERROR(final!BW75*100/final!$I75,"")</f>
        <v/>
      </c>
      <c r="BM277" s="39" t="str">
        <f>IFERROR(final!BX75*100/final!$I75,"")</f>
        <v/>
      </c>
      <c r="BN277" s="39" t="str">
        <f>IFERROR(final!BY75*100/final!$I75,"")</f>
        <v/>
      </c>
      <c r="BO277" s="39" t="str">
        <f>IFERROR(final!BZ75*100/final!$I75,"")</f>
        <v/>
      </c>
      <c r="BP277" s="39" t="str">
        <f>IFERROR(final!CA75*100/final!$I75,"")</f>
        <v/>
      </c>
      <c r="BQ277" s="39" t="str">
        <f>IFERROR(final!CB75*100/final!$I75,"")</f>
        <v/>
      </c>
      <c r="BR277" s="39" t="str">
        <f>IFERROR(final!CC75*100/final!$I75,"")</f>
        <v/>
      </c>
      <c r="BS277" s="39" t="str">
        <f>IFERROR(final!CD75*100/final!$I75,"")</f>
        <v/>
      </c>
      <c r="BT277" s="39" t="str">
        <f>IFERROR(final!CE75*100/final!$I75,"")</f>
        <v/>
      </c>
      <c r="BU277" s="39" t="str">
        <f>IFERROR(final!CF75*100/final!$I75,"")</f>
        <v/>
      </c>
      <c r="BV277" s="39" t="str">
        <f>IFERROR(final!CG75*100/final!$I75,"")</f>
        <v/>
      </c>
      <c r="BW277" s="39" t="str">
        <f>IFERROR(final!CH75*100/final!$I75,"")</f>
        <v/>
      </c>
      <c r="BX277" s="39" t="str">
        <f>IFERROR(final!CI75*100/final!$I75,"")</f>
        <v/>
      </c>
      <c r="BY277" s="39" t="str">
        <f>IFERROR(final!CJ75*100/final!$I75,"")</f>
        <v/>
      </c>
      <c r="BZ277" s="39" t="str">
        <f>IFERROR(final!CK75*100/final!$I75,"")</f>
        <v/>
      </c>
      <c r="CA277" s="39" t="str">
        <f>IFERROR(final!CL75*100/final!$I75,"")</f>
        <v/>
      </c>
      <c r="CB277" s="39" t="str">
        <f>IFERROR(final!CM75*100/final!$I75,"")</f>
        <v/>
      </c>
      <c r="CC277" s="39" t="str">
        <f>IFERROR(final!CN75*100/final!$I75,"")</f>
        <v/>
      </c>
      <c r="CD277" s="39" t="str">
        <f>IFERROR(final!CO75*100/final!$I75,"")</f>
        <v/>
      </c>
      <c r="CE277" s="39" t="str">
        <f>IFERROR(final!CP75*100/final!$I75,"")</f>
        <v/>
      </c>
      <c r="CF277" s="39" t="str">
        <f>IFERROR(final!CQ75*100/final!$I75,"")</f>
        <v/>
      </c>
      <c r="CG277" s="39" t="str">
        <f>IFERROR(final!CR75*100/final!$I75,"")</f>
        <v/>
      </c>
      <c r="CH277" s="39" t="str">
        <f>IFERROR(final!CS75*100/final!$I75,"")</f>
        <v/>
      </c>
      <c r="CI277" s="39" t="str">
        <f>IFERROR(final!CT75*100/final!$I75,"")</f>
        <v/>
      </c>
      <c r="CJ277" s="39" t="str">
        <f>IFERROR(final!CU75*100/final!$I75,"")</f>
        <v/>
      </c>
      <c r="CK277" s="39" t="str">
        <f>IFERROR(final!CV75*100/final!$I75,"")</f>
        <v/>
      </c>
      <c r="CL277" s="39" t="str">
        <f>IFERROR(final!CW75*100/final!$I75,"")</f>
        <v/>
      </c>
      <c r="CM277" s="39" t="str">
        <f>IFERROR(final!CX75*100/final!$I75,"")</f>
        <v/>
      </c>
      <c r="CN277" s="39" t="str">
        <f>IFERROR(final!CY75*100/final!$I75,"")</f>
        <v/>
      </c>
      <c r="CO277" s="39" t="str">
        <f>IFERROR(final!CZ75*100/final!$I75,"")</f>
        <v/>
      </c>
      <c r="CP277" s="39" t="str">
        <f>IFERROR(final!DA75*100/final!$I75,"")</f>
        <v/>
      </c>
      <c r="CQ277" s="39" t="str">
        <f>IFERROR(final!DB75*100/final!$I75,"")</f>
        <v/>
      </c>
      <c r="CR277" s="39" t="str">
        <f>IFERROR(final!DC75*100/final!$I75,"")</f>
        <v/>
      </c>
      <c r="CS277" s="39" t="str">
        <f>IFERROR(final!DD75*100/final!$I75,"")</f>
        <v/>
      </c>
      <c r="CT277" s="39" t="str">
        <f>IFERROR(final!DE75*100/final!$I75,"")</f>
        <v/>
      </c>
      <c r="CU277" s="39" t="str">
        <f>IFERROR(final!DF75*100/final!$I75,"")</f>
        <v/>
      </c>
      <c r="CV277" s="39" t="str">
        <f>IFERROR(final!DG75*100/final!$I75,"")</f>
        <v/>
      </c>
      <c r="CW277" s="32" t="str">
        <f>IFERROR(SUM(A277:CV277)/final!$DH$103,"")</f>
        <v/>
      </c>
      <c r="CX277" s="14" t="str">
        <f>IF(COUNTA(final!A75),final!A75,"")</f>
        <v/>
      </c>
      <c r="CY277" s="14" t="str">
        <f>IF(COUNTA(final!B75),final!B75,"")</f>
        <v/>
      </c>
      <c r="CZ277" s="14" t="str">
        <f>IF(COUNTA(final!C75),final!C75,"")</f>
        <v/>
      </c>
      <c r="DA277" s="14" t="str">
        <f>IF(COUNTA(final!D75),final!D75,"")</f>
        <v/>
      </c>
      <c r="DB277" s="14" t="str">
        <f>IF(COUNTA(final!E75),final!E75,"")</f>
        <v/>
      </c>
      <c r="DC277" s="14" t="str">
        <f>IF(COUNTA(final!F75),final!F75,"")</f>
        <v/>
      </c>
      <c r="DD277" s="14" t="str">
        <f>IF(COUNTA(final!G75),final!G75,"")</f>
        <v/>
      </c>
      <c r="DE277" s="14" t="str">
        <f>IF(COUNTA(final!H75),final!H75,"")</f>
        <v/>
      </c>
    </row>
    <row r="278" spans="1:109" x14ac:dyDescent="0.2">
      <c r="A278" s="39" t="str">
        <f>IFERROR(final!L76*100/final!$I76,"")</f>
        <v/>
      </c>
      <c r="B278" s="39" t="str">
        <f>IFERROR(final!M76*100/final!$I76,"")</f>
        <v/>
      </c>
      <c r="C278" s="39" t="str">
        <f>IFERROR(final!N76*100/final!$I76,"")</f>
        <v/>
      </c>
      <c r="D278" s="39" t="str">
        <f>IFERROR(final!O76*100/final!$I76,"")</f>
        <v/>
      </c>
      <c r="E278" s="39" t="str">
        <f>IFERROR(final!P76*100/final!$I76,"")</f>
        <v/>
      </c>
      <c r="F278" s="39" t="str">
        <f>IFERROR(final!Q76*100/final!$I76,"")</f>
        <v/>
      </c>
      <c r="G278" s="39" t="str">
        <f>IFERROR(final!R76*100/final!$I76,"")</f>
        <v/>
      </c>
      <c r="H278" s="39" t="str">
        <f>IFERROR(final!S76*100/final!$I76,"")</f>
        <v/>
      </c>
      <c r="I278" s="39" t="str">
        <f>IFERROR(final!T76*100/final!$I76,"")</f>
        <v/>
      </c>
      <c r="J278" s="39" t="str">
        <f>IFERROR(final!U76*100/final!$I76,"")</f>
        <v/>
      </c>
      <c r="K278" s="39" t="str">
        <f>IFERROR(final!V76*100/final!$I76,"")</f>
        <v/>
      </c>
      <c r="L278" s="39" t="str">
        <f>IFERROR(final!W76*100/final!$I76,"")</f>
        <v/>
      </c>
      <c r="M278" s="39" t="str">
        <f>IFERROR(final!X76*100/final!$I76,"")</f>
        <v/>
      </c>
      <c r="N278" s="39" t="str">
        <f>IFERROR(final!Y76*100/final!$I76,"")</f>
        <v/>
      </c>
      <c r="O278" s="39" t="str">
        <f>IFERROR(final!Z76*100/final!$I76,"")</f>
        <v/>
      </c>
      <c r="P278" s="39" t="str">
        <f>IFERROR(final!AA76*100/final!$I76,"")</f>
        <v/>
      </c>
      <c r="Q278" s="39" t="str">
        <f>IFERROR(final!AB76*100/final!$I76,"")</f>
        <v/>
      </c>
      <c r="R278" s="39" t="str">
        <f>IFERROR(final!AC76*100/final!$I76,"")</f>
        <v/>
      </c>
      <c r="S278" s="39" t="str">
        <f>IFERROR(final!AD76*100/final!$I76,"")</f>
        <v/>
      </c>
      <c r="T278" s="39" t="str">
        <f>IFERROR(final!AE76*100/final!$I76,"")</f>
        <v/>
      </c>
      <c r="U278" s="39" t="str">
        <f>IFERROR(final!AF76*100/final!$I76,"")</f>
        <v/>
      </c>
      <c r="V278" s="39" t="str">
        <f>IFERROR(final!AG76*100/final!$I76,"")</f>
        <v/>
      </c>
      <c r="W278" s="39" t="str">
        <f>IFERROR(final!AH76*100/final!$I76,"")</f>
        <v/>
      </c>
      <c r="X278" s="39" t="str">
        <f>IFERROR(final!AI76*100/final!$I76,"")</f>
        <v/>
      </c>
      <c r="Y278" s="39" t="str">
        <f>IFERROR(final!AJ76*100/final!$I76,"")</f>
        <v/>
      </c>
      <c r="Z278" s="39" t="str">
        <f>IFERROR(final!AK76*100/final!$I76,"")</f>
        <v/>
      </c>
      <c r="AA278" s="39" t="str">
        <f>IFERROR(final!AL76*100/final!$I76,"")</f>
        <v/>
      </c>
      <c r="AB278" s="39" t="str">
        <f>IFERROR(final!AM76*100/final!$I76,"")</f>
        <v/>
      </c>
      <c r="AC278" s="39" t="str">
        <f>IFERROR(final!AN76*100/final!$I76,"")</f>
        <v/>
      </c>
      <c r="AD278" s="39" t="str">
        <f>IFERROR(final!AO76*100/final!$I76,"")</f>
        <v/>
      </c>
      <c r="AE278" s="39" t="str">
        <f>IFERROR(final!AP76*100/final!$I76,"")</f>
        <v/>
      </c>
      <c r="AF278" s="39" t="str">
        <f>IFERROR(final!AQ76*100/final!$I76,"")</f>
        <v/>
      </c>
      <c r="AG278" s="39" t="str">
        <f>IFERROR(final!AR76*100/final!$I76,"")</f>
        <v/>
      </c>
      <c r="AH278" s="39" t="str">
        <f>IFERROR(final!AS76*100/final!$I76,"")</f>
        <v/>
      </c>
      <c r="AI278" s="39" t="str">
        <f>IFERROR(final!AT76*100/final!$I76,"")</f>
        <v/>
      </c>
      <c r="AJ278" s="39" t="str">
        <f>IFERROR(final!AU76*100/final!$I76,"")</f>
        <v/>
      </c>
      <c r="AK278" s="39" t="str">
        <f>IFERROR(final!AV76*100/final!$I76,"")</f>
        <v/>
      </c>
      <c r="AL278" s="39" t="str">
        <f>IFERROR(final!AW76*100/final!$I76,"")</f>
        <v/>
      </c>
      <c r="AM278" s="39" t="str">
        <f>IFERROR(final!AX76*100/final!$I76,"")</f>
        <v/>
      </c>
      <c r="AN278" s="39" t="str">
        <f>IFERROR(final!AY76*100/final!$I76,"")</f>
        <v/>
      </c>
      <c r="AO278" s="39" t="str">
        <f>IFERROR(final!AZ76*100/final!$I76,"")</f>
        <v/>
      </c>
      <c r="AP278" s="39" t="str">
        <f>IFERROR(final!BA76*100/final!$I76,"")</f>
        <v/>
      </c>
      <c r="AQ278" s="39" t="str">
        <f>IFERROR(final!BB76*100/final!$I76,"")</f>
        <v/>
      </c>
      <c r="AR278" s="39" t="str">
        <f>IFERROR(final!BC76*100/final!$I76,"")</f>
        <v/>
      </c>
      <c r="AS278" s="39" t="str">
        <f>IFERROR(final!BD76*100/final!$I76,"")</f>
        <v/>
      </c>
      <c r="AT278" s="39" t="str">
        <f>IFERROR(final!BE76*100/final!$I76,"")</f>
        <v/>
      </c>
      <c r="AU278" s="39" t="str">
        <f>IFERROR(final!BF76*100/final!$I76,"")</f>
        <v/>
      </c>
      <c r="AV278" s="39" t="str">
        <f>IFERROR(final!BG76*100/final!$I76,"")</f>
        <v/>
      </c>
      <c r="AW278" s="39" t="str">
        <f>IFERROR(final!BH76*100/final!$I76,"")</f>
        <v/>
      </c>
      <c r="AX278" s="39" t="str">
        <f>IFERROR(final!BI76*100/final!$I76,"")</f>
        <v/>
      </c>
      <c r="AY278" s="39" t="str">
        <f>IFERROR(final!BJ76*100/final!$I76,"")</f>
        <v/>
      </c>
      <c r="AZ278" s="39" t="str">
        <f>IFERROR(final!BK76*100/final!$I76,"")</f>
        <v/>
      </c>
      <c r="BA278" s="39" t="str">
        <f>IFERROR(final!BL76*100/final!$I76,"")</f>
        <v/>
      </c>
      <c r="BB278" s="39" t="str">
        <f>IFERROR(final!BM76*100/final!$I76,"")</f>
        <v/>
      </c>
      <c r="BC278" s="39" t="str">
        <f>IFERROR(final!BN76*100/final!$I76,"")</f>
        <v/>
      </c>
      <c r="BD278" s="39" t="str">
        <f>IFERROR(final!BO76*100/final!$I76,"")</f>
        <v/>
      </c>
      <c r="BE278" s="39" t="str">
        <f>IFERROR(final!BP76*100/final!$I76,"")</f>
        <v/>
      </c>
      <c r="BF278" s="39" t="str">
        <f>IFERROR(final!BQ76*100/final!$I76,"")</f>
        <v/>
      </c>
      <c r="BG278" s="39" t="str">
        <f>IFERROR(final!BR76*100/final!$I76,"")</f>
        <v/>
      </c>
      <c r="BH278" s="39" t="str">
        <f>IFERROR(final!BS76*100/final!$I76,"")</f>
        <v/>
      </c>
      <c r="BI278" s="39" t="str">
        <f>IFERROR(final!BT76*100/final!$I76,"")</f>
        <v/>
      </c>
      <c r="BJ278" s="39" t="str">
        <f>IFERROR(final!BU76*100/final!$I76,"")</f>
        <v/>
      </c>
      <c r="BK278" s="39" t="str">
        <f>IFERROR(final!BV76*100/final!$I76,"")</f>
        <v/>
      </c>
      <c r="BL278" s="39" t="str">
        <f>IFERROR(final!BW76*100/final!$I76,"")</f>
        <v/>
      </c>
      <c r="BM278" s="39" t="str">
        <f>IFERROR(final!BX76*100/final!$I76,"")</f>
        <v/>
      </c>
      <c r="BN278" s="39" t="str">
        <f>IFERROR(final!BY76*100/final!$I76,"")</f>
        <v/>
      </c>
      <c r="BO278" s="39" t="str">
        <f>IFERROR(final!BZ76*100/final!$I76,"")</f>
        <v/>
      </c>
      <c r="BP278" s="39" t="str">
        <f>IFERROR(final!CA76*100/final!$I76,"")</f>
        <v/>
      </c>
      <c r="BQ278" s="39" t="str">
        <f>IFERROR(final!CB76*100/final!$I76,"")</f>
        <v/>
      </c>
      <c r="BR278" s="39" t="str">
        <f>IFERROR(final!CC76*100/final!$I76,"")</f>
        <v/>
      </c>
      <c r="BS278" s="39" t="str">
        <f>IFERROR(final!CD76*100/final!$I76,"")</f>
        <v/>
      </c>
      <c r="BT278" s="39" t="str">
        <f>IFERROR(final!CE76*100/final!$I76,"")</f>
        <v/>
      </c>
      <c r="BU278" s="39" t="str">
        <f>IFERROR(final!CF76*100/final!$I76,"")</f>
        <v/>
      </c>
      <c r="BV278" s="39" t="str">
        <f>IFERROR(final!CG76*100/final!$I76,"")</f>
        <v/>
      </c>
      <c r="BW278" s="39" t="str">
        <f>IFERROR(final!CH76*100/final!$I76,"")</f>
        <v/>
      </c>
      <c r="BX278" s="39" t="str">
        <f>IFERROR(final!CI76*100/final!$I76,"")</f>
        <v/>
      </c>
      <c r="BY278" s="39" t="str">
        <f>IFERROR(final!CJ76*100/final!$I76,"")</f>
        <v/>
      </c>
      <c r="BZ278" s="39" t="str">
        <f>IFERROR(final!CK76*100/final!$I76,"")</f>
        <v/>
      </c>
      <c r="CA278" s="39" t="str">
        <f>IFERROR(final!CL76*100/final!$I76,"")</f>
        <v/>
      </c>
      <c r="CB278" s="39" t="str">
        <f>IFERROR(final!CM76*100/final!$I76,"")</f>
        <v/>
      </c>
      <c r="CC278" s="39" t="str">
        <f>IFERROR(final!CN76*100/final!$I76,"")</f>
        <v/>
      </c>
      <c r="CD278" s="39" t="str">
        <f>IFERROR(final!CO76*100/final!$I76,"")</f>
        <v/>
      </c>
      <c r="CE278" s="39" t="str">
        <f>IFERROR(final!CP76*100/final!$I76,"")</f>
        <v/>
      </c>
      <c r="CF278" s="39" t="str">
        <f>IFERROR(final!CQ76*100/final!$I76,"")</f>
        <v/>
      </c>
      <c r="CG278" s="39" t="str">
        <f>IFERROR(final!CR76*100/final!$I76,"")</f>
        <v/>
      </c>
      <c r="CH278" s="39" t="str">
        <f>IFERROR(final!CS76*100/final!$I76,"")</f>
        <v/>
      </c>
      <c r="CI278" s="39" t="str">
        <f>IFERROR(final!CT76*100/final!$I76,"")</f>
        <v/>
      </c>
      <c r="CJ278" s="39" t="str">
        <f>IFERROR(final!CU76*100/final!$I76,"")</f>
        <v/>
      </c>
      <c r="CK278" s="39" t="str">
        <f>IFERROR(final!CV76*100/final!$I76,"")</f>
        <v/>
      </c>
      <c r="CL278" s="39" t="str">
        <f>IFERROR(final!CW76*100/final!$I76,"")</f>
        <v/>
      </c>
      <c r="CM278" s="39" t="str">
        <f>IFERROR(final!CX76*100/final!$I76,"")</f>
        <v/>
      </c>
      <c r="CN278" s="39" t="str">
        <f>IFERROR(final!CY76*100/final!$I76,"")</f>
        <v/>
      </c>
      <c r="CO278" s="39" t="str">
        <f>IFERROR(final!CZ76*100/final!$I76,"")</f>
        <v/>
      </c>
      <c r="CP278" s="39" t="str">
        <f>IFERROR(final!DA76*100/final!$I76,"")</f>
        <v/>
      </c>
      <c r="CQ278" s="39" t="str">
        <f>IFERROR(final!DB76*100/final!$I76,"")</f>
        <v/>
      </c>
      <c r="CR278" s="39" t="str">
        <f>IFERROR(final!DC76*100/final!$I76,"")</f>
        <v/>
      </c>
      <c r="CS278" s="39" t="str">
        <f>IFERROR(final!DD76*100/final!$I76,"")</f>
        <v/>
      </c>
      <c r="CT278" s="39" t="str">
        <f>IFERROR(final!DE76*100/final!$I76,"")</f>
        <v/>
      </c>
      <c r="CU278" s="39" t="str">
        <f>IFERROR(final!DF76*100/final!$I76,"")</f>
        <v/>
      </c>
      <c r="CV278" s="39" t="str">
        <f>IFERROR(final!DG76*100/final!$I76,"")</f>
        <v/>
      </c>
      <c r="CW278" s="32" t="str">
        <f>IFERROR(SUM(A278:CV278)/final!$DH$103,"")</f>
        <v/>
      </c>
      <c r="CX278" s="14" t="str">
        <f>IF(COUNTA(final!A76),final!A76,"")</f>
        <v/>
      </c>
      <c r="CY278" s="14" t="str">
        <f>IF(COUNTA(final!B76),final!B76,"")</f>
        <v/>
      </c>
      <c r="CZ278" s="14" t="str">
        <f>IF(COUNTA(final!C76),final!C76,"")</f>
        <v/>
      </c>
      <c r="DA278" s="14" t="str">
        <f>IF(COUNTA(final!D76),final!D76,"")</f>
        <v/>
      </c>
      <c r="DB278" s="14" t="str">
        <f>IF(COUNTA(final!E76),final!E76,"")</f>
        <v/>
      </c>
      <c r="DC278" s="14" t="str">
        <f>IF(COUNTA(final!F76),final!F76,"")</f>
        <v/>
      </c>
      <c r="DD278" s="14" t="str">
        <f>IF(COUNTA(final!G76),final!G76,"")</f>
        <v/>
      </c>
      <c r="DE278" s="14" t="str">
        <f>IF(COUNTA(final!H76),final!H76,"")</f>
        <v/>
      </c>
    </row>
    <row r="279" spans="1:109" x14ac:dyDescent="0.2">
      <c r="A279" s="39" t="str">
        <f>IFERROR(final!L77*100/final!$I77,"")</f>
        <v/>
      </c>
      <c r="B279" s="39" t="str">
        <f>IFERROR(final!M77*100/final!$I77,"")</f>
        <v/>
      </c>
      <c r="C279" s="39" t="str">
        <f>IFERROR(final!N77*100/final!$I77,"")</f>
        <v/>
      </c>
      <c r="D279" s="39" t="str">
        <f>IFERROR(final!O77*100/final!$I77,"")</f>
        <v/>
      </c>
      <c r="E279" s="39" t="str">
        <f>IFERROR(final!P77*100/final!$I77,"")</f>
        <v/>
      </c>
      <c r="F279" s="39" t="str">
        <f>IFERROR(final!Q77*100/final!$I77,"")</f>
        <v/>
      </c>
      <c r="G279" s="39" t="str">
        <f>IFERROR(final!R77*100/final!$I77,"")</f>
        <v/>
      </c>
      <c r="H279" s="39" t="str">
        <f>IFERROR(final!S77*100/final!$I77,"")</f>
        <v/>
      </c>
      <c r="I279" s="39" t="str">
        <f>IFERROR(final!T77*100/final!$I77,"")</f>
        <v/>
      </c>
      <c r="J279" s="39" t="str">
        <f>IFERROR(final!U77*100/final!$I77,"")</f>
        <v/>
      </c>
      <c r="K279" s="39" t="str">
        <f>IFERROR(final!V77*100/final!$I77,"")</f>
        <v/>
      </c>
      <c r="L279" s="39" t="str">
        <f>IFERROR(final!W77*100/final!$I77,"")</f>
        <v/>
      </c>
      <c r="M279" s="39" t="str">
        <f>IFERROR(final!X77*100/final!$I77,"")</f>
        <v/>
      </c>
      <c r="N279" s="39" t="str">
        <f>IFERROR(final!Y77*100/final!$I77,"")</f>
        <v/>
      </c>
      <c r="O279" s="39" t="str">
        <f>IFERROR(final!Z77*100/final!$I77,"")</f>
        <v/>
      </c>
      <c r="P279" s="39" t="str">
        <f>IFERROR(final!AA77*100/final!$I77,"")</f>
        <v/>
      </c>
      <c r="Q279" s="39" t="str">
        <f>IFERROR(final!AB77*100/final!$I77,"")</f>
        <v/>
      </c>
      <c r="R279" s="39" t="str">
        <f>IFERROR(final!AC77*100/final!$I77,"")</f>
        <v/>
      </c>
      <c r="S279" s="39" t="str">
        <f>IFERROR(final!AD77*100/final!$I77,"")</f>
        <v/>
      </c>
      <c r="T279" s="39" t="str">
        <f>IFERROR(final!AE77*100/final!$I77,"")</f>
        <v/>
      </c>
      <c r="U279" s="39" t="str">
        <f>IFERROR(final!AF77*100/final!$I77,"")</f>
        <v/>
      </c>
      <c r="V279" s="39" t="str">
        <f>IFERROR(final!AG77*100/final!$I77,"")</f>
        <v/>
      </c>
      <c r="W279" s="39" t="str">
        <f>IFERROR(final!AH77*100/final!$I77,"")</f>
        <v/>
      </c>
      <c r="X279" s="39" t="str">
        <f>IFERROR(final!AI77*100/final!$I77,"")</f>
        <v/>
      </c>
      <c r="Y279" s="39" t="str">
        <f>IFERROR(final!AJ77*100/final!$I77,"")</f>
        <v/>
      </c>
      <c r="Z279" s="39" t="str">
        <f>IFERROR(final!AK77*100/final!$I77,"")</f>
        <v/>
      </c>
      <c r="AA279" s="39" t="str">
        <f>IFERROR(final!AL77*100/final!$I77,"")</f>
        <v/>
      </c>
      <c r="AB279" s="39" t="str">
        <f>IFERROR(final!AM77*100/final!$I77,"")</f>
        <v/>
      </c>
      <c r="AC279" s="39" t="str">
        <f>IFERROR(final!AN77*100/final!$I77,"")</f>
        <v/>
      </c>
      <c r="AD279" s="39" t="str">
        <f>IFERROR(final!AO77*100/final!$I77,"")</f>
        <v/>
      </c>
      <c r="AE279" s="39" t="str">
        <f>IFERROR(final!AP77*100/final!$I77,"")</f>
        <v/>
      </c>
      <c r="AF279" s="39" t="str">
        <f>IFERROR(final!AQ77*100/final!$I77,"")</f>
        <v/>
      </c>
      <c r="AG279" s="39" t="str">
        <f>IFERROR(final!AR77*100/final!$I77,"")</f>
        <v/>
      </c>
      <c r="AH279" s="39" t="str">
        <f>IFERROR(final!AS77*100/final!$I77,"")</f>
        <v/>
      </c>
      <c r="AI279" s="39" t="str">
        <f>IFERROR(final!AT77*100/final!$I77,"")</f>
        <v/>
      </c>
      <c r="AJ279" s="39" t="str">
        <f>IFERROR(final!AU77*100/final!$I77,"")</f>
        <v/>
      </c>
      <c r="AK279" s="39" t="str">
        <f>IFERROR(final!AV77*100/final!$I77,"")</f>
        <v/>
      </c>
      <c r="AL279" s="39" t="str">
        <f>IFERROR(final!AW77*100/final!$I77,"")</f>
        <v/>
      </c>
      <c r="AM279" s="39" t="str">
        <f>IFERROR(final!AX77*100/final!$I77,"")</f>
        <v/>
      </c>
      <c r="AN279" s="39" t="str">
        <f>IFERROR(final!AY77*100/final!$I77,"")</f>
        <v/>
      </c>
      <c r="AO279" s="39" t="str">
        <f>IFERROR(final!AZ77*100/final!$I77,"")</f>
        <v/>
      </c>
      <c r="AP279" s="39" t="str">
        <f>IFERROR(final!BA77*100/final!$I77,"")</f>
        <v/>
      </c>
      <c r="AQ279" s="39" t="str">
        <f>IFERROR(final!BB77*100/final!$I77,"")</f>
        <v/>
      </c>
      <c r="AR279" s="39" t="str">
        <f>IFERROR(final!BC77*100/final!$I77,"")</f>
        <v/>
      </c>
      <c r="AS279" s="39" t="str">
        <f>IFERROR(final!BD77*100/final!$I77,"")</f>
        <v/>
      </c>
      <c r="AT279" s="39" t="str">
        <f>IFERROR(final!BE77*100/final!$I77,"")</f>
        <v/>
      </c>
      <c r="AU279" s="39" t="str">
        <f>IFERROR(final!BF77*100/final!$I77,"")</f>
        <v/>
      </c>
      <c r="AV279" s="39" t="str">
        <f>IFERROR(final!BG77*100/final!$I77,"")</f>
        <v/>
      </c>
      <c r="AW279" s="39" t="str">
        <f>IFERROR(final!BH77*100/final!$I77,"")</f>
        <v/>
      </c>
      <c r="AX279" s="39" t="str">
        <f>IFERROR(final!BI77*100/final!$I77,"")</f>
        <v/>
      </c>
      <c r="AY279" s="39" t="str">
        <f>IFERROR(final!BJ77*100/final!$I77,"")</f>
        <v/>
      </c>
      <c r="AZ279" s="39" t="str">
        <f>IFERROR(final!BK77*100/final!$I77,"")</f>
        <v/>
      </c>
      <c r="BA279" s="39" t="str">
        <f>IFERROR(final!BL77*100/final!$I77,"")</f>
        <v/>
      </c>
      <c r="BB279" s="39" t="str">
        <f>IFERROR(final!BM77*100/final!$I77,"")</f>
        <v/>
      </c>
      <c r="BC279" s="39" t="str">
        <f>IFERROR(final!BN77*100/final!$I77,"")</f>
        <v/>
      </c>
      <c r="BD279" s="39" t="str">
        <f>IFERROR(final!BO77*100/final!$I77,"")</f>
        <v/>
      </c>
      <c r="BE279" s="39" t="str">
        <f>IFERROR(final!BP77*100/final!$I77,"")</f>
        <v/>
      </c>
      <c r="BF279" s="39" t="str">
        <f>IFERROR(final!BQ77*100/final!$I77,"")</f>
        <v/>
      </c>
      <c r="BG279" s="39" t="str">
        <f>IFERROR(final!BR77*100/final!$I77,"")</f>
        <v/>
      </c>
      <c r="BH279" s="39" t="str">
        <f>IFERROR(final!BS77*100/final!$I77,"")</f>
        <v/>
      </c>
      <c r="BI279" s="39" t="str">
        <f>IFERROR(final!BT77*100/final!$I77,"")</f>
        <v/>
      </c>
      <c r="BJ279" s="39" t="str">
        <f>IFERROR(final!BU77*100/final!$I77,"")</f>
        <v/>
      </c>
      <c r="BK279" s="39" t="str">
        <f>IFERROR(final!BV77*100/final!$I77,"")</f>
        <v/>
      </c>
      <c r="BL279" s="39" t="str">
        <f>IFERROR(final!BW77*100/final!$I77,"")</f>
        <v/>
      </c>
      <c r="BM279" s="39" t="str">
        <f>IFERROR(final!BX77*100/final!$I77,"")</f>
        <v/>
      </c>
      <c r="BN279" s="39" t="str">
        <f>IFERROR(final!BY77*100/final!$I77,"")</f>
        <v/>
      </c>
      <c r="BO279" s="39" t="str">
        <f>IFERROR(final!BZ77*100/final!$I77,"")</f>
        <v/>
      </c>
      <c r="BP279" s="39" t="str">
        <f>IFERROR(final!CA77*100/final!$I77,"")</f>
        <v/>
      </c>
      <c r="BQ279" s="39" t="str">
        <f>IFERROR(final!CB77*100/final!$I77,"")</f>
        <v/>
      </c>
      <c r="BR279" s="39" t="str">
        <f>IFERROR(final!CC77*100/final!$I77,"")</f>
        <v/>
      </c>
      <c r="BS279" s="39" t="str">
        <f>IFERROR(final!CD77*100/final!$I77,"")</f>
        <v/>
      </c>
      <c r="BT279" s="39" t="str">
        <f>IFERROR(final!CE77*100/final!$I77,"")</f>
        <v/>
      </c>
      <c r="BU279" s="39" t="str">
        <f>IFERROR(final!CF77*100/final!$I77,"")</f>
        <v/>
      </c>
      <c r="BV279" s="39" t="str">
        <f>IFERROR(final!CG77*100/final!$I77,"")</f>
        <v/>
      </c>
      <c r="BW279" s="39" t="str">
        <f>IFERROR(final!CH77*100/final!$I77,"")</f>
        <v/>
      </c>
      <c r="BX279" s="39" t="str">
        <f>IFERROR(final!CI77*100/final!$I77,"")</f>
        <v/>
      </c>
      <c r="BY279" s="39" t="str">
        <f>IFERROR(final!CJ77*100/final!$I77,"")</f>
        <v/>
      </c>
      <c r="BZ279" s="39" t="str">
        <f>IFERROR(final!CK77*100/final!$I77,"")</f>
        <v/>
      </c>
      <c r="CA279" s="39" t="str">
        <f>IFERROR(final!CL77*100/final!$I77,"")</f>
        <v/>
      </c>
      <c r="CB279" s="39" t="str">
        <f>IFERROR(final!CM77*100/final!$I77,"")</f>
        <v/>
      </c>
      <c r="CC279" s="39" t="str">
        <f>IFERROR(final!CN77*100/final!$I77,"")</f>
        <v/>
      </c>
      <c r="CD279" s="39" t="str">
        <f>IFERROR(final!CO77*100/final!$I77,"")</f>
        <v/>
      </c>
      <c r="CE279" s="39" t="str">
        <f>IFERROR(final!CP77*100/final!$I77,"")</f>
        <v/>
      </c>
      <c r="CF279" s="39" t="str">
        <f>IFERROR(final!CQ77*100/final!$I77,"")</f>
        <v/>
      </c>
      <c r="CG279" s="39" t="str">
        <f>IFERROR(final!CR77*100/final!$I77,"")</f>
        <v/>
      </c>
      <c r="CH279" s="39" t="str">
        <f>IFERROR(final!CS77*100/final!$I77,"")</f>
        <v/>
      </c>
      <c r="CI279" s="39" t="str">
        <f>IFERROR(final!CT77*100/final!$I77,"")</f>
        <v/>
      </c>
      <c r="CJ279" s="39" t="str">
        <f>IFERROR(final!CU77*100/final!$I77,"")</f>
        <v/>
      </c>
      <c r="CK279" s="39" t="str">
        <f>IFERROR(final!CV77*100/final!$I77,"")</f>
        <v/>
      </c>
      <c r="CL279" s="39" t="str">
        <f>IFERROR(final!CW77*100/final!$I77,"")</f>
        <v/>
      </c>
      <c r="CM279" s="39" t="str">
        <f>IFERROR(final!CX77*100/final!$I77,"")</f>
        <v/>
      </c>
      <c r="CN279" s="39" t="str">
        <f>IFERROR(final!CY77*100/final!$I77,"")</f>
        <v/>
      </c>
      <c r="CO279" s="39" t="str">
        <f>IFERROR(final!CZ77*100/final!$I77,"")</f>
        <v/>
      </c>
      <c r="CP279" s="39" t="str">
        <f>IFERROR(final!DA77*100/final!$I77,"")</f>
        <v/>
      </c>
      <c r="CQ279" s="39" t="str">
        <f>IFERROR(final!DB77*100/final!$I77,"")</f>
        <v/>
      </c>
      <c r="CR279" s="39" t="str">
        <f>IFERROR(final!DC77*100/final!$I77,"")</f>
        <v/>
      </c>
      <c r="CS279" s="39" t="str">
        <f>IFERROR(final!DD77*100/final!$I77,"")</f>
        <v/>
      </c>
      <c r="CT279" s="39" t="str">
        <f>IFERROR(final!DE77*100/final!$I77,"")</f>
        <v/>
      </c>
      <c r="CU279" s="39" t="str">
        <f>IFERROR(final!DF77*100/final!$I77,"")</f>
        <v/>
      </c>
      <c r="CV279" s="39" t="str">
        <f>IFERROR(final!DG77*100/final!$I77,"")</f>
        <v/>
      </c>
      <c r="CW279" s="32" t="str">
        <f>IFERROR(SUM(A279:CV279)/final!$DH$103,"")</f>
        <v/>
      </c>
      <c r="CX279" s="14" t="str">
        <f>IF(COUNTA(final!A77),final!A77,"")</f>
        <v/>
      </c>
      <c r="CY279" s="14" t="str">
        <f>IF(COUNTA(final!B77),final!B77,"")</f>
        <v/>
      </c>
      <c r="CZ279" s="14" t="str">
        <f>IF(COUNTA(final!C77),final!C77,"")</f>
        <v/>
      </c>
      <c r="DA279" s="14" t="str">
        <f>IF(COUNTA(final!D77),final!D77,"")</f>
        <v/>
      </c>
      <c r="DB279" s="14" t="str">
        <f>IF(COUNTA(final!E77),final!E77,"")</f>
        <v/>
      </c>
      <c r="DC279" s="14" t="str">
        <f>IF(COUNTA(final!F77),final!F77,"")</f>
        <v/>
      </c>
      <c r="DD279" s="14" t="str">
        <f>IF(COUNTA(final!G77),final!G77,"")</f>
        <v/>
      </c>
      <c r="DE279" s="14" t="str">
        <f>IF(COUNTA(final!H77),final!H77,"")</f>
        <v/>
      </c>
    </row>
    <row r="280" spans="1:109" x14ac:dyDescent="0.2">
      <c r="A280" s="39" t="str">
        <f>IFERROR(final!L78*100/final!$I78,"")</f>
        <v/>
      </c>
      <c r="B280" s="39" t="str">
        <f>IFERROR(final!M78*100/final!$I78,"")</f>
        <v/>
      </c>
      <c r="C280" s="39" t="str">
        <f>IFERROR(final!N78*100/final!$I78,"")</f>
        <v/>
      </c>
      <c r="D280" s="39" t="str">
        <f>IFERROR(final!O78*100/final!$I78,"")</f>
        <v/>
      </c>
      <c r="E280" s="39" t="str">
        <f>IFERROR(final!P78*100/final!$I78,"")</f>
        <v/>
      </c>
      <c r="F280" s="39" t="str">
        <f>IFERROR(final!Q78*100/final!$I78,"")</f>
        <v/>
      </c>
      <c r="G280" s="39" t="str">
        <f>IFERROR(final!R78*100/final!$I78,"")</f>
        <v/>
      </c>
      <c r="H280" s="39" t="str">
        <f>IFERROR(final!S78*100/final!$I78,"")</f>
        <v/>
      </c>
      <c r="I280" s="39" t="str">
        <f>IFERROR(final!T78*100/final!$I78,"")</f>
        <v/>
      </c>
      <c r="J280" s="39" t="str">
        <f>IFERROR(final!U78*100/final!$I78,"")</f>
        <v/>
      </c>
      <c r="K280" s="39" t="str">
        <f>IFERROR(final!V78*100/final!$I78,"")</f>
        <v/>
      </c>
      <c r="L280" s="39" t="str">
        <f>IFERROR(final!W78*100/final!$I78,"")</f>
        <v/>
      </c>
      <c r="M280" s="39" t="str">
        <f>IFERROR(final!X78*100/final!$I78,"")</f>
        <v/>
      </c>
      <c r="N280" s="39" t="str">
        <f>IFERROR(final!Y78*100/final!$I78,"")</f>
        <v/>
      </c>
      <c r="O280" s="39" t="str">
        <f>IFERROR(final!Z78*100/final!$I78,"")</f>
        <v/>
      </c>
      <c r="P280" s="39" t="str">
        <f>IFERROR(final!AA78*100/final!$I78,"")</f>
        <v/>
      </c>
      <c r="Q280" s="39" t="str">
        <f>IFERROR(final!AB78*100/final!$I78,"")</f>
        <v/>
      </c>
      <c r="R280" s="39" t="str">
        <f>IFERROR(final!AC78*100/final!$I78,"")</f>
        <v/>
      </c>
      <c r="S280" s="39" t="str">
        <f>IFERROR(final!AD78*100/final!$I78,"")</f>
        <v/>
      </c>
      <c r="T280" s="39" t="str">
        <f>IFERROR(final!AE78*100/final!$I78,"")</f>
        <v/>
      </c>
      <c r="U280" s="39" t="str">
        <f>IFERROR(final!AF78*100/final!$I78,"")</f>
        <v/>
      </c>
      <c r="V280" s="39" t="str">
        <f>IFERROR(final!AG78*100/final!$I78,"")</f>
        <v/>
      </c>
      <c r="W280" s="39" t="str">
        <f>IFERROR(final!AH78*100/final!$I78,"")</f>
        <v/>
      </c>
      <c r="X280" s="39" t="str">
        <f>IFERROR(final!AI78*100/final!$I78,"")</f>
        <v/>
      </c>
      <c r="Y280" s="39" t="str">
        <f>IFERROR(final!AJ78*100/final!$I78,"")</f>
        <v/>
      </c>
      <c r="Z280" s="39" t="str">
        <f>IFERROR(final!AK78*100/final!$I78,"")</f>
        <v/>
      </c>
      <c r="AA280" s="39" t="str">
        <f>IFERROR(final!AL78*100/final!$I78,"")</f>
        <v/>
      </c>
      <c r="AB280" s="39" t="str">
        <f>IFERROR(final!AM78*100/final!$I78,"")</f>
        <v/>
      </c>
      <c r="AC280" s="39" t="str">
        <f>IFERROR(final!AN78*100/final!$I78,"")</f>
        <v/>
      </c>
      <c r="AD280" s="39" t="str">
        <f>IFERROR(final!AO78*100/final!$I78,"")</f>
        <v/>
      </c>
      <c r="AE280" s="39" t="str">
        <f>IFERROR(final!AP78*100/final!$I78,"")</f>
        <v/>
      </c>
      <c r="AF280" s="39" t="str">
        <f>IFERROR(final!AQ78*100/final!$I78,"")</f>
        <v/>
      </c>
      <c r="AG280" s="39" t="str">
        <f>IFERROR(final!AR78*100/final!$I78,"")</f>
        <v/>
      </c>
      <c r="AH280" s="39" t="str">
        <f>IFERROR(final!AS78*100/final!$I78,"")</f>
        <v/>
      </c>
      <c r="AI280" s="39" t="str">
        <f>IFERROR(final!AT78*100/final!$I78,"")</f>
        <v/>
      </c>
      <c r="AJ280" s="39" t="str">
        <f>IFERROR(final!AU78*100/final!$I78,"")</f>
        <v/>
      </c>
      <c r="AK280" s="39" t="str">
        <f>IFERROR(final!AV78*100/final!$I78,"")</f>
        <v/>
      </c>
      <c r="AL280" s="39" t="str">
        <f>IFERROR(final!AW78*100/final!$I78,"")</f>
        <v/>
      </c>
      <c r="AM280" s="39" t="str">
        <f>IFERROR(final!AX78*100/final!$I78,"")</f>
        <v/>
      </c>
      <c r="AN280" s="39" t="str">
        <f>IFERROR(final!AY78*100/final!$I78,"")</f>
        <v/>
      </c>
      <c r="AO280" s="39" t="str">
        <f>IFERROR(final!AZ78*100/final!$I78,"")</f>
        <v/>
      </c>
      <c r="AP280" s="39" t="str">
        <f>IFERROR(final!BA78*100/final!$I78,"")</f>
        <v/>
      </c>
      <c r="AQ280" s="39" t="str">
        <f>IFERROR(final!BB78*100/final!$I78,"")</f>
        <v/>
      </c>
      <c r="AR280" s="39" t="str">
        <f>IFERROR(final!BC78*100/final!$I78,"")</f>
        <v/>
      </c>
      <c r="AS280" s="39" t="str">
        <f>IFERROR(final!BD78*100/final!$I78,"")</f>
        <v/>
      </c>
      <c r="AT280" s="39" t="str">
        <f>IFERROR(final!BE78*100/final!$I78,"")</f>
        <v/>
      </c>
      <c r="AU280" s="39" t="str">
        <f>IFERROR(final!BF78*100/final!$I78,"")</f>
        <v/>
      </c>
      <c r="AV280" s="39" t="str">
        <f>IFERROR(final!BG78*100/final!$I78,"")</f>
        <v/>
      </c>
      <c r="AW280" s="39" t="str">
        <f>IFERROR(final!BH78*100/final!$I78,"")</f>
        <v/>
      </c>
      <c r="AX280" s="39" t="str">
        <f>IFERROR(final!BI78*100/final!$I78,"")</f>
        <v/>
      </c>
      <c r="AY280" s="39" t="str">
        <f>IFERROR(final!BJ78*100/final!$I78,"")</f>
        <v/>
      </c>
      <c r="AZ280" s="39" t="str">
        <f>IFERROR(final!BK78*100/final!$I78,"")</f>
        <v/>
      </c>
      <c r="BA280" s="39" t="str">
        <f>IFERROR(final!BL78*100/final!$I78,"")</f>
        <v/>
      </c>
      <c r="BB280" s="39" t="str">
        <f>IFERROR(final!BM78*100/final!$I78,"")</f>
        <v/>
      </c>
      <c r="BC280" s="39" t="str">
        <f>IFERROR(final!BN78*100/final!$I78,"")</f>
        <v/>
      </c>
      <c r="BD280" s="39" t="str">
        <f>IFERROR(final!BO78*100/final!$I78,"")</f>
        <v/>
      </c>
      <c r="BE280" s="39" t="str">
        <f>IFERROR(final!BP78*100/final!$I78,"")</f>
        <v/>
      </c>
      <c r="BF280" s="39" t="str">
        <f>IFERROR(final!BQ78*100/final!$I78,"")</f>
        <v/>
      </c>
      <c r="BG280" s="39" t="str">
        <f>IFERROR(final!BR78*100/final!$I78,"")</f>
        <v/>
      </c>
      <c r="BH280" s="39" t="str">
        <f>IFERROR(final!BS78*100/final!$I78,"")</f>
        <v/>
      </c>
      <c r="BI280" s="39" t="str">
        <f>IFERROR(final!BT78*100/final!$I78,"")</f>
        <v/>
      </c>
      <c r="BJ280" s="39" t="str">
        <f>IFERROR(final!BU78*100/final!$I78,"")</f>
        <v/>
      </c>
      <c r="BK280" s="39" t="str">
        <f>IFERROR(final!BV78*100/final!$I78,"")</f>
        <v/>
      </c>
      <c r="BL280" s="39" t="str">
        <f>IFERROR(final!BW78*100/final!$I78,"")</f>
        <v/>
      </c>
      <c r="BM280" s="39" t="str">
        <f>IFERROR(final!BX78*100/final!$I78,"")</f>
        <v/>
      </c>
      <c r="BN280" s="39" t="str">
        <f>IFERROR(final!BY78*100/final!$I78,"")</f>
        <v/>
      </c>
      <c r="BO280" s="39" t="str">
        <f>IFERROR(final!BZ78*100/final!$I78,"")</f>
        <v/>
      </c>
      <c r="BP280" s="39" t="str">
        <f>IFERROR(final!CA78*100/final!$I78,"")</f>
        <v/>
      </c>
      <c r="BQ280" s="39" t="str">
        <f>IFERROR(final!CB78*100/final!$I78,"")</f>
        <v/>
      </c>
      <c r="BR280" s="39" t="str">
        <f>IFERROR(final!CC78*100/final!$I78,"")</f>
        <v/>
      </c>
      <c r="BS280" s="39" t="str">
        <f>IFERROR(final!CD78*100/final!$I78,"")</f>
        <v/>
      </c>
      <c r="BT280" s="39" t="str">
        <f>IFERROR(final!CE78*100/final!$I78,"")</f>
        <v/>
      </c>
      <c r="BU280" s="39" t="str">
        <f>IFERROR(final!CF78*100/final!$I78,"")</f>
        <v/>
      </c>
      <c r="BV280" s="39" t="str">
        <f>IFERROR(final!CG78*100/final!$I78,"")</f>
        <v/>
      </c>
      <c r="BW280" s="39" t="str">
        <f>IFERROR(final!CH78*100/final!$I78,"")</f>
        <v/>
      </c>
      <c r="BX280" s="39" t="str">
        <f>IFERROR(final!CI78*100/final!$I78,"")</f>
        <v/>
      </c>
      <c r="BY280" s="39" t="str">
        <f>IFERROR(final!CJ78*100/final!$I78,"")</f>
        <v/>
      </c>
      <c r="BZ280" s="39" t="str">
        <f>IFERROR(final!CK78*100/final!$I78,"")</f>
        <v/>
      </c>
      <c r="CA280" s="39" t="str">
        <f>IFERROR(final!CL78*100/final!$I78,"")</f>
        <v/>
      </c>
      <c r="CB280" s="39" t="str">
        <f>IFERROR(final!CM78*100/final!$I78,"")</f>
        <v/>
      </c>
      <c r="CC280" s="39" t="str">
        <f>IFERROR(final!CN78*100/final!$I78,"")</f>
        <v/>
      </c>
      <c r="CD280" s="39" t="str">
        <f>IFERROR(final!CO78*100/final!$I78,"")</f>
        <v/>
      </c>
      <c r="CE280" s="39" t="str">
        <f>IFERROR(final!CP78*100/final!$I78,"")</f>
        <v/>
      </c>
      <c r="CF280" s="39" t="str">
        <f>IFERROR(final!CQ78*100/final!$I78,"")</f>
        <v/>
      </c>
      <c r="CG280" s="39" t="str">
        <f>IFERROR(final!CR78*100/final!$I78,"")</f>
        <v/>
      </c>
      <c r="CH280" s="39" t="str">
        <f>IFERROR(final!CS78*100/final!$I78,"")</f>
        <v/>
      </c>
      <c r="CI280" s="39" t="str">
        <f>IFERROR(final!CT78*100/final!$I78,"")</f>
        <v/>
      </c>
      <c r="CJ280" s="39" t="str">
        <f>IFERROR(final!CU78*100/final!$I78,"")</f>
        <v/>
      </c>
      <c r="CK280" s="39" t="str">
        <f>IFERROR(final!CV78*100/final!$I78,"")</f>
        <v/>
      </c>
      <c r="CL280" s="39" t="str">
        <f>IFERROR(final!CW78*100/final!$I78,"")</f>
        <v/>
      </c>
      <c r="CM280" s="39" t="str">
        <f>IFERROR(final!CX78*100/final!$I78,"")</f>
        <v/>
      </c>
      <c r="CN280" s="39" t="str">
        <f>IFERROR(final!CY78*100/final!$I78,"")</f>
        <v/>
      </c>
      <c r="CO280" s="39" t="str">
        <f>IFERROR(final!CZ78*100/final!$I78,"")</f>
        <v/>
      </c>
      <c r="CP280" s="39" t="str">
        <f>IFERROR(final!DA78*100/final!$I78,"")</f>
        <v/>
      </c>
      <c r="CQ280" s="39" t="str">
        <f>IFERROR(final!DB78*100/final!$I78,"")</f>
        <v/>
      </c>
      <c r="CR280" s="39" t="str">
        <f>IFERROR(final!DC78*100/final!$I78,"")</f>
        <v/>
      </c>
      <c r="CS280" s="39" t="str">
        <f>IFERROR(final!DD78*100/final!$I78,"")</f>
        <v/>
      </c>
      <c r="CT280" s="39" t="str">
        <f>IFERROR(final!DE78*100/final!$I78,"")</f>
        <v/>
      </c>
      <c r="CU280" s="39" t="str">
        <f>IFERROR(final!DF78*100/final!$I78,"")</f>
        <v/>
      </c>
      <c r="CV280" s="39" t="str">
        <f>IFERROR(final!DG78*100/final!$I78,"")</f>
        <v/>
      </c>
      <c r="CW280" s="32" t="str">
        <f>IFERROR(SUM(A280:CV280)/final!$DH$103,"")</f>
        <v/>
      </c>
      <c r="CX280" s="14" t="str">
        <f>IF(COUNTA(final!A78),final!A78,"")</f>
        <v/>
      </c>
      <c r="CY280" s="14" t="str">
        <f>IF(COUNTA(final!B78),final!B78,"")</f>
        <v/>
      </c>
      <c r="CZ280" s="14" t="str">
        <f>IF(COUNTA(final!C78),final!C78,"")</f>
        <v/>
      </c>
      <c r="DA280" s="14" t="str">
        <f>IF(COUNTA(final!D78),final!D78,"")</f>
        <v/>
      </c>
      <c r="DB280" s="14" t="str">
        <f>IF(COUNTA(final!E78),final!E78,"")</f>
        <v/>
      </c>
      <c r="DC280" s="14" t="str">
        <f>IF(COUNTA(final!F78),final!F78,"")</f>
        <v/>
      </c>
      <c r="DD280" s="14" t="str">
        <f>IF(COUNTA(final!G78),final!G78,"")</f>
        <v/>
      </c>
      <c r="DE280" s="14" t="str">
        <f>IF(COUNTA(final!H78),final!H78,"")</f>
        <v/>
      </c>
    </row>
    <row r="281" spans="1:109" x14ac:dyDescent="0.2">
      <c r="A281" s="39" t="str">
        <f>IFERROR(final!L79*100/final!$I79,"")</f>
        <v/>
      </c>
      <c r="B281" s="39" t="str">
        <f>IFERROR(final!M79*100/final!$I79,"")</f>
        <v/>
      </c>
      <c r="C281" s="39" t="str">
        <f>IFERROR(final!N79*100/final!$I79,"")</f>
        <v/>
      </c>
      <c r="D281" s="39" t="str">
        <f>IFERROR(final!O79*100/final!$I79,"")</f>
        <v/>
      </c>
      <c r="E281" s="39" t="str">
        <f>IFERROR(final!P79*100/final!$I79,"")</f>
        <v/>
      </c>
      <c r="F281" s="39" t="str">
        <f>IFERROR(final!Q79*100/final!$I79,"")</f>
        <v/>
      </c>
      <c r="G281" s="39" t="str">
        <f>IFERROR(final!R79*100/final!$I79,"")</f>
        <v/>
      </c>
      <c r="H281" s="39" t="str">
        <f>IFERROR(final!S79*100/final!$I79,"")</f>
        <v/>
      </c>
      <c r="I281" s="39" t="str">
        <f>IFERROR(final!T79*100/final!$I79,"")</f>
        <v/>
      </c>
      <c r="J281" s="39" t="str">
        <f>IFERROR(final!U79*100/final!$I79,"")</f>
        <v/>
      </c>
      <c r="K281" s="39" t="str">
        <f>IFERROR(final!V79*100/final!$I79,"")</f>
        <v/>
      </c>
      <c r="L281" s="39" t="str">
        <f>IFERROR(final!W79*100/final!$I79,"")</f>
        <v/>
      </c>
      <c r="M281" s="39" t="str">
        <f>IFERROR(final!X79*100/final!$I79,"")</f>
        <v/>
      </c>
      <c r="N281" s="39" t="str">
        <f>IFERROR(final!Y79*100/final!$I79,"")</f>
        <v/>
      </c>
      <c r="O281" s="39" t="str">
        <f>IFERROR(final!Z79*100/final!$I79,"")</f>
        <v/>
      </c>
      <c r="P281" s="39" t="str">
        <f>IFERROR(final!AA79*100/final!$I79,"")</f>
        <v/>
      </c>
      <c r="Q281" s="39" t="str">
        <f>IFERROR(final!AB79*100/final!$I79,"")</f>
        <v/>
      </c>
      <c r="R281" s="39" t="str">
        <f>IFERROR(final!AC79*100/final!$I79,"")</f>
        <v/>
      </c>
      <c r="S281" s="39" t="str">
        <f>IFERROR(final!AD79*100/final!$I79,"")</f>
        <v/>
      </c>
      <c r="T281" s="39" t="str">
        <f>IFERROR(final!AE79*100/final!$I79,"")</f>
        <v/>
      </c>
      <c r="U281" s="39" t="str">
        <f>IFERROR(final!AF79*100/final!$I79,"")</f>
        <v/>
      </c>
      <c r="V281" s="39" t="str">
        <f>IFERROR(final!AG79*100/final!$I79,"")</f>
        <v/>
      </c>
      <c r="W281" s="39" t="str">
        <f>IFERROR(final!AH79*100/final!$I79,"")</f>
        <v/>
      </c>
      <c r="X281" s="39" t="str">
        <f>IFERROR(final!AI79*100/final!$I79,"")</f>
        <v/>
      </c>
      <c r="Y281" s="39" t="str">
        <f>IFERROR(final!AJ79*100/final!$I79,"")</f>
        <v/>
      </c>
      <c r="Z281" s="39" t="str">
        <f>IFERROR(final!AK79*100/final!$I79,"")</f>
        <v/>
      </c>
      <c r="AA281" s="39" t="str">
        <f>IFERROR(final!AL79*100/final!$I79,"")</f>
        <v/>
      </c>
      <c r="AB281" s="39" t="str">
        <f>IFERROR(final!AM79*100/final!$I79,"")</f>
        <v/>
      </c>
      <c r="AC281" s="39" t="str">
        <f>IFERROR(final!AN79*100/final!$I79,"")</f>
        <v/>
      </c>
      <c r="AD281" s="39" t="str">
        <f>IFERROR(final!AO79*100/final!$I79,"")</f>
        <v/>
      </c>
      <c r="AE281" s="39" t="str">
        <f>IFERROR(final!AP79*100/final!$I79,"")</f>
        <v/>
      </c>
      <c r="AF281" s="39" t="str">
        <f>IFERROR(final!AQ79*100/final!$I79,"")</f>
        <v/>
      </c>
      <c r="AG281" s="39" t="str">
        <f>IFERROR(final!AR79*100/final!$I79,"")</f>
        <v/>
      </c>
      <c r="AH281" s="39" t="str">
        <f>IFERROR(final!AS79*100/final!$I79,"")</f>
        <v/>
      </c>
      <c r="AI281" s="39" t="str">
        <f>IFERROR(final!AT79*100/final!$I79,"")</f>
        <v/>
      </c>
      <c r="AJ281" s="39" t="str">
        <f>IFERROR(final!AU79*100/final!$I79,"")</f>
        <v/>
      </c>
      <c r="AK281" s="39" t="str">
        <f>IFERROR(final!AV79*100/final!$I79,"")</f>
        <v/>
      </c>
      <c r="AL281" s="39" t="str">
        <f>IFERROR(final!AW79*100/final!$I79,"")</f>
        <v/>
      </c>
      <c r="AM281" s="39" t="str">
        <f>IFERROR(final!AX79*100/final!$I79,"")</f>
        <v/>
      </c>
      <c r="AN281" s="39" t="str">
        <f>IFERROR(final!AY79*100/final!$I79,"")</f>
        <v/>
      </c>
      <c r="AO281" s="39" t="str">
        <f>IFERROR(final!AZ79*100/final!$I79,"")</f>
        <v/>
      </c>
      <c r="AP281" s="39" t="str">
        <f>IFERROR(final!BA79*100/final!$I79,"")</f>
        <v/>
      </c>
      <c r="AQ281" s="39" t="str">
        <f>IFERROR(final!BB79*100/final!$I79,"")</f>
        <v/>
      </c>
      <c r="AR281" s="39" t="str">
        <f>IFERROR(final!BC79*100/final!$I79,"")</f>
        <v/>
      </c>
      <c r="AS281" s="39" t="str">
        <f>IFERROR(final!BD79*100/final!$I79,"")</f>
        <v/>
      </c>
      <c r="AT281" s="39" t="str">
        <f>IFERROR(final!BE79*100/final!$I79,"")</f>
        <v/>
      </c>
      <c r="AU281" s="39" t="str">
        <f>IFERROR(final!BF79*100/final!$I79,"")</f>
        <v/>
      </c>
      <c r="AV281" s="39" t="str">
        <f>IFERROR(final!BG79*100/final!$I79,"")</f>
        <v/>
      </c>
      <c r="AW281" s="39" t="str">
        <f>IFERROR(final!BH79*100/final!$I79,"")</f>
        <v/>
      </c>
      <c r="AX281" s="39" t="str">
        <f>IFERROR(final!BI79*100/final!$I79,"")</f>
        <v/>
      </c>
      <c r="AY281" s="39" t="str">
        <f>IFERROR(final!BJ79*100/final!$I79,"")</f>
        <v/>
      </c>
      <c r="AZ281" s="39" t="str">
        <f>IFERROR(final!BK79*100/final!$I79,"")</f>
        <v/>
      </c>
      <c r="BA281" s="39" t="str">
        <f>IFERROR(final!BL79*100/final!$I79,"")</f>
        <v/>
      </c>
      <c r="BB281" s="39" t="str">
        <f>IFERROR(final!BM79*100/final!$I79,"")</f>
        <v/>
      </c>
      <c r="BC281" s="39" t="str">
        <f>IFERROR(final!BN79*100/final!$I79,"")</f>
        <v/>
      </c>
      <c r="BD281" s="39" t="str">
        <f>IFERROR(final!BO79*100/final!$I79,"")</f>
        <v/>
      </c>
      <c r="BE281" s="39" t="str">
        <f>IFERROR(final!BP79*100/final!$I79,"")</f>
        <v/>
      </c>
      <c r="BF281" s="39" t="str">
        <f>IFERROR(final!BQ79*100/final!$I79,"")</f>
        <v/>
      </c>
      <c r="BG281" s="39" t="str">
        <f>IFERROR(final!BR79*100/final!$I79,"")</f>
        <v/>
      </c>
      <c r="BH281" s="39" t="str">
        <f>IFERROR(final!BS79*100/final!$I79,"")</f>
        <v/>
      </c>
      <c r="BI281" s="39" t="str">
        <f>IFERROR(final!BT79*100/final!$I79,"")</f>
        <v/>
      </c>
      <c r="BJ281" s="39" t="str">
        <f>IFERROR(final!BU79*100/final!$I79,"")</f>
        <v/>
      </c>
      <c r="BK281" s="39" t="str">
        <f>IFERROR(final!BV79*100/final!$I79,"")</f>
        <v/>
      </c>
      <c r="BL281" s="39" t="str">
        <f>IFERROR(final!BW79*100/final!$I79,"")</f>
        <v/>
      </c>
      <c r="BM281" s="39" t="str">
        <f>IFERROR(final!BX79*100/final!$I79,"")</f>
        <v/>
      </c>
      <c r="BN281" s="39" t="str">
        <f>IFERROR(final!BY79*100/final!$I79,"")</f>
        <v/>
      </c>
      <c r="BO281" s="39" t="str">
        <f>IFERROR(final!BZ79*100/final!$I79,"")</f>
        <v/>
      </c>
      <c r="BP281" s="39" t="str">
        <f>IFERROR(final!CA79*100/final!$I79,"")</f>
        <v/>
      </c>
      <c r="BQ281" s="39" t="str">
        <f>IFERROR(final!CB79*100/final!$I79,"")</f>
        <v/>
      </c>
      <c r="BR281" s="39" t="str">
        <f>IFERROR(final!CC79*100/final!$I79,"")</f>
        <v/>
      </c>
      <c r="BS281" s="39" t="str">
        <f>IFERROR(final!CD79*100/final!$I79,"")</f>
        <v/>
      </c>
      <c r="BT281" s="39" t="str">
        <f>IFERROR(final!CE79*100/final!$I79,"")</f>
        <v/>
      </c>
      <c r="BU281" s="39" t="str">
        <f>IFERROR(final!CF79*100/final!$I79,"")</f>
        <v/>
      </c>
      <c r="BV281" s="39" t="str">
        <f>IFERROR(final!CG79*100/final!$I79,"")</f>
        <v/>
      </c>
      <c r="BW281" s="39" t="str">
        <f>IFERROR(final!CH79*100/final!$I79,"")</f>
        <v/>
      </c>
      <c r="BX281" s="39" t="str">
        <f>IFERROR(final!CI79*100/final!$I79,"")</f>
        <v/>
      </c>
      <c r="BY281" s="39" t="str">
        <f>IFERROR(final!CJ79*100/final!$I79,"")</f>
        <v/>
      </c>
      <c r="BZ281" s="39" t="str">
        <f>IFERROR(final!CK79*100/final!$I79,"")</f>
        <v/>
      </c>
      <c r="CA281" s="39" t="str">
        <f>IFERROR(final!CL79*100/final!$I79,"")</f>
        <v/>
      </c>
      <c r="CB281" s="39" t="str">
        <f>IFERROR(final!CM79*100/final!$I79,"")</f>
        <v/>
      </c>
      <c r="CC281" s="39" t="str">
        <f>IFERROR(final!CN79*100/final!$I79,"")</f>
        <v/>
      </c>
      <c r="CD281" s="39" t="str">
        <f>IFERROR(final!CO79*100/final!$I79,"")</f>
        <v/>
      </c>
      <c r="CE281" s="39" t="str">
        <f>IFERROR(final!CP79*100/final!$I79,"")</f>
        <v/>
      </c>
      <c r="CF281" s="39" t="str">
        <f>IFERROR(final!CQ79*100/final!$I79,"")</f>
        <v/>
      </c>
      <c r="CG281" s="39" t="str">
        <f>IFERROR(final!CR79*100/final!$I79,"")</f>
        <v/>
      </c>
      <c r="CH281" s="39" t="str">
        <f>IFERROR(final!CS79*100/final!$I79,"")</f>
        <v/>
      </c>
      <c r="CI281" s="39" t="str">
        <f>IFERROR(final!CT79*100/final!$I79,"")</f>
        <v/>
      </c>
      <c r="CJ281" s="39" t="str">
        <f>IFERROR(final!CU79*100/final!$I79,"")</f>
        <v/>
      </c>
      <c r="CK281" s="39" t="str">
        <f>IFERROR(final!CV79*100/final!$I79,"")</f>
        <v/>
      </c>
      <c r="CL281" s="39" t="str">
        <f>IFERROR(final!CW79*100/final!$I79,"")</f>
        <v/>
      </c>
      <c r="CM281" s="39" t="str">
        <f>IFERROR(final!CX79*100/final!$I79,"")</f>
        <v/>
      </c>
      <c r="CN281" s="39" t="str">
        <f>IFERROR(final!CY79*100/final!$I79,"")</f>
        <v/>
      </c>
      <c r="CO281" s="39" t="str">
        <f>IFERROR(final!CZ79*100/final!$I79,"")</f>
        <v/>
      </c>
      <c r="CP281" s="39" t="str">
        <f>IFERROR(final!DA79*100/final!$I79,"")</f>
        <v/>
      </c>
      <c r="CQ281" s="39" t="str">
        <f>IFERROR(final!DB79*100/final!$I79,"")</f>
        <v/>
      </c>
      <c r="CR281" s="39" t="str">
        <f>IFERROR(final!DC79*100/final!$I79,"")</f>
        <v/>
      </c>
      <c r="CS281" s="39" t="str">
        <f>IFERROR(final!DD79*100/final!$I79,"")</f>
        <v/>
      </c>
      <c r="CT281" s="39" t="str">
        <f>IFERROR(final!DE79*100/final!$I79,"")</f>
        <v/>
      </c>
      <c r="CU281" s="39" t="str">
        <f>IFERROR(final!DF79*100/final!$I79,"")</f>
        <v/>
      </c>
      <c r="CV281" s="39" t="str">
        <f>IFERROR(final!DG79*100/final!$I79,"")</f>
        <v/>
      </c>
      <c r="CW281" s="32" t="str">
        <f>IFERROR(SUM(A281:CV281)/final!$DH$103,"")</f>
        <v/>
      </c>
      <c r="CX281" s="14" t="str">
        <f>IF(COUNTA(final!A79),final!A79,"")</f>
        <v/>
      </c>
      <c r="CY281" s="14" t="str">
        <f>IF(COUNTA(final!B79),final!B79,"")</f>
        <v/>
      </c>
      <c r="CZ281" s="14" t="str">
        <f>IF(COUNTA(final!C79),final!C79,"")</f>
        <v/>
      </c>
      <c r="DA281" s="14" t="str">
        <f>IF(COUNTA(final!D79),final!D79,"")</f>
        <v/>
      </c>
      <c r="DB281" s="14" t="str">
        <f>IF(COUNTA(final!E79),final!E79,"")</f>
        <v/>
      </c>
      <c r="DC281" s="14" t="str">
        <f>IF(COUNTA(final!F79),final!F79,"")</f>
        <v/>
      </c>
      <c r="DD281" s="14" t="str">
        <f>IF(COUNTA(final!G79),final!G79,"")</f>
        <v/>
      </c>
      <c r="DE281" s="14" t="str">
        <f>IF(COUNTA(final!H79),final!H79,"")</f>
        <v/>
      </c>
    </row>
    <row r="282" spans="1:109" x14ac:dyDescent="0.2">
      <c r="A282" s="39" t="str">
        <f>IFERROR(final!L80*100/final!$I80,"")</f>
        <v/>
      </c>
      <c r="B282" s="39" t="str">
        <f>IFERROR(final!M80*100/final!$I80,"")</f>
        <v/>
      </c>
      <c r="C282" s="39" t="str">
        <f>IFERROR(final!N80*100/final!$I80,"")</f>
        <v/>
      </c>
      <c r="D282" s="39" t="str">
        <f>IFERROR(final!O80*100/final!$I80,"")</f>
        <v/>
      </c>
      <c r="E282" s="39" t="str">
        <f>IFERROR(final!P80*100/final!$I80,"")</f>
        <v/>
      </c>
      <c r="F282" s="39" t="str">
        <f>IFERROR(final!Q80*100/final!$I80,"")</f>
        <v/>
      </c>
      <c r="G282" s="39" t="str">
        <f>IFERROR(final!R80*100/final!$I80,"")</f>
        <v/>
      </c>
      <c r="H282" s="39" t="str">
        <f>IFERROR(final!S80*100/final!$I80,"")</f>
        <v/>
      </c>
      <c r="I282" s="39" t="str">
        <f>IFERROR(final!T80*100/final!$I80,"")</f>
        <v/>
      </c>
      <c r="J282" s="39" t="str">
        <f>IFERROR(final!U80*100/final!$I80,"")</f>
        <v/>
      </c>
      <c r="K282" s="39" t="str">
        <f>IFERROR(final!V80*100/final!$I80,"")</f>
        <v/>
      </c>
      <c r="L282" s="39" t="str">
        <f>IFERROR(final!W80*100/final!$I80,"")</f>
        <v/>
      </c>
      <c r="M282" s="39" t="str">
        <f>IFERROR(final!X80*100/final!$I80,"")</f>
        <v/>
      </c>
      <c r="N282" s="39" t="str">
        <f>IFERROR(final!Y80*100/final!$I80,"")</f>
        <v/>
      </c>
      <c r="O282" s="39" t="str">
        <f>IFERROR(final!Z80*100/final!$I80,"")</f>
        <v/>
      </c>
      <c r="P282" s="39" t="str">
        <f>IFERROR(final!AA80*100/final!$I80,"")</f>
        <v/>
      </c>
      <c r="Q282" s="39" t="str">
        <f>IFERROR(final!AB80*100/final!$I80,"")</f>
        <v/>
      </c>
      <c r="R282" s="39" t="str">
        <f>IFERROR(final!AC80*100/final!$I80,"")</f>
        <v/>
      </c>
      <c r="S282" s="39" t="str">
        <f>IFERROR(final!AD80*100/final!$I80,"")</f>
        <v/>
      </c>
      <c r="T282" s="39" t="str">
        <f>IFERROR(final!AE80*100/final!$I80,"")</f>
        <v/>
      </c>
      <c r="U282" s="39" t="str">
        <f>IFERROR(final!AF80*100/final!$I80,"")</f>
        <v/>
      </c>
      <c r="V282" s="39" t="str">
        <f>IFERROR(final!AG80*100/final!$I80,"")</f>
        <v/>
      </c>
      <c r="W282" s="39" t="str">
        <f>IFERROR(final!AH80*100/final!$I80,"")</f>
        <v/>
      </c>
      <c r="X282" s="39" t="str">
        <f>IFERROR(final!AI80*100/final!$I80,"")</f>
        <v/>
      </c>
      <c r="Y282" s="39" t="str">
        <f>IFERROR(final!AJ80*100/final!$I80,"")</f>
        <v/>
      </c>
      <c r="Z282" s="39" t="str">
        <f>IFERROR(final!AK80*100/final!$I80,"")</f>
        <v/>
      </c>
      <c r="AA282" s="39" t="str">
        <f>IFERROR(final!AL80*100/final!$I80,"")</f>
        <v/>
      </c>
      <c r="AB282" s="39" t="str">
        <f>IFERROR(final!AM80*100/final!$I80,"")</f>
        <v/>
      </c>
      <c r="AC282" s="39" t="str">
        <f>IFERROR(final!AN80*100/final!$I80,"")</f>
        <v/>
      </c>
      <c r="AD282" s="39" t="str">
        <f>IFERROR(final!AO80*100/final!$I80,"")</f>
        <v/>
      </c>
      <c r="AE282" s="39" t="str">
        <f>IFERROR(final!AP80*100/final!$I80,"")</f>
        <v/>
      </c>
      <c r="AF282" s="39" t="str">
        <f>IFERROR(final!AQ80*100/final!$I80,"")</f>
        <v/>
      </c>
      <c r="AG282" s="39" t="str">
        <f>IFERROR(final!AR80*100/final!$I80,"")</f>
        <v/>
      </c>
      <c r="AH282" s="39" t="str">
        <f>IFERROR(final!AS80*100/final!$I80,"")</f>
        <v/>
      </c>
      <c r="AI282" s="39" t="str">
        <f>IFERROR(final!AT80*100/final!$I80,"")</f>
        <v/>
      </c>
      <c r="AJ282" s="39" t="str">
        <f>IFERROR(final!AU80*100/final!$I80,"")</f>
        <v/>
      </c>
      <c r="AK282" s="39" t="str">
        <f>IFERROR(final!AV80*100/final!$I80,"")</f>
        <v/>
      </c>
      <c r="AL282" s="39" t="str">
        <f>IFERROR(final!AW80*100/final!$I80,"")</f>
        <v/>
      </c>
      <c r="AM282" s="39" t="str">
        <f>IFERROR(final!AX80*100/final!$I80,"")</f>
        <v/>
      </c>
      <c r="AN282" s="39" t="str">
        <f>IFERROR(final!AY80*100/final!$I80,"")</f>
        <v/>
      </c>
      <c r="AO282" s="39" t="str">
        <f>IFERROR(final!AZ80*100/final!$I80,"")</f>
        <v/>
      </c>
      <c r="AP282" s="39" t="str">
        <f>IFERROR(final!BA80*100/final!$I80,"")</f>
        <v/>
      </c>
      <c r="AQ282" s="39" t="str">
        <f>IFERROR(final!BB80*100/final!$I80,"")</f>
        <v/>
      </c>
      <c r="AR282" s="39" t="str">
        <f>IFERROR(final!BC80*100/final!$I80,"")</f>
        <v/>
      </c>
      <c r="AS282" s="39" t="str">
        <f>IFERROR(final!BD80*100/final!$I80,"")</f>
        <v/>
      </c>
      <c r="AT282" s="39" t="str">
        <f>IFERROR(final!BE80*100/final!$I80,"")</f>
        <v/>
      </c>
      <c r="AU282" s="39" t="str">
        <f>IFERROR(final!BF80*100/final!$I80,"")</f>
        <v/>
      </c>
      <c r="AV282" s="39" t="str">
        <f>IFERROR(final!BG80*100/final!$I80,"")</f>
        <v/>
      </c>
      <c r="AW282" s="39" t="str">
        <f>IFERROR(final!BH80*100/final!$I80,"")</f>
        <v/>
      </c>
      <c r="AX282" s="39" t="str">
        <f>IFERROR(final!BI80*100/final!$I80,"")</f>
        <v/>
      </c>
      <c r="AY282" s="39" t="str">
        <f>IFERROR(final!BJ80*100/final!$I80,"")</f>
        <v/>
      </c>
      <c r="AZ282" s="39" t="str">
        <f>IFERROR(final!BK80*100/final!$I80,"")</f>
        <v/>
      </c>
      <c r="BA282" s="39" t="str">
        <f>IFERROR(final!BL80*100/final!$I80,"")</f>
        <v/>
      </c>
      <c r="BB282" s="39" t="str">
        <f>IFERROR(final!BM80*100/final!$I80,"")</f>
        <v/>
      </c>
      <c r="BC282" s="39" t="str">
        <f>IFERROR(final!BN80*100/final!$I80,"")</f>
        <v/>
      </c>
      <c r="BD282" s="39" t="str">
        <f>IFERROR(final!BO80*100/final!$I80,"")</f>
        <v/>
      </c>
      <c r="BE282" s="39" t="str">
        <f>IFERROR(final!BP80*100/final!$I80,"")</f>
        <v/>
      </c>
      <c r="BF282" s="39" t="str">
        <f>IFERROR(final!BQ80*100/final!$I80,"")</f>
        <v/>
      </c>
      <c r="BG282" s="39" t="str">
        <f>IFERROR(final!BR80*100/final!$I80,"")</f>
        <v/>
      </c>
      <c r="BH282" s="39" t="str">
        <f>IFERROR(final!BS80*100/final!$I80,"")</f>
        <v/>
      </c>
      <c r="BI282" s="39" t="str">
        <f>IFERROR(final!BT80*100/final!$I80,"")</f>
        <v/>
      </c>
      <c r="BJ282" s="39" t="str">
        <f>IFERROR(final!BU80*100/final!$I80,"")</f>
        <v/>
      </c>
      <c r="BK282" s="39" t="str">
        <f>IFERROR(final!BV80*100/final!$I80,"")</f>
        <v/>
      </c>
      <c r="BL282" s="39" t="str">
        <f>IFERROR(final!BW80*100/final!$I80,"")</f>
        <v/>
      </c>
      <c r="BM282" s="39" t="str">
        <f>IFERROR(final!BX80*100/final!$I80,"")</f>
        <v/>
      </c>
      <c r="BN282" s="39" t="str">
        <f>IFERROR(final!BY80*100/final!$I80,"")</f>
        <v/>
      </c>
      <c r="BO282" s="39" t="str">
        <f>IFERROR(final!BZ80*100/final!$I80,"")</f>
        <v/>
      </c>
      <c r="BP282" s="39" t="str">
        <f>IFERROR(final!CA80*100/final!$I80,"")</f>
        <v/>
      </c>
      <c r="BQ282" s="39" t="str">
        <f>IFERROR(final!CB80*100/final!$I80,"")</f>
        <v/>
      </c>
      <c r="BR282" s="39" t="str">
        <f>IFERROR(final!CC80*100/final!$I80,"")</f>
        <v/>
      </c>
      <c r="BS282" s="39" t="str">
        <f>IFERROR(final!CD80*100/final!$I80,"")</f>
        <v/>
      </c>
      <c r="BT282" s="39" t="str">
        <f>IFERROR(final!CE80*100/final!$I80,"")</f>
        <v/>
      </c>
      <c r="BU282" s="39" t="str">
        <f>IFERROR(final!CF80*100/final!$I80,"")</f>
        <v/>
      </c>
      <c r="BV282" s="39" t="str">
        <f>IFERROR(final!CG80*100/final!$I80,"")</f>
        <v/>
      </c>
      <c r="BW282" s="39" t="str">
        <f>IFERROR(final!CH80*100/final!$I80,"")</f>
        <v/>
      </c>
      <c r="BX282" s="39" t="str">
        <f>IFERROR(final!CI80*100/final!$I80,"")</f>
        <v/>
      </c>
      <c r="BY282" s="39" t="str">
        <f>IFERROR(final!CJ80*100/final!$I80,"")</f>
        <v/>
      </c>
      <c r="BZ282" s="39" t="str">
        <f>IFERROR(final!CK80*100/final!$I80,"")</f>
        <v/>
      </c>
      <c r="CA282" s="39" t="str">
        <f>IFERROR(final!CL80*100/final!$I80,"")</f>
        <v/>
      </c>
      <c r="CB282" s="39" t="str">
        <f>IFERROR(final!CM80*100/final!$I80,"")</f>
        <v/>
      </c>
      <c r="CC282" s="39" t="str">
        <f>IFERROR(final!CN80*100/final!$I80,"")</f>
        <v/>
      </c>
      <c r="CD282" s="39" t="str">
        <f>IFERROR(final!CO80*100/final!$I80,"")</f>
        <v/>
      </c>
      <c r="CE282" s="39" t="str">
        <f>IFERROR(final!CP80*100/final!$I80,"")</f>
        <v/>
      </c>
      <c r="CF282" s="39" t="str">
        <f>IFERROR(final!CQ80*100/final!$I80,"")</f>
        <v/>
      </c>
      <c r="CG282" s="39" t="str">
        <f>IFERROR(final!CR80*100/final!$I80,"")</f>
        <v/>
      </c>
      <c r="CH282" s="39" t="str">
        <f>IFERROR(final!CS80*100/final!$I80,"")</f>
        <v/>
      </c>
      <c r="CI282" s="39" t="str">
        <f>IFERROR(final!CT80*100/final!$I80,"")</f>
        <v/>
      </c>
      <c r="CJ282" s="39" t="str">
        <f>IFERROR(final!CU80*100/final!$I80,"")</f>
        <v/>
      </c>
      <c r="CK282" s="39" t="str">
        <f>IFERROR(final!CV80*100/final!$I80,"")</f>
        <v/>
      </c>
      <c r="CL282" s="39" t="str">
        <f>IFERROR(final!CW80*100/final!$I80,"")</f>
        <v/>
      </c>
      <c r="CM282" s="39" t="str">
        <f>IFERROR(final!CX80*100/final!$I80,"")</f>
        <v/>
      </c>
      <c r="CN282" s="39" t="str">
        <f>IFERROR(final!CY80*100/final!$I80,"")</f>
        <v/>
      </c>
      <c r="CO282" s="39" t="str">
        <f>IFERROR(final!CZ80*100/final!$I80,"")</f>
        <v/>
      </c>
      <c r="CP282" s="39" t="str">
        <f>IFERROR(final!DA80*100/final!$I80,"")</f>
        <v/>
      </c>
      <c r="CQ282" s="39" t="str">
        <f>IFERROR(final!DB80*100/final!$I80,"")</f>
        <v/>
      </c>
      <c r="CR282" s="39" t="str">
        <f>IFERROR(final!DC80*100/final!$I80,"")</f>
        <v/>
      </c>
      <c r="CS282" s="39" t="str">
        <f>IFERROR(final!DD80*100/final!$I80,"")</f>
        <v/>
      </c>
      <c r="CT282" s="39" t="str">
        <f>IFERROR(final!DE80*100/final!$I80,"")</f>
        <v/>
      </c>
      <c r="CU282" s="39" t="str">
        <f>IFERROR(final!DF80*100/final!$I80,"")</f>
        <v/>
      </c>
      <c r="CV282" s="39" t="str">
        <f>IFERROR(final!DG80*100/final!$I80,"")</f>
        <v/>
      </c>
      <c r="CW282" s="32" t="str">
        <f>IFERROR(SUM(A282:CV282)/final!$DH$103,"")</f>
        <v/>
      </c>
      <c r="CX282" s="14" t="str">
        <f>IF(COUNTA(final!A80),final!A80,"")</f>
        <v/>
      </c>
      <c r="CY282" s="14" t="str">
        <f>IF(COUNTA(final!B80),final!B80,"")</f>
        <v/>
      </c>
      <c r="CZ282" s="14" t="str">
        <f>IF(COUNTA(final!C80),final!C80,"")</f>
        <v/>
      </c>
      <c r="DA282" s="14" t="str">
        <f>IF(COUNTA(final!D80),final!D80,"")</f>
        <v/>
      </c>
      <c r="DB282" s="14" t="str">
        <f>IF(COUNTA(final!E80),final!E80,"")</f>
        <v/>
      </c>
      <c r="DC282" s="14" t="str">
        <f>IF(COUNTA(final!F80),final!F80,"")</f>
        <v/>
      </c>
      <c r="DD282" s="14" t="str">
        <f>IF(COUNTA(final!G80),final!G80,"")</f>
        <v/>
      </c>
      <c r="DE282" s="14" t="str">
        <f>IF(COUNTA(final!H80),final!H80,"")</f>
        <v/>
      </c>
    </row>
    <row r="283" spans="1:109" x14ac:dyDescent="0.2">
      <c r="A283" s="39" t="str">
        <f>IFERROR(final!L81*100/final!$I81,"")</f>
        <v/>
      </c>
      <c r="B283" s="39" t="str">
        <f>IFERROR(final!M81*100/final!$I81,"")</f>
        <v/>
      </c>
      <c r="C283" s="39" t="str">
        <f>IFERROR(final!N81*100/final!$I81,"")</f>
        <v/>
      </c>
      <c r="D283" s="39" t="str">
        <f>IFERROR(final!O81*100/final!$I81,"")</f>
        <v/>
      </c>
      <c r="E283" s="39" t="str">
        <f>IFERROR(final!P81*100/final!$I81,"")</f>
        <v/>
      </c>
      <c r="F283" s="39" t="str">
        <f>IFERROR(final!Q81*100/final!$I81,"")</f>
        <v/>
      </c>
      <c r="G283" s="39" t="str">
        <f>IFERROR(final!R81*100/final!$I81,"")</f>
        <v/>
      </c>
      <c r="H283" s="39" t="str">
        <f>IFERROR(final!S81*100/final!$I81,"")</f>
        <v/>
      </c>
      <c r="I283" s="39" t="str">
        <f>IFERROR(final!T81*100/final!$I81,"")</f>
        <v/>
      </c>
      <c r="J283" s="39" t="str">
        <f>IFERROR(final!U81*100/final!$I81,"")</f>
        <v/>
      </c>
      <c r="K283" s="39" t="str">
        <f>IFERROR(final!V81*100/final!$I81,"")</f>
        <v/>
      </c>
      <c r="L283" s="39" t="str">
        <f>IFERROR(final!W81*100/final!$I81,"")</f>
        <v/>
      </c>
      <c r="M283" s="39" t="str">
        <f>IFERROR(final!X81*100/final!$I81,"")</f>
        <v/>
      </c>
      <c r="N283" s="39" t="str">
        <f>IFERROR(final!Y81*100/final!$I81,"")</f>
        <v/>
      </c>
      <c r="O283" s="39" t="str">
        <f>IFERROR(final!Z81*100/final!$I81,"")</f>
        <v/>
      </c>
      <c r="P283" s="39" t="str">
        <f>IFERROR(final!AA81*100/final!$I81,"")</f>
        <v/>
      </c>
      <c r="Q283" s="39" t="str">
        <f>IFERROR(final!AB81*100/final!$I81,"")</f>
        <v/>
      </c>
      <c r="R283" s="39" t="str">
        <f>IFERROR(final!AC81*100/final!$I81,"")</f>
        <v/>
      </c>
      <c r="S283" s="39" t="str">
        <f>IFERROR(final!AD81*100/final!$I81,"")</f>
        <v/>
      </c>
      <c r="T283" s="39" t="str">
        <f>IFERROR(final!AE81*100/final!$I81,"")</f>
        <v/>
      </c>
      <c r="U283" s="39" t="str">
        <f>IFERROR(final!AF81*100/final!$I81,"")</f>
        <v/>
      </c>
      <c r="V283" s="39" t="str">
        <f>IFERROR(final!AG81*100/final!$I81,"")</f>
        <v/>
      </c>
      <c r="W283" s="39" t="str">
        <f>IFERROR(final!AH81*100/final!$I81,"")</f>
        <v/>
      </c>
      <c r="X283" s="39" t="str">
        <f>IFERROR(final!AI81*100/final!$I81,"")</f>
        <v/>
      </c>
      <c r="Y283" s="39" t="str">
        <f>IFERROR(final!AJ81*100/final!$I81,"")</f>
        <v/>
      </c>
      <c r="Z283" s="39" t="str">
        <f>IFERROR(final!AK81*100/final!$I81,"")</f>
        <v/>
      </c>
      <c r="AA283" s="39" t="str">
        <f>IFERROR(final!AL81*100/final!$I81,"")</f>
        <v/>
      </c>
      <c r="AB283" s="39" t="str">
        <f>IFERROR(final!AM81*100/final!$I81,"")</f>
        <v/>
      </c>
      <c r="AC283" s="39" t="str">
        <f>IFERROR(final!AN81*100/final!$I81,"")</f>
        <v/>
      </c>
      <c r="AD283" s="39" t="str">
        <f>IFERROR(final!AO81*100/final!$I81,"")</f>
        <v/>
      </c>
      <c r="AE283" s="39" t="str">
        <f>IFERROR(final!AP81*100/final!$I81,"")</f>
        <v/>
      </c>
      <c r="AF283" s="39" t="str">
        <f>IFERROR(final!AQ81*100/final!$I81,"")</f>
        <v/>
      </c>
      <c r="AG283" s="39" t="str">
        <f>IFERROR(final!AR81*100/final!$I81,"")</f>
        <v/>
      </c>
      <c r="AH283" s="39" t="str">
        <f>IFERROR(final!AS81*100/final!$I81,"")</f>
        <v/>
      </c>
      <c r="AI283" s="39" t="str">
        <f>IFERROR(final!AT81*100/final!$I81,"")</f>
        <v/>
      </c>
      <c r="AJ283" s="39" t="str">
        <f>IFERROR(final!AU81*100/final!$I81,"")</f>
        <v/>
      </c>
      <c r="AK283" s="39" t="str">
        <f>IFERROR(final!AV81*100/final!$I81,"")</f>
        <v/>
      </c>
      <c r="AL283" s="39" t="str">
        <f>IFERROR(final!AW81*100/final!$I81,"")</f>
        <v/>
      </c>
      <c r="AM283" s="39" t="str">
        <f>IFERROR(final!AX81*100/final!$I81,"")</f>
        <v/>
      </c>
      <c r="AN283" s="39" t="str">
        <f>IFERROR(final!AY81*100/final!$I81,"")</f>
        <v/>
      </c>
      <c r="AO283" s="39" t="str">
        <f>IFERROR(final!AZ81*100/final!$I81,"")</f>
        <v/>
      </c>
      <c r="AP283" s="39" t="str">
        <f>IFERROR(final!BA81*100/final!$I81,"")</f>
        <v/>
      </c>
      <c r="AQ283" s="39" t="str">
        <f>IFERROR(final!BB81*100/final!$I81,"")</f>
        <v/>
      </c>
      <c r="AR283" s="39" t="str">
        <f>IFERROR(final!BC81*100/final!$I81,"")</f>
        <v/>
      </c>
      <c r="AS283" s="39" t="str">
        <f>IFERROR(final!BD81*100/final!$I81,"")</f>
        <v/>
      </c>
      <c r="AT283" s="39" t="str">
        <f>IFERROR(final!BE81*100/final!$I81,"")</f>
        <v/>
      </c>
      <c r="AU283" s="39" t="str">
        <f>IFERROR(final!BF81*100/final!$I81,"")</f>
        <v/>
      </c>
      <c r="AV283" s="39" t="str">
        <f>IFERROR(final!BG81*100/final!$I81,"")</f>
        <v/>
      </c>
      <c r="AW283" s="39" t="str">
        <f>IFERROR(final!BH81*100/final!$I81,"")</f>
        <v/>
      </c>
      <c r="AX283" s="39" t="str">
        <f>IFERROR(final!BI81*100/final!$I81,"")</f>
        <v/>
      </c>
      <c r="AY283" s="39" t="str">
        <f>IFERROR(final!BJ81*100/final!$I81,"")</f>
        <v/>
      </c>
      <c r="AZ283" s="39" t="str">
        <f>IFERROR(final!BK81*100/final!$I81,"")</f>
        <v/>
      </c>
      <c r="BA283" s="39" t="str">
        <f>IFERROR(final!BL81*100/final!$I81,"")</f>
        <v/>
      </c>
      <c r="BB283" s="39" t="str">
        <f>IFERROR(final!BM81*100/final!$I81,"")</f>
        <v/>
      </c>
      <c r="BC283" s="39" t="str">
        <f>IFERROR(final!BN81*100/final!$I81,"")</f>
        <v/>
      </c>
      <c r="BD283" s="39" t="str">
        <f>IFERROR(final!BO81*100/final!$I81,"")</f>
        <v/>
      </c>
      <c r="BE283" s="39" t="str">
        <f>IFERROR(final!BP81*100/final!$I81,"")</f>
        <v/>
      </c>
      <c r="BF283" s="39" t="str">
        <f>IFERROR(final!BQ81*100/final!$I81,"")</f>
        <v/>
      </c>
      <c r="BG283" s="39" t="str">
        <f>IFERROR(final!BR81*100/final!$I81,"")</f>
        <v/>
      </c>
      <c r="BH283" s="39" t="str">
        <f>IFERROR(final!BS81*100/final!$I81,"")</f>
        <v/>
      </c>
      <c r="BI283" s="39" t="str">
        <f>IFERROR(final!BT81*100/final!$I81,"")</f>
        <v/>
      </c>
      <c r="BJ283" s="39" t="str">
        <f>IFERROR(final!BU81*100/final!$I81,"")</f>
        <v/>
      </c>
      <c r="BK283" s="39" t="str">
        <f>IFERROR(final!BV81*100/final!$I81,"")</f>
        <v/>
      </c>
      <c r="BL283" s="39" t="str">
        <f>IFERROR(final!BW81*100/final!$I81,"")</f>
        <v/>
      </c>
      <c r="BM283" s="39" t="str">
        <f>IFERROR(final!BX81*100/final!$I81,"")</f>
        <v/>
      </c>
      <c r="BN283" s="39" t="str">
        <f>IFERROR(final!BY81*100/final!$I81,"")</f>
        <v/>
      </c>
      <c r="BO283" s="39" t="str">
        <f>IFERROR(final!BZ81*100/final!$I81,"")</f>
        <v/>
      </c>
      <c r="BP283" s="39" t="str">
        <f>IFERROR(final!CA81*100/final!$I81,"")</f>
        <v/>
      </c>
      <c r="BQ283" s="39" t="str">
        <f>IFERROR(final!CB81*100/final!$I81,"")</f>
        <v/>
      </c>
      <c r="BR283" s="39" t="str">
        <f>IFERROR(final!CC81*100/final!$I81,"")</f>
        <v/>
      </c>
      <c r="BS283" s="39" t="str">
        <f>IFERROR(final!CD81*100/final!$I81,"")</f>
        <v/>
      </c>
      <c r="BT283" s="39" t="str">
        <f>IFERROR(final!CE81*100/final!$I81,"")</f>
        <v/>
      </c>
      <c r="BU283" s="39" t="str">
        <f>IFERROR(final!CF81*100/final!$I81,"")</f>
        <v/>
      </c>
      <c r="BV283" s="39" t="str">
        <f>IFERROR(final!CG81*100/final!$I81,"")</f>
        <v/>
      </c>
      <c r="BW283" s="39" t="str">
        <f>IFERROR(final!CH81*100/final!$I81,"")</f>
        <v/>
      </c>
      <c r="BX283" s="39" t="str">
        <f>IFERROR(final!CI81*100/final!$I81,"")</f>
        <v/>
      </c>
      <c r="BY283" s="39" t="str">
        <f>IFERROR(final!CJ81*100/final!$I81,"")</f>
        <v/>
      </c>
      <c r="BZ283" s="39" t="str">
        <f>IFERROR(final!CK81*100/final!$I81,"")</f>
        <v/>
      </c>
      <c r="CA283" s="39" t="str">
        <f>IFERROR(final!CL81*100/final!$I81,"")</f>
        <v/>
      </c>
      <c r="CB283" s="39" t="str">
        <f>IFERROR(final!CM81*100/final!$I81,"")</f>
        <v/>
      </c>
      <c r="CC283" s="39" t="str">
        <f>IFERROR(final!CN81*100/final!$I81,"")</f>
        <v/>
      </c>
      <c r="CD283" s="39" t="str">
        <f>IFERROR(final!CO81*100/final!$I81,"")</f>
        <v/>
      </c>
      <c r="CE283" s="39" t="str">
        <f>IFERROR(final!CP81*100/final!$I81,"")</f>
        <v/>
      </c>
      <c r="CF283" s="39" t="str">
        <f>IFERROR(final!CQ81*100/final!$I81,"")</f>
        <v/>
      </c>
      <c r="CG283" s="39" t="str">
        <f>IFERROR(final!CR81*100/final!$I81,"")</f>
        <v/>
      </c>
      <c r="CH283" s="39" t="str">
        <f>IFERROR(final!CS81*100/final!$I81,"")</f>
        <v/>
      </c>
      <c r="CI283" s="39" t="str">
        <f>IFERROR(final!CT81*100/final!$I81,"")</f>
        <v/>
      </c>
      <c r="CJ283" s="39" t="str">
        <f>IFERROR(final!CU81*100/final!$I81,"")</f>
        <v/>
      </c>
      <c r="CK283" s="39" t="str">
        <f>IFERROR(final!CV81*100/final!$I81,"")</f>
        <v/>
      </c>
      <c r="CL283" s="39" t="str">
        <f>IFERROR(final!CW81*100/final!$I81,"")</f>
        <v/>
      </c>
      <c r="CM283" s="39" t="str">
        <f>IFERROR(final!CX81*100/final!$I81,"")</f>
        <v/>
      </c>
      <c r="CN283" s="39" t="str">
        <f>IFERROR(final!CY81*100/final!$I81,"")</f>
        <v/>
      </c>
      <c r="CO283" s="39" t="str">
        <f>IFERROR(final!CZ81*100/final!$I81,"")</f>
        <v/>
      </c>
      <c r="CP283" s="39" t="str">
        <f>IFERROR(final!DA81*100/final!$I81,"")</f>
        <v/>
      </c>
      <c r="CQ283" s="39" t="str">
        <f>IFERROR(final!DB81*100/final!$I81,"")</f>
        <v/>
      </c>
      <c r="CR283" s="39" t="str">
        <f>IFERROR(final!DC81*100/final!$I81,"")</f>
        <v/>
      </c>
      <c r="CS283" s="39" t="str">
        <f>IFERROR(final!DD81*100/final!$I81,"")</f>
        <v/>
      </c>
      <c r="CT283" s="39" t="str">
        <f>IFERROR(final!DE81*100/final!$I81,"")</f>
        <v/>
      </c>
      <c r="CU283" s="39" t="str">
        <f>IFERROR(final!DF81*100/final!$I81,"")</f>
        <v/>
      </c>
      <c r="CV283" s="39" t="str">
        <f>IFERROR(final!DG81*100/final!$I81,"")</f>
        <v/>
      </c>
      <c r="CW283" s="32" t="str">
        <f>IFERROR(SUM(A283:CV283)/final!$DH$103,"")</f>
        <v/>
      </c>
      <c r="CX283" s="14" t="str">
        <f>IF(COUNTA(final!A81),final!A81,"")</f>
        <v/>
      </c>
      <c r="CY283" s="14" t="str">
        <f>IF(COUNTA(final!B81),final!B81,"")</f>
        <v/>
      </c>
      <c r="CZ283" s="14" t="str">
        <f>IF(COUNTA(final!C81),final!C81,"")</f>
        <v/>
      </c>
      <c r="DA283" s="14" t="str">
        <f>IF(COUNTA(final!D81),final!D81,"")</f>
        <v/>
      </c>
      <c r="DB283" s="14" t="str">
        <f>IF(COUNTA(final!E81),final!E81,"")</f>
        <v/>
      </c>
      <c r="DC283" s="14" t="str">
        <f>IF(COUNTA(final!F81),final!F81,"")</f>
        <v/>
      </c>
      <c r="DD283" s="14" t="str">
        <f>IF(COUNTA(final!G81),final!G81,"")</f>
        <v/>
      </c>
      <c r="DE283" s="14" t="str">
        <f>IF(COUNTA(final!H81),final!H81,"")</f>
        <v/>
      </c>
    </row>
    <row r="284" spans="1:109" x14ac:dyDescent="0.2">
      <c r="A284" s="39" t="str">
        <f>IFERROR(final!L82*100/final!$I82,"")</f>
        <v/>
      </c>
      <c r="B284" s="39" t="str">
        <f>IFERROR(final!M82*100/final!$I82,"")</f>
        <v/>
      </c>
      <c r="C284" s="39" t="str">
        <f>IFERROR(final!N82*100/final!$I82,"")</f>
        <v/>
      </c>
      <c r="D284" s="39" t="str">
        <f>IFERROR(final!O82*100/final!$I82,"")</f>
        <v/>
      </c>
      <c r="E284" s="39" t="str">
        <f>IFERROR(final!P82*100/final!$I82,"")</f>
        <v/>
      </c>
      <c r="F284" s="39" t="str">
        <f>IFERROR(final!Q82*100/final!$I82,"")</f>
        <v/>
      </c>
      <c r="G284" s="39" t="str">
        <f>IFERROR(final!R82*100/final!$I82,"")</f>
        <v/>
      </c>
      <c r="H284" s="39" t="str">
        <f>IFERROR(final!S82*100/final!$I82,"")</f>
        <v/>
      </c>
      <c r="I284" s="39" t="str">
        <f>IFERROR(final!T82*100/final!$I82,"")</f>
        <v/>
      </c>
      <c r="J284" s="39" t="str">
        <f>IFERROR(final!U82*100/final!$I82,"")</f>
        <v/>
      </c>
      <c r="K284" s="39" t="str">
        <f>IFERROR(final!V82*100/final!$I82,"")</f>
        <v/>
      </c>
      <c r="L284" s="39" t="str">
        <f>IFERROR(final!W82*100/final!$I82,"")</f>
        <v/>
      </c>
      <c r="M284" s="39" t="str">
        <f>IFERROR(final!X82*100/final!$I82,"")</f>
        <v/>
      </c>
      <c r="N284" s="39" t="str">
        <f>IFERROR(final!Y82*100/final!$I82,"")</f>
        <v/>
      </c>
      <c r="O284" s="39" t="str">
        <f>IFERROR(final!Z82*100/final!$I82,"")</f>
        <v/>
      </c>
      <c r="P284" s="39" t="str">
        <f>IFERROR(final!AA82*100/final!$I82,"")</f>
        <v/>
      </c>
      <c r="Q284" s="39" t="str">
        <f>IFERROR(final!AB82*100/final!$I82,"")</f>
        <v/>
      </c>
      <c r="R284" s="39" t="str">
        <f>IFERROR(final!AC82*100/final!$I82,"")</f>
        <v/>
      </c>
      <c r="S284" s="39" t="str">
        <f>IFERROR(final!AD82*100/final!$I82,"")</f>
        <v/>
      </c>
      <c r="T284" s="39" t="str">
        <f>IFERROR(final!AE82*100/final!$I82,"")</f>
        <v/>
      </c>
      <c r="U284" s="39" t="str">
        <f>IFERROR(final!AF82*100/final!$I82,"")</f>
        <v/>
      </c>
      <c r="V284" s="39" t="str">
        <f>IFERROR(final!AG82*100/final!$I82,"")</f>
        <v/>
      </c>
      <c r="W284" s="39" t="str">
        <f>IFERROR(final!AH82*100/final!$I82,"")</f>
        <v/>
      </c>
      <c r="X284" s="39" t="str">
        <f>IFERROR(final!AI82*100/final!$I82,"")</f>
        <v/>
      </c>
      <c r="Y284" s="39" t="str">
        <f>IFERROR(final!AJ82*100/final!$I82,"")</f>
        <v/>
      </c>
      <c r="Z284" s="39" t="str">
        <f>IFERROR(final!AK82*100/final!$I82,"")</f>
        <v/>
      </c>
      <c r="AA284" s="39" t="str">
        <f>IFERROR(final!AL82*100/final!$I82,"")</f>
        <v/>
      </c>
      <c r="AB284" s="39" t="str">
        <f>IFERROR(final!AM82*100/final!$I82,"")</f>
        <v/>
      </c>
      <c r="AC284" s="39" t="str">
        <f>IFERROR(final!AN82*100/final!$I82,"")</f>
        <v/>
      </c>
      <c r="AD284" s="39" t="str">
        <f>IFERROR(final!AO82*100/final!$I82,"")</f>
        <v/>
      </c>
      <c r="AE284" s="39" t="str">
        <f>IFERROR(final!AP82*100/final!$I82,"")</f>
        <v/>
      </c>
      <c r="AF284" s="39" t="str">
        <f>IFERROR(final!AQ82*100/final!$I82,"")</f>
        <v/>
      </c>
      <c r="AG284" s="39" t="str">
        <f>IFERROR(final!AR82*100/final!$I82,"")</f>
        <v/>
      </c>
      <c r="AH284" s="39" t="str">
        <f>IFERROR(final!AS82*100/final!$I82,"")</f>
        <v/>
      </c>
      <c r="AI284" s="39" t="str">
        <f>IFERROR(final!AT82*100/final!$I82,"")</f>
        <v/>
      </c>
      <c r="AJ284" s="39" t="str">
        <f>IFERROR(final!AU82*100/final!$I82,"")</f>
        <v/>
      </c>
      <c r="AK284" s="39" t="str">
        <f>IFERROR(final!AV82*100/final!$I82,"")</f>
        <v/>
      </c>
      <c r="AL284" s="39" t="str">
        <f>IFERROR(final!AW82*100/final!$I82,"")</f>
        <v/>
      </c>
      <c r="AM284" s="39" t="str">
        <f>IFERROR(final!AX82*100/final!$I82,"")</f>
        <v/>
      </c>
      <c r="AN284" s="39" t="str">
        <f>IFERROR(final!AY82*100/final!$I82,"")</f>
        <v/>
      </c>
      <c r="AO284" s="39" t="str">
        <f>IFERROR(final!AZ82*100/final!$I82,"")</f>
        <v/>
      </c>
      <c r="AP284" s="39" t="str">
        <f>IFERROR(final!BA82*100/final!$I82,"")</f>
        <v/>
      </c>
      <c r="AQ284" s="39" t="str">
        <f>IFERROR(final!BB82*100/final!$I82,"")</f>
        <v/>
      </c>
      <c r="AR284" s="39" t="str">
        <f>IFERROR(final!BC82*100/final!$I82,"")</f>
        <v/>
      </c>
      <c r="AS284" s="39" t="str">
        <f>IFERROR(final!BD82*100/final!$I82,"")</f>
        <v/>
      </c>
      <c r="AT284" s="39" t="str">
        <f>IFERROR(final!BE82*100/final!$I82,"")</f>
        <v/>
      </c>
      <c r="AU284" s="39" t="str">
        <f>IFERROR(final!BF82*100/final!$I82,"")</f>
        <v/>
      </c>
      <c r="AV284" s="39" t="str">
        <f>IFERROR(final!BG82*100/final!$I82,"")</f>
        <v/>
      </c>
      <c r="AW284" s="39" t="str">
        <f>IFERROR(final!BH82*100/final!$I82,"")</f>
        <v/>
      </c>
      <c r="AX284" s="39" t="str">
        <f>IFERROR(final!BI82*100/final!$I82,"")</f>
        <v/>
      </c>
      <c r="AY284" s="39" t="str">
        <f>IFERROR(final!BJ82*100/final!$I82,"")</f>
        <v/>
      </c>
      <c r="AZ284" s="39" t="str">
        <f>IFERROR(final!BK82*100/final!$I82,"")</f>
        <v/>
      </c>
      <c r="BA284" s="39" t="str">
        <f>IFERROR(final!BL82*100/final!$I82,"")</f>
        <v/>
      </c>
      <c r="BB284" s="39" t="str">
        <f>IFERROR(final!BM82*100/final!$I82,"")</f>
        <v/>
      </c>
      <c r="BC284" s="39" t="str">
        <f>IFERROR(final!BN82*100/final!$I82,"")</f>
        <v/>
      </c>
      <c r="BD284" s="39" t="str">
        <f>IFERROR(final!BO82*100/final!$I82,"")</f>
        <v/>
      </c>
      <c r="BE284" s="39" t="str">
        <f>IFERROR(final!BP82*100/final!$I82,"")</f>
        <v/>
      </c>
      <c r="BF284" s="39" t="str">
        <f>IFERROR(final!BQ82*100/final!$I82,"")</f>
        <v/>
      </c>
      <c r="BG284" s="39" t="str">
        <f>IFERROR(final!BR82*100/final!$I82,"")</f>
        <v/>
      </c>
      <c r="BH284" s="39" t="str">
        <f>IFERROR(final!BS82*100/final!$I82,"")</f>
        <v/>
      </c>
      <c r="BI284" s="39" t="str">
        <f>IFERROR(final!BT82*100/final!$I82,"")</f>
        <v/>
      </c>
      <c r="BJ284" s="39" t="str">
        <f>IFERROR(final!BU82*100/final!$I82,"")</f>
        <v/>
      </c>
      <c r="BK284" s="39" t="str">
        <f>IFERROR(final!BV82*100/final!$I82,"")</f>
        <v/>
      </c>
      <c r="BL284" s="39" t="str">
        <f>IFERROR(final!BW82*100/final!$I82,"")</f>
        <v/>
      </c>
      <c r="BM284" s="39" t="str">
        <f>IFERROR(final!BX82*100/final!$I82,"")</f>
        <v/>
      </c>
      <c r="BN284" s="39" t="str">
        <f>IFERROR(final!BY82*100/final!$I82,"")</f>
        <v/>
      </c>
      <c r="BO284" s="39" t="str">
        <f>IFERROR(final!BZ82*100/final!$I82,"")</f>
        <v/>
      </c>
      <c r="BP284" s="39" t="str">
        <f>IFERROR(final!CA82*100/final!$I82,"")</f>
        <v/>
      </c>
      <c r="BQ284" s="39" t="str">
        <f>IFERROR(final!CB82*100/final!$I82,"")</f>
        <v/>
      </c>
      <c r="BR284" s="39" t="str">
        <f>IFERROR(final!CC82*100/final!$I82,"")</f>
        <v/>
      </c>
      <c r="BS284" s="39" t="str">
        <f>IFERROR(final!CD82*100/final!$I82,"")</f>
        <v/>
      </c>
      <c r="BT284" s="39" t="str">
        <f>IFERROR(final!CE82*100/final!$I82,"")</f>
        <v/>
      </c>
      <c r="BU284" s="39" t="str">
        <f>IFERROR(final!CF82*100/final!$I82,"")</f>
        <v/>
      </c>
      <c r="BV284" s="39" t="str">
        <f>IFERROR(final!CG82*100/final!$I82,"")</f>
        <v/>
      </c>
      <c r="BW284" s="39" t="str">
        <f>IFERROR(final!CH82*100/final!$I82,"")</f>
        <v/>
      </c>
      <c r="BX284" s="39" t="str">
        <f>IFERROR(final!CI82*100/final!$I82,"")</f>
        <v/>
      </c>
      <c r="BY284" s="39" t="str">
        <f>IFERROR(final!CJ82*100/final!$I82,"")</f>
        <v/>
      </c>
      <c r="BZ284" s="39" t="str">
        <f>IFERROR(final!CK82*100/final!$I82,"")</f>
        <v/>
      </c>
      <c r="CA284" s="39" t="str">
        <f>IFERROR(final!CL82*100/final!$I82,"")</f>
        <v/>
      </c>
      <c r="CB284" s="39" t="str">
        <f>IFERROR(final!CM82*100/final!$I82,"")</f>
        <v/>
      </c>
      <c r="CC284" s="39" t="str">
        <f>IFERROR(final!CN82*100/final!$I82,"")</f>
        <v/>
      </c>
      <c r="CD284" s="39" t="str">
        <f>IFERROR(final!CO82*100/final!$I82,"")</f>
        <v/>
      </c>
      <c r="CE284" s="39" t="str">
        <f>IFERROR(final!CP82*100/final!$I82,"")</f>
        <v/>
      </c>
      <c r="CF284" s="39" t="str">
        <f>IFERROR(final!CQ82*100/final!$I82,"")</f>
        <v/>
      </c>
      <c r="CG284" s="39" t="str">
        <f>IFERROR(final!CR82*100/final!$I82,"")</f>
        <v/>
      </c>
      <c r="CH284" s="39" t="str">
        <f>IFERROR(final!CS82*100/final!$I82,"")</f>
        <v/>
      </c>
      <c r="CI284" s="39" t="str">
        <f>IFERROR(final!CT82*100/final!$I82,"")</f>
        <v/>
      </c>
      <c r="CJ284" s="39" t="str">
        <f>IFERROR(final!CU82*100/final!$I82,"")</f>
        <v/>
      </c>
      <c r="CK284" s="39" t="str">
        <f>IFERROR(final!CV82*100/final!$I82,"")</f>
        <v/>
      </c>
      <c r="CL284" s="39" t="str">
        <f>IFERROR(final!CW82*100/final!$I82,"")</f>
        <v/>
      </c>
      <c r="CM284" s="39" t="str">
        <f>IFERROR(final!CX82*100/final!$I82,"")</f>
        <v/>
      </c>
      <c r="CN284" s="39" t="str">
        <f>IFERROR(final!CY82*100/final!$I82,"")</f>
        <v/>
      </c>
      <c r="CO284" s="39" t="str">
        <f>IFERROR(final!CZ82*100/final!$I82,"")</f>
        <v/>
      </c>
      <c r="CP284" s="39" t="str">
        <f>IFERROR(final!DA82*100/final!$I82,"")</f>
        <v/>
      </c>
      <c r="CQ284" s="39" t="str">
        <f>IFERROR(final!DB82*100/final!$I82,"")</f>
        <v/>
      </c>
      <c r="CR284" s="39" t="str">
        <f>IFERROR(final!DC82*100/final!$I82,"")</f>
        <v/>
      </c>
      <c r="CS284" s="39" t="str">
        <f>IFERROR(final!DD82*100/final!$I82,"")</f>
        <v/>
      </c>
      <c r="CT284" s="39" t="str">
        <f>IFERROR(final!DE82*100/final!$I82,"")</f>
        <v/>
      </c>
      <c r="CU284" s="39" t="str">
        <f>IFERROR(final!DF82*100/final!$I82,"")</f>
        <v/>
      </c>
      <c r="CV284" s="39" t="str">
        <f>IFERROR(final!DG82*100/final!$I82,"")</f>
        <v/>
      </c>
      <c r="CW284" s="32" t="str">
        <f>IFERROR(SUM(A284:CV284)/final!$DH$103,"")</f>
        <v/>
      </c>
      <c r="CX284" s="14" t="str">
        <f>IF(COUNTA(final!A82),final!A82,"")</f>
        <v/>
      </c>
      <c r="CY284" s="14" t="str">
        <f>IF(COUNTA(final!B82),final!B82,"")</f>
        <v/>
      </c>
      <c r="CZ284" s="14" t="str">
        <f>IF(COUNTA(final!C82),final!C82,"")</f>
        <v/>
      </c>
      <c r="DA284" s="14" t="str">
        <f>IF(COUNTA(final!D82),final!D82,"")</f>
        <v/>
      </c>
      <c r="DB284" s="14" t="str">
        <f>IF(COUNTA(final!E82),final!E82,"")</f>
        <v/>
      </c>
      <c r="DC284" s="14" t="str">
        <f>IF(COUNTA(final!F82),final!F82,"")</f>
        <v/>
      </c>
      <c r="DD284" s="14" t="str">
        <f>IF(COUNTA(final!G82),final!G82,"")</f>
        <v/>
      </c>
      <c r="DE284" s="14" t="str">
        <f>IF(COUNTA(final!H82),final!H82,"")</f>
        <v/>
      </c>
    </row>
    <row r="285" spans="1:109" x14ac:dyDescent="0.2">
      <c r="A285" s="39" t="str">
        <f>IFERROR(final!L83*100/final!$I83,"")</f>
        <v/>
      </c>
      <c r="B285" s="39" t="str">
        <f>IFERROR(final!M83*100/final!$I83,"")</f>
        <v/>
      </c>
      <c r="C285" s="39" t="str">
        <f>IFERROR(final!N83*100/final!$I83,"")</f>
        <v/>
      </c>
      <c r="D285" s="39" t="str">
        <f>IFERROR(final!O83*100/final!$I83,"")</f>
        <v/>
      </c>
      <c r="E285" s="39" t="str">
        <f>IFERROR(final!P83*100/final!$I83,"")</f>
        <v/>
      </c>
      <c r="F285" s="39" t="str">
        <f>IFERROR(final!Q83*100/final!$I83,"")</f>
        <v/>
      </c>
      <c r="G285" s="39" t="str">
        <f>IFERROR(final!R83*100/final!$I83,"")</f>
        <v/>
      </c>
      <c r="H285" s="39" t="str">
        <f>IFERROR(final!S83*100/final!$I83,"")</f>
        <v/>
      </c>
      <c r="I285" s="39" t="str">
        <f>IFERROR(final!T83*100/final!$I83,"")</f>
        <v/>
      </c>
      <c r="J285" s="39" t="str">
        <f>IFERROR(final!U83*100/final!$I83,"")</f>
        <v/>
      </c>
      <c r="K285" s="39" t="str">
        <f>IFERROR(final!V83*100/final!$I83,"")</f>
        <v/>
      </c>
      <c r="L285" s="39" t="str">
        <f>IFERROR(final!W83*100/final!$I83,"")</f>
        <v/>
      </c>
      <c r="M285" s="39" t="str">
        <f>IFERROR(final!X83*100/final!$I83,"")</f>
        <v/>
      </c>
      <c r="N285" s="39" t="str">
        <f>IFERROR(final!Y83*100/final!$I83,"")</f>
        <v/>
      </c>
      <c r="O285" s="39" t="str">
        <f>IFERROR(final!Z83*100/final!$I83,"")</f>
        <v/>
      </c>
      <c r="P285" s="39" t="str">
        <f>IFERROR(final!AA83*100/final!$I83,"")</f>
        <v/>
      </c>
      <c r="Q285" s="39" t="str">
        <f>IFERROR(final!AB83*100/final!$I83,"")</f>
        <v/>
      </c>
      <c r="R285" s="39" t="str">
        <f>IFERROR(final!AC83*100/final!$I83,"")</f>
        <v/>
      </c>
      <c r="S285" s="39" t="str">
        <f>IFERROR(final!AD83*100/final!$I83,"")</f>
        <v/>
      </c>
      <c r="T285" s="39" t="str">
        <f>IFERROR(final!AE83*100/final!$I83,"")</f>
        <v/>
      </c>
      <c r="U285" s="39" t="str">
        <f>IFERROR(final!AF83*100/final!$I83,"")</f>
        <v/>
      </c>
      <c r="V285" s="39" t="str">
        <f>IFERROR(final!AG83*100/final!$I83,"")</f>
        <v/>
      </c>
      <c r="W285" s="39" t="str">
        <f>IFERROR(final!AH83*100/final!$I83,"")</f>
        <v/>
      </c>
      <c r="X285" s="39" t="str">
        <f>IFERROR(final!AI83*100/final!$I83,"")</f>
        <v/>
      </c>
      <c r="Y285" s="39" t="str">
        <f>IFERROR(final!AJ83*100/final!$I83,"")</f>
        <v/>
      </c>
      <c r="Z285" s="39" t="str">
        <f>IFERROR(final!AK83*100/final!$I83,"")</f>
        <v/>
      </c>
      <c r="AA285" s="39" t="str">
        <f>IFERROR(final!AL83*100/final!$I83,"")</f>
        <v/>
      </c>
      <c r="AB285" s="39" t="str">
        <f>IFERROR(final!AM83*100/final!$I83,"")</f>
        <v/>
      </c>
      <c r="AC285" s="39" t="str">
        <f>IFERROR(final!AN83*100/final!$I83,"")</f>
        <v/>
      </c>
      <c r="AD285" s="39" t="str">
        <f>IFERROR(final!AO83*100/final!$I83,"")</f>
        <v/>
      </c>
      <c r="AE285" s="39" t="str">
        <f>IFERROR(final!AP83*100/final!$I83,"")</f>
        <v/>
      </c>
      <c r="AF285" s="39" t="str">
        <f>IFERROR(final!AQ83*100/final!$I83,"")</f>
        <v/>
      </c>
      <c r="AG285" s="39" t="str">
        <f>IFERROR(final!AR83*100/final!$I83,"")</f>
        <v/>
      </c>
      <c r="AH285" s="39" t="str">
        <f>IFERROR(final!AS83*100/final!$I83,"")</f>
        <v/>
      </c>
      <c r="AI285" s="39" t="str">
        <f>IFERROR(final!AT83*100/final!$I83,"")</f>
        <v/>
      </c>
      <c r="AJ285" s="39" t="str">
        <f>IFERROR(final!AU83*100/final!$I83,"")</f>
        <v/>
      </c>
      <c r="AK285" s="39" t="str">
        <f>IFERROR(final!AV83*100/final!$I83,"")</f>
        <v/>
      </c>
      <c r="AL285" s="39" t="str">
        <f>IFERROR(final!AW83*100/final!$I83,"")</f>
        <v/>
      </c>
      <c r="AM285" s="39" t="str">
        <f>IFERROR(final!AX83*100/final!$I83,"")</f>
        <v/>
      </c>
      <c r="AN285" s="39" t="str">
        <f>IFERROR(final!AY83*100/final!$I83,"")</f>
        <v/>
      </c>
      <c r="AO285" s="39" t="str">
        <f>IFERROR(final!AZ83*100/final!$I83,"")</f>
        <v/>
      </c>
      <c r="AP285" s="39" t="str">
        <f>IFERROR(final!BA83*100/final!$I83,"")</f>
        <v/>
      </c>
      <c r="AQ285" s="39" t="str">
        <f>IFERROR(final!BB83*100/final!$I83,"")</f>
        <v/>
      </c>
      <c r="AR285" s="39" t="str">
        <f>IFERROR(final!BC83*100/final!$I83,"")</f>
        <v/>
      </c>
      <c r="AS285" s="39" t="str">
        <f>IFERROR(final!BD83*100/final!$I83,"")</f>
        <v/>
      </c>
      <c r="AT285" s="39" t="str">
        <f>IFERROR(final!BE83*100/final!$I83,"")</f>
        <v/>
      </c>
      <c r="AU285" s="39" t="str">
        <f>IFERROR(final!BF83*100/final!$I83,"")</f>
        <v/>
      </c>
      <c r="AV285" s="39" t="str">
        <f>IFERROR(final!BG83*100/final!$I83,"")</f>
        <v/>
      </c>
      <c r="AW285" s="39" t="str">
        <f>IFERROR(final!BH83*100/final!$I83,"")</f>
        <v/>
      </c>
      <c r="AX285" s="39" t="str">
        <f>IFERROR(final!BI83*100/final!$I83,"")</f>
        <v/>
      </c>
      <c r="AY285" s="39" t="str">
        <f>IFERROR(final!BJ83*100/final!$I83,"")</f>
        <v/>
      </c>
      <c r="AZ285" s="39" t="str">
        <f>IFERROR(final!BK83*100/final!$I83,"")</f>
        <v/>
      </c>
      <c r="BA285" s="39" t="str">
        <f>IFERROR(final!BL83*100/final!$I83,"")</f>
        <v/>
      </c>
      <c r="BB285" s="39" t="str">
        <f>IFERROR(final!BM83*100/final!$I83,"")</f>
        <v/>
      </c>
      <c r="BC285" s="39" t="str">
        <f>IFERROR(final!BN83*100/final!$I83,"")</f>
        <v/>
      </c>
      <c r="BD285" s="39" t="str">
        <f>IFERROR(final!BO83*100/final!$I83,"")</f>
        <v/>
      </c>
      <c r="BE285" s="39" t="str">
        <f>IFERROR(final!BP83*100/final!$I83,"")</f>
        <v/>
      </c>
      <c r="BF285" s="39" t="str">
        <f>IFERROR(final!BQ83*100/final!$I83,"")</f>
        <v/>
      </c>
      <c r="BG285" s="39" t="str">
        <f>IFERROR(final!BR83*100/final!$I83,"")</f>
        <v/>
      </c>
      <c r="BH285" s="39" t="str">
        <f>IFERROR(final!BS83*100/final!$I83,"")</f>
        <v/>
      </c>
      <c r="BI285" s="39" t="str">
        <f>IFERROR(final!BT83*100/final!$I83,"")</f>
        <v/>
      </c>
      <c r="BJ285" s="39" t="str">
        <f>IFERROR(final!BU83*100/final!$I83,"")</f>
        <v/>
      </c>
      <c r="BK285" s="39" t="str">
        <f>IFERROR(final!BV83*100/final!$I83,"")</f>
        <v/>
      </c>
      <c r="BL285" s="39" t="str">
        <f>IFERROR(final!BW83*100/final!$I83,"")</f>
        <v/>
      </c>
      <c r="BM285" s="39" t="str">
        <f>IFERROR(final!BX83*100/final!$I83,"")</f>
        <v/>
      </c>
      <c r="BN285" s="39" t="str">
        <f>IFERROR(final!BY83*100/final!$I83,"")</f>
        <v/>
      </c>
      <c r="BO285" s="39" t="str">
        <f>IFERROR(final!BZ83*100/final!$I83,"")</f>
        <v/>
      </c>
      <c r="BP285" s="39" t="str">
        <f>IFERROR(final!CA83*100/final!$I83,"")</f>
        <v/>
      </c>
      <c r="BQ285" s="39" t="str">
        <f>IFERROR(final!CB83*100/final!$I83,"")</f>
        <v/>
      </c>
      <c r="BR285" s="39" t="str">
        <f>IFERROR(final!CC83*100/final!$I83,"")</f>
        <v/>
      </c>
      <c r="BS285" s="39" t="str">
        <f>IFERROR(final!CD83*100/final!$I83,"")</f>
        <v/>
      </c>
      <c r="BT285" s="39" t="str">
        <f>IFERROR(final!CE83*100/final!$I83,"")</f>
        <v/>
      </c>
      <c r="BU285" s="39" t="str">
        <f>IFERROR(final!CF83*100/final!$I83,"")</f>
        <v/>
      </c>
      <c r="BV285" s="39" t="str">
        <f>IFERROR(final!CG83*100/final!$I83,"")</f>
        <v/>
      </c>
      <c r="BW285" s="39" t="str">
        <f>IFERROR(final!CH83*100/final!$I83,"")</f>
        <v/>
      </c>
      <c r="BX285" s="39" t="str">
        <f>IFERROR(final!CI83*100/final!$I83,"")</f>
        <v/>
      </c>
      <c r="BY285" s="39" t="str">
        <f>IFERROR(final!CJ83*100/final!$I83,"")</f>
        <v/>
      </c>
      <c r="BZ285" s="39" t="str">
        <f>IFERROR(final!CK83*100/final!$I83,"")</f>
        <v/>
      </c>
      <c r="CA285" s="39" t="str">
        <f>IFERROR(final!CL83*100/final!$I83,"")</f>
        <v/>
      </c>
      <c r="CB285" s="39" t="str">
        <f>IFERROR(final!CM83*100/final!$I83,"")</f>
        <v/>
      </c>
      <c r="CC285" s="39" t="str">
        <f>IFERROR(final!CN83*100/final!$I83,"")</f>
        <v/>
      </c>
      <c r="CD285" s="39" t="str">
        <f>IFERROR(final!CO83*100/final!$I83,"")</f>
        <v/>
      </c>
      <c r="CE285" s="39" t="str">
        <f>IFERROR(final!CP83*100/final!$I83,"")</f>
        <v/>
      </c>
      <c r="CF285" s="39" t="str">
        <f>IFERROR(final!CQ83*100/final!$I83,"")</f>
        <v/>
      </c>
      <c r="CG285" s="39" t="str">
        <f>IFERROR(final!CR83*100/final!$I83,"")</f>
        <v/>
      </c>
      <c r="CH285" s="39" t="str">
        <f>IFERROR(final!CS83*100/final!$I83,"")</f>
        <v/>
      </c>
      <c r="CI285" s="39" t="str">
        <f>IFERROR(final!CT83*100/final!$I83,"")</f>
        <v/>
      </c>
      <c r="CJ285" s="39" t="str">
        <f>IFERROR(final!CU83*100/final!$I83,"")</f>
        <v/>
      </c>
      <c r="CK285" s="39" t="str">
        <f>IFERROR(final!CV83*100/final!$I83,"")</f>
        <v/>
      </c>
      <c r="CL285" s="39" t="str">
        <f>IFERROR(final!CW83*100/final!$I83,"")</f>
        <v/>
      </c>
      <c r="CM285" s="39" t="str">
        <f>IFERROR(final!CX83*100/final!$I83,"")</f>
        <v/>
      </c>
      <c r="CN285" s="39" t="str">
        <f>IFERROR(final!CY83*100/final!$I83,"")</f>
        <v/>
      </c>
      <c r="CO285" s="39" t="str">
        <f>IFERROR(final!CZ83*100/final!$I83,"")</f>
        <v/>
      </c>
      <c r="CP285" s="39" t="str">
        <f>IFERROR(final!DA83*100/final!$I83,"")</f>
        <v/>
      </c>
      <c r="CQ285" s="39" t="str">
        <f>IFERROR(final!DB83*100/final!$I83,"")</f>
        <v/>
      </c>
      <c r="CR285" s="39" t="str">
        <f>IFERROR(final!DC83*100/final!$I83,"")</f>
        <v/>
      </c>
      <c r="CS285" s="39" t="str">
        <f>IFERROR(final!DD83*100/final!$I83,"")</f>
        <v/>
      </c>
      <c r="CT285" s="39" t="str">
        <f>IFERROR(final!DE83*100/final!$I83,"")</f>
        <v/>
      </c>
      <c r="CU285" s="39" t="str">
        <f>IFERROR(final!DF83*100/final!$I83,"")</f>
        <v/>
      </c>
      <c r="CV285" s="39" t="str">
        <f>IFERROR(final!DG83*100/final!$I83,"")</f>
        <v/>
      </c>
      <c r="CW285" s="32" t="str">
        <f>IFERROR(SUM(A285:CV285)/final!$DH$103,"")</f>
        <v/>
      </c>
      <c r="CX285" s="14" t="str">
        <f>IF(COUNTA(final!A83),final!A83,"")</f>
        <v/>
      </c>
      <c r="CY285" s="14" t="str">
        <f>IF(COUNTA(final!B83),final!B83,"")</f>
        <v/>
      </c>
      <c r="CZ285" s="14" t="str">
        <f>IF(COUNTA(final!C83),final!C83,"")</f>
        <v/>
      </c>
      <c r="DA285" s="14" t="str">
        <f>IF(COUNTA(final!D83),final!D83,"")</f>
        <v/>
      </c>
      <c r="DB285" s="14" t="str">
        <f>IF(COUNTA(final!E83),final!E83,"")</f>
        <v/>
      </c>
      <c r="DC285" s="14" t="str">
        <f>IF(COUNTA(final!F83),final!F83,"")</f>
        <v/>
      </c>
      <c r="DD285" s="14" t="str">
        <f>IF(COUNTA(final!G83),final!G83,"")</f>
        <v/>
      </c>
      <c r="DE285" s="14" t="str">
        <f>IF(COUNTA(final!H83),final!H83,"")</f>
        <v/>
      </c>
    </row>
    <row r="286" spans="1:109" x14ac:dyDescent="0.2">
      <c r="A286" s="39" t="str">
        <f>IFERROR(final!L84*100/final!$I84,"")</f>
        <v/>
      </c>
      <c r="B286" s="39" t="str">
        <f>IFERROR(final!M84*100/final!$I84,"")</f>
        <v/>
      </c>
      <c r="C286" s="39" t="str">
        <f>IFERROR(final!N84*100/final!$I84,"")</f>
        <v/>
      </c>
      <c r="D286" s="39" t="str">
        <f>IFERROR(final!O84*100/final!$I84,"")</f>
        <v/>
      </c>
      <c r="E286" s="39" t="str">
        <f>IFERROR(final!P84*100/final!$I84,"")</f>
        <v/>
      </c>
      <c r="F286" s="39" t="str">
        <f>IFERROR(final!Q84*100/final!$I84,"")</f>
        <v/>
      </c>
      <c r="G286" s="39" t="str">
        <f>IFERROR(final!R84*100/final!$I84,"")</f>
        <v/>
      </c>
      <c r="H286" s="39" t="str">
        <f>IFERROR(final!S84*100/final!$I84,"")</f>
        <v/>
      </c>
      <c r="I286" s="39" t="str">
        <f>IFERROR(final!T84*100/final!$I84,"")</f>
        <v/>
      </c>
      <c r="J286" s="39" t="str">
        <f>IFERROR(final!U84*100/final!$I84,"")</f>
        <v/>
      </c>
      <c r="K286" s="39" t="str">
        <f>IFERROR(final!V84*100/final!$I84,"")</f>
        <v/>
      </c>
      <c r="L286" s="39" t="str">
        <f>IFERROR(final!W84*100/final!$I84,"")</f>
        <v/>
      </c>
      <c r="M286" s="39" t="str">
        <f>IFERROR(final!X84*100/final!$I84,"")</f>
        <v/>
      </c>
      <c r="N286" s="39" t="str">
        <f>IFERROR(final!Y84*100/final!$I84,"")</f>
        <v/>
      </c>
      <c r="O286" s="39" t="str">
        <f>IFERROR(final!Z84*100/final!$I84,"")</f>
        <v/>
      </c>
      <c r="P286" s="39" t="str">
        <f>IFERROR(final!AA84*100/final!$I84,"")</f>
        <v/>
      </c>
      <c r="Q286" s="39" t="str">
        <f>IFERROR(final!AB84*100/final!$I84,"")</f>
        <v/>
      </c>
      <c r="R286" s="39" t="str">
        <f>IFERROR(final!AC84*100/final!$I84,"")</f>
        <v/>
      </c>
      <c r="S286" s="39" t="str">
        <f>IFERROR(final!AD84*100/final!$I84,"")</f>
        <v/>
      </c>
      <c r="T286" s="39" t="str">
        <f>IFERROR(final!AE84*100/final!$I84,"")</f>
        <v/>
      </c>
      <c r="U286" s="39" t="str">
        <f>IFERROR(final!AF84*100/final!$I84,"")</f>
        <v/>
      </c>
      <c r="V286" s="39" t="str">
        <f>IFERROR(final!AG84*100/final!$I84,"")</f>
        <v/>
      </c>
      <c r="W286" s="39" t="str">
        <f>IFERROR(final!AH84*100/final!$I84,"")</f>
        <v/>
      </c>
      <c r="X286" s="39" t="str">
        <f>IFERROR(final!AI84*100/final!$I84,"")</f>
        <v/>
      </c>
      <c r="Y286" s="39" t="str">
        <f>IFERROR(final!AJ84*100/final!$I84,"")</f>
        <v/>
      </c>
      <c r="Z286" s="39" t="str">
        <f>IFERROR(final!AK84*100/final!$I84,"")</f>
        <v/>
      </c>
      <c r="AA286" s="39" t="str">
        <f>IFERROR(final!AL84*100/final!$I84,"")</f>
        <v/>
      </c>
      <c r="AB286" s="39" t="str">
        <f>IFERROR(final!AM84*100/final!$I84,"")</f>
        <v/>
      </c>
      <c r="AC286" s="39" t="str">
        <f>IFERROR(final!AN84*100/final!$I84,"")</f>
        <v/>
      </c>
      <c r="AD286" s="39" t="str">
        <f>IFERROR(final!AO84*100/final!$I84,"")</f>
        <v/>
      </c>
      <c r="AE286" s="39" t="str">
        <f>IFERROR(final!AP84*100/final!$I84,"")</f>
        <v/>
      </c>
      <c r="AF286" s="39" t="str">
        <f>IFERROR(final!AQ84*100/final!$I84,"")</f>
        <v/>
      </c>
      <c r="AG286" s="39" t="str">
        <f>IFERROR(final!AR84*100/final!$I84,"")</f>
        <v/>
      </c>
      <c r="AH286" s="39" t="str">
        <f>IFERROR(final!AS84*100/final!$I84,"")</f>
        <v/>
      </c>
      <c r="AI286" s="39" t="str">
        <f>IFERROR(final!AT84*100/final!$I84,"")</f>
        <v/>
      </c>
      <c r="AJ286" s="39" t="str">
        <f>IFERROR(final!AU84*100/final!$I84,"")</f>
        <v/>
      </c>
      <c r="AK286" s="39" t="str">
        <f>IFERROR(final!AV84*100/final!$I84,"")</f>
        <v/>
      </c>
      <c r="AL286" s="39" t="str">
        <f>IFERROR(final!AW84*100/final!$I84,"")</f>
        <v/>
      </c>
      <c r="AM286" s="39" t="str">
        <f>IFERROR(final!AX84*100/final!$I84,"")</f>
        <v/>
      </c>
      <c r="AN286" s="39" t="str">
        <f>IFERROR(final!AY84*100/final!$I84,"")</f>
        <v/>
      </c>
      <c r="AO286" s="39" t="str">
        <f>IFERROR(final!AZ84*100/final!$I84,"")</f>
        <v/>
      </c>
      <c r="AP286" s="39" t="str">
        <f>IFERROR(final!BA84*100/final!$I84,"")</f>
        <v/>
      </c>
      <c r="AQ286" s="39" t="str">
        <f>IFERROR(final!BB84*100/final!$I84,"")</f>
        <v/>
      </c>
      <c r="AR286" s="39" t="str">
        <f>IFERROR(final!BC84*100/final!$I84,"")</f>
        <v/>
      </c>
      <c r="AS286" s="39" t="str">
        <f>IFERROR(final!BD84*100/final!$I84,"")</f>
        <v/>
      </c>
      <c r="AT286" s="39" t="str">
        <f>IFERROR(final!BE84*100/final!$I84,"")</f>
        <v/>
      </c>
      <c r="AU286" s="39" t="str">
        <f>IFERROR(final!BF84*100/final!$I84,"")</f>
        <v/>
      </c>
      <c r="AV286" s="39" t="str">
        <f>IFERROR(final!BG84*100/final!$I84,"")</f>
        <v/>
      </c>
      <c r="AW286" s="39" t="str">
        <f>IFERROR(final!BH84*100/final!$I84,"")</f>
        <v/>
      </c>
      <c r="AX286" s="39" t="str">
        <f>IFERROR(final!BI84*100/final!$I84,"")</f>
        <v/>
      </c>
      <c r="AY286" s="39" t="str">
        <f>IFERROR(final!BJ84*100/final!$I84,"")</f>
        <v/>
      </c>
      <c r="AZ286" s="39" t="str">
        <f>IFERROR(final!BK84*100/final!$I84,"")</f>
        <v/>
      </c>
      <c r="BA286" s="39" t="str">
        <f>IFERROR(final!BL84*100/final!$I84,"")</f>
        <v/>
      </c>
      <c r="BB286" s="39" t="str">
        <f>IFERROR(final!BM84*100/final!$I84,"")</f>
        <v/>
      </c>
      <c r="BC286" s="39" t="str">
        <f>IFERROR(final!BN84*100/final!$I84,"")</f>
        <v/>
      </c>
      <c r="BD286" s="39" t="str">
        <f>IFERROR(final!BO84*100/final!$I84,"")</f>
        <v/>
      </c>
      <c r="BE286" s="39" t="str">
        <f>IFERROR(final!BP84*100/final!$I84,"")</f>
        <v/>
      </c>
      <c r="BF286" s="39" t="str">
        <f>IFERROR(final!BQ84*100/final!$I84,"")</f>
        <v/>
      </c>
      <c r="BG286" s="39" t="str">
        <f>IFERROR(final!BR84*100/final!$I84,"")</f>
        <v/>
      </c>
      <c r="BH286" s="39" t="str">
        <f>IFERROR(final!BS84*100/final!$I84,"")</f>
        <v/>
      </c>
      <c r="BI286" s="39" t="str">
        <f>IFERROR(final!BT84*100/final!$I84,"")</f>
        <v/>
      </c>
      <c r="BJ286" s="39" t="str">
        <f>IFERROR(final!BU84*100/final!$I84,"")</f>
        <v/>
      </c>
      <c r="BK286" s="39" t="str">
        <f>IFERROR(final!BV84*100/final!$I84,"")</f>
        <v/>
      </c>
      <c r="BL286" s="39" t="str">
        <f>IFERROR(final!BW84*100/final!$I84,"")</f>
        <v/>
      </c>
      <c r="BM286" s="39" t="str">
        <f>IFERROR(final!BX84*100/final!$I84,"")</f>
        <v/>
      </c>
      <c r="BN286" s="39" t="str">
        <f>IFERROR(final!BY84*100/final!$I84,"")</f>
        <v/>
      </c>
      <c r="BO286" s="39" t="str">
        <f>IFERROR(final!BZ84*100/final!$I84,"")</f>
        <v/>
      </c>
      <c r="BP286" s="39" t="str">
        <f>IFERROR(final!CA84*100/final!$I84,"")</f>
        <v/>
      </c>
      <c r="BQ286" s="39" t="str">
        <f>IFERROR(final!CB84*100/final!$I84,"")</f>
        <v/>
      </c>
      <c r="BR286" s="39" t="str">
        <f>IFERROR(final!CC84*100/final!$I84,"")</f>
        <v/>
      </c>
      <c r="BS286" s="39" t="str">
        <f>IFERROR(final!CD84*100/final!$I84,"")</f>
        <v/>
      </c>
      <c r="BT286" s="39" t="str">
        <f>IFERROR(final!CE84*100/final!$I84,"")</f>
        <v/>
      </c>
      <c r="BU286" s="39" t="str">
        <f>IFERROR(final!CF84*100/final!$I84,"")</f>
        <v/>
      </c>
      <c r="BV286" s="39" t="str">
        <f>IFERROR(final!CG84*100/final!$I84,"")</f>
        <v/>
      </c>
      <c r="BW286" s="39" t="str">
        <f>IFERROR(final!CH84*100/final!$I84,"")</f>
        <v/>
      </c>
      <c r="BX286" s="39" t="str">
        <f>IFERROR(final!CI84*100/final!$I84,"")</f>
        <v/>
      </c>
      <c r="BY286" s="39" t="str">
        <f>IFERROR(final!CJ84*100/final!$I84,"")</f>
        <v/>
      </c>
      <c r="BZ286" s="39" t="str">
        <f>IFERROR(final!CK84*100/final!$I84,"")</f>
        <v/>
      </c>
      <c r="CA286" s="39" t="str">
        <f>IFERROR(final!CL84*100/final!$I84,"")</f>
        <v/>
      </c>
      <c r="CB286" s="39" t="str">
        <f>IFERROR(final!CM84*100/final!$I84,"")</f>
        <v/>
      </c>
      <c r="CC286" s="39" t="str">
        <f>IFERROR(final!CN84*100/final!$I84,"")</f>
        <v/>
      </c>
      <c r="CD286" s="39" t="str">
        <f>IFERROR(final!CO84*100/final!$I84,"")</f>
        <v/>
      </c>
      <c r="CE286" s="39" t="str">
        <f>IFERROR(final!CP84*100/final!$I84,"")</f>
        <v/>
      </c>
      <c r="CF286" s="39" t="str">
        <f>IFERROR(final!CQ84*100/final!$I84,"")</f>
        <v/>
      </c>
      <c r="CG286" s="39" t="str">
        <f>IFERROR(final!CR84*100/final!$I84,"")</f>
        <v/>
      </c>
      <c r="CH286" s="39" t="str">
        <f>IFERROR(final!CS84*100/final!$I84,"")</f>
        <v/>
      </c>
      <c r="CI286" s="39" t="str">
        <f>IFERROR(final!CT84*100/final!$I84,"")</f>
        <v/>
      </c>
      <c r="CJ286" s="39" t="str">
        <f>IFERROR(final!CU84*100/final!$I84,"")</f>
        <v/>
      </c>
      <c r="CK286" s="39" t="str">
        <f>IFERROR(final!CV84*100/final!$I84,"")</f>
        <v/>
      </c>
      <c r="CL286" s="39" t="str">
        <f>IFERROR(final!CW84*100/final!$I84,"")</f>
        <v/>
      </c>
      <c r="CM286" s="39" t="str">
        <f>IFERROR(final!CX84*100/final!$I84,"")</f>
        <v/>
      </c>
      <c r="CN286" s="39" t="str">
        <f>IFERROR(final!CY84*100/final!$I84,"")</f>
        <v/>
      </c>
      <c r="CO286" s="39" t="str">
        <f>IFERROR(final!CZ84*100/final!$I84,"")</f>
        <v/>
      </c>
      <c r="CP286" s="39" t="str">
        <f>IFERROR(final!DA84*100/final!$I84,"")</f>
        <v/>
      </c>
      <c r="CQ286" s="39" t="str">
        <f>IFERROR(final!DB84*100/final!$I84,"")</f>
        <v/>
      </c>
      <c r="CR286" s="39" t="str">
        <f>IFERROR(final!DC84*100/final!$I84,"")</f>
        <v/>
      </c>
      <c r="CS286" s="39" t="str">
        <f>IFERROR(final!DD84*100/final!$I84,"")</f>
        <v/>
      </c>
      <c r="CT286" s="39" t="str">
        <f>IFERROR(final!DE84*100/final!$I84,"")</f>
        <v/>
      </c>
      <c r="CU286" s="39" t="str">
        <f>IFERROR(final!DF84*100/final!$I84,"")</f>
        <v/>
      </c>
      <c r="CV286" s="39" t="str">
        <f>IFERROR(final!DG84*100/final!$I84,"")</f>
        <v/>
      </c>
      <c r="CW286" s="32" t="str">
        <f>IFERROR(SUM(A286:CV286)/final!$DH$103,"")</f>
        <v/>
      </c>
      <c r="CX286" s="14" t="str">
        <f>IF(COUNTA(final!A84),final!A84,"")</f>
        <v/>
      </c>
      <c r="CY286" s="14" t="str">
        <f>IF(COUNTA(final!B84),final!B84,"")</f>
        <v/>
      </c>
      <c r="CZ286" s="14" t="str">
        <f>IF(COUNTA(final!C84),final!C84,"")</f>
        <v/>
      </c>
      <c r="DA286" s="14" t="str">
        <f>IF(COUNTA(final!D84),final!D84,"")</f>
        <v/>
      </c>
      <c r="DB286" s="14" t="str">
        <f>IF(COUNTA(final!E84),final!E84,"")</f>
        <v/>
      </c>
      <c r="DC286" s="14" t="str">
        <f>IF(COUNTA(final!F84),final!F84,"")</f>
        <v/>
      </c>
      <c r="DD286" s="14" t="str">
        <f>IF(COUNTA(final!G84),final!G84,"")</f>
        <v/>
      </c>
      <c r="DE286" s="14" t="str">
        <f>IF(COUNTA(final!H84),final!H84,"")</f>
        <v/>
      </c>
    </row>
    <row r="287" spans="1:109" x14ac:dyDescent="0.2">
      <c r="A287" s="39" t="str">
        <f>IFERROR(final!L85*100/final!$I85,"")</f>
        <v/>
      </c>
      <c r="B287" s="39" t="str">
        <f>IFERROR(final!M85*100/final!$I85,"")</f>
        <v/>
      </c>
      <c r="C287" s="39" t="str">
        <f>IFERROR(final!N85*100/final!$I85,"")</f>
        <v/>
      </c>
      <c r="D287" s="39" t="str">
        <f>IFERROR(final!O85*100/final!$I85,"")</f>
        <v/>
      </c>
      <c r="E287" s="39" t="str">
        <f>IFERROR(final!P85*100/final!$I85,"")</f>
        <v/>
      </c>
      <c r="F287" s="39" t="str">
        <f>IFERROR(final!Q85*100/final!$I85,"")</f>
        <v/>
      </c>
      <c r="G287" s="39" t="str">
        <f>IFERROR(final!R85*100/final!$I85,"")</f>
        <v/>
      </c>
      <c r="H287" s="39" t="str">
        <f>IFERROR(final!S85*100/final!$I85,"")</f>
        <v/>
      </c>
      <c r="I287" s="39" t="str">
        <f>IFERROR(final!T85*100/final!$I85,"")</f>
        <v/>
      </c>
      <c r="J287" s="39" t="str">
        <f>IFERROR(final!U85*100/final!$I85,"")</f>
        <v/>
      </c>
      <c r="K287" s="39" t="str">
        <f>IFERROR(final!V85*100/final!$I85,"")</f>
        <v/>
      </c>
      <c r="L287" s="39" t="str">
        <f>IFERROR(final!W85*100/final!$I85,"")</f>
        <v/>
      </c>
      <c r="M287" s="39" t="str">
        <f>IFERROR(final!X85*100/final!$I85,"")</f>
        <v/>
      </c>
      <c r="N287" s="39" t="str">
        <f>IFERROR(final!Y85*100/final!$I85,"")</f>
        <v/>
      </c>
      <c r="O287" s="39" t="str">
        <f>IFERROR(final!Z85*100/final!$I85,"")</f>
        <v/>
      </c>
      <c r="P287" s="39" t="str">
        <f>IFERROR(final!AA85*100/final!$I85,"")</f>
        <v/>
      </c>
      <c r="Q287" s="39" t="str">
        <f>IFERROR(final!AB85*100/final!$I85,"")</f>
        <v/>
      </c>
      <c r="R287" s="39" t="str">
        <f>IFERROR(final!AC85*100/final!$I85,"")</f>
        <v/>
      </c>
      <c r="S287" s="39" t="str">
        <f>IFERROR(final!AD85*100/final!$I85,"")</f>
        <v/>
      </c>
      <c r="T287" s="39" t="str">
        <f>IFERROR(final!AE85*100/final!$I85,"")</f>
        <v/>
      </c>
      <c r="U287" s="39" t="str">
        <f>IFERROR(final!AF85*100/final!$I85,"")</f>
        <v/>
      </c>
      <c r="V287" s="39" t="str">
        <f>IFERROR(final!AG85*100/final!$I85,"")</f>
        <v/>
      </c>
      <c r="W287" s="39" t="str">
        <f>IFERROR(final!AH85*100/final!$I85,"")</f>
        <v/>
      </c>
      <c r="X287" s="39" t="str">
        <f>IFERROR(final!AI85*100/final!$I85,"")</f>
        <v/>
      </c>
      <c r="Y287" s="39" t="str">
        <f>IFERROR(final!AJ85*100/final!$I85,"")</f>
        <v/>
      </c>
      <c r="Z287" s="39" t="str">
        <f>IFERROR(final!AK85*100/final!$I85,"")</f>
        <v/>
      </c>
      <c r="AA287" s="39" t="str">
        <f>IFERROR(final!AL85*100/final!$I85,"")</f>
        <v/>
      </c>
      <c r="AB287" s="39" t="str">
        <f>IFERROR(final!AM85*100/final!$I85,"")</f>
        <v/>
      </c>
      <c r="AC287" s="39" t="str">
        <f>IFERROR(final!AN85*100/final!$I85,"")</f>
        <v/>
      </c>
      <c r="AD287" s="39" t="str">
        <f>IFERROR(final!AO85*100/final!$I85,"")</f>
        <v/>
      </c>
      <c r="AE287" s="39" t="str">
        <f>IFERROR(final!AP85*100/final!$I85,"")</f>
        <v/>
      </c>
      <c r="AF287" s="39" t="str">
        <f>IFERROR(final!AQ85*100/final!$I85,"")</f>
        <v/>
      </c>
      <c r="AG287" s="39" t="str">
        <f>IFERROR(final!AR85*100/final!$I85,"")</f>
        <v/>
      </c>
      <c r="AH287" s="39" t="str">
        <f>IFERROR(final!AS85*100/final!$I85,"")</f>
        <v/>
      </c>
      <c r="AI287" s="39" t="str">
        <f>IFERROR(final!AT85*100/final!$I85,"")</f>
        <v/>
      </c>
      <c r="AJ287" s="39" t="str">
        <f>IFERROR(final!AU85*100/final!$I85,"")</f>
        <v/>
      </c>
      <c r="AK287" s="39" t="str">
        <f>IFERROR(final!AV85*100/final!$I85,"")</f>
        <v/>
      </c>
      <c r="AL287" s="39" t="str">
        <f>IFERROR(final!AW85*100/final!$I85,"")</f>
        <v/>
      </c>
      <c r="AM287" s="39" t="str">
        <f>IFERROR(final!AX85*100/final!$I85,"")</f>
        <v/>
      </c>
      <c r="AN287" s="39" t="str">
        <f>IFERROR(final!AY85*100/final!$I85,"")</f>
        <v/>
      </c>
      <c r="AO287" s="39" t="str">
        <f>IFERROR(final!AZ85*100/final!$I85,"")</f>
        <v/>
      </c>
      <c r="AP287" s="39" t="str">
        <f>IFERROR(final!BA85*100/final!$I85,"")</f>
        <v/>
      </c>
      <c r="AQ287" s="39" t="str">
        <f>IFERROR(final!BB85*100/final!$I85,"")</f>
        <v/>
      </c>
      <c r="AR287" s="39" t="str">
        <f>IFERROR(final!BC85*100/final!$I85,"")</f>
        <v/>
      </c>
      <c r="AS287" s="39" t="str">
        <f>IFERROR(final!BD85*100/final!$I85,"")</f>
        <v/>
      </c>
      <c r="AT287" s="39" t="str">
        <f>IFERROR(final!BE85*100/final!$I85,"")</f>
        <v/>
      </c>
      <c r="AU287" s="39" t="str">
        <f>IFERROR(final!BF85*100/final!$I85,"")</f>
        <v/>
      </c>
      <c r="AV287" s="39" t="str">
        <f>IFERROR(final!BG85*100/final!$I85,"")</f>
        <v/>
      </c>
      <c r="AW287" s="39" t="str">
        <f>IFERROR(final!BH85*100/final!$I85,"")</f>
        <v/>
      </c>
      <c r="AX287" s="39" t="str">
        <f>IFERROR(final!BI85*100/final!$I85,"")</f>
        <v/>
      </c>
      <c r="AY287" s="39" t="str">
        <f>IFERROR(final!BJ85*100/final!$I85,"")</f>
        <v/>
      </c>
      <c r="AZ287" s="39" t="str">
        <f>IFERROR(final!BK85*100/final!$I85,"")</f>
        <v/>
      </c>
      <c r="BA287" s="39" t="str">
        <f>IFERROR(final!BL85*100/final!$I85,"")</f>
        <v/>
      </c>
      <c r="BB287" s="39" t="str">
        <f>IFERROR(final!BM85*100/final!$I85,"")</f>
        <v/>
      </c>
      <c r="BC287" s="39" t="str">
        <f>IFERROR(final!BN85*100/final!$I85,"")</f>
        <v/>
      </c>
      <c r="BD287" s="39" t="str">
        <f>IFERROR(final!BO85*100/final!$I85,"")</f>
        <v/>
      </c>
      <c r="BE287" s="39" t="str">
        <f>IFERROR(final!BP85*100/final!$I85,"")</f>
        <v/>
      </c>
      <c r="BF287" s="39" t="str">
        <f>IFERROR(final!BQ85*100/final!$I85,"")</f>
        <v/>
      </c>
      <c r="BG287" s="39" t="str">
        <f>IFERROR(final!BR85*100/final!$I85,"")</f>
        <v/>
      </c>
      <c r="BH287" s="39" t="str">
        <f>IFERROR(final!BS85*100/final!$I85,"")</f>
        <v/>
      </c>
      <c r="BI287" s="39" t="str">
        <f>IFERROR(final!BT85*100/final!$I85,"")</f>
        <v/>
      </c>
      <c r="BJ287" s="39" t="str">
        <f>IFERROR(final!BU85*100/final!$I85,"")</f>
        <v/>
      </c>
      <c r="BK287" s="39" t="str">
        <f>IFERROR(final!BV85*100/final!$I85,"")</f>
        <v/>
      </c>
      <c r="BL287" s="39" t="str">
        <f>IFERROR(final!BW85*100/final!$I85,"")</f>
        <v/>
      </c>
      <c r="BM287" s="39" t="str">
        <f>IFERROR(final!BX85*100/final!$I85,"")</f>
        <v/>
      </c>
      <c r="BN287" s="39" t="str">
        <f>IFERROR(final!BY85*100/final!$I85,"")</f>
        <v/>
      </c>
      <c r="BO287" s="39" t="str">
        <f>IFERROR(final!BZ85*100/final!$I85,"")</f>
        <v/>
      </c>
      <c r="BP287" s="39" t="str">
        <f>IFERROR(final!CA85*100/final!$I85,"")</f>
        <v/>
      </c>
      <c r="BQ287" s="39" t="str">
        <f>IFERROR(final!CB85*100/final!$I85,"")</f>
        <v/>
      </c>
      <c r="BR287" s="39" t="str">
        <f>IFERROR(final!CC85*100/final!$I85,"")</f>
        <v/>
      </c>
      <c r="BS287" s="39" t="str">
        <f>IFERROR(final!CD85*100/final!$I85,"")</f>
        <v/>
      </c>
      <c r="BT287" s="39" t="str">
        <f>IFERROR(final!CE85*100/final!$I85,"")</f>
        <v/>
      </c>
      <c r="BU287" s="39" t="str">
        <f>IFERROR(final!CF85*100/final!$I85,"")</f>
        <v/>
      </c>
      <c r="BV287" s="39" t="str">
        <f>IFERROR(final!CG85*100/final!$I85,"")</f>
        <v/>
      </c>
      <c r="BW287" s="39" t="str">
        <f>IFERROR(final!CH85*100/final!$I85,"")</f>
        <v/>
      </c>
      <c r="BX287" s="39" t="str">
        <f>IFERROR(final!CI85*100/final!$I85,"")</f>
        <v/>
      </c>
      <c r="BY287" s="39" t="str">
        <f>IFERROR(final!CJ85*100/final!$I85,"")</f>
        <v/>
      </c>
      <c r="BZ287" s="39" t="str">
        <f>IFERROR(final!CK85*100/final!$I85,"")</f>
        <v/>
      </c>
      <c r="CA287" s="39" t="str">
        <f>IFERROR(final!CL85*100/final!$I85,"")</f>
        <v/>
      </c>
      <c r="CB287" s="39" t="str">
        <f>IFERROR(final!CM85*100/final!$I85,"")</f>
        <v/>
      </c>
      <c r="CC287" s="39" t="str">
        <f>IFERROR(final!CN85*100/final!$I85,"")</f>
        <v/>
      </c>
      <c r="CD287" s="39" t="str">
        <f>IFERROR(final!CO85*100/final!$I85,"")</f>
        <v/>
      </c>
      <c r="CE287" s="39" t="str">
        <f>IFERROR(final!CP85*100/final!$I85,"")</f>
        <v/>
      </c>
      <c r="CF287" s="39" t="str">
        <f>IFERROR(final!CQ85*100/final!$I85,"")</f>
        <v/>
      </c>
      <c r="CG287" s="39" t="str">
        <f>IFERROR(final!CR85*100/final!$I85,"")</f>
        <v/>
      </c>
      <c r="CH287" s="39" t="str">
        <f>IFERROR(final!CS85*100/final!$I85,"")</f>
        <v/>
      </c>
      <c r="CI287" s="39" t="str">
        <f>IFERROR(final!CT85*100/final!$I85,"")</f>
        <v/>
      </c>
      <c r="CJ287" s="39" t="str">
        <f>IFERROR(final!CU85*100/final!$I85,"")</f>
        <v/>
      </c>
      <c r="CK287" s="39" t="str">
        <f>IFERROR(final!CV85*100/final!$I85,"")</f>
        <v/>
      </c>
      <c r="CL287" s="39" t="str">
        <f>IFERROR(final!CW85*100/final!$I85,"")</f>
        <v/>
      </c>
      <c r="CM287" s="39" t="str">
        <f>IFERROR(final!CX85*100/final!$I85,"")</f>
        <v/>
      </c>
      <c r="CN287" s="39" t="str">
        <f>IFERROR(final!CY85*100/final!$I85,"")</f>
        <v/>
      </c>
      <c r="CO287" s="39" t="str">
        <f>IFERROR(final!CZ85*100/final!$I85,"")</f>
        <v/>
      </c>
      <c r="CP287" s="39" t="str">
        <f>IFERROR(final!DA85*100/final!$I85,"")</f>
        <v/>
      </c>
      <c r="CQ287" s="39" t="str">
        <f>IFERROR(final!DB85*100/final!$I85,"")</f>
        <v/>
      </c>
      <c r="CR287" s="39" t="str">
        <f>IFERROR(final!DC85*100/final!$I85,"")</f>
        <v/>
      </c>
      <c r="CS287" s="39" t="str">
        <f>IFERROR(final!DD85*100/final!$I85,"")</f>
        <v/>
      </c>
      <c r="CT287" s="39" t="str">
        <f>IFERROR(final!DE85*100/final!$I85,"")</f>
        <v/>
      </c>
      <c r="CU287" s="39" t="str">
        <f>IFERROR(final!DF85*100/final!$I85,"")</f>
        <v/>
      </c>
      <c r="CV287" s="39" t="str">
        <f>IFERROR(final!DG85*100/final!$I85,"")</f>
        <v/>
      </c>
      <c r="CW287" s="32" t="str">
        <f>IFERROR(SUM(A287:CV287)/final!$DH$103,"")</f>
        <v/>
      </c>
      <c r="CX287" s="14" t="str">
        <f>IF(COUNTA(final!A85),final!A85,"")</f>
        <v/>
      </c>
      <c r="CY287" s="14" t="str">
        <f>IF(COUNTA(final!B85),final!B85,"")</f>
        <v/>
      </c>
      <c r="CZ287" s="14" t="str">
        <f>IF(COUNTA(final!C85),final!C85,"")</f>
        <v/>
      </c>
      <c r="DA287" s="14" t="str">
        <f>IF(COUNTA(final!D85),final!D85,"")</f>
        <v/>
      </c>
      <c r="DB287" s="14" t="str">
        <f>IF(COUNTA(final!E85),final!E85,"")</f>
        <v/>
      </c>
      <c r="DC287" s="14" t="str">
        <f>IF(COUNTA(final!F85),final!F85,"")</f>
        <v/>
      </c>
      <c r="DD287" s="14" t="str">
        <f>IF(COUNTA(final!G85),final!G85,"")</f>
        <v/>
      </c>
      <c r="DE287" s="14" t="str">
        <f>IF(COUNTA(final!H85),final!H85,"")</f>
        <v/>
      </c>
    </row>
    <row r="288" spans="1:109" x14ac:dyDescent="0.2">
      <c r="A288" s="39" t="str">
        <f>IFERROR(final!L86*100/final!$I86,"")</f>
        <v/>
      </c>
      <c r="B288" s="39" t="str">
        <f>IFERROR(final!M86*100/final!$I86,"")</f>
        <v/>
      </c>
      <c r="C288" s="39" t="str">
        <f>IFERROR(final!N86*100/final!$I86,"")</f>
        <v/>
      </c>
      <c r="D288" s="39" t="str">
        <f>IFERROR(final!O86*100/final!$I86,"")</f>
        <v/>
      </c>
      <c r="E288" s="39" t="str">
        <f>IFERROR(final!P86*100/final!$I86,"")</f>
        <v/>
      </c>
      <c r="F288" s="39" t="str">
        <f>IFERROR(final!Q86*100/final!$I86,"")</f>
        <v/>
      </c>
      <c r="G288" s="39" t="str">
        <f>IFERROR(final!R86*100/final!$I86,"")</f>
        <v/>
      </c>
      <c r="H288" s="39" t="str">
        <f>IFERROR(final!S86*100/final!$I86,"")</f>
        <v/>
      </c>
      <c r="I288" s="39" t="str">
        <f>IFERROR(final!T86*100/final!$I86,"")</f>
        <v/>
      </c>
      <c r="J288" s="39" t="str">
        <f>IFERROR(final!U86*100/final!$I86,"")</f>
        <v/>
      </c>
      <c r="K288" s="39" t="str">
        <f>IFERROR(final!V86*100/final!$I86,"")</f>
        <v/>
      </c>
      <c r="L288" s="39" t="str">
        <f>IFERROR(final!W86*100/final!$I86,"")</f>
        <v/>
      </c>
      <c r="M288" s="39" t="str">
        <f>IFERROR(final!X86*100/final!$I86,"")</f>
        <v/>
      </c>
      <c r="N288" s="39" t="str">
        <f>IFERROR(final!Y86*100/final!$I86,"")</f>
        <v/>
      </c>
      <c r="O288" s="39" t="str">
        <f>IFERROR(final!Z86*100/final!$I86,"")</f>
        <v/>
      </c>
      <c r="P288" s="39" t="str">
        <f>IFERROR(final!AA86*100/final!$I86,"")</f>
        <v/>
      </c>
      <c r="Q288" s="39" t="str">
        <f>IFERROR(final!AB86*100/final!$I86,"")</f>
        <v/>
      </c>
      <c r="R288" s="39" t="str">
        <f>IFERROR(final!AC86*100/final!$I86,"")</f>
        <v/>
      </c>
      <c r="S288" s="39" t="str">
        <f>IFERROR(final!AD86*100/final!$I86,"")</f>
        <v/>
      </c>
      <c r="T288" s="39" t="str">
        <f>IFERROR(final!AE86*100/final!$I86,"")</f>
        <v/>
      </c>
      <c r="U288" s="39" t="str">
        <f>IFERROR(final!AF86*100/final!$I86,"")</f>
        <v/>
      </c>
      <c r="V288" s="39" t="str">
        <f>IFERROR(final!AG86*100/final!$I86,"")</f>
        <v/>
      </c>
      <c r="W288" s="39" t="str">
        <f>IFERROR(final!AH86*100/final!$I86,"")</f>
        <v/>
      </c>
      <c r="X288" s="39" t="str">
        <f>IFERROR(final!AI86*100/final!$I86,"")</f>
        <v/>
      </c>
      <c r="Y288" s="39" t="str">
        <f>IFERROR(final!AJ86*100/final!$I86,"")</f>
        <v/>
      </c>
      <c r="Z288" s="39" t="str">
        <f>IFERROR(final!AK86*100/final!$I86,"")</f>
        <v/>
      </c>
      <c r="AA288" s="39" t="str">
        <f>IFERROR(final!AL86*100/final!$I86,"")</f>
        <v/>
      </c>
      <c r="AB288" s="39" t="str">
        <f>IFERROR(final!AM86*100/final!$I86,"")</f>
        <v/>
      </c>
      <c r="AC288" s="39" t="str">
        <f>IFERROR(final!AN86*100/final!$I86,"")</f>
        <v/>
      </c>
      <c r="AD288" s="39" t="str">
        <f>IFERROR(final!AO86*100/final!$I86,"")</f>
        <v/>
      </c>
      <c r="AE288" s="39" t="str">
        <f>IFERROR(final!AP86*100/final!$I86,"")</f>
        <v/>
      </c>
      <c r="AF288" s="39" t="str">
        <f>IFERROR(final!AQ86*100/final!$I86,"")</f>
        <v/>
      </c>
      <c r="AG288" s="39" t="str">
        <f>IFERROR(final!AR86*100/final!$I86,"")</f>
        <v/>
      </c>
      <c r="AH288" s="39" t="str">
        <f>IFERROR(final!AS86*100/final!$I86,"")</f>
        <v/>
      </c>
      <c r="AI288" s="39" t="str">
        <f>IFERROR(final!AT86*100/final!$I86,"")</f>
        <v/>
      </c>
      <c r="AJ288" s="39" t="str">
        <f>IFERROR(final!AU86*100/final!$I86,"")</f>
        <v/>
      </c>
      <c r="AK288" s="39" t="str">
        <f>IFERROR(final!AV86*100/final!$I86,"")</f>
        <v/>
      </c>
      <c r="AL288" s="39" t="str">
        <f>IFERROR(final!AW86*100/final!$I86,"")</f>
        <v/>
      </c>
      <c r="AM288" s="39" t="str">
        <f>IFERROR(final!AX86*100/final!$I86,"")</f>
        <v/>
      </c>
      <c r="AN288" s="39" t="str">
        <f>IFERROR(final!AY86*100/final!$I86,"")</f>
        <v/>
      </c>
      <c r="AO288" s="39" t="str">
        <f>IFERROR(final!AZ86*100/final!$I86,"")</f>
        <v/>
      </c>
      <c r="AP288" s="39" t="str">
        <f>IFERROR(final!BA86*100/final!$I86,"")</f>
        <v/>
      </c>
      <c r="AQ288" s="39" t="str">
        <f>IFERROR(final!BB86*100/final!$I86,"")</f>
        <v/>
      </c>
      <c r="AR288" s="39" t="str">
        <f>IFERROR(final!BC86*100/final!$I86,"")</f>
        <v/>
      </c>
      <c r="AS288" s="39" t="str">
        <f>IFERROR(final!BD86*100/final!$I86,"")</f>
        <v/>
      </c>
      <c r="AT288" s="39" t="str">
        <f>IFERROR(final!BE86*100/final!$I86,"")</f>
        <v/>
      </c>
      <c r="AU288" s="39" t="str">
        <f>IFERROR(final!BF86*100/final!$I86,"")</f>
        <v/>
      </c>
      <c r="AV288" s="39" t="str">
        <f>IFERROR(final!BG86*100/final!$I86,"")</f>
        <v/>
      </c>
      <c r="AW288" s="39" t="str">
        <f>IFERROR(final!BH86*100/final!$I86,"")</f>
        <v/>
      </c>
      <c r="AX288" s="39" t="str">
        <f>IFERROR(final!BI86*100/final!$I86,"")</f>
        <v/>
      </c>
      <c r="AY288" s="39" t="str">
        <f>IFERROR(final!BJ86*100/final!$I86,"")</f>
        <v/>
      </c>
      <c r="AZ288" s="39" t="str">
        <f>IFERROR(final!BK86*100/final!$I86,"")</f>
        <v/>
      </c>
      <c r="BA288" s="39" t="str">
        <f>IFERROR(final!BL86*100/final!$I86,"")</f>
        <v/>
      </c>
      <c r="BB288" s="39" t="str">
        <f>IFERROR(final!BM86*100/final!$I86,"")</f>
        <v/>
      </c>
      <c r="BC288" s="39" t="str">
        <f>IFERROR(final!BN86*100/final!$I86,"")</f>
        <v/>
      </c>
      <c r="BD288" s="39" t="str">
        <f>IFERROR(final!BO86*100/final!$I86,"")</f>
        <v/>
      </c>
      <c r="BE288" s="39" t="str">
        <f>IFERROR(final!BP86*100/final!$I86,"")</f>
        <v/>
      </c>
      <c r="BF288" s="39" t="str">
        <f>IFERROR(final!BQ86*100/final!$I86,"")</f>
        <v/>
      </c>
      <c r="BG288" s="39" t="str">
        <f>IFERROR(final!BR86*100/final!$I86,"")</f>
        <v/>
      </c>
      <c r="BH288" s="39" t="str">
        <f>IFERROR(final!BS86*100/final!$I86,"")</f>
        <v/>
      </c>
      <c r="BI288" s="39" t="str">
        <f>IFERROR(final!BT86*100/final!$I86,"")</f>
        <v/>
      </c>
      <c r="BJ288" s="39" t="str">
        <f>IFERROR(final!BU86*100/final!$I86,"")</f>
        <v/>
      </c>
      <c r="BK288" s="39" t="str">
        <f>IFERROR(final!BV86*100/final!$I86,"")</f>
        <v/>
      </c>
      <c r="BL288" s="39" t="str">
        <f>IFERROR(final!BW86*100/final!$I86,"")</f>
        <v/>
      </c>
      <c r="BM288" s="39" t="str">
        <f>IFERROR(final!BX86*100/final!$I86,"")</f>
        <v/>
      </c>
      <c r="BN288" s="39" t="str">
        <f>IFERROR(final!BY86*100/final!$I86,"")</f>
        <v/>
      </c>
      <c r="BO288" s="39" t="str">
        <f>IFERROR(final!BZ86*100/final!$I86,"")</f>
        <v/>
      </c>
      <c r="BP288" s="39" t="str">
        <f>IFERROR(final!CA86*100/final!$I86,"")</f>
        <v/>
      </c>
      <c r="BQ288" s="39" t="str">
        <f>IFERROR(final!CB86*100/final!$I86,"")</f>
        <v/>
      </c>
      <c r="BR288" s="39" t="str">
        <f>IFERROR(final!CC86*100/final!$I86,"")</f>
        <v/>
      </c>
      <c r="BS288" s="39" t="str">
        <f>IFERROR(final!CD86*100/final!$I86,"")</f>
        <v/>
      </c>
      <c r="BT288" s="39" t="str">
        <f>IFERROR(final!CE86*100/final!$I86,"")</f>
        <v/>
      </c>
      <c r="BU288" s="39" t="str">
        <f>IFERROR(final!CF86*100/final!$I86,"")</f>
        <v/>
      </c>
      <c r="BV288" s="39" t="str">
        <f>IFERROR(final!CG86*100/final!$I86,"")</f>
        <v/>
      </c>
      <c r="BW288" s="39" t="str">
        <f>IFERROR(final!CH86*100/final!$I86,"")</f>
        <v/>
      </c>
      <c r="BX288" s="39" t="str">
        <f>IFERROR(final!CI86*100/final!$I86,"")</f>
        <v/>
      </c>
      <c r="BY288" s="39" t="str">
        <f>IFERROR(final!CJ86*100/final!$I86,"")</f>
        <v/>
      </c>
      <c r="BZ288" s="39" t="str">
        <f>IFERROR(final!CK86*100/final!$I86,"")</f>
        <v/>
      </c>
      <c r="CA288" s="39" t="str">
        <f>IFERROR(final!CL86*100/final!$I86,"")</f>
        <v/>
      </c>
      <c r="CB288" s="39" t="str">
        <f>IFERROR(final!CM86*100/final!$I86,"")</f>
        <v/>
      </c>
      <c r="CC288" s="39" t="str">
        <f>IFERROR(final!CN86*100/final!$I86,"")</f>
        <v/>
      </c>
      <c r="CD288" s="39" t="str">
        <f>IFERROR(final!CO86*100/final!$I86,"")</f>
        <v/>
      </c>
      <c r="CE288" s="39" t="str">
        <f>IFERROR(final!CP86*100/final!$I86,"")</f>
        <v/>
      </c>
      <c r="CF288" s="39" t="str">
        <f>IFERROR(final!CQ86*100/final!$I86,"")</f>
        <v/>
      </c>
      <c r="CG288" s="39" t="str">
        <f>IFERROR(final!CR86*100/final!$I86,"")</f>
        <v/>
      </c>
      <c r="CH288" s="39" t="str">
        <f>IFERROR(final!CS86*100/final!$I86,"")</f>
        <v/>
      </c>
      <c r="CI288" s="39" t="str">
        <f>IFERROR(final!CT86*100/final!$I86,"")</f>
        <v/>
      </c>
      <c r="CJ288" s="39" t="str">
        <f>IFERROR(final!CU86*100/final!$I86,"")</f>
        <v/>
      </c>
      <c r="CK288" s="39" t="str">
        <f>IFERROR(final!CV86*100/final!$I86,"")</f>
        <v/>
      </c>
      <c r="CL288" s="39" t="str">
        <f>IFERROR(final!CW86*100/final!$I86,"")</f>
        <v/>
      </c>
      <c r="CM288" s="39" t="str">
        <f>IFERROR(final!CX86*100/final!$I86,"")</f>
        <v/>
      </c>
      <c r="CN288" s="39" t="str">
        <f>IFERROR(final!CY86*100/final!$I86,"")</f>
        <v/>
      </c>
      <c r="CO288" s="39" t="str">
        <f>IFERROR(final!CZ86*100/final!$I86,"")</f>
        <v/>
      </c>
      <c r="CP288" s="39" t="str">
        <f>IFERROR(final!DA86*100/final!$I86,"")</f>
        <v/>
      </c>
      <c r="CQ288" s="39" t="str">
        <f>IFERROR(final!DB86*100/final!$I86,"")</f>
        <v/>
      </c>
      <c r="CR288" s="39" t="str">
        <f>IFERROR(final!DC86*100/final!$I86,"")</f>
        <v/>
      </c>
      <c r="CS288" s="39" t="str">
        <f>IFERROR(final!DD86*100/final!$I86,"")</f>
        <v/>
      </c>
      <c r="CT288" s="39" t="str">
        <f>IFERROR(final!DE86*100/final!$I86,"")</f>
        <v/>
      </c>
      <c r="CU288" s="39" t="str">
        <f>IFERROR(final!DF86*100/final!$I86,"")</f>
        <v/>
      </c>
      <c r="CV288" s="39" t="str">
        <f>IFERROR(final!DG86*100/final!$I86,"")</f>
        <v/>
      </c>
      <c r="CW288" s="32" t="str">
        <f>IFERROR(SUM(A288:CV288)/final!$DH$103,"")</f>
        <v/>
      </c>
      <c r="CX288" s="14" t="str">
        <f>IF(COUNTA(final!A86),final!A86,"")</f>
        <v/>
      </c>
      <c r="CY288" s="14" t="str">
        <f>IF(COUNTA(final!B86),final!B86,"")</f>
        <v/>
      </c>
      <c r="CZ288" s="14" t="str">
        <f>IF(COUNTA(final!C86),final!C86,"")</f>
        <v/>
      </c>
      <c r="DA288" s="14" t="str">
        <f>IF(COUNTA(final!D86),final!D86,"")</f>
        <v/>
      </c>
      <c r="DB288" s="14" t="str">
        <f>IF(COUNTA(final!E86),final!E86,"")</f>
        <v/>
      </c>
      <c r="DC288" s="14" t="str">
        <f>IF(COUNTA(final!F86),final!F86,"")</f>
        <v/>
      </c>
      <c r="DD288" s="14" t="str">
        <f>IF(COUNTA(final!G86),final!G86,"")</f>
        <v/>
      </c>
      <c r="DE288" s="14" t="str">
        <f>IF(COUNTA(final!H86),final!H86,"")</f>
        <v/>
      </c>
    </row>
    <row r="289" spans="1:109" x14ac:dyDescent="0.2">
      <c r="A289" s="39" t="str">
        <f>IFERROR(final!L87*100/final!$I87,"")</f>
        <v/>
      </c>
      <c r="B289" s="39" t="str">
        <f>IFERROR(final!M87*100/final!$I87,"")</f>
        <v/>
      </c>
      <c r="C289" s="39" t="str">
        <f>IFERROR(final!N87*100/final!$I87,"")</f>
        <v/>
      </c>
      <c r="D289" s="39" t="str">
        <f>IFERROR(final!O87*100/final!$I87,"")</f>
        <v/>
      </c>
      <c r="E289" s="39" t="str">
        <f>IFERROR(final!P87*100/final!$I87,"")</f>
        <v/>
      </c>
      <c r="F289" s="39" t="str">
        <f>IFERROR(final!Q87*100/final!$I87,"")</f>
        <v/>
      </c>
      <c r="G289" s="39" t="str">
        <f>IFERROR(final!R87*100/final!$I87,"")</f>
        <v/>
      </c>
      <c r="H289" s="39" t="str">
        <f>IFERROR(final!S87*100/final!$I87,"")</f>
        <v/>
      </c>
      <c r="I289" s="39" t="str">
        <f>IFERROR(final!T87*100/final!$I87,"")</f>
        <v/>
      </c>
      <c r="J289" s="39" t="str">
        <f>IFERROR(final!U87*100/final!$I87,"")</f>
        <v/>
      </c>
      <c r="K289" s="39" t="str">
        <f>IFERROR(final!V87*100/final!$I87,"")</f>
        <v/>
      </c>
      <c r="L289" s="39" t="str">
        <f>IFERROR(final!W87*100/final!$I87,"")</f>
        <v/>
      </c>
      <c r="M289" s="39" t="str">
        <f>IFERROR(final!X87*100/final!$I87,"")</f>
        <v/>
      </c>
      <c r="N289" s="39" t="str">
        <f>IFERROR(final!Y87*100/final!$I87,"")</f>
        <v/>
      </c>
      <c r="O289" s="39" t="str">
        <f>IFERROR(final!Z87*100/final!$I87,"")</f>
        <v/>
      </c>
      <c r="P289" s="39" t="str">
        <f>IFERROR(final!AA87*100/final!$I87,"")</f>
        <v/>
      </c>
      <c r="Q289" s="39" t="str">
        <f>IFERROR(final!AB87*100/final!$I87,"")</f>
        <v/>
      </c>
      <c r="R289" s="39" t="str">
        <f>IFERROR(final!AC87*100/final!$I87,"")</f>
        <v/>
      </c>
      <c r="S289" s="39" t="str">
        <f>IFERROR(final!AD87*100/final!$I87,"")</f>
        <v/>
      </c>
      <c r="T289" s="39" t="str">
        <f>IFERROR(final!AE87*100/final!$I87,"")</f>
        <v/>
      </c>
      <c r="U289" s="39" t="str">
        <f>IFERROR(final!AF87*100/final!$I87,"")</f>
        <v/>
      </c>
      <c r="V289" s="39" t="str">
        <f>IFERROR(final!AG87*100/final!$I87,"")</f>
        <v/>
      </c>
      <c r="W289" s="39" t="str">
        <f>IFERROR(final!AH87*100/final!$I87,"")</f>
        <v/>
      </c>
      <c r="X289" s="39" t="str">
        <f>IFERROR(final!AI87*100/final!$I87,"")</f>
        <v/>
      </c>
      <c r="Y289" s="39" t="str">
        <f>IFERROR(final!AJ87*100/final!$I87,"")</f>
        <v/>
      </c>
      <c r="Z289" s="39" t="str">
        <f>IFERROR(final!AK87*100/final!$I87,"")</f>
        <v/>
      </c>
      <c r="AA289" s="39" t="str">
        <f>IFERROR(final!AL87*100/final!$I87,"")</f>
        <v/>
      </c>
      <c r="AB289" s="39" t="str">
        <f>IFERROR(final!AM87*100/final!$I87,"")</f>
        <v/>
      </c>
      <c r="AC289" s="39" t="str">
        <f>IFERROR(final!AN87*100/final!$I87,"")</f>
        <v/>
      </c>
      <c r="AD289" s="39" t="str">
        <f>IFERROR(final!AO87*100/final!$I87,"")</f>
        <v/>
      </c>
      <c r="AE289" s="39" t="str">
        <f>IFERROR(final!AP87*100/final!$I87,"")</f>
        <v/>
      </c>
      <c r="AF289" s="39" t="str">
        <f>IFERROR(final!AQ87*100/final!$I87,"")</f>
        <v/>
      </c>
      <c r="AG289" s="39" t="str">
        <f>IFERROR(final!AR87*100/final!$I87,"")</f>
        <v/>
      </c>
      <c r="AH289" s="39" t="str">
        <f>IFERROR(final!AS87*100/final!$I87,"")</f>
        <v/>
      </c>
      <c r="AI289" s="39" t="str">
        <f>IFERROR(final!AT87*100/final!$I87,"")</f>
        <v/>
      </c>
      <c r="AJ289" s="39" t="str">
        <f>IFERROR(final!AU87*100/final!$I87,"")</f>
        <v/>
      </c>
      <c r="AK289" s="39" t="str">
        <f>IFERROR(final!AV87*100/final!$I87,"")</f>
        <v/>
      </c>
      <c r="AL289" s="39" t="str">
        <f>IFERROR(final!AW87*100/final!$I87,"")</f>
        <v/>
      </c>
      <c r="AM289" s="39" t="str">
        <f>IFERROR(final!AX87*100/final!$I87,"")</f>
        <v/>
      </c>
      <c r="AN289" s="39" t="str">
        <f>IFERROR(final!AY87*100/final!$I87,"")</f>
        <v/>
      </c>
      <c r="AO289" s="39" t="str">
        <f>IFERROR(final!AZ87*100/final!$I87,"")</f>
        <v/>
      </c>
      <c r="AP289" s="39" t="str">
        <f>IFERROR(final!BA87*100/final!$I87,"")</f>
        <v/>
      </c>
      <c r="AQ289" s="39" t="str">
        <f>IFERROR(final!BB87*100/final!$I87,"")</f>
        <v/>
      </c>
      <c r="AR289" s="39" t="str">
        <f>IFERROR(final!BC87*100/final!$I87,"")</f>
        <v/>
      </c>
      <c r="AS289" s="39" t="str">
        <f>IFERROR(final!BD87*100/final!$I87,"")</f>
        <v/>
      </c>
      <c r="AT289" s="39" t="str">
        <f>IFERROR(final!BE87*100/final!$I87,"")</f>
        <v/>
      </c>
      <c r="AU289" s="39" t="str">
        <f>IFERROR(final!BF87*100/final!$I87,"")</f>
        <v/>
      </c>
      <c r="AV289" s="39" t="str">
        <f>IFERROR(final!BG87*100/final!$I87,"")</f>
        <v/>
      </c>
      <c r="AW289" s="39" t="str">
        <f>IFERROR(final!BH87*100/final!$I87,"")</f>
        <v/>
      </c>
      <c r="AX289" s="39" t="str">
        <f>IFERROR(final!BI87*100/final!$I87,"")</f>
        <v/>
      </c>
      <c r="AY289" s="39" t="str">
        <f>IFERROR(final!BJ87*100/final!$I87,"")</f>
        <v/>
      </c>
      <c r="AZ289" s="39" t="str">
        <f>IFERROR(final!BK87*100/final!$I87,"")</f>
        <v/>
      </c>
      <c r="BA289" s="39" t="str">
        <f>IFERROR(final!BL87*100/final!$I87,"")</f>
        <v/>
      </c>
      <c r="BB289" s="39" t="str">
        <f>IFERROR(final!BM87*100/final!$I87,"")</f>
        <v/>
      </c>
      <c r="BC289" s="39" t="str">
        <f>IFERROR(final!BN87*100/final!$I87,"")</f>
        <v/>
      </c>
      <c r="BD289" s="39" t="str">
        <f>IFERROR(final!BO87*100/final!$I87,"")</f>
        <v/>
      </c>
      <c r="BE289" s="39" t="str">
        <f>IFERROR(final!BP87*100/final!$I87,"")</f>
        <v/>
      </c>
      <c r="BF289" s="39" t="str">
        <f>IFERROR(final!BQ87*100/final!$I87,"")</f>
        <v/>
      </c>
      <c r="BG289" s="39" t="str">
        <f>IFERROR(final!BR87*100/final!$I87,"")</f>
        <v/>
      </c>
      <c r="BH289" s="39" t="str">
        <f>IFERROR(final!BS87*100/final!$I87,"")</f>
        <v/>
      </c>
      <c r="BI289" s="39" t="str">
        <f>IFERROR(final!BT87*100/final!$I87,"")</f>
        <v/>
      </c>
      <c r="BJ289" s="39" t="str">
        <f>IFERROR(final!BU87*100/final!$I87,"")</f>
        <v/>
      </c>
      <c r="BK289" s="39" t="str">
        <f>IFERROR(final!BV87*100/final!$I87,"")</f>
        <v/>
      </c>
      <c r="BL289" s="39" t="str">
        <f>IFERROR(final!BW87*100/final!$I87,"")</f>
        <v/>
      </c>
      <c r="BM289" s="39" t="str">
        <f>IFERROR(final!BX87*100/final!$I87,"")</f>
        <v/>
      </c>
      <c r="BN289" s="39" t="str">
        <f>IFERROR(final!BY87*100/final!$I87,"")</f>
        <v/>
      </c>
      <c r="BO289" s="39" t="str">
        <f>IFERROR(final!BZ87*100/final!$I87,"")</f>
        <v/>
      </c>
      <c r="BP289" s="39" t="str">
        <f>IFERROR(final!CA87*100/final!$I87,"")</f>
        <v/>
      </c>
      <c r="BQ289" s="39" t="str">
        <f>IFERROR(final!CB87*100/final!$I87,"")</f>
        <v/>
      </c>
      <c r="BR289" s="39" t="str">
        <f>IFERROR(final!CC87*100/final!$I87,"")</f>
        <v/>
      </c>
      <c r="BS289" s="39" t="str">
        <f>IFERROR(final!CD87*100/final!$I87,"")</f>
        <v/>
      </c>
      <c r="BT289" s="39" t="str">
        <f>IFERROR(final!CE87*100/final!$I87,"")</f>
        <v/>
      </c>
      <c r="BU289" s="39" t="str">
        <f>IFERROR(final!CF87*100/final!$I87,"")</f>
        <v/>
      </c>
      <c r="BV289" s="39" t="str">
        <f>IFERROR(final!CG87*100/final!$I87,"")</f>
        <v/>
      </c>
      <c r="BW289" s="39" t="str">
        <f>IFERROR(final!CH87*100/final!$I87,"")</f>
        <v/>
      </c>
      <c r="BX289" s="39" t="str">
        <f>IFERROR(final!CI87*100/final!$I87,"")</f>
        <v/>
      </c>
      <c r="BY289" s="39" t="str">
        <f>IFERROR(final!CJ87*100/final!$I87,"")</f>
        <v/>
      </c>
      <c r="BZ289" s="39" t="str">
        <f>IFERROR(final!CK87*100/final!$I87,"")</f>
        <v/>
      </c>
      <c r="CA289" s="39" t="str">
        <f>IFERROR(final!CL87*100/final!$I87,"")</f>
        <v/>
      </c>
      <c r="CB289" s="39" t="str">
        <f>IFERROR(final!CM87*100/final!$I87,"")</f>
        <v/>
      </c>
      <c r="CC289" s="39" t="str">
        <f>IFERROR(final!CN87*100/final!$I87,"")</f>
        <v/>
      </c>
      <c r="CD289" s="39" t="str">
        <f>IFERROR(final!CO87*100/final!$I87,"")</f>
        <v/>
      </c>
      <c r="CE289" s="39" t="str">
        <f>IFERROR(final!CP87*100/final!$I87,"")</f>
        <v/>
      </c>
      <c r="CF289" s="39" t="str">
        <f>IFERROR(final!CQ87*100/final!$I87,"")</f>
        <v/>
      </c>
      <c r="CG289" s="39" t="str">
        <f>IFERROR(final!CR87*100/final!$I87,"")</f>
        <v/>
      </c>
      <c r="CH289" s="39" t="str">
        <f>IFERROR(final!CS87*100/final!$I87,"")</f>
        <v/>
      </c>
      <c r="CI289" s="39" t="str">
        <f>IFERROR(final!CT87*100/final!$I87,"")</f>
        <v/>
      </c>
      <c r="CJ289" s="39" t="str">
        <f>IFERROR(final!CU87*100/final!$I87,"")</f>
        <v/>
      </c>
      <c r="CK289" s="39" t="str">
        <f>IFERROR(final!CV87*100/final!$I87,"")</f>
        <v/>
      </c>
      <c r="CL289" s="39" t="str">
        <f>IFERROR(final!CW87*100/final!$I87,"")</f>
        <v/>
      </c>
      <c r="CM289" s="39" t="str">
        <f>IFERROR(final!CX87*100/final!$I87,"")</f>
        <v/>
      </c>
      <c r="CN289" s="39" t="str">
        <f>IFERROR(final!CY87*100/final!$I87,"")</f>
        <v/>
      </c>
      <c r="CO289" s="39" t="str">
        <f>IFERROR(final!CZ87*100/final!$I87,"")</f>
        <v/>
      </c>
      <c r="CP289" s="39" t="str">
        <f>IFERROR(final!DA87*100/final!$I87,"")</f>
        <v/>
      </c>
      <c r="CQ289" s="39" t="str">
        <f>IFERROR(final!DB87*100/final!$I87,"")</f>
        <v/>
      </c>
      <c r="CR289" s="39" t="str">
        <f>IFERROR(final!DC87*100/final!$I87,"")</f>
        <v/>
      </c>
      <c r="CS289" s="39" t="str">
        <f>IFERROR(final!DD87*100/final!$I87,"")</f>
        <v/>
      </c>
      <c r="CT289" s="39" t="str">
        <f>IFERROR(final!DE87*100/final!$I87,"")</f>
        <v/>
      </c>
      <c r="CU289" s="39" t="str">
        <f>IFERROR(final!DF87*100/final!$I87,"")</f>
        <v/>
      </c>
      <c r="CV289" s="39" t="str">
        <f>IFERROR(final!DG87*100/final!$I87,"")</f>
        <v/>
      </c>
      <c r="CW289" s="32" t="str">
        <f>IFERROR(SUM(A289:CV289)/final!$DH$103,"")</f>
        <v/>
      </c>
      <c r="CX289" s="14" t="str">
        <f>IF(COUNTA(final!A87),final!A87,"")</f>
        <v/>
      </c>
      <c r="CY289" s="14" t="str">
        <f>IF(COUNTA(final!B87),final!B87,"")</f>
        <v/>
      </c>
      <c r="CZ289" s="14" t="str">
        <f>IF(COUNTA(final!C87),final!C87,"")</f>
        <v/>
      </c>
      <c r="DA289" s="14" t="str">
        <f>IF(COUNTA(final!D87),final!D87,"")</f>
        <v/>
      </c>
      <c r="DB289" s="14" t="str">
        <f>IF(COUNTA(final!E87),final!E87,"")</f>
        <v/>
      </c>
      <c r="DC289" s="14" t="str">
        <f>IF(COUNTA(final!F87),final!F87,"")</f>
        <v/>
      </c>
      <c r="DD289" s="14" t="str">
        <f>IF(COUNTA(final!G87),final!G87,"")</f>
        <v/>
      </c>
      <c r="DE289" s="14" t="str">
        <f>IF(COUNTA(final!H87),final!H87,"")</f>
        <v/>
      </c>
    </row>
    <row r="290" spans="1:109" x14ac:dyDescent="0.2">
      <c r="A290" s="39" t="str">
        <f>IFERROR(final!L88*100/final!$I88,"")</f>
        <v/>
      </c>
      <c r="B290" s="39" t="str">
        <f>IFERROR(final!M88*100/final!$I88,"")</f>
        <v/>
      </c>
      <c r="C290" s="39" t="str">
        <f>IFERROR(final!N88*100/final!$I88,"")</f>
        <v/>
      </c>
      <c r="D290" s="39" t="str">
        <f>IFERROR(final!O88*100/final!$I88,"")</f>
        <v/>
      </c>
      <c r="E290" s="39" t="str">
        <f>IFERROR(final!P88*100/final!$I88,"")</f>
        <v/>
      </c>
      <c r="F290" s="39" t="str">
        <f>IFERROR(final!Q88*100/final!$I88,"")</f>
        <v/>
      </c>
      <c r="G290" s="39" t="str">
        <f>IFERROR(final!R88*100/final!$I88,"")</f>
        <v/>
      </c>
      <c r="H290" s="39" t="str">
        <f>IFERROR(final!S88*100/final!$I88,"")</f>
        <v/>
      </c>
      <c r="I290" s="39" t="str">
        <f>IFERROR(final!T88*100/final!$I88,"")</f>
        <v/>
      </c>
      <c r="J290" s="39" t="str">
        <f>IFERROR(final!U88*100/final!$I88,"")</f>
        <v/>
      </c>
      <c r="K290" s="39" t="str">
        <f>IFERROR(final!V88*100/final!$I88,"")</f>
        <v/>
      </c>
      <c r="L290" s="39" t="str">
        <f>IFERROR(final!W88*100/final!$I88,"")</f>
        <v/>
      </c>
      <c r="M290" s="39" t="str">
        <f>IFERROR(final!X88*100/final!$I88,"")</f>
        <v/>
      </c>
      <c r="N290" s="39" t="str">
        <f>IFERROR(final!Y88*100/final!$I88,"")</f>
        <v/>
      </c>
      <c r="O290" s="39" t="str">
        <f>IFERROR(final!Z88*100/final!$I88,"")</f>
        <v/>
      </c>
      <c r="P290" s="39" t="str">
        <f>IFERROR(final!AA88*100/final!$I88,"")</f>
        <v/>
      </c>
      <c r="Q290" s="39" t="str">
        <f>IFERROR(final!AB88*100/final!$I88,"")</f>
        <v/>
      </c>
      <c r="R290" s="39" t="str">
        <f>IFERROR(final!AC88*100/final!$I88,"")</f>
        <v/>
      </c>
      <c r="S290" s="39" t="str">
        <f>IFERROR(final!AD88*100/final!$I88,"")</f>
        <v/>
      </c>
      <c r="T290" s="39" t="str">
        <f>IFERROR(final!AE88*100/final!$I88,"")</f>
        <v/>
      </c>
      <c r="U290" s="39" t="str">
        <f>IFERROR(final!AF88*100/final!$I88,"")</f>
        <v/>
      </c>
      <c r="V290" s="39" t="str">
        <f>IFERROR(final!AG88*100/final!$I88,"")</f>
        <v/>
      </c>
      <c r="W290" s="39" t="str">
        <f>IFERROR(final!AH88*100/final!$I88,"")</f>
        <v/>
      </c>
      <c r="X290" s="39" t="str">
        <f>IFERROR(final!AI88*100/final!$I88,"")</f>
        <v/>
      </c>
      <c r="Y290" s="39" t="str">
        <f>IFERROR(final!AJ88*100/final!$I88,"")</f>
        <v/>
      </c>
      <c r="Z290" s="39" t="str">
        <f>IFERROR(final!AK88*100/final!$I88,"")</f>
        <v/>
      </c>
      <c r="AA290" s="39" t="str">
        <f>IFERROR(final!AL88*100/final!$I88,"")</f>
        <v/>
      </c>
      <c r="AB290" s="39" t="str">
        <f>IFERROR(final!AM88*100/final!$I88,"")</f>
        <v/>
      </c>
      <c r="AC290" s="39" t="str">
        <f>IFERROR(final!AN88*100/final!$I88,"")</f>
        <v/>
      </c>
      <c r="AD290" s="39" t="str">
        <f>IFERROR(final!AO88*100/final!$I88,"")</f>
        <v/>
      </c>
      <c r="AE290" s="39" t="str">
        <f>IFERROR(final!AP88*100/final!$I88,"")</f>
        <v/>
      </c>
      <c r="AF290" s="39" t="str">
        <f>IFERROR(final!AQ88*100/final!$I88,"")</f>
        <v/>
      </c>
      <c r="AG290" s="39" t="str">
        <f>IFERROR(final!AR88*100/final!$I88,"")</f>
        <v/>
      </c>
      <c r="AH290" s="39" t="str">
        <f>IFERROR(final!AS88*100/final!$I88,"")</f>
        <v/>
      </c>
      <c r="AI290" s="39" t="str">
        <f>IFERROR(final!AT88*100/final!$I88,"")</f>
        <v/>
      </c>
      <c r="AJ290" s="39" t="str">
        <f>IFERROR(final!AU88*100/final!$I88,"")</f>
        <v/>
      </c>
      <c r="AK290" s="39" t="str">
        <f>IFERROR(final!AV88*100/final!$I88,"")</f>
        <v/>
      </c>
      <c r="AL290" s="39" t="str">
        <f>IFERROR(final!AW88*100/final!$I88,"")</f>
        <v/>
      </c>
      <c r="AM290" s="39" t="str">
        <f>IFERROR(final!AX88*100/final!$I88,"")</f>
        <v/>
      </c>
      <c r="AN290" s="39" t="str">
        <f>IFERROR(final!AY88*100/final!$I88,"")</f>
        <v/>
      </c>
      <c r="AO290" s="39" t="str">
        <f>IFERROR(final!AZ88*100/final!$I88,"")</f>
        <v/>
      </c>
      <c r="AP290" s="39" t="str">
        <f>IFERROR(final!BA88*100/final!$I88,"")</f>
        <v/>
      </c>
      <c r="AQ290" s="39" t="str">
        <f>IFERROR(final!BB88*100/final!$I88,"")</f>
        <v/>
      </c>
      <c r="AR290" s="39" t="str">
        <f>IFERROR(final!BC88*100/final!$I88,"")</f>
        <v/>
      </c>
      <c r="AS290" s="39" t="str">
        <f>IFERROR(final!BD88*100/final!$I88,"")</f>
        <v/>
      </c>
      <c r="AT290" s="39" t="str">
        <f>IFERROR(final!BE88*100/final!$I88,"")</f>
        <v/>
      </c>
      <c r="AU290" s="39" t="str">
        <f>IFERROR(final!BF88*100/final!$I88,"")</f>
        <v/>
      </c>
      <c r="AV290" s="39" t="str">
        <f>IFERROR(final!BG88*100/final!$I88,"")</f>
        <v/>
      </c>
      <c r="AW290" s="39" t="str">
        <f>IFERROR(final!BH88*100/final!$I88,"")</f>
        <v/>
      </c>
      <c r="AX290" s="39" t="str">
        <f>IFERROR(final!BI88*100/final!$I88,"")</f>
        <v/>
      </c>
      <c r="AY290" s="39" t="str">
        <f>IFERROR(final!BJ88*100/final!$I88,"")</f>
        <v/>
      </c>
      <c r="AZ290" s="39" t="str">
        <f>IFERROR(final!BK88*100/final!$I88,"")</f>
        <v/>
      </c>
      <c r="BA290" s="39" t="str">
        <f>IFERROR(final!BL88*100/final!$I88,"")</f>
        <v/>
      </c>
      <c r="BB290" s="39" t="str">
        <f>IFERROR(final!BM88*100/final!$I88,"")</f>
        <v/>
      </c>
      <c r="BC290" s="39" t="str">
        <f>IFERROR(final!BN88*100/final!$I88,"")</f>
        <v/>
      </c>
      <c r="BD290" s="39" t="str">
        <f>IFERROR(final!BO88*100/final!$I88,"")</f>
        <v/>
      </c>
      <c r="BE290" s="39" t="str">
        <f>IFERROR(final!BP88*100/final!$I88,"")</f>
        <v/>
      </c>
      <c r="BF290" s="39" t="str">
        <f>IFERROR(final!BQ88*100/final!$I88,"")</f>
        <v/>
      </c>
      <c r="BG290" s="39" t="str">
        <f>IFERROR(final!BR88*100/final!$I88,"")</f>
        <v/>
      </c>
      <c r="BH290" s="39" t="str">
        <f>IFERROR(final!BS88*100/final!$I88,"")</f>
        <v/>
      </c>
      <c r="BI290" s="39" t="str">
        <f>IFERROR(final!BT88*100/final!$I88,"")</f>
        <v/>
      </c>
      <c r="BJ290" s="39" t="str">
        <f>IFERROR(final!BU88*100/final!$I88,"")</f>
        <v/>
      </c>
      <c r="BK290" s="39" t="str">
        <f>IFERROR(final!BV88*100/final!$I88,"")</f>
        <v/>
      </c>
      <c r="BL290" s="39" t="str">
        <f>IFERROR(final!BW88*100/final!$I88,"")</f>
        <v/>
      </c>
      <c r="BM290" s="39" t="str">
        <f>IFERROR(final!BX88*100/final!$I88,"")</f>
        <v/>
      </c>
      <c r="BN290" s="39" t="str">
        <f>IFERROR(final!BY88*100/final!$I88,"")</f>
        <v/>
      </c>
      <c r="BO290" s="39" t="str">
        <f>IFERROR(final!BZ88*100/final!$I88,"")</f>
        <v/>
      </c>
      <c r="BP290" s="39" t="str">
        <f>IFERROR(final!CA88*100/final!$I88,"")</f>
        <v/>
      </c>
      <c r="BQ290" s="39" t="str">
        <f>IFERROR(final!CB88*100/final!$I88,"")</f>
        <v/>
      </c>
      <c r="BR290" s="39" t="str">
        <f>IFERROR(final!CC88*100/final!$I88,"")</f>
        <v/>
      </c>
      <c r="BS290" s="39" t="str">
        <f>IFERROR(final!CD88*100/final!$I88,"")</f>
        <v/>
      </c>
      <c r="BT290" s="39" t="str">
        <f>IFERROR(final!CE88*100/final!$I88,"")</f>
        <v/>
      </c>
      <c r="BU290" s="39" t="str">
        <f>IFERROR(final!CF88*100/final!$I88,"")</f>
        <v/>
      </c>
      <c r="BV290" s="39" t="str">
        <f>IFERROR(final!CG88*100/final!$I88,"")</f>
        <v/>
      </c>
      <c r="BW290" s="39" t="str">
        <f>IFERROR(final!CH88*100/final!$I88,"")</f>
        <v/>
      </c>
      <c r="BX290" s="39" t="str">
        <f>IFERROR(final!CI88*100/final!$I88,"")</f>
        <v/>
      </c>
      <c r="BY290" s="39" t="str">
        <f>IFERROR(final!CJ88*100/final!$I88,"")</f>
        <v/>
      </c>
      <c r="BZ290" s="39" t="str">
        <f>IFERROR(final!CK88*100/final!$I88,"")</f>
        <v/>
      </c>
      <c r="CA290" s="39" t="str">
        <f>IFERROR(final!CL88*100/final!$I88,"")</f>
        <v/>
      </c>
      <c r="CB290" s="39" t="str">
        <f>IFERROR(final!CM88*100/final!$I88,"")</f>
        <v/>
      </c>
      <c r="CC290" s="39" t="str">
        <f>IFERROR(final!CN88*100/final!$I88,"")</f>
        <v/>
      </c>
      <c r="CD290" s="39" t="str">
        <f>IFERROR(final!CO88*100/final!$I88,"")</f>
        <v/>
      </c>
      <c r="CE290" s="39" t="str">
        <f>IFERROR(final!CP88*100/final!$I88,"")</f>
        <v/>
      </c>
      <c r="CF290" s="39" t="str">
        <f>IFERROR(final!CQ88*100/final!$I88,"")</f>
        <v/>
      </c>
      <c r="CG290" s="39" t="str">
        <f>IFERROR(final!CR88*100/final!$I88,"")</f>
        <v/>
      </c>
      <c r="CH290" s="39" t="str">
        <f>IFERROR(final!CS88*100/final!$I88,"")</f>
        <v/>
      </c>
      <c r="CI290" s="39" t="str">
        <f>IFERROR(final!CT88*100/final!$I88,"")</f>
        <v/>
      </c>
      <c r="CJ290" s="39" t="str">
        <f>IFERROR(final!CU88*100/final!$I88,"")</f>
        <v/>
      </c>
      <c r="CK290" s="39" t="str">
        <f>IFERROR(final!CV88*100/final!$I88,"")</f>
        <v/>
      </c>
      <c r="CL290" s="39" t="str">
        <f>IFERROR(final!CW88*100/final!$I88,"")</f>
        <v/>
      </c>
      <c r="CM290" s="39" t="str">
        <f>IFERROR(final!CX88*100/final!$I88,"")</f>
        <v/>
      </c>
      <c r="CN290" s="39" t="str">
        <f>IFERROR(final!CY88*100/final!$I88,"")</f>
        <v/>
      </c>
      <c r="CO290" s="39" t="str">
        <f>IFERROR(final!CZ88*100/final!$I88,"")</f>
        <v/>
      </c>
      <c r="CP290" s="39" t="str">
        <f>IFERROR(final!DA88*100/final!$I88,"")</f>
        <v/>
      </c>
      <c r="CQ290" s="39" t="str">
        <f>IFERROR(final!DB88*100/final!$I88,"")</f>
        <v/>
      </c>
      <c r="CR290" s="39" t="str">
        <f>IFERROR(final!DC88*100/final!$I88,"")</f>
        <v/>
      </c>
      <c r="CS290" s="39" t="str">
        <f>IFERROR(final!DD88*100/final!$I88,"")</f>
        <v/>
      </c>
      <c r="CT290" s="39" t="str">
        <f>IFERROR(final!DE88*100/final!$I88,"")</f>
        <v/>
      </c>
      <c r="CU290" s="39" t="str">
        <f>IFERROR(final!DF88*100/final!$I88,"")</f>
        <v/>
      </c>
      <c r="CV290" s="39" t="str">
        <f>IFERROR(final!DG88*100/final!$I88,"")</f>
        <v/>
      </c>
      <c r="CW290" s="32" t="str">
        <f>IFERROR(SUM(A290:CV290)/final!$DH$103,"")</f>
        <v/>
      </c>
      <c r="CX290" s="14" t="str">
        <f>IF(COUNTA(final!A88),final!A88,"")</f>
        <v/>
      </c>
      <c r="CY290" s="14" t="str">
        <f>IF(COUNTA(final!B88),final!B88,"")</f>
        <v/>
      </c>
      <c r="CZ290" s="14" t="str">
        <f>IF(COUNTA(final!C88),final!C88,"")</f>
        <v/>
      </c>
      <c r="DA290" s="14" t="str">
        <f>IF(COUNTA(final!D88),final!D88,"")</f>
        <v/>
      </c>
      <c r="DB290" s="14" t="str">
        <f>IF(COUNTA(final!E88),final!E88,"")</f>
        <v/>
      </c>
      <c r="DC290" s="14" t="str">
        <f>IF(COUNTA(final!F88),final!F88,"")</f>
        <v/>
      </c>
      <c r="DD290" s="14" t="str">
        <f>IF(COUNTA(final!G88),final!G88,"")</f>
        <v/>
      </c>
      <c r="DE290" s="14" t="str">
        <f>IF(COUNTA(final!H88),final!H88,"")</f>
        <v/>
      </c>
    </row>
    <row r="291" spans="1:109" x14ac:dyDescent="0.2">
      <c r="A291" s="39" t="str">
        <f>IFERROR(final!L89*100/final!$I89,"")</f>
        <v/>
      </c>
      <c r="B291" s="39" t="str">
        <f>IFERROR(final!M89*100/final!$I89,"")</f>
        <v/>
      </c>
      <c r="C291" s="39" t="str">
        <f>IFERROR(final!N89*100/final!$I89,"")</f>
        <v/>
      </c>
      <c r="D291" s="39" t="str">
        <f>IFERROR(final!O89*100/final!$I89,"")</f>
        <v/>
      </c>
      <c r="E291" s="39" t="str">
        <f>IFERROR(final!P89*100/final!$I89,"")</f>
        <v/>
      </c>
      <c r="F291" s="39" t="str">
        <f>IFERROR(final!Q89*100/final!$I89,"")</f>
        <v/>
      </c>
      <c r="G291" s="39" t="str">
        <f>IFERROR(final!R89*100/final!$I89,"")</f>
        <v/>
      </c>
      <c r="H291" s="39" t="str">
        <f>IFERROR(final!S89*100/final!$I89,"")</f>
        <v/>
      </c>
      <c r="I291" s="39" t="str">
        <f>IFERROR(final!T89*100/final!$I89,"")</f>
        <v/>
      </c>
      <c r="J291" s="39" t="str">
        <f>IFERROR(final!U89*100/final!$I89,"")</f>
        <v/>
      </c>
      <c r="K291" s="39" t="str">
        <f>IFERROR(final!V89*100/final!$I89,"")</f>
        <v/>
      </c>
      <c r="L291" s="39" t="str">
        <f>IFERROR(final!W89*100/final!$I89,"")</f>
        <v/>
      </c>
      <c r="M291" s="39" t="str">
        <f>IFERROR(final!X89*100/final!$I89,"")</f>
        <v/>
      </c>
      <c r="N291" s="39" t="str">
        <f>IFERROR(final!Y89*100/final!$I89,"")</f>
        <v/>
      </c>
      <c r="O291" s="39" t="str">
        <f>IFERROR(final!Z89*100/final!$I89,"")</f>
        <v/>
      </c>
      <c r="P291" s="39" t="str">
        <f>IFERROR(final!AA89*100/final!$I89,"")</f>
        <v/>
      </c>
      <c r="Q291" s="39" t="str">
        <f>IFERROR(final!AB89*100/final!$I89,"")</f>
        <v/>
      </c>
      <c r="R291" s="39" t="str">
        <f>IFERROR(final!AC89*100/final!$I89,"")</f>
        <v/>
      </c>
      <c r="S291" s="39" t="str">
        <f>IFERROR(final!AD89*100/final!$I89,"")</f>
        <v/>
      </c>
      <c r="T291" s="39" t="str">
        <f>IFERROR(final!AE89*100/final!$I89,"")</f>
        <v/>
      </c>
      <c r="U291" s="39" t="str">
        <f>IFERROR(final!AF89*100/final!$I89,"")</f>
        <v/>
      </c>
      <c r="V291" s="39" t="str">
        <f>IFERROR(final!AG89*100/final!$I89,"")</f>
        <v/>
      </c>
      <c r="W291" s="39" t="str">
        <f>IFERROR(final!AH89*100/final!$I89,"")</f>
        <v/>
      </c>
      <c r="X291" s="39" t="str">
        <f>IFERROR(final!AI89*100/final!$I89,"")</f>
        <v/>
      </c>
      <c r="Y291" s="39" t="str">
        <f>IFERROR(final!AJ89*100/final!$I89,"")</f>
        <v/>
      </c>
      <c r="Z291" s="39" t="str">
        <f>IFERROR(final!AK89*100/final!$I89,"")</f>
        <v/>
      </c>
      <c r="AA291" s="39" t="str">
        <f>IFERROR(final!AL89*100/final!$I89,"")</f>
        <v/>
      </c>
      <c r="AB291" s="39" t="str">
        <f>IFERROR(final!AM89*100/final!$I89,"")</f>
        <v/>
      </c>
      <c r="AC291" s="39" t="str">
        <f>IFERROR(final!AN89*100/final!$I89,"")</f>
        <v/>
      </c>
      <c r="AD291" s="39" t="str">
        <f>IFERROR(final!AO89*100/final!$I89,"")</f>
        <v/>
      </c>
      <c r="AE291" s="39" t="str">
        <f>IFERROR(final!AP89*100/final!$I89,"")</f>
        <v/>
      </c>
      <c r="AF291" s="39" t="str">
        <f>IFERROR(final!AQ89*100/final!$I89,"")</f>
        <v/>
      </c>
      <c r="AG291" s="39" t="str">
        <f>IFERROR(final!AR89*100/final!$I89,"")</f>
        <v/>
      </c>
      <c r="AH291" s="39" t="str">
        <f>IFERROR(final!AS89*100/final!$I89,"")</f>
        <v/>
      </c>
      <c r="AI291" s="39" t="str">
        <f>IFERROR(final!AT89*100/final!$I89,"")</f>
        <v/>
      </c>
      <c r="AJ291" s="39" t="str">
        <f>IFERROR(final!AU89*100/final!$I89,"")</f>
        <v/>
      </c>
      <c r="AK291" s="39" t="str">
        <f>IFERROR(final!AV89*100/final!$I89,"")</f>
        <v/>
      </c>
      <c r="AL291" s="39" t="str">
        <f>IFERROR(final!AW89*100/final!$I89,"")</f>
        <v/>
      </c>
      <c r="AM291" s="39" t="str">
        <f>IFERROR(final!AX89*100/final!$I89,"")</f>
        <v/>
      </c>
      <c r="AN291" s="39" t="str">
        <f>IFERROR(final!AY89*100/final!$I89,"")</f>
        <v/>
      </c>
      <c r="AO291" s="39" t="str">
        <f>IFERROR(final!AZ89*100/final!$I89,"")</f>
        <v/>
      </c>
      <c r="AP291" s="39" t="str">
        <f>IFERROR(final!BA89*100/final!$I89,"")</f>
        <v/>
      </c>
      <c r="AQ291" s="39" t="str">
        <f>IFERROR(final!BB89*100/final!$I89,"")</f>
        <v/>
      </c>
      <c r="AR291" s="39" t="str">
        <f>IFERROR(final!BC89*100/final!$I89,"")</f>
        <v/>
      </c>
      <c r="AS291" s="39" t="str">
        <f>IFERROR(final!BD89*100/final!$I89,"")</f>
        <v/>
      </c>
      <c r="AT291" s="39" t="str">
        <f>IFERROR(final!BE89*100/final!$I89,"")</f>
        <v/>
      </c>
      <c r="AU291" s="39" t="str">
        <f>IFERROR(final!BF89*100/final!$I89,"")</f>
        <v/>
      </c>
      <c r="AV291" s="39" t="str">
        <f>IFERROR(final!BG89*100/final!$I89,"")</f>
        <v/>
      </c>
      <c r="AW291" s="39" t="str">
        <f>IFERROR(final!BH89*100/final!$I89,"")</f>
        <v/>
      </c>
      <c r="AX291" s="39" t="str">
        <f>IFERROR(final!BI89*100/final!$I89,"")</f>
        <v/>
      </c>
      <c r="AY291" s="39" t="str">
        <f>IFERROR(final!BJ89*100/final!$I89,"")</f>
        <v/>
      </c>
      <c r="AZ291" s="39" t="str">
        <f>IFERROR(final!BK89*100/final!$I89,"")</f>
        <v/>
      </c>
      <c r="BA291" s="39" t="str">
        <f>IFERROR(final!BL89*100/final!$I89,"")</f>
        <v/>
      </c>
      <c r="BB291" s="39" t="str">
        <f>IFERROR(final!BM89*100/final!$I89,"")</f>
        <v/>
      </c>
      <c r="BC291" s="39" t="str">
        <f>IFERROR(final!BN89*100/final!$I89,"")</f>
        <v/>
      </c>
      <c r="BD291" s="39" t="str">
        <f>IFERROR(final!BO89*100/final!$I89,"")</f>
        <v/>
      </c>
      <c r="BE291" s="39" t="str">
        <f>IFERROR(final!BP89*100/final!$I89,"")</f>
        <v/>
      </c>
      <c r="BF291" s="39" t="str">
        <f>IFERROR(final!BQ89*100/final!$I89,"")</f>
        <v/>
      </c>
      <c r="BG291" s="39" t="str">
        <f>IFERROR(final!BR89*100/final!$I89,"")</f>
        <v/>
      </c>
      <c r="BH291" s="39" t="str">
        <f>IFERROR(final!BS89*100/final!$I89,"")</f>
        <v/>
      </c>
      <c r="BI291" s="39" t="str">
        <f>IFERROR(final!BT89*100/final!$I89,"")</f>
        <v/>
      </c>
      <c r="BJ291" s="39" t="str">
        <f>IFERROR(final!BU89*100/final!$I89,"")</f>
        <v/>
      </c>
      <c r="BK291" s="39" t="str">
        <f>IFERROR(final!BV89*100/final!$I89,"")</f>
        <v/>
      </c>
      <c r="BL291" s="39" t="str">
        <f>IFERROR(final!BW89*100/final!$I89,"")</f>
        <v/>
      </c>
      <c r="BM291" s="39" t="str">
        <f>IFERROR(final!BX89*100/final!$I89,"")</f>
        <v/>
      </c>
      <c r="BN291" s="39" t="str">
        <f>IFERROR(final!BY89*100/final!$I89,"")</f>
        <v/>
      </c>
      <c r="BO291" s="39" t="str">
        <f>IFERROR(final!BZ89*100/final!$I89,"")</f>
        <v/>
      </c>
      <c r="BP291" s="39" t="str">
        <f>IFERROR(final!CA89*100/final!$I89,"")</f>
        <v/>
      </c>
      <c r="BQ291" s="39" t="str">
        <f>IFERROR(final!CB89*100/final!$I89,"")</f>
        <v/>
      </c>
      <c r="BR291" s="39" t="str">
        <f>IFERROR(final!CC89*100/final!$I89,"")</f>
        <v/>
      </c>
      <c r="BS291" s="39" t="str">
        <f>IFERROR(final!CD89*100/final!$I89,"")</f>
        <v/>
      </c>
      <c r="BT291" s="39" t="str">
        <f>IFERROR(final!CE89*100/final!$I89,"")</f>
        <v/>
      </c>
      <c r="BU291" s="39" t="str">
        <f>IFERROR(final!CF89*100/final!$I89,"")</f>
        <v/>
      </c>
      <c r="BV291" s="39" t="str">
        <f>IFERROR(final!CG89*100/final!$I89,"")</f>
        <v/>
      </c>
      <c r="BW291" s="39" t="str">
        <f>IFERROR(final!CH89*100/final!$I89,"")</f>
        <v/>
      </c>
      <c r="BX291" s="39" t="str">
        <f>IFERROR(final!CI89*100/final!$I89,"")</f>
        <v/>
      </c>
      <c r="BY291" s="39" t="str">
        <f>IFERROR(final!CJ89*100/final!$I89,"")</f>
        <v/>
      </c>
      <c r="BZ291" s="39" t="str">
        <f>IFERROR(final!CK89*100/final!$I89,"")</f>
        <v/>
      </c>
      <c r="CA291" s="39" t="str">
        <f>IFERROR(final!CL89*100/final!$I89,"")</f>
        <v/>
      </c>
      <c r="CB291" s="39" t="str">
        <f>IFERROR(final!CM89*100/final!$I89,"")</f>
        <v/>
      </c>
      <c r="CC291" s="39" t="str">
        <f>IFERROR(final!CN89*100/final!$I89,"")</f>
        <v/>
      </c>
      <c r="CD291" s="39" t="str">
        <f>IFERROR(final!CO89*100/final!$I89,"")</f>
        <v/>
      </c>
      <c r="CE291" s="39" t="str">
        <f>IFERROR(final!CP89*100/final!$I89,"")</f>
        <v/>
      </c>
      <c r="CF291" s="39" t="str">
        <f>IFERROR(final!CQ89*100/final!$I89,"")</f>
        <v/>
      </c>
      <c r="CG291" s="39" t="str">
        <f>IFERROR(final!CR89*100/final!$I89,"")</f>
        <v/>
      </c>
      <c r="CH291" s="39" t="str">
        <f>IFERROR(final!CS89*100/final!$I89,"")</f>
        <v/>
      </c>
      <c r="CI291" s="39" t="str">
        <f>IFERROR(final!CT89*100/final!$I89,"")</f>
        <v/>
      </c>
      <c r="CJ291" s="39" t="str">
        <f>IFERROR(final!CU89*100/final!$I89,"")</f>
        <v/>
      </c>
      <c r="CK291" s="39" t="str">
        <f>IFERROR(final!CV89*100/final!$I89,"")</f>
        <v/>
      </c>
      <c r="CL291" s="39" t="str">
        <f>IFERROR(final!CW89*100/final!$I89,"")</f>
        <v/>
      </c>
      <c r="CM291" s="39" t="str">
        <f>IFERROR(final!CX89*100/final!$I89,"")</f>
        <v/>
      </c>
      <c r="CN291" s="39" t="str">
        <f>IFERROR(final!CY89*100/final!$I89,"")</f>
        <v/>
      </c>
      <c r="CO291" s="39" t="str">
        <f>IFERROR(final!CZ89*100/final!$I89,"")</f>
        <v/>
      </c>
      <c r="CP291" s="39" t="str">
        <f>IFERROR(final!DA89*100/final!$I89,"")</f>
        <v/>
      </c>
      <c r="CQ291" s="39" t="str">
        <f>IFERROR(final!DB89*100/final!$I89,"")</f>
        <v/>
      </c>
      <c r="CR291" s="39" t="str">
        <f>IFERROR(final!DC89*100/final!$I89,"")</f>
        <v/>
      </c>
      <c r="CS291" s="39" t="str">
        <f>IFERROR(final!DD89*100/final!$I89,"")</f>
        <v/>
      </c>
      <c r="CT291" s="39" t="str">
        <f>IFERROR(final!DE89*100/final!$I89,"")</f>
        <v/>
      </c>
      <c r="CU291" s="39" t="str">
        <f>IFERROR(final!DF89*100/final!$I89,"")</f>
        <v/>
      </c>
      <c r="CV291" s="39" t="str">
        <f>IFERROR(final!DG89*100/final!$I89,"")</f>
        <v/>
      </c>
      <c r="CW291" s="32" t="str">
        <f>IFERROR(SUM(A291:CV291)/final!$DH$103,"")</f>
        <v/>
      </c>
      <c r="CX291" s="14" t="str">
        <f>IF(COUNTA(final!A89),final!A89,"")</f>
        <v/>
      </c>
      <c r="CY291" s="14" t="str">
        <f>IF(COUNTA(final!B89),final!B89,"")</f>
        <v/>
      </c>
      <c r="CZ291" s="14" t="str">
        <f>IF(COUNTA(final!C89),final!C89,"")</f>
        <v/>
      </c>
      <c r="DA291" s="14" t="str">
        <f>IF(COUNTA(final!D89),final!D89,"")</f>
        <v/>
      </c>
      <c r="DB291" s="14" t="str">
        <f>IF(COUNTA(final!E89),final!E89,"")</f>
        <v/>
      </c>
      <c r="DC291" s="14" t="str">
        <f>IF(COUNTA(final!F89),final!F89,"")</f>
        <v/>
      </c>
      <c r="DD291" s="14" t="str">
        <f>IF(COUNTA(final!G89),final!G89,"")</f>
        <v/>
      </c>
      <c r="DE291" s="14" t="str">
        <f>IF(COUNTA(final!H89),final!H89,"")</f>
        <v/>
      </c>
    </row>
    <row r="292" spans="1:109" x14ac:dyDescent="0.2">
      <c r="A292" s="39" t="str">
        <f>IFERROR(final!L90*100/final!$I90,"")</f>
        <v/>
      </c>
      <c r="B292" s="39" t="str">
        <f>IFERROR(final!M90*100/final!$I90,"")</f>
        <v/>
      </c>
      <c r="C292" s="39" t="str">
        <f>IFERROR(final!N90*100/final!$I90,"")</f>
        <v/>
      </c>
      <c r="D292" s="39" t="str">
        <f>IFERROR(final!O90*100/final!$I90,"")</f>
        <v/>
      </c>
      <c r="E292" s="39" t="str">
        <f>IFERROR(final!P90*100/final!$I90,"")</f>
        <v/>
      </c>
      <c r="F292" s="39" t="str">
        <f>IFERROR(final!Q90*100/final!$I90,"")</f>
        <v/>
      </c>
      <c r="G292" s="39" t="str">
        <f>IFERROR(final!R90*100/final!$I90,"")</f>
        <v/>
      </c>
      <c r="H292" s="39" t="str">
        <f>IFERROR(final!S90*100/final!$I90,"")</f>
        <v/>
      </c>
      <c r="I292" s="39" t="str">
        <f>IFERROR(final!T90*100/final!$I90,"")</f>
        <v/>
      </c>
      <c r="J292" s="39" t="str">
        <f>IFERROR(final!U90*100/final!$I90,"")</f>
        <v/>
      </c>
      <c r="K292" s="39" t="str">
        <f>IFERROR(final!V90*100/final!$I90,"")</f>
        <v/>
      </c>
      <c r="L292" s="39" t="str">
        <f>IFERROR(final!W90*100/final!$I90,"")</f>
        <v/>
      </c>
      <c r="M292" s="39" t="str">
        <f>IFERROR(final!X90*100/final!$I90,"")</f>
        <v/>
      </c>
      <c r="N292" s="39" t="str">
        <f>IFERROR(final!Y90*100/final!$I90,"")</f>
        <v/>
      </c>
      <c r="O292" s="39" t="str">
        <f>IFERROR(final!Z90*100/final!$I90,"")</f>
        <v/>
      </c>
      <c r="P292" s="39" t="str">
        <f>IFERROR(final!AA90*100/final!$I90,"")</f>
        <v/>
      </c>
      <c r="Q292" s="39" t="str">
        <f>IFERROR(final!AB90*100/final!$I90,"")</f>
        <v/>
      </c>
      <c r="R292" s="39" t="str">
        <f>IFERROR(final!AC90*100/final!$I90,"")</f>
        <v/>
      </c>
      <c r="S292" s="39" t="str">
        <f>IFERROR(final!AD90*100/final!$I90,"")</f>
        <v/>
      </c>
      <c r="T292" s="39" t="str">
        <f>IFERROR(final!AE90*100/final!$I90,"")</f>
        <v/>
      </c>
      <c r="U292" s="39" t="str">
        <f>IFERROR(final!AF90*100/final!$I90,"")</f>
        <v/>
      </c>
      <c r="V292" s="39" t="str">
        <f>IFERROR(final!AG90*100/final!$I90,"")</f>
        <v/>
      </c>
      <c r="W292" s="39" t="str">
        <f>IFERROR(final!AH90*100/final!$I90,"")</f>
        <v/>
      </c>
      <c r="X292" s="39" t="str">
        <f>IFERROR(final!AI90*100/final!$I90,"")</f>
        <v/>
      </c>
      <c r="Y292" s="39" t="str">
        <f>IFERROR(final!AJ90*100/final!$I90,"")</f>
        <v/>
      </c>
      <c r="Z292" s="39" t="str">
        <f>IFERROR(final!AK90*100/final!$I90,"")</f>
        <v/>
      </c>
      <c r="AA292" s="39" t="str">
        <f>IFERROR(final!AL90*100/final!$I90,"")</f>
        <v/>
      </c>
      <c r="AB292" s="39" t="str">
        <f>IFERROR(final!AM90*100/final!$I90,"")</f>
        <v/>
      </c>
      <c r="AC292" s="39" t="str">
        <f>IFERROR(final!AN90*100/final!$I90,"")</f>
        <v/>
      </c>
      <c r="AD292" s="39" t="str">
        <f>IFERROR(final!AO90*100/final!$I90,"")</f>
        <v/>
      </c>
      <c r="AE292" s="39" t="str">
        <f>IFERROR(final!AP90*100/final!$I90,"")</f>
        <v/>
      </c>
      <c r="AF292" s="39" t="str">
        <f>IFERROR(final!AQ90*100/final!$I90,"")</f>
        <v/>
      </c>
      <c r="AG292" s="39" t="str">
        <f>IFERROR(final!AR90*100/final!$I90,"")</f>
        <v/>
      </c>
      <c r="AH292" s="39" t="str">
        <f>IFERROR(final!AS90*100/final!$I90,"")</f>
        <v/>
      </c>
      <c r="AI292" s="39" t="str">
        <f>IFERROR(final!AT90*100/final!$I90,"")</f>
        <v/>
      </c>
      <c r="AJ292" s="39" t="str">
        <f>IFERROR(final!AU90*100/final!$I90,"")</f>
        <v/>
      </c>
      <c r="AK292" s="39" t="str">
        <f>IFERROR(final!AV90*100/final!$I90,"")</f>
        <v/>
      </c>
      <c r="AL292" s="39" t="str">
        <f>IFERROR(final!AW90*100/final!$I90,"")</f>
        <v/>
      </c>
      <c r="AM292" s="39" t="str">
        <f>IFERROR(final!AX90*100/final!$I90,"")</f>
        <v/>
      </c>
      <c r="AN292" s="39" t="str">
        <f>IFERROR(final!AY90*100/final!$I90,"")</f>
        <v/>
      </c>
      <c r="AO292" s="39" t="str">
        <f>IFERROR(final!AZ90*100/final!$I90,"")</f>
        <v/>
      </c>
      <c r="AP292" s="39" t="str">
        <f>IFERROR(final!BA90*100/final!$I90,"")</f>
        <v/>
      </c>
      <c r="AQ292" s="39" t="str">
        <f>IFERROR(final!BB90*100/final!$I90,"")</f>
        <v/>
      </c>
      <c r="AR292" s="39" t="str">
        <f>IFERROR(final!BC90*100/final!$I90,"")</f>
        <v/>
      </c>
      <c r="AS292" s="39" t="str">
        <f>IFERROR(final!BD90*100/final!$I90,"")</f>
        <v/>
      </c>
      <c r="AT292" s="39" t="str">
        <f>IFERROR(final!BE90*100/final!$I90,"")</f>
        <v/>
      </c>
      <c r="AU292" s="39" t="str">
        <f>IFERROR(final!BF90*100/final!$I90,"")</f>
        <v/>
      </c>
      <c r="AV292" s="39" t="str">
        <f>IFERROR(final!BG90*100/final!$I90,"")</f>
        <v/>
      </c>
      <c r="AW292" s="39" t="str">
        <f>IFERROR(final!BH90*100/final!$I90,"")</f>
        <v/>
      </c>
      <c r="AX292" s="39" t="str">
        <f>IFERROR(final!BI90*100/final!$I90,"")</f>
        <v/>
      </c>
      <c r="AY292" s="39" t="str">
        <f>IFERROR(final!BJ90*100/final!$I90,"")</f>
        <v/>
      </c>
      <c r="AZ292" s="39" t="str">
        <f>IFERROR(final!BK90*100/final!$I90,"")</f>
        <v/>
      </c>
      <c r="BA292" s="39" t="str">
        <f>IFERROR(final!BL90*100/final!$I90,"")</f>
        <v/>
      </c>
      <c r="BB292" s="39" t="str">
        <f>IFERROR(final!BM90*100/final!$I90,"")</f>
        <v/>
      </c>
      <c r="BC292" s="39" t="str">
        <f>IFERROR(final!BN90*100/final!$I90,"")</f>
        <v/>
      </c>
      <c r="BD292" s="39" t="str">
        <f>IFERROR(final!BO90*100/final!$I90,"")</f>
        <v/>
      </c>
      <c r="BE292" s="39" t="str">
        <f>IFERROR(final!BP90*100/final!$I90,"")</f>
        <v/>
      </c>
      <c r="BF292" s="39" t="str">
        <f>IFERROR(final!BQ90*100/final!$I90,"")</f>
        <v/>
      </c>
      <c r="BG292" s="39" t="str">
        <f>IFERROR(final!BR90*100/final!$I90,"")</f>
        <v/>
      </c>
      <c r="BH292" s="39" t="str">
        <f>IFERROR(final!BS90*100/final!$I90,"")</f>
        <v/>
      </c>
      <c r="BI292" s="39" t="str">
        <f>IFERROR(final!BT90*100/final!$I90,"")</f>
        <v/>
      </c>
      <c r="BJ292" s="39" t="str">
        <f>IFERROR(final!BU90*100/final!$I90,"")</f>
        <v/>
      </c>
      <c r="BK292" s="39" t="str">
        <f>IFERROR(final!BV90*100/final!$I90,"")</f>
        <v/>
      </c>
      <c r="BL292" s="39" t="str">
        <f>IFERROR(final!BW90*100/final!$I90,"")</f>
        <v/>
      </c>
      <c r="BM292" s="39" t="str">
        <f>IFERROR(final!BX90*100/final!$I90,"")</f>
        <v/>
      </c>
      <c r="BN292" s="39" t="str">
        <f>IFERROR(final!BY90*100/final!$I90,"")</f>
        <v/>
      </c>
      <c r="BO292" s="39" t="str">
        <f>IFERROR(final!BZ90*100/final!$I90,"")</f>
        <v/>
      </c>
      <c r="BP292" s="39" t="str">
        <f>IFERROR(final!CA90*100/final!$I90,"")</f>
        <v/>
      </c>
      <c r="BQ292" s="39" t="str">
        <f>IFERROR(final!CB90*100/final!$I90,"")</f>
        <v/>
      </c>
      <c r="BR292" s="39" t="str">
        <f>IFERROR(final!CC90*100/final!$I90,"")</f>
        <v/>
      </c>
      <c r="BS292" s="39" t="str">
        <f>IFERROR(final!CD90*100/final!$I90,"")</f>
        <v/>
      </c>
      <c r="BT292" s="39" t="str">
        <f>IFERROR(final!CE90*100/final!$I90,"")</f>
        <v/>
      </c>
      <c r="BU292" s="39" t="str">
        <f>IFERROR(final!CF90*100/final!$I90,"")</f>
        <v/>
      </c>
      <c r="BV292" s="39" t="str">
        <f>IFERROR(final!CG90*100/final!$I90,"")</f>
        <v/>
      </c>
      <c r="BW292" s="39" t="str">
        <f>IFERROR(final!CH90*100/final!$I90,"")</f>
        <v/>
      </c>
      <c r="BX292" s="39" t="str">
        <f>IFERROR(final!CI90*100/final!$I90,"")</f>
        <v/>
      </c>
      <c r="BY292" s="39" t="str">
        <f>IFERROR(final!CJ90*100/final!$I90,"")</f>
        <v/>
      </c>
      <c r="BZ292" s="39" t="str">
        <f>IFERROR(final!CK90*100/final!$I90,"")</f>
        <v/>
      </c>
      <c r="CA292" s="39" t="str">
        <f>IFERROR(final!CL90*100/final!$I90,"")</f>
        <v/>
      </c>
      <c r="CB292" s="39" t="str">
        <f>IFERROR(final!CM90*100/final!$I90,"")</f>
        <v/>
      </c>
      <c r="CC292" s="39" t="str">
        <f>IFERROR(final!CN90*100/final!$I90,"")</f>
        <v/>
      </c>
      <c r="CD292" s="39" t="str">
        <f>IFERROR(final!CO90*100/final!$I90,"")</f>
        <v/>
      </c>
      <c r="CE292" s="39" t="str">
        <f>IFERROR(final!CP90*100/final!$I90,"")</f>
        <v/>
      </c>
      <c r="CF292" s="39" t="str">
        <f>IFERROR(final!CQ90*100/final!$I90,"")</f>
        <v/>
      </c>
      <c r="CG292" s="39" t="str">
        <f>IFERROR(final!CR90*100/final!$I90,"")</f>
        <v/>
      </c>
      <c r="CH292" s="39" t="str">
        <f>IFERROR(final!CS90*100/final!$I90,"")</f>
        <v/>
      </c>
      <c r="CI292" s="39" t="str">
        <f>IFERROR(final!CT90*100/final!$I90,"")</f>
        <v/>
      </c>
      <c r="CJ292" s="39" t="str">
        <f>IFERROR(final!CU90*100/final!$I90,"")</f>
        <v/>
      </c>
      <c r="CK292" s="39" t="str">
        <f>IFERROR(final!CV90*100/final!$I90,"")</f>
        <v/>
      </c>
      <c r="CL292" s="39" t="str">
        <f>IFERROR(final!CW90*100/final!$I90,"")</f>
        <v/>
      </c>
      <c r="CM292" s="39" t="str">
        <f>IFERROR(final!CX90*100/final!$I90,"")</f>
        <v/>
      </c>
      <c r="CN292" s="39" t="str">
        <f>IFERROR(final!CY90*100/final!$I90,"")</f>
        <v/>
      </c>
      <c r="CO292" s="39" t="str">
        <f>IFERROR(final!CZ90*100/final!$I90,"")</f>
        <v/>
      </c>
      <c r="CP292" s="39" t="str">
        <f>IFERROR(final!DA90*100/final!$I90,"")</f>
        <v/>
      </c>
      <c r="CQ292" s="39" t="str">
        <f>IFERROR(final!DB90*100/final!$I90,"")</f>
        <v/>
      </c>
      <c r="CR292" s="39" t="str">
        <f>IFERROR(final!DC90*100/final!$I90,"")</f>
        <v/>
      </c>
      <c r="CS292" s="39" t="str">
        <f>IFERROR(final!DD90*100/final!$I90,"")</f>
        <v/>
      </c>
      <c r="CT292" s="39" t="str">
        <f>IFERROR(final!DE90*100/final!$I90,"")</f>
        <v/>
      </c>
      <c r="CU292" s="39" t="str">
        <f>IFERROR(final!DF90*100/final!$I90,"")</f>
        <v/>
      </c>
      <c r="CV292" s="39" t="str">
        <f>IFERROR(final!DG90*100/final!$I90,"")</f>
        <v/>
      </c>
      <c r="CW292" s="32" t="str">
        <f>IFERROR(SUM(A292:CV292)/final!$DH$103,"")</f>
        <v/>
      </c>
      <c r="CX292" s="14" t="str">
        <f>IF(COUNTA(final!A90),final!A90,"")</f>
        <v/>
      </c>
      <c r="CY292" s="14" t="str">
        <f>IF(COUNTA(final!B90),final!B90,"")</f>
        <v/>
      </c>
      <c r="CZ292" s="14" t="str">
        <f>IF(COUNTA(final!C90),final!C90,"")</f>
        <v/>
      </c>
      <c r="DA292" s="14" t="str">
        <f>IF(COUNTA(final!D90),final!D90,"")</f>
        <v/>
      </c>
      <c r="DB292" s="14" t="str">
        <f>IF(COUNTA(final!E90),final!E90,"")</f>
        <v/>
      </c>
      <c r="DC292" s="14" t="str">
        <f>IF(COUNTA(final!F90),final!F90,"")</f>
        <v/>
      </c>
      <c r="DD292" s="14" t="str">
        <f>IF(COUNTA(final!G90),final!G90,"")</f>
        <v/>
      </c>
      <c r="DE292" s="14" t="str">
        <f>IF(COUNTA(final!H90),final!H90,"")</f>
        <v/>
      </c>
    </row>
    <row r="293" spans="1:109" x14ac:dyDescent="0.2">
      <c r="A293" s="39" t="str">
        <f>IFERROR(final!L91*100/final!$I91,"")</f>
        <v/>
      </c>
      <c r="B293" s="39" t="str">
        <f>IFERROR(final!M91*100/final!$I91,"")</f>
        <v/>
      </c>
      <c r="C293" s="39" t="str">
        <f>IFERROR(final!N91*100/final!$I91,"")</f>
        <v/>
      </c>
      <c r="D293" s="39" t="str">
        <f>IFERROR(final!O91*100/final!$I91,"")</f>
        <v/>
      </c>
      <c r="E293" s="39" t="str">
        <f>IFERROR(final!P91*100/final!$I91,"")</f>
        <v/>
      </c>
      <c r="F293" s="39" t="str">
        <f>IFERROR(final!Q91*100/final!$I91,"")</f>
        <v/>
      </c>
      <c r="G293" s="39" t="str">
        <f>IFERROR(final!R91*100/final!$I91,"")</f>
        <v/>
      </c>
      <c r="H293" s="39" t="str">
        <f>IFERROR(final!S91*100/final!$I91,"")</f>
        <v/>
      </c>
      <c r="I293" s="39" t="str">
        <f>IFERROR(final!T91*100/final!$I91,"")</f>
        <v/>
      </c>
      <c r="J293" s="39" t="str">
        <f>IFERROR(final!U91*100/final!$I91,"")</f>
        <v/>
      </c>
      <c r="K293" s="39" t="str">
        <f>IFERROR(final!V91*100/final!$I91,"")</f>
        <v/>
      </c>
      <c r="L293" s="39" t="str">
        <f>IFERROR(final!W91*100/final!$I91,"")</f>
        <v/>
      </c>
      <c r="M293" s="39" t="str">
        <f>IFERROR(final!X91*100/final!$I91,"")</f>
        <v/>
      </c>
      <c r="N293" s="39" t="str">
        <f>IFERROR(final!Y91*100/final!$I91,"")</f>
        <v/>
      </c>
      <c r="O293" s="39" t="str">
        <f>IFERROR(final!Z91*100/final!$I91,"")</f>
        <v/>
      </c>
      <c r="P293" s="39" t="str">
        <f>IFERROR(final!AA91*100/final!$I91,"")</f>
        <v/>
      </c>
      <c r="Q293" s="39" t="str">
        <f>IFERROR(final!AB91*100/final!$I91,"")</f>
        <v/>
      </c>
      <c r="R293" s="39" t="str">
        <f>IFERROR(final!AC91*100/final!$I91,"")</f>
        <v/>
      </c>
      <c r="S293" s="39" t="str">
        <f>IFERROR(final!AD91*100/final!$I91,"")</f>
        <v/>
      </c>
      <c r="T293" s="39" t="str">
        <f>IFERROR(final!AE91*100/final!$I91,"")</f>
        <v/>
      </c>
      <c r="U293" s="39" t="str">
        <f>IFERROR(final!AF91*100/final!$I91,"")</f>
        <v/>
      </c>
      <c r="V293" s="39" t="str">
        <f>IFERROR(final!AG91*100/final!$I91,"")</f>
        <v/>
      </c>
      <c r="W293" s="39" t="str">
        <f>IFERROR(final!AH91*100/final!$I91,"")</f>
        <v/>
      </c>
      <c r="X293" s="39" t="str">
        <f>IFERROR(final!AI91*100/final!$I91,"")</f>
        <v/>
      </c>
      <c r="Y293" s="39" t="str">
        <f>IFERROR(final!AJ91*100/final!$I91,"")</f>
        <v/>
      </c>
      <c r="Z293" s="39" t="str">
        <f>IFERROR(final!AK91*100/final!$I91,"")</f>
        <v/>
      </c>
      <c r="AA293" s="39" t="str">
        <f>IFERROR(final!AL91*100/final!$I91,"")</f>
        <v/>
      </c>
      <c r="AB293" s="39" t="str">
        <f>IFERROR(final!AM91*100/final!$I91,"")</f>
        <v/>
      </c>
      <c r="AC293" s="39" t="str">
        <f>IFERROR(final!AN91*100/final!$I91,"")</f>
        <v/>
      </c>
      <c r="AD293" s="39" t="str">
        <f>IFERROR(final!AO91*100/final!$I91,"")</f>
        <v/>
      </c>
      <c r="AE293" s="39" t="str">
        <f>IFERROR(final!AP91*100/final!$I91,"")</f>
        <v/>
      </c>
      <c r="AF293" s="39" t="str">
        <f>IFERROR(final!AQ91*100/final!$I91,"")</f>
        <v/>
      </c>
      <c r="AG293" s="39" t="str">
        <f>IFERROR(final!AR91*100/final!$I91,"")</f>
        <v/>
      </c>
      <c r="AH293" s="39" t="str">
        <f>IFERROR(final!AS91*100/final!$I91,"")</f>
        <v/>
      </c>
      <c r="AI293" s="39" t="str">
        <f>IFERROR(final!AT91*100/final!$I91,"")</f>
        <v/>
      </c>
      <c r="AJ293" s="39" t="str">
        <f>IFERROR(final!AU91*100/final!$I91,"")</f>
        <v/>
      </c>
      <c r="AK293" s="39" t="str">
        <f>IFERROR(final!AV91*100/final!$I91,"")</f>
        <v/>
      </c>
      <c r="AL293" s="39" t="str">
        <f>IFERROR(final!AW91*100/final!$I91,"")</f>
        <v/>
      </c>
      <c r="AM293" s="39" t="str">
        <f>IFERROR(final!AX91*100/final!$I91,"")</f>
        <v/>
      </c>
      <c r="AN293" s="39" t="str">
        <f>IFERROR(final!AY91*100/final!$I91,"")</f>
        <v/>
      </c>
      <c r="AO293" s="39" t="str">
        <f>IFERROR(final!AZ91*100/final!$I91,"")</f>
        <v/>
      </c>
      <c r="AP293" s="39" t="str">
        <f>IFERROR(final!BA91*100/final!$I91,"")</f>
        <v/>
      </c>
      <c r="AQ293" s="39" t="str">
        <f>IFERROR(final!BB91*100/final!$I91,"")</f>
        <v/>
      </c>
      <c r="AR293" s="39" t="str">
        <f>IFERROR(final!BC91*100/final!$I91,"")</f>
        <v/>
      </c>
      <c r="AS293" s="39" t="str">
        <f>IFERROR(final!BD91*100/final!$I91,"")</f>
        <v/>
      </c>
      <c r="AT293" s="39" t="str">
        <f>IFERROR(final!BE91*100/final!$I91,"")</f>
        <v/>
      </c>
      <c r="AU293" s="39" t="str">
        <f>IFERROR(final!BF91*100/final!$I91,"")</f>
        <v/>
      </c>
      <c r="AV293" s="39" t="str">
        <f>IFERROR(final!BG91*100/final!$I91,"")</f>
        <v/>
      </c>
      <c r="AW293" s="39" t="str">
        <f>IFERROR(final!BH91*100/final!$I91,"")</f>
        <v/>
      </c>
      <c r="AX293" s="39" t="str">
        <f>IFERROR(final!BI91*100/final!$I91,"")</f>
        <v/>
      </c>
      <c r="AY293" s="39" t="str">
        <f>IFERROR(final!BJ91*100/final!$I91,"")</f>
        <v/>
      </c>
      <c r="AZ293" s="39" t="str">
        <f>IFERROR(final!BK91*100/final!$I91,"")</f>
        <v/>
      </c>
      <c r="BA293" s="39" t="str">
        <f>IFERROR(final!BL91*100/final!$I91,"")</f>
        <v/>
      </c>
      <c r="BB293" s="39" t="str">
        <f>IFERROR(final!BM91*100/final!$I91,"")</f>
        <v/>
      </c>
      <c r="BC293" s="39" t="str">
        <f>IFERROR(final!BN91*100/final!$I91,"")</f>
        <v/>
      </c>
      <c r="BD293" s="39" t="str">
        <f>IFERROR(final!BO91*100/final!$I91,"")</f>
        <v/>
      </c>
      <c r="BE293" s="39" t="str">
        <f>IFERROR(final!BP91*100/final!$I91,"")</f>
        <v/>
      </c>
      <c r="BF293" s="39" t="str">
        <f>IFERROR(final!BQ91*100/final!$I91,"")</f>
        <v/>
      </c>
      <c r="BG293" s="39" t="str">
        <f>IFERROR(final!BR91*100/final!$I91,"")</f>
        <v/>
      </c>
      <c r="BH293" s="39" t="str">
        <f>IFERROR(final!BS91*100/final!$I91,"")</f>
        <v/>
      </c>
      <c r="BI293" s="39" t="str">
        <f>IFERROR(final!BT91*100/final!$I91,"")</f>
        <v/>
      </c>
      <c r="BJ293" s="39" t="str">
        <f>IFERROR(final!BU91*100/final!$I91,"")</f>
        <v/>
      </c>
      <c r="BK293" s="39" t="str">
        <f>IFERROR(final!BV91*100/final!$I91,"")</f>
        <v/>
      </c>
      <c r="BL293" s="39" t="str">
        <f>IFERROR(final!BW91*100/final!$I91,"")</f>
        <v/>
      </c>
      <c r="BM293" s="39" t="str">
        <f>IFERROR(final!BX91*100/final!$I91,"")</f>
        <v/>
      </c>
      <c r="BN293" s="39" t="str">
        <f>IFERROR(final!BY91*100/final!$I91,"")</f>
        <v/>
      </c>
      <c r="BO293" s="39" t="str">
        <f>IFERROR(final!BZ91*100/final!$I91,"")</f>
        <v/>
      </c>
      <c r="BP293" s="39" t="str">
        <f>IFERROR(final!CA91*100/final!$I91,"")</f>
        <v/>
      </c>
      <c r="BQ293" s="39" t="str">
        <f>IFERROR(final!CB91*100/final!$I91,"")</f>
        <v/>
      </c>
      <c r="BR293" s="39" t="str">
        <f>IFERROR(final!CC91*100/final!$I91,"")</f>
        <v/>
      </c>
      <c r="BS293" s="39" t="str">
        <f>IFERROR(final!CD91*100/final!$I91,"")</f>
        <v/>
      </c>
      <c r="BT293" s="39" t="str">
        <f>IFERROR(final!CE91*100/final!$I91,"")</f>
        <v/>
      </c>
      <c r="BU293" s="39" t="str">
        <f>IFERROR(final!CF91*100/final!$I91,"")</f>
        <v/>
      </c>
      <c r="BV293" s="39" t="str">
        <f>IFERROR(final!CG91*100/final!$I91,"")</f>
        <v/>
      </c>
      <c r="BW293" s="39" t="str">
        <f>IFERROR(final!CH91*100/final!$I91,"")</f>
        <v/>
      </c>
      <c r="BX293" s="39" t="str">
        <f>IFERROR(final!CI91*100/final!$I91,"")</f>
        <v/>
      </c>
      <c r="BY293" s="39" t="str">
        <f>IFERROR(final!CJ91*100/final!$I91,"")</f>
        <v/>
      </c>
      <c r="BZ293" s="39" t="str">
        <f>IFERROR(final!CK91*100/final!$I91,"")</f>
        <v/>
      </c>
      <c r="CA293" s="39" t="str">
        <f>IFERROR(final!CL91*100/final!$I91,"")</f>
        <v/>
      </c>
      <c r="CB293" s="39" t="str">
        <f>IFERROR(final!CM91*100/final!$I91,"")</f>
        <v/>
      </c>
      <c r="CC293" s="39" t="str">
        <f>IFERROR(final!CN91*100/final!$I91,"")</f>
        <v/>
      </c>
      <c r="CD293" s="39" t="str">
        <f>IFERROR(final!CO91*100/final!$I91,"")</f>
        <v/>
      </c>
      <c r="CE293" s="39" t="str">
        <f>IFERROR(final!CP91*100/final!$I91,"")</f>
        <v/>
      </c>
      <c r="CF293" s="39" t="str">
        <f>IFERROR(final!CQ91*100/final!$I91,"")</f>
        <v/>
      </c>
      <c r="CG293" s="39" t="str">
        <f>IFERROR(final!CR91*100/final!$I91,"")</f>
        <v/>
      </c>
      <c r="CH293" s="39" t="str">
        <f>IFERROR(final!CS91*100/final!$I91,"")</f>
        <v/>
      </c>
      <c r="CI293" s="39" t="str">
        <f>IFERROR(final!CT91*100/final!$I91,"")</f>
        <v/>
      </c>
      <c r="CJ293" s="39" t="str">
        <f>IFERROR(final!CU91*100/final!$I91,"")</f>
        <v/>
      </c>
      <c r="CK293" s="39" t="str">
        <f>IFERROR(final!CV91*100/final!$I91,"")</f>
        <v/>
      </c>
      <c r="CL293" s="39" t="str">
        <f>IFERROR(final!CW91*100/final!$I91,"")</f>
        <v/>
      </c>
      <c r="CM293" s="39" t="str">
        <f>IFERROR(final!CX91*100/final!$I91,"")</f>
        <v/>
      </c>
      <c r="CN293" s="39" t="str">
        <f>IFERROR(final!CY91*100/final!$I91,"")</f>
        <v/>
      </c>
      <c r="CO293" s="39" t="str">
        <f>IFERROR(final!CZ91*100/final!$I91,"")</f>
        <v/>
      </c>
      <c r="CP293" s="39" t="str">
        <f>IFERROR(final!DA91*100/final!$I91,"")</f>
        <v/>
      </c>
      <c r="CQ293" s="39" t="str">
        <f>IFERROR(final!DB91*100/final!$I91,"")</f>
        <v/>
      </c>
      <c r="CR293" s="39" t="str">
        <f>IFERROR(final!DC91*100/final!$I91,"")</f>
        <v/>
      </c>
      <c r="CS293" s="39" t="str">
        <f>IFERROR(final!DD91*100/final!$I91,"")</f>
        <v/>
      </c>
      <c r="CT293" s="39" t="str">
        <f>IFERROR(final!DE91*100/final!$I91,"")</f>
        <v/>
      </c>
      <c r="CU293" s="39" t="str">
        <f>IFERROR(final!DF91*100/final!$I91,"")</f>
        <v/>
      </c>
      <c r="CV293" s="39" t="str">
        <f>IFERROR(final!DG91*100/final!$I91,"")</f>
        <v/>
      </c>
      <c r="CW293" s="32" t="str">
        <f>IFERROR(SUM(A293:CV293)/final!$DH$103,"")</f>
        <v/>
      </c>
      <c r="CX293" s="14" t="str">
        <f>IF(COUNTA(final!A91),final!A91,"")</f>
        <v/>
      </c>
      <c r="CY293" s="14" t="str">
        <f>IF(COUNTA(final!B91),final!B91,"")</f>
        <v/>
      </c>
      <c r="CZ293" s="14" t="str">
        <f>IF(COUNTA(final!C91),final!C91,"")</f>
        <v/>
      </c>
      <c r="DA293" s="14" t="str">
        <f>IF(COUNTA(final!D91),final!D91,"")</f>
        <v/>
      </c>
      <c r="DB293" s="14" t="str">
        <f>IF(COUNTA(final!E91),final!E91,"")</f>
        <v/>
      </c>
      <c r="DC293" s="14" t="str">
        <f>IF(COUNTA(final!F91),final!F91,"")</f>
        <v/>
      </c>
      <c r="DD293" s="14" t="str">
        <f>IF(COUNTA(final!G91),final!G91,"")</f>
        <v/>
      </c>
      <c r="DE293" s="14" t="str">
        <f>IF(COUNTA(final!H91),final!H91,"")</f>
        <v/>
      </c>
    </row>
    <row r="294" spans="1:109" x14ac:dyDescent="0.2">
      <c r="A294" s="39" t="str">
        <f>IFERROR(final!L92*100/final!$I92,"")</f>
        <v/>
      </c>
      <c r="B294" s="39" t="str">
        <f>IFERROR(final!M92*100/final!$I92,"")</f>
        <v/>
      </c>
      <c r="C294" s="39" t="str">
        <f>IFERROR(final!N92*100/final!$I92,"")</f>
        <v/>
      </c>
      <c r="D294" s="39" t="str">
        <f>IFERROR(final!O92*100/final!$I92,"")</f>
        <v/>
      </c>
      <c r="E294" s="39" t="str">
        <f>IFERROR(final!P92*100/final!$I92,"")</f>
        <v/>
      </c>
      <c r="F294" s="39" t="str">
        <f>IFERROR(final!Q92*100/final!$I92,"")</f>
        <v/>
      </c>
      <c r="G294" s="39" t="str">
        <f>IFERROR(final!R92*100/final!$I92,"")</f>
        <v/>
      </c>
      <c r="H294" s="39" t="str">
        <f>IFERROR(final!S92*100/final!$I92,"")</f>
        <v/>
      </c>
      <c r="I294" s="39" t="str">
        <f>IFERROR(final!T92*100/final!$I92,"")</f>
        <v/>
      </c>
      <c r="J294" s="39" t="str">
        <f>IFERROR(final!U92*100/final!$I92,"")</f>
        <v/>
      </c>
      <c r="K294" s="39" t="str">
        <f>IFERROR(final!V92*100/final!$I92,"")</f>
        <v/>
      </c>
      <c r="L294" s="39" t="str">
        <f>IFERROR(final!W92*100/final!$I92,"")</f>
        <v/>
      </c>
      <c r="M294" s="39" t="str">
        <f>IFERROR(final!X92*100/final!$I92,"")</f>
        <v/>
      </c>
      <c r="N294" s="39" t="str">
        <f>IFERROR(final!Y92*100/final!$I92,"")</f>
        <v/>
      </c>
      <c r="O294" s="39" t="str">
        <f>IFERROR(final!Z92*100/final!$I92,"")</f>
        <v/>
      </c>
      <c r="P294" s="39" t="str">
        <f>IFERROR(final!AA92*100/final!$I92,"")</f>
        <v/>
      </c>
      <c r="Q294" s="39" t="str">
        <f>IFERROR(final!AB92*100/final!$I92,"")</f>
        <v/>
      </c>
      <c r="R294" s="39" t="str">
        <f>IFERROR(final!AC92*100/final!$I92,"")</f>
        <v/>
      </c>
      <c r="S294" s="39" t="str">
        <f>IFERROR(final!AD92*100/final!$I92,"")</f>
        <v/>
      </c>
      <c r="T294" s="39" t="str">
        <f>IFERROR(final!AE92*100/final!$I92,"")</f>
        <v/>
      </c>
      <c r="U294" s="39" t="str">
        <f>IFERROR(final!AF92*100/final!$I92,"")</f>
        <v/>
      </c>
      <c r="V294" s="39" t="str">
        <f>IFERROR(final!AG92*100/final!$I92,"")</f>
        <v/>
      </c>
      <c r="W294" s="39" t="str">
        <f>IFERROR(final!AH92*100/final!$I92,"")</f>
        <v/>
      </c>
      <c r="X294" s="39" t="str">
        <f>IFERROR(final!AI92*100/final!$I92,"")</f>
        <v/>
      </c>
      <c r="Y294" s="39" t="str">
        <f>IFERROR(final!AJ92*100/final!$I92,"")</f>
        <v/>
      </c>
      <c r="Z294" s="39" t="str">
        <f>IFERROR(final!AK92*100/final!$I92,"")</f>
        <v/>
      </c>
      <c r="AA294" s="39" t="str">
        <f>IFERROR(final!AL92*100/final!$I92,"")</f>
        <v/>
      </c>
      <c r="AB294" s="39" t="str">
        <f>IFERROR(final!AM92*100/final!$I92,"")</f>
        <v/>
      </c>
      <c r="AC294" s="39" t="str">
        <f>IFERROR(final!AN92*100/final!$I92,"")</f>
        <v/>
      </c>
      <c r="AD294" s="39" t="str">
        <f>IFERROR(final!AO92*100/final!$I92,"")</f>
        <v/>
      </c>
      <c r="AE294" s="39" t="str">
        <f>IFERROR(final!AP92*100/final!$I92,"")</f>
        <v/>
      </c>
      <c r="AF294" s="39" t="str">
        <f>IFERROR(final!AQ92*100/final!$I92,"")</f>
        <v/>
      </c>
      <c r="AG294" s="39" t="str">
        <f>IFERROR(final!AR92*100/final!$I92,"")</f>
        <v/>
      </c>
      <c r="AH294" s="39" t="str">
        <f>IFERROR(final!AS92*100/final!$I92,"")</f>
        <v/>
      </c>
      <c r="AI294" s="39" t="str">
        <f>IFERROR(final!AT92*100/final!$I92,"")</f>
        <v/>
      </c>
      <c r="AJ294" s="39" t="str">
        <f>IFERROR(final!AU92*100/final!$I92,"")</f>
        <v/>
      </c>
      <c r="AK294" s="39" t="str">
        <f>IFERROR(final!AV92*100/final!$I92,"")</f>
        <v/>
      </c>
      <c r="AL294" s="39" t="str">
        <f>IFERROR(final!AW92*100/final!$I92,"")</f>
        <v/>
      </c>
      <c r="AM294" s="39" t="str">
        <f>IFERROR(final!AX92*100/final!$I92,"")</f>
        <v/>
      </c>
      <c r="AN294" s="39" t="str">
        <f>IFERROR(final!AY92*100/final!$I92,"")</f>
        <v/>
      </c>
      <c r="AO294" s="39" t="str">
        <f>IFERROR(final!AZ92*100/final!$I92,"")</f>
        <v/>
      </c>
      <c r="AP294" s="39" t="str">
        <f>IFERROR(final!BA92*100/final!$I92,"")</f>
        <v/>
      </c>
      <c r="AQ294" s="39" t="str">
        <f>IFERROR(final!BB92*100/final!$I92,"")</f>
        <v/>
      </c>
      <c r="AR294" s="39" t="str">
        <f>IFERROR(final!BC92*100/final!$I92,"")</f>
        <v/>
      </c>
      <c r="AS294" s="39" t="str">
        <f>IFERROR(final!BD92*100/final!$I92,"")</f>
        <v/>
      </c>
      <c r="AT294" s="39" t="str">
        <f>IFERROR(final!BE92*100/final!$I92,"")</f>
        <v/>
      </c>
      <c r="AU294" s="39" t="str">
        <f>IFERROR(final!BF92*100/final!$I92,"")</f>
        <v/>
      </c>
      <c r="AV294" s="39" t="str">
        <f>IFERROR(final!BG92*100/final!$I92,"")</f>
        <v/>
      </c>
      <c r="AW294" s="39" t="str">
        <f>IFERROR(final!BH92*100/final!$I92,"")</f>
        <v/>
      </c>
      <c r="AX294" s="39" t="str">
        <f>IFERROR(final!BI92*100/final!$I92,"")</f>
        <v/>
      </c>
      <c r="AY294" s="39" t="str">
        <f>IFERROR(final!BJ92*100/final!$I92,"")</f>
        <v/>
      </c>
      <c r="AZ294" s="39" t="str">
        <f>IFERROR(final!BK92*100/final!$I92,"")</f>
        <v/>
      </c>
      <c r="BA294" s="39" t="str">
        <f>IFERROR(final!BL92*100/final!$I92,"")</f>
        <v/>
      </c>
      <c r="BB294" s="39" t="str">
        <f>IFERROR(final!BM92*100/final!$I92,"")</f>
        <v/>
      </c>
      <c r="BC294" s="39" t="str">
        <f>IFERROR(final!BN92*100/final!$I92,"")</f>
        <v/>
      </c>
      <c r="BD294" s="39" t="str">
        <f>IFERROR(final!BO92*100/final!$I92,"")</f>
        <v/>
      </c>
      <c r="BE294" s="39" t="str">
        <f>IFERROR(final!BP92*100/final!$I92,"")</f>
        <v/>
      </c>
      <c r="BF294" s="39" t="str">
        <f>IFERROR(final!BQ92*100/final!$I92,"")</f>
        <v/>
      </c>
      <c r="BG294" s="39" t="str">
        <f>IFERROR(final!BR92*100/final!$I92,"")</f>
        <v/>
      </c>
      <c r="BH294" s="39" t="str">
        <f>IFERROR(final!BS92*100/final!$I92,"")</f>
        <v/>
      </c>
      <c r="BI294" s="39" t="str">
        <f>IFERROR(final!BT92*100/final!$I92,"")</f>
        <v/>
      </c>
      <c r="BJ294" s="39" t="str">
        <f>IFERROR(final!BU92*100/final!$I92,"")</f>
        <v/>
      </c>
      <c r="BK294" s="39" t="str">
        <f>IFERROR(final!BV92*100/final!$I92,"")</f>
        <v/>
      </c>
      <c r="BL294" s="39" t="str">
        <f>IFERROR(final!BW92*100/final!$I92,"")</f>
        <v/>
      </c>
      <c r="BM294" s="39" t="str">
        <f>IFERROR(final!BX92*100/final!$I92,"")</f>
        <v/>
      </c>
      <c r="BN294" s="39" t="str">
        <f>IFERROR(final!BY92*100/final!$I92,"")</f>
        <v/>
      </c>
      <c r="BO294" s="39" t="str">
        <f>IFERROR(final!BZ92*100/final!$I92,"")</f>
        <v/>
      </c>
      <c r="BP294" s="39" t="str">
        <f>IFERROR(final!CA92*100/final!$I92,"")</f>
        <v/>
      </c>
      <c r="BQ294" s="39" t="str">
        <f>IFERROR(final!CB92*100/final!$I92,"")</f>
        <v/>
      </c>
      <c r="BR294" s="39" t="str">
        <f>IFERROR(final!CC92*100/final!$I92,"")</f>
        <v/>
      </c>
      <c r="BS294" s="39" t="str">
        <f>IFERROR(final!CD92*100/final!$I92,"")</f>
        <v/>
      </c>
      <c r="BT294" s="39" t="str">
        <f>IFERROR(final!CE92*100/final!$I92,"")</f>
        <v/>
      </c>
      <c r="BU294" s="39" t="str">
        <f>IFERROR(final!CF92*100/final!$I92,"")</f>
        <v/>
      </c>
      <c r="BV294" s="39" t="str">
        <f>IFERROR(final!CG92*100/final!$I92,"")</f>
        <v/>
      </c>
      <c r="BW294" s="39" t="str">
        <f>IFERROR(final!CH92*100/final!$I92,"")</f>
        <v/>
      </c>
      <c r="BX294" s="39" t="str">
        <f>IFERROR(final!CI92*100/final!$I92,"")</f>
        <v/>
      </c>
      <c r="BY294" s="39" t="str">
        <f>IFERROR(final!CJ92*100/final!$I92,"")</f>
        <v/>
      </c>
      <c r="BZ294" s="39" t="str">
        <f>IFERROR(final!CK92*100/final!$I92,"")</f>
        <v/>
      </c>
      <c r="CA294" s="39" t="str">
        <f>IFERROR(final!CL92*100/final!$I92,"")</f>
        <v/>
      </c>
      <c r="CB294" s="39" t="str">
        <f>IFERROR(final!CM92*100/final!$I92,"")</f>
        <v/>
      </c>
      <c r="CC294" s="39" t="str">
        <f>IFERROR(final!CN92*100/final!$I92,"")</f>
        <v/>
      </c>
      <c r="CD294" s="39" t="str">
        <f>IFERROR(final!CO92*100/final!$I92,"")</f>
        <v/>
      </c>
      <c r="CE294" s="39" t="str">
        <f>IFERROR(final!CP92*100/final!$I92,"")</f>
        <v/>
      </c>
      <c r="CF294" s="39" t="str">
        <f>IFERROR(final!CQ92*100/final!$I92,"")</f>
        <v/>
      </c>
      <c r="CG294" s="39" t="str">
        <f>IFERROR(final!CR92*100/final!$I92,"")</f>
        <v/>
      </c>
      <c r="CH294" s="39" t="str">
        <f>IFERROR(final!CS92*100/final!$I92,"")</f>
        <v/>
      </c>
      <c r="CI294" s="39" t="str">
        <f>IFERROR(final!CT92*100/final!$I92,"")</f>
        <v/>
      </c>
      <c r="CJ294" s="39" t="str">
        <f>IFERROR(final!CU92*100/final!$I92,"")</f>
        <v/>
      </c>
      <c r="CK294" s="39" t="str">
        <f>IFERROR(final!CV92*100/final!$I92,"")</f>
        <v/>
      </c>
      <c r="CL294" s="39" t="str">
        <f>IFERROR(final!CW92*100/final!$I92,"")</f>
        <v/>
      </c>
      <c r="CM294" s="39" t="str">
        <f>IFERROR(final!CX92*100/final!$I92,"")</f>
        <v/>
      </c>
      <c r="CN294" s="39" t="str">
        <f>IFERROR(final!CY92*100/final!$I92,"")</f>
        <v/>
      </c>
      <c r="CO294" s="39" t="str">
        <f>IFERROR(final!CZ92*100/final!$I92,"")</f>
        <v/>
      </c>
      <c r="CP294" s="39" t="str">
        <f>IFERROR(final!DA92*100/final!$I92,"")</f>
        <v/>
      </c>
      <c r="CQ294" s="39" t="str">
        <f>IFERROR(final!DB92*100/final!$I92,"")</f>
        <v/>
      </c>
      <c r="CR294" s="39" t="str">
        <f>IFERROR(final!DC92*100/final!$I92,"")</f>
        <v/>
      </c>
      <c r="CS294" s="39" t="str">
        <f>IFERROR(final!DD92*100/final!$I92,"")</f>
        <v/>
      </c>
      <c r="CT294" s="39" t="str">
        <f>IFERROR(final!DE92*100/final!$I92,"")</f>
        <v/>
      </c>
      <c r="CU294" s="39" t="str">
        <f>IFERROR(final!DF92*100/final!$I92,"")</f>
        <v/>
      </c>
      <c r="CV294" s="39" t="str">
        <f>IFERROR(final!DG92*100/final!$I92,"")</f>
        <v/>
      </c>
      <c r="CW294" s="32" t="str">
        <f>IFERROR(SUM(A294:CV294)/final!$DH$103,"")</f>
        <v/>
      </c>
      <c r="CX294" s="14" t="str">
        <f>IF(COUNTA(final!A92),final!A92,"")</f>
        <v/>
      </c>
      <c r="CY294" s="14" t="str">
        <f>IF(COUNTA(final!B92),final!B92,"")</f>
        <v/>
      </c>
      <c r="CZ294" s="14" t="str">
        <f>IF(COUNTA(final!C92),final!C92,"")</f>
        <v/>
      </c>
      <c r="DA294" s="14" t="str">
        <f>IF(COUNTA(final!D92),final!D92,"")</f>
        <v/>
      </c>
      <c r="DB294" s="14" t="str">
        <f>IF(COUNTA(final!E92),final!E92,"")</f>
        <v/>
      </c>
      <c r="DC294" s="14" t="str">
        <f>IF(COUNTA(final!F92),final!F92,"")</f>
        <v/>
      </c>
      <c r="DD294" s="14" t="str">
        <f>IF(COUNTA(final!G92),final!G92,"")</f>
        <v/>
      </c>
      <c r="DE294" s="14" t="str">
        <f>IF(COUNTA(final!H92),final!H92,"")</f>
        <v/>
      </c>
    </row>
    <row r="295" spans="1:109" x14ac:dyDescent="0.2">
      <c r="A295" s="39" t="str">
        <f>IFERROR(final!L93*100/final!$I93,"")</f>
        <v/>
      </c>
      <c r="B295" s="39" t="str">
        <f>IFERROR(final!M93*100/final!$I93,"")</f>
        <v/>
      </c>
      <c r="C295" s="39" t="str">
        <f>IFERROR(final!N93*100/final!$I93,"")</f>
        <v/>
      </c>
      <c r="D295" s="39" t="str">
        <f>IFERROR(final!O93*100/final!$I93,"")</f>
        <v/>
      </c>
      <c r="E295" s="39" t="str">
        <f>IFERROR(final!P93*100/final!$I93,"")</f>
        <v/>
      </c>
      <c r="F295" s="39" t="str">
        <f>IFERROR(final!Q93*100/final!$I93,"")</f>
        <v/>
      </c>
      <c r="G295" s="39" t="str">
        <f>IFERROR(final!R93*100/final!$I93,"")</f>
        <v/>
      </c>
      <c r="H295" s="39" t="str">
        <f>IFERROR(final!S93*100/final!$I93,"")</f>
        <v/>
      </c>
      <c r="I295" s="39" t="str">
        <f>IFERROR(final!T93*100/final!$I93,"")</f>
        <v/>
      </c>
      <c r="J295" s="39" t="str">
        <f>IFERROR(final!U93*100/final!$I93,"")</f>
        <v/>
      </c>
      <c r="K295" s="39" t="str">
        <f>IFERROR(final!V93*100/final!$I93,"")</f>
        <v/>
      </c>
      <c r="L295" s="39" t="str">
        <f>IFERROR(final!W93*100/final!$I93,"")</f>
        <v/>
      </c>
      <c r="M295" s="39" t="str">
        <f>IFERROR(final!X93*100/final!$I93,"")</f>
        <v/>
      </c>
      <c r="N295" s="39" t="str">
        <f>IFERROR(final!Y93*100/final!$I93,"")</f>
        <v/>
      </c>
      <c r="O295" s="39" t="str">
        <f>IFERROR(final!Z93*100/final!$I93,"")</f>
        <v/>
      </c>
      <c r="P295" s="39" t="str">
        <f>IFERROR(final!AA93*100/final!$I93,"")</f>
        <v/>
      </c>
      <c r="Q295" s="39" t="str">
        <f>IFERROR(final!AB93*100/final!$I93,"")</f>
        <v/>
      </c>
      <c r="R295" s="39" t="str">
        <f>IFERROR(final!AC93*100/final!$I93,"")</f>
        <v/>
      </c>
      <c r="S295" s="39" t="str">
        <f>IFERROR(final!AD93*100/final!$I93,"")</f>
        <v/>
      </c>
      <c r="T295" s="39" t="str">
        <f>IFERROR(final!AE93*100/final!$I93,"")</f>
        <v/>
      </c>
      <c r="U295" s="39" t="str">
        <f>IFERROR(final!AF93*100/final!$I93,"")</f>
        <v/>
      </c>
      <c r="V295" s="39" t="str">
        <f>IFERROR(final!AG93*100/final!$I93,"")</f>
        <v/>
      </c>
      <c r="W295" s="39" t="str">
        <f>IFERROR(final!AH93*100/final!$I93,"")</f>
        <v/>
      </c>
      <c r="X295" s="39" t="str">
        <f>IFERROR(final!AI93*100/final!$I93,"")</f>
        <v/>
      </c>
      <c r="Y295" s="39" t="str">
        <f>IFERROR(final!AJ93*100/final!$I93,"")</f>
        <v/>
      </c>
      <c r="Z295" s="39" t="str">
        <f>IFERROR(final!AK93*100/final!$I93,"")</f>
        <v/>
      </c>
      <c r="AA295" s="39" t="str">
        <f>IFERROR(final!AL93*100/final!$I93,"")</f>
        <v/>
      </c>
      <c r="AB295" s="39" t="str">
        <f>IFERROR(final!AM93*100/final!$I93,"")</f>
        <v/>
      </c>
      <c r="AC295" s="39" t="str">
        <f>IFERROR(final!AN93*100/final!$I93,"")</f>
        <v/>
      </c>
      <c r="AD295" s="39" t="str">
        <f>IFERROR(final!AO93*100/final!$I93,"")</f>
        <v/>
      </c>
      <c r="AE295" s="39" t="str">
        <f>IFERROR(final!AP93*100/final!$I93,"")</f>
        <v/>
      </c>
      <c r="AF295" s="39" t="str">
        <f>IFERROR(final!AQ93*100/final!$I93,"")</f>
        <v/>
      </c>
      <c r="AG295" s="39" t="str">
        <f>IFERROR(final!AR93*100/final!$I93,"")</f>
        <v/>
      </c>
      <c r="AH295" s="39" t="str">
        <f>IFERROR(final!AS93*100/final!$I93,"")</f>
        <v/>
      </c>
      <c r="AI295" s="39" t="str">
        <f>IFERROR(final!AT93*100/final!$I93,"")</f>
        <v/>
      </c>
      <c r="AJ295" s="39" t="str">
        <f>IFERROR(final!AU93*100/final!$I93,"")</f>
        <v/>
      </c>
      <c r="AK295" s="39" t="str">
        <f>IFERROR(final!AV93*100/final!$I93,"")</f>
        <v/>
      </c>
      <c r="AL295" s="39" t="str">
        <f>IFERROR(final!AW93*100/final!$I93,"")</f>
        <v/>
      </c>
      <c r="AM295" s="39" t="str">
        <f>IFERROR(final!AX93*100/final!$I93,"")</f>
        <v/>
      </c>
      <c r="AN295" s="39" t="str">
        <f>IFERROR(final!AY93*100/final!$I93,"")</f>
        <v/>
      </c>
      <c r="AO295" s="39" t="str">
        <f>IFERROR(final!AZ93*100/final!$I93,"")</f>
        <v/>
      </c>
      <c r="AP295" s="39" t="str">
        <f>IFERROR(final!BA93*100/final!$I93,"")</f>
        <v/>
      </c>
      <c r="AQ295" s="39" t="str">
        <f>IFERROR(final!BB93*100/final!$I93,"")</f>
        <v/>
      </c>
      <c r="AR295" s="39" t="str">
        <f>IFERROR(final!BC93*100/final!$I93,"")</f>
        <v/>
      </c>
      <c r="AS295" s="39" t="str">
        <f>IFERROR(final!BD93*100/final!$I93,"")</f>
        <v/>
      </c>
      <c r="AT295" s="39" t="str">
        <f>IFERROR(final!BE93*100/final!$I93,"")</f>
        <v/>
      </c>
      <c r="AU295" s="39" t="str">
        <f>IFERROR(final!BF93*100/final!$I93,"")</f>
        <v/>
      </c>
      <c r="AV295" s="39" t="str">
        <f>IFERROR(final!BG93*100/final!$I93,"")</f>
        <v/>
      </c>
      <c r="AW295" s="39" t="str">
        <f>IFERROR(final!BH93*100/final!$I93,"")</f>
        <v/>
      </c>
      <c r="AX295" s="39" t="str">
        <f>IFERROR(final!BI93*100/final!$I93,"")</f>
        <v/>
      </c>
      <c r="AY295" s="39" t="str">
        <f>IFERROR(final!BJ93*100/final!$I93,"")</f>
        <v/>
      </c>
      <c r="AZ295" s="39" t="str">
        <f>IFERROR(final!BK93*100/final!$I93,"")</f>
        <v/>
      </c>
      <c r="BA295" s="39" t="str">
        <f>IFERROR(final!BL93*100/final!$I93,"")</f>
        <v/>
      </c>
      <c r="BB295" s="39" t="str">
        <f>IFERROR(final!BM93*100/final!$I93,"")</f>
        <v/>
      </c>
      <c r="BC295" s="39" t="str">
        <f>IFERROR(final!BN93*100/final!$I93,"")</f>
        <v/>
      </c>
      <c r="BD295" s="39" t="str">
        <f>IFERROR(final!BO93*100/final!$I93,"")</f>
        <v/>
      </c>
      <c r="BE295" s="39" t="str">
        <f>IFERROR(final!BP93*100/final!$I93,"")</f>
        <v/>
      </c>
      <c r="BF295" s="39" t="str">
        <f>IFERROR(final!BQ93*100/final!$I93,"")</f>
        <v/>
      </c>
      <c r="BG295" s="39" t="str">
        <f>IFERROR(final!BR93*100/final!$I93,"")</f>
        <v/>
      </c>
      <c r="BH295" s="39" t="str">
        <f>IFERROR(final!BS93*100/final!$I93,"")</f>
        <v/>
      </c>
      <c r="BI295" s="39" t="str">
        <f>IFERROR(final!BT93*100/final!$I93,"")</f>
        <v/>
      </c>
      <c r="BJ295" s="39" t="str">
        <f>IFERROR(final!BU93*100/final!$I93,"")</f>
        <v/>
      </c>
      <c r="BK295" s="39" t="str">
        <f>IFERROR(final!BV93*100/final!$I93,"")</f>
        <v/>
      </c>
      <c r="BL295" s="39" t="str">
        <f>IFERROR(final!BW93*100/final!$I93,"")</f>
        <v/>
      </c>
      <c r="BM295" s="39" t="str">
        <f>IFERROR(final!BX93*100/final!$I93,"")</f>
        <v/>
      </c>
      <c r="BN295" s="39" t="str">
        <f>IFERROR(final!BY93*100/final!$I93,"")</f>
        <v/>
      </c>
      <c r="BO295" s="39" t="str">
        <f>IFERROR(final!BZ93*100/final!$I93,"")</f>
        <v/>
      </c>
      <c r="BP295" s="39" t="str">
        <f>IFERROR(final!CA93*100/final!$I93,"")</f>
        <v/>
      </c>
      <c r="BQ295" s="39" t="str">
        <f>IFERROR(final!CB93*100/final!$I93,"")</f>
        <v/>
      </c>
      <c r="BR295" s="39" t="str">
        <f>IFERROR(final!CC93*100/final!$I93,"")</f>
        <v/>
      </c>
      <c r="BS295" s="39" t="str">
        <f>IFERROR(final!CD93*100/final!$I93,"")</f>
        <v/>
      </c>
      <c r="BT295" s="39" t="str">
        <f>IFERROR(final!CE93*100/final!$I93,"")</f>
        <v/>
      </c>
      <c r="BU295" s="39" t="str">
        <f>IFERROR(final!CF93*100/final!$I93,"")</f>
        <v/>
      </c>
      <c r="BV295" s="39" t="str">
        <f>IFERROR(final!CG93*100/final!$I93,"")</f>
        <v/>
      </c>
      <c r="BW295" s="39" t="str">
        <f>IFERROR(final!CH93*100/final!$I93,"")</f>
        <v/>
      </c>
      <c r="BX295" s="39" t="str">
        <f>IFERROR(final!CI93*100/final!$I93,"")</f>
        <v/>
      </c>
      <c r="BY295" s="39" t="str">
        <f>IFERROR(final!CJ93*100/final!$I93,"")</f>
        <v/>
      </c>
      <c r="BZ295" s="39" t="str">
        <f>IFERROR(final!CK93*100/final!$I93,"")</f>
        <v/>
      </c>
      <c r="CA295" s="39" t="str">
        <f>IFERROR(final!CL93*100/final!$I93,"")</f>
        <v/>
      </c>
      <c r="CB295" s="39" t="str">
        <f>IFERROR(final!CM93*100/final!$I93,"")</f>
        <v/>
      </c>
      <c r="CC295" s="39" t="str">
        <f>IFERROR(final!CN93*100/final!$I93,"")</f>
        <v/>
      </c>
      <c r="CD295" s="39" t="str">
        <f>IFERROR(final!CO93*100/final!$I93,"")</f>
        <v/>
      </c>
      <c r="CE295" s="39" t="str">
        <f>IFERROR(final!CP93*100/final!$I93,"")</f>
        <v/>
      </c>
      <c r="CF295" s="39" t="str">
        <f>IFERROR(final!CQ93*100/final!$I93,"")</f>
        <v/>
      </c>
      <c r="CG295" s="39" t="str">
        <f>IFERROR(final!CR93*100/final!$I93,"")</f>
        <v/>
      </c>
      <c r="CH295" s="39" t="str">
        <f>IFERROR(final!CS93*100/final!$I93,"")</f>
        <v/>
      </c>
      <c r="CI295" s="39" t="str">
        <f>IFERROR(final!CT93*100/final!$I93,"")</f>
        <v/>
      </c>
      <c r="CJ295" s="39" t="str">
        <f>IFERROR(final!CU93*100/final!$I93,"")</f>
        <v/>
      </c>
      <c r="CK295" s="39" t="str">
        <f>IFERROR(final!CV93*100/final!$I93,"")</f>
        <v/>
      </c>
      <c r="CL295" s="39" t="str">
        <f>IFERROR(final!CW93*100/final!$I93,"")</f>
        <v/>
      </c>
      <c r="CM295" s="39" t="str">
        <f>IFERROR(final!CX93*100/final!$I93,"")</f>
        <v/>
      </c>
      <c r="CN295" s="39" t="str">
        <f>IFERROR(final!CY93*100/final!$I93,"")</f>
        <v/>
      </c>
      <c r="CO295" s="39" t="str">
        <f>IFERROR(final!CZ93*100/final!$I93,"")</f>
        <v/>
      </c>
      <c r="CP295" s="39" t="str">
        <f>IFERROR(final!DA93*100/final!$I93,"")</f>
        <v/>
      </c>
      <c r="CQ295" s="39" t="str">
        <f>IFERROR(final!DB93*100/final!$I93,"")</f>
        <v/>
      </c>
      <c r="CR295" s="39" t="str">
        <f>IFERROR(final!DC93*100/final!$I93,"")</f>
        <v/>
      </c>
      <c r="CS295" s="39" t="str">
        <f>IFERROR(final!DD93*100/final!$I93,"")</f>
        <v/>
      </c>
      <c r="CT295" s="39" t="str">
        <f>IFERROR(final!DE93*100/final!$I93,"")</f>
        <v/>
      </c>
      <c r="CU295" s="39" t="str">
        <f>IFERROR(final!DF93*100/final!$I93,"")</f>
        <v/>
      </c>
      <c r="CV295" s="39" t="str">
        <f>IFERROR(final!DG93*100/final!$I93,"")</f>
        <v/>
      </c>
      <c r="CW295" s="32" t="str">
        <f>IFERROR(SUM(A295:CV295)/final!$DH$103,"")</f>
        <v/>
      </c>
      <c r="CX295" s="14" t="str">
        <f>IF(COUNTA(final!A93),final!A93,"")</f>
        <v/>
      </c>
      <c r="CY295" s="14" t="str">
        <f>IF(COUNTA(final!B93),final!B93,"")</f>
        <v/>
      </c>
      <c r="CZ295" s="14" t="str">
        <f>IF(COUNTA(final!C93),final!C93,"")</f>
        <v/>
      </c>
      <c r="DA295" s="14" t="str">
        <f>IF(COUNTA(final!D93),final!D93,"")</f>
        <v/>
      </c>
      <c r="DB295" s="14" t="str">
        <f>IF(COUNTA(final!E93),final!E93,"")</f>
        <v/>
      </c>
      <c r="DC295" s="14" t="str">
        <f>IF(COUNTA(final!F93),final!F93,"")</f>
        <v/>
      </c>
      <c r="DD295" s="14" t="str">
        <f>IF(COUNTA(final!G93),final!G93,"")</f>
        <v/>
      </c>
      <c r="DE295" s="14" t="str">
        <f>IF(COUNTA(final!H93),final!H93,"")</f>
        <v/>
      </c>
    </row>
    <row r="296" spans="1:109" x14ac:dyDescent="0.2">
      <c r="A296" s="39" t="str">
        <f>IFERROR(final!L94*100/final!$I94,"")</f>
        <v/>
      </c>
      <c r="B296" s="39" t="str">
        <f>IFERROR(final!M94*100/final!$I94,"")</f>
        <v/>
      </c>
      <c r="C296" s="39" t="str">
        <f>IFERROR(final!N94*100/final!$I94,"")</f>
        <v/>
      </c>
      <c r="D296" s="39" t="str">
        <f>IFERROR(final!O94*100/final!$I94,"")</f>
        <v/>
      </c>
      <c r="E296" s="39" t="str">
        <f>IFERROR(final!P94*100/final!$I94,"")</f>
        <v/>
      </c>
      <c r="F296" s="39" t="str">
        <f>IFERROR(final!Q94*100/final!$I94,"")</f>
        <v/>
      </c>
      <c r="G296" s="39" t="str">
        <f>IFERROR(final!R94*100/final!$I94,"")</f>
        <v/>
      </c>
      <c r="H296" s="39" t="str">
        <f>IFERROR(final!S94*100/final!$I94,"")</f>
        <v/>
      </c>
      <c r="I296" s="39" t="str">
        <f>IFERROR(final!T94*100/final!$I94,"")</f>
        <v/>
      </c>
      <c r="J296" s="39" t="str">
        <f>IFERROR(final!U94*100/final!$I94,"")</f>
        <v/>
      </c>
      <c r="K296" s="39" t="str">
        <f>IFERROR(final!V94*100/final!$I94,"")</f>
        <v/>
      </c>
      <c r="L296" s="39" t="str">
        <f>IFERROR(final!W94*100/final!$I94,"")</f>
        <v/>
      </c>
      <c r="M296" s="39" t="str">
        <f>IFERROR(final!X94*100/final!$I94,"")</f>
        <v/>
      </c>
      <c r="N296" s="39" t="str">
        <f>IFERROR(final!Y94*100/final!$I94,"")</f>
        <v/>
      </c>
      <c r="O296" s="39" t="str">
        <f>IFERROR(final!Z94*100/final!$I94,"")</f>
        <v/>
      </c>
      <c r="P296" s="39" t="str">
        <f>IFERROR(final!AA94*100/final!$I94,"")</f>
        <v/>
      </c>
      <c r="Q296" s="39" t="str">
        <f>IFERROR(final!AB94*100/final!$I94,"")</f>
        <v/>
      </c>
      <c r="R296" s="39" t="str">
        <f>IFERROR(final!AC94*100/final!$I94,"")</f>
        <v/>
      </c>
      <c r="S296" s="39" t="str">
        <f>IFERROR(final!AD94*100/final!$I94,"")</f>
        <v/>
      </c>
      <c r="T296" s="39" t="str">
        <f>IFERROR(final!AE94*100/final!$I94,"")</f>
        <v/>
      </c>
      <c r="U296" s="39" t="str">
        <f>IFERROR(final!AF94*100/final!$I94,"")</f>
        <v/>
      </c>
      <c r="V296" s="39" t="str">
        <f>IFERROR(final!AG94*100/final!$I94,"")</f>
        <v/>
      </c>
      <c r="W296" s="39" t="str">
        <f>IFERROR(final!AH94*100/final!$I94,"")</f>
        <v/>
      </c>
      <c r="X296" s="39" t="str">
        <f>IFERROR(final!AI94*100/final!$I94,"")</f>
        <v/>
      </c>
      <c r="Y296" s="39" t="str">
        <f>IFERROR(final!AJ94*100/final!$I94,"")</f>
        <v/>
      </c>
      <c r="Z296" s="39" t="str">
        <f>IFERROR(final!AK94*100/final!$I94,"")</f>
        <v/>
      </c>
      <c r="AA296" s="39" t="str">
        <f>IFERROR(final!AL94*100/final!$I94,"")</f>
        <v/>
      </c>
      <c r="AB296" s="39" t="str">
        <f>IFERROR(final!AM94*100/final!$I94,"")</f>
        <v/>
      </c>
      <c r="AC296" s="39" t="str">
        <f>IFERROR(final!AN94*100/final!$I94,"")</f>
        <v/>
      </c>
      <c r="AD296" s="39" t="str">
        <f>IFERROR(final!AO94*100/final!$I94,"")</f>
        <v/>
      </c>
      <c r="AE296" s="39" t="str">
        <f>IFERROR(final!AP94*100/final!$I94,"")</f>
        <v/>
      </c>
      <c r="AF296" s="39" t="str">
        <f>IFERROR(final!AQ94*100/final!$I94,"")</f>
        <v/>
      </c>
      <c r="AG296" s="39" t="str">
        <f>IFERROR(final!AR94*100/final!$I94,"")</f>
        <v/>
      </c>
      <c r="AH296" s="39" t="str">
        <f>IFERROR(final!AS94*100/final!$I94,"")</f>
        <v/>
      </c>
      <c r="AI296" s="39" t="str">
        <f>IFERROR(final!AT94*100/final!$I94,"")</f>
        <v/>
      </c>
      <c r="AJ296" s="39" t="str">
        <f>IFERROR(final!AU94*100/final!$I94,"")</f>
        <v/>
      </c>
      <c r="AK296" s="39" t="str">
        <f>IFERROR(final!AV94*100/final!$I94,"")</f>
        <v/>
      </c>
      <c r="AL296" s="39" t="str">
        <f>IFERROR(final!AW94*100/final!$I94,"")</f>
        <v/>
      </c>
      <c r="AM296" s="39" t="str">
        <f>IFERROR(final!AX94*100/final!$I94,"")</f>
        <v/>
      </c>
      <c r="AN296" s="39" t="str">
        <f>IFERROR(final!AY94*100/final!$I94,"")</f>
        <v/>
      </c>
      <c r="AO296" s="39" t="str">
        <f>IFERROR(final!AZ94*100/final!$I94,"")</f>
        <v/>
      </c>
      <c r="AP296" s="39" t="str">
        <f>IFERROR(final!BA94*100/final!$I94,"")</f>
        <v/>
      </c>
      <c r="AQ296" s="39" t="str">
        <f>IFERROR(final!BB94*100/final!$I94,"")</f>
        <v/>
      </c>
      <c r="AR296" s="39" t="str">
        <f>IFERROR(final!BC94*100/final!$I94,"")</f>
        <v/>
      </c>
      <c r="AS296" s="39" t="str">
        <f>IFERROR(final!BD94*100/final!$I94,"")</f>
        <v/>
      </c>
      <c r="AT296" s="39" t="str">
        <f>IFERROR(final!BE94*100/final!$I94,"")</f>
        <v/>
      </c>
      <c r="AU296" s="39" t="str">
        <f>IFERROR(final!BF94*100/final!$I94,"")</f>
        <v/>
      </c>
      <c r="AV296" s="39" t="str">
        <f>IFERROR(final!BG94*100/final!$I94,"")</f>
        <v/>
      </c>
      <c r="AW296" s="39" t="str">
        <f>IFERROR(final!BH94*100/final!$I94,"")</f>
        <v/>
      </c>
      <c r="AX296" s="39" t="str">
        <f>IFERROR(final!BI94*100/final!$I94,"")</f>
        <v/>
      </c>
      <c r="AY296" s="39" t="str">
        <f>IFERROR(final!BJ94*100/final!$I94,"")</f>
        <v/>
      </c>
      <c r="AZ296" s="39" t="str">
        <f>IFERROR(final!BK94*100/final!$I94,"")</f>
        <v/>
      </c>
      <c r="BA296" s="39" t="str">
        <f>IFERROR(final!BL94*100/final!$I94,"")</f>
        <v/>
      </c>
      <c r="BB296" s="39" t="str">
        <f>IFERROR(final!BM94*100/final!$I94,"")</f>
        <v/>
      </c>
      <c r="BC296" s="39" t="str">
        <f>IFERROR(final!BN94*100/final!$I94,"")</f>
        <v/>
      </c>
      <c r="BD296" s="39" t="str">
        <f>IFERROR(final!BO94*100/final!$I94,"")</f>
        <v/>
      </c>
      <c r="BE296" s="39" t="str">
        <f>IFERROR(final!BP94*100/final!$I94,"")</f>
        <v/>
      </c>
      <c r="BF296" s="39" t="str">
        <f>IFERROR(final!BQ94*100/final!$I94,"")</f>
        <v/>
      </c>
      <c r="BG296" s="39" t="str">
        <f>IFERROR(final!BR94*100/final!$I94,"")</f>
        <v/>
      </c>
      <c r="BH296" s="39" t="str">
        <f>IFERROR(final!BS94*100/final!$I94,"")</f>
        <v/>
      </c>
      <c r="BI296" s="39" t="str">
        <f>IFERROR(final!BT94*100/final!$I94,"")</f>
        <v/>
      </c>
      <c r="BJ296" s="39" t="str">
        <f>IFERROR(final!BU94*100/final!$I94,"")</f>
        <v/>
      </c>
      <c r="BK296" s="39" t="str">
        <f>IFERROR(final!BV94*100/final!$I94,"")</f>
        <v/>
      </c>
      <c r="BL296" s="39" t="str">
        <f>IFERROR(final!BW94*100/final!$I94,"")</f>
        <v/>
      </c>
      <c r="BM296" s="39" t="str">
        <f>IFERROR(final!BX94*100/final!$I94,"")</f>
        <v/>
      </c>
      <c r="BN296" s="39" t="str">
        <f>IFERROR(final!BY94*100/final!$I94,"")</f>
        <v/>
      </c>
      <c r="BO296" s="39" t="str">
        <f>IFERROR(final!BZ94*100/final!$I94,"")</f>
        <v/>
      </c>
      <c r="BP296" s="39" t="str">
        <f>IFERROR(final!CA94*100/final!$I94,"")</f>
        <v/>
      </c>
      <c r="BQ296" s="39" t="str">
        <f>IFERROR(final!CB94*100/final!$I94,"")</f>
        <v/>
      </c>
      <c r="BR296" s="39" t="str">
        <f>IFERROR(final!CC94*100/final!$I94,"")</f>
        <v/>
      </c>
      <c r="BS296" s="39" t="str">
        <f>IFERROR(final!CD94*100/final!$I94,"")</f>
        <v/>
      </c>
      <c r="BT296" s="39" t="str">
        <f>IFERROR(final!CE94*100/final!$I94,"")</f>
        <v/>
      </c>
      <c r="BU296" s="39" t="str">
        <f>IFERROR(final!CF94*100/final!$I94,"")</f>
        <v/>
      </c>
      <c r="BV296" s="39" t="str">
        <f>IFERROR(final!CG94*100/final!$I94,"")</f>
        <v/>
      </c>
      <c r="BW296" s="39" t="str">
        <f>IFERROR(final!CH94*100/final!$I94,"")</f>
        <v/>
      </c>
      <c r="BX296" s="39" t="str">
        <f>IFERROR(final!CI94*100/final!$I94,"")</f>
        <v/>
      </c>
      <c r="BY296" s="39" t="str">
        <f>IFERROR(final!CJ94*100/final!$I94,"")</f>
        <v/>
      </c>
      <c r="BZ296" s="39" t="str">
        <f>IFERROR(final!CK94*100/final!$I94,"")</f>
        <v/>
      </c>
      <c r="CA296" s="39" t="str">
        <f>IFERROR(final!CL94*100/final!$I94,"")</f>
        <v/>
      </c>
      <c r="CB296" s="39" t="str">
        <f>IFERROR(final!CM94*100/final!$I94,"")</f>
        <v/>
      </c>
      <c r="CC296" s="39" t="str">
        <f>IFERROR(final!CN94*100/final!$I94,"")</f>
        <v/>
      </c>
      <c r="CD296" s="39" t="str">
        <f>IFERROR(final!CO94*100/final!$I94,"")</f>
        <v/>
      </c>
      <c r="CE296" s="39" t="str">
        <f>IFERROR(final!CP94*100/final!$I94,"")</f>
        <v/>
      </c>
      <c r="CF296" s="39" t="str">
        <f>IFERROR(final!CQ94*100/final!$I94,"")</f>
        <v/>
      </c>
      <c r="CG296" s="39" t="str">
        <f>IFERROR(final!CR94*100/final!$I94,"")</f>
        <v/>
      </c>
      <c r="CH296" s="39" t="str">
        <f>IFERROR(final!CS94*100/final!$I94,"")</f>
        <v/>
      </c>
      <c r="CI296" s="39" t="str">
        <f>IFERROR(final!CT94*100/final!$I94,"")</f>
        <v/>
      </c>
      <c r="CJ296" s="39" t="str">
        <f>IFERROR(final!CU94*100/final!$I94,"")</f>
        <v/>
      </c>
      <c r="CK296" s="39" t="str">
        <f>IFERROR(final!CV94*100/final!$I94,"")</f>
        <v/>
      </c>
      <c r="CL296" s="39" t="str">
        <f>IFERROR(final!CW94*100/final!$I94,"")</f>
        <v/>
      </c>
      <c r="CM296" s="39" t="str">
        <f>IFERROR(final!CX94*100/final!$I94,"")</f>
        <v/>
      </c>
      <c r="CN296" s="39" t="str">
        <f>IFERROR(final!CY94*100/final!$I94,"")</f>
        <v/>
      </c>
      <c r="CO296" s="39" t="str">
        <f>IFERROR(final!CZ94*100/final!$I94,"")</f>
        <v/>
      </c>
      <c r="CP296" s="39" t="str">
        <f>IFERROR(final!DA94*100/final!$I94,"")</f>
        <v/>
      </c>
      <c r="CQ296" s="39" t="str">
        <f>IFERROR(final!DB94*100/final!$I94,"")</f>
        <v/>
      </c>
      <c r="CR296" s="39" t="str">
        <f>IFERROR(final!DC94*100/final!$I94,"")</f>
        <v/>
      </c>
      <c r="CS296" s="39" t="str">
        <f>IFERROR(final!DD94*100/final!$I94,"")</f>
        <v/>
      </c>
      <c r="CT296" s="39" t="str">
        <f>IFERROR(final!DE94*100/final!$I94,"")</f>
        <v/>
      </c>
      <c r="CU296" s="39" t="str">
        <f>IFERROR(final!DF94*100/final!$I94,"")</f>
        <v/>
      </c>
      <c r="CV296" s="39" t="str">
        <f>IFERROR(final!DG94*100/final!$I94,"")</f>
        <v/>
      </c>
      <c r="CW296" s="32" t="str">
        <f>IFERROR(SUM(A296:CV296)/final!$DH$103,"")</f>
        <v/>
      </c>
      <c r="CX296" s="14" t="str">
        <f>IF(COUNTA(final!A94),final!A94,"")</f>
        <v/>
      </c>
      <c r="CY296" s="14" t="str">
        <f>IF(COUNTA(final!B94),final!B94,"")</f>
        <v/>
      </c>
      <c r="CZ296" s="14" t="str">
        <f>IF(COUNTA(final!C94),final!C94,"")</f>
        <v/>
      </c>
      <c r="DA296" s="14" t="str">
        <f>IF(COUNTA(final!D94),final!D94,"")</f>
        <v/>
      </c>
      <c r="DB296" s="14" t="str">
        <f>IF(COUNTA(final!E94),final!E94,"")</f>
        <v/>
      </c>
      <c r="DC296" s="14" t="str">
        <f>IF(COUNTA(final!F94),final!F94,"")</f>
        <v/>
      </c>
      <c r="DD296" s="14" t="str">
        <f>IF(COUNTA(final!G94),final!G94,"")</f>
        <v/>
      </c>
      <c r="DE296" s="14" t="str">
        <f>IF(COUNTA(final!H94),final!H94,"")</f>
        <v/>
      </c>
    </row>
    <row r="297" spans="1:109" x14ac:dyDescent="0.2">
      <c r="A297" s="39" t="str">
        <f>IFERROR(final!L95*100/final!$I95,"")</f>
        <v/>
      </c>
      <c r="B297" s="39" t="str">
        <f>IFERROR(final!M95*100/final!$I95,"")</f>
        <v/>
      </c>
      <c r="C297" s="39" t="str">
        <f>IFERROR(final!N95*100/final!$I95,"")</f>
        <v/>
      </c>
      <c r="D297" s="39" t="str">
        <f>IFERROR(final!O95*100/final!$I95,"")</f>
        <v/>
      </c>
      <c r="E297" s="39" t="str">
        <f>IFERROR(final!P95*100/final!$I95,"")</f>
        <v/>
      </c>
      <c r="F297" s="39" t="str">
        <f>IFERROR(final!Q95*100/final!$I95,"")</f>
        <v/>
      </c>
      <c r="G297" s="39" t="str">
        <f>IFERROR(final!R95*100/final!$I95,"")</f>
        <v/>
      </c>
      <c r="H297" s="39" t="str">
        <f>IFERROR(final!S95*100/final!$I95,"")</f>
        <v/>
      </c>
      <c r="I297" s="39" t="str">
        <f>IFERROR(final!T95*100/final!$I95,"")</f>
        <v/>
      </c>
      <c r="J297" s="39" t="str">
        <f>IFERROR(final!U95*100/final!$I95,"")</f>
        <v/>
      </c>
      <c r="K297" s="39" t="str">
        <f>IFERROR(final!V95*100/final!$I95,"")</f>
        <v/>
      </c>
      <c r="L297" s="39" t="str">
        <f>IFERROR(final!W95*100/final!$I95,"")</f>
        <v/>
      </c>
      <c r="M297" s="39" t="str">
        <f>IFERROR(final!X95*100/final!$I95,"")</f>
        <v/>
      </c>
      <c r="N297" s="39" t="str">
        <f>IFERROR(final!Y95*100/final!$I95,"")</f>
        <v/>
      </c>
      <c r="O297" s="39" t="str">
        <f>IFERROR(final!Z95*100/final!$I95,"")</f>
        <v/>
      </c>
      <c r="P297" s="39" t="str">
        <f>IFERROR(final!AA95*100/final!$I95,"")</f>
        <v/>
      </c>
      <c r="Q297" s="39" t="str">
        <f>IFERROR(final!AB95*100/final!$I95,"")</f>
        <v/>
      </c>
      <c r="R297" s="39" t="str">
        <f>IFERROR(final!AC95*100/final!$I95,"")</f>
        <v/>
      </c>
      <c r="S297" s="39" t="str">
        <f>IFERROR(final!AD95*100/final!$I95,"")</f>
        <v/>
      </c>
      <c r="T297" s="39" t="str">
        <f>IFERROR(final!AE95*100/final!$I95,"")</f>
        <v/>
      </c>
      <c r="U297" s="39" t="str">
        <f>IFERROR(final!AF95*100/final!$I95,"")</f>
        <v/>
      </c>
      <c r="V297" s="39" t="str">
        <f>IFERROR(final!AG95*100/final!$I95,"")</f>
        <v/>
      </c>
      <c r="W297" s="39" t="str">
        <f>IFERROR(final!AH95*100/final!$I95,"")</f>
        <v/>
      </c>
      <c r="X297" s="39" t="str">
        <f>IFERROR(final!AI95*100/final!$I95,"")</f>
        <v/>
      </c>
      <c r="Y297" s="39" t="str">
        <f>IFERROR(final!AJ95*100/final!$I95,"")</f>
        <v/>
      </c>
      <c r="Z297" s="39" t="str">
        <f>IFERROR(final!AK95*100/final!$I95,"")</f>
        <v/>
      </c>
      <c r="AA297" s="39" t="str">
        <f>IFERROR(final!AL95*100/final!$I95,"")</f>
        <v/>
      </c>
      <c r="AB297" s="39" t="str">
        <f>IFERROR(final!AM95*100/final!$I95,"")</f>
        <v/>
      </c>
      <c r="AC297" s="39" t="str">
        <f>IFERROR(final!AN95*100/final!$I95,"")</f>
        <v/>
      </c>
      <c r="AD297" s="39" t="str">
        <f>IFERROR(final!AO95*100/final!$I95,"")</f>
        <v/>
      </c>
      <c r="AE297" s="39" t="str">
        <f>IFERROR(final!AP95*100/final!$I95,"")</f>
        <v/>
      </c>
      <c r="AF297" s="39" t="str">
        <f>IFERROR(final!AQ95*100/final!$I95,"")</f>
        <v/>
      </c>
      <c r="AG297" s="39" t="str">
        <f>IFERROR(final!AR95*100/final!$I95,"")</f>
        <v/>
      </c>
      <c r="AH297" s="39" t="str">
        <f>IFERROR(final!AS95*100/final!$I95,"")</f>
        <v/>
      </c>
      <c r="AI297" s="39" t="str">
        <f>IFERROR(final!AT95*100/final!$I95,"")</f>
        <v/>
      </c>
      <c r="AJ297" s="39" t="str">
        <f>IFERROR(final!AU95*100/final!$I95,"")</f>
        <v/>
      </c>
      <c r="AK297" s="39" t="str">
        <f>IFERROR(final!AV95*100/final!$I95,"")</f>
        <v/>
      </c>
      <c r="AL297" s="39" t="str">
        <f>IFERROR(final!AW95*100/final!$I95,"")</f>
        <v/>
      </c>
      <c r="AM297" s="39" t="str">
        <f>IFERROR(final!AX95*100/final!$I95,"")</f>
        <v/>
      </c>
      <c r="AN297" s="39" t="str">
        <f>IFERROR(final!AY95*100/final!$I95,"")</f>
        <v/>
      </c>
      <c r="AO297" s="39" t="str">
        <f>IFERROR(final!AZ95*100/final!$I95,"")</f>
        <v/>
      </c>
      <c r="AP297" s="39" t="str">
        <f>IFERROR(final!BA95*100/final!$I95,"")</f>
        <v/>
      </c>
      <c r="AQ297" s="39" t="str">
        <f>IFERROR(final!BB95*100/final!$I95,"")</f>
        <v/>
      </c>
      <c r="AR297" s="39" t="str">
        <f>IFERROR(final!BC95*100/final!$I95,"")</f>
        <v/>
      </c>
      <c r="AS297" s="39" t="str">
        <f>IFERROR(final!BD95*100/final!$I95,"")</f>
        <v/>
      </c>
      <c r="AT297" s="39" t="str">
        <f>IFERROR(final!BE95*100/final!$I95,"")</f>
        <v/>
      </c>
      <c r="AU297" s="39" t="str">
        <f>IFERROR(final!BF95*100/final!$I95,"")</f>
        <v/>
      </c>
      <c r="AV297" s="39" t="str">
        <f>IFERROR(final!BG95*100/final!$I95,"")</f>
        <v/>
      </c>
      <c r="AW297" s="39" t="str">
        <f>IFERROR(final!BH95*100/final!$I95,"")</f>
        <v/>
      </c>
      <c r="AX297" s="39" t="str">
        <f>IFERROR(final!BI95*100/final!$I95,"")</f>
        <v/>
      </c>
      <c r="AY297" s="39" t="str">
        <f>IFERROR(final!BJ95*100/final!$I95,"")</f>
        <v/>
      </c>
      <c r="AZ297" s="39" t="str">
        <f>IFERROR(final!BK95*100/final!$I95,"")</f>
        <v/>
      </c>
      <c r="BA297" s="39" t="str">
        <f>IFERROR(final!BL95*100/final!$I95,"")</f>
        <v/>
      </c>
      <c r="BB297" s="39" t="str">
        <f>IFERROR(final!BM95*100/final!$I95,"")</f>
        <v/>
      </c>
      <c r="BC297" s="39" t="str">
        <f>IFERROR(final!BN95*100/final!$I95,"")</f>
        <v/>
      </c>
      <c r="BD297" s="39" t="str">
        <f>IFERROR(final!BO95*100/final!$I95,"")</f>
        <v/>
      </c>
      <c r="BE297" s="39" t="str">
        <f>IFERROR(final!BP95*100/final!$I95,"")</f>
        <v/>
      </c>
      <c r="BF297" s="39" t="str">
        <f>IFERROR(final!BQ95*100/final!$I95,"")</f>
        <v/>
      </c>
      <c r="BG297" s="39" t="str">
        <f>IFERROR(final!BR95*100/final!$I95,"")</f>
        <v/>
      </c>
      <c r="BH297" s="39" t="str">
        <f>IFERROR(final!BS95*100/final!$I95,"")</f>
        <v/>
      </c>
      <c r="BI297" s="39" t="str">
        <f>IFERROR(final!BT95*100/final!$I95,"")</f>
        <v/>
      </c>
      <c r="BJ297" s="39" t="str">
        <f>IFERROR(final!BU95*100/final!$I95,"")</f>
        <v/>
      </c>
      <c r="BK297" s="39" t="str">
        <f>IFERROR(final!BV95*100/final!$I95,"")</f>
        <v/>
      </c>
      <c r="BL297" s="39" t="str">
        <f>IFERROR(final!BW95*100/final!$I95,"")</f>
        <v/>
      </c>
      <c r="BM297" s="39" t="str">
        <f>IFERROR(final!BX95*100/final!$I95,"")</f>
        <v/>
      </c>
      <c r="BN297" s="39" t="str">
        <f>IFERROR(final!BY95*100/final!$I95,"")</f>
        <v/>
      </c>
      <c r="BO297" s="39" t="str">
        <f>IFERROR(final!BZ95*100/final!$I95,"")</f>
        <v/>
      </c>
      <c r="BP297" s="39" t="str">
        <f>IFERROR(final!CA95*100/final!$I95,"")</f>
        <v/>
      </c>
      <c r="BQ297" s="39" t="str">
        <f>IFERROR(final!CB95*100/final!$I95,"")</f>
        <v/>
      </c>
      <c r="BR297" s="39" t="str">
        <f>IFERROR(final!CC95*100/final!$I95,"")</f>
        <v/>
      </c>
      <c r="BS297" s="39" t="str">
        <f>IFERROR(final!CD95*100/final!$I95,"")</f>
        <v/>
      </c>
      <c r="BT297" s="39" t="str">
        <f>IFERROR(final!CE95*100/final!$I95,"")</f>
        <v/>
      </c>
      <c r="BU297" s="39" t="str">
        <f>IFERROR(final!CF95*100/final!$I95,"")</f>
        <v/>
      </c>
      <c r="BV297" s="39" t="str">
        <f>IFERROR(final!CG95*100/final!$I95,"")</f>
        <v/>
      </c>
      <c r="BW297" s="39" t="str">
        <f>IFERROR(final!CH95*100/final!$I95,"")</f>
        <v/>
      </c>
      <c r="BX297" s="39" t="str">
        <f>IFERROR(final!CI95*100/final!$I95,"")</f>
        <v/>
      </c>
      <c r="BY297" s="39" t="str">
        <f>IFERROR(final!CJ95*100/final!$I95,"")</f>
        <v/>
      </c>
      <c r="BZ297" s="39" t="str">
        <f>IFERROR(final!CK95*100/final!$I95,"")</f>
        <v/>
      </c>
      <c r="CA297" s="39" t="str">
        <f>IFERROR(final!CL95*100/final!$I95,"")</f>
        <v/>
      </c>
      <c r="CB297" s="39" t="str">
        <f>IFERROR(final!CM95*100/final!$I95,"")</f>
        <v/>
      </c>
      <c r="CC297" s="39" t="str">
        <f>IFERROR(final!CN95*100/final!$I95,"")</f>
        <v/>
      </c>
      <c r="CD297" s="39" t="str">
        <f>IFERROR(final!CO95*100/final!$I95,"")</f>
        <v/>
      </c>
      <c r="CE297" s="39" t="str">
        <f>IFERROR(final!CP95*100/final!$I95,"")</f>
        <v/>
      </c>
      <c r="CF297" s="39" t="str">
        <f>IFERROR(final!CQ95*100/final!$I95,"")</f>
        <v/>
      </c>
      <c r="CG297" s="39" t="str">
        <f>IFERROR(final!CR95*100/final!$I95,"")</f>
        <v/>
      </c>
      <c r="CH297" s="39" t="str">
        <f>IFERROR(final!CS95*100/final!$I95,"")</f>
        <v/>
      </c>
      <c r="CI297" s="39" t="str">
        <f>IFERROR(final!CT95*100/final!$I95,"")</f>
        <v/>
      </c>
      <c r="CJ297" s="39" t="str">
        <f>IFERROR(final!CU95*100/final!$I95,"")</f>
        <v/>
      </c>
      <c r="CK297" s="39" t="str">
        <f>IFERROR(final!CV95*100/final!$I95,"")</f>
        <v/>
      </c>
      <c r="CL297" s="39" t="str">
        <f>IFERROR(final!CW95*100/final!$I95,"")</f>
        <v/>
      </c>
      <c r="CM297" s="39" t="str">
        <f>IFERROR(final!CX95*100/final!$I95,"")</f>
        <v/>
      </c>
      <c r="CN297" s="39" t="str">
        <f>IFERROR(final!CY95*100/final!$I95,"")</f>
        <v/>
      </c>
      <c r="CO297" s="39" t="str">
        <f>IFERROR(final!CZ95*100/final!$I95,"")</f>
        <v/>
      </c>
      <c r="CP297" s="39" t="str">
        <f>IFERROR(final!DA95*100/final!$I95,"")</f>
        <v/>
      </c>
      <c r="CQ297" s="39" t="str">
        <f>IFERROR(final!DB95*100/final!$I95,"")</f>
        <v/>
      </c>
      <c r="CR297" s="39" t="str">
        <f>IFERROR(final!DC95*100/final!$I95,"")</f>
        <v/>
      </c>
      <c r="CS297" s="39" t="str">
        <f>IFERROR(final!DD95*100/final!$I95,"")</f>
        <v/>
      </c>
      <c r="CT297" s="39" t="str">
        <f>IFERROR(final!DE95*100/final!$I95,"")</f>
        <v/>
      </c>
      <c r="CU297" s="39" t="str">
        <f>IFERROR(final!DF95*100/final!$I95,"")</f>
        <v/>
      </c>
      <c r="CV297" s="39" t="str">
        <f>IFERROR(final!DG95*100/final!$I95,"")</f>
        <v/>
      </c>
      <c r="CW297" s="32" t="str">
        <f>IFERROR(SUM(A297:CV297)/final!$DH$103,"")</f>
        <v/>
      </c>
      <c r="CX297" s="14" t="str">
        <f>IF(COUNTA(final!A95),final!A95,"")</f>
        <v/>
      </c>
      <c r="CY297" s="14" t="str">
        <f>IF(COUNTA(final!B95),final!B95,"")</f>
        <v/>
      </c>
      <c r="CZ297" s="14" t="str">
        <f>IF(COUNTA(final!C95),final!C95,"")</f>
        <v/>
      </c>
      <c r="DA297" s="14" t="str">
        <f>IF(COUNTA(final!D95),final!D95,"")</f>
        <v/>
      </c>
      <c r="DB297" s="14" t="str">
        <f>IF(COUNTA(final!E95),final!E95,"")</f>
        <v/>
      </c>
      <c r="DC297" s="14" t="str">
        <f>IF(COUNTA(final!F95),final!F95,"")</f>
        <v/>
      </c>
      <c r="DD297" s="14" t="str">
        <f>IF(COUNTA(final!G95),final!G95,"")</f>
        <v/>
      </c>
      <c r="DE297" s="14" t="str">
        <f>IF(COUNTA(final!H95),final!H95,"")</f>
        <v/>
      </c>
    </row>
    <row r="298" spans="1:109" x14ac:dyDescent="0.2">
      <c r="A298" s="39" t="str">
        <f>IFERROR(final!L96*100/final!$I96,"")</f>
        <v/>
      </c>
      <c r="B298" s="39" t="str">
        <f>IFERROR(final!M96*100/final!$I96,"")</f>
        <v/>
      </c>
      <c r="C298" s="39" t="str">
        <f>IFERROR(final!N96*100/final!$I96,"")</f>
        <v/>
      </c>
      <c r="D298" s="39" t="str">
        <f>IFERROR(final!O96*100/final!$I96,"")</f>
        <v/>
      </c>
      <c r="E298" s="39" t="str">
        <f>IFERROR(final!P96*100/final!$I96,"")</f>
        <v/>
      </c>
      <c r="F298" s="39" t="str">
        <f>IFERROR(final!Q96*100/final!$I96,"")</f>
        <v/>
      </c>
      <c r="G298" s="39" t="str">
        <f>IFERROR(final!R96*100/final!$I96,"")</f>
        <v/>
      </c>
      <c r="H298" s="39" t="str">
        <f>IFERROR(final!S96*100/final!$I96,"")</f>
        <v/>
      </c>
      <c r="I298" s="39" t="str">
        <f>IFERROR(final!T96*100/final!$I96,"")</f>
        <v/>
      </c>
      <c r="J298" s="39" t="str">
        <f>IFERROR(final!U96*100/final!$I96,"")</f>
        <v/>
      </c>
      <c r="K298" s="39" t="str">
        <f>IFERROR(final!V96*100/final!$I96,"")</f>
        <v/>
      </c>
      <c r="L298" s="39" t="str">
        <f>IFERROR(final!W96*100/final!$I96,"")</f>
        <v/>
      </c>
      <c r="M298" s="39" t="str">
        <f>IFERROR(final!X96*100/final!$I96,"")</f>
        <v/>
      </c>
      <c r="N298" s="39" t="str">
        <f>IFERROR(final!Y96*100/final!$I96,"")</f>
        <v/>
      </c>
      <c r="O298" s="39" t="str">
        <f>IFERROR(final!Z96*100/final!$I96,"")</f>
        <v/>
      </c>
      <c r="P298" s="39" t="str">
        <f>IFERROR(final!AA96*100/final!$I96,"")</f>
        <v/>
      </c>
      <c r="Q298" s="39" t="str">
        <f>IFERROR(final!AB96*100/final!$I96,"")</f>
        <v/>
      </c>
      <c r="R298" s="39" t="str">
        <f>IFERROR(final!AC96*100/final!$I96,"")</f>
        <v/>
      </c>
      <c r="S298" s="39" t="str">
        <f>IFERROR(final!AD96*100/final!$I96,"")</f>
        <v/>
      </c>
      <c r="T298" s="39" t="str">
        <f>IFERROR(final!AE96*100/final!$I96,"")</f>
        <v/>
      </c>
      <c r="U298" s="39" t="str">
        <f>IFERROR(final!AF96*100/final!$I96,"")</f>
        <v/>
      </c>
      <c r="V298" s="39" t="str">
        <f>IFERROR(final!AG96*100/final!$I96,"")</f>
        <v/>
      </c>
      <c r="W298" s="39" t="str">
        <f>IFERROR(final!AH96*100/final!$I96,"")</f>
        <v/>
      </c>
      <c r="X298" s="39" t="str">
        <f>IFERROR(final!AI96*100/final!$I96,"")</f>
        <v/>
      </c>
      <c r="Y298" s="39" t="str">
        <f>IFERROR(final!AJ96*100/final!$I96,"")</f>
        <v/>
      </c>
      <c r="Z298" s="39" t="str">
        <f>IFERROR(final!AK96*100/final!$I96,"")</f>
        <v/>
      </c>
      <c r="AA298" s="39" t="str">
        <f>IFERROR(final!AL96*100/final!$I96,"")</f>
        <v/>
      </c>
      <c r="AB298" s="39" t="str">
        <f>IFERROR(final!AM96*100/final!$I96,"")</f>
        <v/>
      </c>
      <c r="AC298" s="39" t="str">
        <f>IFERROR(final!AN96*100/final!$I96,"")</f>
        <v/>
      </c>
      <c r="AD298" s="39" t="str">
        <f>IFERROR(final!AO96*100/final!$I96,"")</f>
        <v/>
      </c>
      <c r="AE298" s="39" t="str">
        <f>IFERROR(final!AP96*100/final!$I96,"")</f>
        <v/>
      </c>
      <c r="AF298" s="39" t="str">
        <f>IFERROR(final!AQ96*100/final!$I96,"")</f>
        <v/>
      </c>
      <c r="AG298" s="39" t="str">
        <f>IFERROR(final!AR96*100/final!$I96,"")</f>
        <v/>
      </c>
      <c r="AH298" s="39" t="str">
        <f>IFERROR(final!AS96*100/final!$I96,"")</f>
        <v/>
      </c>
      <c r="AI298" s="39" t="str">
        <f>IFERROR(final!AT96*100/final!$I96,"")</f>
        <v/>
      </c>
      <c r="AJ298" s="39" t="str">
        <f>IFERROR(final!AU96*100/final!$I96,"")</f>
        <v/>
      </c>
      <c r="AK298" s="39" t="str">
        <f>IFERROR(final!AV96*100/final!$I96,"")</f>
        <v/>
      </c>
      <c r="AL298" s="39" t="str">
        <f>IFERROR(final!AW96*100/final!$I96,"")</f>
        <v/>
      </c>
      <c r="AM298" s="39" t="str">
        <f>IFERROR(final!AX96*100/final!$I96,"")</f>
        <v/>
      </c>
      <c r="AN298" s="39" t="str">
        <f>IFERROR(final!AY96*100/final!$I96,"")</f>
        <v/>
      </c>
      <c r="AO298" s="39" t="str">
        <f>IFERROR(final!AZ96*100/final!$I96,"")</f>
        <v/>
      </c>
      <c r="AP298" s="39" t="str">
        <f>IFERROR(final!BA96*100/final!$I96,"")</f>
        <v/>
      </c>
      <c r="AQ298" s="39" t="str">
        <f>IFERROR(final!BB96*100/final!$I96,"")</f>
        <v/>
      </c>
      <c r="AR298" s="39" t="str">
        <f>IFERROR(final!BC96*100/final!$I96,"")</f>
        <v/>
      </c>
      <c r="AS298" s="39" t="str">
        <f>IFERROR(final!BD96*100/final!$I96,"")</f>
        <v/>
      </c>
      <c r="AT298" s="39" t="str">
        <f>IFERROR(final!BE96*100/final!$I96,"")</f>
        <v/>
      </c>
      <c r="AU298" s="39" t="str">
        <f>IFERROR(final!BF96*100/final!$I96,"")</f>
        <v/>
      </c>
      <c r="AV298" s="39" t="str">
        <f>IFERROR(final!BG96*100/final!$I96,"")</f>
        <v/>
      </c>
      <c r="AW298" s="39" t="str">
        <f>IFERROR(final!BH96*100/final!$I96,"")</f>
        <v/>
      </c>
      <c r="AX298" s="39" t="str">
        <f>IFERROR(final!BI96*100/final!$I96,"")</f>
        <v/>
      </c>
      <c r="AY298" s="39" t="str">
        <f>IFERROR(final!BJ96*100/final!$I96,"")</f>
        <v/>
      </c>
      <c r="AZ298" s="39" t="str">
        <f>IFERROR(final!BK96*100/final!$I96,"")</f>
        <v/>
      </c>
      <c r="BA298" s="39" t="str">
        <f>IFERROR(final!BL96*100/final!$I96,"")</f>
        <v/>
      </c>
      <c r="BB298" s="39" t="str">
        <f>IFERROR(final!BM96*100/final!$I96,"")</f>
        <v/>
      </c>
      <c r="BC298" s="39" t="str">
        <f>IFERROR(final!BN96*100/final!$I96,"")</f>
        <v/>
      </c>
      <c r="BD298" s="39" t="str">
        <f>IFERROR(final!BO96*100/final!$I96,"")</f>
        <v/>
      </c>
      <c r="BE298" s="39" t="str">
        <f>IFERROR(final!BP96*100/final!$I96,"")</f>
        <v/>
      </c>
      <c r="BF298" s="39" t="str">
        <f>IFERROR(final!BQ96*100/final!$I96,"")</f>
        <v/>
      </c>
      <c r="BG298" s="39" t="str">
        <f>IFERROR(final!BR96*100/final!$I96,"")</f>
        <v/>
      </c>
      <c r="BH298" s="39" t="str">
        <f>IFERROR(final!BS96*100/final!$I96,"")</f>
        <v/>
      </c>
      <c r="BI298" s="39" t="str">
        <f>IFERROR(final!BT96*100/final!$I96,"")</f>
        <v/>
      </c>
      <c r="BJ298" s="39" t="str">
        <f>IFERROR(final!BU96*100/final!$I96,"")</f>
        <v/>
      </c>
      <c r="BK298" s="39" t="str">
        <f>IFERROR(final!BV96*100/final!$I96,"")</f>
        <v/>
      </c>
      <c r="BL298" s="39" t="str">
        <f>IFERROR(final!BW96*100/final!$I96,"")</f>
        <v/>
      </c>
      <c r="BM298" s="39" t="str">
        <f>IFERROR(final!BX96*100/final!$I96,"")</f>
        <v/>
      </c>
      <c r="BN298" s="39" t="str">
        <f>IFERROR(final!BY96*100/final!$I96,"")</f>
        <v/>
      </c>
      <c r="BO298" s="39" t="str">
        <f>IFERROR(final!BZ96*100/final!$I96,"")</f>
        <v/>
      </c>
      <c r="BP298" s="39" t="str">
        <f>IFERROR(final!CA96*100/final!$I96,"")</f>
        <v/>
      </c>
      <c r="BQ298" s="39" t="str">
        <f>IFERROR(final!CB96*100/final!$I96,"")</f>
        <v/>
      </c>
      <c r="BR298" s="39" t="str">
        <f>IFERROR(final!CC96*100/final!$I96,"")</f>
        <v/>
      </c>
      <c r="BS298" s="39" t="str">
        <f>IFERROR(final!CD96*100/final!$I96,"")</f>
        <v/>
      </c>
      <c r="BT298" s="39" t="str">
        <f>IFERROR(final!CE96*100/final!$I96,"")</f>
        <v/>
      </c>
      <c r="BU298" s="39" t="str">
        <f>IFERROR(final!CF96*100/final!$I96,"")</f>
        <v/>
      </c>
      <c r="BV298" s="39" t="str">
        <f>IFERROR(final!CG96*100/final!$I96,"")</f>
        <v/>
      </c>
      <c r="BW298" s="39" t="str">
        <f>IFERROR(final!CH96*100/final!$I96,"")</f>
        <v/>
      </c>
      <c r="BX298" s="39" t="str">
        <f>IFERROR(final!CI96*100/final!$I96,"")</f>
        <v/>
      </c>
      <c r="BY298" s="39" t="str">
        <f>IFERROR(final!CJ96*100/final!$I96,"")</f>
        <v/>
      </c>
      <c r="BZ298" s="39" t="str">
        <f>IFERROR(final!CK96*100/final!$I96,"")</f>
        <v/>
      </c>
      <c r="CA298" s="39" t="str">
        <f>IFERROR(final!CL96*100/final!$I96,"")</f>
        <v/>
      </c>
      <c r="CB298" s="39" t="str">
        <f>IFERROR(final!CM96*100/final!$I96,"")</f>
        <v/>
      </c>
      <c r="CC298" s="39" t="str">
        <f>IFERROR(final!CN96*100/final!$I96,"")</f>
        <v/>
      </c>
      <c r="CD298" s="39" t="str">
        <f>IFERROR(final!CO96*100/final!$I96,"")</f>
        <v/>
      </c>
      <c r="CE298" s="39" t="str">
        <f>IFERROR(final!CP96*100/final!$I96,"")</f>
        <v/>
      </c>
      <c r="CF298" s="39" t="str">
        <f>IFERROR(final!CQ96*100/final!$I96,"")</f>
        <v/>
      </c>
      <c r="CG298" s="39" t="str">
        <f>IFERROR(final!CR96*100/final!$I96,"")</f>
        <v/>
      </c>
      <c r="CH298" s="39" t="str">
        <f>IFERROR(final!CS96*100/final!$I96,"")</f>
        <v/>
      </c>
      <c r="CI298" s="39" t="str">
        <f>IFERROR(final!CT96*100/final!$I96,"")</f>
        <v/>
      </c>
      <c r="CJ298" s="39" t="str">
        <f>IFERROR(final!CU96*100/final!$I96,"")</f>
        <v/>
      </c>
      <c r="CK298" s="39" t="str">
        <f>IFERROR(final!CV96*100/final!$I96,"")</f>
        <v/>
      </c>
      <c r="CL298" s="39" t="str">
        <f>IFERROR(final!CW96*100/final!$I96,"")</f>
        <v/>
      </c>
      <c r="CM298" s="39" t="str">
        <f>IFERROR(final!CX96*100/final!$I96,"")</f>
        <v/>
      </c>
      <c r="CN298" s="39" t="str">
        <f>IFERROR(final!CY96*100/final!$I96,"")</f>
        <v/>
      </c>
      <c r="CO298" s="39" t="str">
        <f>IFERROR(final!CZ96*100/final!$I96,"")</f>
        <v/>
      </c>
      <c r="CP298" s="39" t="str">
        <f>IFERROR(final!DA96*100/final!$I96,"")</f>
        <v/>
      </c>
      <c r="CQ298" s="39" t="str">
        <f>IFERROR(final!DB96*100/final!$I96,"")</f>
        <v/>
      </c>
      <c r="CR298" s="39" t="str">
        <f>IFERROR(final!DC96*100/final!$I96,"")</f>
        <v/>
      </c>
      <c r="CS298" s="39" t="str">
        <f>IFERROR(final!DD96*100/final!$I96,"")</f>
        <v/>
      </c>
      <c r="CT298" s="39" t="str">
        <f>IFERROR(final!DE96*100/final!$I96,"")</f>
        <v/>
      </c>
      <c r="CU298" s="39" t="str">
        <f>IFERROR(final!DF96*100/final!$I96,"")</f>
        <v/>
      </c>
      <c r="CV298" s="39" t="str">
        <f>IFERROR(final!DG96*100/final!$I96,"")</f>
        <v/>
      </c>
      <c r="CW298" s="32" t="str">
        <f>IFERROR(SUM(A298:CV298)/final!$DH$103,"")</f>
        <v/>
      </c>
      <c r="CX298" s="14" t="str">
        <f>IF(COUNTA(final!A96),final!A96,"")</f>
        <v/>
      </c>
      <c r="CY298" s="14" t="str">
        <f>IF(COUNTA(final!B96),final!B96,"")</f>
        <v/>
      </c>
      <c r="CZ298" s="14" t="str">
        <f>IF(COUNTA(final!C96),final!C96,"")</f>
        <v/>
      </c>
      <c r="DA298" s="14" t="str">
        <f>IF(COUNTA(final!D96),final!D96,"")</f>
        <v/>
      </c>
      <c r="DB298" s="14" t="str">
        <f>IF(COUNTA(final!E96),final!E96,"")</f>
        <v/>
      </c>
      <c r="DC298" s="14" t="str">
        <f>IF(COUNTA(final!F96),final!F96,"")</f>
        <v/>
      </c>
      <c r="DD298" s="14" t="str">
        <f>IF(COUNTA(final!G96),final!G96,"")</f>
        <v/>
      </c>
      <c r="DE298" s="14" t="str">
        <f>IF(COUNTA(final!H96),final!H96,"")</f>
        <v/>
      </c>
    </row>
    <row r="299" spans="1:109" x14ac:dyDescent="0.2">
      <c r="A299" s="39" t="str">
        <f>IFERROR(final!L97*100/final!$I97,"")</f>
        <v/>
      </c>
      <c r="B299" s="39" t="str">
        <f>IFERROR(final!M97*100/final!$I97,"")</f>
        <v/>
      </c>
      <c r="C299" s="39" t="str">
        <f>IFERROR(final!N97*100/final!$I97,"")</f>
        <v/>
      </c>
      <c r="D299" s="39" t="str">
        <f>IFERROR(final!O97*100/final!$I97,"")</f>
        <v/>
      </c>
      <c r="E299" s="39" t="str">
        <f>IFERROR(final!P97*100/final!$I97,"")</f>
        <v/>
      </c>
      <c r="F299" s="39" t="str">
        <f>IFERROR(final!Q97*100/final!$I97,"")</f>
        <v/>
      </c>
      <c r="G299" s="39" t="str">
        <f>IFERROR(final!R97*100/final!$I97,"")</f>
        <v/>
      </c>
      <c r="H299" s="39" t="str">
        <f>IFERROR(final!S97*100/final!$I97,"")</f>
        <v/>
      </c>
      <c r="I299" s="39" t="str">
        <f>IFERROR(final!T97*100/final!$I97,"")</f>
        <v/>
      </c>
      <c r="J299" s="39" t="str">
        <f>IFERROR(final!U97*100/final!$I97,"")</f>
        <v/>
      </c>
      <c r="K299" s="39" t="str">
        <f>IFERROR(final!V97*100/final!$I97,"")</f>
        <v/>
      </c>
      <c r="L299" s="39" t="str">
        <f>IFERROR(final!W97*100/final!$I97,"")</f>
        <v/>
      </c>
      <c r="M299" s="39" t="str">
        <f>IFERROR(final!X97*100/final!$I97,"")</f>
        <v/>
      </c>
      <c r="N299" s="39" t="str">
        <f>IFERROR(final!Y97*100/final!$I97,"")</f>
        <v/>
      </c>
      <c r="O299" s="39" t="str">
        <f>IFERROR(final!Z97*100/final!$I97,"")</f>
        <v/>
      </c>
      <c r="P299" s="39" t="str">
        <f>IFERROR(final!AA97*100/final!$I97,"")</f>
        <v/>
      </c>
      <c r="Q299" s="39" t="str">
        <f>IFERROR(final!AB97*100/final!$I97,"")</f>
        <v/>
      </c>
      <c r="R299" s="39" t="str">
        <f>IFERROR(final!AC97*100/final!$I97,"")</f>
        <v/>
      </c>
      <c r="S299" s="39" t="str">
        <f>IFERROR(final!AD97*100/final!$I97,"")</f>
        <v/>
      </c>
      <c r="T299" s="39" t="str">
        <f>IFERROR(final!AE97*100/final!$I97,"")</f>
        <v/>
      </c>
      <c r="U299" s="39" t="str">
        <f>IFERROR(final!AF97*100/final!$I97,"")</f>
        <v/>
      </c>
      <c r="V299" s="39" t="str">
        <f>IFERROR(final!AG97*100/final!$I97,"")</f>
        <v/>
      </c>
      <c r="W299" s="39" t="str">
        <f>IFERROR(final!AH97*100/final!$I97,"")</f>
        <v/>
      </c>
      <c r="X299" s="39" t="str">
        <f>IFERROR(final!AI97*100/final!$I97,"")</f>
        <v/>
      </c>
      <c r="Y299" s="39" t="str">
        <f>IFERROR(final!AJ97*100/final!$I97,"")</f>
        <v/>
      </c>
      <c r="Z299" s="39" t="str">
        <f>IFERROR(final!AK97*100/final!$I97,"")</f>
        <v/>
      </c>
      <c r="AA299" s="39" t="str">
        <f>IFERROR(final!AL97*100/final!$I97,"")</f>
        <v/>
      </c>
      <c r="AB299" s="39" t="str">
        <f>IFERROR(final!AM97*100/final!$I97,"")</f>
        <v/>
      </c>
      <c r="AC299" s="39" t="str">
        <f>IFERROR(final!AN97*100/final!$I97,"")</f>
        <v/>
      </c>
      <c r="AD299" s="39" t="str">
        <f>IFERROR(final!AO97*100/final!$I97,"")</f>
        <v/>
      </c>
      <c r="AE299" s="39" t="str">
        <f>IFERROR(final!AP97*100/final!$I97,"")</f>
        <v/>
      </c>
      <c r="AF299" s="39" t="str">
        <f>IFERROR(final!AQ97*100/final!$I97,"")</f>
        <v/>
      </c>
      <c r="AG299" s="39" t="str">
        <f>IFERROR(final!AR97*100/final!$I97,"")</f>
        <v/>
      </c>
      <c r="AH299" s="39" t="str">
        <f>IFERROR(final!AS97*100/final!$I97,"")</f>
        <v/>
      </c>
      <c r="AI299" s="39" t="str">
        <f>IFERROR(final!AT97*100/final!$I97,"")</f>
        <v/>
      </c>
      <c r="AJ299" s="39" t="str">
        <f>IFERROR(final!AU97*100/final!$I97,"")</f>
        <v/>
      </c>
      <c r="AK299" s="39" t="str">
        <f>IFERROR(final!AV97*100/final!$I97,"")</f>
        <v/>
      </c>
      <c r="AL299" s="39" t="str">
        <f>IFERROR(final!AW97*100/final!$I97,"")</f>
        <v/>
      </c>
      <c r="AM299" s="39" t="str">
        <f>IFERROR(final!AX97*100/final!$I97,"")</f>
        <v/>
      </c>
      <c r="AN299" s="39" t="str">
        <f>IFERROR(final!AY97*100/final!$I97,"")</f>
        <v/>
      </c>
      <c r="AO299" s="39" t="str">
        <f>IFERROR(final!AZ97*100/final!$I97,"")</f>
        <v/>
      </c>
      <c r="AP299" s="39" t="str">
        <f>IFERROR(final!BA97*100/final!$I97,"")</f>
        <v/>
      </c>
      <c r="AQ299" s="39" t="str">
        <f>IFERROR(final!BB97*100/final!$I97,"")</f>
        <v/>
      </c>
      <c r="AR299" s="39" t="str">
        <f>IFERROR(final!BC97*100/final!$I97,"")</f>
        <v/>
      </c>
      <c r="AS299" s="39" t="str">
        <f>IFERROR(final!BD97*100/final!$I97,"")</f>
        <v/>
      </c>
      <c r="AT299" s="39" t="str">
        <f>IFERROR(final!BE97*100/final!$I97,"")</f>
        <v/>
      </c>
      <c r="AU299" s="39" t="str">
        <f>IFERROR(final!BF97*100/final!$I97,"")</f>
        <v/>
      </c>
      <c r="AV299" s="39" t="str">
        <f>IFERROR(final!BG97*100/final!$I97,"")</f>
        <v/>
      </c>
      <c r="AW299" s="39" t="str">
        <f>IFERROR(final!BH97*100/final!$I97,"")</f>
        <v/>
      </c>
      <c r="AX299" s="39" t="str">
        <f>IFERROR(final!BI97*100/final!$I97,"")</f>
        <v/>
      </c>
      <c r="AY299" s="39" t="str">
        <f>IFERROR(final!BJ97*100/final!$I97,"")</f>
        <v/>
      </c>
      <c r="AZ299" s="39" t="str">
        <f>IFERROR(final!BK97*100/final!$I97,"")</f>
        <v/>
      </c>
      <c r="BA299" s="39" t="str">
        <f>IFERROR(final!BL97*100/final!$I97,"")</f>
        <v/>
      </c>
      <c r="BB299" s="39" t="str">
        <f>IFERROR(final!BM97*100/final!$I97,"")</f>
        <v/>
      </c>
      <c r="BC299" s="39" t="str">
        <f>IFERROR(final!BN97*100/final!$I97,"")</f>
        <v/>
      </c>
      <c r="BD299" s="39" t="str">
        <f>IFERROR(final!BO97*100/final!$I97,"")</f>
        <v/>
      </c>
      <c r="BE299" s="39" t="str">
        <f>IFERROR(final!BP97*100/final!$I97,"")</f>
        <v/>
      </c>
      <c r="BF299" s="39" t="str">
        <f>IFERROR(final!BQ97*100/final!$I97,"")</f>
        <v/>
      </c>
      <c r="BG299" s="39" t="str">
        <f>IFERROR(final!BR97*100/final!$I97,"")</f>
        <v/>
      </c>
      <c r="BH299" s="39" t="str">
        <f>IFERROR(final!BS97*100/final!$I97,"")</f>
        <v/>
      </c>
      <c r="BI299" s="39" t="str">
        <f>IFERROR(final!BT97*100/final!$I97,"")</f>
        <v/>
      </c>
      <c r="BJ299" s="39" t="str">
        <f>IFERROR(final!BU97*100/final!$I97,"")</f>
        <v/>
      </c>
      <c r="BK299" s="39" t="str">
        <f>IFERROR(final!BV97*100/final!$I97,"")</f>
        <v/>
      </c>
      <c r="BL299" s="39" t="str">
        <f>IFERROR(final!BW97*100/final!$I97,"")</f>
        <v/>
      </c>
      <c r="BM299" s="39" t="str">
        <f>IFERROR(final!BX97*100/final!$I97,"")</f>
        <v/>
      </c>
      <c r="BN299" s="39" t="str">
        <f>IFERROR(final!BY97*100/final!$I97,"")</f>
        <v/>
      </c>
      <c r="BO299" s="39" t="str">
        <f>IFERROR(final!BZ97*100/final!$I97,"")</f>
        <v/>
      </c>
      <c r="BP299" s="39" t="str">
        <f>IFERROR(final!CA97*100/final!$I97,"")</f>
        <v/>
      </c>
      <c r="BQ299" s="39" t="str">
        <f>IFERROR(final!CB97*100/final!$I97,"")</f>
        <v/>
      </c>
      <c r="BR299" s="39" t="str">
        <f>IFERROR(final!CC97*100/final!$I97,"")</f>
        <v/>
      </c>
      <c r="BS299" s="39" t="str">
        <f>IFERROR(final!CD97*100/final!$I97,"")</f>
        <v/>
      </c>
      <c r="BT299" s="39" t="str">
        <f>IFERROR(final!CE97*100/final!$I97,"")</f>
        <v/>
      </c>
      <c r="BU299" s="39" t="str">
        <f>IFERROR(final!CF97*100/final!$I97,"")</f>
        <v/>
      </c>
      <c r="BV299" s="39" t="str">
        <f>IFERROR(final!CG97*100/final!$I97,"")</f>
        <v/>
      </c>
      <c r="BW299" s="39" t="str">
        <f>IFERROR(final!CH97*100/final!$I97,"")</f>
        <v/>
      </c>
      <c r="BX299" s="39" t="str">
        <f>IFERROR(final!CI97*100/final!$I97,"")</f>
        <v/>
      </c>
      <c r="BY299" s="39" t="str">
        <f>IFERROR(final!CJ97*100/final!$I97,"")</f>
        <v/>
      </c>
      <c r="BZ299" s="39" t="str">
        <f>IFERROR(final!CK97*100/final!$I97,"")</f>
        <v/>
      </c>
      <c r="CA299" s="39" t="str">
        <f>IFERROR(final!CL97*100/final!$I97,"")</f>
        <v/>
      </c>
      <c r="CB299" s="39" t="str">
        <f>IFERROR(final!CM97*100/final!$I97,"")</f>
        <v/>
      </c>
      <c r="CC299" s="39" t="str">
        <f>IFERROR(final!CN97*100/final!$I97,"")</f>
        <v/>
      </c>
      <c r="CD299" s="39" t="str">
        <f>IFERROR(final!CO97*100/final!$I97,"")</f>
        <v/>
      </c>
      <c r="CE299" s="39" t="str">
        <f>IFERROR(final!CP97*100/final!$I97,"")</f>
        <v/>
      </c>
      <c r="CF299" s="39" t="str">
        <f>IFERROR(final!CQ97*100/final!$I97,"")</f>
        <v/>
      </c>
      <c r="CG299" s="39" t="str">
        <f>IFERROR(final!CR97*100/final!$I97,"")</f>
        <v/>
      </c>
      <c r="CH299" s="39" t="str">
        <f>IFERROR(final!CS97*100/final!$I97,"")</f>
        <v/>
      </c>
      <c r="CI299" s="39" t="str">
        <f>IFERROR(final!CT97*100/final!$I97,"")</f>
        <v/>
      </c>
      <c r="CJ299" s="39" t="str">
        <f>IFERROR(final!CU97*100/final!$I97,"")</f>
        <v/>
      </c>
      <c r="CK299" s="39" t="str">
        <f>IFERROR(final!CV97*100/final!$I97,"")</f>
        <v/>
      </c>
      <c r="CL299" s="39" t="str">
        <f>IFERROR(final!CW97*100/final!$I97,"")</f>
        <v/>
      </c>
      <c r="CM299" s="39" t="str">
        <f>IFERROR(final!CX97*100/final!$I97,"")</f>
        <v/>
      </c>
      <c r="CN299" s="39" t="str">
        <f>IFERROR(final!CY97*100/final!$I97,"")</f>
        <v/>
      </c>
      <c r="CO299" s="39" t="str">
        <f>IFERROR(final!CZ97*100/final!$I97,"")</f>
        <v/>
      </c>
      <c r="CP299" s="39" t="str">
        <f>IFERROR(final!DA97*100/final!$I97,"")</f>
        <v/>
      </c>
      <c r="CQ299" s="39" t="str">
        <f>IFERROR(final!DB97*100/final!$I97,"")</f>
        <v/>
      </c>
      <c r="CR299" s="39" t="str">
        <f>IFERROR(final!DC97*100/final!$I97,"")</f>
        <v/>
      </c>
      <c r="CS299" s="39" t="str">
        <f>IFERROR(final!DD97*100/final!$I97,"")</f>
        <v/>
      </c>
      <c r="CT299" s="39" t="str">
        <f>IFERROR(final!DE97*100/final!$I97,"")</f>
        <v/>
      </c>
      <c r="CU299" s="39" t="str">
        <f>IFERROR(final!DF97*100/final!$I97,"")</f>
        <v/>
      </c>
      <c r="CV299" s="39" t="str">
        <f>IFERROR(final!DG97*100/final!$I97,"")</f>
        <v/>
      </c>
      <c r="CW299" s="32" t="str">
        <f>IFERROR(SUM(A299:CV299)/final!$DH$103,"")</f>
        <v/>
      </c>
      <c r="CX299" s="14" t="str">
        <f>IF(COUNTA(final!A97),final!A97,"")</f>
        <v/>
      </c>
      <c r="CY299" s="14" t="str">
        <f>IF(COUNTA(final!B97),final!B97,"")</f>
        <v/>
      </c>
      <c r="CZ299" s="14" t="str">
        <f>IF(COUNTA(final!C97),final!C97,"")</f>
        <v/>
      </c>
      <c r="DA299" s="14" t="str">
        <f>IF(COUNTA(final!D97),final!D97,"")</f>
        <v/>
      </c>
      <c r="DB299" s="14" t="str">
        <f>IF(COUNTA(final!E97),final!E97,"")</f>
        <v/>
      </c>
      <c r="DC299" s="14" t="str">
        <f>IF(COUNTA(final!F97),final!F97,"")</f>
        <v/>
      </c>
      <c r="DD299" s="14" t="str">
        <f>IF(COUNTA(final!G97),final!G97,"")</f>
        <v/>
      </c>
      <c r="DE299" s="14" t="str">
        <f>IF(COUNTA(final!H97),final!H97,"")</f>
        <v/>
      </c>
    </row>
    <row r="300" spans="1:109" x14ac:dyDescent="0.2">
      <c r="A300" s="39" t="str">
        <f>IFERROR(final!L98*100/final!$I98,"")</f>
        <v/>
      </c>
      <c r="B300" s="39" t="str">
        <f>IFERROR(final!M98*100/final!$I98,"")</f>
        <v/>
      </c>
      <c r="C300" s="39" t="str">
        <f>IFERROR(final!N98*100/final!$I98,"")</f>
        <v/>
      </c>
      <c r="D300" s="39" t="str">
        <f>IFERROR(final!O98*100/final!$I98,"")</f>
        <v/>
      </c>
      <c r="E300" s="39" t="str">
        <f>IFERROR(final!P98*100/final!$I98,"")</f>
        <v/>
      </c>
      <c r="F300" s="39" t="str">
        <f>IFERROR(final!Q98*100/final!$I98,"")</f>
        <v/>
      </c>
      <c r="G300" s="39" t="str">
        <f>IFERROR(final!R98*100/final!$I98,"")</f>
        <v/>
      </c>
      <c r="H300" s="39" t="str">
        <f>IFERROR(final!S98*100/final!$I98,"")</f>
        <v/>
      </c>
      <c r="I300" s="39" t="str">
        <f>IFERROR(final!T98*100/final!$I98,"")</f>
        <v/>
      </c>
      <c r="J300" s="39" t="str">
        <f>IFERROR(final!U98*100/final!$I98,"")</f>
        <v/>
      </c>
      <c r="K300" s="39" t="str">
        <f>IFERROR(final!V98*100/final!$I98,"")</f>
        <v/>
      </c>
      <c r="L300" s="39" t="str">
        <f>IFERROR(final!W98*100/final!$I98,"")</f>
        <v/>
      </c>
      <c r="M300" s="39" t="str">
        <f>IFERROR(final!X98*100/final!$I98,"")</f>
        <v/>
      </c>
      <c r="N300" s="39" t="str">
        <f>IFERROR(final!Y98*100/final!$I98,"")</f>
        <v/>
      </c>
      <c r="O300" s="39" t="str">
        <f>IFERROR(final!Z98*100/final!$I98,"")</f>
        <v/>
      </c>
      <c r="P300" s="39" t="str">
        <f>IFERROR(final!AA98*100/final!$I98,"")</f>
        <v/>
      </c>
      <c r="Q300" s="39" t="str">
        <f>IFERROR(final!AB98*100/final!$I98,"")</f>
        <v/>
      </c>
      <c r="R300" s="39" t="str">
        <f>IFERROR(final!AC98*100/final!$I98,"")</f>
        <v/>
      </c>
      <c r="S300" s="39" t="str">
        <f>IFERROR(final!AD98*100/final!$I98,"")</f>
        <v/>
      </c>
      <c r="T300" s="39" t="str">
        <f>IFERROR(final!AE98*100/final!$I98,"")</f>
        <v/>
      </c>
      <c r="U300" s="39" t="str">
        <f>IFERROR(final!AF98*100/final!$I98,"")</f>
        <v/>
      </c>
      <c r="V300" s="39" t="str">
        <f>IFERROR(final!AG98*100/final!$I98,"")</f>
        <v/>
      </c>
      <c r="W300" s="39" t="str">
        <f>IFERROR(final!AH98*100/final!$I98,"")</f>
        <v/>
      </c>
      <c r="X300" s="39" t="str">
        <f>IFERROR(final!AI98*100/final!$I98,"")</f>
        <v/>
      </c>
      <c r="Y300" s="39" t="str">
        <f>IFERROR(final!AJ98*100/final!$I98,"")</f>
        <v/>
      </c>
      <c r="Z300" s="39" t="str">
        <f>IFERROR(final!AK98*100/final!$I98,"")</f>
        <v/>
      </c>
      <c r="AA300" s="39" t="str">
        <f>IFERROR(final!AL98*100/final!$I98,"")</f>
        <v/>
      </c>
      <c r="AB300" s="39" t="str">
        <f>IFERROR(final!AM98*100/final!$I98,"")</f>
        <v/>
      </c>
      <c r="AC300" s="39" t="str">
        <f>IFERROR(final!AN98*100/final!$I98,"")</f>
        <v/>
      </c>
      <c r="AD300" s="39" t="str">
        <f>IFERROR(final!AO98*100/final!$I98,"")</f>
        <v/>
      </c>
      <c r="AE300" s="39" t="str">
        <f>IFERROR(final!AP98*100/final!$I98,"")</f>
        <v/>
      </c>
      <c r="AF300" s="39" t="str">
        <f>IFERROR(final!AQ98*100/final!$I98,"")</f>
        <v/>
      </c>
      <c r="AG300" s="39" t="str">
        <f>IFERROR(final!AR98*100/final!$I98,"")</f>
        <v/>
      </c>
      <c r="AH300" s="39" t="str">
        <f>IFERROR(final!AS98*100/final!$I98,"")</f>
        <v/>
      </c>
      <c r="AI300" s="39" t="str">
        <f>IFERROR(final!AT98*100/final!$I98,"")</f>
        <v/>
      </c>
      <c r="AJ300" s="39" t="str">
        <f>IFERROR(final!AU98*100/final!$I98,"")</f>
        <v/>
      </c>
      <c r="AK300" s="39" t="str">
        <f>IFERROR(final!AV98*100/final!$I98,"")</f>
        <v/>
      </c>
      <c r="AL300" s="39" t="str">
        <f>IFERROR(final!AW98*100/final!$I98,"")</f>
        <v/>
      </c>
      <c r="AM300" s="39" t="str">
        <f>IFERROR(final!AX98*100/final!$I98,"")</f>
        <v/>
      </c>
      <c r="AN300" s="39" t="str">
        <f>IFERROR(final!AY98*100/final!$I98,"")</f>
        <v/>
      </c>
      <c r="AO300" s="39" t="str">
        <f>IFERROR(final!AZ98*100/final!$I98,"")</f>
        <v/>
      </c>
      <c r="AP300" s="39" t="str">
        <f>IFERROR(final!BA98*100/final!$I98,"")</f>
        <v/>
      </c>
      <c r="AQ300" s="39" t="str">
        <f>IFERROR(final!BB98*100/final!$I98,"")</f>
        <v/>
      </c>
      <c r="AR300" s="39" t="str">
        <f>IFERROR(final!BC98*100/final!$I98,"")</f>
        <v/>
      </c>
      <c r="AS300" s="39" t="str">
        <f>IFERROR(final!BD98*100/final!$I98,"")</f>
        <v/>
      </c>
      <c r="AT300" s="39" t="str">
        <f>IFERROR(final!BE98*100/final!$I98,"")</f>
        <v/>
      </c>
      <c r="AU300" s="39" t="str">
        <f>IFERROR(final!BF98*100/final!$I98,"")</f>
        <v/>
      </c>
      <c r="AV300" s="39" t="str">
        <f>IFERROR(final!BG98*100/final!$I98,"")</f>
        <v/>
      </c>
      <c r="AW300" s="39" t="str">
        <f>IFERROR(final!BH98*100/final!$I98,"")</f>
        <v/>
      </c>
      <c r="AX300" s="39" t="str">
        <f>IFERROR(final!BI98*100/final!$I98,"")</f>
        <v/>
      </c>
      <c r="AY300" s="39" t="str">
        <f>IFERROR(final!BJ98*100/final!$I98,"")</f>
        <v/>
      </c>
      <c r="AZ300" s="39" t="str">
        <f>IFERROR(final!BK98*100/final!$I98,"")</f>
        <v/>
      </c>
      <c r="BA300" s="39" t="str">
        <f>IFERROR(final!BL98*100/final!$I98,"")</f>
        <v/>
      </c>
      <c r="BB300" s="39" t="str">
        <f>IFERROR(final!BM98*100/final!$I98,"")</f>
        <v/>
      </c>
      <c r="BC300" s="39" t="str">
        <f>IFERROR(final!BN98*100/final!$I98,"")</f>
        <v/>
      </c>
      <c r="BD300" s="39" t="str">
        <f>IFERROR(final!BO98*100/final!$I98,"")</f>
        <v/>
      </c>
      <c r="BE300" s="39" t="str">
        <f>IFERROR(final!BP98*100/final!$I98,"")</f>
        <v/>
      </c>
      <c r="BF300" s="39" t="str">
        <f>IFERROR(final!BQ98*100/final!$I98,"")</f>
        <v/>
      </c>
      <c r="BG300" s="39" t="str">
        <f>IFERROR(final!BR98*100/final!$I98,"")</f>
        <v/>
      </c>
      <c r="BH300" s="39" t="str">
        <f>IFERROR(final!BS98*100/final!$I98,"")</f>
        <v/>
      </c>
      <c r="BI300" s="39" t="str">
        <f>IFERROR(final!BT98*100/final!$I98,"")</f>
        <v/>
      </c>
      <c r="BJ300" s="39" t="str">
        <f>IFERROR(final!BU98*100/final!$I98,"")</f>
        <v/>
      </c>
      <c r="BK300" s="39" t="str">
        <f>IFERROR(final!BV98*100/final!$I98,"")</f>
        <v/>
      </c>
      <c r="BL300" s="39" t="str">
        <f>IFERROR(final!BW98*100/final!$I98,"")</f>
        <v/>
      </c>
      <c r="BM300" s="39" t="str">
        <f>IFERROR(final!BX98*100/final!$I98,"")</f>
        <v/>
      </c>
      <c r="BN300" s="39" t="str">
        <f>IFERROR(final!BY98*100/final!$I98,"")</f>
        <v/>
      </c>
      <c r="BO300" s="39" t="str">
        <f>IFERROR(final!BZ98*100/final!$I98,"")</f>
        <v/>
      </c>
      <c r="BP300" s="39" t="str">
        <f>IFERROR(final!CA98*100/final!$I98,"")</f>
        <v/>
      </c>
      <c r="BQ300" s="39" t="str">
        <f>IFERROR(final!CB98*100/final!$I98,"")</f>
        <v/>
      </c>
      <c r="BR300" s="39" t="str">
        <f>IFERROR(final!CC98*100/final!$I98,"")</f>
        <v/>
      </c>
      <c r="BS300" s="39" t="str">
        <f>IFERROR(final!CD98*100/final!$I98,"")</f>
        <v/>
      </c>
      <c r="BT300" s="39" t="str">
        <f>IFERROR(final!CE98*100/final!$I98,"")</f>
        <v/>
      </c>
      <c r="BU300" s="39" t="str">
        <f>IFERROR(final!CF98*100/final!$I98,"")</f>
        <v/>
      </c>
      <c r="BV300" s="39" t="str">
        <f>IFERROR(final!CG98*100/final!$I98,"")</f>
        <v/>
      </c>
      <c r="BW300" s="39" t="str">
        <f>IFERROR(final!CH98*100/final!$I98,"")</f>
        <v/>
      </c>
      <c r="BX300" s="39" t="str">
        <f>IFERROR(final!CI98*100/final!$I98,"")</f>
        <v/>
      </c>
      <c r="BY300" s="39" t="str">
        <f>IFERROR(final!CJ98*100/final!$I98,"")</f>
        <v/>
      </c>
      <c r="BZ300" s="39" t="str">
        <f>IFERROR(final!CK98*100/final!$I98,"")</f>
        <v/>
      </c>
      <c r="CA300" s="39" t="str">
        <f>IFERROR(final!CL98*100/final!$I98,"")</f>
        <v/>
      </c>
      <c r="CB300" s="39" t="str">
        <f>IFERROR(final!CM98*100/final!$I98,"")</f>
        <v/>
      </c>
      <c r="CC300" s="39" t="str">
        <f>IFERROR(final!CN98*100/final!$I98,"")</f>
        <v/>
      </c>
      <c r="CD300" s="39" t="str">
        <f>IFERROR(final!CO98*100/final!$I98,"")</f>
        <v/>
      </c>
      <c r="CE300" s="39" t="str">
        <f>IFERROR(final!CP98*100/final!$I98,"")</f>
        <v/>
      </c>
      <c r="CF300" s="39" t="str">
        <f>IFERROR(final!CQ98*100/final!$I98,"")</f>
        <v/>
      </c>
      <c r="CG300" s="39" t="str">
        <f>IFERROR(final!CR98*100/final!$I98,"")</f>
        <v/>
      </c>
      <c r="CH300" s="39" t="str">
        <f>IFERROR(final!CS98*100/final!$I98,"")</f>
        <v/>
      </c>
      <c r="CI300" s="39" t="str">
        <f>IFERROR(final!CT98*100/final!$I98,"")</f>
        <v/>
      </c>
      <c r="CJ300" s="39" t="str">
        <f>IFERROR(final!CU98*100/final!$I98,"")</f>
        <v/>
      </c>
      <c r="CK300" s="39" t="str">
        <f>IFERROR(final!CV98*100/final!$I98,"")</f>
        <v/>
      </c>
      <c r="CL300" s="39" t="str">
        <f>IFERROR(final!CW98*100/final!$I98,"")</f>
        <v/>
      </c>
      <c r="CM300" s="39" t="str">
        <f>IFERROR(final!CX98*100/final!$I98,"")</f>
        <v/>
      </c>
      <c r="CN300" s="39" t="str">
        <f>IFERROR(final!CY98*100/final!$I98,"")</f>
        <v/>
      </c>
      <c r="CO300" s="39" t="str">
        <f>IFERROR(final!CZ98*100/final!$I98,"")</f>
        <v/>
      </c>
      <c r="CP300" s="39" t="str">
        <f>IFERROR(final!DA98*100/final!$I98,"")</f>
        <v/>
      </c>
      <c r="CQ300" s="39" t="str">
        <f>IFERROR(final!DB98*100/final!$I98,"")</f>
        <v/>
      </c>
      <c r="CR300" s="39" t="str">
        <f>IFERROR(final!DC98*100/final!$I98,"")</f>
        <v/>
      </c>
      <c r="CS300" s="39" t="str">
        <f>IFERROR(final!DD98*100/final!$I98,"")</f>
        <v/>
      </c>
      <c r="CT300" s="39" t="str">
        <f>IFERROR(final!DE98*100/final!$I98,"")</f>
        <v/>
      </c>
      <c r="CU300" s="39" t="str">
        <f>IFERROR(final!DF98*100/final!$I98,"")</f>
        <v/>
      </c>
      <c r="CV300" s="39" t="str">
        <f>IFERROR(final!DG98*100/final!$I98,"")</f>
        <v/>
      </c>
      <c r="CW300" s="32" t="str">
        <f>IFERROR(SUM(A300:CV300)/final!$DH$103,"")</f>
        <v/>
      </c>
      <c r="CX300" s="14" t="str">
        <f>IF(COUNTA(final!A98),final!A98,"")</f>
        <v/>
      </c>
      <c r="CY300" s="14" t="str">
        <f>IF(COUNTA(final!B98),final!B98,"")</f>
        <v/>
      </c>
      <c r="CZ300" s="14" t="str">
        <f>IF(COUNTA(final!C98),final!C98,"")</f>
        <v/>
      </c>
      <c r="DA300" s="14" t="str">
        <f>IF(COUNTA(final!D98),final!D98,"")</f>
        <v/>
      </c>
      <c r="DB300" s="14" t="str">
        <f>IF(COUNTA(final!E98),final!E98,"")</f>
        <v/>
      </c>
      <c r="DC300" s="14" t="str">
        <f>IF(COUNTA(final!F98),final!F98,"")</f>
        <v/>
      </c>
      <c r="DD300" s="14" t="str">
        <f>IF(COUNTA(final!G98),final!G98,"")</f>
        <v/>
      </c>
      <c r="DE300" s="14" t="str">
        <f>IF(COUNTA(final!H98),final!H98,"")</f>
        <v/>
      </c>
    </row>
    <row r="301" spans="1:109" x14ac:dyDescent="0.2">
      <c r="A301" s="39" t="str">
        <f>IFERROR(final!L99*100/final!$I99,"")</f>
        <v/>
      </c>
      <c r="B301" s="39" t="str">
        <f>IFERROR(final!M99*100/final!$I99,"")</f>
        <v/>
      </c>
      <c r="C301" s="39" t="str">
        <f>IFERROR(final!N99*100/final!$I99,"")</f>
        <v/>
      </c>
      <c r="D301" s="39" t="str">
        <f>IFERROR(final!O99*100/final!$I99,"")</f>
        <v/>
      </c>
      <c r="E301" s="39" t="str">
        <f>IFERROR(final!P99*100/final!$I99,"")</f>
        <v/>
      </c>
      <c r="F301" s="39" t="str">
        <f>IFERROR(final!Q99*100/final!$I99,"")</f>
        <v/>
      </c>
      <c r="G301" s="39" t="str">
        <f>IFERROR(final!R99*100/final!$I99,"")</f>
        <v/>
      </c>
      <c r="H301" s="39" t="str">
        <f>IFERROR(final!S99*100/final!$I99,"")</f>
        <v/>
      </c>
      <c r="I301" s="39" t="str">
        <f>IFERROR(final!T99*100/final!$I99,"")</f>
        <v/>
      </c>
      <c r="J301" s="39" t="str">
        <f>IFERROR(final!U99*100/final!$I99,"")</f>
        <v/>
      </c>
      <c r="K301" s="39" t="str">
        <f>IFERROR(final!V99*100/final!$I99,"")</f>
        <v/>
      </c>
      <c r="L301" s="39" t="str">
        <f>IFERROR(final!W99*100/final!$I99,"")</f>
        <v/>
      </c>
      <c r="M301" s="39" t="str">
        <f>IFERROR(final!X99*100/final!$I99,"")</f>
        <v/>
      </c>
      <c r="N301" s="39" t="str">
        <f>IFERROR(final!Y99*100/final!$I99,"")</f>
        <v/>
      </c>
      <c r="O301" s="39" t="str">
        <f>IFERROR(final!Z99*100/final!$I99,"")</f>
        <v/>
      </c>
      <c r="P301" s="39" t="str">
        <f>IFERROR(final!AA99*100/final!$I99,"")</f>
        <v/>
      </c>
      <c r="Q301" s="39" t="str">
        <f>IFERROR(final!AB99*100/final!$I99,"")</f>
        <v/>
      </c>
      <c r="R301" s="39" t="str">
        <f>IFERROR(final!AC99*100/final!$I99,"")</f>
        <v/>
      </c>
      <c r="S301" s="39" t="str">
        <f>IFERROR(final!AD99*100/final!$I99,"")</f>
        <v/>
      </c>
      <c r="T301" s="39" t="str">
        <f>IFERROR(final!AE99*100/final!$I99,"")</f>
        <v/>
      </c>
      <c r="U301" s="39" t="str">
        <f>IFERROR(final!AF99*100/final!$I99,"")</f>
        <v/>
      </c>
      <c r="V301" s="39" t="str">
        <f>IFERROR(final!AG99*100/final!$I99,"")</f>
        <v/>
      </c>
      <c r="W301" s="39" t="str">
        <f>IFERROR(final!AH99*100/final!$I99,"")</f>
        <v/>
      </c>
      <c r="X301" s="39" t="str">
        <f>IFERROR(final!AI99*100/final!$I99,"")</f>
        <v/>
      </c>
      <c r="Y301" s="39" t="str">
        <f>IFERROR(final!AJ99*100/final!$I99,"")</f>
        <v/>
      </c>
      <c r="Z301" s="39" t="str">
        <f>IFERROR(final!AK99*100/final!$I99,"")</f>
        <v/>
      </c>
      <c r="AA301" s="39" t="str">
        <f>IFERROR(final!AL99*100/final!$I99,"")</f>
        <v/>
      </c>
      <c r="AB301" s="39" t="str">
        <f>IFERROR(final!AM99*100/final!$I99,"")</f>
        <v/>
      </c>
      <c r="AC301" s="39" t="str">
        <f>IFERROR(final!AN99*100/final!$I99,"")</f>
        <v/>
      </c>
      <c r="AD301" s="39" t="str">
        <f>IFERROR(final!AO99*100/final!$I99,"")</f>
        <v/>
      </c>
      <c r="AE301" s="39" t="str">
        <f>IFERROR(final!AP99*100/final!$I99,"")</f>
        <v/>
      </c>
      <c r="AF301" s="39" t="str">
        <f>IFERROR(final!AQ99*100/final!$I99,"")</f>
        <v/>
      </c>
      <c r="AG301" s="39" t="str">
        <f>IFERROR(final!AR99*100/final!$I99,"")</f>
        <v/>
      </c>
      <c r="AH301" s="39" t="str">
        <f>IFERROR(final!AS99*100/final!$I99,"")</f>
        <v/>
      </c>
      <c r="AI301" s="39" t="str">
        <f>IFERROR(final!AT99*100/final!$I99,"")</f>
        <v/>
      </c>
      <c r="AJ301" s="39" t="str">
        <f>IFERROR(final!AU99*100/final!$I99,"")</f>
        <v/>
      </c>
      <c r="AK301" s="39" t="str">
        <f>IFERROR(final!AV99*100/final!$I99,"")</f>
        <v/>
      </c>
      <c r="AL301" s="39" t="str">
        <f>IFERROR(final!AW99*100/final!$I99,"")</f>
        <v/>
      </c>
      <c r="AM301" s="39" t="str">
        <f>IFERROR(final!AX99*100/final!$I99,"")</f>
        <v/>
      </c>
      <c r="AN301" s="39" t="str">
        <f>IFERROR(final!AY99*100/final!$I99,"")</f>
        <v/>
      </c>
      <c r="AO301" s="39" t="str">
        <f>IFERROR(final!AZ99*100/final!$I99,"")</f>
        <v/>
      </c>
      <c r="AP301" s="39" t="str">
        <f>IFERROR(final!BA99*100/final!$I99,"")</f>
        <v/>
      </c>
      <c r="AQ301" s="39" t="str">
        <f>IFERROR(final!BB99*100/final!$I99,"")</f>
        <v/>
      </c>
      <c r="AR301" s="39" t="str">
        <f>IFERROR(final!BC99*100/final!$I99,"")</f>
        <v/>
      </c>
      <c r="AS301" s="39" t="str">
        <f>IFERROR(final!BD99*100/final!$I99,"")</f>
        <v/>
      </c>
      <c r="AT301" s="39" t="str">
        <f>IFERROR(final!BE99*100/final!$I99,"")</f>
        <v/>
      </c>
      <c r="AU301" s="39" t="str">
        <f>IFERROR(final!BF99*100/final!$I99,"")</f>
        <v/>
      </c>
      <c r="AV301" s="39" t="str">
        <f>IFERROR(final!BG99*100/final!$I99,"")</f>
        <v/>
      </c>
      <c r="AW301" s="39" t="str">
        <f>IFERROR(final!BH99*100/final!$I99,"")</f>
        <v/>
      </c>
      <c r="AX301" s="39" t="str">
        <f>IFERROR(final!BI99*100/final!$I99,"")</f>
        <v/>
      </c>
      <c r="AY301" s="39" t="str">
        <f>IFERROR(final!BJ99*100/final!$I99,"")</f>
        <v/>
      </c>
      <c r="AZ301" s="39" t="str">
        <f>IFERROR(final!BK99*100/final!$I99,"")</f>
        <v/>
      </c>
      <c r="BA301" s="39" t="str">
        <f>IFERROR(final!BL99*100/final!$I99,"")</f>
        <v/>
      </c>
      <c r="BB301" s="39" t="str">
        <f>IFERROR(final!BM99*100/final!$I99,"")</f>
        <v/>
      </c>
      <c r="BC301" s="39" t="str">
        <f>IFERROR(final!BN99*100/final!$I99,"")</f>
        <v/>
      </c>
      <c r="BD301" s="39" t="str">
        <f>IFERROR(final!BO99*100/final!$I99,"")</f>
        <v/>
      </c>
      <c r="BE301" s="39" t="str">
        <f>IFERROR(final!BP99*100/final!$I99,"")</f>
        <v/>
      </c>
      <c r="BF301" s="39" t="str">
        <f>IFERROR(final!BQ99*100/final!$I99,"")</f>
        <v/>
      </c>
      <c r="BG301" s="39" t="str">
        <f>IFERROR(final!BR99*100/final!$I99,"")</f>
        <v/>
      </c>
      <c r="BH301" s="39" t="str">
        <f>IFERROR(final!BS99*100/final!$I99,"")</f>
        <v/>
      </c>
      <c r="BI301" s="39" t="str">
        <f>IFERROR(final!BT99*100/final!$I99,"")</f>
        <v/>
      </c>
      <c r="BJ301" s="39" t="str">
        <f>IFERROR(final!BU99*100/final!$I99,"")</f>
        <v/>
      </c>
      <c r="BK301" s="39" t="str">
        <f>IFERROR(final!BV99*100/final!$I99,"")</f>
        <v/>
      </c>
      <c r="BL301" s="39" t="str">
        <f>IFERROR(final!BW99*100/final!$I99,"")</f>
        <v/>
      </c>
      <c r="BM301" s="39" t="str">
        <f>IFERROR(final!BX99*100/final!$I99,"")</f>
        <v/>
      </c>
      <c r="BN301" s="39" t="str">
        <f>IFERROR(final!BY99*100/final!$I99,"")</f>
        <v/>
      </c>
      <c r="BO301" s="39" t="str">
        <f>IFERROR(final!BZ99*100/final!$I99,"")</f>
        <v/>
      </c>
      <c r="BP301" s="39" t="str">
        <f>IFERROR(final!CA99*100/final!$I99,"")</f>
        <v/>
      </c>
      <c r="BQ301" s="39" t="str">
        <f>IFERROR(final!CB99*100/final!$I99,"")</f>
        <v/>
      </c>
      <c r="BR301" s="39" t="str">
        <f>IFERROR(final!CC99*100/final!$I99,"")</f>
        <v/>
      </c>
      <c r="BS301" s="39" t="str">
        <f>IFERROR(final!CD99*100/final!$I99,"")</f>
        <v/>
      </c>
      <c r="BT301" s="39" t="str">
        <f>IFERROR(final!CE99*100/final!$I99,"")</f>
        <v/>
      </c>
      <c r="BU301" s="39" t="str">
        <f>IFERROR(final!CF99*100/final!$I99,"")</f>
        <v/>
      </c>
      <c r="BV301" s="39" t="str">
        <f>IFERROR(final!CG99*100/final!$I99,"")</f>
        <v/>
      </c>
      <c r="BW301" s="39" t="str">
        <f>IFERROR(final!CH99*100/final!$I99,"")</f>
        <v/>
      </c>
      <c r="BX301" s="39" t="str">
        <f>IFERROR(final!CI99*100/final!$I99,"")</f>
        <v/>
      </c>
      <c r="BY301" s="39" t="str">
        <f>IFERROR(final!CJ99*100/final!$I99,"")</f>
        <v/>
      </c>
      <c r="BZ301" s="39" t="str">
        <f>IFERROR(final!CK99*100/final!$I99,"")</f>
        <v/>
      </c>
      <c r="CA301" s="39" t="str">
        <f>IFERROR(final!CL99*100/final!$I99,"")</f>
        <v/>
      </c>
      <c r="CB301" s="39" t="str">
        <f>IFERROR(final!CM99*100/final!$I99,"")</f>
        <v/>
      </c>
      <c r="CC301" s="39" t="str">
        <f>IFERROR(final!CN99*100/final!$I99,"")</f>
        <v/>
      </c>
      <c r="CD301" s="39" t="str">
        <f>IFERROR(final!CO99*100/final!$I99,"")</f>
        <v/>
      </c>
      <c r="CE301" s="39" t="str">
        <f>IFERROR(final!CP99*100/final!$I99,"")</f>
        <v/>
      </c>
      <c r="CF301" s="39" t="str">
        <f>IFERROR(final!CQ99*100/final!$I99,"")</f>
        <v/>
      </c>
      <c r="CG301" s="39" t="str">
        <f>IFERROR(final!CR99*100/final!$I99,"")</f>
        <v/>
      </c>
      <c r="CH301" s="39" t="str">
        <f>IFERROR(final!CS99*100/final!$I99,"")</f>
        <v/>
      </c>
      <c r="CI301" s="39" t="str">
        <f>IFERROR(final!CT99*100/final!$I99,"")</f>
        <v/>
      </c>
      <c r="CJ301" s="39" t="str">
        <f>IFERROR(final!CU99*100/final!$I99,"")</f>
        <v/>
      </c>
      <c r="CK301" s="39" t="str">
        <f>IFERROR(final!CV99*100/final!$I99,"")</f>
        <v/>
      </c>
      <c r="CL301" s="39" t="str">
        <f>IFERROR(final!CW99*100/final!$I99,"")</f>
        <v/>
      </c>
      <c r="CM301" s="39" t="str">
        <f>IFERROR(final!CX99*100/final!$I99,"")</f>
        <v/>
      </c>
      <c r="CN301" s="39" t="str">
        <f>IFERROR(final!CY99*100/final!$I99,"")</f>
        <v/>
      </c>
      <c r="CO301" s="39" t="str">
        <f>IFERROR(final!CZ99*100/final!$I99,"")</f>
        <v/>
      </c>
      <c r="CP301" s="39" t="str">
        <f>IFERROR(final!DA99*100/final!$I99,"")</f>
        <v/>
      </c>
      <c r="CQ301" s="39" t="str">
        <f>IFERROR(final!DB99*100/final!$I99,"")</f>
        <v/>
      </c>
      <c r="CR301" s="39" t="str">
        <f>IFERROR(final!DC99*100/final!$I99,"")</f>
        <v/>
      </c>
      <c r="CS301" s="39" t="str">
        <f>IFERROR(final!DD99*100/final!$I99,"")</f>
        <v/>
      </c>
      <c r="CT301" s="39" t="str">
        <f>IFERROR(final!DE99*100/final!$I99,"")</f>
        <v/>
      </c>
      <c r="CU301" s="39" t="str">
        <f>IFERROR(final!DF99*100/final!$I99,"")</f>
        <v/>
      </c>
      <c r="CV301" s="39" t="str">
        <f>IFERROR(final!DG99*100/final!$I99,"")</f>
        <v/>
      </c>
      <c r="CW301" s="32" t="str">
        <f>IFERROR(SUM(A301:CV301)/final!$DH$103,"")</f>
        <v/>
      </c>
      <c r="CX301" s="14" t="str">
        <f>IF(COUNTA(final!A99),final!A99,"")</f>
        <v/>
      </c>
      <c r="CY301" s="14" t="str">
        <f>IF(COUNTA(final!B99),final!B99,"")</f>
        <v/>
      </c>
      <c r="CZ301" s="14" t="str">
        <f>IF(COUNTA(final!C99),final!C99,"")</f>
        <v/>
      </c>
      <c r="DA301" s="14" t="str">
        <f>IF(COUNTA(final!D99),final!D99,"")</f>
        <v/>
      </c>
      <c r="DB301" s="14" t="str">
        <f>IF(COUNTA(final!E99),final!E99,"")</f>
        <v/>
      </c>
      <c r="DC301" s="14" t="str">
        <f>IF(COUNTA(final!F99),final!F99,"")</f>
        <v/>
      </c>
      <c r="DD301" s="14" t="str">
        <f>IF(COUNTA(final!G99),final!G99,"")</f>
        <v/>
      </c>
      <c r="DE301" s="14" t="str">
        <f>IF(COUNTA(final!H99),final!H99,"")</f>
        <v/>
      </c>
    </row>
    <row r="302" spans="1:109" x14ac:dyDescent="0.2">
      <c r="A302" s="39" t="str">
        <f>IFERROR(final!L100*100/final!$I100,"")</f>
        <v/>
      </c>
      <c r="B302" s="39" t="str">
        <f>IFERROR(final!M100*100/final!$I100,"")</f>
        <v/>
      </c>
      <c r="C302" s="39" t="str">
        <f>IFERROR(final!N100*100/final!$I100,"")</f>
        <v/>
      </c>
      <c r="D302" s="39" t="str">
        <f>IFERROR(final!O100*100/final!$I100,"")</f>
        <v/>
      </c>
      <c r="E302" s="39" t="str">
        <f>IFERROR(final!P100*100/final!$I100,"")</f>
        <v/>
      </c>
      <c r="F302" s="39" t="str">
        <f>IFERROR(final!Q100*100/final!$I100,"")</f>
        <v/>
      </c>
      <c r="G302" s="39" t="str">
        <f>IFERROR(final!R100*100/final!$I100,"")</f>
        <v/>
      </c>
      <c r="H302" s="39" t="str">
        <f>IFERROR(final!S100*100/final!$I100,"")</f>
        <v/>
      </c>
      <c r="I302" s="39" t="str">
        <f>IFERROR(final!T100*100/final!$I100,"")</f>
        <v/>
      </c>
      <c r="J302" s="39" t="str">
        <f>IFERROR(final!U100*100/final!$I100,"")</f>
        <v/>
      </c>
      <c r="K302" s="39" t="str">
        <f>IFERROR(final!V100*100/final!$I100,"")</f>
        <v/>
      </c>
      <c r="L302" s="39" t="str">
        <f>IFERROR(final!W100*100/final!$I100,"")</f>
        <v/>
      </c>
      <c r="M302" s="39" t="str">
        <f>IFERROR(final!X100*100/final!$I100,"")</f>
        <v/>
      </c>
      <c r="N302" s="39" t="str">
        <f>IFERROR(final!Y100*100/final!$I100,"")</f>
        <v/>
      </c>
      <c r="O302" s="39" t="str">
        <f>IFERROR(final!Z100*100/final!$I100,"")</f>
        <v/>
      </c>
      <c r="P302" s="39" t="str">
        <f>IFERROR(final!AA100*100/final!$I100,"")</f>
        <v/>
      </c>
      <c r="Q302" s="39" t="str">
        <f>IFERROR(final!AB100*100/final!$I100,"")</f>
        <v/>
      </c>
      <c r="R302" s="39" t="str">
        <f>IFERROR(final!AC100*100/final!$I100,"")</f>
        <v/>
      </c>
      <c r="S302" s="39" t="str">
        <f>IFERROR(final!AD100*100/final!$I100,"")</f>
        <v/>
      </c>
      <c r="T302" s="39" t="str">
        <f>IFERROR(final!AE100*100/final!$I100,"")</f>
        <v/>
      </c>
      <c r="U302" s="39" t="str">
        <f>IFERROR(final!AF100*100/final!$I100,"")</f>
        <v/>
      </c>
      <c r="V302" s="39" t="str">
        <f>IFERROR(final!AG100*100/final!$I100,"")</f>
        <v/>
      </c>
      <c r="W302" s="39" t="str">
        <f>IFERROR(final!AH100*100/final!$I100,"")</f>
        <v/>
      </c>
      <c r="X302" s="39" t="str">
        <f>IFERROR(final!AI100*100/final!$I100,"")</f>
        <v/>
      </c>
      <c r="Y302" s="39" t="str">
        <f>IFERROR(final!AJ100*100/final!$I100,"")</f>
        <v/>
      </c>
      <c r="Z302" s="39" t="str">
        <f>IFERROR(final!AK100*100/final!$I100,"")</f>
        <v/>
      </c>
      <c r="AA302" s="39" t="str">
        <f>IFERROR(final!AL100*100/final!$I100,"")</f>
        <v/>
      </c>
      <c r="AB302" s="39" t="str">
        <f>IFERROR(final!AM100*100/final!$I100,"")</f>
        <v/>
      </c>
      <c r="AC302" s="39" t="str">
        <f>IFERROR(final!AN100*100/final!$I100,"")</f>
        <v/>
      </c>
      <c r="AD302" s="39" t="str">
        <f>IFERROR(final!AO100*100/final!$I100,"")</f>
        <v/>
      </c>
      <c r="AE302" s="39" t="str">
        <f>IFERROR(final!AP100*100/final!$I100,"")</f>
        <v/>
      </c>
      <c r="AF302" s="39" t="str">
        <f>IFERROR(final!AQ100*100/final!$I100,"")</f>
        <v/>
      </c>
      <c r="AG302" s="39" t="str">
        <f>IFERROR(final!AR100*100/final!$I100,"")</f>
        <v/>
      </c>
      <c r="AH302" s="39" t="str">
        <f>IFERROR(final!AS100*100/final!$I100,"")</f>
        <v/>
      </c>
      <c r="AI302" s="39" t="str">
        <f>IFERROR(final!AT100*100/final!$I100,"")</f>
        <v/>
      </c>
      <c r="AJ302" s="39" t="str">
        <f>IFERROR(final!AU100*100/final!$I100,"")</f>
        <v/>
      </c>
      <c r="AK302" s="39" t="str">
        <f>IFERROR(final!AV100*100/final!$I100,"")</f>
        <v/>
      </c>
      <c r="AL302" s="39" t="str">
        <f>IFERROR(final!AW100*100/final!$I100,"")</f>
        <v/>
      </c>
      <c r="AM302" s="39" t="str">
        <f>IFERROR(final!AX100*100/final!$I100,"")</f>
        <v/>
      </c>
      <c r="AN302" s="39" t="str">
        <f>IFERROR(final!AY100*100/final!$I100,"")</f>
        <v/>
      </c>
      <c r="AO302" s="39" t="str">
        <f>IFERROR(final!AZ100*100/final!$I100,"")</f>
        <v/>
      </c>
      <c r="AP302" s="39" t="str">
        <f>IFERROR(final!BA100*100/final!$I100,"")</f>
        <v/>
      </c>
      <c r="AQ302" s="39" t="str">
        <f>IFERROR(final!BB100*100/final!$I100,"")</f>
        <v/>
      </c>
      <c r="AR302" s="39" t="str">
        <f>IFERROR(final!BC100*100/final!$I100,"")</f>
        <v/>
      </c>
      <c r="AS302" s="39" t="str">
        <f>IFERROR(final!BD100*100/final!$I100,"")</f>
        <v/>
      </c>
      <c r="AT302" s="39" t="str">
        <f>IFERROR(final!BE100*100/final!$I100,"")</f>
        <v/>
      </c>
      <c r="AU302" s="39" t="str">
        <f>IFERROR(final!BF100*100/final!$I100,"")</f>
        <v/>
      </c>
      <c r="AV302" s="39" t="str">
        <f>IFERROR(final!BG100*100/final!$I100,"")</f>
        <v/>
      </c>
      <c r="AW302" s="39" t="str">
        <f>IFERROR(final!BH100*100/final!$I100,"")</f>
        <v/>
      </c>
      <c r="AX302" s="39" t="str">
        <f>IFERROR(final!BI100*100/final!$I100,"")</f>
        <v/>
      </c>
      <c r="AY302" s="39" t="str">
        <f>IFERROR(final!BJ100*100/final!$I100,"")</f>
        <v/>
      </c>
      <c r="AZ302" s="39" t="str">
        <f>IFERROR(final!BK100*100/final!$I100,"")</f>
        <v/>
      </c>
      <c r="BA302" s="39" t="str">
        <f>IFERROR(final!BL100*100/final!$I100,"")</f>
        <v/>
      </c>
      <c r="BB302" s="39" t="str">
        <f>IFERROR(final!BM100*100/final!$I100,"")</f>
        <v/>
      </c>
      <c r="BC302" s="39" t="str">
        <f>IFERROR(final!BN100*100/final!$I100,"")</f>
        <v/>
      </c>
      <c r="BD302" s="39" t="str">
        <f>IFERROR(final!BO100*100/final!$I100,"")</f>
        <v/>
      </c>
      <c r="BE302" s="39" t="str">
        <f>IFERROR(final!BP100*100/final!$I100,"")</f>
        <v/>
      </c>
      <c r="BF302" s="39" t="str">
        <f>IFERROR(final!BQ100*100/final!$I100,"")</f>
        <v/>
      </c>
      <c r="BG302" s="39" t="str">
        <f>IFERROR(final!BR100*100/final!$I100,"")</f>
        <v/>
      </c>
      <c r="BH302" s="39" t="str">
        <f>IFERROR(final!BS100*100/final!$I100,"")</f>
        <v/>
      </c>
      <c r="BI302" s="39" t="str">
        <f>IFERROR(final!BT100*100/final!$I100,"")</f>
        <v/>
      </c>
      <c r="BJ302" s="39" t="str">
        <f>IFERROR(final!BU100*100/final!$I100,"")</f>
        <v/>
      </c>
      <c r="BK302" s="39" t="str">
        <f>IFERROR(final!BV100*100/final!$I100,"")</f>
        <v/>
      </c>
      <c r="BL302" s="39" t="str">
        <f>IFERROR(final!BW100*100/final!$I100,"")</f>
        <v/>
      </c>
      <c r="BM302" s="39" t="str">
        <f>IFERROR(final!BX100*100/final!$I100,"")</f>
        <v/>
      </c>
      <c r="BN302" s="39" t="str">
        <f>IFERROR(final!BY100*100/final!$I100,"")</f>
        <v/>
      </c>
      <c r="BO302" s="39" t="str">
        <f>IFERROR(final!BZ100*100/final!$I100,"")</f>
        <v/>
      </c>
      <c r="BP302" s="39" t="str">
        <f>IFERROR(final!CA100*100/final!$I100,"")</f>
        <v/>
      </c>
      <c r="BQ302" s="39" t="str">
        <f>IFERROR(final!CB100*100/final!$I100,"")</f>
        <v/>
      </c>
      <c r="BR302" s="39" t="str">
        <f>IFERROR(final!CC100*100/final!$I100,"")</f>
        <v/>
      </c>
      <c r="BS302" s="39" t="str">
        <f>IFERROR(final!CD100*100/final!$I100,"")</f>
        <v/>
      </c>
      <c r="BT302" s="39" t="str">
        <f>IFERROR(final!CE100*100/final!$I100,"")</f>
        <v/>
      </c>
      <c r="BU302" s="39" t="str">
        <f>IFERROR(final!CF100*100/final!$I100,"")</f>
        <v/>
      </c>
      <c r="BV302" s="39" t="str">
        <f>IFERROR(final!CG100*100/final!$I100,"")</f>
        <v/>
      </c>
      <c r="BW302" s="39" t="str">
        <f>IFERROR(final!CH100*100/final!$I100,"")</f>
        <v/>
      </c>
      <c r="BX302" s="39" t="str">
        <f>IFERROR(final!CI100*100/final!$I100,"")</f>
        <v/>
      </c>
      <c r="BY302" s="39" t="str">
        <f>IFERROR(final!CJ100*100/final!$I100,"")</f>
        <v/>
      </c>
      <c r="BZ302" s="39" t="str">
        <f>IFERROR(final!CK100*100/final!$I100,"")</f>
        <v/>
      </c>
      <c r="CA302" s="39" t="str">
        <f>IFERROR(final!CL100*100/final!$I100,"")</f>
        <v/>
      </c>
      <c r="CB302" s="39" t="str">
        <f>IFERROR(final!CM100*100/final!$I100,"")</f>
        <v/>
      </c>
      <c r="CC302" s="39" t="str">
        <f>IFERROR(final!CN100*100/final!$I100,"")</f>
        <v/>
      </c>
      <c r="CD302" s="39" t="str">
        <f>IFERROR(final!CO100*100/final!$I100,"")</f>
        <v/>
      </c>
      <c r="CE302" s="39" t="str">
        <f>IFERROR(final!CP100*100/final!$I100,"")</f>
        <v/>
      </c>
      <c r="CF302" s="39" t="str">
        <f>IFERROR(final!CQ100*100/final!$I100,"")</f>
        <v/>
      </c>
      <c r="CG302" s="39" t="str">
        <f>IFERROR(final!CR100*100/final!$I100,"")</f>
        <v/>
      </c>
      <c r="CH302" s="39" t="str">
        <f>IFERROR(final!CS100*100/final!$I100,"")</f>
        <v/>
      </c>
      <c r="CI302" s="39" t="str">
        <f>IFERROR(final!CT100*100/final!$I100,"")</f>
        <v/>
      </c>
      <c r="CJ302" s="39" t="str">
        <f>IFERROR(final!CU100*100/final!$I100,"")</f>
        <v/>
      </c>
      <c r="CK302" s="39" t="str">
        <f>IFERROR(final!CV100*100/final!$I100,"")</f>
        <v/>
      </c>
      <c r="CL302" s="39" t="str">
        <f>IFERROR(final!CW100*100/final!$I100,"")</f>
        <v/>
      </c>
      <c r="CM302" s="39" t="str">
        <f>IFERROR(final!CX100*100/final!$I100,"")</f>
        <v/>
      </c>
      <c r="CN302" s="39" t="str">
        <f>IFERROR(final!CY100*100/final!$I100,"")</f>
        <v/>
      </c>
      <c r="CO302" s="39" t="str">
        <f>IFERROR(final!CZ100*100/final!$I100,"")</f>
        <v/>
      </c>
      <c r="CP302" s="39" t="str">
        <f>IFERROR(final!DA100*100/final!$I100,"")</f>
        <v/>
      </c>
      <c r="CQ302" s="39" t="str">
        <f>IFERROR(final!DB100*100/final!$I100,"")</f>
        <v/>
      </c>
      <c r="CR302" s="39" t="str">
        <f>IFERROR(final!DC100*100/final!$I100,"")</f>
        <v/>
      </c>
      <c r="CS302" s="39" t="str">
        <f>IFERROR(final!DD100*100/final!$I100,"")</f>
        <v/>
      </c>
      <c r="CT302" s="39" t="str">
        <f>IFERROR(final!DE100*100/final!$I100,"")</f>
        <v/>
      </c>
      <c r="CU302" s="39" t="str">
        <f>IFERROR(final!DF100*100/final!$I100,"")</f>
        <v/>
      </c>
      <c r="CV302" s="39" t="str">
        <f>IFERROR(final!DG100*100/final!$I100,"")</f>
        <v/>
      </c>
      <c r="CW302" s="32" t="str">
        <f>IFERROR(SUM(A302:CV302)/final!$DH$103,"")</f>
        <v/>
      </c>
      <c r="CX302" s="14" t="str">
        <f>IF(COUNTA(final!A100),final!A100,"")</f>
        <v/>
      </c>
      <c r="CY302" s="14" t="str">
        <f>IF(COUNTA(final!B100),final!B100,"")</f>
        <v/>
      </c>
      <c r="CZ302" s="14" t="str">
        <f>IF(COUNTA(final!C100),final!C100,"")</f>
        <v/>
      </c>
      <c r="DA302" s="14" t="str">
        <f>IF(COUNTA(final!D100),final!D100,"")</f>
        <v/>
      </c>
      <c r="DB302" s="14" t="str">
        <f>IF(COUNTA(final!E100),final!E100,"")</f>
        <v/>
      </c>
      <c r="DC302" s="14" t="str">
        <f>IF(COUNTA(final!F100),final!F100,"")</f>
        <v/>
      </c>
      <c r="DD302" s="14" t="str">
        <f>IF(COUNTA(final!G100),final!G100,"")</f>
        <v/>
      </c>
      <c r="DE302" s="14" t="str">
        <f>IF(COUNTA(final!H100),final!H100,"")</f>
        <v/>
      </c>
    </row>
    <row r="303" spans="1:109" x14ac:dyDescent="0.2">
      <c r="A303" s="39" t="str">
        <f>IFERROR(final!L101*100/final!$I101,"")</f>
        <v/>
      </c>
      <c r="B303" s="39" t="str">
        <f>IFERROR(final!M101*100/final!$I101,"")</f>
        <v/>
      </c>
      <c r="C303" s="39" t="str">
        <f>IFERROR(final!N101*100/final!$I101,"")</f>
        <v/>
      </c>
      <c r="D303" s="39" t="str">
        <f>IFERROR(final!O101*100/final!$I101,"")</f>
        <v/>
      </c>
      <c r="E303" s="39" t="str">
        <f>IFERROR(final!P101*100/final!$I101,"")</f>
        <v/>
      </c>
      <c r="F303" s="39" t="str">
        <f>IFERROR(final!Q101*100/final!$I101,"")</f>
        <v/>
      </c>
      <c r="G303" s="39" t="str">
        <f>IFERROR(final!R101*100/final!$I101,"")</f>
        <v/>
      </c>
      <c r="H303" s="39" t="str">
        <f>IFERROR(final!S101*100/final!$I101,"")</f>
        <v/>
      </c>
      <c r="I303" s="39" t="str">
        <f>IFERROR(final!T101*100/final!$I101,"")</f>
        <v/>
      </c>
      <c r="J303" s="39" t="str">
        <f>IFERROR(final!U101*100/final!$I101,"")</f>
        <v/>
      </c>
      <c r="K303" s="39" t="str">
        <f>IFERROR(final!V101*100/final!$I101,"")</f>
        <v/>
      </c>
      <c r="L303" s="39" t="str">
        <f>IFERROR(final!W101*100/final!$I101,"")</f>
        <v/>
      </c>
      <c r="M303" s="39" t="str">
        <f>IFERROR(final!X101*100/final!$I101,"")</f>
        <v/>
      </c>
      <c r="N303" s="39" t="str">
        <f>IFERROR(final!Y101*100/final!$I101,"")</f>
        <v/>
      </c>
      <c r="O303" s="39" t="str">
        <f>IFERROR(final!Z101*100/final!$I101,"")</f>
        <v/>
      </c>
      <c r="P303" s="39" t="str">
        <f>IFERROR(final!AA101*100/final!$I101,"")</f>
        <v/>
      </c>
      <c r="Q303" s="39" t="str">
        <f>IFERROR(final!AB101*100/final!$I101,"")</f>
        <v/>
      </c>
      <c r="R303" s="39" t="str">
        <f>IFERROR(final!AC101*100/final!$I101,"")</f>
        <v/>
      </c>
      <c r="S303" s="39" t="str">
        <f>IFERROR(final!AD101*100/final!$I101,"")</f>
        <v/>
      </c>
      <c r="T303" s="39" t="str">
        <f>IFERROR(final!AE101*100/final!$I101,"")</f>
        <v/>
      </c>
      <c r="U303" s="39" t="str">
        <f>IFERROR(final!AF101*100/final!$I101,"")</f>
        <v/>
      </c>
      <c r="V303" s="39" t="str">
        <f>IFERROR(final!AG101*100/final!$I101,"")</f>
        <v/>
      </c>
      <c r="W303" s="39" t="str">
        <f>IFERROR(final!AH101*100/final!$I101,"")</f>
        <v/>
      </c>
      <c r="X303" s="39" t="str">
        <f>IFERROR(final!AI101*100/final!$I101,"")</f>
        <v/>
      </c>
      <c r="Y303" s="39" t="str">
        <f>IFERROR(final!AJ101*100/final!$I101,"")</f>
        <v/>
      </c>
      <c r="Z303" s="39" t="str">
        <f>IFERROR(final!AK101*100/final!$I101,"")</f>
        <v/>
      </c>
      <c r="AA303" s="39" t="str">
        <f>IFERROR(final!AL101*100/final!$I101,"")</f>
        <v/>
      </c>
      <c r="AB303" s="39" t="str">
        <f>IFERROR(final!AM101*100/final!$I101,"")</f>
        <v/>
      </c>
      <c r="AC303" s="39" t="str">
        <f>IFERROR(final!AN101*100/final!$I101,"")</f>
        <v/>
      </c>
      <c r="AD303" s="39" t="str">
        <f>IFERROR(final!AO101*100/final!$I101,"")</f>
        <v/>
      </c>
      <c r="AE303" s="39" t="str">
        <f>IFERROR(final!AP101*100/final!$I101,"")</f>
        <v/>
      </c>
      <c r="AF303" s="39" t="str">
        <f>IFERROR(final!AQ101*100/final!$I101,"")</f>
        <v/>
      </c>
      <c r="AG303" s="39" t="str">
        <f>IFERROR(final!AR101*100/final!$I101,"")</f>
        <v/>
      </c>
      <c r="AH303" s="39" t="str">
        <f>IFERROR(final!AS101*100/final!$I101,"")</f>
        <v/>
      </c>
      <c r="AI303" s="39" t="str">
        <f>IFERROR(final!AT101*100/final!$I101,"")</f>
        <v/>
      </c>
      <c r="AJ303" s="39" t="str">
        <f>IFERROR(final!AU101*100/final!$I101,"")</f>
        <v/>
      </c>
      <c r="AK303" s="39" t="str">
        <f>IFERROR(final!AV101*100/final!$I101,"")</f>
        <v/>
      </c>
      <c r="AL303" s="39" t="str">
        <f>IFERROR(final!AW101*100/final!$I101,"")</f>
        <v/>
      </c>
      <c r="AM303" s="39" t="str">
        <f>IFERROR(final!AX101*100/final!$I101,"")</f>
        <v/>
      </c>
      <c r="AN303" s="39" t="str">
        <f>IFERROR(final!AY101*100/final!$I101,"")</f>
        <v/>
      </c>
      <c r="AO303" s="39" t="str">
        <f>IFERROR(final!AZ101*100/final!$I101,"")</f>
        <v/>
      </c>
      <c r="AP303" s="39" t="str">
        <f>IFERROR(final!BA101*100/final!$I101,"")</f>
        <v/>
      </c>
      <c r="AQ303" s="39" t="str">
        <f>IFERROR(final!BB101*100/final!$I101,"")</f>
        <v/>
      </c>
      <c r="AR303" s="39" t="str">
        <f>IFERROR(final!BC101*100/final!$I101,"")</f>
        <v/>
      </c>
      <c r="AS303" s="39" t="str">
        <f>IFERROR(final!BD101*100/final!$I101,"")</f>
        <v/>
      </c>
      <c r="AT303" s="39" t="str">
        <f>IFERROR(final!BE101*100/final!$I101,"")</f>
        <v/>
      </c>
      <c r="AU303" s="39" t="str">
        <f>IFERROR(final!BF101*100/final!$I101,"")</f>
        <v/>
      </c>
      <c r="AV303" s="39" t="str">
        <f>IFERROR(final!BG101*100/final!$I101,"")</f>
        <v/>
      </c>
      <c r="AW303" s="39" t="str">
        <f>IFERROR(final!BH101*100/final!$I101,"")</f>
        <v/>
      </c>
      <c r="AX303" s="39" t="str">
        <f>IFERROR(final!BI101*100/final!$I101,"")</f>
        <v/>
      </c>
      <c r="AY303" s="39" t="str">
        <f>IFERROR(final!BJ101*100/final!$I101,"")</f>
        <v/>
      </c>
      <c r="AZ303" s="39" t="str">
        <f>IFERROR(final!BK101*100/final!$I101,"")</f>
        <v/>
      </c>
      <c r="BA303" s="39" t="str">
        <f>IFERROR(final!BL101*100/final!$I101,"")</f>
        <v/>
      </c>
      <c r="BB303" s="39" t="str">
        <f>IFERROR(final!BM101*100/final!$I101,"")</f>
        <v/>
      </c>
      <c r="BC303" s="39" t="str">
        <f>IFERROR(final!BN101*100/final!$I101,"")</f>
        <v/>
      </c>
      <c r="BD303" s="39" t="str">
        <f>IFERROR(final!BO101*100/final!$I101,"")</f>
        <v/>
      </c>
      <c r="BE303" s="39" t="str">
        <f>IFERROR(final!BP101*100/final!$I101,"")</f>
        <v/>
      </c>
      <c r="BF303" s="39" t="str">
        <f>IFERROR(final!BQ101*100/final!$I101,"")</f>
        <v/>
      </c>
      <c r="BG303" s="39" t="str">
        <f>IFERROR(final!BR101*100/final!$I101,"")</f>
        <v/>
      </c>
      <c r="BH303" s="39" t="str">
        <f>IFERROR(final!BS101*100/final!$I101,"")</f>
        <v/>
      </c>
      <c r="BI303" s="39" t="str">
        <f>IFERROR(final!BT101*100/final!$I101,"")</f>
        <v/>
      </c>
      <c r="BJ303" s="39" t="str">
        <f>IFERROR(final!BU101*100/final!$I101,"")</f>
        <v/>
      </c>
      <c r="BK303" s="39" t="str">
        <f>IFERROR(final!BV101*100/final!$I101,"")</f>
        <v/>
      </c>
      <c r="BL303" s="39" t="str">
        <f>IFERROR(final!BW101*100/final!$I101,"")</f>
        <v/>
      </c>
      <c r="BM303" s="39" t="str">
        <f>IFERROR(final!BX101*100/final!$I101,"")</f>
        <v/>
      </c>
      <c r="BN303" s="39" t="str">
        <f>IFERROR(final!BY101*100/final!$I101,"")</f>
        <v/>
      </c>
      <c r="BO303" s="39" t="str">
        <f>IFERROR(final!BZ101*100/final!$I101,"")</f>
        <v/>
      </c>
      <c r="BP303" s="39" t="str">
        <f>IFERROR(final!CA101*100/final!$I101,"")</f>
        <v/>
      </c>
      <c r="BQ303" s="39" t="str">
        <f>IFERROR(final!CB101*100/final!$I101,"")</f>
        <v/>
      </c>
      <c r="BR303" s="39" t="str">
        <f>IFERROR(final!CC101*100/final!$I101,"")</f>
        <v/>
      </c>
      <c r="BS303" s="39" t="str">
        <f>IFERROR(final!CD101*100/final!$I101,"")</f>
        <v/>
      </c>
      <c r="BT303" s="39" t="str">
        <f>IFERROR(final!CE101*100/final!$I101,"")</f>
        <v/>
      </c>
      <c r="BU303" s="39" t="str">
        <f>IFERROR(final!CF101*100/final!$I101,"")</f>
        <v/>
      </c>
      <c r="BV303" s="39" t="str">
        <f>IFERROR(final!CG101*100/final!$I101,"")</f>
        <v/>
      </c>
      <c r="BW303" s="39" t="str">
        <f>IFERROR(final!CH101*100/final!$I101,"")</f>
        <v/>
      </c>
      <c r="BX303" s="39" t="str">
        <f>IFERROR(final!CI101*100/final!$I101,"")</f>
        <v/>
      </c>
      <c r="BY303" s="39" t="str">
        <f>IFERROR(final!CJ101*100/final!$I101,"")</f>
        <v/>
      </c>
      <c r="BZ303" s="39" t="str">
        <f>IFERROR(final!CK101*100/final!$I101,"")</f>
        <v/>
      </c>
      <c r="CA303" s="39" t="str">
        <f>IFERROR(final!CL101*100/final!$I101,"")</f>
        <v/>
      </c>
      <c r="CB303" s="39" t="str">
        <f>IFERROR(final!CM101*100/final!$I101,"")</f>
        <v/>
      </c>
      <c r="CC303" s="39" t="str">
        <f>IFERROR(final!CN101*100/final!$I101,"")</f>
        <v/>
      </c>
      <c r="CD303" s="39" t="str">
        <f>IFERROR(final!CO101*100/final!$I101,"")</f>
        <v/>
      </c>
      <c r="CE303" s="39" t="str">
        <f>IFERROR(final!CP101*100/final!$I101,"")</f>
        <v/>
      </c>
      <c r="CF303" s="39" t="str">
        <f>IFERROR(final!CQ101*100/final!$I101,"")</f>
        <v/>
      </c>
      <c r="CG303" s="39" t="str">
        <f>IFERROR(final!CR101*100/final!$I101,"")</f>
        <v/>
      </c>
      <c r="CH303" s="39" t="str">
        <f>IFERROR(final!CS101*100/final!$I101,"")</f>
        <v/>
      </c>
      <c r="CI303" s="39" t="str">
        <f>IFERROR(final!CT101*100/final!$I101,"")</f>
        <v/>
      </c>
      <c r="CJ303" s="39" t="str">
        <f>IFERROR(final!CU101*100/final!$I101,"")</f>
        <v/>
      </c>
      <c r="CK303" s="39" t="str">
        <f>IFERROR(final!CV101*100/final!$I101,"")</f>
        <v/>
      </c>
      <c r="CL303" s="39" t="str">
        <f>IFERROR(final!CW101*100/final!$I101,"")</f>
        <v/>
      </c>
      <c r="CM303" s="39" t="str">
        <f>IFERROR(final!CX101*100/final!$I101,"")</f>
        <v/>
      </c>
      <c r="CN303" s="39" t="str">
        <f>IFERROR(final!CY101*100/final!$I101,"")</f>
        <v/>
      </c>
      <c r="CO303" s="39" t="str">
        <f>IFERROR(final!CZ101*100/final!$I101,"")</f>
        <v/>
      </c>
      <c r="CP303" s="39" t="str">
        <f>IFERROR(final!DA101*100/final!$I101,"")</f>
        <v/>
      </c>
      <c r="CQ303" s="39" t="str">
        <f>IFERROR(final!DB101*100/final!$I101,"")</f>
        <v/>
      </c>
      <c r="CR303" s="39" t="str">
        <f>IFERROR(final!DC101*100/final!$I101,"")</f>
        <v/>
      </c>
      <c r="CS303" s="39" t="str">
        <f>IFERROR(final!DD101*100/final!$I101,"")</f>
        <v/>
      </c>
      <c r="CT303" s="39" t="str">
        <f>IFERROR(final!DE101*100/final!$I101,"")</f>
        <v/>
      </c>
      <c r="CU303" s="39" t="str">
        <f>IFERROR(final!DF101*100/final!$I101,"")</f>
        <v/>
      </c>
      <c r="CV303" s="39" t="str">
        <f>IFERROR(final!DG101*100/final!$I101,"")</f>
        <v/>
      </c>
      <c r="CW303" s="32" t="str">
        <f>IFERROR(SUM(A303:CV303)/final!$DH$103,"")</f>
        <v/>
      </c>
      <c r="CX303" s="14" t="str">
        <f>IF(COUNTA(final!A101),final!A101,"")</f>
        <v/>
      </c>
      <c r="CY303" s="14" t="str">
        <f>IF(COUNTA(final!B101),final!B101,"")</f>
        <v/>
      </c>
      <c r="CZ303" s="14" t="str">
        <f>IF(COUNTA(final!C101),final!C101,"")</f>
        <v/>
      </c>
      <c r="DA303" s="14" t="str">
        <f>IF(COUNTA(final!D101),final!D101,"")</f>
        <v/>
      </c>
      <c r="DB303" s="14" t="str">
        <f>IF(COUNTA(final!E101),final!E101,"")</f>
        <v/>
      </c>
      <c r="DC303" s="14" t="str">
        <f>IF(COUNTA(final!F101),final!F101,"")</f>
        <v/>
      </c>
      <c r="DD303" s="14" t="str">
        <f>IF(COUNTA(final!G101),final!G101,"")</f>
        <v/>
      </c>
      <c r="DE303" s="14" t="str">
        <f>IF(COUNTA(final!H101),final!H101,"")</f>
        <v/>
      </c>
    </row>
    <row r="305" spans="1:118" x14ac:dyDescent="0.2">
      <c r="A305" s="39" t="str">
        <f>IFERROR(bütünleme!L2*100/bütünleme!$I2,"")</f>
        <v/>
      </c>
      <c r="B305" s="39" t="str">
        <f>IFERROR(bütünleme!M2*100/bütünleme!$I2,"")</f>
        <v/>
      </c>
      <c r="C305" s="39" t="str">
        <f>IFERROR(bütünleme!N2*100/bütünleme!$I2,"")</f>
        <v/>
      </c>
      <c r="D305" s="39" t="str">
        <f>IFERROR(bütünleme!O2*100/bütünleme!$I2,"")</f>
        <v/>
      </c>
      <c r="E305" s="39" t="str">
        <f>IFERROR(bütünleme!P2*100/bütünleme!$I2,"")</f>
        <v/>
      </c>
      <c r="F305" s="39" t="str">
        <f>IFERROR(bütünleme!Q2*100/bütünleme!$I2,"")</f>
        <v/>
      </c>
      <c r="G305" s="39" t="str">
        <f>IFERROR(bütünleme!R2*100/bütünleme!$I2,"")</f>
        <v/>
      </c>
      <c r="H305" s="39" t="str">
        <f>IFERROR(bütünleme!S2*100/bütünleme!$I2,"")</f>
        <v/>
      </c>
      <c r="I305" s="39" t="str">
        <f>IFERROR(bütünleme!T2*100/bütünleme!$I2,"")</f>
        <v/>
      </c>
      <c r="J305" s="39" t="str">
        <f>IFERROR(bütünleme!U2*100/bütünleme!$I2,"")</f>
        <v/>
      </c>
      <c r="K305" s="39" t="str">
        <f>IFERROR(bütünleme!V2*100/bütünleme!$I2,"")</f>
        <v/>
      </c>
      <c r="L305" s="39" t="str">
        <f>IFERROR(bütünleme!W2*100/bütünleme!$I2,"")</f>
        <v/>
      </c>
      <c r="M305" s="39" t="str">
        <f>IFERROR(bütünleme!X2*100/bütünleme!$I2,"")</f>
        <v/>
      </c>
      <c r="N305" s="39" t="str">
        <f>IFERROR(bütünleme!Y2*100/bütünleme!$I2,"")</f>
        <v/>
      </c>
      <c r="O305" s="39" t="str">
        <f>IFERROR(bütünleme!Z2*100/bütünleme!$I2,"")</f>
        <v/>
      </c>
      <c r="P305" s="39" t="str">
        <f>IFERROR(bütünleme!AA2*100/bütünleme!$I2,"")</f>
        <v/>
      </c>
      <c r="Q305" s="39" t="str">
        <f>IFERROR(bütünleme!AB2*100/bütünleme!$I2,"")</f>
        <v/>
      </c>
      <c r="R305" s="39" t="str">
        <f>IFERROR(bütünleme!AC2*100/bütünleme!$I2,"")</f>
        <v/>
      </c>
      <c r="S305" s="39" t="str">
        <f>IFERROR(bütünleme!AD2*100/bütünleme!$I2,"")</f>
        <v/>
      </c>
      <c r="T305" s="39" t="str">
        <f>IFERROR(bütünleme!AE2*100/bütünleme!$I2,"")</f>
        <v/>
      </c>
      <c r="U305" s="39" t="str">
        <f>IFERROR(bütünleme!AF2*100/bütünleme!$I2,"")</f>
        <v/>
      </c>
      <c r="V305" s="39" t="str">
        <f>IFERROR(bütünleme!AG2*100/bütünleme!$I2,"")</f>
        <v/>
      </c>
      <c r="W305" s="39" t="str">
        <f>IFERROR(bütünleme!AH2*100/bütünleme!$I2,"")</f>
        <v/>
      </c>
      <c r="X305" s="39" t="str">
        <f>IFERROR(bütünleme!AI2*100/bütünleme!$I2,"")</f>
        <v/>
      </c>
      <c r="Y305" s="39" t="str">
        <f>IFERROR(bütünleme!AJ2*100/bütünleme!$I2,"")</f>
        <v/>
      </c>
      <c r="Z305" s="39" t="str">
        <f>IFERROR(bütünleme!AK2*100/bütünleme!$I2,"")</f>
        <v/>
      </c>
      <c r="AA305" s="39" t="str">
        <f>IFERROR(bütünleme!AL2*100/bütünleme!$I2,"")</f>
        <v/>
      </c>
      <c r="AB305" s="39" t="str">
        <f>IFERROR(bütünleme!AM2*100/bütünleme!$I2,"")</f>
        <v/>
      </c>
      <c r="AC305" s="39" t="str">
        <f>IFERROR(bütünleme!AN2*100/bütünleme!$I2,"")</f>
        <v/>
      </c>
      <c r="AD305" s="39" t="str">
        <f>IFERROR(bütünleme!AO2*100/bütünleme!$I2,"")</f>
        <v/>
      </c>
      <c r="AE305" s="39" t="str">
        <f>IFERROR(bütünleme!AP2*100/bütünleme!$I2,"")</f>
        <v/>
      </c>
      <c r="AF305" s="39" t="str">
        <f>IFERROR(bütünleme!AQ2*100/bütünleme!$I2,"")</f>
        <v/>
      </c>
      <c r="AG305" s="39" t="str">
        <f>IFERROR(bütünleme!AR2*100/bütünleme!$I2,"")</f>
        <v/>
      </c>
      <c r="AH305" s="39" t="str">
        <f>IFERROR(bütünleme!AS2*100/bütünleme!$I2,"")</f>
        <v/>
      </c>
      <c r="AI305" s="39" t="str">
        <f>IFERROR(bütünleme!AT2*100/bütünleme!$I2,"")</f>
        <v/>
      </c>
      <c r="AJ305" s="39" t="str">
        <f>IFERROR(bütünleme!AU2*100/bütünleme!$I2,"")</f>
        <v/>
      </c>
      <c r="AK305" s="39" t="str">
        <f>IFERROR(bütünleme!AV2*100/bütünleme!$I2,"")</f>
        <v/>
      </c>
      <c r="AL305" s="39" t="str">
        <f>IFERROR(bütünleme!AW2*100/bütünleme!$I2,"")</f>
        <v/>
      </c>
      <c r="AM305" s="39" t="str">
        <f>IFERROR(bütünleme!AX2*100/bütünleme!$I2,"")</f>
        <v/>
      </c>
      <c r="AN305" s="39" t="str">
        <f>IFERROR(bütünleme!AY2*100/bütünleme!$I2,"")</f>
        <v/>
      </c>
      <c r="AO305" s="39" t="str">
        <f>IFERROR(bütünleme!AZ2*100/bütünleme!$I2,"")</f>
        <v/>
      </c>
      <c r="AP305" s="39" t="str">
        <f>IFERROR(bütünleme!BA2*100/bütünleme!$I2,"")</f>
        <v/>
      </c>
      <c r="AQ305" s="39" t="str">
        <f>IFERROR(bütünleme!BB2*100/bütünleme!$I2,"")</f>
        <v/>
      </c>
      <c r="AR305" s="39" t="str">
        <f>IFERROR(bütünleme!BC2*100/bütünleme!$I2,"")</f>
        <v/>
      </c>
      <c r="AS305" s="39" t="str">
        <f>IFERROR(bütünleme!BD2*100/bütünleme!$I2,"")</f>
        <v/>
      </c>
      <c r="AT305" s="39" t="str">
        <f>IFERROR(bütünleme!BE2*100/bütünleme!$I2,"")</f>
        <v/>
      </c>
      <c r="AU305" s="39" t="str">
        <f>IFERROR(bütünleme!BF2*100/bütünleme!$I2,"")</f>
        <v/>
      </c>
      <c r="AV305" s="39" t="str">
        <f>IFERROR(bütünleme!BG2*100/bütünleme!$I2,"")</f>
        <v/>
      </c>
      <c r="AW305" s="39" t="str">
        <f>IFERROR(bütünleme!BH2*100/bütünleme!$I2,"")</f>
        <v/>
      </c>
      <c r="AX305" s="39" t="str">
        <f>IFERROR(bütünleme!BI2*100/bütünleme!$I2,"")</f>
        <v/>
      </c>
      <c r="AY305" s="39" t="str">
        <f>IFERROR(bütünleme!BJ2*100/bütünleme!$I2,"")</f>
        <v/>
      </c>
      <c r="AZ305" s="39" t="str">
        <f>IFERROR(bütünleme!BK2*100/bütünleme!$I2,"")</f>
        <v/>
      </c>
      <c r="BA305" s="39" t="str">
        <f>IFERROR(bütünleme!BL2*100/bütünleme!$I2,"")</f>
        <v/>
      </c>
      <c r="BB305" s="39" t="str">
        <f>IFERROR(bütünleme!BM2*100/bütünleme!$I2,"")</f>
        <v/>
      </c>
      <c r="BC305" s="39" t="str">
        <f>IFERROR(bütünleme!BN2*100/bütünleme!$I2,"")</f>
        <v/>
      </c>
      <c r="BD305" s="39" t="str">
        <f>IFERROR(bütünleme!BO2*100/bütünleme!$I2,"")</f>
        <v/>
      </c>
      <c r="BE305" s="39" t="str">
        <f>IFERROR(bütünleme!BP2*100/bütünleme!$I2,"")</f>
        <v/>
      </c>
      <c r="BF305" s="39" t="str">
        <f>IFERROR(bütünleme!BQ2*100/bütünleme!$I2,"")</f>
        <v/>
      </c>
      <c r="BG305" s="39" t="str">
        <f>IFERROR(bütünleme!BR2*100/bütünleme!$I2,"")</f>
        <v/>
      </c>
      <c r="BH305" s="39" t="str">
        <f>IFERROR(bütünleme!BS2*100/bütünleme!$I2,"")</f>
        <v/>
      </c>
      <c r="BI305" s="39" t="str">
        <f>IFERROR(bütünleme!BT2*100/bütünleme!$I2,"")</f>
        <v/>
      </c>
      <c r="BJ305" s="39" t="str">
        <f>IFERROR(bütünleme!BU2*100/bütünleme!$I2,"")</f>
        <v/>
      </c>
      <c r="BK305" s="39" t="str">
        <f>IFERROR(bütünleme!BV2*100/bütünleme!$I2,"")</f>
        <v/>
      </c>
      <c r="BL305" s="39" t="str">
        <f>IFERROR(bütünleme!BW2*100/bütünleme!$I2,"")</f>
        <v/>
      </c>
      <c r="BM305" s="39" t="str">
        <f>IFERROR(bütünleme!BX2*100/bütünleme!$I2,"")</f>
        <v/>
      </c>
      <c r="BN305" s="39" t="str">
        <f>IFERROR(bütünleme!BY2*100/bütünleme!$I2,"")</f>
        <v/>
      </c>
      <c r="BO305" s="39" t="str">
        <f>IFERROR(bütünleme!BZ2*100/bütünleme!$I2,"")</f>
        <v/>
      </c>
      <c r="BP305" s="39" t="str">
        <f>IFERROR(bütünleme!CA2*100/bütünleme!$I2,"")</f>
        <v/>
      </c>
      <c r="BQ305" s="39" t="str">
        <f>IFERROR(bütünleme!CB2*100/bütünleme!$I2,"")</f>
        <v/>
      </c>
      <c r="BR305" s="39" t="str">
        <f>IFERROR(bütünleme!CC2*100/bütünleme!$I2,"")</f>
        <v/>
      </c>
      <c r="BS305" s="39" t="str">
        <f>IFERROR(bütünleme!CD2*100/bütünleme!$I2,"")</f>
        <v/>
      </c>
      <c r="BT305" s="39" t="str">
        <f>IFERROR(bütünleme!CE2*100/bütünleme!$I2,"")</f>
        <v/>
      </c>
      <c r="BU305" s="39" t="str">
        <f>IFERROR(bütünleme!CF2*100/bütünleme!$I2,"")</f>
        <v/>
      </c>
      <c r="BV305" s="39" t="str">
        <f>IFERROR(bütünleme!CG2*100/bütünleme!$I2,"")</f>
        <v/>
      </c>
      <c r="BW305" s="39" t="str">
        <f>IFERROR(bütünleme!CH2*100/bütünleme!$I2,"")</f>
        <v/>
      </c>
      <c r="BX305" s="39" t="str">
        <f>IFERROR(bütünleme!CI2*100/bütünleme!$I2,"")</f>
        <v/>
      </c>
      <c r="BY305" s="39" t="str">
        <f>IFERROR(bütünleme!CJ2*100/bütünleme!$I2,"")</f>
        <v/>
      </c>
      <c r="BZ305" s="39" t="str">
        <f>IFERROR(bütünleme!CK2*100/bütünleme!$I2,"")</f>
        <v/>
      </c>
      <c r="CA305" s="39" t="str">
        <f>IFERROR(bütünleme!CL2*100/bütünleme!$I2,"")</f>
        <v/>
      </c>
      <c r="CB305" s="39" t="str">
        <f>IFERROR(bütünleme!CM2*100/bütünleme!$I2,"")</f>
        <v/>
      </c>
      <c r="CC305" s="39" t="str">
        <f>IFERROR(bütünleme!CN2*100/bütünleme!$I2,"")</f>
        <v/>
      </c>
      <c r="CD305" s="39" t="str">
        <f>IFERROR(bütünleme!CO2*100/bütünleme!$I2,"")</f>
        <v/>
      </c>
      <c r="CE305" s="39" t="str">
        <f>IFERROR(bütünleme!CP2*100/bütünleme!$I2,"")</f>
        <v/>
      </c>
      <c r="CF305" s="39" t="str">
        <f>IFERROR(bütünleme!CQ2*100/bütünleme!$I2,"")</f>
        <v/>
      </c>
      <c r="CG305" s="39" t="str">
        <f>IFERROR(bütünleme!CR2*100/bütünleme!$I2,"")</f>
        <v/>
      </c>
      <c r="CH305" s="39" t="str">
        <f>IFERROR(bütünleme!CS2*100/bütünleme!$I2,"")</f>
        <v/>
      </c>
      <c r="CI305" s="39" t="str">
        <f>IFERROR(bütünleme!CT2*100/bütünleme!$I2,"")</f>
        <v/>
      </c>
      <c r="CJ305" s="39" t="str">
        <f>IFERROR(bütünleme!CU2*100/bütünleme!$I2,"")</f>
        <v/>
      </c>
      <c r="CK305" s="39" t="str">
        <f>IFERROR(bütünleme!CV2*100/bütünleme!$I2,"")</f>
        <v/>
      </c>
      <c r="CL305" s="39" t="str">
        <f>IFERROR(bütünleme!CW2*100/bütünleme!$I2,"")</f>
        <v/>
      </c>
      <c r="CM305" s="39" t="str">
        <f>IFERROR(bütünleme!CX2*100/bütünleme!$I2,"")</f>
        <v/>
      </c>
      <c r="CN305" s="39" t="str">
        <f>IFERROR(bütünleme!CY2*100/bütünleme!$I2,"")</f>
        <v/>
      </c>
      <c r="CO305" s="39" t="str">
        <f>IFERROR(bütünleme!CZ2*100/bütünleme!$I2,"")</f>
        <v/>
      </c>
      <c r="CP305" s="39" t="str">
        <f>IFERROR(bütünleme!DA2*100/bütünleme!$I2,"")</f>
        <v/>
      </c>
      <c r="CQ305" s="39" t="str">
        <f>IFERROR(bütünleme!DB2*100/bütünleme!$I2,"")</f>
        <v/>
      </c>
      <c r="CR305" s="39" t="str">
        <f>IFERROR(bütünleme!DC2*100/bütünleme!$I2,"")</f>
        <v/>
      </c>
      <c r="CS305" s="39" t="str">
        <f>IFERROR(bütünleme!DD2*100/bütünleme!$I2,"")</f>
        <v/>
      </c>
      <c r="CT305" s="39" t="str">
        <f>IFERROR(bütünleme!DE2*100/bütünleme!$I2,"")</f>
        <v/>
      </c>
      <c r="CU305" s="39" t="str">
        <f>IFERROR(bütünleme!DF2*100/bütünleme!$I2,"")</f>
        <v/>
      </c>
      <c r="CV305" s="39" t="str">
        <f>IFERROR(bütünleme!DG2*100/bütünleme!$I2,"")</f>
        <v/>
      </c>
      <c r="CW305" s="36" t="str">
        <f>IFERROR(SUM(A305:CV305)/bütünleme!$DH$103,"")</f>
        <v/>
      </c>
      <c r="CX305" s="14" t="str">
        <f>IF(COUNTA(bütünleme!A2),bütünleme!A2,"")</f>
        <v/>
      </c>
      <c r="CY305" s="14" t="str">
        <f>IF(COUNTA(bütünleme!B2),bütünleme!B2,"")</f>
        <v/>
      </c>
      <c r="CZ305" s="14" t="str">
        <f>IF(COUNTA(bütünleme!C2),bütünleme!C2,"")</f>
        <v/>
      </c>
      <c r="DA305" s="14" t="str">
        <f>IF(COUNTA(bütünleme!D2),bütünleme!D2,"")</f>
        <v/>
      </c>
      <c r="DB305" s="14" t="str">
        <f>IF(COUNTA(bütünleme!E2),bütünleme!E2,"")</f>
        <v/>
      </c>
      <c r="DC305" s="14" t="str">
        <f>IF(COUNTA(bütünleme!F2),bütünleme!F2,"")</f>
        <v/>
      </c>
      <c r="DD305" s="14" t="str">
        <f>IF(COUNTA(bütünleme!G2),bütünleme!G2,"")</f>
        <v/>
      </c>
      <c r="DE305" s="14" t="str">
        <f>IF(COUNTA(bütünleme!H2),bütünleme!H2,"")</f>
        <v/>
      </c>
      <c r="DG305" s="35" t="str">
        <f>IFERROR(AVERAGEIFS($CW$305:$CW$404,$CX$305:$CX$404,1),"")</f>
        <v/>
      </c>
      <c r="DH305" s="35" t="str">
        <f>IFERROR(AVERAGEIFS($CW$305:$CW$404,$CY$305:$CY$404,2),"")</f>
        <v/>
      </c>
      <c r="DI305" s="35" t="str">
        <f>IFERROR(AVERAGEIFS($CW$305:$CW$404,$CZ$305:$CZ$404,3),"")</f>
        <v/>
      </c>
      <c r="DJ305" s="35" t="str">
        <f>IFERROR(AVERAGEIFS($CW$305:$CW$404,$DA$305:$DA$404,4),"")</f>
        <v/>
      </c>
      <c r="DK305" s="35" t="str">
        <f>IFERROR(AVERAGEIFS($CW$305:$CW$404,$DB$305:$DB$404,5),"")</f>
        <v/>
      </c>
      <c r="DL305" s="35" t="str">
        <f>IFERROR(AVERAGEIFS($CW$305:$CW$404,$DC$305:$DC$404,6),"")</f>
        <v/>
      </c>
      <c r="DM305" s="35" t="str">
        <f>IFERROR(AVERAGEIFS($CW$305:$CW$404,$DD$305:$DD$404,7),"")</f>
        <v/>
      </c>
      <c r="DN305" s="35" t="str">
        <f>IFERROR(AVERAGEIFS($CW$305:$CW$404,$DE$305:$DE$404,8),"")</f>
        <v/>
      </c>
    </row>
    <row r="306" spans="1:118" x14ac:dyDescent="0.2">
      <c r="A306" s="39" t="str">
        <f>IFERROR(bütünleme!L3*100/bütünleme!$I3,"")</f>
        <v/>
      </c>
      <c r="B306" s="39" t="str">
        <f>IFERROR(bütünleme!M3*100/bütünleme!$I3,"")</f>
        <v/>
      </c>
      <c r="C306" s="39" t="str">
        <f>IFERROR(bütünleme!N3*100/bütünleme!$I3,"")</f>
        <v/>
      </c>
      <c r="D306" s="39" t="str">
        <f>IFERROR(bütünleme!O3*100/bütünleme!$I3,"")</f>
        <v/>
      </c>
      <c r="E306" s="39" t="str">
        <f>IFERROR(bütünleme!P3*100/bütünleme!$I3,"")</f>
        <v/>
      </c>
      <c r="F306" s="39" t="str">
        <f>IFERROR(bütünleme!Q3*100/bütünleme!$I3,"")</f>
        <v/>
      </c>
      <c r="G306" s="39" t="str">
        <f>IFERROR(bütünleme!R3*100/bütünleme!$I3,"")</f>
        <v/>
      </c>
      <c r="H306" s="39" t="str">
        <f>IFERROR(bütünleme!S3*100/bütünleme!$I3,"")</f>
        <v/>
      </c>
      <c r="I306" s="39" t="str">
        <f>IFERROR(bütünleme!T3*100/bütünleme!$I3,"")</f>
        <v/>
      </c>
      <c r="J306" s="39" t="str">
        <f>IFERROR(bütünleme!U3*100/bütünleme!$I3,"")</f>
        <v/>
      </c>
      <c r="K306" s="39" t="str">
        <f>IFERROR(bütünleme!V3*100/bütünleme!$I3,"")</f>
        <v/>
      </c>
      <c r="L306" s="39" t="str">
        <f>IFERROR(bütünleme!W3*100/bütünleme!$I3,"")</f>
        <v/>
      </c>
      <c r="M306" s="39" t="str">
        <f>IFERROR(bütünleme!X3*100/bütünleme!$I3,"")</f>
        <v/>
      </c>
      <c r="N306" s="39" t="str">
        <f>IFERROR(bütünleme!Y3*100/bütünleme!$I3,"")</f>
        <v/>
      </c>
      <c r="O306" s="39" t="str">
        <f>IFERROR(bütünleme!Z3*100/bütünleme!$I3,"")</f>
        <v/>
      </c>
      <c r="P306" s="39" t="str">
        <f>IFERROR(bütünleme!AA3*100/bütünleme!$I3,"")</f>
        <v/>
      </c>
      <c r="Q306" s="39" t="str">
        <f>IFERROR(bütünleme!AB3*100/bütünleme!$I3,"")</f>
        <v/>
      </c>
      <c r="R306" s="39" t="str">
        <f>IFERROR(bütünleme!AC3*100/bütünleme!$I3,"")</f>
        <v/>
      </c>
      <c r="S306" s="39" t="str">
        <f>IFERROR(bütünleme!AD3*100/bütünleme!$I3,"")</f>
        <v/>
      </c>
      <c r="T306" s="39" t="str">
        <f>IFERROR(bütünleme!AE3*100/bütünleme!$I3,"")</f>
        <v/>
      </c>
      <c r="U306" s="39" t="str">
        <f>IFERROR(bütünleme!AF3*100/bütünleme!$I3,"")</f>
        <v/>
      </c>
      <c r="V306" s="39" t="str">
        <f>IFERROR(bütünleme!AG3*100/bütünleme!$I3,"")</f>
        <v/>
      </c>
      <c r="W306" s="39" t="str">
        <f>IFERROR(bütünleme!AH3*100/bütünleme!$I3,"")</f>
        <v/>
      </c>
      <c r="X306" s="39" t="str">
        <f>IFERROR(bütünleme!AI3*100/bütünleme!$I3,"")</f>
        <v/>
      </c>
      <c r="Y306" s="39" t="str">
        <f>IFERROR(bütünleme!AJ3*100/bütünleme!$I3,"")</f>
        <v/>
      </c>
      <c r="Z306" s="39" t="str">
        <f>IFERROR(bütünleme!AK3*100/bütünleme!$I3,"")</f>
        <v/>
      </c>
      <c r="AA306" s="39" t="str">
        <f>IFERROR(bütünleme!AL3*100/bütünleme!$I3,"")</f>
        <v/>
      </c>
      <c r="AB306" s="39" t="str">
        <f>IFERROR(bütünleme!AM3*100/bütünleme!$I3,"")</f>
        <v/>
      </c>
      <c r="AC306" s="39" t="str">
        <f>IFERROR(bütünleme!AN3*100/bütünleme!$I3,"")</f>
        <v/>
      </c>
      <c r="AD306" s="39" t="str">
        <f>IFERROR(bütünleme!AO3*100/bütünleme!$I3,"")</f>
        <v/>
      </c>
      <c r="AE306" s="39" t="str">
        <f>IFERROR(bütünleme!AP3*100/bütünleme!$I3,"")</f>
        <v/>
      </c>
      <c r="AF306" s="39" t="str">
        <f>IFERROR(bütünleme!AQ3*100/bütünleme!$I3,"")</f>
        <v/>
      </c>
      <c r="AG306" s="39" t="str">
        <f>IFERROR(bütünleme!AR3*100/bütünleme!$I3,"")</f>
        <v/>
      </c>
      <c r="AH306" s="39" t="str">
        <f>IFERROR(bütünleme!AS3*100/bütünleme!$I3,"")</f>
        <v/>
      </c>
      <c r="AI306" s="39" t="str">
        <f>IFERROR(bütünleme!AT3*100/bütünleme!$I3,"")</f>
        <v/>
      </c>
      <c r="AJ306" s="39" t="str">
        <f>IFERROR(bütünleme!AU3*100/bütünleme!$I3,"")</f>
        <v/>
      </c>
      <c r="AK306" s="39" t="str">
        <f>IFERROR(bütünleme!AV3*100/bütünleme!$I3,"")</f>
        <v/>
      </c>
      <c r="AL306" s="39" t="str">
        <f>IFERROR(bütünleme!AW3*100/bütünleme!$I3,"")</f>
        <v/>
      </c>
      <c r="AM306" s="39" t="str">
        <f>IFERROR(bütünleme!AX3*100/bütünleme!$I3,"")</f>
        <v/>
      </c>
      <c r="AN306" s="39" t="str">
        <f>IFERROR(bütünleme!AY3*100/bütünleme!$I3,"")</f>
        <v/>
      </c>
      <c r="AO306" s="39" t="str">
        <f>IFERROR(bütünleme!AZ3*100/bütünleme!$I3,"")</f>
        <v/>
      </c>
      <c r="AP306" s="39" t="str">
        <f>IFERROR(bütünleme!BA3*100/bütünleme!$I3,"")</f>
        <v/>
      </c>
      <c r="AQ306" s="39" t="str">
        <f>IFERROR(bütünleme!BB3*100/bütünleme!$I3,"")</f>
        <v/>
      </c>
      <c r="AR306" s="39" t="str">
        <f>IFERROR(bütünleme!BC3*100/bütünleme!$I3,"")</f>
        <v/>
      </c>
      <c r="AS306" s="39" t="str">
        <f>IFERROR(bütünleme!BD3*100/bütünleme!$I3,"")</f>
        <v/>
      </c>
      <c r="AT306" s="39" t="str">
        <f>IFERROR(bütünleme!BE3*100/bütünleme!$I3,"")</f>
        <v/>
      </c>
      <c r="AU306" s="39" t="str">
        <f>IFERROR(bütünleme!BF3*100/bütünleme!$I3,"")</f>
        <v/>
      </c>
      <c r="AV306" s="39" t="str">
        <f>IFERROR(bütünleme!BG3*100/bütünleme!$I3,"")</f>
        <v/>
      </c>
      <c r="AW306" s="39" t="str">
        <f>IFERROR(bütünleme!BH3*100/bütünleme!$I3,"")</f>
        <v/>
      </c>
      <c r="AX306" s="39" t="str">
        <f>IFERROR(bütünleme!BI3*100/bütünleme!$I3,"")</f>
        <v/>
      </c>
      <c r="AY306" s="39" t="str">
        <f>IFERROR(bütünleme!BJ3*100/bütünleme!$I3,"")</f>
        <v/>
      </c>
      <c r="AZ306" s="39" t="str">
        <f>IFERROR(bütünleme!BK3*100/bütünleme!$I3,"")</f>
        <v/>
      </c>
      <c r="BA306" s="39" t="str">
        <f>IFERROR(bütünleme!BL3*100/bütünleme!$I3,"")</f>
        <v/>
      </c>
      <c r="BB306" s="39" t="str">
        <f>IFERROR(bütünleme!BM3*100/bütünleme!$I3,"")</f>
        <v/>
      </c>
      <c r="BC306" s="39" t="str">
        <f>IFERROR(bütünleme!BN3*100/bütünleme!$I3,"")</f>
        <v/>
      </c>
      <c r="BD306" s="39" t="str">
        <f>IFERROR(bütünleme!BO3*100/bütünleme!$I3,"")</f>
        <v/>
      </c>
      <c r="BE306" s="39" t="str">
        <f>IFERROR(bütünleme!BP3*100/bütünleme!$I3,"")</f>
        <v/>
      </c>
      <c r="BF306" s="39" t="str">
        <f>IFERROR(bütünleme!BQ3*100/bütünleme!$I3,"")</f>
        <v/>
      </c>
      <c r="BG306" s="39" t="str">
        <f>IFERROR(bütünleme!BR3*100/bütünleme!$I3,"")</f>
        <v/>
      </c>
      <c r="BH306" s="39" t="str">
        <f>IFERROR(bütünleme!BS3*100/bütünleme!$I3,"")</f>
        <v/>
      </c>
      <c r="BI306" s="39" t="str">
        <f>IFERROR(bütünleme!BT3*100/bütünleme!$I3,"")</f>
        <v/>
      </c>
      <c r="BJ306" s="39" t="str">
        <f>IFERROR(bütünleme!BU3*100/bütünleme!$I3,"")</f>
        <v/>
      </c>
      <c r="BK306" s="39" t="str">
        <f>IFERROR(bütünleme!BV3*100/bütünleme!$I3,"")</f>
        <v/>
      </c>
      <c r="BL306" s="39" t="str">
        <f>IFERROR(bütünleme!BW3*100/bütünleme!$I3,"")</f>
        <v/>
      </c>
      <c r="BM306" s="39" t="str">
        <f>IFERROR(bütünleme!BX3*100/bütünleme!$I3,"")</f>
        <v/>
      </c>
      <c r="BN306" s="39" t="str">
        <f>IFERROR(bütünleme!BY3*100/bütünleme!$I3,"")</f>
        <v/>
      </c>
      <c r="BO306" s="39" t="str">
        <f>IFERROR(bütünleme!BZ3*100/bütünleme!$I3,"")</f>
        <v/>
      </c>
      <c r="BP306" s="39" t="str">
        <f>IFERROR(bütünleme!CA3*100/bütünleme!$I3,"")</f>
        <v/>
      </c>
      <c r="BQ306" s="39" t="str">
        <f>IFERROR(bütünleme!CB3*100/bütünleme!$I3,"")</f>
        <v/>
      </c>
      <c r="BR306" s="39" t="str">
        <f>IFERROR(bütünleme!CC3*100/bütünleme!$I3,"")</f>
        <v/>
      </c>
      <c r="BS306" s="39" t="str">
        <f>IFERROR(bütünleme!CD3*100/bütünleme!$I3,"")</f>
        <v/>
      </c>
      <c r="BT306" s="39" t="str">
        <f>IFERROR(bütünleme!CE3*100/bütünleme!$I3,"")</f>
        <v/>
      </c>
      <c r="BU306" s="39" t="str">
        <f>IFERROR(bütünleme!CF3*100/bütünleme!$I3,"")</f>
        <v/>
      </c>
      <c r="BV306" s="39" t="str">
        <f>IFERROR(bütünleme!CG3*100/bütünleme!$I3,"")</f>
        <v/>
      </c>
      <c r="BW306" s="39" t="str">
        <f>IFERROR(bütünleme!CH3*100/bütünleme!$I3,"")</f>
        <v/>
      </c>
      <c r="BX306" s="39" t="str">
        <f>IFERROR(bütünleme!CI3*100/bütünleme!$I3,"")</f>
        <v/>
      </c>
      <c r="BY306" s="39" t="str">
        <f>IFERROR(bütünleme!CJ3*100/bütünleme!$I3,"")</f>
        <v/>
      </c>
      <c r="BZ306" s="39" t="str">
        <f>IFERROR(bütünleme!CK3*100/bütünleme!$I3,"")</f>
        <v/>
      </c>
      <c r="CA306" s="39" t="str">
        <f>IFERROR(bütünleme!CL3*100/bütünleme!$I3,"")</f>
        <v/>
      </c>
      <c r="CB306" s="39" t="str">
        <f>IFERROR(bütünleme!CM3*100/bütünleme!$I3,"")</f>
        <v/>
      </c>
      <c r="CC306" s="39" t="str">
        <f>IFERROR(bütünleme!CN3*100/bütünleme!$I3,"")</f>
        <v/>
      </c>
      <c r="CD306" s="39" t="str">
        <f>IFERROR(bütünleme!CO3*100/bütünleme!$I3,"")</f>
        <v/>
      </c>
      <c r="CE306" s="39" t="str">
        <f>IFERROR(bütünleme!CP3*100/bütünleme!$I3,"")</f>
        <v/>
      </c>
      <c r="CF306" s="39" t="str">
        <f>IFERROR(bütünleme!CQ3*100/bütünleme!$I3,"")</f>
        <v/>
      </c>
      <c r="CG306" s="39" t="str">
        <f>IFERROR(bütünleme!CR3*100/bütünleme!$I3,"")</f>
        <v/>
      </c>
      <c r="CH306" s="39" t="str">
        <f>IFERROR(bütünleme!CS3*100/bütünleme!$I3,"")</f>
        <v/>
      </c>
      <c r="CI306" s="39" t="str">
        <f>IFERROR(bütünleme!CT3*100/bütünleme!$I3,"")</f>
        <v/>
      </c>
      <c r="CJ306" s="39" t="str">
        <f>IFERROR(bütünleme!CU3*100/bütünleme!$I3,"")</f>
        <v/>
      </c>
      <c r="CK306" s="39" t="str">
        <f>IFERROR(bütünleme!CV3*100/bütünleme!$I3,"")</f>
        <v/>
      </c>
      <c r="CL306" s="39" t="str">
        <f>IFERROR(bütünleme!CW3*100/bütünleme!$I3,"")</f>
        <v/>
      </c>
      <c r="CM306" s="39" t="str">
        <f>IFERROR(bütünleme!CX3*100/bütünleme!$I3,"")</f>
        <v/>
      </c>
      <c r="CN306" s="39" t="str">
        <f>IFERROR(bütünleme!CY3*100/bütünleme!$I3,"")</f>
        <v/>
      </c>
      <c r="CO306" s="39" t="str">
        <f>IFERROR(bütünleme!CZ3*100/bütünleme!$I3,"")</f>
        <v/>
      </c>
      <c r="CP306" s="39" t="str">
        <f>IFERROR(bütünleme!DA3*100/bütünleme!$I3,"")</f>
        <v/>
      </c>
      <c r="CQ306" s="39" t="str">
        <f>IFERROR(bütünleme!DB3*100/bütünleme!$I3,"")</f>
        <v/>
      </c>
      <c r="CR306" s="39" t="str">
        <f>IFERROR(bütünleme!DC3*100/bütünleme!$I3,"")</f>
        <v/>
      </c>
      <c r="CS306" s="39" t="str">
        <f>IFERROR(bütünleme!DD3*100/bütünleme!$I3,"")</f>
        <v/>
      </c>
      <c r="CT306" s="39" t="str">
        <f>IFERROR(bütünleme!DE3*100/bütünleme!$I3,"")</f>
        <v/>
      </c>
      <c r="CU306" s="39" t="str">
        <f>IFERROR(bütünleme!DF3*100/bütünleme!$I3,"")</f>
        <v/>
      </c>
      <c r="CV306" s="39" t="str">
        <f>IFERROR(bütünleme!DG3*100/bütünleme!$I3,"")</f>
        <v/>
      </c>
      <c r="CW306" s="36" t="str">
        <f>IFERROR(SUM(A306:CV306)/bütünleme!$DH$103,"")</f>
        <v/>
      </c>
      <c r="CX306" s="14" t="str">
        <f>IF(COUNTA(bütünleme!A3),bütünleme!A3,"")</f>
        <v/>
      </c>
      <c r="CY306" s="14" t="str">
        <f>IF(COUNTA(bütünleme!B3),bütünleme!B3,"")</f>
        <v/>
      </c>
      <c r="CZ306" s="14" t="str">
        <f>IF(COUNTA(bütünleme!C3),bütünleme!C3,"")</f>
        <v/>
      </c>
      <c r="DA306" s="14" t="str">
        <f>IF(COUNTA(bütünleme!D3),bütünleme!D3,"")</f>
        <v/>
      </c>
      <c r="DB306" s="14" t="str">
        <f>IF(COUNTA(bütünleme!E3),bütünleme!E3,"")</f>
        <v/>
      </c>
      <c r="DC306" s="14" t="str">
        <f>IF(COUNTA(bütünleme!F3),bütünleme!F3,"")</f>
        <v/>
      </c>
      <c r="DD306" s="14" t="str">
        <f>IF(COUNTA(bütünleme!G3),bütünleme!G3,"")</f>
        <v/>
      </c>
      <c r="DE306" s="14" t="str">
        <f>IF(COUNTA(bütünleme!H3),bütünleme!H3,"")</f>
        <v/>
      </c>
    </row>
    <row r="307" spans="1:118" x14ac:dyDescent="0.2">
      <c r="A307" s="39" t="str">
        <f>IFERROR(bütünleme!L4*100/bütünleme!$I4,"")</f>
        <v/>
      </c>
      <c r="B307" s="39" t="str">
        <f>IFERROR(bütünleme!M4*100/bütünleme!$I4,"")</f>
        <v/>
      </c>
      <c r="C307" s="39" t="str">
        <f>IFERROR(bütünleme!N4*100/bütünleme!$I4,"")</f>
        <v/>
      </c>
      <c r="D307" s="39" t="str">
        <f>IFERROR(bütünleme!O4*100/bütünleme!$I4,"")</f>
        <v/>
      </c>
      <c r="E307" s="39" t="str">
        <f>IFERROR(bütünleme!P4*100/bütünleme!$I4,"")</f>
        <v/>
      </c>
      <c r="F307" s="39" t="str">
        <f>IFERROR(bütünleme!Q4*100/bütünleme!$I4,"")</f>
        <v/>
      </c>
      <c r="G307" s="39" t="str">
        <f>IFERROR(bütünleme!R4*100/bütünleme!$I4,"")</f>
        <v/>
      </c>
      <c r="H307" s="39" t="str">
        <f>IFERROR(bütünleme!S4*100/bütünleme!$I4,"")</f>
        <v/>
      </c>
      <c r="I307" s="39" t="str">
        <f>IFERROR(bütünleme!T4*100/bütünleme!$I4,"")</f>
        <v/>
      </c>
      <c r="J307" s="39" t="str">
        <f>IFERROR(bütünleme!U4*100/bütünleme!$I4,"")</f>
        <v/>
      </c>
      <c r="K307" s="39" t="str">
        <f>IFERROR(bütünleme!V4*100/bütünleme!$I4,"")</f>
        <v/>
      </c>
      <c r="L307" s="39" t="str">
        <f>IFERROR(bütünleme!W4*100/bütünleme!$I4,"")</f>
        <v/>
      </c>
      <c r="M307" s="39" t="str">
        <f>IFERROR(bütünleme!X4*100/bütünleme!$I4,"")</f>
        <v/>
      </c>
      <c r="N307" s="39" t="str">
        <f>IFERROR(bütünleme!Y4*100/bütünleme!$I4,"")</f>
        <v/>
      </c>
      <c r="O307" s="39" t="str">
        <f>IFERROR(bütünleme!Z4*100/bütünleme!$I4,"")</f>
        <v/>
      </c>
      <c r="P307" s="39" t="str">
        <f>IFERROR(bütünleme!AA4*100/bütünleme!$I4,"")</f>
        <v/>
      </c>
      <c r="Q307" s="39" t="str">
        <f>IFERROR(bütünleme!AB4*100/bütünleme!$I4,"")</f>
        <v/>
      </c>
      <c r="R307" s="39" t="str">
        <f>IFERROR(bütünleme!AC4*100/bütünleme!$I4,"")</f>
        <v/>
      </c>
      <c r="S307" s="39" t="str">
        <f>IFERROR(bütünleme!AD4*100/bütünleme!$I4,"")</f>
        <v/>
      </c>
      <c r="T307" s="39" t="str">
        <f>IFERROR(bütünleme!AE4*100/bütünleme!$I4,"")</f>
        <v/>
      </c>
      <c r="U307" s="39" t="str">
        <f>IFERROR(bütünleme!AF4*100/bütünleme!$I4,"")</f>
        <v/>
      </c>
      <c r="V307" s="39" t="str">
        <f>IFERROR(bütünleme!AG4*100/bütünleme!$I4,"")</f>
        <v/>
      </c>
      <c r="W307" s="39" t="str">
        <f>IFERROR(bütünleme!AH4*100/bütünleme!$I4,"")</f>
        <v/>
      </c>
      <c r="X307" s="39" t="str">
        <f>IFERROR(bütünleme!AI4*100/bütünleme!$I4,"")</f>
        <v/>
      </c>
      <c r="Y307" s="39" t="str">
        <f>IFERROR(bütünleme!AJ4*100/bütünleme!$I4,"")</f>
        <v/>
      </c>
      <c r="Z307" s="39" t="str">
        <f>IFERROR(bütünleme!AK4*100/bütünleme!$I4,"")</f>
        <v/>
      </c>
      <c r="AA307" s="39" t="str">
        <f>IFERROR(bütünleme!AL4*100/bütünleme!$I4,"")</f>
        <v/>
      </c>
      <c r="AB307" s="39" t="str">
        <f>IFERROR(bütünleme!AM4*100/bütünleme!$I4,"")</f>
        <v/>
      </c>
      <c r="AC307" s="39" t="str">
        <f>IFERROR(bütünleme!AN4*100/bütünleme!$I4,"")</f>
        <v/>
      </c>
      <c r="AD307" s="39" t="str">
        <f>IFERROR(bütünleme!AO4*100/bütünleme!$I4,"")</f>
        <v/>
      </c>
      <c r="AE307" s="39" t="str">
        <f>IFERROR(bütünleme!AP4*100/bütünleme!$I4,"")</f>
        <v/>
      </c>
      <c r="AF307" s="39" t="str">
        <f>IFERROR(bütünleme!AQ4*100/bütünleme!$I4,"")</f>
        <v/>
      </c>
      <c r="AG307" s="39" t="str">
        <f>IFERROR(bütünleme!AR4*100/bütünleme!$I4,"")</f>
        <v/>
      </c>
      <c r="AH307" s="39" t="str">
        <f>IFERROR(bütünleme!AS4*100/bütünleme!$I4,"")</f>
        <v/>
      </c>
      <c r="AI307" s="39" t="str">
        <f>IFERROR(bütünleme!AT4*100/bütünleme!$I4,"")</f>
        <v/>
      </c>
      <c r="AJ307" s="39" t="str">
        <f>IFERROR(bütünleme!AU4*100/bütünleme!$I4,"")</f>
        <v/>
      </c>
      <c r="AK307" s="39" t="str">
        <f>IFERROR(bütünleme!AV4*100/bütünleme!$I4,"")</f>
        <v/>
      </c>
      <c r="AL307" s="39" t="str">
        <f>IFERROR(bütünleme!AW4*100/bütünleme!$I4,"")</f>
        <v/>
      </c>
      <c r="AM307" s="39" t="str">
        <f>IFERROR(bütünleme!AX4*100/bütünleme!$I4,"")</f>
        <v/>
      </c>
      <c r="AN307" s="39" t="str">
        <f>IFERROR(bütünleme!AY4*100/bütünleme!$I4,"")</f>
        <v/>
      </c>
      <c r="AO307" s="39" t="str">
        <f>IFERROR(bütünleme!AZ4*100/bütünleme!$I4,"")</f>
        <v/>
      </c>
      <c r="AP307" s="39" t="str">
        <f>IFERROR(bütünleme!BA4*100/bütünleme!$I4,"")</f>
        <v/>
      </c>
      <c r="AQ307" s="39" t="str">
        <f>IFERROR(bütünleme!BB4*100/bütünleme!$I4,"")</f>
        <v/>
      </c>
      <c r="AR307" s="39" t="str">
        <f>IFERROR(bütünleme!BC4*100/bütünleme!$I4,"")</f>
        <v/>
      </c>
      <c r="AS307" s="39" t="str">
        <f>IFERROR(bütünleme!BD4*100/bütünleme!$I4,"")</f>
        <v/>
      </c>
      <c r="AT307" s="39" t="str">
        <f>IFERROR(bütünleme!BE4*100/bütünleme!$I4,"")</f>
        <v/>
      </c>
      <c r="AU307" s="39" t="str">
        <f>IFERROR(bütünleme!BF4*100/bütünleme!$I4,"")</f>
        <v/>
      </c>
      <c r="AV307" s="39" t="str">
        <f>IFERROR(bütünleme!BG4*100/bütünleme!$I4,"")</f>
        <v/>
      </c>
      <c r="AW307" s="39" t="str">
        <f>IFERROR(bütünleme!BH4*100/bütünleme!$I4,"")</f>
        <v/>
      </c>
      <c r="AX307" s="39" t="str">
        <f>IFERROR(bütünleme!BI4*100/bütünleme!$I4,"")</f>
        <v/>
      </c>
      <c r="AY307" s="39" t="str">
        <f>IFERROR(bütünleme!BJ4*100/bütünleme!$I4,"")</f>
        <v/>
      </c>
      <c r="AZ307" s="39" t="str">
        <f>IFERROR(bütünleme!BK4*100/bütünleme!$I4,"")</f>
        <v/>
      </c>
      <c r="BA307" s="39" t="str">
        <f>IFERROR(bütünleme!BL4*100/bütünleme!$I4,"")</f>
        <v/>
      </c>
      <c r="BB307" s="39" t="str">
        <f>IFERROR(bütünleme!BM4*100/bütünleme!$I4,"")</f>
        <v/>
      </c>
      <c r="BC307" s="39" t="str">
        <f>IFERROR(bütünleme!BN4*100/bütünleme!$I4,"")</f>
        <v/>
      </c>
      <c r="BD307" s="39" t="str">
        <f>IFERROR(bütünleme!BO4*100/bütünleme!$I4,"")</f>
        <v/>
      </c>
      <c r="BE307" s="39" t="str">
        <f>IFERROR(bütünleme!BP4*100/bütünleme!$I4,"")</f>
        <v/>
      </c>
      <c r="BF307" s="39" t="str">
        <f>IFERROR(bütünleme!BQ4*100/bütünleme!$I4,"")</f>
        <v/>
      </c>
      <c r="BG307" s="39" t="str">
        <f>IFERROR(bütünleme!BR4*100/bütünleme!$I4,"")</f>
        <v/>
      </c>
      <c r="BH307" s="39" t="str">
        <f>IFERROR(bütünleme!BS4*100/bütünleme!$I4,"")</f>
        <v/>
      </c>
      <c r="BI307" s="39" t="str">
        <f>IFERROR(bütünleme!BT4*100/bütünleme!$I4,"")</f>
        <v/>
      </c>
      <c r="BJ307" s="39" t="str">
        <f>IFERROR(bütünleme!BU4*100/bütünleme!$I4,"")</f>
        <v/>
      </c>
      <c r="BK307" s="39" t="str">
        <f>IFERROR(bütünleme!BV4*100/bütünleme!$I4,"")</f>
        <v/>
      </c>
      <c r="BL307" s="39" t="str">
        <f>IFERROR(bütünleme!BW4*100/bütünleme!$I4,"")</f>
        <v/>
      </c>
      <c r="BM307" s="39" t="str">
        <f>IFERROR(bütünleme!BX4*100/bütünleme!$I4,"")</f>
        <v/>
      </c>
      <c r="BN307" s="39" t="str">
        <f>IFERROR(bütünleme!BY4*100/bütünleme!$I4,"")</f>
        <v/>
      </c>
      <c r="BO307" s="39" t="str">
        <f>IFERROR(bütünleme!BZ4*100/bütünleme!$I4,"")</f>
        <v/>
      </c>
      <c r="BP307" s="39" t="str">
        <f>IFERROR(bütünleme!CA4*100/bütünleme!$I4,"")</f>
        <v/>
      </c>
      <c r="BQ307" s="39" t="str">
        <f>IFERROR(bütünleme!CB4*100/bütünleme!$I4,"")</f>
        <v/>
      </c>
      <c r="BR307" s="39" t="str">
        <f>IFERROR(bütünleme!CC4*100/bütünleme!$I4,"")</f>
        <v/>
      </c>
      <c r="BS307" s="39" t="str">
        <f>IFERROR(bütünleme!CD4*100/bütünleme!$I4,"")</f>
        <v/>
      </c>
      <c r="BT307" s="39" t="str">
        <f>IFERROR(bütünleme!CE4*100/bütünleme!$I4,"")</f>
        <v/>
      </c>
      <c r="BU307" s="39" t="str">
        <f>IFERROR(bütünleme!CF4*100/bütünleme!$I4,"")</f>
        <v/>
      </c>
      <c r="BV307" s="39" t="str">
        <f>IFERROR(bütünleme!CG4*100/bütünleme!$I4,"")</f>
        <v/>
      </c>
      <c r="BW307" s="39" t="str">
        <f>IFERROR(bütünleme!CH4*100/bütünleme!$I4,"")</f>
        <v/>
      </c>
      <c r="BX307" s="39" t="str">
        <f>IFERROR(bütünleme!CI4*100/bütünleme!$I4,"")</f>
        <v/>
      </c>
      <c r="BY307" s="39" t="str">
        <f>IFERROR(bütünleme!CJ4*100/bütünleme!$I4,"")</f>
        <v/>
      </c>
      <c r="BZ307" s="39" t="str">
        <f>IFERROR(bütünleme!CK4*100/bütünleme!$I4,"")</f>
        <v/>
      </c>
      <c r="CA307" s="39" t="str">
        <f>IFERROR(bütünleme!CL4*100/bütünleme!$I4,"")</f>
        <v/>
      </c>
      <c r="CB307" s="39" t="str">
        <f>IFERROR(bütünleme!CM4*100/bütünleme!$I4,"")</f>
        <v/>
      </c>
      <c r="CC307" s="39" t="str">
        <f>IFERROR(bütünleme!CN4*100/bütünleme!$I4,"")</f>
        <v/>
      </c>
      <c r="CD307" s="39" t="str">
        <f>IFERROR(bütünleme!CO4*100/bütünleme!$I4,"")</f>
        <v/>
      </c>
      <c r="CE307" s="39" t="str">
        <f>IFERROR(bütünleme!CP4*100/bütünleme!$I4,"")</f>
        <v/>
      </c>
      <c r="CF307" s="39" t="str">
        <f>IFERROR(bütünleme!CQ4*100/bütünleme!$I4,"")</f>
        <v/>
      </c>
      <c r="CG307" s="39" t="str">
        <f>IFERROR(bütünleme!CR4*100/bütünleme!$I4,"")</f>
        <v/>
      </c>
      <c r="CH307" s="39" t="str">
        <f>IFERROR(bütünleme!CS4*100/bütünleme!$I4,"")</f>
        <v/>
      </c>
      <c r="CI307" s="39" t="str">
        <f>IFERROR(bütünleme!CT4*100/bütünleme!$I4,"")</f>
        <v/>
      </c>
      <c r="CJ307" s="39" t="str">
        <f>IFERROR(bütünleme!CU4*100/bütünleme!$I4,"")</f>
        <v/>
      </c>
      <c r="CK307" s="39" t="str">
        <f>IFERROR(bütünleme!CV4*100/bütünleme!$I4,"")</f>
        <v/>
      </c>
      <c r="CL307" s="39" t="str">
        <f>IFERROR(bütünleme!CW4*100/bütünleme!$I4,"")</f>
        <v/>
      </c>
      <c r="CM307" s="39" t="str">
        <f>IFERROR(bütünleme!CX4*100/bütünleme!$I4,"")</f>
        <v/>
      </c>
      <c r="CN307" s="39" t="str">
        <f>IFERROR(bütünleme!CY4*100/bütünleme!$I4,"")</f>
        <v/>
      </c>
      <c r="CO307" s="39" t="str">
        <f>IFERROR(bütünleme!CZ4*100/bütünleme!$I4,"")</f>
        <v/>
      </c>
      <c r="CP307" s="39" t="str">
        <f>IFERROR(bütünleme!DA4*100/bütünleme!$I4,"")</f>
        <v/>
      </c>
      <c r="CQ307" s="39" t="str">
        <f>IFERROR(bütünleme!DB4*100/bütünleme!$I4,"")</f>
        <v/>
      </c>
      <c r="CR307" s="39" t="str">
        <f>IFERROR(bütünleme!DC4*100/bütünleme!$I4,"")</f>
        <v/>
      </c>
      <c r="CS307" s="39" t="str">
        <f>IFERROR(bütünleme!DD4*100/bütünleme!$I4,"")</f>
        <v/>
      </c>
      <c r="CT307" s="39" t="str">
        <f>IFERROR(bütünleme!DE4*100/bütünleme!$I4,"")</f>
        <v/>
      </c>
      <c r="CU307" s="39" t="str">
        <f>IFERROR(bütünleme!DF4*100/bütünleme!$I4,"")</f>
        <v/>
      </c>
      <c r="CV307" s="39" t="str">
        <f>IFERROR(bütünleme!DG4*100/bütünleme!$I4,"")</f>
        <v/>
      </c>
      <c r="CW307" s="36" t="str">
        <f>IFERROR(SUM(A307:CV307)/bütünleme!$DH$103,"")</f>
        <v/>
      </c>
      <c r="CX307" s="14" t="str">
        <f>IF(COUNTA(bütünleme!A4),bütünleme!A4,"")</f>
        <v/>
      </c>
      <c r="CY307" s="14" t="str">
        <f>IF(COUNTA(bütünleme!B4),bütünleme!B4,"")</f>
        <v/>
      </c>
      <c r="CZ307" s="14" t="str">
        <f>IF(COUNTA(bütünleme!C4),bütünleme!C4,"")</f>
        <v/>
      </c>
      <c r="DA307" s="14" t="str">
        <f>IF(COUNTA(bütünleme!D4),bütünleme!D4,"")</f>
        <v/>
      </c>
      <c r="DB307" s="14" t="str">
        <f>IF(COUNTA(bütünleme!E4),bütünleme!E4,"")</f>
        <v/>
      </c>
      <c r="DC307" s="14" t="str">
        <f>IF(COUNTA(bütünleme!F4),bütünleme!F4,"")</f>
        <v/>
      </c>
      <c r="DD307" s="14" t="str">
        <f>IF(COUNTA(bütünleme!G4),bütünleme!G4,"")</f>
        <v/>
      </c>
      <c r="DE307" s="14" t="str">
        <f>IF(COUNTA(bütünleme!H4),bütünleme!H4,"")</f>
        <v/>
      </c>
    </row>
    <row r="308" spans="1:118" x14ac:dyDescent="0.2">
      <c r="A308" s="39" t="str">
        <f>IFERROR(bütünleme!L5*100/bütünleme!$I5,"")</f>
        <v/>
      </c>
      <c r="B308" s="39" t="str">
        <f>IFERROR(bütünleme!M5*100/bütünleme!$I5,"")</f>
        <v/>
      </c>
      <c r="C308" s="39" t="str">
        <f>IFERROR(bütünleme!N5*100/bütünleme!$I5,"")</f>
        <v/>
      </c>
      <c r="D308" s="39" t="str">
        <f>IFERROR(bütünleme!O5*100/bütünleme!$I5,"")</f>
        <v/>
      </c>
      <c r="E308" s="39" t="str">
        <f>IFERROR(bütünleme!P5*100/bütünleme!$I5,"")</f>
        <v/>
      </c>
      <c r="F308" s="39" t="str">
        <f>IFERROR(bütünleme!Q5*100/bütünleme!$I5,"")</f>
        <v/>
      </c>
      <c r="G308" s="39" t="str">
        <f>IFERROR(bütünleme!R5*100/bütünleme!$I5,"")</f>
        <v/>
      </c>
      <c r="H308" s="39" t="str">
        <f>IFERROR(bütünleme!S5*100/bütünleme!$I5,"")</f>
        <v/>
      </c>
      <c r="I308" s="39" t="str">
        <f>IFERROR(bütünleme!T5*100/bütünleme!$I5,"")</f>
        <v/>
      </c>
      <c r="J308" s="39" t="str">
        <f>IFERROR(bütünleme!U5*100/bütünleme!$I5,"")</f>
        <v/>
      </c>
      <c r="K308" s="39" t="str">
        <f>IFERROR(bütünleme!V5*100/bütünleme!$I5,"")</f>
        <v/>
      </c>
      <c r="L308" s="39" t="str">
        <f>IFERROR(bütünleme!W5*100/bütünleme!$I5,"")</f>
        <v/>
      </c>
      <c r="M308" s="39" t="str">
        <f>IFERROR(bütünleme!X5*100/bütünleme!$I5,"")</f>
        <v/>
      </c>
      <c r="N308" s="39" t="str">
        <f>IFERROR(bütünleme!Y5*100/bütünleme!$I5,"")</f>
        <v/>
      </c>
      <c r="O308" s="39" t="str">
        <f>IFERROR(bütünleme!Z5*100/bütünleme!$I5,"")</f>
        <v/>
      </c>
      <c r="P308" s="39" t="str">
        <f>IFERROR(bütünleme!AA5*100/bütünleme!$I5,"")</f>
        <v/>
      </c>
      <c r="Q308" s="39" t="str">
        <f>IFERROR(bütünleme!AB5*100/bütünleme!$I5,"")</f>
        <v/>
      </c>
      <c r="R308" s="39" t="str">
        <f>IFERROR(bütünleme!AC5*100/bütünleme!$I5,"")</f>
        <v/>
      </c>
      <c r="S308" s="39" t="str">
        <f>IFERROR(bütünleme!AD5*100/bütünleme!$I5,"")</f>
        <v/>
      </c>
      <c r="T308" s="39" t="str">
        <f>IFERROR(bütünleme!AE5*100/bütünleme!$I5,"")</f>
        <v/>
      </c>
      <c r="U308" s="39" t="str">
        <f>IFERROR(bütünleme!AF5*100/bütünleme!$I5,"")</f>
        <v/>
      </c>
      <c r="V308" s="39" t="str">
        <f>IFERROR(bütünleme!AG5*100/bütünleme!$I5,"")</f>
        <v/>
      </c>
      <c r="W308" s="39" t="str">
        <f>IFERROR(bütünleme!AH5*100/bütünleme!$I5,"")</f>
        <v/>
      </c>
      <c r="X308" s="39" t="str">
        <f>IFERROR(bütünleme!AI5*100/bütünleme!$I5,"")</f>
        <v/>
      </c>
      <c r="Y308" s="39" t="str">
        <f>IFERROR(bütünleme!AJ5*100/bütünleme!$I5,"")</f>
        <v/>
      </c>
      <c r="Z308" s="39" t="str">
        <f>IFERROR(bütünleme!AK5*100/bütünleme!$I5,"")</f>
        <v/>
      </c>
      <c r="AA308" s="39" t="str">
        <f>IFERROR(bütünleme!AL5*100/bütünleme!$I5,"")</f>
        <v/>
      </c>
      <c r="AB308" s="39" t="str">
        <f>IFERROR(bütünleme!AM5*100/bütünleme!$I5,"")</f>
        <v/>
      </c>
      <c r="AC308" s="39" t="str">
        <f>IFERROR(bütünleme!AN5*100/bütünleme!$I5,"")</f>
        <v/>
      </c>
      <c r="AD308" s="39" t="str">
        <f>IFERROR(bütünleme!AO5*100/bütünleme!$I5,"")</f>
        <v/>
      </c>
      <c r="AE308" s="39" t="str">
        <f>IFERROR(bütünleme!AP5*100/bütünleme!$I5,"")</f>
        <v/>
      </c>
      <c r="AF308" s="39" t="str">
        <f>IFERROR(bütünleme!AQ5*100/bütünleme!$I5,"")</f>
        <v/>
      </c>
      <c r="AG308" s="39" t="str">
        <f>IFERROR(bütünleme!AR5*100/bütünleme!$I5,"")</f>
        <v/>
      </c>
      <c r="AH308" s="39" t="str">
        <f>IFERROR(bütünleme!AS5*100/bütünleme!$I5,"")</f>
        <v/>
      </c>
      <c r="AI308" s="39" t="str">
        <f>IFERROR(bütünleme!AT5*100/bütünleme!$I5,"")</f>
        <v/>
      </c>
      <c r="AJ308" s="39" t="str">
        <f>IFERROR(bütünleme!AU5*100/bütünleme!$I5,"")</f>
        <v/>
      </c>
      <c r="AK308" s="39" t="str">
        <f>IFERROR(bütünleme!AV5*100/bütünleme!$I5,"")</f>
        <v/>
      </c>
      <c r="AL308" s="39" t="str">
        <f>IFERROR(bütünleme!AW5*100/bütünleme!$I5,"")</f>
        <v/>
      </c>
      <c r="AM308" s="39" t="str">
        <f>IFERROR(bütünleme!AX5*100/bütünleme!$I5,"")</f>
        <v/>
      </c>
      <c r="AN308" s="39" t="str">
        <f>IFERROR(bütünleme!AY5*100/bütünleme!$I5,"")</f>
        <v/>
      </c>
      <c r="AO308" s="39" t="str">
        <f>IFERROR(bütünleme!AZ5*100/bütünleme!$I5,"")</f>
        <v/>
      </c>
      <c r="AP308" s="39" t="str">
        <f>IFERROR(bütünleme!BA5*100/bütünleme!$I5,"")</f>
        <v/>
      </c>
      <c r="AQ308" s="39" t="str">
        <f>IFERROR(bütünleme!BB5*100/bütünleme!$I5,"")</f>
        <v/>
      </c>
      <c r="AR308" s="39" t="str">
        <f>IFERROR(bütünleme!BC5*100/bütünleme!$I5,"")</f>
        <v/>
      </c>
      <c r="AS308" s="39" t="str">
        <f>IFERROR(bütünleme!BD5*100/bütünleme!$I5,"")</f>
        <v/>
      </c>
      <c r="AT308" s="39" t="str">
        <f>IFERROR(bütünleme!BE5*100/bütünleme!$I5,"")</f>
        <v/>
      </c>
      <c r="AU308" s="39" t="str">
        <f>IFERROR(bütünleme!BF5*100/bütünleme!$I5,"")</f>
        <v/>
      </c>
      <c r="AV308" s="39" t="str">
        <f>IFERROR(bütünleme!BG5*100/bütünleme!$I5,"")</f>
        <v/>
      </c>
      <c r="AW308" s="39" t="str">
        <f>IFERROR(bütünleme!BH5*100/bütünleme!$I5,"")</f>
        <v/>
      </c>
      <c r="AX308" s="39" t="str">
        <f>IFERROR(bütünleme!BI5*100/bütünleme!$I5,"")</f>
        <v/>
      </c>
      <c r="AY308" s="39" t="str">
        <f>IFERROR(bütünleme!BJ5*100/bütünleme!$I5,"")</f>
        <v/>
      </c>
      <c r="AZ308" s="39" t="str">
        <f>IFERROR(bütünleme!BK5*100/bütünleme!$I5,"")</f>
        <v/>
      </c>
      <c r="BA308" s="39" t="str">
        <f>IFERROR(bütünleme!BL5*100/bütünleme!$I5,"")</f>
        <v/>
      </c>
      <c r="BB308" s="39" t="str">
        <f>IFERROR(bütünleme!BM5*100/bütünleme!$I5,"")</f>
        <v/>
      </c>
      <c r="BC308" s="39" t="str">
        <f>IFERROR(bütünleme!BN5*100/bütünleme!$I5,"")</f>
        <v/>
      </c>
      <c r="BD308" s="39" t="str">
        <f>IFERROR(bütünleme!BO5*100/bütünleme!$I5,"")</f>
        <v/>
      </c>
      <c r="BE308" s="39" t="str">
        <f>IFERROR(bütünleme!BP5*100/bütünleme!$I5,"")</f>
        <v/>
      </c>
      <c r="BF308" s="39" t="str">
        <f>IFERROR(bütünleme!BQ5*100/bütünleme!$I5,"")</f>
        <v/>
      </c>
      <c r="BG308" s="39" t="str">
        <f>IFERROR(bütünleme!BR5*100/bütünleme!$I5,"")</f>
        <v/>
      </c>
      <c r="BH308" s="39" t="str">
        <f>IFERROR(bütünleme!BS5*100/bütünleme!$I5,"")</f>
        <v/>
      </c>
      <c r="BI308" s="39" t="str">
        <f>IFERROR(bütünleme!BT5*100/bütünleme!$I5,"")</f>
        <v/>
      </c>
      <c r="BJ308" s="39" t="str">
        <f>IFERROR(bütünleme!BU5*100/bütünleme!$I5,"")</f>
        <v/>
      </c>
      <c r="BK308" s="39" t="str">
        <f>IFERROR(bütünleme!BV5*100/bütünleme!$I5,"")</f>
        <v/>
      </c>
      <c r="BL308" s="39" t="str">
        <f>IFERROR(bütünleme!BW5*100/bütünleme!$I5,"")</f>
        <v/>
      </c>
      <c r="BM308" s="39" t="str">
        <f>IFERROR(bütünleme!BX5*100/bütünleme!$I5,"")</f>
        <v/>
      </c>
      <c r="BN308" s="39" t="str">
        <f>IFERROR(bütünleme!BY5*100/bütünleme!$I5,"")</f>
        <v/>
      </c>
      <c r="BO308" s="39" t="str">
        <f>IFERROR(bütünleme!BZ5*100/bütünleme!$I5,"")</f>
        <v/>
      </c>
      <c r="BP308" s="39" t="str">
        <f>IFERROR(bütünleme!CA5*100/bütünleme!$I5,"")</f>
        <v/>
      </c>
      <c r="BQ308" s="39" t="str">
        <f>IFERROR(bütünleme!CB5*100/bütünleme!$I5,"")</f>
        <v/>
      </c>
      <c r="BR308" s="39" t="str">
        <f>IFERROR(bütünleme!CC5*100/bütünleme!$I5,"")</f>
        <v/>
      </c>
      <c r="BS308" s="39" t="str">
        <f>IFERROR(bütünleme!CD5*100/bütünleme!$I5,"")</f>
        <v/>
      </c>
      <c r="BT308" s="39" t="str">
        <f>IFERROR(bütünleme!CE5*100/bütünleme!$I5,"")</f>
        <v/>
      </c>
      <c r="BU308" s="39" t="str">
        <f>IFERROR(bütünleme!CF5*100/bütünleme!$I5,"")</f>
        <v/>
      </c>
      <c r="BV308" s="39" t="str">
        <f>IFERROR(bütünleme!CG5*100/bütünleme!$I5,"")</f>
        <v/>
      </c>
      <c r="BW308" s="39" t="str">
        <f>IFERROR(bütünleme!CH5*100/bütünleme!$I5,"")</f>
        <v/>
      </c>
      <c r="BX308" s="39" t="str">
        <f>IFERROR(bütünleme!CI5*100/bütünleme!$I5,"")</f>
        <v/>
      </c>
      <c r="BY308" s="39" t="str">
        <f>IFERROR(bütünleme!CJ5*100/bütünleme!$I5,"")</f>
        <v/>
      </c>
      <c r="BZ308" s="39" t="str">
        <f>IFERROR(bütünleme!CK5*100/bütünleme!$I5,"")</f>
        <v/>
      </c>
      <c r="CA308" s="39" t="str">
        <f>IFERROR(bütünleme!CL5*100/bütünleme!$I5,"")</f>
        <v/>
      </c>
      <c r="CB308" s="39" t="str">
        <f>IFERROR(bütünleme!CM5*100/bütünleme!$I5,"")</f>
        <v/>
      </c>
      <c r="CC308" s="39" t="str">
        <f>IFERROR(bütünleme!CN5*100/bütünleme!$I5,"")</f>
        <v/>
      </c>
      <c r="CD308" s="39" t="str">
        <f>IFERROR(bütünleme!CO5*100/bütünleme!$I5,"")</f>
        <v/>
      </c>
      <c r="CE308" s="39" t="str">
        <f>IFERROR(bütünleme!CP5*100/bütünleme!$I5,"")</f>
        <v/>
      </c>
      <c r="CF308" s="39" t="str">
        <f>IFERROR(bütünleme!CQ5*100/bütünleme!$I5,"")</f>
        <v/>
      </c>
      <c r="CG308" s="39" t="str">
        <f>IFERROR(bütünleme!CR5*100/bütünleme!$I5,"")</f>
        <v/>
      </c>
      <c r="CH308" s="39" t="str">
        <f>IFERROR(bütünleme!CS5*100/bütünleme!$I5,"")</f>
        <v/>
      </c>
      <c r="CI308" s="39" t="str">
        <f>IFERROR(bütünleme!CT5*100/bütünleme!$I5,"")</f>
        <v/>
      </c>
      <c r="CJ308" s="39" t="str">
        <f>IFERROR(bütünleme!CU5*100/bütünleme!$I5,"")</f>
        <v/>
      </c>
      <c r="CK308" s="39" t="str">
        <f>IFERROR(bütünleme!CV5*100/bütünleme!$I5,"")</f>
        <v/>
      </c>
      <c r="CL308" s="39" t="str">
        <f>IFERROR(bütünleme!CW5*100/bütünleme!$I5,"")</f>
        <v/>
      </c>
      <c r="CM308" s="39" t="str">
        <f>IFERROR(bütünleme!CX5*100/bütünleme!$I5,"")</f>
        <v/>
      </c>
      <c r="CN308" s="39" t="str">
        <f>IFERROR(bütünleme!CY5*100/bütünleme!$I5,"")</f>
        <v/>
      </c>
      <c r="CO308" s="39" t="str">
        <f>IFERROR(bütünleme!CZ5*100/bütünleme!$I5,"")</f>
        <v/>
      </c>
      <c r="CP308" s="39" t="str">
        <f>IFERROR(bütünleme!DA5*100/bütünleme!$I5,"")</f>
        <v/>
      </c>
      <c r="CQ308" s="39" t="str">
        <f>IFERROR(bütünleme!DB5*100/bütünleme!$I5,"")</f>
        <v/>
      </c>
      <c r="CR308" s="39" t="str">
        <f>IFERROR(bütünleme!DC5*100/bütünleme!$I5,"")</f>
        <v/>
      </c>
      <c r="CS308" s="39" t="str">
        <f>IFERROR(bütünleme!DD5*100/bütünleme!$I5,"")</f>
        <v/>
      </c>
      <c r="CT308" s="39" t="str">
        <f>IFERROR(bütünleme!DE5*100/bütünleme!$I5,"")</f>
        <v/>
      </c>
      <c r="CU308" s="39" t="str">
        <f>IFERROR(bütünleme!DF5*100/bütünleme!$I5,"")</f>
        <v/>
      </c>
      <c r="CV308" s="39" t="str">
        <f>IFERROR(bütünleme!DG5*100/bütünleme!$I5,"")</f>
        <v/>
      </c>
      <c r="CW308" s="36" t="str">
        <f>IFERROR(SUM(A308:CV308)/bütünleme!$DH$103,"")</f>
        <v/>
      </c>
      <c r="CX308" s="14" t="str">
        <f>IF(COUNTA(bütünleme!A5),bütünleme!A5,"")</f>
        <v/>
      </c>
      <c r="CY308" s="14" t="str">
        <f>IF(COUNTA(bütünleme!B5),bütünleme!B5,"")</f>
        <v/>
      </c>
      <c r="CZ308" s="14" t="str">
        <f>IF(COUNTA(bütünleme!C5),bütünleme!C5,"")</f>
        <v/>
      </c>
      <c r="DA308" s="14" t="str">
        <f>IF(COUNTA(bütünleme!D5),bütünleme!D5,"")</f>
        <v/>
      </c>
      <c r="DB308" s="14" t="str">
        <f>IF(COUNTA(bütünleme!E5),bütünleme!E5,"")</f>
        <v/>
      </c>
      <c r="DC308" s="14" t="str">
        <f>IF(COUNTA(bütünleme!F5),bütünleme!F5,"")</f>
        <v/>
      </c>
      <c r="DD308" s="14" t="str">
        <f>IF(COUNTA(bütünleme!G5),bütünleme!G5,"")</f>
        <v/>
      </c>
      <c r="DE308" s="14" t="str">
        <f>IF(COUNTA(bütünleme!H5),bütünleme!H5,"")</f>
        <v/>
      </c>
    </row>
    <row r="309" spans="1:118" x14ac:dyDescent="0.2">
      <c r="A309" s="39" t="str">
        <f>IFERROR(bütünleme!L6*100/bütünleme!$I6,"")</f>
        <v/>
      </c>
      <c r="B309" s="39" t="str">
        <f>IFERROR(bütünleme!M6*100/bütünleme!$I6,"")</f>
        <v/>
      </c>
      <c r="C309" s="39" t="str">
        <f>IFERROR(bütünleme!N6*100/bütünleme!$I6,"")</f>
        <v/>
      </c>
      <c r="D309" s="39" t="str">
        <f>IFERROR(bütünleme!O6*100/bütünleme!$I6,"")</f>
        <v/>
      </c>
      <c r="E309" s="39" t="str">
        <f>IFERROR(bütünleme!P6*100/bütünleme!$I6,"")</f>
        <v/>
      </c>
      <c r="F309" s="39" t="str">
        <f>IFERROR(bütünleme!Q6*100/bütünleme!$I6,"")</f>
        <v/>
      </c>
      <c r="G309" s="39" t="str">
        <f>IFERROR(bütünleme!R6*100/bütünleme!$I6,"")</f>
        <v/>
      </c>
      <c r="H309" s="39" t="str">
        <f>IFERROR(bütünleme!S6*100/bütünleme!$I6,"")</f>
        <v/>
      </c>
      <c r="I309" s="39" t="str">
        <f>IFERROR(bütünleme!T6*100/bütünleme!$I6,"")</f>
        <v/>
      </c>
      <c r="J309" s="39" t="str">
        <f>IFERROR(bütünleme!U6*100/bütünleme!$I6,"")</f>
        <v/>
      </c>
      <c r="K309" s="39" t="str">
        <f>IFERROR(bütünleme!V6*100/bütünleme!$I6,"")</f>
        <v/>
      </c>
      <c r="L309" s="39" t="str">
        <f>IFERROR(bütünleme!W6*100/bütünleme!$I6,"")</f>
        <v/>
      </c>
      <c r="M309" s="39" t="str">
        <f>IFERROR(bütünleme!X6*100/bütünleme!$I6,"")</f>
        <v/>
      </c>
      <c r="N309" s="39" t="str">
        <f>IFERROR(bütünleme!Y6*100/bütünleme!$I6,"")</f>
        <v/>
      </c>
      <c r="O309" s="39" t="str">
        <f>IFERROR(bütünleme!Z6*100/bütünleme!$I6,"")</f>
        <v/>
      </c>
      <c r="P309" s="39" t="str">
        <f>IFERROR(bütünleme!AA6*100/bütünleme!$I6,"")</f>
        <v/>
      </c>
      <c r="Q309" s="39" t="str">
        <f>IFERROR(bütünleme!AB6*100/bütünleme!$I6,"")</f>
        <v/>
      </c>
      <c r="R309" s="39" t="str">
        <f>IFERROR(bütünleme!AC6*100/bütünleme!$I6,"")</f>
        <v/>
      </c>
      <c r="S309" s="39" t="str">
        <f>IFERROR(bütünleme!AD6*100/bütünleme!$I6,"")</f>
        <v/>
      </c>
      <c r="T309" s="39" t="str">
        <f>IFERROR(bütünleme!AE6*100/bütünleme!$I6,"")</f>
        <v/>
      </c>
      <c r="U309" s="39" t="str">
        <f>IFERROR(bütünleme!AF6*100/bütünleme!$I6,"")</f>
        <v/>
      </c>
      <c r="V309" s="39" t="str">
        <f>IFERROR(bütünleme!AG6*100/bütünleme!$I6,"")</f>
        <v/>
      </c>
      <c r="W309" s="39" t="str">
        <f>IFERROR(bütünleme!AH6*100/bütünleme!$I6,"")</f>
        <v/>
      </c>
      <c r="X309" s="39" t="str">
        <f>IFERROR(bütünleme!AI6*100/bütünleme!$I6,"")</f>
        <v/>
      </c>
      <c r="Y309" s="39" t="str">
        <f>IFERROR(bütünleme!AJ6*100/bütünleme!$I6,"")</f>
        <v/>
      </c>
      <c r="Z309" s="39" t="str">
        <f>IFERROR(bütünleme!AK6*100/bütünleme!$I6,"")</f>
        <v/>
      </c>
      <c r="AA309" s="39" t="str">
        <f>IFERROR(bütünleme!AL6*100/bütünleme!$I6,"")</f>
        <v/>
      </c>
      <c r="AB309" s="39" t="str">
        <f>IFERROR(bütünleme!AM6*100/bütünleme!$I6,"")</f>
        <v/>
      </c>
      <c r="AC309" s="39" t="str">
        <f>IFERROR(bütünleme!AN6*100/bütünleme!$I6,"")</f>
        <v/>
      </c>
      <c r="AD309" s="39" t="str">
        <f>IFERROR(bütünleme!AO6*100/bütünleme!$I6,"")</f>
        <v/>
      </c>
      <c r="AE309" s="39" t="str">
        <f>IFERROR(bütünleme!AP6*100/bütünleme!$I6,"")</f>
        <v/>
      </c>
      <c r="AF309" s="39" t="str">
        <f>IFERROR(bütünleme!AQ6*100/bütünleme!$I6,"")</f>
        <v/>
      </c>
      <c r="AG309" s="39" t="str">
        <f>IFERROR(bütünleme!AR6*100/bütünleme!$I6,"")</f>
        <v/>
      </c>
      <c r="AH309" s="39" t="str">
        <f>IFERROR(bütünleme!AS6*100/bütünleme!$I6,"")</f>
        <v/>
      </c>
      <c r="AI309" s="39" t="str">
        <f>IFERROR(bütünleme!AT6*100/bütünleme!$I6,"")</f>
        <v/>
      </c>
      <c r="AJ309" s="39" t="str">
        <f>IFERROR(bütünleme!AU6*100/bütünleme!$I6,"")</f>
        <v/>
      </c>
      <c r="AK309" s="39" t="str">
        <f>IFERROR(bütünleme!AV6*100/bütünleme!$I6,"")</f>
        <v/>
      </c>
      <c r="AL309" s="39" t="str">
        <f>IFERROR(bütünleme!AW6*100/bütünleme!$I6,"")</f>
        <v/>
      </c>
      <c r="AM309" s="39" t="str">
        <f>IFERROR(bütünleme!AX6*100/bütünleme!$I6,"")</f>
        <v/>
      </c>
      <c r="AN309" s="39" t="str">
        <f>IFERROR(bütünleme!AY6*100/bütünleme!$I6,"")</f>
        <v/>
      </c>
      <c r="AO309" s="39" t="str">
        <f>IFERROR(bütünleme!AZ6*100/bütünleme!$I6,"")</f>
        <v/>
      </c>
      <c r="AP309" s="39" t="str">
        <f>IFERROR(bütünleme!BA6*100/bütünleme!$I6,"")</f>
        <v/>
      </c>
      <c r="AQ309" s="39" t="str">
        <f>IFERROR(bütünleme!BB6*100/bütünleme!$I6,"")</f>
        <v/>
      </c>
      <c r="AR309" s="39" t="str">
        <f>IFERROR(bütünleme!BC6*100/bütünleme!$I6,"")</f>
        <v/>
      </c>
      <c r="AS309" s="39" t="str">
        <f>IFERROR(bütünleme!BD6*100/bütünleme!$I6,"")</f>
        <v/>
      </c>
      <c r="AT309" s="39" t="str">
        <f>IFERROR(bütünleme!BE6*100/bütünleme!$I6,"")</f>
        <v/>
      </c>
      <c r="AU309" s="39" t="str">
        <f>IFERROR(bütünleme!BF6*100/bütünleme!$I6,"")</f>
        <v/>
      </c>
      <c r="AV309" s="39" t="str">
        <f>IFERROR(bütünleme!BG6*100/bütünleme!$I6,"")</f>
        <v/>
      </c>
      <c r="AW309" s="39" t="str">
        <f>IFERROR(bütünleme!BH6*100/bütünleme!$I6,"")</f>
        <v/>
      </c>
      <c r="AX309" s="39" t="str">
        <f>IFERROR(bütünleme!BI6*100/bütünleme!$I6,"")</f>
        <v/>
      </c>
      <c r="AY309" s="39" t="str">
        <f>IFERROR(bütünleme!BJ6*100/bütünleme!$I6,"")</f>
        <v/>
      </c>
      <c r="AZ309" s="39" t="str">
        <f>IFERROR(bütünleme!BK6*100/bütünleme!$I6,"")</f>
        <v/>
      </c>
      <c r="BA309" s="39" t="str">
        <f>IFERROR(bütünleme!BL6*100/bütünleme!$I6,"")</f>
        <v/>
      </c>
      <c r="BB309" s="39" t="str">
        <f>IFERROR(bütünleme!BM6*100/bütünleme!$I6,"")</f>
        <v/>
      </c>
      <c r="BC309" s="39" t="str">
        <f>IFERROR(bütünleme!BN6*100/bütünleme!$I6,"")</f>
        <v/>
      </c>
      <c r="BD309" s="39" t="str">
        <f>IFERROR(bütünleme!BO6*100/bütünleme!$I6,"")</f>
        <v/>
      </c>
      <c r="BE309" s="39" t="str">
        <f>IFERROR(bütünleme!BP6*100/bütünleme!$I6,"")</f>
        <v/>
      </c>
      <c r="BF309" s="39" t="str">
        <f>IFERROR(bütünleme!BQ6*100/bütünleme!$I6,"")</f>
        <v/>
      </c>
      <c r="BG309" s="39" t="str">
        <f>IFERROR(bütünleme!BR6*100/bütünleme!$I6,"")</f>
        <v/>
      </c>
      <c r="BH309" s="39" t="str">
        <f>IFERROR(bütünleme!BS6*100/bütünleme!$I6,"")</f>
        <v/>
      </c>
      <c r="BI309" s="39" t="str">
        <f>IFERROR(bütünleme!BT6*100/bütünleme!$I6,"")</f>
        <v/>
      </c>
      <c r="BJ309" s="39" t="str">
        <f>IFERROR(bütünleme!BU6*100/bütünleme!$I6,"")</f>
        <v/>
      </c>
      <c r="BK309" s="39" t="str">
        <f>IFERROR(bütünleme!BV6*100/bütünleme!$I6,"")</f>
        <v/>
      </c>
      <c r="BL309" s="39" t="str">
        <f>IFERROR(bütünleme!BW6*100/bütünleme!$I6,"")</f>
        <v/>
      </c>
      <c r="BM309" s="39" t="str">
        <f>IFERROR(bütünleme!BX6*100/bütünleme!$I6,"")</f>
        <v/>
      </c>
      <c r="BN309" s="39" t="str">
        <f>IFERROR(bütünleme!BY6*100/bütünleme!$I6,"")</f>
        <v/>
      </c>
      <c r="BO309" s="39" t="str">
        <f>IFERROR(bütünleme!BZ6*100/bütünleme!$I6,"")</f>
        <v/>
      </c>
      <c r="BP309" s="39" t="str">
        <f>IFERROR(bütünleme!CA6*100/bütünleme!$I6,"")</f>
        <v/>
      </c>
      <c r="BQ309" s="39" t="str">
        <f>IFERROR(bütünleme!CB6*100/bütünleme!$I6,"")</f>
        <v/>
      </c>
      <c r="BR309" s="39" t="str">
        <f>IFERROR(bütünleme!CC6*100/bütünleme!$I6,"")</f>
        <v/>
      </c>
      <c r="BS309" s="39" t="str">
        <f>IFERROR(bütünleme!CD6*100/bütünleme!$I6,"")</f>
        <v/>
      </c>
      <c r="BT309" s="39" t="str">
        <f>IFERROR(bütünleme!CE6*100/bütünleme!$I6,"")</f>
        <v/>
      </c>
      <c r="BU309" s="39" t="str">
        <f>IFERROR(bütünleme!CF6*100/bütünleme!$I6,"")</f>
        <v/>
      </c>
      <c r="BV309" s="39" t="str">
        <f>IFERROR(bütünleme!CG6*100/bütünleme!$I6,"")</f>
        <v/>
      </c>
      <c r="BW309" s="39" t="str">
        <f>IFERROR(bütünleme!CH6*100/bütünleme!$I6,"")</f>
        <v/>
      </c>
      <c r="BX309" s="39" t="str">
        <f>IFERROR(bütünleme!CI6*100/bütünleme!$I6,"")</f>
        <v/>
      </c>
      <c r="BY309" s="39" t="str">
        <f>IFERROR(bütünleme!CJ6*100/bütünleme!$I6,"")</f>
        <v/>
      </c>
      <c r="BZ309" s="39" t="str">
        <f>IFERROR(bütünleme!CK6*100/bütünleme!$I6,"")</f>
        <v/>
      </c>
      <c r="CA309" s="39" t="str">
        <f>IFERROR(bütünleme!CL6*100/bütünleme!$I6,"")</f>
        <v/>
      </c>
      <c r="CB309" s="39" t="str">
        <f>IFERROR(bütünleme!CM6*100/bütünleme!$I6,"")</f>
        <v/>
      </c>
      <c r="CC309" s="39" t="str">
        <f>IFERROR(bütünleme!CN6*100/bütünleme!$I6,"")</f>
        <v/>
      </c>
      <c r="CD309" s="39" t="str">
        <f>IFERROR(bütünleme!CO6*100/bütünleme!$I6,"")</f>
        <v/>
      </c>
      <c r="CE309" s="39" t="str">
        <f>IFERROR(bütünleme!CP6*100/bütünleme!$I6,"")</f>
        <v/>
      </c>
      <c r="CF309" s="39" t="str">
        <f>IFERROR(bütünleme!CQ6*100/bütünleme!$I6,"")</f>
        <v/>
      </c>
      <c r="CG309" s="39" t="str">
        <f>IFERROR(bütünleme!CR6*100/bütünleme!$I6,"")</f>
        <v/>
      </c>
      <c r="CH309" s="39" t="str">
        <f>IFERROR(bütünleme!CS6*100/bütünleme!$I6,"")</f>
        <v/>
      </c>
      <c r="CI309" s="39" t="str">
        <f>IFERROR(bütünleme!CT6*100/bütünleme!$I6,"")</f>
        <v/>
      </c>
      <c r="CJ309" s="39" t="str">
        <f>IFERROR(bütünleme!CU6*100/bütünleme!$I6,"")</f>
        <v/>
      </c>
      <c r="CK309" s="39" t="str">
        <f>IFERROR(bütünleme!CV6*100/bütünleme!$I6,"")</f>
        <v/>
      </c>
      <c r="CL309" s="39" t="str">
        <f>IFERROR(bütünleme!CW6*100/bütünleme!$I6,"")</f>
        <v/>
      </c>
      <c r="CM309" s="39" t="str">
        <f>IFERROR(bütünleme!CX6*100/bütünleme!$I6,"")</f>
        <v/>
      </c>
      <c r="CN309" s="39" t="str">
        <f>IFERROR(bütünleme!CY6*100/bütünleme!$I6,"")</f>
        <v/>
      </c>
      <c r="CO309" s="39" t="str">
        <f>IFERROR(bütünleme!CZ6*100/bütünleme!$I6,"")</f>
        <v/>
      </c>
      <c r="CP309" s="39" t="str">
        <f>IFERROR(bütünleme!DA6*100/bütünleme!$I6,"")</f>
        <v/>
      </c>
      <c r="CQ309" s="39" t="str">
        <f>IFERROR(bütünleme!DB6*100/bütünleme!$I6,"")</f>
        <v/>
      </c>
      <c r="CR309" s="39" t="str">
        <f>IFERROR(bütünleme!DC6*100/bütünleme!$I6,"")</f>
        <v/>
      </c>
      <c r="CS309" s="39" t="str">
        <f>IFERROR(bütünleme!DD6*100/bütünleme!$I6,"")</f>
        <v/>
      </c>
      <c r="CT309" s="39" t="str">
        <f>IFERROR(bütünleme!DE6*100/bütünleme!$I6,"")</f>
        <v/>
      </c>
      <c r="CU309" s="39" t="str">
        <f>IFERROR(bütünleme!DF6*100/bütünleme!$I6,"")</f>
        <v/>
      </c>
      <c r="CV309" s="39" t="str">
        <f>IFERROR(bütünleme!DG6*100/bütünleme!$I6,"")</f>
        <v/>
      </c>
      <c r="CW309" s="36" t="str">
        <f>IFERROR(SUM(A309:CV309)/bütünleme!$DH$103,"")</f>
        <v/>
      </c>
      <c r="CX309" s="14" t="str">
        <f>IF(COUNTA(bütünleme!A6),bütünleme!A6,"")</f>
        <v/>
      </c>
      <c r="CY309" s="14" t="str">
        <f>IF(COUNTA(bütünleme!B6),bütünleme!B6,"")</f>
        <v/>
      </c>
      <c r="CZ309" s="14" t="str">
        <f>IF(COUNTA(bütünleme!C6),bütünleme!C6,"")</f>
        <v/>
      </c>
      <c r="DA309" s="14" t="str">
        <f>IF(COUNTA(bütünleme!D6),bütünleme!D6,"")</f>
        <v/>
      </c>
      <c r="DB309" s="14" t="str">
        <f>IF(COUNTA(bütünleme!E6),bütünleme!E6,"")</f>
        <v/>
      </c>
      <c r="DC309" s="14" t="str">
        <f>IF(COUNTA(bütünleme!F6),bütünleme!F6,"")</f>
        <v/>
      </c>
      <c r="DD309" s="14" t="str">
        <f>IF(COUNTA(bütünleme!G6),bütünleme!G6,"")</f>
        <v/>
      </c>
      <c r="DE309" s="14" t="str">
        <f>IF(COUNTA(bütünleme!H6),bütünleme!H6,"")</f>
        <v/>
      </c>
    </row>
    <row r="310" spans="1:118" x14ac:dyDescent="0.2">
      <c r="A310" s="39" t="str">
        <f>IFERROR(bütünleme!L7*100/bütünleme!$I7,"")</f>
        <v/>
      </c>
      <c r="B310" s="39" t="str">
        <f>IFERROR(bütünleme!M7*100/bütünleme!$I7,"")</f>
        <v/>
      </c>
      <c r="C310" s="39" t="str">
        <f>IFERROR(bütünleme!N7*100/bütünleme!$I7,"")</f>
        <v/>
      </c>
      <c r="D310" s="39" t="str">
        <f>IFERROR(bütünleme!O7*100/bütünleme!$I7,"")</f>
        <v/>
      </c>
      <c r="E310" s="39" t="str">
        <f>IFERROR(bütünleme!P7*100/bütünleme!$I7,"")</f>
        <v/>
      </c>
      <c r="F310" s="39" t="str">
        <f>IFERROR(bütünleme!Q7*100/bütünleme!$I7,"")</f>
        <v/>
      </c>
      <c r="G310" s="39" t="str">
        <f>IFERROR(bütünleme!R7*100/bütünleme!$I7,"")</f>
        <v/>
      </c>
      <c r="H310" s="39" t="str">
        <f>IFERROR(bütünleme!S7*100/bütünleme!$I7,"")</f>
        <v/>
      </c>
      <c r="I310" s="39" t="str">
        <f>IFERROR(bütünleme!T7*100/bütünleme!$I7,"")</f>
        <v/>
      </c>
      <c r="J310" s="39" t="str">
        <f>IFERROR(bütünleme!U7*100/bütünleme!$I7,"")</f>
        <v/>
      </c>
      <c r="K310" s="39" t="str">
        <f>IFERROR(bütünleme!V7*100/bütünleme!$I7,"")</f>
        <v/>
      </c>
      <c r="L310" s="39" t="str">
        <f>IFERROR(bütünleme!W7*100/bütünleme!$I7,"")</f>
        <v/>
      </c>
      <c r="M310" s="39" t="str">
        <f>IFERROR(bütünleme!X7*100/bütünleme!$I7,"")</f>
        <v/>
      </c>
      <c r="N310" s="39" t="str">
        <f>IFERROR(bütünleme!Y7*100/bütünleme!$I7,"")</f>
        <v/>
      </c>
      <c r="O310" s="39" t="str">
        <f>IFERROR(bütünleme!Z7*100/bütünleme!$I7,"")</f>
        <v/>
      </c>
      <c r="P310" s="39" t="str">
        <f>IFERROR(bütünleme!AA7*100/bütünleme!$I7,"")</f>
        <v/>
      </c>
      <c r="Q310" s="39" t="str">
        <f>IFERROR(bütünleme!AB7*100/bütünleme!$I7,"")</f>
        <v/>
      </c>
      <c r="R310" s="39" t="str">
        <f>IFERROR(bütünleme!AC7*100/bütünleme!$I7,"")</f>
        <v/>
      </c>
      <c r="S310" s="39" t="str">
        <f>IFERROR(bütünleme!AD7*100/bütünleme!$I7,"")</f>
        <v/>
      </c>
      <c r="T310" s="39" t="str">
        <f>IFERROR(bütünleme!AE7*100/bütünleme!$I7,"")</f>
        <v/>
      </c>
      <c r="U310" s="39" t="str">
        <f>IFERROR(bütünleme!AF7*100/bütünleme!$I7,"")</f>
        <v/>
      </c>
      <c r="V310" s="39" t="str">
        <f>IFERROR(bütünleme!AG7*100/bütünleme!$I7,"")</f>
        <v/>
      </c>
      <c r="W310" s="39" t="str">
        <f>IFERROR(bütünleme!AH7*100/bütünleme!$I7,"")</f>
        <v/>
      </c>
      <c r="X310" s="39" t="str">
        <f>IFERROR(bütünleme!AI7*100/bütünleme!$I7,"")</f>
        <v/>
      </c>
      <c r="Y310" s="39" t="str">
        <f>IFERROR(bütünleme!AJ7*100/bütünleme!$I7,"")</f>
        <v/>
      </c>
      <c r="Z310" s="39" t="str">
        <f>IFERROR(bütünleme!AK7*100/bütünleme!$I7,"")</f>
        <v/>
      </c>
      <c r="AA310" s="39" t="str">
        <f>IFERROR(bütünleme!AL7*100/bütünleme!$I7,"")</f>
        <v/>
      </c>
      <c r="AB310" s="39" t="str">
        <f>IFERROR(bütünleme!AM7*100/bütünleme!$I7,"")</f>
        <v/>
      </c>
      <c r="AC310" s="39" t="str">
        <f>IFERROR(bütünleme!AN7*100/bütünleme!$I7,"")</f>
        <v/>
      </c>
      <c r="AD310" s="39" t="str">
        <f>IFERROR(bütünleme!AO7*100/bütünleme!$I7,"")</f>
        <v/>
      </c>
      <c r="AE310" s="39" t="str">
        <f>IFERROR(bütünleme!AP7*100/bütünleme!$I7,"")</f>
        <v/>
      </c>
      <c r="AF310" s="39" t="str">
        <f>IFERROR(bütünleme!AQ7*100/bütünleme!$I7,"")</f>
        <v/>
      </c>
      <c r="AG310" s="39" t="str">
        <f>IFERROR(bütünleme!AR7*100/bütünleme!$I7,"")</f>
        <v/>
      </c>
      <c r="AH310" s="39" t="str">
        <f>IFERROR(bütünleme!AS7*100/bütünleme!$I7,"")</f>
        <v/>
      </c>
      <c r="AI310" s="39" t="str">
        <f>IFERROR(bütünleme!AT7*100/bütünleme!$I7,"")</f>
        <v/>
      </c>
      <c r="AJ310" s="39" t="str">
        <f>IFERROR(bütünleme!AU7*100/bütünleme!$I7,"")</f>
        <v/>
      </c>
      <c r="AK310" s="39" t="str">
        <f>IFERROR(bütünleme!AV7*100/bütünleme!$I7,"")</f>
        <v/>
      </c>
      <c r="AL310" s="39" t="str">
        <f>IFERROR(bütünleme!AW7*100/bütünleme!$I7,"")</f>
        <v/>
      </c>
      <c r="AM310" s="39" t="str">
        <f>IFERROR(bütünleme!AX7*100/bütünleme!$I7,"")</f>
        <v/>
      </c>
      <c r="AN310" s="39" t="str">
        <f>IFERROR(bütünleme!AY7*100/bütünleme!$I7,"")</f>
        <v/>
      </c>
      <c r="AO310" s="39" t="str">
        <f>IFERROR(bütünleme!AZ7*100/bütünleme!$I7,"")</f>
        <v/>
      </c>
      <c r="AP310" s="39" t="str">
        <f>IFERROR(bütünleme!BA7*100/bütünleme!$I7,"")</f>
        <v/>
      </c>
      <c r="AQ310" s="39" t="str">
        <f>IFERROR(bütünleme!BB7*100/bütünleme!$I7,"")</f>
        <v/>
      </c>
      <c r="AR310" s="39" t="str">
        <f>IFERROR(bütünleme!BC7*100/bütünleme!$I7,"")</f>
        <v/>
      </c>
      <c r="AS310" s="39" t="str">
        <f>IFERROR(bütünleme!BD7*100/bütünleme!$I7,"")</f>
        <v/>
      </c>
      <c r="AT310" s="39" t="str">
        <f>IFERROR(bütünleme!BE7*100/bütünleme!$I7,"")</f>
        <v/>
      </c>
      <c r="AU310" s="39" t="str">
        <f>IFERROR(bütünleme!BF7*100/bütünleme!$I7,"")</f>
        <v/>
      </c>
      <c r="AV310" s="39" t="str">
        <f>IFERROR(bütünleme!BG7*100/bütünleme!$I7,"")</f>
        <v/>
      </c>
      <c r="AW310" s="39" t="str">
        <f>IFERROR(bütünleme!BH7*100/bütünleme!$I7,"")</f>
        <v/>
      </c>
      <c r="AX310" s="39" t="str">
        <f>IFERROR(bütünleme!BI7*100/bütünleme!$I7,"")</f>
        <v/>
      </c>
      <c r="AY310" s="39" t="str">
        <f>IFERROR(bütünleme!BJ7*100/bütünleme!$I7,"")</f>
        <v/>
      </c>
      <c r="AZ310" s="39" t="str">
        <f>IFERROR(bütünleme!BK7*100/bütünleme!$I7,"")</f>
        <v/>
      </c>
      <c r="BA310" s="39" t="str">
        <f>IFERROR(bütünleme!BL7*100/bütünleme!$I7,"")</f>
        <v/>
      </c>
      <c r="BB310" s="39" t="str">
        <f>IFERROR(bütünleme!BM7*100/bütünleme!$I7,"")</f>
        <v/>
      </c>
      <c r="BC310" s="39" t="str">
        <f>IFERROR(bütünleme!BN7*100/bütünleme!$I7,"")</f>
        <v/>
      </c>
      <c r="BD310" s="39" t="str">
        <f>IFERROR(bütünleme!BO7*100/bütünleme!$I7,"")</f>
        <v/>
      </c>
      <c r="BE310" s="39" t="str">
        <f>IFERROR(bütünleme!BP7*100/bütünleme!$I7,"")</f>
        <v/>
      </c>
      <c r="BF310" s="39" t="str">
        <f>IFERROR(bütünleme!BQ7*100/bütünleme!$I7,"")</f>
        <v/>
      </c>
      <c r="BG310" s="39" t="str">
        <f>IFERROR(bütünleme!BR7*100/bütünleme!$I7,"")</f>
        <v/>
      </c>
      <c r="BH310" s="39" t="str">
        <f>IFERROR(bütünleme!BS7*100/bütünleme!$I7,"")</f>
        <v/>
      </c>
      <c r="BI310" s="39" t="str">
        <f>IFERROR(bütünleme!BT7*100/bütünleme!$I7,"")</f>
        <v/>
      </c>
      <c r="BJ310" s="39" t="str">
        <f>IFERROR(bütünleme!BU7*100/bütünleme!$I7,"")</f>
        <v/>
      </c>
      <c r="BK310" s="39" t="str">
        <f>IFERROR(bütünleme!BV7*100/bütünleme!$I7,"")</f>
        <v/>
      </c>
      <c r="BL310" s="39" t="str">
        <f>IFERROR(bütünleme!BW7*100/bütünleme!$I7,"")</f>
        <v/>
      </c>
      <c r="BM310" s="39" t="str">
        <f>IFERROR(bütünleme!BX7*100/bütünleme!$I7,"")</f>
        <v/>
      </c>
      <c r="BN310" s="39" t="str">
        <f>IFERROR(bütünleme!BY7*100/bütünleme!$I7,"")</f>
        <v/>
      </c>
      <c r="BO310" s="39" t="str">
        <f>IFERROR(bütünleme!BZ7*100/bütünleme!$I7,"")</f>
        <v/>
      </c>
      <c r="BP310" s="39" t="str">
        <f>IFERROR(bütünleme!CA7*100/bütünleme!$I7,"")</f>
        <v/>
      </c>
      <c r="BQ310" s="39" t="str">
        <f>IFERROR(bütünleme!CB7*100/bütünleme!$I7,"")</f>
        <v/>
      </c>
      <c r="BR310" s="39" t="str">
        <f>IFERROR(bütünleme!CC7*100/bütünleme!$I7,"")</f>
        <v/>
      </c>
      <c r="BS310" s="39" t="str">
        <f>IFERROR(bütünleme!CD7*100/bütünleme!$I7,"")</f>
        <v/>
      </c>
      <c r="BT310" s="39" t="str">
        <f>IFERROR(bütünleme!CE7*100/bütünleme!$I7,"")</f>
        <v/>
      </c>
      <c r="BU310" s="39" t="str">
        <f>IFERROR(bütünleme!CF7*100/bütünleme!$I7,"")</f>
        <v/>
      </c>
      <c r="BV310" s="39" t="str">
        <f>IFERROR(bütünleme!CG7*100/bütünleme!$I7,"")</f>
        <v/>
      </c>
      <c r="BW310" s="39" t="str">
        <f>IFERROR(bütünleme!CH7*100/bütünleme!$I7,"")</f>
        <v/>
      </c>
      <c r="BX310" s="39" t="str">
        <f>IFERROR(bütünleme!CI7*100/bütünleme!$I7,"")</f>
        <v/>
      </c>
      <c r="BY310" s="39" t="str">
        <f>IFERROR(bütünleme!CJ7*100/bütünleme!$I7,"")</f>
        <v/>
      </c>
      <c r="BZ310" s="39" t="str">
        <f>IFERROR(bütünleme!CK7*100/bütünleme!$I7,"")</f>
        <v/>
      </c>
      <c r="CA310" s="39" t="str">
        <f>IFERROR(bütünleme!CL7*100/bütünleme!$I7,"")</f>
        <v/>
      </c>
      <c r="CB310" s="39" t="str">
        <f>IFERROR(bütünleme!CM7*100/bütünleme!$I7,"")</f>
        <v/>
      </c>
      <c r="CC310" s="39" t="str">
        <f>IFERROR(bütünleme!CN7*100/bütünleme!$I7,"")</f>
        <v/>
      </c>
      <c r="CD310" s="39" t="str">
        <f>IFERROR(bütünleme!CO7*100/bütünleme!$I7,"")</f>
        <v/>
      </c>
      <c r="CE310" s="39" t="str">
        <f>IFERROR(bütünleme!CP7*100/bütünleme!$I7,"")</f>
        <v/>
      </c>
      <c r="CF310" s="39" t="str">
        <f>IFERROR(bütünleme!CQ7*100/bütünleme!$I7,"")</f>
        <v/>
      </c>
      <c r="CG310" s="39" t="str">
        <f>IFERROR(bütünleme!CR7*100/bütünleme!$I7,"")</f>
        <v/>
      </c>
      <c r="CH310" s="39" t="str">
        <f>IFERROR(bütünleme!CS7*100/bütünleme!$I7,"")</f>
        <v/>
      </c>
      <c r="CI310" s="39" t="str">
        <f>IFERROR(bütünleme!CT7*100/bütünleme!$I7,"")</f>
        <v/>
      </c>
      <c r="CJ310" s="39" t="str">
        <f>IFERROR(bütünleme!CU7*100/bütünleme!$I7,"")</f>
        <v/>
      </c>
      <c r="CK310" s="39" t="str">
        <f>IFERROR(bütünleme!CV7*100/bütünleme!$I7,"")</f>
        <v/>
      </c>
      <c r="CL310" s="39" t="str">
        <f>IFERROR(bütünleme!CW7*100/bütünleme!$I7,"")</f>
        <v/>
      </c>
      <c r="CM310" s="39" t="str">
        <f>IFERROR(bütünleme!CX7*100/bütünleme!$I7,"")</f>
        <v/>
      </c>
      <c r="CN310" s="39" t="str">
        <f>IFERROR(bütünleme!CY7*100/bütünleme!$I7,"")</f>
        <v/>
      </c>
      <c r="CO310" s="39" t="str">
        <f>IFERROR(bütünleme!CZ7*100/bütünleme!$I7,"")</f>
        <v/>
      </c>
      <c r="CP310" s="39" t="str">
        <f>IFERROR(bütünleme!DA7*100/bütünleme!$I7,"")</f>
        <v/>
      </c>
      <c r="CQ310" s="39" t="str">
        <f>IFERROR(bütünleme!DB7*100/bütünleme!$I7,"")</f>
        <v/>
      </c>
      <c r="CR310" s="39" t="str">
        <f>IFERROR(bütünleme!DC7*100/bütünleme!$I7,"")</f>
        <v/>
      </c>
      <c r="CS310" s="39" t="str">
        <f>IFERROR(bütünleme!DD7*100/bütünleme!$I7,"")</f>
        <v/>
      </c>
      <c r="CT310" s="39" t="str">
        <f>IFERROR(bütünleme!DE7*100/bütünleme!$I7,"")</f>
        <v/>
      </c>
      <c r="CU310" s="39" t="str">
        <f>IFERROR(bütünleme!DF7*100/bütünleme!$I7,"")</f>
        <v/>
      </c>
      <c r="CV310" s="39" t="str">
        <f>IFERROR(bütünleme!DG7*100/bütünleme!$I7,"")</f>
        <v/>
      </c>
      <c r="CW310" s="36" t="str">
        <f>IFERROR(SUM(A310:CV310)/bütünleme!$DH$103,"")</f>
        <v/>
      </c>
      <c r="CX310" s="14" t="str">
        <f>IF(COUNTA(bütünleme!A7),bütünleme!A7,"")</f>
        <v/>
      </c>
      <c r="CY310" s="14" t="str">
        <f>IF(COUNTA(bütünleme!B7),bütünleme!B7,"")</f>
        <v/>
      </c>
      <c r="CZ310" s="14" t="str">
        <f>IF(COUNTA(bütünleme!C7),bütünleme!C7,"")</f>
        <v/>
      </c>
      <c r="DA310" s="14" t="str">
        <f>IF(COUNTA(bütünleme!D7),bütünleme!D7,"")</f>
        <v/>
      </c>
      <c r="DB310" s="14" t="str">
        <f>IF(COUNTA(bütünleme!E7),bütünleme!E7,"")</f>
        <v/>
      </c>
      <c r="DC310" s="14" t="str">
        <f>IF(COUNTA(bütünleme!F7),bütünleme!F7,"")</f>
        <v/>
      </c>
      <c r="DD310" s="14" t="str">
        <f>IF(COUNTA(bütünleme!G7),bütünleme!G7,"")</f>
        <v/>
      </c>
      <c r="DE310" s="14" t="str">
        <f>IF(COUNTA(bütünleme!H7),bütünleme!H7,"")</f>
        <v/>
      </c>
    </row>
    <row r="311" spans="1:118" x14ac:dyDescent="0.2">
      <c r="A311" s="39" t="str">
        <f>IFERROR(bütünleme!L8*100/bütünleme!$I8,"")</f>
        <v/>
      </c>
      <c r="B311" s="39" t="str">
        <f>IFERROR(bütünleme!M8*100/bütünleme!$I8,"")</f>
        <v/>
      </c>
      <c r="C311" s="39" t="str">
        <f>IFERROR(bütünleme!N8*100/bütünleme!$I8,"")</f>
        <v/>
      </c>
      <c r="D311" s="39" t="str">
        <f>IFERROR(bütünleme!O8*100/bütünleme!$I8,"")</f>
        <v/>
      </c>
      <c r="E311" s="39" t="str">
        <f>IFERROR(bütünleme!P8*100/bütünleme!$I8,"")</f>
        <v/>
      </c>
      <c r="F311" s="39" t="str">
        <f>IFERROR(bütünleme!Q8*100/bütünleme!$I8,"")</f>
        <v/>
      </c>
      <c r="G311" s="39" t="str">
        <f>IFERROR(bütünleme!R8*100/bütünleme!$I8,"")</f>
        <v/>
      </c>
      <c r="H311" s="39" t="str">
        <f>IFERROR(bütünleme!S8*100/bütünleme!$I8,"")</f>
        <v/>
      </c>
      <c r="I311" s="39" t="str">
        <f>IFERROR(bütünleme!T8*100/bütünleme!$I8,"")</f>
        <v/>
      </c>
      <c r="J311" s="39" t="str">
        <f>IFERROR(bütünleme!U8*100/bütünleme!$I8,"")</f>
        <v/>
      </c>
      <c r="K311" s="39" t="str">
        <f>IFERROR(bütünleme!V8*100/bütünleme!$I8,"")</f>
        <v/>
      </c>
      <c r="L311" s="39" t="str">
        <f>IFERROR(bütünleme!W8*100/bütünleme!$I8,"")</f>
        <v/>
      </c>
      <c r="M311" s="39" t="str">
        <f>IFERROR(bütünleme!X8*100/bütünleme!$I8,"")</f>
        <v/>
      </c>
      <c r="N311" s="39" t="str">
        <f>IFERROR(bütünleme!Y8*100/bütünleme!$I8,"")</f>
        <v/>
      </c>
      <c r="O311" s="39" t="str">
        <f>IFERROR(bütünleme!Z8*100/bütünleme!$I8,"")</f>
        <v/>
      </c>
      <c r="P311" s="39" t="str">
        <f>IFERROR(bütünleme!AA8*100/bütünleme!$I8,"")</f>
        <v/>
      </c>
      <c r="Q311" s="39" t="str">
        <f>IFERROR(bütünleme!AB8*100/bütünleme!$I8,"")</f>
        <v/>
      </c>
      <c r="R311" s="39" t="str">
        <f>IFERROR(bütünleme!AC8*100/bütünleme!$I8,"")</f>
        <v/>
      </c>
      <c r="S311" s="39" t="str">
        <f>IFERROR(bütünleme!AD8*100/bütünleme!$I8,"")</f>
        <v/>
      </c>
      <c r="T311" s="39" t="str">
        <f>IFERROR(bütünleme!AE8*100/bütünleme!$I8,"")</f>
        <v/>
      </c>
      <c r="U311" s="39" t="str">
        <f>IFERROR(bütünleme!AF8*100/bütünleme!$I8,"")</f>
        <v/>
      </c>
      <c r="V311" s="39" t="str">
        <f>IFERROR(bütünleme!AG8*100/bütünleme!$I8,"")</f>
        <v/>
      </c>
      <c r="W311" s="39" t="str">
        <f>IFERROR(bütünleme!AH8*100/bütünleme!$I8,"")</f>
        <v/>
      </c>
      <c r="X311" s="39" t="str">
        <f>IFERROR(bütünleme!AI8*100/bütünleme!$I8,"")</f>
        <v/>
      </c>
      <c r="Y311" s="39" t="str">
        <f>IFERROR(bütünleme!AJ8*100/bütünleme!$I8,"")</f>
        <v/>
      </c>
      <c r="Z311" s="39" t="str">
        <f>IFERROR(bütünleme!AK8*100/bütünleme!$I8,"")</f>
        <v/>
      </c>
      <c r="AA311" s="39" t="str">
        <f>IFERROR(bütünleme!AL8*100/bütünleme!$I8,"")</f>
        <v/>
      </c>
      <c r="AB311" s="39" t="str">
        <f>IFERROR(bütünleme!AM8*100/bütünleme!$I8,"")</f>
        <v/>
      </c>
      <c r="AC311" s="39" t="str">
        <f>IFERROR(bütünleme!AN8*100/bütünleme!$I8,"")</f>
        <v/>
      </c>
      <c r="AD311" s="39" t="str">
        <f>IFERROR(bütünleme!AO8*100/bütünleme!$I8,"")</f>
        <v/>
      </c>
      <c r="AE311" s="39" t="str">
        <f>IFERROR(bütünleme!AP8*100/bütünleme!$I8,"")</f>
        <v/>
      </c>
      <c r="AF311" s="39" t="str">
        <f>IFERROR(bütünleme!AQ8*100/bütünleme!$I8,"")</f>
        <v/>
      </c>
      <c r="AG311" s="39" t="str">
        <f>IFERROR(bütünleme!AR8*100/bütünleme!$I8,"")</f>
        <v/>
      </c>
      <c r="AH311" s="39" t="str">
        <f>IFERROR(bütünleme!AS8*100/bütünleme!$I8,"")</f>
        <v/>
      </c>
      <c r="AI311" s="39" t="str">
        <f>IFERROR(bütünleme!AT8*100/bütünleme!$I8,"")</f>
        <v/>
      </c>
      <c r="AJ311" s="39" t="str">
        <f>IFERROR(bütünleme!AU8*100/bütünleme!$I8,"")</f>
        <v/>
      </c>
      <c r="AK311" s="39" t="str">
        <f>IFERROR(bütünleme!AV8*100/bütünleme!$I8,"")</f>
        <v/>
      </c>
      <c r="AL311" s="39" t="str">
        <f>IFERROR(bütünleme!AW8*100/bütünleme!$I8,"")</f>
        <v/>
      </c>
      <c r="AM311" s="39" t="str">
        <f>IFERROR(bütünleme!AX8*100/bütünleme!$I8,"")</f>
        <v/>
      </c>
      <c r="AN311" s="39" t="str">
        <f>IFERROR(bütünleme!AY8*100/bütünleme!$I8,"")</f>
        <v/>
      </c>
      <c r="AO311" s="39" t="str">
        <f>IFERROR(bütünleme!AZ8*100/bütünleme!$I8,"")</f>
        <v/>
      </c>
      <c r="AP311" s="39" t="str">
        <f>IFERROR(bütünleme!BA8*100/bütünleme!$I8,"")</f>
        <v/>
      </c>
      <c r="AQ311" s="39" t="str">
        <f>IFERROR(bütünleme!BB8*100/bütünleme!$I8,"")</f>
        <v/>
      </c>
      <c r="AR311" s="39" t="str">
        <f>IFERROR(bütünleme!BC8*100/bütünleme!$I8,"")</f>
        <v/>
      </c>
      <c r="AS311" s="39" t="str">
        <f>IFERROR(bütünleme!BD8*100/bütünleme!$I8,"")</f>
        <v/>
      </c>
      <c r="AT311" s="39" t="str">
        <f>IFERROR(bütünleme!BE8*100/bütünleme!$I8,"")</f>
        <v/>
      </c>
      <c r="AU311" s="39" t="str">
        <f>IFERROR(bütünleme!BF8*100/bütünleme!$I8,"")</f>
        <v/>
      </c>
      <c r="AV311" s="39" t="str">
        <f>IFERROR(bütünleme!BG8*100/bütünleme!$I8,"")</f>
        <v/>
      </c>
      <c r="AW311" s="39" t="str">
        <f>IFERROR(bütünleme!BH8*100/bütünleme!$I8,"")</f>
        <v/>
      </c>
      <c r="AX311" s="39" t="str">
        <f>IFERROR(bütünleme!BI8*100/bütünleme!$I8,"")</f>
        <v/>
      </c>
      <c r="AY311" s="39" t="str">
        <f>IFERROR(bütünleme!BJ8*100/bütünleme!$I8,"")</f>
        <v/>
      </c>
      <c r="AZ311" s="39" t="str">
        <f>IFERROR(bütünleme!BK8*100/bütünleme!$I8,"")</f>
        <v/>
      </c>
      <c r="BA311" s="39" t="str">
        <f>IFERROR(bütünleme!BL8*100/bütünleme!$I8,"")</f>
        <v/>
      </c>
      <c r="BB311" s="39" t="str">
        <f>IFERROR(bütünleme!BM8*100/bütünleme!$I8,"")</f>
        <v/>
      </c>
      <c r="BC311" s="39" t="str">
        <f>IFERROR(bütünleme!BN8*100/bütünleme!$I8,"")</f>
        <v/>
      </c>
      <c r="BD311" s="39" t="str">
        <f>IFERROR(bütünleme!BO8*100/bütünleme!$I8,"")</f>
        <v/>
      </c>
      <c r="BE311" s="39" t="str">
        <f>IFERROR(bütünleme!BP8*100/bütünleme!$I8,"")</f>
        <v/>
      </c>
      <c r="BF311" s="39" t="str">
        <f>IFERROR(bütünleme!BQ8*100/bütünleme!$I8,"")</f>
        <v/>
      </c>
      <c r="BG311" s="39" t="str">
        <f>IFERROR(bütünleme!BR8*100/bütünleme!$I8,"")</f>
        <v/>
      </c>
      <c r="BH311" s="39" t="str">
        <f>IFERROR(bütünleme!BS8*100/bütünleme!$I8,"")</f>
        <v/>
      </c>
      <c r="BI311" s="39" t="str">
        <f>IFERROR(bütünleme!BT8*100/bütünleme!$I8,"")</f>
        <v/>
      </c>
      <c r="BJ311" s="39" t="str">
        <f>IFERROR(bütünleme!BU8*100/bütünleme!$I8,"")</f>
        <v/>
      </c>
      <c r="BK311" s="39" t="str">
        <f>IFERROR(bütünleme!BV8*100/bütünleme!$I8,"")</f>
        <v/>
      </c>
      <c r="BL311" s="39" t="str">
        <f>IFERROR(bütünleme!BW8*100/bütünleme!$I8,"")</f>
        <v/>
      </c>
      <c r="BM311" s="39" t="str">
        <f>IFERROR(bütünleme!BX8*100/bütünleme!$I8,"")</f>
        <v/>
      </c>
      <c r="BN311" s="39" t="str">
        <f>IFERROR(bütünleme!BY8*100/bütünleme!$I8,"")</f>
        <v/>
      </c>
      <c r="BO311" s="39" t="str">
        <f>IFERROR(bütünleme!BZ8*100/bütünleme!$I8,"")</f>
        <v/>
      </c>
      <c r="BP311" s="39" t="str">
        <f>IFERROR(bütünleme!CA8*100/bütünleme!$I8,"")</f>
        <v/>
      </c>
      <c r="BQ311" s="39" t="str">
        <f>IFERROR(bütünleme!CB8*100/bütünleme!$I8,"")</f>
        <v/>
      </c>
      <c r="BR311" s="39" t="str">
        <f>IFERROR(bütünleme!CC8*100/bütünleme!$I8,"")</f>
        <v/>
      </c>
      <c r="BS311" s="39" t="str">
        <f>IFERROR(bütünleme!CD8*100/bütünleme!$I8,"")</f>
        <v/>
      </c>
      <c r="BT311" s="39" t="str">
        <f>IFERROR(bütünleme!CE8*100/bütünleme!$I8,"")</f>
        <v/>
      </c>
      <c r="BU311" s="39" t="str">
        <f>IFERROR(bütünleme!CF8*100/bütünleme!$I8,"")</f>
        <v/>
      </c>
      <c r="BV311" s="39" t="str">
        <f>IFERROR(bütünleme!CG8*100/bütünleme!$I8,"")</f>
        <v/>
      </c>
      <c r="BW311" s="39" t="str">
        <f>IFERROR(bütünleme!CH8*100/bütünleme!$I8,"")</f>
        <v/>
      </c>
      <c r="BX311" s="39" t="str">
        <f>IFERROR(bütünleme!CI8*100/bütünleme!$I8,"")</f>
        <v/>
      </c>
      <c r="BY311" s="39" t="str">
        <f>IFERROR(bütünleme!CJ8*100/bütünleme!$I8,"")</f>
        <v/>
      </c>
      <c r="BZ311" s="39" t="str">
        <f>IFERROR(bütünleme!CK8*100/bütünleme!$I8,"")</f>
        <v/>
      </c>
      <c r="CA311" s="39" t="str">
        <f>IFERROR(bütünleme!CL8*100/bütünleme!$I8,"")</f>
        <v/>
      </c>
      <c r="CB311" s="39" t="str">
        <f>IFERROR(bütünleme!CM8*100/bütünleme!$I8,"")</f>
        <v/>
      </c>
      <c r="CC311" s="39" t="str">
        <f>IFERROR(bütünleme!CN8*100/bütünleme!$I8,"")</f>
        <v/>
      </c>
      <c r="CD311" s="39" t="str">
        <f>IFERROR(bütünleme!CO8*100/bütünleme!$I8,"")</f>
        <v/>
      </c>
      <c r="CE311" s="39" t="str">
        <f>IFERROR(bütünleme!CP8*100/bütünleme!$I8,"")</f>
        <v/>
      </c>
      <c r="CF311" s="39" t="str">
        <f>IFERROR(bütünleme!CQ8*100/bütünleme!$I8,"")</f>
        <v/>
      </c>
      <c r="CG311" s="39" t="str">
        <f>IFERROR(bütünleme!CR8*100/bütünleme!$I8,"")</f>
        <v/>
      </c>
      <c r="CH311" s="39" t="str">
        <f>IFERROR(bütünleme!CS8*100/bütünleme!$I8,"")</f>
        <v/>
      </c>
      <c r="CI311" s="39" t="str">
        <f>IFERROR(bütünleme!CT8*100/bütünleme!$I8,"")</f>
        <v/>
      </c>
      <c r="CJ311" s="39" t="str">
        <f>IFERROR(bütünleme!CU8*100/bütünleme!$I8,"")</f>
        <v/>
      </c>
      <c r="CK311" s="39" t="str">
        <f>IFERROR(bütünleme!CV8*100/bütünleme!$I8,"")</f>
        <v/>
      </c>
      <c r="CL311" s="39" t="str">
        <f>IFERROR(bütünleme!CW8*100/bütünleme!$I8,"")</f>
        <v/>
      </c>
      <c r="CM311" s="39" t="str">
        <f>IFERROR(bütünleme!CX8*100/bütünleme!$I8,"")</f>
        <v/>
      </c>
      <c r="CN311" s="39" t="str">
        <f>IFERROR(bütünleme!CY8*100/bütünleme!$I8,"")</f>
        <v/>
      </c>
      <c r="CO311" s="39" t="str">
        <f>IFERROR(bütünleme!CZ8*100/bütünleme!$I8,"")</f>
        <v/>
      </c>
      <c r="CP311" s="39" t="str">
        <f>IFERROR(bütünleme!DA8*100/bütünleme!$I8,"")</f>
        <v/>
      </c>
      <c r="CQ311" s="39" t="str">
        <f>IFERROR(bütünleme!DB8*100/bütünleme!$I8,"")</f>
        <v/>
      </c>
      <c r="CR311" s="39" t="str">
        <f>IFERROR(bütünleme!DC8*100/bütünleme!$I8,"")</f>
        <v/>
      </c>
      <c r="CS311" s="39" t="str">
        <f>IFERROR(bütünleme!DD8*100/bütünleme!$I8,"")</f>
        <v/>
      </c>
      <c r="CT311" s="39" t="str">
        <f>IFERROR(bütünleme!DE8*100/bütünleme!$I8,"")</f>
        <v/>
      </c>
      <c r="CU311" s="39" t="str">
        <f>IFERROR(bütünleme!DF8*100/bütünleme!$I8,"")</f>
        <v/>
      </c>
      <c r="CV311" s="39" t="str">
        <f>IFERROR(bütünleme!DG8*100/bütünleme!$I8,"")</f>
        <v/>
      </c>
      <c r="CW311" s="36" t="str">
        <f>IFERROR(SUM(A311:CV311)/bütünleme!$DH$103,"")</f>
        <v/>
      </c>
      <c r="CX311" s="14" t="str">
        <f>IF(COUNTA(bütünleme!A8),bütünleme!A8,"")</f>
        <v/>
      </c>
      <c r="CY311" s="14" t="str">
        <f>IF(COUNTA(bütünleme!B8),bütünleme!B8,"")</f>
        <v/>
      </c>
      <c r="CZ311" s="14" t="str">
        <f>IF(COUNTA(bütünleme!C8),bütünleme!C8,"")</f>
        <v/>
      </c>
      <c r="DA311" s="14" t="str">
        <f>IF(COUNTA(bütünleme!D8),bütünleme!D8,"")</f>
        <v/>
      </c>
      <c r="DB311" s="14" t="str">
        <f>IF(COUNTA(bütünleme!E8),bütünleme!E8,"")</f>
        <v/>
      </c>
      <c r="DC311" s="14" t="str">
        <f>IF(COUNTA(bütünleme!F8),bütünleme!F8,"")</f>
        <v/>
      </c>
      <c r="DD311" s="14" t="str">
        <f>IF(COUNTA(bütünleme!G8),bütünleme!G8,"")</f>
        <v/>
      </c>
      <c r="DE311" s="14" t="str">
        <f>IF(COUNTA(bütünleme!H8),bütünleme!H8,"")</f>
        <v/>
      </c>
    </row>
    <row r="312" spans="1:118" x14ac:dyDescent="0.2">
      <c r="A312" s="39" t="str">
        <f>IFERROR(bütünleme!L9*100/bütünleme!$I9,"")</f>
        <v/>
      </c>
      <c r="B312" s="39" t="str">
        <f>IFERROR(bütünleme!M9*100/bütünleme!$I9,"")</f>
        <v/>
      </c>
      <c r="C312" s="39" t="str">
        <f>IFERROR(bütünleme!N9*100/bütünleme!$I9,"")</f>
        <v/>
      </c>
      <c r="D312" s="39" t="str">
        <f>IFERROR(bütünleme!O9*100/bütünleme!$I9,"")</f>
        <v/>
      </c>
      <c r="E312" s="39" t="str">
        <f>IFERROR(bütünleme!P9*100/bütünleme!$I9,"")</f>
        <v/>
      </c>
      <c r="F312" s="39" t="str">
        <f>IFERROR(bütünleme!Q9*100/bütünleme!$I9,"")</f>
        <v/>
      </c>
      <c r="G312" s="39" t="str">
        <f>IFERROR(bütünleme!R9*100/bütünleme!$I9,"")</f>
        <v/>
      </c>
      <c r="H312" s="39" t="str">
        <f>IFERROR(bütünleme!S9*100/bütünleme!$I9,"")</f>
        <v/>
      </c>
      <c r="I312" s="39" t="str">
        <f>IFERROR(bütünleme!T9*100/bütünleme!$I9,"")</f>
        <v/>
      </c>
      <c r="J312" s="39" t="str">
        <f>IFERROR(bütünleme!U9*100/bütünleme!$I9,"")</f>
        <v/>
      </c>
      <c r="K312" s="39" t="str">
        <f>IFERROR(bütünleme!V9*100/bütünleme!$I9,"")</f>
        <v/>
      </c>
      <c r="L312" s="39" t="str">
        <f>IFERROR(bütünleme!W9*100/bütünleme!$I9,"")</f>
        <v/>
      </c>
      <c r="M312" s="39" t="str">
        <f>IFERROR(bütünleme!X9*100/bütünleme!$I9,"")</f>
        <v/>
      </c>
      <c r="N312" s="39" t="str">
        <f>IFERROR(bütünleme!Y9*100/bütünleme!$I9,"")</f>
        <v/>
      </c>
      <c r="O312" s="39" t="str">
        <f>IFERROR(bütünleme!Z9*100/bütünleme!$I9,"")</f>
        <v/>
      </c>
      <c r="P312" s="39" t="str">
        <f>IFERROR(bütünleme!AA9*100/bütünleme!$I9,"")</f>
        <v/>
      </c>
      <c r="Q312" s="39" t="str">
        <f>IFERROR(bütünleme!AB9*100/bütünleme!$I9,"")</f>
        <v/>
      </c>
      <c r="R312" s="39" t="str">
        <f>IFERROR(bütünleme!AC9*100/bütünleme!$I9,"")</f>
        <v/>
      </c>
      <c r="S312" s="39" t="str">
        <f>IFERROR(bütünleme!AD9*100/bütünleme!$I9,"")</f>
        <v/>
      </c>
      <c r="T312" s="39" t="str">
        <f>IFERROR(bütünleme!AE9*100/bütünleme!$I9,"")</f>
        <v/>
      </c>
      <c r="U312" s="39" t="str">
        <f>IFERROR(bütünleme!AF9*100/bütünleme!$I9,"")</f>
        <v/>
      </c>
      <c r="V312" s="39" t="str">
        <f>IFERROR(bütünleme!AG9*100/bütünleme!$I9,"")</f>
        <v/>
      </c>
      <c r="W312" s="39" t="str">
        <f>IFERROR(bütünleme!AH9*100/bütünleme!$I9,"")</f>
        <v/>
      </c>
      <c r="X312" s="39" t="str">
        <f>IFERROR(bütünleme!AI9*100/bütünleme!$I9,"")</f>
        <v/>
      </c>
      <c r="Y312" s="39" t="str">
        <f>IFERROR(bütünleme!AJ9*100/bütünleme!$I9,"")</f>
        <v/>
      </c>
      <c r="Z312" s="39" t="str">
        <f>IFERROR(bütünleme!AK9*100/bütünleme!$I9,"")</f>
        <v/>
      </c>
      <c r="AA312" s="39" t="str">
        <f>IFERROR(bütünleme!AL9*100/bütünleme!$I9,"")</f>
        <v/>
      </c>
      <c r="AB312" s="39" t="str">
        <f>IFERROR(bütünleme!AM9*100/bütünleme!$I9,"")</f>
        <v/>
      </c>
      <c r="AC312" s="39" t="str">
        <f>IFERROR(bütünleme!AN9*100/bütünleme!$I9,"")</f>
        <v/>
      </c>
      <c r="AD312" s="39" t="str">
        <f>IFERROR(bütünleme!AO9*100/bütünleme!$I9,"")</f>
        <v/>
      </c>
      <c r="AE312" s="39" t="str">
        <f>IFERROR(bütünleme!AP9*100/bütünleme!$I9,"")</f>
        <v/>
      </c>
      <c r="AF312" s="39" t="str">
        <f>IFERROR(bütünleme!AQ9*100/bütünleme!$I9,"")</f>
        <v/>
      </c>
      <c r="AG312" s="39" t="str">
        <f>IFERROR(bütünleme!AR9*100/bütünleme!$I9,"")</f>
        <v/>
      </c>
      <c r="AH312" s="39" t="str">
        <f>IFERROR(bütünleme!AS9*100/bütünleme!$I9,"")</f>
        <v/>
      </c>
      <c r="AI312" s="39" t="str">
        <f>IFERROR(bütünleme!AT9*100/bütünleme!$I9,"")</f>
        <v/>
      </c>
      <c r="AJ312" s="39" t="str">
        <f>IFERROR(bütünleme!AU9*100/bütünleme!$I9,"")</f>
        <v/>
      </c>
      <c r="AK312" s="39" t="str">
        <f>IFERROR(bütünleme!AV9*100/bütünleme!$I9,"")</f>
        <v/>
      </c>
      <c r="AL312" s="39" t="str">
        <f>IFERROR(bütünleme!AW9*100/bütünleme!$I9,"")</f>
        <v/>
      </c>
      <c r="AM312" s="39" t="str">
        <f>IFERROR(bütünleme!AX9*100/bütünleme!$I9,"")</f>
        <v/>
      </c>
      <c r="AN312" s="39" t="str">
        <f>IFERROR(bütünleme!AY9*100/bütünleme!$I9,"")</f>
        <v/>
      </c>
      <c r="AO312" s="39" t="str">
        <f>IFERROR(bütünleme!AZ9*100/bütünleme!$I9,"")</f>
        <v/>
      </c>
      <c r="AP312" s="39" t="str">
        <f>IFERROR(bütünleme!BA9*100/bütünleme!$I9,"")</f>
        <v/>
      </c>
      <c r="AQ312" s="39" t="str">
        <f>IFERROR(bütünleme!BB9*100/bütünleme!$I9,"")</f>
        <v/>
      </c>
      <c r="AR312" s="39" t="str">
        <f>IFERROR(bütünleme!BC9*100/bütünleme!$I9,"")</f>
        <v/>
      </c>
      <c r="AS312" s="39" t="str">
        <f>IFERROR(bütünleme!BD9*100/bütünleme!$I9,"")</f>
        <v/>
      </c>
      <c r="AT312" s="39" t="str">
        <f>IFERROR(bütünleme!BE9*100/bütünleme!$I9,"")</f>
        <v/>
      </c>
      <c r="AU312" s="39" t="str">
        <f>IFERROR(bütünleme!BF9*100/bütünleme!$I9,"")</f>
        <v/>
      </c>
      <c r="AV312" s="39" t="str">
        <f>IFERROR(bütünleme!BG9*100/bütünleme!$I9,"")</f>
        <v/>
      </c>
      <c r="AW312" s="39" t="str">
        <f>IFERROR(bütünleme!BH9*100/bütünleme!$I9,"")</f>
        <v/>
      </c>
      <c r="AX312" s="39" t="str">
        <f>IFERROR(bütünleme!BI9*100/bütünleme!$I9,"")</f>
        <v/>
      </c>
      <c r="AY312" s="39" t="str">
        <f>IFERROR(bütünleme!BJ9*100/bütünleme!$I9,"")</f>
        <v/>
      </c>
      <c r="AZ312" s="39" t="str">
        <f>IFERROR(bütünleme!BK9*100/bütünleme!$I9,"")</f>
        <v/>
      </c>
      <c r="BA312" s="39" t="str">
        <f>IFERROR(bütünleme!BL9*100/bütünleme!$I9,"")</f>
        <v/>
      </c>
      <c r="BB312" s="39" t="str">
        <f>IFERROR(bütünleme!BM9*100/bütünleme!$I9,"")</f>
        <v/>
      </c>
      <c r="BC312" s="39" t="str">
        <f>IFERROR(bütünleme!BN9*100/bütünleme!$I9,"")</f>
        <v/>
      </c>
      <c r="BD312" s="39" t="str">
        <f>IFERROR(bütünleme!BO9*100/bütünleme!$I9,"")</f>
        <v/>
      </c>
      <c r="BE312" s="39" t="str">
        <f>IFERROR(bütünleme!BP9*100/bütünleme!$I9,"")</f>
        <v/>
      </c>
      <c r="BF312" s="39" t="str">
        <f>IFERROR(bütünleme!BQ9*100/bütünleme!$I9,"")</f>
        <v/>
      </c>
      <c r="BG312" s="39" t="str">
        <f>IFERROR(bütünleme!BR9*100/bütünleme!$I9,"")</f>
        <v/>
      </c>
      <c r="BH312" s="39" t="str">
        <f>IFERROR(bütünleme!BS9*100/bütünleme!$I9,"")</f>
        <v/>
      </c>
      <c r="BI312" s="39" t="str">
        <f>IFERROR(bütünleme!BT9*100/bütünleme!$I9,"")</f>
        <v/>
      </c>
      <c r="BJ312" s="39" t="str">
        <f>IFERROR(bütünleme!BU9*100/bütünleme!$I9,"")</f>
        <v/>
      </c>
      <c r="BK312" s="39" t="str">
        <f>IFERROR(bütünleme!BV9*100/bütünleme!$I9,"")</f>
        <v/>
      </c>
      <c r="BL312" s="39" t="str">
        <f>IFERROR(bütünleme!BW9*100/bütünleme!$I9,"")</f>
        <v/>
      </c>
      <c r="BM312" s="39" t="str">
        <f>IFERROR(bütünleme!BX9*100/bütünleme!$I9,"")</f>
        <v/>
      </c>
      <c r="BN312" s="39" t="str">
        <f>IFERROR(bütünleme!BY9*100/bütünleme!$I9,"")</f>
        <v/>
      </c>
      <c r="BO312" s="39" t="str">
        <f>IFERROR(bütünleme!BZ9*100/bütünleme!$I9,"")</f>
        <v/>
      </c>
      <c r="BP312" s="39" t="str">
        <f>IFERROR(bütünleme!CA9*100/bütünleme!$I9,"")</f>
        <v/>
      </c>
      <c r="BQ312" s="39" t="str">
        <f>IFERROR(bütünleme!CB9*100/bütünleme!$I9,"")</f>
        <v/>
      </c>
      <c r="BR312" s="39" t="str">
        <f>IFERROR(bütünleme!CC9*100/bütünleme!$I9,"")</f>
        <v/>
      </c>
      <c r="BS312" s="39" t="str">
        <f>IFERROR(bütünleme!CD9*100/bütünleme!$I9,"")</f>
        <v/>
      </c>
      <c r="BT312" s="39" t="str">
        <f>IFERROR(bütünleme!CE9*100/bütünleme!$I9,"")</f>
        <v/>
      </c>
      <c r="BU312" s="39" t="str">
        <f>IFERROR(bütünleme!CF9*100/bütünleme!$I9,"")</f>
        <v/>
      </c>
      <c r="BV312" s="39" t="str">
        <f>IFERROR(bütünleme!CG9*100/bütünleme!$I9,"")</f>
        <v/>
      </c>
      <c r="BW312" s="39" t="str">
        <f>IFERROR(bütünleme!CH9*100/bütünleme!$I9,"")</f>
        <v/>
      </c>
      <c r="BX312" s="39" t="str">
        <f>IFERROR(bütünleme!CI9*100/bütünleme!$I9,"")</f>
        <v/>
      </c>
      <c r="BY312" s="39" t="str">
        <f>IFERROR(bütünleme!CJ9*100/bütünleme!$I9,"")</f>
        <v/>
      </c>
      <c r="BZ312" s="39" t="str">
        <f>IFERROR(bütünleme!CK9*100/bütünleme!$I9,"")</f>
        <v/>
      </c>
      <c r="CA312" s="39" t="str">
        <f>IFERROR(bütünleme!CL9*100/bütünleme!$I9,"")</f>
        <v/>
      </c>
      <c r="CB312" s="39" t="str">
        <f>IFERROR(bütünleme!CM9*100/bütünleme!$I9,"")</f>
        <v/>
      </c>
      <c r="CC312" s="39" t="str">
        <f>IFERROR(bütünleme!CN9*100/bütünleme!$I9,"")</f>
        <v/>
      </c>
      <c r="CD312" s="39" t="str">
        <f>IFERROR(bütünleme!CO9*100/bütünleme!$I9,"")</f>
        <v/>
      </c>
      <c r="CE312" s="39" t="str">
        <f>IFERROR(bütünleme!CP9*100/bütünleme!$I9,"")</f>
        <v/>
      </c>
      <c r="CF312" s="39" t="str">
        <f>IFERROR(bütünleme!CQ9*100/bütünleme!$I9,"")</f>
        <v/>
      </c>
      <c r="CG312" s="39" t="str">
        <f>IFERROR(bütünleme!CR9*100/bütünleme!$I9,"")</f>
        <v/>
      </c>
      <c r="CH312" s="39" t="str">
        <f>IFERROR(bütünleme!CS9*100/bütünleme!$I9,"")</f>
        <v/>
      </c>
      <c r="CI312" s="39" t="str">
        <f>IFERROR(bütünleme!CT9*100/bütünleme!$I9,"")</f>
        <v/>
      </c>
      <c r="CJ312" s="39" t="str">
        <f>IFERROR(bütünleme!CU9*100/bütünleme!$I9,"")</f>
        <v/>
      </c>
      <c r="CK312" s="39" t="str">
        <f>IFERROR(bütünleme!CV9*100/bütünleme!$I9,"")</f>
        <v/>
      </c>
      <c r="CL312" s="39" t="str">
        <f>IFERROR(bütünleme!CW9*100/bütünleme!$I9,"")</f>
        <v/>
      </c>
      <c r="CM312" s="39" t="str">
        <f>IFERROR(bütünleme!CX9*100/bütünleme!$I9,"")</f>
        <v/>
      </c>
      <c r="CN312" s="39" t="str">
        <f>IFERROR(bütünleme!CY9*100/bütünleme!$I9,"")</f>
        <v/>
      </c>
      <c r="CO312" s="39" t="str">
        <f>IFERROR(bütünleme!CZ9*100/bütünleme!$I9,"")</f>
        <v/>
      </c>
      <c r="CP312" s="39" t="str">
        <f>IFERROR(bütünleme!DA9*100/bütünleme!$I9,"")</f>
        <v/>
      </c>
      <c r="CQ312" s="39" t="str">
        <f>IFERROR(bütünleme!DB9*100/bütünleme!$I9,"")</f>
        <v/>
      </c>
      <c r="CR312" s="39" t="str">
        <f>IFERROR(bütünleme!DC9*100/bütünleme!$I9,"")</f>
        <v/>
      </c>
      <c r="CS312" s="39" t="str">
        <f>IFERROR(bütünleme!DD9*100/bütünleme!$I9,"")</f>
        <v/>
      </c>
      <c r="CT312" s="39" t="str">
        <f>IFERROR(bütünleme!DE9*100/bütünleme!$I9,"")</f>
        <v/>
      </c>
      <c r="CU312" s="39" t="str">
        <f>IFERROR(bütünleme!DF9*100/bütünleme!$I9,"")</f>
        <v/>
      </c>
      <c r="CV312" s="39" t="str">
        <f>IFERROR(bütünleme!DG9*100/bütünleme!$I9,"")</f>
        <v/>
      </c>
      <c r="CW312" s="36" t="str">
        <f>IFERROR(SUM(A312:CV312)/bütünleme!$DH$103,"")</f>
        <v/>
      </c>
      <c r="CX312" s="14" t="str">
        <f>IF(COUNTA(bütünleme!A9),bütünleme!A9,"")</f>
        <v/>
      </c>
      <c r="CY312" s="14" t="str">
        <f>IF(COUNTA(bütünleme!B9),bütünleme!B9,"")</f>
        <v/>
      </c>
      <c r="CZ312" s="14" t="str">
        <f>IF(COUNTA(bütünleme!C9),bütünleme!C9,"")</f>
        <v/>
      </c>
      <c r="DA312" s="14" t="str">
        <f>IF(COUNTA(bütünleme!D9),bütünleme!D9,"")</f>
        <v/>
      </c>
      <c r="DB312" s="14" t="str">
        <f>IF(COUNTA(bütünleme!E9),bütünleme!E9,"")</f>
        <v/>
      </c>
      <c r="DC312" s="14" t="str">
        <f>IF(COUNTA(bütünleme!F9),bütünleme!F9,"")</f>
        <v/>
      </c>
      <c r="DD312" s="14" t="str">
        <f>IF(COUNTA(bütünleme!G9),bütünleme!G9,"")</f>
        <v/>
      </c>
      <c r="DE312" s="14" t="str">
        <f>IF(COUNTA(bütünleme!H9),bütünleme!H9,"")</f>
        <v/>
      </c>
    </row>
    <row r="313" spans="1:118" x14ac:dyDescent="0.2">
      <c r="A313" s="39" t="str">
        <f>IFERROR(bütünleme!L10*100/bütünleme!$I10,"")</f>
        <v/>
      </c>
      <c r="B313" s="39" t="str">
        <f>IFERROR(bütünleme!M10*100/bütünleme!$I10,"")</f>
        <v/>
      </c>
      <c r="C313" s="39" t="str">
        <f>IFERROR(bütünleme!N10*100/bütünleme!$I10,"")</f>
        <v/>
      </c>
      <c r="D313" s="39" t="str">
        <f>IFERROR(bütünleme!O10*100/bütünleme!$I10,"")</f>
        <v/>
      </c>
      <c r="E313" s="39" t="str">
        <f>IFERROR(bütünleme!P10*100/bütünleme!$I10,"")</f>
        <v/>
      </c>
      <c r="F313" s="39" t="str">
        <f>IFERROR(bütünleme!Q10*100/bütünleme!$I10,"")</f>
        <v/>
      </c>
      <c r="G313" s="39" t="str">
        <f>IFERROR(bütünleme!R10*100/bütünleme!$I10,"")</f>
        <v/>
      </c>
      <c r="H313" s="39" t="str">
        <f>IFERROR(bütünleme!S10*100/bütünleme!$I10,"")</f>
        <v/>
      </c>
      <c r="I313" s="39" t="str">
        <f>IFERROR(bütünleme!T10*100/bütünleme!$I10,"")</f>
        <v/>
      </c>
      <c r="J313" s="39" t="str">
        <f>IFERROR(bütünleme!U10*100/bütünleme!$I10,"")</f>
        <v/>
      </c>
      <c r="K313" s="39" t="str">
        <f>IFERROR(bütünleme!V10*100/bütünleme!$I10,"")</f>
        <v/>
      </c>
      <c r="L313" s="39" t="str">
        <f>IFERROR(bütünleme!W10*100/bütünleme!$I10,"")</f>
        <v/>
      </c>
      <c r="M313" s="39" t="str">
        <f>IFERROR(bütünleme!X10*100/bütünleme!$I10,"")</f>
        <v/>
      </c>
      <c r="N313" s="39" t="str">
        <f>IFERROR(bütünleme!Y10*100/bütünleme!$I10,"")</f>
        <v/>
      </c>
      <c r="O313" s="39" t="str">
        <f>IFERROR(bütünleme!Z10*100/bütünleme!$I10,"")</f>
        <v/>
      </c>
      <c r="P313" s="39" t="str">
        <f>IFERROR(bütünleme!AA10*100/bütünleme!$I10,"")</f>
        <v/>
      </c>
      <c r="Q313" s="39" t="str">
        <f>IFERROR(bütünleme!AB10*100/bütünleme!$I10,"")</f>
        <v/>
      </c>
      <c r="R313" s="39" t="str">
        <f>IFERROR(bütünleme!AC10*100/bütünleme!$I10,"")</f>
        <v/>
      </c>
      <c r="S313" s="39" t="str">
        <f>IFERROR(bütünleme!AD10*100/bütünleme!$I10,"")</f>
        <v/>
      </c>
      <c r="T313" s="39" t="str">
        <f>IFERROR(bütünleme!AE10*100/bütünleme!$I10,"")</f>
        <v/>
      </c>
      <c r="U313" s="39" t="str">
        <f>IFERROR(bütünleme!AF10*100/bütünleme!$I10,"")</f>
        <v/>
      </c>
      <c r="V313" s="39" t="str">
        <f>IFERROR(bütünleme!AG10*100/bütünleme!$I10,"")</f>
        <v/>
      </c>
      <c r="W313" s="39" t="str">
        <f>IFERROR(bütünleme!AH10*100/bütünleme!$I10,"")</f>
        <v/>
      </c>
      <c r="X313" s="39" t="str">
        <f>IFERROR(bütünleme!AI10*100/bütünleme!$I10,"")</f>
        <v/>
      </c>
      <c r="Y313" s="39" t="str">
        <f>IFERROR(bütünleme!AJ10*100/bütünleme!$I10,"")</f>
        <v/>
      </c>
      <c r="Z313" s="39" t="str">
        <f>IFERROR(bütünleme!AK10*100/bütünleme!$I10,"")</f>
        <v/>
      </c>
      <c r="AA313" s="39" t="str">
        <f>IFERROR(bütünleme!AL10*100/bütünleme!$I10,"")</f>
        <v/>
      </c>
      <c r="AB313" s="39" t="str">
        <f>IFERROR(bütünleme!AM10*100/bütünleme!$I10,"")</f>
        <v/>
      </c>
      <c r="AC313" s="39" t="str">
        <f>IFERROR(bütünleme!AN10*100/bütünleme!$I10,"")</f>
        <v/>
      </c>
      <c r="AD313" s="39" t="str">
        <f>IFERROR(bütünleme!AO10*100/bütünleme!$I10,"")</f>
        <v/>
      </c>
      <c r="AE313" s="39" t="str">
        <f>IFERROR(bütünleme!AP10*100/bütünleme!$I10,"")</f>
        <v/>
      </c>
      <c r="AF313" s="39" t="str">
        <f>IFERROR(bütünleme!AQ10*100/bütünleme!$I10,"")</f>
        <v/>
      </c>
      <c r="AG313" s="39" t="str">
        <f>IFERROR(bütünleme!AR10*100/bütünleme!$I10,"")</f>
        <v/>
      </c>
      <c r="AH313" s="39" t="str">
        <f>IFERROR(bütünleme!AS10*100/bütünleme!$I10,"")</f>
        <v/>
      </c>
      <c r="AI313" s="39" t="str">
        <f>IFERROR(bütünleme!AT10*100/bütünleme!$I10,"")</f>
        <v/>
      </c>
      <c r="AJ313" s="39" t="str">
        <f>IFERROR(bütünleme!AU10*100/bütünleme!$I10,"")</f>
        <v/>
      </c>
      <c r="AK313" s="39" t="str">
        <f>IFERROR(bütünleme!AV10*100/bütünleme!$I10,"")</f>
        <v/>
      </c>
      <c r="AL313" s="39" t="str">
        <f>IFERROR(bütünleme!AW10*100/bütünleme!$I10,"")</f>
        <v/>
      </c>
      <c r="AM313" s="39" t="str">
        <f>IFERROR(bütünleme!AX10*100/bütünleme!$I10,"")</f>
        <v/>
      </c>
      <c r="AN313" s="39" t="str">
        <f>IFERROR(bütünleme!AY10*100/bütünleme!$I10,"")</f>
        <v/>
      </c>
      <c r="AO313" s="39" t="str">
        <f>IFERROR(bütünleme!AZ10*100/bütünleme!$I10,"")</f>
        <v/>
      </c>
      <c r="AP313" s="39" t="str">
        <f>IFERROR(bütünleme!BA10*100/bütünleme!$I10,"")</f>
        <v/>
      </c>
      <c r="AQ313" s="39" t="str">
        <f>IFERROR(bütünleme!BB10*100/bütünleme!$I10,"")</f>
        <v/>
      </c>
      <c r="AR313" s="39" t="str">
        <f>IFERROR(bütünleme!BC10*100/bütünleme!$I10,"")</f>
        <v/>
      </c>
      <c r="AS313" s="39" t="str">
        <f>IFERROR(bütünleme!BD10*100/bütünleme!$I10,"")</f>
        <v/>
      </c>
      <c r="AT313" s="39" t="str">
        <f>IFERROR(bütünleme!BE10*100/bütünleme!$I10,"")</f>
        <v/>
      </c>
      <c r="AU313" s="39" t="str">
        <f>IFERROR(bütünleme!BF10*100/bütünleme!$I10,"")</f>
        <v/>
      </c>
      <c r="AV313" s="39" t="str">
        <f>IFERROR(bütünleme!BG10*100/bütünleme!$I10,"")</f>
        <v/>
      </c>
      <c r="AW313" s="39" t="str">
        <f>IFERROR(bütünleme!BH10*100/bütünleme!$I10,"")</f>
        <v/>
      </c>
      <c r="AX313" s="39" t="str">
        <f>IFERROR(bütünleme!BI10*100/bütünleme!$I10,"")</f>
        <v/>
      </c>
      <c r="AY313" s="39" t="str">
        <f>IFERROR(bütünleme!BJ10*100/bütünleme!$I10,"")</f>
        <v/>
      </c>
      <c r="AZ313" s="39" t="str">
        <f>IFERROR(bütünleme!BK10*100/bütünleme!$I10,"")</f>
        <v/>
      </c>
      <c r="BA313" s="39" t="str">
        <f>IFERROR(bütünleme!BL10*100/bütünleme!$I10,"")</f>
        <v/>
      </c>
      <c r="BB313" s="39" t="str">
        <f>IFERROR(bütünleme!BM10*100/bütünleme!$I10,"")</f>
        <v/>
      </c>
      <c r="BC313" s="39" t="str">
        <f>IFERROR(bütünleme!BN10*100/bütünleme!$I10,"")</f>
        <v/>
      </c>
      <c r="BD313" s="39" t="str">
        <f>IFERROR(bütünleme!BO10*100/bütünleme!$I10,"")</f>
        <v/>
      </c>
      <c r="BE313" s="39" t="str">
        <f>IFERROR(bütünleme!BP10*100/bütünleme!$I10,"")</f>
        <v/>
      </c>
      <c r="BF313" s="39" t="str">
        <f>IFERROR(bütünleme!BQ10*100/bütünleme!$I10,"")</f>
        <v/>
      </c>
      <c r="BG313" s="39" t="str">
        <f>IFERROR(bütünleme!BR10*100/bütünleme!$I10,"")</f>
        <v/>
      </c>
      <c r="BH313" s="39" t="str">
        <f>IFERROR(bütünleme!BS10*100/bütünleme!$I10,"")</f>
        <v/>
      </c>
      <c r="BI313" s="39" t="str">
        <f>IFERROR(bütünleme!BT10*100/bütünleme!$I10,"")</f>
        <v/>
      </c>
      <c r="BJ313" s="39" t="str">
        <f>IFERROR(bütünleme!BU10*100/bütünleme!$I10,"")</f>
        <v/>
      </c>
      <c r="BK313" s="39" t="str">
        <f>IFERROR(bütünleme!BV10*100/bütünleme!$I10,"")</f>
        <v/>
      </c>
      <c r="BL313" s="39" t="str">
        <f>IFERROR(bütünleme!BW10*100/bütünleme!$I10,"")</f>
        <v/>
      </c>
      <c r="BM313" s="39" t="str">
        <f>IFERROR(bütünleme!BX10*100/bütünleme!$I10,"")</f>
        <v/>
      </c>
      <c r="BN313" s="39" t="str">
        <f>IFERROR(bütünleme!BY10*100/bütünleme!$I10,"")</f>
        <v/>
      </c>
      <c r="BO313" s="39" t="str">
        <f>IFERROR(bütünleme!BZ10*100/bütünleme!$I10,"")</f>
        <v/>
      </c>
      <c r="BP313" s="39" t="str">
        <f>IFERROR(bütünleme!CA10*100/bütünleme!$I10,"")</f>
        <v/>
      </c>
      <c r="BQ313" s="39" t="str">
        <f>IFERROR(bütünleme!CB10*100/bütünleme!$I10,"")</f>
        <v/>
      </c>
      <c r="BR313" s="39" t="str">
        <f>IFERROR(bütünleme!CC10*100/bütünleme!$I10,"")</f>
        <v/>
      </c>
      <c r="BS313" s="39" t="str">
        <f>IFERROR(bütünleme!CD10*100/bütünleme!$I10,"")</f>
        <v/>
      </c>
      <c r="BT313" s="39" t="str">
        <f>IFERROR(bütünleme!CE10*100/bütünleme!$I10,"")</f>
        <v/>
      </c>
      <c r="BU313" s="39" t="str">
        <f>IFERROR(bütünleme!CF10*100/bütünleme!$I10,"")</f>
        <v/>
      </c>
      <c r="BV313" s="39" t="str">
        <f>IFERROR(bütünleme!CG10*100/bütünleme!$I10,"")</f>
        <v/>
      </c>
      <c r="BW313" s="39" t="str">
        <f>IFERROR(bütünleme!CH10*100/bütünleme!$I10,"")</f>
        <v/>
      </c>
      <c r="BX313" s="39" t="str">
        <f>IFERROR(bütünleme!CI10*100/bütünleme!$I10,"")</f>
        <v/>
      </c>
      <c r="BY313" s="39" t="str">
        <f>IFERROR(bütünleme!CJ10*100/bütünleme!$I10,"")</f>
        <v/>
      </c>
      <c r="BZ313" s="39" t="str">
        <f>IFERROR(bütünleme!CK10*100/bütünleme!$I10,"")</f>
        <v/>
      </c>
      <c r="CA313" s="39" t="str">
        <f>IFERROR(bütünleme!CL10*100/bütünleme!$I10,"")</f>
        <v/>
      </c>
      <c r="CB313" s="39" t="str">
        <f>IFERROR(bütünleme!CM10*100/bütünleme!$I10,"")</f>
        <v/>
      </c>
      <c r="CC313" s="39" t="str">
        <f>IFERROR(bütünleme!CN10*100/bütünleme!$I10,"")</f>
        <v/>
      </c>
      <c r="CD313" s="39" t="str">
        <f>IFERROR(bütünleme!CO10*100/bütünleme!$I10,"")</f>
        <v/>
      </c>
      <c r="CE313" s="39" t="str">
        <f>IFERROR(bütünleme!CP10*100/bütünleme!$I10,"")</f>
        <v/>
      </c>
      <c r="CF313" s="39" t="str">
        <f>IFERROR(bütünleme!CQ10*100/bütünleme!$I10,"")</f>
        <v/>
      </c>
      <c r="CG313" s="39" t="str">
        <f>IFERROR(bütünleme!CR10*100/bütünleme!$I10,"")</f>
        <v/>
      </c>
      <c r="CH313" s="39" t="str">
        <f>IFERROR(bütünleme!CS10*100/bütünleme!$I10,"")</f>
        <v/>
      </c>
      <c r="CI313" s="39" t="str">
        <f>IFERROR(bütünleme!CT10*100/bütünleme!$I10,"")</f>
        <v/>
      </c>
      <c r="CJ313" s="39" t="str">
        <f>IFERROR(bütünleme!CU10*100/bütünleme!$I10,"")</f>
        <v/>
      </c>
      <c r="CK313" s="39" t="str">
        <f>IFERROR(bütünleme!CV10*100/bütünleme!$I10,"")</f>
        <v/>
      </c>
      <c r="CL313" s="39" t="str">
        <f>IFERROR(bütünleme!CW10*100/bütünleme!$I10,"")</f>
        <v/>
      </c>
      <c r="CM313" s="39" t="str">
        <f>IFERROR(bütünleme!CX10*100/bütünleme!$I10,"")</f>
        <v/>
      </c>
      <c r="CN313" s="39" t="str">
        <f>IFERROR(bütünleme!CY10*100/bütünleme!$I10,"")</f>
        <v/>
      </c>
      <c r="CO313" s="39" t="str">
        <f>IFERROR(bütünleme!CZ10*100/bütünleme!$I10,"")</f>
        <v/>
      </c>
      <c r="CP313" s="39" t="str">
        <f>IFERROR(bütünleme!DA10*100/bütünleme!$I10,"")</f>
        <v/>
      </c>
      <c r="CQ313" s="39" t="str">
        <f>IFERROR(bütünleme!DB10*100/bütünleme!$I10,"")</f>
        <v/>
      </c>
      <c r="CR313" s="39" t="str">
        <f>IFERROR(bütünleme!DC10*100/bütünleme!$I10,"")</f>
        <v/>
      </c>
      <c r="CS313" s="39" t="str">
        <f>IFERROR(bütünleme!DD10*100/bütünleme!$I10,"")</f>
        <v/>
      </c>
      <c r="CT313" s="39" t="str">
        <f>IFERROR(bütünleme!DE10*100/bütünleme!$I10,"")</f>
        <v/>
      </c>
      <c r="CU313" s="39" t="str">
        <f>IFERROR(bütünleme!DF10*100/bütünleme!$I10,"")</f>
        <v/>
      </c>
      <c r="CV313" s="39" t="str">
        <f>IFERROR(bütünleme!DG10*100/bütünleme!$I10,"")</f>
        <v/>
      </c>
      <c r="CW313" s="36" t="str">
        <f>IFERROR(SUM(A313:CV313)/bütünleme!$DH$103,"")</f>
        <v/>
      </c>
      <c r="CX313" s="14" t="str">
        <f>IF(COUNTA(bütünleme!A10),bütünleme!A10,"")</f>
        <v/>
      </c>
      <c r="CY313" s="14" t="str">
        <f>IF(COUNTA(bütünleme!B10),bütünleme!B10,"")</f>
        <v/>
      </c>
      <c r="CZ313" s="14" t="str">
        <f>IF(COUNTA(bütünleme!C10),bütünleme!C10,"")</f>
        <v/>
      </c>
      <c r="DA313" s="14" t="str">
        <f>IF(COUNTA(bütünleme!D10),bütünleme!D10,"")</f>
        <v/>
      </c>
      <c r="DB313" s="14" t="str">
        <f>IF(COUNTA(bütünleme!E10),bütünleme!E10,"")</f>
        <v/>
      </c>
      <c r="DC313" s="14" t="str">
        <f>IF(COUNTA(bütünleme!F10),bütünleme!F10,"")</f>
        <v/>
      </c>
      <c r="DD313" s="14" t="str">
        <f>IF(COUNTA(bütünleme!G10),bütünleme!G10,"")</f>
        <v/>
      </c>
      <c r="DE313" s="14" t="str">
        <f>IF(COUNTA(bütünleme!H10),bütünleme!H10,"")</f>
        <v/>
      </c>
    </row>
    <row r="314" spans="1:118" x14ac:dyDescent="0.2">
      <c r="A314" s="39" t="str">
        <f>IFERROR(bütünleme!L11*100/bütünleme!$I11,"")</f>
        <v/>
      </c>
      <c r="B314" s="39" t="str">
        <f>IFERROR(bütünleme!M11*100/bütünleme!$I11,"")</f>
        <v/>
      </c>
      <c r="C314" s="39" t="str">
        <f>IFERROR(bütünleme!N11*100/bütünleme!$I11,"")</f>
        <v/>
      </c>
      <c r="D314" s="39" t="str">
        <f>IFERROR(bütünleme!O11*100/bütünleme!$I11,"")</f>
        <v/>
      </c>
      <c r="E314" s="39" t="str">
        <f>IFERROR(bütünleme!P11*100/bütünleme!$I11,"")</f>
        <v/>
      </c>
      <c r="F314" s="39" t="str">
        <f>IFERROR(bütünleme!Q11*100/bütünleme!$I11,"")</f>
        <v/>
      </c>
      <c r="G314" s="39" t="str">
        <f>IFERROR(bütünleme!R11*100/bütünleme!$I11,"")</f>
        <v/>
      </c>
      <c r="H314" s="39" t="str">
        <f>IFERROR(bütünleme!S11*100/bütünleme!$I11,"")</f>
        <v/>
      </c>
      <c r="I314" s="39" t="str">
        <f>IFERROR(bütünleme!T11*100/bütünleme!$I11,"")</f>
        <v/>
      </c>
      <c r="J314" s="39" t="str">
        <f>IFERROR(bütünleme!U11*100/bütünleme!$I11,"")</f>
        <v/>
      </c>
      <c r="K314" s="39" t="str">
        <f>IFERROR(bütünleme!V11*100/bütünleme!$I11,"")</f>
        <v/>
      </c>
      <c r="L314" s="39" t="str">
        <f>IFERROR(bütünleme!W11*100/bütünleme!$I11,"")</f>
        <v/>
      </c>
      <c r="M314" s="39" t="str">
        <f>IFERROR(bütünleme!X11*100/bütünleme!$I11,"")</f>
        <v/>
      </c>
      <c r="N314" s="39" t="str">
        <f>IFERROR(bütünleme!Y11*100/bütünleme!$I11,"")</f>
        <v/>
      </c>
      <c r="O314" s="39" t="str">
        <f>IFERROR(bütünleme!Z11*100/bütünleme!$I11,"")</f>
        <v/>
      </c>
      <c r="P314" s="39" t="str">
        <f>IFERROR(bütünleme!AA11*100/bütünleme!$I11,"")</f>
        <v/>
      </c>
      <c r="Q314" s="39" t="str">
        <f>IFERROR(bütünleme!AB11*100/bütünleme!$I11,"")</f>
        <v/>
      </c>
      <c r="R314" s="39" t="str">
        <f>IFERROR(bütünleme!AC11*100/bütünleme!$I11,"")</f>
        <v/>
      </c>
      <c r="S314" s="39" t="str">
        <f>IFERROR(bütünleme!AD11*100/bütünleme!$I11,"")</f>
        <v/>
      </c>
      <c r="T314" s="39" t="str">
        <f>IFERROR(bütünleme!AE11*100/bütünleme!$I11,"")</f>
        <v/>
      </c>
      <c r="U314" s="39" t="str">
        <f>IFERROR(bütünleme!AF11*100/bütünleme!$I11,"")</f>
        <v/>
      </c>
      <c r="V314" s="39" t="str">
        <f>IFERROR(bütünleme!AG11*100/bütünleme!$I11,"")</f>
        <v/>
      </c>
      <c r="W314" s="39" t="str">
        <f>IFERROR(bütünleme!AH11*100/bütünleme!$I11,"")</f>
        <v/>
      </c>
      <c r="X314" s="39" t="str">
        <f>IFERROR(bütünleme!AI11*100/bütünleme!$I11,"")</f>
        <v/>
      </c>
      <c r="Y314" s="39" t="str">
        <f>IFERROR(bütünleme!AJ11*100/bütünleme!$I11,"")</f>
        <v/>
      </c>
      <c r="Z314" s="39" t="str">
        <f>IFERROR(bütünleme!AK11*100/bütünleme!$I11,"")</f>
        <v/>
      </c>
      <c r="AA314" s="39" t="str">
        <f>IFERROR(bütünleme!AL11*100/bütünleme!$I11,"")</f>
        <v/>
      </c>
      <c r="AB314" s="39" t="str">
        <f>IFERROR(bütünleme!AM11*100/bütünleme!$I11,"")</f>
        <v/>
      </c>
      <c r="AC314" s="39" t="str">
        <f>IFERROR(bütünleme!AN11*100/bütünleme!$I11,"")</f>
        <v/>
      </c>
      <c r="AD314" s="39" t="str">
        <f>IFERROR(bütünleme!AO11*100/bütünleme!$I11,"")</f>
        <v/>
      </c>
      <c r="AE314" s="39" t="str">
        <f>IFERROR(bütünleme!AP11*100/bütünleme!$I11,"")</f>
        <v/>
      </c>
      <c r="AF314" s="39" t="str">
        <f>IFERROR(bütünleme!AQ11*100/bütünleme!$I11,"")</f>
        <v/>
      </c>
      <c r="AG314" s="39" t="str">
        <f>IFERROR(bütünleme!AR11*100/bütünleme!$I11,"")</f>
        <v/>
      </c>
      <c r="AH314" s="39" t="str">
        <f>IFERROR(bütünleme!AS11*100/bütünleme!$I11,"")</f>
        <v/>
      </c>
      <c r="AI314" s="39" t="str">
        <f>IFERROR(bütünleme!AT11*100/bütünleme!$I11,"")</f>
        <v/>
      </c>
      <c r="AJ314" s="39" t="str">
        <f>IFERROR(bütünleme!AU11*100/bütünleme!$I11,"")</f>
        <v/>
      </c>
      <c r="AK314" s="39" t="str">
        <f>IFERROR(bütünleme!AV11*100/bütünleme!$I11,"")</f>
        <v/>
      </c>
      <c r="AL314" s="39" t="str">
        <f>IFERROR(bütünleme!AW11*100/bütünleme!$I11,"")</f>
        <v/>
      </c>
      <c r="AM314" s="39" t="str">
        <f>IFERROR(bütünleme!AX11*100/bütünleme!$I11,"")</f>
        <v/>
      </c>
      <c r="AN314" s="39" t="str">
        <f>IFERROR(bütünleme!AY11*100/bütünleme!$I11,"")</f>
        <v/>
      </c>
      <c r="AO314" s="39" t="str">
        <f>IFERROR(bütünleme!AZ11*100/bütünleme!$I11,"")</f>
        <v/>
      </c>
      <c r="AP314" s="39" t="str">
        <f>IFERROR(bütünleme!BA11*100/bütünleme!$I11,"")</f>
        <v/>
      </c>
      <c r="AQ314" s="39" t="str">
        <f>IFERROR(bütünleme!BB11*100/bütünleme!$I11,"")</f>
        <v/>
      </c>
      <c r="AR314" s="39" t="str">
        <f>IFERROR(bütünleme!BC11*100/bütünleme!$I11,"")</f>
        <v/>
      </c>
      <c r="AS314" s="39" t="str">
        <f>IFERROR(bütünleme!BD11*100/bütünleme!$I11,"")</f>
        <v/>
      </c>
      <c r="AT314" s="39" t="str">
        <f>IFERROR(bütünleme!BE11*100/bütünleme!$I11,"")</f>
        <v/>
      </c>
      <c r="AU314" s="39" t="str">
        <f>IFERROR(bütünleme!BF11*100/bütünleme!$I11,"")</f>
        <v/>
      </c>
      <c r="AV314" s="39" t="str">
        <f>IFERROR(bütünleme!BG11*100/bütünleme!$I11,"")</f>
        <v/>
      </c>
      <c r="AW314" s="39" t="str">
        <f>IFERROR(bütünleme!BH11*100/bütünleme!$I11,"")</f>
        <v/>
      </c>
      <c r="AX314" s="39" t="str">
        <f>IFERROR(bütünleme!BI11*100/bütünleme!$I11,"")</f>
        <v/>
      </c>
      <c r="AY314" s="39" t="str">
        <f>IFERROR(bütünleme!BJ11*100/bütünleme!$I11,"")</f>
        <v/>
      </c>
      <c r="AZ314" s="39" t="str">
        <f>IFERROR(bütünleme!BK11*100/bütünleme!$I11,"")</f>
        <v/>
      </c>
      <c r="BA314" s="39" t="str">
        <f>IFERROR(bütünleme!BL11*100/bütünleme!$I11,"")</f>
        <v/>
      </c>
      <c r="BB314" s="39" t="str">
        <f>IFERROR(bütünleme!BM11*100/bütünleme!$I11,"")</f>
        <v/>
      </c>
      <c r="BC314" s="39" t="str">
        <f>IFERROR(bütünleme!BN11*100/bütünleme!$I11,"")</f>
        <v/>
      </c>
      <c r="BD314" s="39" t="str">
        <f>IFERROR(bütünleme!BO11*100/bütünleme!$I11,"")</f>
        <v/>
      </c>
      <c r="BE314" s="39" t="str">
        <f>IFERROR(bütünleme!BP11*100/bütünleme!$I11,"")</f>
        <v/>
      </c>
      <c r="BF314" s="39" t="str">
        <f>IFERROR(bütünleme!BQ11*100/bütünleme!$I11,"")</f>
        <v/>
      </c>
      <c r="BG314" s="39" t="str">
        <f>IFERROR(bütünleme!BR11*100/bütünleme!$I11,"")</f>
        <v/>
      </c>
      <c r="BH314" s="39" t="str">
        <f>IFERROR(bütünleme!BS11*100/bütünleme!$I11,"")</f>
        <v/>
      </c>
      <c r="BI314" s="39" t="str">
        <f>IFERROR(bütünleme!BT11*100/bütünleme!$I11,"")</f>
        <v/>
      </c>
      <c r="BJ314" s="39" t="str">
        <f>IFERROR(bütünleme!BU11*100/bütünleme!$I11,"")</f>
        <v/>
      </c>
      <c r="BK314" s="39" t="str">
        <f>IFERROR(bütünleme!BV11*100/bütünleme!$I11,"")</f>
        <v/>
      </c>
      <c r="BL314" s="39" t="str">
        <f>IFERROR(bütünleme!BW11*100/bütünleme!$I11,"")</f>
        <v/>
      </c>
      <c r="BM314" s="39" t="str">
        <f>IFERROR(bütünleme!BX11*100/bütünleme!$I11,"")</f>
        <v/>
      </c>
      <c r="BN314" s="39" t="str">
        <f>IFERROR(bütünleme!BY11*100/bütünleme!$I11,"")</f>
        <v/>
      </c>
      <c r="BO314" s="39" t="str">
        <f>IFERROR(bütünleme!BZ11*100/bütünleme!$I11,"")</f>
        <v/>
      </c>
      <c r="BP314" s="39" t="str">
        <f>IFERROR(bütünleme!CA11*100/bütünleme!$I11,"")</f>
        <v/>
      </c>
      <c r="BQ314" s="39" t="str">
        <f>IFERROR(bütünleme!CB11*100/bütünleme!$I11,"")</f>
        <v/>
      </c>
      <c r="BR314" s="39" t="str">
        <f>IFERROR(bütünleme!CC11*100/bütünleme!$I11,"")</f>
        <v/>
      </c>
      <c r="BS314" s="39" t="str">
        <f>IFERROR(bütünleme!CD11*100/bütünleme!$I11,"")</f>
        <v/>
      </c>
      <c r="BT314" s="39" t="str">
        <f>IFERROR(bütünleme!CE11*100/bütünleme!$I11,"")</f>
        <v/>
      </c>
      <c r="BU314" s="39" t="str">
        <f>IFERROR(bütünleme!CF11*100/bütünleme!$I11,"")</f>
        <v/>
      </c>
      <c r="BV314" s="39" t="str">
        <f>IFERROR(bütünleme!CG11*100/bütünleme!$I11,"")</f>
        <v/>
      </c>
      <c r="BW314" s="39" t="str">
        <f>IFERROR(bütünleme!CH11*100/bütünleme!$I11,"")</f>
        <v/>
      </c>
      <c r="BX314" s="39" t="str">
        <f>IFERROR(bütünleme!CI11*100/bütünleme!$I11,"")</f>
        <v/>
      </c>
      <c r="BY314" s="39" t="str">
        <f>IFERROR(bütünleme!CJ11*100/bütünleme!$I11,"")</f>
        <v/>
      </c>
      <c r="BZ314" s="39" t="str">
        <f>IFERROR(bütünleme!CK11*100/bütünleme!$I11,"")</f>
        <v/>
      </c>
      <c r="CA314" s="39" t="str">
        <f>IFERROR(bütünleme!CL11*100/bütünleme!$I11,"")</f>
        <v/>
      </c>
      <c r="CB314" s="39" t="str">
        <f>IFERROR(bütünleme!CM11*100/bütünleme!$I11,"")</f>
        <v/>
      </c>
      <c r="CC314" s="39" t="str">
        <f>IFERROR(bütünleme!CN11*100/bütünleme!$I11,"")</f>
        <v/>
      </c>
      <c r="CD314" s="39" t="str">
        <f>IFERROR(bütünleme!CO11*100/bütünleme!$I11,"")</f>
        <v/>
      </c>
      <c r="CE314" s="39" t="str">
        <f>IFERROR(bütünleme!CP11*100/bütünleme!$I11,"")</f>
        <v/>
      </c>
      <c r="CF314" s="39" t="str">
        <f>IFERROR(bütünleme!CQ11*100/bütünleme!$I11,"")</f>
        <v/>
      </c>
      <c r="CG314" s="39" t="str">
        <f>IFERROR(bütünleme!CR11*100/bütünleme!$I11,"")</f>
        <v/>
      </c>
      <c r="CH314" s="39" t="str">
        <f>IFERROR(bütünleme!CS11*100/bütünleme!$I11,"")</f>
        <v/>
      </c>
      <c r="CI314" s="39" t="str">
        <f>IFERROR(bütünleme!CT11*100/bütünleme!$I11,"")</f>
        <v/>
      </c>
      <c r="CJ314" s="39" t="str">
        <f>IFERROR(bütünleme!CU11*100/bütünleme!$I11,"")</f>
        <v/>
      </c>
      <c r="CK314" s="39" t="str">
        <f>IFERROR(bütünleme!CV11*100/bütünleme!$I11,"")</f>
        <v/>
      </c>
      <c r="CL314" s="39" t="str">
        <f>IFERROR(bütünleme!CW11*100/bütünleme!$I11,"")</f>
        <v/>
      </c>
      <c r="CM314" s="39" t="str">
        <f>IFERROR(bütünleme!CX11*100/bütünleme!$I11,"")</f>
        <v/>
      </c>
      <c r="CN314" s="39" t="str">
        <f>IFERROR(bütünleme!CY11*100/bütünleme!$I11,"")</f>
        <v/>
      </c>
      <c r="CO314" s="39" t="str">
        <f>IFERROR(bütünleme!CZ11*100/bütünleme!$I11,"")</f>
        <v/>
      </c>
      <c r="CP314" s="39" t="str">
        <f>IFERROR(bütünleme!DA11*100/bütünleme!$I11,"")</f>
        <v/>
      </c>
      <c r="CQ314" s="39" t="str">
        <f>IFERROR(bütünleme!DB11*100/bütünleme!$I11,"")</f>
        <v/>
      </c>
      <c r="CR314" s="39" t="str">
        <f>IFERROR(bütünleme!DC11*100/bütünleme!$I11,"")</f>
        <v/>
      </c>
      <c r="CS314" s="39" t="str">
        <f>IFERROR(bütünleme!DD11*100/bütünleme!$I11,"")</f>
        <v/>
      </c>
      <c r="CT314" s="39" t="str">
        <f>IFERROR(bütünleme!DE11*100/bütünleme!$I11,"")</f>
        <v/>
      </c>
      <c r="CU314" s="39" t="str">
        <f>IFERROR(bütünleme!DF11*100/bütünleme!$I11,"")</f>
        <v/>
      </c>
      <c r="CV314" s="39" t="str">
        <f>IFERROR(bütünleme!DG11*100/bütünleme!$I11,"")</f>
        <v/>
      </c>
      <c r="CW314" s="36" t="str">
        <f>IFERROR(SUM(A314:CV314)/bütünleme!$DH$103,"")</f>
        <v/>
      </c>
      <c r="CX314" s="14" t="str">
        <f>IF(COUNTA(bütünleme!A11),bütünleme!A11,"")</f>
        <v/>
      </c>
      <c r="CY314" s="14" t="str">
        <f>IF(COUNTA(bütünleme!B11),bütünleme!B11,"")</f>
        <v/>
      </c>
      <c r="CZ314" s="14" t="str">
        <f>IF(COUNTA(bütünleme!C11),bütünleme!C11,"")</f>
        <v/>
      </c>
      <c r="DA314" s="14" t="str">
        <f>IF(COUNTA(bütünleme!D11),bütünleme!D11,"")</f>
        <v/>
      </c>
      <c r="DB314" s="14" t="str">
        <f>IF(COUNTA(bütünleme!E11),bütünleme!E11,"")</f>
        <v/>
      </c>
      <c r="DC314" s="14" t="str">
        <f>IF(COUNTA(bütünleme!F11),bütünleme!F11,"")</f>
        <v/>
      </c>
      <c r="DD314" s="14" t="str">
        <f>IF(COUNTA(bütünleme!G11),bütünleme!G11,"")</f>
        <v/>
      </c>
      <c r="DE314" s="14" t="str">
        <f>IF(COUNTA(bütünleme!H11),bütünleme!H11,"")</f>
        <v/>
      </c>
    </row>
    <row r="315" spans="1:118" x14ac:dyDescent="0.2">
      <c r="A315" s="39" t="str">
        <f>IFERROR(bütünleme!L12*100/bütünleme!$I12,"")</f>
        <v/>
      </c>
      <c r="B315" s="39" t="str">
        <f>IFERROR(bütünleme!M12*100/bütünleme!$I12,"")</f>
        <v/>
      </c>
      <c r="C315" s="39" t="str">
        <f>IFERROR(bütünleme!N12*100/bütünleme!$I12,"")</f>
        <v/>
      </c>
      <c r="D315" s="39" t="str">
        <f>IFERROR(bütünleme!O12*100/bütünleme!$I12,"")</f>
        <v/>
      </c>
      <c r="E315" s="39" t="str">
        <f>IFERROR(bütünleme!P12*100/bütünleme!$I12,"")</f>
        <v/>
      </c>
      <c r="F315" s="39" t="str">
        <f>IFERROR(bütünleme!Q12*100/bütünleme!$I12,"")</f>
        <v/>
      </c>
      <c r="G315" s="39" t="str">
        <f>IFERROR(bütünleme!R12*100/bütünleme!$I12,"")</f>
        <v/>
      </c>
      <c r="H315" s="39" t="str">
        <f>IFERROR(bütünleme!S12*100/bütünleme!$I12,"")</f>
        <v/>
      </c>
      <c r="I315" s="39" t="str">
        <f>IFERROR(bütünleme!T12*100/bütünleme!$I12,"")</f>
        <v/>
      </c>
      <c r="J315" s="39" t="str">
        <f>IFERROR(bütünleme!U12*100/bütünleme!$I12,"")</f>
        <v/>
      </c>
      <c r="K315" s="39" t="str">
        <f>IFERROR(bütünleme!V12*100/bütünleme!$I12,"")</f>
        <v/>
      </c>
      <c r="L315" s="39" t="str">
        <f>IFERROR(bütünleme!W12*100/bütünleme!$I12,"")</f>
        <v/>
      </c>
      <c r="M315" s="39" t="str">
        <f>IFERROR(bütünleme!X12*100/bütünleme!$I12,"")</f>
        <v/>
      </c>
      <c r="N315" s="39" t="str">
        <f>IFERROR(bütünleme!Y12*100/bütünleme!$I12,"")</f>
        <v/>
      </c>
      <c r="O315" s="39" t="str">
        <f>IFERROR(bütünleme!Z12*100/bütünleme!$I12,"")</f>
        <v/>
      </c>
      <c r="P315" s="39" t="str">
        <f>IFERROR(bütünleme!AA12*100/bütünleme!$I12,"")</f>
        <v/>
      </c>
      <c r="Q315" s="39" t="str">
        <f>IFERROR(bütünleme!AB12*100/bütünleme!$I12,"")</f>
        <v/>
      </c>
      <c r="R315" s="39" t="str">
        <f>IFERROR(bütünleme!AC12*100/bütünleme!$I12,"")</f>
        <v/>
      </c>
      <c r="S315" s="39" t="str">
        <f>IFERROR(bütünleme!AD12*100/bütünleme!$I12,"")</f>
        <v/>
      </c>
      <c r="T315" s="39" t="str">
        <f>IFERROR(bütünleme!AE12*100/bütünleme!$I12,"")</f>
        <v/>
      </c>
      <c r="U315" s="39" t="str">
        <f>IFERROR(bütünleme!AF12*100/bütünleme!$I12,"")</f>
        <v/>
      </c>
      <c r="V315" s="39" t="str">
        <f>IFERROR(bütünleme!AG12*100/bütünleme!$I12,"")</f>
        <v/>
      </c>
      <c r="W315" s="39" t="str">
        <f>IFERROR(bütünleme!AH12*100/bütünleme!$I12,"")</f>
        <v/>
      </c>
      <c r="X315" s="39" t="str">
        <f>IFERROR(bütünleme!AI12*100/bütünleme!$I12,"")</f>
        <v/>
      </c>
      <c r="Y315" s="39" t="str">
        <f>IFERROR(bütünleme!AJ12*100/bütünleme!$I12,"")</f>
        <v/>
      </c>
      <c r="Z315" s="39" t="str">
        <f>IFERROR(bütünleme!AK12*100/bütünleme!$I12,"")</f>
        <v/>
      </c>
      <c r="AA315" s="39" t="str">
        <f>IFERROR(bütünleme!AL12*100/bütünleme!$I12,"")</f>
        <v/>
      </c>
      <c r="AB315" s="39" t="str">
        <f>IFERROR(bütünleme!AM12*100/bütünleme!$I12,"")</f>
        <v/>
      </c>
      <c r="AC315" s="39" t="str">
        <f>IFERROR(bütünleme!AN12*100/bütünleme!$I12,"")</f>
        <v/>
      </c>
      <c r="AD315" s="39" t="str">
        <f>IFERROR(bütünleme!AO12*100/bütünleme!$I12,"")</f>
        <v/>
      </c>
      <c r="AE315" s="39" t="str">
        <f>IFERROR(bütünleme!AP12*100/bütünleme!$I12,"")</f>
        <v/>
      </c>
      <c r="AF315" s="39" t="str">
        <f>IFERROR(bütünleme!AQ12*100/bütünleme!$I12,"")</f>
        <v/>
      </c>
      <c r="AG315" s="39" t="str">
        <f>IFERROR(bütünleme!AR12*100/bütünleme!$I12,"")</f>
        <v/>
      </c>
      <c r="AH315" s="39" t="str">
        <f>IFERROR(bütünleme!AS12*100/bütünleme!$I12,"")</f>
        <v/>
      </c>
      <c r="AI315" s="39" t="str">
        <f>IFERROR(bütünleme!AT12*100/bütünleme!$I12,"")</f>
        <v/>
      </c>
      <c r="AJ315" s="39" t="str">
        <f>IFERROR(bütünleme!AU12*100/bütünleme!$I12,"")</f>
        <v/>
      </c>
      <c r="AK315" s="39" t="str">
        <f>IFERROR(bütünleme!AV12*100/bütünleme!$I12,"")</f>
        <v/>
      </c>
      <c r="AL315" s="39" t="str">
        <f>IFERROR(bütünleme!AW12*100/bütünleme!$I12,"")</f>
        <v/>
      </c>
      <c r="AM315" s="39" t="str">
        <f>IFERROR(bütünleme!AX12*100/bütünleme!$I12,"")</f>
        <v/>
      </c>
      <c r="AN315" s="39" t="str">
        <f>IFERROR(bütünleme!AY12*100/bütünleme!$I12,"")</f>
        <v/>
      </c>
      <c r="AO315" s="39" t="str">
        <f>IFERROR(bütünleme!AZ12*100/bütünleme!$I12,"")</f>
        <v/>
      </c>
      <c r="AP315" s="39" t="str">
        <f>IFERROR(bütünleme!BA12*100/bütünleme!$I12,"")</f>
        <v/>
      </c>
      <c r="AQ315" s="39" t="str">
        <f>IFERROR(bütünleme!BB12*100/bütünleme!$I12,"")</f>
        <v/>
      </c>
      <c r="AR315" s="39" t="str">
        <f>IFERROR(bütünleme!BC12*100/bütünleme!$I12,"")</f>
        <v/>
      </c>
      <c r="AS315" s="39" t="str">
        <f>IFERROR(bütünleme!BD12*100/bütünleme!$I12,"")</f>
        <v/>
      </c>
      <c r="AT315" s="39" t="str">
        <f>IFERROR(bütünleme!BE12*100/bütünleme!$I12,"")</f>
        <v/>
      </c>
      <c r="AU315" s="39" t="str">
        <f>IFERROR(bütünleme!BF12*100/bütünleme!$I12,"")</f>
        <v/>
      </c>
      <c r="AV315" s="39" t="str">
        <f>IFERROR(bütünleme!BG12*100/bütünleme!$I12,"")</f>
        <v/>
      </c>
      <c r="AW315" s="39" t="str">
        <f>IFERROR(bütünleme!BH12*100/bütünleme!$I12,"")</f>
        <v/>
      </c>
      <c r="AX315" s="39" t="str">
        <f>IFERROR(bütünleme!BI12*100/bütünleme!$I12,"")</f>
        <v/>
      </c>
      <c r="AY315" s="39" t="str">
        <f>IFERROR(bütünleme!BJ12*100/bütünleme!$I12,"")</f>
        <v/>
      </c>
      <c r="AZ315" s="39" t="str">
        <f>IFERROR(bütünleme!BK12*100/bütünleme!$I12,"")</f>
        <v/>
      </c>
      <c r="BA315" s="39" t="str">
        <f>IFERROR(bütünleme!BL12*100/bütünleme!$I12,"")</f>
        <v/>
      </c>
      <c r="BB315" s="39" t="str">
        <f>IFERROR(bütünleme!BM12*100/bütünleme!$I12,"")</f>
        <v/>
      </c>
      <c r="BC315" s="39" t="str">
        <f>IFERROR(bütünleme!BN12*100/bütünleme!$I12,"")</f>
        <v/>
      </c>
      <c r="BD315" s="39" t="str">
        <f>IFERROR(bütünleme!BO12*100/bütünleme!$I12,"")</f>
        <v/>
      </c>
      <c r="BE315" s="39" t="str">
        <f>IFERROR(bütünleme!BP12*100/bütünleme!$I12,"")</f>
        <v/>
      </c>
      <c r="BF315" s="39" t="str">
        <f>IFERROR(bütünleme!BQ12*100/bütünleme!$I12,"")</f>
        <v/>
      </c>
      <c r="BG315" s="39" t="str">
        <f>IFERROR(bütünleme!BR12*100/bütünleme!$I12,"")</f>
        <v/>
      </c>
      <c r="BH315" s="39" t="str">
        <f>IFERROR(bütünleme!BS12*100/bütünleme!$I12,"")</f>
        <v/>
      </c>
      <c r="BI315" s="39" t="str">
        <f>IFERROR(bütünleme!BT12*100/bütünleme!$I12,"")</f>
        <v/>
      </c>
      <c r="BJ315" s="39" t="str">
        <f>IFERROR(bütünleme!BU12*100/bütünleme!$I12,"")</f>
        <v/>
      </c>
      <c r="BK315" s="39" t="str">
        <f>IFERROR(bütünleme!BV12*100/bütünleme!$I12,"")</f>
        <v/>
      </c>
      <c r="BL315" s="39" t="str">
        <f>IFERROR(bütünleme!BW12*100/bütünleme!$I12,"")</f>
        <v/>
      </c>
      <c r="BM315" s="39" t="str">
        <f>IFERROR(bütünleme!BX12*100/bütünleme!$I12,"")</f>
        <v/>
      </c>
      <c r="BN315" s="39" t="str">
        <f>IFERROR(bütünleme!BY12*100/bütünleme!$I12,"")</f>
        <v/>
      </c>
      <c r="BO315" s="39" t="str">
        <f>IFERROR(bütünleme!BZ12*100/bütünleme!$I12,"")</f>
        <v/>
      </c>
      <c r="BP315" s="39" t="str">
        <f>IFERROR(bütünleme!CA12*100/bütünleme!$I12,"")</f>
        <v/>
      </c>
      <c r="BQ315" s="39" t="str">
        <f>IFERROR(bütünleme!CB12*100/bütünleme!$I12,"")</f>
        <v/>
      </c>
      <c r="BR315" s="39" t="str">
        <f>IFERROR(bütünleme!CC12*100/bütünleme!$I12,"")</f>
        <v/>
      </c>
      <c r="BS315" s="39" t="str">
        <f>IFERROR(bütünleme!CD12*100/bütünleme!$I12,"")</f>
        <v/>
      </c>
      <c r="BT315" s="39" t="str">
        <f>IFERROR(bütünleme!CE12*100/bütünleme!$I12,"")</f>
        <v/>
      </c>
      <c r="BU315" s="39" t="str">
        <f>IFERROR(bütünleme!CF12*100/bütünleme!$I12,"")</f>
        <v/>
      </c>
      <c r="BV315" s="39" t="str">
        <f>IFERROR(bütünleme!CG12*100/bütünleme!$I12,"")</f>
        <v/>
      </c>
      <c r="BW315" s="39" t="str">
        <f>IFERROR(bütünleme!CH12*100/bütünleme!$I12,"")</f>
        <v/>
      </c>
      <c r="BX315" s="39" t="str">
        <f>IFERROR(bütünleme!CI12*100/bütünleme!$I12,"")</f>
        <v/>
      </c>
      <c r="BY315" s="39" t="str">
        <f>IFERROR(bütünleme!CJ12*100/bütünleme!$I12,"")</f>
        <v/>
      </c>
      <c r="BZ315" s="39" t="str">
        <f>IFERROR(bütünleme!CK12*100/bütünleme!$I12,"")</f>
        <v/>
      </c>
      <c r="CA315" s="39" t="str">
        <f>IFERROR(bütünleme!CL12*100/bütünleme!$I12,"")</f>
        <v/>
      </c>
      <c r="CB315" s="39" t="str">
        <f>IFERROR(bütünleme!CM12*100/bütünleme!$I12,"")</f>
        <v/>
      </c>
      <c r="CC315" s="39" t="str">
        <f>IFERROR(bütünleme!CN12*100/bütünleme!$I12,"")</f>
        <v/>
      </c>
      <c r="CD315" s="39" t="str">
        <f>IFERROR(bütünleme!CO12*100/bütünleme!$I12,"")</f>
        <v/>
      </c>
      <c r="CE315" s="39" t="str">
        <f>IFERROR(bütünleme!CP12*100/bütünleme!$I12,"")</f>
        <v/>
      </c>
      <c r="CF315" s="39" t="str">
        <f>IFERROR(bütünleme!CQ12*100/bütünleme!$I12,"")</f>
        <v/>
      </c>
      <c r="CG315" s="39" t="str">
        <f>IFERROR(bütünleme!CR12*100/bütünleme!$I12,"")</f>
        <v/>
      </c>
      <c r="CH315" s="39" t="str">
        <f>IFERROR(bütünleme!CS12*100/bütünleme!$I12,"")</f>
        <v/>
      </c>
      <c r="CI315" s="39" t="str">
        <f>IFERROR(bütünleme!CT12*100/bütünleme!$I12,"")</f>
        <v/>
      </c>
      <c r="CJ315" s="39" t="str">
        <f>IFERROR(bütünleme!CU12*100/bütünleme!$I12,"")</f>
        <v/>
      </c>
      <c r="CK315" s="39" t="str">
        <f>IFERROR(bütünleme!CV12*100/bütünleme!$I12,"")</f>
        <v/>
      </c>
      <c r="CL315" s="39" t="str">
        <f>IFERROR(bütünleme!CW12*100/bütünleme!$I12,"")</f>
        <v/>
      </c>
      <c r="CM315" s="39" t="str">
        <f>IFERROR(bütünleme!CX12*100/bütünleme!$I12,"")</f>
        <v/>
      </c>
      <c r="CN315" s="39" t="str">
        <f>IFERROR(bütünleme!CY12*100/bütünleme!$I12,"")</f>
        <v/>
      </c>
      <c r="CO315" s="39" t="str">
        <f>IFERROR(bütünleme!CZ12*100/bütünleme!$I12,"")</f>
        <v/>
      </c>
      <c r="CP315" s="39" t="str">
        <f>IFERROR(bütünleme!DA12*100/bütünleme!$I12,"")</f>
        <v/>
      </c>
      <c r="CQ315" s="39" t="str">
        <f>IFERROR(bütünleme!DB12*100/bütünleme!$I12,"")</f>
        <v/>
      </c>
      <c r="CR315" s="39" t="str">
        <f>IFERROR(bütünleme!DC12*100/bütünleme!$I12,"")</f>
        <v/>
      </c>
      <c r="CS315" s="39" t="str">
        <f>IFERROR(bütünleme!DD12*100/bütünleme!$I12,"")</f>
        <v/>
      </c>
      <c r="CT315" s="39" t="str">
        <f>IFERROR(bütünleme!DE12*100/bütünleme!$I12,"")</f>
        <v/>
      </c>
      <c r="CU315" s="39" t="str">
        <f>IFERROR(bütünleme!DF12*100/bütünleme!$I12,"")</f>
        <v/>
      </c>
      <c r="CV315" s="39" t="str">
        <f>IFERROR(bütünleme!DG12*100/bütünleme!$I12,"")</f>
        <v/>
      </c>
      <c r="CW315" s="36" t="str">
        <f>IFERROR(SUM(A315:CV315)/bütünleme!$DH$103,"")</f>
        <v/>
      </c>
      <c r="CX315" s="14" t="str">
        <f>IF(COUNTA(bütünleme!A12),bütünleme!A12,"")</f>
        <v/>
      </c>
      <c r="CY315" s="14" t="str">
        <f>IF(COUNTA(bütünleme!B12),bütünleme!B12,"")</f>
        <v/>
      </c>
      <c r="CZ315" s="14" t="str">
        <f>IF(COUNTA(bütünleme!C12),bütünleme!C12,"")</f>
        <v/>
      </c>
      <c r="DA315" s="14" t="str">
        <f>IF(COUNTA(bütünleme!D12),bütünleme!D12,"")</f>
        <v/>
      </c>
      <c r="DB315" s="14" t="str">
        <f>IF(COUNTA(bütünleme!E12),bütünleme!E12,"")</f>
        <v/>
      </c>
      <c r="DC315" s="14" t="str">
        <f>IF(COUNTA(bütünleme!F12),bütünleme!F12,"")</f>
        <v/>
      </c>
      <c r="DD315" s="14" t="str">
        <f>IF(COUNTA(bütünleme!G12),bütünleme!G12,"")</f>
        <v/>
      </c>
      <c r="DE315" s="14" t="str">
        <f>IF(COUNTA(bütünleme!H12),bütünleme!H12,"")</f>
        <v/>
      </c>
    </row>
    <row r="316" spans="1:118" x14ac:dyDescent="0.2">
      <c r="A316" s="39" t="str">
        <f>IFERROR(bütünleme!L13*100/bütünleme!$I13,"")</f>
        <v/>
      </c>
      <c r="B316" s="39" t="str">
        <f>IFERROR(bütünleme!M13*100/bütünleme!$I13,"")</f>
        <v/>
      </c>
      <c r="C316" s="39" t="str">
        <f>IFERROR(bütünleme!N13*100/bütünleme!$I13,"")</f>
        <v/>
      </c>
      <c r="D316" s="39" t="str">
        <f>IFERROR(bütünleme!O13*100/bütünleme!$I13,"")</f>
        <v/>
      </c>
      <c r="E316" s="39" t="str">
        <f>IFERROR(bütünleme!P13*100/bütünleme!$I13,"")</f>
        <v/>
      </c>
      <c r="F316" s="39" t="str">
        <f>IFERROR(bütünleme!Q13*100/bütünleme!$I13,"")</f>
        <v/>
      </c>
      <c r="G316" s="39" t="str">
        <f>IFERROR(bütünleme!R13*100/bütünleme!$I13,"")</f>
        <v/>
      </c>
      <c r="H316" s="39" t="str">
        <f>IFERROR(bütünleme!S13*100/bütünleme!$I13,"")</f>
        <v/>
      </c>
      <c r="I316" s="39" t="str">
        <f>IFERROR(bütünleme!T13*100/bütünleme!$I13,"")</f>
        <v/>
      </c>
      <c r="J316" s="39" t="str">
        <f>IFERROR(bütünleme!U13*100/bütünleme!$I13,"")</f>
        <v/>
      </c>
      <c r="K316" s="39" t="str">
        <f>IFERROR(bütünleme!V13*100/bütünleme!$I13,"")</f>
        <v/>
      </c>
      <c r="L316" s="39" t="str">
        <f>IFERROR(bütünleme!W13*100/bütünleme!$I13,"")</f>
        <v/>
      </c>
      <c r="M316" s="39" t="str">
        <f>IFERROR(bütünleme!X13*100/bütünleme!$I13,"")</f>
        <v/>
      </c>
      <c r="N316" s="39" t="str">
        <f>IFERROR(bütünleme!Y13*100/bütünleme!$I13,"")</f>
        <v/>
      </c>
      <c r="O316" s="39" t="str">
        <f>IFERROR(bütünleme!Z13*100/bütünleme!$I13,"")</f>
        <v/>
      </c>
      <c r="P316" s="39" t="str">
        <f>IFERROR(bütünleme!AA13*100/bütünleme!$I13,"")</f>
        <v/>
      </c>
      <c r="Q316" s="39" t="str">
        <f>IFERROR(bütünleme!AB13*100/bütünleme!$I13,"")</f>
        <v/>
      </c>
      <c r="R316" s="39" t="str">
        <f>IFERROR(bütünleme!AC13*100/bütünleme!$I13,"")</f>
        <v/>
      </c>
      <c r="S316" s="39" t="str">
        <f>IFERROR(bütünleme!AD13*100/bütünleme!$I13,"")</f>
        <v/>
      </c>
      <c r="T316" s="39" t="str">
        <f>IFERROR(bütünleme!AE13*100/bütünleme!$I13,"")</f>
        <v/>
      </c>
      <c r="U316" s="39" t="str">
        <f>IFERROR(bütünleme!AF13*100/bütünleme!$I13,"")</f>
        <v/>
      </c>
      <c r="V316" s="39" t="str">
        <f>IFERROR(bütünleme!AG13*100/bütünleme!$I13,"")</f>
        <v/>
      </c>
      <c r="W316" s="39" t="str">
        <f>IFERROR(bütünleme!AH13*100/bütünleme!$I13,"")</f>
        <v/>
      </c>
      <c r="X316" s="39" t="str">
        <f>IFERROR(bütünleme!AI13*100/bütünleme!$I13,"")</f>
        <v/>
      </c>
      <c r="Y316" s="39" t="str">
        <f>IFERROR(bütünleme!AJ13*100/bütünleme!$I13,"")</f>
        <v/>
      </c>
      <c r="Z316" s="39" t="str">
        <f>IFERROR(bütünleme!AK13*100/bütünleme!$I13,"")</f>
        <v/>
      </c>
      <c r="AA316" s="39" t="str">
        <f>IFERROR(bütünleme!AL13*100/bütünleme!$I13,"")</f>
        <v/>
      </c>
      <c r="AB316" s="39" t="str">
        <f>IFERROR(bütünleme!AM13*100/bütünleme!$I13,"")</f>
        <v/>
      </c>
      <c r="AC316" s="39" t="str">
        <f>IFERROR(bütünleme!AN13*100/bütünleme!$I13,"")</f>
        <v/>
      </c>
      <c r="AD316" s="39" t="str">
        <f>IFERROR(bütünleme!AO13*100/bütünleme!$I13,"")</f>
        <v/>
      </c>
      <c r="AE316" s="39" t="str">
        <f>IFERROR(bütünleme!AP13*100/bütünleme!$I13,"")</f>
        <v/>
      </c>
      <c r="AF316" s="39" t="str">
        <f>IFERROR(bütünleme!AQ13*100/bütünleme!$I13,"")</f>
        <v/>
      </c>
      <c r="AG316" s="39" t="str">
        <f>IFERROR(bütünleme!AR13*100/bütünleme!$I13,"")</f>
        <v/>
      </c>
      <c r="AH316" s="39" t="str">
        <f>IFERROR(bütünleme!AS13*100/bütünleme!$I13,"")</f>
        <v/>
      </c>
      <c r="AI316" s="39" t="str">
        <f>IFERROR(bütünleme!AT13*100/bütünleme!$I13,"")</f>
        <v/>
      </c>
      <c r="AJ316" s="39" t="str">
        <f>IFERROR(bütünleme!AU13*100/bütünleme!$I13,"")</f>
        <v/>
      </c>
      <c r="AK316" s="39" t="str">
        <f>IFERROR(bütünleme!AV13*100/bütünleme!$I13,"")</f>
        <v/>
      </c>
      <c r="AL316" s="39" t="str">
        <f>IFERROR(bütünleme!AW13*100/bütünleme!$I13,"")</f>
        <v/>
      </c>
      <c r="AM316" s="39" t="str">
        <f>IFERROR(bütünleme!AX13*100/bütünleme!$I13,"")</f>
        <v/>
      </c>
      <c r="AN316" s="39" t="str">
        <f>IFERROR(bütünleme!AY13*100/bütünleme!$I13,"")</f>
        <v/>
      </c>
      <c r="AO316" s="39" t="str">
        <f>IFERROR(bütünleme!AZ13*100/bütünleme!$I13,"")</f>
        <v/>
      </c>
      <c r="AP316" s="39" t="str">
        <f>IFERROR(bütünleme!BA13*100/bütünleme!$I13,"")</f>
        <v/>
      </c>
      <c r="AQ316" s="39" t="str">
        <f>IFERROR(bütünleme!BB13*100/bütünleme!$I13,"")</f>
        <v/>
      </c>
      <c r="AR316" s="39" t="str">
        <f>IFERROR(bütünleme!BC13*100/bütünleme!$I13,"")</f>
        <v/>
      </c>
      <c r="AS316" s="39" t="str">
        <f>IFERROR(bütünleme!BD13*100/bütünleme!$I13,"")</f>
        <v/>
      </c>
      <c r="AT316" s="39" t="str">
        <f>IFERROR(bütünleme!BE13*100/bütünleme!$I13,"")</f>
        <v/>
      </c>
      <c r="AU316" s="39" t="str">
        <f>IFERROR(bütünleme!BF13*100/bütünleme!$I13,"")</f>
        <v/>
      </c>
      <c r="AV316" s="39" t="str">
        <f>IFERROR(bütünleme!BG13*100/bütünleme!$I13,"")</f>
        <v/>
      </c>
      <c r="AW316" s="39" t="str">
        <f>IFERROR(bütünleme!BH13*100/bütünleme!$I13,"")</f>
        <v/>
      </c>
      <c r="AX316" s="39" t="str">
        <f>IFERROR(bütünleme!BI13*100/bütünleme!$I13,"")</f>
        <v/>
      </c>
      <c r="AY316" s="39" t="str">
        <f>IFERROR(bütünleme!BJ13*100/bütünleme!$I13,"")</f>
        <v/>
      </c>
      <c r="AZ316" s="39" t="str">
        <f>IFERROR(bütünleme!BK13*100/bütünleme!$I13,"")</f>
        <v/>
      </c>
      <c r="BA316" s="39" t="str">
        <f>IFERROR(bütünleme!BL13*100/bütünleme!$I13,"")</f>
        <v/>
      </c>
      <c r="BB316" s="39" t="str">
        <f>IFERROR(bütünleme!BM13*100/bütünleme!$I13,"")</f>
        <v/>
      </c>
      <c r="BC316" s="39" t="str">
        <f>IFERROR(bütünleme!BN13*100/bütünleme!$I13,"")</f>
        <v/>
      </c>
      <c r="BD316" s="39" t="str">
        <f>IFERROR(bütünleme!BO13*100/bütünleme!$I13,"")</f>
        <v/>
      </c>
      <c r="BE316" s="39" t="str">
        <f>IFERROR(bütünleme!BP13*100/bütünleme!$I13,"")</f>
        <v/>
      </c>
      <c r="BF316" s="39" t="str">
        <f>IFERROR(bütünleme!BQ13*100/bütünleme!$I13,"")</f>
        <v/>
      </c>
      <c r="BG316" s="39" t="str">
        <f>IFERROR(bütünleme!BR13*100/bütünleme!$I13,"")</f>
        <v/>
      </c>
      <c r="BH316" s="39" t="str">
        <f>IFERROR(bütünleme!BS13*100/bütünleme!$I13,"")</f>
        <v/>
      </c>
      <c r="BI316" s="39" t="str">
        <f>IFERROR(bütünleme!BT13*100/bütünleme!$I13,"")</f>
        <v/>
      </c>
      <c r="BJ316" s="39" t="str">
        <f>IFERROR(bütünleme!BU13*100/bütünleme!$I13,"")</f>
        <v/>
      </c>
      <c r="BK316" s="39" t="str">
        <f>IFERROR(bütünleme!BV13*100/bütünleme!$I13,"")</f>
        <v/>
      </c>
      <c r="BL316" s="39" t="str">
        <f>IFERROR(bütünleme!BW13*100/bütünleme!$I13,"")</f>
        <v/>
      </c>
      <c r="BM316" s="39" t="str">
        <f>IFERROR(bütünleme!BX13*100/bütünleme!$I13,"")</f>
        <v/>
      </c>
      <c r="BN316" s="39" t="str">
        <f>IFERROR(bütünleme!BY13*100/bütünleme!$I13,"")</f>
        <v/>
      </c>
      <c r="BO316" s="39" t="str">
        <f>IFERROR(bütünleme!BZ13*100/bütünleme!$I13,"")</f>
        <v/>
      </c>
      <c r="BP316" s="39" t="str">
        <f>IFERROR(bütünleme!CA13*100/bütünleme!$I13,"")</f>
        <v/>
      </c>
      <c r="BQ316" s="39" t="str">
        <f>IFERROR(bütünleme!CB13*100/bütünleme!$I13,"")</f>
        <v/>
      </c>
      <c r="BR316" s="39" t="str">
        <f>IFERROR(bütünleme!CC13*100/bütünleme!$I13,"")</f>
        <v/>
      </c>
      <c r="BS316" s="39" t="str">
        <f>IFERROR(bütünleme!CD13*100/bütünleme!$I13,"")</f>
        <v/>
      </c>
      <c r="BT316" s="39" t="str">
        <f>IFERROR(bütünleme!CE13*100/bütünleme!$I13,"")</f>
        <v/>
      </c>
      <c r="BU316" s="39" t="str">
        <f>IFERROR(bütünleme!CF13*100/bütünleme!$I13,"")</f>
        <v/>
      </c>
      <c r="BV316" s="39" t="str">
        <f>IFERROR(bütünleme!CG13*100/bütünleme!$I13,"")</f>
        <v/>
      </c>
      <c r="BW316" s="39" t="str">
        <f>IFERROR(bütünleme!CH13*100/bütünleme!$I13,"")</f>
        <v/>
      </c>
      <c r="BX316" s="39" t="str">
        <f>IFERROR(bütünleme!CI13*100/bütünleme!$I13,"")</f>
        <v/>
      </c>
      <c r="BY316" s="39" t="str">
        <f>IFERROR(bütünleme!CJ13*100/bütünleme!$I13,"")</f>
        <v/>
      </c>
      <c r="BZ316" s="39" t="str">
        <f>IFERROR(bütünleme!CK13*100/bütünleme!$I13,"")</f>
        <v/>
      </c>
      <c r="CA316" s="39" t="str">
        <f>IFERROR(bütünleme!CL13*100/bütünleme!$I13,"")</f>
        <v/>
      </c>
      <c r="CB316" s="39" t="str">
        <f>IFERROR(bütünleme!CM13*100/bütünleme!$I13,"")</f>
        <v/>
      </c>
      <c r="CC316" s="39" t="str">
        <f>IFERROR(bütünleme!CN13*100/bütünleme!$I13,"")</f>
        <v/>
      </c>
      <c r="CD316" s="39" t="str">
        <f>IFERROR(bütünleme!CO13*100/bütünleme!$I13,"")</f>
        <v/>
      </c>
      <c r="CE316" s="39" t="str">
        <f>IFERROR(bütünleme!CP13*100/bütünleme!$I13,"")</f>
        <v/>
      </c>
      <c r="CF316" s="39" t="str">
        <f>IFERROR(bütünleme!CQ13*100/bütünleme!$I13,"")</f>
        <v/>
      </c>
      <c r="CG316" s="39" t="str">
        <f>IFERROR(bütünleme!CR13*100/bütünleme!$I13,"")</f>
        <v/>
      </c>
      <c r="CH316" s="39" t="str">
        <f>IFERROR(bütünleme!CS13*100/bütünleme!$I13,"")</f>
        <v/>
      </c>
      <c r="CI316" s="39" t="str">
        <f>IFERROR(bütünleme!CT13*100/bütünleme!$I13,"")</f>
        <v/>
      </c>
      <c r="CJ316" s="39" t="str">
        <f>IFERROR(bütünleme!CU13*100/bütünleme!$I13,"")</f>
        <v/>
      </c>
      <c r="CK316" s="39" t="str">
        <f>IFERROR(bütünleme!CV13*100/bütünleme!$I13,"")</f>
        <v/>
      </c>
      <c r="CL316" s="39" t="str">
        <f>IFERROR(bütünleme!CW13*100/bütünleme!$I13,"")</f>
        <v/>
      </c>
      <c r="CM316" s="39" t="str">
        <f>IFERROR(bütünleme!CX13*100/bütünleme!$I13,"")</f>
        <v/>
      </c>
      <c r="CN316" s="39" t="str">
        <f>IFERROR(bütünleme!CY13*100/bütünleme!$I13,"")</f>
        <v/>
      </c>
      <c r="CO316" s="39" t="str">
        <f>IFERROR(bütünleme!CZ13*100/bütünleme!$I13,"")</f>
        <v/>
      </c>
      <c r="CP316" s="39" t="str">
        <f>IFERROR(bütünleme!DA13*100/bütünleme!$I13,"")</f>
        <v/>
      </c>
      <c r="CQ316" s="39" t="str">
        <f>IFERROR(bütünleme!DB13*100/bütünleme!$I13,"")</f>
        <v/>
      </c>
      <c r="CR316" s="39" t="str">
        <f>IFERROR(bütünleme!DC13*100/bütünleme!$I13,"")</f>
        <v/>
      </c>
      <c r="CS316" s="39" t="str">
        <f>IFERROR(bütünleme!DD13*100/bütünleme!$I13,"")</f>
        <v/>
      </c>
      <c r="CT316" s="39" t="str">
        <f>IFERROR(bütünleme!DE13*100/bütünleme!$I13,"")</f>
        <v/>
      </c>
      <c r="CU316" s="39" t="str">
        <f>IFERROR(bütünleme!DF13*100/bütünleme!$I13,"")</f>
        <v/>
      </c>
      <c r="CV316" s="39" t="str">
        <f>IFERROR(bütünleme!DG13*100/bütünleme!$I13,"")</f>
        <v/>
      </c>
      <c r="CW316" s="36" t="str">
        <f>IFERROR(SUM(A316:CV316)/bütünleme!$DH$103,"")</f>
        <v/>
      </c>
      <c r="CX316" s="14" t="str">
        <f>IF(COUNTA(bütünleme!A13),bütünleme!A13,"")</f>
        <v/>
      </c>
      <c r="CY316" s="14" t="str">
        <f>IF(COUNTA(bütünleme!B13),bütünleme!B13,"")</f>
        <v/>
      </c>
      <c r="CZ316" s="14" t="str">
        <f>IF(COUNTA(bütünleme!C13),bütünleme!C13,"")</f>
        <v/>
      </c>
      <c r="DA316" s="14" t="str">
        <f>IF(COUNTA(bütünleme!D13),bütünleme!D13,"")</f>
        <v/>
      </c>
      <c r="DB316" s="14" t="str">
        <f>IF(COUNTA(bütünleme!E13),bütünleme!E13,"")</f>
        <v/>
      </c>
      <c r="DC316" s="14" t="str">
        <f>IF(COUNTA(bütünleme!F13),bütünleme!F13,"")</f>
        <v/>
      </c>
      <c r="DD316" s="14" t="str">
        <f>IF(COUNTA(bütünleme!G13),bütünleme!G13,"")</f>
        <v/>
      </c>
      <c r="DE316" s="14" t="str">
        <f>IF(COUNTA(bütünleme!H13),bütünleme!H13,"")</f>
        <v/>
      </c>
    </row>
    <row r="317" spans="1:118" x14ac:dyDescent="0.2">
      <c r="A317" s="39" t="str">
        <f>IFERROR(bütünleme!L14*100/bütünleme!$I14,"")</f>
        <v/>
      </c>
      <c r="B317" s="39" t="str">
        <f>IFERROR(bütünleme!M14*100/bütünleme!$I14,"")</f>
        <v/>
      </c>
      <c r="C317" s="39" t="str">
        <f>IFERROR(bütünleme!N14*100/bütünleme!$I14,"")</f>
        <v/>
      </c>
      <c r="D317" s="39" t="str">
        <f>IFERROR(bütünleme!O14*100/bütünleme!$I14,"")</f>
        <v/>
      </c>
      <c r="E317" s="39" t="str">
        <f>IFERROR(bütünleme!P14*100/bütünleme!$I14,"")</f>
        <v/>
      </c>
      <c r="F317" s="39" t="str">
        <f>IFERROR(bütünleme!Q14*100/bütünleme!$I14,"")</f>
        <v/>
      </c>
      <c r="G317" s="39" t="str">
        <f>IFERROR(bütünleme!R14*100/bütünleme!$I14,"")</f>
        <v/>
      </c>
      <c r="H317" s="39" t="str">
        <f>IFERROR(bütünleme!S14*100/bütünleme!$I14,"")</f>
        <v/>
      </c>
      <c r="I317" s="39" t="str">
        <f>IFERROR(bütünleme!T14*100/bütünleme!$I14,"")</f>
        <v/>
      </c>
      <c r="J317" s="39" t="str">
        <f>IFERROR(bütünleme!U14*100/bütünleme!$I14,"")</f>
        <v/>
      </c>
      <c r="K317" s="39" t="str">
        <f>IFERROR(bütünleme!V14*100/bütünleme!$I14,"")</f>
        <v/>
      </c>
      <c r="L317" s="39" t="str">
        <f>IFERROR(bütünleme!W14*100/bütünleme!$I14,"")</f>
        <v/>
      </c>
      <c r="M317" s="39" t="str">
        <f>IFERROR(bütünleme!X14*100/bütünleme!$I14,"")</f>
        <v/>
      </c>
      <c r="N317" s="39" t="str">
        <f>IFERROR(bütünleme!Y14*100/bütünleme!$I14,"")</f>
        <v/>
      </c>
      <c r="O317" s="39" t="str">
        <f>IFERROR(bütünleme!Z14*100/bütünleme!$I14,"")</f>
        <v/>
      </c>
      <c r="P317" s="39" t="str">
        <f>IFERROR(bütünleme!AA14*100/bütünleme!$I14,"")</f>
        <v/>
      </c>
      <c r="Q317" s="39" t="str">
        <f>IFERROR(bütünleme!AB14*100/bütünleme!$I14,"")</f>
        <v/>
      </c>
      <c r="R317" s="39" t="str">
        <f>IFERROR(bütünleme!AC14*100/bütünleme!$I14,"")</f>
        <v/>
      </c>
      <c r="S317" s="39" t="str">
        <f>IFERROR(bütünleme!AD14*100/bütünleme!$I14,"")</f>
        <v/>
      </c>
      <c r="T317" s="39" t="str">
        <f>IFERROR(bütünleme!AE14*100/bütünleme!$I14,"")</f>
        <v/>
      </c>
      <c r="U317" s="39" t="str">
        <f>IFERROR(bütünleme!AF14*100/bütünleme!$I14,"")</f>
        <v/>
      </c>
      <c r="V317" s="39" t="str">
        <f>IFERROR(bütünleme!AG14*100/bütünleme!$I14,"")</f>
        <v/>
      </c>
      <c r="W317" s="39" t="str">
        <f>IFERROR(bütünleme!AH14*100/bütünleme!$I14,"")</f>
        <v/>
      </c>
      <c r="X317" s="39" t="str">
        <f>IFERROR(bütünleme!AI14*100/bütünleme!$I14,"")</f>
        <v/>
      </c>
      <c r="Y317" s="39" t="str">
        <f>IFERROR(bütünleme!AJ14*100/bütünleme!$I14,"")</f>
        <v/>
      </c>
      <c r="Z317" s="39" t="str">
        <f>IFERROR(bütünleme!AK14*100/bütünleme!$I14,"")</f>
        <v/>
      </c>
      <c r="AA317" s="39" t="str">
        <f>IFERROR(bütünleme!AL14*100/bütünleme!$I14,"")</f>
        <v/>
      </c>
      <c r="AB317" s="39" t="str">
        <f>IFERROR(bütünleme!AM14*100/bütünleme!$I14,"")</f>
        <v/>
      </c>
      <c r="AC317" s="39" t="str">
        <f>IFERROR(bütünleme!AN14*100/bütünleme!$I14,"")</f>
        <v/>
      </c>
      <c r="AD317" s="39" t="str">
        <f>IFERROR(bütünleme!AO14*100/bütünleme!$I14,"")</f>
        <v/>
      </c>
      <c r="AE317" s="39" t="str">
        <f>IFERROR(bütünleme!AP14*100/bütünleme!$I14,"")</f>
        <v/>
      </c>
      <c r="AF317" s="39" t="str">
        <f>IFERROR(bütünleme!AQ14*100/bütünleme!$I14,"")</f>
        <v/>
      </c>
      <c r="AG317" s="39" t="str">
        <f>IFERROR(bütünleme!AR14*100/bütünleme!$I14,"")</f>
        <v/>
      </c>
      <c r="AH317" s="39" t="str">
        <f>IFERROR(bütünleme!AS14*100/bütünleme!$I14,"")</f>
        <v/>
      </c>
      <c r="AI317" s="39" t="str">
        <f>IFERROR(bütünleme!AT14*100/bütünleme!$I14,"")</f>
        <v/>
      </c>
      <c r="AJ317" s="39" t="str">
        <f>IFERROR(bütünleme!AU14*100/bütünleme!$I14,"")</f>
        <v/>
      </c>
      <c r="AK317" s="39" t="str">
        <f>IFERROR(bütünleme!AV14*100/bütünleme!$I14,"")</f>
        <v/>
      </c>
      <c r="AL317" s="39" t="str">
        <f>IFERROR(bütünleme!AW14*100/bütünleme!$I14,"")</f>
        <v/>
      </c>
      <c r="AM317" s="39" t="str">
        <f>IFERROR(bütünleme!AX14*100/bütünleme!$I14,"")</f>
        <v/>
      </c>
      <c r="AN317" s="39" t="str">
        <f>IFERROR(bütünleme!AY14*100/bütünleme!$I14,"")</f>
        <v/>
      </c>
      <c r="AO317" s="39" t="str">
        <f>IFERROR(bütünleme!AZ14*100/bütünleme!$I14,"")</f>
        <v/>
      </c>
      <c r="AP317" s="39" t="str">
        <f>IFERROR(bütünleme!BA14*100/bütünleme!$I14,"")</f>
        <v/>
      </c>
      <c r="AQ317" s="39" t="str">
        <f>IFERROR(bütünleme!BB14*100/bütünleme!$I14,"")</f>
        <v/>
      </c>
      <c r="AR317" s="39" t="str">
        <f>IFERROR(bütünleme!BC14*100/bütünleme!$I14,"")</f>
        <v/>
      </c>
      <c r="AS317" s="39" t="str">
        <f>IFERROR(bütünleme!BD14*100/bütünleme!$I14,"")</f>
        <v/>
      </c>
      <c r="AT317" s="39" t="str">
        <f>IFERROR(bütünleme!BE14*100/bütünleme!$I14,"")</f>
        <v/>
      </c>
      <c r="AU317" s="39" t="str">
        <f>IFERROR(bütünleme!BF14*100/bütünleme!$I14,"")</f>
        <v/>
      </c>
      <c r="AV317" s="39" t="str">
        <f>IFERROR(bütünleme!BG14*100/bütünleme!$I14,"")</f>
        <v/>
      </c>
      <c r="AW317" s="39" t="str">
        <f>IFERROR(bütünleme!BH14*100/bütünleme!$I14,"")</f>
        <v/>
      </c>
      <c r="AX317" s="39" t="str">
        <f>IFERROR(bütünleme!BI14*100/bütünleme!$I14,"")</f>
        <v/>
      </c>
      <c r="AY317" s="39" t="str">
        <f>IFERROR(bütünleme!BJ14*100/bütünleme!$I14,"")</f>
        <v/>
      </c>
      <c r="AZ317" s="39" t="str">
        <f>IFERROR(bütünleme!BK14*100/bütünleme!$I14,"")</f>
        <v/>
      </c>
      <c r="BA317" s="39" t="str">
        <f>IFERROR(bütünleme!BL14*100/bütünleme!$I14,"")</f>
        <v/>
      </c>
      <c r="BB317" s="39" t="str">
        <f>IFERROR(bütünleme!BM14*100/bütünleme!$I14,"")</f>
        <v/>
      </c>
      <c r="BC317" s="39" t="str">
        <f>IFERROR(bütünleme!BN14*100/bütünleme!$I14,"")</f>
        <v/>
      </c>
      <c r="BD317" s="39" t="str">
        <f>IFERROR(bütünleme!BO14*100/bütünleme!$I14,"")</f>
        <v/>
      </c>
      <c r="BE317" s="39" t="str">
        <f>IFERROR(bütünleme!BP14*100/bütünleme!$I14,"")</f>
        <v/>
      </c>
      <c r="BF317" s="39" t="str">
        <f>IFERROR(bütünleme!BQ14*100/bütünleme!$I14,"")</f>
        <v/>
      </c>
      <c r="BG317" s="39" t="str">
        <f>IFERROR(bütünleme!BR14*100/bütünleme!$I14,"")</f>
        <v/>
      </c>
      <c r="BH317" s="39" t="str">
        <f>IFERROR(bütünleme!BS14*100/bütünleme!$I14,"")</f>
        <v/>
      </c>
      <c r="BI317" s="39" t="str">
        <f>IFERROR(bütünleme!BT14*100/bütünleme!$I14,"")</f>
        <v/>
      </c>
      <c r="BJ317" s="39" t="str">
        <f>IFERROR(bütünleme!BU14*100/bütünleme!$I14,"")</f>
        <v/>
      </c>
      <c r="BK317" s="39" t="str">
        <f>IFERROR(bütünleme!BV14*100/bütünleme!$I14,"")</f>
        <v/>
      </c>
      <c r="BL317" s="39" t="str">
        <f>IFERROR(bütünleme!BW14*100/bütünleme!$I14,"")</f>
        <v/>
      </c>
      <c r="BM317" s="39" t="str">
        <f>IFERROR(bütünleme!BX14*100/bütünleme!$I14,"")</f>
        <v/>
      </c>
      <c r="BN317" s="39" t="str">
        <f>IFERROR(bütünleme!BY14*100/bütünleme!$I14,"")</f>
        <v/>
      </c>
      <c r="BO317" s="39" t="str">
        <f>IFERROR(bütünleme!BZ14*100/bütünleme!$I14,"")</f>
        <v/>
      </c>
      <c r="BP317" s="39" t="str">
        <f>IFERROR(bütünleme!CA14*100/bütünleme!$I14,"")</f>
        <v/>
      </c>
      <c r="BQ317" s="39" t="str">
        <f>IFERROR(bütünleme!CB14*100/bütünleme!$I14,"")</f>
        <v/>
      </c>
      <c r="BR317" s="39" t="str">
        <f>IFERROR(bütünleme!CC14*100/bütünleme!$I14,"")</f>
        <v/>
      </c>
      <c r="BS317" s="39" t="str">
        <f>IFERROR(bütünleme!CD14*100/bütünleme!$I14,"")</f>
        <v/>
      </c>
      <c r="BT317" s="39" t="str">
        <f>IFERROR(bütünleme!CE14*100/bütünleme!$I14,"")</f>
        <v/>
      </c>
      <c r="BU317" s="39" t="str">
        <f>IFERROR(bütünleme!CF14*100/bütünleme!$I14,"")</f>
        <v/>
      </c>
      <c r="BV317" s="39" t="str">
        <f>IFERROR(bütünleme!CG14*100/bütünleme!$I14,"")</f>
        <v/>
      </c>
      <c r="BW317" s="39" t="str">
        <f>IFERROR(bütünleme!CH14*100/bütünleme!$I14,"")</f>
        <v/>
      </c>
      <c r="BX317" s="39" t="str">
        <f>IFERROR(bütünleme!CI14*100/bütünleme!$I14,"")</f>
        <v/>
      </c>
      <c r="BY317" s="39" t="str">
        <f>IFERROR(bütünleme!CJ14*100/bütünleme!$I14,"")</f>
        <v/>
      </c>
      <c r="BZ317" s="39" t="str">
        <f>IFERROR(bütünleme!CK14*100/bütünleme!$I14,"")</f>
        <v/>
      </c>
      <c r="CA317" s="39" t="str">
        <f>IFERROR(bütünleme!CL14*100/bütünleme!$I14,"")</f>
        <v/>
      </c>
      <c r="CB317" s="39" t="str">
        <f>IFERROR(bütünleme!CM14*100/bütünleme!$I14,"")</f>
        <v/>
      </c>
      <c r="CC317" s="39" t="str">
        <f>IFERROR(bütünleme!CN14*100/bütünleme!$I14,"")</f>
        <v/>
      </c>
      <c r="CD317" s="39" t="str">
        <f>IFERROR(bütünleme!CO14*100/bütünleme!$I14,"")</f>
        <v/>
      </c>
      <c r="CE317" s="39" t="str">
        <f>IFERROR(bütünleme!CP14*100/bütünleme!$I14,"")</f>
        <v/>
      </c>
      <c r="CF317" s="39" t="str">
        <f>IFERROR(bütünleme!CQ14*100/bütünleme!$I14,"")</f>
        <v/>
      </c>
      <c r="CG317" s="39" t="str">
        <f>IFERROR(bütünleme!CR14*100/bütünleme!$I14,"")</f>
        <v/>
      </c>
      <c r="CH317" s="39" t="str">
        <f>IFERROR(bütünleme!CS14*100/bütünleme!$I14,"")</f>
        <v/>
      </c>
      <c r="CI317" s="39" t="str">
        <f>IFERROR(bütünleme!CT14*100/bütünleme!$I14,"")</f>
        <v/>
      </c>
      <c r="CJ317" s="39" t="str">
        <f>IFERROR(bütünleme!CU14*100/bütünleme!$I14,"")</f>
        <v/>
      </c>
      <c r="CK317" s="39" t="str">
        <f>IFERROR(bütünleme!CV14*100/bütünleme!$I14,"")</f>
        <v/>
      </c>
      <c r="CL317" s="39" t="str">
        <f>IFERROR(bütünleme!CW14*100/bütünleme!$I14,"")</f>
        <v/>
      </c>
      <c r="CM317" s="39" t="str">
        <f>IFERROR(bütünleme!CX14*100/bütünleme!$I14,"")</f>
        <v/>
      </c>
      <c r="CN317" s="39" t="str">
        <f>IFERROR(bütünleme!CY14*100/bütünleme!$I14,"")</f>
        <v/>
      </c>
      <c r="CO317" s="39" t="str">
        <f>IFERROR(bütünleme!CZ14*100/bütünleme!$I14,"")</f>
        <v/>
      </c>
      <c r="CP317" s="39" t="str">
        <f>IFERROR(bütünleme!DA14*100/bütünleme!$I14,"")</f>
        <v/>
      </c>
      <c r="CQ317" s="39" t="str">
        <f>IFERROR(bütünleme!DB14*100/bütünleme!$I14,"")</f>
        <v/>
      </c>
      <c r="CR317" s="39" t="str">
        <f>IFERROR(bütünleme!DC14*100/bütünleme!$I14,"")</f>
        <v/>
      </c>
      <c r="CS317" s="39" t="str">
        <f>IFERROR(bütünleme!DD14*100/bütünleme!$I14,"")</f>
        <v/>
      </c>
      <c r="CT317" s="39" t="str">
        <f>IFERROR(bütünleme!DE14*100/bütünleme!$I14,"")</f>
        <v/>
      </c>
      <c r="CU317" s="39" t="str">
        <f>IFERROR(bütünleme!DF14*100/bütünleme!$I14,"")</f>
        <v/>
      </c>
      <c r="CV317" s="39" t="str">
        <f>IFERROR(bütünleme!DG14*100/bütünleme!$I14,"")</f>
        <v/>
      </c>
      <c r="CW317" s="36" t="str">
        <f>IFERROR(SUM(A317:CV317)/bütünleme!$DH$103,"")</f>
        <v/>
      </c>
      <c r="CX317" s="14" t="str">
        <f>IF(COUNTA(bütünleme!A14),bütünleme!A14,"")</f>
        <v/>
      </c>
      <c r="CY317" s="14" t="str">
        <f>IF(COUNTA(bütünleme!B14),bütünleme!B14,"")</f>
        <v/>
      </c>
      <c r="CZ317" s="14" t="str">
        <f>IF(COUNTA(bütünleme!C14),bütünleme!C14,"")</f>
        <v/>
      </c>
      <c r="DA317" s="14" t="str">
        <f>IF(COUNTA(bütünleme!D14),bütünleme!D14,"")</f>
        <v/>
      </c>
      <c r="DB317" s="14" t="str">
        <f>IF(COUNTA(bütünleme!E14),bütünleme!E14,"")</f>
        <v/>
      </c>
      <c r="DC317" s="14" t="str">
        <f>IF(COUNTA(bütünleme!F14),bütünleme!F14,"")</f>
        <v/>
      </c>
      <c r="DD317" s="14" t="str">
        <f>IF(COUNTA(bütünleme!G14),bütünleme!G14,"")</f>
        <v/>
      </c>
      <c r="DE317" s="14" t="str">
        <f>IF(COUNTA(bütünleme!H14),bütünleme!H14,"")</f>
        <v/>
      </c>
    </row>
    <row r="318" spans="1:118" x14ac:dyDescent="0.2">
      <c r="A318" s="39" t="str">
        <f>IFERROR(bütünleme!L15*100/bütünleme!$I15,"")</f>
        <v/>
      </c>
      <c r="B318" s="39" t="str">
        <f>IFERROR(bütünleme!M15*100/bütünleme!$I15,"")</f>
        <v/>
      </c>
      <c r="C318" s="39" t="str">
        <f>IFERROR(bütünleme!N15*100/bütünleme!$I15,"")</f>
        <v/>
      </c>
      <c r="D318" s="39" t="str">
        <f>IFERROR(bütünleme!O15*100/bütünleme!$I15,"")</f>
        <v/>
      </c>
      <c r="E318" s="39" t="str">
        <f>IFERROR(bütünleme!P15*100/bütünleme!$I15,"")</f>
        <v/>
      </c>
      <c r="F318" s="39" t="str">
        <f>IFERROR(bütünleme!Q15*100/bütünleme!$I15,"")</f>
        <v/>
      </c>
      <c r="G318" s="39" t="str">
        <f>IFERROR(bütünleme!R15*100/bütünleme!$I15,"")</f>
        <v/>
      </c>
      <c r="H318" s="39" t="str">
        <f>IFERROR(bütünleme!S15*100/bütünleme!$I15,"")</f>
        <v/>
      </c>
      <c r="I318" s="39" t="str">
        <f>IFERROR(bütünleme!T15*100/bütünleme!$I15,"")</f>
        <v/>
      </c>
      <c r="J318" s="39" t="str">
        <f>IFERROR(bütünleme!U15*100/bütünleme!$I15,"")</f>
        <v/>
      </c>
      <c r="K318" s="39" t="str">
        <f>IFERROR(bütünleme!V15*100/bütünleme!$I15,"")</f>
        <v/>
      </c>
      <c r="L318" s="39" t="str">
        <f>IFERROR(bütünleme!W15*100/bütünleme!$I15,"")</f>
        <v/>
      </c>
      <c r="M318" s="39" t="str">
        <f>IFERROR(bütünleme!X15*100/bütünleme!$I15,"")</f>
        <v/>
      </c>
      <c r="N318" s="39" t="str">
        <f>IFERROR(bütünleme!Y15*100/bütünleme!$I15,"")</f>
        <v/>
      </c>
      <c r="O318" s="39" t="str">
        <f>IFERROR(bütünleme!Z15*100/bütünleme!$I15,"")</f>
        <v/>
      </c>
      <c r="P318" s="39" t="str">
        <f>IFERROR(bütünleme!AA15*100/bütünleme!$I15,"")</f>
        <v/>
      </c>
      <c r="Q318" s="39" t="str">
        <f>IFERROR(bütünleme!AB15*100/bütünleme!$I15,"")</f>
        <v/>
      </c>
      <c r="R318" s="39" t="str">
        <f>IFERROR(bütünleme!AC15*100/bütünleme!$I15,"")</f>
        <v/>
      </c>
      <c r="S318" s="39" t="str">
        <f>IFERROR(bütünleme!AD15*100/bütünleme!$I15,"")</f>
        <v/>
      </c>
      <c r="T318" s="39" t="str">
        <f>IFERROR(bütünleme!AE15*100/bütünleme!$I15,"")</f>
        <v/>
      </c>
      <c r="U318" s="39" t="str">
        <f>IFERROR(bütünleme!AF15*100/bütünleme!$I15,"")</f>
        <v/>
      </c>
      <c r="V318" s="39" t="str">
        <f>IFERROR(bütünleme!AG15*100/bütünleme!$I15,"")</f>
        <v/>
      </c>
      <c r="W318" s="39" t="str">
        <f>IFERROR(bütünleme!AH15*100/bütünleme!$I15,"")</f>
        <v/>
      </c>
      <c r="X318" s="39" t="str">
        <f>IFERROR(bütünleme!AI15*100/bütünleme!$I15,"")</f>
        <v/>
      </c>
      <c r="Y318" s="39" t="str">
        <f>IFERROR(bütünleme!AJ15*100/bütünleme!$I15,"")</f>
        <v/>
      </c>
      <c r="Z318" s="39" t="str">
        <f>IFERROR(bütünleme!AK15*100/bütünleme!$I15,"")</f>
        <v/>
      </c>
      <c r="AA318" s="39" t="str">
        <f>IFERROR(bütünleme!AL15*100/bütünleme!$I15,"")</f>
        <v/>
      </c>
      <c r="AB318" s="39" t="str">
        <f>IFERROR(bütünleme!AM15*100/bütünleme!$I15,"")</f>
        <v/>
      </c>
      <c r="AC318" s="39" t="str">
        <f>IFERROR(bütünleme!AN15*100/bütünleme!$I15,"")</f>
        <v/>
      </c>
      <c r="AD318" s="39" t="str">
        <f>IFERROR(bütünleme!AO15*100/bütünleme!$I15,"")</f>
        <v/>
      </c>
      <c r="AE318" s="39" t="str">
        <f>IFERROR(bütünleme!AP15*100/bütünleme!$I15,"")</f>
        <v/>
      </c>
      <c r="AF318" s="39" t="str">
        <f>IFERROR(bütünleme!AQ15*100/bütünleme!$I15,"")</f>
        <v/>
      </c>
      <c r="AG318" s="39" t="str">
        <f>IFERROR(bütünleme!AR15*100/bütünleme!$I15,"")</f>
        <v/>
      </c>
      <c r="AH318" s="39" t="str">
        <f>IFERROR(bütünleme!AS15*100/bütünleme!$I15,"")</f>
        <v/>
      </c>
      <c r="AI318" s="39" t="str">
        <f>IFERROR(bütünleme!AT15*100/bütünleme!$I15,"")</f>
        <v/>
      </c>
      <c r="AJ318" s="39" t="str">
        <f>IFERROR(bütünleme!AU15*100/bütünleme!$I15,"")</f>
        <v/>
      </c>
      <c r="AK318" s="39" t="str">
        <f>IFERROR(bütünleme!AV15*100/bütünleme!$I15,"")</f>
        <v/>
      </c>
      <c r="AL318" s="39" t="str">
        <f>IFERROR(bütünleme!AW15*100/bütünleme!$I15,"")</f>
        <v/>
      </c>
      <c r="AM318" s="39" t="str">
        <f>IFERROR(bütünleme!AX15*100/bütünleme!$I15,"")</f>
        <v/>
      </c>
      <c r="AN318" s="39" t="str">
        <f>IFERROR(bütünleme!AY15*100/bütünleme!$I15,"")</f>
        <v/>
      </c>
      <c r="AO318" s="39" t="str">
        <f>IFERROR(bütünleme!AZ15*100/bütünleme!$I15,"")</f>
        <v/>
      </c>
      <c r="AP318" s="39" t="str">
        <f>IFERROR(bütünleme!BA15*100/bütünleme!$I15,"")</f>
        <v/>
      </c>
      <c r="AQ318" s="39" t="str">
        <f>IFERROR(bütünleme!BB15*100/bütünleme!$I15,"")</f>
        <v/>
      </c>
      <c r="AR318" s="39" t="str">
        <f>IFERROR(bütünleme!BC15*100/bütünleme!$I15,"")</f>
        <v/>
      </c>
      <c r="AS318" s="39" t="str">
        <f>IFERROR(bütünleme!BD15*100/bütünleme!$I15,"")</f>
        <v/>
      </c>
      <c r="AT318" s="39" t="str">
        <f>IFERROR(bütünleme!BE15*100/bütünleme!$I15,"")</f>
        <v/>
      </c>
      <c r="AU318" s="39" t="str">
        <f>IFERROR(bütünleme!BF15*100/bütünleme!$I15,"")</f>
        <v/>
      </c>
      <c r="AV318" s="39" t="str">
        <f>IFERROR(bütünleme!BG15*100/bütünleme!$I15,"")</f>
        <v/>
      </c>
      <c r="AW318" s="39" t="str">
        <f>IFERROR(bütünleme!BH15*100/bütünleme!$I15,"")</f>
        <v/>
      </c>
      <c r="AX318" s="39" t="str">
        <f>IFERROR(bütünleme!BI15*100/bütünleme!$I15,"")</f>
        <v/>
      </c>
      <c r="AY318" s="39" t="str">
        <f>IFERROR(bütünleme!BJ15*100/bütünleme!$I15,"")</f>
        <v/>
      </c>
      <c r="AZ318" s="39" t="str">
        <f>IFERROR(bütünleme!BK15*100/bütünleme!$I15,"")</f>
        <v/>
      </c>
      <c r="BA318" s="39" t="str">
        <f>IFERROR(bütünleme!BL15*100/bütünleme!$I15,"")</f>
        <v/>
      </c>
      <c r="BB318" s="39" t="str">
        <f>IFERROR(bütünleme!BM15*100/bütünleme!$I15,"")</f>
        <v/>
      </c>
      <c r="BC318" s="39" t="str">
        <f>IFERROR(bütünleme!BN15*100/bütünleme!$I15,"")</f>
        <v/>
      </c>
      <c r="BD318" s="39" t="str">
        <f>IFERROR(bütünleme!BO15*100/bütünleme!$I15,"")</f>
        <v/>
      </c>
      <c r="BE318" s="39" t="str">
        <f>IFERROR(bütünleme!BP15*100/bütünleme!$I15,"")</f>
        <v/>
      </c>
      <c r="BF318" s="39" t="str">
        <f>IFERROR(bütünleme!BQ15*100/bütünleme!$I15,"")</f>
        <v/>
      </c>
      <c r="BG318" s="39" t="str">
        <f>IFERROR(bütünleme!BR15*100/bütünleme!$I15,"")</f>
        <v/>
      </c>
      <c r="BH318" s="39" t="str">
        <f>IFERROR(bütünleme!BS15*100/bütünleme!$I15,"")</f>
        <v/>
      </c>
      <c r="BI318" s="39" t="str">
        <f>IFERROR(bütünleme!BT15*100/bütünleme!$I15,"")</f>
        <v/>
      </c>
      <c r="BJ318" s="39" t="str">
        <f>IFERROR(bütünleme!BU15*100/bütünleme!$I15,"")</f>
        <v/>
      </c>
      <c r="BK318" s="39" t="str">
        <f>IFERROR(bütünleme!BV15*100/bütünleme!$I15,"")</f>
        <v/>
      </c>
      <c r="BL318" s="39" t="str">
        <f>IFERROR(bütünleme!BW15*100/bütünleme!$I15,"")</f>
        <v/>
      </c>
      <c r="BM318" s="39" t="str">
        <f>IFERROR(bütünleme!BX15*100/bütünleme!$I15,"")</f>
        <v/>
      </c>
      <c r="BN318" s="39" t="str">
        <f>IFERROR(bütünleme!BY15*100/bütünleme!$I15,"")</f>
        <v/>
      </c>
      <c r="BO318" s="39" t="str">
        <f>IFERROR(bütünleme!BZ15*100/bütünleme!$I15,"")</f>
        <v/>
      </c>
      <c r="BP318" s="39" t="str">
        <f>IFERROR(bütünleme!CA15*100/bütünleme!$I15,"")</f>
        <v/>
      </c>
      <c r="BQ318" s="39" t="str">
        <f>IFERROR(bütünleme!CB15*100/bütünleme!$I15,"")</f>
        <v/>
      </c>
      <c r="BR318" s="39" t="str">
        <f>IFERROR(bütünleme!CC15*100/bütünleme!$I15,"")</f>
        <v/>
      </c>
      <c r="BS318" s="39" t="str">
        <f>IFERROR(bütünleme!CD15*100/bütünleme!$I15,"")</f>
        <v/>
      </c>
      <c r="BT318" s="39" t="str">
        <f>IFERROR(bütünleme!CE15*100/bütünleme!$I15,"")</f>
        <v/>
      </c>
      <c r="BU318" s="39" t="str">
        <f>IFERROR(bütünleme!CF15*100/bütünleme!$I15,"")</f>
        <v/>
      </c>
      <c r="BV318" s="39" t="str">
        <f>IFERROR(bütünleme!CG15*100/bütünleme!$I15,"")</f>
        <v/>
      </c>
      <c r="BW318" s="39" t="str">
        <f>IFERROR(bütünleme!CH15*100/bütünleme!$I15,"")</f>
        <v/>
      </c>
      <c r="BX318" s="39" t="str">
        <f>IFERROR(bütünleme!CI15*100/bütünleme!$I15,"")</f>
        <v/>
      </c>
      <c r="BY318" s="39" t="str">
        <f>IFERROR(bütünleme!CJ15*100/bütünleme!$I15,"")</f>
        <v/>
      </c>
      <c r="BZ318" s="39" t="str">
        <f>IFERROR(bütünleme!CK15*100/bütünleme!$I15,"")</f>
        <v/>
      </c>
      <c r="CA318" s="39" t="str">
        <f>IFERROR(bütünleme!CL15*100/bütünleme!$I15,"")</f>
        <v/>
      </c>
      <c r="CB318" s="39" t="str">
        <f>IFERROR(bütünleme!CM15*100/bütünleme!$I15,"")</f>
        <v/>
      </c>
      <c r="CC318" s="39" t="str">
        <f>IFERROR(bütünleme!CN15*100/bütünleme!$I15,"")</f>
        <v/>
      </c>
      <c r="CD318" s="39" t="str">
        <f>IFERROR(bütünleme!CO15*100/bütünleme!$I15,"")</f>
        <v/>
      </c>
      <c r="CE318" s="39" t="str">
        <f>IFERROR(bütünleme!CP15*100/bütünleme!$I15,"")</f>
        <v/>
      </c>
      <c r="CF318" s="39" t="str">
        <f>IFERROR(bütünleme!CQ15*100/bütünleme!$I15,"")</f>
        <v/>
      </c>
      <c r="CG318" s="39" t="str">
        <f>IFERROR(bütünleme!CR15*100/bütünleme!$I15,"")</f>
        <v/>
      </c>
      <c r="CH318" s="39" t="str">
        <f>IFERROR(bütünleme!CS15*100/bütünleme!$I15,"")</f>
        <v/>
      </c>
      <c r="CI318" s="39" t="str">
        <f>IFERROR(bütünleme!CT15*100/bütünleme!$I15,"")</f>
        <v/>
      </c>
      <c r="CJ318" s="39" t="str">
        <f>IFERROR(bütünleme!CU15*100/bütünleme!$I15,"")</f>
        <v/>
      </c>
      <c r="CK318" s="39" t="str">
        <f>IFERROR(bütünleme!CV15*100/bütünleme!$I15,"")</f>
        <v/>
      </c>
      <c r="CL318" s="39" t="str">
        <f>IFERROR(bütünleme!CW15*100/bütünleme!$I15,"")</f>
        <v/>
      </c>
      <c r="CM318" s="39" t="str">
        <f>IFERROR(bütünleme!CX15*100/bütünleme!$I15,"")</f>
        <v/>
      </c>
      <c r="CN318" s="39" t="str">
        <f>IFERROR(bütünleme!CY15*100/bütünleme!$I15,"")</f>
        <v/>
      </c>
      <c r="CO318" s="39" t="str">
        <f>IFERROR(bütünleme!CZ15*100/bütünleme!$I15,"")</f>
        <v/>
      </c>
      <c r="CP318" s="39" t="str">
        <f>IFERROR(bütünleme!DA15*100/bütünleme!$I15,"")</f>
        <v/>
      </c>
      <c r="CQ318" s="39" t="str">
        <f>IFERROR(bütünleme!DB15*100/bütünleme!$I15,"")</f>
        <v/>
      </c>
      <c r="CR318" s="39" t="str">
        <f>IFERROR(bütünleme!DC15*100/bütünleme!$I15,"")</f>
        <v/>
      </c>
      <c r="CS318" s="39" t="str">
        <f>IFERROR(bütünleme!DD15*100/bütünleme!$I15,"")</f>
        <v/>
      </c>
      <c r="CT318" s="39" t="str">
        <f>IFERROR(bütünleme!DE15*100/bütünleme!$I15,"")</f>
        <v/>
      </c>
      <c r="CU318" s="39" t="str">
        <f>IFERROR(bütünleme!DF15*100/bütünleme!$I15,"")</f>
        <v/>
      </c>
      <c r="CV318" s="39" t="str">
        <f>IFERROR(bütünleme!DG15*100/bütünleme!$I15,"")</f>
        <v/>
      </c>
      <c r="CW318" s="36" t="str">
        <f>IFERROR(SUM(A318:CV318)/bütünleme!$DH$103,"")</f>
        <v/>
      </c>
      <c r="CX318" s="14" t="str">
        <f>IF(COUNTA(bütünleme!A15),bütünleme!A15,"")</f>
        <v/>
      </c>
      <c r="CY318" s="14" t="str">
        <f>IF(COUNTA(bütünleme!B15),bütünleme!B15,"")</f>
        <v/>
      </c>
      <c r="CZ318" s="14" t="str">
        <f>IF(COUNTA(bütünleme!C15),bütünleme!C15,"")</f>
        <v/>
      </c>
      <c r="DA318" s="14" t="str">
        <f>IF(COUNTA(bütünleme!D15),bütünleme!D15,"")</f>
        <v/>
      </c>
      <c r="DB318" s="14" t="str">
        <f>IF(COUNTA(bütünleme!E15),bütünleme!E15,"")</f>
        <v/>
      </c>
      <c r="DC318" s="14" t="str">
        <f>IF(COUNTA(bütünleme!F15),bütünleme!F15,"")</f>
        <v/>
      </c>
      <c r="DD318" s="14" t="str">
        <f>IF(COUNTA(bütünleme!G15),bütünleme!G15,"")</f>
        <v/>
      </c>
      <c r="DE318" s="14" t="str">
        <f>IF(COUNTA(bütünleme!H15),bütünleme!H15,"")</f>
        <v/>
      </c>
    </row>
    <row r="319" spans="1:118" x14ac:dyDescent="0.2">
      <c r="A319" s="39" t="str">
        <f>IFERROR(bütünleme!L16*100/bütünleme!$I16,"")</f>
        <v/>
      </c>
      <c r="B319" s="39" t="str">
        <f>IFERROR(bütünleme!M16*100/bütünleme!$I16,"")</f>
        <v/>
      </c>
      <c r="C319" s="39" t="str">
        <f>IFERROR(bütünleme!N16*100/bütünleme!$I16,"")</f>
        <v/>
      </c>
      <c r="D319" s="39" t="str">
        <f>IFERROR(bütünleme!O16*100/bütünleme!$I16,"")</f>
        <v/>
      </c>
      <c r="E319" s="39" t="str">
        <f>IFERROR(bütünleme!P16*100/bütünleme!$I16,"")</f>
        <v/>
      </c>
      <c r="F319" s="39" t="str">
        <f>IFERROR(bütünleme!Q16*100/bütünleme!$I16,"")</f>
        <v/>
      </c>
      <c r="G319" s="39" t="str">
        <f>IFERROR(bütünleme!R16*100/bütünleme!$I16,"")</f>
        <v/>
      </c>
      <c r="H319" s="39" t="str">
        <f>IFERROR(bütünleme!S16*100/bütünleme!$I16,"")</f>
        <v/>
      </c>
      <c r="I319" s="39" t="str">
        <f>IFERROR(bütünleme!T16*100/bütünleme!$I16,"")</f>
        <v/>
      </c>
      <c r="J319" s="39" t="str">
        <f>IFERROR(bütünleme!U16*100/bütünleme!$I16,"")</f>
        <v/>
      </c>
      <c r="K319" s="39" t="str">
        <f>IFERROR(bütünleme!V16*100/bütünleme!$I16,"")</f>
        <v/>
      </c>
      <c r="L319" s="39" t="str">
        <f>IFERROR(bütünleme!W16*100/bütünleme!$I16,"")</f>
        <v/>
      </c>
      <c r="M319" s="39" t="str">
        <f>IFERROR(bütünleme!X16*100/bütünleme!$I16,"")</f>
        <v/>
      </c>
      <c r="N319" s="39" t="str">
        <f>IFERROR(bütünleme!Y16*100/bütünleme!$I16,"")</f>
        <v/>
      </c>
      <c r="O319" s="39" t="str">
        <f>IFERROR(bütünleme!Z16*100/bütünleme!$I16,"")</f>
        <v/>
      </c>
      <c r="P319" s="39" t="str">
        <f>IFERROR(bütünleme!AA16*100/bütünleme!$I16,"")</f>
        <v/>
      </c>
      <c r="Q319" s="39" t="str">
        <f>IFERROR(bütünleme!AB16*100/bütünleme!$I16,"")</f>
        <v/>
      </c>
      <c r="R319" s="39" t="str">
        <f>IFERROR(bütünleme!AC16*100/bütünleme!$I16,"")</f>
        <v/>
      </c>
      <c r="S319" s="39" t="str">
        <f>IFERROR(bütünleme!AD16*100/bütünleme!$I16,"")</f>
        <v/>
      </c>
      <c r="T319" s="39" t="str">
        <f>IFERROR(bütünleme!AE16*100/bütünleme!$I16,"")</f>
        <v/>
      </c>
      <c r="U319" s="39" t="str">
        <f>IFERROR(bütünleme!AF16*100/bütünleme!$I16,"")</f>
        <v/>
      </c>
      <c r="V319" s="39" t="str">
        <f>IFERROR(bütünleme!AG16*100/bütünleme!$I16,"")</f>
        <v/>
      </c>
      <c r="W319" s="39" t="str">
        <f>IFERROR(bütünleme!AH16*100/bütünleme!$I16,"")</f>
        <v/>
      </c>
      <c r="X319" s="39" t="str">
        <f>IFERROR(bütünleme!AI16*100/bütünleme!$I16,"")</f>
        <v/>
      </c>
      <c r="Y319" s="39" t="str">
        <f>IFERROR(bütünleme!AJ16*100/bütünleme!$I16,"")</f>
        <v/>
      </c>
      <c r="Z319" s="39" t="str">
        <f>IFERROR(bütünleme!AK16*100/bütünleme!$I16,"")</f>
        <v/>
      </c>
      <c r="AA319" s="39" t="str">
        <f>IFERROR(bütünleme!AL16*100/bütünleme!$I16,"")</f>
        <v/>
      </c>
      <c r="AB319" s="39" t="str">
        <f>IFERROR(bütünleme!AM16*100/bütünleme!$I16,"")</f>
        <v/>
      </c>
      <c r="AC319" s="39" t="str">
        <f>IFERROR(bütünleme!AN16*100/bütünleme!$I16,"")</f>
        <v/>
      </c>
      <c r="AD319" s="39" t="str">
        <f>IFERROR(bütünleme!AO16*100/bütünleme!$I16,"")</f>
        <v/>
      </c>
      <c r="AE319" s="39" t="str">
        <f>IFERROR(bütünleme!AP16*100/bütünleme!$I16,"")</f>
        <v/>
      </c>
      <c r="AF319" s="39" t="str">
        <f>IFERROR(bütünleme!AQ16*100/bütünleme!$I16,"")</f>
        <v/>
      </c>
      <c r="AG319" s="39" t="str">
        <f>IFERROR(bütünleme!AR16*100/bütünleme!$I16,"")</f>
        <v/>
      </c>
      <c r="AH319" s="39" t="str">
        <f>IFERROR(bütünleme!AS16*100/bütünleme!$I16,"")</f>
        <v/>
      </c>
      <c r="AI319" s="39" t="str">
        <f>IFERROR(bütünleme!AT16*100/bütünleme!$I16,"")</f>
        <v/>
      </c>
      <c r="AJ319" s="39" t="str">
        <f>IFERROR(bütünleme!AU16*100/bütünleme!$I16,"")</f>
        <v/>
      </c>
      <c r="AK319" s="39" t="str">
        <f>IFERROR(bütünleme!AV16*100/bütünleme!$I16,"")</f>
        <v/>
      </c>
      <c r="AL319" s="39" t="str">
        <f>IFERROR(bütünleme!AW16*100/bütünleme!$I16,"")</f>
        <v/>
      </c>
      <c r="AM319" s="39" t="str">
        <f>IFERROR(bütünleme!AX16*100/bütünleme!$I16,"")</f>
        <v/>
      </c>
      <c r="AN319" s="39" t="str">
        <f>IFERROR(bütünleme!AY16*100/bütünleme!$I16,"")</f>
        <v/>
      </c>
      <c r="AO319" s="39" t="str">
        <f>IFERROR(bütünleme!AZ16*100/bütünleme!$I16,"")</f>
        <v/>
      </c>
      <c r="AP319" s="39" t="str">
        <f>IFERROR(bütünleme!BA16*100/bütünleme!$I16,"")</f>
        <v/>
      </c>
      <c r="AQ319" s="39" t="str">
        <f>IFERROR(bütünleme!BB16*100/bütünleme!$I16,"")</f>
        <v/>
      </c>
      <c r="AR319" s="39" t="str">
        <f>IFERROR(bütünleme!BC16*100/bütünleme!$I16,"")</f>
        <v/>
      </c>
      <c r="AS319" s="39" t="str">
        <f>IFERROR(bütünleme!BD16*100/bütünleme!$I16,"")</f>
        <v/>
      </c>
      <c r="AT319" s="39" t="str">
        <f>IFERROR(bütünleme!BE16*100/bütünleme!$I16,"")</f>
        <v/>
      </c>
      <c r="AU319" s="39" t="str">
        <f>IFERROR(bütünleme!BF16*100/bütünleme!$I16,"")</f>
        <v/>
      </c>
      <c r="AV319" s="39" t="str">
        <f>IFERROR(bütünleme!BG16*100/bütünleme!$I16,"")</f>
        <v/>
      </c>
      <c r="AW319" s="39" t="str">
        <f>IFERROR(bütünleme!BH16*100/bütünleme!$I16,"")</f>
        <v/>
      </c>
      <c r="AX319" s="39" t="str">
        <f>IFERROR(bütünleme!BI16*100/bütünleme!$I16,"")</f>
        <v/>
      </c>
      <c r="AY319" s="39" t="str">
        <f>IFERROR(bütünleme!BJ16*100/bütünleme!$I16,"")</f>
        <v/>
      </c>
      <c r="AZ319" s="39" t="str">
        <f>IFERROR(bütünleme!BK16*100/bütünleme!$I16,"")</f>
        <v/>
      </c>
      <c r="BA319" s="39" t="str">
        <f>IFERROR(bütünleme!BL16*100/bütünleme!$I16,"")</f>
        <v/>
      </c>
      <c r="BB319" s="39" t="str">
        <f>IFERROR(bütünleme!BM16*100/bütünleme!$I16,"")</f>
        <v/>
      </c>
      <c r="BC319" s="39" t="str">
        <f>IFERROR(bütünleme!BN16*100/bütünleme!$I16,"")</f>
        <v/>
      </c>
      <c r="BD319" s="39" t="str">
        <f>IFERROR(bütünleme!BO16*100/bütünleme!$I16,"")</f>
        <v/>
      </c>
      <c r="BE319" s="39" t="str">
        <f>IFERROR(bütünleme!BP16*100/bütünleme!$I16,"")</f>
        <v/>
      </c>
      <c r="BF319" s="39" t="str">
        <f>IFERROR(bütünleme!BQ16*100/bütünleme!$I16,"")</f>
        <v/>
      </c>
      <c r="BG319" s="39" t="str">
        <f>IFERROR(bütünleme!BR16*100/bütünleme!$I16,"")</f>
        <v/>
      </c>
      <c r="BH319" s="39" t="str">
        <f>IFERROR(bütünleme!BS16*100/bütünleme!$I16,"")</f>
        <v/>
      </c>
      <c r="BI319" s="39" t="str">
        <f>IFERROR(bütünleme!BT16*100/bütünleme!$I16,"")</f>
        <v/>
      </c>
      <c r="BJ319" s="39" t="str">
        <f>IFERROR(bütünleme!BU16*100/bütünleme!$I16,"")</f>
        <v/>
      </c>
      <c r="BK319" s="39" t="str">
        <f>IFERROR(bütünleme!BV16*100/bütünleme!$I16,"")</f>
        <v/>
      </c>
      <c r="BL319" s="39" t="str">
        <f>IFERROR(bütünleme!BW16*100/bütünleme!$I16,"")</f>
        <v/>
      </c>
      <c r="BM319" s="39" t="str">
        <f>IFERROR(bütünleme!BX16*100/bütünleme!$I16,"")</f>
        <v/>
      </c>
      <c r="BN319" s="39" t="str">
        <f>IFERROR(bütünleme!BY16*100/bütünleme!$I16,"")</f>
        <v/>
      </c>
      <c r="BO319" s="39" t="str">
        <f>IFERROR(bütünleme!BZ16*100/bütünleme!$I16,"")</f>
        <v/>
      </c>
      <c r="BP319" s="39" t="str">
        <f>IFERROR(bütünleme!CA16*100/bütünleme!$I16,"")</f>
        <v/>
      </c>
      <c r="BQ319" s="39" t="str">
        <f>IFERROR(bütünleme!CB16*100/bütünleme!$I16,"")</f>
        <v/>
      </c>
      <c r="BR319" s="39" t="str">
        <f>IFERROR(bütünleme!CC16*100/bütünleme!$I16,"")</f>
        <v/>
      </c>
      <c r="BS319" s="39" t="str">
        <f>IFERROR(bütünleme!CD16*100/bütünleme!$I16,"")</f>
        <v/>
      </c>
      <c r="BT319" s="39" t="str">
        <f>IFERROR(bütünleme!CE16*100/bütünleme!$I16,"")</f>
        <v/>
      </c>
      <c r="BU319" s="39" t="str">
        <f>IFERROR(bütünleme!CF16*100/bütünleme!$I16,"")</f>
        <v/>
      </c>
      <c r="BV319" s="39" t="str">
        <f>IFERROR(bütünleme!CG16*100/bütünleme!$I16,"")</f>
        <v/>
      </c>
      <c r="BW319" s="39" t="str">
        <f>IFERROR(bütünleme!CH16*100/bütünleme!$I16,"")</f>
        <v/>
      </c>
      <c r="BX319" s="39" t="str">
        <f>IFERROR(bütünleme!CI16*100/bütünleme!$I16,"")</f>
        <v/>
      </c>
      <c r="BY319" s="39" t="str">
        <f>IFERROR(bütünleme!CJ16*100/bütünleme!$I16,"")</f>
        <v/>
      </c>
      <c r="BZ319" s="39" t="str">
        <f>IFERROR(bütünleme!CK16*100/bütünleme!$I16,"")</f>
        <v/>
      </c>
      <c r="CA319" s="39" t="str">
        <f>IFERROR(bütünleme!CL16*100/bütünleme!$I16,"")</f>
        <v/>
      </c>
      <c r="CB319" s="39" t="str">
        <f>IFERROR(bütünleme!CM16*100/bütünleme!$I16,"")</f>
        <v/>
      </c>
      <c r="CC319" s="39" t="str">
        <f>IFERROR(bütünleme!CN16*100/bütünleme!$I16,"")</f>
        <v/>
      </c>
      <c r="CD319" s="39" t="str">
        <f>IFERROR(bütünleme!CO16*100/bütünleme!$I16,"")</f>
        <v/>
      </c>
      <c r="CE319" s="39" t="str">
        <f>IFERROR(bütünleme!CP16*100/bütünleme!$I16,"")</f>
        <v/>
      </c>
      <c r="CF319" s="39" t="str">
        <f>IFERROR(bütünleme!CQ16*100/bütünleme!$I16,"")</f>
        <v/>
      </c>
      <c r="CG319" s="39" t="str">
        <f>IFERROR(bütünleme!CR16*100/bütünleme!$I16,"")</f>
        <v/>
      </c>
      <c r="CH319" s="39" t="str">
        <f>IFERROR(bütünleme!CS16*100/bütünleme!$I16,"")</f>
        <v/>
      </c>
      <c r="CI319" s="39" t="str">
        <f>IFERROR(bütünleme!CT16*100/bütünleme!$I16,"")</f>
        <v/>
      </c>
      <c r="CJ319" s="39" t="str">
        <f>IFERROR(bütünleme!CU16*100/bütünleme!$I16,"")</f>
        <v/>
      </c>
      <c r="CK319" s="39" t="str">
        <f>IFERROR(bütünleme!CV16*100/bütünleme!$I16,"")</f>
        <v/>
      </c>
      <c r="CL319" s="39" t="str">
        <f>IFERROR(bütünleme!CW16*100/bütünleme!$I16,"")</f>
        <v/>
      </c>
      <c r="CM319" s="39" t="str">
        <f>IFERROR(bütünleme!CX16*100/bütünleme!$I16,"")</f>
        <v/>
      </c>
      <c r="CN319" s="39" t="str">
        <f>IFERROR(bütünleme!CY16*100/bütünleme!$I16,"")</f>
        <v/>
      </c>
      <c r="CO319" s="39" t="str">
        <f>IFERROR(bütünleme!CZ16*100/bütünleme!$I16,"")</f>
        <v/>
      </c>
      <c r="CP319" s="39" t="str">
        <f>IFERROR(bütünleme!DA16*100/bütünleme!$I16,"")</f>
        <v/>
      </c>
      <c r="CQ319" s="39" t="str">
        <f>IFERROR(bütünleme!DB16*100/bütünleme!$I16,"")</f>
        <v/>
      </c>
      <c r="CR319" s="39" t="str">
        <f>IFERROR(bütünleme!DC16*100/bütünleme!$I16,"")</f>
        <v/>
      </c>
      <c r="CS319" s="39" t="str">
        <f>IFERROR(bütünleme!DD16*100/bütünleme!$I16,"")</f>
        <v/>
      </c>
      <c r="CT319" s="39" t="str">
        <f>IFERROR(bütünleme!DE16*100/bütünleme!$I16,"")</f>
        <v/>
      </c>
      <c r="CU319" s="39" t="str">
        <f>IFERROR(bütünleme!DF16*100/bütünleme!$I16,"")</f>
        <v/>
      </c>
      <c r="CV319" s="39" t="str">
        <f>IFERROR(bütünleme!DG16*100/bütünleme!$I16,"")</f>
        <v/>
      </c>
      <c r="CW319" s="36" t="str">
        <f>IFERROR(SUM(A319:CV319)/bütünleme!$DH$103,"")</f>
        <v/>
      </c>
      <c r="CX319" s="14" t="str">
        <f>IF(COUNTA(bütünleme!A16),bütünleme!A16,"")</f>
        <v/>
      </c>
      <c r="CY319" s="14" t="str">
        <f>IF(COUNTA(bütünleme!B16),bütünleme!B16,"")</f>
        <v/>
      </c>
      <c r="CZ319" s="14" t="str">
        <f>IF(COUNTA(bütünleme!C16),bütünleme!C16,"")</f>
        <v/>
      </c>
      <c r="DA319" s="14" t="str">
        <f>IF(COUNTA(bütünleme!D16),bütünleme!D16,"")</f>
        <v/>
      </c>
      <c r="DB319" s="14" t="str">
        <f>IF(COUNTA(bütünleme!E16),bütünleme!E16,"")</f>
        <v/>
      </c>
      <c r="DC319" s="14" t="str">
        <f>IF(COUNTA(bütünleme!F16),bütünleme!F16,"")</f>
        <v/>
      </c>
      <c r="DD319" s="14" t="str">
        <f>IF(COUNTA(bütünleme!G16),bütünleme!G16,"")</f>
        <v/>
      </c>
      <c r="DE319" s="14" t="str">
        <f>IF(COUNTA(bütünleme!H16),bütünleme!H16,"")</f>
        <v/>
      </c>
    </row>
    <row r="320" spans="1:118" x14ac:dyDescent="0.2">
      <c r="A320" s="39" t="str">
        <f>IFERROR(bütünleme!L17*100/bütünleme!$I17,"")</f>
        <v/>
      </c>
      <c r="B320" s="39" t="str">
        <f>IFERROR(bütünleme!M17*100/bütünleme!$I17,"")</f>
        <v/>
      </c>
      <c r="C320" s="39" t="str">
        <f>IFERROR(bütünleme!N17*100/bütünleme!$I17,"")</f>
        <v/>
      </c>
      <c r="D320" s="39" t="str">
        <f>IFERROR(bütünleme!O17*100/bütünleme!$I17,"")</f>
        <v/>
      </c>
      <c r="E320" s="39" t="str">
        <f>IFERROR(bütünleme!P17*100/bütünleme!$I17,"")</f>
        <v/>
      </c>
      <c r="F320" s="39" t="str">
        <f>IFERROR(bütünleme!Q17*100/bütünleme!$I17,"")</f>
        <v/>
      </c>
      <c r="G320" s="39" t="str">
        <f>IFERROR(bütünleme!R17*100/bütünleme!$I17,"")</f>
        <v/>
      </c>
      <c r="H320" s="39" t="str">
        <f>IFERROR(bütünleme!S17*100/bütünleme!$I17,"")</f>
        <v/>
      </c>
      <c r="I320" s="39" t="str">
        <f>IFERROR(bütünleme!T17*100/bütünleme!$I17,"")</f>
        <v/>
      </c>
      <c r="J320" s="39" t="str">
        <f>IFERROR(bütünleme!U17*100/bütünleme!$I17,"")</f>
        <v/>
      </c>
      <c r="K320" s="39" t="str">
        <f>IFERROR(bütünleme!V17*100/bütünleme!$I17,"")</f>
        <v/>
      </c>
      <c r="L320" s="39" t="str">
        <f>IFERROR(bütünleme!W17*100/bütünleme!$I17,"")</f>
        <v/>
      </c>
      <c r="M320" s="39" t="str">
        <f>IFERROR(bütünleme!X17*100/bütünleme!$I17,"")</f>
        <v/>
      </c>
      <c r="N320" s="39" t="str">
        <f>IFERROR(bütünleme!Y17*100/bütünleme!$I17,"")</f>
        <v/>
      </c>
      <c r="O320" s="39" t="str">
        <f>IFERROR(bütünleme!Z17*100/bütünleme!$I17,"")</f>
        <v/>
      </c>
      <c r="P320" s="39" t="str">
        <f>IFERROR(bütünleme!AA17*100/bütünleme!$I17,"")</f>
        <v/>
      </c>
      <c r="Q320" s="39" t="str">
        <f>IFERROR(bütünleme!AB17*100/bütünleme!$I17,"")</f>
        <v/>
      </c>
      <c r="R320" s="39" t="str">
        <f>IFERROR(bütünleme!AC17*100/bütünleme!$I17,"")</f>
        <v/>
      </c>
      <c r="S320" s="39" t="str">
        <f>IFERROR(bütünleme!AD17*100/bütünleme!$I17,"")</f>
        <v/>
      </c>
      <c r="T320" s="39" t="str">
        <f>IFERROR(bütünleme!AE17*100/bütünleme!$I17,"")</f>
        <v/>
      </c>
      <c r="U320" s="39" t="str">
        <f>IFERROR(bütünleme!AF17*100/bütünleme!$I17,"")</f>
        <v/>
      </c>
      <c r="V320" s="39" t="str">
        <f>IFERROR(bütünleme!AG17*100/bütünleme!$I17,"")</f>
        <v/>
      </c>
      <c r="W320" s="39" t="str">
        <f>IFERROR(bütünleme!AH17*100/bütünleme!$I17,"")</f>
        <v/>
      </c>
      <c r="X320" s="39" t="str">
        <f>IFERROR(bütünleme!AI17*100/bütünleme!$I17,"")</f>
        <v/>
      </c>
      <c r="Y320" s="39" t="str">
        <f>IFERROR(bütünleme!AJ17*100/bütünleme!$I17,"")</f>
        <v/>
      </c>
      <c r="Z320" s="39" t="str">
        <f>IFERROR(bütünleme!AK17*100/bütünleme!$I17,"")</f>
        <v/>
      </c>
      <c r="AA320" s="39" t="str">
        <f>IFERROR(bütünleme!AL17*100/bütünleme!$I17,"")</f>
        <v/>
      </c>
      <c r="AB320" s="39" t="str">
        <f>IFERROR(bütünleme!AM17*100/bütünleme!$I17,"")</f>
        <v/>
      </c>
      <c r="AC320" s="39" t="str">
        <f>IFERROR(bütünleme!AN17*100/bütünleme!$I17,"")</f>
        <v/>
      </c>
      <c r="AD320" s="39" t="str">
        <f>IFERROR(bütünleme!AO17*100/bütünleme!$I17,"")</f>
        <v/>
      </c>
      <c r="AE320" s="39" t="str">
        <f>IFERROR(bütünleme!AP17*100/bütünleme!$I17,"")</f>
        <v/>
      </c>
      <c r="AF320" s="39" t="str">
        <f>IFERROR(bütünleme!AQ17*100/bütünleme!$I17,"")</f>
        <v/>
      </c>
      <c r="AG320" s="39" t="str">
        <f>IFERROR(bütünleme!AR17*100/bütünleme!$I17,"")</f>
        <v/>
      </c>
      <c r="AH320" s="39" t="str">
        <f>IFERROR(bütünleme!AS17*100/bütünleme!$I17,"")</f>
        <v/>
      </c>
      <c r="AI320" s="39" t="str">
        <f>IFERROR(bütünleme!AT17*100/bütünleme!$I17,"")</f>
        <v/>
      </c>
      <c r="AJ320" s="39" t="str">
        <f>IFERROR(bütünleme!AU17*100/bütünleme!$I17,"")</f>
        <v/>
      </c>
      <c r="AK320" s="39" t="str">
        <f>IFERROR(bütünleme!AV17*100/bütünleme!$I17,"")</f>
        <v/>
      </c>
      <c r="AL320" s="39" t="str">
        <f>IFERROR(bütünleme!AW17*100/bütünleme!$I17,"")</f>
        <v/>
      </c>
      <c r="AM320" s="39" t="str">
        <f>IFERROR(bütünleme!AX17*100/bütünleme!$I17,"")</f>
        <v/>
      </c>
      <c r="AN320" s="39" t="str">
        <f>IFERROR(bütünleme!AY17*100/bütünleme!$I17,"")</f>
        <v/>
      </c>
      <c r="AO320" s="39" t="str">
        <f>IFERROR(bütünleme!AZ17*100/bütünleme!$I17,"")</f>
        <v/>
      </c>
      <c r="AP320" s="39" t="str">
        <f>IFERROR(bütünleme!BA17*100/bütünleme!$I17,"")</f>
        <v/>
      </c>
      <c r="AQ320" s="39" t="str">
        <f>IFERROR(bütünleme!BB17*100/bütünleme!$I17,"")</f>
        <v/>
      </c>
      <c r="AR320" s="39" t="str">
        <f>IFERROR(bütünleme!BC17*100/bütünleme!$I17,"")</f>
        <v/>
      </c>
      <c r="AS320" s="39" t="str">
        <f>IFERROR(bütünleme!BD17*100/bütünleme!$I17,"")</f>
        <v/>
      </c>
      <c r="AT320" s="39" t="str">
        <f>IFERROR(bütünleme!BE17*100/bütünleme!$I17,"")</f>
        <v/>
      </c>
      <c r="AU320" s="39" t="str">
        <f>IFERROR(bütünleme!BF17*100/bütünleme!$I17,"")</f>
        <v/>
      </c>
      <c r="AV320" s="39" t="str">
        <f>IFERROR(bütünleme!BG17*100/bütünleme!$I17,"")</f>
        <v/>
      </c>
      <c r="AW320" s="39" t="str">
        <f>IFERROR(bütünleme!BH17*100/bütünleme!$I17,"")</f>
        <v/>
      </c>
      <c r="AX320" s="39" t="str">
        <f>IFERROR(bütünleme!BI17*100/bütünleme!$I17,"")</f>
        <v/>
      </c>
      <c r="AY320" s="39" t="str">
        <f>IFERROR(bütünleme!BJ17*100/bütünleme!$I17,"")</f>
        <v/>
      </c>
      <c r="AZ320" s="39" t="str">
        <f>IFERROR(bütünleme!BK17*100/bütünleme!$I17,"")</f>
        <v/>
      </c>
      <c r="BA320" s="39" t="str">
        <f>IFERROR(bütünleme!BL17*100/bütünleme!$I17,"")</f>
        <v/>
      </c>
      <c r="BB320" s="39" t="str">
        <f>IFERROR(bütünleme!BM17*100/bütünleme!$I17,"")</f>
        <v/>
      </c>
      <c r="BC320" s="39" t="str">
        <f>IFERROR(bütünleme!BN17*100/bütünleme!$I17,"")</f>
        <v/>
      </c>
      <c r="BD320" s="39" t="str">
        <f>IFERROR(bütünleme!BO17*100/bütünleme!$I17,"")</f>
        <v/>
      </c>
      <c r="BE320" s="39" t="str">
        <f>IFERROR(bütünleme!BP17*100/bütünleme!$I17,"")</f>
        <v/>
      </c>
      <c r="BF320" s="39" t="str">
        <f>IFERROR(bütünleme!BQ17*100/bütünleme!$I17,"")</f>
        <v/>
      </c>
      <c r="BG320" s="39" t="str">
        <f>IFERROR(bütünleme!BR17*100/bütünleme!$I17,"")</f>
        <v/>
      </c>
      <c r="BH320" s="39" t="str">
        <f>IFERROR(bütünleme!BS17*100/bütünleme!$I17,"")</f>
        <v/>
      </c>
      <c r="BI320" s="39" t="str">
        <f>IFERROR(bütünleme!BT17*100/bütünleme!$I17,"")</f>
        <v/>
      </c>
      <c r="BJ320" s="39" t="str">
        <f>IFERROR(bütünleme!BU17*100/bütünleme!$I17,"")</f>
        <v/>
      </c>
      <c r="BK320" s="39" t="str">
        <f>IFERROR(bütünleme!BV17*100/bütünleme!$I17,"")</f>
        <v/>
      </c>
      <c r="BL320" s="39" t="str">
        <f>IFERROR(bütünleme!BW17*100/bütünleme!$I17,"")</f>
        <v/>
      </c>
      <c r="BM320" s="39" t="str">
        <f>IFERROR(bütünleme!BX17*100/bütünleme!$I17,"")</f>
        <v/>
      </c>
      <c r="BN320" s="39" t="str">
        <f>IFERROR(bütünleme!BY17*100/bütünleme!$I17,"")</f>
        <v/>
      </c>
      <c r="BO320" s="39" t="str">
        <f>IFERROR(bütünleme!BZ17*100/bütünleme!$I17,"")</f>
        <v/>
      </c>
      <c r="BP320" s="39" t="str">
        <f>IFERROR(bütünleme!CA17*100/bütünleme!$I17,"")</f>
        <v/>
      </c>
      <c r="BQ320" s="39" t="str">
        <f>IFERROR(bütünleme!CB17*100/bütünleme!$I17,"")</f>
        <v/>
      </c>
      <c r="BR320" s="39" t="str">
        <f>IFERROR(bütünleme!CC17*100/bütünleme!$I17,"")</f>
        <v/>
      </c>
      <c r="BS320" s="39" t="str">
        <f>IFERROR(bütünleme!CD17*100/bütünleme!$I17,"")</f>
        <v/>
      </c>
      <c r="BT320" s="39" t="str">
        <f>IFERROR(bütünleme!CE17*100/bütünleme!$I17,"")</f>
        <v/>
      </c>
      <c r="BU320" s="39" t="str">
        <f>IFERROR(bütünleme!CF17*100/bütünleme!$I17,"")</f>
        <v/>
      </c>
      <c r="BV320" s="39" t="str">
        <f>IFERROR(bütünleme!CG17*100/bütünleme!$I17,"")</f>
        <v/>
      </c>
      <c r="BW320" s="39" t="str">
        <f>IFERROR(bütünleme!CH17*100/bütünleme!$I17,"")</f>
        <v/>
      </c>
      <c r="BX320" s="39" t="str">
        <f>IFERROR(bütünleme!CI17*100/bütünleme!$I17,"")</f>
        <v/>
      </c>
      <c r="BY320" s="39" t="str">
        <f>IFERROR(bütünleme!CJ17*100/bütünleme!$I17,"")</f>
        <v/>
      </c>
      <c r="BZ320" s="39" t="str">
        <f>IFERROR(bütünleme!CK17*100/bütünleme!$I17,"")</f>
        <v/>
      </c>
      <c r="CA320" s="39" t="str">
        <f>IFERROR(bütünleme!CL17*100/bütünleme!$I17,"")</f>
        <v/>
      </c>
      <c r="CB320" s="39" t="str">
        <f>IFERROR(bütünleme!CM17*100/bütünleme!$I17,"")</f>
        <v/>
      </c>
      <c r="CC320" s="39" t="str">
        <f>IFERROR(bütünleme!CN17*100/bütünleme!$I17,"")</f>
        <v/>
      </c>
      <c r="CD320" s="39" t="str">
        <f>IFERROR(bütünleme!CO17*100/bütünleme!$I17,"")</f>
        <v/>
      </c>
      <c r="CE320" s="39" t="str">
        <f>IFERROR(bütünleme!CP17*100/bütünleme!$I17,"")</f>
        <v/>
      </c>
      <c r="CF320" s="39" t="str">
        <f>IFERROR(bütünleme!CQ17*100/bütünleme!$I17,"")</f>
        <v/>
      </c>
      <c r="CG320" s="39" t="str">
        <f>IFERROR(bütünleme!CR17*100/bütünleme!$I17,"")</f>
        <v/>
      </c>
      <c r="CH320" s="39" t="str">
        <f>IFERROR(bütünleme!CS17*100/bütünleme!$I17,"")</f>
        <v/>
      </c>
      <c r="CI320" s="39" t="str">
        <f>IFERROR(bütünleme!CT17*100/bütünleme!$I17,"")</f>
        <v/>
      </c>
      <c r="CJ320" s="39" t="str">
        <f>IFERROR(bütünleme!CU17*100/bütünleme!$I17,"")</f>
        <v/>
      </c>
      <c r="CK320" s="39" t="str">
        <f>IFERROR(bütünleme!CV17*100/bütünleme!$I17,"")</f>
        <v/>
      </c>
      <c r="CL320" s="39" t="str">
        <f>IFERROR(bütünleme!CW17*100/bütünleme!$I17,"")</f>
        <v/>
      </c>
      <c r="CM320" s="39" t="str">
        <f>IFERROR(bütünleme!CX17*100/bütünleme!$I17,"")</f>
        <v/>
      </c>
      <c r="CN320" s="39" t="str">
        <f>IFERROR(bütünleme!CY17*100/bütünleme!$I17,"")</f>
        <v/>
      </c>
      <c r="CO320" s="39" t="str">
        <f>IFERROR(bütünleme!CZ17*100/bütünleme!$I17,"")</f>
        <v/>
      </c>
      <c r="CP320" s="39" t="str">
        <f>IFERROR(bütünleme!DA17*100/bütünleme!$I17,"")</f>
        <v/>
      </c>
      <c r="CQ320" s="39" t="str">
        <f>IFERROR(bütünleme!DB17*100/bütünleme!$I17,"")</f>
        <v/>
      </c>
      <c r="CR320" s="39" t="str">
        <f>IFERROR(bütünleme!DC17*100/bütünleme!$I17,"")</f>
        <v/>
      </c>
      <c r="CS320" s="39" t="str">
        <f>IFERROR(bütünleme!DD17*100/bütünleme!$I17,"")</f>
        <v/>
      </c>
      <c r="CT320" s="39" t="str">
        <f>IFERROR(bütünleme!DE17*100/bütünleme!$I17,"")</f>
        <v/>
      </c>
      <c r="CU320" s="39" t="str">
        <f>IFERROR(bütünleme!DF17*100/bütünleme!$I17,"")</f>
        <v/>
      </c>
      <c r="CV320" s="39" t="str">
        <f>IFERROR(bütünleme!DG17*100/bütünleme!$I17,"")</f>
        <v/>
      </c>
      <c r="CW320" s="36" t="str">
        <f>IFERROR(SUM(A320:CV320)/bütünleme!$DH$103,"")</f>
        <v/>
      </c>
      <c r="CX320" s="14" t="str">
        <f>IF(COUNTA(bütünleme!A17),bütünleme!A17,"")</f>
        <v/>
      </c>
      <c r="CY320" s="14" t="str">
        <f>IF(COUNTA(bütünleme!B17),bütünleme!B17,"")</f>
        <v/>
      </c>
      <c r="CZ320" s="14" t="str">
        <f>IF(COUNTA(bütünleme!C17),bütünleme!C17,"")</f>
        <v/>
      </c>
      <c r="DA320" s="14" t="str">
        <f>IF(COUNTA(bütünleme!D17),bütünleme!D17,"")</f>
        <v/>
      </c>
      <c r="DB320" s="14" t="str">
        <f>IF(COUNTA(bütünleme!E17),bütünleme!E17,"")</f>
        <v/>
      </c>
      <c r="DC320" s="14" t="str">
        <f>IF(COUNTA(bütünleme!F17),bütünleme!F17,"")</f>
        <v/>
      </c>
      <c r="DD320" s="14" t="str">
        <f>IF(COUNTA(bütünleme!G17),bütünleme!G17,"")</f>
        <v/>
      </c>
      <c r="DE320" s="14" t="str">
        <f>IF(COUNTA(bütünleme!H17),bütünleme!H17,"")</f>
        <v/>
      </c>
    </row>
    <row r="321" spans="1:109" x14ac:dyDescent="0.2">
      <c r="A321" s="39" t="str">
        <f>IFERROR(bütünleme!L18*100/bütünleme!$I18,"")</f>
        <v/>
      </c>
      <c r="B321" s="39" t="str">
        <f>IFERROR(bütünleme!M18*100/bütünleme!$I18,"")</f>
        <v/>
      </c>
      <c r="C321" s="39" t="str">
        <f>IFERROR(bütünleme!N18*100/bütünleme!$I18,"")</f>
        <v/>
      </c>
      <c r="D321" s="39" t="str">
        <f>IFERROR(bütünleme!O18*100/bütünleme!$I18,"")</f>
        <v/>
      </c>
      <c r="E321" s="39" t="str">
        <f>IFERROR(bütünleme!P18*100/bütünleme!$I18,"")</f>
        <v/>
      </c>
      <c r="F321" s="39" t="str">
        <f>IFERROR(bütünleme!Q18*100/bütünleme!$I18,"")</f>
        <v/>
      </c>
      <c r="G321" s="39" t="str">
        <f>IFERROR(bütünleme!R18*100/bütünleme!$I18,"")</f>
        <v/>
      </c>
      <c r="H321" s="39" t="str">
        <f>IFERROR(bütünleme!S18*100/bütünleme!$I18,"")</f>
        <v/>
      </c>
      <c r="I321" s="39" t="str">
        <f>IFERROR(bütünleme!T18*100/bütünleme!$I18,"")</f>
        <v/>
      </c>
      <c r="J321" s="39" t="str">
        <f>IFERROR(bütünleme!U18*100/bütünleme!$I18,"")</f>
        <v/>
      </c>
      <c r="K321" s="39" t="str">
        <f>IFERROR(bütünleme!V18*100/bütünleme!$I18,"")</f>
        <v/>
      </c>
      <c r="L321" s="39" t="str">
        <f>IFERROR(bütünleme!W18*100/bütünleme!$I18,"")</f>
        <v/>
      </c>
      <c r="M321" s="39" t="str">
        <f>IFERROR(bütünleme!X18*100/bütünleme!$I18,"")</f>
        <v/>
      </c>
      <c r="N321" s="39" t="str">
        <f>IFERROR(bütünleme!Y18*100/bütünleme!$I18,"")</f>
        <v/>
      </c>
      <c r="O321" s="39" t="str">
        <f>IFERROR(bütünleme!Z18*100/bütünleme!$I18,"")</f>
        <v/>
      </c>
      <c r="P321" s="39" t="str">
        <f>IFERROR(bütünleme!AA18*100/bütünleme!$I18,"")</f>
        <v/>
      </c>
      <c r="Q321" s="39" t="str">
        <f>IFERROR(bütünleme!AB18*100/bütünleme!$I18,"")</f>
        <v/>
      </c>
      <c r="R321" s="39" t="str">
        <f>IFERROR(bütünleme!AC18*100/bütünleme!$I18,"")</f>
        <v/>
      </c>
      <c r="S321" s="39" t="str">
        <f>IFERROR(bütünleme!AD18*100/bütünleme!$I18,"")</f>
        <v/>
      </c>
      <c r="T321" s="39" t="str">
        <f>IFERROR(bütünleme!AE18*100/bütünleme!$I18,"")</f>
        <v/>
      </c>
      <c r="U321" s="39" t="str">
        <f>IFERROR(bütünleme!AF18*100/bütünleme!$I18,"")</f>
        <v/>
      </c>
      <c r="V321" s="39" t="str">
        <f>IFERROR(bütünleme!AG18*100/bütünleme!$I18,"")</f>
        <v/>
      </c>
      <c r="W321" s="39" t="str">
        <f>IFERROR(bütünleme!AH18*100/bütünleme!$I18,"")</f>
        <v/>
      </c>
      <c r="X321" s="39" t="str">
        <f>IFERROR(bütünleme!AI18*100/bütünleme!$I18,"")</f>
        <v/>
      </c>
      <c r="Y321" s="39" t="str">
        <f>IFERROR(bütünleme!AJ18*100/bütünleme!$I18,"")</f>
        <v/>
      </c>
      <c r="Z321" s="39" t="str">
        <f>IFERROR(bütünleme!AK18*100/bütünleme!$I18,"")</f>
        <v/>
      </c>
      <c r="AA321" s="39" t="str">
        <f>IFERROR(bütünleme!AL18*100/bütünleme!$I18,"")</f>
        <v/>
      </c>
      <c r="AB321" s="39" t="str">
        <f>IFERROR(bütünleme!AM18*100/bütünleme!$I18,"")</f>
        <v/>
      </c>
      <c r="AC321" s="39" t="str">
        <f>IFERROR(bütünleme!AN18*100/bütünleme!$I18,"")</f>
        <v/>
      </c>
      <c r="AD321" s="39" t="str">
        <f>IFERROR(bütünleme!AO18*100/bütünleme!$I18,"")</f>
        <v/>
      </c>
      <c r="AE321" s="39" t="str">
        <f>IFERROR(bütünleme!AP18*100/bütünleme!$I18,"")</f>
        <v/>
      </c>
      <c r="AF321" s="39" t="str">
        <f>IFERROR(bütünleme!AQ18*100/bütünleme!$I18,"")</f>
        <v/>
      </c>
      <c r="AG321" s="39" t="str">
        <f>IFERROR(bütünleme!AR18*100/bütünleme!$I18,"")</f>
        <v/>
      </c>
      <c r="AH321" s="39" t="str">
        <f>IFERROR(bütünleme!AS18*100/bütünleme!$I18,"")</f>
        <v/>
      </c>
      <c r="AI321" s="39" t="str">
        <f>IFERROR(bütünleme!AT18*100/bütünleme!$I18,"")</f>
        <v/>
      </c>
      <c r="AJ321" s="39" t="str">
        <f>IFERROR(bütünleme!AU18*100/bütünleme!$I18,"")</f>
        <v/>
      </c>
      <c r="AK321" s="39" t="str">
        <f>IFERROR(bütünleme!AV18*100/bütünleme!$I18,"")</f>
        <v/>
      </c>
      <c r="AL321" s="39" t="str">
        <f>IFERROR(bütünleme!AW18*100/bütünleme!$I18,"")</f>
        <v/>
      </c>
      <c r="AM321" s="39" t="str">
        <f>IFERROR(bütünleme!AX18*100/bütünleme!$I18,"")</f>
        <v/>
      </c>
      <c r="AN321" s="39" t="str">
        <f>IFERROR(bütünleme!AY18*100/bütünleme!$I18,"")</f>
        <v/>
      </c>
      <c r="AO321" s="39" t="str">
        <f>IFERROR(bütünleme!AZ18*100/bütünleme!$I18,"")</f>
        <v/>
      </c>
      <c r="AP321" s="39" t="str">
        <f>IFERROR(bütünleme!BA18*100/bütünleme!$I18,"")</f>
        <v/>
      </c>
      <c r="AQ321" s="39" t="str">
        <f>IFERROR(bütünleme!BB18*100/bütünleme!$I18,"")</f>
        <v/>
      </c>
      <c r="AR321" s="39" t="str">
        <f>IFERROR(bütünleme!BC18*100/bütünleme!$I18,"")</f>
        <v/>
      </c>
      <c r="AS321" s="39" t="str">
        <f>IFERROR(bütünleme!BD18*100/bütünleme!$I18,"")</f>
        <v/>
      </c>
      <c r="AT321" s="39" t="str">
        <f>IFERROR(bütünleme!BE18*100/bütünleme!$I18,"")</f>
        <v/>
      </c>
      <c r="AU321" s="39" t="str">
        <f>IFERROR(bütünleme!BF18*100/bütünleme!$I18,"")</f>
        <v/>
      </c>
      <c r="AV321" s="39" t="str">
        <f>IFERROR(bütünleme!BG18*100/bütünleme!$I18,"")</f>
        <v/>
      </c>
      <c r="AW321" s="39" t="str">
        <f>IFERROR(bütünleme!BH18*100/bütünleme!$I18,"")</f>
        <v/>
      </c>
      <c r="AX321" s="39" t="str">
        <f>IFERROR(bütünleme!BI18*100/bütünleme!$I18,"")</f>
        <v/>
      </c>
      <c r="AY321" s="39" t="str">
        <f>IFERROR(bütünleme!BJ18*100/bütünleme!$I18,"")</f>
        <v/>
      </c>
      <c r="AZ321" s="39" t="str">
        <f>IFERROR(bütünleme!BK18*100/bütünleme!$I18,"")</f>
        <v/>
      </c>
      <c r="BA321" s="39" t="str">
        <f>IFERROR(bütünleme!BL18*100/bütünleme!$I18,"")</f>
        <v/>
      </c>
      <c r="BB321" s="39" t="str">
        <f>IFERROR(bütünleme!BM18*100/bütünleme!$I18,"")</f>
        <v/>
      </c>
      <c r="BC321" s="39" t="str">
        <f>IFERROR(bütünleme!BN18*100/bütünleme!$I18,"")</f>
        <v/>
      </c>
      <c r="BD321" s="39" t="str">
        <f>IFERROR(bütünleme!BO18*100/bütünleme!$I18,"")</f>
        <v/>
      </c>
      <c r="BE321" s="39" t="str">
        <f>IFERROR(bütünleme!BP18*100/bütünleme!$I18,"")</f>
        <v/>
      </c>
      <c r="BF321" s="39" t="str">
        <f>IFERROR(bütünleme!BQ18*100/bütünleme!$I18,"")</f>
        <v/>
      </c>
      <c r="BG321" s="39" t="str">
        <f>IFERROR(bütünleme!BR18*100/bütünleme!$I18,"")</f>
        <v/>
      </c>
      <c r="BH321" s="39" t="str">
        <f>IFERROR(bütünleme!BS18*100/bütünleme!$I18,"")</f>
        <v/>
      </c>
      <c r="BI321" s="39" t="str">
        <f>IFERROR(bütünleme!BT18*100/bütünleme!$I18,"")</f>
        <v/>
      </c>
      <c r="BJ321" s="39" t="str">
        <f>IFERROR(bütünleme!BU18*100/bütünleme!$I18,"")</f>
        <v/>
      </c>
      <c r="BK321" s="39" t="str">
        <f>IFERROR(bütünleme!BV18*100/bütünleme!$I18,"")</f>
        <v/>
      </c>
      <c r="BL321" s="39" t="str">
        <f>IFERROR(bütünleme!BW18*100/bütünleme!$I18,"")</f>
        <v/>
      </c>
      <c r="BM321" s="39" t="str">
        <f>IFERROR(bütünleme!BX18*100/bütünleme!$I18,"")</f>
        <v/>
      </c>
      <c r="BN321" s="39" t="str">
        <f>IFERROR(bütünleme!BY18*100/bütünleme!$I18,"")</f>
        <v/>
      </c>
      <c r="BO321" s="39" t="str">
        <f>IFERROR(bütünleme!BZ18*100/bütünleme!$I18,"")</f>
        <v/>
      </c>
      <c r="BP321" s="39" t="str">
        <f>IFERROR(bütünleme!CA18*100/bütünleme!$I18,"")</f>
        <v/>
      </c>
      <c r="BQ321" s="39" t="str">
        <f>IFERROR(bütünleme!CB18*100/bütünleme!$I18,"")</f>
        <v/>
      </c>
      <c r="BR321" s="39" t="str">
        <f>IFERROR(bütünleme!CC18*100/bütünleme!$I18,"")</f>
        <v/>
      </c>
      <c r="BS321" s="39" t="str">
        <f>IFERROR(bütünleme!CD18*100/bütünleme!$I18,"")</f>
        <v/>
      </c>
      <c r="BT321" s="39" t="str">
        <f>IFERROR(bütünleme!CE18*100/bütünleme!$I18,"")</f>
        <v/>
      </c>
      <c r="BU321" s="39" t="str">
        <f>IFERROR(bütünleme!CF18*100/bütünleme!$I18,"")</f>
        <v/>
      </c>
      <c r="BV321" s="39" t="str">
        <f>IFERROR(bütünleme!CG18*100/bütünleme!$I18,"")</f>
        <v/>
      </c>
      <c r="BW321" s="39" t="str">
        <f>IFERROR(bütünleme!CH18*100/bütünleme!$I18,"")</f>
        <v/>
      </c>
      <c r="BX321" s="39" t="str">
        <f>IFERROR(bütünleme!CI18*100/bütünleme!$I18,"")</f>
        <v/>
      </c>
      <c r="BY321" s="39" t="str">
        <f>IFERROR(bütünleme!CJ18*100/bütünleme!$I18,"")</f>
        <v/>
      </c>
      <c r="BZ321" s="39" t="str">
        <f>IFERROR(bütünleme!CK18*100/bütünleme!$I18,"")</f>
        <v/>
      </c>
      <c r="CA321" s="39" t="str">
        <f>IFERROR(bütünleme!CL18*100/bütünleme!$I18,"")</f>
        <v/>
      </c>
      <c r="CB321" s="39" t="str">
        <f>IFERROR(bütünleme!CM18*100/bütünleme!$I18,"")</f>
        <v/>
      </c>
      <c r="CC321" s="39" t="str">
        <f>IFERROR(bütünleme!CN18*100/bütünleme!$I18,"")</f>
        <v/>
      </c>
      <c r="CD321" s="39" t="str">
        <f>IFERROR(bütünleme!CO18*100/bütünleme!$I18,"")</f>
        <v/>
      </c>
      <c r="CE321" s="39" t="str">
        <f>IFERROR(bütünleme!CP18*100/bütünleme!$I18,"")</f>
        <v/>
      </c>
      <c r="CF321" s="39" t="str">
        <f>IFERROR(bütünleme!CQ18*100/bütünleme!$I18,"")</f>
        <v/>
      </c>
      <c r="CG321" s="39" t="str">
        <f>IFERROR(bütünleme!CR18*100/bütünleme!$I18,"")</f>
        <v/>
      </c>
      <c r="CH321" s="39" t="str">
        <f>IFERROR(bütünleme!CS18*100/bütünleme!$I18,"")</f>
        <v/>
      </c>
      <c r="CI321" s="39" t="str">
        <f>IFERROR(bütünleme!CT18*100/bütünleme!$I18,"")</f>
        <v/>
      </c>
      <c r="CJ321" s="39" t="str">
        <f>IFERROR(bütünleme!CU18*100/bütünleme!$I18,"")</f>
        <v/>
      </c>
      <c r="CK321" s="39" t="str">
        <f>IFERROR(bütünleme!CV18*100/bütünleme!$I18,"")</f>
        <v/>
      </c>
      <c r="CL321" s="39" t="str">
        <f>IFERROR(bütünleme!CW18*100/bütünleme!$I18,"")</f>
        <v/>
      </c>
      <c r="CM321" s="39" t="str">
        <f>IFERROR(bütünleme!CX18*100/bütünleme!$I18,"")</f>
        <v/>
      </c>
      <c r="CN321" s="39" t="str">
        <f>IFERROR(bütünleme!CY18*100/bütünleme!$I18,"")</f>
        <v/>
      </c>
      <c r="CO321" s="39" t="str">
        <f>IFERROR(bütünleme!CZ18*100/bütünleme!$I18,"")</f>
        <v/>
      </c>
      <c r="CP321" s="39" t="str">
        <f>IFERROR(bütünleme!DA18*100/bütünleme!$I18,"")</f>
        <v/>
      </c>
      <c r="CQ321" s="39" t="str">
        <f>IFERROR(bütünleme!DB18*100/bütünleme!$I18,"")</f>
        <v/>
      </c>
      <c r="CR321" s="39" t="str">
        <f>IFERROR(bütünleme!DC18*100/bütünleme!$I18,"")</f>
        <v/>
      </c>
      <c r="CS321" s="39" t="str">
        <f>IFERROR(bütünleme!DD18*100/bütünleme!$I18,"")</f>
        <v/>
      </c>
      <c r="CT321" s="39" t="str">
        <f>IFERROR(bütünleme!DE18*100/bütünleme!$I18,"")</f>
        <v/>
      </c>
      <c r="CU321" s="39" t="str">
        <f>IFERROR(bütünleme!DF18*100/bütünleme!$I18,"")</f>
        <v/>
      </c>
      <c r="CV321" s="39" t="str">
        <f>IFERROR(bütünleme!DG18*100/bütünleme!$I18,"")</f>
        <v/>
      </c>
      <c r="CW321" s="36" t="str">
        <f>IFERROR(SUM(A321:CV321)/bütünleme!$DH$103,"")</f>
        <v/>
      </c>
      <c r="CX321" s="14" t="str">
        <f>IF(COUNTA(bütünleme!A18),bütünleme!A18,"")</f>
        <v/>
      </c>
      <c r="CY321" s="14" t="str">
        <f>IF(COUNTA(bütünleme!B18),bütünleme!B18,"")</f>
        <v/>
      </c>
      <c r="CZ321" s="14" t="str">
        <f>IF(COUNTA(bütünleme!C18),bütünleme!C18,"")</f>
        <v/>
      </c>
      <c r="DA321" s="14" t="str">
        <f>IF(COUNTA(bütünleme!D18),bütünleme!D18,"")</f>
        <v/>
      </c>
      <c r="DB321" s="14" t="str">
        <f>IF(COUNTA(bütünleme!E18),bütünleme!E18,"")</f>
        <v/>
      </c>
      <c r="DC321" s="14" t="str">
        <f>IF(COUNTA(bütünleme!F18),bütünleme!F18,"")</f>
        <v/>
      </c>
      <c r="DD321" s="14" t="str">
        <f>IF(COUNTA(bütünleme!G18),bütünleme!G18,"")</f>
        <v/>
      </c>
      <c r="DE321" s="14" t="str">
        <f>IF(COUNTA(bütünleme!H18),bütünleme!H18,"")</f>
        <v/>
      </c>
    </row>
    <row r="322" spans="1:109" x14ac:dyDescent="0.2">
      <c r="A322" s="39" t="str">
        <f>IFERROR(bütünleme!L19*100/bütünleme!$I19,"")</f>
        <v/>
      </c>
      <c r="B322" s="39" t="str">
        <f>IFERROR(bütünleme!M19*100/bütünleme!$I19,"")</f>
        <v/>
      </c>
      <c r="C322" s="39" t="str">
        <f>IFERROR(bütünleme!N19*100/bütünleme!$I19,"")</f>
        <v/>
      </c>
      <c r="D322" s="39" t="str">
        <f>IFERROR(bütünleme!O19*100/bütünleme!$I19,"")</f>
        <v/>
      </c>
      <c r="E322" s="39" t="str">
        <f>IFERROR(bütünleme!P19*100/bütünleme!$I19,"")</f>
        <v/>
      </c>
      <c r="F322" s="39" t="str">
        <f>IFERROR(bütünleme!Q19*100/bütünleme!$I19,"")</f>
        <v/>
      </c>
      <c r="G322" s="39" t="str">
        <f>IFERROR(bütünleme!R19*100/bütünleme!$I19,"")</f>
        <v/>
      </c>
      <c r="H322" s="39" t="str">
        <f>IFERROR(bütünleme!S19*100/bütünleme!$I19,"")</f>
        <v/>
      </c>
      <c r="I322" s="39" t="str">
        <f>IFERROR(bütünleme!T19*100/bütünleme!$I19,"")</f>
        <v/>
      </c>
      <c r="J322" s="39" t="str">
        <f>IFERROR(bütünleme!U19*100/bütünleme!$I19,"")</f>
        <v/>
      </c>
      <c r="K322" s="39" t="str">
        <f>IFERROR(bütünleme!V19*100/bütünleme!$I19,"")</f>
        <v/>
      </c>
      <c r="L322" s="39" t="str">
        <f>IFERROR(bütünleme!W19*100/bütünleme!$I19,"")</f>
        <v/>
      </c>
      <c r="M322" s="39" t="str">
        <f>IFERROR(bütünleme!X19*100/bütünleme!$I19,"")</f>
        <v/>
      </c>
      <c r="N322" s="39" t="str">
        <f>IFERROR(bütünleme!Y19*100/bütünleme!$I19,"")</f>
        <v/>
      </c>
      <c r="O322" s="39" t="str">
        <f>IFERROR(bütünleme!Z19*100/bütünleme!$I19,"")</f>
        <v/>
      </c>
      <c r="P322" s="39" t="str">
        <f>IFERROR(bütünleme!AA19*100/bütünleme!$I19,"")</f>
        <v/>
      </c>
      <c r="Q322" s="39" t="str">
        <f>IFERROR(bütünleme!AB19*100/bütünleme!$I19,"")</f>
        <v/>
      </c>
      <c r="R322" s="39" t="str">
        <f>IFERROR(bütünleme!AC19*100/bütünleme!$I19,"")</f>
        <v/>
      </c>
      <c r="S322" s="39" t="str">
        <f>IFERROR(bütünleme!AD19*100/bütünleme!$I19,"")</f>
        <v/>
      </c>
      <c r="T322" s="39" t="str">
        <f>IFERROR(bütünleme!AE19*100/bütünleme!$I19,"")</f>
        <v/>
      </c>
      <c r="U322" s="39" t="str">
        <f>IFERROR(bütünleme!AF19*100/bütünleme!$I19,"")</f>
        <v/>
      </c>
      <c r="V322" s="39" t="str">
        <f>IFERROR(bütünleme!AG19*100/bütünleme!$I19,"")</f>
        <v/>
      </c>
      <c r="W322" s="39" t="str">
        <f>IFERROR(bütünleme!AH19*100/bütünleme!$I19,"")</f>
        <v/>
      </c>
      <c r="X322" s="39" t="str">
        <f>IFERROR(bütünleme!AI19*100/bütünleme!$I19,"")</f>
        <v/>
      </c>
      <c r="Y322" s="39" t="str">
        <f>IFERROR(bütünleme!AJ19*100/bütünleme!$I19,"")</f>
        <v/>
      </c>
      <c r="Z322" s="39" t="str">
        <f>IFERROR(bütünleme!AK19*100/bütünleme!$I19,"")</f>
        <v/>
      </c>
      <c r="AA322" s="39" t="str">
        <f>IFERROR(bütünleme!AL19*100/bütünleme!$I19,"")</f>
        <v/>
      </c>
      <c r="AB322" s="39" t="str">
        <f>IFERROR(bütünleme!AM19*100/bütünleme!$I19,"")</f>
        <v/>
      </c>
      <c r="AC322" s="39" t="str">
        <f>IFERROR(bütünleme!AN19*100/bütünleme!$I19,"")</f>
        <v/>
      </c>
      <c r="AD322" s="39" t="str">
        <f>IFERROR(bütünleme!AO19*100/bütünleme!$I19,"")</f>
        <v/>
      </c>
      <c r="AE322" s="39" t="str">
        <f>IFERROR(bütünleme!AP19*100/bütünleme!$I19,"")</f>
        <v/>
      </c>
      <c r="AF322" s="39" t="str">
        <f>IFERROR(bütünleme!AQ19*100/bütünleme!$I19,"")</f>
        <v/>
      </c>
      <c r="AG322" s="39" t="str">
        <f>IFERROR(bütünleme!AR19*100/bütünleme!$I19,"")</f>
        <v/>
      </c>
      <c r="AH322" s="39" t="str">
        <f>IFERROR(bütünleme!AS19*100/bütünleme!$I19,"")</f>
        <v/>
      </c>
      <c r="AI322" s="39" t="str">
        <f>IFERROR(bütünleme!AT19*100/bütünleme!$I19,"")</f>
        <v/>
      </c>
      <c r="AJ322" s="39" t="str">
        <f>IFERROR(bütünleme!AU19*100/bütünleme!$I19,"")</f>
        <v/>
      </c>
      <c r="AK322" s="39" t="str">
        <f>IFERROR(bütünleme!AV19*100/bütünleme!$I19,"")</f>
        <v/>
      </c>
      <c r="AL322" s="39" t="str">
        <f>IFERROR(bütünleme!AW19*100/bütünleme!$I19,"")</f>
        <v/>
      </c>
      <c r="AM322" s="39" t="str">
        <f>IFERROR(bütünleme!AX19*100/bütünleme!$I19,"")</f>
        <v/>
      </c>
      <c r="AN322" s="39" t="str">
        <f>IFERROR(bütünleme!AY19*100/bütünleme!$I19,"")</f>
        <v/>
      </c>
      <c r="AO322" s="39" t="str">
        <f>IFERROR(bütünleme!AZ19*100/bütünleme!$I19,"")</f>
        <v/>
      </c>
      <c r="AP322" s="39" t="str">
        <f>IFERROR(bütünleme!BA19*100/bütünleme!$I19,"")</f>
        <v/>
      </c>
      <c r="AQ322" s="39" t="str">
        <f>IFERROR(bütünleme!BB19*100/bütünleme!$I19,"")</f>
        <v/>
      </c>
      <c r="AR322" s="39" t="str">
        <f>IFERROR(bütünleme!BC19*100/bütünleme!$I19,"")</f>
        <v/>
      </c>
      <c r="AS322" s="39" t="str">
        <f>IFERROR(bütünleme!BD19*100/bütünleme!$I19,"")</f>
        <v/>
      </c>
      <c r="AT322" s="39" t="str">
        <f>IFERROR(bütünleme!BE19*100/bütünleme!$I19,"")</f>
        <v/>
      </c>
      <c r="AU322" s="39" t="str">
        <f>IFERROR(bütünleme!BF19*100/bütünleme!$I19,"")</f>
        <v/>
      </c>
      <c r="AV322" s="39" t="str">
        <f>IFERROR(bütünleme!BG19*100/bütünleme!$I19,"")</f>
        <v/>
      </c>
      <c r="AW322" s="39" t="str">
        <f>IFERROR(bütünleme!BH19*100/bütünleme!$I19,"")</f>
        <v/>
      </c>
      <c r="AX322" s="39" t="str">
        <f>IFERROR(bütünleme!BI19*100/bütünleme!$I19,"")</f>
        <v/>
      </c>
      <c r="AY322" s="39" t="str">
        <f>IFERROR(bütünleme!BJ19*100/bütünleme!$I19,"")</f>
        <v/>
      </c>
      <c r="AZ322" s="39" t="str">
        <f>IFERROR(bütünleme!BK19*100/bütünleme!$I19,"")</f>
        <v/>
      </c>
      <c r="BA322" s="39" t="str">
        <f>IFERROR(bütünleme!BL19*100/bütünleme!$I19,"")</f>
        <v/>
      </c>
      <c r="BB322" s="39" t="str">
        <f>IFERROR(bütünleme!BM19*100/bütünleme!$I19,"")</f>
        <v/>
      </c>
      <c r="BC322" s="39" t="str">
        <f>IFERROR(bütünleme!BN19*100/bütünleme!$I19,"")</f>
        <v/>
      </c>
      <c r="BD322" s="39" t="str">
        <f>IFERROR(bütünleme!BO19*100/bütünleme!$I19,"")</f>
        <v/>
      </c>
      <c r="BE322" s="39" t="str">
        <f>IFERROR(bütünleme!BP19*100/bütünleme!$I19,"")</f>
        <v/>
      </c>
      <c r="BF322" s="39" t="str">
        <f>IFERROR(bütünleme!BQ19*100/bütünleme!$I19,"")</f>
        <v/>
      </c>
      <c r="BG322" s="39" t="str">
        <f>IFERROR(bütünleme!BR19*100/bütünleme!$I19,"")</f>
        <v/>
      </c>
      <c r="BH322" s="39" t="str">
        <f>IFERROR(bütünleme!BS19*100/bütünleme!$I19,"")</f>
        <v/>
      </c>
      <c r="BI322" s="39" t="str">
        <f>IFERROR(bütünleme!BT19*100/bütünleme!$I19,"")</f>
        <v/>
      </c>
      <c r="BJ322" s="39" t="str">
        <f>IFERROR(bütünleme!BU19*100/bütünleme!$I19,"")</f>
        <v/>
      </c>
      <c r="BK322" s="39" t="str">
        <f>IFERROR(bütünleme!BV19*100/bütünleme!$I19,"")</f>
        <v/>
      </c>
      <c r="BL322" s="39" t="str">
        <f>IFERROR(bütünleme!BW19*100/bütünleme!$I19,"")</f>
        <v/>
      </c>
      <c r="BM322" s="39" t="str">
        <f>IFERROR(bütünleme!BX19*100/bütünleme!$I19,"")</f>
        <v/>
      </c>
      <c r="BN322" s="39" t="str">
        <f>IFERROR(bütünleme!BY19*100/bütünleme!$I19,"")</f>
        <v/>
      </c>
      <c r="BO322" s="39" t="str">
        <f>IFERROR(bütünleme!BZ19*100/bütünleme!$I19,"")</f>
        <v/>
      </c>
      <c r="BP322" s="39" t="str">
        <f>IFERROR(bütünleme!CA19*100/bütünleme!$I19,"")</f>
        <v/>
      </c>
      <c r="BQ322" s="39" t="str">
        <f>IFERROR(bütünleme!CB19*100/bütünleme!$I19,"")</f>
        <v/>
      </c>
      <c r="BR322" s="39" t="str">
        <f>IFERROR(bütünleme!CC19*100/bütünleme!$I19,"")</f>
        <v/>
      </c>
      <c r="BS322" s="39" t="str">
        <f>IFERROR(bütünleme!CD19*100/bütünleme!$I19,"")</f>
        <v/>
      </c>
      <c r="BT322" s="39" t="str">
        <f>IFERROR(bütünleme!CE19*100/bütünleme!$I19,"")</f>
        <v/>
      </c>
      <c r="BU322" s="39" t="str">
        <f>IFERROR(bütünleme!CF19*100/bütünleme!$I19,"")</f>
        <v/>
      </c>
      <c r="BV322" s="39" t="str">
        <f>IFERROR(bütünleme!CG19*100/bütünleme!$I19,"")</f>
        <v/>
      </c>
      <c r="BW322" s="39" t="str">
        <f>IFERROR(bütünleme!CH19*100/bütünleme!$I19,"")</f>
        <v/>
      </c>
      <c r="BX322" s="39" t="str">
        <f>IFERROR(bütünleme!CI19*100/bütünleme!$I19,"")</f>
        <v/>
      </c>
      <c r="BY322" s="39" t="str">
        <f>IFERROR(bütünleme!CJ19*100/bütünleme!$I19,"")</f>
        <v/>
      </c>
      <c r="BZ322" s="39" t="str">
        <f>IFERROR(bütünleme!CK19*100/bütünleme!$I19,"")</f>
        <v/>
      </c>
      <c r="CA322" s="39" t="str">
        <f>IFERROR(bütünleme!CL19*100/bütünleme!$I19,"")</f>
        <v/>
      </c>
      <c r="CB322" s="39" t="str">
        <f>IFERROR(bütünleme!CM19*100/bütünleme!$I19,"")</f>
        <v/>
      </c>
      <c r="CC322" s="39" t="str">
        <f>IFERROR(bütünleme!CN19*100/bütünleme!$I19,"")</f>
        <v/>
      </c>
      <c r="CD322" s="39" t="str">
        <f>IFERROR(bütünleme!CO19*100/bütünleme!$I19,"")</f>
        <v/>
      </c>
      <c r="CE322" s="39" t="str">
        <f>IFERROR(bütünleme!CP19*100/bütünleme!$I19,"")</f>
        <v/>
      </c>
      <c r="CF322" s="39" t="str">
        <f>IFERROR(bütünleme!CQ19*100/bütünleme!$I19,"")</f>
        <v/>
      </c>
      <c r="CG322" s="39" t="str">
        <f>IFERROR(bütünleme!CR19*100/bütünleme!$I19,"")</f>
        <v/>
      </c>
      <c r="CH322" s="39" t="str">
        <f>IFERROR(bütünleme!CS19*100/bütünleme!$I19,"")</f>
        <v/>
      </c>
      <c r="CI322" s="39" t="str">
        <f>IFERROR(bütünleme!CT19*100/bütünleme!$I19,"")</f>
        <v/>
      </c>
      <c r="CJ322" s="39" t="str">
        <f>IFERROR(bütünleme!CU19*100/bütünleme!$I19,"")</f>
        <v/>
      </c>
      <c r="CK322" s="39" t="str">
        <f>IFERROR(bütünleme!CV19*100/bütünleme!$I19,"")</f>
        <v/>
      </c>
      <c r="CL322" s="39" t="str">
        <f>IFERROR(bütünleme!CW19*100/bütünleme!$I19,"")</f>
        <v/>
      </c>
      <c r="CM322" s="39" t="str">
        <f>IFERROR(bütünleme!CX19*100/bütünleme!$I19,"")</f>
        <v/>
      </c>
      <c r="CN322" s="39" t="str">
        <f>IFERROR(bütünleme!CY19*100/bütünleme!$I19,"")</f>
        <v/>
      </c>
      <c r="CO322" s="39" t="str">
        <f>IFERROR(bütünleme!CZ19*100/bütünleme!$I19,"")</f>
        <v/>
      </c>
      <c r="CP322" s="39" t="str">
        <f>IFERROR(bütünleme!DA19*100/bütünleme!$I19,"")</f>
        <v/>
      </c>
      <c r="CQ322" s="39" t="str">
        <f>IFERROR(bütünleme!DB19*100/bütünleme!$I19,"")</f>
        <v/>
      </c>
      <c r="CR322" s="39" t="str">
        <f>IFERROR(bütünleme!DC19*100/bütünleme!$I19,"")</f>
        <v/>
      </c>
      <c r="CS322" s="39" t="str">
        <f>IFERROR(bütünleme!DD19*100/bütünleme!$I19,"")</f>
        <v/>
      </c>
      <c r="CT322" s="39" t="str">
        <f>IFERROR(bütünleme!DE19*100/bütünleme!$I19,"")</f>
        <v/>
      </c>
      <c r="CU322" s="39" t="str">
        <f>IFERROR(bütünleme!DF19*100/bütünleme!$I19,"")</f>
        <v/>
      </c>
      <c r="CV322" s="39" t="str">
        <f>IFERROR(bütünleme!DG19*100/bütünleme!$I19,"")</f>
        <v/>
      </c>
      <c r="CW322" s="36" t="str">
        <f>IFERROR(SUM(A322:CV322)/bütünleme!$DH$103,"")</f>
        <v/>
      </c>
      <c r="CX322" s="14" t="str">
        <f>IF(COUNTA(bütünleme!A19),bütünleme!A19,"")</f>
        <v/>
      </c>
      <c r="CY322" s="14" t="str">
        <f>IF(COUNTA(bütünleme!B19),bütünleme!B19,"")</f>
        <v/>
      </c>
      <c r="CZ322" s="14" t="str">
        <f>IF(COUNTA(bütünleme!C19),bütünleme!C19,"")</f>
        <v/>
      </c>
      <c r="DA322" s="14" t="str">
        <f>IF(COUNTA(bütünleme!D19),bütünleme!D19,"")</f>
        <v/>
      </c>
      <c r="DB322" s="14" t="str">
        <f>IF(COUNTA(bütünleme!E19),bütünleme!E19,"")</f>
        <v/>
      </c>
      <c r="DC322" s="14" t="str">
        <f>IF(COUNTA(bütünleme!F19),bütünleme!F19,"")</f>
        <v/>
      </c>
      <c r="DD322" s="14" t="str">
        <f>IF(COUNTA(bütünleme!G19),bütünleme!G19,"")</f>
        <v/>
      </c>
      <c r="DE322" s="14" t="str">
        <f>IF(COUNTA(bütünleme!H19),bütünleme!H19,"")</f>
        <v/>
      </c>
    </row>
    <row r="323" spans="1:109" x14ac:dyDescent="0.2">
      <c r="A323" s="39" t="str">
        <f>IFERROR(bütünleme!L20*100/bütünleme!$I20,"")</f>
        <v/>
      </c>
      <c r="B323" s="39" t="str">
        <f>IFERROR(bütünleme!M20*100/bütünleme!$I20,"")</f>
        <v/>
      </c>
      <c r="C323" s="39" t="str">
        <f>IFERROR(bütünleme!N20*100/bütünleme!$I20,"")</f>
        <v/>
      </c>
      <c r="D323" s="39" t="str">
        <f>IFERROR(bütünleme!O20*100/bütünleme!$I20,"")</f>
        <v/>
      </c>
      <c r="E323" s="39" t="str">
        <f>IFERROR(bütünleme!P20*100/bütünleme!$I20,"")</f>
        <v/>
      </c>
      <c r="F323" s="39" t="str">
        <f>IFERROR(bütünleme!Q20*100/bütünleme!$I20,"")</f>
        <v/>
      </c>
      <c r="G323" s="39" t="str">
        <f>IFERROR(bütünleme!R20*100/bütünleme!$I20,"")</f>
        <v/>
      </c>
      <c r="H323" s="39" t="str">
        <f>IFERROR(bütünleme!S20*100/bütünleme!$I20,"")</f>
        <v/>
      </c>
      <c r="I323" s="39" t="str">
        <f>IFERROR(bütünleme!T20*100/bütünleme!$I20,"")</f>
        <v/>
      </c>
      <c r="J323" s="39" t="str">
        <f>IFERROR(bütünleme!U20*100/bütünleme!$I20,"")</f>
        <v/>
      </c>
      <c r="K323" s="39" t="str">
        <f>IFERROR(bütünleme!V20*100/bütünleme!$I20,"")</f>
        <v/>
      </c>
      <c r="L323" s="39" t="str">
        <f>IFERROR(bütünleme!W20*100/bütünleme!$I20,"")</f>
        <v/>
      </c>
      <c r="M323" s="39" t="str">
        <f>IFERROR(bütünleme!X20*100/bütünleme!$I20,"")</f>
        <v/>
      </c>
      <c r="N323" s="39" t="str">
        <f>IFERROR(bütünleme!Y20*100/bütünleme!$I20,"")</f>
        <v/>
      </c>
      <c r="O323" s="39" t="str">
        <f>IFERROR(bütünleme!Z20*100/bütünleme!$I20,"")</f>
        <v/>
      </c>
      <c r="P323" s="39" t="str">
        <f>IFERROR(bütünleme!AA20*100/bütünleme!$I20,"")</f>
        <v/>
      </c>
      <c r="Q323" s="39" t="str">
        <f>IFERROR(bütünleme!AB20*100/bütünleme!$I20,"")</f>
        <v/>
      </c>
      <c r="R323" s="39" t="str">
        <f>IFERROR(bütünleme!AC20*100/bütünleme!$I20,"")</f>
        <v/>
      </c>
      <c r="S323" s="39" t="str">
        <f>IFERROR(bütünleme!AD20*100/bütünleme!$I20,"")</f>
        <v/>
      </c>
      <c r="T323" s="39" t="str">
        <f>IFERROR(bütünleme!AE20*100/bütünleme!$I20,"")</f>
        <v/>
      </c>
      <c r="U323" s="39" t="str">
        <f>IFERROR(bütünleme!AF20*100/bütünleme!$I20,"")</f>
        <v/>
      </c>
      <c r="V323" s="39" t="str">
        <f>IFERROR(bütünleme!AG20*100/bütünleme!$I20,"")</f>
        <v/>
      </c>
      <c r="W323" s="39" t="str">
        <f>IFERROR(bütünleme!AH20*100/bütünleme!$I20,"")</f>
        <v/>
      </c>
      <c r="X323" s="39" t="str">
        <f>IFERROR(bütünleme!AI20*100/bütünleme!$I20,"")</f>
        <v/>
      </c>
      <c r="Y323" s="39" t="str">
        <f>IFERROR(bütünleme!AJ20*100/bütünleme!$I20,"")</f>
        <v/>
      </c>
      <c r="Z323" s="39" t="str">
        <f>IFERROR(bütünleme!AK20*100/bütünleme!$I20,"")</f>
        <v/>
      </c>
      <c r="AA323" s="39" t="str">
        <f>IFERROR(bütünleme!AL20*100/bütünleme!$I20,"")</f>
        <v/>
      </c>
      <c r="AB323" s="39" t="str">
        <f>IFERROR(bütünleme!AM20*100/bütünleme!$I20,"")</f>
        <v/>
      </c>
      <c r="AC323" s="39" t="str">
        <f>IFERROR(bütünleme!AN20*100/bütünleme!$I20,"")</f>
        <v/>
      </c>
      <c r="AD323" s="39" t="str">
        <f>IFERROR(bütünleme!AO20*100/bütünleme!$I20,"")</f>
        <v/>
      </c>
      <c r="AE323" s="39" t="str">
        <f>IFERROR(bütünleme!AP20*100/bütünleme!$I20,"")</f>
        <v/>
      </c>
      <c r="AF323" s="39" t="str">
        <f>IFERROR(bütünleme!AQ20*100/bütünleme!$I20,"")</f>
        <v/>
      </c>
      <c r="AG323" s="39" t="str">
        <f>IFERROR(bütünleme!AR20*100/bütünleme!$I20,"")</f>
        <v/>
      </c>
      <c r="AH323" s="39" t="str">
        <f>IFERROR(bütünleme!AS20*100/bütünleme!$I20,"")</f>
        <v/>
      </c>
      <c r="AI323" s="39" t="str">
        <f>IFERROR(bütünleme!AT20*100/bütünleme!$I20,"")</f>
        <v/>
      </c>
      <c r="AJ323" s="39" t="str">
        <f>IFERROR(bütünleme!AU20*100/bütünleme!$I20,"")</f>
        <v/>
      </c>
      <c r="AK323" s="39" t="str">
        <f>IFERROR(bütünleme!AV20*100/bütünleme!$I20,"")</f>
        <v/>
      </c>
      <c r="AL323" s="39" t="str">
        <f>IFERROR(bütünleme!AW20*100/bütünleme!$I20,"")</f>
        <v/>
      </c>
      <c r="AM323" s="39" t="str">
        <f>IFERROR(bütünleme!AX20*100/bütünleme!$I20,"")</f>
        <v/>
      </c>
      <c r="AN323" s="39" t="str">
        <f>IFERROR(bütünleme!AY20*100/bütünleme!$I20,"")</f>
        <v/>
      </c>
      <c r="AO323" s="39" t="str">
        <f>IFERROR(bütünleme!AZ20*100/bütünleme!$I20,"")</f>
        <v/>
      </c>
      <c r="AP323" s="39" t="str">
        <f>IFERROR(bütünleme!BA20*100/bütünleme!$I20,"")</f>
        <v/>
      </c>
      <c r="AQ323" s="39" t="str">
        <f>IFERROR(bütünleme!BB20*100/bütünleme!$I20,"")</f>
        <v/>
      </c>
      <c r="AR323" s="39" t="str">
        <f>IFERROR(bütünleme!BC20*100/bütünleme!$I20,"")</f>
        <v/>
      </c>
      <c r="AS323" s="39" t="str">
        <f>IFERROR(bütünleme!BD20*100/bütünleme!$I20,"")</f>
        <v/>
      </c>
      <c r="AT323" s="39" t="str">
        <f>IFERROR(bütünleme!BE20*100/bütünleme!$I20,"")</f>
        <v/>
      </c>
      <c r="AU323" s="39" t="str">
        <f>IFERROR(bütünleme!BF20*100/bütünleme!$I20,"")</f>
        <v/>
      </c>
      <c r="AV323" s="39" t="str">
        <f>IFERROR(bütünleme!BG20*100/bütünleme!$I20,"")</f>
        <v/>
      </c>
      <c r="AW323" s="39" t="str">
        <f>IFERROR(bütünleme!BH20*100/bütünleme!$I20,"")</f>
        <v/>
      </c>
      <c r="AX323" s="39" t="str">
        <f>IFERROR(bütünleme!BI20*100/bütünleme!$I20,"")</f>
        <v/>
      </c>
      <c r="AY323" s="39" t="str">
        <f>IFERROR(bütünleme!BJ20*100/bütünleme!$I20,"")</f>
        <v/>
      </c>
      <c r="AZ323" s="39" t="str">
        <f>IFERROR(bütünleme!BK20*100/bütünleme!$I20,"")</f>
        <v/>
      </c>
      <c r="BA323" s="39" t="str">
        <f>IFERROR(bütünleme!BL20*100/bütünleme!$I20,"")</f>
        <v/>
      </c>
      <c r="BB323" s="39" t="str">
        <f>IFERROR(bütünleme!BM20*100/bütünleme!$I20,"")</f>
        <v/>
      </c>
      <c r="BC323" s="39" t="str">
        <f>IFERROR(bütünleme!BN20*100/bütünleme!$I20,"")</f>
        <v/>
      </c>
      <c r="BD323" s="39" t="str">
        <f>IFERROR(bütünleme!BO20*100/bütünleme!$I20,"")</f>
        <v/>
      </c>
      <c r="BE323" s="39" t="str">
        <f>IFERROR(bütünleme!BP20*100/bütünleme!$I20,"")</f>
        <v/>
      </c>
      <c r="BF323" s="39" t="str">
        <f>IFERROR(bütünleme!BQ20*100/bütünleme!$I20,"")</f>
        <v/>
      </c>
      <c r="BG323" s="39" t="str">
        <f>IFERROR(bütünleme!BR20*100/bütünleme!$I20,"")</f>
        <v/>
      </c>
      <c r="BH323" s="39" t="str">
        <f>IFERROR(bütünleme!BS20*100/bütünleme!$I20,"")</f>
        <v/>
      </c>
      <c r="BI323" s="39" t="str">
        <f>IFERROR(bütünleme!BT20*100/bütünleme!$I20,"")</f>
        <v/>
      </c>
      <c r="BJ323" s="39" t="str">
        <f>IFERROR(bütünleme!BU20*100/bütünleme!$I20,"")</f>
        <v/>
      </c>
      <c r="BK323" s="39" t="str">
        <f>IFERROR(bütünleme!BV20*100/bütünleme!$I20,"")</f>
        <v/>
      </c>
      <c r="BL323" s="39" t="str">
        <f>IFERROR(bütünleme!BW20*100/bütünleme!$I20,"")</f>
        <v/>
      </c>
      <c r="BM323" s="39" t="str">
        <f>IFERROR(bütünleme!BX20*100/bütünleme!$I20,"")</f>
        <v/>
      </c>
      <c r="BN323" s="39" t="str">
        <f>IFERROR(bütünleme!BY20*100/bütünleme!$I20,"")</f>
        <v/>
      </c>
      <c r="BO323" s="39" t="str">
        <f>IFERROR(bütünleme!BZ20*100/bütünleme!$I20,"")</f>
        <v/>
      </c>
      <c r="BP323" s="39" t="str">
        <f>IFERROR(bütünleme!CA20*100/bütünleme!$I20,"")</f>
        <v/>
      </c>
      <c r="BQ323" s="39" t="str">
        <f>IFERROR(bütünleme!CB20*100/bütünleme!$I20,"")</f>
        <v/>
      </c>
      <c r="BR323" s="39" t="str">
        <f>IFERROR(bütünleme!CC20*100/bütünleme!$I20,"")</f>
        <v/>
      </c>
      <c r="BS323" s="39" t="str">
        <f>IFERROR(bütünleme!CD20*100/bütünleme!$I20,"")</f>
        <v/>
      </c>
      <c r="BT323" s="39" t="str">
        <f>IFERROR(bütünleme!CE20*100/bütünleme!$I20,"")</f>
        <v/>
      </c>
      <c r="BU323" s="39" t="str">
        <f>IFERROR(bütünleme!CF20*100/bütünleme!$I20,"")</f>
        <v/>
      </c>
      <c r="BV323" s="39" t="str">
        <f>IFERROR(bütünleme!CG20*100/bütünleme!$I20,"")</f>
        <v/>
      </c>
      <c r="BW323" s="39" t="str">
        <f>IFERROR(bütünleme!CH20*100/bütünleme!$I20,"")</f>
        <v/>
      </c>
      <c r="BX323" s="39" t="str">
        <f>IFERROR(bütünleme!CI20*100/bütünleme!$I20,"")</f>
        <v/>
      </c>
      <c r="BY323" s="39" t="str">
        <f>IFERROR(bütünleme!CJ20*100/bütünleme!$I20,"")</f>
        <v/>
      </c>
      <c r="BZ323" s="39" t="str">
        <f>IFERROR(bütünleme!CK20*100/bütünleme!$I20,"")</f>
        <v/>
      </c>
      <c r="CA323" s="39" t="str">
        <f>IFERROR(bütünleme!CL20*100/bütünleme!$I20,"")</f>
        <v/>
      </c>
      <c r="CB323" s="39" t="str">
        <f>IFERROR(bütünleme!CM20*100/bütünleme!$I20,"")</f>
        <v/>
      </c>
      <c r="CC323" s="39" t="str">
        <f>IFERROR(bütünleme!CN20*100/bütünleme!$I20,"")</f>
        <v/>
      </c>
      <c r="CD323" s="39" t="str">
        <f>IFERROR(bütünleme!CO20*100/bütünleme!$I20,"")</f>
        <v/>
      </c>
      <c r="CE323" s="39" t="str">
        <f>IFERROR(bütünleme!CP20*100/bütünleme!$I20,"")</f>
        <v/>
      </c>
      <c r="CF323" s="39" t="str">
        <f>IFERROR(bütünleme!CQ20*100/bütünleme!$I20,"")</f>
        <v/>
      </c>
      <c r="CG323" s="39" t="str">
        <f>IFERROR(bütünleme!CR20*100/bütünleme!$I20,"")</f>
        <v/>
      </c>
      <c r="CH323" s="39" t="str">
        <f>IFERROR(bütünleme!CS20*100/bütünleme!$I20,"")</f>
        <v/>
      </c>
      <c r="CI323" s="39" t="str">
        <f>IFERROR(bütünleme!CT20*100/bütünleme!$I20,"")</f>
        <v/>
      </c>
      <c r="CJ323" s="39" t="str">
        <f>IFERROR(bütünleme!CU20*100/bütünleme!$I20,"")</f>
        <v/>
      </c>
      <c r="CK323" s="39" t="str">
        <f>IFERROR(bütünleme!CV20*100/bütünleme!$I20,"")</f>
        <v/>
      </c>
      <c r="CL323" s="39" t="str">
        <f>IFERROR(bütünleme!CW20*100/bütünleme!$I20,"")</f>
        <v/>
      </c>
      <c r="CM323" s="39" t="str">
        <f>IFERROR(bütünleme!CX20*100/bütünleme!$I20,"")</f>
        <v/>
      </c>
      <c r="CN323" s="39" t="str">
        <f>IFERROR(bütünleme!CY20*100/bütünleme!$I20,"")</f>
        <v/>
      </c>
      <c r="CO323" s="39" t="str">
        <f>IFERROR(bütünleme!CZ20*100/bütünleme!$I20,"")</f>
        <v/>
      </c>
      <c r="CP323" s="39" t="str">
        <f>IFERROR(bütünleme!DA20*100/bütünleme!$I20,"")</f>
        <v/>
      </c>
      <c r="CQ323" s="39" t="str">
        <f>IFERROR(bütünleme!DB20*100/bütünleme!$I20,"")</f>
        <v/>
      </c>
      <c r="CR323" s="39" t="str">
        <f>IFERROR(bütünleme!DC20*100/bütünleme!$I20,"")</f>
        <v/>
      </c>
      <c r="CS323" s="39" t="str">
        <f>IFERROR(bütünleme!DD20*100/bütünleme!$I20,"")</f>
        <v/>
      </c>
      <c r="CT323" s="39" t="str">
        <f>IFERROR(bütünleme!DE20*100/bütünleme!$I20,"")</f>
        <v/>
      </c>
      <c r="CU323" s="39" t="str">
        <f>IFERROR(bütünleme!DF20*100/bütünleme!$I20,"")</f>
        <v/>
      </c>
      <c r="CV323" s="39" t="str">
        <f>IFERROR(bütünleme!DG20*100/bütünleme!$I20,"")</f>
        <v/>
      </c>
      <c r="CW323" s="36" t="str">
        <f>IFERROR(SUM(A323:CV323)/bütünleme!$DH$103,"")</f>
        <v/>
      </c>
      <c r="CX323" s="14" t="str">
        <f>IF(COUNTA(bütünleme!A20),bütünleme!A20,"")</f>
        <v/>
      </c>
      <c r="CY323" s="14" t="str">
        <f>IF(COUNTA(bütünleme!B20),bütünleme!B20,"")</f>
        <v/>
      </c>
      <c r="CZ323" s="14" t="str">
        <f>IF(COUNTA(bütünleme!C20),bütünleme!C20,"")</f>
        <v/>
      </c>
      <c r="DA323" s="14" t="str">
        <f>IF(COUNTA(bütünleme!D20),bütünleme!D20,"")</f>
        <v/>
      </c>
      <c r="DB323" s="14" t="str">
        <f>IF(COUNTA(bütünleme!E20),bütünleme!E20,"")</f>
        <v/>
      </c>
      <c r="DC323" s="14" t="str">
        <f>IF(COUNTA(bütünleme!F20),bütünleme!F20,"")</f>
        <v/>
      </c>
      <c r="DD323" s="14" t="str">
        <f>IF(COUNTA(bütünleme!G20),bütünleme!G20,"")</f>
        <v/>
      </c>
      <c r="DE323" s="14" t="str">
        <f>IF(COUNTA(bütünleme!H20),bütünleme!H20,"")</f>
        <v/>
      </c>
    </row>
    <row r="324" spans="1:109" x14ac:dyDescent="0.2">
      <c r="A324" s="39" t="str">
        <f>IFERROR(bütünleme!L21*100/bütünleme!$I21,"")</f>
        <v/>
      </c>
      <c r="B324" s="39" t="str">
        <f>IFERROR(bütünleme!M21*100/bütünleme!$I21,"")</f>
        <v/>
      </c>
      <c r="C324" s="39" t="str">
        <f>IFERROR(bütünleme!N21*100/bütünleme!$I21,"")</f>
        <v/>
      </c>
      <c r="D324" s="39" t="str">
        <f>IFERROR(bütünleme!O21*100/bütünleme!$I21,"")</f>
        <v/>
      </c>
      <c r="E324" s="39" t="str">
        <f>IFERROR(bütünleme!P21*100/bütünleme!$I21,"")</f>
        <v/>
      </c>
      <c r="F324" s="39" t="str">
        <f>IFERROR(bütünleme!Q21*100/bütünleme!$I21,"")</f>
        <v/>
      </c>
      <c r="G324" s="39" t="str">
        <f>IFERROR(bütünleme!R21*100/bütünleme!$I21,"")</f>
        <v/>
      </c>
      <c r="H324" s="39" t="str">
        <f>IFERROR(bütünleme!S21*100/bütünleme!$I21,"")</f>
        <v/>
      </c>
      <c r="I324" s="39" t="str">
        <f>IFERROR(bütünleme!T21*100/bütünleme!$I21,"")</f>
        <v/>
      </c>
      <c r="J324" s="39" t="str">
        <f>IFERROR(bütünleme!U21*100/bütünleme!$I21,"")</f>
        <v/>
      </c>
      <c r="K324" s="39" t="str">
        <f>IFERROR(bütünleme!V21*100/bütünleme!$I21,"")</f>
        <v/>
      </c>
      <c r="L324" s="39" t="str">
        <f>IFERROR(bütünleme!W21*100/bütünleme!$I21,"")</f>
        <v/>
      </c>
      <c r="M324" s="39" t="str">
        <f>IFERROR(bütünleme!X21*100/bütünleme!$I21,"")</f>
        <v/>
      </c>
      <c r="N324" s="39" t="str">
        <f>IFERROR(bütünleme!Y21*100/bütünleme!$I21,"")</f>
        <v/>
      </c>
      <c r="O324" s="39" t="str">
        <f>IFERROR(bütünleme!Z21*100/bütünleme!$I21,"")</f>
        <v/>
      </c>
      <c r="P324" s="39" t="str">
        <f>IFERROR(bütünleme!AA21*100/bütünleme!$I21,"")</f>
        <v/>
      </c>
      <c r="Q324" s="39" t="str">
        <f>IFERROR(bütünleme!AB21*100/bütünleme!$I21,"")</f>
        <v/>
      </c>
      <c r="R324" s="39" t="str">
        <f>IFERROR(bütünleme!AC21*100/bütünleme!$I21,"")</f>
        <v/>
      </c>
      <c r="S324" s="39" t="str">
        <f>IFERROR(bütünleme!AD21*100/bütünleme!$I21,"")</f>
        <v/>
      </c>
      <c r="T324" s="39" t="str">
        <f>IFERROR(bütünleme!AE21*100/bütünleme!$I21,"")</f>
        <v/>
      </c>
      <c r="U324" s="39" t="str">
        <f>IFERROR(bütünleme!AF21*100/bütünleme!$I21,"")</f>
        <v/>
      </c>
      <c r="V324" s="39" t="str">
        <f>IFERROR(bütünleme!AG21*100/bütünleme!$I21,"")</f>
        <v/>
      </c>
      <c r="W324" s="39" t="str">
        <f>IFERROR(bütünleme!AH21*100/bütünleme!$I21,"")</f>
        <v/>
      </c>
      <c r="X324" s="39" t="str">
        <f>IFERROR(bütünleme!AI21*100/bütünleme!$I21,"")</f>
        <v/>
      </c>
      <c r="Y324" s="39" t="str">
        <f>IFERROR(bütünleme!AJ21*100/bütünleme!$I21,"")</f>
        <v/>
      </c>
      <c r="Z324" s="39" t="str">
        <f>IFERROR(bütünleme!AK21*100/bütünleme!$I21,"")</f>
        <v/>
      </c>
      <c r="AA324" s="39" t="str">
        <f>IFERROR(bütünleme!AL21*100/bütünleme!$I21,"")</f>
        <v/>
      </c>
      <c r="AB324" s="39" t="str">
        <f>IFERROR(bütünleme!AM21*100/bütünleme!$I21,"")</f>
        <v/>
      </c>
      <c r="AC324" s="39" t="str">
        <f>IFERROR(bütünleme!AN21*100/bütünleme!$I21,"")</f>
        <v/>
      </c>
      <c r="AD324" s="39" t="str">
        <f>IFERROR(bütünleme!AO21*100/bütünleme!$I21,"")</f>
        <v/>
      </c>
      <c r="AE324" s="39" t="str">
        <f>IFERROR(bütünleme!AP21*100/bütünleme!$I21,"")</f>
        <v/>
      </c>
      <c r="AF324" s="39" t="str">
        <f>IFERROR(bütünleme!AQ21*100/bütünleme!$I21,"")</f>
        <v/>
      </c>
      <c r="AG324" s="39" t="str">
        <f>IFERROR(bütünleme!AR21*100/bütünleme!$I21,"")</f>
        <v/>
      </c>
      <c r="AH324" s="39" t="str">
        <f>IFERROR(bütünleme!AS21*100/bütünleme!$I21,"")</f>
        <v/>
      </c>
      <c r="AI324" s="39" t="str">
        <f>IFERROR(bütünleme!AT21*100/bütünleme!$I21,"")</f>
        <v/>
      </c>
      <c r="AJ324" s="39" t="str">
        <f>IFERROR(bütünleme!AU21*100/bütünleme!$I21,"")</f>
        <v/>
      </c>
      <c r="AK324" s="39" t="str">
        <f>IFERROR(bütünleme!AV21*100/bütünleme!$I21,"")</f>
        <v/>
      </c>
      <c r="AL324" s="39" t="str">
        <f>IFERROR(bütünleme!AW21*100/bütünleme!$I21,"")</f>
        <v/>
      </c>
      <c r="AM324" s="39" t="str">
        <f>IFERROR(bütünleme!AX21*100/bütünleme!$I21,"")</f>
        <v/>
      </c>
      <c r="AN324" s="39" t="str">
        <f>IFERROR(bütünleme!AY21*100/bütünleme!$I21,"")</f>
        <v/>
      </c>
      <c r="AO324" s="39" t="str">
        <f>IFERROR(bütünleme!AZ21*100/bütünleme!$I21,"")</f>
        <v/>
      </c>
      <c r="AP324" s="39" t="str">
        <f>IFERROR(bütünleme!BA21*100/bütünleme!$I21,"")</f>
        <v/>
      </c>
      <c r="AQ324" s="39" t="str">
        <f>IFERROR(bütünleme!BB21*100/bütünleme!$I21,"")</f>
        <v/>
      </c>
      <c r="AR324" s="39" t="str">
        <f>IFERROR(bütünleme!BC21*100/bütünleme!$I21,"")</f>
        <v/>
      </c>
      <c r="AS324" s="39" t="str">
        <f>IFERROR(bütünleme!BD21*100/bütünleme!$I21,"")</f>
        <v/>
      </c>
      <c r="AT324" s="39" t="str">
        <f>IFERROR(bütünleme!BE21*100/bütünleme!$I21,"")</f>
        <v/>
      </c>
      <c r="AU324" s="39" t="str">
        <f>IFERROR(bütünleme!BF21*100/bütünleme!$I21,"")</f>
        <v/>
      </c>
      <c r="AV324" s="39" t="str">
        <f>IFERROR(bütünleme!BG21*100/bütünleme!$I21,"")</f>
        <v/>
      </c>
      <c r="AW324" s="39" t="str">
        <f>IFERROR(bütünleme!BH21*100/bütünleme!$I21,"")</f>
        <v/>
      </c>
      <c r="AX324" s="39" t="str">
        <f>IFERROR(bütünleme!BI21*100/bütünleme!$I21,"")</f>
        <v/>
      </c>
      <c r="AY324" s="39" t="str">
        <f>IFERROR(bütünleme!BJ21*100/bütünleme!$I21,"")</f>
        <v/>
      </c>
      <c r="AZ324" s="39" t="str">
        <f>IFERROR(bütünleme!BK21*100/bütünleme!$I21,"")</f>
        <v/>
      </c>
      <c r="BA324" s="39" t="str">
        <f>IFERROR(bütünleme!BL21*100/bütünleme!$I21,"")</f>
        <v/>
      </c>
      <c r="BB324" s="39" t="str">
        <f>IFERROR(bütünleme!BM21*100/bütünleme!$I21,"")</f>
        <v/>
      </c>
      <c r="BC324" s="39" t="str">
        <f>IFERROR(bütünleme!BN21*100/bütünleme!$I21,"")</f>
        <v/>
      </c>
      <c r="BD324" s="39" t="str">
        <f>IFERROR(bütünleme!BO21*100/bütünleme!$I21,"")</f>
        <v/>
      </c>
      <c r="BE324" s="39" t="str">
        <f>IFERROR(bütünleme!BP21*100/bütünleme!$I21,"")</f>
        <v/>
      </c>
      <c r="BF324" s="39" t="str">
        <f>IFERROR(bütünleme!BQ21*100/bütünleme!$I21,"")</f>
        <v/>
      </c>
      <c r="BG324" s="39" t="str">
        <f>IFERROR(bütünleme!BR21*100/bütünleme!$I21,"")</f>
        <v/>
      </c>
      <c r="BH324" s="39" t="str">
        <f>IFERROR(bütünleme!BS21*100/bütünleme!$I21,"")</f>
        <v/>
      </c>
      <c r="BI324" s="39" t="str">
        <f>IFERROR(bütünleme!BT21*100/bütünleme!$I21,"")</f>
        <v/>
      </c>
      <c r="BJ324" s="39" t="str">
        <f>IFERROR(bütünleme!BU21*100/bütünleme!$I21,"")</f>
        <v/>
      </c>
      <c r="BK324" s="39" t="str">
        <f>IFERROR(bütünleme!BV21*100/bütünleme!$I21,"")</f>
        <v/>
      </c>
      <c r="BL324" s="39" t="str">
        <f>IFERROR(bütünleme!BW21*100/bütünleme!$I21,"")</f>
        <v/>
      </c>
      <c r="BM324" s="39" t="str">
        <f>IFERROR(bütünleme!BX21*100/bütünleme!$I21,"")</f>
        <v/>
      </c>
      <c r="BN324" s="39" t="str">
        <f>IFERROR(bütünleme!BY21*100/bütünleme!$I21,"")</f>
        <v/>
      </c>
      <c r="BO324" s="39" t="str">
        <f>IFERROR(bütünleme!BZ21*100/bütünleme!$I21,"")</f>
        <v/>
      </c>
      <c r="BP324" s="39" t="str">
        <f>IFERROR(bütünleme!CA21*100/bütünleme!$I21,"")</f>
        <v/>
      </c>
      <c r="BQ324" s="39" t="str">
        <f>IFERROR(bütünleme!CB21*100/bütünleme!$I21,"")</f>
        <v/>
      </c>
      <c r="BR324" s="39" t="str">
        <f>IFERROR(bütünleme!CC21*100/bütünleme!$I21,"")</f>
        <v/>
      </c>
      <c r="BS324" s="39" t="str">
        <f>IFERROR(bütünleme!CD21*100/bütünleme!$I21,"")</f>
        <v/>
      </c>
      <c r="BT324" s="39" t="str">
        <f>IFERROR(bütünleme!CE21*100/bütünleme!$I21,"")</f>
        <v/>
      </c>
      <c r="BU324" s="39" t="str">
        <f>IFERROR(bütünleme!CF21*100/bütünleme!$I21,"")</f>
        <v/>
      </c>
      <c r="BV324" s="39" t="str">
        <f>IFERROR(bütünleme!CG21*100/bütünleme!$I21,"")</f>
        <v/>
      </c>
      <c r="BW324" s="39" t="str">
        <f>IFERROR(bütünleme!CH21*100/bütünleme!$I21,"")</f>
        <v/>
      </c>
      <c r="BX324" s="39" t="str">
        <f>IFERROR(bütünleme!CI21*100/bütünleme!$I21,"")</f>
        <v/>
      </c>
      <c r="BY324" s="39" t="str">
        <f>IFERROR(bütünleme!CJ21*100/bütünleme!$I21,"")</f>
        <v/>
      </c>
      <c r="BZ324" s="39" t="str">
        <f>IFERROR(bütünleme!CK21*100/bütünleme!$I21,"")</f>
        <v/>
      </c>
      <c r="CA324" s="39" t="str">
        <f>IFERROR(bütünleme!CL21*100/bütünleme!$I21,"")</f>
        <v/>
      </c>
      <c r="CB324" s="39" t="str">
        <f>IFERROR(bütünleme!CM21*100/bütünleme!$I21,"")</f>
        <v/>
      </c>
      <c r="CC324" s="39" t="str">
        <f>IFERROR(bütünleme!CN21*100/bütünleme!$I21,"")</f>
        <v/>
      </c>
      <c r="CD324" s="39" t="str">
        <f>IFERROR(bütünleme!CO21*100/bütünleme!$I21,"")</f>
        <v/>
      </c>
      <c r="CE324" s="39" t="str">
        <f>IFERROR(bütünleme!CP21*100/bütünleme!$I21,"")</f>
        <v/>
      </c>
      <c r="CF324" s="39" t="str">
        <f>IFERROR(bütünleme!CQ21*100/bütünleme!$I21,"")</f>
        <v/>
      </c>
      <c r="CG324" s="39" t="str">
        <f>IFERROR(bütünleme!CR21*100/bütünleme!$I21,"")</f>
        <v/>
      </c>
      <c r="CH324" s="39" t="str">
        <f>IFERROR(bütünleme!CS21*100/bütünleme!$I21,"")</f>
        <v/>
      </c>
      <c r="CI324" s="39" t="str">
        <f>IFERROR(bütünleme!CT21*100/bütünleme!$I21,"")</f>
        <v/>
      </c>
      <c r="CJ324" s="39" t="str">
        <f>IFERROR(bütünleme!CU21*100/bütünleme!$I21,"")</f>
        <v/>
      </c>
      <c r="CK324" s="39" t="str">
        <f>IFERROR(bütünleme!CV21*100/bütünleme!$I21,"")</f>
        <v/>
      </c>
      <c r="CL324" s="39" t="str">
        <f>IFERROR(bütünleme!CW21*100/bütünleme!$I21,"")</f>
        <v/>
      </c>
      <c r="CM324" s="39" t="str">
        <f>IFERROR(bütünleme!CX21*100/bütünleme!$I21,"")</f>
        <v/>
      </c>
      <c r="CN324" s="39" t="str">
        <f>IFERROR(bütünleme!CY21*100/bütünleme!$I21,"")</f>
        <v/>
      </c>
      <c r="CO324" s="39" t="str">
        <f>IFERROR(bütünleme!CZ21*100/bütünleme!$I21,"")</f>
        <v/>
      </c>
      <c r="CP324" s="39" t="str">
        <f>IFERROR(bütünleme!DA21*100/bütünleme!$I21,"")</f>
        <v/>
      </c>
      <c r="CQ324" s="39" t="str">
        <f>IFERROR(bütünleme!DB21*100/bütünleme!$I21,"")</f>
        <v/>
      </c>
      <c r="CR324" s="39" t="str">
        <f>IFERROR(bütünleme!DC21*100/bütünleme!$I21,"")</f>
        <v/>
      </c>
      <c r="CS324" s="39" t="str">
        <f>IFERROR(bütünleme!DD21*100/bütünleme!$I21,"")</f>
        <v/>
      </c>
      <c r="CT324" s="39" t="str">
        <f>IFERROR(bütünleme!DE21*100/bütünleme!$I21,"")</f>
        <v/>
      </c>
      <c r="CU324" s="39" t="str">
        <f>IFERROR(bütünleme!DF21*100/bütünleme!$I21,"")</f>
        <v/>
      </c>
      <c r="CV324" s="39" t="str">
        <f>IFERROR(bütünleme!DG21*100/bütünleme!$I21,"")</f>
        <v/>
      </c>
      <c r="CW324" s="36" t="str">
        <f>IFERROR(SUM(A324:CV324)/bütünleme!$DH$103,"")</f>
        <v/>
      </c>
      <c r="CX324" s="14" t="str">
        <f>IF(COUNTA(bütünleme!A21),bütünleme!A21,"")</f>
        <v/>
      </c>
      <c r="CY324" s="14" t="str">
        <f>IF(COUNTA(bütünleme!B21),bütünleme!B21,"")</f>
        <v/>
      </c>
      <c r="CZ324" s="14" t="str">
        <f>IF(COUNTA(bütünleme!C21),bütünleme!C21,"")</f>
        <v/>
      </c>
      <c r="DA324" s="14" t="str">
        <f>IF(COUNTA(bütünleme!D21),bütünleme!D21,"")</f>
        <v/>
      </c>
      <c r="DB324" s="14" t="str">
        <f>IF(COUNTA(bütünleme!E21),bütünleme!E21,"")</f>
        <v/>
      </c>
      <c r="DC324" s="14" t="str">
        <f>IF(COUNTA(bütünleme!F21),bütünleme!F21,"")</f>
        <v/>
      </c>
      <c r="DD324" s="14" t="str">
        <f>IF(COUNTA(bütünleme!G21),bütünleme!G21,"")</f>
        <v/>
      </c>
      <c r="DE324" s="14" t="str">
        <f>IF(COUNTA(bütünleme!H21),bütünleme!H21,"")</f>
        <v/>
      </c>
    </row>
    <row r="325" spans="1:109" x14ac:dyDescent="0.2">
      <c r="A325" s="39" t="str">
        <f>IFERROR(bütünleme!L22*100/bütünleme!$I22,"")</f>
        <v/>
      </c>
      <c r="B325" s="39" t="str">
        <f>IFERROR(bütünleme!M22*100/bütünleme!$I22,"")</f>
        <v/>
      </c>
      <c r="C325" s="39" t="str">
        <f>IFERROR(bütünleme!N22*100/bütünleme!$I22,"")</f>
        <v/>
      </c>
      <c r="D325" s="39" t="str">
        <f>IFERROR(bütünleme!O22*100/bütünleme!$I22,"")</f>
        <v/>
      </c>
      <c r="E325" s="39" t="str">
        <f>IFERROR(bütünleme!P22*100/bütünleme!$I22,"")</f>
        <v/>
      </c>
      <c r="F325" s="39" t="str">
        <f>IFERROR(bütünleme!Q22*100/bütünleme!$I22,"")</f>
        <v/>
      </c>
      <c r="G325" s="39" t="str">
        <f>IFERROR(bütünleme!R22*100/bütünleme!$I22,"")</f>
        <v/>
      </c>
      <c r="H325" s="39" t="str">
        <f>IFERROR(bütünleme!S22*100/bütünleme!$I22,"")</f>
        <v/>
      </c>
      <c r="I325" s="39" t="str">
        <f>IFERROR(bütünleme!T22*100/bütünleme!$I22,"")</f>
        <v/>
      </c>
      <c r="J325" s="39" t="str">
        <f>IFERROR(bütünleme!U22*100/bütünleme!$I22,"")</f>
        <v/>
      </c>
      <c r="K325" s="39" t="str">
        <f>IFERROR(bütünleme!V22*100/bütünleme!$I22,"")</f>
        <v/>
      </c>
      <c r="L325" s="39" t="str">
        <f>IFERROR(bütünleme!W22*100/bütünleme!$I22,"")</f>
        <v/>
      </c>
      <c r="M325" s="39" t="str">
        <f>IFERROR(bütünleme!X22*100/bütünleme!$I22,"")</f>
        <v/>
      </c>
      <c r="N325" s="39" t="str">
        <f>IFERROR(bütünleme!Y22*100/bütünleme!$I22,"")</f>
        <v/>
      </c>
      <c r="O325" s="39" t="str">
        <f>IFERROR(bütünleme!Z22*100/bütünleme!$I22,"")</f>
        <v/>
      </c>
      <c r="P325" s="39" t="str">
        <f>IFERROR(bütünleme!AA22*100/bütünleme!$I22,"")</f>
        <v/>
      </c>
      <c r="Q325" s="39" t="str">
        <f>IFERROR(bütünleme!AB22*100/bütünleme!$I22,"")</f>
        <v/>
      </c>
      <c r="R325" s="39" t="str">
        <f>IFERROR(bütünleme!AC22*100/bütünleme!$I22,"")</f>
        <v/>
      </c>
      <c r="S325" s="39" t="str">
        <f>IFERROR(bütünleme!AD22*100/bütünleme!$I22,"")</f>
        <v/>
      </c>
      <c r="T325" s="39" t="str">
        <f>IFERROR(bütünleme!AE22*100/bütünleme!$I22,"")</f>
        <v/>
      </c>
      <c r="U325" s="39" t="str">
        <f>IFERROR(bütünleme!AF22*100/bütünleme!$I22,"")</f>
        <v/>
      </c>
      <c r="V325" s="39" t="str">
        <f>IFERROR(bütünleme!AG22*100/bütünleme!$I22,"")</f>
        <v/>
      </c>
      <c r="W325" s="39" t="str">
        <f>IFERROR(bütünleme!AH22*100/bütünleme!$I22,"")</f>
        <v/>
      </c>
      <c r="X325" s="39" t="str">
        <f>IFERROR(bütünleme!AI22*100/bütünleme!$I22,"")</f>
        <v/>
      </c>
      <c r="Y325" s="39" t="str">
        <f>IFERROR(bütünleme!AJ22*100/bütünleme!$I22,"")</f>
        <v/>
      </c>
      <c r="Z325" s="39" t="str">
        <f>IFERROR(bütünleme!AK22*100/bütünleme!$I22,"")</f>
        <v/>
      </c>
      <c r="AA325" s="39" t="str">
        <f>IFERROR(bütünleme!AL22*100/bütünleme!$I22,"")</f>
        <v/>
      </c>
      <c r="AB325" s="39" t="str">
        <f>IFERROR(bütünleme!AM22*100/bütünleme!$I22,"")</f>
        <v/>
      </c>
      <c r="AC325" s="39" t="str">
        <f>IFERROR(bütünleme!AN22*100/bütünleme!$I22,"")</f>
        <v/>
      </c>
      <c r="AD325" s="39" t="str">
        <f>IFERROR(bütünleme!AO22*100/bütünleme!$I22,"")</f>
        <v/>
      </c>
      <c r="AE325" s="39" t="str">
        <f>IFERROR(bütünleme!AP22*100/bütünleme!$I22,"")</f>
        <v/>
      </c>
      <c r="AF325" s="39" t="str">
        <f>IFERROR(bütünleme!AQ22*100/bütünleme!$I22,"")</f>
        <v/>
      </c>
      <c r="AG325" s="39" t="str">
        <f>IFERROR(bütünleme!AR22*100/bütünleme!$I22,"")</f>
        <v/>
      </c>
      <c r="AH325" s="39" t="str">
        <f>IFERROR(bütünleme!AS22*100/bütünleme!$I22,"")</f>
        <v/>
      </c>
      <c r="AI325" s="39" t="str">
        <f>IFERROR(bütünleme!AT22*100/bütünleme!$I22,"")</f>
        <v/>
      </c>
      <c r="AJ325" s="39" t="str">
        <f>IFERROR(bütünleme!AU22*100/bütünleme!$I22,"")</f>
        <v/>
      </c>
      <c r="AK325" s="39" t="str">
        <f>IFERROR(bütünleme!AV22*100/bütünleme!$I22,"")</f>
        <v/>
      </c>
      <c r="AL325" s="39" t="str">
        <f>IFERROR(bütünleme!AW22*100/bütünleme!$I22,"")</f>
        <v/>
      </c>
      <c r="AM325" s="39" t="str">
        <f>IFERROR(bütünleme!AX22*100/bütünleme!$I22,"")</f>
        <v/>
      </c>
      <c r="AN325" s="39" t="str">
        <f>IFERROR(bütünleme!AY22*100/bütünleme!$I22,"")</f>
        <v/>
      </c>
      <c r="AO325" s="39" t="str">
        <f>IFERROR(bütünleme!AZ22*100/bütünleme!$I22,"")</f>
        <v/>
      </c>
      <c r="AP325" s="39" t="str">
        <f>IFERROR(bütünleme!BA22*100/bütünleme!$I22,"")</f>
        <v/>
      </c>
      <c r="AQ325" s="39" t="str">
        <f>IFERROR(bütünleme!BB22*100/bütünleme!$I22,"")</f>
        <v/>
      </c>
      <c r="AR325" s="39" t="str">
        <f>IFERROR(bütünleme!BC22*100/bütünleme!$I22,"")</f>
        <v/>
      </c>
      <c r="AS325" s="39" t="str">
        <f>IFERROR(bütünleme!BD22*100/bütünleme!$I22,"")</f>
        <v/>
      </c>
      <c r="AT325" s="39" t="str">
        <f>IFERROR(bütünleme!BE22*100/bütünleme!$I22,"")</f>
        <v/>
      </c>
      <c r="AU325" s="39" t="str">
        <f>IFERROR(bütünleme!BF22*100/bütünleme!$I22,"")</f>
        <v/>
      </c>
      <c r="AV325" s="39" t="str">
        <f>IFERROR(bütünleme!BG22*100/bütünleme!$I22,"")</f>
        <v/>
      </c>
      <c r="AW325" s="39" t="str">
        <f>IFERROR(bütünleme!BH22*100/bütünleme!$I22,"")</f>
        <v/>
      </c>
      <c r="AX325" s="39" t="str">
        <f>IFERROR(bütünleme!BI22*100/bütünleme!$I22,"")</f>
        <v/>
      </c>
      <c r="AY325" s="39" t="str">
        <f>IFERROR(bütünleme!BJ22*100/bütünleme!$I22,"")</f>
        <v/>
      </c>
      <c r="AZ325" s="39" t="str">
        <f>IFERROR(bütünleme!BK22*100/bütünleme!$I22,"")</f>
        <v/>
      </c>
      <c r="BA325" s="39" t="str">
        <f>IFERROR(bütünleme!BL22*100/bütünleme!$I22,"")</f>
        <v/>
      </c>
      <c r="BB325" s="39" t="str">
        <f>IFERROR(bütünleme!BM22*100/bütünleme!$I22,"")</f>
        <v/>
      </c>
      <c r="BC325" s="39" t="str">
        <f>IFERROR(bütünleme!BN22*100/bütünleme!$I22,"")</f>
        <v/>
      </c>
      <c r="BD325" s="39" t="str">
        <f>IFERROR(bütünleme!BO22*100/bütünleme!$I22,"")</f>
        <v/>
      </c>
      <c r="BE325" s="39" t="str">
        <f>IFERROR(bütünleme!BP22*100/bütünleme!$I22,"")</f>
        <v/>
      </c>
      <c r="BF325" s="39" t="str">
        <f>IFERROR(bütünleme!BQ22*100/bütünleme!$I22,"")</f>
        <v/>
      </c>
      <c r="BG325" s="39" t="str">
        <f>IFERROR(bütünleme!BR22*100/bütünleme!$I22,"")</f>
        <v/>
      </c>
      <c r="BH325" s="39" t="str">
        <f>IFERROR(bütünleme!BS22*100/bütünleme!$I22,"")</f>
        <v/>
      </c>
      <c r="BI325" s="39" t="str">
        <f>IFERROR(bütünleme!BT22*100/bütünleme!$I22,"")</f>
        <v/>
      </c>
      <c r="BJ325" s="39" t="str">
        <f>IFERROR(bütünleme!BU22*100/bütünleme!$I22,"")</f>
        <v/>
      </c>
      <c r="BK325" s="39" t="str">
        <f>IFERROR(bütünleme!BV22*100/bütünleme!$I22,"")</f>
        <v/>
      </c>
      <c r="BL325" s="39" t="str">
        <f>IFERROR(bütünleme!BW22*100/bütünleme!$I22,"")</f>
        <v/>
      </c>
      <c r="BM325" s="39" t="str">
        <f>IFERROR(bütünleme!BX22*100/bütünleme!$I22,"")</f>
        <v/>
      </c>
      <c r="BN325" s="39" t="str">
        <f>IFERROR(bütünleme!BY22*100/bütünleme!$I22,"")</f>
        <v/>
      </c>
      <c r="BO325" s="39" t="str">
        <f>IFERROR(bütünleme!BZ22*100/bütünleme!$I22,"")</f>
        <v/>
      </c>
      <c r="BP325" s="39" t="str">
        <f>IFERROR(bütünleme!CA22*100/bütünleme!$I22,"")</f>
        <v/>
      </c>
      <c r="BQ325" s="39" t="str">
        <f>IFERROR(bütünleme!CB22*100/bütünleme!$I22,"")</f>
        <v/>
      </c>
      <c r="BR325" s="39" t="str">
        <f>IFERROR(bütünleme!CC22*100/bütünleme!$I22,"")</f>
        <v/>
      </c>
      <c r="BS325" s="39" t="str">
        <f>IFERROR(bütünleme!CD22*100/bütünleme!$I22,"")</f>
        <v/>
      </c>
      <c r="BT325" s="39" t="str">
        <f>IFERROR(bütünleme!CE22*100/bütünleme!$I22,"")</f>
        <v/>
      </c>
      <c r="BU325" s="39" t="str">
        <f>IFERROR(bütünleme!CF22*100/bütünleme!$I22,"")</f>
        <v/>
      </c>
      <c r="BV325" s="39" t="str">
        <f>IFERROR(bütünleme!CG22*100/bütünleme!$I22,"")</f>
        <v/>
      </c>
      <c r="BW325" s="39" t="str">
        <f>IFERROR(bütünleme!CH22*100/bütünleme!$I22,"")</f>
        <v/>
      </c>
      <c r="BX325" s="39" t="str">
        <f>IFERROR(bütünleme!CI22*100/bütünleme!$I22,"")</f>
        <v/>
      </c>
      <c r="BY325" s="39" t="str">
        <f>IFERROR(bütünleme!CJ22*100/bütünleme!$I22,"")</f>
        <v/>
      </c>
      <c r="BZ325" s="39" t="str">
        <f>IFERROR(bütünleme!CK22*100/bütünleme!$I22,"")</f>
        <v/>
      </c>
      <c r="CA325" s="39" t="str">
        <f>IFERROR(bütünleme!CL22*100/bütünleme!$I22,"")</f>
        <v/>
      </c>
      <c r="CB325" s="39" t="str">
        <f>IFERROR(bütünleme!CM22*100/bütünleme!$I22,"")</f>
        <v/>
      </c>
      <c r="CC325" s="39" t="str">
        <f>IFERROR(bütünleme!CN22*100/bütünleme!$I22,"")</f>
        <v/>
      </c>
      <c r="CD325" s="39" t="str">
        <f>IFERROR(bütünleme!CO22*100/bütünleme!$I22,"")</f>
        <v/>
      </c>
      <c r="CE325" s="39" t="str">
        <f>IFERROR(bütünleme!CP22*100/bütünleme!$I22,"")</f>
        <v/>
      </c>
      <c r="CF325" s="39" t="str">
        <f>IFERROR(bütünleme!CQ22*100/bütünleme!$I22,"")</f>
        <v/>
      </c>
      <c r="CG325" s="39" t="str">
        <f>IFERROR(bütünleme!CR22*100/bütünleme!$I22,"")</f>
        <v/>
      </c>
      <c r="CH325" s="39" t="str">
        <f>IFERROR(bütünleme!CS22*100/bütünleme!$I22,"")</f>
        <v/>
      </c>
      <c r="CI325" s="39" t="str">
        <f>IFERROR(bütünleme!CT22*100/bütünleme!$I22,"")</f>
        <v/>
      </c>
      <c r="CJ325" s="39" t="str">
        <f>IFERROR(bütünleme!CU22*100/bütünleme!$I22,"")</f>
        <v/>
      </c>
      <c r="CK325" s="39" t="str">
        <f>IFERROR(bütünleme!CV22*100/bütünleme!$I22,"")</f>
        <v/>
      </c>
      <c r="CL325" s="39" t="str">
        <f>IFERROR(bütünleme!CW22*100/bütünleme!$I22,"")</f>
        <v/>
      </c>
      <c r="CM325" s="39" t="str">
        <f>IFERROR(bütünleme!CX22*100/bütünleme!$I22,"")</f>
        <v/>
      </c>
      <c r="CN325" s="39" t="str">
        <f>IFERROR(bütünleme!CY22*100/bütünleme!$I22,"")</f>
        <v/>
      </c>
      <c r="CO325" s="39" t="str">
        <f>IFERROR(bütünleme!CZ22*100/bütünleme!$I22,"")</f>
        <v/>
      </c>
      <c r="CP325" s="39" t="str">
        <f>IFERROR(bütünleme!DA22*100/bütünleme!$I22,"")</f>
        <v/>
      </c>
      <c r="CQ325" s="39" t="str">
        <f>IFERROR(bütünleme!DB22*100/bütünleme!$I22,"")</f>
        <v/>
      </c>
      <c r="CR325" s="39" t="str">
        <f>IFERROR(bütünleme!DC22*100/bütünleme!$I22,"")</f>
        <v/>
      </c>
      <c r="CS325" s="39" t="str">
        <f>IFERROR(bütünleme!DD22*100/bütünleme!$I22,"")</f>
        <v/>
      </c>
      <c r="CT325" s="39" t="str">
        <f>IFERROR(bütünleme!DE22*100/bütünleme!$I22,"")</f>
        <v/>
      </c>
      <c r="CU325" s="39" t="str">
        <f>IFERROR(bütünleme!DF22*100/bütünleme!$I22,"")</f>
        <v/>
      </c>
      <c r="CV325" s="39" t="str">
        <f>IFERROR(bütünleme!DG22*100/bütünleme!$I22,"")</f>
        <v/>
      </c>
      <c r="CW325" s="36" t="str">
        <f>IFERROR(SUM(A325:CV325)/bütünleme!$DH$103,"")</f>
        <v/>
      </c>
      <c r="CX325" s="14" t="str">
        <f>IF(COUNTA(bütünleme!A22),bütünleme!A22,"")</f>
        <v/>
      </c>
      <c r="CY325" s="14" t="str">
        <f>IF(COUNTA(bütünleme!B22),bütünleme!B22,"")</f>
        <v/>
      </c>
      <c r="CZ325" s="14" t="str">
        <f>IF(COUNTA(bütünleme!C22),bütünleme!C22,"")</f>
        <v/>
      </c>
      <c r="DA325" s="14" t="str">
        <f>IF(COUNTA(bütünleme!D22),bütünleme!D22,"")</f>
        <v/>
      </c>
      <c r="DB325" s="14" t="str">
        <f>IF(COUNTA(bütünleme!E22),bütünleme!E22,"")</f>
        <v/>
      </c>
      <c r="DC325" s="14" t="str">
        <f>IF(COUNTA(bütünleme!F22),bütünleme!F22,"")</f>
        <v/>
      </c>
      <c r="DD325" s="14" t="str">
        <f>IF(COUNTA(bütünleme!G22),bütünleme!G22,"")</f>
        <v/>
      </c>
      <c r="DE325" s="14" t="str">
        <f>IF(COUNTA(bütünleme!H22),bütünleme!H22,"")</f>
        <v/>
      </c>
    </row>
    <row r="326" spans="1:109" x14ac:dyDescent="0.2">
      <c r="A326" s="39" t="str">
        <f>IFERROR(bütünleme!L23*100/bütünleme!$I23,"")</f>
        <v/>
      </c>
      <c r="B326" s="39" t="str">
        <f>IFERROR(bütünleme!M23*100/bütünleme!$I23,"")</f>
        <v/>
      </c>
      <c r="C326" s="39" t="str">
        <f>IFERROR(bütünleme!N23*100/bütünleme!$I23,"")</f>
        <v/>
      </c>
      <c r="D326" s="39" t="str">
        <f>IFERROR(bütünleme!O23*100/bütünleme!$I23,"")</f>
        <v/>
      </c>
      <c r="E326" s="39" t="str">
        <f>IFERROR(bütünleme!P23*100/bütünleme!$I23,"")</f>
        <v/>
      </c>
      <c r="F326" s="39" t="str">
        <f>IFERROR(bütünleme!Q23*100/bütünleme!$I23,"")</f>
        <v/>
      </c>
      <c r="G326" s="39" t="str">
        <f>IFERROR(bütünleme!R23*100/bütünleme!$I23,"")</f>
        <v/>
      </c>
      <c r="H326" s="39" t="str">
        <f>IFERROR(bütünleme!S23*100/bütünleme!$I23,"")</f>
        <v/>
      </c>
      <c r="I326" s="39" t="str">
        <f>IFERROR(bütünleme!T23*100/bütünleme!$I23,"")</f>
        <v/>
      </c>
      <c r="J326" s="39" t="str">
        <f>IFERROR(bütünleme!U23*100/bütünleme!$I23,"")</f>
        <v/>
      </c>
      <c r="K326" s="39" t="str">
        <f>IFERROR(bütünleme!V23*100/bütünleme!$I23,"")</f>
        <v/>
      </c>
      <c r="L326" s="39" t="str">
        <f>IFERROR(bütünleme!W23*100/bütünleme!$I23,"")</f>
        <v/>
      </c>
      <c r="M326" s="39" t="str">
        <f>IFERROR(bütünleme!X23*100/bütünleme!$I23,"")</f>
        <v/>
      </c>
      <c r="N326" s="39" t="str">
        <f>IFERROR(bütünleme!Y23*100/bütünleme!$I23,"")</f>
        <v/>
      </c>
      <c r="O326" s="39" t="str">
        <f>IFERROR(bütünleme!Z23*100/bütünleme!$I23,"")</f>
        <v/>
      </c>
      <c r="P326" s="39" t="str">
        <f>IFERROR(bütünleme!AA23*100/bütünleme!$I23,"")</f>
        <v/>
      </c>
      <c r="Q326" s="39" t="str">
        <f>IFERROR(bütünleme!AB23*100/bütünleme!$I23,"")</f>
        <v/>
      </c>
      <c r="R326" s="39" t="str">
        <f>IFERROR(bütünleme!AC23*100/bütünleme!$I23,"")</f>
        <v/>
      </c>
      <c r="S326" s="39" t="str">
        <f>IFERROR(bütünleme!AD23*100/bütünleme!$I23,"")</f>
        <v/>
      </c>
      <c r="T326" s="39" t="str">
        <f>IFERROR(bütünleme!AE23*100/bütünleme!$I23,"")</f>
        <v/>
      </c>
      <c r="U326" s="39" t="str">
        <f>IFERROR(bütünleme!AF23*100/bütünleme!$I23,"")</f>
        <v/>
      </c>
      <c r="V326" s="39" t="str">
        <f>IFERROR(bütünleme!AG23*100/bütünleme!$I23,"")</f>
        <v/>
      </c>
      <c r="W326" s="39" t="str">
        <f>IFERROR(bütünleme!AH23*100/bütünleme!$I23,"")</f>
        <v/>
      </c>
      <c r="X326" s="39" t="str">
        <f>IFERROR(bütünleme!AI23*100/bütünleme!$I23,"")</f>
        <v/>
      </c>
      <c r="Y326" s="39" t="str">
        <f>IFERROR(bütünleme!AJ23*100/bütünleme!$I23,"")</f>
        <v/>
      </c>
      <c r="Z326" s="39" t="str">
        <f>IFERROR(bütünleme!AK23*100/bütünleme!$I23,"")</f>
        <v/>
      </c>
      <c r="AA326" s="39" t="str">
        <f>IFERROR(bütünleme!AL23*100/bütünleme!$I23,"")</f>
        <v/>
      </c>
      <c r="AB326" s="39" t="str">
        <f>IFERROR(bütünleme!AM23*100/bütünleme!$I23,"")</f>
        <v/>
      </c>
      <c r="AC326" s="39" t="str">
        <f>IFERROR(bütünleme!AN23*100/bütünleme!$I23,"")</f>
        <v/>
      </c>
      <c r="AD326" s="39" t="str">
        <f>IFERROR(bütünleme!AO23*100/bütünleme!$I23,"")</f>
        <v/>
      </c>
      <c r="AE326" s="39" t="str">
        <f>IFERROR(bütünleme!AP23*100/bütünleme!$I23,"")</f>
        <v/>
      </c>
      <c r="AF326" s="39" t="str">
        <f>IFERROR(bütünleme!AQ23*100/bütünleme!$I23,"")</f>
        <v/>
      </c>
      <c r="AG326" s="39" t="str">
        <f>IFERROR(bütünleme!AR23*100/bütünleme!$I23,"")</f>
        <v/>
      </c>
      <c r="AH326" s="39" t="str">
        <f>IFERROR(bütünleme!AS23*100/bütünleme!$I23,"")</f>
        <v/>
      </c>
      <c r="AI326" s="39" t="str">
        <f>IFERROR(bütünleme!AT23*100/bütünleme!$I23,"")</f>
        <v/>
      </c>
      <c r="AJ326" s="39" t="str">
        <f>IFERROR(bütünleme!AU23*100/bütünleme!$I23,"")</f>
        <v/>
      </c>
      <c r="AK326" s="39" t="str">
        <f>IFERROR(bütünleme!AV23*100/bütünleme!$I23,"")</f>
        <v/>
      </c>
      <c r="AL326" s="39" t="str">
        <f>IFERROR(bütünleme!AW23*100/bütünleme!$I23,"")</f>
        <v/>
      </c>
      <c r="AM326" s="39" t="str">
        <f>IFERROR(bütünleme!AX23*100/bütünleme!$I23,"")</f>
        <v/>
      </c>
      <c r="AN326" s="39" t="str">
        <f>IFERROR(bütünleme!AY23*100/bütünleme!$I23,"")</f>
        <v/>
      </c>
      <c r="AO326" s="39" t="str">
        <f>IFERROR(bütünleme!AZ23*100/bütünleme!$I23,"")</f>
        <v/>
      </c>
      <c r="AP326" s="39" t="str">
        <f>IFERROR(bütünleme!BA23*100/bütünleme!$I23,"")</f>
        <v/>
      </c>
      <c r="AQ326" s="39" t="str">
        <f>IFERROR(bütünleme!BB23*100/bütünleme!$I23,"")</f>
        <v/>
      </c>
      <c r="AR326" s="39" t="str">
        <f>IFERROR(bütünleme!BC23*100/bütünleme!$I23,"")</f>
        <v/>
      </c>
      <c r="AS326" s="39" t="str">
        <f>IFERROR(bütünleme!BD23*100/bütünleme!$I23,"")</f>
        <v/>
      </c>
      <c r="AT326" s="39" t="str">
        <f>IFERROR(bütünleme!BE23*100/bütünleme!$I23,"")</f>
        <v/>
      </c>
      <c r="AU326" s="39" t="str">
        <f>IFERROR(bütünleme!BF23*100/bütünleme!$I23,"")</f>
        <v/>
      </c>
      <c r="AV326" s="39" t="str">
        <f>IFERROR(bütünleme!BG23*100/bütünleme!$I23,"")</f>
        <v/>
      </c>
      <c r="AW326" s="39" t="str">
        <f>IFERROR(bütünleme!BH23*100/bütünleme!$I23,"")</f>
        <v/>
      </c>
      <c r="AX326" s="39" t="str">
        <f>IFERROR(bütünleme!BI23*100/bütünleme!$I23,"")</f>
        <v/>
      </c>
      <c r="AY326" s="39" t="str">
        <f>IFERROR(bütünleme!BJ23*100/bütünleme!$I23,"")</f>
        <v/>
      </c>
      <c r="AZ326" s="39" t="str">
        <f>IFERROR(bütünleme!BK23*100/bütünleme!$I23,"")</f>
        <v/>
      </c>
      <c r="BA326" s="39" t="str">
        <f>IFERROR(bütünleme!BL23*100/bütünleme!$I23,"")</f>
        <v/>
      </c>
      <c r="BB326" s="39" t="str">
        <f>IFERROR(bütünleme!BM23*100/bütünleme!$I23,"")</f>
        <v/>
      </c>
      <c r="BC326" s="39" t="str">
        <f>IFERROR(bütünleme!BN23*100/bütünleme!$I23,"")</f>
        <v/>
      </c>
      <c r="BD326" s="39" t="str">
        <f>IFERROR(bütünleme!BO23*100/bütünleme!$I23,"")</f>
        <v/>
      </c>
      <c r="BE326" s="39" t="str">
        <f>IFERROR(bütünleme!BP23*100/bütünleme!$I23,"")</f>
        <v/>
      </c>
      <c r="BF326" s="39" t="str">
        <f>IFERROR(bütünleme!BQ23*100/bütünleme!$I23,"")</f>
        <v/>
      </c>
      <c r="BG326" s="39" t="str">
        <f>IFERROR(bütünleme!BR23*100/bütünleme!$I23,"")</f>
        <v/>
      </c>
      <c r="BH326" s="39" t="str">
        <f>IFERROR(bütünleme!BS23*100/bütünleme!$I23,"")</f>
        <v/>
      </c>
      <c r="BI326" s="39" t="str">
        <f>IFERROR(bütünleme!BT23*100/bütünleme!$I23,"")</f>
        <v/>
      </c>
      <c r="BJ326" s="39" t="str">
        <f>IFERROR(bütünleme!BU23*100/bütünleme!$I23,"")</f>
        <v/>
      </c>
      <c r="BK326" s="39" t="str">
        <f>IFERROR(bütünleme!BV23*100/bütünleme!$I23,"")</f>
        <v/>
      </c>
      <c r="BL326" s="39" t="str">
        <f>IFERROR(bütünleme!BW23*100/bütünleme!$I23,"")</f>
        <v/>
      </c>
      <c r="BM326" s="39" t="str">
        <f>IFERROR(bütünleme!BX23*100/bütünleme!$I23,"")</f>
        <v/>
      </c>
      <c r="BN326" s="39" t="str">
        <f>IFERROR(bütünleme!BY23*100/bütünleme!$I23,"")</f>
        <v/>
      </c>
      <c r="BO326" s="39" t="str">
        <f>IFERROR(bütünleme!BZ23*100/bütünleme!$I23,"")</f>
        <v/>
      </c>
      <c r="BP326" s="39" t="str">
        <f>IFERROR(bütünleme!CA23*100/bütünleme!$I23,"")</f>
        <v/>
      </c>
      <c r="BQ326" s="39" t="str">
        <f>IFERROR(bütünleme!CB23*100/bütünleme!$I23,"")</f>
        <v/>
      </c>
      <c r="BR326" s="39" t="str">
        <f>IFERROR(bütünleme!CC23*100/bütünleme!$I23,"")</f>
        <v/>
      </c>
      <c r="BS326" s="39" t="str">
        <f>IFERROR(bütünleme!CD23*100/bütünleme!$I23,"")</f>
        <v/>
      </c>
      <c r="BT326" s="39" t="str">
        <f>IFERROR(bütünleme!CE23*100/bütünleme!$I23,"")</f>
        <v/>
      </c>
      <c r="BU326" s="39" t="str">
        <f>IFERROR(bütünleme!CF23*100/bütünleme!$I23,"")</f>
        <v/>
      </c>
      <c r="BV326" s="39" t="str">
        <f>IFERROR(bütünleme!CG23*100/bütünleme!$I23,"")</f>
        <v/>
      </c>
      <c r="BW326" s="39" t="str">
        <f>IFERROR(bütünleme!CH23*100/bütünleme!$I23,"")</f>
        <v/>
      </c>
      <c r="BX326" s="39" t="str">
        <f>IFERROR(bütünleme!CI23*100/bütünleme!$I23,"")</f>
        <v/>
      </c>
      <c r="BY326" s="39" t="str">
        <f>IFERROR(bütünleme!CJ23*100/bütünleme!$I23,"")</f>
        <v/>
      </c>
      <c r="BZ326" s="39" t="str">
        <f>IFERROR(bütünleme!CK23*100/bütünleme!$I23,"")</f>
        <v/>
      </c>
      <c r="CA326" s="39" t="str">
        <f>IFERROR(bütünleme!CL23*100/bütünleme!$I23,"")</f>
        <v/>
      </c>
      <c r="CB326" s="39" t="str">
        <f>IFERROR(bütünleme!CM23*100/bütünleme!$I23,"")</f>
        <v/>
      </c>
      <c r="CC326" s="39" t="str">
        <f>IFERROR(bütünleme!CN23*100/bütünleme!$I23,"")</f>
        <v/>
      </c>
      <c r="CD326" s="39" t="str">
        <f>IFERROR(bütünleme!CO23*100/bütünleme!$I23,"")</f>
        <v/>
      </c>
      <c r="CE326" s="39" t="str">
        <f>IFERROR(bütünleme!CP23*100/bütünleme!$I23,"")</f>
        <v/>
      </c>
      <c r="CF326" s="39" t="str">
        <f>IFERROR(bütünleme!CQ23*100/bütünleme!$I23,"")</f>
        <v/>
      </c>
      <c r="CG326" s="39" t="str">
        <f>IFERROR(bütünleme!CR23*100/bütünleme!$I23,"")</f>
        <v/>
      </c>
      <c r="CH326" s="39" t="str">
        <f>IFERROR(bütünleme!CS23*100/bütünleme!$I23,"")</f>
        <v/>
      </c>
      <c r="CI326" s="39" t="str">
        <f>IFERROR(bütünleme!CT23*100/bütünleme!$I23,"")</f>
        <v/>
      </c>
      <c r="CJ326" s="39" t="str">
        <f>IFERROR(bütünleme!CU23*100/bütünleme!$I23,"")</f>
        <v/>
      </c>
      <c r="CK326" s="39" t="str">
        <f>IFERROR(bütünleme!CV23*100/bütünleme!$I23,"")</f>
        <v/>
      </c>
      <c r="CL326" s="39" t="str">
        <f>IFERROR(bütünleme!CW23*100/bütünleme!$I23,"")</f>
        <v/>
      </c>
      <c r="CM326" s="39" t="str">
        <f>IFERROR(bütünleme!CX23*100/bütünleme!$I23,"")</f>
        <v/>
      </c>
      <c r="CN326" s="39" t="str">
        <f>IFERROR(bütünleme!CY23*100/bütünleme!$I23,"")</f>
        <v/>
      </c>
      <c r="CO326" s="39" t="str">
        <f>IFERROR(bütünleme!CZ23*100/bütünleme!$I23,"")</f>
        <v/>
      </c>
      <c r="CP326" s="39" t="str">
        <f>IFERROR(bütünleme!DA23*100/bütünleme!$I23,"")</f>
        <v/>
      </c>
      <c r="CQ326" s="39" t="str">
        <f>IFERROR(bütünleme!DB23*100/bütünleme!$I23,"")</f>
        <v/>
      </c>
      <c r="CR326" s="39" t="str">
        <f>IFERROR(bütünleme!DC23*100/bütünleme!$I23,"")</f>
        <v/>
      </c>
      <c r="CS326" s="39" t="str">
        <f>IFERROR(bütünleme!DD23*100/bütünleme!$I23,"")</f>
        <v/>
      </c>
      <c r="CT326" s="39" t="str">
        <f>IFERROR(bütünleme!DE23*100/bütünleme!$I23,"")</f>
        <v/>
      </c>
      <c r="CU326" s="39" t="str">
        <f>IFERROR(bütünleme!DF23*100/bütünleme!$I23,"")</f>
        <v/>
      </c>
      <c r="CV326" s="39" t="str">
        <f>IFERROR(bütünleme!DG23*100/bütünleme!$I23,"")</f>
        <v/>
      </c>
      <c r="CW326" s="36" t="str">
        <f>IFERROR(SUM(A326:CV326)/bütünleme!$DH$103,"")</f>
        <v/>
      </c>
      <c r="CX326" s="14" t="str">
        <f>IF(COUNTA(bütünleme!A23),bütünleme!A23,"")</f>
        <v/>
      </c>
      <c r="CY326" s="14" t="str">
        <f>IF(COUNTA(bütünleme!B23),bütünleme!B23,"")</f>
        <v/>
      </c>
      <c r="CZ326" s="14" t="str">
        <f>IF(COUNTA(bütünleme!C23),bütünleme!C23,"")</f>
        <v/>
      </c>
      <c r="DA326" s="14" t="str">
        <f>IF(COUNTA(bütünleme!D23),bütünleme!D23,"")</f>
        <v/>
      </c>
      <c r="DB326" s="14" t="str">
        <f>IF(COUNTA(bütünleme!E23),bütünleme!E23,"")</f>
        <v/>
      </c>
      <c r="DC326" s="14" t="str">
        <f>IF(COUNTA(bütünleme!F23),bütünleme!F23,"")</f>
        <v/>
      </c>
      <c r="DD326" s="14" t="str">
        <f>IF(COUNTA(bütünleme!G23),bütünleme!G23,"")</f>
        <v/>
      </c>
      <c r="DE326" s="14" t="str">
        <f>IF(COUNTA(bütünleme!H23),bütünleme!H23,"")</f>
        <v/>
      </c>
    </row>
    <row r="327" spans="1:109" x14ac:dyDescent="0.2">
      <c r="A327" s="39" t="str">
        <f>IFERROR(bütünleme!L24*100/bütünleme!$I24,"")</f>
        <v/>
      </c>
      <c r="B327" s="39" t="str">
        <f>IFERROR(bütünleme!M24*100/bütünleme!$I24,"")</f>
        <v/>
      </c>
      <c r="C327" s="39" t="str">
        <f>IFERROR(bütünleme!N24*100/bütünleme!$I24,"")</f>
        <v/>
      </c>
      <c r="D327" s="39" t="str">
        <f>IFERROR(bütünleme!O24*100/bütünleme!$I24,"")</f>
        <v/>
      </c>
      <c r="E327" s="39" t="str">
        <f>IFERROR(bütünleme!P24*100/bütünleme!$I24,"")</f>
        <v/>
      </c>
      <c r="F327" s="39" t="str">
        <f>IFERROR(bütünleme!Q24*100/bütünleme!$I24,"")</f>
        <v/>
      </c>
      <c r="G327" s="39" t="str">
        <f>IFERROR(bütünleme!R24*100/bütünleme!$I24,"")</f>
        <v/>
      </c>
      <c r="H327" s="39" t="str">
        <f>IFERROR(bütünleme!S24*100/bütünleme!$I24,"")</f>
        <v/>
      </c>
      <c r="I327" s="39" t="str">
        <f>IFERROR(bütünleme!T24*100/bütünleme!$I24,"")</f>
        <v/>
      </c>
      <c r="J327" s="39" t="str">
        <f>IFERROR(bütünleme!U24*100/bütünleme!$I24,"")</f>
        <v/>
      </c>
      <c r="K327" s="39" t="str">
        <f>IFERROR(bütünleme!V24*100/bütünleme!$I24,"")</f>
        <v/>
      </c>
      <c r="L327" s="39" t="str">
        <f>IFERROR(bütünleme!W24*100/bütünleme!$I24,"")</f>
        <v/>
      </c>
      <c r="M327" s="39" t="str">
        <f>IFERROR(bütünleme!X24*100/bütünleme!$I24,"")</f>
        <v/>
      </c>
      <c r="N327" s="39" t="str">
        <f>IFERROR(bütünleme!Y24*100/bütünleme!$I24,"")</f>
        <v/>
      </c>
      <c r="O327" s="39" t="str">
        <f>IFERROR(bütünleme!Z24*100/bütünleme!$I24,"")</f>
        <v/>
      </c>
      <c r="P327" s="39" t="str">
        <f>IFERROR(bütünleme!AA24*100/bütünleme!$I24,"")</f>
        <v/>
      </c>
      <c r="Q327" s="39" t="str">
        <f>IFERROR(bütünleme!AB24*100/bütünleme!$I24,"")</f>
        <v/>
      </c>
      <c r="R327" s="39" t="str">
        <f>IFERROR(bütünleme!AC24*100/bütünleme!$I24,"")</f>
        <v/>
      </c>
      <c r="S327" s="39" t="str">
        <f>IFERROR(bütünleme!AD24*100/bütünleme!$I24,"")</f>
        <v/>
      </c>
      <c r="T327" s="39" t="str">
        <f>IFERROR(bütünleme!AE24*100/bütünleme!$I24,"")</f>
        <v/>
      </c>
      <c r="U327" s="39" t="str">
        <f>IFERROR(bütünleme!AF24*100/bütünleme!$I24,"")</f>
        <v/>
      </c>
      <c r="V327" s="39" t="str">
        <f>IFERROR(bütünleme!AG24*100/bütünleme!$I24,"")</f>
        <v/>
      </c>
      <c r="W327" s="39" t="str">
        <f>IFERROR(bütünleme!AH24*100/bütünleme!$I24,"")</f>
        <v/>
      </c>
      <c r="X327" s="39" t="str">
        <f>IFERROR(bütünleme!AI24*100/bütünleme!$I24,"")</f>
        <v/>
      </c>
      <c r="Y327" s="39" t="str">
        <f>IFERROR(bütünleme!AJ24*100/bütünleme!$I24,"")</f>
        <v/>
      </c>
      <c r="Z327" s="39" t="str">
        <f>IFERROR(bütünleme!AK24*100/bütünleme!$I24,"")</f>
        <v/>
      </c>
      <c r="AA327" s="39" t="str">
        <f>IFERROR(bütünleme!AL24*100/bütünleme!$I24,"")</f>
        <v/>
      </c>
      <c r="AB327" s="39" t="str">
        <f>IFERROR(bütünleme!AM24*100/bütünleme!$I24,"")</f>
        <v/>
      </c>
      <c r="AC327" s="39" t="str">
        <f>IFERROR(bütünleme!AN24*100/bütünleme!$I24,"")</f>
        <v/>
      </c>
      <c r="AD327" s="39" t="str">
        <f>IFERROR(bütünleme!AO24*100/bütünleme!$I24,"")</f>
        <v/>
      </c>
      <c r="AE327" s="39" t="str">
        <f>IFERROR(bütünleme!AP24*100/bütünleme!$I24,"")</f>
        <v/>
      </c>
      <c r="AF327" s="39" t="str">
        <f>IFERROR(bütünleme!AQ24*100/bütünleme!$I24,"")</f>
        <v/>
      </c>
      <c r="AG327" s="39" t="str">
        <f>IFERROR(bütünleme!AR24*100/bütünleme!$I24,"")</f>
        <v/>
      </c>
      <c r="AH327" s="39" t="str">
        <f>IFERROR(bütünleme!AS24*100/bütünleme!$I24,"")</f>
        <v/>
      </c>
      <c r="AI327" s="39" t="str">
        <f>IFERROR(bütünleme!AT24*100/bütünleme!$I24,"")</f>
        <v/>
      </c>
      <c r="AJ327" s="39" t="str">
        <f>IFERROR(bütünleme!AU24*100/bütünleme!$I24,"")</f>
        <v/>
      </c>
      <c r="AK327" s="39" t="str">
        <f>IFERROR(bütünleme!AV24*100/bütünleme!$I24,"")</f>
        <v/>
      </c>
      <c r="AL327" s="39" t="str">
        <f>IFERROR(bütünleme!AW24*100/bütünleme!$I24,"")</f>
        <v/>
      </c>
      <c r="AM327" s="39" t="str">
        <f>IFERROR(bütünleme!AX24*100/bütünleme!$I24,"")</f>
        <v/>
      </c>
      <c r="AN327" s="39" t="str">
        <f>IFERROR(bütünleme!AY24*100/bütünleme!$I24,"")</f>
        <v/>
      </c>
      <c r="AO327" s="39" t="str">
        <f>IFERROR(bütünleme!AZ24*100/bütünleme!$I24,"")</f>
        <v/>
      </c>
      <c r="AP327" s="39" t="str">
        <f>IFERROR(bütünleme!BA24*100/bütünleme!$I24,"")</f>
        <v/>
      </c>
      <c r="AQ327" s="39" t="str">
        <f>IFERROR(bütünleme!BB24*100/bütünleme!$I24,"")</f>
        <v/>
      </c>
      <c r="AR327" s="39" t="str">
        <f>IFERROR(bütünleme!BC24*100/bütünleme!$I24,"")</f>
        <v/>
      </c>
      <c r="AS327" s="39" t="str">
        <f>IFERROR(bütünleme!BD24*100/bütünleme!$I24,"")</f>
        <v/>
      </c>
      <c r="AT327" s="39" t="str">
        <f>IFERROR(bütünleme!BE24*100/bütünleme!$I24,"")</f>
        <v/>
      </c>
      <c r="AU327" s="39" t="str">
        <f>IFERROR(bütünleme!BF24*100/bütünleme!$I24,"")</f>
        <v/>
      </c>
      <c r="AV327" s="39" t="str">
        <f>IFERROR(bütünleme!BG24*100/bütünleme!$I24,"")</f>
        <v/>
      </c>
      <c r="AW327" s="39" t="str">
        <f>IFERROR(bütünleme!BH24*100/bütünleme!$I24,"")</f>
        <v/>
      </c>
      <c r="AX327" s="39" t="str">
        <f>IFERROR(bütünleme!BI24*100/bütünleme!$I24,"")</f>
        <v/>
      </c>
      <c r="AY327" s="39" t="str">
        <f>IFERROR(bütünleme!BJ24*100/bütünleme!$I24,"")</f>
        <v/>
      </c>
      <c r="AZ327" s="39" t="str">
        <f>IFERROR(bütünleme!BK24*100/bütünleme!$I24,"")</f>
        <v/>
      </c>
      <c r="BA327" s="39" t="str">
        <f>IFERROR(bütünleme!BL24*100/bütünleme!$I24,"")</f>
        <v/>
      </c>
      <c r="BB327" s="39" t="str">
        <f>IFERROR(bütünleme!BM24*100/bütünleme!$I24,"")</f>
        <v/>
      </c>
      <c r="BC327" s="39" t="str">
        <f>IFERROR(bütünleme!BN24*100/bütünleme!$I24,"")</f>
        <v/>
      </c>
      <c r="BD327" s="39" t="str">
        <f>IFERROR(bütünleme!BO24*100/bütünleme!$I24,"")</f>
        <v/>
      </c>
      <c r="BE327" s="39" t="str">
        <f>IFERROR(bütünleme!BP24*100/bütünleme!$I24,"")</f>
        <v/>
      </c>
      <c r="BF327" s="39" t="str">
        <f>IFERROR(bütünleme!BQ24*100/bütünleme!$I24,"")</f>
        <v/>
      </c>
      <c r="BG327" s="39" t="str">
        <f>IFERROR(bütünleme!BR24*100/bütünleme!$I24,"")</f>
        <v/>
      </c>
      <c r="BH327" s="39" t="str">
        <f>IFERROR(bütünleme!BS24*100/bütünleme!$I24,"")</f>
        <v/>
      </c>
      <c r="BI327" s="39" t="str">
        <f>IFERROR(bütünleme!BT24*100/bütünleme!$I24,"")</f>
        <v/>
      </c>
      <c r="BJ327" s="39" t="str">
        <f>IFERROR(bütünleme!BU24*100/bütünleme!$I24,"")</f>
        <v/>
      </c>
      <c r="BK327" s="39" t="str">
        <f>IFERROR(bütünleme!BV24*100/bütünleme!$I24,"")</f>
        <v/>
      </c>
      <c r="BL327" s="39" t="str">
        <f>IFERROR(bütünleme!BW24*100/bütünleme!$I24,"")</f>
        <v/>
      </c>
      <c r="BM327" s="39" t="str">
        <f>IFERROR(bütünleme!BX24*100/bütünleme!$I24,"")</f>
        <v/>
      </c>
      <c r="BN327" s="39" t="str">
        <f>IFERROR(bütünleme!BY24*100/bütünleme!$I24,"")</f>
        <v/>
      </c>
      <c r="BO327" s="39" t="str">
        <f>IFERROR(bütünleme!BZ24*100/bütünleme!$I24,"")</f>
        <v/>
      </c>
      <c r="BP327" s="39" t="str">
        <f>IFERROR(bütünleme!CA24*100/bütünleme!$I24,"")</f>
        <v/>
      </c>
      <c r="BQ327" s="39" t="str">
        <f>IFERROR(bütünleme!CB24*100/bütünleme!$I24,"")</f>
        <v/>
      </c>
      <c r="BR327" s="39" t="str">
        <f>IFERROR(bütünleme!CC24*100/bütünleme!$I24,"")</f>
        <v/>
      </c>
      <c r="BS327" s="39" t="str">
        <f>IFERROR(bütünleme!CD24*100/bütünleme!$I24,"")</f>
        <v/>
      </c>
      <c r="BT327" s="39" t="str">
        <f>IFERROR(bütünleme!CE24*100/bütünleme!$I24,"")</f>
        <v/>
      </c>
      <c r="BU327" s="39" t="str">
        <f>IFERROR(bütünleme!CF24*100/bütünleme!$I24,"")</f>
        <v/>
      </c>
      <c r="BV327" s="39" t="str">
        <f>IFERROR(bütünleme!CG24*100/bütünleme!$I24,"")</f>
        <v/>
      </c>
      <c r="BW327" s="39" t="str">
        <f>IFERROR(bütünleme!CH24*100/bütünleme!$I24,"")</f>
        <v/>
      </c>
      <c r="BX327" s="39" t="str">
        <f>IFERROR(bütünleme!CI24*100/bütünleme!$I24,"")</f>
        <v/>
      </c>
      <c r="BY327" s="39" t="str">
        <f>IFERROR(bütünleme!CJ24*100/bütünleme!$I24,"")</f>
        <v/>
      </c>
      <c r="BZ327" s="39" t="str">
        <f>IFERROR(bütünleme!CK24*100/bütünleme!$I24,"")</f>
        <v/>
      </c>
      <c r="CA327" s="39" t="str">
        <f>IFERROR(bütünleme!CL24*100/bütünleme!$I24,"")</f>
        <v/>
      </c>
      <c r="CB327" s="39" t="str">
        <f>IFERROR(bütünleme!CM24*100/bütünleme!$I24,"")</f>
        <v/>
      </c>
      <c r="CC327" s="39" t="str">
        <f>IFERROR(bütünleme!CN24*100/bütünleme!$I24,"")</f>
        <v/>
      </c>
      <c r="CD327" s="39" t="str">
        <f>IFERROR(bütünleme!CO24*100/bütünleme!$I24,"")</f>
        <v/>
      </c>
      <c r="CE327" s="39" t="str">
        <f>IFERROR(bütünleme!CP24*100/bütünleme!$I24,"")</f>
        <v/>
      </c>
      <c r="CF327" s="39" t="str">
        <f>IFERROR(bütünleme!CQ24*100/bütünleme!$I24,"")</f>
        <v/>
      </c>
      <c r="CG327" s="39" t="str">
        <f>IFERROR(bütünleme!CR24*100/bütünleme!$I24,"")</f>
        <v/>
      </c>
      <c r="CH327" s="39" t="str">
        <f>IFERROR(bütünleme!CS24*100/bütünleme!$I24,"")</f>
        <v/>
      </c>
      <c r="CI327" s="39" t="str">
        <f>IFERROR(bütünleme!CT24*100/bütünleme!$I24,"")</f>
        <v/>
      </c>
      <c r="CJ327" s="39" t="str">
        <f>IFERROR(bütünleme!CU24*100/bütünleme!$I24,"")</f>
        <v/>
      </c>
      <c r="CK327" s="39" t="str">
        <f>IFERROR(bütünleme!CV24*100/bütünleme!$I24,"")</f>
        <v/>
      </c>
      <c r="CL327" s="39" t="str">
        <f>IFERROR(bütünleme!CW24*100/bütünleme!$I24,"")</f>
        <v/>
      </c>
      <c r="CM327" s="39" t="str">
        <f>IFERROR(bütünleme!CX24*100/bütünleme!$I24,"")</f>
        <v/>
      </c>
      <c r="CN327" s="39" t="str">
        <f>IFERROR(bütünleme!CY24*100/bütünleme!$I24,"")</f>
        <v/>
      </c>
      <c r="CO327" s="39" t="str">
        <f>IFERROR(bütünleme!CZ24*100/bütünleme!$I24,"")</f>
        <v/>
      </c>
      <c r="CP327" s="39" t="str">
        <f>IFERROR(bütünleme!DA24*100/bütünleme!$I24,"")</f>
        <v/>
      </c>
      <c r="CQ327" s="39" t="str">
        <f>IFERROR(bütünleme!DB24*100/bütünleme!$I24,"")</f>
        <v/>
      </c>
      <c r="CR327" s="39" t="str">
        <f>IFERROR(bütünleme!DC24*100/bütünleme!$I24,"")</f>
        <v/>
      </c>
      <c r="CS327" s="39" t="str">
        <f>IFERROR(bütünleme!DD24*100/bütünleme!$I24,"")</f>
        <v/>
      </c>
      <c r="CT327" s="39" t="str">
        <f>IFERROR(bütünleme!DE24*100/bütünleme!$I24,"")</f>
        <v/>
      </c>
      <c r="CU327" s="39" t="str">
        <f>IFERROR(bütünleme!DF24*100/bütünleme!$I24,"")</f>
        <v/>
      </c>
      <c r="CV327" s="39" t="str">
        <f>IFERROR(bütünleme!DG24*100/bütünleme!$I24,"")</f>
        <v/>
      </c>
      <c r="CW327" s="36" t="str">
        <f>IFERROR(SUM(A327:CV327)/bütünleme!$DH$103,"")</f>
        <v/>
      </c>
      <c r="CX327" s="14" t="str">
        <f>IF(COUNTA(bütünleme!A24),bütünleme!A24,"")</f>
        <v/>
      </c>
      <c r="CY327" s="14" t="str">
        <f>IF(COUNTA(bütünleme!B24),bütünleme!B24,"")</f>
        <v/>
      </c>
      <c r="CZ327" s="14" t="str">
        <f>IF(COUNTA(bütünleme!C24),bütünleme!C24,"")</f>
        <v/>
      </c>
      <c r="DA327" s="14" t="str">
        <f>IF(COUNTA(bütünleme!D24),bütünleme!D24,"")</f>
        <v/>
      </c>
      <c r="DB327" s="14" t="str">
        <f>IF(COUNTA(bütünleme!E24),bütünleme!E24,"")</f>
        <v/>
      </c>
      <c r="DC327" s="14" t="str">
        <f>IF(COUNTA(bütünleme!F24),bütünleme!F24,"")</f>
        <v/>
      </c>
      <c r="DD327" s="14" t="str">
        <f>IF(COUNTA(bütünleme!G24),bütünleme!G24,"")</f>
        <v/>
      </c>
      <c r="DE327" s="14" t="str">
        <f>IF(COUNTA(bütünleme!H24),bütünleme!H24,"")</f>
        <v/>
      </c>
    </row>
    <row r="328" spans="1:109" x14ac:dyDescent="0.2">
      <c r="A328" s="39" t="str">
        <f>IFERROR(bütünleme!L25*100/bütünleme!$I25,"")</f>
        <v/>
      </c>
      <c r="B328" s="39" t="str">
        <f>IFERROR(bütünleme!M25*100/bütünleme!$I25,"")</f>
        <v/>
      </c>
      <c r="C328" s="39" t="str">
        <f>IFERROR(bütünleme!N25*100/bütünleme!$I25,"")</f>
        <v/>
      </c>
      <c r="D328" s="39" t="str">
        <f>IFERROR(bütünleme!O25*100/bütünleme!$I25,"")</f>
        <v/>
      </c>
      <c r="E328" s="39" t="str">
        <f>IFERROR(bütünleme!P25*100/bütünleme!$I25,"")</f>
        <v/>
      </c>
      <c r="F328" s="39" t="str">
        <f>IFERROR(bütünleme!Q25*100/bütünleme!$I25,"")</f>
        <v/>
      </c>
      <c r="G328" s="39" t="str">
        <f>IFERROR(bütünleme!R25*100/bütünleme!$I25,"")</f>
        <v/>
      </c>
      <c r="H328" s="39" t="str">
        <f>IFERROR(bütünleme!S25*100/bütünleme!$I25,"")</f>
        <v/>
      </c>
      <c r="I328" s="39" t="str">
        <f>IFERROR(bütünleme!T25*100/bütünleme!$I25,"")</f>
        <v/>
      </c>
      <c r="J328" s="39" t="str">
        <f>IFERROR(bütünleme!U25*100/bütünleme!$I25,"")</f>
        <v/>
      </c>
      <c r="K328" s="39" t="str">
        <f>IFERROR(bütünleme!V25*100/bütünleme!$I25,"")</f>
        <v/>
      </c>
      <c r="L328" s="39" t="str">
        <f>IFERROR(bütünleme!W25*100/bütünleme!$I25,"")</f>
        <v/>
      </c>
      <c r="M328" s="39" t="str">
        <f>IFERROR(bütünleme!X25*100/bütünleme!$I25,"")</f>
        <v/>
      </c>
      <c r="N328" s="39" t="str">
        <f>IFERROR(bütünleme!Y25*100/bütünleme!$I25,"")</f>
        <v/>
      </c>
      <c r="O328" s="39" t="str">
        <f>IFERROR(bütünleme!Z25*100/bütünleme!$I25,"")</f>
        <v/>
      </c>
      <c r="P328" s="39" t="str">
        <f>IFERROR(bütünleme!AA25*100/bütünleme!$I25,"")</f>
        <v/>
      </c>
      <c r="Q328" s="39" t="str">
        <f>IFERROR(bütünleme!AB25*100/bütünleme!$I25,"")</f>
        <v/>
      </c>
      <c r="R328" s="39" t="str">
        <f>IFERROR(bütünleme!AC25*100/bütünleme!$I25,"")</f>
        <v/>
      </c>
      <c r="S328" s="39" t="str">
        <f>IFERROR(bütünleme!AD25*100/bütünleme!$I25,"")</f>
        <v/>
      </c>
      <c r="T328" s="39" t="str">
        <f>IFERROR(bütünleme!AE25*100/bütünleme!$I25,"")</f>
        <v/>
      </c>
      <c r="U328" s="39" t="str">
        <f>IFERROR(bütünleme!AF25*100/bütünleme!$I25,"")</f>
        <v/>
      </c>
      <c r="V328" s="39" t="str">
        <f>IFERROR(bütünleme!AG25*100/bütünleme!$I25,"")</f>
        <v/>
      </c>
      <c r="W328" s="39" t="str">
        <f>IFERROR(bütünleme!AH25*100/bütünleme!$I25,"")</f>
        <v/>
      </c>
      <c r="X328" s="39" t="str">
        <f>IFERROR(bütünleme!AI25*100/bütünleme!$I25,"")</f>
        <v/>
      </c>
      <c r="Y328" s="39" t="str">
        <f>IFERROR(bütünleme!AJ25*100/bütünleme!$I25,"")</f>
        <v/>
      </c>
      <c r="Z328" s="39" t="str">
        <f>IFERROR(bütünleme!AK25*100/bütünleme!$I25,"")</f>
        <v/>
      </c>
      <c r="AA328" s="39" t="str">
        <f>IFERROR(bütünleme!AL25*100/bütünleme!$I25,"")</f>
        <v/>
      </c>
      <c r="AB328" s="39" t="str">
        <f>IFERROR(bütünleme!AM25*100/bütünleme!$I25,"")</f>
        <v/>
      </c>
      <c r="AC328" s="39" t="str">
        <f>IFERROR(bütünleme!AN25*100/bütünleme!$I25,"")</f>
        <v/>
      </c>
      <c r="AD328" s="39" t="str">
        <f>IFERROR(bütünleme!AO25*100/bütünleme!$I25,"")</f>
        <v/>
      </c>
      <c r="AE328" s="39" t="str">
        <f>IFERROR(bütünleme!AP25*100/bütünleme!$I25,"")</f>
        <v/>
      </c>
      <c r="AF328" s="39" t="str">
        <f>IFERROR(bütünleme!AQ25*100/bütünleme!$I25,"")</f>
        <v/>
      </c>
      <c r="AG328" s="39" t="str">
        <f>IFERROR(bütünleme!AR25*100/bütünleme!$I25,"")</f>
        <v/>
      </c>
      <c r="AH328" s="39" t="str">
        <f>IFERROR(bütünleme!AS25*100/bütünleme!$I25,"")</f>
        <v/>
      </c>
      <c r="AI328" s="39" t="str">
        <f>IFERROR(bütünleme!AT25*100/bütünleme!$I25,"")</f>
        <v/>
      </c>
      <c r="AJ328" s="39" t="str">
        <f>IFERROR(bütünleme!AU25*100/bütünleme!$I25,"")</f>
        <v/>
      </c>
      <c r="AK328" s="39" t="str">
        <f>IFERROR(bütünleme!AV25*100/bütünleme!$I25,"")</f>
        <v/>
      </c>
      <c r="AL328" s="39" t="str">
        <f>IFERROR(bütünleme!AW25*100/bütünleme!$I25,"")</f>
        <v/>
      </c>
      <c r="AM328" s="39" t="str">
        <f>IFERROR(bütünleme!AX25*100/bütünleme!$I25,"")</f>
        <v/>
      </c>
      <c r="AN328" s="39" t="str">
        <f>IFERROR(bütünleme!AY25*100/bütünleme!$I25,"")</f>
        <v/>
      </c>
      <c r="AO328" s="39" t="str">
        <f>IFERROR(bütünleme!AZ25*100/bütünleme!$I25,"")</f>
        <v/>
      </c>
      <c r="AP328" s="39" t="str">
        <f>IFERROR(bütünleme!BA25*100/bütünleme!$I25,"")</f>
        <v/>
      </c>
      <c r="AQ328" s="39" t="str">
        <f>IFERROR(bütünleme!BB25*100/bütünleme!$I25,"")</f>
        <v/>
      </c>
      <c r="AR328" s="39" t="str">
        <f>IFERROR(bütünleme!BC25*100/bütünleme!$I25,"")</f>
        <v/>
      </c>
      <c r="AS328" s="39" t="str">
        <f>IFERROR(bütünleme!BD25*100/bütünleme!$I25,"")</f>
        <v/>
      </c>
      <c r="AT328" s="39" t="str">
        <f>IFERROR(bütünleme!BE25*100/bütünleme!$I25,"")</f>
        <v/>
      </c>
      <c r="AU328" s="39" t="str">
        <f>IFERROR(bütünleme!BF25*100/bütünleme!$I25,"")</f>
        <v/>
      </c>
      <c r="AV328" s="39" t="str">
        <f>IFERROR(bütünleme!BG25*100/bütünleme!$I25,"")</f>
        <v/>
      </c>
      <c r="AW328" s="39" t="str">
        <f>IFERROR(bütünleme!BH25*100/bütünleme!$I25,"")</f>
        <v/>
      </c>
      <c r="AX328" s="39" t="str">
        <f>IFERROR(bütünleme!BI25*100/bütünleme!$I25,"")</f>
        <v/>
      </c>
      <c r="AY328" s="39" t="str">
        <f>IFERROR(bütünleme!BJ25*100/bütünleme!$I25,"")</f>
        <v/>
      </c>
      <c r="AZ328" s="39" t="str">
        <f>IFERROR(bütünleme!BK25*100/bütünleme!$I25,"")</f>
        <v/>
      </c>
      <c r="BA328" s="39" t="str">
        <f>IFERROR(bütünleme!BL25*100/bütünleme!$I25,"")</f>
        <v/>
      </c>
      <c r="BB328" s="39" t="str">
        <f>IFERROR(bütünleme!BM25*100/bütünleme!$I25,"")</f>
        <v/>
      </c>
      <c r="BC328" s="39" t="str">
        <f>IFERROR(bütünleme!BN25*100/bütünleme!$I25,"")</f>
        <v/>
      </c>
      <c r="BD328" s="39" t="str">
        <f>IFERROR(bütünleme!BO25*100/bütünleme!$I25,"")</f>
        <v/>
      </c>
      <c r="BE328" s="39" t="str">
        <f>IFERROR(bütünleme!BP25*100/bütünleme!$I25,"")</f>
        <v/>
      </c>
      <c r="BF328" s="39" t="str">
        <f>IFERROR(bütünleme!BQ25*100/bütünleme!$I25,"")</f>
        <v/>
      </c>
      <c r="BG328" s="39" t="str">
        <f>IFERROR(bütünleme!BR25*100/bütünleme!$I25,"")</f>
        <v/>
      </c>
      <c r="BH328" s="39" t="str">
        <f>IFERROR(bütünleme!BS25*100/bütünleme!$I25,"")</f>
        <v/>
      </c>
      <c r="BI328" s="39" t="str">
        <f>IFERROR(bütünleme!BT25*100/bütünleme!$I25,"")</f>
        <v/>
      </c>
      <c r="BJ328" s="39" t="str">
        <f>IFERROR(bütünleme!BU25*100/bütünleme!$I25,"")</f>
        <v/>
      </c>
      <c r="BK328" s="39" t="str">
        <f>IFERROR(bütünleme!BV25*100/bütünleme!$I25,"")</f>
        <v/>
      </c>
      <c r="BL328" s="39" t="str">
        <f>IFERROR(bütünleme!BW25*100/bütünleme!$I25,"")</f>
        <v/>
      </c>
      <c r="BM328" s="39" t="str">
        <f>IFERROR(bütünleme!BX25*100/bütünleme!$I25,"")</f>
        <v/>
      </c>
      <c r="BN328" s="39" t="str">
        <f>IFERROR(bütünleme!BY25*100/bütünleme!$I25,"")</f>
        <v/>
      </c>
      <c r="BO328" s="39" t="str">
        <f>IFERROR(bütünleme!BZ25*100/bütünleme!$I25,"")</f>
        <v/>
      </c>
      <c r="BP328" s="39" t="str">
        <f>IFERROR(bütünleme!CA25*100/bütünleme!$I25,"")</f>
        <v/>
      </c>
      <c r="BQ328" s="39" t="str">
        <f>IFERROR(bütünleme!CB25*100/bütünleme!$I25,"")</f>
        <v/>
      </c>
      <c r="BR328" s="39" t="str">
        <f>IFERROR(bütünleme!CC25*100/bütünleme!$I25,"")</f>
        <v/>
      </c>
      <c r="BS328" s="39" t="str">
        <f>IFERROR(bütünleme!CD25*100/bütünleme!$I25,"")</f>
        <v/>
      </c>
      <c r="BT328" s="39" t="str">
        <f>IFERROR(bütünleme!CE25*100/bütünleme!$I25,"")</f>
        <v/>
      </c>
      <c r="BU328" s="39" t="str">
        <f>IFERROR(bütünleme!CF25*100/bütünleme!$I25,"")</f>
        <v/>
      </c>
      <c r="BV328" s="39" t="str">
        <f>IFERROR(bütünleme!CG25*100/bütünleme!$I25,"")</f>
        <v/>
      </c>
      <c r="BW328" s="39" t="str">
        <f>IFERROR(bütünleme!CH25*100/bütünleme!$I25,"")</f>
        <v/>
      </c>
      <c r="BX328" s="39" t="str">
        <f>IFERROR(bütünleme!CI25*100/bütünleme!$I25,"")</f>
        <v/>
      </c>
      <c r="BY328" s="39" t="str">
        <f>IFERROR(bütünleme!CJ25*100/bütünleme!$I25,"")</f>
        <v/>
      </c>
      <c r="BZ328" s="39" t="str">
        <f>IFERROR(bütünleme!CK25*100/bütünleme!$I25,"")</f>
        <v/>
      </c>
      <c r="CA328" s="39" t="str">
        <f>IFERROR(bütünleme!CL25*100/bütünleme!$I25,"")</f>
        <v/>
      </c>
      <c r="CB328" s="39" t="str">
        <f>IFERROR(bütünleme!CM25*100/bütünleme!$I25,"")</f>
        <v/>
      </c>
      <c r="CC328" s="39" t="str">
        <f>IFERROR(bütünleme!CN25*100/bütünleme!$I25,"")</f>
        <v/>
      </c>
      <c r="CD328" s="39" t="str">
        <f>IFERROR(bütünleme!CO25*100/bütünleme!$I25,"")</f>
        <v/>
      </c>
      <c r="CE328" s="39" t="str">
        <f>IFERROR(bütünleme!CP25*100/bütünleme!$I25,"")</f>
        <v/>
      </c>
      <c r="CF328" s="39" t="str">
        <f>IFERROR(bütünleme!CQ25*100/bütünleme!$I25,"")</f>
        <v/>
      </c>
      <c r="CG328" s="39" t="str">
        <f>IFERROR(bütünleme!CR25*100/bütünleme!$I25,"")</f>
        <v/>
      </c>
      <c r="CH328" s="39" t="str">
        <f>IFERROR(bütünleme!CS25*100/bütünleme!$I25,"")</f>
        <v/>
      </c>
      <c r="CI328" s="39" t="str">
        <f>IFERROR(bütünleme!CT25*100/bütünleme!$I25,"")</f>
        <v/>
      </c>
      <c r="CJ328" s="39" t="str">
        <f>IFERROR(bütünleme!CU25*100/bütünleme!$I25,"")</f>
        <v/>
      </c>
      <c r="CK328" s="39" t="str">
        <f>IFERROR(bütünleme!CV25*100/bütünleme!$I25,"")</f>
        <v/>
      </c>
      <c r="CL328" s="39" t="str">
        <f>IFERROR(bütünleme!CW25*100/bütünleme!$I25,"")</f>
        <v/>
      </c>
      <c r="CM328" s="39" t="str">
        <f>IFERROR(bütünleme!CX25*100/bütünleme!$I25,"")</f>
        <v/>
      </c>
      <c r="CN328" s="39" t="str">
        <f>IFERROR(bütünleme!CY25*100/bütünleme!$I25,"")</f>
        <v/>
      </c>
      <c r="CO328" s="39" t="str">
        <f>IFERROR(bütünleme!CZ25*100/bütünleme!$I25,"")</f>
        <v/>
      </c>
      <c r="CP328" s="39" t="str">
        <f>IFERROR(bütünleme!DA25*100/bütünleme!$I25,"")</f>
        <v/>
      </c>
      <c r="CQ328" s="39" t="str">
        <f>IFERROR(bütünleme!DB25*100/bütünleme!$I25,"")</f>
        <v/>
      </c>
      <c r="CR328" s="39" t="str">
        <f>IFERROR(bütünleme!DC25*100/bütünleme!$I25,"")</f>
        <v/>
      </c>
      <c r="CS328" s="39" t="str">
        <f>IFERROR(bütünleme!DD25*100/bütünleme!$I25,"")</f>
        <v/>
      </c>
      <c r="CT328" s="39" t="str">
        <f>IFERROR(bütünleme!DE25*100/bütünleme!$I25,"")</f>
        <v/>
      </c>
      <c r="CU328" s="39" t="str">
        <f>IFERROR(bütünleme!DF25*100/bütünleme!$I25,"")</f>
        <v/>
      </c>
      <c r="CV328" s="39" t="str">
        <f>IFERROR(bütünleme!DG25*100/bütünleme!$I25,"")</f>
        <v/>
      </c>
      <c r="CW328" s="36" t="str">
        <f>IFERROR(SUM(A328:CV328)/bütünleme!$DH$103,"")</f>
        <v/>
      </c>
      <c r="CX328" s="14" t="str">
        <f>IF(COUNTA(bütünleme!A25),bütünleme!A25,"")</f>
        <v/>
      </c>
      <c r="CY328" s="14" t="str">
        <f>IF(COUNTA(bütünleme!B25),bütünleme!B25,"")</f>
        <v/>
      </c>
      <c r="CZ328" s="14" t="str">
        <f>IF(COUNTA(bütünleme!C25),bütünleme!C25,"")</f>
        <v/>
      </c>
      <c r="DA328" s="14" t="str">
        <f>IF(COUNTA(bütünleme!D25),bütünleme!D25,"")</f>
        <v/>
      </c>
      <c r="DB328" s="14" t="str">
        <f>IF(COUNTA(bütünleme!E25),bütünleme!E25,"")</f>
        <v/>
      </c>
      <c r="DC328" s="14" t="str">
        <f>IF(COUNTA(bütünleme!F25),bütünleme!F25,"")</f>
        <v/>
      </c>
      <c r="DD328" s="14" t="str">
        <f>IF(COUNTA(bütünleme!G25),bütünleme!G25,"")</f>
        <v/>
      </c>
      <c r="DE328" s="14" t="str">
        <f>IF(COUNTA(bütünleme!H25),bütünleme!H25,"")</f>
        <v/>
      </c>
    </row>
    <row r="329" spans="1:109" x14ac:dyDescent="0.2">
      <c r="A329" s="39" t="str">
        <f>IFERROR(bütünleme!L26*100/bütünleme!$I26,"")</f>
        <v/>
      </c>
      <c r="B329" s="39" t="str">
        <f>IFERROR(bütünleme!M26*100/bütünleme!$I26,"")</f>
        <v/>
      </c>
      <c r="C329" s="39" t="str">
        <f>IFERROR(bütünleme!N26*100/bütünleme!$I26,"")</f>
        <v/>
      </c>
      <c r="D329" s="39" t="str">
        <f>IFERROR(bütünleme!O26*100/bütünleme!$I26,"")</f>
        <v/>
      </c>
      <c r="E329" s="39" t="str">
        <f>IFERROR(bütünleme!P26*100/bütünleme!$I26,"")</f>
        <v/>
      </c>
      <c r="F329" s="39" t="str">
        <f>IFERROR(bütünleme!Q26*100/bütünleme!$I26,"")</f>
        <v/>
      </c>
      <c r="G329" s="39" t="str">
        <f>IFERROR(bütünleme!R26*100/bütünleme!$I26,"")</f>
        <v/>
      </c>
      <c r="H329" s="39" t="str">
        <f>IFERROR(bütünleme!S26*100/bütünleme!$I26,"")</f>
        <v/>
      </c>
      <c r="I329" s="39" t="str">
        <f>IFERROR(bütünleme!T26*100/bütünleme!$I26,"")</f>
        <v/>
      </c>
      <c r="J329" s="39" t="str">
        <f>IFERROR(bütünleme!U26*100/bütünleme!$I26,"")</f>
        <v/>
      </c>
      <c r="K329" s="39" t="str">
        <f>IFERROR(bütünleme!V26*100/bütünleme!$I26,"")</f>
        <v/>
      </c>
      <c r="L329" s="39" t="str">
        <f>IFERROR(bütünleme!W26*100/bütünleme!$I26,"")</f>
        <v/>
      </c>
      <c r="M329" s="39" t="str">
        <f>IFERROR(bütünleme!X26*100/bütünleme!$I26,"")</f>
        <v/>
      </c>
      <c r="N329" s="39" t="str">
        <f>IFERROR(bütünleme!Y26*100/bütünleme!$I26,"")</f>
        <v/>
      </c>
      <c r="O329" s="39" t="str">
        <f>IFERROR(bütünleme!Z26*100/bütünleme!$I26,"")</f>
        <v/>
      </c>
      <c r="P329" s="39" t="str">
        <f>IFERROR(bütünleme!AA26*100/bütünleme!$I26,"")</f>
        <v/>
      </c>
      <c r="Q329" s="39" t="str">
        <f>IFERROR(bütünleme!AB26*100/bütünleme!$I26,"")</f>
        <v/>
      </c>
      <c r="R329" s="39" t="str">
        <f>IFERROR(bütünleme!AC26*100/bütünleme!$I26,"")</f>
        <v/>
      </c>
      <c r="S329" s="39" t="str">
        <f>IFERROR(bütünleme!AD26*100/bütünleme!$I26,"")</f>
        <v/>
      </c>
      <c r="T329" s="39" t="str">
        <f>IFERROR(bütünleme!AE26*100/bütünleme!$I26,"")</f>
        <v/>
      </c>
      <c r="U329" s="39" t="str">
        <f>IFERROR(bütünleme!AF26*100/bütünleme!$I26,"")</f>
        <v/>
      </c>
      <c r="V329" s="39" t="str">
        <f>IFERROR(bütünleme!AG26*100/bütünleme!$I26,"")</f>
        <v/>
      </c>
      <c r="W329" s="39" t="str">
        <f>IFERROR(bütünleme!AH26*100/bütünleme!$I26,"")</f>
        <v/>
      </c>
      <c r="X329" s="39" t="str">
        <f>IFERROR(bütünleme!AI26*100/bütünleme!$I26,"")</f>
        <v/>
      </c>
      <c r="Y329" s="39" t="str">
        <f>IFERROR(bütünleme!AJ26*100/bütünleme!$I26,"")</f>
        <v/>
      </c>
      <c r="Z329" s="39" t="str">
        <f>IFERROR(bütünleme!AK26*100/bütünleme!$I26,"")</f>
        <v/>
      </c>
      <c r="AA329" s="39" t="str">
        <f>IFERROR(bütünleme!AL26*100/bütünleme!$I26,"")</f>
        <v/>
      </c>
      <c r="AB329" s="39" t="str">
        <f>IFERROR(bütünleme!AM26*100/bütünleme!$I26,"")</f>
        <v/>
      </c>
      <c r="AC329" s="39" t="str">
        <f>IFERROR(bütünleme!AN26*100/bütünleme!$I26,"")</f>
        <v/>
      </c>
      <c r="AD329" s="39" t="str">
        <f>IFERROR(bütünleme!AO26*100/bütünleme!$I26,"")</f>
        <v/>
      </c>
      <c r="AE329" s="39" t="str">
        <f>IFERROR(bütünleme!AP26*100/bütünleme!$I26,"")</f>
        <v/>
      </c>
      <c r="AF329" s="39" t="str">
        <f>IFERROR(bütünleme!AQ26*100/bütünleme!$I26,"")</f>
        <v/>
      </c>
      <c r="AG329" s="39" t="str">
        <f>IFERROR(bütünleme!AR26*100/bütünleme!$I26,"")</f>
        <v/>
      </c>
      <c r="AH329" s="39" t="str">
        <f>IFERROR(bütünleme!AS26*100/bütünleme!$I26,"")</f>
        <v/>
      </c>
      <c r="AI329" s="39" t="str">
        <f>IFERROR(bütünleme!AT26*100/bütünleme!$I26,"")</f>
        <v/>
      </c>
      <c r="AJ329" s="39" t="str">
        <f>IFERROR(bütünleme!AU26*100/bütünleme!$I26,"")</f>
        <v/>
      </c>
      <c r="AK329" s="39" t="str">
        <f>IFERROR(bütünleme!AV26*100/bütünleme!$I26,"")</f>
        <v/>
      </c>
      <c r="AL329" s="39" t="str">
        <f>IFERROR(bütünleme!AW26*100/bütünleme!$I26,"")</f>
        <v/>
      </c>
      <c r="AM329" s="39" t="str">
        <f>IFERROR(bütünleme!AX26*100/bütünleme!$I26,"")</f>
        <v/>
      </c>
      <c r="AN329" s="39" t="str">
        <f>IFERROR(bütünleme!AY26*100/bütünleme!$I26,"")</f>
        <v/>
      </c>
      <c r="AO329" s="39" t="str">
        <f>IFERROR(bütünleme!AZ26*100/bütünleme!$I26,"")</f>
        <v/>
      </c>
      <c r="AP329" s="39" t="str">
        <f>IFERROR(bütünleme!BA26*100/bütünleme!$I26,"")</f>
        <v/>
      </c>
      <c r="AQ329" s="39" t="str">
        <f>IFERROR(bütünleme!BB26*100/bütünleme!$I26,"")</f>
        <v/>
      </c>
      <c r="AR329" s="39" t="str">
        <f>IFERROR(bütünleme!BC26*100/bütünleme!$I26,"")</f>
        <v/>
      </c>
      <c r="AS329" s="39" t="str">
        <f>IFERROR(bütünleme!BD26*100/bütünleme!$I26,"")</f>
        <v/>
      </c>
      <c r="AT329" s="39" t="str">
        <f>IFERROR(bütünleme!BE26*100/bütünleme!$I26,"")</f>
        <v/>
      </c>
      <c r="AU329" s="39" t="str">
        <f>IFERROR(bütünleme!BF26*100/bütünleme!$I26,"")</f>
        <v/>
      </c>
      <c r="AV329" s="39" t="str">
        <f>IFERROR(bütünleme!BG26*100/bütünleme!$I26,"")</f>
        <v/>
      </c>
      <c r="AW329" s="39" t="str">
        <f>IFERROR(bütünleme!BH26*100/bütünleme!$I26,"")</f>
        <v/>
      </c>
      <c r="AX329" s="39" t="str">
        <f>IFERROR(bütünleme!BI26*100/bütünleme!$I26,"")</f>
        <v/>
      </c>
      <c r="AY329" s="39" t="str">
        <f>IFERROR(bütünleme!BJ26*100/bütünleme!$I26,"")</f>
        <v/>
      </c>
      <c r="AZ329" s="39" t="str">
        <f>IFERROR(bütünleme!BK26*100/bütünleme!$I26,"")</f>
        <v/>
      </c>
      <c r="BA329" s="39" t="str">
        <f>IFERROR(bütünleme!BL26*100/bütünleme!$I26,"")</f>
        <v/>
      </c>
      <c r="BB329" s="39" t="str">
        <f>IFERROR(bütünleme!BM26*100/bütünleme!$I26,"")</f>
        <v/>
      </c>
      <c r="BC329" s="39" t="str">
        <f>IFERROR(bütünleme!BN26*100/bütünleme!$I26,"")</f>
        <v/>
      </c>
      <c r="BD329" s="39" t="str">
        <f>IFERROR(bütünleme!BO26*100/bütünleme!$I26,"")</f>
        <v/>
      </c>
      <c r="BE329" s="39" t="str">
        <f>IFERROR(bütünleme!BP26*100/bütünleme!$I26,"")</f>
        <v/>
      </c>
      <c r="BF329" s="39" t="str">
        <f>IFERROR(bütünleme!BQ26*100/bütünleme!$I26,"")</f>
        <v/>
      </c>
      <c r="BG329" s="39" t="str">
        <f>IFERROR(bütünleme!BR26*100/bütünleme!$I26,"")</f>
        <v/>
      </c>
      <c r="BH329" s="39" t="str">
        <f>IFERROR(bütünleme!BS26*100/bütünleme!$I26,"")</f>
        <v/>
      </c>
      <c r="BI329" s="39" t="str">
        <f>IFERROR(bütünleme!BT26*100/bütünleme!$I26,"")</f>
        <v/>
      </c>
      <c r="BJ329" s="39" t="str">
        <f>IFERROR(bütünleme!BU26*100/bütünleme!$I26,"")</f>
        <v/>
      </c>
      <c r="BK329" s="39" t="str">
        <f>IFERROR(bütünleme!BV26*100/bütünleme!$I26,"")</f>
        <v/>
      </c>
      <c r="BL329" s="39" t="str">
        <f>IFERROR(bütünleme!BW26*100/bütünleme!$I26,"")</f>
        <v/>
      </c>
      <c r="BM329" s="39" t="str">
        <f>IFERROR(bütünleme!BX26*100/bütünleme!$I26,"")</f>
        <v/>
      </c>
      <c r="BN329" s="39" t="str">
        <f>IFERROR(bütünleme!BY26*100/bütünleme!$I26,"")</f>
        <v/>
      </c>
      <c r="BO329" s="39" t="str">
        <f>IFERROR(bütünleme!BZ26*100/bütünleme!$I26,"")</f>
        <v/>
      </c>
      <c r="BP329" s="39" t="str">
        <f>IFERROR(bütünleme!CA26*100/bütünleme!$I26,"")</f>
        <v/>
      </c>
      <c r="BQ329" s="39" t="str">
        <f>IFERROR(bütünleme!CB26*100/bütünleme!$I26,"")</f>
        <v/>
      </c>
      <c r="BR329" s="39" t="str">
        <f>IFERROR(bütünleme!CC26*100/bütünleme!$I26,"")</f>
        <v/>
      </c>
      <c r="BS329" s="39" t="str">
        <f>IFERROR(bütünleme!CD26*100/bütünleme!$I26,"")</f>
        <v/>
      </c>
      <c r="BT329" s="39" t="str">
        <f>IFERROR(bütünleme!CE26*100/bütünleme!$I26,"")</f>
        <v/>
      </c>
      <c r="BU329" s="39" t="str">
        <f>IFERROR(bütünleme!CF26*100/bütünleme!$I26,"")</f>
        <v/>
      </c>
      <c r="BV329" s="39" t="str">
        <f>IFERROR(bütünleme!CG26*100/bütünleme!$I26,"")</f>
        <v/>
      </c>
      <c r="BW329" s="39" t="str">
        <f>IFERROR(bütünleme!CH26*100/bütünleme!$I26,"")</f>
        <v/>
      </c>
      <c r="BX329" s="39" t="str">
        <f>IFERROR(bütünleme!CI26*100/bütünleme!$I26,"")</f>
        <v/>
      </c>
      <c r="BY329" s="39" t="str">
        <f>IFERROR(bütünleme!CJ26*100/bütünleme!$I26,"")</f>
        <v/>
      </c>
      <c r="BZ329" s="39" t="str">
        <f>IFERROR(bütünleme!CK26*100/bütünleme!$I26,"")</f>
        <v/>
      </c>
      <c r="CA329" s="39" t="str">
        <f>IFERROR(bütünleme!CL26*100/bütünleme!$I26,"")</f>
        <v/>
      </c>
      <c r="CB329" s="39" t="str">
        <f>IFERROR(bütünleme!CM26*100/bütünleme!$I26,"")</f>
        <v/>
      </c>
      <c r="CC329" s="39" t="str">
        <f>IFERROR(bütünleme!CN26*100/bütünleme!$I26,"")</f>
        <v/>
      </c>
      <c r="CD329" s="39" t="str">
        <f>IFERROR(bütünleme!CO26*100/bütünleme!$I26,"")</f>
        <v/>
      </c>
      <c r="CE329" s="39" t="str">
        <f>IFERROR(bütünleme!CP26*100/bütünleme!$I26,"")</f>
        <v/>
      </c>
      <c r="CF329" s="39" t="str">
        <f>IFERROR(bütünleme!CQ26*100/bütünleme!$I26,"")</f>
        <v/>
      </c>
      <c r="CG329" s="39" t="str">
        <f>IFERROR(bütünleme!CR26*100/bütünleme!$I26,"")</f>
        <v/>
      </c>
      <c r="CH329" s="39" t="str">
        <f>IFERROR(bütünleme!CS26*100/bütünleme!$I26,"")</f>
        <v/>
      </c>
      <c r="CI329" s="39" t="str">
        <f>IFERROR(bütünleme!CT26*100/bütünleme!$I26,"")</f>
        <v/>
      </c>
      <c r="CJ329" s="39" t="str">
        <f>IFERROR(bütünleme!CU26*100/bütünleme!$I26,"")</f>
        <v/>
      </c>
      <c r="CK329" s="39" t="str">
        <f>IFERROR(bütünleme!CV26*100/bütünleme!$I26,"")</f>
        <v/>
      </c>
      <c r="CL329" s="39" t="str">
        <f>IFERROR(bütünleme!CW26*100/bütünleme!$I26,"")</f>
        <v/>
      </c>
      <c r="CM329" s="39" t="str">
        <f>IFERROR(bütünleme!CX26*100/bütünleme!$I26,"")</f>
        <v/>
      </c>
      <c r="CN329" s="39" t="str">
        <f>IFERROR(bütünleme!CY26*100/bütünleme!$I26,"")</f>
        <v/>
      </c>
      <c r="CO329" s="39" t="str">
        <f>IFERROR(bütünleme!CZ26*100/bütünleme!$I26,"")</f>
        <v/>
      </c>
      <c r="CP329" s="39" t="str">
        <f>IFERROR(bütünleme!DA26*100/bütünleme!$I26,"")</f>
        <v/>
      </c>
      <c r="CQ329" s="39" t="str">
        <f>IFERROR(bütünleme!DB26*100/bütünleme!$I26,"")</f>
        <v/>
      </c>
      <c r="CR329" s="39" t="str">
        <f>IFERROR(bütünleme!DC26*100/bütünleme!$I26,"")</f>
        <v/>
      </c>
      <c r="CS329" s="39" t="str">
        <f>IFERROR(bütünleme!DD26*100/bütünleme!$I26,"")</f>
        <v/>
      </c>
      <c r="CT329" s="39" t="str">
        <f>IFERROR(bütünleme!DE26*100/bütünleme!$I26,"")</f>
        <v/>
      </c>
      <c r="CU329" s="39" t="str">
        <f>IFERROR(bütünleme!DF26*100/bütünleme!$I26,"")</f>
        <v/>
      </c>
      <c r="CV329" s="39" t="str">
        <f>IFERROR(bütünleme!DG26*100/bütünleme!$I26,"")</f>
        <v/>
      </c>
      <c r="CW329" s="36" t="str">
        <f>IFERROR(SUM(A329:CV329)/bütünleme!$DH$103,"")</f>
        <v/>
      </c>
      <c r="CX329" s="14" t="str">
        <f>IF(COUNTA(bütünleme!A26),bütünleme!A26,"")</f>
        <v/>
      </c>
      <c r="CY329" s="14" t="str">
        <f>IF(COUNTA(bütünleme!B26),bütünleme!B26,"")</f>
        <v/>
      </c>
      <c r="CZ329" s="14" t="str">
        <f>IF(COUNTA(bütünleme!C26),bütünleme!C26,"")</f>
        <v/>
      </c>
      <c r="DA329" s="14" t="str">
        <f>IF(COUNTA(bütünleme!D26),bütünleme!D26,"")</f>
        <v/>
      </c>
      <c r="DB329" s="14" t="str">
        <f>IF(COUNTA(bütünleme!E26),bütünleme!E26,"")</f>
        <v/>
      </c>
      <c r="DC329" s="14" t="str">
        <f>IF(COUNTA(bütünleme!F26),bütünleme!F26,"")</f>
        <v/>
      </c>
      <c r="DD329" s="14" t="str">
        <f>IF(COUNTA(bütünleme!G26),bütünleme!G26,"")</f>
        <v/>
      </c>
      <c r="DE329" s="14" t="str">
        <f>IF(COUNTA(bütünleme!H26),bütünleme!H26,"")</f>
        <v/>
      </c>
    </row>
    <row r="330" spans="1:109" x14ac:dyDescent="0.2">
      <c r="A330" s="39" t="str">
        <f>IFERROR(bütünleme!L27*100/bütünleme!$I27,"")</f>
        <v/>
      </c>
      <c r="B330" s="39" t="str">
        <f>IFERROR(bütünleme!M27*100/bütünleme!$I27,"")</f>
        <v/>
      </c>
      <c r="C330" s="39" t="str">
        <f>IFERROR(bütünleme!N27*100/bütünleme!$I27,"")</f>
        <v/>
      </c>
      <c r="D330" s="39" t="str">
        <f>IFERROR(bütünleme!O27*100/bütünleme!$I27,"")</f>
        <v/>
      </c>
      <c r="E330" s="39" t="str">
        <f>IFERROR(bütünleme!P27*100/bütünleme!$I27,"")</f>
        <v/>
      </c>
      <c r="F330" s="39" t="str">
        <f>IFERROR(bütünleme!Q27*100/bütünleme!$I27,"")</f>
        <v/>
      </c>
      <c r="G330" s="39" t="str">
        <f>IFERROR(bütünleme!R27*100/bütünleme!$I27,"")</f>
        <v/>
      </c>
      <c r="H330" s="39" t="str">
        <f>IFERROR(bütünleme!S27*100/bütünleme!$I27,"")</f>
        <v/>
      </c>
      <c r="I330" s="39" t="str">
        <f>IFERROR(bütünleme!T27*100/bütünleme!$I27,"")</f>
        <v/>
      </c>
      <c r="J330" s="39" t="str">
        <f>IFERROR(bütünleme!U27*100/bütünleme!$I27,"")</f>
        <v/>
      </c>
      <c r="K330" s="39" t="str">
        <f>IFERROR(bütünleme!V27*100/bütünleme!$I27,"")</f>
        <v/>
      </c>
      <c r="L330" s="39" t="str">
        <f>IFERROR(bütünleme!W27*100/bütünleme!$I27,"")</f>
        <v/>
      </c>
      <c r="M330" s="39" t="str">
        <f>IFERROR(bütünleme!X27*100/bütünleme!$I27,"")</f>
        <v/>
      </c>
      <c r="N330" s="39" t="str">
        <f>IFERROR(bütünleme!Y27*100/bütünleme!$I27,"")</f>
        <v/>
      </c>
      <c r="O330" s="39" t="str">
        <f>IFERROR(bütünleme!Z27*100/bütünleme!$I27,"")</f>
        <v/>
      </c>
      <c r="P330" s="39" t="str">
        <f>IFERROR(bütünleme!AA27*100/bütünleme!$I27,"")</f>
        <v/>
      </c>
      <c r="Q330" s="39" t="str">
        <f>IFERROR(bütünleme!AB27*100/bütünleme!$I27,"")</f>
        <v/>
      </c>
      <c r="R330" s="39" t="str">
        <f>IFERROR(bütünleme!AC27*100/bütünleme!$I27,"")</f>
        <v/>
      </c>
      <c r="S330" s="39" t="str">
        <f>IFERROR(bütünleme!AD27*100/bütünleme!$I27,"")</f>
        <v/>
      </c>
      <c r="T330" s="39" t="str">
        <f>IFERROR(bütünleme!AE27*100/bütünleme!$I27,"")</f>
        <v/>
      </c>
      <c r="U330" s="39" t="str">
        <f>IFERROR(bütünleme!AF27*100/bütünleme!$I27,"")</f>
        <v/>
      </c>
      <c r="V330" s="39" t="str">
        <f>IFERROR(bütünleme!AG27*100/bütünleme!$I27,"")</f>
        <v/>
      </c>
      <c r="W330" s="39" t="str">
        <f>IFERROR(bütünleme!AH27*100/bütünleme!$I27,"")</f>
        <v/>
      </c>
      <c r="X330" s="39" t="str">
        <f>IFERROR(bütünleme!AI27*100/bütünleme!$I27,"")</f>
        <v/>
      </c>
      <c r="Y330" s="39" t="str">
        <f>IFERROR(bütünleme!AJ27*100/bütünleme!$I27,"")</f>
        <v/>
      </c>
      <c r="Z330" s="39" t="str">
        <f>IFERROR(bütünleme!AK27*100/bütünleme!$I27,"")</f>
        <v/>
      </c>
      <c r="AA330" s="39" t="str">
        <f>IFERROR(bütünleme!AL27*100/bütünleme!$I27,"")</f>
        <v/>
      </c>
      <c r="AB330" s="39" t="str">
        <f>IFERROR(bütünleme!AM27*100/bütünleme!$I27,"")</f>
        <v/>
      </c>
      <c r="AC330" s="39" t="str">
        <f>IFERROR(bütünleme!AN27*100/bütünleme!$I27,"")</f>
        <v/>
      </c>
      <c r="AD330" s="39" t="str">
        <f>IFERROR(bütünleme!AO27*100/bütünleme!$I27,"")</f>
        <v/>
      </c>
      <c r="AE330" s="39" t="str">
        <f>IFERROR(bütünleme!AP27*100/bütünleme!$I27,"")</f>
        <v/>
      </c>
      <c r="AF330" s="39" t="str">
        <f>IFERROR(bütünleme!AQ27*100/bütünleme!$I27,"")</f>
        <v/>
      </c>
      <c r="AG330" s="39" t="str">
        <f>IFERROR(bütünleme!AR27*100/bütünleme!$I27,"")</f>
        <v/>
      </c>
      <c r="AH330" s="39" t="str">
        <f>IFERROR(bütünleme!AS27*100/bütünleme!$I27,"")</f>
        <v/>
      </c>
      <c r="AI330" s="39" t="str">
        <f>IFERROR(bütünleme!AT27*100/bütünleme!$I27,"")</f>
        <v/>
      </c>
      <c r="AJ330" s="39" t="str">
        <f>IFERROR(bütünleme!AU27*100/bütünleme!$I27,"")</f>
        <v/>
      </c>
      <c r="AK330" s="39" t="str">
        <f>IFERROR(bütünleme!AV27*100/bütünleme!$I27,"")</f>
        <v/>
      </c>
      <c r="AL330" s="39" t="str">
        <f>IFERROR(bütünleme!AW27*100/bütünleme!$I27,"")</f>
        <v/>
      </c>
      <c r="AM330" s="39" t="str">
        <f>IFERROR(bütünleme!AX27*100/bütünleme!$I27,"")</f>
        <v/>
      </c>
      <c r="AN330" s="39" t="str">
        <f>IFERROR(bütünleme!AY27*100/bütünleme!$I27,"")</f>
        <v/>
      </c>
      <c r="AO330" s="39" t="str">
        <f>IFERROR(bütünleme!AZ27*100/bütünleme!$I27,"")</f>
        <v/>
      </c>
      <c r="AP330" s="39" t="str">
        <f>IFERROR(bütünleme!BA27*100/bütünleme!$I27,"")</f>
        <v/>
      </c>
      <c r="AQ330" s="39" t="str">
        <f>IFERROR(bütünleme!BB27*100/bütünleme!$I27,"")</f>
        <v/>
      </c>
      <c r="AR330" s="39" t="str">
        <f>IFERROR(bütünleme!BC27*100/bütünleme!$I27,"")</f>
        <v/>
      </c>
      <c r="AS330" s="39" t="str">
        <f>IFERROR(bütünleme!BD27*100/bütünleme!$I27,"")</f>
        <v/>
      </c>
      <c r="AT330" s="39" t="str">
        <f>IFERROR(bütünleme!BE27*100/bütünleme!$I27,"")</f>
        <v/>
      </c>
      <c r="AU330" s="39" t="str">
        <f>IFERROR(bütünleme!BF27*100/bütünleme!$I27,"")</f>
        <v/>
      </c>
      <c r="AV330" s="39" t="str">
        <f>IFERROR(bütünleme!BG27*100/bütünleme!$I27,"")</f>
        <v/>
      </c>
      <c r="AW330" s="39" t="str">
        <f>IFERROR(bütünleme!BH27*100/bütünleme!$I27,"")</f>
        <v/>
      </c>
      <c r="AX330" s="39" t="str">
        <f>IFERROR(bütünleme!BI27*100/bütünleme!$I27,"")</f>
        <v/>
      </c>
      <c r="AY330" s="39" t="str">
        <f>IFERROR(bütünleme!BJ27*100/bütünleme!$I27,"")</f>
        <v/>
      </c>
      <c r="AZ330" s="39" t="str">
        <f>IFERROR(bütünleme!BK27*100/bütünleme!$I27,"")</f>
        <v/>
      </c>
      <c r="BA330" s="39" t="str">
        <f>IFERROR(bütünleme!BL27*100/bütünleme!$I27,"")</f>
        <v/>
      </c>
      <c r="BB330" s="39" t="str">
        <f>IFERROR(bütünleme!BM27*100/bütünleme!$I27,"")</f>
        <v/>
      </c>
      <c r="BC330" s="39" t="str">
        <f>IFERROR(bütünleme!BN27*100/bütünleme!$I27,"")</f>
        <v/>
      </c>
      <c r="BD330" s="39" t="str">
        <f>IFERROR(bütünleme!BO27*100/bütünleme!$I27,"")</f>
        <v/>
      </c>
      <c r="BE330" s="39" t="str">
        <f>IFERROR(bütünleme!BP27*100/bütünleme!$I27,"")</f>
        <v/>
      </c>
      <c r="BF330" s="39" t="str">
        <f>IFERROR(bütünleme!BQ27*100/bütünleme!$I27,"")</f>
        <v/>
      </c>
      <c r="BG330" s="39" t="str">
        <f>IFERROR(bütünleme!BR27*100/bütünleme!$I27,"")</f>
        <v/>
      </c>
      <c r="BH330" s="39" t="str">
        <f>IFERROR(bütünleme!BS27*100/bütünleme!$I27,"")</f>
        <v/>
      </c>
      <c r="BI330" s="39" t="str">
        <f>IFERROR(bütünleme!BT27*100/bütünleme!$I27,"")</f>
        <v/>
      </c>
      <c r="BJ330" s="39" t="str">
        <f>IFERROR(bütünleme!BU27*100/bütünleme!$I27,"")</f>
        <v/>
      </c>
      <c r="BK330" s="39" t="str">
        <f>IFERROR(bütünleme!BV27*100/bütünleme!$I27,"")</f>
        <v/>
      </c>
      <c r="BL330" s="39" t="str">
        <f>IFERROR(bütünleme!BW27*100/bütünleme!$I27,"")</f>
        <v/>
      </c>
      <c r="BM330" s="39" t="str">
        <f>IFERROR(bütünleme!BX27*100/bütünleme!$I27,"")</f>
        <v/>
      </c>
      <c r="BN330" s="39" t="str">
        <f>IFERROR(bütünleme!BY27*100/bütünleme!$I27,"")</f>
        <v/>
      </c>
      <c r="BO330" s="39" t="str">
        <f>IFERROR(bütünleme!BZ27*100/bütünleme!$I27,"")</f>
        <v/>
      </c>
      <c r="BP330" s="39" t="str">
        <f>IFERROR(bütünleme!CA27*100/bütünleme!$I27,"")</f>
        <v/>
      </c>
      <c r="BQ330" s="39" t="str">
        <f>IFERROR(bütünleme!CB27*100/bütünleme!$I27,"")</f>
        <v/>
      </c>
      <c r="BR330" s="39" t="str">
        <f>IFERROR(bütünleme!CC27*100/bütünleme!$I27,"")</f>
        <v/>
      </c>
      <c r="BS330" s="39" t="str">
        <f>IFERROR(bütünleme!CD27*100/bütünleme!$I27,"")</f>
        <v/>
      </c>
      <c r="BT330" s="39" t="str">
        <f>IFERROR(bütünleme!CE27*100/bütünleme!$I27,"")</f>
        <v/>
      </c>
      <c r="BU330" s="39" t="str">
        <f>IFERROR(bütünleme!CF27*100/bütünleme!$I27,"")</f>
        <v/>
      </c>
      <c r="BV330" s="39" t="str">
        <f>IFERROR(bütünleme!CG27*100/bütünleme!$I27,"")</f>
        <v/>
      </c>
      <c r="BW330" s="39" t="str">
        <f>IFERROR(bütünleme!CH27*100/bütünleme!$I27,"")</f>
        <v/>
      </c>
      <c r="BX330" s="39" t="str">
        <f>IFERROR(bütünleme!CI27*100/bütünleme!$I27,"")</f>
        <v/>
      </c>
      <c r="BY330" s="39" t="str">
        <f>IFERROR(bütünleme!CJ27*100/bütünleme!$I27,"")</f>
        <v/>
      </c>
      <c r="BZ330" s="39" t="str">
        <f>IFERROR(bütünleme!CK27*100/bütünleme!$I27,"")</f>
        <v/>
      </c>
      <c r="CA330" s="39" t="str">
        <f>IFERROR(bütünleme!CL27*100/bütünleme!$I27,"")</f>
        <v/>
      </c>
      <c r="CB330" s="39" t="str">
        <f>IFERROR(bütünleme!CM27*100/bütünleme!$I27,"")</f>
        <v/>
      </c>
      <c r="CC330" s="39" t="str">
        <f>IFERROR(bütünleme!CN27*100/bütünleme!$I27,"")</f>
        <v/>
      </c>
      <c r="CD330" s="39" t="str">
        <f>IFERROR(bütünleme!CO27*100/bütünleme!$I27,"")</f>
        <v/>
      </c>
      <c r="CE330" s="39" t="str">
        <f>IFERROR(bütünleme!CP27*100/bütünleme!$I27,"")</f>
        <v/>
      </c>
      <c r="CF330" s="39" t="str">
        <f>IFERROR(bütünleme!CQ27*100/bütünleme!$I27,"")</f>
        <v/>
      </c>
      <c r="CG330" s="39" t="str">
        <f>IFERROR(bütünleme!CR27*100/bütünleme!$I27,"")</f>
        <v/>
      </c>
      <c r="CH330" s="39" t="str">
        <f>IFERROR(bütünleme!CS27*100/bütünleme!$I27,"")</f>
        <v/>
      </c>
      <c r="CI330" s="39" t="str">
        <f>IFERROR(bütünleme!CT27*100/bütünleme!$I27,"")</f>
        <v/>
      </c>
      <c r="CJ330" s="39" t="str">
        <f>IFERROR(bütünleme!CU27*100/bütünleme!$I27,"")</f>
        <v/>
      </c>
      <c r="CK330" s="39" t="str">
        <f>IFERROR(bütünleme!CV27*100/bütünleme!$I27,"")</f>
        <v/>
      </c>
      <c r="CL330" s="39" t="str">
        <f>IFERROR(bütünleme!CW27*100/bütünleme!$I27,"")</f>
        <v/>
      </c>
      <c r="CM330" s="39" t="str">
        <f>IFERROR(bütünleme!CX27*100/bütünleme!$I27,"")</f>
        <v/>
      </c>
      <c r="CN330" s="39" t="str">
        <f>IFERROR(bütünleme!CY27*100/bütünleme!$I27,"")</f>
        <v/>
      </c>
      <c r="CO330" s="39" t="str">
        <f>IFERROR(bütünleme!CZ27*100/bütünleme!$I27,"")</f>
        <v/>
      </c>
      <c r="CP330" s="39" t="str">
        <f>IFERROR(bütünleme!DA27*100/bütünleme!$I27,"")</f>
        <v/>
      </c>
      <c r="CQ330" s="39" t="str">
        <f>IFERROR(bütünleme!DB27*100/bütünleme!$I27,"")</f>
        <v/>
      </c>
      <c r="CR330" s="39" t="str">
        <f>IFERROR(bütünleme!DC27*100/bütünleme!$I27,"")</f>
        <v/>
      </c>
      <c r="CS330" s="39" t="str">
        <f>IFERROR(bütünleme!DD27*100/bütünleme!$I27,"")</f>
        <v/>
      </c>
      <c r="CT330" s="39" t="str">
        <f>IFERROR(bütünleme!DE27*100/bütünleme!$I27,"")</f>
        <v/>
      </c>
      <c r="CU330" s="39" t="str">
        <f>IFERROR(bütünleme!DF27*100/bütünleme!$I27,"")</f>
        <v/>
      </c>
      <c r="CV330" s="39" t="str">
        <f>IFERROR(bütünleme!DG27*100/bütünleme!$I27,"")</f>
        <v/>
      </c>
      <c r="CW330" s="36" t="str">
        <f>IFERROR(SUM(A330:CV330)/bütünleme!$DH$103,"")</f>
        <v/>
      </c>
      <c r="CX330" s="14" t="str">
        <f>IF(COUNTA(bütünleme!A27),bütünleme!A27,"")</f>
        <v/>
      </c>
      <c r="CY330" s="14" t="str">
        <f>IF(COUNTA(bütünleme!B27),bütünleme!B27,"")</f>
        <v/>
      </c>
      <c r="CZ330" s="14" t="str">
        <f>IF(COUNTA(bütünleme!C27),bütünleme!C27,"")</f>
        <v/>
      </c>
      <c r="DA330" s="14" t="str">
        <f>IF(COUNTA(bütünleme!D27),bütünleme!D27,"")</f>
        <v/>
      </c>
      <c r="DB330" s="14" t="str">
        <f>IF(COUNTA(bütünleme!E27),bütünleme!E27,"")</f>
        <v/>
      </c>
      <c r="DC330" s="14" t="str">
        <f>IF(COUNTA(bütünleme!F27),bütünleme!F27,"")</f>
        <v/>
      </c>
      <c r="DD330" s="14" t="str">
        <f>IF(COUNTA(bütünleme!G27),bütünleme!G27,"")</f>
        <v/>
      </c>
      <c r="DE330" s="14" t="str">
        <f>IF(COUNTA(bütünleme!H27),bütünleme!H27,"")</f>
        <v/>
      </c>
    </row>
    <row r="331" spans="1:109" x14ac:dyDescent="0.2">
      <c r="A331" s="39" t="str">
        <f>IFERROR(bütünleme!L28*100/bütünleme!$I28,"")</f>
        <v/>
      </c>
      <c r="B331" s="39" t="str">
        <f>IFERROR(bütünleme!M28*100/bütünleme!$I28,"")</f>
        <v/>
      </c>
      <c r="C331" s="39" t="str">
        <f>IFERROR(bütünleme!N28*100/bütünleme!$I28,"")</f>
        <v/>
      </c>
      <c r="D331" s="39" t="str">
        <f>IFERROR(bütünleme!O28*100/bütünleme!$I28,"")</f>
        <v/>
      </c>
      <c r="E331" s="39" t="str">
        <f>IFERROR(bütünleme!P28*100/bütünleme!$I28,"")</f>
        <v/>
      </c>
      <c r="F331" s="39" t="str">
        <f>IFERROR(bütünleme!Q28*100/bütünleme!$I28,"")</f>
        <v/>
      </c>
      <c r="G331" s="39" t="str">
        <f>IFERROR(bütünleme!R28*100/bütünleme!$I28,"")</f>
        <v/>
      </c>
      <c r="H331" s="39" t="str">
        <f>IFERROR(bütünleme!S28*100/bütünleme!$I28,"")</f>
        <v/>
      </c>
      <c r="I331" s="39" t="str">
        <f>IFERROR(bütünleme!T28*100/bütünleme!$I28,"")</f>
        <v/>
      </c>
      <c r="J331" s="39" t="str">
        <f>IFERROR(bütünleme!U28*100/bütünleme!$I28,"")</f>
        <v/>
      </c>
      <c r="K331" s="39" t="str">
        <f>IFERROR(bütünleme!V28*100/bütünleme!$I28,"")</f>
        <v/>
      </c>
      <c r="L331" s="39" t="str">
        <f>IFERROR(bütünleme!W28*100/bütünleme!$I28,"")</f>
        <v/>
      </c>
      <c r="M331" s="39" t="str">
        <f>IFERROR(bütünleme!X28*100/bütünleme!$I28,"")</f>
        <v/>
      </c>
      <c r="N331" s="39" t="str">
        <f>IFERROR(bütünleme!Y28*100/bütünleme!$I28,"")</f>
        <v/>
      </c>
      <c r="O331" s="39" t="str">
        <f>IFERROR(bütünleme!Z28*100/bütünleme!$I28,"")</f>
        <v/>
      </c>
      <c r="P331" s="39" t="str">
        <f>IFERROR(bütünleme!AA28*100/bütünleme!$I28,"")</f>
        <v/>
      </c>
      <c r="Q331" s="39" t="str">
        <f>IFERROR(bütünleme!AB28*100/bütünleme!$I28,"")</f>
        <v/>
      </c>
      <c r="R331" s="39" t="str">
        <f>IFERROR(bütünleme!AC28*100/bütünleme!$I28,"")</f>
        <v/>
      </c>
      <c r="S331" s="39" t="str">
        <f>IFERROR(bütünleme!AD28*100/bütünleme!$I28,"")</f>
        <v/>
      </c>
      <c r="T331" s="39" t="str">
        <f>IFERROR(bütünleme!AE28*100/bütünleme!$I28,"")</f>
        <v/>
      </c>
      <c r="U331" s="39" t="str">
        <f>IFERROR(bütünleme!AF28*100/bütünleme!$I28,"")</f>
        <v/>
      </c>
      <c r="V331" s="39" t="str">
        <f>IFERROR(bütünleme!AG28*100/bütünleme!$I28,"")</f>
        <v/>
      </c>
      <c r="W331" s="39" t="str">
        <f>IFERROR(bütünleme!AH28*100/bütünleme!$I28,"")</f>
        <v/>
      </c>
      <c r="X331" s="39" t="str">
        <f>IFERROR(bütünleme!AI28*100/bütünleme!$I28,"")</f>
        <v/>
      </c>
      <c r="Y331" s="39" t="str">
        <f>IFERROR(bütünleme!AJ28*100/bütünleme!$I28,"")</f>
        <v/>
      </c>
      <c r="Z331" s="39" t="str">
        <f>IFERROR(bütünleme!AK28*100/bütünleme!$I28,"")</f>
        <v/>
      </c>
      <c r="AA331" s="39" t="str">
        <f>IFERROR(bütünleme!AL28*100/bütünleme!$I28,"")</f>
        <v/>
      </c>
      <c r="AB331" s="39" t="str">
        <f>IFERROR(bütünleme!AM28*100/bütünleme!$I28,"")</f>
        <v/>
      </c>
      <c r="AC331" s="39" t="str">
        <f>IFERROR(bütünleme!AN28*100/bütünleme!$I28,"")</f>
        <v/>
      </c>
      <c r="AD331" s="39" t="str">
        <f>IFERROR(bütünleme!AO28*100/bütünleme!$I28,"")</f>
        <v/>
      </c>
      <c r="AE331" s="39" t="str">
        <f>IFERROR(bütünleme!AP28*100/bütünleme!$I28,"")</f>
        <v/>
      </c>
      <c r="AF331" s="39" t="str">
        <f>IFERROR(bütünleme!AQ28*100/bütünleme!$I28,"")</f>
        <v/>
      </c>
      <c r="AG331" s="39" t="str">
        <f>IFERROR(bütünleme!AR28*100/bütünleme!$I28,"")</f>
        <v/>
      </c>
      <c r="AH331" s="39" t="str">
        <f>IFERROR(bütünleme!AS28*100/bütünleme!$I28,"")</f>
        <v/>
      </c>
      <c r="AI331" s="39" t="str">
        <f>IFERROR(bütünleme!AT28*100/bütünleme!$I28,"")</f>
        <v/>
      </c>
      <c r="AJ331" s="39" t="str">
        <f>IFERROR(bütünleme!AU28*100/bütünleme!$I28,"")</f>
        <v/>
      </c>
      <c r="AK331" s="39" t="str">
        <f>IFERROR(bütünleme!AV28*100/bütünleme!$I28,"")</f>
        <v/>
      </c>
      <c r="AL331" s="39" t="str">
        <f>IFERROR(bütünleme!AW28*100/bütünleme!$I28,"")</f>
        <v/>
      </c>
      <c r="AM331" s="39" t="str">
        <f>IFERROR(bütünleme!AX28*100/bütünleme!$I28,"")</f>
        <v/>
      </c>
      <c r="AN331" s="39" t="str">
        <f>IFERROR(bütünleme!AY28*100/bütünleme!$I28,"")</f>
        <v/>
      </c>
      <c r="AO331" s="39" t="str">
        <f>IFERROR(bütünleme!AZ28*100/bütünleme!$I28,"")</f>
        <v/>
      </c>
      <c r="AP331" s="39" t="str">
        <f>IFERROR(bütünleme!BA28*100/bütünleme!$I28,"")</f>
        <v/>
      </c>
      <c r="AQ331" s="39" t="str">
        <f>IFERROR(bütünleme!BB28*100/bütünleme!$I28,"")</f>
        <v/>
      </c>
      <c r="AR331" s="39" t="str">
        <f>IFERROR(bütünleme!BC28*100/bütünleme!$I28,"")</f>
        <v/>
      </c>
      <c r="AS331" s="39" t="str">
        <f>IFERROR(bütünleme!BD28*100/bütünleme!$I28,"")</f>
        <v/>
      </c>
      <c r="AT331" s="39" t="str">
        <f>IFERROR(bütünleme!BE28*100/bütünleme!$I28,"")</f>
        <v/>
      </c>
      <c r="AU331" s="39" t="str">
        <f>IFERROR(bütünleme!BF28*100/bütünleme!$I28,"")</f>
        <v/>
      </c>
      <c r="AV331" s="39" t="str">
        <f>IFERROR(bütünleme!BG28*100/bütünleme!$I28,"")</f>
        <v/>
      </c>
      <c r="AW331" s="39" t="str">
        <f>IFERROR(bütünleme!BH28*100/bütünleme!$I28,"")</f>
        <v/>
      </c>
      <c r="AX331" s="39" t="str">
        <f>IFERROR(bütünleme!BI28*100/bütünleme!$I28,"")</f>
        <v/>
      </c>
      <c r="AY331" s="39" t="str">
        <f>IFERROR(bütünleme!BJ28*100/bütünleme!$I28,"")</f>
        <v/>
      </c>
      <c r="AZ331" s="39" t="str">
        <f>IFERROR(bütünleme!BK28*100/bütünleme!$I28,"")</f>
        <v/>
      </c>
      <c r="BA331" s="39" t="str">
        <f>IFERROR(bütünleme!BL28*100/bütünleme!$I28,"")</f>
        <v/>
      </c>
      <c r="BB331" s="39" t="str">
        <f>IFERROR(bütünleme!BM28*100/bütünleme!$I28,"")</f>
        <v/>
      </c>
      <c r="BC331" s="39" t="str">
        <f>IFERROR(bütünleme!BN28*100/bütünleme!$I28,"")</f>
        <v/>
      </c>
      <c r="BD331" s="39" t="str">
        <f>IFERROR(bütünleme!BO28*100/bütünleme!$I28,"")</f>
        <v/>
      </c>
      <c r="BE331" s="39" t="str">
        <f>IFERROR(bütünleme!BP28*100/bütünleme!$I28,"")</f>
        <v/>
      </c>
      <c r="BF331" s="39" t="str">
        <f>IFERROR(bütünleme!BQ28*100/bütünleme!$I28,"")</f>
        <v/>
      </c>
      <c r="BG331" s="39" t="str">
        <f>IFERROR(bütünleme!BR28*100/bütünleme!$I28,"")</f>
        <v/>
      </c>
      <c r="BH331" s="39" t="str">
        <f>IFERROR(bütünleme!BS28*100/bütünleme!$I28,"")</f>
        <v/>
      </c>
      <c r="BI331" s="39" t="str">
        <f>IFERROR(bütünleme!BT28*100/bütünleme!$I28,"")</f>
        <v/>
      </c>
      <c r="BJ331" s="39" t="str">
        <f>IFERROR(bütünleme!BU28*100/bütünleme!$I28,"")</f>
        <v/>
      </c>
      <c r="BK331" s="39" t="str">
        <f>IFERROR(bütünleme!BV28*100/bütünleme!$I28,"")</f>
        <v/>
      </c>
      <c r="BL331" s="39" t="str">
        <f>IFERROR(bütünleme!BW28*100/bütünleme!$I28,"")</f>
        <v/>
      </c>
      <c r="BM331" s="39" t="str">
        <f>IFERROR(bütünleme!BX28*100/bütünleme!$I28,"")</f>
        <v/>
      </c>
      <c r="BN331" s="39" t="str">
        <f>IFERROR(bütünleme!BY28*100/bütünleme!$I28,"")</f>
        <v/>
      </c>
      <c r="BO331" s="39" t="str">
        <f>IFERROR(bütünleme!BZ28*100/bütünleme!$I28,"")</f>
        <v/>
      </c>
      <c r="BP331" s="39" t="str">
        <f>IFERROR(bütünleme!CA28*100/bütünleme!$I28,"")</f>
        <v/>
      </c>
      <c r="BQ331" s="39" t="str">
        <f>IFERROR(bütünleme!CB28*100/bütünleme!$I28,"")</f>
        <v/>
      </c>
      <c r="BR331" s="39" t="str">
        <f>IFERROR(bütünleme!CC28*100/bütünleme!$I28,"")</f>
        <v/>
      </c>
      <c r="BS331" s="39" t="str">
        <f>IFERROR(bütünleme!CD28*100/bütünleme!$I28,"")</f>
        <v/>
      </c>
      <c r="BT331" s="39" t="str">
        <f>IFERROR(bütünleme!CE28*100/bütünleme!$I28,"")</f>
        <v/>
      </c>
      <c r="BU331" s="39" t="str">
        <f>IFERROR(bütünleme!CF28*100/bütünleme!$I28,"")</f>
        <v/>
      </c>
      <c r="BV331" s="39" t="str">
        <f>IFERROR(bütünleme!CG28*100/bütünleme!$I28,"")</f>
        <v/>
      </c>
      <c r="BW331" s="39" t="str">
        <f>IFERROR(bütünleme!CH28*100/bütünleme!$I28,"")</f>
        <v/>
      </c>
      <c r="BX331" s="39" t="str">
        <f>IFERROR(bütünleme!CI28*100/bütünleme!$I28,"")</f>
        <v/>
      </c>
      <c r="BY331" s="39" t="str">
        <f>IFERROR(bütünleme!CJ28*100/bütünleme!$I28,"")</f>
        <v/>
      </c>
      <c r="BZ331" s="39" t="str">
        <f>IFERROR(bütünleme!CK28*100/bütünleme!$I28,"")</f>
        <v/>
      </c>
      <c r="CA331" s="39" t="str">
        <f>IFERROR(bütünleme!CL28*100/bütünleme!$I28,"")</f>
        <v/>
      </c>
      <c r="CB331" s="39" t="str">
        <f>IFERROR(bütünleme!CM28*100/bütünleme!$I28,"")</f>
        <v/>
      </c>
      <c r="CC331" s="39" t="str">
        <f>IFERROR(bütünleme!CN28*100/bütünleme!$I28,"")</f>
        <v/>
      </c>
      <c r="CD331" s="39" t="str">
        <f>IFERROR(bütünleme!CO28*100/bütünleme!$I28,"")</f>
        <v/>
      </c>
      <c r="CE331" s="39" t="str">
        <f>IFERROR(bütünleme!CP28*100/bütünleme!$I28,"")</f>
        <v/>
      </c>
      <c r="CF331" s="39" t="str">
        <f>IFERROR(bütünleme!CQ28*100/bütünleme!$I28,"")</f>
        <v/>
      </c>
      <c r="CG331" s="39" t="str">
        <f>IFERROR(bütünleme!CR28*100/bütünleme!$I28,"")</f>
        <v/>
      </c>
      <c r="CH331" s="39" t="str">
        <f>IFERROR(bütünleme!CS28*100/bütünleme!$I28,"")</f>
        <v/>
      </c>
      <c r="CI331" s="39" t="str">
        <f>IFERROR(bütünleme!CT28*100/bütünleme!$I28,"")</f>
        <v/>
      </c>
      <c r="CJ331" s="39" t="str">
        <f>IFERROR(bütünleme!CU28*100/bütünleme!$I28,"")</f>
        <v/>
      </c>
      <c r="CK331" s="39" t="str">
        <f>IFERROR(bütünleme!CV28*100/bütünleme!$I28,"")</f>
        <v/>
      </c>
      <c r="CL331" s="39" t="str">
        <f>IFERROR(bütünleme!CW28*100/bütünleme!$I28,"")</f>
        <v/>
      </c>
      <c r="CM331" s="39" t="str">
        <f>IFERROR(bütünleme!CX28*100/bütünleme!$I28,"")</f>
        <v/>
      </c>
      <c r="CN331" s="39" t="str">
        <f>IFERROR(bütünleme!CY28*100/bütünleme!$I28,"")</f>
        <v/>
      </c>
      <c r="CO331" s="39" t="str">
        <f>IFERROR(bütünleme!CZ28*100/bütünleme!$I28,"")</f>
        <v/>
      </c>
      <c r="CP331" s="39" t="str">
        <f>IFERROR(bütünleme!DA28*100/bütünleme!$I28,"")</f>
        <v/>
      </c>
      <c r="CQ331" s="39" t="str">
        <f>IFERROR(bütünleme!DB28*100/bütünleme!$I28,"")</f>
        <v/>
      </c>
      <c r="CR331" s="39" t="str">
        <f>IFERROR(bütünleme!DC28*100/bütünleme!$I28,"")</f>
        <v/>
      </c>
      <c r="CS331" s="39" t="str">
        <f>IFERROR(bütünleme!DD28*100/bütünleme!$I28,"")</f>
        <v/>
      </c>
      <c r="CT331" s="39" t="str">
        <f>IFERROR(bütünleme!DE28*100/bütünleme!$I28,"")</f>
        <v/>
      </c>
      <c r="CU331" s="39" t="str">
        <f>IFERROR(bütünleme!DF28*100/bütünleme!$I28,"")</f>
        <v/>
      </c>
      <c r="CV331" s="39" t="str">
        <f>IFERROR(bütünleme!DG28*100/bütünleme!$I28,"")</f>
        <v/>
      </c>
      <c r="CW331" s="36" t="str">
        <f>IFERROR(SUM(A331:CV331)/bütünleme!$DH$103,"")</f>
        <v/>
      </c>
      <c r="CX331" s="14" t="str">
        <f>IF(COUNTA(bütünleme!A28),bütünleme!A28,"")</f>
        <v/>
      </c>
      <c r="CY331" s="14" t="str">
        <f>IF(COUNTA(bütünleme!B28),bütünleme!B28,"")</f>
        <v/>
      </c>
      <c r="CZ331" s="14" t="str">
        <f>IF(COUNTA(bütünleme!C28),bütünleme!C28,"")</f>
        <v/>
      </c>
      <c r="DA331" s="14" t="str">
        <f>IF(COUNTA(bütünleme!D28),bütünleme!D28,"")</f>
        <v/>
      </c>
      <c r="DB331" s="14" t="str">
        <f>IF(COUNTA(bütünleme!E28),bütünleme!E28,"")</f>
        <v/>
      </c>
      <c r="DC331" s="14" t="str">
        <f>IF(COUNTA(bütünleme!F28),bütünleme!F28,"")</f>
        <v/>
      </c>
      <c r="DD331" s="14" t="str">
        <f>IF(COUNTA(bütünleme!G28),bütünleme!G28,"")</f>
        <v/>
      </c>
      <c r="DE331" s="14" t="str">
        <f>IF(COUNTA(bütünleme!H28),bütünleme!H28,"")</f>
        <v/>
      </c>
    </row>
    <row r="332" spans="1:109" x14ac:dyDescent="0.2">
      <c r="A332" s="39" t="str">
        <f>IFERROR(bütünleme!L29*100/bütünleme!$I29,"")</f>
        <v/>
      </c>
      <c r="B332" s="39" t="str">
        <f>IFERROR(bütünleme!M29*100/bütünleme!$I29,"")</f>
        <v/>
      </c>
      <c r="C332" s="39" t="str">
        <f>IFERROR(bütünleme!N29*100/bütünleme!$I29,"")</f>
        <v/>
      </c>
      <c r="D332" s="39" t="str">
        <f>IFERROR(bütünleme!O29*100/bütünleme!$I29,"")</f>
        <v/>
      </c>
      <c r="E332" s="39" t="str">
        <f>IFERROR(bütünleme!P29*100/bütünleme!$I29,"")</f>
        <v/>
      </c>
      <c r="F332" s="39" t="str">
        <f>IFERROR(bütünleme!Q29*100/bütünleme!$I29,"")</f>
        <v/>
      </c>
      <c r="G332" s="39" t="str">
        <f>IFERROR(bütünleme!R29*100/bütünleme!$I29,"")</f>
        <v/>
      </c>
      <c r="H332" s="39" t="str">
        <f>IFERROR(bütünleme!S29*100/bütünleme!$I29,"")</f>
        <v/>
      </c>
      <c r="I332" s="39" t="str">
        <f>IFERROR(bütünleme!T29*100/bütünleme!$I29,"")</f>
        <v/>
      </c>
      <c r="J332" s="39" t="str">
        <f>IFERROR(bütünleme!U29*100/bütünleme!$I29,"")</f>
        <v/>
      </c>
      <c r="K332" s="39" t="str">
        <f>IFERROR(bütünleme!V29*100/bütünleme!$I29,"")</f>
        <v/>
      </c>
      <c r="L332" s="39" t="str">
        <f>IFERROR(bütünleme!W29*100/bütünleme!$I29,"")</f>
        <v/>
      </c>
      <c r="M332" s="39" t="str">
        <f>IFERROR(bütünleme!X29*100/bütünleme!$I29,"")</f>
        <v/>
      </c>
      <c r="N332" s="39" t="str">
        <f>IFERROR(bütünleme!Y29*100/bütünleme!$I29,"")</f>
        <v/>
      </c>
      <c r="O332" s="39" t="str">
        <f>IFERROR(bütünleme!Z29*100/bütünleme!$I29,"")</f>
        <v/>
      </c>
      <c r="P332" s="39" t="str">
        <f>IFERROR(bütünleme!AA29*100/bütünleme!$I29,"")</f>
        <v/>
      </c>
      <c r="Q332" s="39" t="str">
        <f>IFERROR(bütünleme!AB29*100/bütünleme!$I29,"")</f>
        <v/>
      </c>
      <c r="R332" s="39" t="str">
        <f>IFERROR(bütünleme!AC29*100/bütünleme!$I29,"")</f>
        <v/>
      </c>
      <c r="S332" s="39" t="str">
        <f>IFERROR(bütünleme!AD29*100/bütünleme!$I29,"")</f>
        <v/>
      </c>
      <c r="T332" s="39" t="str">
        <f>IFERROR(bütünleme!AE29*100/bütünleme!$I29,"")</f>
        <v/>
      </c>
      <c r="U332" s="39" t="str">
        <f>IFERROR(bütünleme!AF29*100/bütünleme!$I29,"")</f>
        <v/>
      </c>
      <c r="V332" s="39" t="str">
        <f>IFERROR(bütünleme!AG29*100/bütünleme!$I29,"")</f>
        <v/>
      </c>
      <c r="W332" s="39" t="str">
        <f>IFERROR(bütünleme!AH29*100/bütünleme!$I29,"")</f>
        <v/>
      </c>
      <c r="X332" s="39" t="str">
        <f>IFERROR(bütünleme!AI29*100/bütünleme!$I29,"")</f>
        <v/>
      </c>
      <c r="Y332" s="39" t="str">
        <f>IFERROR(bütünleme!AJ29*100/bütünleme!$I29,"")</f>
        <v/>
      </c>
      <c r="Z332" s="39" t="str">
        <f>IFERROR(bütünleme!AK29*100/bütünleme!$I29,"")</f>
        <v/>
      </c>
      <c r="AA332" s="39" t="str">
        <f>IFERROR(bütünleme!AL29*100/bütünleme!$I29,"")</f>
        <v/>
      </c>
      <c r="AB332" s="39" t="str">
        <f>IFERROR(bütünleme!AM29*100/bütünleme!$I29,"")</f>
        <v/>
      </c>
      <c r="AC332" s="39" t="str">
        <f>IFERROR(bütünleme!AN29*100/bütünleme!$I29,"")</f>
        <v/>
      </c>
      <c r="AD332" s="39" t="str">
        <f>IFERROR(bütünleme!AO29*100/bütünleme!$I29,"")</f>
        <v/>
      </c>
      <c r="AE332" s="39" t="str">
        <f>IFERROR(bütünleme!AP29*100/bütünleme!$I29,"")</f>
        <v/>
      </c>
      <c r="AF332" s="39" t="str">
        <f>IFERROR(bütünleme!AQ29*100/bütünleme!$I29,"")</f>
        <v/>
      </c>
      <c r="AG332" s="39" t="str">
        <f>IFERROR(bütünleme!AR29*100/bütünleme!$I29,"")</f>
        <v/>
      </c>
      <c r="AH332" s="39" t="str">
        <f>IFERROR(bütünleme!AS29*100/bütünleme!$I29,"")</f>
        <v/>
      </c>
      <c r="AI332" s="39" t="str">
        <f>IFERROR(bütünleme!AT29*100/bütünleme!$I29,"")</f>
        <v/>
      </c>
      <c r="AJ332" s="39" t="str">
        <f>IFERROR(bütünleme!AU29*100/bütünleme!$I29,"")</f>
        <v/>
      </c>
      <c r="AK332" s="39" t="str">
        <f>IFERROR(bütünleme!AV29*100/bütünleme!$I29,"")</f>
        <v/>
      </c>
      <c r="AL332" s="39" t="str">
        <f>IFERROR(bütünleme!AW29*100/bütünleme!$I29,"")</f>
        <v/>
      </c>
      <c r="AM332" s="39" t="str">
        <f>IFERROR(bütünleme!AX29*100/bütünleme!$I29,"")</f>
        <v/>
      </c>
      <c r="AN332" s="39" t="str">
        <f>IFERROR(bütünleme!AY29*100/bütünleme!$I29,"")</f>
        <v/>
      </c>
      <c r="AO332" s="39" t="str">
        <f>IFERROR(bütünleme!AZ29*100/bütünleme!$I29,"")</f>
        <v/>
      </c>
      <c r="AP332" s="39" t="str">
        <f>IFERROR(bütünleme!BA29*100/bütünleme!$I29,"")</f>
        <v/>
      </c>
      <c r="AQ332" s="39" t="str">
        <f>IFERROR(bütünleme!BB29*100/bütünleme!$I29,"")</f>
        <v/>
      </c>
      <c r="AR332" s="39" t="str">
        <f>IFERROR(bütünleme!BC29*100/bütünleme!$I29,"")</f>
        <v/>
      </c>
      <c r="AS332" s="39" t="str">
        <f>IFERROR(bütünleme!BD29*100/bütünleme!$I29,"")</f>
        <v/>
      </c>
      <c r="AT332" s="39" t="str">
        <f>IFERROR(bütünleme!BE29*100/bütünleme!$I29,"")</f>
        <v/>
      </c>
      <c r="AU332" s="39" t="str">
        <f>IFERROR(bütünleme!BF29*100/bütünleme!$I29,"")</f>
        <v/>
      </c>
      <c r="AV332" s="39" t="str">
        <f>IFERROR(bütünleme!BG29*100/bütünleme!$I29,"")</f>
        <v/>
      </c>
      <c r="AW332" s="39" t="str">
        <f>IFERROR(bütünleme!BH29*100/bütünleme!$I29,"")</f>
        <v/>
      </c>
      <c r="AX332" s="39" t="str">
        <f>IFERROR(bütünleme!BI29*100/bütünleme!$I29,"")</f>
        <v/>
      </c>
      <c r="AY332" s="39" t="str">
        <f>IFERROR(bütünleme!BJ29*100/bütünleme!$I29,"")</f>
        <v/>
      </c>
      <c r="AZ332" s="39" t="str">
        <f>IFERROR(bütünleme!BK29*100/bütünleme!$I29,"")</f>
        <v/>
      </c>
      <c r="BA332" s="39" t="str">
        <f>IFERROR(bütünleme!BL29*100/bütünleme!$I29,"")</f>
        <v/>
      </c>
      <c r="BB332" s="39" t="str">
        <f>IFERROR(bütünleme!BM29*100/bütünleme!$I29,"")</f>
        <v/>
      </c>
      <c r="BC332" s="39" t="str">
        <f>IFERROR(bütünleme!BN29*100/bütünleme!$I29,"")</f>
        <v/>
      </c>
      <c r="BD332" s="39" t="str">
        <f>IFERROR(bütünleme!BO29*100/bütünleme!$I29,"")</f>
        <v/>
      </c>
      <c r="BE332" s="39" t="str">
        <f>IFERROR(bütünleme!BP29*100/bütünleme!$I29,"")</f>
        <v/>
      </c>
      <c r="BF332" s="39" t="str">
        <f>IFERROR(bütünleme!BQ29*100/bütünleme!$I29,"")</f>
        <v/>
      </c>
      <c r="BG332" s="39" t="str">
        <f>IFERROR(bütünleme!BR29*100/bütünleme!$I29,"")</f>
        <v/>
      </c>
      <c r="BH332" s="39" t="str">
        <f>IFERROR(bütünleme!BS29*100/bütünleme!$I29,"")</f>
        <v/>
      </c>
      <c r="BI332" s="39" t="str">
        <f>IFERROR(bütünleme!BT29*100/bütünleme!$I29,"")</f>
        <v/>
      </c>
      <c r="BJ332" s="39" t="str">
        <f>IFERROR(bütünleme!BU29*100/bütünleme!$I29,"")</f>
        <v/>
      </c>
      <c r="BK332" s="39" t="str">
        <f>IFERROR(bütünleme!BV29*100/bütünleme!$I29,"")</f>
        <v/>
      </c>
      <c r="BL332" s="39" t="str">
        <f>IFERROR(bütünleme!BW29*100/bütünleme!$I29,"")</f>
        <v/>
      </c>
      <c r="BM332" s="39" t="str">
        <f>IFERROR(bütünleme!BX29*100/bütünleme!$I29,"")</f>
        <v/>
      </c>
      <c r="BN332" s="39" t="str">
        <f>IFERROR(bütünleme!BY29*100/bütünleme!$I29,"")</f>
        <v/>
      </c>
      <c r="BO332" s="39" t="str">
        <f>IFERROR(bütünleme!BZ29*100/bütünleme!$I29,"")</f>
        <v/>
      </c>
      <c r="BP332" s="39" t="str">
        <f>IFERROR(bütünleme!CA29*100/bütünleme!$I29,"")</f>
        <v/>
      </c>
      <c r="BQ332" s="39" t="str">
        <f>IFERROR(bütünleme!CB29*100/bütünleme!$I29,"")</f>
        <v/>
      </c>
      <c r="BR332" s="39" t="str">
        <f>IFERROR(bütünleme!CC29*100/bütünleme!$I29,"")</f>
        <v/>
      </c>
      <c r="BS332" s="39" t="str">
        <f>IFERROR(bütünleme!CD29*100/bütünleme!$I29,"")</f>
        <v/>
      </c>
      <c r="BT332" s="39" t="str">
        <f>IFERROR(bütünleme!CE29*100/bütünleme!$I29,"")</f>
        <v/>
      </c>
      <c r="BU332" s="39" t="str">
        <f>IFERROR(bütünleme!CF29*100/bütünleme!$I29,"")</f>
        <v/>
      </c>
      <c r="BV332" s="39" t="str">
        <f>IFERROR(bütünleme!CG29*100/bütünleme!$I29,"")</f>
        <v/>
      </c>
      <c r="BW332" s="39" t="str">
        <f>IFERROR(bütünleme!CH29*100/bütünleme!$I29,"")</f>
        <v/>
      </c>
      <c r="BX332" s="39" t="str">
        <f>IFERROR(bütünleme!CI29*100/bütünleme!$I29,"")</f>
        <v/>
      </c>
      <c r="BY332" s="39" t="str">
        <f>IFERROR(bütünleme!CJ29*100/bütünleme!$I29,"")</f>
        <v/>
      </c>
      <c r="BZ332" s="39" t="str">
        <f>IFERROR(bütünleme!CK29*100/bütünleme!$I29,"")</f>
        <v/>
      </c>
      <c r="CA332" s="39" t="str">
        <f>IFERROR(bütünleme!CL29*100/bütünleme!$I29,"")</f>
        <v/>
      </c>
      <c r="CB332" s="39" t="str">
        <f>IFERROR(bütünleme!CM29*100/bütünleme!$I29,"")</f>
        <v/>
      </c>
      <c r="CC332" s="39" t="str">
        <f>IFERROR(bütünleme!CN29*100/bütünleme!$I29,"")</f>
        <v/>
      </c>
      <c r="CD332" s="39" t="str">
        <f>IFERROR(bütünleme!CO29*100/bütünleme!$I29,"")</f>
        <v/>
      </c>
      <c r="CE332" s="39" t="str">
        <f>IFERROR(bütünleme!CP29*100/bütünleme!$I29,"")</f>
        <v/>
      </c>
      <c r="CF332" s="39" t="str">
        <f>IFERROR(bütünleme!CQ29*100/bütünleme!$I29,"")</f>
        <v/>
      </c>
      <c r="CG332" s="39" t="str">
        <f>IFERROR(bütünleme!CR29*100/bütünleme!$I29,"")</f>
        <v/>
      </c>
      <c r="CH332" s="39" t="str">
        <f>IFERROR(bütünleme!CS29*100/bütünleme!$I29,"")</f>
        <v/>
      </c>
      <c r="CI332" s="39" t="str">
        <f>IFERROR(bütünleme!CT29*100/bütünleme!$I29,"")</f>
        <v/>
      </c>
      <c r="CJ332" s="39" t="str">
        <f>IFERROR(bütünleme!CU29*100/bütünleme!$I29,"")</f>
        <v/>
      </c>
      <c r="CK332" s="39" t="str">
        <f>IFERROR(bütünleme!CV29*100/bütünleme!$I29,"")</f>
        <v/>
      </c>
      <c r="CL332" s="39" t="str">
        <f>IFERROR(bütünleme!CW29*100/bütünleme!$I29,"")</f>
        <v/>
      </c>
      <c r="CM332" s="39" t="str">
        <f>IFERROR(bütünleme!CX29*100/bütünleme!$I29,"")</f>
        <v/>
      </c>
      <c r="CN332" s="39" t="str">
        <f>IFERROR(bütünleme!CY29*100/bütünleme!$I29,"")</f>
        <v/>
      </c>
      <c r="CO332" s="39" t="str">
        <f>IFERROR(bütünleme!CZ29*100/bütünleme!$I29,"")</f>
        <v/>
      </c>
      <c r="CP332" s="39" t="str">
        <f>IFERROR(bütünleme!DA29*100/bütünleme!$I29,"")</f>
        <v/>
      </c>
      <c r="CQ332" s="39" t="str">
        <f>IFERROR(bütünleme!DB29*100/bütünleme!$I29,"")</f>
        <v/>
      </c>
      <c r="CR332" s="39" t="str">
        <f>IFERROR(bütünleme!DC29*100/bütünleme!$I29,"")</f>
        <v/>
      </c>
      <c r="CS332" s="39" t="str">
        <f>IFERROR(bütünleme!DD29*100/bütünleme!$I29,"")</f>
        <v/>
      </c>
      <c r="CT332" s="39" t="str">
        <f>IFERROR(bütünleme!DE29*100/bütünleme!$I29,"")</f>
        <v/>
      </c>
      <c r="CU332" s="39" t="str">
        <f>IFERROR(bütünleme!DF29*100/bütünleme!$I29,"")</f>
        <v/>
      </c>
      <c r="CV332" s="39" t="str">
        <f>IFERROR(bütünleme!DG29*100/bütünleme!$I29,"")</f>
        <v/>
      </c>
      <c r="CW332" s="36" t="str">
        <f>IFERROR(SUM(A332:CV332)/bütünleme!$DH$103,"")</f>
        <v/>
      </c>
      <c r="CX332" s="14" t="str">
        <f>IF(COUNTA(bütünleme!A29),bütünleme!A29,"")</f>
        <v/>
      </c>
      <c r="CY332" s="14" t="str">
        <f>IF(COUNTA(bütünleme!B29),bütünleme!B29,"")</f>
        <v/>
      </c>
      <c r="CZ332" s="14" t="str">
        <f>IF(COUNTA(bütünleme!C29),bütünleme!C29,"")</f>
        <v/>
      </c>
      <c r="DA332" s="14" t="str">
        <f>IF(COUNTA(bütünleme!D29),bütünleme!D29,"")</f>
        <v/>
      </c>
      <c r="DB332" s="14" t="str">
        <f>IF(COUNTA(bütünleme!E29),bütünleme!E29,"")</f>
        <v/>
      </c>
      <c r="DC332" s="14" t="str">
        <f>IF(COUNTA(bütünleme!F29),bütünleme!F29,"")</f>
        <v/>
      </c>
      <c r="DD332" s="14" t="str">
        <f>IF(COUNTA(bütünleme!G29),bütünleme!G29,"")</f>
        <v/>
      </c>
      <c r="DE332" s="14" t="str">
        <f>IF(COUNTA(bütünleme!H29),bütünleme!H29,"")</f>
        <v/>
      </c>
    </row>
    <row r="333" spans="1:109" x14ac:dyDescent="0.2">
      <c r="A333" s="39" t="str">
        <f>IFERROR(bütünleme!L30*100/bütünleme!$I30,"")</f>
        <v/>
      </c>
      <c r="B333" s="39" t="str">
        <f>IFERROR(bütünleme!M30*100/bütünleme!$I30,"")</f>
        <v/>
      </c>
      <c r="C333" s="39" t="str">
        <f>IFERROR(bütünleme!N30*100/bütünleme!$I30,"")</f>
        <v/>
      </c>
      <c r="D333" s="39" t="str">
        <f>IFERROR(bütünleme!O30*100/bütünleme!$I30,"")</f>
        <v/>
      </c>
      <c r="E333" s="39" t="str">
        <f>IFERROR(bütünleme!P30*100/bütünleme!$I30,"")</f>
        <v/>
      </c>
      <c r="F333" s="39" t="str">
        <f>IFERROR(bütünleme!Q30*100/bütünleme!$I30,"")</f>
        <v/>
      </c>
      <c r="G333" s="39" t="str">
        <f>IFERROR(bütünleme!R30*100/bütünleme!$I30,"")</f>
        <v/>
      </c>
      <c r="H333" s="39" t="str">
        <f>IFERROR(bütünleme!S30*100/bütünleme!$I30,"")</f>
        <v/>
      </c>
      <c r="I333" s="39" t="str">
        <f>IFERROR(bütünleme!T30*100/bütünleme!$I30,"")</f>
        <v/>
      </c>
      <c r="J333" s="39" t="str">
        <f>IFERROR(bütünleme!U30*100/bütünleme!$I30,"")</f>
        <v/>
      </c>
      <c r="K333" s="39" t="str">
        <f>IFERROR(bütünleme!V30*100/bütünleme!$I30,"")</f>
        <v/>
      </c>
      <c r="L333" s="39" t="str">
        <f>IFERROR(bütünleme!W30*100/bütünleme!$I30,"")</f>
        <v/>
      </c>
      <c r="M333" s="39" t="str">
        <f>IFERROR(bütünleme!X30*100/bütünleme!$I30,"")</f>
        <v/>
      </c>
      <c r="N333" s="39" t="str">
        <f>IFERROR(bütünleme!Y30*100/bütünleme!$I30,"")</f>
        <v/>
      </c>
      <c r="O333" s="39" t="str">
        <f>IFERROR(bütünleme!Z30*100/bütünleme!$I30,"")</f>
        <v/>
      </c>
      <c r="P333" s="39" t="str">
        <f>IFERROR(bütünleme!AA30*100/bütünleme!$I30,"")</f>
        <v/>
      </c>
      <c r="Q333" s="39" t="str">
        <f>IFERROR(bütünleme!AB30*100/bütünleme!$I30,"")</f>
        <v/>
      </c>
      <c r="R333" s="39" t="str">
        <f>IFERROR(bütünleme!AC30*100/bütünleme!$I30,"")</f>
        <v/>
      </c>
      <c r="S333" s="39" t="str">
        <f>IFERROR(bütünleme!AD30*100/bütünleme!$I30,"")</f>
        <v/>
      </c>
      <c r="T333" s="39" t="str">
        <f>IFERROR(bütünleme!AE30*100/bütünleme!$I30,"")</f>
        <v/>
      </c>
      <c r="U333" s="39" t="str">
        <f>IFERROR(bütünleme!AF30*100/bütünleme!$I30,"")</f>
        <v/>
      </c>
      <c r="V333" s="39" t="str">
        <f>IFERROR(bütünleme!AG30*100/bütünleme!$I30,"")</f>
        <v/>
      </c>
      <c r="W333" s="39" t="str">
        <f>IFERROR(bütünleme!AH30*100/bütünleme!$I30,"")</f>
        <v/>
      </c>
      <c r="X333" s="39" t="str">
        <f>IFERROR(bütünleme!AI30*100/bütünleme!$I30,"")</f>
        <v/>
      </c>
      <c r="Y333" s="39" t="str">
        <f>IFERROR(bütünleme!AJ30*100/bütünleme!$I30,"")</f>
        <v/>
      </c>
      <c r="Z333" s="39" t="str">
        <f>IFERROR(bütünleme!AK30*100/bütünleme!$I30,"")</f>
        <v/>
      </c>
      <c r="AA333" s="39" t="str">
        <f>IFERROR(bütünleme!AL30*100/bütünleme!$I30,"")</f>
        <v/>
      </c>
      <c r="AB333" s="39" t="str">
        <f>IFERROR(bütünleme!AM30*100/bütünleme!$I30,"")</f>
        <v/>
      </c>
      <c r="AC333" s="39" t="str">
        <f>IFERROR(bütünleme!AN30*100/bütünleme!$I30,"")</f>
        <v/>
      </c>
      <c r="AD333" s="39" t="str">
        <f>IFERROR(bütünleme!AO30*100/bütünleme!$I30,"")</f>
        <v/>
      </c>
      <c r="AE333" s="39" t="str">
        <f>IFERROR(bütünleme!AP30*100/bütünleme!$I30,"")</f>
        <v/>
      </c>
      <c r="AF333" s="39" t="str">
        <f>IFERROR(bütünleme!AQ30*100/bütünleme!$I30,"")</f>
        <v/>
      </c>
      <c r="AG333" s="39" t="str">
        <f>IFERROR(bütünleme!AR30*100/bütünleme!$I30,"")</f>
        <v/>
      </c>
      <c r="AH333" s="39" t="str">
        <f>IFERROR(bütünleme!AS30*100/bütünleme!$I30,"")</f>
        <v/>
      </c>
      <c r="AI333" s="39" t="str">
        <f>IFERROR(bütünleme!AT30*100/bütünleme!$I30,"")</f>
        <v/>
      </c>
      <c r="AJ333" s="39" t="str">
        <f>IFERROR(bütünleme!AU30*100/bütünleme!$I30,"")</f>
        <v/>
      </c>
      <c r="AK333" s="39" t="str">
        <f>IFERROR(bütünleme!AV30*100/bütünleme!$I30,"")</f>
        <v/>
      </c>
      <c r="AL333" s="39" t="str">
        <f>IFERROR(bütünleme!AW30*100/bütünleme!$I30,"")</f>
        <v/>
      </c>
      <c r="AM333" s="39" t="str">
        <f>IFERROR(bütünleme!AX30*100/bütünleme!$I30,"")</f>
        <v/>
      </c>
      <c r="AN333" s="39" t="str">
        <f>IFERROR(bütünleme!AY30*100/bütünleme!$I30,"")</f>
        <v/>
      </c>
      <c r="AO333" s="39" t="str">
        <f>IFERROR(bütünleme!AZ30*100/bütünleme!$I30,"")</f>
        <v/>
      </c>
      <c r="AP333" s="39" t="str">
        <f>IFERROR(bütünleme!BA30*100/bütünleme!$I30,"")</f>
        <v/>
      </c>
      <c r="AQ333" s="39" t="str">
        <f>IFERROR(bütünleme!BB30*100/bütünleme!$I30,"")</f>
        <v/>
      </c>
      <c r="AR333" s="39" t="str">
        <f>IFERROR(bütünleme!BC30*100/bütünleme!$I30,"")</f>
        <v/>
      </c>
      <c r="AS333" s="39" t="str">
        <f>IFERROR(bütünleme!BD30*100/bütünleme!$I30,"")</f>
        <v/>
      </c>
      <c r="AT333" s="39" t="str">
        <f>IFERROR(bütünleme!BE30*100/bütünleme!$I30,"")</f>
        <v/>
      </c>
      <c r="AU333" s="39" t="str">
        <f>IFERROR(bütünleme!BF30*100/bütünleme!$I30,"")</f>
        <v/>
      </c>
      <c r="AV333" s="39" t="str">
        <f>IFERROR(bütünleme!BG30*100/bütünleme!$I30,"")</f>
        <v/>
      </c>
      <c r="AW333" s="39" t="str">
        <f>IFERROR(bütünleme!BH30*100/bütünleme!$I30,"")</f>
        <v/>
      </c>
      <c r="AX333" s="39" t="str">
        <f>IFERROR(bütünleme!BI30*100/bütünleme!$I30,"")</f>
        <v/>
      </c>
      <c r="AY333" s="39" t="str">
        <f>IFERROR(bütünleme!BJ30*100/bütünleme!$I30,"")</f>
        <v/>
      </c>
      <c r="AZ333" s="39" t="str">
        <f>IFERROR(bütünleme!BK30*100/bütünleme!$I30,"")</f>
        <v/>
      </c>
      <c r="BA333" s="39" t="str">
        <f>IFERROR(bütünleme!BL30*100/bütünleme!$I30,"")</f>
        <v/>
      </c>
      <c r="BB333" s="39" t="str">
        <f>IFERROR(bütünleme!BM30*100/bütünleme!$I30,"")</f>
        <v/>
      </c>
      <c r="BC333" s="39" t="str">
        <f>IFERROR(bütünleme!BN30*100/bütünleme!$I30,"")</f>
        <v/>
      </c>
      <c r="BD333" s="39" t="str">
        <f>IFERROR(bütünleme!BO30*100/bütünleme!$I30,"")</f>
        <v/>
      </c>
      <c r="BE333" s="39" t="str">
        <f>IFERROR(bütünleme!BP30*100/bütünleme!$I30,"")</f>
        <v/>
      </c>
      <c r="BF333" s="39" t="str">
        <f>IFERROR(bütünleme!BQ30*100/bütünleme!$I30,"")</f>
        <v/>
      </c>
      <c r="BG333" s="39" t="str">
        <f>IFERROR(bütünleme!BR30*100/bütünleme!$I30,"")</f>
        <v/>
      </c>
      <c r="BH333" s="39" t="str">
        <f>IFERROR(bütünleme!BS30*100/bütünleme!$I30,"")</f>
        <v/>
      </c>
      <c r="BI333" s="39" t="str">
        <f>IFERROR(bütünleme!BT30*100/bütünleme!$I30,"")</f>
        <v/>
      </c>
      <c r="BJ333" s="39" t="str">
        <f>IFERROR(bütünleme!BU30*100/bütünleme!$I30,"")</f>
        <v/>
      </c>
      <c r="BK333" s="39" t="str">
        <f>IFERROR(bütünleme!BV30*100/bütünleme!$I30,"")</f>
        <v/>
      </c>
      <c r="BL333" s="39" t="str">
        <f>IFERROR(bütünleme!BW30*100/bütünleme!$I30,"")</f>
        <v/>
      </c>
      <c r="BM333" s="39" t="str">
        <f>IFERROR(bütünleme!BX30*100/bütünleme!$I30,"")</f>
        <v/>
      </c>
      <c r="BN333" s="39" t="str">
        <f>IFERROR(bütünleme!BY30*100/bütünleme!$I30,"")</f>
        <v/>
      </c>
      <c r="BO333" s="39" t="str">
        <f>IFERROR(bütünleme!BZ30*100/bütünleme!$I30,"")</f>
        <v/>
      </c>
      <c r="BP333" s="39" t="str">
        <f>IFERROR(bütünleme!CA30*100/bütünleme!$I30,"")</f>
        <v/>
      </c>
      <c r="BQ333" s="39" t="str">
        <f>IFERROR(bütünleme!CB30*100/bütünleme!$I30,"")</f>
        <v/>
      </c>
      <c r="BR333" s="39" t="str">
        <f>IFERROR(bütünleme!CC30*100/bütünleme!$I30,"")</f>
        <v/>
      </c>
      <c r="BS333" s="39" t="str">
        <f>IFERROR(bütünleme!CD30*100/bütünleme!$I30,"")</f>
        <v/>
      </c>
      <c r="BT333" s="39" t="str">
        <f>IFERROR(bütünleme!CE30*100/bütünleme!$I30,"")</f>
        <v/>
      </c>
      <c r="BU333" s="39" t="str">
        <f>IFERROR(bütünleme!CF30*100/bütünleme!$I30,"")</f>
        <v/>
      </c>
      <c r="BV333" s="39" t="str">
        <f>IFERROR(bütünleme!CG30*100/bütünleme!$I30,"")</f>
        <v/>
      </c>
      <c r="BW333" s="39" t="str">
        <f>IFERROR(bütünleme!CH30*100/bütünleme!$I30,"")</f>
        <v/>
      </c>
      <c r="BX333" s="39" t="str">
        <f>IFERROR(bütünleme!CI30*100/bütünleme!$I30,"")</f>
        <v/>
      </c>
      <c r="BY333" s="39" t="str">
        <f>IFERROR(bütünleme!CJ30*100/bütünleme!$I30,"")</f>
        <v/>
      </c>
      <c r="BZ333" s="39" t="str">
        <f>IFERROR(bütünleme!CK30*100/bütünleme!$I30,"")</f>
        <v/>
      </c>
      <c r="CA333" s="39" t="str">
        <f>IFERROR(bütünleme!CL30*100/bütünleme!$I30,"")</f>
        <v/>
      </c>
      <c r="CB333" s="39" t="str">
        <f>IFERROR(bütünleme!CM30*100/bütünleme!$I30,"")</f>
        <v/>
      </c>
      <c r="CC333" s="39" t="str">
        <f>IFERROR(bütünleme!CN30*100/bütünleme!$I30,"")</f>
        <v/>
      </c>
      <c r="CD333" s="39" t="str">
        <f>IFERROR(bütünleme!CO30*100/bütünleme!$I30,"")</f>
        <v/>
      </c>
      <c r="CE333" s="39" t="str">
        <f>IFERROR(bütünleme!CP30*100/bütünleme!$I30,"")</f>
        <v/>
      </c>
      <c r="CF333" s="39" t="str">
        <f>IFERROR(bütünleme!CQ30*100/bütünleme!$I30,"")</f>
        <v/>
      </c>
      <c r="CG333" s="39" t="str">
        <f>IFERROR(bütünleme!CR30*100/bütünleme!$I30,"")</f>
        <v/>
      </c>
      <c r="CH333" s="39" t="str">
        <f>IFERROR(bütünleme!CS30*100/bütünleme!$I30,"")</f>
        <v/>
      </c>
      <c r="CI333" s="39" t="str">
        <f>IFERROR(bütünleme!CT30*100/bütünleme!$I30,"")</f>
        <v/>
      </c>
      <c r="CJ333" s="39" t="str">
        <f>IFERROR(bütünleme!CU30*100/bütünleme!$I30,"")</f>
        <v/>
      </c>
      <c r="CK333" s="39" t="str">
        <f>IFERROR(bütünleme!CV30*100/bütünleme!$I30,"")</f>
        <v/>
      </c>
      <c r="CL333" s="39" t="str">
        <f>IFERROR(bütünleme!CW30*100/bütünleme!$I30,"")</f>
        <v/>
      </c>
      <c r="CM333" s="39" t="str">
        <f>IFERROR(bütünleme!CX30*100/bütünleme!$I30,"")</f>
        <v/>
      </c>
      <c r="CN333" s="39" t="str">
        <f>IFERROR(bütünleme!CY30*100/bütünleme!$I30,"")</f>
        <v/>
      </c>
      <c r="CO333" s="39" t="str">
        <f>IFERROR(bütünleme!CZ30*100/bütünleme!$I30,"")</f>
        <v/>
      </c>
      <c r="CP333" s="39" t="str">
        <f>IFERROR(bütünleme!DA30*100/bütünleme!$I30,"")</f>
        <v/>
      </c>
      <c r="CQ333" s="39" t="str">
        <f>IFERROR(bütünleme!DB30*100/bütünleme!$I30,"")</f>
        <v/>
      </c>
      <c r="CR333" s="39" t="str">
        <f>IFERROR(bütünleme!DC30*100/bütünleme!$I30,"")</f>
        <v/>
      </c>
      <c r="CS333" s="39" t="str">
        <f>IFERROR(bütünleme!DD30*100/bütünleme!$I30,"")</f>
        <v/>
      </c>
      <c r="CT333" s="39" t="str">
        <f>IFERROR(bütünleme!DE30*100/bütünleme!$I30,"")</f>
        <v/>
      </c>
      <c r="CU333" s="39" t="str">
        <f>IFERROR(bütünleme!DF30*100/bütünleme!$I30,"")</f>
        <v/>
      </c>
      <c r="CV333" s="39" t="str">
        <f>IFERROR(bütünleme!DG30*100/bütünleme!$I30,"")</f>
        <v/>
      </c>
      <c r="CW333" s="36" t="str">
        <f>IFERROR(SUM(A333:CV333)/bütünleme!$DH$103,"")</f>
        <v/>
      </c>
      <c r="CX333" s="14" t="str">
        <f>IF(COUNTA(bütünleme!A30),bütünleme!A30,"")</f>
        <v/>
      </c>
      <c r="CY333" s="14" t="str">
        <f>IF(COUNTA(bütünleme!B30),bütünleme!B30,"")</f>
        <v/>
      </c>
      <c r="CZ333" s="14" t="str">
        <f>IF(COUNTA(bütünleme!C30),bütünleme!C30,"")</f>
        <v/>
      </c>
      <c r="DA333" s="14" t="str">
        <f>IF(COUNTA(bütünleme!D30),bütünleme!D30,"")</f>
        <v/>
      </c>
      <c r="DB333" s="14" t="str">
        <f>IF(COUNTA(bütünleme!E30),bütünleme!E30,"")</f>
        <v/>
      </c>
      <c r="DC333" s="14" t="str">
        <f>IF(COUNTA(bütünleme!F30),bütünleme!F30,"")</f>
        <v/>
      </c>
      <c r="DD333" s="14" t="str">
        <f>IF(COUNTA(bütünleme!G30),bütünleme!G30,"")</f>
        <v/>
      </c>
      <c r="DE333" s="14" t="str">
        <f>IF(COUNTA(bütünleme!H30),bütünleme!H30,"")</f>
        <v/>
      </c>
    </row>
    <row r="334" spans="1:109" x14ac:dyDescent="0.2">
      <c r="A334" s="39" t="str">
        <f>IFERROR(bütünleme!L31*100/bütünleme!$I31,"")</f>
        <v/>
      </c>
      <c r="B334" s="39" t="str">
        <f>IFERROR(bütünleme!M31*100/bütünleme!$I31,"")</f>
        <v/>
      </c>
      <c r="C334" s="39" t="str">
        <f>IFERROR(bütünleme!N31*100/bütünleme!$I31,"")</f>
        <v/>
      </c>
      <c r="D334" s="39" t="str">
        <f>IFERROR(bütünleme!O31*100/bütünleme!$I31,"")</f>
        <v/>
      </c>
      <c r="E334" s="39" t="str">
        <f>IFERROR(bütünleme!P31*100/bütünleme!$I31,"")</f>
        <v/>
      </c>
      <c r="F334" s="39" t="str">
        <f>IFERROR(bütünleme!Q31*100/bütünleme!$I31,"")</f>
        <v/>
      </c>
      <c r="G334" s="39" t="str">
        <f>IFERROR(bütünleme!R31*100/bütünleme!$I31,"")</f>
        <v/>
      </c>
      <c r="H334" s="39" t="str">
        <f>IFERROR(bütünleme!S31*100/bütünleme!$I31,"")</f>
        <v/>
      </c>
      <c r="I334" s="39" t="str">
        <f>IFERROR(bütünleme!T31*100/bütünleme!$I31,"")</f>
        <v/>
      </c>
      <c r="J334" s="39" t="str">
        <f>IFERROR(bütünleme!U31*100/bütünleme!$I31,"")</f>
        <v/>
      </c>
      <c r="K334" s="39" t="str">
        <f>IFERROR(bütünleme!V31*100/bütünleme!$I31,"")</f>
        <v/>
      </c>
      <c r="L334" s="39" t="str">
        <f>IFERROR(bütünleme!W31*100/bütünleme!$I31,"")</f>
        <v/>
      </c>
      <c r="M334" s="39" t="str">
        <f>IFERROR(bütünleme!X31*100/bütünleme!$I31,"")</f>
        <v/>
      </c>
      <c r="N334" s="39" t="str">
        <f>IFERROR(bütünleme!Y31*100/bütünleme!$I31,"")</f>
        <v/>
      </c>
      <c r="O334" s="39" t="str">
        <f>IFERROR(bütünleme!Z31*100/bütünleme!$I31,"")</f>
        <v/>
      </c>
      <c r="P334" s="39" t="str">
        <f>IFERROR(bütünleme!AA31*100/bütünleme!$I31,"")</f>
        <v/>
      </c>
      <c r="Q334" s="39" t="str">
        <f>IFERROR(bütünleme!AB31*100/bütünleme!$I31,"")</f>
        <v/>
      </c>
      <c r="R334" s="39" t="str">
        <f>IFERROR(bütünleme!AC31*100/bütünleme!$I31,"")</f>
        <v/>
      </c>
      <c r="S334" s="39" t="str">
        <f>IFERROR(bütünleme!AD31*100/bütünleme!$I31,"")</f>
        <v/>
      </c>
      <c r="T334" s="39" t="str">
        <f>IFERROR(bütünleme!AE31*100/bütünleme!$I31,"")</f>
        <v/>
      </c>
      <c r="U334" s="39" t="str">
        <f>IFERROR(bütünleme!AF31*100/bütünleme!$I31,"")</f>
        <v/>
      </c>
      <c r="V334" s="39" t="str">
        <f>IFERROR(bütünleme!AG31*100/bütünleme!$I31,"")</f>
        <v/>
      </c>
      <c r="W334" s="39" t="str">
        <f>IFERROR(bütünleme!AH31*100/bütünleme!$I31,"")</f>
        <v/>
      </c>
      <c r="X334" s="39" t="str">
        <f>IFERROR(bütünleme!AI31*100/bütünleme!$I31,"")</f>
        <v/>
      </c>
      <c r="Y334" s="39" t="str">
        <f>IFERROR(bütünleme!AJ31*100/bütünleme!$I31,"")</f>
        <v/>
      </c>
      <c r="Z334" s="39" t="str">
        <f>IFERROR(bütünleme!AK31*100/bütünleme!$I31,"")</f>
        <v/>
      </c>
      <c r="AA334" s="39" t="str">
        <f>IFERROR(bütünleme!AL31*100/bütünleme!$I31,"")</f>
        <v/>
      </c>
      <c r="AB334" s="39" t="str">
        <f>IFERROR(bütünleme!AM31*100/bütünleme!$I31,"")</f>
        <v/>
      </c>
      <c r="AC334" s="39" t="str">
        <f>IFERROR(bütünleme!AN31*100/bütünleme!$I31,"")</f>
        <v/>
      </c>
      <c r="AD334" s="39" t="str">
        <f>IFERROR(bütünleme!AO31*100/bütünleme!$I31,"")</f>
        <v/>
      </c>
      <c r="AE334" s="39" t="str">
        <f>IFERROR(bütünleme!AP31*100/bütünleme!$I31,"")</f>
        <v/>
      </c>
      <c r="AF334" s="39" t="str">
        <f>IFERROR(bütünleme!AQ31*100/bütünleme!$I31,"")</f>
        <v/>
      </c>
      <c r="AG334" s="39" t="str">
        <f>IFERROR(bütünleme!AR31*100/bütünleme!$I31,"")</f>
        <v/>
      </c>
      <c r="AH334" s="39" t="str">
        <f>IFERROR(bütünleme!AS31*100/bütünleme!$I31,"")</f>
        <v/>
      </c>
      <c r="AI334" s="39" t="str">
        <f>IFERROR(bütünleme!AT31*100/bütünleme!$I31,"")</f>
        <v/>
      </c>
      <c r="AJ334" s="39" t="str">
        <f>IFERROR(bütünleme!AU31*100/bütünleme!$I31,"")</f>
        <v/>
      </c>
      <c r="AK334" s="39" t="str">
        <f>IFERROR(bütünleme!AV31*100/bütünleme!$I31,"")</f>
        <v/>
      </c>
      <c r="AL334" s="39" t="str">
        <f>IFERROR(bütünleme!AW31*100/bütünleme!$I31,"")</f>
        <v/>
      </c>
      <c r="AM334" s="39" t="str">
        <f>IFERROR(bütünleme!AX31*100/bütünleme!$I31,"")</f>
        <v/>
      </c>
      <c r="AN334" s="39" t="str">
        <f>IFERROR(bütünleme!AY31*100/bütünleme!$I31,"")</f>
        <v/>
      </c>
      <c r="AO334" s="39" t="str">
        <f>IFERROR(bütünleme!AZ31*100/bütünleme!$I31,"")</f>
        <v/>
      </c>
      <c r="AP334" s="39" t="str">
        <f>IFERROR(bütünleme!BA31*100/bütünleme!$I31,"")</f>
        <v/>
      </c>
      <c r="AQ334" s="39" t="str">
        <f>IFERROR(bütünleme!BB31*100/bütünleme!$I31,"")</f>
        <v/>
      </c>
      <c r="AR334" s="39" t="str">
        <f>IFERROR(bütünleme!BC31*100/bütünleme!$I31,"")</f>
        <v/>
      </c>
      <c r="AS334" s="39" t="str">
        <f>IFERROR(bütünleme!BD31*100/bütünleme!$I31,"")</f>
        <v/>
      </c>
      <c r="AT334" s="39" t="str">
        <f>IFERROR(bütünleme!BE31*100/bütünleme!$I31,"")</f>
        <v/>
      </c>
      <c r="AU334" s="39" t="str">
        <f>IFERROR(bütünleme!BF31*100/bütünleme!$I31,"")</f>
        <v/>
      </c>
      <c r="AV334" s="39" t="str">
        <f>IFERROR(bütünleme!BG31*100/bütünleme!$I31,"")</f>
        <v/>
      </c>
      <c r="AW334" s="39" t="str">
        <f>IFERROR(bütünleme!BH31*100/bütünleme!$I31,"")</f>
        <v/>
      </c>
      <c r="AX334" s="39" t="str">
        <f>IFERROR(bütünleme!BI31*100/bütünleme!$I31,"")</f>
        <v/>
      </c>
      <c r="AY334" s="39" t="str">
        <f>IFERROR(bütünleme!BJ31*100/bütünleme!$I31,"")</f>
        <v/>
      </c>
      <c r="AZ334" s="39" t="str">
        <f>IFERROR(bütünleme!BK31*100/bütünleme!$I31,"")</f>
        <v/>
      </c>
      <c r="BA334" s="39" t="str">
        <f>IFERROR(bütünleme!BL31*100/bütünleme!$I31,"")</f>
        <v/>
      </c>
      <c r="BB334" s="39" t="str">
        <f>IFERROR(bütünleme!BM31*100/bütünleme!$I31,"")</f>
        <v/>
      </c>
      <c r="BC334" s="39" t="str">
        <f>IFERROR(bütünleme!BN31*100/bütünleme!$I31,"")</f>
        <v/>
      </c>
      <c r="BD334" s="39" t="str">
        <f>IFERROR(bütünleme!BO31*100/bütünleme!$I31,"")</f>
        <v/>
      </c>
      <c r="BE334" s="39" t="str">
        <f>IFERROR(bütünleme!BP31*100/bütünleme!$I31,"")</f>
        <v/>
      </c>
      <c r="BF334" s="39" t="str">
        <f>IFERROR(bütünleme!BQ31*100/bütünleme!$I31,"")</f>
        <v/>
      </c>
      <c r="BG334" s="39" t="str">
        <f>IFERROR(bütünleme!BR31*100/bütünleme!$I31,"")</f>
        <v/>
      </c>
      <c r="BH334" s="39" t="str">
        <f>IFERROR(bütünleme!BS31*100/bütünleme!$I31,"")</f>
        <v/>
      </c>
      <c r="BI334" s="39" t="str">
        <f>IFERROR(bütünleme!BT31*100/bütünleme!$I31,"")</f>
        <v/>
      </c>
      <c r="BJ334" s="39" t="str">
        <f>IFERROR(bütünleme!BU31*100/bütünleme!$I31,"")</f>
        <v/>
      </c>
      <c r="BK334" s="39" t="str">
        <f>IFERROR(bütünleme!BV31*100/bütünleme!$I31,"")</f>
        <v/>
      </c>
      <c r="BL334" s="39" t="str">
        <f>IFERROR(bütünleme!BW31*100/bütünleme!$I31,"")</f>
        <v/>
      </c>
      <c r="BM334" s="39" t="str">
        <f>IFERROR(bütünleme!BX31*100/bütünleme!$I31,"")</f>
        <v/>
      </c>
      <c r="BN334" s="39" t="str">
        <f>IFERROR(bütünleme!BY31*100/bütünleme!$I31,"")</f>
        <v/>
      </c>
      <c r="BO334" s="39" t="str">
        <f>IFERROR(bütünleme!BZ31*100/bütünleme!$I31,"")</f>
        <v/>
      </c>
      <c r="BP334" s="39" t="str">
        <f>IFERROR(bütünleme!CA31*100/bütünleme!$I31,"")</f>
        <v/>
      </c>
      <c r="BQ334" s="39" t="str">
        <f>IFERROR(bütünleme!CB31*100/bütünleme!$I31,"")</f>
        <v/>
      </c>
      <c r="BR334" s="39" t="str">
        <f>IFERROR(bütünleme!CC31*100/bütünleme!$I31,"")</f>
        <v/>
      </c>
      <c r="BS334" s="39" t="str">
        <f>IFERROR(bütünleme!CD31*100/bütünleme!$I31,"")</f>
        <v/>
      </c>
      <c r="BT334" s="39" t="str">
        <f>IFERROR(bütünleme!CE31*100/bütünleme!$I31,"")</f>
        <v/>
      </c>
      <c r="BU334" s="39" t="str">
        <f>IFERROR(bütünleme!CF31*100/bütünleme!$I31,"")</f>
        <v/>
      </c>
      <c r="BV334" s="39" t="str">
        <f>IFERROR(bütünleme!CG31*100/bütünleme!$I31,"")</f>
        <v/>
      </c>
      <c r="BW334" s="39" t="str">
        <f>IFERROR(bütünleme!CH31*100/bütünleme!$I31,"")</f>
        <v/>
      </c>
      <c r="BX334" s="39" t="str">
        <f>IFERROR(bütünleme!CI31*100/bütünleme!$I31,"")</f>
        <v/>
      </c>
      <c r="BY334" s="39" t="str">
        <f>IFERROR(bütünleme!CJ31*100/bütünleme!$I31,"")</f>
        <v/>
      </c>
      <c r="BZ334" s="39" t="str">
        <f>IFERROR(bütünleme!CK31*100/bütünleme!$I31,"")</f>
        <v/>
      </c>
      <c r="CA334" s="39" t="str">
        <f>IFERROR(bütünleme!CL31*100/bütünleme!$I31,"")</f>
        <v/>
      </c>
      <c r="CB334" s="39" t="str">
        <f>IFERROR(bütünleme!CM31*100/bütünleme!$I31,"")</f>
        <v/>
      </c>
      <c r="CC334" s="39" t="str">
        <f>IFERROR(bütünleme!CN31*100/bütünleme!$I31,"")</f>
        <v/>
      </c>
      <c r="CD334" s="39" t="str">
        <f>IFERROR(bütünleme!CO31*100/bütünleme!$I31,"")</f>
        <v/>
      </c>
      <c r="CE334" s="39" t="str">
        <f>IFERROR(bütünleme!CP31*100/bütünleme!$I31,"")</f>
        <v/>
      </c>
      <c r="CF334" s="39" t="str">
        <f>IFERROR(bütünleme!CQ31*100/bütünleme!$I31,"")</f>
        <v/>
      </c>
      <c r="CG334" s="39" t="str">
        <f>IFERROR(bütünleme!CR31*100/bütünleme!$I31,"")</f>
        <v/>
      </c>
      <c r="CH334" s="39" t="str">
        <f>IFERROR(bütünleme!CS31*100/bütünleme!$I31,"")</f>
        <v/>
      </c>
      <c r="CI334" s="39" t="str">
        <f>IFERROR(bütünleme!CT31*100/bütünleme!$I31,"")</f>
        <v/>
      </c>
      <c r="CJ334" s="39" t="str">
        <f>IFERROR(bütünleme!CU31*100/bütünleme!$I31,"")</f>
        <v/>
      </c>
      <c r="CK334" s="39" t="str">
        <f>IFERROR(bütünleme!CV31*100/bütünleme!$I31,"")</f>
        <v/>
      </c>
      <c r="CL334" s="39" t="str">
        <f>IFERROR(bütünleme!CW31*100/bütünleme!$I31,"")</f>
        <v/>
      </c>
      <c r="CM334" s="39" t="str">
        <f>IFERROR(bütünleme!CX31*100/bütünleme!$I31,"")</f>
        <v/>
      </c>
      <c r="CN334" s="39" t="str">
        <f>IFERROR(bütünleme!CY31*100/bütünleme!$I31,"")</f>
        <v/>
      </c>
      <c r="CO334" s="39" t="str">
        <f>IFERROR(bütünleme!CZ31*100/bütünleme!$I31,"")</f>
        <v/>
      </c>
      <c r="CP334" s="39" t="str">
        <f>IFERROR(bütünleme!DA31*100/bütünleme!$I31,"")</f>
        <v/>
      </c>
      <c r="CQ334" s="39" t="str">
        <f>IFERROR(bütünleme!DB31*100/bütünleme!$I31,"")</f>
        <v/>
      </c>
      <c r="CR334" s="39" t="str">
        <f>IFERROR(bütünleme!DC31*100/bütünleme!$I31,"")</f>
        <v/>
      </c>
      <c r="CS334" s="39" t="str">
        <f>IFERROR(bütünleme!DD31*100/bütünleme!$I31,"")</f>
        <v/>
      </c>
      <c r="CT334" s="39" t="str">
        <f>IFERROR(bütünleme!DE31*100/bütünleme!$I31,"")</f>
        <v/>
      </c>
      <c r="CU334" s="39" t="str">
        <f>IFERROR(bütünleme!DF31*100/bütünleme!$I31,"")</f>
        <v/>
      </c>
      <c r="CV334" s="39" t="str">
        <f>IFERROR(bütünleme!DG31*100/bütünleme!$I31,"")</f>
        <v/>
      </c>
      <c r="CW334" s="36" t="str">
        <f>IFERROR(SUM(A334:CV334)/bütünleme!$DH$103,"")</f>
        <v/>
      </c>
      <c r="CX334" s="14" t="str">
        <f>IF(COUNTA(bütünleme!A31),bütünleme!A31,"")</f>
        <v/>
      </c>
      <c r="CY334" s="14" t="str">
        <f>IF(COUNTA(bütünleme!B31),bütünleme!B31,"")</f>
        <v/>
      </c>
      <c r="CZ334" s="14" t="str">
        <f>IF(COUNTA(bütünleme!C31),bütünleme!C31,"")</f>
        <v/>
      </c>
      <c r="DA334" s="14" t="str">
        <f>IF(COUNTA(bütünleme!D31),bütünleme!D31,"")</f>
        <v/>
      </c>
      <c r="DB334" s="14" t="str">
        <f>IF(COUNTA(bütünleme!E31),bütünleme!E31,"")</f>
        <v/>
      </c>
      <c r="DC334" s="14" t="str">
        <f>IF(COUNTA(bütünleme!F31),bütünleme!F31,"")</f>
        <v/>
      </c>
      <c r="DD334" s="14" t="str">
        <f>IF(COUNTA(bütünleme!G31),bütünleme!G31,"")</f>
        <v/>
      </c>
      <c r="DE334" s="14" t="str">
        <f>IF(COUNTA(bütünleme!H31),bütünleme!H31,"")</f>
        <v/>
      </c>
    </row>
    <row r="335" spans="1:109" x14ac:dyDescent="0.2">
      <c r="A335" s="39" t="str">
        <f>IFERROR(bütünleme!L32*100/bütünleme!$I32,"")</f>
        <v/>
      </c>
      <c r="B335" s="39" t="str">
        <f>IFERROR(bütünleme!M32*100/bütünleme!$I32,"")</f>
        <v/>
      </c>
      <c r="C335" s="39" t="str">
        <f>IFERROR(bütünleme!N32*100/bütünleme!$I32,"")</f>
        <v/>
      </c>
      <c r="D335" s="39" t="str">
        <f>IFERROR(bütünleme!O32*100/bütünleme!$I32,"")</f>
        <v/>
      </c>
      <c r="E335" s="39" t="str">
        <f>IFERROR(bütünleme!P32*100/bütünleme!$I32,"")</f>
        <v/>
      </c>
      <c r="F335" s="39" t="str">
        <f>IFERROR(bütünleme!Q32*100/bütünleme!$I32,"")</f>
        <v/>
      </c>
      <c r="G335" s="39" t="str">
        <f>IFERROR(bütünleme!R32*100/bütünleme!$I32,"")</f>
        <v/>
      </c>
      <c r="H335" s="39" t="str">
        <f>IFERROR(bütünleme!S32*100/bütünleme!$I32,"")</f>
        <v/>
      </c>
      <c r="I335" s="39" t="str">
        <f>IFERROR(bütünleme!T32*100/bütünleme!$I32,"")</f>
        <v/>
      </c>
      <c r="J335" s="39" t="str">
        <f>IFERROR(bütünleme!U32*100/bütünleme!$I32,"")</f>
        <v/>
      </c>
      <c r="K335" s="39" t="str">
        <f>IFERROR(bütünleme!V32*100/bütünleme!$I32,"")</f>
        <v/>
      </c>
      <c r="L335" s="39" t="str">
        <f>IFERROR(bütünleme!W32*100/bütünleme!$I32,"")</f>
        <v/>
      </c>
      <c r="M335" s="39" t="str">
        <f>IFERROR(bütünleme!X32*100/bütünleme!$I32,"")</f>
        <v/>
      </c>
      <c r="N335" s="39" t="str">
        <f>IFERROR(bütünleme!Y32*100/bütünleme!$I32,"")</f>
        <v/>
      </c>
      <c r="O335" s="39" t="str">
        <f>IFERROR(bütünleme!Z32*100/bütünleme!$I32,"")</f>
        <v/>
      </c>
      <c r="P335" s="39" t="str">
        <f>IFERROR(bütünleme!AA32*100/bütünleme!$I32,"")</f>
        <v/>
      </c>
      <c r="Q335" s="39" t="str">
        <f>IFERROR(bütünleme!AB32*100/bütünleme!$I32,"")</f>
        <v/>
      </c>
      <c r="R335" s="39" t="str">
        <f>IFERROR(bütünleme!AC32*100/bütünleme!$I32,"")</f>
        <v/>
      </c>
      <c r="S335" s="39" t="str">
        <f>IFERROR(bütünleme!AD32*100/bütünleme!$I32,"")</f>
        <v/>
      </c>
      <c r="T335" s="39" t="str">
        <f>IFERROR(bütünleme!AE32*100/bütünleme!$I32,"")</f>
        <v/>
      </c>
      <c r="U335" s="39" t="str">
        <f>IFERROR(bütünleme!AF32*100/bütünleme!$I32,"")</f>
        <v/>
      </c>
      <c r="V335" s="39" t="str">
        <f>IFERROR(bütünleme!AG32*100/bütünleme!$I32,"")</f>
        <v/>
      </c>
      <c r="W335" s="39" t="str">
        <f>IFERROR(bütünleme!AH32*100/bütünleme!$I32,"")</f>
        <v/>
      </c>
      <c r="X335" s="39" t="str">
        <f>IFERROR(bütünleme!AI32*100/bütünleme!$I32,"")</f>
        <v/>
      </c>
      <c r="Y335" s="39" t="str">
        <f>IFERROR(bütünleme!AJ32*100/bütünleme!$I32,"")</f>
        <v/>
      </c>
      <c r="Z335" s="39" t="str">
        <f>IFERROR(bütünleme!AK32*100/bütünleme!$I32,"")</f>
        <v/>
      </c>
      <c r="AA335" s="39" t="str">
        <f>IFERROR(bütünleme!AL32*100/bütünleme!$I32,"")</f>
        <v/>
      </c>
      <c r="AB335" s="39" t="str">
        <f>IFERROR(bütünleme!AM32*100/bütünleme!$I32,"")</f>
        <v/>
      </c>
      <c r="AC335" s="39" t="str">
        <f>IFERROR(bütünleme!AN32*100/bütünleme!$I32,"")</f>
        <v/>
      </c>
      <c r="AD335" s="39" t="str">
        <f>IFERROR(bütünleme!AO32*100/bütünleme!$I32,"")</f>
        <v/>
      </c>
      <c r="AE335" s="39" t="str">
        <f>IFERROR(bütünleme!AP32*100/bütünleme!$I32,"")</f>
        <v/>
      </c>
      <c r="AF335" s="39" t="str">
        <f>IFERROR(bütünleme!AQ32*100/bütünleme!$I32,"")</f>
        <v/>
      </c>
      <c r="AG335" s="39" t="str">
        <f>IFERROR(bütünleme!AR32*100/bütünleme!$I32,"")</f>
        <v/>
      </c>
      <c r="AH335" s="39" t="str">
        <f>IFERROR(bütünleme!AS32*100/bütünleme!$I32,"")</f>
        <v/>
      </c>
      <c r="AI335" s="39" t="str">
        <f>IFERROR(bütünleme!AT32*100/bütünleme!$I32,"")</f>
        <v/>
      </c>
      <c r="AJ335" s="39" t="str">
        <f>IFERROR(bütünleme!AU32*100/bütünleme!$I32,"")</f>
        <v/>
      </c>
      <c r="AK335" s="39" t="str">
        <f>IFERROR(bütünleme!AV32*100/bütünleme!$I32,"")</f>
        <v/>
      </c>
      <c r="AL335" s="39" t="str">
        <f>IFERROR(bütünleme!AW32*100/bütünleme!$I32,"")</f>
        <v/>
      </c>
      <c r="AM335" s="39" t="str">
        <f>IFERROR(bütünleme!AX32*100/bütünleme!$I32,"")</f>
        <v/>
      </c>
      <c r="AN335" s="39" t="str">
        <f>IFERROR(bütünleme!AY32*100/bütünleme!$I32,"")</f>
        <v/>
      </c>
      <c r="AO335" s="39" t="str">
        <f>IFERROR(bütünleme!AZ32*100/bütünleme!$I32,"")</f>
        <v/>
      </c>
      <c r="AP335" s="39" t="str">
        <f>IFERROR(bütünleme!BA32*100/bütünleme!$I32,"")</f>
        <v/>
      </c>
      <c r="AQ335" s="39" t="str">
        <f>IFERROR(bütünleme!BB32*100/bütünleme!$I32,"")</f>
        <v/>
      </c>
      <c r="AR335" s="39" t="str">
        <f>IFERROR(bütünleme!BC32*100/bütünleme!$I32,"")</f>
        <v/>
      </c>
      <c r="AS335" s="39" t="str">
        <f>IFERROR(bütünleme!BD32*100/bütünleme!$I32,"")</f>
        <v/>
      </c>
      <c r="AT335" s="39" t="str">
        <f>IFERROR(bütünleme!BE32*100/bütünleme!$I32,"")</f>
        <v/>
      </c>
      <c r="AU335" s="39" t="str">
        <f>IFERROR(bütünleme!BF32*100/bütünleme!$I32,"")</f>
        <v/>
      </c>
      <c r="AV335" s="39" t="str">
        <f>IFERROR(bütünleme!BG32*100/bütünleme!$I32,"")</f>
        <v/>
      </c>
      <c r="AW335" s="39" t="str">
        <f>IFERROR(bütünleme!BH32*100/bütünleme!$I32,"")</f>
        <v/>
      </c>
      <c r="AX335" s="39" t="str">
        <f>IFERROR(bütünleme!BI32*100/bütünleme!$I32,"")</f>
        <v/>
      </c>
      <c r="AY335" s="39" t="str">
        <f>IFERROR(bütünleme!BJ32*100/bütünleme!$I32,"")</f>
        <v/>
      </c>
      <c r="AZ335" s="39" t="str">
        <f>IFERROR(bütünleme!BK32*100/bütünleme!$I32,"")</f>
        <v/>
      </c>
      <c r="BA335" s="39" t="str">
        <f>IFERROR(bütünleme!BL32*100/bütünleme!$I32,"")</f>
        <v/>
      </c>
      <c r="BB335" s="39" t="str">
        <f>IFERROR(bütünleme!BM32*100/bütünleme!$I32,"")</f>
        <v/>
      </c>
      <c r="BC335" s="39" t="str">
        <f>IFERROR(bütünleme!BN32*100/bütünleme!$I32,"")</f>
        <v/>
      </c>
      <c r="BD335" s="39" t="str">
        <f>IFERROR(bütünleme!BO32*100/bütünleme!$I32,"")</f>
        <v/>
      </c>
      <c r="BE335" s="39" t="str">
        <f>IFERROR(bütünleme!BP32*100/bütünleme!$I32,"")</f>
        <v/>
      </c>
      <c r="BF335" s="39" t="str">
        <f>IFERROR(bütünleme!BQ32*100/bütünleme!$I32,"")</f>
        <v/>
      </c>
      <c r="BG335" s="39" t="str">
        <f>IFERROR(bütünleme!BR32*100/bütünleme!$I32,"")</f>
        <v/>
      </c>
      <c r="BH335" s="39" t="str">
        <f>IFERROR(bütünleme!BS32*100/bütünleme!$I32,"")</f>
        <v/>
      </c>
      <c r="BI335" s="39" t="str">
        <f>IFERROR(bütünleme!BT32*100/bütünleme!$I32,"")</f>
        <v/>
      </c>
      <c r="BJ335" s="39" t="str">
        <f>IFERROR(bütünleme!BU32*100/bütünleme!$I32,"")</f>
        <v/>
      </c>
      <c r="BK335" s="39" t="str">
        <f>IFERROR(bütünleme!BV32*100/bütünleme!$I32,"")</f>
        <v/>
      </c>
      <c r="BL335" s="39" t="str">
        <f>IFERROR(bütünleme!BW32*100/bütünleme!$I32,"")</f>
        <v/>
      </c>
      <c r="BM335" s="39" t="str">
        <f>IFERROR(bütünleme!BX32*100/bütünleme!$I32,"")</f>
        <v/>
      </c>
      <c r="BN335" s="39" t="str">
        <f>IFERROR(bütünleme!BY32*100/bütünleme!$I32,"")</f>
        <v/>
      </c>
      <c r="BO335" s="39" t="str">
        <f>IFERROR(bütünleme!BZ32*100/bütünleme!$I32,"")</f>
        <v/>
      </c>
      <c r="BP335" s="39" t="str">
        <f>IFERROR(bütünleme!CA32*100/bütünleme!$I32,"")</f>
        <v/>
      </c>
      <c r="BQ335" s="39" t="str">
        <f>IFERROR(bütünleme!CB32*100/bütünleme!$I32,"")</f>
        <v/>
      </c>
      <c r="BR335" s="39" t="str">
        <f>IFERROR(bütünleme!CC32*100/bütünleme!$I32,"")</f>
        <v/>
      </c>
      <c r="BS335" s="39" t="str">
        <f>IFERROR(bütünleme!CD32*100/bütünleme!$I32,"")</f>
        <v/>
      </c>
      <c r="BT335" s="39" t="str">
        <f>IFERROR(bütünleme!CE32*100/bütünleme!$I32,"")</f>
        <v/>
      </c>
      <c r="BU335" s="39" t="str">
        <f>IFERROR(bütünleme!CF32*100/bütünleme!$I32,"")</f>
        <v/>
      </c>
      <c r="BV335" s="39" t="str">
        <f>IFERROR(bütünleme!CG32*100/bütünleme!$I32,"")</f>
        <v/>
      </c>
      <c r="BW335" s="39" t="str">
        <f>IFERROR(bütünleme!CH32*100/bütünleme!$I32,"")</f>
        <v/>
      </c>
      <c r="BX335" s="39" t="str">
        <f>IFERROR(bütünleme!CI32*100/bütünleme!$I32,"")</f>
        <v/>
      </c>
      <c r="BY335" s="39" t="str">
        <f>IFERROR(bütünleme!CJ32*100/bütünleme!$I32,"")</f>
        <v/>
      </c>
      <c r="BZ335" s="39" t="str">
        <f>IFERROR(bütünleme!CK32*100/bütünleme!$I32,"")</f>
        <v/>
      </c>
      <c r="CA335" s="39" t="str">
        <f>IFERROR(bütünleme!CL32*100/bütünleme!$I32,"")</f>
        <v/>
      </c>
      <c r="CB335" s="39" t="str">
        <f>IFERROR(bütünleme!CM32*100/bütünleme!$I32,"")</f>
        <v/>
      </c>
      <c r="CC335" s="39" t="str">
        <f>IFERROR(bütünleme!CN32*100/bütünleme!$I32,"")</f>
        <v/>
      </c>
      <c r="CD335" s="39" t="str">
        <f>IFERROR(bütünleme!CO32*100/bütünleme!$I32,"")</f>
        <v/>
      </c>
      <c r="CE335" s="39" t="str">
        <f>IFERROR(bütünleme!CP32*100/bütünleme!$I32,"")</f>
        <v/>
      </c>
      <c r="CF335" s="39" t="str">
        <f>IFERROR(bütünleme!CQ32*100/bütünleme!$I32,"")</f>
        <v/>
      </c>
      <c r="CG335" s="39" t="str">
        <f>IFERROR(bütünleme!CR32*100/bütünleme!$I32,"")</f>
        <v/>
      </c>
      <c r="CH335" s="39" t="str">
        <f>IFERROR(bütünleme!CS32*100/bütünleme!$I32,"")</f>
        <v/>
      </c>
      <c r="CI335" s="39" t="str">
        <f>IFERROR(bütünleme!CT32*100/bütünleme!$I32,"")</f>
        <v/>
      </c>
      <c r="CJ335" s="39" t="str">
        <f>IFERROR(bütünleme!CU32*100/bütünleme!$I32,"")</f>
        <v/>
      </c>
      <c r="CK335" s="39" t="str">
        <f>IFERROR(bütünleme!CV32*100/bütünleme!$I32,"")</f>
        <v/>
      </c>
      <c r="CL335" s="39" t="str">
        <f>IFERROR(bütünleme!CW32*100/bütünleme!$I32,"")</f>
        <v/>
      </c>
      <c r="CM335" s="39" t="str">
        <f>IFERROR(bütünleme!CX32*100/bütünleme!$I32,"")</f>
        <v/>
      </c>
      <c r="CN335" s="39" t="str">
        <f>IFERROR(bütünleme!CY32*100/bütünleme!$I32,"")</f>
        <v/>
      </c>
      <c r="CO335" s="39" t="str">
        <f>IFERROR(bütünleme!CZ32*100/bütünleme!$I32,"")</f>
        <v/>
      </c>
      <c r="CP335" s="39" t="str">
        <f>IFERROR(bütünleme!DA32*100/bütünleme!$I32,"")</f>
        <v/>
      </c>
      <c r="CQ335" s="39" t="str">
        <f>IFERROR(bütünleme!DB32*100/bütünleme!$I32,"")</f>
        <v/>
      </c>
      <c r="CR335" s="39" t="str">
        <f>IFERROR(bütünleme!DC32*100/bütünleme!$I32,"")</f>
        <v/>
      </c>
      <c r="CS335" s="39" t="str">
        <f>IFERROR(bütünleme!DD32*100/bütünleme!$I32,"")</f>
        <v/>
      </c>
      <c r="CT335" s="39" t="str">
        <f>IFERROR(bütünleme!DE32*100/bütünleme!$I32,"")</f>
        <v/>
      </c>
      <c r="CU335" s="39" t="str">
        <f>IFERROR(bütünleme!DF32*100/bütünleme!$I32,"")</f>
        <v/>
      </c>
      <c r="CV335" s="39" t="str">
        <f>IFERROR(bütünleme!DG32*100/bütünleme!$I32,"")</f>
        <v/>
      </c>
      <c r="CW335" s="36" t="str">
        <f>IFERROR(SUM(A335:CV335)/bütünleme!$DH$103,"")</f>
        <v/>
      </c>
      <c r="CX335" s="14" t="str">
        <f>IF(COUNTA(bütünleme!A32),bütünleme!A32,"")</f>
        <v/>
      </c>
      <c r="CY335" s="14" t="str">
        <f>IF(COUNTA(bütünleme!B32),bütünleme!B32,"")</f>
        <v/>
      </c>
      <c r="CZ335" s="14" t="str">
        <f>IF(COUNTA(bütünleme!C32),bütünleme!C32,"")</f>
        <v/>
      </c>
      <c r="DA335" s="14" t="str">
        <f>IF(COUNTA(bütünleme!D32),bütünleme!D32,"")</f>
        <v/>
      </c>
      <c r="DB335" s="14" t="str">
        <f>IF(COUNTA(bütünleme!E32),bütünleme!E32,"")</f>
        <v/>
      </c>
      <c r="DC335" s="14" t="str">
        <f>IF(COUNTA(bütünleme!F32),bütünleme!F32,"")</f>
        <v/>
      </c>
      <c r="DD335" s="14" t="str">
        <f>IF(COUNTA(bütünleme!G32),bütünleme!G32,"")</f>
        <v/>
      </c>
      <c r="DE335" s="14" t="str">
        <f>IF(COUNTA(bütünleme!H32),bütünleme!H32,"")</f>
        <v/>
      </c>
    </row>
    <row r="336" spans="1:109" x14ac:dyDescent="0.2">
      <c r="A336" s="39" t="str">
        <f>IFERROR(bütünleme!L33*100/bütünleme!$I33,"")</f>
        <v/>
      </c>
      <c r="B336" s="39" t="str">
        <f>IFERROR(bütünleme!M33*100/bütünleme!$I33,"")</f>
        <v/>
      </c>
      <c r="C336" s="39" t="str">
        <f>IFERROR(bütünleme!N33*100/bütünleme!$I33,"")</f>
        <v/>
      </c>
      <c r="D336" s="39" t="str">
        <f>IFERROR(bütünleme!O33*100/bütünleme!$I33,"")</f>
        <v/>
      </c>
      <c r="E336" s="39" t="str">
        <f>IFERROR(bütünleme!P33*100/bütünleme!$I33,"")</f>
        <v/>
      </c>
      <c r="F336" s="39" t="str">
        <f>IFERROR(bütünleme!Q33*100/bütünleme!$I33,"")</f>
        <v/>
      </c>
      <c r="G336" s="39" t="str">
        <f>IFERROR(bütünleme!R33*100/bütünleme!$I33,"")</f>
        <v/>
      </c>
      <c r="H336" s="39" t="str">
        <f>IFERROR(bütünleme!S33*100/bütünleme!$I33,"")</f>
        <v/>
      </c>
      <c r="I336" s="39" t="str">
        <f>IFERROR(bütünleme!T33*100/bütünleme!$I33,"")</f>
        <v/>
      </c>
      <c r="J336" s="39" t="str">
        <f>IFERROR(bütünleme!U33*100/bütünleme!$I33,"")</f>
        <v/>
      </c>
      <c r="K336" s="39" t="str">
        <f>IFERROR(bütünleme!V33*100/bütünleme!$I33,"")</f>
        <v/>
      </c>
      <c r="L336" s="39" t="str">
        <f>IFERROR(bütünleme!W33*100/bütünleme!$I33,"")</f>
        <v/>
      </c>
      <c r="M336" s="39" t="str">
        <f>IFERROR(bütünleme!X33*100/bütünleme!$I33,"")</f>
        <v/>
      </c>
      <c r="N336" s="39" t="str">
        <f>IFERROR(bütünleme!Y33*100/bütünleme!$I33,"")</f>
        <v/>
      </c>
      <c r="O336" s="39" t="str">
        <f>IFERROR(bütünleme!Z33*100/bütünleme!$I33,"")</f>
        <v/>
      </c>
      <c r="P336" s="39" t="str">
        <f>IFERROR(bütünleme!AA33*100/bütünleme!$I33,"")</f>
        <v/>
      </c>
      <c r="Q336" s="39" t="str">
        <f>IFERROR(bütünleme!AB33*100/bütünleme!$I33,"")</f>
        <v/>
      </c>
      <c r="R336" s="39" t="str">
        <f>IFERROR(bütünleme!AC33*100/bütünleme!$I33,"")</f>
        <v/>
      </c>
      <c r="S336" s="39" t="str">
        <f>IFERROR(bütünleme!AD33*100/bütünleme!$I33,"")</f>
        <v/>
      </c>
      <c r="T336" s="39" t="str">
        <f>IFERROR(bütünleme!AE33*100/bütünleme!$I33,"")</f>
        <v/>
      </c>
      <c r="U336" s="39" t="str">
        <f>IFERROR(bütünleme!AF33*100/bütünleme!$I33,"")</f>
        <v/>
      </c>
      <c r="V336" s="39" t="str">
        <f>IFERROR(bütünleme!AG33*100/bütünleme!$I33,"")</f>
        <v/>
      </c>
      <c r="W336" s="39" t="str">
        <f>IFERROR(bütünleme!AH33*100/bütünleme!$I33,"")</f>
        <v/>
      </c>
      <c r="X336" s="39" t="str">
        <f>IFERROR(bütünleme!AI33*100/bütünleme!$I33,"")</f>
        <v/>
      </c>
      <c r="Y336" s="39" t="str">
        <f>IFERROR(bütünleme!AJ33*100/bütünleme!$I33,"")</f>
        <v/>
      </c>
      <c r="Z336" s="39" t="str">
        <f>IFERROR(bütünleme!AK33*100/bütünleme!$I33,"")</f>
        <v/>
      </c>
      <c r="AA336" s="39" t="str">
        <f>IFERROR(bütünleme!AL33*100/bütünleme!$I33,"")</f>
        <v/>
      </c>
      <c r="AB336" s="39" t="str">
        <f>IFERROR(bütünleme!AM33*100/bütünleme!$I33,"")</f>
        <v/>
      </c>
      <c r="AC336" s="39" t="str">
        <f>IFERROR(bütünleme!AN33*100/bütünleme!$I33,"")</f>
        <v/>
      </c>
      <c r="AD336" s="39" t="str">
        <f>IFERROR(bütünleme!AO33*100/bütünleme!$I33,"")</f>
        <v/>
      </c>
      <c r="AE336" s="39" t="str">
        <f>IFERROR(bütünleme!AP33*100/bütünleme!$I33,"")</f>
        <v/>
      </c>
      <c r="AF336" s="39" t="str">
        <f>IFERROR(bütünleme!AQ33*100/bütünleme!$I33,"")</f>
        <v/>
      </c>
      <c r="AG336" s="39" t="str">
        <f>IFERROR(bütünleme!AR33*100/bütünleme!$I33,"")</f>
        <v/>
      </c>
      <c r="AH336" s="39" t="str">
        <f>IFERROR(bütünleme!AS33*100/bütünleme!$I33,"")</f>
        <v/>
      </c>
      <c r="AI336" s="39" t="str">
        <f>IFERROR(bütünleme!AT33*100/bütünleme!$I33,"")</f>
        <v/>
      </c>
      <c r="AJ336" s="39" t="str">
        <f>IFERROR(bütünleme!AU33*100/bütünleme!$I33,"")</f>
        <v/>
      </c>
      <c r="AK336" s="39" t="str">
        <f>IFERROR(bütünleme!AV33*100/bütünleme!$I33,"")</f>
        <v/>
      </c>
      <c r="AL336" s="39" t="str">
        <f>IFERROR(bütünleme!AW33*100/bütünleme!$I33,"")</f>
        <v/>
      </c>
      <c r="AM336" s="39" t="str">
        <f>IFERROR(bütünleme!AX33*100/bütünleme!$I33,"")</f>
        <v/>
      </c>
      <c r="AN336" s="39" t="str">
        <f>IFERROR(bütünleme!AY33*100/bütünleme!$I33,"")</f>
        <v/>
      </c>
      <c r="AO336" s="39" t="str">
        <f>IFERROR(bütünleme!AZ33*100/bütünleme!$I33,"")</f>
        <v/>
      </c>
      <c r="AP336" s="39" t="str">
        <f>IFERROR(bütünleme!BA33*100/bütünleme!$I33,"")</f>
        <v/>
      </c>
      <c r="AQ336" s="39" t="str">
        <f>IFERROR(bütünleme!BB33*100/bütünleme!$I33,"")</f>
        <v/>
      </c>
      <c r="AR336" s="39" t="str">
        <f>IFERROR(bütünleme!BC33*100/bütünleme!$I33,"")</f>
        <v/>
      </c>
      <c r="AS336" s="39" t="str">
        <f>IFERROR(bütünleme!BD33*100/bütünleme!$I33,"")</f>
        <v/>
      </c>
      <c r="AT336" s="39" t="str">
        <f>IFERROR(bütünleme!BE33*100/bütünleme!$I33,"")</f>
        <v/>
      </c>
      <c r="AU336" s="39" t="str">
        <f>IFERROR(bütünleme!BF33*100/bütünleme!$I33,"")</f>
        <v/>
      </c>
      <c r="AV336" s="39" t="str">
        <f>IFERROR(bütünleme!BG33*100/bütünleme!$I33,"")</f>
        <v/>
      </c>
      <c r="AW336" s="39" t="str">
        <f>IFERROR(bütünleme!BH33*100/bütünleme!$I33,"")</f>
        <v/>
      </c>
      <c r="AX336" s="39" t="str">
        <f>IFERROR(bütünleme!BI33*100/bütünleme!$I33,"")</f>
        <v/>
      </c>
      <c r="AY336" s="39" t="str">
        <f>IFERROR(bütünleme!BJ33*100/bütünleme!$I33,"")</f>
        <v/>
      </c>
      <c r="AZ336" s="39" t="str">
        <f>IFERROR(bütünleme!BK33*100/bütünleme!$I33,"")</f>
        <v/>
      </c>
      <c r="BA336" s="39" t="str">
        <f>IFERROR(bütünleme!BL33*100/bütünleme!$I33,"")</f>
        <v/>
      </c>
      <c r="BB336" s="39" t="str">
        <f>IFERROR(bütünleme!BM33*100/bütünleme!$I33,"")</f>
        <v/>
      </c>
      <c r="BC336" s="39" t="str">
        <f>IFERROR(bütünleme!BN33*100/bütünleme!$I33,"")</f>
        <v/>
      </c>
      <c r="BD336" s="39" t="str">
        <f>IFERROR(bütünleme!BO33*100/bütünleme!$I33,"")</f>
        <v/>
      </c>
      <c r="BE336" s="39" t="str">
        <f>IFERROR(bütünleme!BP33*100/bütünleme!$I33,"")</f>
        <v/>
      </c>
      <c r="BF336" s="39" t="str">
        <f>IFERROR(bütünleme!BQ33*100/bütünleme!$I33,"")</f>
        <v/>
      </c>
      <c r="BG336" s="39" t="str">
        <f>IFERROR(bütünleme!BR33*100/bütünleme!$I33,"")</f>
        <v/>
      </c>
      <c r="BH336" s="39" t="str">
        <f>IFERROR(bütünleme!BS33*100/bütünleme!$I33,"")</f>
        <v/>
      </c>
      <c r="BI336" s="39" t="str">
        <f>IFERROR(bütünleme!BT33*100/bütünleme!$I33,"")</f>
        <v/>
      </c>
      <c r="BJ336" s="39" t="str">
        <f>IFERROR(bütünleme!BU33*100/bütünleme!$I33,"")</f>
        <v/>
      </c>
      <c r="BK336" s="39" t="str">
        <f>IFERROR(bütünleme!BV33*100/bütünleme!$I33,"")</f>
        <v/>
      </c>
      <c r="BL336" s="39" t="str">
        <f>IFERROR(bütünleme!BW33*100/bütünleme!$I33,"")</f>
        <v/>
      </c>
      <c r="BM336" s="39" t="str">
        <f>IFERROR(bütünleme!BX33*100/bütünleme!$I33,"")</f>
        <v/>
      </c>
      <c r="BN336" s="39" t="str">
        <f>IFERROR(bütünleme!BY33*100/bütünleme!$I33,"")</f>
        <v/>
      </c>
      <c r="BO336" s="39" t="str">
        <f>IFERROR(bütünleme!BZ33*100/bütünleme!$I33,"")</f>
        <v/>
      </c>
      <c r="BP336" s="39" t="str">
        <f>IFERROR(bütünleme!CA33*100/bütünleme!$I33,"")</f>
        <v/>
      </c>
      <c r="BQ336" s="39" t="str">
        <f>IFERROR(bütünleme!CB33*100/bütünleme!$I33,"")</f>
        <v/>
      </c>
      <c r="BR336" s="39" t="str">
        <f>IFERROR(bütünleme!CC33*100/bütünleme!$I33,"")</f>
        <v/>
      </c>
      <c r="BS336" s="39" t="str">
        <f>IFERROR(bütünleme!CD33*100/bütünleme!$I33,"")</f>
        <v/>
      </c>
      <c r="BT336" s="39" t="str">
        <f>IFERROR(bütünleme!CE33*100/bütünleme!$I33,"")</f>
        <v/>
      </c>
      <c r="BU336" s="39" t="str">
        <f>IFERROR(bütünleme!CF33*100/bütünleme!$I33,"")</f>
        <v/>
      </c>
      <c r="BV336" s="39" t="str">
        <f>IFERROR(bütünleme!CG33*100/bütünleme!$I33,"")</f>
        <v/>
      </c>
      <c r="BW336" s="39" t="str">
        <f>IFERROR(bütünleme!CH33*100/bütünleme!$I33,"")</f>
        <v/>
      </c>
      <c r="BX336" s="39" t="str">
        <f>IFERROR(bütünleme!CI33*100/bütünleme!$I33,"")</f>
        <v/>
      </c>
      <c r="BY336" s="39" t="str">
        <f>IFERROR(bütünleme!CJ33*100/bütünleme!$I33,"")</f>
        <v/>
      </c>
      <c r="BZ336" s="39" t="str">
        <f>IFERROR(bütünleme!CK33*100/bütünleme!$I33,"")</f>
        <v/>
      </c>
      <c r="CA336" s="39" t="str">
        <f>IFERROR(bütünleme!CL33*100/bütünleme!$I33,"")</f>
        <v/>
      </c>
      <c r="CB336" s="39" t="str">
        <f>IFERROR(bütünleme!CM33*100/bütünleme!$I33,"")</f>
        <v/>
      </c>
      <c r="CC336" s="39" t="str">
        <f>IFERROR(bütünleme!CN33*100/bütünleme!$I33,"")</f>
        <v/>
      </c>
      <c r="CD336" s="39" t="str">
        <f>IFERROR(bütünleme!CO33*100/bütünleme!$I33,"")</f>
        <v/>
      </c>
      <c r="CE336" s="39" t="str">
        <f>IFERROR(bütünleme!CP33*100/bütünleme!$I33,"")</f>
        <v/>
      </c>
      <c r="CF336" s="39" t="str">
        <f>IFERROR(bütünleme!CQ33*100/bütünleme!$I33,"")</f>
        <v/>
      </c>
      <c r="CG336" s="39" t="str">
        <f>IFERROR(bütünleme!CR33*100/bütünleme!$I33,"")</f>
        <v/>
      </c>
      <c r="CH336" s="39" t="str">
        <f>IFERROR(bütünleme!CS33*100/bütünleme!$I33,"")</f>
        <v/>
      </c>
      <c r="CI336" s="39" t="str">
        <f>IFERROR(bütünleme!CT33*100/bütünleme!$I33,"")</f>
        <v/>
      </c>
      <c r="CJ336" s="39" t="str">
        <f>IFERROR(bütünleme!CU33*100/bütünleme!$I33,"")</f>
        <v/>
      </c>
      <c r="CK336" s="39" t="str">
        <f>IFERROR(bütünleme!CV33*100/bütünleme!$I33,"")</f>
        <v/>
      </c>
      <c r="CL336" s="39" t="str">
        <f>IFERROR(bütünleme!CW33*100/bütünleme!$I33,"")</f>
        <v/>
      </c>
      <c r="CM336" s="39" t="str">
        <f>IFERROR(bütünleme!CX33*100/bütünleme!$I33,"")</f>
        <v/>
      </c>
      <c r="CN336" s="39" t="str">
        <f>IFERROR(bütünleme!CY33*100/bütünleme!$I33,"")</f>
        <v/>
      </c>
      <c r="CO336" s="39" t="str">
        <f>IFERROR(bütünleme!CZ33*100/bütünleme!$I33,"")</f>
        <v/>
      </c>
      <c r="CP336" s="39" t="str">
        <f>IFERROR(bütünleme!DA33*100/bütünleme!$I33,"")</f>
        <v/>
      </c>
      <c r="CQ336" s="39" t="str">
        <f>IFERROR(bütünleme!DB33*100/bütünleme!$I33,"")</f>
        <v/>
      </c>
      <c r="CR336" s="39" t="str">
        <f>IFERROR(bütünleme!DC33*100/bütünleme!$I33,"")</f>
        <v/>
      </c>
      <c r="CS336" s="39" t="str">
        <f>IFERROR(bütünleme!DD33*100/bütünleme!$I33,"")</f>
        <v/>
      </c>
      <c r="CT336" s="39" t="str">
        <f>IFERROR(bütünleme!DE33*100/bütünleme!$I33,"")</f>
        <v/>
      </c>
      <c r="CU336" s="39" t="str">
        <f>IFERROR(bütünleme!DF33*100/bütünleme!$I33,"")</f>
        <v/>
      </c>
      <c r="CV336" s="39" t="str">
        <f>IFERROR(bütünleme!DG33*100/bütünleme!$I33,"")</f>
        <v/>
      </c>
      <c r="CW336" s="36" t="str">
        <f>IFERROR(SUM(A336:CV336)/bütünleme!$DH$103,"")</f>
        <v/>
      </c>
      <c r="CX336" s="14" t="str">
        <f>IF(COUNTA(bütünleme!A33),bütünleme!A33,"")</f>
        <v/>
      </c>
      <c r="CY336" s="14" t="str">
        <f>IF(COUNTA(bütünleme!B33),bütünleme!B33,"")</f>
        <v/>
      </c>
      <c r="CZ336" s="14" t="str">
        <f>IF(COUNTA(bütünleme!C33),bütünleme!C33,"")</f>
        <v/>
      </c>
      <c r="DA336" s="14" t="str">
        <f>IF(COUNTA(bütünleme!D33),bütünleme!D33,"")</f>
        <v/>
      </c>
      <c r="DB336" s="14" t="str">
        <f>IF(COUNTA(bütünleme!E33),bütünleme!E33,"")</f>
        <v/>
      </c>
      <c r="DC336" s="14" t="str">
        <f>IF(COUNTA(bütünleme!F33),bütünleme!F33,"")</f>
        <v/>
      </c>
      <c r="DD336" s="14" t="str">
        <f>IF(COUNTA(bütünleme!G33),bütünleme!G33,"")</f>
        <v/>
      </c>
      <c r="DE336" s="14" t="str">
        <f>IF(COUNTA(bütünleme!H33),bütünleme!H33,"")</f>
        <v/>
      </c>
    </row>
    <row r="337" spans="1:109" x14ac:dyDescent="0.2">
      <c r="A337" s="39" t="str">
        <f>IFERROR(bütünleme!L34*100/bütünleme!$I34,"")</f>
        <v/>
      </c>
      <c r="B337" s="39" t="str">
        <f>IFERROR(bütünleme!M34*100/bütünleme!$I34,"")</f>
        <v/>
      </c>
      <c r="C337" s="39" t="str">
        <f>IFERROR(bütünleme!N34*100/bütünleme!$I34,"")</f>
        <v/>
      </c>
      <c r="D337" s="39" t="str">
        <f>IFERROR(bütünleme!O34*100/bütünleme!$I34,"")</f>
        <v/>
      </c>
      <c r="E337" s="39" t="str">
        <f>IFERROR(bütünleme!P34*100/bütünleme!$I34,"")</f>
        <v/>
      </c>
      <c r="F337" s="39" t="str">
        <f>IFERROR(bütünleme!Q34*100/bütünleme!$I34,"")</f>
        <v/>
      </c>
      <c r="G337" s="39" t="str">
        <f>IFERROR(bütünleme!R34*100/bütünleme!$I34,"")</f>
        <v/>
      </c>
      <c r="H337" s="39" t="str">
        <f>IFERROR(bütünleme!S34*100/bütünleme!$I34,"")</f>
        <v/>
      </c>
      <c r="I337" s="39" t="str">
        <f>IFERROR(bütünleme!T34*100/bütünleme!$I34,"")</f>
        <v/>
      </c>
      <c r="J337" s="39" t="str">
        <f>IFERROR(bütünleme!U34*100/bütünleme!$I34,"")</f>
        <v/>
      </c>
      <c r="K337" s="39" t="str">
        <f>IFERROR(bütünleme!V34*100/bütünleme!$I34,"")</f>
        <v/>
      </c>
      <c r="L337" s="39" t="str">
        <f>IFERROR(bütünleme!W34*100/bütünleme!$I34,"")</f>
        <v/>
      </c>
      <c r="M337" s="39" t="str">
        <f>IFERROR(bütünleme!X34*100/bütünleme!$I34,"")</f>
        <v/>
      </c>
      <c r="N337" s="39" t="str">
        <f>IFERROR(bütünleme!Y34*100/bütünleme!$I34,"")</f>
        <v/>
      </c>
      <c r="O337" s="39" t="str">
        <f>IFERROR(bütünleme!Z34*100/bütünleme!$I34,"")</f>
        <v/>
      </c>
      <c r="P337" s="39" t="str">
        <f>IFERROR(bütünleme!AA34*100/bütünleme!$I34,"")</f>
        <v/>
      </c>
      <c r="Q337" s="39" t="str">
        <f>IFERROR(bütünleme!AB34*100/bütünleme!$I34,"")</f>
        <v/>
      </c>
      <c r="R337" s="39" t="str">
        <f>IFERROR(bütünleme!AC34*100/bütünleme!$I34,"")</f>
        <v/>
      </c>
      <c r="S337" s="39" t="str">
        <f>IFERROR(bütünleme!AD34*100/bütünleme!$I34,"")</f>
        <v/>
      </c>
      <c r="T337" s="39" t="str">
        <f>IFERROR(bütünleme!AE34*100/bütünleme!$I34,"")</f>
        <v/>
      </c>
      <c r="U337" s="39" t="str">
        <f>IFERROR(bütünleme!AF34*100/bütünleme!$I34,"")</f>
        <v/>
      </c>
      <c r="V337" s="39" t="str">
        <f>IFERROR(bütünleme!AG34*100/bütünleme!$I34,"")</f>
        <v/>
      </c>
      <c r="W337" s="39" t="str">
        <f>IFERROR(bütünleme!AH34*100/bütünleme!$I34,"")</f>
        <v/>
      </c>
      <c r="X337" s="39" t="str">
        <f>IFERROR(bütünleme!AI34*100/bütünleme!$I34,"")</f>
        <v/>
      </c>
      <c r="Y337" s="39" t="str">
        <f>IFERROR(bütünleme!AJ34*100/bütünleme!$I34,"")</f>
        <v/>
      </c>
      <c r="Z337" s="39" t="str">
        <f>IFERROR(bütünleme!AK34*100/bütünleme!$I34,"")</f>
        <v/>
      </c>
      <c r="AA337" s="39" t="str">
        <f>IFERROR(bütünleme!AL34*100/bütünleme!$I34,"")</f>
        <v/>
      </c>
      <c r="AB337" s="39" t="str">
        <f>IFERROR(bütünleme!AM34*100/bütünleme!$I34,"")</f>
        <v/>
      </c>
      <c r="AC337" s="39" t="str">
        <f>IFERROR(bütünleme!AN34*100/bütünleme!$I34,"")</f>
        <v/>
      </c>
      <c r="AD337" s="39" t="str">
        <f>IFERROR(bütünleme!AO34*100/bütünleme!$I34,"")</f>
        <v/>
      </c>
      <c r="AE337" s="39" t="str">
        <f>IFERROR(bütünleme!AP34*100/bütünleme!$I34,"")</f>
        <v/>
      </c>
      <c r="AF337" s="39" t="str">
        <f>IFERROR(bütünleme!AQ34*100/bütünleme!$I34,"")</f>
        <v/>
      </c>
      <c r="AG337" s="39" t="str">
        <f>IFERROR(bütünleme!AR34*100/bütünleme!$I34,"")</f>
        <v/>
      </c>
      <c r="AH337" s="39" t="str">
        <f>IFERROR(bütünleme!AS34*100/bütünleme!$I34,"")</f>
        <v/>
      </c>
      <c r="AI337" s="39" t="str">
        <f>IFERROR(bütünleme!AT34*100/bütünleme!$I34,"")</f>
        <v/>
      </c>
      <c r="AJ337" s="39" t="str">
        <f>IFERROR(bütünleme!AU34*100/bütünleme!$I34,"")</f>
        <v/>
      </c>
      <c r="AK337" s="39" t="str">
        <f>IFERROR(bütünleme!AV34*100/bütünleme!$I34,"")</f>
        <v/>
      </c>
      <c r="AL337" s="39" t="str">
        <f>IFERROR(bütünleme!AW34*100/bütünleme!$I34,"")</f>
        <v/>
      </c>
      <c r="AM337" s="39" t="str">
        <f>IFERROR(bütünleme!AX34*100/bütünleme!$I34,"")</f>
        <v/>
      </c>
      <c r="AN337" s="39" t="str">
        <f>IFERROR(bütünleme!AY34*100/bütünleme!$I34,"")</f>
        <v/>
      </c>
      <c r="AO337" s="39" t="str">
        <f>IFERROR(bütünleme!AZ34*100/bütünleme!$I34,"")</f>
        <v/>
      </c>
      <c r="AP337" s="39" t="str">
        <f>IFERROR(bütünleme!BA34*100/bütünleme!$I34,"")</f>
        <v/>
      </c>
      <c r="AQ337" s="39" t="str">
        <f>IFERROR(bütünleme!BB34*100/bütünleme!$I34,"")</f>
        <v/>
      </c>
      <c r="AR337" s="39" t="str">
        <f>IFERROR(bütünleme!BC34*100/bütünleme!$I34,"")</f>
        <v/>
      </c>
      <c r="AS337" s="39" t="str">
        <f>IFERROR(bütünleme!BD34*100/bütünleme!$I34,"")</f>
        <v/>
      </c>
      <c r="AT337" s="39" t="str">
        <f>IFERROR(bütünleme!BE34*100/bütünleme!$I34,"")</f>
        <v/>
      </c>
      <c r="AU337" s="39" t="str">
        <f>IFERROR(bütünleme!BF34*100/bütünleme!$I34,"")</f>
        <v/>
      </c>
      <c r="AV337" s="39" t="str">
        <f>IFERROR(bütünleme!BG34*100/bütünleme!$I34,"")</f>
        <v/>
      </c>
      <c r="AW337" s="39" t="str">
        <f>IFERROR(bütünleme!BH34*100/bütünleme!$I34,"")</f>
        <v/>
      </c>
      <c r="AX337" s="39" t="str">
        <f>IFERROR(bütünleme!BI34*100/bütünleme!$I34,"")</f>
        <v/>
      </c>
      <c r="AY337" s="39" t="str">
        <f>IFERROR(bütünleme!BJ34*100/bütünleme!$I34,"")</f>
        <v/>
      </c>
      <c r="AZ337" s="39" t="str">
        <f>IFERROR(bütünleme!BK34*100/bütünleme!$I34,"")</f>
        <v/>
      </c>
      <c r="BA337" s="39" t="str">
        <f>IFERROR(bütünleme!BL34*100/bütünleme!$I34,"")</f>
        <v/>
      </c>
      <c r="BB337" s="39" t="str">
        <f>IFERROR(bütünleme!BM34*100/bütünleme!$I34,"")</f>
        <v/>
      </c>
      <c r="BC337" s="39" t="str">
        <f>IFERROR(bütünleme!BN34*100/bütünleme!$I34,"")</f>
        <v/>
      </c>
      <c r="BD337" s="39" t="str">
        <f>IFERROR(bütünleme!BO34*100/bütünleme!$I34,"")</f>
        <v/>
      </c>
      <c r="BE337" s="39" t="str">
        <f>IFERROR(bütünleme!BP34*100/bütünleme!$I34,"")</f>
        <v/>
      </c>
      <c r="BF337" s="39" t="str">
        <f>IFERROR(bütünleme!BQ34*100/bütünleme!$I34,"")</f>
        <v/>
      </c>
      <c r="BG337" s="39" t="str">
        <f>IFERROR(bütünleme!BR34*100/bütünleme!$I34,"")</f>
        <v/>
      </c>
      <c r="BH337" s="39" t="str">
        <f>IFERROR(bütünleme!BS34*100/bütünleme!$I34,"")</f>
        <v/>
      </c>
      <c r="BI337" s="39" t="str">
        <f>IFERROR(bütünleme!BT34*100/bütünleme!$I34,"")</f>
        <v/>
      </c>
      <c r="BJ337" s="39" t="str">
        <f>IFERROR(bütünleme!BU34*100/bütünleme!$I34,"")</f>
        <v/>
      </c>
      <c r="BK337" s="39" t="str">
        <f>IFERROR(bütünleme!BV34*100/bütünleme!$I34,"")</f>
        <v/>
      </c>
      <c r="BL337" s="39" t="str">
        <f>IFERROR(bütünleme!BW34*100/bütünleme!$I34,"")</f>
        <v/>
      </c>
      <c r="BM337" s="39" t="str">
        <f>IFERROR(bütünleme!BX34*100/bütünleme!$I34,"")</f>
        <v/>
      </c>
      <c r="BN337" s="39" t="str">
        <f>IFERROR(bütünleme!BY34*100/bütünleme!$I34,"")</f>
        <v/>
      </c>
      <c r="BO337" s="39" t="str">
        <f>IFERROR(bütünleme!BZ34*100/bütünleme!$I34,"")</f>
        <v/>
      </c>
      <c r="BP337" s="39" t="str">
        <f>IFERROR(bütünleme!CA34*100/bütünleme!$I34,"")</f>
        <v/>
      </c>
      <c r="BQ337" s="39" t="str">
        <f>IFERROR(bütünleme!CB34*100/bütünleme!$I34,"")</f>
        <v/>
      </c>
      <c r="BR337" s="39" t="str">
        <f>IFERROR(bütünleme!CC34*100/bütünleme!$I34,"")</f>
        <v/>
      </c>
      <c r="BS337" s="39" t="str">
        <f>IFERROR(bütünleme!CD34*100/bütünleme!$I34,"")</f>
        <v/>
      </c>
      <c r="BT337" s="39" t="str">
        <f>IFERROR(bütünleme!CE34*100/bütünleme!$I34,"")</f>
        <v/>
      </c>
      <c r="BU337" s="39" t="str">
        <f>IFERROR(bütünleme!CF34*100/bütünleme!$I34,"")</f>
        <v/>
      </c>
      <c r="BV337" s="39" t="str">
        <f>IFERROR(bütünleme!CG34*100/bütünleme!$I34,"")</f>
        <v/>
      </c>
      <c r="BW337" s="39" t="str">
        <f>IFERROR(bütünleme!CH34*100/bütünleme!$I34,"")</f>
        <v/>
      </c>
      <c r="BX337" s="39" t="str">
        <f>IFERROR(bütünleme!CI34*100/bütünleme!$I34,"")</f>
        <v/>
      </c>
      <c r="BY337" s="39" t="str">
        <f>IFERROR(bütünleme!CJ34*100/bütünleme!$I34,"")</f>
        <v/>
      </c>
      <c r="BZ337" s="39" t="str">
        <f>IFERROR(bütünleme!CK34*100/bütünleme!$I34,"")</f>
        <v/>
      </c>
      <c r="CA337" s="39" t="str">
        <f>IFERROR(bütünleme!CL34*100/bütünleme!$I34,"")</f>
        <v/>
      </c>
      <c r="CB337" s="39" t="str">
        <f>IFERROR(bütünleme!CM34*100/bütünleme!$I34,"")</f>
        <v/>
      </c>
      <c r="CC337" s="39" t="str">
        <f>IFERROR(bütünleme!CN34*100/bütünleme!$I34,"")</f>
        <v/>
      </c>
      <c r="CD337" s="39" t="str">
        <f>IFERROR(bütünleme!CO34*100/bütünleme!$I34,"")</f>
        <v/>
      </c>
      <c r="CE337" s="39" t="str">
        <f>IFERROR(bütünleme!CP34*100/bütünleme!$I34,"")</f>
        <v/>
      </c>
      <c r="CF337" s="39" t="str">
        <f>IFERROR(bütünleme!CQ34*100/bütünleme!$I34,"")</f>
        <v/>
      </c>
      <c r="CG337" s="39" t="str">
        <f>IFERROR(bütünleme!CR34*100/bütünleme!$I34,"")</f>
        <v/>
      </c>
      <c r="CH337" s="39" t="str">
        <f>IFERROR(bütünleme!CS34*100/bütünleme!$I34,"")</f>
        <v/>
      </c>
      <c r="CI337" s="39" t="str">
        <f>IFERROR(bütünleme!CT34*100/bütünleme!$I34,"")</f>
        <v/>
      </c>
      <c r="CJ337" s="39" t="str">
        <f>IFERROR(bütünleme!CU34*100/bütünleme!$I34,"")</f>
        <v/>
      </c>
      <c r="CK337" s="39" t="str">
        <f>IFERROR(bütünleme!CV34*100/bütünleme!$I34,"")</f>
        <v/>
      </c>
      <c r="CL337" s="39" t="str">
        <f>IFERROR(bütünleme!CW34*100/bütünleme!$I34,"")</f>
        <v/>
      </c>
      <c r="CM337" s="39" t="str">
        <f>IFERROR(bütünleme!CX34*100/bütünleme!$I34,"")</f>
        <v/>
      </c>
      <c r="CN337" s="39" t="str">
        <f>IFERROR(bütünleme!CY34*100/bütünleme!$I34,"")</f>
        <v/>
      </c>
      <c r="CO337" s="39" t="str">
        <f>IFERROR(bütünleme!CZ34*100/bütünleme!$I34,"")</f>
        <v/>
      </c>
      <c r="CP337" s="39" t="str">
        <f>IFERROR(bütünleme!DA34*100/bütünleme!$I34,"")</f>
        <v/>
      </c>
      <c r="CQ337" s="39" t="str">
        <f>IFERROR(bütünleme!DB34*100/bütünleme!$I34,"")</f>
        <v/>
      </c>
      <c r="CR337" s="39" t="str">
        <f>IFERROR(bütünleme!DC34*100/bütünleme!$I34,"")</f>
        <v/>
      </c>
      <c r="CS337" s="39" t="str">
        <f>IFERROR(bütünleme!DD34*100/bütünleme!$I34,"")</f>
        <v/>
      </c>
      <c r="CT337" s="39" t="str">
        <f>IFERROR(bütünleme!DE34*100/bütünleme!$I34,"")</f>
        <v/>
      </c>
      <c r="CU337" s="39" t="str">
        <f>IFERROR(bütünleme!DF34*100/bütünleme!$I34,"")</f>
        <v/>
      </c>
      <c r="CV337" s="39" t="str">
        <f>IFERROR(bütünleme!DG34*100/bütünleme!$I34,"")</f>
        <v/>
      </c>
      <c r="CW337" s="36" t="str">
        <f>IFERROR(SUM(A337:CV337)/bütünleme!$DH$103,"")</f>
        <v/>
      </c>
      <c r="CX337" s="14" t="str">
        <f>IF(COUNTA(bütünleme!A34),bütünleme!A34,"")</f>
        <v/>
      </c>
      <c r="CY337" s="14" t="str">
        <f>IF(COUNTA(bütünleme!B34),bütünleme!B34,"")</f>
        <v/>
      </c>
      <c r="CZ337" s="14" t="str">
        <f>IF(COUNTA(bütünleme!C34),bütünleme!C34,"")</f>
        <v/>
      </c>
      <c r="DA337" s="14" t="str">
        <f>IF(COUNTA(bütünleme!D34),bütünleme!D34,"")</f>
        <v/>
      </c>
      <c r="DB337" s="14" t="str">
        <f>IF(COUNTA(bütünleme!E34),bütünleme!E34,"")</f>
        <v/>
      </c>
      <c r="DC337" s="14" t="str">
        <f>IF(COUNTA(bütünleme!F34),bütünleme!F34,"")</f>
        <v/>
      </c>
      <c r="DD337" s="14" t="str">
        <f>IF(COUNTA(bütünleme!G34),bütünleme!G34,"")</f>
        <v/>
      </c>
      <c r="DE337" s="14" t="str">
        <f>IF(COUNTA(bütünleme!H34),bütünleme!H34,"")</f>
        <v/>
      </c>
    </row>
    <row r="338" spans="1:109" x14ac:dyDescent="0.2">
      <c r="A338" s="39" t="str">
        <f>IFERROR(bütünleme!L35*100/bütünleme!$I35,"")</f>
        <v/>
      </c>
      <c r="B338" s="39" t="str">
        <f>IFERROR(bütünleme!M35*100/bütünleme!$I35,"")</f>
        <v/>
      </c>
      <c r="C338" s="39" t="str">
        <f>IFERROR(bütünleme!N35*100/bütünleme!$I35,"")</f>
        <v/>
      </c>
      <c r="D338" s="39" t="str">
        <f>IFERROR(bütünleme!O35*100/bütünleme!$I35,"")</f>
        <v/>
      </c>
      <c r="E338" s="39" t="str">
        <f>IFERROR(bütünleme!P35*100/bütünleme!$I35,"")</f>
        <v/>
      </c>
      <c r="F338" s="39" t="str">
        <f>IFERROR(bütünleme!Q35*100/bütünleme!$I35,"")</f>
        <v/>
      </c>
      <c r="G338" s="39" t="str">
        <f>IFERROR(bütünleme!R35*100/bütünleme!$I35,"")</f>
        <v/>
      </c>
      <c r="H338" s="39" t="str">
        <f>IFERROR(bütünleme!S35*100/bütünleme!$I35,"")</f>
        <v/>
      </c>
      <c r="I338" s="39" t="str">
        <f>IFERROR(bütünleme!T35*100/bütünleme!$I35,"")</f>
        <v/>
      </c>
      <c r="J338" s="39" t="str">
        <f>IFERROR(bütünleme!U35*100/bütünleme!$I35,"")</f>
        <v/>
      </c>
      <c r="K338" s="39" t="str">
        <f>IFERROR(bütünleme!V35*100/bütünleme!$I35,"")</f>
        <v/>
      </c>
      <c r="L338" s="39" t="str">
        <f>IFERROR(bütünleme!W35*100/bütünleme!$I35,"")</f>
        <v/>
      </c>
      <c r="M338" s="39" t="str">
        <f>IFERROR(bütünleme!X35*100/bütünleme!$I35,"")</f>
        <v/>
      </c>
      <c r="N338" s="39" t="str">
        <f>IFERROR(bütünleme!Y35*100/bütünleme!$I35,"")</f>
        <v/>
      </c>
      <c r="O338" s="39" t="str">
        <f>IFERROR(bütünleme!Z35*100/bütünleme!$I35,"")</f>
        <v/>
      </c>
      <c r="P338" s="39" t="str">
        <f>IFERROR(bütünleme!AA35*100/bütünleme!$I35,"")</f>
        <v/>
      </c>
      <c r="Q338" s="39" t="str">
        <f>IFERROR(bütünleme!AB35*100/bütünleme!$I35,"")</f>
        <v/>
      </c>
      <c r="R338" s="39" t="str">
        <f>IFERROR(bütünleme!AC35*100/bütünleme!$I35,"")</f>
        <v/>
      </c>
      <c r="S338" s="39" t="str">
        <f>IFERROR(bütünleme!AD35*100/bütünleme!$I35,"")</f>
        <v/>
      </c>
      <c r="T338" s="39" t="str">
        <f>IFERROR(bütünleme!AE35*100/bütünleme!$I35,"")</f>
        <v/>
      </c>
      <c r="U338" s="39" t="str">
        <f>IFERROR(bütünleme!AF35*100/bütünleme!$I35,"")</f>
        <v/>
      </c>
      <c r="V338" s="39" t="str">
        <f>IFERROR(bütünleme!AG35*100/bütünleme!$I35,"")</f>
        <v/>
      </c>
      <c r="W338" s="39" t="str">
        <f>IFERROR(bütünleme!AH35*100/bütünleme!$I35,"")</f>
        <v/>
      </c>
      <c r="X338" s="39" t="str">
        <f>IFERROR(bütünleme!AI35*100/bütünleme!$I35,"")</f>
        <v/>
      </c>
      <c r="Y338" s="39" t="str">
        <f>IFERROR(bütünleme!AJ35*100/bütünleme!$I35,"")</f>
        <v/>
      </c>
      <c r="Z338" s="39" t="str">
        <f>IFERROR(bütünleme!AK35*100/bütünleme!$I35,"")</f>
        <v/>
      </c>
      <c r="AA338" s="39" t="str">
        <f>IFERROR(bütünleme!AL35*100/bütünleme!$I35,"")</f>
        <v/>
      </c>
      <c r="AB338" s="39" t="str">
        <f>IFERROR(bütünleme!AM35*100/bütünleme!$I35,"")</f>
        <v/>
      </c>
      <c r="AC338" s="39" t="str">
        <f>IFERROR(bütünleme!AN35*100/bütünleme!$I35,"")</f>
        <v/>
      </c>
      <c r="AD338" s="39" t="str">
        <f>IFERROR(bütünleme!AO35*100/bütünleme!$I35,"")</f>
        <v/>
      </c>
      <c r="AE338" s="39" t="str">
        <f>IFERROR(bütünleme!AP35*100/bütünleme!$I35,"")</f>
        <v/>
      </c>
      <c r="AF338" s="39" t="str">
        <f>IFERROR(bütünleme!AQ35*100/bütünleme!$I35,"")</f>
        <v/>
      </c>
      <c r="AG338" s="39" t="str">
        <f>IFERROR(bütünleme!AR35*100/bütünleme!$I35,"")</f>
        <v/>
      </c>
      <c r="AH338" s="39" t="str">
        <f>IFERROR(bütünleme!AS35*100/bütünleme!$I35,"")</f>
        <v/>
      </c>
      <c r="AI338" s="39" t="str">
        <f>IFERROR(bütünleme!AT35*100/bütünleme!$I35,"")</f>
        <v/>
      </c>
      <c r="AJ338" s="39" t="str">
        <f>IFERROR(bütünleme!AU35*100/bütünleme!$I35,"")</f>
        <v/>
      </c>
      <c r="AK338" s="39" t="str">
        <f>IFERROR(bütünleme!AV35*100/bütünleme!$I35,"")</f>
        <v/>
      </c>
      <c r="AL338" s="39" t="str">
        <f>IFERROR(bütünleme!AW35*100/bütünleme!$I35,"")</f>
        <v/>
      </c>
      <c r="AM338" s="39" t="str">
        <f>IFERROR(bütünleme!AX35*100/bütünleme!$I35,"")</f>
        <v/>
      </c>
      <c r="AN338" s="39" t="str">
        <f>IFERROR(bütünleme!AY35*100/bütünleme!$I35,"")</f>
        <v/>
      </c>
      <c r="AO338" s="39" t="str">
        <f>IFERROR(bütünleme!AZ35*100/bütünleme!$I35,"")</f>
        <v/>
      </c>
      <c r="AP338" s="39" t="str">
        <f>IFERROR(bütünleme!BA35*100/bütünleme!$I35,"")</f>
        <v/>
      </c>
      <c r="AQ338" s="39" t="str">
        <f>IFERROR(bütünleme!BB35*100/bütünleme!$I35,"")</f>
        <v/>
      </c>
      <c r="AR338" s="39" t="str">
        <f>IFERROR(bütünleme!BC35*100/bütünleme!$I35,"")</f>
        <v/>
      </c>
      <c r="AS338" s="39" t="str">
        <f>IFERROR(bütünleme!BD35*100/bütünleme!$I35,"")</f>
        <v/>
      </c>
      <c r="AT338" s="39" t="str">
        <f>IFERROR(bütünleme!BE35*100/bütünleme!$I35,"")</f>
        <v/>
      </c>
      <c r="AU338" s="39" t="str">
        <f>IFERROR(bütünleme!BF35*100/bütünleme!$I35,"")</f>
        <v/>
      </c>
      <c r="AV338" s="39" t="str">
        <f>IFERROR(bütünleme!BG35*100/bütünleme!$I35,"")</f>
        <v/>
      </c>
      <c r="AW338" s="39" t="str">
        <f>IFERROR(bütünleme!BH35*100/bütünleme!$I35,"")</f>
        <v/>
      </c>
      <c r="AX338" s="39" t="str">
        <f>IFERROR(bütünleme!BI35*100/bütünleme!$I35,"")</f>
        <v/>
      </c>
      <c r="AY338" s="39" t="str">
        <f>IFERROR(bütünleme!BJ35*100/bütünleme!$I35,"")</f>
        <v/>
      </c>
      <c r="AZ338" s="39" t="str">
        <f>IFERROR(bütünleme!BK35*100/bütünleme!$I35,"")</f>
        <v/>
      </c>
      <c r="BA338" s="39" t="str">
        <f>IFERROR(bütünleme!BL35*100/bütünleme!$I35,"")</f>
        <v/>
      </c>
      <c r="BB338" s="39" t="str">
        <f>IFERROR(bütünleme!BM35*100/bütünleme!$I35,"")</f>
        <v/>
      </c>
      <c r="BC338" s="39" t="str">
        <f>IFERROR(bütünleme!BN35*100/bütünleme!$I35,"")</f>
        <v/>
      </c>
      <c r="BD338" s="39" t="str">
        <f>IFERROR(bütünleme!BO35*100/bütünleme!$I35,"")</f>
        <v/>
      </c>
      <c r="BE338" s="39" t="str">
        <f>IFERROR(bütünleme!BP35*100/bütünleme!$I35,"")</f>
        <v/>
      </c>
      <c r="BF338" s="39" t="str">
        <f>IFERROR(bütünleme!BQ35*100/bütünleme!$I35,"")</f>
        <v/>
      </c>
      <c r="BG338" s="39" t="str">
        <f>IFERROR(bütünleme!BR35*100/bütünleme!$I35,"")</f>
        <v/>
      </c>
      <c r="BH338" s="39" t="str">
        <f>IFERROR(bütünleme!BS35*100/bütünleme!$I35,"")</f>
        <v/>
      </c>
      <c r="BI338" s="39" t="str">
        <f>IFERROR(bütünleme!BT35*100/bütünleme!$I35,"")</f>
        <v/>
      </c>
      <c r="BJ338" s="39" t="str">
        <f>IFERROR(bütünleme!BU35*100/bütünleme!$I35,"")</f>
        <v/>
      </c>
      <c r="BK338" s="39" t="str">
        <f>IFERROR(bütünleme!BV35*100/bütünleme!$I35,"")</f>
        <v/>
      </c>
      <c r="BL338" s="39" t="str">
        <f>IFERROR(bütünleme!BW35*100/bütünleme!$I35,"")</f>
        <v/>
      </c>
      <c r="BM338" s="39" t="str">
        <f>IFERROR(bütünleme!BX35*100/bütünleme!$I35,"")</f>
        <v/>
      </c>
      <c r="BN338" s="39" t="str">
        <f>IFERROR(bütünleme!BY35*100/bütünleme!$I35,"")</f>
        <v/>
      </c>
      <c r="BO338" s="39" t="str">
        <f>IFERROR(bütünleme!BZ35*100/bütünleme!$I35,"")</f>
        <v/>
      </c>
      <c r="BP338" s="39" t="str">
        <f>IFERROR(bütünleme!CA35*100/bütünleme!$I35,"")</f>
        <v/>
      </c>
      <c r="BQ338" s="39" t="str">
        <f>IFERROR(bütünleme!CB35*100/bütünleme!$I35,"")</f>
        <v/>
      </c>
      <c r="BR338" s="39" t="str">
        <f>IFERROR(bütünleme!CC35*100/bütünleme!$I35,"")</f>
        <v/>
      </c>
      <c r="BS338" s="39" t="str">
        <f>IFERROR(bütünleme!CD35*100/bütünleme!$I35,"")</f>
        <v/>
      </c>
      <c r="BT338" s="39" t="str">
        <f>IFERROR(bütünleme!CE35*100/bütünleme!$I35,"")</f>
        <v/>
      </c>
      <c r="BU338" s="39" t="str">
        <f>IFERROR(bütünleme!CF35*100/bütünleme!$I35,"")</f>
        <v/>
      </c>
      <c r="BV338" s="39" t="str">
        <f>IFERROR(bütünleme!CG35*100/bütünleme!$I35,"")</f>
        <v/>
      </c>
      <c r="BW338" s="39" t="str">
        <f>IFERROR(bütünleme!CH35*100/bütünleme!$I35,"")</f>
        <v/>
      </c>
      <c r="BX338" s="39" t="str">
        <f>IFERROR(bütünleme!CI35*100/bütünleme!$I35,"")</f>
        <v/>
      </c>
      <c r="BY338" s="39" t="str">
        <f>IFERROR(bütünleme!CJ35*100/bütünleme!$I35,"")</f>
        <v/>
      </c>
      <c r="BZ338" s="39" t="str">
        <f>IFERROR(bütünleme!CK35*100/bütünleme!$I35,"")</f>
        <v/>
      </c>
      <c r="CA338" s="39" t="str">
        <f>IFERROR(bütünleme!CL35*100/bütünleme!$I35,"")</f>
        <v/>
      </c>
      <c r="CB338" s="39" t="str">
        <f>IFERROR(bütünleme!CM35*100/bütünleme!$I35,"")</f>
        <v/>
      </c>
      <c r="CC338" s="39" t="str">
        <f>IFERROR(bütünleme!CN35*100/bütünleme!$I35,"")</f>
        <v/>
      </c>
      <c r="CD338" s="39" t="str">
        <f>IFERROR(bütünleme!CO35*100/bütünleme!$I35,"")</f>
        <v/>
      </c>
      <c r="CE338" s="39" t="str">
        <f>IFERROR(bütünleme!CP35*100/bütünleme!$I35,"")</f>
        <v/>
      </c>
      <c r="CF338" s="39" t="str">
        <f>IFERROR(bütünleme!CQ35*100/bütünleme!$I35,"")</f>
        <v/>
      </c>
      <c r="CG338" s="39" t="str">
        <f>IFERROR(bütünleme!CR35*100/bütünleme!$I35,"")</f>
        <v/>
      </c>
      <c r="CH338" s="39" t="str">
        <f>IFERROR(bütünleme!CS35*100/bütünleme!$I35,"")</f>
        <v/>
      </c>
      <c r="CI338" s="39" t="str">
        <f>IFERROR(bütünleme!CT35*100/bütünleme!$I35,"")</f>
        <v/>
      </c>
      <c r="CJ338" s="39" t="str">
        <f>IFERROR(bütünleme!CU35*100/bütünleme!$I35,"")</f>
        <v/>
      </c>
      <c r="CK338" s="39" t="str">
        <f>IFERROR(bütünleme!CV35*100/bütünleme!$I35,"")</f>
        <v/>
      </c>
      <c r="CL338" s="39" t="str">
        <f>IFERROR(bütünleme!CW35*100/bütünleme!$I35,"")</f>
        <v/>
      </c>
      <c r="CM338" s="39" t="str">
        <f>IFERROR(bütünleme!CX35*100/bütünleme!$I35,"")</f>
        <v/>
      </c>
      <c r="CN338" s="39" t="str">
        <f>IFERROR(bütünleme!CY35*100/bütünleme!$I35,"")</f>
        <v/>
      </c>
      <c r="CO338" s="39" t="str">
        <f>IFERROR(bütünleme!CZ35*100/bütünleme!$I35,"")</f>
        <v/>
      </c>
      <c r="CP338" s="39" t="str">
        <f>IFERROR(bütünleme!DA35*100/bütünleme!$I35,"")</f>
        <v/>
      </c>
      <c r="CQ338" s="39" t="str">
        <f>IFERROR(bütünleme!DB35*100/bütünleme!$I35,"")</f>
        <v/>
      </c>
      <c r="CR338" s="39" t="str">
        <f>IFERROR(bütünleme!DC35*100/bütünleme!$I35,"")</f>
        <v/>
      </c>
      <c r="CS338" s="39" t="str">
        <f>IFERROR(bütünleme!DD35*100/bütünleme!$I35,"")</f>
        <v/>
      </c>
      <c r="CT338" s="39" t="str">
        <f>IFERROR(bütünleme!DE35*100/bütünleme!$I35,"")</f>
        <v/>
      </c>
      <c r="CU338" s="39" t="str">
        <f>IFERROR(bütünleme!DF35*100/bütünleme!$I35,"")</f>
        <v/>
      </c>
      <c r="CV338" s="39" t="str">
        <f>IFERROR(bütünleme!DG35*100/bütünleme!$I35,"")</f>
        <v/>
      </c>
      <c r="CW338" s="36" t="str">
        <f>IFERROR(SUM(A338:CV338)/bütünleme!$DH$103,"")</f>
        <v/>
      </c>
      <c r="CX338" s="14" t="str">
        <f>IF(COUNTA(bütünleme!A35),bütünleme!A35,"")</f>
        <v/>
      </c>
      <c r="CY338" s="14" t="str">
        <f>IF(COUNTA(bütünleme!B35),bütünleme!B35,"")</f>
        <v/>
      </c>
      <c r="CZ338" s="14" t="str">
        <f>IF(COUNTA(bütünleme!C35),bütünleme!C35,"")</f>
        <v/>
      </c>
      <c r="DA338" s="14" t="str">
        <f>IF(COUNTA(bütünleme!D35),bütünleme!D35,"")</f>
        <v/>
      </c>
      <c r="DB338" s="14" t="str">
        <f>IF(COUNTA(bütünleme!E35),bütünleme!E35,"")</f>
        <v/>
      </c>
      <c r="DC338" s="14" t="str">
        <f>IF(COUNTA(bütünleme!F35),bütünleme!F35,"")</f>
        <v/>
      </c>
      <c r="DD338" s="14" t="str">
        <f>IF(COUNTA(bütünleme!G35),bütünleme!G35,"")</f>
        <v/>
      </c>
      <c r="DE338" s="14" t="str">
        <f>IF(COUNTA(bütünleme!H35),bütünleme!H35,"")</f>
        <v/>
      </c>
    </row>
    <row r="339" spans="1:109" x14ac:dyDescent="0.2">
      <c r="A339" s="39" t="str">
        <f>IFERROR(bütünleme!L36*100/bütünleme!$I36,"")</f>
        <v/>
      </c>
      <c r="B339" s="39" t="str">
        <f>IFERROR(bütünleme!M36*100/bütünleme!$I36,"")</f>
        <v/>
      </c>
      <c r="C339" s="39" t="str">
        <f>IFERROR(bütünleme!N36*100/bütünleme!$I36,"")</f>
        <v/>
      </c>
      <c r="D339" s="39" t="str">
        <f>IFERROR(bütünleme!O36*100/bütünleme!$I36,"")</f>
        <v/>
      </c>
      <c r="E339" s="39" t="str">
        <f>IFERROR(bütünleme!P36*100/bütünleme!$I36,"")</f>
        <v/>
      </c>
      <c r="F339" s="39" t="str">
        <f>IFERROR(bütünleme!Q36*100/bütünleme!$I36,"")</f>
        <v/>
      </c>
      <c r="G339" s="39" t="str">
        <f>IFERROR(bütünleme!R36*100/bütünleme!$I36,"")</f>
        <v/>
      </c>
      <c r="H339" s="39" t="str">
        <f>IFERROR(bütünleme!S36*100/bütünleme!$I36,"")</f>
        <v/>
      </c>
      <c r="I339" s="39" t="str">
        <f>IFERROR(bütünleme!T36*100/bütünleme!$I36,"")</f>
        <v/>
      </c>
      <c r="J339" s="39" t="str">
        <f>IFERROR(bütünleme!U36*100/bütünleme!$I36,"")</f>
        <v/>
      </c>
      <c r="K339" s="39" t="str">
        <f>IFERROR(bütünleme!V36*100/bütünleme!$I36,"")</f>
        <v/>
      </c>
      <c r="L339" s="39" t="str">
        <f>IFERROR(bütünleme!W36*100/bütünleme!$I36,"")</f>
        <v/>
      </c>
      <c r="M339" s="39" t="str">
        <f>IFERROR(bütünleme!X36*100/bütünleme!$I36,"")</f>
        <v/>
      </c>
      <c r="N339" s="39" t="str">
        <f>IFERROR(bütünleme!Y36*100/bütünleme!$I36,"")</f>
        <v/>
      </c>
      <c r="O339" s="39" t="str">
        <f>IFERROR(bütünleme!Z36*100/bütünleme!$I36,"")</f>
        <v/>
      </c>
      <c r="P339" s="39" t="str">
        <f>IFERROR(bütünleme!AA36*100/bütünleme!$I36,"")</f>
        <v/>
      </c>
      <c r="Q339" s="39" t="str">
        <f>IFERROR(bütünleme!AB36*100/bütünleme!$I36,"")</f>
        <v/>
      </c>
      <c r="R339" s="39" t="str">
        <f>IFERROR(bütünleme!AC36*100/bütünleme!$I36,"")</f>
        <v/>
      </c>
      <c r="S339" s="39" t="str">
        <f>IFERROR(bütünleme!AD36*100/bütünleme!$I36,"")</f>
        <v/>
      </c>
      <c r="T339" s="39" t="str">
        <f>IFERROR(bütünleme!AE36*100/bütünleme!$I36,"")</f>
        <v/>
      </c>
      <c r="U339" s="39" t="str">
        <f>IFERROR(bütünleme!AF36*100/bütünleme!$I36,"")</f>
        <v/>
      </c>
      <c r="V339" s="39" t="str">
        <f>IFERROR(bütünleme!AG36*100/bütünleme!$I36,"")</f>
        <v/>
      </c>
      <c r="W339" s="39" t="str">
        <f>IFERROR(bütünleme!AH36*100/bütünleme!$I36,"")</f>
        <v/>
      </c>
      <c r="X339" s="39" t="str">
        <f>IFERROR(bütünleme!AI36*100/bütünleme!$I36,"")</f>
        <v/>
      </c>
      <c r="Y339" s="39" t="str">
        <f>IFERROR(bütünleme!AJ36*100/bütünleme!$I36,"")</f>
        <v/>
      </c>
      <c r="Z339" s="39" t="str">
        <f>IFERROR(bütünleme!AK36*100/bütünleme!$I36,"")</f>
        <v/>
      </c>
      <c r="AA339" s="39" t="str">
        <f>IFERROR(bütünleme!AL36*100/bütünleme!$I36,"")</f>
        <v/>
      </c>
      <c r="AB339" s="39" t="str">
        <f>IFERROR(bütünleme!AM36*100/bütünleme!$I36,"")</f>
        <v/>
      </c>
      <c r="AC339" s="39" t="str">
        <f>IFERROR(bütünleme!AN36*100/bütünleme!$I36,"")</f>
        <v/>
      </c>
      <c r="AD339" s="39" t="str">
        <f>IFERROR(bütünleme!AO36*100/bütünleme!$I36,"")</f>
        <v/>
      </c>
      <c r="AE339" s="39" t="str">
        <f>IFERROR(bütünleme!AP36*100/bütünleme!$I36,"")</f>
        <v/>
      </c>
      <c r="AF339" s="39" t="str">
        <f>IFERROR(bütünleme!AQ36*100/bütünleme!$I36,"")</f>
        <v/>
      </c>
      <c r="AG339" s="39" t="str">
        <f>IFERROR(bütünleme!AR36*100/bütünleme!$I36,"")</f>
        <v/>
      </c>
      <c r="AH339" s="39" t="str">
        <f>IFERROR(bütünleme!AS36*100/bütünleme!$I36,"")</f>
        <v/>
      </c>
      <c r="AI339" s="39" t="str">
        <f>IFERROR(bütünleme!AT36*100/bütünleme!$I36,"")</f>
        <v/>
      </c>
      <c r="AJ339" s="39" t="str">
        <f>IFERROR(bütünleme!AU36*100/bütünleme!$I36,"")</f>
        <v/>
      </c>
      <c r="AK339" s="39" t="str">
        <f>IFERROR(bütünleme!AV36*100/bütünleme!$I36,"")</f>
        <v/>
      </c>
      <c r="AL339" s="39" t="str">
        <f>IFERROR(bütünleme!AW36*100/bütünleme!$I36,"")</f>
        <v/>
      </c>
      <c r="AM339" s="39" t="str">
        <f>IFERROR(bütünleme!AX36*100/bütünleme!$I36,"")</f>
        <v/>
      </c>
      <c r="AN339" s="39" t="str">
        <f>IFERROR(bütünleme!AY36*100/bütünleme!$I36,"")</f>
        <v/>
      </c>
      <c r="AO339" s="39" t="str">
        <f>IFERROR(bütünleme!AZ36*100/bütünleme!$I36,"")</f>
        <v/>
      </c>
      <c r="AP339" s="39" t="str">
        <f>IFERROR(bütünleme!BA36*100/bütünleme!$I36,"")</f>
        <v/>
      </c>
      <c r="AQ339" s="39" t="str">
        <f>IFERROR(bütünleme!BB36*100/bütünleme!$I36,"")</f>
        <v/>
      </c>
      <c r="AR339" s="39" t="str">
        <f>IFERROR(bütünleme!BC36*100/bütünleme!$I36,"")</f>
        <v/>
      </c>
      <c r="AS339" s="39" t="str">
        <f>IFERROR(bütünleme!BD36*100/bütünleme!$I36,"")</f>
        <v/>
      </c>
      <c r="AT339" s="39" t="str">
        <f>IFERROR(bütünleme!BE36*100/bütünleme!$I36,"")</f>
        <v/>
      </c>
      <c r="AU339" s="39" t="str">
        <f>IFERROR(bütünleme!BF36*100/bütünleme!$I36,"")</f>
        <v/>
      </c>
      <c r="AV339" s="39" t="str">
        <f>IFERROR(bütünleme!BG36*100/bütünleme!$I36,"")</f>
        <v/>
      </c>
      <c r="AW339" s="39" t="str">
        <f>IFERROR(bütünleme!BH36*100/bütünleme!$I36,"")</f>
        <v/>
      </c>
      <c r="AX339" s="39" t="str">
        <f>IFERROR(bütünleme!BI36*100/bütünleme!$I36,"")</f>
        <v/>
      </c>
      <c r="AY339" s="39" t="str">
        <f>IFERROR(bütünleme!BJ36*100/bütünleme!$I36,"")</f>
        <v/>
      </c>
      <c r="AZ339" s="39" t="str">
        <f>IFERROR(bütünleme!BK36*100/bütünleme!$I36,"")</f>
        <v/>
      </c>
      <c r="BA339" s="39" t="str">
        <f>IFERROR(bütünleme!BL36*100/bütünleme!$I36,"")</f>
        <v/>
      </c>
      <c r="BB339" s="39" t="str">
        <f>IFERROR(bütünleme!BM36*100/bütünleme!$I36,"")</f>
        <v/>
      </c>
      <c r="BC339" s="39" t="str">
        <f>IFERROR(bütünleme!BN36*100/bütünleme!$I36,"")</f>
        <v/>
      </c>
      <c r="BD339" s="39" t="str">
        <f>IFERROR(bütünleme!BO36*100/bütünleme!$I36,"")</f>
        <v/>
      </c>
      <c r="BE339" s="39" t="str">
        <f>IFERROR(bütünleme!BP36*100/bütünleme!$I36,"")</f>
        <v/>
      </c>
      <c r="BF339" s="39" t="str">
        <f>IFERROR(bütünleme!BQ36*100/bütünleme!$I36,"")</f>
        <v/>
      </c>
      <c r="BG339" s="39" t="str">
        <f>IFERROR(bütünleme!BR36*100/bütünleme!$I36,"")</f>
        <v/>
      </c>
      <c r="BH339" s="39" t="str">
        <f>IFERROR(bütünleme!BS36*100/bütünleme!$I36,"")</f>
        <v/>
      </c>
      <c r="BI339" s="39" t="str">
        <f>IFERROR(bütünleme!BT36*100/bütünleme!$I36,"")</f>
        <v/>
      </c>
      <c r="BJ339" s="39" t="str">
        <f>IFERROR(bütünleme!BU36*100/bütünleme!$I36,"")</f>
        <v/>
      </c>
      <c r="BK339" s="39" t="str">
        <f>IFERROR(bütünleme!BV36*100/bütünleme!$I36,"")</f>
        <v/>
      </c>
      <c r="BL339" s="39" t="str">
        <f>IFERROR(bütünleme!BW36*100/bütünleme!$I36,"")</f>
        <v/>
      </c>
      <c r="BM339" s="39" t="str">
        <f>IFERROR(bütünleme!BX36*100/bütünleme!$I36,"")</f>
        <v/>
      </c>
      <c r="BN339" s="39" t="str">
        <f>IFERROR(bütünleme!BY36*100/bütünleme!$I36,"")</f>
        <v/>
      </c>
      <c r="BO339" s="39" t="str">
        <f>IFERROR(bütünleme!BZ36*100/bütünleme!$I36,"")</f>
        <v/>
      </c>
      <c r="BP339" s="39" t="str">
        <f>IFERROR(bütünleme!CA36*100/bütünleme!$I36,"")</f>
        <v/>
      </c>
      <c r="BQ339" s="39" t="str">
        <f>IFERROR(bütünleme!CB36*100/bütünleme!$I36,"")</f>
        <v/>
      </c>
      <c r="BR339" s="39" t="str">
        <f>IFERROR(bütünleme!CC36*100/bütünleme!$I36,"")</f>
        <v/>
      </c>
      <c r="BS339" s="39" t="str">
        <f>IFERROR(bütünleme!CD36*100/bütünleme!$I36,"")</f>
        <v/>
      </c>
      <c r="BT339" s="39" t="str">
        <f>IFERROR(bütünleme!CE36*100/bütünleme!$I36,"")</f>
        <v/>
      </c>
      <c r="BU339" s="39" t="str">
        <f>IFERROR(bütünleme!CF36*100/bütünleme!$I36,"")</f>
        <v/>
      </c>
      <c r="BV339" s="39" t="str">
        <f>IFERROR(bütünleme!CG36*100/bütünleme!$I36,"")</f>
        <v/>
      </c>
      <c r="BW339" s="39" t="str">
        <f>IFERROR(bütünleme!CH36*100/bütünleme!$I36,"")</f>
        <v/>
      </c>
      <c r="BX339" s="39" t="str">
        <f>IFERROR(bütünleme!CI36*100/bütünleme!$I36,"")</f>
        <v/>
      </c>
      <c r="BY339" s="39" t="str">
        <f>IFERROR(bütünleme!CJ36*100/bütünleme!$I36,"")</f>
        <v/>
      </c>
      <c r="BZ339" s="39" t="str">
        <f>IFERROR(bütünleme!CK36*100/bütünleme!$I36,"")</f>
        <v/>
      </c>
      <c r="CA339" s="39" t="str">
        <f>IFERROR(bütünleme!CL36*100/bütünleme!$I36,"")</f>
        <v/>
      </c>
      <c r="CB339" s="39" t="str">
        <f>IFERROR(bütünleme!CM36*100/bütünleme!$I36,"")</f>
        <v/>
      </c>
      <c r="CC339" s="39" t="str">
        <f>IFERROR(bütünleme!CN36*100/bütünleme!$I36,"")</f>
        <v/>
      </c>
      <c r="CD339" s="39" t="str">
        <f>IFERROR(bütünleme!CO36*100/bütünleme!$I36,"")</f>
        <v/>
      </c>
      <c r="CE339" s="39" t="str">
        <f>IFERROR(bütünleme!CP36*100/bütünleme!$I36,"")</f>
        <v/>
      </c>
      <c r="CF339" s="39" t="str">
        <f>IFERROR(bütünleme!CQ36*100/bütünleme!$I36,"")</f>
        <v/>
      </c>
      <c r="CG339" s="39" t="str">
        <f>IFERROR(bütünleme!CR36*100/bütünleme!$I36,"")</f>
        <v/>
      </c>
      <c r="CH339" s="39" t="str">
        <f>IFERROR(bütünleme!CS36*100/bütünleme!$I36,"")</f>
        <v/>
      </c>
      <c r="CI339" s="39" t="str">
        <f>IFERROR(bütünleme!CT36*100/bütünleme!$I36,"")</f>
        <v/>
      </c>
      <c r="CJ339" s="39" t="str">
        <f>IFERROR(bütünleme!CU36*100/bütünleme!$I36,"")</f>
        <v/>
      </c>
      <c r="CK339" s="39" t="str">
        <f>IFERROR(bütünleme!CV36*100/bütünleme!$I36,"")</f>
        <v/>
      </c>
      <c r="CL339" s="39" t="str">
        <f>IFERROR(bütünleme!CW36*100/bütünleme!$I36,"")</f>
        <v/>
      </c>
      <c r="CM339" s="39" t="str">
        <f>IFERROR(bütünleme!CX36*100/bütünleme!$I36,"")</f>
        <v/>
      </c>
      <c r="CN339" s="39" t="str">
        <f>IFERROR(bütünleme!CY36*100/bütünleme!$I36,"")</f>
        <v/>
      </c>
      <c r="CO339" s="39" t="str">
        <f>IFERROR(bütünleme!CZ36*100/bütünleme!$I36,"")</f>
        <v/>
      </c>
      <c r="CP339" s="39" t="str">
        <f>IFERROR(bütünleme!DA36*100/bütünleme!$I36,"")</f>
        <v/>
      </c>
      <c r="CQ339" s="39" t="str">
        <f>IFERROR(bütünleme!DB36*100/bütünleme!$I36,"")</f>
        <v/>
      </c>
      <c r="CR339" s="39" t="str">
        <f>IFERROR(bütünleme!DC36*100/bütünleme!$I36,"")</f>
        <v/>
      </c>
      <c r="CS339" s="39" t="str">
        <f>IFERROR(bütünleme!DD36*100/bütünleme!$I36,"")</f>
        <v/>
      </c>
      <c r="CT339" s="39" t="str">
        <f>IFERROR(bütünleme!DE36*100/bütünleme!$I36,"")</f>
        <v/>
      </c>
      <c r="CU339" s="39" t="str">
        <f>IFERROR(bütünleme!DF36*100/bütünleme!$I36,"")</f>
        <v/>
      </c>
      <c r="CV339" s="39" t="str">
        <f>IFERROR(bütünleme!DG36*100/bütünleme!$I36,"")</f>
        <v/>
      </c>
      <c r="CW339" s="36" t="str">
        <f>IFERROR(SUM(A339:CV339)/bütünleme!$DH$103,"")</f>
        <v/>
      </c>
      <c r="CX339" s="14" t="str">
        <f>IF(COUNTA(bütünleme!A36),bütünleme!A36,"")</f>
        <v/>
      </c>
      <c r="CY339" s="14" t="str">
        <f>IF(COUNTA(bütünleme!B36),bütünleme!B36,"")</f>
        <v/>
      </c>
      <c r="CZ339" s="14" t="str">
        <f>IF(COUNTA(bütünleme!C36),bütünleme!C36,"")</f>
        <v/>
      </c>
      <c r="DA339" s="14" t="str">
        <f>IF(COUNTA(bütünleme!D36),bütünleme!D36,"")</f>
        <v/>
      </c>
      <c r="DB339" s="14" t="str">
        <f>IF(COUNTA(bütünleme!E36),bütünleme!E36,"")</f>
        <v/>
      </c>
      <c r="DC339" s="14" t="str">
        <f>IF(COUNTA(bütünleme!F36),bütünleme!F36,"")</f>
        <v/>
      </c>
      <c r="DD339" s="14" t="str">
        <f>IF(COUNTA(bütünleme!G36),bütünleme!G36,"")</f>
        <v/>
      </c>
      <c r="DE339" s="14" t="str">
        <f>IF(COUNTA(bütünleme!H36),bütünleme!H36,"")</f>
        <v/>
      </c>
    </row>
    <row r="340" spans="1:109" x14ac:dyDescent="0.2">
      <c r="A340" s="39" t="str">
        <f>IFERROR(bütünleme!L37*100/bütünleme!$I37,"")</f>
        <v/>
      </c>
      <c r="B340" s="39" t="str">
        <f>IFERROR(bütünleme!M37*100/bütünleme!$I37,"")</f>
        <v/>
      </c>
      <c r="C340" s="39" t="str">
        <f>IFERROR(bütünleme!N37*100/bütünleme!$I37,"")</f>
        <v/>
      </c>
      <c r="D340" s="39" t="str">
        <f>IFERROR(bütünleme!O37*100/bütünleme!$I37,"")</f>
        <v/>
      </c>
      <c r="E340" s="39" t="str">
        <f>IFERROR(bütünleme!P37*100/bütünleme!$I37,"")</f>
        <v/>
      </c>
      <c r="F340" s="39" t="str">
        <f>IFERROR(bütünleme!Q37*100/bütünleme!$I37,"")</f>
        <v/>
      </c>
      <c r="G340" s="39" t="str">
        <f>IFERROR(bütünleme!R37*100/bütünleme!$I37,"")</f>
        <v/>
      </c>
      <c r="H340" s="39" t="str">
        <f>IFERROR(bütünleme!S37*100/bütünleme!$I37,"")</f>
        <v/>
      </c>
      <c r="I340" s="39" t="str">
        <f>IFERROR(bütünleme!T37*100/bütünleme!$I37,"")</f>
        <v/>
      </c>
      <c r="J340" s="39" t="str">
        <f>IFERROR(bütünleme!U37*100/bütünleme!$I37,"")</f>
        <v/>
      </c>
      <c r="K340" s="39" t="str">
        <f>IFERROR(bütünleme!V37*100/bütünleme!$I37,"")</f>
        <v/>
      </c>
      <c r="L340" s="39" t="str">
        <f>IFERROR(bütünleme!W37*100/bütünleme!$I37,"")</f>
        <v/>
      </c>
      <c r="M340" s="39" t="str">
        <f>IFERROR(bütünleme!X37*100/bütünleme!$I37,"")</f>
        <v/>
      </c>
      <c r="N340" s="39" t="str">
        <f>IFERROR(bütünleme!Y37*100/bütünleme!$I37,"")</f>
        <v/>
      </c>
      <c r="O340" s="39" t="str">
        <f>IFERROR(bütünleme!Z37*100/bütünleme!$I37,"")</f>
        <v/>
      </c>
      <c r="P340" s="39" t="str">
        <f>IFERROR(bütünleme!AA37*100/bütünleme!$I37,"")</f>
        <v/>
      </c>
      <c r="Q340" s="39" t="str">
        <f>IFERROR(bütünleme!AB37*100/bütünleme!$I37,"")</f>
        <v/>
      </c>
      <c r="R340" s="39" t="str">
        <f>IFERROR(bütünleme!AC37*100/bütünleme!$I37,"")</f>
        <v/>
      </c>
      <c r="S340" s="39" t="str">
        <f>IFERROR(bütünleme!AD37*100/bütünleme!$I37,"")</f>
        <v/>
      </c>
      <c r="T340" s="39" t="str">
        <f>IFERROR(bütünleme!AE37*100/bütünleme!$I37,"")</f>
        <v/>
      </c>
      <c r="U340" s="39" t="str">
        <f>IFERROR(bütünleme!AF37*100/bütünleme!$I37,"")</f>
        <v/>
      </c>
      <c r="V340" s="39" t="str">
        <f>IFERROR(bütünleme!AG37*100/bütünleme!$I37,"")</f>
        <v/>
      </c>
      <c r="W340" s="39" t="str">
        <f>IFERROR(bütünleme!AH37*100/bütünleme!$I37,"")</f>
        <v/>
      </c>
      <c r="X340" s="39" t="str">
        <f>IFERROR(bütünleme!AI37*100/bütünleme!$I37,"")</f>
        <v/>
      </c>
      <c r="Y340" s="39" t="str">
        <f>IFERROR(bütünleme!AJ37*100/bütünleme!$I37,"")</f>
        <v/>
      </c>
      <c r="Z340" s="39" t="str">
        <f>IFERROR(bütünleme!AK37*100/bütünleme!$I37,"")</f>
        <v/>
      </c>
      <c r="AA340" s="39" t="str">
        <f>IFERROR(bütünleme!AL37*100/bütünleme!$I37,"")</f>
        <v/>
      </c>
      <c r="AB340" s="39" t="str">
        <f>IFERROR(bütünleme!AM37*100/bütünleme!$I37,"")</f>
        <v/>
      </c>
      <c r="AC340" s="39" t="str">
        <f>IFERROR(bütünleme!AN37*100/bütünleme!$I37,"")</f>
        <v/>
      </c>
      <c r="AD340" s="39" t="str">
        <f>IFERROR(bütünleme!AO37*100/bütünleme!$I37,"")</f>
        <v/>
      </c>
      <c r="AE340" s="39" t="str">
        <f>IFERROR(bütünleme!AP37*100/bütünleme!$I37,"")</f>
        <v/>
      </c>
      <c r="AF340" s="39" t="str">
        <f>IFERROR(bütünleme!AQ37*100/bütünleme!$I37,"")</f>
        <v/>
      </c>
      <c r="AG340" s="39" t="str">
        <f>IFERROR(bütünleme!AR37*100/bütünleme!$I37,"")</f>
        <v/>
      </c>
      <c r="AH340" s="39" t="str">
        <f>IFERROR(bütünleme!AS37*100/bütünleme!$I37,"")</f>
        <v/>
      </c>
      <c r="AI340" s="39" t="str">
        <f>IFERROR(bütünleme!AT37*100/bütünleme!$I37,"")</f>
        <v/>
      </c>
      <c r="AJ340" s="39" t="str">
        <f>IFERROR(bütünleme!AU37*100/bütünleme!$I37,"")</f>
        <v/>
      </c>
      <c r="AK340" s="39" t="str">
        <f>IFERROR(bütünleme!AV37*100/bütünleme!$I37,"")</f>
        <v/>
      </c>
      <c r="AL340" s="39" t="str">
        <f>IFERROR(bütünleme!AW37*100/bütünleme!$I37,"")</f>
        <v/>
      </c>
      <c r="AM340" s="39" t="str">
        <f>IFERROR(bütünleme!AX37*100/bütünleme!$I37,"")</f>
        <v/>
      </c>
      <c r="AN340" s="39" t="str">
        <f>IFERROR(bütünleme!AY37*100/bütünleme!$I37,"")</f>
        <v/>
      </c>
      <c r="AO340" s="39" t="str">
        <f>IFERROR(bütünleme!AZ37*100/bütünleme!$I37,"")</f>
        <v/>
      </c>
      <c r="AP340" s="39" t="str">
        <f>IFERROR(bütünleme!BA37*100/bütünleme!$I37,"")</f>
        <v/>
      </c>
      <c r="AQ340" s="39" t="str">
        <f>IFERROR(bütünleme!BB37*100/bütünleme!$I37,"")</f>
        <v/>
      </c>
      <c r="AR340" s="39" t="str">
        <f>IFERROR(bütünleme!BC37*100/bütünleme!$I37,"")</f>
        <v/>
      </c>
      <c r="AS340" s="39" t="str">
        <f>IFERROR(bütünleme!BD37*100/bütünleme!$I37,"")</f>
        <v/>
      </c>
      <c r="AT340" s="39" t="str">
        <f>IFERROR(bütünleme!BE37*100/bütünleme!$I37,"")</f>
        <v/>
      </c>
      <c r="AU340" s="39" t="str">
        <f>IFERROR(bütünleme!BF37*100/bütünleme!$I37,"")</f>
        <v/>
      </c>
      <c r="AV340" s="39" t="str">
        <f>IFERROR(bütünleme!BG37*100/bütünleme!$I37,"")</f>
        <v/>
      </c>
      <c r="AW340" s="39" t="str">
        <f>IFERROR(bütünleme!BH37*100/bütünleme!$I37,"")</f>
        <v/>
      </c>
      <c r="AX340" s="39" t="str">
        <f>IFERROR(bütünleme!BI37*100/bütünleme!$I37,"")</f>
        <v/>
      </c>
      <c r="AY340" s="39" t="str">
        <f>IFERROR(bütünleme!BJ37*100/bütünleme!$I37,"")</f>
        <v/>
      </c>
      <c r="AZ340" s="39" t="str">
        <f>IFERROR(bütünleme!BK37*100/bütünleme!$I37,"")</f>
        <v/>
      </c>
      <c r="BA340" s="39" t="str">
        <f>IFERROR(bütünleme!BL37*100/bütünleme!$I37,"")</f>
        <v/>
      </c>
      <c r="BB340" s="39" t="str">
        <f>IFERROR(bütünleme!BM37*100/bütünleme!$I37,"")</f>
        <v/>
      </c>
      <c r="BC340" s="39" t="str">
        <f>IFERROR(bütünleme!BN37*100/bütünleme!$I37,"")</f>
        <v/>
      </c>
      <c r="BD340" s="39" t="str">
        <f>IFERROR(bütünleme!BO37*100/bütünleme!$I37,"")</f>
        <v/>
      </c>
      <c r="BE340" s="39" t="str">
        <f>IFERROR(bütünleme!BP37*100/bütünleme!$I37,"")</f>
        <v/>
      </c>
      <c r="BF340" s="39" t="str">
        <f>IFERROR(bütünleme!BQ37*100/bütünleme!$I37,"")</f>
        <v/>
      </c>
      <c r="BG340" s="39" t="str">
        <f>IFERROR(bütünleme!BR37*100/bütünleme!$I37,"")</f>
        <v/>
      </c>
      <c r="BH340" s="39" t="str">
        <f>IFERROR(bütünleme!BS37*100/bütünleme!$I37,"")</f>
        <v/>
      </c>
      <c r="BI340" s="39" t="str">
        <f>IFERROR(bütünleme!BT37*100/bütünleme!$I37,"")</f>
        <v/>
      </c>
      <c r="BJ340" s="39" t="str">
        <f>IFERROR(bütünleme!BU37*100/bütünleme!$I37,"")</f>
        <v/>
      </c>
      <c r="BK340" s="39" t="str">
        <f>IFERROR(bütünleme!BV37*100/bütünleme!$I37,"")</f>
        <v/>
      </c>
      <c r="BL340" s="39" t="str">
        <f>IFERROR(bütünleme!BW37*100/bütünleme!$I37,"")</f>
        <v/>
      </c>
      <c r="BM340" s="39" t="str">
        <f>IFERROR(bütünleme!BX37*100/bütünleme!$I37,"")</f>
        <v/>
      </c>
      <c r="BN340" s="39" t="str">
        <f>IFERROR(bütünleme!BY37*100/bütünleme!$I37,"")</f>
        <v/>
      </c>
      <c r="BO340" s="39" t="str">
        <f>IFERROR(bütünleme!BZ37*100/bütünleme!$I37,"")</f>
        <v/>
      </c>
      <c r="BP340" s="39" t="str">
        <f>IFERROR(bütünleme!CA37*100/bütünleme!$I37,"")</f>
        <v/>
      </c>
      <c r="BQ340" s="39" t="str">
        <f>IFERROR(bütünleme!CB37*100/bütünleme!$I37,"")</f>
        <v/>
      </c>
      <c r="BR340" s="39" t="str">
        <f>IFERROR(bütünleme!CC37*100/bütünleme!$I37,"")</f>
        <v/>
      </c>
      <c r="BS340" s="39" t="str">
        <f>IFERROR(bütünleme!CD37*100/bütünleme!$I37,"")</f>
        <v/>
      </c>
      <c r="BT340" s="39" t="str">
        <f>IFERROR(bütünleme!CE37*100/bütünleme!$I37,"")</f>
        <v/>
      </c>
      <c r="BU340" s="39" t="str">
        <f>IFERROR(bütünleme!CF37*100/bütünleme!$I37,"")</f>
        <v/>
      </c>
      <c r="BV340" s="39" t="str">
        <f>IFERROR(bütünleme!CG37*100/bütünleme!$I37,"")</f>
        <v/>
      </c>
      <c r="BW340" s="39" t="str">
        <f>IFERROR(bütünleme!CH37*100/bütünleme!$I37,"")</f>
        <v/>
      </c>
      <c r="BX340" s="39" t="str">
        <f>IFERROR(bütünleme!CI37*100/bütünleme!$I37,"")</f>
        <v/>
      </c>
      <c r="BY340" s="39" t="str">
        <f>IFERROR(bütünleme!CJ37*100/bütünleme!$I37,"")</f>
        <v/>
      </c>
      <c r="BZ340" s="39" t="str">
        <f>IFERROR(bütünleme!CK37*100/bütünleme!$I37,"")</f>
        <v/>
      </c>
      <c r="CA340" s="39" t="str">
        <f>IFERROR(bütünleme!CL37*100/bütünleme!$I37,"")</f>
        <v/>
      </c>
      <c r="CB340" s="39" t="str">
        <f>IFERROR(bütünleme!CM37*100/bütünleme!$I37,"")</f>
        <v/>
      </c>
      <c r="CC340" s="39" t="str">
        <f>IFERROR(bütünleme!CN37*100/bütünleme!$I37,"")</f>
        <v/>
      </c>
      <c r="CD340" s="39" t="str">
        <f>IFERROR(bütünleme!CO37*100/bütünleme!$I37,"")</f>
        <v/>
      </c>
      <c r="CE340" s="39" t="str">
        <f>IFERROR(bütünleme!CP37*100/bütünleme!$I37,"")</f>
        <v/>
      </c>
      <c r="CF340" s="39" t="str">
        <f>IFERROR(bütünleme!CQ37*100/bütünleme!$I37,"")</f>
        <v/>
      </c>
      <c r="CG340" s="39" t="str">
        <f>IFERROR(bütünleme!CR37*100/bütünleme!$I37,"")</f>
        <v/>
      </c>
      <c r="CH340" s="39" t="str">
        <f>IFERROR(bütünleme!CS37*100/bütünleme!$I37,"")</f>
        <v/>
      </c>
      <c r="CI340" s="39" t="str">
        <f>IFERROR(bütünleme!CT37*100/bütünleme!$I37,"")</f>
        <v/>
      </c>
      <c r="CJ340" s="39" t="str">
        <f>IFERROR(bütünleme!CU37*100/bütünleme!$I37,"")</f>
        <v/>
      </c>
      <c r="CK340" s="39" t="str">
        <f>IFERROR(bütünleme!CV37*100/bütünleme!$I37,"")</f>
        <v/>
      </c>
      <c r="CL340" s="39" t="str">
        <f>IFERROR(bütünleme!CW37*100/bütünleme!$I37,"")</f>
        <v/>
      </c>
      <c r="CM340" s="39" t="str">
        <f>IFERROR(bütünleme!CX37*100/bütünleme!$I37,"")</f>
        <v/>
      </c>
      <c r="CN340" s="39" t="str">
        <f>IFERROR(bütünleme!CY37*100/bütünleme!$I37,"")</f>
        <v/>
      </c>
      <c r="CO340" s="39" t="str">
        <f>IFERROR(bütünleme!CZ37*100/bütünleme!$I37,"")</f>
        <v/>
      </c>
      <c r="CP340" s="39" t="str">
        <f>IFERROR(bütünleme!DA37*100/bütünleme!$I37,"")</f>
        <v/>
      </c>
      <c r="CQ340" s="39" t="str">
        <f>IFERROR(bütünleme!DB37*100/bütünleme!$I37,"")</f>
        <v/>
      </c>
      <c r="CR340" s="39" t="str">
        <f>IFERROR(bütünleme!DC37*100/bütünleme!$I37,"")</f>
        <v/>
      </c>
      <c r="CS340" s="39" t="str">
        <f>IFERROR(bütünleme!DD37*100/bütünleme!$I37,"")</f>
        <v/>
      </c>
      <c r="CT340" s="39" t="str">
        <f>IFERROR(bütünleme!DE37*100/bütünleme!$I37,"")</f>
        <v/>
      </c>
      <c r="CU340" s="39" t="str">
        <f>IFERROR(bütünleme!DF37*100/bütünleme!$I37,"")</f>
        <v/>
      </c>
      <c r="CV340" s="39" t="str">
        <f>IFERROR(bütünleme!DG37*100/bütünleme!$I37,"")</f>
        <v/>
      </c>
      <c r="CW340" s="36" t="str">
        <f>IFERROR(SUM(A340:CV340)/bütünleme!$DH$103,"")</f>
        <v/>
      </c>
      <c r="CX340" s="14" t="str">
        <f>IF(COUNTA(bütünleme!A37),bütünleme!A37,"")</f>
        <v/>
      </c>
      <c r="CY340" s="14" t="str">
        <f>IF(COUNTA(bütünleme!B37),bütünleme!B37,"")</f>
        <v/>
      </c>
      <c r="CZ340" s="14" t="str">
        <f>IF(COUNTA(bütünleme!C37),bütünleme!C37,"")</f>
        <v/>
      </c>
      <c r="DA340" s="14" t="str">
        <f>IF(COUNTA(bütünleme!D37),bütünleme!D37,"")</f>
        <v/>
      </c>
      <c r="DB340" s="14" t="str">
        <f>IF(COUNTA(bütünleme!E37),bütünleme!E37,"")</f>
        <v/>
      </c>
      <c r="DC340" s="14" t="str">
        <f>IF(COUNTA(bütünleme!F37),bütünleme!F37,"")</f>
        <v/>
      </c>
      <c r="DD340" s="14" t="str">
        <f>IF(COUNTA(bütünleme!G37),bütünleme!G37,"")</f>
        <v/>
      </c>
      <c r="DE340" s="14" t="str">
        <f>IF(COUNTA(bütünleme!H37),bütünleme!H37,"")</f>
        <v/>
      </c>
    </row>
    <row r="341" spans="1:109" x14ac:dyDescent="0.2">
      <c r="A341" s="39" t="str">
        <f>IFERROR(bütünleme!L38*100/bütünleme!$I38,"")</f>
        <v/>
      </c>
      <c r="B341" s="39" t="str">
        <f>IFERROR(bütünleme!M38*100/bütünleme!$I38,"")</f>
        <v/>
      </c>
      <c r="C341" s="39" t="str">
        <f>IFERROR(bütünleme!N38*100/bütünleme!$I38,"")</f>
        <v/>
      </c>
      <c r="D341" s="39" t="str">
        <f>IFERROR(bütünleme!O38*100/bütünleme!$I38,"")</f>
        <v/>
      </c>
      <c r="E341" s="39" t="str">
        <f>IFERROR(bütünleme!P38*100/bütünleme!$I38,"")</f>
        <v/>
      </c>
      <c r="F341" s="39" t="str">
        <f>IFERROR(bütünleme!Q38*100/bütünleme!$I38,"")</f>
        <v/>
      </c>
      <c r="G341" s="39" t="str">
        <f>IFERROR(bütünleme!R38*100/bütünleme!$I38,"")</f>
        <v/>
      </c>
      <c r="H341" s="39" t="str">
        <f>IFERROR(bütünleme!S38*100/bütünleme!$I38,"")</f>
        <v/>
      </c>
      <c r="I341" s="39" t="str">
        <f>IFERROR(bütünleme!T38*100/bütünleme!$I38,"")</f>
        <v/>
      </c>
      <c r="J341" s="39" t="str">
        <f>IFERROR(bütünleme!U38*100/bütünleme!$I38,"")</f>
        <v/>
      </c>
      <c r="K341" s="39" t="str">
        <f>IFERROR(bütünleme!V38*100/bütünleme!$I38,"")</f>
        <v/>
      </c>
      <c r="L341" s="39" t="str">
        <f>IFERROR(bütünleme!W38*100/bütünleme!$I38,"")</f>
        <v/>
      </c>
      <c r="M341" s="39" t="str">
        <f>IFERROR(bütünleme!X38*100/bütünleme!$I38,"")</f>
        <v/>
      </c>
      <c r="N341" s="39" t="str">
        <f>IFERROR(bütünleme!Y38*100/bütünleme!$I38,"")</f>
        <v/>
      </c>
      <c r="O341" s="39" t="str">
        <f>IFERROR(bütünleme!Z38*100/bütünleme!$I38,"")</f>
        <v/>
      </c>
      <c r="P341" s="39" t="str">
        <f>IFERROR(bütünleme!AA38*100/bütünleme!$I38,"")</f>
        <v/>
      </c>
      <c r="Q341" s="39" t="str">
        <f>IFERROR(bütünleme!AB38*100/bütünleme!$I38,"")</f>
        <v/>
      </c>
      <c r="R341" s="39" t="str">
        <f>IFERROR(bütünleme!AC38*100/bütünleme!$I38,"")</f>
        <v/>
      </c>
      <c r="S341" s="39" t="str">
        <f>IFERROR(bütünleme!AD38*100/bütünleme!$I38,"")</f>
        <v/>
      </c>
      <c r="T341" s="39" t="str">
        <f>IFERROR(bütünleme!AE38*100/bütünleme!$I38,"")</f>
        <v/>
      </c>
      <c r="U341" s="39" t="str">
        <f>IFERROR(bütünleme!AF38*100/bütünleme!$I38,"")</f>
        <v/>
      </c>
      <c r="V341" s="39" t="str">
        <f>IFERROR(bütünleme!AG38*100/bütünleme!$I38,"")</f>
        <v/>
      </c>
      <c r="W341" s="39" t="str">
        <f>IFERROR(bütünleme!AH38*100/bütünleme!$I38,"")</f>
        <v/>
      </c>
      <c r="X341" s="39" t="str">
        <f>IFERROR(bütünleme!AI38*100/bütünleme!$I38,"")</f>
        <v/>
      </c>
      <c r="Y341" s="39" t="str">
        <f>IFERROR(bütünleme!AJ38*100/bütünleme!$I38,"")</f>
        <v/>
      </c>
      <c r="Z341" s="39" t="str">
        <f>IFERROR(bütünleme!AK38*100/bütünleme!$I38,"")</f>
        <v/>
      </c>
      <c r="AA341" s="39" t="str">
        <f>IFERROR(bütünleme!AL38*100/bütünleme!$I38,"")</f>
        <v/>
      </c>
      <c r="AB341" s="39" t="str">
        <f>IFERROR(bütünleme!AM38*100/bütünleme!$I38,"")</f>
        <v/>
      </c>
      <c r="AC341" s="39" t="str">
        <f>IFERROR(bütünleme!AN38*100/bütünleme!$I38,"")</f>
        <v/>
      </c>
      <c r="AD341" s="39" t="str">
        <f>IFERROR(bütünleme!AO38*100/bütünleme!$I38,"")</f>
        <v/>
      </c>
      <c r="AE341" s="39" t="str">
        <f>IFERROR(bütünleme!AP38*100/bütünleme!$I38,"")</f>
        <v/>
      </c>
      <c r="AF341" s="39" t="str">
        <f>IFERROR(bütünleme!AQ38*100/bütünleme!$I38,"")</f>
        <v/>
      </c>
      <c r="AG341" s="39" t="str">
        <f>IFERROR(bütünleme!AR38*100/bütünleme!$I38,"")</f>
        <v/>
      </c>
      <c r="AH341" s="39" t="str">
        <f>IFERROR(bütünleme!AS38*100/bütünleme!$I38,"")</f>
        <v/>
      </c>
      <c r="AI341" s="39" t="str">
        <f>IFERROR(bütünleme!AT38*100/bütünleme!$I38,"")</f>
        <v/>
      </c>
      <c r="AJ341" s="39" t="str">
        <f>IFERROR(bütünleme!AU38*100/bütünleme!$I38,"")</f>
        <v/>
      </c>
      <c r="AK341" s="39" t="str">
        <f>IFERROR(bütünleme!AV38*100/bütünleme!$I38,"")</f>
        <v/>
      </c>
      <c r="AL341" s="39" t="str">
        <f>IFERROR(bütünleme!AW38*100/bütünleme!$I38,"")</f>
        <v/>
      </c>
      <c r="AM341" s="39" t="str">
        <f>IFERROR(bütünleme!AX38*100/bütünleme!$I38,"")</f>
        <v/>
      </c>
      <c r="AN341" s="39" t="str">
        <f>IFERROR(bütünleme!AY38*100/bütünleme!$I38,"")</f>
        <v/>
      </c>
      <c r="AO341" s="39" t="str">
        <f>IFERROR(bütünleme!AZ38*100/bütünleme!$I38,"")</f>
        <v/>
      </c>
      <c r="AP341" s="39" t="str">
        <f>IFERROR(bütünleme!BA38*100/bütünleme!$I38,"")</f>
        <v/>
      </c>
      <c r="AQ341" s="39" t="str">
        <f>IFERROR(bütünleme!BB38*100/bütünleme!$I38,"")</f>
        <v/>
      </c>
      <c r="AR341" s="39" t="str">
        <f>IFERROR(bütünleme!BC38*100/bütünleme!$I38,"")</f>
        <v/>
      </c>
      <c r="AS341" s="39" t="str">
        <f>IFERROR(bütünleme!BD38*100/bütünleme!$I38,"")</f>
        <v/>
      </c>
      <c r="AT341" s="39" t="str">
        <f>IFERROR(bütünleme!BE38*100/bütünleme!$I38,"")</f>
        <v/>
      </c>
      <c r="AU341" s="39" t="str">
        <f>IFERROR(bütünleme!BF38*100/bütünleme!$I38,"")</f>
        <v/>
      </c>
      <c r="AV341" s="39" t="str">
        <f>IFERROR(bütünleme!BG38*100/bütünleme!$I38,"")</f>
        <v/>
      </c>
      <c r="AW341" s="39" t="str">
        <f>IFERROR(bütünleme!BH38*100/bütünleme!$I38,"")</f>
        <v/>
      </c>
      <c r="AX341" s="39" t="str">
        <f>IFERROR(bütünleme!BI38*100/bütünleme!$I38,"")</f>
        <v/>
      </c>
      <c r="AY341" s="39" t="str">
        <f>IFERROR(bütünleme!BJ38*100/bütünleme!$I38,"")</f>
        <v/>
      </c>
      <c r="AZ341" s="39" t="str">
        <f>IFERROR(bütünleme!BK38*100/bütünleme!$I38,"")</f>
        <v/>
      </c>
      <c r="BA341" s="39" t="str">
        <f>IFERROR(bütünleme!BL38*100/bütünleme!$I38,"")</f>
        <v/>
      </c>
      <c r="BB341" s="39" t="str">
        <f>IFERROR(bütünleme!BM38*100/bütünleme!$I38,"")</f>
        <v/>
      </c>
      <c r="BC341" s="39" t="str">
        <f>IFERROR(bütünleme!BN38*100/bütünleme!$I38,"")</f>
        <v/>
      </c>
      <c r="BD341" s="39" t="str">
        <f>IFERROR(bütünleme!BO38*100/bütünleme!$I38,"")</f>
        <v/>
      </c>
      <c r="BE341" s="39" t="str">
        <f>IFERROR(bütünleme!BP38*100/bütünleme!$I38,"")</f>
        <v/>
      </c>
      <c r="BF341" s="39" t="str">
        <f>IFERROR(bütünleme!BQ38*100/bütünleme!$I38,"")</f>
        <v/>
      </c>
      <c r="BG341" s="39" t="str">
        <f>IFERROR(bütünleme!BR38*100/bütünleme!$I38,"")</f>
        <v/>
      </c>
      <c r="BH341" s="39" t="str">
        <f>IFERROR(bütünleme!BS38*100/bütünleme!$I38,"")</f>
        <v/>
      </c>
      <c r="BI341" s="39" t="str">
        <f>IFERROR(bütünleme!BT38*100/bütünleme!$I38,"")</f>
        <v/>
      </c>
      <c r="BJ341" s="39" t="str">
        <f>IFERROR(bütünleme!BU38*100/bütünleme!$I38,"")</f>
        <v/>
      </c>
      <c r="BK341" s="39" t="str">
        <f>IFERROR(bütünleme!BV38*100/bütünleme!$I38,"")</f>
        <v/>
      </c>
      <c r="BL341" s="39" t="str">
        <f>IFERROR(bütünleme!BW38*100/bütünleme!$I38,"")</f>
        <v/>
      </c>
      <c r="BM341" s="39" t="str">
        <f>IFERROR(bütünleme!BX38*100/bütünleme!$I38,"")</f>
        <v/>
      </c>
      <c r="BN341" s="39" t="str">
        <f>IFERROR(bütünleme!BY38*100/bütünleme!$I38,"")</f>
        <v/>
      </c>
      <c r="BO341" s="39" t="str">
        <f>IFERROR(bütünleme!BZ38*100/bütünleme!$I38,"")</f>
        <v/>
      </c>
      <c r="BP341" s="39" t="str">
        <f>IFERROR(bütünleme!CA38*100/bütünleme!$I38,"")</f>
        <v/>
      </c>
      <c r="BQ341" s="39" t="str">
        <f>IFERROR(bütünleme!CB38*100/bütünleme!$I38,"")</f>
        <v/>
      </c>
      <c r="BR341" s="39" t="str">
        <f>IFERROR(bütünleme!CC38*100/bütünleme!$I38,"")</f>
        <v/>
      </c>
      <c r="BS341" s="39" t="str">
        <f>IFERROR(bütünleme!CD38*100/bütünleme!$I38,"")</f>
        <v/>
      </c>
      <c r="BT341" s="39" t="str">
        <f>IFERROR(bütünleme!CE38*100/bütünleme!$I38,"")</f>
        <v/>
      </c>
      <c r="BU341" s="39" t="str">
        <f>IFERROR(bütünleme!CF38*100/bütünleme!$I38,"")</f>
        <v/>
      </c>
      <c r="BV341" s="39" t="str">
        <f>IFERROR(bütünleme!CG38*100/bütünleme!$I38,"")</f>
        <v/>
      </c>
      <c r="BW341" s="39" t="str">
        <f>IFERROR(bütünleme!CH38*100/bütünleme!$I38,"")</f>
        <v/>
      </c>
      <c r="BX341" s="39" t="str">
        <f>IFERROR(bütünleme!CI38*100/bütünleme!$I38,"")</f>
        <v/>
      </c>
      <c r="BY341" s="39" t="str">
        <f>IFERROR(bütünleme!CJ38*100/bütünleme!$I38,"")</f>
        <v/>
      </c>
      <c r="BZ341" s="39" t="str">
        <f>IFERROR(bütünleme!CK38*100/bütünleme!$I38,"")</f>
        <v/>
      </c>
      <c r="CA341" s="39" t="str">
        <f>IFERROR(bütünleme!CL38*100/bütünleme!$I38,"")</f>
        <v/>
      </c>
      <c r="CB341" s="39" t="str">
        <f>IFERROR(bütünleme!CM38*100/bütünleme!$I38,"")</f>
        <v/>
      </c>
      <c r="CC341" s="39" t="str">
        <f>IFERROR(bütünleme!CN38*100/bütünleme!$I38,"")</f>
        <v/>
      </c>
      <c r="CD341" s="39" t="str">
        <f>IFERROR(bütünleme!CO38*100/bütünleme!$I38,"")</f>
        <v/>
      </c>
      <c r="CE341" s="39" t="str">
        <f>IFERROR(bütünleme!CP38*100/bütünleme!$I38,"")</f>
        <v/>
      </c>
      <c r="CF341" s="39" t="str">
        <f>IFERROR(bütünleme!CQ38*100/bütünleme!$I38,"")</f>
        <v/>
      </c>
      <c r="CG341" s="39" t="str">
        <f>IFERROR(bütünleme!CR38*100/bütünleme!$I38,"")</f>
        <v/>
      </c>
      <c r="CH341" s="39" t="str">
        <f>IFERROR(bütünleme!CS38*100/bütünleme!$I38,"")</f>
        <v/>
      </c>
      <c r="CI341" s="39" t="str">
        <f>IFERROR(bütünleme!CT38*100/bütünleme!$I38,"")</f>
        <v/>
      </c>
      <c r="CJ341" s="39" t="str">
        <f>IFERROR(bütünleme!CU38*100/bütünleme!$I38,"")</f>
        <v/>
      </c>
      <c r="CK341" s="39" t="str">
        <f>IFERROR(bütünleme!CV38*100/bütünleme!$I38,"")</f>
        <v/>
      </c>
      <c r="CL341" s="39" t="str">
        <f>IFERROR(bütünleme!CW38*100/bütünleme!$I38,"")</f>
        <v/>
      </c>
      <c r="CM341" s="39" t="str">
        <f>IFERROR(bütünleme!CX38*100/bütünleme!$I38,"")</f>
        <v/>
      </c>
      <c r="CN341" s="39" t="str">
        <f>IFERROR(bütünleme!CY38*100/bütünleme!$I38,"")</f>
        <v/>
      </c>
      <c r="CO341" s="39" t="str">
        <f>IFERROR(bütünleme!CZ38*100/bütünleme!$I38,"")</f>
        <v/>
      </c>
      <c r="CP341" s="39" t="str">
        <f>IFERROR(bütünleme!DA38*100/bütünleme!$I38,"")</f>
        <v/>
      </c>
      <c r="CQ341" s="39" t="str">
        <f>IFERROR(bütünleme!DB38*100/bütünleme!$I38,"")</f>
        <v/>
      </c>
      <c r="CR341" s="39" t="str">
        <f>IFERROR(bütünleme!DC38*100/bütünleme!$I38,"")</f>
        <v/>
      </c>
      <c r="CS341" s="39" t="str">
        <f>IFERROR(bütünleme!DD38*100/bütünleme!$I38,"")</f>
        <v/>
      </c>
      <c r="CT341" s="39" t="str">
        <f>IFERROR(bütünleme!DE38*100/bütünleme!$I38,"")</f>
        <v/>
      </c>
      <c r="CU341" s="39" t="str">
        <f>IFERROR(bütünleme!DF38*100/bütünleme!$I38,"")</f>
        <v/>
      </c>
      <c r="CV341" s="39" t="str">
        <f>IFERROR(bütünleme!DG38*100/bütünleme!$I38,"")</f>
        <v/>
      </c>
      <c r="CW341" s="36" t="str">
        <f>IFERROR(SUM(A341:CV341)/bütünleme!$DH$103,"")</f>
        <v/>
      </c>
      <c r="CX341" s="14" t="str">
        <f>IF(COUNTA(bütünleme!A38),bütünleme!A38,"")</f>
        <v/>
      </c>
      <c r="CY341" s="14" t="str">
        <f>IF(COUNTA(bütünleme!B38),bütünleme!B38,"")</f>
        <v/>
      </c>
      <c r="CZ341" s="14" t="str">
        <f>IF(COUNTA(bütünleme!C38),bütünleme!C38,"")</f>
        <v/>
      </c>
      <c r="DA341" s="14" t="str">
        <f>IF(COUNTA(bütünleme!D38),bütünleme!D38,"")</f>
        <v/>
      </c>
      <c r="DB341" s="14" t="str">
        <f>IF(COUNTA(bütünleme!E38),bütünleme!E38,"")</f>
        <v/>
      </c>
      <c r="DC341" s="14" t="str">
        <f>IF(COUNTA(bütünleme!F38),bütünleme!F38,"")</f>
        <v/>
      </c>
      <c r="DD341" s="14" t="str">
        <f>IF(COUNTA(bütünleme!G38),bütünleme!G38,"")</f>
        <v/>
      </c>
      <c r="DE341" s="14" t="str">
        <f>IF(COUNTA(bütünleme!H38),bütünleme!H38,"")</f>
        <v/>
      </c>
    </row>
    <row r="342" spans="1:109" x14ac:dyDescent="0.2">
      <c r="A342" s="39" t="str">
        <f>IFERROR(bütünleme!L39*100/bütünleme!$I39,"")</f>
        <v/>
      </c>
      <c r="B342" s="39" t="str">
        <f>IFERROR(bütünleme!M39*100/bütünleme!$I39,"")</f>
        <v/>
      </c>
      <c r="C342" s="39" t="str">
        <f>IFERROR(bütünleme!N39*100/bütünleme!$I39,"")</f>
        <v/>
      </c>
      <c r="D342" s="39" t="str">
        <f>IFERROR(bütünleme!O39*100/bütünleme!$I39,"")</f>
        <v/>
      </c>
      <c r="E342" s="39" t="str">
        <f>IFERROR(bütünleme!P39*100/bütünleme!$I39,"")</f>
        <v/>
      </c>
      <c r="F342" s="39" t="str">
        <f>IFERROR(bütünleme!Q39*100/bütünleme!$I39,"")</f>
        <v/>
      </c>
      <c r="G342" s="39" t="str">
        <f>IFERROR(bütünleme!R39*100/bütünleme!$I39,"")</f>
        <v/>
      </c>
      <c r="H342" s="39" t="str">
        <f>IFERROR(bütünleme!S39*100/bütünleme!$I39,"")</f>
        <v/>
      </c>
      <c r="I342" s="39" t="str">
        <f>IFERROR(bütünleme!T39*100/bütünleme!$I39,"")</f>
        <v/>
      </c>
      <c r="J342" s="39" t="str">
        <f>IFERROR(bütünleme!U39*100/bütünleme!$I39,"")</f>
        <v/>
      </c>
      <c r="K342" s="39" t="str">
        <f>IFERROR(bütünleme!V39*100/bütünleme!$I39,"")</f>
        <v/>
      </c>
      <c r="L342" s="39" t="str">
        <f>IFERROR(bütünleme!W39*100/bütünleme!$I39,"")</f>
        <v/>
      </c>
      <c r="M342" s="39" t="str">
        <f>IFERROR(bütünleme!X39*100/bütünleme!$I39,"")</f>
        <v/>
      </c>
      <c r="N342" s="39" t="str">
        <f>IFERROR(bütünleme!Y39*100/bütünleme!$I39,"")</f>
        <v/>
      </c>
      <c r="O342" s="39" t="str">
        <f>IFERROR(bütünleme!Z39*100/bütünleme!$I39,"")</f>
        <v/>
      </c>
      <c r="P342" s="39" t="str">
        <f>IFERROR(bütünleme!AA39*100/bütünleme!$I39,"")</f>
        <v/>
      </c>
      <c r="Q342" s="39" t="str">
        <f>IFERROR(bütünleme!AB39*100/bütünleme!$I39,"")</f>
        <v/>
      </c>
      <c r="R342" s="39" t="str">
        <f>IFERROR(bütünleme!AC39*100/bütünleme!$I39,"")</f>
        <v/>
      </c>
      <c r="S342" s="39" t="str">
        <f>IFERROR(bütünleme!AD39*100/bütünleme!$I39,"")</f>
        <v/>
      </c>
      <c r="T342" s="39" t="str">
        <f>IFERROR(bütünleme!AE39*100/bütünleme!$I39,"")</f>
        <v/>
      </c>
      <c r="U342" s="39" t="str">
        <f>IFERROR(bütünleme!AF39*100/bütünleme!$I39,"")</f>
        <v/>
      </c>
      <c r="V342" s="39" t="str">
        <f>IFERROR(bütünleme!AG39*100/bütünleme!$I39,"")</f>
        <v/>
      </c>
      <c r="W342" s="39" t="str">
        <f>IFERROR(bütünleme!AH39*100/bütünleme!$I39,"")</f>
        <v/>
      </c>
      <c r="X342" s="39" t="str">
        <f>IFERROR(bütünleme!AI39*100/bütünleme!$I39,"")</f>
        <v/>
      </c>
      <c r="Y342" s="39" t="str">
        <f>IFERROR(bütünleme!AJ39*100/bütünleme!$I39,"")</f>
        <v/>
      </c>
      <c r="Z342" s="39" t="str">
        <f>IFERROR(bütünleme!AK39*100/bütünleme!$I39,"")</f>
        <v/>
      </c>
      <c r="AA342" s="39" t="str">
        <f>IFERROR(bütünleme!AL39*100/bütünleme!$I39,"")</f>
        <v/>
      </c>
      <c r="AB342" s="39" t="str">
        <f>IFERROR(bütünleme!AM39*100/bütünleme!$I39,"")</f>
        <v/>
      </c>
      <c r="AC342" s="39" t="str">
        <f>IFERROR(bütünleme!AN39*100/bütünleme!$I39,"")</f>
        <v/>
      </c>
      <c r="AD342" s="39" t="str">
        <f>IFERROR(bütünleme!AO39*100/bütünleme!$I39,"")</f>
        <v/>
      </c>
      <c r="AE342" s="39" t="str">
        <f>IFERROR(bütünleme!AP39*100/bütünleme!$I39,"")</f>
        <v/>
      </c>
      <c r="AF342" s="39" t="str">
        <f>IFERROR(bütünleme!AQ39*100/bütünleme!$I39,"")</f>
        <v/>
      </c>
      <c r="AG342" s="39" t="str">
        <f>IFERROR(bütünleme!AR39*100/bütünleme!$I39,"")</f>
        <v/>
      </c>
      <c r="AH342" s="39" t="str">
        <f>IFERROR(bütünleme!AS39*100/bütünleme!$I39,"")</f>
        <v/>
      </c>
      <c r="AI342" s="39" t="str">
        <f>IFERROR(bütünleme!AT39*100/bütünleme!$I39,"")</f>
        <v/>
      </c>
      <c r="AJ342" s="39" t="str">
        <f>IFERROR(bütünleme!AU39*100/bütünleme!$I39,"")</f>
        <v/>
      </c>
      <c r="AK342" s="39" t="str">
        <f>IFERROR(bütünleme!AV39*100/bütünleme!$I39,"")</f>
        <v/>
      </c>
      <c r="AL342" s="39" t="str">
        <f>IFERROR(bütünleme!AW39*100/bütünleme!$I39,"")</f>
        <v/>
      </c>
      <c r="AM342" s="39" t="str">
        <f>IFERROR(bütünleme!AX39*100/bütünleme!$I39,"")</f>
        <v/>
      </c>
      <c r="AN342" s="39" t="str">
        <f>IFERROR(bütünleme!AY39*100/bütünleme!$I39,"")</f>
        <v/>
      </c>
      <c r="AO342" s="39" t="str">
        <f>IFERROR(bütünleme!AZ39*100/bütünleme!$I39,"")</f>
        <v/>
      </c>
      <c r="AP342" s="39" t="str">
        <f>IFERROR(bütünleme!BA39*100/bütünleme!$I39,"")</f>
        <v/>
      </c>
      <c r="AQ342" s="39" t="str">
        <f>IFERROR(bütünleme!BB39*100/bütünleme!$I39,"")</f>
        <v/>
      </c>
      <c r="AR342" s="39" t="str">
        <f>IFERROR(bütünleme!BC39*100/bütünleme!$I39,"")</f>
        <v/>
      </c>
      <c r="AS342" s="39" t="str">
        <f>IFERROR(bütünleme!BD39*100/bütünleme!$I39,"")</f>
        <v/>
      </c>
      <c r="AT342" s="39" t="str">
        <f>IFERROR(bütünleme!BE39*100/bütünleme!$I39,"")</f>
        <v/>
      </c>
      <c r="AU342" s="39" t="str">
        <f>IFERROR(bütünleme!BF39*100/bütünleme!$I39,"")</f>
        <v/>
      </c>
      <c r="AV342" s="39" t="str">
        <f>IFERROR(bütünleme!BG39*100/bütünleme!$I39,"")</f>
        <v/>
      </c>
      <c r="AW342" s="39" t="str">
        <f>IFERROR(bütünleme!BH39*100/bütünleme!$I39,"")</f>
        <v/>
      </c>
      <c r="AX342" s="39" t="str">
        <f>IFERROR(bütünleme!BI39*100/bütünleme!$I39,"")</f>
        <v/>
      </c>
      <c r="AY342" s="39" t="str">
        <f>IFERROR(bütünleme!BJ39*100/bütünleme!$I39,"")</f>
        <v/>
      </c>
      <c r="AZ342" s="39" t="str">
        <f>IFERROR(bütünleme!BK39*100/bütünleme!$I39,"")</f>
        <v/>
      </c>
      <c r="BA342" s="39" t="str">
        <f>IFERROR(bütünleme!BL39*100/bütünleme!$I39,"")</f>
        <v/>
      </c>
      <c r="BB342" s="39" t="str">
        <f>IFERROR(bütünleme!BM39*100/bütünleme!$I39,"")</f>
        <v/>
      </c>
      <c r="BC342" s="39" t="str">
        <f>IFERROR(bütünleme!BN39*100/bütünleme!$I39,"")</f>
        <v/>
      </c>
      <c r="BD342" s="39" t="str">
        <f>IFERROR(bütünleme!BO39*100/bütünleme!$I39,"")</f>
        <v/>
      </c>
      <c r="BE342" s="39" t="str">
        <f>IFERROR(bütünleme!BP39*100/bütünleme!$I39,"")</f>
        <v/>
      </c>
      <c r="BF342" s="39" t="str">
        <f>IFERROR(bütünleme!BQ39*100/bütünleme!$I39,"")</f>
        <v/>
      </c>
      <c r="BG342" s="39" t="str">
        <f>IFERROR(bütünleme!BR39*100/bütünleme!$I39,"")</f>
        <v/>
      </c>
      <c r="BH342" s="39" t="str">
        <f>IFERROR(bütünleme!BS39*100/bütünleme!$I39,"")</f>
        <v/>
      </c>
      <c r="BI342" s="39" t="str">
        <f>IFERROR(bütünleme!BT39*100/bütünleme!$I39,"")</f>
        <v/>
      </c>
      <c r="BJ342" s="39" t="str">
        <f>IFERROR(bütünleme!BU39*100/bütünleme!$I39,"")</f>
        <v/>
      </c>
      <c r="BK342" s="39" t="str">
        <f>IFERROR(bütünleme!BV39*100/bütünleme!$I39,"")</f>
        <v/>
      </c>
      <c r="BL342" s="39" t="str">
        <f>IFERROR(bütünleme!BW39*100/bütünleme!$I39,"")</f>
        <v/>
      </c>
      <c r="BM342" s="39" t="str">
        <f>IFERROR(bütünleme!BX39*100/bütünleme!$I39,"")</f>
        <v/>
      </c>
      <c r="BN342" s="39" t="str">
        <f>IFERROR(bütünleme!BY39*100/bütünleme!$I39,"")</f>
        <v/>
      </c>
      <c r="BO342" s="39" t="str">
        <f>IFERROR(bütünleme!BZ39*100/bütünleme!$I39,"")</f>
        <v/>
      </c>
      <c r="BP342" s="39" t="str">
        <f>IFERROR(bütünleme!CA39*100/bütünleme!$I39,"")</f>
        <v/>
      </c>
      <c r="BQ342" s="39" t="str">
        <f>IFERROR(bütünleme!CB39*100/bütünleme!$I39,"")</f>
        <v/>
      </c>
      <c r="BR342" s="39" t="str">
        <f>IFERROR(bütünleme!CC39*100/bütünleme!$I39,"")</f>
        <v/>
      </c>
      <c r="BS342" s="39" t="str">
        <f>IFERROR(bütünleme!CD39*100/bütünleme!$I39,"")</f>
        <v/>
      </c>
      <c r="BT342" s="39" t="str">
        <f>IFERROR(bütünleme!CE39*100/bütünleme!$I39,"")</f>
        <v/>
      </c>
      <c r="BU342" s="39" t="str">
        <f>IFERROR(bütünleme!CF39*100/bütünleme!$I39,"")</f>
        <v/>
      </c>
      <c r="BV342" s="39" t="str">
        <f>IFERROR(bütünleme!CG39*100/bütünleme!$I39,"")</f>
        <v/>
      </c>
      <c r="BW342" s="39" t="str">
        <f>IFERROR(bütünleme!CH39*100/bütünleme!$I39,"")</f>
        <v/>
      </c>
      <c r="BX342" s="39" t="str">
        <f>IFERROR(bütünleme!CI39*100/bütünleme!$I39,"")</f>
        <v/>
      </c>
      <c r="BY342" s="39" t="str">
        <f>IFERROR(bütünleme!CJ39*100/bütünleme!$I39,"")</f>
        <v/>
      </c>
      <c r="BZ342" s="39" t="str">
        <f>IFERROR(bütünleme!CK39*100/bütünleme!$I39,"")</f>
        <v/>
      </c>
      <c r="CA342" s="39" t="str">
        <f>IFERROR(bütünleme!CL39*100/bütünleme!$I39,"")</f>
        <v/>
      </c>
      <c r="CB342" s="39" t="str">
        <f>IFERROR(bütünleme!CM39*100/bütünleme!$I39,"")</f>
        <v/>
      </c>
      <c r="CC342" s="39" t="str">
        <f>IFERROR(bütünleme!CN39*100/bütünleme!$I39,"")</f>
        <v/>
      </c>
      <c r="CD342" s="39" t="str">
        <f>IFERROR(bütünleme!CO39*100/bütünleme!$I39,"")</f>
        <v/>
      </c>
      <c r="CE342" s="39" t="str">
        <f>IFERROR(bütünleme!CP39*100/bütünleme!$I39,"")</f>
        <v/>
      </c>
      <c r="CF342" s="39" t="str">
        <f>IFERROR(bütünleme!CQ39*100/bütünleme!$I39,"")</f>
        <v/>
      </c>
      <c r="CG342" s="39" t="str">
        <f>IFERROR(bütünleme!CR39*100/bütünleme!$I39,"")</f>
        <v/>
      </c>
      <c r="CH342" s="39" t="str">
        <f>IFERROR(bütünleme!CS39*100/bütünleme!$I39,"")</f>
        <v/>
      </c>
      <c r="CI342" s="39" t="str">
        <f>IFERROR(bütünleme!CT39*100/bütünleme!$I39,"")</f>
        <v/>
      </c>
      <c r="CJ342" s="39" t="str">
        <f>IFERROR(bütünleme!CU39*100/bütünleme!$I39,"")</f>
        <v/>
      </c>
      <c r="CK342" s="39" t="str">
        <f>IFERROR(bütünleme!CV39*100/bütünleme!$I39,"")</f>
        <v/>
      </c>
      <c r="CL342" s="39" t="str">
        <f>IFERROR(bütünleme!CW39*100/bütünleme!$I39,"")</f>
        <v/>
      </c>
      <c r="CM342" s="39" t="str">
        <f>IFERROR(bütünleme!CX39*100/bütünleme!$I39,"")</f>
        <v/>
      </c>
      <c r="CN342" s="39" t="str">
        <f>IFERROR(bütünleme!CY39*100/bütünleme!$I39,"")</f>
        <v/>
      </c>
      <c r="CO342" s="39" t="str">
        <f>IFERROR(bütünleme!CZ39*100/bütünleme!$I39,"")</f>
        <v/>
      </c>
      <c r="CP342" s="39" t="str">
        <f>IFERROR(bütünleme!DA39*100/bütünleme!$I39,"")</f>
        <v/>
      </c>
      <c r="CQ342" s="39" t="str">
        <f>IFERROR(bütünleme!DB39*100/bütünleme!$I39,"")</f>
        <v/>
      </c>
      <c r="CR342" s="39" t="str">
        <f>IFERROR(bütünleme!DC39*100/bütünleme!$I39,"")</f>
        <v/>
      </c>
      <c r="CS342" s="39" t="str">
        <f>IFERROR(bütünleme!DD39*100/bütünleme!$I39,"")</f>
        <v/>
      </c>
      <c r="CT342" s="39" t="str">
        <f>IFERROR(bütünleme!DE39*100/bütünleme!$I39,"")</f>
        <v/>
      </c>
      <c r="CU342" s="39" t="str">
        <f>IFERROR(bütünleme!DF39*100/bütünleme!$I39,"")</f>
        <v/>
      </c>
      <c r="CV342" s="39" t="str">
        <f>IFERROR(bütünleme!DG39*100/bütünleme!$I39,"")</f>
        <v/>
      </c>
      <c r="CW342" s="36" t="str">
        <f>IFERROR(SUM(A342:CV342)/bütünleme!$DH$103,"")</f>
        <v/>
      </c>
      <c r="CX342" s="14" t="str">
        <f>IF(COUNTA(bütünleme!A39),bütünleme!A39,"")</f>
        <v/>
      </c>
      <c r="CY342" s="14" t="str">
        <f>IF(COUNTA(bütünleme!B39),bütünleme!B39,"")</f>
        <v/>
      </c>
      <c r="CZ342" s="14" t="str">
        <f>IF(COUNTA(bütünleme!C39),bütünleme!C39,"")</f>
        <v/>
      </c>
      <c r="DA342" s="14" t="str">
        <f>IF(COUNTA(bütünleme!D39),bütünleme!D39,"")</f>
        <v/>
      </c>
      <c r="DB342" s="14" t="str">
        <f>IF(COUNTA(bütünleme!E39),bütünleme!E39,"")</f>
        <v/>
      </c>
      <c r="DC342" s="14" t="str">
        <f>IF(COUNTA(bütünleme!F39),bütünleme!F39,"")</f>
        <v/>
      </c>
      <c r="DD342" s="14" t="str">
        <f>IF(COUNTA(bütünleme!G39),bütünleme!G39,"")</f>
        <v/>
      </c>
      <c r="DE342" s="14" t="str">
        <f>IF(COUNTA(bütünleme!H39),bütünleme!H39,"")</f>
        <v/>
      </c>
    </row>
    <row r="343" spans="1:109" x14ac:dyDescent="0.2">
      <c r="A343" s="39" t="str">
        <f>IFERROR(bütünleme!L40*100/bütünleme!$I40,"")</f>
        <v/>
      </c>
      <c r="B343" s="39" t="str">
        <f>IFERROR(bütünleme!M40*100/bütünleme!$I40,"")</f>
        <v/>
      </c>
      <c r="C343" s="39" t="str">
        <f>IFERROR(bütünleme!N40*100/bütünleme!$I40,"")</f>
        <v/>
      </c>
      <c r="D343" s="39" t="str">
        <f>IFERROR(bütünleme!O40*100/bütünleme!$I40,"")</f>
        <v/>
      </c>
      <c r="E343" s="39" t="str">
        <f>IFERROR(bütünleme!P40*100/bütünleme!$I40,"")</f>
        <v/>
      </c>
      <c r="F343" s="39" t="str">
        <f>IFERROR(bütünleme!Q40*100/bütünleme!$I40,"")</f>
        <v/>
      </c>
      <c r="G343" s="39" t="str">
        <f>IFERROR(bütünleme!R40*100/bütünleme!$I40,"")</f>
        <v/>
      </c>
      <c r="H343" s="39" t="str">
        <f>IFERROR(bütünleme!S40*100/bütünleme!$I40,"")</f>
        <v/>
      </c>
      <c r="I343" s="39" t="str">
        <f>IFERROR(bütünleme!T40*100/bütünleme!$I40,"")</f>
        <v/>
      </c>
      <c r="J343" s="39" t="str">
        <f>IFERROR(bütünleme!U40*100/bütünleme!$I40,"")</f>
        <v/>
      </c>
      <c r="K343" s="39" t="str">
        <f>IFERROR(bütünleme!V40*100/bütünleme!$I40,"")</f>
        <v/>
      </c>
      <c r="L343" s="39" t="str">
        <f>IFERROR(bütünleme!W40*100/bütünleme!$I40,"")</f>
        <v/>
      </c>
      <c r="M343" s="39" t="str">
        <f>IFERROR(bütünleme!X40*100/bütünleme!$I40,"")</f>
        <v/>
      </c>
      <c r="N343" s="39" t="str">
        <f>IFERROR(bütünleme!Y40*100/bütünleme!$I40,"")</f>
        <v/>
      </c>
      <c r="O343" s="39" t="str">
        <f>IFERROR(bütünleme!Z40*100/bütünleme!$I40,"")</f>
        <v/>
      </c>
      <c r="P343" s="39" t="str">
        <f>IFERROR(bütünleme!AA40*100/bütünleme!$I40,"")</f>
        <v/>
      </c>
      <c r="Q343" s="39" t="str">
        <f>IFERROR(bütünleme!AB40*100/bütünleme!$I40,"")</f>
        <v/>
      </c>
      <c r="R343" s="39" t="str">
        <f>IFERROR(bütünleme!AC40*100/bütünleme!$I40,"")</f>
        <v/>
      </c>
      <c r="S343" s="39" t="str">
        <f>IFERROR(bütünleme!AD40*100/bütünleme!$I40,"")</f>
        <v/>
      </c>
      <c r="T343" s="39" t="str">
        <f>IFERROR(bütünleme!AE40*100/bütünleme!$I40,"")</f>
        <v/>
      </c>
      <c r="U343" s="39" t="str">
        <f>IFERROR(bütünleme!AF40*100/bütünleme!$I40,"")</f>
        <v/>
      </c>
      <c r="V343" s="39" t="str">
        <f>IFERROR(bütünleme!AG40*100/bütünleme!$I40,"")</f>
        <v/>
      </c>
      <c r="W343" s="39" t="str">
        <f>IFERROR(bütünleme!AH40*100/bütünleme!$I40,"")</f>
        <v/>
      </c>
      <c r="X343" s="39" t="str">
        <f>IFERROR(bütünleme!AI40*100/bütünleme!$I40,"")</f>
        <v/>
      </c>
      <c r="Y343" s="39" t="str">
        <f>IFERROR(bütünleme!AJ40*100/bütünleme!$I40,"")</f>
        <v/>
      </c>
      <c r="Z343" s="39" t="str">
        <f>IFERROR(bütünleme!AK40*100/bütünleme!$I40,"")</f>
        <v/>
      </c>
      <c r="AA343" s="39" t="str">
        <f>IFERROR(bütünleme!AL40*100/bütünleme!$I40,"")</f>
        <v/>
      </c>
      <c r="AB343" s="39" t="str">
        <f>IFERROR(bütünleme!AM40*100/bütünleme!$I40,"")</f>
        <v/>
      </c>
      <c r="AC343" s="39" t="str">
        <f>IFERROR(bütünleme!AN40*100/bütünleme!$I40,"")</f>
        <v/>
      </c>
      <c r="AD343" s="39" t="str">
        <f>IFERROR(bütünleme!AO40*100/bütünleme!$I40,"")</f>
        <v/>
      </c>
      <c r="AE343" s="39" t="str">
        <f>IFERROR(bütünleme!AP40*100/bütünleme!$I40,"")</f>
        <v/>
      </c>
      <c r="AF343" s="39" t="str">
        <f>IFERROR(bütünleme!AQ40*100/bütünleme!$I40,"")</f>
        <v/>
      </c>
      <c r="AG343" s="39" t="str">
        <f>IFERROR(bütünleme!AR40*100/bütünleme!$I40,"")</f>
        <v/>
      </c>
      <c r="AH343" s="39" t="str">
        <f>IFERROR(bütünleme!AS40*100/bütünleme!$I40,"")</f>
        <v/>
      </c>
      <c r="AI343" s="39" t="str">
        <f>IFERROR(bütünleme!AT40*100/bütünleme!$I40,"")</f>
        <v/>
      </c>
      <c r="AJ343" s="39" t="str">
        <f>IFERROR(bütünleme!AU40*100/bütünleme!$I40,"")</f>
        <v/>
      </c>
      <c r="AK343" s="39" t="str">
        <f>IFERROR(bütünleme!AV40*100/bütünleme!$I40,"")</f>
        <v/>
      </c>
      <c r="AL343" s="39" t="str">
        <f>IFERROR(bütünleme!AW40*100/bütünleme!$I40,"")</f>
        <v/>
      </c>
      <c r="AM343" s="39" t="str">
        <f>IFERROR(bütünleme!AX40*100/bütünleme!$I40,"")</f>
        <v/>
      </c>
      <c r="AN343" s="39" t="str">
        <f>IFERROR(bütünleme!AY40*100/bütünleme!$I40,"")</f>
        <v/>
      </c>
      <c r="AO343" s="39" t="str">
        <f>IFERROR(bütünleme!AZ40*100/bütünleme!$I40,"")</f>
        <v/>
      </c>
      <c r="AP343" s="39" t="str">
        <f>IFERROR(bütünleme!BA40*100/bütünleme!$I40,"")</f>
        <v/>
      </c>
      <c r="AQ343" s="39" t="str">
        <f>IFERROR(bütünleme!BB40*100/bütünleme!$I40,"")</f>
        <v/>
      </c>
      <c r="AR343" s="39" t="str">
        <f>IFERROR(bütünleme!BC40*100/bütünleme!$I40,"")</f>
        <v/>
      </c>
      <c r="AS343" s="39" t="str">
        <f>IFERROR(bütünleme!BD40*100/bütünleme!$I40,"")</f>
        <v/>
      </c>
      <c r="AT343" s="39" t="str">
        <f>IFERROR(bütünleme!BE40*100/bütünleme!$I40,"")</f>
        <v/>
      </c>
      <c r="AU343" s="39" t="str">
        <f>IFERROR(bütünleme!BF40*100/bütünleme!$I40,"")</f>
        <v/>
      </c>
      <c r="AV343" s="39" t="str">
        <f>IFERROR(bütünleme!BG40*100/bütünleme!$I40,"")</f>
        <v/>
      </c>
      <c r="AW343" s="39" t="str">
        <f>IFERROR(bütünleme!BH40*100/bütünleme!$I40,"")</f>
        <v/>
      </c>
      <c r="AX343" s="39" t="str">
        <f>IFERROR(bütünleme!BI40*100/bütünleme!$I40,"")</f>
        <v/>
      </c>
      <c r="AY343" s="39" t="str">
        <f>IFERROR(bütünleme!BJ40*100/bütünleme!$I40,"")</f>
        <v/>
      </c>
      <c r="AZ343" s="39" t="str">
        <f>IFERROR(bütünleme!BK40*100/bütünleme!$I40,"")</f>
        <v/>
      </c>
      <c r="BA343" s="39" t="str">
        <f>IFERROR(bütünleme!BL40*100/bütünleme!$I40,"")</f>
        <v/>
      </c>
      <c r="BB343" s="39" t="str">
        <f>IFERROR(bütünleme!BM40*100/bütünleme!$I40,"")</f>
        <v/>
      </c>
      <c r="BC343" s="39" t="str">
        <f>IFERROR(bütünleme!BN40*100/bütünleme!$I40,"")</f>
        <v/>
      </c>
      <c r="BD343" s="39" t="str">
        <f>IFERROR(bütünleme!BO40*100/bütünleme!$I40,"")</f>
        <v/>
      </c>
      <c r="BE343" s="39" t="str">
        <f>IFERROR(bütünleme!BP40*100/bütünleme!$I40,"")</f>
        <v/>
      </c>
      <c r="BF343" s="39" t="str">
        <f>IFERROR(bütünleme!BQ40*100/bütünleme!$I40,"")</f>
        <v/>
      </c>
      <c r="BG343" s="39" t="str">
        <f>IFERROR(bütünleme!BR40*100/bütünleme!$I40,"")</f>
        <v/>
      </c>
      <c r="BH343" s="39" t="str">
        <f>IFERROR(bütünleme!BS40*100/bütünleme!$I40,"")</f>
        <v/>
      </c>
      <c r="BI343" s="39" t="str">
        <f>IFERROR(bütünleme!BT40*100/bütünleme!$I40,"")</f>
        <v/>
      </c>
      <c r="BJ343" s="39" t="str">
        <f>IFERROR(bütünleme!BU40*100/bütünleme!$I40,"")</f>
        <v/>
      </c>
      <c r="BK343" s="39" t="str">
        <f>IFERROR(bütünleme!BV40*100/bütünleme!$I40,"")</f>
        <v/>
      </c>
      <c r="BL343" s="39" t="str">
        <f>IFERROR(bütünleme!BW40*100/bütünleme!$I40,"")</f>
        <v/>
      </c>
      <c r="BM343" s="39" t="str">
        <f>IFERROR(bütünleme!BX40*100/bütünleme!$I40,"")</f>
        <v/>
      </c>
      <c r="BN343" s="39" t="str">
        <f>IFERROR(bütünleme!BY40*100/bütünleme!$I40,"")</f>
        <v/>
      </c>
      <c r="BO343" s="39" t="str">
        <f>IFERROR(bütünleme!BZ40*100/bütünleme!$I40,"")</f>
        <v/>
      </c>
      <c r="BP343" s="39" t="str">
        <f>IFERROR(bütünleme!CA40*100/bütünleme!$I40,"")</f>
        <v/>
      </c>
      <c r="BQ343" s="39" t="str">
        <f>IFERROR(bütünleme!CB40*100/bütünleme!$I40,"")</f>
        <v/>
      </c>
      <c r="BR343" s="39" t="str">
        <f>IFERROR(bütünleme!CC40*100/bütünleme!$I40,"")</f>
        <v/>
      </c>
      <c r="BS343" s="39" t="str">
        <f>IFERROR(bütünleme!CD40*100/bütünleme!$I40,"")</f>
        <v/>
      </c>
      <c r="BT343" s="39" t="str">
        <f>IFERROR(bütünleme!CE40*100/bütünleme!$I40,"")</f>
        <v/>
      </c>
      <c r="BU343" s="39" t="str">
        <f>IFERROR(bütünleme!CF40*100/bütünleme!$I40,"")</f>
        <v/>
      </c>
      <c r="BV343" s="39" t="str">
        <f>IFERROR(bütünleme!CG40*100/bütünleme!$I40,"")</f>
        <v/>
      </c>
      <c r="BW343" s="39" t="str">
        <f>IFERROR(bütünleme!CH40*100/bütünleme!$I40,"")</f>
        <v/>
      </c>
      <c r="BX343" s="39" t="str">
        <f>IFERROR(bütünleme!CI40*100/bütünleme!$I40,"")</f>
        <v/>
      </c>
      <c r="BY343" s="39" t="str">
        <f>IFERROR(bütünleme!CJ40*100/bütünleme!$I40,"")</f>
        <v/>
      </c>
      <c r="BZ343" s="39" t="str">
        <f>IFERROR(bütünleme!CK40*100/bütünleme!$I40,"")</f>
        <v/>
      </c>
      <c r="CA343" s="39" t="str">
        <f>IFERROR(bütünleme!CL40*100/bütünleme!$I40,"")</f>
        <v/>
      </c>
      <c r="CB343" s="39" t="str">
        <f>IFERROR(bütünleme!CM40*100/bütünleme!$I40,"")</f>
        <v/>
      </c>
      <c r="CC343" s="39" t="str">
        <f>IFERROR(bütünleme!CN40*100/bütünleme!$I40,"")</f>
        <v/>
      </c>
      <c r="CD343" s="39" t="str">
        <f>IFERROR(bütünleme!CO40*100/bütünleme!$I40,"")</f>
        <v/>
      </c>
      <c r="CE343" s="39" t="str">
        <f>IFERROR(bütünleme!CP40*100/bütünleme!$I40,"")</f>
        <v/>
      </c>
      <c r="CF343" s="39" t="str">
        <f>IFERROR(bütünleme!CQ40*100/bütünleme!$I40,"")</f>
        <v/>
      </c>
      <c r="CG343" s="39" t="str">
        <f>IFERROR(bütünleme!CR40*100/bütünleme!$I40,"")</f>
        <v/>
      </c>
      <c r="CH343" s="39" t="str">
        <f>IFERROR(bütünleme!CS40*100/bütünleme!$I40,"")</f>
        <v/>
      </c>
      <c r="CI343" s="39" t="str">
        <f>IFERROR(bütünleme!CT40*100/bütünleme!$I40,"")</f>
        <v/>
      </c>
      <c r="CJ343" s="39" t="str">
        <f>IFERROR(bütünleme!CU40*100/bütünleme!$I40,"")</f>
        <v/>
      </c>
      <c r="CK343" s="39" t="str">
        <f>IFERROR(bütünleme!CV40*100/bütünleme!$I40,"")</f>
        <v/>
      </c>
      <c r="CL343" s="39" t="str">
        <f>IFERROR(bütünleme!CW40*100/bütünleme!$I40,"")</f>
        <v/>
      </c>
      <c r="CM343" s="39" t="str">
        <f>IFERROR(bütünleme!CX40*100/bütünleme!$I40,"")</f>
        <v/>
      </c>
      <c r="CN343" s="39" t="str">
        <f>IFERROR(bütünleme!CY40*100/bütünleme!$I40,"")</f>
        <v/>
      </c>
      <c r="CO343" s="39" t="str">
        <f>IFERROR(bütünleme!CZ40*100/bütünleme!$I40,"")</f>
        <v/>
      </c>
      <c r="CP343" s="39" t="str">
        <f>IFERROR(bütünleme!DA40*100/bütünleme!$I40,"")</f>
        <v/>
      </c>
      <c r="CQ343" s="39" t="str">
        <f>IFERROR(bütünleme!DB40*100/bütünleme!$I40,"")</f>
        <v/>
      </c>
      <c r="CR343" s="39" t="str">
        <f>IFERROR(bütünleme!DC40*100/bütünleme!$I40,"")</f>
        <v/>
      </c>
      <c r="CS343" s="39" t="str">
        <f>IFERROR(bütünleme!DD40*100/bütünleme!$I40,"")</f>
        <v/>
      </c>
      <c r="CT343" s="39" t="str">
        <f>IFERROR(bütünleme!DE40*100/bütünleme!$I40,"")</f>
        <v/>
      </c>
      <c r="CU343" s="39" t="str">
        <f>IFERROR(bütünleme!DF40*100/bütünleme!$I40,"")</f>
        <v/>
      </c>
      <c r="CV343" s="39" t="str">
        <f>IFERROR(bütünleme!DG40*100/bütünleme!$I40,"")</f>
        <v/>
      </c>
      <c r="CW343" s="36" t="str">
        <f>IFERROR(SUM(A343:CV343)/bütünleme!$DH$103,"")</f>
        <v/>
      </c>
      <c r="CX343" s="14" t="str">
        <f>IF(COUNTA(bütünleme!A40),bütünleme!A40,"")</f>
        <v/>
      </c>
      <c r="CY343" s="14" t="str">
        <f>IF(COUNTA(bütünleme!B40),bütünleme!B40,"")</f>
        <v/>
      </c>
      <c r="CZ343" s="14" t="str">
        <f>IF(COUNTA(bütünleme!C40),bütünleme!C40,"")</f>
        <v/>
      </c>
      <c r="DA343" s="14" t="str">
        <f>IF(COUNTA(bütünleme!D40),bütünleme!D40,"")</f>
        <v/>
      </c>
      <c r="DB343" s="14" t="str">
        <f>IF(COUNTA(bütünleme!E40),bütünleme!E40,"")</f>
        <v/>
      </c>
      <c r="DC343" s="14" t="str">
        <f>IF(COUNTA(bütünleme!F40),bütünleme!F40,"")</f>
        <v/>
      </c>
      <c r="DD343" s="14" t="str">
        <f>IF(COUNTA(bütünleme!G40),bütünleme!G40,"")</f>
        <v/>
      </c>
      <c r="DE343" s="14" t="str">
        <f>IF(COUNTA(bütünleme!H40),bütünleme!H40,"")</f>
        <v/>
      </c>
    </row>
    <row r="344" spans="1:109" x14ac:dyDescent="0.2">
      <c r="A344" s="39" t="str">
        <f>IFERROR(bütünleme!L41*100/bütünleme!$I41,"")</f>
        <v/>
      </c>
      <c r="B344" s="39" t="str">
        <f>IFERROR(bütünleme!M41*100/bütünleme!$I41,"")</f>
        <v/>
      </c>
      <c r="C344" s="39" t="str">
        <f>IFERROR(bütünleme!N41*100/bütünleme!$I41,"")</f>
        <v/>
      </c>
      <c r="D344" s="39" t="str">
        <f>IFERROR(bütünleme!O41*100/bütünleme!$I41,"")</f>
        <v/>
      </c>
      <c r="E344" s="39" t="str">
        <f>IFERROR(bütünleme!P41*100/bütünleme!$I41,"")</f>
        <v/>
      </c>
      <c r="F344" s="39" t="str">
        <f>IFERROR(bütünleme!Q41*100/bütünleme!$I41,"")</f>
        <v/>
      </c>
      <c r="G344" s="39" t="str">
        <f>IFERROR(bütünleme!R41*100/bütünleme!$I41,"")</f>
        <v/>
      </c>
      <c r="H344" s="39" t="str">
        <f>IFERROR(bütünleme!S41*100/bütünleme!$I41,"")</f>
        <v/>
      </c>
      <c r="I344" s="39" t="str">
        <f>IFERROR(bütünleme!T41*100/bütünleme!$I41,"")</f>
        <v/>
      </c>
      <c r="J344" s="39" t="str">
        <f>IFERROR(bütünleme!U41*100/bütünleme!$I41,"")</f>
        <v/>
      </c>
      <c r="K344" s="39" t="str">
        <f>IFERROR(bütünleme!V41*100/bütünleme!$I41,"")</f>
        <v/>
      </c>
      <c r="L344" s="39" t="str">
        <f>IFERROR(bütünleme!W41*100/bütünleme!$I41,"")</f>
        <v/>
      </c>
      <c r="M344" s="39" t="str">
        <f>IFERROR(bütünleme!X41*100/bütünleme!$I41,"")</f>
        <v/>
      </c>
      <c r="N344" s="39" t="str">
        <f>IFERROR(bütünleme!Y41*100/bütünleme!$I41,"")</f>
        <v/>
      </c>
      <c r="O344" s="39" t="str">
        <f>IFERROR(bütünleme!Z41*100/bütünleme!$I41,"")</f>
        <v/>
      </c>
      <c r="P344" s="39" t="str">
        <f>IFERROR(bütünleme!AA41*100/bütünleme!$I41,"")</f>
        <v/>
      </c>
      <c r="Q344" s="39" t="str">
        <f>IFERROR(bütünleme!AB41*100/bütünleme!$I41,"")</f>
        <v/>
      </c>
      <c r="R344" s="39" t="str">
        <f>IFERROR(bütünleme!AC41*100/bütünleme!$I41,"")</f>
        <v/>
      </c>
      <c r="S344" s="39" t="str">
        <f>IFERROR(bütünleme!AD41*100/bütünleme!$I41,"")</f>
        <v/>
      </c>
      <c r="T344" s="39" t="str">
        <f>IFERROR(bütünleme!AE41*100/bütünleme!$I41,"")</f>
        <v/>
      </c>
      <c r="U344" s="39" t="str">
        <f>IFERROR(bütünleme!AF41*100/bütünleme!$I41,"")</f>
        <v/>
      </c>
      <c r="V344" s="39" t="str">
        <f>IFERROR(bütünleme!AG41*100/bütünleme!$I41,"")</f>
        <v/>
      </c>
      <c r="W344" s="39" t="str">
        <f>IFERROR(bütünleme!AH41*100/bütünleme!$I41,"")</f>
        <v/>
      </c>
      <c r="X344" s="39" t="str">
        <f>IFERROR(bütünleme!AI41*100/bütünleme!$I41,"")</f>
        <v/>
      </c>
      <c r="Y344" s="39" t="str">
        <f>IFERROR(bütünleme!AJ41*100/bütünleme!$I41,"")</f>
        <v/>
      </c>
      <c r="Z344" s="39" t="str">
        <f>IFERROR(bütünleme!AK41*100/bütünleme!$I41,"")</f>
        <v/>
      </c>
      <c r="AA344" s="39" t="str">
        <f>IFERROR(bütünleme!AL41*100/bütünleme!$I41,"")</f>
        <v/>
      </c>
      <c r="AB344" s="39" t="str">
        <f>IFERROR(bütünleme!AM41*100/bütünleme!$I41,"")</f>
        <v/>
      </c>
      <c r="AC344" s="39" t="str">
        <f>IFERROR(bütünleme!AN41*100/bütünleme!$I41,"")</f>
        <v/>
      </c>
      <c r="AD344" s="39" t="str">
        <f>IFERROR(bütünleme!AO41*100/bütünleme!$I41,"")</f>
        <v/>
      </c>
      <c r="AE344" s="39" t="str">
        <f>IFERROR(bütünleme!AP41*100/bütünleme!$I41,"")</f>
        <v/>
      </c>
      <c r="AF344" s="39" t="str">
        <f>IFERROR(bütünleme!AQ41*100/bütünleme!$I41,"")</f>
        <v/>
      </c>
      <c r="AG344" s="39" t="str">
        <f>IFERROR(bütünleme!AR41*100/bütünleme!$I41,"")</f>
        <v/>
      </c>
      <c r="AH344" s="39" t="str">
        <f>IFERROR(bütünleme!AS41*100/bütünleme!$I41,"")</f>
        <v/>
      </c>
      <c r="AI344" s="39" t="str">
        <f>IFERROR(bütünleme!AT41*100/bütünleme!$I41,"")</f>
        <v/>
      </c>
      <c r="AJ344" s="39" t="str">
        <f>IFERROR(bütünleme!AU41*100/bütünleme!$I41,"")</f>
        <v/>
      </c>
      <c r="AK344" s="39" t="str">
        <f>IFERROR(bütünleme!AV41*100/bütünleme!$I41,"")</f>
        <v/>
      </c>
      <c r="AL344" s="39" t="str">
        <f>IFERROR(bütünleme!AW41*100/bütünleme!$I41,"")</f>
        <v/>
      </c>
      <c r="AM344" s="39" t="str">
        <f>IFERROR(bütünleme!AX41*100/bütünleme!$I41,"")</f>
        <v/>
      </c>
      <c r="AN344" s="39" t="str">
        <f>IFERROR(bütünleme!AY41*100/bütünleme!$I41,"")</f>
        <v/>
      </c>
      <c r="AO344" s="39" t="str">
        <f>IFERROR(bütünleme!AZ41*100/bütünleme!$I41,"")</f>
        <v/>
      </c>
      <c r="AP344" s="39" t="str">
        <f>IFERROR(bütünleme!BA41*100/bütünleme!$I41,"")</f>
        <v/>
      </c>
      <c r="AQ344" s="39" t="str">
        <f>IFERROR(bütünleme!BB41*100/bütünleme!$I41,"")</f>
        <v/>
      </c>
      <c r="AR344" s="39" t="str">
        <f>IFERROR(bütünleme!BC41*100/bütünleme!$I41,"")</f>
        <v/>
      </c>
      <c r="AS344" s="39" t="str">
        <f>IFERROR(bütünleme!BD41*100/bütünleme!$I41,"")</f>
        <v/>
      </c>
      <c r="AT344" s="39" t="str">
        <f>IFERROR(bütünleme!BE41*100/bütünleme!$I41,"")</f>
        <v/>
      </c>
      <c r="AU344" s="39" t="str">
        <f>IFERROR(bütünleme!BF41*100/bütünleme!$I41,"")</f>
        <v/>
      </c>
      <c r="AV344" s="39" t="str">
        <f>IFERROR(bütünleme!BG41*100/bütünleme!$I41,"")</f>
        <v/>
      </c>
      <c r="AW344" s="39" t="str">
        <f>IFERROR(bütünleme!BH41*100/bütünleme!$I41,"")</f>
        <v/>
      </c>
      <c r="AX344" s="39" t="str">
        <f>IFERROR(bütünleme!BI41*100/bütünleme!$I41,"")</f>
        <v/>
      </c>
      <c r="AY344" s="39" t="str">
        <f>IFERROR(bütünleme!BJ41*100/bütünleme!$I41,"")</f>
        <v/>
      </c>
      <c r="AZ344" s="39" t="str">
        <f>IFERROR(bütünleme!BK41*100/bütünleme!$I41,"")</f>
        <v/>
      </c>
      <c r="BA344" s="39" t="str">
        <f>IFERROR(bütünleme!BL41*100/bütünleme!$I41,"")</f>
        <v/>
      </c>
      <c r="BB344" s="39" t="str">
        <f>IFERROR(bütünleme!BM41*100/bütünleme!$I41,"")</f>
        <v/>
      </c>
      <c r="BC344" s="39" t="str">
        <f>IFERROR(bütünleme!BN41*100/bütünleme!$I41,"")</f>
        <v/>
      </c>
      <c r="BD344" s="39" t="str">
        <f>IFERROR(bütünleme!BO41*100/bütünleme!$I41,"")</f>
        <v/>
      </c>
      <c r="BE344" s="39" t="str">
        <f>IFERROR(bütünleme!BP41*100/bütünleme!$I41,"")</f>
        <v/>
      </c>
      <c r="BF344" s="39" t="str">
        <f>IFERROR(bütünleme!BQ41*100/bütünleme!$I41,"")</f>
        <v/>
      </c>
      <c r="BG344" s="39" t="str">
        <f>IFERROR(bütünleme!BR41*100/bütünleme!$I41,"")</f>
        <v/>
      </c>
      <c r="BH344" s="39" t="str">
        <f>IFERROR(bütünleme!BS41*100/bütünleme!$I41,"")</f>
        <v/>
      </c>
      <c r="BI344" s="39" t="str">
        <f>IFERROR(bütünleme!BT41*100/bütünleme!$I41,"")</f>
        <v/>
      </c>
      <c r="BJ344" s="39" t="str">
        <f>IFERROR(bütünleme!BU41*100/bütünleme!$I41,"")</f>
        <v/>
      </c>
      <c r="BK344" s="39" t="str">
        <f>IFERROR(bütünleme!BV41*100/bütünleme!$I41,"")</f>
        <v/>
      </c>
      <c r="BL344" s="39" t="str">
        <f>IFERROR(bütünleme!BW41*100/bütünleme!$I41,"")</f>
        <v/>
      </c>
      <c r="BM344" s="39" t="str">
        <f>IFERROR(bütünleme!BX41*100/bütünleme!$I41,"")</f>
        <v/>
      </c>
      <c r="BN344" s="39" t="str">
        <f>IFERROR(bütünleme!BY41*100/bütünleme!$I41,"")</f>
        <v/>
      </c>
      <c r="BO344" s="39" t="str">
        <f>IFERROR(bütünleme!BZ41*100/bütünleme!$I41,"")</f>
        <v/>
      </c>
      <c r="BP344" s="39" t="str">
        <f>IFERROR(bütünleme!CA41*100/bütünleme!$I41,"")</f>
        <v/>
      </c>
      <c r="BQ344" s="39" t="str">
        <f>IFERROR(bütünleme!CB41*100/bütünleme!$I41,"")</f>
        <v/>
      </c>
      <c r="BR344" s="39" t="str">
        <f>IFERROR(bütünleme!CC41*100/bütünleme!$I41,"")</f>
        <v/>
      </c>
      <c r="BS344" s="39" t="str">
        <f>IFERROR(bütünleme!CD41*100/bütünleme!$I41,"")</f>
        <v/>
      </c>
      <c r="BT344" s="39" t="str">
        <f>IFERROR(bütünleme!CE41*100/bütünleme!$I41,"")</f>
        <v/>
      </c>
      <c r="BU344" s="39" t="str">
        <f>IFERROR(bütünleme!CF41*100/bütünleme!$I41,"")</f>
        <v/>
      </c>
      <c r="BV344" s="39" t="str">
        <f>IFERROR(bütünleme!CG41*100/bütünleme!$I41,"")</f>
        <v/>
      </c>
      <c r="BW344" s="39" t="str">
        <f>IFERROR(bütünleme!CH41*100/bütünleme!$I41,"")</f>
        <v/>
      </c>
      <c r="BX344" s="39" t="str">
        <f>IFERROR(bütünleme!CI41*100/bütünleme!$I41,"")</f>
        <v/>
      </c>
      <c r="BY344" s="39" t="str">
        <f>IFERROR(bütünleme!CJ41*100/bütünleme!$I41,"")</f>
        <v/>
      </c>
      <c r="BZ344" s="39" t="str">
        <f>IFERROR(bütünleme!CK41*100/bütünleme!$I41,"")</f>
        <v/>
      </c>
      <c r="CA344" s="39" t="str">
        <f>IFERROR(bütünleme!CL41*100/bütünleme!$I41,"")</f>
        <v/>
      </c>
      <c r="CB344" s="39" t="str">
        <f>IFERROR(bütünleme!CM41*100/bütünleme!$I41,"")</f>
        <v/>
      </c>
      <c r="CC344" s="39" t="str">
        <f>IFERROR(bütünleme!CN41*100/bütünleme!$I41,"")</f>
        <v/>
      </c>
      <c r="CD344" s="39" t="str">
        <f>IFERROR(bütünleme!CO41*100/bütünleme!$I41,"")</f>
        <v/>
      </c>
      <c r="CE344" s="39" t="str">
        <f>IFERROR(bütünleme!CP41*100/bütünleme!$I41,"")</f>
        <v/>
      </c>
      <c r="CF344" s="39" t="str">
        <f>IFERROR(bütünleme!CQ41*100/bütünleme!$I41,"")</f>
        <v/>
      </c>
      <c r="CG344" s="39" t="str">
        <f>IFERROR(bütünleme!CR41*100/bütünleme!$I41,"")</f>
        <v/>
      </c>
      <c r="CH344" s="39" t="str">
        <f>IFERROR(bütünleme!CS41*100/bütünleme!$I41,"")</f>
        <v/>
      </c>
      <c r="CI344" s="39" t="str">
        <f>IFERROR(bütünleme!CT41*100/bütünleme!$I41,"")</f>
        <v/>
      </c>
      <c r="CJ344" s="39" t="str">
        <f>IFERROR(bütünleme!CU41*100/bütünleme!$I41,"")</f>
        <v/>
      </c>
      <c r="CK344" s="39" t="str">
        <f>IFERROR(bütünleme!CV41*100/bütünleme!$I41,"")</f>
        <v/>
      </c>
      <c r="CL344" s="39" t="str">
        <f>IFERROR(bütünleme!CW41*100/bütünleme!$I41,"")</f>
        <v/>
      </c>
      <c r="CM344" s="39" t="str">
        <f>IFERROR(bütünleme!CX41*100/bütünleme!$I41,"")</f>
        <v/>
      </c>
      <c r="CN344" s="39" t="str">
        <f>IFERROR(bütünleme!CY41*100/bütünleme!$I41,"")</f>
        <v/>
      </c>
      <c r="CO344" s="39" t="str">
        <f>IFERROR(bütünleme!CZ41*100/bütünleme!$I41,"")</f>
        <v/>
      </c>
      <c r="CP344" s="39" t="str">
        <f>IFERROR(bütünleme!DA41*100/bütünleme!$I41,"")</f>
        <v/>
      </c>
      <c r="CQ344" s="39" t="str">
        <f>IFERROR(bütünleme!DB41*100/bütünleme!$I41,"")</f>
        <v/>
      </c>
      <c r="CR344" s="39" t="str">
        <f>IFERROR(bütünleme!DC41*100/bütünleme!$I41,"")</f>
        <v/>
      </c>
      <c r="CS344" s="39" t="str">
        <f>IFERROR(bütünleme!DD41*100/bütünleme!$I41,"")</f>
        <v/>
      </c>
      <c r="CT344" s="39" t="str">
        <f>IFERROR(bütünleme!DE41*100/bütünleme!$I41,"")</f>
        <v/>
      </c>
      <c r="CU344" s="39" t="str">
        <f>IFERROR(bütünleme!DF41*100/bütünleme!$I41,"")</f>
        <v/>
      </c>
      <c r="CV344" s="39" t="str">
        <f>IFERROR(bütünleme!DG41*100/bütünleme!$I41,"")</f>
        <v/>
      </c>
      <c r="CW344" s="36" t="str">
        <f>IFERROR(SUM(A344:CV344)/bütünleme!$DH$103,"")</f>
        <v/>
      </c>
      <c r="CX344" s="14" t="str">
        <f>IF(COUNTA(bütünleme!A41),bütünleme!A41,"")</f>
        <v/>
      </c>
      <c r="CY344" s="14" t="str">
        <f>IF(COUNTA(bütünleme!B41),bütünleme!B41,"")</f>
        <v/>
      </c>
      <c r="CZ344" s="14" t="str">
        <f>IF(COUNTA(bütünleme!C41),bütünleme!C41,"")</f>
        <v/>
      </c>
      <c r="DA344" s="14" t="str">
        <f>IF(COUNTA(bütünleme!D41),bütünleme!D41,"")</f>
        <v/>
      </c>
      <c r="DB344" s="14" t="str">
        <f>IF(COUNTA(bütünleme!E41),bütünleme!E41,"")</f>
        <v/>
      </c>
      <c r="DC344" s="14" t="str">
        <f>IF(COUNTA(bütünleme!F41),bütünleme!F41,"")</f>
        <v/>
      </c>
      <c r="DD344" s="14" t="str">
        <f>IF(COUNTA(bütünleme!G41),bütünleme!G41,"")</f>
        <v/>
      </c>
      <c r="DE344" s="14" t="str">
        <f>IF(COUNTA(bütünleme!H41),bütünleme!H41,"")</f>
        <v/>
      </c>
    </row>
    <row r="345" spans="1:109" x14ac:dyDescent="0.2">
      <c r="A345" s="39" t="str">
        <f>IFERROR(bütünleme!L42*100/bütünleme!$I42,"")</f>
        <v/>
      </c>
      <c r="B345" s="39" t="str">
        <f>IFERROR(bütünleme!M42*100/bütünleme!$I42,"")</f>
        <v/>
      </c>
      <c r="C345" s="39" t="str">
        <f>IFERROR(bütünleme!N42*100/bütünleme!$I42,"")</f>
        <v/>
      </c>
      <c r="D345" s="39" t="str">
        <f>IFERROR(bütünleme!O42*100/bütünleme!$I42,"")</f>
        <v/>
      </c>
      <c r="E345" s="39" t="str">
        <f>IFERROR(bütünleme!P42*100/bütünleme!$I42,"")</f>
        <v/>
      </c>
      <c r="F345" s="39" t="str">
        <f>IFERROR(bütünleme!Q42*100/bütünleme!$I42,"")</f>
        <v/>
      </c>
      <c r="G345" s="39" t="str">
        <f>IFERROR(bütünleme!R42*100/bütünleme!$I42,"")</f>
        <v/>
      </c>
      <c r="H345" s="39" t="str">
        <f>IFERROR(bütünleme!S42*100/bütünleme!$I42,"")</f>
        <v/>
      </c>
      <c r="I345" s="39" t="str">
        <f>IFERROR(bütünleme!T42*100/bütünleme!$I42,"")</f>
        <v/>
      </c>
      <c r="J345" s="39" t="str">
        <f>IFERROR(bütünleme!U42*100/bütünleme!$I42,"")</f>
        <v/>
      </c>
      <c r="K345" s="39" t="str">
        <f>IFERROR(bütünleme!V42*100/bütünleme!$I42,"")</f>
        <v/>
      </c>
      <c r="L345" s="39" t="str">
        <f>IFERROR(bütünleme!W42*100/bütünleme!$I42,"")</f>
        <v/>
      </c>
      <c r="M345" s="39" t="str">
        <f>IFERROR(bütünleme!X42*100/bütünleme!$I42,"")</f>
        <v/>
      </c>
      <c r="N345" s="39" t="str">
        <f>IFERROR(bütünleme!Y42*100/bütünleme!$I42,"")</f>
        <v/>
      </c>
      <c r="O345" s="39" t="str">
        <f>IFERROR(bütünleme!Z42*100/bütünleme!$I42,"")</f>
        <v/>
      </c>
      <c r="P345" s="39" t="str">
        <f>IFERROR(bütünleme!AA42*100/bütünleme!$I42,"")</f>
        <v/>
      </c>
      <c r="Q345" s="39" t="str">
        <f>IFERROR(bütünleme!AB42*100/bütünleme!$I42,"")</f>
        <v/>
      </c>
      <c r="R345" s="39" t="str">
        <f>IFERROR(bütünleme!AC42*100/bütünleme!$I42,"")</f>
        <v/>
      </c>
      <c r="S345" s="39" t="str">
        <f>IFERROR(bütünleme!AD42*100/bütünleme!$I42,"")</f>
        <v/>
      </c>
      <c r="T345" s="39" t="str">
        <f>IFERROR(bütünleme!AE42*100/bütünleme!$I42,"")</f>
        <v/>
      </c>
      <c r="U345" s="39" t="str">
        <f>IFERROR(bütünleme!AF42*100/bütünleme!$I42,"")</f>
        <v/>
      </c>
      <c r="V345" s="39" t="str">
        <f>IFERROR(bütünleme!AG42*100/bütünleme!$I42,"")</f>
        <v/>
      </c>
      <c r="W345" s="39" t="str">
        <f>IFERROR(bütünleme!AH42*100/bütünleme!$I42,"")</f>
        <v/>
      </c>
      <c r="X345" s="39" t="str">
        <f>IFERROR(bütünleme!AI42*100/bütünleme!$I42,"")</f>
        <v/>
      </c>
      <c r="Y345" s="39" t="str">
        <f>IFERROR(bütünleme!AJ42*100/bütünleme!$I42,"")</f>
        <v/>
      </c>
      <c r="Z345" s="39" t="str">
        <f>IFERROR(bütünleme!AK42*100/bütünleme!$I42,"")</f>
        <v/>
      </c>
      <c r="AA345" s="39" t="str">
        <f>IFERROR(bütünleme!AL42*100/bütünleme!$I42,"")</f>
        <v/>
      </c>
      <c r="AB345" s="39" t="str">
        <f>IFERROR(bütünleme!AM42*100/bütünleme!$I42,"")</f>
        <v/>
      </c>
      <c r="AC345" s="39" t="str">
        <f>IFERROR(bütünleme!AN42*100/bütünleme!$I42,"")</f>
        <v/>
      </c>
      <c r="AD345" s="39" t="str">
        <f>IFERROR(bütünleme!AO42*100/bütünleme!$I42,"")</f>
        <v/>
      </c>
      <c r="AE345" s="39" t="str">
        <f>IFERROR(bütünleme!AP42*100/bütünleme!$I42,"")</f>
        <v/>
      </c>
      <c r="AF345" s="39" t="str">
        <f>IFERROR(bütünleme!AQ42*100/bütünleme!$I42,"")</f>
        <v/>
      </c>
      <c r="AG345" s="39" t="str">
        <f>IFERROR(bütünleme!AR42*100/bütünleme!$I42,"")</f>
        <v/>
      </c>
      <c r="AH345" s="39" t="str">
        <f>IFERROR(bütünleme!AS42*100/bütünleme!$I42,"")</f>
        <v/>
      </c>
      <c r="AI345" s="39" t="str">
        <f>IFERROR(bütünleme!AT42*100/bütünleme!$I42,"")</f>
        <v/>
      </c>
      <c r="AJ345" s="39" t="str">
        <f>IFERROR(bütünleme!AU42*100/bütünleme!$I42,"")</f>
        <v/>
      </c>
      <c r="AK345" s="39" t="str">
        <f>IFERROR(bütünleme!AV42*100/bütünleme!$I42,"")</f>
        <v/>
      </c>
      <c r="AL345" s="39" t="str">
        <f>IFERROR(bütünleme!AW42*100/bütünleme!$I42,"")</f>
        <v/>
      </c>
      <c r="AM345" s="39" t="str">
        <f>IFERROR(bütünleme!AX42*100/bütünleme!$I42,"")</f>
        <v/>
      </c>
      <c r="AN345" s="39" t="str">
        <f>IFERROR(bütünleme!AY42*100/bütünleme!$I42,"")</f>
        <v/>
      </c>
      <c r="AO345" s="39" t="str">
        <f>IFERROR(bütünleme!AZ42*100/bütünleme!$I42,"")</f>
        <v/>
      </c>
      <c r="AP345" s="39" t="str">
        <f>IFERROR(bütünleme!BA42*100/bütünleme!$I42,"")</f>
        <v/>
      </c>
      <c r="AQ345" s="39" t="str">
        <f>IFERROR(bütünleme!BB42*100/bütünleme!$I42,"")</f>
        <v/>
      </c>
      <c r="AR345" s="39" t="str">
        <f>IFERROR(bütünleme!BC42*100/bütünleme!$I42,"")</f>
        <v/>
      </c>
      <c r="AS345" s="39" t="str">
        <f>IFERROR(bütünleme!BD42*100/bütünleme!$I42,"")</f>
        <v/>
      </c>
      <c r="AT345" s="39" t="str">
        <f>IFERROR(bütünleme!BE42*100/bütünleme!$I42,"")</f>
        <v/>
      </c>
      <c r="AU345" s="39" t="str">
        <f>IFERROR(bütünleme!BF42*100/bütünleme!$I42,"")</f>
        <v/>
      </c>
      <c r="AV345" s="39" t="str">
        <f>IFERROR(bütünleme!BG42*100/bütünleme!$I42,"")</f>
        <v/>
      </c>
      <c r="AW345" s="39" t="str">
        <f>IFERROR(bütünleme!BH42*100/bütünleme!$I42,"")</f>
        <v/>
      </c>
      <c r="AX345" s="39" t="str">
        <f>IFERROR(bütünleme!BI42*100/bütünleme!$I42,"")</f>
        <v/>
      </c>
      <c r="AY345" s="39" t="str">
        <f>IFERROR(bütünleme!BJ42*100/bütünleme!$I42,"")</f>
        <v/>
      </c>
      <c r="AZ345" s="39" t="str">
        <f>IFERROR(bütünleme!BK42*100/bütünleme!$I42,"")</f>
        <v/>
      </c>
      <c r="BA345" s="39" t="str">
        <f>IFERROR(bütünleme!BL42*100/bütünleme!$I42,"")</f>
        <v/>
      </c>
      <c r="BB345" s="39" t="str">
        <f>IFERROR(bütünleme!BM42*100/bütünleme!$I42,"")</f>
        <v/>
      </c>
      <c r="BC345" s="39" t="str">
        <f>IFERROR(bütünleme!BN42*100/bütünleme!$I42,"")</f>
        <v/>
      </c>
      <c r="BD345" s="39" t="str">
        <f>IFERROR(bütünleme!BO42*100/bütünleme!$I42,"")</f>
        <v/>
      </c>
      <c r="BE345" s="39" t="str">
        <f>IFERROR(bütünleme!BP42*100/bütünleme!$I42,"")</f>
        <v/>
      </c>
      <c r="BF345" s="39" t="str">
        <f>IFERROR(bütünleme!BQ42*100/bütünleme!$I42,"")</f>
        <v/>
      </c>
      <c r="BG345" s="39" t="str">
        <f>IFERROR(bütünleme!BR42*100/bütünleme!$I42,"")</f>
        <v/>
      </c>
      <c r="BH345" s="39" t="str">
        <f>IFERROR(bütünleme!BS42*100/bütünleme!$I42,"")</f>
        <v/>
      </c>
      <c r="BI345" s="39" t="str">
        <f>IFERROR(bütünleme!BT42*100/bütünleme!$I42,"")</f>
        <v/>
      </c>
      <c r="BJ345" s="39" t="str">
        <f>IFERROR(bütünleme!BU42*100/bütünleme!$I42,"")</f>
        <v/>
      </c>
      <c r="BK345" s="39" t="str">
        <f>IFERROR(bütünleme!BV42*100/bütünleme!$I42,"")</f>
        <v/>
      </c>
      <c r="BL345" s="39" t="str">
        <f>IFERROR(bütünleme!BW42*100/bütünleme!$I42,"")</f>
        <v/>
      </c>
      <c r="BM345" s="39" t="str">
        <f>IFERROR(bütünleme!BX42*100/bütünleme!$I42,"")</f>
        <v/>
      </c>
      <c r="BN345" s="39" t="str">
        <f>IFERROR(bütünleme!BY42*100/bütünleme!$I42,"")</f>
        <v/>
      </c>
      <c r="BO345" s="39" t="str">
        <f>IFERROR(bütünleme!BZ42*100/bütünleme!$I42,"")</f>
        <v/>
      </c>
      <c r="BP345" s="39" t="str">
        <f>IFERROR(bütünleme!CA42*100/bütünleme!$I42,"")</f>
        <v/>
      </c>
      <c r="BQ345" s="39" t="str">
        <f>IFERROR(bütünleme!CB42*100/bütünleme!$I42,"")</f>
        <v/>
      </c>
      <c r="BR345" s="39" t="str">
        <f>IFERROR(bütünleme!CC42*100/bütünleme!$I42,"")</f>
        <v/>
      </c>
      <c r="BS345" s="39" t="str">
        <f>IFERROR(bütünleme!CD42*100/bütünleme!$I42,"")</f>
        <v/>
      </c>
      <c r="BT345" s="39" t="str">
        <f>IFERROR(bütünleme!CE42*100/bütünleme!$I42,"")</f>
        <v/>
      </c>
      <c r="BU345" s="39" t="str">
        <f>IFERROR(bütünleme!CF42*100/bütünleme!$I42,"")</f>
        <v/>
      </c>
      <c r="BV345" s="39" t="str">
        <f>IFERROR(bütünleme!CG42*100/bütünleme!$I42,"")</f>
        <v/>
      </c>
      <c r="BW345" s="39" t="str">
        <f>IFERROR(bütünleme!CH42*100/bütünleme!$I42,"")</f>
        <v/>
      </c>
      <c r="BX345" s="39" t="str">
        <f>IFERROR(bütünleme!CI42*100/bütünleme!$I42,"")</f>
        <v/>
      </c>
      <c r="BY345" s="39" t="str">
        <f>IFERROR(bütünleme!CJ42*100/bütünleme!$I42,"")</f>
        <v/>
      </c>
      <c r="BZ345" s="39" t="str">
        <f>IFERROR(bütünleme!CK42*100/bütünleme!$I42,"")</f>
        <v/>
      </c>
      <c r="CA345" s="39" t="str">
        <f>IFERROR(bütünleme!CL42*100/bütünleme!$I42,"")</f>
        <v/>
      </c>
      <c r="CB345" s="39" t="str">
        <f>IFERROR(bütünleme!CM42*100/bütünleme!$I42,"")</f>
        <v/>
      </c>
      <c r="CC345" s="39" t="str">
        <f>IFERROR(bütünleme!CN42*100/bütünleme!$I42,"")</f>
        <v/>
      </c>
      <c r="CD345" s="39" t="str">
        <f>IFERROR(bütünleme!CO42*100/bütünleme!$I42,"")</f>
        <v/>
      </c>
      <c r="CE345" s="39" t="str">
        <f>IFERROR(bütünleme!CP42*100/bütünleme!$I42,"")</f>
        <v/>
      </c>
      <c r="CF345" s="39" t="str">
        <f>IFERROR(bütünleme!CQ42*100/bütünleme!$I42,"")</f>
        <v/>
      </c>
      <c r="CG345" s="39" t="str">
        <f>IFERROR(bütünleme!CR42*100/bütünleme!$I42,"")</f>
        <v/>
      </c>
      <c r="CH345" s="39" t="str">
        <f>IFERROR(bütünleme!CS42*100/bütünleme!$I42,"")</f>
        <v/>
      </c>
      <c r="CI345" s="39" t="str">
        <f>IFERROR(bütünleme!CT42*100/bütünleme!$I42,"")</f>
        <v/>
      </c>
      <c r="CJ345" s="39" t="str">
        <f>IFERROR(bütünleme!CU42*100/bütünleme!$I42,"")</f>
        <v/>
      </c>
      <c r="CK345" s="39" t="str">
        <f>IFERROR(bütünleme!CV42*100/bütünleme!$I42,"")</f>
        <v/>
      </c>
      <c r="CL345" s="39" t="str">
        <f>IFERROR(bütünleme!CW42*100/bütünleme!$I42,"")</f>
        <v/>
      </c>
      <c r="CM345" s="39" t="str">
        <f>IFERROR(bütünleme!CX42*100/bütünleme!$I42,"")</f>
        <v/>
      </c>
      <c r="CN345" s="39" t="str">
        <f>IFERROR(bütünleme!CY42*100/bütünleme!$I42,"")</f>
        <v/>
      </c>
      <c r="CO345" s="39" t="str">
        <f>IFERROR(bütünleme!CZ42*100/bütünleme!$I42,"")</f>
        <v/>
      </c>
      <c r="CP345" s="39" t="str">
        <f>IFERROR(bütünleme!DA42*100/bütünleme!$I42,"")</f>
        <v/>
      </c>
      <c r="CQ345" s="39" t="str">
        <f>IFERROR(bütünleme!DB42*100/bütünleme!$I42,"")</f>
        <v/>
      </c>
      <c r="CR345" s="39" t="str">
        <f>IFERROR(bütünleme!DC42*100/bütünleme!$I42,"")</f>
        <v/>
      </c>
      <c r="CS345" s="39" t="str">
        <f>IFERROR(bütünleme!DD42*100/bütünleme!$I42,"")</f>
        <v/>
      </c>
      <c r="CT345" s="39" t="str">
        <f>IFERROR(bütünleme!DE42*100/bütünleme!$I42,"")</f>
        <v/>
      </c>
      <c r="CU345" s="39" t="str">
        <f>IFERROR(bütünleme!DF42*100/bütünleme!$I42,"")</f>
        <v/>
      </c>
      <c r="CV345" s="39" t="str">
        <f>IFERROR(bütünleme!DG42*100/bütünleme!$I42,"")</f>
        <v/>
      </c>
      <c r="CW345" s="36" t="str">
        <f>IFERROR(SUM(A345:CV345)/bütünleme!$DH$103,"")</f>
        <v/>
      </c>
      <c r="CX345" s="14" t="str">
        <f>IF(COUNTA(bütünleme!A42),bütünleme!A42,"")</f>
        <v/>
      </c>
      <c r="CY345" s="14" t="str">
        <f>IF(COUNTA(bütünleme!B42),bütünleme!B42,"")</f>
        <v/>
      </c>
      <c r="CZ345" s="14" t="str">
        <f>IF(COUNTA(bütünleme!C42),bütünleme!C42,"")</f>
        <v/>
      </c>
      <c r="DA345" s="14" t="str">
        <f>IF(COUNTA(bütünleme!D42),bütünleme!D42,"")</f>
        <v/>
      </c>
      <c r="DB345" s="14" t="str">
        <f>IF(COUNTA(bütünleme!E42),bütünleme!E42,"")</f>
        <v/>
      </c>
      <c r="DC345" s="14" t="str">
        <f>IF(COUNTA(bütünleme!F42),bütünleme!F42,"")</f>
        <v/>
      </c>
      <c r="DD345" s="14" t="str">
        <f>IF(COUNTA(bütünleme!G42),bütünleme!G42,"")</f>
        <v/>
      </c>
      <c r="DE345" s="14" t="str">
        <f>IF(COUNTA(bütünleme!H42),bütünleme!H42,"")</f>
        <v/>
      </c>
    </row>
    <row r="346" spans="1:109" x14ac:dyDescent="0.2">
      <c r="A346" s="39" t="str">
        <f>IFERROR(bütünleme!L43*100/bütünleme!$I43,"")</f>
        <v/>
      </c>
      <c r="B346" s="39" t="str">
        <f>IFERROR(bütünleme!M43*100/bütünleme!$I43,"")</f>
        <v/>
      </c>
      <c r="C346" s="39" t="str">
        <f>IFERROR(bütünleme!N43*100/bütünleme!$I43,"")</f>
        <v/>
      </c>
      <c r="D346" s="39" t="str">
        <f>IFERROR(bütünleme!O43*100/bütünleme!$I43,"")</f>
        <v/>
      </c>
      <c r="E346" s="39" t="str">
        <f>IFERROR(bütünleme!P43*100/bütünleme!$I43,"")</f>
        <v/>
      </c>
      <c r="F346" s="39" t="str">
        <f>IFERROR(bütünleme!Q43*100/bütünleme!$I43,"")</f>
        <v/>
      </c>
      <c r="G346" s="39" t="str">
        <f>IFERROR(bütünleme!R43*100/bütünleme!$I43,"")</f>
        <v/>
      </c>
      <c r="H346" s="39" t="str">
        <f>IFERROR(bütünleme!S43*100/bütünleme!$I43,"")</f>
        <v/>
      </c>
      <c r="I346" s="39" t="str">
        <f>IFERROR(bütünleme!T43*100/bütünleme!$I43,"")</f>
        <v/>
      </c>
      <c r="J346" s="39" t="str">
        <f>IFERROR(bütünleme!U43*100/bütünleme!$I43,"")</f>
        <v/>
      </c>
      <c r="K346" s="39" t="str">
        <f>IFERROR(bütünleme!V43*100/bütünleme!$I43,"")</f>
        <v/>
      </c>
      <c r="L346" s="39" t="str">
        <f>IFERROR(bütünleme!W43*100/bütünleme!$I43,"")</f>
        <v/>
      </c>
      <c r="M346" s="39" t="str">
        <f>IFERROR(bütünleme!X43*100/bütünleme!$I43,"")</f>
        <v/>
      </c>
      <c r="N346" s="39" t="str">
        <f>IFERROR(bütünleme!Y43*100/bütünleme!$I43,"")</f>
        <v/>
      </c>
      <c r="O346" s="39" t="str">
        <f>IFERROR(bütünleme!Z43*100/bütünleme!$I43,"")</f>
        <v/>
      </c>
      <c r="P346" s="39" t="str">
        <f>IFERROR(bütünleme!AA43*100/bütünleme!$I43,"")</f>
        <v/>
      </c>
      <c r="Q346" s="39" t="str">
        <f>IFERROR(bütünleme!AB43*100/bütünleme!$I43,"")</f>
        <v/>
      </c>
      <c r="R346" s="39" t="str">
        <f>IFERROR(bütünleme!AC43*100/bütünleme!$I43,"")</f>
        <v/>
      </c>
      <c r="S346" s="39" t="str">
        <f>IFERROR(bütünleme!AD43*100/bütünleme!$I43,"")</f>
        <v/>
      </c>
      <c r="T346" s="39" t="str">
        <f>IFERROR(bütünleme!AE43*100/bütünleme!$I43,"")</f>
        <v/>
      </c>
      <c r="U346" s="39" t="str">
        <f>IFERROR(bütünleme!AF43*100/bütünleme!$I43,"")</f>
        <v/>
      </c>
      <c r="V346" s="39" t="str">
        <f>IFERROR(bütünleme!AG43*100/bütünleme!$I43,"")</f>
        <v/>
      </c>
      <c r="W346" s="39" t="str">
        <f>IFERROR(bütünleme!AH43*100/bütünleme!$I43,"")</f>
        <v/>
      </c>
      <c r="X346" s="39" t="str">
        <f>IFERROR(bütünleme!AI43*100/bütünleme!$I43,"")</f>
        <v/>
      </c>
      <c r="Y346" s="39" t="str">
        <f>IFERROR(bütünleme!AJ43*100/bütünleme!$I43,"")</f>
        <v/>
      </c>
      <c r="Z346" s="39" t="str">
        <f>IFERROR(bütünleme!AK43*100/bütünleme!$I43,"")</f>
        <v/>
      </c>
      <c r="AA346" s="39" t="str">
        <f>IFERROR(bütünleme!AL43*100/bütünleme!$I43,"")</f>
        <v/>
      </c>
      <c r="AB346" s="39" t="str">
        <f>IFERROR(bütünleme!AM43*100/bütünleme!$I43,"")</f>
        <v/>
      </c>
      <c r="AC346" s="39" t="str">
        <f>IFERROR(bütünleme!AN43*100/bütünleme!$I43,"")</f>
        <v/>
      </c>
      <c r="AD346" s="39" t="str">
        <f>IFERROR(bütünleme!AO43*100/bütünleme!$I43,"")</f>
        <v/>
      </c>
      <c r="AE346" s="39" t="str">
        <f>IFERROR(bütünleme!AP43*100/bütünleme!$I43,"")</f>
        <v/>
      </c>
      <c r="AF346" s="39" t="str">
        <f>IFERROR(bütünleme!AQ43*100/bütünleme!$I43,"")</f>
        <v/>
      </c>
      <c r="AG346" s="39" t="str">
        <f>IFERROR(bütünleme!AR43*100/bütünleme!$I43,"")</f>
        <v/>
      </c>
      <c r="AH346" s="39" t="str">
        <f>IFERROR(bütünleme!AS43*100/bütünleme!$I43,"")</f>
        <v/>
      </c>
      <c r="AI346" s="39" t="str">
        <f>IFERROR(bütünleme!AT43*100/bütünleme!$I43,"")</f>
        <v/>
      </c>
      <c r="AJ346" s="39" t="str">
        <f>IFERROR(bütünleme!AU43*100/bütünleme!$I43,"")</f>
        <v/>
      </c>
      <c r="AK346" s="39" t="str">
        <f>IFERROR(bütünleme!AV43*100/bütünleme!$I43,"")</f>
        <v/>
      </c>
      <c r="AL346" s="39" t="str">
        <f>IFERROR(bütünleme!AW43*100/bütünleme!$I43,"")</f>
        <v/>
      </c>
      <c r="AM346" s="39" t="str">
        <f>IFERROR(bütünleme!AX43*100/bütünleme!$I43,"")</f>
        <v/>
      </c>
      <c r="AN346" s="39" t="str">
        <f>IFERROR(bütünleme!AY43*100/bütünleme!$I43,"")</f>
        <v/>
      </c>
      <c r="AO346" s="39" t="str">
        <f>IFERROR(bütünleme!AZ43*100/bütünleme!$I43,"")</f>
        <v/>
      </c>
      <c r="AP346" s="39" t="str">
        <f>IFERROR(bütünleme!BA43*100/bütünleme!$I43,"")</f>
        <v/>
      </c>
      <c r="AQ346" s="39" t="str">
        <f>IFERROR(bütünleme!BB43*100/bütünleme!$I43,"")</f>
        <v/>
      </c>
      <c r="AR346" s="39" t="str">
        <f>IFERROR(bütünleme!BC43*100/bütünleme!$I43,"")</f>
        <v/>
      </c>
      <c r="AS346" s="39" t="str">
        <f>IFERROR(bütünleme!BD43*100/bütünleme!$I43,"")</f>
        <v/>
      </c>
      <c r="AT346" s="39" t="str">
        <f>IFERROR(bütünleme!BE43*100/bütünleme!$I43,"")</f>
        <v/>
      </c>
      <c r="AU346" s="39" t="str">
        <f>IFERROR(bütünleme!BF43*100/bütünleme!$I43,"")</f>
        <v/>
      </c>
      <c r="AV346" s="39" t="str">
        <f>IFERROR(bütünleme!BG43*100/bütünleme!$I43,"")</f>
        <v/>
      </c>
      <c r="AW346" s="39" t="str">
        <f>IFERROR(bütünleme!BH43*100/bütünleme!$I43,"")</f>
        <v/>
      </c>
      <c r="AX346" s="39" t="str">
        <f>IFERROR(bütünleme!BI43*100/bütünleme!$I43,"")</f>
        <v/>
      </c>
      <c r="AY346" s="39" t="str">
        <f>IFERROR(bütünleme!BJ43*100/bütünleme!$I43,"")</f>
        <v/>
      </c>
      <c r="AZ346" s="39" t="str">
        <f>IFERROR(bütünleme!BK43*100/bütünleme!$I43,"")</f>
        <v/>
      </c>
      <c r="BA346" s="39" t="str">
        <f>IFERROR(bütünleme!BL43*100/bütünleme!$I43,"")</f>
        <v/>
      </c>
      <c r="BB346" s="39" t="str">
        <f>IFERROR(bütünleme!BM43*100/bütünleme!$I43,"")</f>
        <v/>
      </c>
      <c r="BC346" s="39" t="str">
        <f>IFERROR(bütünleme!BN43*100/bütünleme!$I43,"")</f>
        <v/>
      </c>
      <c r="BD346" s="39" t="str">
        <f>IFERROR(bütünleme!BO43*100/bütünleme!$I43,"")</f>
        <v/>
      </c>
      <c r="BE346" s="39" t="str">
        <f>IFERROR(bütünleme!BP43*100/bütünleme!$I43,"")</f>
        <v/>
      </c>
      <c r="BF346" s="39" t="str">
        <f>IFERROR(bütünleme!BQ43*100/bütünleme!$I43,"")</f>
        <v/>
      </c>
      <c r="BG346" s="39" t="str">
        <f>IFERROR(bütünleme!BR43*100/bütünleme!$I43,"")</f>
        <v/>
      </c>
      <c r="BH346" s="39" t="str">
        <f>IFERROR(bütünleme!BS43*100/bütünleme!$I43,"")</f>
        <v/>
      </c>
      <c r="BI346" s="39" t="str">
        <f>IFERROR(bütünleme!BT43*100/bütünleme!$I43,"")</f>
        <v/>
      </c>
      <c r="BJ346" s="39" t="str">
        <f>IFERROR(bütünleme!BU43*100/bütünleme!$I43,"")</f>
        <v/>
      </c>
      <c r="BK346" s="39" t="str">
        <f>IFERROR(bütünleme!BV43*100/bütünleme!$I43,"")</f>
        <v/>
      </c>
      <c r="BL346" s="39" t="str">
        <f>IFERROR(bütünleme!BW43*100/bütünleme!$I43,"")</f>
        <v/>
      </c>
      <c r="BM346" s="39" t="str">
        <f>IFERROR(bütünleme!BX43*100/bütünleme!$I43,"")</f>
        <v/>
      </c>
      <c r="BN346" s="39" t="str">
        <f>IFERROR(bütünleme!BY43*100/bütünleme!$I43,"")</f>
        <v/>
      </c>
      <c r="BO346" s="39" t="str">
        <f>IFERROR(bütünleme!BZ43*100/bütünleme!$I43,"")</f>
        <v/>
      </c>
      <c r="BP346" s="39" t="str">
        <f>IFERROR(bütünleme!CA43*100/bütünleme!$I43,"")</f>
        <v/>
      </c>
      <c r="BQ346" s="39" t="str">
        <f>IFERROR(bütünleme!CB43*100/bütünleme!$I43,"")</f>
        <v/>
      </c>
      <c r="BR346" s="39" t="str">
        <f>IFERROR(bütünleme!CC43*100/bütünleme!$I43,"")</f>
        <v/>
      </c>
      <c r="BS346" s="39" t="str">
        <f>IFERROR(bütünleme!CD43*100/bütünleme!$I43,"")</f>
        <v/>
      </c>
      <c r="BT346" s="39" t="str">
        <f>IFERROR(bütünleme!CE43*100/bütünleme!$I43,"")</f>
        <v/>
      </c>
      <c r="BU346" s="39" t="str">
        <f>IFERROR(bütünleme!CF43*100/bütünleme!$I43,"")</f>
        <v/>
      </c>
      <c r="BV346" s="39" t="str">
        <f>IFERROR(bütünleme!CG43*100/bütünleme!$I43,"")</f>
        <v/>
      </c>
      <c r="BW346" s="39" t="str">
        <f>IFERROR(bütünleme!CH43*100/bütünleme!$I43,"")</f>
        <v/>
      </c>
      <c r="BX346" s="39" t="str">
        <f>IFERROR(bütünleme!CI43*100/bütünleme!$I43,"")</f>
        <v/>
      </c>
      <c r="BY346" s="39" t="str">
        <f>IFERROR(bütünleme!CJ43*100/bütünleme!$I43,"")</f>
        <v/>
      </c>
      <c r="BZ346" s="39" t="str">
        <f>IFERROR(bütünleme!CK43*100/bütünleme!$I43,"")</f>
        <v/>
      </c>
      <c r="CA346" s="39" t="str">
        <f>IFERROR(bütünleme!CL43*100/bütünleme!$I43,"")</f>
        <v/>
      </c>
      <c r="CB346" s="39" t="str">
        <f>IFERROR(bütünleme!CM43*100/bütünleme!$I43,"")</f>
        <v/>
      </c>
      <c r="CC346" s="39" t="str">
        <f>IFERROR(bütünleme!CN43*100/bütünleme!$I43,"")</f>
        <v/>
      </c>
      <c r="CD346" s="39" t="str">
        <f>IFERROR(bütünleme!CO43*100/bütünleme!$I43,"")</f>
        <v/>
      </c>
      <c r="CE346" s="39" t="str">
        <f>IFERROR(bütünleme!CP43*100/bütünleme!$I43,"")</f>
        <v/>
      </c>
      <c r="CF346" s="39" t="str">
        <f>IFERROR(bütünleme!CQ43*100/bütünleme!$I43,"")</f>
        <v/>
      </c>
      <c r="CG346" s="39" t="str">
        <f>IFERROR(bütünleme!CR43*100/bütünleme!$I43,"")</f>
        <v/>
      </c>
      <c r="CH346" s="39" t="str">
        <f>IFERROR(bütünleme!CS43*100/bütünleme!$I43,"")</f>
        <v/>
      </c>
      <c r="CI346" s="39" t="str">
        <f>IFERROR(bütünleme!CT43*100/bütünleme!$I43,"")</f>
        <v/>
      </c>
      <c r="CJ346" s="39" t="str">
        <f>IFERROR(bütünleme!CU43*100/bütünleme!$I43,"")</f>
        <v/>
      </c>
      <c r="CK346" s="39" t="str">
        <f>IFERROR(bütünleme!CV43*100/bütünleme!$I43,"")</f>
        <v/>
      </c>
      <c r="CL346" s="39" t="str">
        <f>IFERROR(bütünleme!CW43*100/bütünleme!$I43,"")</f>
        <v/>
      </c>
      <c r="CM346" s="39" t="str">
        <f>IFERROR(bütünleme!CX43*100/bütünleme!$I43,"")</f>
        <v/>
      </c>
      <c r="CN346" s="39" t="str">
        <f>IFERROR(bütünleme!CY43*100/bütünleme!$I43,"")</f>
        <v/>
      </c>
      <c r="CO346" s="39" t="str">
        <f>IFERROR(bütünleme!CZ43*100/bütünleme!$I43,"")</f>
        <v/>
      </c>
      <c r="CP346" s="39" t="str">
        <f>IFERROR(bütünleme!DA43*100/bütünleme!$I43,"")</f>
        <v/>
      </c>
      <c r="CQ346" s="39" t="str">
        <f>IFERROR(bütünleme!DB43*100/bütünleme!$I43,"")</f>
        <v/>
      </c>
      <c r="CR346" s="39" t="str">
        <f>IFERROR(bütünleme!DC43*100/bütünleme!$I43,"")</f>
        <v/>
      </c>
      <c r="CS346" s="39" t="str">
        <f>IFERROR(bütünleme!DD43*100/bütünleme!$I43,"")</f>
        <v/>
      </c>
      <c r="CT346" s="39" t="str">
        <f>IFERROR(bütünleme!DE43*100/bütünleme!$I43,"")</f>
        <v/>
      </c>
      <c r="CU346" s="39" t="str">
        <f>IFERROR(bütünleme!DF43*100/bütünleme!$I43,"")</f>
        <v/>
      </c>
      <c r="CV346" s="39" t="str">
        <f>IFERROR(bütünleme!DG43*100/bütünleme!$I43,"")</f>
        <v/>
      </c>
      <c r="CW346" s="36" t="str">
        <f>IFERROR(SUM(A346:CV346)/bütünleme!$DH$103,"")</f>
        <v/>
      </c>
      <c r="CX346" s="14" t="str">
        <f>IF(COUNTA(bütünleme!A43),bütünleme!A43,"")</f>
        <v/>
      </c>
      <c r="CY346" s="14" t="str">
        <f>IF(COUNTA(bütünleme!B43),bütünleme!B43,"")</f>
        <v/>
      </c>
      <c r="CZ346" s="14" t="str">
        <f>IF(COUNTA(bütünleme!C43),bütünleme!C43,"")</f>
        <v/>
      </c>
      <c r="DA346" s="14" t="str">
        <f>IF(COUNTA(bütünleme!D43),bütünleme!D43,"")</f>
        <v/>
      </c>
      <c r="DB346" s="14" t="str">
        <f>IF(COUNTA(bütünleme!E43),bütünleme!E43,"")</f>
        <v/>
      </c>
      <c r="DC346" s="14" t="str">
        <f>IF(COUNTA(bütünleme!F43),bütünleme!F43,"")</f>
        <v/>
      </c>
      <c r="DD346" s="14" t="str">
        <f>IF(COUNTA(bütünleme!G43),bütünleme!G43,"")</f>
        <v/>
      </c>
      <c r="DE346" s="14" t="str">
        <f>IF(COUNTA(bütünleme!H43),bütünleme!H43,"")</f>
        <v/>
      </c>
    </row>
    <row r="347" spans="1:109" x14ac:dyDescent="0.2">
      <c r="A347" s="39" t="str">
        <f>IFERROR(bütünleme!L44*100/bütünleme!$I44,"")</f>
        <v/>
      </c>
      <c r="B347" s="39" t="str">
        <f>IFERROR(bütünleme!M44*100/bütünleme!$I44,"")</f>
        <v/>
      </c>
      <c r="C347" s="39" t="str">
        <f>IFERROR(bütünleme!N44*100/bütünleme!$I44,"")</f>
        <v/>
      </c>
      <c r="D347" s="39" t="str">
        <f>IFERROR(bütünleme!O44*100/bütünleme!$I44,"")</f>
        <v/>
      </c>
      <c r="E347" s="39" t="str">
        <f>IFERROR(bütünleme!P44*100/bütünleme!$I44,"")</f>
        <v/>
      </c>
      <c r="F347" s="39" t="str">
        <f>IFERROR(bütünleme!Q44*100/bütünleme!$I44,"")</f>
        <v/>
      </c>
      <c r="G347" s="39" t="str">
        <f>IFERROR(bütünleme!R44*100/bütünleme!$I44,"")</f>
        <v/>
      </c>
      <c r="H347" s="39" t="str">
        <f>IFERROR(bütünleme!S44*100/bütünleme!$I44,"")</f>
        <v/>
      </c>
      <c r="I347" s="39" t="str">
        <f>IFERROR(bütünleme!T44*100/bütünleme!$I44,"")</f>
        <v/>
      </c>
      <c r="J347" s="39" t="str">
        <f>IFERROR(bütünleme!U44*100/bütünleme!$I44,"")</f>
        <v/>
      </c>
      <c r="K347" s="39" t="str">
        <f>IFERROR(bütünleme!V44*100/bütünleme!$I44,"")</f>
        <v/>
      </c>
      <c r="L347" s="39" t="str">
        <f>IFERROR(bütünleme!W44*100/bütünleme!$I44,"")</f>
        <v/>
      </c>
      <c r="M347" s="39" t="str">
        <f>IFERROR(bütünleme!X44*100/bütünleme!$I44,"")</f>
        <v/>
      </c>
      <c r="N347" s="39" t="str">
        <f>IFERROR(bütünleme!Y44*100/bütünleme!$I44,"")</f>
        <v/>
      </c>
      <c r="O347" s="39" t="str">
        <f>IFERROR(bütünleme!Z44*100/bütünleme!$I44,"")</f>
        <v/>
      </c>
      <c r="P347" s="39" t="str">
        <f>IFERROR(bütünleme!AA44*100/bütünleme!$I44,"")</f>
        <v/>
      </c>
      <c r="Q347" s="39" t="str">
        <f>IFERROR(bütünleme!AB44*100/bütünleme!$I44,"")</f>
        <v/>
      </c>
      <c r="R347" s="39" t="str">
        <f>IFERROR(bütünleme!AC44*100/bütünleme!$I44,"")</f>
        <v/>
      </c>
      <c r="S347" s="39" t="str">
        <f>IFERROR(bütünleme!AD44*100/bütünleme!$I44,"")</f>
        <v/>
      </c>
      <c r="T347" s="39" t="str">
        <f>IFERROR(bütünleme!AE44*100/bütünleme!$I44,"")</f>
        <v/>
      </c>
      <c r="U347" s="39" t="str">
        <f>IFERROR(bütünleme!AF44*100/bütünleme!$I44,"")</f>
        <v/>
      </c>
      <c r="V347" s="39" t="str">
        <f>IFERROR(bütünleme!AG44*100/bütünleme!$I44,"")</f>
        <v/>
      </c>
      <c r="W347" s="39" t="str">
        <f>IFERROR(bütünleme!AH44*100/bütünleme!$I44,"")</f>
        <v/>
      </c>
      <c r="X347" s="39" t="str">
        <f>IFERROR(bütünleme!AI44*100/bütünleme!$I44,"")</f>
        <v/>
      </c>
      <c r="Y347" s="39" t="str">
        <f>IFERROR(bütünleme!AJ44*100/bütünleme!$I44,"")</f>
        <v/>
      </c>
      <c r="Z347" s="39" t="str">
        <f>IFERROR(bütünleme!AK44*100/bütünleme!$I44,"")</f>
        <v/>
      </c>
      <c r="AA347" s="39" t="str">
        <f>IFERROR(bütünleme!AL44*100/bütünleme!$I44,"")</f>
        <v/>
      </c>
      <c r="AB347" s="39" t="str">
        <f>IFERROR(bütünleme!AM44*100/bütünleme!$I44,"")</f>
        <v/>
      </c>
      <c r="AC347" s="39" t="str">
        <f>IFERROR(bütünleme!AN44*100/bütünleme!$I44,"")</f>
        <v/>
      </c>
      <c r="AD347" s="39" t="str">
        <f>IFERROR(bütünleme!AO44*100/bütünleme!$I44,"")</f>
        <v/>
      </c>
      <c r="AE347" s="39" t="str">
        <f>IFERROR(bütünleme!AP44*100/bütünleme!$I44,"")</f>
        <v/>
      </c>
      <c r="AF347" s="39" t="str">
        <f>IFERROR(bütünleme!AQ44*100/bütünleme!$I44,"")</f>
        <v/>
      </c>
      <c r="AG347" s="39" t="str">
        <f>IFERROR(bütünleme!AR44*100/bütünleme!$I44,"")</f>
        <v/>
      </c>
      <c r="AH347" s="39" t="str">
        <f>IFERROR(bütünleme!AS44*100/bütünleme!$I44,"")</f>
        <v/>
      </c>
      <c r="AI347" s="39" t="str">
        <f>IFERROR(bütünleme!AT44*100/bütünleme!$I44,"")</f>
        <v/>
      </c>
      <c r="AJ347" s="39" t="str">
        <f>IFERROR(bütünleme!AU44*100/bütünleme!$I44,"")</f>
        <v/>
      </c>
      <c r="AK347" s="39" t="str">
        <f>IFERROR(bütünleme!AV44*100/bütünleme!$I44,"")</f>
        <v/>
      </c>
      <c r="AL347" s="39" t="str">
        <f>IFERROR(bütünleme!AW44*100/bütünleme!$I44,"")</f>
        <v/>
      </c>
      <c r="AM347" s="39" t="str">
        <f>IFERROR(bütünleme!AX44*100/bütünleme!$I44,"")</f>
        <v/>
      </c>
      <c r="AN347" s="39" t="str">
        <f>IFERROR(bütünleme!AY44*100/bütünleme!$I44,"")</f>
        <v/>
      </c>
      <c r="AO347" s="39" t="str">
        <f>IFERROR(bütünleme!AZ44*100/bütünleme!$I44,"")</f>
        <v/>
      </c>
      <c r="AP347" s="39" t="str">
        <f>IFERROR(bütünleme!BA44*100/bütünleme!$I44,"")</f>
        <v/>
      </c>
      <c r="AQ347" s="39" t="str">
        <f>IFERROR(bütünleme!BB44*100/bütünleme!$I44,"")</f>
        <v/>
      </c>
      <c r="AR347" s="39" t="str">
        <f>IFERROR(bütünleme!BC44*100/bütünleme!$I44,"")</f>
        <v/>
      </c>
      <c r="AS347" s="39" t="str">
        <f>IFERROR(bütünleme!BD44*100/bütünleme!$I44,"")</f>
        <v/>
      </c>
      <c r="AT347" s="39" t="str">
        <f>IFERROR(bütünleme!BE44*100/bütünleme!$I44,"")</f>
        <v/>
      </c>
      <c r="AU347" s="39" t="str">
        <f>IFERROR(bütünleme!BF44*100/bütünleme!$I44,"")</f>
        <v/>
      </c>
      <c r="AV347" s="39" t="str">
        <f>IFERROR(bütünleme!BG44*100/bütünleme!$I44,"")</f>
        <v/>
      </c>
      <c r="AW347" s="39" t="str">
        <f>IFERROR(bütünleme!BH44*100/bütünleme!$I44,"")</f>
        <v/>
      </c>
      <c r="AX347" s="39" t="str">
        <f>IFERROR(bütünleme!BI44*100/bütünleme!$I44,"")</f>
        <v/>
      </c>
      <c r="AY347" s="39" t="str">
        <f>IFERROR(bütünleme!BJ44*100/bütünleme!$I44,"")</f>
        <v/>
      </c>
      <c r="AZ347" s="39" t="str">
        <f>IFERROR(bütünleme!BK44*100/bütünleme!$I44,"")</f>
        <v/>
      </c>
      <c r="BA347" s="39" t="str">
        <f>IFERROR(bütünleme!BL44*100/bütünleme!$I44,"")</f>
        <v/>
      </c>
      <c r="BB347" s="39" t="str">
        <f>IFERROR(bütünleme!BM44*100/bütünleme!$I44,"")</f>
        <v/>
      </c>
      <c r="BC347" s="39" t="str">
        <f>IFERROR(bütünleme!BN44*100/bütünleme!$I44,"")</f>
        <v/>
      </c>
      <c r="BD347" s="39" t="str">
        <f>IFERROR(bütünleme!BO44*100/bütünleme!$I44,"")</f>
        <v/>
      </c>
      <c r="BE347" s="39" t="str">
        <f>IFERROR(bütünleme!BP44*100/bütünleme!$I44,"")</f>
        <v/>
      </c>
      <c r="BF347" s="39" t="str">
        <f>IFERROR(bütünleme!BQ44*100/bütünleme!$I44,"")</f>
        <v/>
      </c>
      <c r="BG347" s="39" t="str">
        <f>IFERROR(bütünleme!BR44*100/bütünleme!$I44,"")</f>
        <v/>
      </c>
      <c r="BH347" s="39" t="str">
        <f>IFERROR(bütünleme!BS44*100/bütünleme!$I44,"")</f>
        <v/>
      </c>
      <c r="BI347" s="39" t="str">
        <f>IFERROR(bütünleme!BT44*100/bütünleme!$I44,"")</f>
        <v/>
      </c>
      <c r="BJ347" s="39" t="str">
        <f>IFERROR(bütünleme!BU44*100/bütünleme!$I44,"")</f>
        <v/>
      </c>
      <c r="BK347" s="39" t="str">
        <f>IFERROR(bütünleme!BV44*100/bütünleme!$I44,"")</f>
        <v/>
      </c>
      <c r="BL347" s="39" t="str">
        <f>IFERROR(bütünleme!BW44*100/bütünleme!$I44,"")</f>
        <v/>
      </c>
      <c r="BM347" s="39" t="str">
        <f>IFERROR(bütünleme!BX44*100/bütünleme!$I44,"")</f>
        <v/>
      </c>
      <c r="BN347" s="39" t="str">
        <f>IFERROR(bütünleme!BY44*100/bütünleme!$I44,"")</f>
        <v/>
      </c>
      <c r="BO347" s="39" t="str">
        <f>IFERROR(bütünleme!BZ44*100/bütünleme!$I44,"")</f>
        <v/>
      </c>
      <c r="BP347" s="39" t="str">
        <f>IFERROR(bütünleme!CA44*100/bütünleme!$I44,"")</f>
        <v/>
      </c>
      <c r="BQ347" s="39" t="str">
        <f>IFERROR(bütünleme!CB44*100/bütünleme!$I44,"")</f>
        <v/>
      </c>
      <c r="BR347" s="39" t="str">
        <f>IFERROR(bütünleme!CC44*100/bütünleme!$I44,"")</f>
        <v/>
      </c>
      <c r="BS347" s="39" t="str">
        <f>IFERROR(bütünleme!CD44*100/bütünleme!$I44,"")</f>
        <v/>
      </c>
      <c r="BT347" s="39" t="str">
        <f>IFERROR(bütünleme!CE44*100/bütünleme!$I44,"")</f>
        <v/>
      </c>
      <c r="BU347" s="39" t="str">
        <f>IFERROR(bütünleme!CF44*100/bütünleme!$I44,"")</f>
        <v/>
      </c>
      <c r="BV347" s="39" t="str">
        <f>IFERROR(bütünleme!CG44*100/bütünleme!$I44,"")</f>
        <v/>
      </c>
      <c r="BW347" s="39" t="str">
        <f>IFERROR(bütünleme!CH44*100/bütünleme!$I44,"")</f>
        <v/>
      </c>
      <c r="BX347" s="39" t="str">
        <f>IFERROR(bütünleme!CI44*100/bütünleme!$I44,"")</f>
        <v/>
      </c>
      <c r="BY347" s="39" t="str">
        <f>IFERROR(bütünleme!CJ44*100/bütünleme!$I44,"")</f>
        <v/>
      </c>
      <c r="BZ347" s="39" t="str">
        <f>IFERROR(bütünleme!CK44*100/bütünleme!$I44,"")</f>
        <v/>
      </c>
      <c r="CA347" s="39" t="str">
        <f>IFERROR(bütünleme!CL44*100/bütünleme!$I44,"")</f>
        <v/>
      </c>
      <c r="CB347" s="39" t="str">
        <f>IFERROR(bütünleme!CM44*100/bütünleme!$I44,"")</f>
        <v/>
      </c>
      <c r="CC347" s="39" t="str">
        <f>IFERROR(bütünleme!CN44*100/bütünleme!$I44,"")</f>
        <v/>
      </c>
      <c r="CD347" s="39" t="str">
        <f>IFERROR(bütünleme!CO44*100/bütünleme!$I44,"")</f>
        <v/>
      </c>
      <c r="CE347" s="39" t="str">
        <f>IFERROR(bütünleme!CP44*100/bütünleme!$I44,"")</f>
        <v/>
      </c>
      <c r="CF347" s="39" t="str">
        <f>IFERROR(bütünleme!CQ44*100/bütünleme!$I44,"")</f>
        <v/>
      </c>
      <c r="CG347" s="39" t="str">
        <f>IFERROR(bütünleme!CR44*100/bütünleme!$I44,"")</f>
        <v/>
      </c>
      <c r="CH347" s="39" t="str">
        <f>IFERROR(bütünleme!CS44*100/bütünleme!$I44,"")</f>
        <v/>
      </c>
      <c r="CI347" s="39" t="str">
        <f>IFERROR(bütünleme!CT44*100/bütünleme!$I44,"")</f>
        <v/>
      </c>
      <c r="CJ347" s="39" t="str">
        <f>IFERROR(bütünleme!CU44*100/bütünleme!$I44,"")</f>
        <v/>
      </c>
      <c r="CK347" s="39" t="str">
        <f>IFERROR(bütünleme!CV44*100/bütünleme!$I44,"")</f>
        <v/>
      </c>
      <c r="CL347" s="39" t="str">
        <f>IFERROR(bütünleme!CW44*100/bütünleme!$I44,"")</f>
        <v/>
      </c>
      <c r="CM347" s="39" t="str">
        <f>IFERROR(bütünleme!CX44*100/bütünleme!$I44,"")</f>
        <v/>
      </c>
      <c r="CN347" s="39" t="str">
        <f>IFERROR(bütünleme!CY44*100/bütünleme!$I44,"")</f>
        <v/>
      </c>
      <c r="CO347" s="39" t="str">
        <f>IFERROR(bütünleme!CZ44*100/bütünleme!$I44,"")</f>
        <v/>
      </c>
      <c r="CP347" s="39" t="str">
        <f>IFERROR(bütünleme!DA44*100/bütünleme!$I44,"")</f>
        <v/>
      </c>
      <c r="CQ347" s="39" t="str">
        <f>IFERROR(bütünleme!DB44*100/bütünleme!$I44,"")</f>
        <v/>
      </c>
      <c r="CR347" s="39" t="str">
        <f>IFERROR(bütünleme!DC44*100/bütünleme!$I44,"")</f>
        <v/>
      </c>
      <c r="CS347" s="39" t="str">
        <f>IFERROR(bütünleme!DD44*100/bütünleme!$I44,"")</f>
        <v/>
      </c>
      <c r="CT347" s="39" t="str">
        <f>IFERROR(bütünleme!DE44*100/bütünleme!$I44,"")</f>
        <v/>
      </c>
      <c r="CU347" s="39" t="str">
        <f>IFERROR(bütünleme!DF44*100/bütünleme!$I44,"")</f>
        <v/>
      </c>
      <c r="CV347" s="39" t="str">
        <f>IFERROR(bütünleme!DG44*100/bütünleme!$I44,"")</f>
        <v/>
      </c>
      <c r="CW347" s="36" t="str">
        <f>IFERROR(SUM(A347:CV347)/bütünleme!$DH$103,"")</f>
        <v/>
      </c>
      <c r="CX347" s="14" t="str">
        <f>IF(COUNTA(bütünleme!A44),bütünleme!A44,"")</f>
        <v/>
      </c>
      <c r="CY347" s="14" t="str">
        <f>IF(COUNTA(bütünleme!B44),bütünleme!B44,"")</f>
        <v/>
      </c>
      <c r="CZ347" s="14" t="str">
        <f>IF(COUNTA(bütünleme!C44),bütünleme!C44,"")</f>
        <v/>
      </c>
      <c r="DA347" s="14" t="str">
        <f>IF(COUNTA(bütünleme!D44),bütünleme!D44,"")</f>
        <v/>
      </c>
      <c r="DB347" s="14" t="str">
        <f>IF(COUNTA(bütünleme!E44),bütünleme!E44,"")</f>
        <v/>
      </c>
      <c r="DC347" s="14" t="str">
        <f>IF(COUNTA(bütünleme!F44),bütünleme!F44,"")</f>
        <v/>
      </c>
      <c r="DD347" s="14" t="str">
        <f>IF(COUNTA(bütünleme!G44),bütünleme!G44,"")</f>
        <v/>
      </c>
      <c r="DE347" s="14" t="str">
        <f>IF(COUNTA(bütünleme!H44),bütünleme!H44,"")</f>
        <v/>
      </c>
    </row>
    <row r="348" spans="1:109" x14ac:dyDescent="0.2">
      <c r="A348" s="39" t="str">
        <f>IFERROR(bütünleme!L45*100/bütünleme!$I45,"")</f>
        <v/>
      </c>
      <c r="B348" s="39" t="str">
        <f>IFERROR(bütünleme!M45*100/bütünleme!$I45,"")</f>
        <v/>
      </c>
      <c r="C348" s="39" t="str">
        <f>IFERROR(bütünleme!N45*100/bütünleme!$I45,"")</f>
        <v/>
      </c>
      <c r="D348" s="39" t="str">
        <f>IFERROR(bütünleme!O45*100/bütünleme!$I45,"")</f>
        <v/>
      </c>
      <c r="E348" s="39" t="str">
        <f>IFERROR(bütünleme!P45*100/bütünleme!$I45,"")</f>
        <v/>
      </c>
      <c r="F348" s="39" t="str">
        <f>IFERROR(bütünleme!Q45*100/bütünleme!$I45,"")</f>
        <v/>
      </c>
      <c r="G348" s="39" t="str">
        <f>IFERROR(bütünleme!R45*100/bütünleme!$I45,"")</f>
        <v/>
      </c>
      <c r="H348" s="39" t="str">
        <f>IFERROR(bütünleme!S45*100/bütünleme!$I45,"")</f>
        <v/>
      </c>
      <c r="I348" s="39" t="str">
        <f>IFERROR(bütünleme!T45*100/bütünleme!$I45,"")</f>
        <v/>
      </c>
      <c r="J348" s="39" t="str">
        <f>IFERROR(bütünleme!U45*100/bütünleme!$I45,"")</f>
        <v/>
      </c>
      <c r="K348" s="39" t="str">
        <f>IFERROR(bütünleme!V45*100/bütünleme!$I45,"")</f>
        <v/>
      </c>
      <c r="L348" s="39" t="str">
        <f>IFERROR(bütünleme!W45*100/bütünleme!$I45,"")</f>
        <v/>
      </c>
      <c r="M348" s="39" t="str">
        <f>IFERROR(bütünleme!X45*100/bütünleme!$I45,"")</f>
        <v/>
      </c>
      <c r="N348" s="39" t="str">
        <f>IFERROR(bütünleme!Y45*100/bütünleme!$I45,"")</f>
        <v/>
      </c>
      <c r="O348" s="39" t="str">
        <f>IFERROR(bütünleme!Z45*100/bütünleme!$I45,"")</f>
        <v/>
      </c>
      <c r="P348" s="39" t="str">
        <f>IFERROR(bütünleme!AA45*100/bütünleme!$I45,"")</f>
        <v/>
      </c>
      <c r="Q348" s="39" t="str">
        <f>IFERROR(bütünleme!AB45*100/bütünleme!$I45,"")</f>
        <v/>
      </c>
      <c r="R348" s="39" t="str">
        <f>IFERROR(bütünleme!AC45*100/bütünleme!$I45,"")</f>
        <v/>
      </c>
      <c r="S348" s="39" t="str">
        <f>IFERROR(bütünleme!AD45*100/bütünleme!$I45,"")</f>
        <v/>
      </c>
      <c r="T348" s="39" t="str">
        <f>IFERROR(bütünleme!AE45*100/bütünleme!$I45,"")</f>
        <v/>
      </c>
      <c r="U348" s="39" t="str">
        <f>IFERROR(bütünleme!AF45*100/bütünleme!$I45,"")</f>
        <v/>
      </c>
      <c r="V348" s="39" t="str">
        <f>IFERROR(bütünleme!AG45*100/bütünleme!$I45,"")</f>
        <v/>
      </c>
      <c r="W348" s="39" t="str">
        <f>IFERROR(bütünleme!AH45*100/bütünleme!$I45,"")</f>
        <v/>
      </c>
      <c r="X348" s="39" t="str">
        <f>IFERROR(bütünleme!AI45*100/bütünleme!$I45,"")</f>
        <v/>
      </c>
      <c r="Y348" s="39" t="str">
        <f>IFERROR(bütünleme!AJ45*100/bütünleme!$I45,"")</f>
        <v/>
      </c>
      <c r="Z348" s="39" t="str">
        <f>IFERROR(bütünleme!AK45*100/bütünleme!$I45,"")</f>
        <v/>
      </c>
      <c r="AA348" s="39" t="str">
        <f>IFERROR(bütünleme!AL45*100/bütünleme!$I45,"")</f>
        <v/>
      </c>
      <c r="AB348" s="39" t="str">
        <f>IFERROR(bütünleme!AM45*100/bütünleme!$I45,"")</f>
        <v/>
      </c>
      <c r="AC348" s="39" t="str">
        <f>IFERROR(bütünleme!AN45*100/bütünleme!$I45,"")</f>
        <v/>
      </c>
      <c r="AD348" s="39" t="str">
        <f>IFERROR(bütünleme!AO45*100/bütünleme!$I45,"")</f>
        <v/>
      </c>
      <c r="AE348" s="39" t="str">
        <f>IFERROR(bütünleme!AP45*100/bütünleme!$I45,"")</f>
        <v/>
      </c>
      <c r="AF348" s="39" t="str">
        <f>IFERROR(bütünleme!AQ45*100/bütünleme!$I45,"")</f>
        <v/>
      </c>
      <c r="AG348" s="39" t="str">
        <f>IFERROR(bütünleme!AR45*100/bütünleme!$I45,"")</f>
        <v/>
      </c>
      <c r="AH348" s="39" t="str">
        <f>IFERROR(bütünleme!AS45*100/bütünleme!$I45,"")</f>
        <v/>
      </c>
      <c r="AI348" s="39" t="str">
        <f>IFERROR(bütünleme!AT45*100/bütünleme!$I45,"")</f>
        <v/>
      </c>
      <c r="AJ348" s="39" t="str">
        <f>IFERROR(bütünleme!AU45*100/bütünleme!$I45,"")</f>
        <v/>
      </c>
      <c r="AK348" s="39" t="str">
        <f>IFERROR(bütünleme!AV45*100/bütünleme!$I45,"")</f>
        <v/>
      </c>
      <c r="AL348" s="39" t="str">
        <f>IFERROR(bütünleme!AW45*100/bütünleme!$I45,"")</f>
        <v/>
      </c>
      <c r="AM348" s="39" t="str">
        <f>IFERROR(bütünleme!AX45*100/bütünleme!$I45,"")</f>
        <v/>
      </c>
      <c r="AN348" s="39" t="str">
        <f>IFERROR(bütünleme!AY45*100/bütünleme!$I45,"")</f>
        <v/>
      </c>
      <c r="AO348" s="39" t="str">
        <f>IFERROR(bütünleme!AZ45*100/bütünleme!$I45,"")</f>
        <v/>
      </c>
      <c r="AP348" s="39" t="str">
        <f>IFERROR(bütünleme!BA45*100/bütünleme!$I45,"")</f>
        <v/>
      </c>
      <c r="AQ348" s="39" t="str">
        <f>IFERROR(bütünleme!BB45*100/bütünleme!$I45,"")</f>
        <v/>
      </c>
      <c r="AR348" s="39" t="str">
        <f>IFERROR(bütünleme!BC45*100/bütünleme!$I45,"")</f>
        <v/>
      </c>
      <c r="AS348" s="39" t="str">
        <f>IFERROR(bütünleme!BD45*100/bütünleme!$I45,"")</f>
        <v/>
      </c>
      <c r="AT348" s="39" t="str">
        <f>IFERROR(bütünleme!BE45*100/bütünleme!$I45,"")</f>
        <v/>
      </c>
      <c r="AU348" s="39" t="str">
        <f>IFERROR(bütünleme!BF45*100/bütünleme!$I45,"")</f>
        <v/>
      </c>
      <c r="AV348" s="39" t="str">
        <f>IFERROR(bütünleme!BG45*100/bütünleme!$I45,"")</f>
        <v/>
      </c>
      <c r="AW348" s="39" t="str">
        <f>IFERROR(bütünleme!BH45*100/bütünleme!$I45,"")</f>
        <v/>
      </c>
      <c r="AX348" s="39" t="str">
        <f>IFERROR(bütünleme!BI45*100/bütünleme!$I45,"")</f>
        <v/>
      </c>
      <c r="AY348" s="39" t="str">
        <f>IFERROR(bütünleme!BJ45*100/bütünleme!$I45,"")</f>
        <v/>
      </c>
      <c r="AZ348" s="39" t="str">
        <f>IFERROR(bütünleme!BK45*100/bütünleme!$I45,"")</f>
        <v/>
      </c>
      <c r="BA348" s="39" t="str">
        <f>IFERROR(bütünleme!BL45*100/bütünleme!$I45,"")</f>
        <v/>
      </c>
      <c r="BB348" s="39" t="str">
        <f>IFERROR(bütünleme!BM45*100/bütünleme!$I45,"")</f>
        <v/>
      </c>
      <c r="BC348" s="39" t="str">
        <f>IFERROR(bütünleme!BN45*100/bütünleme!$I45,"")</f>
        <v/>
      </c>
      <c r="BD348" s="39" t="str">
        <f>IFERROR(bütünleme!BO45*100/bütünleme!$I45,"")</f>
        <v/>
      </c>
      <c r="BE348" s="39" t="str">
        <f>IFERROR(bütünleme!BP45*100/bütünleme!$I45,"")</f>
        <v/>
      </c>
      <c r="BF348" s="39" t="str">
        <f>IFERROR(bütünleme!BQ45*100/bütünleme!$I45,"")</f>
        <v/>
      </c>
      <c r="BG348" s="39" t="str">
        <f>IFERROR(bütünleme!BR45*100/bütünleme!$I45,"")</f>
        <v/>
      </c>
      <c r="BH348" s="39" t="str">
        <f>IFERROR(bütünleme!BS45*100/bütünleme!$I45,"")</f>
        <v/>
      </c>
      <c r="BI348" s="39" t="str">
        <f>IFERROR(bütünleme!BT45*100/bütünleme!$I45,"")</f>
        <v/>
      </c>
      <c r="BJ348" s="39" t="str">
        <f>IFERROR(bütünleme!BU45*100/bütünleme!$I45,"")</f>
        <v/>
      </c>
      <c r="BK348" s="39" t="str">
        <f>IFERROR(bütünleme!BV45*100/bütünleme!$I45,"")</f>
        <v/>
      </c>
      <c r="BL348" s="39" t="str">
        <f>IFERROR(bütünleme!BW45*100/bütünleme!$I45,"")</f>
        <v/>
      </c>
      <c r="BM348" s="39" t="str">
        <f>IFERROR(bütünleme!BX45*100/bütünleme!$I45,"")</f>
        <v/>
      </c>
      <c r="BN348" s="39" t="str">
        <f>IFERROR(bütünleme!BY45*100/bütünleme!$I45,"")</f>
        <v/>
      </c>
      <c r="BO348" s="39" t="str">
        <f>IFERROR(bütünleme!BZ45*100/bütünleme!$I45,"")</f>
        <v/>
      </c>
      <c r="BP348" s="39" t="str">
        <f>IFERROR(bütünleme!CA45*100/bütünleme!$I45,"")</f>
        <v/>
      </c>
      <c r="BQ348" s="39" t="str">
        <f>IFERROR(bütünleme!CB45*100/bütünleme!$I45,"")</f>
        <v/>
      </c>
      <c r="BR348" s="39" t="str">
        <f>IFERROR(bütünleme!CC45*100/bütünleme!$I45,"")</f>
        <v/>
      </c>
      <c r="BS348" s="39" t="str">
        <f>IFERROR(bütünleme!CD45*100/bütünleme!$I45,"")</f>
        <v/>
      </c>
      <c r="BT348" s="39" t="str">
        <f>IFERROR(bütünleme!CE45*100/bütünleme!$I45,"")</f>
        <v/>
      </c>
      <c r="BU348" s="39" t="str">
        <f>IFERROR(bütünleme!CF45*100/bütünleme!$I45,"")</f>
        <v/>
      </c>
      <c r="BV348" s="39" t="str">
        <f>IFERROR(bütünleme!CG45*100/bütünleme!$I45,"")</f>
        <v/>
      </c>
      <c r="BW348" s="39" t="str">
        <f>IFERROR(bütünleme!CH45*100/bütünleme!$I45,"")</f>
        <v/>
      </c>
      <c r="BX348" s="39" t="str">
        <f>IFERROR(bütünleme!CI45*100/bütünleme!$I45,"")</f>
        <v/>
      </c>
      <c r="BY348" s="39" t="str">
        <f>IFERROR(bütünleme!CJ45*100/bütünleme!$I45,"")</f>
        <v/>
      </c>
      <c r="BZ348" s="39" t="str">
        <f>IFERROR(bütünleme!CK45*100/bütünleme!$I45,"")</f>
        <v/>
      </c>
      <c r="CA348" s="39" t="str">
        <f>IFERROR(bütünleme!CL45*100/bütünleme!$I45,"")</f>
        <v/>
      </c>
      <c r="CB348" s="39" t="str">
        <f>IFERROR(bütünleme!CM45*100/bütünleme!$I45,"")</f>
        <v/>
      </c>
      <c r="CC348" s="39" t="str">
        <f>IFERROR(bütünleme!CN45*100/bütünleme!$I45,"")</f>
        <v/>
      </c>
      <c r="CD348" s="39" t="str">
        <f>IFERROR(bütünleme!CO45*100/bütünleme!$I45,"")</f>
        <v/>
      </c>
      <c r="CE348" s="39" t="str">
        <f>IFERROR(bütünleme!CP45*100/bütünleme!$I45,"")</f>
        <v/>
      </c>
      <c r="CF348" s="39" t="str">
        <f>IFERROR(bütünleme!CQ45*100/bütünleme!$I45,"")</f>
        <v/>
      </c>
      <c r="CG348" s="39" t="str">
        <f>IFERROR(bütünleme!CR45*100/bütünleme!$I45,"")</f>
        <v/>
      </c>
      <c r="CH348" s="39" t="str">
        <f>IFERROR(bütünleme!CS45*100/bütünleme!$I45,"")</f>
        <v/>
      </c>
      <c r="CI348" s="39" t="str">
        <f>IFERROR(bütünleme!CT45*100/bütünleme!$I45,"")</f>
        <v/>
      </c>
      <c r="CJ348" s="39" t="str">
        <f>IFERROR(bütünleme!CU45*100/bütünleme!$I45,"")</f>
        <v/>
      </c>
      <c r="CK348" s="39" t="str">
        <f>IFERROR(bütünleme!CV45*100/bütünleme!$I45,"")</f>
        <v/>
      </c>
      <c r="CL348" s="39" t="str">
        <f>IFERROR(bütünleme!CW45*100/bütünleme!$I45,"")</f>
        <v/>
      </c>
      <c r="CM348" s="39" t="str">
        <f>IFERROR(bütünleme!CX45*100/bütünleme!$I45,"")</f>
        <v/>
      </c>
      <c r="CN348" s="39" t="str">
        <f>IFERROR(bütünleme!CY45*100/bütünleme!$I45,"")</f>
        <v/>
      </c>
      <c r="CO348" s="39" t="str">
        <f>IFERROR(bütünleme!CZ45*100/bütünleme!$I45,"")</f>
        <v/>
      </c>
      <c r="CP348" s="39" t="str">
        <f>IFERROR(bütünleme!DA45*100/bütünleme!$I45,"")</f>
        <v/>
      </c>
      <c r="CQ348" s="39" t="str">
        <f>IFERROR(bütünleme!DB45*100/bütünleme!$I45,"")</f>
        <v/>
      </c>
      <c r="CR348" s="39" t="str">
        <f>IFERROR(bütünleme!DC45*100/bütünleme!$I45,"")</f>
        <v/>
      </c>
      <c r="CS348" s="39" t="str">
        <f>IFERROR(bütünleme!DD45*100/bütünleme!$I45,"")</f>
        <v/>
      </c>
      <c r="CT348" s="39" t="str">
        <f>IFERROR(bütünleme!DE45*100/bütünleme!$I45,"")</f>
        <v/>
      </c>
      <c r="CU348" s="39" t="str">
        <f>IFERROR(bütünleme!DF45*100/bütünleme!$I45,"")</f>
        <v/>
      </c>
      <c r="CV348" s="39" t="str">
        <f>IFERROR(bütünleme!DG45*100/bütünleme!$I45,"")</f>
        <v/>
      </c>
      <c r="CW348" s="36" t="str">
        <f>IFERROR(SUM(A348:CV348)/bütünleme!$DH$103,"")</f>
        <v/>
      </c>
      <c r="CX348" s="14" t="str">
        <f>IF(COUNTA(bütünleme!A45),bütünleme!A45,"")</f>
        <v/>
      </c>
      <c r="CY348" s="14" t="str">
        <f>IF(COUNTA(bütünleme!B45),bütünleme!B45,"")</f>
        <v/>
      </c>
      <c r="CZ348" s="14" t="str">
        <f>IF(COUNTA(bütünleme!C45),bütünleme!C45,"")</f>
        <v/>
      </c>
      <c r="DA348" s="14" t="str">
        <f>IF(COUNTA(bütünleme!D45),bütünleme!D45,"")</f>
        <v/>
      </c>
      <c r="DB348" s="14" t="str">
        <f>IF(COUNTA(bütünleme!E45),bütünleme!E45,"")</f>
        <v/>
      </c>
      <c r="DC348" s="14" t="str">
        <f>IF(COUNTA(bütünleme!F45),bütünleme!F45,"")</f>
        <v/>
      </c>
      <c r="DD348" s="14" t="str">
        <f>IF(COUNTA(bütünleme!G45),bütünleme!G45,"")</f>
        <v/>
      </c>
      <c r="DE348" s="14" t="str">
        <f>IF(COUNTA(bütünleme!H45),bütünleme!H45,"")</f>
        <v/>
      </c>
    </row>
    <row r="349" spans="1:109" x14ac:dyDescent="0.2">
      <c r="A349" s="39" t="str">
        <f>IFERROR(bütünleme!L46*100/bütünleme!$I46,"")</f>
        <v/>
      </c>
      <c r="B349" s="39" t="str">
        <f>IFERROR(bütünleme!M46*100/bütünleme!$I46,"")</f>
        <v/>
      </c>
      <c r="C349" s="39" t="str">
        <f>IFERROR(bütünleme!N46*100/bütünleme!$I46,"")</f>
        <v/>
      </c>
      <c r="D349" s="39" t="str">
        <f>IFERROR(bütünleme!O46*100/bütünleme!$I46,"")</f>
        <v/>
      </c>
      <c r="E349" s="39" t="str">
        <f>IFERROR(bütünleme!P46*100/bütünleme!$I46,"")</f>
        <v/>
      </c>
      <c r="F349" s="39" t="str">
        <f>IFERROR(bütünleme!Q46*100/bütünleme!$I46,"")</f>
        <v/>
      </c>
      <c r="G349" s="39" t="str">
        <f>IFERROR(bütünleme!R46*100/bütünleme!$I46,"")</f>
        <v/>
      </c>
      <c r="H349" s="39" t="str">
        <f>IFERROR(bütünleme!S46*100/bütünleme!$I46,"")</f>
        <v/>
      </c>
      <c r="I349" s="39" t="str">
        <f>IFERROR(bütünleme!T46*100/bütünleme!$I46,"")</f>
        <v/>
      </c>
      <c r="J349" s="39" t="str">
        <f>IFERROR(bütünleme!U46*100/bütünleme!$I46,"")</f>
        <v/>
      </c>
      <c r="K349" s="39" t="str">
        <f>IFERROR(bütünleme!V46*100/bütünleme!$I46,"")</f>
        <v/>
      </c>
      <c r="L349" s="39" t="str">
        <f>IFERROR(bütünleme!W46*100/bütünleme!$I46,"")</f>
        <v/>
      </c>
      <c r="M349" s="39" t="str">
        <f>IFERROR(bütünleme!X46*100/bütünleme!$I46,"")</f>
        <v/>
      </c>
      <c r="N349" s="39" t="str">
        <f>IFERROR(bütünleme!Y46*100/bütünleme!$I46,"")</f>
        <v/>
      </c>
      <c r="O349" s="39" t="str">
        <f>IFERROR(bütünleme!Z46*100/bütünleme!$I46,"")</f>
        <v/>
      </c>
      <c r="P349" s="39" t="str">
        <f>IFERROR(bütünleme!AA46*100/bütünleme!$I46,"")</f>
        <v/>
      </c>
      <c r="Q349" s="39" t="str">
        <f>IFERROR(bütünleme!AB46*100/bütünleme!$I46,"")</f>
        <v/>
      </c>
      <c r="R349" s="39" t="str">
        <f>IFERROR(bütünleme!AC46*100/bütünleme!$I46,"")</f>
        <v/>
      </c>
      <c r="S349" s="39" t="str">
        <f>IFERROR(bütünleme!AD46*100/bütünleme!$I46,"")</f>
        <v/>
      </c>
      <c r="T349" s="39" t="str">
        <f>IFERROR(bütünleme!AE46*100/bütünleme!$I46,"")</f>
        <v/>
      </c>
      <c r="U349" s="39" t="str">
        <f>IFERROR(bütünleme!AF46*100/bütünleme!$I46,"")</f>
        <v/>
      </c>
      <c r="V349" s="39" t="str">
        <f>IFERROR(bütünleme!AG46*100/bütünleme!$I46,"")</f>
        <v/>
      </c>
      <c r="W349" s="39" t="str">
        <f>IFERROR(bütünleme!AH46*100/bütünleme!$I46,"")</f>
        <v/>
      </c>
      <c r="X349" s="39" t="str">
        <f>IFERROR(bütünleme!AI46*100/bütünleme!$I46,"")</f>
        <v/>
      </c>
      <c r="Y349" s="39" t="str">
        <f>IFERROR(bütünleme!AJ46*100/bütünleme!$I46,"")</f>
        <v/>
      </c>
      <c r="Z349" s="39" t="str">
        <f>IFERROR(bütünleme!AK46*100/bütünleme!$I46,"")</f>
        <v/>
      </c>
      <c r="AA349" s="39" t="str">
        <f>IFERROR(bütünleme!AL46*100/bütünleme!$I46,"")</f>
        <v/>
      </c>
      <c r="AB349" s="39" t="str">
        <f>IFERROR(bütünleme!AM46*100/bütünleme!$I46,"")</f>
        <v/>
      </c>
      <c r="AC349" s="39" t="str">
        <f>IFERROR(bütünleme!AN46*100/bütünleme!$I46,"")</f>
        <v/>
      </c>
      <c r="AD349" s="39" t="str">
        <f>IFERROR(bütünleme!AO46*100/bütünleme!$I46,"")</f>
        <v/>
      </c>
      <c r="AE349" s="39" t="str">
        <f>IFERROR(bütünleme!AP46*100/bütünleme!$I46,"")</f>
        <v/>
      </c>
      <c r="AF349" s="39" t="str">
        <f>IFERROR(bütünleme!AQ46*100/bütünleme!$I46,"")</f>
        <v/>
      </c>
      <c r="AG349" s="39" t="str">
        <f>IFERROR(bütünleme!AR46*100/bütünleme!$I46,"")</f>
        <v/>
      </c>
      <c r="AH349" s="39" t="str">
        <f>IFERROR(bütünleme!AS46*100/bütünleme!$I46,"")</f>
        <v/>
      </c>
      <c r="AI349" s="39" t="str">
        <f>IFERROR(bütünleme!AT46*100/bütünleme!$I46,"")</f>
        <v/>
      </c>
      <c r="AJ349" s="39" t="str">
        <f>IFERROR(bütünleme!AU46*100/bütünleme!$I46,"")</f>
        <v/>
      </c>
      <c r="AK349" s="39" t="str">
        <f>IFERROR(bütünleme!AV46*100/bütünleme!$I46,"")</f>
        <v/>
      </c>
      <c r="AL349" s="39" t="str">
        <f>IFERROR(bütünleme!AW46*100/bütünleme!$I46,"")</f>
        <v/>
      </c>
      <c r="AM349" s="39" t="str">
        <f>IFERROR(bütünleme!AX46*100/bütünleme!$I46,"")</f>
        <v/>
      </c>
      <c r="AN349" s="39" t="str">
        <f>IFERROR(bütünleme!AY46*100/bütünleme!$I46,"")</f>
        <v/>
      </c>
      <c r="AO349" s="39" t="str">
        <f>IFERROR(bütünleme!AZ46*100/bütünleme!$I46,"")</f>
        <v/>
      </c>
      <c r="AP349" s="39" t="str">
        <f>IFERROR(bütünleme!BA46*100/bütünleme!$I46,"")</f>
        <v/>
      </c>
      <c r="AQ349" s="39" t="str">
        <f>IFERROR(bütünleme!BB46*100/bütünleme!$I46,"")</f>
        <v/>
      </c>
      <c r="AR349" s="39" t="str">
        <f>IFERROR(bütünleme!BC46*100/bütünleme!$I46,"")</f>
        <v/>
      </c>
      <c r="AS349" s="39" t="str">
        <f>IFERROR(bütünleme!BD46*100/bütünleme!$I46,"")</f>
        <v/>
      </c>
      <c r="AT349" s="39" t="str">
        <f>IFERROR(bütünleme!BE46*100/bütünleme!$I46,"")</f>
        <v/>
      </c>
      <c r="AU349" s="39" t="str">
        <f>IFERROR(bütünleme!BF46*100/bütünleme!$I46,"")</f>
        <v/>
      </c>
      <c r="AV349" s="39" t="str">
        <f>IFERROR(bütünleme!BG46*100/bütünleme!$I46,"")</f>
        <v/>
      </c>
      <c r="AW349" s="39" t="str">
        <f>IFERROR(bütünleme!BH46*100/bütünleme!$I46,"")</f>
        <v/>
      </c>
      <c r="AX349" s="39" t="str">
        <f>IFERROR(bütünleme!BI46*100/bütünleme!$I46,"")</f>
        <v/>
      </c>
      <c r="AY349" s="39" t="str">
        <f>IFERROR(bütünleme!BJ46*100/bütünleme!$I46,"")</f>
        <v/>
      </c>
      <c r="AZ349" s="39" t="str">
        <f>IFERROR(bütünleme!BK46*100/bütünleme!$I46,"")</f>
        <v/>
      </c>
      <c r="BA349" s="39" t="str">
        <f>IFERROR(bütünleme!BL46*100/bütünleme!$I46,"")</f>
        <v/>
      </c>
      <c r="BB349" s="39" t="str">
        <f>IFERROR(bütünleme!BM46*100/bütünleme!$I46,"")</f>
        <v/>
      </c>
      <c r="BC349" s="39" t="str">
        <f>IFERROR(bütünleme!BN46*100/bütünleme!$I46,"")</f>
        <v/>
      </c>
      <c r="BD349" s="39" t="str">
        <f>IFERROR(bütünleme!BO46*100/bütünleme!$I46,"")</f>
        <v/>
      </c>
      <c r="BE349" s="39" t="str">
        <f>IFERROR(bütünleme!BP46*100/bütünleme!$I46,"")</f>
        <v/>
      </c>
      <c r="BF349" s="39" t="str">
        <f>IFERROR(bütünleme!BQ46*100/bütünleme!$I46,"")</f>
        <v/>
      </c>
      <c r="BG349" s="39" t="str">
        <f>IFERROR(bütünleme!BR46*100/bütünleme!$I46,"")</f>
        <v/>
      </c>
      <c r="BH349" s="39" t="str">
        <f>IFERROR(bütünleme!BS46*100/bütünleme!$I46,"")</f>
        <v/>
      </c>
      <c r="BI349" s="39" t="str">
        <f>IFERROR(bütünleme!BT46*100/bütünleme!$I46,"")</f>
        <v/>
      </c>
      <c r="BJ349" s="39" t="str">
        <f>IFERROR(bütünleme!BU46*100/bütünleme!$I46,"")</f>
        <v/>
      </c>
      <c r="BK349" s="39" t="str">
        <f>IFERROR(bütünleme!BV46*100/bütünleme!$I46,"")</f>
        <v/>
      </c>
      <c r="BL349" s="39" t="str">
        <f>IFERROR(bütünleme!BW46*100/bütünleme!$I46,"")</f>
        <v/>
      </c>
      <c r="BM349" s="39" t="str">
        <f>IFERROR(bütünleme!BX46*100/bütünleme!$I46,"")</f>
        <v/>
      </c>
      <c r="BN349" s="39" t="str">
        <f>IFERROR(bütünleme!BY46*100/bütünleme!$I46,"")</f>
        <v/>
      </c>
      <c r="BO349" s="39" t="str">
        <f>IFERROR(bütünleme!BZ46*100/bütünleme!$I46,"")</f>
        <v/>
      </c>
      <c r="BP349" s="39" t="str">
        <f>IFERROR(bütünleme!CA46*100/bütünleme!$I46,"")</f>
        <v/>
      </c>
      <c r="BQ349" s="39" t="str">
        <f>IFERROR(bütünleme!CB46*100/bütünleme!$I46,"")</f>
        <v/>
      </c>
      <c r="BR349" s="39" t="str">
        <f>IFERROR(bütünleme!CC46*100/bütünleme!$I46,"")</f>
        <v/>
      </c>
      <c r="BS349" s="39" t="str">
        <f>IFERROR(bütünleme!CD46*100/bütünleme!$I46,"")</f>
        <v/>
      </c>
      <c r="BT349" s="39" t="str">
        <f>IFERROR(bütünleme!CE46*100/bütünleme!$I46,"")</f>
        <v/>
      </c>
      <c r="BU349" s="39" t="str">
        <f>IFERROR(bütünleme!CF46*100/bütünleme!$I46,"")</f>
        <v/>
      </c>
      <c r="BV349" s="39" t="str">
        <f>IFERROR(bütünleme!CG46*100/bütünleme!$I46,"")</f>
        <v/>
      </c>
      <c r="BW349" s="39" t="str">
        <f>IFERROR(bütünleme!CH46*100/bütünleme!$I46,"")</f>
        <v/>
      </c>
      <c r="BX349" s="39" t="str">
        <f>IFERROR(bütünleme!CI46*100/bütünleme!$I46,"")</f>
        <v/>
      </c>
      <c r="BY349" s="39" t="str">
        <f>IFERROR(bütünleme!CJ46*100/bütünleme!$I46,"")</f>
        <v/>
      </c>
      <c r="BZ349" s="39" t="str">
        <f>IFERROR(bütünleme!CK46*100/bütünleme!$I46,"")</f>
        <v/>
      </c>
      <c r="CA349" s="39" t="str">
        <f>IFERROR(bütünleme!CL46*100/bütünleme!$I46,"")</f>
        <v/>
      </c>
      <c r="CB349" s="39" t="str">
        <f>IFERROR(bütünleme!CM46*100/bütünleme!$I46,"")</f>
        <v/>
      </c>
      <c r="CC349" s="39" t="str">
        <f>IFERROR(bütünleme!CN46*100/bütünleme!$I46,"")</f>
        <v/>
      </c>
      <c r="CD349" s="39" t="str">
        <f>IFERROR(bütünleme!CO46*100/bütünleme!$I46,"")</f>
        <v/>
      </c>
      <c r="CE349" s="39" t="str">
        <f>IFERROR(bütünleme!CP46*100/bütünleme!$I46,"")</f>
        <v/>
      </c>
      <c r="CF349" s="39" t="str">
        <f>IFERROR(bütünleme!CQ46*100/bütünleme!$I46,"")</f>
        <v/>
      </c>
      <c r="CG349" s="39" t="str">
        <f>IFERROR(bütünleme!CR46*100/bütünleme!$I46,"")</f>
        <v/>
      </c>
      <c r="CH349" s="39" t="str">
        <f>IFERROR(bütünleme!CS46*100/bütünleme!$I46,"")</f>
        <v/>
      </c>
      <c r="CI349" s="39" t="str">
        <f>IFERROR(bütünleme!CT46*100/bütünleme!$I46,"")</f>
        <v/>
      </c>
      <c r="CJ349" s="39" t="str">
        <f>IFERROR(bütünleme!CU46*100/bütünleme!$I46,"")</f>
        <v/>
      </c>
      <c r="CK349" s="39" t="str">
        <f>IFERROR(bütünleme!CV46*100/bütünleme!$I46,"")</f>
        <v/>
      </c>
      <c r="CL349" s="39" t="str">
        <f>IFERROR(bütünleme!CW46*100/bütünleme!$I46,"")</f>
        <v/>
      </c>
      <c r="CM349" s="39" t="str">
        <f>IFERROR(bütünleme!CX46*100/bütünleme!$I46,"")</f>
        <v/>
      </c>
      <c r="CN349" s="39" t="str">
        <f>IFERROR(bütünleme!CY46*100/bütünleme!$I46,"")</f>
        <v/>
      </c>
      <c r="CO349" s="39" t="str">
        <f>IFERROR(bütünleme!CZ46*100/bütünleme!$I46,"")</f>
        <v/>
      </c>
      <c r="CP349" s="39" t="str">
        <f>IFERROR(bütünleme!DA46*100/bütünleme!$I46,"")</f>
        <v/>
      </c>
      <c r="CQ349" s="39" t="str">
        <f>IFERROR(bütünleme!DB46*100/bütünleme!$I46,"")</f>
        <v/>
      </c>
      <c r="CR349" s="39" t="str">
        <f>IFERROR(bütünleme!DC46*100/bütünleme!$I46,"")</f>
        <v/>
      </c>
      <c r="CS349" s="39" t="str">
        <f>IFERROR(bütünleme!DD46*100/bütünleme!$I46,"")</f>
        <v/>
      </c>
      <c r="CT349" s="39" t="str">
        <f>IFERROR(bütünleme!DE46*100/bütünleme!$I46,"")</f>
        <v/>
      </c>
      <c r="CU349" s="39" t="str">
        <f>IFERROR(bütünleme!DF46*100/bütünleme!$I46,"")</f>
        <v/>
      </c>
      <c r="CV349" s="39" t="str">
        <f>IFERROR(bütünleme!DG46*100/bütünleme!$I46,"")</f>
        <v/>
      </c>
      <c r="CW349" s="36" t="str">
        <f>IFERROR(SUM(A349:CV349)/bütünleme!$DH$103,"")</f>
        <v/>
      </c>
      <c r="CX349" s="14" t="str">
        <f>IF(COUNTA(bütünleme!A46),bütünleme!A46,"")</f>
        <v/>
      </c>
      <c r="CY349" s="14" t="str">
        <f>IF(COUNTA(bütünleme!B46),bütünleme!B46,"")</f>
        <v/>
      </c>
      <c r="CZ349" s="14" t="str">
        <f>IF(COUNTA(bütünleme!C46),bütünleme!C46,"")</f>
        <v/>
      </c>
      <c r="DA349" s="14" t="str">
        <f>IF(COUNTA(bütünleme!D46),bütünleme!D46,"")</f>
        <v/>
      </c>
      <c r="DB349" s="14" t="str">
        <f>IF(COUNTA(bütünleme!E46),bütünleme!E46,"")</f>
        <v/>
      </c>
      <c r="DC349" s="14" t="str">
        <f>IF(COUNTA(bütünleme!F46),bütünleme!F46,"")</f>
        <v/>
      </c>
      <c r="DD349" s="14" t="str">
        <f>IF(COUNTA(bütünleme!G46),bütünleme!G46,"")</f>
        <v/>
      </c>
      <c r="DE349" s="14" t="str">
        <f>IF(COUNTA(bütünleme!H46),bütünleme!H46,"")</f>
        <v/>
      </c>
    </row>
    <row r="350" spans="1:109" x14ac:dyDescent="0.2">
      <c r="A350" s="39" t="str">
        <f>IFERROR(bütünleme!L47*100/bütünleme!$I47,"")</f>
        <v/>
      </c>
      <c r="B350" s="39" t="str">
        <f>IFERROR(bütünleme!M47*100/bütünleme!$I47,"")</f>
        <v/>
      </c>
      <c r="C350" s="39" t="str">
        <f>IFERROR(bütünleme!N47*100/bütünleme!$I47,"")</f>
        <v/>
      </c>
      <c r="D350" s="39" t="str">
        <f>IFERROR(bütünleme!O47*100/bütünleme!$I47,"")</f>
        <v/>
      </c>
      <c r="E350" s="39" t="str">
        <f>IFERROR(bütünleme!P47*100/bütünleme!$I47,"")</f>
        <v/>
      </c>
      <c r="F350" s="39" t="str">
        <f>IFERROR(bütünleme!Q47*100/bütünleme!$I47,"")</f>
        <v/>
      </c>
      <c r="G350" s="39" t="str">
        <f>IFERROR(bütünleme!R47*100/bütünleme!$I47,"")</f>
        <v/>
      </c>
      <c r="H350" s="39" t="str">
        <f>IFERROR(bütünleme!S47*100/bütünleme!$I47,"")</f>
        <v/>
      </c>
      <c r="I350" s="39" t="str">
        <f>IFERROR(bütünleme!T47*100/bütünleme!$I47,"")</f>
        <v/>
      </c>
      <c r="J350" s="39" t="str">
        <f>IFERROR(bütünleme!U47*100/bütünleme!$I47,"")</f>
        <v/>
      </c>
      <c r="K350" s="39" t="str">
        <f>IFERROR(bütünleme!V47*100/bütünleme!$I47,"")</f>
        <v/>
      </c>
      <c r="L350" s="39" t="str">
        <f>IFERROR(bütünleme!W47*100/bütünleme!$I47,"")</f>
        <v/>
      </c>
      <c r="M350" s="39" t="str">
        <f>IFERROR(bütünleme!X47*100/bütünleme!$I47,"")</f>
        <v/>
      </c>
      <c r="N350" s="39" t="str">
        <f>IFERROR(bütünleme!Y47*100/bütünleme!$I47,"")</f>
        <v/>
      </c>
      <c r="O350" s="39" t="str">
        <f>IFERROR(bütünleme!Z47*100/bütünleme!$I47,"")</f>
        <v/>
      </c>
      <c r="P350" s="39" t="str">
        <f>IFERROR(bütünleme!AA47*100/bütünleme!$I47,"")</f>
        <v/>
      </c>
      <c r="Q350" s="39" t="str">
        <f>IFERROR(bütünleme!AB47*100/bütünleme!$I47,"")</f>
        <v/>
      </c>
      <c r="R350" s="39" t="str">
        <f>IFERROR(bütünleme!AC47*100/bütünleme!$I47,"")</f>
        <v/>
      </c>
      <c r="S350" s="39" t="str">
        <f>IFERROR(bütünleme!AD47*100/bütünleme!$I47,"")</f>
        <v/>
      </c>
      <c r="T350" s="39" t="str">
        <f>IFERROR(bütünleme!AE47*100/bütünleme!$I47,"")</f>
        <v/>
      </c>
      <c r="U350" s="39" t="str">
        <f>IFERROR(bütünleme!AF47*100/bütünleme!$I47,"")</f>
        <v/>
      </c>
      <c r="V350" s="39" t="str">
        <f>IFERROR(bütünleme!AG47*100/bütünleme!$I47,"")</f>
        <v/>
      </c>
      <c r="W350" s="39" t="str">
        <f>IFERROR(bütünleme!AH47*100/bütünleme!$I47,"")</f>
        <v/>
      </c>
      <c r="X350" s="39" t="str">
        <f>IFERROR(bütünleme!AI47*100/bütünleme!$I47,"")</f>
        <v/>
      </c>
      <c r="Y350" s="39" t="str">
        <f>IFERROR(bütünleme!AJ47*100/bütünleme!$I47,"")</f>
        <v/>
      </c>
      <c r="Z350" s="39" t="str">
        <f>IFERROR(bütünleme!AK47*100/bütünleme!$I47,"")</f>
        <v/>
      </c>
      <c r="AA350" s="39" t="str">
        <f>IFERROR(bütünleme!AL47*100/bütünleme!$I47,"")</f>
        <v/>
      </c>
      <c r="AB350" s="39" t="str">
        <f>IFERROR(bütünleme!AM47*100/bütünleme!$I47,"")</f>
        <v/>
      </c>
      <c r="AC350" s="39" t="str">
        <f>IFERROR(bütünleme!AN47*100/bütünleme!$I47,"")</f>
        <v/>
      </c>
      <c r="AD350" s="39" t="str">
        <f>IFERROR(bütünleme!AO47*100/bütünleme!$I47,"")</f>
        <v/>
      </c>
      <c r="AE350" s="39" t="str">
        <f>IFERROR(bütünleme!AP47*100/bütünleme!$I47,"")</f>
        <v/>
      </c>
      <c r="AF350" s="39" t="str">
        <f>IFERROR(bütünleme!AQ47*100/bütünleme!$I47,"")</f>
        <v/>
      </c>
      <c r="AG350" s="39" t="str">
        <f>IFERROR(bütünleme!AR47*100/bütünleme!$I47,"")</f>
        <v/>
      </c>
      <c r="AH350" s="39" t="str">
        <f>IFERROR(bütünleme!AS47*100/bütünleme!$I47,"")</f>
        <v/>
      </c>
      <c r="AI350" s="39" t="str">
        <f>IFERROR(bütünleme!AT47*100/bütünleme!$I47,"")</f>
        <v/>
      </c>
      <c r="AJ350" s="39" t="str">
        <f>IFERROR(bütünleme!AU47*100/bütünleme!$I47,"")</f>
        <v/>
      </c>
      <c r="AK350" s="39" t="str">
        <f>IFERROR(bütünleme!AV47*100/bütünleme!$I47,"")</f>
        <v/>
      </c>
      <c r="AL350" s="39" t="str">
        <f>IFERROR(bütünleme!AW47*100/bütünleme!$I47,"")</f>
        <v/>
      </c>
      <c r="AM350" s="39" t="str">
        <f>IFERROR(bütünleme!AX47*100/bütünleme!$I47,"")</f>
        <v/>
      </c>
      <c r="AN350" s="39" t="str">
        <f>IFERROR(bütünleme!AY47*100/bütünleme!$I47,"")</f>
        <v/>
      </c>
      <c r="AO350" s="39" t="str">
        <f>IFERROR(bütünleme!AZ47*100/bütünleme!$I47,"")</f>
        <v/>
      </c>
      <c r="AP350" s="39" t="str">
        <f>IFERROR(bütünleme!BA47*100/bütünleme!$I47,"")</f>
        <v/>
      </c>
      <c r="AQ350" s="39" t="str">
        <f>IFERROR(bütünleme!BB47*100/bütünleme!$I47,"")</f>
        <v/>
      </c>
      <c r="AR350" s="39" t="str">
        <f>IFERROR(bütünleme!BC47*100/bütünleme!$I47,"")</f>
        <v/>
      </c>
      <c r="AS350" s="39" t="str">
        <f>IFERROR(bütünleme!BD47*100/bütünleme!$I47,"")</f>
        <v/>
      </c>
      <c r="AT350" s="39" t="str">
        <f>IFERROR(bütünleme!BE47*100/bütünleme!$I47,"")</f>
        <v/>
      </c>
      <c r="AU350" s="39" t="str">
        <f>IFERROR(bütünleme!BF47*100/bütünleme!$I47,"")</f>
        <v/>
      </c>
      <c r="AV350" s="39" t="str">
        <f>IFERROR(bütünleme!BG47*100/bütünleme!$I47,"")</f>
        <v/>
      </c>
      <c r="AW350" s="39" t="str">
        <f>IFERROR(bütünleme!BH47*100/bütünleme!$I47,"")</f>
        <v/>
      </c>
      <c r="AX350" s="39" t="str">
        <f>IFERROR(bütünleme!BI47*100/bütünleme!$I47,"")</f>
        <v/>
      </c>
      <c r="AY350" s="39" t="str">
        <f>IFERROR(bütünleme!BJ47*100/bütünleme!$I47,"")</f>
        <v/>
      </c>
      <c r="AZ350" s="39" t="str">
        <f>IFERROR(bütünleme!BK47*100/bütünleme!$I47,"")</f>
        <v/>
      </c>
      <c r="BA350" s="39" t="str">
        <f>IFERROR(bütünleme!BL47*100/bütünleme!$I47,"")</f>
        <v/>
      </c>
      <c r="BB350" s="39" t="str">
        <f>IFERROR(bütünleme!BM47*100/bütünleme!$I47,"")</f>
        <v/>
      </c>
      <c r="BC350" s="39" t="str">
        <f>IFERROR(bütünleme!BN47*100/bütünleme!$I47,"")</f>
        <v/>
      </c>
      <c r="BD350" s="39" t="str">
        <f>IFERROR(bütünleme!BO47*100/bütünleme!$I47,"")</f>
        <v/>
      </c>
      <c r="BE350" s="39" t="str">
        <f>IFERROR(bütünleme!BP47*100/bütünleme!$I47,"")</f>
        <v/>
      </c>
      <c r="BF350" s="39" t="str">
        <f>IFERROR(bütünleme!BQ47*100/bütünleme!$I47,"")</f>
        <v/>
      </c>
      <c r="BG350" s="39" t="str">
        <f>IFERROR(bütünleme!BR47*100/bütünleme!$I47,"")</f>
        <v/>
      </c>
      <c r="BH350" s="39" t="str">
        <f>IFERROR(bütünleme!BS47*100/bütünleme!$I47,"")</f>
        <v/>
      </c>
      <c r="BI350" s="39" t="str">
        <f>IFERROR(bütünleme!BT47*100/bütünleme!$I47,"")</f>
        <v/>
      </c>
      <c r="BJ350" s="39" t="str">
        <f>IFERROR(bütünleme!BU47*100/bütünleme!$I47,"")</f>
        <v/>
      </c>
      <c r="BK350" s="39" t="str">
        <f>IFERROR(bütünleme!BV47*100/bütünleme!$I47,"")</f>
        <v/>
      </c>
      <c r="BL350" s="39" t="str">
        <f>IFERROR(bütünleme!BW47*100/bütünleme!$I47,"")</f>
        <v/>
      </c>
      <c r="BM350" s="39" t="str">
        <f>IFERROR(bütünleme!BX47*100/bütünleme!$I47,"")</f>
        <v/>
      </c>
      <c r="BN350" s="39" t="str">
        <f>IFERROR(bütünleme!BY47*100/bütünleme!$I47,"")</f>
        <v/>
      </c>
      <c r="BO350" s="39" t="str">
        <f>IFERROR(bütünleme!BZ47*100/bütünleme!$I47,"")</f>
        <v/>
      </c>
      <c r="BP350" s="39" t="str">
        <f>IFERROR(bütünleme!CA47*100/bütünleme!$I47,"")</f>
        <v/>
      </c>
      <c r="BQ350" s="39" t="str">
        <f>IFERROR(bütünleme!CB47*100/bütünleme!$I47,"")</f>
        <v/>
      </c>
      <c r="BR350" s="39" t="str">
        <f>IFERROR(bütünleme!CC47*100/bütünleme!$I47,"")</f>
        <v/>
      </c>
      <c r="BS350" s="39" t="str">
        <f>IFERROR(bütünleme!CD47*100/bütünleme!$I47,"")</f>
        <v/>
      </c>
      <c r="BT350" s="39" t="str">
        <f>IFERROR(bütünleme!CE47*100/bütünleme!$I47,"")</f>
        <v/>
      </c>
      <c r="BU350" s="39" t="str">
        <f>IFERROR(bütünleme!CF47*100/bütünleme!$I47,"")</f>
        <v/>
      </c>
      <c r="BV350" s="39" t="str">
        <f>IFERROR(bütünleme!CG47*100/bütünleme!$I47,"")</f>
        <v/>
      </c>
      <c r="BW350" s="39" t="str">
        <f>IFERROR(bütünleme!CH47*100/bütünleme!$I47,"")</f>
        <v/>
      </c>
      <c r="BX350" s="39" t="str">
        <f>IFERROR(bütünleme!CI47*100/bütünleme!$I47,"")</f>
        <v/>
      </c>
      <c r="BY350" s="39" t="str">
        <f>IFERROR(bütünleme!CJ47*100/bütünleme!$I47,"")</f>
        <v/>
      </c>
      <c r="BZ350" s="39" t="str">
        <f>IFERROR(bütünleme!CK47*100/bütünleme!$I47,"")</f>
        <v/>
      </c>
      <c r="CA350" s="39" t="str">
        <f>IFERROR(bütünleme!CL47*100/bütünleme!$I47,"")</f>
        <v/>
      </c>
      <c r="CB350" s="39" t="str">
        <f>IFERROR(bütünleme!CM47*100/bütünleme!$I47,"")</f>
        <v/>
      </c>
      <c r="CC350" s="39" t="str">
        <f>IFERROR(bütünleme!CN47*100/bütünleme!$I47,"")</f>
        <v/>
      </c>
      <c r="CD350" s="39" t="str">
        <f>IFERROR(bütünleme!CO47*100/bütünleme!$I47,"")</f>
        <v/>
      </c>
      <c r="CE350" s="39" t="str">
        <f>IFERROR(bütünleme!CP47*100/bütünleme!$I47,"")</f>
        <v/>
      </c>
      <c r="CF350" s="39" t="str">
        <f>IFERROR(bütünleme!CQ47*100/bütünleme!$I47,"")</f>
        <v/>
      </c>
      <c r="CG350" s="39" t="str">
        <f>IFERROR(bütünleme!CR47*100/bütünleme!$I47,"")</f>
        <v/>
      </c>
      <c r="CH350" s="39" t="str">
        <f>IFERROR(bütünleme!CS47*100/bütünleme!$I47,"")</f>
        <v/>
      </c>
      <c r="CI350" s="39" t="str">
        <f>IFERROR(bütünleme!CT47*100/bütünleme!$I47,"")</f>
        <v/>
      </c>
      <c r="CJ350" s="39" t="str">
        <f>IFERROR(bütünleme!CU47*100/bütünleme!$I47,"")</f>
        <v/>
      </c>
      <c r="CK350" s="39" t="str">
        <f>IFERROR(bütünleme!CV47*100/bütünleme!$I47,"")</f>
        <v/>
      </c>
      <c r="CL350" s="39" t="str">
        <f>IFERROR(bütünleme!CW47*100/bütünleme!$I47,"")</f>
        <v/>
      </c>
      <c r="CM350" s="39" t="str">
        <f>IFERROR(bütünleme!CX47*100/bütünleme!$I47,"")</f>
        <v/>
      </c>
      <c r="CN350" s="39" t="str">
        <f>IFERROR(bütünleme!CY47*100/bütünleme!$I47,"")</f>
        <v/>
      </c>
      <c r="CO350" s="39" t="str">
        <f>IFERROR(bütünleme!CZ47*100/bütünleme!$I47,"")</f>
        <v/>
      </c>
      <c r="CP350" s="39" t="str">
        <f>IFERROR(bütünleme!DA47*100/bütünleme!$I47,"")</f>
        <v/>
      </c>
      <c r="CQ350" s="39" t="str">
        <f>IFERROR(bütünleme!DB47*100/bütünleme!$I47,"")</f>
        <v/>
      </c>
      <c r="CR350" s="39" t="str">
        <f>IFERROR(bütünleme!DC47*100/bütünleme!$I47,"")</f>
        <v/>
      </c>
      <c r="CS350" s="39" t="str">
        <f>IFERROR(bütünleme!DD47*100/bütünleme!$I47,"")</f>
        <v/>
      </c>
      <c r="CT350" s="39" t="str">
        <f>IFERROR(bütünleme!DE47*100/bütünleme!$I47,"")</f>
        <v/>
      </c>
      <c r="CU350" s="39" t="str">
        <f>IFERROR(bütünleme!DF47*100/bütünleme!$I47,"")</f>
        <v/>
      </c>
      <c r="CV350" s="39" t="str">
        <f>IFERROR(bütünleme!DG47*100/bütünleme!$I47,"")</f>
        <v/>
      </c>
      <c r="CW350" s="36" t="str">
        <f>IFERROR(SUM(A350:CV350)/bütünleme!$DH$103,"")</f>
        <v/>
      </c>
      <c r="CX350" s="14" t="str">
        <f>IF(COUNTA(bütünleme!A47),bütünleme!A47,"")</f>
        <v/>
      </c>
      <c r="CY350" s="14" t="str">
        <f>IF(COUNTA(bütünleme!B47),bütünleme!B47,"")</f>
        <v/>
      </c>
      <c r="CZ350" s="14" t="str">
        <f>IF(COUNTA(bütünleme!C47),bütünleme!C47,"")</f>
        <v/>
      </c>
      <c r="DA350" s="14" t="str">
        <f>IF(COUNTA(bütünleme!D47),bütünleme!D47,"")</f>
        <v/>
      </c>
      <c r="DB350" s="14" t="str">
        <f>IF(COUNTA(bütünleme!E47),bütünleme!E47,"")</f>
        <v/>
      </c>
      <c r="DC350" s="14" t="str">
        <f>IF(COUNTA(bütünleme!F47),bütünleme!F47,"")</f>
        <v/>
      </c>
      <c r="DD350" s="14" t="str">
        <f>IF(COUNTA(bütünleme!G47),bütünleme!G47,"")</f>
        <v/>
      </c>
      <c r="DE350" s="14" t="str">
        <f>IF(COUNTA(bütünleme!H47),bütünleme!H47,"")</f>
        <v/>
      </c>
    </row>
    <row r="351" spans="1:109" x14ac:dyDescent="0.2">
      <c r="A351" s="39" t="str">
        <f>IFERROR(bütünleme!L48*100/bütünleme!$I48,"")</f>
        <v/>
      </c>
      <c r="B351" s="39" t="str">
        <f>IFERROR(bütünleme!M48*100/bütünleme!$I48,"")</f>
        <v/>
      </c>
      <c r="C351" s="39" t="str">
        <f>IFERROR(bütünleme!N48*100/bütünleme!$I48,"")</f>
        <v/>
      </c>
      <c r="D351" s="39" t="str">
        <f>IFERROR(bütünleme!O48*100/bütünleme!$I48,"")</f>
        <v/>
      </c>
      <c r="E351" s="39" t="str">
        <f>IFERROR(bütünleme!P48*100/bütünleme!$I48,"")</f>
        <v/>
      </c>
      <c r="F351" s="39" t="str">
        <f>IFERROR(bütünleme!Q48*100/bütünleme!$I48,"")</f>
        <v/>
      </c>
      <c r="G351" s="39" t="str">
        <f>IFERROR(bütünleme!R48*100/bütünleme!$I48,"")</f>
        <v/>
      </c>
      <c r="H351" s="39" t="str">
        <f>IFERROR(bütünleme!S48*100/bütünleme!$I48,"")</f>
        <v/>
      </c>
      <c r="I351" s="39" t="str">
        <f>IFERROR(bütünleme!T48*100/bütünleme!$I48,"")</f>
        <v/>
      </c>
      <c r="J351" s="39" t="str">
        <f>IFERROR(bütünleme!U48*100/bütünleme!$I48,"")</f>
        <v/>
      </c>
      <c r="K351" s="39" t="str">
        <f>IFERROR(bütünleme!V48*100/bütünleme!$I48,"")</f>
        <v/>
      </c>
      <c r="L351" s="39" t="str">
        <f>IFERROR(bütünleme!W48*100/bütünleme!$I48,"")</f>
        <v/>
      </c>
      <c r="M351" s="39" t="str">
        <f>IFERROR(bütünleme!X48*100/bütünleme!$I48,"")</f>
        <v/>
      </c>
      <c r="N351" s="39" t="str">
        <f>IFERROR(bütünleme!Y48*100/bütünleme!$I48,"")</f>
        <v/>
      </c>
      <c r="O351" s="39" t="str">
        <f>IFERROR(bütünleme!Z48*100/bütünleme!$I48,"")</f>
        <v/>
      </c>
      <c r="P351" s="39" t="str">
        <f>IFERROR(bütünleme!AA48*100/bütünleme!$I48,"")</f>
        <v/>
      </c>
      <c r="Q351" s="39" t="str">
        <f>IFERROR(bütünleme!AB48*100/bütünleme!$I48,"")</f>
        <v/>
      </c>
      <c r="R351" s="39" t="str">
        <f>IFERROR(bütünleme!AC48*100/bütünleme!$I48,"")</f>
        <v/>
      </c>
      <c r="S351" s="39" t="str">
        <f>IFERROR(bütünleme!AD48*100/bütünleme!$I48,"")</f>
        <v/>
      </c>
      <c r="T351" s="39" t="str">
        <f>IFERROR(bütünleme!AE48*100/bütünleme!$I48,"")</f>
        <v/>
      </c>
      <c r="U351" s="39" t="str">
        <f>IFERROR(bütünleme!AF48*100/bütünleme!$I48,"")</f>
        <v/>
      </c>
      <c r="V351" s="39" t="str">
        <f>IFERROR(bütünleme!AG48*100/bütünleme!$I48,"")</f>
        <v/>
      </c>
      <c r="W351" s="39" t="str">
        <f>IFERROR(bütünleme!AH48*100/bütünleme!$I48,"")</f>
        <v/>
      </c>
      <c r="X351" s="39" t="str">
        <f>IFERROR(bütünleme!AI48*100/bütünleme!$I48,"")</f>
        <v/>
      </c>
      <c r="Y351" s="39" t="str">
        <f>IFERROR(bütünleme!AJ48*100/bütünleme!$I48,"")</f>
        <v/>
      </c>
      <c r="Z351" s="39" t="str">
        <f>IFERROR(bütünleme!AK48*100/bütünleme!$I48,"")</f>
        <v/>
      </c>
      <c r="AA351" s="39" t="str">
        <f>IFERROR(bütünleme!AL48*100/bütünleme!$I48,"")</f>
        <v/>
      </c>
      <c r="AB351" s="39" t="str">
        <f>IFERROR(bütünleme!AM48*100/bütünleme!$I48,"")</f>
        <v/>
      </c>
      <c r="AC351" s="39" t="str">
        <f>IFERROR(bütünleme!AN48*100/bütünleme!$I48,"")</f>
        <v/>
      </c>
      <c r="AD351" s="39" t="str">
        <f>IFERROR(bütünleme!AO48*100/bütünleme!$I48,"")</f>
        <v/>
      </c>
      <c r="AE351" s="39" t="str">
        <f>IFERROR(bütünleme!AP48*100/bütünleme!$I48,"")</f>
        <v/>
      </c>
      <c r="AF351" s="39" t="str">
        <f>IFERROR(bütünleme!AQ48*100/bütünleme!$I48,"")</f>
        <v/>
      </c>
      <c r="AG351" s="39" t="str">
        <f>IFERROR(bütünleme!AR48*100/bütünleme!$I48,"")</f>
        <v/>
      </c>
      <c r="AH351" s="39" t="str">
        <f>IFERROR(bütünleme!AS48*100/bütünleme!$I48,"")</f>
        <v/>
      </c>
      <c r="AI351" s="39" t="str">
        <f>IFERROR(bütünleme!AT48*100/bütünleme!$I48,"")</f>
        <v/>
      </c>
      <c r="AJ351" s="39" t="str">
        <f>IFERROR(bütünleme!AU48*100/bütünleme!$I48,"")</f>
        <v/>
      </c>
      <c r="AK351" s="39" t="str">
        <f>IFERROR(bütünleme!AV48*100/bütünleme!$I48,"")</f>
        <v/>
      </c>
      <c r="AL351" s="39" t="str">
        <f>IFERROR(bütünleme!AW48*100/bütünleme!$I48,"")</f>
        <v/>
      </c>
      <c r="AM351" s="39" t="str">
        <f>IFERROR(bütünleme!AX48*100/bütünleme!$I48,"")</f>
        <v/>
      </c>
      <c r="AN351" s="39" t="str">
        <f>IFERROR(bütünleme!AY48*100/bütünleme!$I48,"")</f>
        <v/>
      </c>
      <c r="AO351" s="39" t="str">
        <f>IFERROR(bütünleme!AZ48*100/bütünleme!$I48,"")</f>
        <v/>
      </c>
      <c r="AP351" s="39" t="str">
        <f>IFERROR(bütünleme!BA48*100/bütünleme!$I48,"")</f>
        <v/>
      </c>
      <c r="AQ351" s="39" t="str">
        <f>IFERROR(bütünleme!BB48*100/bütünleme!$I48,"")</f>
        <v/>
      </c>
      <c r="AR351" s="39" t="str">
        <f>IFERROR(bütünleme!BC48*100/bütünleme!$I48,"")</f>
        <v/>
      </c>
      <c r="AS351" s="39" t="str">
        <f>IFERROR(bütünleme!BD48*100/bütünleme!$I48,"")</f>
        <v/>
      </c>
      <c r="AT351" s="39" t="str">
        <f>IFERROR(bütünleme!BE48*100/bütünleme!$I48,"")</f>
        <v/>
      </c>
      <c r="AU351" s="39" t="str">
        <f>IFERROR(bütünleme!BF48*100/bütünleme!$I48,"")</f>
        <v/>
      </c>
      <c r="AV351" s="39" t="str">
        <f>IFERROR(bütünleme!BG48*100/bütünleme!$I48,"")</f>
        <v/>
      </c>
      <c r="AW351" s="39" t="str">
        <f>IFERROR(bütünleme!BH48*100/bütünleme!$I48,"")</f>
        <v/>
      </c>
      <c r="AX351" s="39" t="str">
        <f>IFERROR(bütünleme!BI48*100/bütünleme!$I48,"")</f>
        <v/>
      </c>
      <c r="AY351" s="39" t="str">
        <f>IFERROR(bütünleme!BJ48*100/bütünleme!$I48,"")</f>
        <v/>
      </c>
      <c r="AZ351" s="39" t="str">
        <f>IFERROR(bütünleme!BK48*100/bütünleme!$I48,"")</f>
        <v/>
      </c>
      <c r="BA351" s="39" t="str">
        <f>IFERROR(bütünleme!BL48*100/bütünleme!$I48,"")</f>
        <v/>
      </c>
      <c r="BB351" s="39" t="str">
        <f>IFERROR(bütünleme!BM48*100/bütünleme!$I48,"")</f>
        <v/>
      </c>
      <c r="BC351" s="39" t="str">
        <f>IFERROR(bütünleme!BN48*100/bütünleme!$I48,"")</f>
        <v/>
      </c>
      <c r="BD351" s="39" t="str">
        <f>IFERROR(bütünleme!BO48*100/bütünleme!$I48,"")</f>
        <v/>
      </c>
      <c r="BE351" s="39" t="str">
        <f>IFERROR(bütünleme!BP48*100/bütünleme!$I48,"")</f>
        <v/>
      </c>
      <c r="BF351" s="39" t="str">
        <f>IFERROR(bütünleme!BQ48*100/bütünleme!$I48,"")</f>
        <v/>
      </c>
      <c r="BG351" s="39" t="str">
        <f>IFERROR(bütünleme!BR48*100/bütünleme!$I48,"")</f>
        <v/>
      </c>
      <c r="BH351" s="39" t="str">
        <f>IFERROR(bütünleme!BS48*100/bütünleme!$I48,"")</f>
        <v/>
      </c>
      <c r="BI351" s="39" t="str">
        <f>IFERROR(bütünleme!BT48*100/bütünleme!$I48,"")</f>
        <v/>
      </c>
      <c r="BJ351" s="39" t="str">
        <f>IFERROR(bütünleme!BU48*100/bütünleme!$I48,"")</f>
        <v/>
      </c>
      <c r="BK351" s="39" t="str">
        <f>IFERROR(bütünleme!BV48*100/bütünleme!$I48,"")</f>
        <v/>
      </c>
      <c r="BL351" s="39" t="str">
        <f>IFERROR(bütünleme!BW48*100/bütünleme!$I48,"")</f>
        <v/>
      </c>
      <c r="BM351" s="39" t="str">
        <f>IFERROR(bütünleme!BX48*100/bütünleme!$I48,"")</f>
        <v/>
      </c>
      <c r="BN351" s="39" t="str">
        <f>IFERROR(bütünleme!BY48*100/bütünleme!$I48,"")</f>
        <v/>
      </c>
      <c r="BO351" s="39" t="str">
        <f>IFERROR(bütünleme!BZ48*100/bütünleme!$I48,"")</f>
        <v/>
      </c>
      <c r="BP351" s="39" t="str">
        <f>IFERROR(bütünleme!CA48*100/bütünleme!$I48,"")</f>
        <v/>
      </c>
      <c r="BQ351" s="39" t="str">
        <f>IFERROR(bütünleme!CB48*100/bütünleme!$I48,"")</f>
        <v/>
      </c>
      <c r="BR351" s="39" t="str">
        <f>IFERROR(bütünleme!CC48*100/bütünleme!$I48,"")</f>
        <v/>
      </c>
      <c r="BS351" s="39" t="str">
        <f>IFERROR(bütünleme!CD48*100/bütünleme!$I48,"")</f>
        <v/>
      </c>
      <c r="BT351" s="39" t="str">
        <f>IFERROR(bütünleme!CE48*100/bütünleme!$I48,"")</f>
        <v/>
      </c>
      <c r="BU351" s="39" t="str">
        <f>IFERROR(bütünleme!CF48*100/bütünleme!$I48,"")</f>
        <v/>
      </c>
      <c r="BV351" s="39" t="str">
        <f>IFERROR(bütünleme!CG48*100/bütünleme!$I48,"")</f>
        <v/>
      </c>
      <c r="BW351" s="39" t="str">
        <f>IFERROR(bütünleme!CH48*100/bütünleme!$I48,"")</f>
        <v/>
      </c>
      <c r="BX351" s="39" t="str">
        <f>IFERROR(bütünleme!CI48*100/bütünleme!$I48,"")</f>
        <v/>
      </c>
      <c r="BY351" s="39" t="str">
        <f>IFERROR(bütünleme!CJ48*100/bütünleme!$I48,"")</f>
        <v/>
      </c>
      <c r="BZ351" s="39" t="str">
        <f>IFERROR(bütünleme!CK48*100/bütünleme!$I48,"")</f>
        <v/>
      </c>
      <c r="CA351" s="39" t="str">
        <f>IFERROR(bütünleme!CL48*100/bütünleme!$I48,"")</f>
        <v/>
      </c>
      <c r="CB351" s="39" t="str">
        <f>IFERROR(bütünleme!CM48*100/bütünleme!$I48,"")</f>
        <v/>
      </c>
      <c r="CC351" s="39" t="str">
        <f>IFERROR(bütünleme!CN48*100/bütünleme!$I48,"")</f>
        <v/>
      </c>
      <c r="CD351" s="39" t="str">
        <f>IFERROR(bütünleme!CO48*100/bütünleme!$I48,"")</f>
        <v/>
      </c>
      <c r="CE351" s="39" t="str">
        <f>IFERROR(bütünleme!CP48*100/bütünleme!$I48,"")</f>
        <v/>
      </c>
      <c r="CF351" s="39" t="str">
        <f>IFERROR(bütünleme!CQ48*100/bütünleme!$I48,"")</f>
        <v/>
      </c>
      <c r="CG351" s="39" t="str">
        <f>IFERROR(bütünleme!CR48*100/bütünleme!$I48,"")</f>
        <v/>
      </c>
      <c r="CH351" s="39" t="str">
        <f>IFERROR(bütünleme!CS48*100/bütünleme!$I48,"")</f>
        <v/>
      </c>
      <c r="CI351" s="39" t="str">
        <f>IFERROR(bütünleme!CT48*100/bütünleme!$I48,"")</f>
        <v/>
      </c>
      <c r="CJ351" s="39" t="str">
        <f>IFERROR(bütünleme!CU48*100/bütünleme!$I48,"")</f>
        <v/>
      </c>
      <c r="CK351" s="39" t="str">
        <f>IFERROR(bütünleme!CV48*100/bütünleme!$I48,"")</f>
        <v/>
      </c>
      <c r="CL351" s="39" t="str">
        <f>IFERROR(bütünleme!CW48*100/bütünleme!$I48,"")</f>
        <v/>
      </c>
      <c r="CM351" s="39" t="str">
        <f>IFERROR(bütünleme!CX48*100/bütünleme!$I48,"")</f>
        <v/>
      </c>
      <c r="CN351" s="39" t="str">
        <f>IFERROR(bütünleme!CY48*100/bütünleme!$I48,"")</f>
        <v/>
      </c>
      <c r="CO351" s="39" t="str">
        <f>IFERROR(bütünleme!CZ48*100/bütünleme!$I48,"")</f>
        <v/>
      </c>
      <c r="CP351" s="39" t="str">
        <f>IFERROR(bütünleme!DA48*100/bütünleme!$I48,"")</f>
        <v/>
      </c>
      <c r="CQ351" s="39" t="str">
        <f>IFERROR(bütünleme!DB48*100/bütünleme!$I48,"")</f>
        <v/>
      </c>
      <c r="CR351" s="39" t="str">
        <f>IFERROR(bütünleme!DC48*100/bütünleme!$I48,"")</f>
        <v/>
      </c>
      <c r="CS351" s="39" t="str">
        <f>IFERROR(bütünleme!DD48*100/bütünleme!$I48,"")</f>
        <v/>
      </c>
      <c r="CT351" s="39" t="str">
        <f>IFERROR(bütünleme!DE48*100/bütünleme!$I48,"")</f>
        <v/>
      </c>
      <c r="CU351" s="39" t="str">
        <f>IFERROR(bütünleme!DF48*100/bütünleme!$I48,"")</f>
        <v/>
      </c>
      <c r="CV351" s="39" t="str">
        <f>IFERROR(bütünleme!DG48*100/bütünleme!$I48,"")</f>
        <v/>
      </c>
      <c r="CW351" s="36" t="str">
        <f>IFERROR(SUM(A351:CV351)/bütünleme!$DH$103,"")</f>
        <v/>
      </c>
      <c r="CX351" s="14" t="str">
        <f>IF(COUNTA(bütünleme!A48),bütünleme!A48,"")</f>
        <v/>
      </c>
      <c r="CY351" s="14" t="str">
        <f>IF(COUNTA(bütünleme!B48),bütünleme!B48,"")</f>
        <v/>
      </c>
      <c r="CZ351" s="14" t="str">
        <f>IF(COUNTA(bütünleme!C48),bütünleme!C48,"")</f>
        <v/>
      </c>
      <c r="DA351" s="14" t="str">
        <f>IF(COUNTA(bütünleme!D48),bütünleme!D48,"")</f>
        <v/>
      </c>
      <c r="DB351" s="14" t="str">
        <f>IF(COUNTA(bütünleme!E48),bütünleme!E48,"")</f>
        <v/>
      </c>
      <c r="DC351" s="14" t="str">
        <f>IF(COUNTA(bütünleme!F48),bütünleme!F48,"")</f>
        <v/>
      </c>
      <c r="DD351" s="14" t="str">
        <f>IF(COUNTA(bütünleme!G48),bütünleme!G48,"")</f>
        <v/>
      </c>
      <c r="DE351" s="14" t="str">
        <f>IF(COUNTA(bütünleme!H48),bütünleme!H48,"")</f>
        <v/>
      </c>
    </row>
    <row r="352" spans="1:109" x14ac:dyDescent="0.2">
      <c r="A352" s="39" t="str">
        <f>IFERROR(bütünleme!L49*100/bütünleme!$I49,"")</f>
        <v/>
      </c>
      <c r="B352" s="39" t="str">
        <f>IFERROR(bütünleme!M49*100/bütünleme!$I49,"")</f>
        <v/>
      </c>
      <c r="C352" s="39" t="str">
        <f>IFERROR(bütünleme!N49*100/bütünleme!$I49,"")</f>
        <v/>
      </c>
      <c r="D352" s="39" t="str">
        <f>IFERROR(bütünleme!O49*100/bütünleme!$I49,"")</f>
        <v/>
      </c>
      <c r="E352" s="39" t="str">
        <f>IFERROR(bütünleme!P49*100/bütünleme!$I49,"")</f>
        <v/>
      </c>
      <c r="F352" s="39" t="str">
        <f>IFERROR(bütünleme!Q49*100/bütünleme!$I49,"")</f>
        <v/>
      </c>
      <c r="G352" s="39" t="str">
        <f>IFERROR(bütünleme!R49*100/bütünleme!$I49,"")</f>
        <v/>
      </c>
      <c r="H352" s="39" t="str">
        <f>IFERROR(bütünleme!S49*100/bütünleme!$I49,"")</f>
        <v/>
      </c>
      <c r="I352" s="39" t="str">
        <f>IFERROR(bütünleme!T49*100/bütünleme!$I49,"")</f>
        <v/>
      </c>
      <c r="J352" s="39" t="str">
        <f>IFERROR(bütünleme!U49*100/bütünleme!$I49,"")</f>
        <v/>
      </c>
      <c r="K352" s="39" t="str">
        <f>IFERROR(bütünleme!V49*100/bütünleme!$I49,"")</f>
        <v/>
      </c>
      <c r="L352" s="39" t="str">
        <f>IFERROR(bütünleme!W49*100/bütünleme!$I49,"")</f>
        <v/>
      </c>
      <c r="M352" s="39" t="str">
        <f>IFERROR(bütünleme!X49*100/bütünleme!$I49,"")</f>
        <v/>
      </c>
      <c r="N352" s="39" t="str">
        <f>IFERROR(bütünleme!Y49*100/bütünleme!$I49,"")</f>
        <v/>
      </c>
      <c r="O352" s="39" t="str">
        <f>IFERROR(bütünleme!Z49*100/bütünleme!$I49,"")</f>
        <v/>
      </c>
      <c r="P352" s="39" t="str">
        <f>IFERROR(bütünleme!AA49*100/bütünleme!$I49,"")</f>
        <v/>
      </c>
      <c r="Q352" s="39" t="str">
        <f>IFERROR(bütünleme!AB49*100/bütünleme!$I49,"")</f>
        <v/>
      </c>
      <c r="R352" s="39" t="str">
        <f>IFERROR(bütünleme!AC49*100/bütünleme!$I49,"")</f>
        <v/>
      </c>
      <c r="S352" s="39" t="str">
        <f>IFERROR(bütünleme!AD49*100/bütünleme!$I49,"")</f>
        <v/>
      </c>
      <c r="T352" s="39" t="str">
        <f>IFERROR(bütünleme!AE49*100/bütünleme!$I49,"")</f>
        <v/>
      </c>
      <c r="U352" s="39" t="str">
        <f>IFERROR(bütünleme!AF49*100/bütünleme!$I49,"")</f>
        <v/>
      </c>
      <c r="V352" s="39" t="str">
        <f>IFERROR(bütünleme!AG49*100/bütünleme!$I49,"")</f>
        <v/>
      </c>
      <c r="W352" s="39" t="str">
        <f>IFERROR(bütünleme!AH49*100/bütünleme!$I49,"")</f>
        <v/>
      </c>
      <c r="X352" s="39" t="str">
        <f>IFERROR(bütünleme!AI49*100/bütünleme!$I49,"")</f>
        <v/>
      </c>
      <c r="Y352" s="39" t="str">
        <f>IFERROR(bütünleme!AJ49*100/bütünleme!$I49,"")</f>
        <v/>
      </c>
      <c r="Z352" s="39" t="str">
        <f>IFERROR(bütünleme!AK49*100/bütünleme!$I49,"")</f>
        <v/>
      </c>
      <c r="AA352" s="39" t="str">
        <f>IFERROR(bütünleme!AL49*100/bütünleme!$I49,"")</f>
        <v/>
      </c>
      <c r="AB352" s="39" t="str">
        <f>IFERROR(bütünleme!AM49*100/bütünleme!$I49,"")</f>
        <v/>
      </c>
      <c r="AC352" s="39" t="str">
        <f>IFERROR(bütünleme!AN49*100/bütünleme!$I49,"")</f>
        <v/>
      </c>
      <c r="AD352" s="39" t="str">
        <f>IFERROR(bütünleme!AO49*100/bütünleme!$I49,"")</f>
        <v/>
      </c>
      <c r="AE352" s="39" t="str">
        <f>IFERROR(bütünleme!AP49*100/bütünleme!$I49,"")</f>
        <v/>
      </c>
      <c r="AF352" s="39" t="str">
        <f>IFERROR(bütünleme!AQ49*100/bütünleme!$I49,"")</f>
        <v/>
      </c>
      <c r="AG352" s="39" t="str">
        <f>IFERROR(bütünleme!AR49*100/bütünleme!$I49,"")</f>
        <v/>
      </c>
      <c r="AH352" s="39" t="str">
        <f>IFERROR(bütünleme!AS49*100/bütünleme!$I49,"")</f>
        <v/>
      </c>
      <c r="AI352" s="39" t="str">
        <f>IFERROR(bütünleme!AT49*100/bütünleme!$I49,"")</f>
        <v/>
      </c>
      <c r="AJ352" s="39" t="str">
        <f>IFERROR(bütünleme!AU49*100/bütünleme!$I49,"")</f>
        <v/>
      </c>
      <c r="AK352" s="39" t="str">
        <f>IFERROR(bütünleme!AV49*100/bütünleme!$I49,"")</f>
        <v/>
      </c>
      <c r="AL352" s="39" t="str">
        <f>IFERROR(bütünleme!AW49*100/bütünleme!$I49,"")</f>
        <v/>
      </c>
      <c r="AM352" s="39" t="str">
        <f>IFERROR(bütünleme!AX49*100/bütünleme!$I49,"")</f>
        <v/>
      </c>
      <c r="AN352" s="39" t="str">
        <f>IFERROR(bütünleme!AY49*100/bütünleme!$I49,"")</f>
        <v/>
      </c>
      <c r="AO352" s="39" t="str">
        <f>IFERROR(bütünleme!AZ49*100/bütünleme!$I49,"")</f>
        <v/>
      </c>
      <c r="AP352" s="39" t="str">
        <f>IFERROR(bütünleme!BA49*100/bütünleme!$I49,"")</f>
        <v/>
      </c>
      <c r="AQ352" s="39" t="str">
        <f>IFERROR(bütünleme!BB49*100/bütünleme!$I49,"")</f>
        <v/>
      </c>
      <c r="AR352" s="39" t="str">
        <f>IFERROR(bütünleme!BC49*100/bütünleme!$I49,"")</f>
        <v/>
      </c>
      <c r="AS352" s="39" t="str">
        <f>IFERROR(bütünleme!BD49*100/bütünleme!$I49,"")</f>
        <v/>
      </c>
      <c r="AT352" s="39" t="str">
        <f>IFERROR(bütünleme!BE49*100/bütünleme!$I49,"")</f>
        <v/>
      </c>
      <c r="AU352" s="39" t="str">
        <f>IFERROR(bütünleme!BF49*100/bütünleme!$I49,"")</f>
        <v/>
      </c>
      <c r="AV352" s="39" t="str">
        <f>IFERROR(bütünleme!BG49*100/bütünleme!$I49,"")</f>
        <v/>
      </c>
      <c r="AW352" s="39" t="str">
        <f>IFERROR(bütünleme!BH49*100/bütünleme!$I49,"")</f>
        <v/>
      </c>
      <c r="AX352" s="39" t="str">
        <f>IFERROR(bütünleme!BI49*100/bütünleme!$I49,"")</f>
        <v/>
      </c>
      <c r="AY352" s="39" t="str">
        <f>IFERROR(bütünleme!BJ49*100/bütünleme!$I49,"")</f>
        <v/>
      </c>
      <c r="AZ352" s="39" t="str">
        <f>IFERROR(bütünleme!BK49*100/bütünleme!$I49,"")</f>
        <v/>
      </c>
      <c r="BA352" s="39" t="str">
        <f>IFERROR(bütünleme!BL49*100/bütünleme!$I49,"")</f>
        <v/>
      </c>
      <c r="BB352" s="39" t="str">
        <f>IFERROR(bütünleme!BM49*100/bütünleme!$I49,"")</f>
        <v/>
      </c>
      <c r="BC352" s="39" t="str">
        <f>IFERROR(bütünleme!BN49*100/bütünleme!$I49,"")</f>
        <v/>
      </c>
      <c r="BD352" s="39" t="str">
        <f>IFERROR(bütünleme!BO49*100/bütünleme!$I49,"")</f>
        <v/>
      </c>
      <c r="BE352" s="39" t="str">
        <f>IFERROR(bütünleme!BP49*100/bütünleme!$I49,"")</f>
        <v/>
      </c>
      <c r="BF352" s="39" t="str">
        <f>IFERROR(bütünleme!BQ49*100/bütünleme!$I49,"")</f>
        <v/>
      </c>
      <c r="BG352" s="39" t="str">
        <f>IFERROR(bütünleme!BR49*100/bütünleme!$I49,"")</f>
        <v/>
      </c>
      <c r="BH352" s="39" t="str">
        <f>IFERROR(bütünleme!BS49*100/bütünleme!$I49,"")</f>
        <v/>
      </c>
      <c r="BI352" s="39" t="str">
        <f>IFERROR(bütünleme!BT49*100/bütünleme!$I49,"")</f>
        <v/>
      </c>
      <c r="BJ352" s="39" t="str">
        <f>IFERROR(bütünleme!BU49*100/bütünleme!$I49,"")</f>
        <v/>
      </c>
      <c r="BK352" s="39" t="str">
        <f>IFERROR(bütünleme!BV49*100/bütünleme!$I49,"")</f>
        <v/>
      </c>
      <c r="BL352" s="39" t="str">
        <f>IFERROR(bütünleme!BW49*100/bütünleme!$I49,"")</f>
        <v/>
      </c>
      <c r="BM352" s="39" t="str">
        <f>IFERROR(bütünleme!BX49*100/bütünleme!$I49,"")</f>
        <v/>
      </c>
      <c r="BN352" s="39" t="str">
        <f>IFERROR(bütünleme!BY49*100/bütünleme!$I49,"")</f>
        <v/>
      </c>
      <c r="BO352" s="39" t="str">
        <f>IFERROR(bütünleme!BZ49*100/bütünleme!$I49,"")</f>
        <v/>
      </c>
      <c r="BP352" s="39" t="str">
        <f>IFERROR(bütünleme!CA49*100/bütünleme!$I49,"")</f>
        <v/>
      </c>
      <c r="BQ352" s="39" t="str">
        <f>IFERROR(bütünleme!CB49*100/bütünleme!$I49,"")</f>
        <v/>
      </c>
      <c r="BR352" s="39" t="str">
        <f>IFERROR(bütünleme!CC49*100/bütünleme!$I49,"")</f>
        <v/>
      </c>
      <c r="BS352" s="39" t="str">
        <f>IFERROR(bütünleme!CD49*100/bütünleme!$I49,"")</f>
        <v/>
      </c>
      <c r="BT352" s="39" t="str">
        <f>IFERROR(bütünleme!CE49*100/bütünleme!$I49,"")</f>
        <v/>
      </c>
      <c r="BU352" s="39" t="str">
        <f>IFERROR(bütünleme!CF49*100/bütünleme!$I49,"")</f>
        <v/>
      </c>
      <c r="BV352" s="39" t="str">
        <f>IFERROR(bütünleme!CG49*100/bütünleme!$I49,"")</f>
        <v/>
      </c>
      <c r="BW352" s="39" t="str">
        <f>IFERROR(bütünleme!CH49*100/bütünleme!$I49,"")</f>
        <v/>
      </c>
      <c r="BX352" s="39" t="str">
        <f>IFERROR(bütünleme!CI49*100/bütünleme!$I49,"")</f>
        <v/>
      </c>
      <c r="BY352" s="39" t="str">
        <f>IFERROR(bütünleme!CJ49*100/bütünleme!$I49,"")</f>
        <v/>
      </c>
      <c r="BZ352" s="39" t="str">
        <f>IFERROR(bütünleme!CK49*100/bütünleme!$I49,"")</f>
        <v/>
      </c>
      <c r="CA352" s="39" t="str">
        <f>IFERROR(bütünleme!CL49*100/bütünleme!$I49,"")</f>
        <v/>
      </c>
      <c r="CB352" s="39" t="str">
        <f>IFERROR(bütünleme!CM49*100/bütünleme!$I49,"")</f>
        <v/>
      </c>
      <c r="CC352" s="39" t="str">
        <f>IFERROR(bütünleme!CN49*100/bütünleme!$I49,"")</f>
        <v/>
      </c>
      <c r="CD352" s="39" t="str">
        <f>IFERROR(bütünleme!CO49*100/bütünleme!$I49,"")</f>
        <v/>
      </c>
      <c r="CE352" s="39" t="str">
        <f>IFERROR(bütünleme!CP49*100/bütünleme!$I49,"")</f>
        <v/>
      </c>
      <c r="CF352" s="39" t="str">
        <f>IFERROR(bütünleme!CQ49*100/bütünleme!$I49,"")</f>
        <v/>
      </c>
      <c r="CG352" s="39" t="str">
        <f>IFERROR(bütünleme!CR49*100/bütünleme!$I49,"")</f>
        <v/>
      </c>
      <c r="CH352" s="39" t="str">
        <f>IFERROR(bütünleme!CS49*100/bütünleme!$I49,"")</f>
        <v/>
      </c>
      <c r="CI352" s="39" t="str">
        <f>IFERROR(bütünleme!CT49*100/bütünleme!$I49,"")</f>
        <v/>
      </c>
      <c r="CJ352" s="39" t="str">
        <f>IFERROR(bütünleme!CU49*100/bütünleme!$I49,"")</f>
        <v/>
      </c>
      <c r="CK352" s="39" t="str">
        <f>IFERROR(bütünleme!CV49*100/bütünleme!$I49,"")</f>
        <v/>
      </c>
      <c r="CL352" s="39" t="str">
        <f>IFERROR(bütünleme!CW49*100/bütünleme!$I49,"")</f>
        <v/>
      </c>
      <c r="CM352" s="39" t="str">
        <f>IFERROR(bütünleme!CX49*100/bütünleme!$I49,"")</f>
        <v/>
      </c>
      <c r="CN352" s="39" t="str">
        <f>IFERROR(bütünleme!CY49*100/bütünleme!$I49,"")</f>
        <v/>
      </c>
      <c r="CO352" s="39" t="str">
        <f>IFERROR(bütünleme!CZ49*100/bütünleme!$I49,"")</f>
        <v/>
      </c>
      <c r="CP352" s="39" t="str">
        <f>IFERROR(bütünleme!DA49*100/bütünleme!$I49,"")</f>
        <v/>
      </c>
      <c r="CQ352" s="39" t="str">
        <f>IFERROR(bütünleme!DB49*100/bütünleme!$I49,"")</f>
        <v/>
      </c>
      <c r="CR352" s="39" t="str">
        <f>IFERROR(bütünleme!DC49*100/bütünleme!$I49,"")</f>
        <v/>
      </c>
      <c r="CS352" s="39" t="str">
        <f>IFERROR(bütünleme!DD49*100/bütünleme!$I49,"")</f>
        <v/>
      </c>
      <c r="CT352" s="39" t="str">
        <f>IFERROR(bütünleme!DE49*100/bütünleme!$I49,"")</f>
        <v/>
      </c>
      <c r="CU352" s="39" t="str">
        <f>IFERROR(bütünleme!DF49*100/bütünleme!$I49,"")</f>
        <v/>
      </c>
      <c r="CV352" s="39" t="str">
        <f>IFERROR(bütünleme!DG49*100/bütünleme!$I49,"")</f>
        <v/>
      </c>
      <c r="CW352" s="36" t="str">
        <f>IFERROR(SUM(A352:CV352)/bütünleme!$DH$103,"")</f>
        <v/>
      </c>
      <c r="CX352" s="14" t="str">
        <f>IF(COUNTA(bütünleme!A49),bütünleme!A49,"")</f>
        <v/>
      </c>
      <c r="CY352" s="14" t="str">
        <f>IF(COUNTA(bütünleme!B49),bütünleme!B49,"")</f>
        <v/>
      </c>
      <c r="CZ352" s="14" t="str">
        <f>IF(COUNTA(bütünleme!C49),bütünleme!C49,"")</f>
        <v/>
      </c>
      <c r="DA352" s="14" t="str">
        <f>IF(COUNTA(bütünleme!D49),bütünleme!D49,"")</f>
        <v/>
      </c>
      <c r="DB352" s="14" t="str">
        <f>IF(COUNTA(bütünleme!E49),bütünleme!E49,"")</f>
        <v/>
      </c>
      <c r="DC352" s="14" t="str">
        <f>IF(COUNTA(bütünleme!F49),bütünleme!F49,"")</f>
        <v/>
      </c>
      <c r="DD352" s="14" t="str">
        <f>IF(COUNTA(bütünleme!G49),bütünleme!G49,"")</f>
        <v/>
      </c>
      <c r="DE352" s="14" t="str">
        <f>IF(COUNTA(bütünleme!H49),bütünleme!H49,"")</f>
        <v/>
      </c>
    </row>
    <row r="353" spans="1:109" x14ac:dyDescent="0.2">
      <c r="A353" s="39" t="str">
        <f>IFERROR(bütünleme!L50*100/bütünleme!$I50,"")</f>
        <v/>
      </c>
      <c r="B353" s="39" t="str">
        <f>IFERROR(bütünleme!M50*100/bütünleme!$I50,"")</f>
        <v/>
      </c>
      <c r="C353" s="39" t="str">
        <f>IFERROR(bütünleme!N50*100/bütünleme!$I50,"")</f>
        <v/>
      </c>
      <c r="D353" s="39" t="str">
        <f>IFERROR(bütünleme!O50*100/bütünleme!$I50,"")</f>
        <v/>
      </c>
      <c r="E353" s="39" t="str">
        <f>IFERROR(bütünleme!P50*100/bütünleme!$I50,"")</f>
        <v/>
      </c>
      <c r="F353" s="39" t="str">
        <f>IFERROR(bütünleme!Q50*100/bütünleme!$I50,"")</f>
        <v/>
      </c>
      <c r="G353" s="39" t="str">
        <f>IFERROR(bütünleme!R50*100/bütünleme!$I50,"")</f>
        <v/>
      </c>
      <c r="H353" s="39" t="str">
        <f>IFERROR(bütünleme!S50*100/bütünleme!$I50,"")</f>
        <v/>
      </c>
      <c r="I353" s="39" t="str">
        <f>IFERROR(bütünleme!T50*100/bütünleme!$I50,"")</f>
        <v/>
      </c>
      <c r="J353" s="39" t="str">
        <f>IFERROR(bütünleme!U50*100/bütünleme!$I50,"")</f>
        <v/>
      </c>
      <c r="K353" s="39" t="str">
        <f>IFERROR(bütünleme!V50*100/bütünleme!$I50,"")</f>
        <v/>
      </c>
      <c r="L353" s="39" t="str">
        <f>IFERROR(bütünleme!W50*100/bütünleme!$I50,"")</f>
        <v/>
      </c>
      <c r="M353" s="39" t="str">
        <f>IFERROR(bütünleme!X50*100/bütünleme!$I50,"")</f>
        <v/>
      </c>
      <c r="N353" s="39" t="str">
        <f>IFERROR(bütünleme!Y50*100/bütünleme!$I50,"")</f>
        <v/>
      </c>
      <c r="O353" s="39" t="str">
        <f>IFERROR(bütünleme!Z50*100/bütünleme!$I50,"")</f>
        <v/>
      </c>
      <c r="P353" s="39" t="str">
        <f>IFERROR(bütünleme!AA50*100/bütünleme!$I50,"")</f>
        <v/>
      </c>
      <c r="Q353" s="39" t="str">
        <f>IFERROR(bütünleme!AB50*100/bütünleme!$I50,"")</f>
        <v/>
      </c>
      <c r="R353" s="39" t="str">
        <f>IFERROR(bütünleme!AC50*100/bütünleme!$I50,"")</f>
        <v/>
      </c>
      <c r="S353" s="39" t="str">
        <f>IFERROR(bütünleme!AD50*100/bütünleme!$I50,"")</f>
        <v/>
      </c>
      <c r="T353" s="39" t="str">
        <f>IFERROR(bütünleme!AE50*100/bütünleme!$I50,"")</f>
        <v/>
      </c>
      <c r="U353" s="39" t="str">
        <f>IFERROR(bütünleme!AF50*100/bütünleme!$I50,"")</f>
        <v/>
      </c>
      <c r="V353" s="39" t="str">
        <f>IFERROR(bütünleme!AG50*100/bütünleme!$I50,"")</f>
        <v/>
      </c>
      <c r="W353" s="39" t="str">
        <f>IFERROR(bütünleme!AH50*100/bütünleme!$I50,"")</f>
        <v/>
      </c>
      <c r="X353" s="39" t="str">
        <f>IFERROR(bütünleme!AI50*100/bütünleme!$I50,"")</f>
        <v/>
      </c>
      <c r="Y353" s="39" t="str">
        <f>IFERROR(bütünleme!AJ50*100/bütünleme!$I50,"")</f>
        <v/>
      </c>
      <c r="Z353" s="39" t="str">
        <f>IFERROR(bütünleme!AK50*100/bütünleme!$I50,"")</f>
        <v/>
      </c>
      <c r="AA353" s="39" t="str">
        <f>IFERROR(bütünleme!AL50*100/bütünleme!$I50,"")</f>
        <v/>
      </c>
      <c r="AB353" s="39" t="str">
        <f>IFERROR(bütünleme!AM50*100/bütünleme!$I50,"")</f>
        <v/>
      </c>
      <c r="AC353" s="39" t="str">
        <f>IFERROR(bütünleme!AN50*100/bütünleme!$I50,"")</f>
        <v/>
      </c>
      <c r="AD353" s="39" t="str">
        <f>IFERROR(bütünleme!AO50*100/bütünleme!$I50,"")</f>
        <v/>
      </c>
      <c r="AE353" s="39" t="str">
        <f>IFERROR(bütünleme!AP50*100/bütünleme!$I50,"")</f>
        <v/>
      </c>
      <c r="AF353" s="39" t="str">
        <f>IFERROR(bütünleme!AQ50*100/bütünleme!$I50,"")</f>
        <v/>
      </c>
      <c r="AG353" s="39" t="str">
        <f>IFERROR(bütünleme!AR50*100/bütünleme!$I50,"")</f>
        <v/>
      </c>
      <c r="AH353" s="39" t="str">
        <f>IFERROR(bütünleme!AS50*100/bütünleme!$I50,"")</f>
        <v/>
      </c>
      <c r="AI353" s="39" t="str">
        <f>IFERROR(bütünleme!AT50*100/bütünleme!$I50,"")</f>
        <v/>
      </c>
      <c r="AJ353" s="39" t="str">
        <f>IFERROR(bütünleme!AU50*100/bütünleme!$I50,"")</f>
        <v/>
      </c>
      <c r="AK353" s="39" t="str">
        <f>IFERROR(bütünleme!AV50*100/bütünleme!$I50,"")</f>
        <v/>
      </c>
      <c r="AL353" s="39" t="str">
        <f>IFERROR(bütünleme!AW50*100/bütünleme!$I50,"")</f>
        <v/>
      </c>
      <c r="AM353" s="39" t="str">
        <f>IFERROR(bütünleme!AX50*100/bütünleme!$I50,"")</f>
        <v/>
      </c>
      <c r="AN353" s="39" t="str">
        <f>IFERROR(bütünleme!AY50*100/bütünleme!$I50,"")</f>
        <v/>
      </c>
      <c r="AO353" s="39" t="str">
        <f>IFERROR(bütünleme!AZ50*100/bütünleme!$I50,"")</f>
        <v/>
      </c>
      <c r="AP353" s="39" t="str">
        <f>IFERROR(bütünleme!BA50*100/bütünleme!$I50,"")</f>
        <v/>
      </c>
      <c r="AQ353" s="39" t="str">
        <f>IFERROR(bütünleme!BB50*100/bütünleme!$I50,"")</f>
        <v/>
      </c>
      <c r="AR353" s="39" t="str">
        <f>IFERROR(bütünleme!BC50*100/bütünleme!$I50,"")</f>
        <v/>
      </c>
      <c r="AS353" s="39" t="str">
        <f>IFERROR(bütünleme!BD50*100/bütünleme!$I50,"")</f>
        <v/>
      </c>
      <c r="AT353" s="39" t="str">
        <f>IFERROR(bütünleme!BE50*100/bütünleme!$I50,"")</f>
        <v/>
      </c>
      <c r="AU353" s="39" t="str">
        <f>IFERROR(bütünleme!BF50*100/bütünleme!$I50,"")</f>
        <v/>
      </c>
      <c r="AV353" s="39" t="str">
        <f>IFERROR(bütünleme!BG50*100/bütünleme!$I50,"")</f>
        <v/>
      </c>
      <c r="AW353" s="39" t="str">
        <f>IFERROR(bütünleme!BH50*100/bütünleme!$I50,"")</f>
        <v/>
      </c>
      <c r="AX353" s="39" t="str">
        <f>IFERROR(bütünleme!BI50*100/bütünleme!$I50,"")</f>
        <v/>
      </c>
      <c r="AY353" s="39" t="str">
        <f>IFERROR(bütünleme!BJ50*100/bütünleme!$I50,"")</f>
        <v/>
      </c>
      <c r="AZ353" s="39" t="str">
        <f>IFERROR(bütünleme!BK50*100/bütünleme!$I50,"")</f>
        <v/>
      </c>
      <c r="BA353" s="39" t="str">
        <f>IFERROR(bütünleme!BL50*100/bütünleme!$I50,"")</f>
        <v/>
      </c>
      <c r="BB353" s="39" t="str">
        <f>IFERROR(bütünleme!BM50*100/bütünleme!$I50,"")</f>
        <v/>
      </c>
      <c r="BC353" s="39" t="str">
        <f>IFERROR(bütünleme!BN50*100/bütünleme!$I50,"")</f>
        <v/>
      </c>
      <c r="BD353" s="39" t="str">
        <f>IFERROR(bütünleme!BO50*100/bütünleme!$I50,"")</f>
        <v/>
      </c>
      <c r="BE353" s="39" t="str">
        <f>IFERROR(bütünleme!BP50*100/bütünleme!$I50,"")</f>
        <v/>
      </c>
      <c r="BF353" s="39" t="str">
        <f>IFERROR(bütünleme!BQ50*100/bütünleme!$I50,"")</f>
        <v/>
      </c>
      <c r="BG353" s="39" t="str">
        <f>IFERROR(bütünleme!BR50*100/bütünleme!$I50,"")</f>
        <v/>
      </c>
      <c r="BH353" s="39" t="str">
        <f>IFERROR(bütünleme!BS50*100/bütünleme!$I50,"")</f>
        <v/>
      </c>
      <c r="BI353" s="39" t="str">
        <f>IFERROR(bütünleme!BT50*100/bütünleme!$I50,"")</f>
        <v/>
      </c>
      <c r="BJ353" s="39" t="str">
        <f>IFERROR(bütünleme!BU50*100/bütünleme!$I50,"")</f>
        <v/>
      </c>
      <c r="BK353" s="39" t="str">
        <f>IFERROR(bütünleme!BV50*100/bütünleme!$I50,"")</f>
        <v/>
      </c>
      <c r="BL353" s="39" t="str">
        <f>IFERROR(bütünleme!BW50*100/bütünleme!$I50,"")</f>
        <v/>
      </c>
      <c r="BM353" s="39" t="str">
        <f>IFERROR(bütünleme!BX50*100/bütünleme!$I50,"")</f>
        <v/>
      </c>
      <c r="BN353" s="39" t="str">
        <f>IFERROR(bütünleme!BY50*100/bütünleme!$I50,"")</f>
        <v/>
      </c>
      <c r="BO353" s="39" t="str">
        <f>IFERROR(bütünleme!BZ50*100/bütünleme!$I50,"")</f>
        <v/>
      </c>
      <c r="BP353" s="39" t="str">
        <f>IFERROR(bütünleme!CA50*100/bütünleme!$I50,"")</f>
        <v/>
      </c>
      <c r="BQ353" s="39" t="str">
        <f>IFERROR(bütünleme!CB50*100/bütünleme!$I50,"")</f>
        <v/>
      </c>
      <c r="BR353" s="39" t="str">
        <f>IFERROR(bütünleme!CC50*100/bütünleme!$I50,"")</f>
        <v/>
      </c>
      <c r="BS353" s="39" t="str">
        <f>IFERROR(bütünleme!CD50*100/bütünleme!$I50,"")</f>
        <v/>
      </c>
      <c r="BT353" s="39" t="str">
        <f>IFERROR(bütünleme!CE50*100/bütünleme!$I50,"")</f>
        <v/>
      </c>
      <c r="BU353" s="39" t="str">
        <f>IFERROR(bütünleme!CF50*100/bütünleme!$I50,"")</f>
        <v/>
      </c>
      <c r="BV353" s="39" t="str">
        <f>IFERROR(bütünleme!CG50*100/bütünleme!$I50,"")</f>
        <v/>
      </c>
      <c r="BW353" s="39" t="str">
        <f>IFERROR(bütünleme!CH50*100/bütünleme!$I50,"")</f>
        <v/>
      </c>
      <c r="BX353" s="39" t="str">
        <f>IFERROR(bütünleme!CI50*100/bütünleme!$I50,"")</f>
        <v/>
      </c>
      <c r="BY353" s="39" t="str">
        <f>IFERROR(bütünleme!CJ50*100/bütünleme!$I50,"")</f>
        <v/>
      </c>
      <c r="BZ353" s="39" t="str">
        <f>IFERROR(bütünleme!CK50*100/bütünleme!$I50,"")</f>
        <v/>
      </c>
      <c r="CA353" s="39" t="str">
        <f>IFERROR(bütünleme!CL50*100/bütünleme!$I50,"")</f>
        <v/>
      </c>
      <c r="CB353" s="39" t="str">
        <f>IFERROR(bütünleme!CM50*100/bütünleme!$I50,"")</f>
        <v/>
      </c>
      <c r="CC353" s="39" t="str">
        <f>IFERROR(bütünleme!CN50*100/bütünleme!$I50,"")</f>
        <v/>
      </c>
      <c r="CD353" s="39" t="str">
        <f>IFERROR(bütünleme!CO50*100/bütünleme!$I50,"")</f>
        <v/>
      </c>
      <c r="CE353" s="39" t="str">
        <f>IFERROR(bütünleme!CP50*100/bütünleme!$I50,"")</f>
        <v/>
      </c>
      <c r="CF353" s="39" t="str">
        <f>IFERROR(bütünleme!CQ50*100/bütünleme!$I50,"")</f>
        <v/>
      </c>
      <c r="CG353" s="39" t="str">
        <f>IFERROR(bütünleme!CR50*100/bütünleme!$I50,"")</f>
        <v/>
      </c>
      <c r="CH353" s="39" t="str">
        <f>IFERROR(bütünleme!CS50*100/bütünleme!$I50,"")</f>
        <v/>
      </c>
      <c r="CI353" s="39" t="str">
        <f>IFERROR(bütünleme!CT50*100/bütünleme!$I50,"")</f>
        <v/>
      </c>
      <c r="CJ353" s="39" t="str">
        <f>IFERROR(bütünleme!CU50*100/bütünleme!$I50,"")</f>
        <v/>
      </c>
      <c r="CK353" s="39" t="str">
        <f>IFERROR(bütünleme!CV50*100/bütünleme!$I50,"")</f>
        <v/>
      </c>
      <c r="CL353" s="39" t="str">
        <f>IFERROR(bütünleme!CW50*100/bütünleme!$I50,"")</f>
        <v/>
      </c>
      <c r="CM353" s="39" t="str">
        <f>IFERROR(bütünleme!CX50*100/bütünleme!$I50,"")</f>
        <v/>
      </c>
      <c r="CN353" s="39" t="str">
        <f>IFERROR(bütünleme!CY50*100/bütünleme!$I50,"")</f>
        <v/>
      </c>
      <c r="CO353" s="39" t="str">
        <f>IFERROR(bütünleme!CZ50*100/bütünleme!$I50,"")</f>
        <v/>
      </c>
      <c r="CP353" s="39" t="str">
        <f>IFERROR(bütünleme!DA50*100/bütünleme!$I50,"")</f>
        <v/>
      </c>
      <c r="CQ353" s="39" t="str">
        <f>IFERROR(bütünleme!DB50*100/bütünleme!$I50,"")</f>
        <v/>
      </c>
      <c r="CR353" s="39" t="str">
        <f>IFERROR(bütünleme!DC50*100/bütünleme!$I50,"")</f>
        <v/>
      </c>
      <c r="CS353" s="39" t="str">
        <f>IFERROR(bütünleme!DD50*100/bütünleme!$I50,"")</f>
        <v/>
      </c>
      <c r="CT353" s="39" t="str">
        <f>IFERROR(bütünleme!DE50*100/bütünleme!$I50,"")</f>
        <v/>
      </c>
      <c r="CU353" s="39" t="str">
        <f>IFERROR(bütünleme!DF50*100/bütünleme!$I50,"")</f>
        <v/>
      </c>
      <c r="CV353" s="39" t="str">
        <f>IFERROR(bütünleme!DG50*100/bütünleme!$I50,"")</f>
        <v/>
      </c>
      <c r="CW353" s="36" t="str">
        <f>IFERROR(SUM(A353:CV353)/bütünleme!$DH$103,"")</f>
        <v/>
      </c>
      <c r="CX353" s="14" t="str">
        <f>IF(COUNTA(bütünleme!A50),bütünleme!A50,"")</f>
        <v/>
      </c>
      <c r="CY353" s="14" t="str">
        <f>IF(COUNTA(bütünleme!B50),bütünleme!B50,"")</f>
        <v/>
      </c>
      <c r="CZ353" s="14" t="str">
        <f>IF(COUNTA(bütünleme!C50),bütünleme!C50,"")</f>
        <v/>
      </c>
      <c r="DA353" s="14" t="str">
        <f>IF(COUNTA(bütünleme!D50),bütünleme!D50,"")</f>
        <v/>
      </c>
      <c r="DB353" s="14" t="str">
        <f>IF(COUNTA(bütünleme!E50),bütünleme!E50,"")</f>
        <v/>
      </c>
      <c r="DC353" s="14" t="str">
        <f>IF(COUNTA(bütünleme!F50),bütünleme!F50,"")</f>
        <v/>
      </c>
      <c r="DD353" s="14" t="str">
        <f>IF(COUNTA(bütünleme!G50),bütünleme!G50,"")</f>
        <v/>
      </c>
      <c r="DE353" s="14" t="str">
        <f>IF(COUNTA(bütünleme!H50),bütünleme!H50,"")</f>
        <v/>
      </c>
    </row>
    <row r="354" spans="1:109" x14ac:dyDescent="0.2">
      <c r="A354" s="39" t="str">
        <f>IFERROR(bütünleme!L51*100/bütünleme!$I51,"")</f>
        <v/>
      </c>
      <c r="B354" s="39" t="str">
        <f>IFERROR(bütünleme!M51*100/bütünleme!$I51,"")</f>
        <v/>
      </c>
      <c r="C354" s="39" t="str">
        <f>IFERROR(bütünleme!N51*100/bütünleme!$I51,"")</f>
        <v/>
      </c>
      <c r="D354" s="39" t="str">
        <f>IFERROR(bütünleme!O51*100/bütünleme!$I51,"")</f>
        <v/>
      </c>
      <c r="E354" s="39" t="str">
        <f>IFERROR(bütünleme!P51*100/bütünleme!$I51,"")</f>
        <v/>
      </c>
      <c r="F354" s="39" t="str">
        <f>IFERROR(bütünleme!Q51*100/bütünleme!$I51,"")</f>
        <v/>
      </c>
      <c r="G354" s="39" t="str">
        <f>IFERROR(bütünleme!R51*100/bütünleme!$I51,"")</f>
        <v/>
      </c>
      <c r="H354" s="39" t="str">
        <f>IFERROR(bütünleme!S51*100/bütünleme!$I51,"")</f>
        <v/>
      </c>
      <c r="I354" s="39" t="str">
        <f>IFERROR(bütünleme!T51*100/bütünleme!$I51,"")</f>
        <v/>
      </c>
      <c r="J354" s="39" t="str">
        <f>IFERROR(bütünleme!U51*100/bütünleme!$I51,"")</f>
        <v/>
      </c>
      <c r="K354" s="39" t="str">
        <f>IFERROR(bütünleme!V51*100/bütünleme!$I51,"")</f>
        <v/>
      </c>
      <c r="L354" s="39" t="str">
        <f>IFERROR(bütünleme!W51*100/bütünleme!$I51,"")</f>
        <v/>
      </c>
      <c r="M354" s="39" t="str">
        <f>IFERROR(bütünleme!X51*100/bütünleme!$I51,"")</f>
        <v/>
      </c>
      <c r="N354" s="39" t="str">
        <f>IFERROR(bütünleme!Y51*100/bütünleme!$I51,"")</f>
        <v/>
      </c>
      <c r="O354" s="39" t="str">
        <f>IFERROR(bütünleme!Z51*100/bütünleme!$I51,"")</f>
        <v/>
      </c>
      <c r="P354" s="39" t="str">
        <f>IFERROR(bütünleme!AA51*100/bütünleme!$I51,"")</f>
        <v/>
      </c>
      <c r="Q354" s="39" t="str">
        <f>IFERROR(bütünleme!AB51*100/bütünleme!$I51,"")</f>
        <v/>
      </c>
      <c r="R354" s="39" t="str">
        <f>IFERROR(bütünleme!AC51*100/bütünleme!$I51,"")</f>
        <v/>
      </c>
      <c r="S354" s="39" t="str">
        <f>IFERROR(bütünleme!AD51*100/bütünleme!$I51,"")</f>
        <v/>
      </c>
      <c r="T354" s="39" t="str">
        <f>IFERROR(bütünleme!AE51*100/bütünleme!$I51,"")</f>
        <v/>
      </c>
      <c r="U354" s="39" t="str">
        <f>IFERROR(bütünleme!AF51*100/bütünleme!$I51,"")</f>
        <v/>
      </c>
      <c r="V354" s="39" t="str">
        <f>IFERROR(bütünleme!AG51*100/bütünleme!$I51,"")</f>
        <v/>
      </c>
      <c r="W354" s="39" t="str">
        <f>IFERROR(bütünleme!AH51*100/bütünleme!$I51,"")</f>
        <v/>
      </c>
      <c r="X354" s="39" t="str">
        <f>IFERROR(bütünleme!AI51*100/bütünleme!$I51,"")</f>
        <v/>
      </c>
      <c r="Y354" s="39" t="str">
        <f>IFERROR(bütünleme!AJ51*100/bütünleme!$I51,"")</f>
        <v/>
      </c>
      <c r="Z354" s="39" t="str">
        <f>IFERROR(bütünleme!AK51*100/bütünleme!$I51,"")</f>
        <v/>
      </c>
      <c r="AA354" s="39" t="str">
        <f>IFERROR(bütünleme!AL51*100/bütünleme!$I51,"")</f>
        <v/>
      </c>
      <c r="AB354" s="39" t="str">
        <f>IFERROR(bütünleme!AM51*100/bütünleme!$I51,"")</f>
        <v/>
      </c>
      <c r="AC354" s="39" t="str">
        <f>IFERROR(bütünleme!AN51*100/bütünleme!$I51,"")</f>
        <v/>
      </c>
      <c r="AD354" s="39" t="str">
        <f>IFERROR(bütünleme!AO51*100/bütünleme!$I51,"")</f>
        <v/>
      </c>
      <c r="AE354" s="39" t="str">
        <f>IFERROR(bütünleme!AP51*100/bütünleme!$I51,"")</f>
        <v/>
      </c>
      <c r="AF354" s="39" t="str">
        <f>IFERROR(bütünleme!AQ51*100/bütünleme!$I51,"")</f>
        <v/>
      </c>
      <c r="AG354" s="39" t="str">
        <f>IFERROR(bütünleme!AR51*100/bütünleme!$I51,"")</f>
        <v/>
      </c>
      <c r="AH354" s="39" t="str">
        <f>IFERROR(bütünleme!AS51*100/bütünleme!$I51,"")</f>
        <v/>
      </c>
      <c r="AI354" s="39" t="str">
        <f>IFERROR(bütünleme!AT51*100/bütünleme!$I51,"")</f>
        <v/>
      </c>
      <c r="AJ354" s="39" t="str">
        <f>IFERROR(bütünleme!AU51*100/bütünleme!$I51,"")</f>
        <v/>
      </c>
      <c r="AK354" s="39" t="str">
        <f>IFERROR(bütünleme!AV51*100/bütünleme!$I51,"")</f>
        <v/>
      </c>
      <c r="AL354" s="39" t="str">
        <f>IFERROR(bütünleme!AW51*100/bütünleme!$I51,"")</f>
        <v/>
      </c>
      <c r="AM354" s="39" t="str">
        <f>IFERROR(bütünleme!AX51*100/bütünleme!$I51,"")</f>
        <v/>
      </c>
      <c r="AN354" s="39" t="str">
        <f>IFERROR(bütünleme!AY51*100/bütünleme!$I51,"")</f>
        <v/>
      </c>
      <c r="AO354" s="39" t="str">
        <f>IFERROR(bütünleme!AZ51*100/bütünleme!$I51,"")</f>
        <v/>
      </c>
      <c r="AP354" s="39" t="str">
        <f>IFERROR(bütünleme!BA51*100/bütünleme!$I51,"")</f>
        <v/>
      </c>
      <c r="AQ354" s="39" t="str">
        <f>IFERROR(bütünleme!BB51*100/bütünleme!$I51,"")</f>
        <v/>
      </c>
      <c r="AR354" s="39" t="str">
        <f>IFERROR(bütünleme!BC51*100/bütünleme!$I51,"")</f>
        <v/>
      </c>
      <c r="AS354" s="39" t="str">
        <f>IFERROR(bütünleme!BD51*100/bütünleme!$I51,"")</f>
        <v/>
      </c>
      <c r="AT354" s="39" t="str">
        <f>IFERROR(bütünleme!BE51*100/bütünleme!$I51,"")</f>
        <v/>
      </c>
      <c r="AU354" s="39" t="str">
        <f>IFERROR(bütünleme!BF51*100/bütünleme!$I51,"")</f>
        <v/>
      </c>
      <c r="AV354" s="39" t="str">
        <f>IFERROR(bütünleme!BG51*100/bütünleme!$I51,"")</f>
        <v/>
      </c>
      <c r="AW354" s="39" t="str">
        <f>IFERROR(bütünleme!BH51*100/bütünleme!$I51,"")</f>
        <v/>
      </c>
      <c r="AX354" s="39" t="str">
        <f>IFERROR(bütünleme!BI51*100/bütünleme!$I51,"")</f>
        <v/>
      </c>
      <c r="AY354" s="39" t="str">
        <f>IFERROR(bütünleme!BJ51*100/bütünleme!$I51,"")</f>
        <v/>
      </c>
      <c r="AZ354" s="39" t="str">
        <f>IFERROR(bütünleme!BK51*100/bütünleme!$I51,"")</f>
        <v/>
      </c>
      <c r="BA354" s="39" t="str">
        <f>IFERROR(bütünleme!BL51*100/bütünleme!$I51,"")</f>
        <v/>
      </c>
      <c r="BB354" s="39" t="str">
        <f>IFERROR(bütünleme!BM51*100/bütünleme!$I51,"")</f>
        <v/>
      </c>
      <c r="BC354" s="39" t="str">
        <f>IFERROR(bütünleme!BN51*100/bütünleme!$I51,"")</f>
        <v/>
      </c>
      <c r="BD354" s="39" t="str">
        <f>IFERROR(bütünleme!BO51*100/bütünleme!$I51,"")</f>
        <v/>
      </c>
      <c r="BE354" s="39" t="str">
        <f>IFERROR(bütünleme!BP51*100/bütünleme!$I51,"")</f>
        <v/>
      </c>
      <c r="BF354" s="39" t="str">
        <f>IFERROR(bütünleme!BQ51*100/bütünleme!$I51,"")</f>
        <v/>
      </c>
      <c r="BG354" s="39" t="str">
        <f>IFERROR(bütünleme!BR51*100/bütünleme!$I51,"")</f>
        <v/>
      </c>
      <c r="BH354" s="39" t="str">
        <f>IFERROR(bütünleme!BS51*100/bütünleme!$I51,"")</f>
        <v/>
      </c>
      <c r="BI354" s="39" t="str">
        <f>IFERROR(bütünleme!BT51*100/bütünleme!$I51,"")</f>
        <v/>
      </c>
      <c r="BJ354" s="39" t="str">
        <f>IFERROR(bütünleme!BU51*100/bütünleme!$I51,"")</f>
        <v/>
      </c>
      <c r="BK354" s="39" t="str">
        <f>IFERROR(bütünleme!BV51*100/bütünleme!$I51,"")</f>
        <v/>
      </c>
      <c r="BL354" s="39" t="str">
        <f>IFERROR(bütünleme!BW51*100/bütünleme!$I51,"")</f>
        <v/>
      </c>
      <c r="BM354" s="39" t="str">
        <f>IFERROR(bütünleme!BX51*100/bütünleme!$I51,"")</f>
        <v/>
      </c>
      <c r="BN354" s="39" t="str">
        <f>IFERROR(bütünleme!BY51*100/bütünleme!$I51,"")</f>
        <v/>
      </c>
      <c r="BO354" s="39" t="str">
        <f>IFERROR(bütünleme!BZ51*100/bütünleme!$I51,"")</f>
        <v/>
      </c>
      <c r="BP354" s="39" t="str">
        <f>IFERROR(bütünleme!CA51*100/bütünleme!$I51,"")</f>
        <v/>
      </c>
      <c r="BQ354" s="39" t="str">
        <f>IFERROR(bütünleme!CB51*100/bütünleme!$I51,"")</f>
        <v/>
      </c>
      <c r="BR354" s="39" t="str">
        <f>IFERROR(bütünleme!CC51*100/bütünleme!$I51,"")</f>
        <v/>
      </c>
      <c r="BS354" s="39" t="str">
        <f>IFERROR(bütünleme!CD51*100/bütünleme!$I51,"")</f>
        <v/>
      </c>
      <c r="BT354" s="39" t="str">
        <f>IFERROR(bütünleme!CE51*100/bütünleme!$I51,"")</f>
        <v/>
      </c>
      <c r="BU354" s="39" t="str">
        <f>IFERROR(bütünleme!CF51*100/bütünleme!$I51,"")</f>
        <v/>
      </c>
      <c r="BV354" s="39" t="str">
        <f>IFERROR(bütünleme!CG51*100/bütünleme!$I51,"")</f>
        <v/>
      </c>
      <c r="BW354" s="39" t="str">
        <f>IFERROR(bütünleme!CH51*100/bütünleme!$I51,"")</f>
        <v/>
      </c>
      <c r="BX354" s="39" t="str">
        <f>IFERROR(bütünleme!CI51*100/bütünleme!$I51,"")</f>
        <v/>
      </c>
      <c r="BY354" s="39" t="str">
        <f>IFERROR(bütünleme!CJ51*100/bütünleme!$I51,"")</f>
        <v/>
      </c>
      <c r="BZ354" s="39" t="str">
        <f>IFERROR(bütünleme!CK51*100/bütünleme!$I51,"")</f>
        <v/>
      </c>
      <c r="CA354" s="39" t="str">
        <f>IFERROR(bütünleme!CL51*100/bütünleme!$I51,"")</f>
        <v/>
      </c>
      <c r="CB354" s="39" t="str">
        <f>IFERROR(bütünleme!CM51*100/bütünleme!$I51,"")</f>
        <v/>
      </c>
      <c r="CC354" s="39" t="str">
        <f>IFERROR(bütünleme!CN51*100/bütünleme!$I51,"")</f>
        <v/>
      </c>
      <c r="CD354" s="39" t="str">
        <f>IFERROR(bütünleme!CO51*100/bütünleme!$I51,"")</f>
        <v/>
      </c>
      <c r="CE354" s="39" t="str">
        <f>IFERROR(bütünleme!CP51*100/bütünleme!$I51,"")</f>
        <v/>
      </c>
      <c r="CF354" s="39" t="str">
        <f>IFERROR(bütünleme!CQ51*100/bütünleme!$I51,"")</f>
        <v/>
      </c>
      <c r="CG354" s="39" t="str">
        <f>IFERROR(bütünleme!CR51*100/bütünleme!$I51,"")</f>
        <v/>
      </c>
      <c r="CH354" s="39" t="str">
        <f>IFERROR(bütünleme!CS51*100/bütünleme!$I51,"")</f>
        <v/>
      </c>
      <c r="CI354" s="39" t="str">
        <f>IFERROR(bütünleme!CT51*100/bütünleme!$I51,"")</f>
        <v/>
      </c>
      <c r="CJ354" s="39" t="str">
        <f>IFERROR(bütünleme!CU51*100/bütünleme!$I51,"")</f>
        <v/>
      </c>
      <c r="CK354" s="39" t="str">
        <f>IFERROR(bütünleme!CV51*100/bütünleme!$I51,"")</f>
        <v/>
      </c>
      <c r="CL354" s="39" t="str">
        <f>IFERROR(bütünleme!CW51*100/bütünleme!$I51,"")</f>
        <v/>
      </c>
      <c r="CM354" s="39" t="str">
        <f>IFERROR(bütünleme!CX51*100/bütünleme!$I51,"")</f>
        <v/>
      </c>
      <c r="CN354" s="39" t="str">
        <f>IFERROR(bütünleme!CY51*100/bütünleme!$I51,"")</f>
        <v/>
      </c>
      <c r="CO354" s="39" t="str">
        <f>IFERROR(bütünleme!CZ51*100/bütünleme!$I51,"")</f>
        <v/>
      </c>
      <c r="CP354" s="39" t="str">
        <f>IFERROR(bütünleme!DA51*100/bütünleme!$I51,"")</f>
        <v/>
      </c>
      <c r="CQ354" s="39" t="str">
        <f>IFERROR(bütünleme!DB51*100/bütünleme!$I51,"")</f>
        <v/>
      </c>
      <c r="CR354" s="39" t="str">
        <f>IFERROR(bütünleme!DC51*100/bütünleme!$I51,"")</f>
        <v/>
      </c>
      <c r="CS354" s="39" t="str">
        <f>IFERROR(bütünleme!DD51*100/bütünleme!$I51,"")</f>
        <v/>
      </c>
      <c r="CT354" s="39" t="str">
        <f>IFERROR(bütünleme!DE51*100/bütünleme!$I51,"")</f>
        <v/>
      </c>
      <c r="CU354" s="39" t="str">
        <f>IFERROR(bütünleme!DF51*100/bütünleme!$I51,"")</f>
        <v/>
      </c>
      <c r="CV354" s="39" t="str">
        <f>IFERROR(bütünleme!DG51*100/bütünleme!$I51,"")</f>
        <v/>
      </c>
      <c r="CW354" s="36" t="str">
        <f>IFERROR(SUM(A354:CV354)/bütünleme!$DH$103,"")</f>
        <v/>
      </c>
      <c r="CX354" s="14" t="str">
        <f>IF(COUNTA(bütünleme!A51),bütünleme!A51,"")</f>
        <v/>
      </c>
      <c r="CY354" s="14" t="str">
        <f>IF(COUNTA(bütünleme!B51),bütünleme!B51,"")</f>
        <v/>
      </c>
      <c r="CZ354" s="14" t="str">
        <f>IF(COUNTA(bütünleme!C51),bütünleme!C51,"")</f>
        <v/>
      </c>
      <c r="DA354" s="14" t="str">
        <f>IF(COUNTA(bütünleme!D51),bütünleme!D51,"")</f>
        <v/>
      </c>
      <c r="DB354" s="14" t="str">
        <f>IF(COUNTA(bütünleme!E51),bütünleme!E51,"")</f>
        <v/>
      </c>
      <c r="DC354" s="14" t="str">
        <f>IF(COUNTA(bütünleme!F51),bütünleme!F51,"")</f>
        <v/>
      </c>
      <c r="DD354" s="14" t="str">
        <f>IF(COUNTA(bütünleme!G51),bütünleme!G51,"")</f>
        <v/>
      </c>
      <c r="DE354" s="14" t="str">
        <f>IF(COUNTA(bütünleme!H51),bütünleme!H51,"")</f>
        <v/>
      </c>
    </row>
    <row r="355" spans="1:109" x14ac:dyDescent="0.2">
      <c r="A355" s="39" t="str">
        <f>IFERROR(bütünleme!L52*100/bütünleme!$I52,"")</f>
        <v/>
      </c>
      <c r="B355" s="39" t="str">
        <f>IFERROR(bütünleme!M52*100/bütünleme!$I52,"")</f>
        <v/>
      </c>
      <c r="C355" s="39" t="str">
        <f>IFERROR(bütünleme!N52*100/bütünleme!$I52,"")</f>
        <v/>
      </c>
      <c r="D355" s="39" t="str">
        <f>IFERROR(bütünleme!O52*100/bütünleme!$I52,"")</f>
        <v/>
      </c>
      <c r="E355" s="39" t="str">
        <f>IFERROR(bütünleme!P52*100/bütünleme!$I52,"")</f>
        <v/>
      </c>
      <c r="F355" s="39" t="str">
        <f>IFERROR(bütünleme!Q52*100/bütünleme!$I52,"")</f>
        <v/>
      </c>
      <c r="G355" s="39" t="str">
        <f>IFERROR(bütünleme!R52*100/bütünleme!$I52,"")</f>
        <v/>
      </c>
      <c r="H355" s="39" t="str">
        <f>IFERROR(bütünleme!S52*100/bütünleme!$I52,"")</f>
        <v/>
      </c>
      <c r="I355" s="39" t="str">
        <f>IFERROR(bütünleme!T52*100/bütünleme!$I52,"")</f>
        <v/>
      </c>
      <c r="J355" s="39" t="str">
        <f>IFERROR(bütünleme!U52*100/bütünleme!$I52,"")</f>
        <v/>
      </c>
      <c r="K355" s="39" t="str">
        <f>IFERROR(bütünleme!V52*100/bütünleme!$I52,"")</f>
        <v/>
      </c>
      <c r="L355" s="39" t="str">
        <f>IFERROR(bütünleme!W52*100/bütünleme!$I52,"")</f>
        <v/>
      </c>
      <c r="M355" s="39" t="str">
        <f>IFERROR(bütünleme!X52*100/bütünleme!$I52,"")</f>
        <v/>
      </c>
      <c r="N355" s="39" t="str">
        <f>IFERROR(bütünleme!Y52*100/bütünleme!$I52,"")</f>
        <v/>
      </c>
      <c r="O355" s="39" t="str">
        <f>IFERROR(bütünleme!Z52*100/bütünleme!$I52,"")</f>
        <v/>
      </c>
      <c r="P355" s="39" t="str">
        <f>IFERROR(bütünleme!AA52*100/bütünleme!$I52,"")</f>
        <v/>
      </c>
      <c r="Q355" s="39" t="str">
        <f>IFERROR(bütünleme!AB52*100/bütünleme!$I52,"")</f>
        <v/>
      </c>
      <c r="R355" s="39" t="str">
        <f>IFERROR(bütünleme!AC52*100/bütünleme!$I52,"")</f>
        <v/>
      </c>
      <c r="S355" s="39" t="str">
        <f>IFERROR(bütünleme!AD52*100/bütünleme!$I52,"")</f>
        <v/>
      </c>
      <c r="T355" s="39" t="str">
        <f>IFERROR(bütünleme!AE52*100/bütünleme!$I52,"")</f>
        <v/>
      </c>
      <c r="U355" s="39" t="str">
        <f>IFERROR(bütünleme!AF52*100/bütünleme!$I52,"")</f>
        <v/>
      </c>
      <c r="V355" s="39" t="str">
        <f>IFERROR(bütünleme!AG52*100/bütünleme!$I52,"")</f>
        <v/>
      </c>
      <c r="W355" s="39" t="str">
        <f>IFERROR(bütünleme!AH52*100/bütünleme!$I52,"")</f>
        <v/>
      </c>
      <c r="X355" s="39" t="str">
        <f>IFERROR(bütünleme!AI52*100/bütünleme!$I52,"")</f>
        <v/>
      </c>
      <c r="Y355" s="39" t="str">
        <f>IFERROR(bütünleme!AJ52*100/bütünleme!$I52,"")</f>
        <v/>
      </c>
      <c r="Z355" s="39" t="str">
        <f>IFERROR(bütünleme!AK52*100/bütünleme!$I52,"")</f>
        <v/>
      </c>
      <c r="AA355" s="39" t="str">
        <f>IFERROR(bütünleme!AL52*100/bütünleme!$I52,"")</f>
        <v/>
      </c>
      <c r="AB355" s="39" t="str">
        <f>IFERROR(bütünleme!AM52*100/bütünleme!$I52,"")</f>
        <v/>
      </c>
      <c r="AC355" s="39" t="str">
        <f>IFERROR(bütünleme!AN52*100/bütünleme!$I52,"")</f>
        <v/>
      </c>
      <c r="AD355" s="39" t="str">
        <f>IFERROR(bütünleme!AO52*100/bütünleme!$I52,"")</f>
        <v/>
      </c>
      <c r="AE355" s="39" t="str">
        <f>IFERROR(bütünleme!AP52*100/bütünleme!$I52,"")</f>
        <v/>
      </c>
      <c r="AF355" s="39" t="str">
        <f>IFERROR(bütünleme!AQ52*100/bütünleme!$I52,"")</f>
        <v/>
      </c>
      <c r="AG355" s="39" t="str">
        <f>IFERROR(bütünleme!AR52*100/bütünleme!$I52,"")</f>
        <v/>
      </c>
      <c r="AH355" s="39" t="str">
        <f>IFERROR(bütünleme!AS52*100/bütünleme!$I52,"")</f>
        <v/>
      </c>
      <c r="AI355" s="39" t="str">
        <f>IFERROR(bütünleme!AT52*100/bütünleme!$I52,"")</f>
        <v/>
      </c>
      <c r="AJ355" s="39" t="str">
        <f>IFERROR(bütünleme!AU52*100/bütünleme!$I52,"")</f>
        <v/>
      </c>
      <c r="AK355" s="39" t="str">
        <f>IFERROR(bütünleme!AV52*100/bütünleme!$I52,"")</f>
        <v/>
      </c>
      <c r="AL355" s="39" t="str">
        <f>IFERROR(bütünleme!AW52*100/bütünleme!$I52,"")</f>
        <v/>
      </c>
      <c r="AM355" s="39" t="str">
        <f>IFERROR(bütünleme!AX52*100/bütünleme!$I52,"")</f>
        <v/>
      </c>
      <c r="AN355" s="39" t="str">
        <f>IFERROR(bütünleme!AY52*100/bütünleme!$I52,"")</f>
        <v/>
      </c>
      <c r="AO355" s="39" t="str">
        <f>IFERROR(bütünleme!AZ52*100/bütünleme!$I52,"")</f>
        <v/>
      </c>
      <c r="AP355" s="39" t="str">
        <f>IFERROR(bütünleme!BA52*100/bütünleme!$I52,"")</f>
        <v/>
      </c>
      <c r="AQ355" s="39" t="str">
        <f>IFERROR(bütünleme!BB52*100/bütünleme!$I52,"")</f>
        <v/>
      </c>
      <c r="AR355" s="39" t="str">
        <f>IFERROR(bütünleme!BC52*100/bütünleme!$I52,"")</f>
        <v/>
      </c>
      <c r="AS355" s="39" t="str">
        <f>IFERROR(bütünleme!BD52*100/bütünleme!$I52,"")</f>
        <v/>
      </c>
      <c r="AT355" s="39" t="str">
        <f>IFERROR(bütünleme!BE52*100/bütünleme!$I52,"")</f>
        <v/>
      </c>
      <c r="AU355" s="39" t="str">
        <f>IFERROR(bütünleme!BF52*100/bütünleme!$I52,"")</f>
        <v/>
      </c>
      <c r="AV355" s="39" t="str">
        <f>IFERROR(bütünleme!BG52*100/bütünleme!$I52,"")</f>
        <v/>
      </c>
      <c r="AW355" s="39" t="str">
        <f>IFERROR(bütünleme!BH52*100/bütünleme!$I52,"")</f>
        <v/>
      </c>
      <c r="AX355" s="39" t="str">
        <f>IFERROR(bütünleme!BI52*100/bütünleme!$I52,"")</f>
        <v/>
      </c>
      <c r="AY355" s="39" t="str">
        <f>IFERROR(bütünleme!BJ52*100/bütünleme!$I52,"")</f>
        <v/>
      </c>
      <c r="AZ355" s="39" t="str">
        <f>IFERROR(bütünleme!BK52*100/bütünleme!$I52,"")</f>
        <v/>
      </c>
      <c r="BA355" s="39" t="str">
        <f>IFERROR(bütünleme!BL52*100/bütünleme!$I52,"")</f>
        <v/>
      </c>
      <c r="BB355" s="39" t="str">
        <f>IFERROR(bütünleme!BM52*100/bütünleme!$I52,"")</f>
        <v/>
      </c>
      <c r="BC355" s="39" t="str">
        <f>IFERROR(bütünleme!BN52*100/bütünleme!$I52,"")</f>
        <v/>
      </c>
      <c r="BD355" s="39" t="str">
        <f>IFERROR(bütünleme!BO52*100/bütünleme!$I52,"")</f>
        <v/>
      </c>
      <c r="BE355" s="39" t="str">
        <f>IFERROR(bütünleme!BP52*100/bütünleme!$I52,"")</f>
        <v/>
      </c>
      <c r="BF355" s="39" t="str">
        <f>IFERROR(bütünleme!BQ52*100/bütünleme!$I52,"")</f>
        <v/>
      </c>
      <c r="BG355" s="39" t="str">
        <f>IFERROR(bütünleme!BR52*100/bütünleme!$I52,"")</f>
        <v/>
      </c>
      <c r="BH355" s="39" t="str">
        <f>IFERROR(bütünleme!BS52*100/bütünleme!$I52,"")</f>
        <v/>
      </c>
      <c r="BI355" s="39" t="str">
        <f>IFERROR(bütünleme!BT52*100/bütünleme!$I52,"")</f>
        <v/>
      </c>
      <c r="BJ355" s="39" t="str">
        <f>IFERROR(bütünleme!BU52*100/bütünleme!$I52,"")</f>
        <v/>
      </c>
      <c r="BK355" s="39" t="str">
        <f>IFERROR(bütünleme!BV52*100/bütünleme!$I52,"")</f>
        <v/>
      </c>
      <c r="BL355" s="39" t="str">
        <f>IFERROR(bütünleme!BW52*100/bütünleme!$I52,"")</f>
        <v/>
      </c>
      <c r="BM355" s="39" t="str">
        <f>IFERROR(bütünleme!BX52*100/bütünleme!$I52,"")</f>
        <v/>
      </c>
      <c r="BN355" s="39" t="str">
        <f>IFERROR(bütünleme!BY52*100/bütünleme!$I52,"")</f>
        <v/>
      </c>
      <c r="BO355" s="39" t="str">
        <f>IFERROR(bütünleme!BZ52*100/bütünleme!$I52,"")</f>
        <v/>
      </c>
      <c r="BP355" s="39" t="str">
        <f>IFERROR(bütünleme!CA52*100/bütünleme!$I52,"")</f>
        <v/>
      </c>
      <c r="BQ355" s="39" t="str">
        <f>IFERROR(bütünleme!CB52*100/bütünleme!$I52,"")</f>
        <v/>
      </c>
      <c r="BR355" s="39" t="str">
        <f>IFERROR(bütünleme!CC52*100/bütünleme!$I52,"")</f>
        <v/>
      </c>
      <c r="BS355" s="39" t="str">
        <f>IFERROR(bütünleme!CD52*100/bütünleme!$I52,"")</f>
        <v/>
      </c>
      <c r="BT355" s="39" t="str">
        <f>IFERROR(bütünleme!CE52*100/bütünleme!$I52,"")</f>
        <v/>
      </c>
      <c r="BU355" s="39" t="str">
        <f>IFERROR(bütünleme!CF52*100/bütünleme!$I52,"")</f>
        <v/>
      </c>
      <c r="BV355" s="39" t="str">
        <f>IFERROR(bütünleme!CG52*100/bütünleme!$I52,"")</f>
        <v/>
      </c>
      <c r="BW355" s="39" t="str">
        <f>IFERROR(bütünleme!CH52*100/bütünleme!$I52,"")</f>
        <v/>
      </c>
      <c r="BX355" s="39" t="str">
        <f>IFERROR(bütünleme!CI52*100/bütünleme!$I52,"")</f>
        <v/>
      </c>
      <c r="BY355" s="39" t="str">
        <f>IFERROR(bütünleme!CJ52*100/bütünleme!$I52,"")</f>
        <v/>
      </c>
      <c r="BZ355" s="39" t="str">
        <f>IFERROR(bütünleme!CK52*100/bütünleme!$I52,"")</f>
        <v/>
      </c>
      <c r="CA355" s="39" t="str">
        <f>IFERROR(bütünleme!CL52*100/bütünleme!$I52,"")</f>
        <v/>
      </c>
      <c r="CB355" s="39" t="str">
        <f>IFERROR(bütünleme!CM52*100/bütünleme!$I52,"")</f>
        <v/>
      </c>
      <c r="CC355" s="39" t="str">
        <f>IFERROR(bütünleme!CN52*100/bütünleme!$I52,"")</f>
        <v/>
      </c>
      <c r="CD355" s="39" t="str">
        <f>IFERROR(bütünleme!CO52*100/bütünleme!$I52,"")</f>
        <v/>
      </c>
      <c r="CE355" s="39" t="str">
        <f>IFERROR(bütünleme!CP52*100/bütünleme!$I52,"")</f>
        <v/>
      </c>
      <c r="CF355" s="39" t="str">
        <f>IFERROR(bütünleme!CQ52*100/bütünleme!$I52,"")</f>
        <v/>
      </c>
      <c r="CG355" s="39" t="str">
        <f>IFERROR(bütünleme!CR52*100/bütünleme!$I52,"")</f>
        <v/>
      </c>
      <c r="CH355" s="39" t="str">
        <f>IFERROR(bütünleme!CS52*100/bütünleme!$I52,"")</f>
        <v/>
      </c>
      <c r="CI355" s="39" t="str">
        <f>IFERROR(bütünleme!CT52*100/bütünleme!$I52,"")</f>
        <v/>
      </c>
      <c r="CJ355" s="39" t="str">
        <f>IFERROR(bütünleme!CU52*100/bütünleme!$I52,"")</f>
        <v/>
      </c>
      <c r="CK355" s="39" t="str">
        <f>IFERROR(bütünleme!CV52*100/bütünleme!$I52,"")</f>
        <v/>
      </c>
      <c r="CL355" s="39" t="str">
        <f>IFERROR(bütünleme!CW52*100/bütünleme!$I52,"")</f>
        <v/>
      </c>
      <c r="CM355" s="39" t="str">
        <f>IFERROR(bütünleme!CX52*100/bütünleme!$I52,"")</f>
        <v/>
      </c>
      <c r="CN355" s="39" t="str">
        <f>IFERROR(bütünleme!CY52*100/bütünleme!$I52,"")</f>
        <v/>
      </c>
      <c r="CO355" s="39" t="str">
        <f>IFERROR(bütünleme!CZ52*100/bütünleme!$I52,"")</f>
        <v/>
      </c>
      <c r="CP355" s="39" t="str">
        <f>IFERROR(bütünleme!DA52*100/bütünleme!$I52,"")</f>
        <v/>
      </c>
      <c r="CQ355" s="39" t="str">
        <f>IFERROR(bütünleme!DB52*100/bütünleme!$I52,"")</f>
        <v/>
      </c>
      <c r="CR355" s="39" t="str">
        <f>IFERROR(bütünleme!DC52*100/bütünleme!$I52,"")</f>
        <v/>
      </c>
      <c r="CS355" s="39" t="str">
        <f>IFERROR(bütünleme!DD52*100/bütünleme!$I52,"")</f>
        <v/>
      </c>
      <c r="CT355" s="39" t="str">
        <f>IFERROR(bütünleme!DE52*100/bütünleme!$I52,"")</f>
        <v/>
      </c>
      <c r="CU355" s="39" t="str">
        <f>IFERROR(bütünleme!DF52*100/bütünleme!$I52,"")</f>
        <v/>
      </c>
      <c r="CV355" s="39" t="str">
        <f>IFERROR(bütünleme!DG52*100/bütünleme!$I52,"")</f>
        <v/>
      </c>
      <c r="CW355" s="36" t="str">
        <f>IFERROR(SUM(A355:CV355)/bütünleme!$DH$103,"")</f>
        <v/>
      </c>
      <c r="CX355" s="14" t="str">
        <f>IF(COUNTA(bütünleme!A52),bütünleme!A52,"")</f>
        <v/>
      </c>
      <c r="CY355" s="14" t="str">
        <f>IF(COUNTA(bütünleme!B52),bütünleme!B52,"")</f>
        <v/>
      </c>
      <c r="CZ355" s="14" t="str">
        <f>IF(COUNTA(bütünleme!C52),bütünleme!C52,"")</f>
        <v/>
      </c>
      <c r="DA355" s="14" t="str">
        <f>IF(COUNTA(bütünleme!D52),bütünleme!D52,"")</f>
        <v/>
      </c>
      <c r="DB355" s="14" t="str">
        <f>IF(COUNTA(bütünleme!E52),bütünleme!E52,"")</f>
        <v/>
      </c>
      <c r="DC355" s="14" t="str">
        <f>IF(COUNTA(bütünleme!F52),bütünleme!F52,"")</f>
        <v/>
      </c>
      <c r="DD355" s="14" t="str">
        <f>IF(COUNTA(bütünleme!G52),bütünleme!G52,"")</f>
        <v/>
      </c>
      <c r="DE355" s="14" t="str">
        <f>IF(COUNTA(bütünleme!H52),bütünleme!H52,"")</f>
        <v/>
      </c>
    </row>
    <row r="356" spans="1:109" x14ac:dyDescent="0.2">
      <c r="A356" s="39" t="str">
        <f>IFERROR(bütünleme!L53*100/bütünleme!$I53,"")</f>
        <v/>
      </c>
      <c r="B356" s="39" t="str">
        <f>IFERROR(bütünleme!M53*100/bütünleme!$I53,"")</f>
        <v/>
      </c>
      <c r="C356" s="39" t="str">
        <f>IFERROR(bütünleme!N53*100/bütünleme!$I53,"")</f>
        <v/>
      </c>
      <c r="D356" s="39" t="str">
        <f>IFERROR(bütünleme!O53*100/bütünleme!$I53,"")</f>
        <v/>
      </c>
      <c r="E356" s="39" t="str">
        <f>IFERROR(bütünleme!P53*100/bütünleme!$I53,"")</f>
        <v/>
      </c>
      <c r="F356" s="39" t="str">
        <f>IFERROR(bütünleme!Q53*100/bütünleme!$I53,"")</f>
        <v/>
      </c>
      <c r="G356" s="39" t="str">
        <f>IFERROR(bütünleme!R53*100/bütünleme!$I53,"")</f>
        <v/>
      </c>
      <c r="H356" s="39" t="str">
        <f>IFERROR(bütünleme!S53*100/bütünleme!$I53,"")</f>
        <v/>
      </c>
      <c r="I356" s="39" t="str">
        <f>IFERROR(bütünleme!T53*100/bütünleme!$I53,"")</f>
        <v/>
      </c>
      <c r="J356" s="39" t="str">
        <f>IFERROR(bütünleme!U53*100/bütünleme!$I53,"")</f>
        <v/>
      </c>
      <c r="K356" s="39" t="str">
        <f>IFERROR(bütünleme!V53*100/bütünleme!$I53,"")</f>
        <v/>
      </c>
      <c r="L356" s="39" t="str">
        <f>IFERROR(bütünleme!W53*100/bütünleme!$I53,"")</f>
        <v/>
      </c>
      <c r="M356" s="39" t="str">
        <f>IFERROR(bütünleme!X53*100/bütünleme!$I53,"")</f>
        <v/>
      </c>
      <c r="N356" s="39" t="str">
        <f>IFERROR(bütünleme!Y53*100/bütünleme!$I53,"")</f>
        <v/>
      </c>
      <c r="O356" s="39" t="str">
        <f>IFERROR(bütünleme!Z53*100/bütünleme!$I53,"")</f>
        <v/>
      </c>
      <c r="P356" s="39" t="str">
        <f>IFERROR(bütünleme!AA53*100/bütünleme!$I53,"")</f>
        <v/>
      </c>
      <c r="Q356" s="39" t="str">
        <f>IFERROR(bütünleme!AB53*100/bütünleme!$I53,"")</f>
        <v/>
      </c>
      <c r="R356" s="39" t="str">
        <f>IFERROR(bütünleme!AC53*100/bütünleme!$I53,"")</f>
        <v/>
      </c>
      <c r="S356" s="39" t="str">
        <f>IFERROR(bütünleme!AD53*100/bütünleme!$I53,"")</f>
        <v/>
      </c>
      <c r="T356" s="39" t="str">
        <f>IFERROR(bütünleme!AE53*100/bütünleme!$I53,"")</f>
        <v/>
      </c>
      <c r="U356" s="39" t="str">
        <f>IFERROR(bütünleme!AF53*100/bütünleme!$I53,"")</f>
        <v/>
      </c>
      <c r="V356" s="39" t="str">
        <f>IFERROR(bütünleme!AG53*100/bütünleme!$I53,"")</f>
        <v/>
      </c>
      <c r="W356" s="39" t="str">
        <f>IFERROR(bütünleme!AH53*100/bütünleme!$I53,"")</f>
        <v/>
      </c>
      <c r="X356" s="39" t="str">
        <f>IFERROR(bütünleme!AI53*100/bütünleme!$I53,"")</f>
        <v/>
      </c>
      <c r="Y356" s="39" t="str">
        <f>IFERROR(bütünleme!AJ53*100/bütünleme!$I53,"")</f>
        <v/>
      </c>
      <c r="Z356" s="39" t="str">
        <f>IFERROR(bütünleme!AK53*100/bütünleme!$I53,"")</f>
        <v/>
      </c>
      <c r="AA356" s="39" t="str">
        <f>IFERROR(bütünleme!AL53*100/bütünleme!$I53,"")</f>
        <v/>
      </c>
      <c r="AB356" s="39" t="str">
        <f>IFERROR(bütünleme!AM53*100/bütünleme!$I53,"")</f>
        <v/>
      </c>
      <c r="AC356" s="39" t="str">
        <f>IFERROR(bütünleme!AN53*100/bütünleme!$I53,"")</f>
        <v/>
      </c>
      <c r="AD356" s="39" t="str">
        <f>IFERROR(bütünleme!AO53*100/bütünleme!$I53,"")</f>
        <v/>
      </c>
      <c r="AE356" s="39" t="str">
        <f>IFERROR(bütünleme!AP53*100/bütünleme!$I53,"")</f>
        <v/>
      </c>
      <c r="AF356" s="39" t="str">
        <f>IFERROR(bütünleme!AQ53*100/bütünleme!$I53,"")</f>
        <v/>
      </c>
      <c r="AG356" s="39" t="str">
        <f>IFERROR(bütünleme!AR53*100/bütünleme!$I53,"")</f>
        <v/>
      </c>
      <c r="AH356" s="39" t="str">
        <f>IFERROR(bütünleme!AS53*100/bütünleme!$I53,"")</f>
        <v/>
      </c>
      <c r="AI356" s="39" t="str">
        <f>IFERROR(bütünleme!AT53*100/bütünleme!$I53,"")</f>
        <v/>
      </c>
      <c r="AJ356" s="39" t="str">
        <f>IFERROR(bütünleme!AU53*100/bütünleme!$I53,"")</f>
        <v/>
      </c>
      <c r="AK356" s="39" t="str">
        <f>IFERROR(bütünleme!AV53*100/bütünleme!$I53,"")</f>
        <v/>
      </c>
      <c r="AL356" s="39" t="str">
        <f>IFERROR(bütünleme!AW53*100/bütünleme!$I53,"")</f>
        <v/>
      </c>
      <c r="AM356" s="39" t="str">
        <f>IFERROR(bütünleme!AX53*100/bütünleme!$I53,"")</f>
        <v/>
      </c>
      <c r="AN356" s="39" t="str">
        <f>IFERROR(bütünleme!AY53*100/bütünleme!$I53,"")</f>
        <v/>
      </c>
      <c r="AO356" s="39" t="str">
        <f>IFERROR(bütünleme!AZ53*100/bütünleme!$I53,"")</f>
        <v/>
      </c>
      <c r="AP356" s="39" t="str">
        <f>IFERROR(bütünleme!BA53*100/bütünleme!$I53,"")</f>
        <v/>
      </c>
      <c r="AQ356" s="39" t="str">
        <f>IFERROR(bütünleme!BB53*100/bütünleme!$I53,"")</f>
        <v/>
      </c>
      <c r="AR356" s="39" t="str">
        <f>IFERROR(bütünleme!BC53*100/bütünleme!$I53,"")</f>
        <v/>
      </c>
      <c r="AS356" s="39" t="str">
        <f>IFERROR(bütünleme!BD53*100/bütünleme!$I53,"")</f>
        <v/>
      </c>
      <c r="AT356" s="39" t="str">
        <f>IFERROR(bütünleme!BE53*100/bütünleme!$I53,"")</f>
        <v/>
      </c>
      <c r="AU356" s="39" t="str">
        <f>IFERROR(bütünleme!BF53*100/bütünleme!$I53,"")</f>
        <v/>
      </c>
      <c r="AV356" s="39" t="str">
        <f>IFERROR(bütünleme!BG53*100/bütünleme!$I53,"")</f>
        <v/>
      </c>
      <c r="AW356" s="39" t="str">
        <f>IFERROR(bütünleme!BH53*100/bütünleme!$I53,"")</f>
        <v/>
      </c>
      <c r="AX356" s="39" t="str">
        <f>IFERROR(bütünleme!BI53*100/bütünleme!$I53,"")</f>
        <v/>
      </c>
      <c r="AY356" s="39" t="str">
        <f>IFERROR(bütünleme!BJ53*100/bütünleme!$I53,"")</f>
        <v/>
      </c>
      <c r="AZ356" s="39" t="str">
        <f>IFERROR(bütünleme!BK53*100/bütünleme!$I53,"")</f>
        <v/>
      </c>
      <c r="BA356" s="39" t="str">
        <f>IFERROR(bütünleme!BL53*100/bütünleme!$I53,"")</f>
        <v/>
      </c>
      <c r="BB356" s="39" t="str">
        <f>IFERROR(bütünleme!BM53*100/bütünleme!$I53,"")</f>
        <v/>
      </c>
      <c r="BC356" s="39" t="str">
        <f>IFERROR(bütünleme!BN53*100/bütünleme!$I53,"")</f>
        <v/>
      </c>
      <c r="BD356" s="39" t="str">
        <f>IFERROR(bütünleme!BO53*100/bütünleme!$I53,"")</f>
        <v/>
      </c>
      <c r="BE356" s="39" t="str">
        <f>IFERROR(bütünleme!BP53*100/bütünleme!$I53,"")</f>
        <v/>
      </c>
      <c r="BF356" s="39" t="str">
        <f>IFERROR(bütünleme!BQ53*100/bütünleme!$I53,"")</f>
        <v/>
      </c>
      <c r="BG356" s="39" t="str">
        <f>IFERROR(bütünleme!BR53*100/bütünleme!$I53,"")</f>
        <v/>
      </c>
      <c r="BH356" s="39" t="str">
        <f>IFERROR(bütünleme!BS53*100/bütünleme!$I53,"")</f>
        <v/>
      </c>
      <c r="BI356" s="39" t="str">
        <f>IFERROR(bütünleme!BT53*100/bütünleme!$I53,"")</f>
        <v/>
      </c>
      <c r="BJ356" s="39" t="str">
        <f>IFERROR(bütünleme!BU53*100/bütünleme!$I53,"")</f>
        <v/>
      </c>
      <c r="BK356" s="39" t="str">
        <f>IFERROR(bütünleme!BV53*100/bütünleme!$I53,"")</f>
        <v/>
      </c>
      <c r="BL356" s="39" t="str">
        <f>IFERROR(bütünleme!BW53*100/bütünleme!$I53,"")</f>
        <v/>
      </c>
      <c r="BM356" s="39" t="str">
        <f>IFERROR(bütünleme!BX53*100/bütünleme!$I53,"")</f>
        <v/>
      </c>
      <c r="BN356" s="39" t="str">
        <f>IFERROR(bütünleme!BY53*100/bütünleme!$I53,"")</f>
        <v/>
      </c>
      <c r="BO356" s="39" t="str">
        <f>IFERROR(bütünleme!BZ53*100/bütünleme!$I53,"")</f>
        <v/>
      </c>
      <c r="BP356" s="39" t="str">
        <f>IFERROR(bütünleme!CA53*100/bütünleme!$I53,"")</f>
        <v/>
      </c>
      <c r="BQ356" s="39" t="str">
        <f>IFERROR(bütünleme!CB53*100/bütünleme!$I53,"")</f>
        <v/>
      </c>
      <c r="BR356" s="39" t="str">
        <f>IFERROR(bütünleme!CC53*100/bütünleme!$I53,"")</f>
        <v/>
      </c>
      <c r="BS356" s="39" t="str">
        <f>IFERROR(bütünleme!CD53*100/bütünleme!$I53,"")</f>
        <v/>
      </c>
      <c r="BT356" s="39" t="str">
        <f>IFERROR(bütünleme!CE53*100/bütünleme!$I53,"")</f>
        <v/>
      </c>
      <c r="BU356" s="39" t="str">
        <f>IFERROR(bütünleme!CF53*100/bütünleme!$I53,"")</f>
        <v/>
      </c>
      <c r="BV356" s="39" t="str">
        <f>IFERROR(bütünleme!CG53*100/bütünleme!$I53,"")</f>
        <v/>
      </c>
      <c r="BW356" s="39" t="str">
        <f>IFERROR(bütünleme!CH53*100/bütünleme!$I53,"")</f>
        <v/>
      </c>
      <c r="BX356" s="39" t="str">
        <f>IFERROR(bütünleme!CI53*100/bütünleme!$I53,"")</f>
        <v/>
      </c>
      <c r="BY356" s="39" t="str">
        <f>IFERROR(bütünleme!CJ53*100/bütünleme!$I53,"")</f>
        <v/>
      </c>
      <c r="BZ356" s="39" t="str">
        <f>IFERROR(bütünleme!CK53*100/bütünleme!$I53,"")</f>
        <v/>
      </c>
      <c r="CA356" s="39" t="str">
        <f>IFERROR(bütünleme!CL53*100/bütünleme!$I53,"")</f>
        <v/>
      </c>
      <c r="CB356" s="39" t="str">
        <f>IFERROR(bütünleme!CM53*100/bütünleme!$I53,"")</f>
        <v/>
      </c>
      <c r="CC356" s="39" t="str">
        <f>IFERROR(bütünleme!CN53*100/bütünleme!$I53,"")</f>
        <v/>
      </c>
      <c r="CD356" s="39" t="str">
        <f>IFERROR(bütünleme!CO53*100/bütünleme!$I53,"")</f>
        <v/>
      </c>
      <c r="CE356" s="39" t="str">
        <f>IFERROR(bütünleme!CP53*100/bütünleme!$I53,"")</f>
        <v/>
      </c>
      <c r="CF356" s="39" t="str">
        <f>IFERROR(bütünleme!CQ53*100/bütünleme!$I53,"")</f>
        <v/>
      </c>
      <c r="CG356" s="39" t="str">
        <f>IFERROR(bütünleme!CR53*100/bütünleme!$I53,"")</f>
        <v/>
      </c>
      <c r="CH356" s="39" t="str">
        <f>IFERROR(bütünleme!CS53*100/bütünleme!$I53,"")</f>
        <v/>
      </c>
      <c r="CI356" s="39" t="str">
        <f>IFERROR(bütünleme!CT53*100/bütünleme!$I53,"")</f>
        <v/>
      </c>
      <c r="CJ356" s="39" t="str">
        <f>IFERROR(bütünleme!CU53*100/bütünleme!$I53,"")</f>
        <v/>
      </c>
      <c r="CK356" s="39" t="str">
        <f>IFERROR(bütünleme!CV53*100/bütünleme!$I53,"")</f>
        <v/>
      </c>
      <c r="CL356" s="39" t="str">
        <f>IFERROR(bütünleme!CW53*100/bütünleme!$I53,"")</f>
        <v/>
      </c>
      <c r="CM356" s="39" t="str">
        <f>IFERROR(bütünleme!CX53*100/bütünleme!$I53,"")</f>
        <v/>
      </c>
      <c r="CN356" s="39" t="str">
        <f>IFERROR(bütünleme!CY53*100/bütünleme!$I53,"")</f>
        <v/>
      </c>
      <c r="CO356" s="39" t="str">
        <f>IFERROR(bütünleme!CZ53*100/bütünleme!$I53,"")</f>
        <v/>
      </c>
      <c r="CP356" s="39" t="str">
        <f>IFERROR(bütünleme!DA53*100/bütünleme!$I53,"")</f>
        <v/>
      </c>
      <c r="CQ356" s="39" t="str">
        <f>IFERROR(bütünleme!DB53*100/bütünleme!$I53,"")</f>
        <v/>
      </c>
      <c r="CR356" s="39" t="str">
        <f>IFERROR(bütünleme!DC53*100/bütünleme!$I53,"")</f>
        <v/>
      </c>
      <c r="CS356" s="39" t="str">
        <f>IFERROR(bütünleme!DD53*100/bütünleme!$I53,"")</f>
        <v/>
      </c>
      <c r="CT356" s="39" t="str">
        <f>IFERROR(bütünleme!DE53*100/bütünleme!$I53,"")</f>
        <v/>
      </c>
      <c r="CU356" s="39" t="str">
        <f>IFERROR(bütünleme!DF53*100/bütünleme!$I53,"")</f>
        <v/>
      </c>
      <c r="CV356" s="39" t="str">
        <f>IFERROR(bütünleme!DG53*100/bütünleme!$I53,"")</f>
        <v/>
      </c>
      <c r="CW356" s="36" t="str">
        <f>IFERROR(SUM(A356:CV356)/bütünleme!$DH$103,"")</f>
        <v/>
      </c>
      <c r="CX356" s="14" t="str">
        <f>IF(COUNTA(bütünleme!A53),bütünleme!A53,"")</f>
        <v/>
      </c>
      <c r="CY356" s="14" t="str">
        <f>IF(COUNTA(bütünleme!B53),bütünleme!B53,"")</f>
        <v/>
      </c>
      <c r="CZ356" s="14" t="str">
        <f>IF(COUNTA(bütünleme!C53),bütünleme!C53,"")</f>
        <v/>
      </c>
      <c r="DA356" s="14" t="str">
        <f>IF(COUNTA(bütünleme!D53),bütünleme!D53,"")</f>
        <v/>
      </c>
      <c r="DB356" s="14" t="str">
        <f>IF(COUNTA(bütünleme!E53),bütünleme!E53,"")</f>
        <v/>
      </c>
      <c r="DC356" s="14" t="str">
        <f>IF(COUNTA(bütünleme!F53),bütünleme!F53,"")</f>
        <v/>
      </c>
      <c r="DD356" s="14" t="str">
        <f>IF(COUNTA(bütünleme!G53),bütünleme!G53,"")</f>
        <v/>
      </c>
      <c r="DE356" s="14" t="str">
        <f>IF(COUNTA(bütünleme!H53),bütünleme!H53,"")</f>
        <v/>
      </c>
    </row>
    <row r="357" spans="1:109" x14ac:dyDescent="0.2">
      <c r="A357" s="39" t="str">
        <f>IFERROR(bütünleme!L54*100/bütünleme!$I54,"")</f>
        <v/>
      </c>
      <c r="B357" s="39" t="str">
        <f>IFERROR(bütünleme!M54*100/bütünleme!$I54,"")</f>
        <v/>
      </c>
      <c r="C357" s="39" t="str">
        <f>IFERROR(bütünleme!N54*100/bütünleme!$I54,"")</f>
        <v/>
      </c>
      <c r="D357" s="39" t="str">
        <f>IFERROR(bütünleme!O54*100/bütünleme!$I54,"")</f>
        <v/>
      </c>
      <c r="E357" s="39" t="str">
        <f>IFERROR(bütünleme!P54*100/bütünleme!$I54,"")</f>
        <v/>
      </c>
      <c r="F357" s="39" t="str">
        <f>IFERROR(bütünleme!Q54*100/bütünleme!$I54,"")</f>
        <v/>
      </c>
      <c r="G357" s="39" t="str">
        <f>IFERROR(bütünleme!R54*100/bütünleme!$I54,"")</f>
        <v/>
      </c>
      <c r="H357" s="39" t="str">
        <f>IFERROR(bütünleme!S54*100/bütünleme!$I54,"")</f>
        <v/>
      </c>
      <c r="I357" s="39" t="str">
        <f>IFERROR(bütünleme!T54*100/bütünleme!$I54,"")</f>
        <v/>
      </c>
      <c r="J357" s="39" t="str">
        <f>IFERROR(bütünleme!U54*100/bütünleme!$I54,"")</f>
        <v/>
      </c>
      <c r="K357" s="39" t="str">
        <f>IFERROR(bütünleme!V54*100/bütünleme!$I54,"")</f>
        <v/>
      </c>
      <c r="L357" s="39" t="str">
        <f>IFERROR(bütünleme!W54*100/bütünleme!$I54,"")</f>
        <v/>
      </c>
      <c r="M357" s="39" t="str">
        <f>IFERROR(bütünleme!X54*100/bütünleme!$I54,"")</f>
        <v/>
      </c>
      <c r="N357" s="39" t="str">
        <f>IFERROR(bütünleme!Y54*100/bütünleme!$I54,"")</f>
        <v/>
      </c>
      <c r="O357" s="39" t="str">
        <f>IFERROR(bütünleme!Z54*100/bütünleme!$I54,"")</f>
        <v/>
      </c>
      <c r="P357" s="39" t="str">
        <f>IFERROR(bütünleme!AA54*100/bütünleme!$I54,"")</f>
        <v/>
      </c>
      <c r="Q357" s="39" t="str">
        <f>IFERROR(bütünleme!AB54*100/bütünleme!$I54,"")</f>
        <v/>
      </c>
      <c r="R357" s="39" t="str">
        <f>IFERROR(bütünleme!AC54*100/bütünleme!$I54,"")</f>
        <v/>
      </c>
      <c r="S357" s="39" t="str">
        <f>IFERROR(bütünleme!AD54*100/bütünleme!$I54,"")</f>
        <v/>
      </c>
      <c r="T357" s="39" t="str">
        <f>IFERROR(bütünleme!AE54*100/bütünleme!$I54,"")</f>
        <v/>
      </c>
      <c r="U357" s="39" t="str">
        <f>IFERROR(bütünleme!AF54*100/bütünleme!$I54,"")</f>
        <v/>
      </c>
      <c r="V357" s="39" t="str">
        <f>IFERROR(bütünleme!AG54*100/bütünleme!$I54,"")</f>
        <v/>
      </c>
      <c r="W357" s="39" t="str">
        <f>IFERROR(bütünleme!AH54*100/bütünleme!$I54,"")</f>
        <v/>
      </c>
      <c r="X357" s="39" t="str">
        <f>IFERROR(bütünleme!AI54*100/bütünleme!$I54,"")</f>
        <v/>
      </c>
      <c r="Y357" s="39" t="str">
        <f>IFERROR(bütünleme!AJ54*100/bütünleme!$I54,"")</f>
        <v/>
      </c>
      <c r="Z357" s="39" t="str">
        <f>IFERROR(bütünleme!AK54*100/bütünleme!$I54,"")</f>
        <v/>
      </c>
      <c r="AA357" s="39" t="str">
        <f>IFERROR(bütünleme!AL54*100/bütünleme!$I54,"")</f>
        <v/>
      </c>
      <c r="AB357" s="39" t="str">
        <f>IFERROR(bütünleme!AM54*100/bütünleme!$I54,"")</f>
        <v/>
      </c>
      <c r="AC357" s="39" t="str">
        <f>IFERROR(bütünleme!AN54*100/bütünleme!$I54,"")</f>
        <v/>
      </c>
      <c r="AD357" s="39" t="str">
        <f>IFERROR(bütünleme!AO54*100/bütünleme!$I54,"")</f>
        <v/>
      </c>
      <c r="AE357" s="39" t="str">
        <f>IFERROR(bütünleme!AP54*100/bütünleme!$I54,"")</f>
        <v/>
      </c>
      <c r="AF357" s="39" t="str">
        <f>IFERROR(bütünleme!AQ54*100/bütünleme!$I54,"")</f>
        <v/>
      </c>
      <c r="AG357" s="39" t="str">
        <f>IFERROR(bütünleme!AR54*100/bütünleme!$I54,"")</f>
        <v/>
      </c>
      <c r="AH357" s="39" t="str">
        <f>IFERROR(bütünleme!AS54*100/bütünleme!$I54,"")</f>
        <v/>
      </c>
      <c r="AI357" s="39" t="str">
        <f>IFERROR(bütünleme!AT54*100/bütünleme!$I54,"")</f>
        <v/>
      </c>
      <c r="AJ357" s="39" t="str">
        <f>IFERROR(bütünleme!AU54*100/bütünleme!$I54,"")</f>
        <v/>
      </c>
      <c r="AK357" s="39" t="str">
        <f>IFERROR(bütünleme!AV54*100/bütünleme!$I54,"")</f>
        <v/>
      </c>
      <c r="AL357" s="39" t="str">
        <f>IFERROR(bütünleme!AW54*100/bütünleme!$I54,"")</f>
        <v/>
      </c>
      <c r="AM357" s="39" t="str">
        <f>IFERROR(bütünleme!AX54*100/bütünleme!$I54,"")</f>
        <v/>
      </c>
      <c r="AN357" s="39" t="str">
        <f>IFERROR(bütünleme!AY54*100/bütünleme!$I54,"")</f>
        <v/>
      </c>
      <c r="AO357" s="39" t="str">
        <f>IFERROR(bütünleme!AZ54*100/bütünleme!$I54,"")</f>
        <v/>
      </c>
      <c r="AP357" s="39" t="str">
        <f>IFERROR(bütünleme!BA54*100/bütünleme!$I54,"")</f>
        <v/>
      </c>
      <c r="AQ357" s="39" t="str">
        <f>IFERROR(bütünleme!BB54*100/bütünleme!$I54,"")</f>
        <v/>
      </c>
      <c r="AR357" s="39" t="str">
        <f>IFERROR(bütünleme!BC54*100/bütünleme!$I54,"")</f>
        <v/>
      </c>
      <c r="AS357" s="39" t="str">
        <f>IFERROR(bütünleme!BD54*100/bütünleme!$I54,"")</f>
        <v/>
      </c>
      <c r="AT357" s="39" t="str">
        <f>IFERROR(bütünleme!BE54*100/bütünleme!$I54,"")</f>
        <v/>
      </c>
      <c r="AU357" s="39" t="str">
        <f>IFERROR(bütünleme!BF54*100/bütünleme!$I54,"")</f>
        <v/>
      </c>
      <c r="AV357" s="39" t="str">
        <f>IFERROR(bütünleme!BG54*100/bütünleme!$I54,"")</f>
        <v/>
      </c>
      <c r="AW357" s="39" t="str">
        <f>IFERROR(bütünleme!BH54*100/bütünleme!$I54,"")</f>
        <v/>
      </c>
      <c r="AX357" s="39" t="str">
        <f>IFERROR(bütünleme!BI54*100/bütünleme!$I54,"")</f>
        <v/>
      </c>
      <c r="AY357" s="39" t="str">
        <f>IFERROR(bütünleme!BJ54*100/bütünleme!$I54,"")</f>
        <v/>
      </c>
      <c r="AZ357" s="39" t="str">
        <f>IFERROR(bütünleme!BK54*100/bütünleme!$I54,"")</f>
        <v/>
      </c>
      <c r="BA357" s="39" t="str">
        <f>IFERROR(bütünleme!BL54*100/bütünleme!$I54,"")</f>
        <v/>
      </c>
      <c r="BB357" s="39" t="str">
        <f>IFERROR(bütünleme!BM54*100/bütünleme!$I54,"")</f>
        <v/>
      </c>
      <c r="BC357" s="39" t="str">
        <f>IFERROR(bütünleme!BN54*100/bütünleme!$I54,"")</f>
        <v/>
      </c>
      <c r="BD357" s="39" t="str">
        <f>IFERROR(bütünleme!BO54*100/bütünleme!$I54,"")</f>
        <v/>
      </c>
      <c r="BE357" s="39" t="str">
        <f>IFERROR(bütünleme!BP54*100/bütünleme!$I54,"")</f>
        <v/>
      </c>
      <c r="BF357" s="39" t="str">
        <f>IFERROR(bütünleme!BQ54*100/bütünleme!$I54,"")</f>
        <v/>
      </c>
      <c r="BG357" s="39" t="str">
        <f>IFERROR(bütünleme!BR54*100/bütünleme!$I54,"")</f>
        <v/>
      </c>
      <c r="BH357" s="39" t="str">
        <f>IFERROR(bütünleme!BS54*100/bütünleme!$I54,"")</f>
        <v/>
      </c>
      <c r="BI357" s="39" t="str">
        <f>IFERROR(bütünleme!BT54*100/bütünleme!$I54,"")</f>
        <v/>
      </c>
      <c r="BJ357" s="39" t="str">
        <f>IFERROR(bütünleme!BU54*100/bütünleme!$I54,"")</f>
        <v/>
      </c>
      <c r="BK357" s="39" t="str">
        <f>IFERROR(bütünleme!BV54*100/bütünleme!$I54,"")</f>
        <v/>
      </c>
      <c r="BL357" s="39" t="str">
        <f>IFERROR(bütünleme!BW54*100/bütünleme!$I54,"")</f>
        <v/>
      </c>
      <c r="BM357" s="39" t="str">
        <f>IFERROR(bütünleme!BX54*100/bütünleme!$I54,"")</f>
        <v/>
      </c>
      <c r="BN357" s="39" t="str">
        <f>IFERROR(bütünleme!BY54*100/bütünleme!$I54,"")</f>
        <v/>
      </c>
      <c r="BO357" s="39" t="str">
        <f>IFERROR(bütünleme!BZ54*100/bütünleme!$I54,"")</f>
        <v/>
      </c>
      <c r="BP357" s="39" t="str">
        <f>IFERROR(bütünleme!CA54*100/bütünleme!$I54,"")</f>
        <v/>
      </c>
      <c r="BQ357" s="39" t="str">
        <f>IFERROR(bütünleme!CB54*100/bütünleme!$I54,"")</f>
        <v/>
      </c>
      <c r="BR357" s="39" t="str">
        <f>IFERROR(bütünleme!CC54*100/bütünleme!$I54,"")</f>
        <v/>
      </c>
      <c r="BS357" s="39" t="str">
        <f>IFERROR(bütünleme!CD54*100/bütünleme!$I54,"")</f>
        <v/>
      </c>
      <c r="BT357" s="39" t="str">
        <f>IFERROR(bütünleme!CE54*100/bütünleme!$I54,"")</f>
        <v/>
      </c>
      <c r="BU357" s="39" t="str">
        <f>IFERROR(bütünleme!CF54*100/bütünleme!$I54,"")</f>
        <v/>
      </c>
      <c r="BV357" s="39" t="str">
        <f>IFERROR(bütünleme!CG54*100/bütünleme!$I54,"")</f>
        <v/>
      </c>
      <c r="BW357" s="39" t="str">
        <f>IFERROR(bütünleme!CH54*100/bütünleme!$I54,"")</f>
        <v/>
      </c>
      <c r="BX357" s="39" t="str">
        <f>IFERROR(bütünleme!CI54*100/bütünleme!$I54,"")</f>
        <v/>
      </c>
      <c r="BY357" s="39" t="str">
        <f>IFERROR(bütünleme!CJ54*100/bütünleme!$I54,"")</f>
        <v/>
      </c>
      <c r="BZ357" s="39" t="str">
        <f>IFERROR(bütünleme!CK54*100/bütünleme!$I54,"")</f>
        <v/>
      </c>
      <c r="CA357" s="39" t="str">
        <f>IFERROR(bütünleme!CL54*100/bütünleme!$I54,"")</f>
        <v/>
      </c>
      <c r="CB357" s="39" t="str">
        <f>IFERROR(bütünleme!CM54*100/bütünleme!$I54,"")</f>
        <v/>
      </c>
      <c r="CC357" s="39" t="str">
        <f>IFERROR(bütünleme!CN54*100/bütünleme!$I54,"")</f>
        <v/>
      </c>
      <c r="CD357" s="39" t="str">
        <f>IFERROR(bütünleme!CO54*100/bütünleme!$I54,"")</f>
        <v/>
      </c>
      <c r="CE357" s="39" t="str">
        <f>IFERROR(bütünleme!CP54*100/bütünleme!$I54,"")</f>
        <v/>
      </c>
      <c r="CF357" s="39" t="str">
        <f>IFERROR(bütünleme!CQ54*100/bütünleme!$I54,"")</f>
        <v/>
      </c>
      <c r="CG357" s="39" t="str">
        <f>IFERROR(bütünleme!CR54*100/bütünleme!$I54,"")</f>
        <v/>
      </c>
      <c r="CH357" s="39" t="str">
        <f>IFERROR(bütünleme!CS54*100/bütünleme!$I54,"")</f>
        <v/>
      </c>
      <c r="CI357" s="39" t="str">
        <f>IFERROR(bütünleme!CT54*100/bütünleme!$I54,"")</f>
        <v/>
      </c>
      <c r="CJ357" s="39" t="str">
        <f>IFERROR(bütünleme!CU54*100/bütünleme!$I54,"")</f>
        <v/>
      </c>
      <c r="CK357" s="39" t="str">
        <f>IFERROR(bütünleme!CV54*100/bütünleme!$I54,"")</f>
        <v/>
      </c>
      <c r="CL357" s="39" t="str">
        <f>IFERROR(bütünleme!CW54*100/bütünleme!$I54,"")</f>
        <v/>
      </c>
      <c r="CM357" s="39" t="str">
        <f>IFERROR(bütünleme!CX54*100/bütünleme!$I54,"")</f>
        <v/>
      </c>
      <c r="CN357" s="39" t="str">
        <f>IFERROR(bütünleme!CY54*100/bütünleme!$I54,"")</f>
        <v/>
      </c>
      <c r="CO357" s="39" t="str">
        <f>IFERROR(bütünleme!CZ54*100/bütünleme!$I54,"")</f>
        <v/>
      </c>
      <c r="CP357" s="39" t="str">
        <f>IFERROR(bütünleme!DA54*100/bütünleme!$I54,"")</f>
        <v/>
      </c>
      <c r="CQ357" s="39" t="str">
        <f>IFERROR(bütünleme!DB54*100/bütünleme!$I54,"")</f>
        <v/>
      </c>
      <c r="CR357" s="39" t="str">
        <f>IFERROR(bütünleme!DC54*100/bütünleme!$I54,"")</f>
        <v/>
      </c>
      <c r="CS357" s="39" t="str">
        <f>IFERROR(bütünleme!DD54*100/bütünleme!$I54,"")</f>
        <v/>
      </c>
      <c r="CT357" s="39" t="str">
        <f>IFERROR(bütünleme!DE54*100/bütünleme!$I54,"")</f>
        <v/>
      </c>
      <c r="CU357" s="39" t="str">
        <f>IFERROR(bütünleme!DF54*100/bütünleme!$I54,"")</f>
        <v/>
      </c>
      <c r="CV357" s="39" t="str">
        <f>IFERROR(bütünleme!DG54*100/bütünleme!$I54,"")</f>
        <v/>
      </c>
      <c r="CW357" s="36" t="str">
        <f>IFERROR(SUM(A357:CV357)/bütünleme!$DH$103,"")</f>
        <v/>
      </c>
      <c r="CX357" s="14" t="str">
        <f>IF(COUNTA(bütünleme!A54),bütünleme!A54,"")</f>
        <v/>
      </c>
      <c r="CY357" s="14" t="str">
        <f>IF(COUNTA(bütünleme!B54),bütünleme!B54,"")</f>
        <v/>
      </c>
      <c r="CZ357" s="14" t="str">
        <f>IF(COUNTA(bütünleme!C54),bütünleme!C54,"")</f>
        <v/>
      </c>
      <c r="DA357" s="14" t="str">
        <f>IF(COUNTA(bütünleme!D54),bütünleme!D54,"")</f>
        <v/>
      </c>
      <c r="DB357" s="14" t="str">
        <f>IF(COUNTA(bütünleme!E54),bütünleme!E54,"")</f>
        <v/>
      </c>
      <c r="DC357" s="14" t="str">
        <f>IF(COUNTA(bütünleme!F54),bütünleme!F54,"")</f>
        <v/>
      </c>
      <c r="DD357" s="14" t="str">
        <f>IF(COUNTA(bütünleme!G54),bütünleme!G54,"")</f>
        <v/>
      </c>
      <c r="DE357" s="14" t="str">
        <f>IF(COUNTA(bütünleme!H54),bütünleme!H54,"")</f>
        <v/>
      </c>
    </row>
    <row r="358" spans="1:109" x14ac:dyDescent="0.2">
      <c r="A358" s="39" t="str">
        <f>IFERROR(bütünleme!L55*100/bütünleme!$I55,"")</f>
        <v/>
      </c>
      <c r="B358" s="39" t="str">
        <f>IFERROR(bütünleme!M55*100/bütünleme!$I55,"")</f>
        <v/>
      </c>
      <c r="C358" s="39" t="str">
        <f>IFERROR(bütünleme!N55*100/bütünleme!$I55,"")</f>
        <v/>
      </c>
      <c r="D358" s="39" t="str">
        <f>IFERROR(bütünleme!O55*100/bütünleme!$I55,"")</f>
        <v/>
      </c>
      <c r="E358" s="39" t="str">
        <f>IFERROR(bütünleme!P55*100/bütünleme!$I55,"")</f>
        <v/>
      </c>
      <c r="F358" s="39" t="str">
        <f>IFERROR(bütünleme!Q55*100/bütünleme!$I55,"")</f>
        <v/>
      </c>
      <c r="G358" s="39" t="str">
        <f>IFERROR(bütünleme!R55*100/bütünleme!$I55,"")</f>
        <v/>
      </c>
      <c r="H358" s="39" t="str">
        <f>IFERROR(bütünleme!S55*100/bütünleme!$I55,"")</f>
        <v/>
      </c>
      <c r="I358" s="39" t="str">
        <f>IFERROR(bütünleme!T55*100/bütünleme!$I55,"")</f>
        <v/>
      </c>
      <c r="J358" s="39" t="str">
        <f>IFERROR(bütünleme!U55*100/bütünleme!$I55,"")</f>
        <v/>
      </c>
      <c r="K358" s="39" t="str">
        <f>IFERROR(bütünleme!V55*100/bütünleme!$I55,"")</f>
        <v/>
      </c>
      <c r="L358" s="39" t="str">
        <f>IFERROR(bütünleme!W55*100/bütünleme!$I55,"")</f>
        <v/>
      </c>
      <c r="M358" s="39" t="str">
        <f>IFERROR(bütünleme!X55*100/bütünleme!$I55,"")</f>
        <v/>
      </c>
      <c r="N358" s="39" t="str">
        <f>IFERROR(bütünleme!Y55*100/bütünleme!$I55,"")</f>
        <v/>
      </c>
      <c r="O358" s="39" t="str">
        <f>IFERROR(bütünleme!Z55*100/bütünleme!$I55,"")</f>
        <v/>
      </c>
      <c r="P358" s="39" t="str">
        <f>IFERROR(bütünleme!AA55*100/bütünleme!$I55,"")</f>
        <v/>
      </c>
      <c r="Q358" s="39" t="str">
        <f>IFERROR(bütünleme!AB55*100/bütünleme!$I55,"")</f>
        <v/>
      </c>
      <c r="R358" s="39" t="str">
        <f>IFERROR(bütünleme!AC55*100/bütünleme!$I55,"")</f>
        <v/>
      </c>
      <c r="S358" s="39" t="str">
        <f>IFERROR(bütünleme!AD55*100/bütünleme!$I55,"")</f>
        <v/>
      </c>
      <c r="T358" s="39" t="str">
        <f>IFERROR(bütünleme!AE55*100/bütünleme!$I55,"")</f>
        <v/>
      </c>
      <c r="U358" s="39" t="str">
        <f>IFERROR(bütünleme!AF55*100/bütünleme!$I55,"")</f>
        <v/>
      </c>
      <c r="V358" s="39" t="str">
        <f>IFERROR(bütünleme!AG55*100/bütünleme!$I55,"")</f>
        <v/>
      </c>
      <c r="W358" s="39" t="str">
        <f>IFERROR(bütünleme!AH55*100/bütünleme!$I55,"")</f>
        <v/>
      </c>
      <c r="X358" s="39" t="str">
        <f>IFERROR(bütünleme!AI55*100/bütünleme!$I55,"")</f>
        <v/>
      </c>
      <c r="Y358" s="39" t="str">
        <f>IFERROR(bütünleme!AJ55*100/bütünleme!$I55,"")</f>
        <v/>
      </c>
      <c r="Z358" s="39" t="str">
        <f>IFERROR(bütünleme!AK55*100/bütünleme!$I55,"")</f>
        <v/>
      </c>
      <c r="AA358" s="39" t="str">
        <f>IFERROR(bütünleme!AL55*100/bütünleme!$I55,"")</f>
        <v/>
      </c>
      <c r="AB358" s="39" t="str">
        <f>IFERROR(bütünleme!AM55*100/bütünleme!$I55,"")</f>
        <v/>
      </c>
      <c r="AC358" s="39" t="str">
        <f>IFERROR(bütünleme!AN55*100/bütünleme!$I55,"")</f>
        <v/>
      </c>
      <c r="AD358" s="39" t="str">
        <f>IFERROR(bütünleme!AO55*100/bütünleme!$I55,"")</f>
        <v/>
      </c>
      <c r="AE358" s="39" t="str">
        <f>IFERROR(bütünleme!AP55*100/bütünleme!$I55,"")</f>
        <v/>
      </c>
      <c r="AF358" s="39" t="str">
        <f>IFERROR(bütünleme!AQ55*100/bütünleme!$I55,"")</f>
        <v/>
      </c>
      <c r="AG358" s="39" t="str">
        <f>IFERROR(bütünleme!AR55*100/bütünleme!$I55,"")</f>
        <v/>
      </c>
      <c r="AH358" s="39" t="str">
        <f>IFERROR(bütünleme!AS55*100/bütünleme!$I55,"")</f>
        <v/>
      </c>
      <c r="AI358" s="39" t="str">
        <f>IFERROR(bütünleme!AT55*100/bütünleme!$I55,"")</f>
        <v/>
      </c>
      <c r="AJ358" s="39" t="str">
        <f>IFERROR(bütünleme!AU55*100/bütünleme!$I55,"")</f>
        <v/>
      </c>
      <c r="AK358" s="39" t="str">
        <f>IFERROR(bütünleme!AV55*100/bütünleme!$I55,"")</f>
        <v/>
      </c>
      <c r="AL358" s="39" t="str">
        <f>IFERROR(bütünleme!AW55*100/bütünleme!$I55,"")</f>
        <v/>
      </c>
      <c r="AM358" s="39" t="str">
        <f>IFERROR(bütünleme!AX55*100/bütünleme!$I55,"")</f>
        <v/>
      </c>
      <c r="AN358" s="39" t="str">
        <f>IFERROR(bütünleme!AY55*100/bütünleme!$I55,"")</f>
        <v/>
      </c>
      <c r="AO358" s="39" t="str">
        <f>IFERROR(bütünleme!AZ55*100/bütünleme!$I55,"")</f>
        <v/>
      </c>
      <c r="AP358" s="39" t="str">
        <f>IFERROR(bütünleme!BA55*100/bütünleme!$I55,"")</f>
        <v/>
      </c>
      <c r="AQ358" s="39" t="str">
        <f>IFERROR(bütünleme!BB55*100/bütünleme!$I55,"")</f>
        <v/>
      </c>
      <c r="AR358" s="39" t="str">
        <f>IFERROR(bütünleme!BC55*100/bütünleme!$I55,"")</f>
        <v/>
      </c>
      <c r="AS358" s="39" t="str">
        <f>IFERROR(bütünleme!BD55*100/bütünleme!$I55,"")</f>
        <v/>
      </c>
      <c r="AT358" s="39" t="str">
        <f>IFERROR(bütünleme!BE55*100/bütünleme!$I55,"")</f>
        <v/>
      </c>
      <c r="AU358" s="39" t="str">
        <f>IFERROR(bütünleme!BF55*100/bütünleme!$I55,"")</f>
        <v/>
      </c>
      <c r="AV358" s="39" t="str">
        <f>IFERROR(bütünleme!BG55*100/bütünleme!$I55,"")</f>
        <v/>
      </c>
      <c r="AW358" s="39" t="str">
        <f>IFERROR(bütünleme!BH55*100/bütünleme!$I55,"")</f>
        <v/>
      </c>
      <c r="AX358" s="39" t="str">
        <f>IFERROR(bütünleme!BI55*100/bütünleme!$I55,"")</f>
        <v/>
      </c>
      <c r="AY358" s="39" t="str">
        <f>IFERROR(bütünleme!BJ55*100/bütünleme!$I55,"")</f>
        <v/>
      </c>
      <c r="AZ358" s="39" t="str">
        <f>IFERROR(bütünleme!BK55*100/bütünleme!$I55,"")</f>
        <v/>
      </c>
      <c r="BA358" s="39" t="str">
        <f>IFERROR(bütünleme!BL55*100/bütünleme!$I55,"")</f>
        <v/>
      </c>
      <c r="BB358" s="39" t="str">
        <f>IFERROR(bütünleme!BM55*100/bütünleme!$I55,"")</f>
        <v/>
      </c>
      <c r="BC358" s="39" t="str">
        <f>IFERROR(bütünleme!BN55*100/bütünleme!$I55,"")</f>
        <v/>
      </c>
      <c r="BD358" s="39" t="str">
        <f>IFERROR(bütünleme!BO55*100/bütünleme!$I55,"")</f>
        <v/>
      </c>
      <c r="BE358" s="39" t="str">
        <f>IFERROR(bütünleme!BP55*100/bütünleme!$I55,"")</f>
        <v/>
      </c>
      <c r="BF358" s="39" t="str">
        <f>IFERROR(bütünleme!BQ55*100/bütünleme!$I55,"")</f>
        <v/>
      </c>
      <c r="BG358" s="39" t="str">
        <f>IFERROR(bütünleme!BR55*100/bütünleme!$I55,"")</f>
        <v/>
      </c>
      <c r="BH358" s="39" t="str">
        <f>IFERROR(bütünleme!BS55*100/bütünleme!$I55,"")</f>
        <v/>
      </c>
      <c r="BI358" s="39" t="str">
        <f>IFERROR(bütünleme!BT55*100/bütünleme!$I55,"")</f>
        <v/>
      </c>
      <c r="BJ358" s="39" t="str">
        <f>IFERROR(bütünleme!BU55*100/bütünleme!$I55,"")</f>
        <v/>
      </c>
      <c r="BK358" s="39" t="str">
        <f>IFERROR(bütünleme!BV55*100/bütünleme!$I55,"")</f>
        <v/>
      </c>
      <c r="BL358" s="39" t="str">
        <f>IFERROR(bütünleme!BW55*100/bütünleme!$I55,"")</f>
        <v/>
      </c>
      <c r="BM358" s="39" t="str">
        <f>IFERROR(bütünleme!BX55*100/bütünleme!$I55,"")</f>
        <v/>
      </c>
      <c r="BN358" s="39" t="str">
        <f>IFERROR(bütünleme!BY55*100/bütünleme!$I55,"")</f>
        <v/>
      </c>
      <c r="BO358" s="39" t="str">
        <f>IFERROR(bütünleme!BZ55*100/bütünleme!$I55,"")</f>
        <v/>
      </c>
      <c r="BP358" s="39" t="str">
        <f>IFERROR(bütünleme!CA55*100/bütünleme!$I55,"")</f>
        <v/>
      </c>
      <c r="BQ358" s="39" t="str">
        <f>IFERROR(bütünleme!CB55*100/bütünleme!$I55,"")</f>
        <v/>
      </c>
      <c r="BR358" s="39" t="str">
        <f>IFERROR(bütünleme!CC55*100/bütünleme!$I55,"")</f>
        <v/>
      </c>
      <c r="BS358" s="39" t="str">
        <f>IFERROR(bütünleme!CD55*100/bütünleme!$I55,"")</f>
        <v/>
      </c>
      <c r="BT358" s="39" t="str">
        <f>IFERROR(bütünleme!CE55*100/bütünleme!$I55,"")</f>
        <v/>
      </c>
      <c r="BU358" s="39" t="str">
        <f>IFERROR(bütünleme!CF55*100/bütünleme!$I55,"")</f>
        <v/>
      </c>
      <c r="BV358" s="39" t="str">
        <f>IFERROR(bütünleme!CG55*100/bütünleme!$I55,"")</f>
        <v/>
      </c>
      <c r="BW358" s="39" t="str">
        <f>IFERROR(bütünleme!CH55*100/bütünleme!$I55,"")</f>
        <v/>
      </c>
      <c r="BX358" s="39" t="str">
        <f>IFERROR(bütünleme!CI55*100/bütünleme!$I55,"")</f>
        <v/>
      </c>
      <c r="BY358" s="39" t="str">
        <f>IFERROR(bütünleme!CJ55*100/bütünleme!$I55,"")</f>
        <v/>
      </c>
      <c r="BZ358" s="39" t="str">
        <f>IFERROR(bütünleme!CK55*100/bütünleme!$I55,"")</f>
        <v/>
      </c>
      <c r="CA358" s="39" t="str">
        <f>IFERROR(bütünleme!CL55*100/bütünleme!$I55,"")</f>
        <v/>
      </c>
      <c r="CB358" s="39" t="str">
        <f>IFERROR(bütünleme!CM55*100/bütünleme!$I55,"")</f>
        <v/>
      </c>
      <c r="CC358" s="39" t="str">
        <f>IFERROR(bütünleme!CN55*100/bütünleme!$I55,"")</f>
        <v/>
      </c>
      <c r="CD358" s="39" t="str">
        <f>IFERROR(bütünleme!CO55*100/bütünleme!$I55,"")</f>
        <v/>
      </c>
      <c r="CE358" s="39" t="str">
        <f>IFERROR(bütünleme!CP55*100/bütünleme!$I55,"")</f>
        <v/>
      </c>
      <c r="CF358" s="39" t="str">
        <f>IFERROR(bütünleme!CQ55*100/bütünleme!$I55,"")</f>
        <v/>
      </c>
      <c r="CG358" s="39" t="str">
        <f>IFERROR(bütünleme!CR55*100/bütünleme!$I55,"")</f>
        <v/>
      </c>
      <c r="CH358" s="39" t="str">
        <f>IFERROR(bütünleme!CS55*100/bütünleme!$I55,"")</f>
        <v/>
      </c>
      <c r="CI358" s="39" t="str">
        <f>IFERROR(bütünleme!CT55*100/bütünleme!$I55,"")</f>
        <v/>
      </c>
      <c r="CJ358" s="39" t="str">
        <f>IFERROR(bütünleme!CU55*100/bütünleme!$I55,"")</f>
        <v/>
      </c>
      <c r="CK358" s="39" t="str">
        <f>IFERROR(bütünleme!CV55*100/bütünleme!$I55,"")</f>
        <v/>
      </c>
      <c r="CL358" s="39" t="str">
        <f>IFERROR(bütünleme!CW55*100/bütünleme!$I55,"")</f>
        <v/>
      </c>
      <c r="CM358" s="39" t="str">
        <f>IFERROR(bütünleme!CX55*100/bütünleme!$I55,"")</f>
        <v/>
      </c>
      <c r="CN358" s="39" t="str">
        <f>IFERROR(bütünleme!CY55*100/bütünleme!$I55,"")</f>
        <v/>
      </c>
      <c r="CO358" s="39" t="str">
        <f>IFERROR(bütünleme!CZ55*100/bütünleme!$I55,"")</f>
        <v/>
      </c>
      <c r="CP358" s="39" t="str">
        <f>IFERROR(bütünleme!DA55*100/bütünleme!$I55,"")</f>
        <v/>
      </c>
      <c r="CQ358" s="39" t="str">
        <f>IFERROR(bütünleme!DB55*100/bütünleme!$I55,"")</f>
        <v/>
      </c>
      <c r="CR358" s="39" t="str">
        <f>IFERROR(bütünleme!DC55*100/bütünleme!$I55,"")</f>
        <v/>
      </c>
      <c r="CS358" s="39" t="str">
        <f>IFERROR(bütünleme!DD55*100/bütünleme!$I55,"")</f>
        <v/>
      </c>
      <c r="CT358" s="39" t="str">
        <f>IFERROR(bütünleme!DE55*100/bütünleme!$I55,"")</f>
        <v/>
      </c>
      <c r="CU358" s="39" t="str">
        <f>IFERROR(bütünleme!DF55*100/bütünleme!$I55,"")</f>
        <v/>
      </c>
      <c r="CV358" s="39" t="str">
        <f>IFERROR(bütünleme!DG55*100/bütünleme!$I55,"")</f>
        <v/>
      </c>
      <c r="CW358" s="36" t="str">
        <f>IFERROR(SUM(A358:CV358)/bütünleme!$DH$103,"")</f>
        <v/>
      </c>
      <c r="CX358" s="14" t="str">
        <f>IF(COUNTA(bütünleme!A55),bütünleme!A55,"")</f>
        <v/>
      </c>
      <c r="CY358" s="14" t="str">
        <f>IF(COUNTA(bütünleme!B55),bütünleme!B55,"")</f>
        <v/>
      </c>
      <c r="CZ358" s="14" t="str">
        <f>IF(COUNTA(bütünleme!C55),bütünleme!C55,"")</f>
        <v/>
      </c>
      <c r="DA358" s="14" t="str">
        <f>IF(COUNTA(bütünleme!D55),bütünleme!D55,"")</f>
        <v/>
      </c>
      <c r="DB358" s="14" t="str">
        <f>IF(COUNTA(bütünleme!E55),bütünleme!E55,"")</f>
        <v/>
      </c>
      <c r="DC358" s="14" t="str">
        <f>IF(COUNTA(bütünleme!F55),bütünleme!F55,"")</f>
        <v/>
      </c>
      <c r="DD358" s="14" t="str">
        <f>IF(COUNTA(bütünleme!G55),bütünleme!G55,"")</f>
        <v/>
      </c>
      <c r="DE358" s="14" t="str">
        <f>IF(COUNTA(bütünleme!H55),bütünleme!H55,"")</f>
        <v/>
      </c>
    </row>
    <row r="359" spans="1:109" x14ac:dyDescent="0.2">
      <c r="A359" s="39" t="str">
        <f>IFERROR(bütünleme!L56*100/bütünleme!$I56,"")</f>
        <v/>
      </c>
      <c r="B359" s="39" t="str">
        <f>IFERROR(bütünleme!M56*100/bütünleme!$I56,"")</f>
        <v/>
      </c>
      <c r="C359" s="39" t="str">
        <f>IFERROR(bütünleme!N56*100/bütünleme!$I56,"")</f>
        <v/>
      </c>
      <c r="D359" s="39" t="str">
        <f>IFERROR(bütünleme!O56*100/bütünleme!$I56,"")</f>
        <v/>
      </c>
      <c r="E359" s="39" t="str">
        <f>IFERROR(bütünleme!P56*100/bütünleme!$I56,"")</f>
        <v/>
      </c>
      <c r="F359" s="39" t="str">
        <f>IFERROR(bütünleme!Q56*100/bütünleme!$I56,"")</f>
        <v/>
      </c>
      <c r="G359" s="39" t="str">
        <f>IFERROR(bütünleme!R56*100/bütünleme!$I56,"")</f>
        <v/>
      </c>
      <c r="H359" s="39" t="str">
        <f>IFERROR(bütünleme!S56*100/bütünleme!$I56,"")</f>
        <v/>
      </c>
      <c r="I359" s="39" t="str">
        <f>IFERROR(bütünleme!T56*100/bütünleme!$I56,"")</f>
        <v/>
      </c>
      <c r="J359" s="39" t="str">
        <f>IFERROR(bütünleme!U56*100/bütünleme!$I56,"")</f>
        <v/>
      </c>
      <c r="K359" s="39" t="str">
        <f>IFERROR(bütünleme!V56*100/bütünleme!$I56,"")</f>
        <v/>
      </c>
      <c r="L359" s="39" t="str">
        <f>IFERROR(bütünleme!W56*100/bütünleme!$I56,"")</f>
        <v/>
      </c>
      <c r="M359" s="39" t="str">
        <f>IFERROR(bütünleme!X56*100/bütünleme!$I56,"")</f>
        <v/>
      </c>
      <c r="N359" s="39" t="str">
        <f>IFERROR(bütünleme!Y56*100/bütünleme!$I56,"")</f>
        <v/>
      </c>
      <c r="O359" s="39" t="str">
        <f>IFERROR(bütünleme!Z56*100/bütünleme!$I56,"")</f>
        <v/>
      </c>
      <c r="P359" s="39" t="str">
        <f>IFERROR(bütünleme!AA56*100/bütünleme!$I56,"")</f>
        <v/>
      </c>
      <c r="Q359" s="39" t="str">
        <f>IFERROR(bütünleme!AB56*100/bütünleme!$I56,"")</f>
        <v/>
      </c>
      <c r="R359" s="39" t="str">
        <f>IFERROR(bütünleme!AC56*100/bütünleme!$I56,"")</f>
        <v/>
      </c>
      <c r="S359" s="39" t="str">
        <f>IFERROR(bütünleme!AD56*100/bütünleme!$I56,"")</f>
        <v/>
      </c>
      <c r="T359" s="39" t="str">
        <f>IFERROR(bütünleme!AE56*100/bütünleme!$I56,"")</f>
        <v/>
      </c>
      <c r="U359" s="39" t="str">
        <f>IFERROR(bütünleme!AF56*100/bütünleme!$I56,"")</f>
        <v/>
      </c>
      <c r="V359" s="39" t="str">
        <f>IFERROR(bütünleme!AG56*100/bütünleme!$I56,"")</f>
        <v/>
      </c>
      <c r="W359" s="39" t="str">
        <f>IFERROR(bütünleme!AH56*100/bütünleme!$I56,"")</f>
        <v/>
      </c>
      <c r="X359" s="39" t="str">
        <f>IFERROR(bütünleme!AI56*100/bütünleme!$I56,"")</f>
        <v/>
      </c>
      <c r="Y359" s="39" t="str">
        <f>IFERROR(bütünleme!AJ56*100/bütünleme!$I56,"")</f>
        <v/>
      </c>
      <c r="Z359" s="39" t="str">
        <f>IFERROR(bütünleme!AK56*100/bütünleme!$I56,"")</f>
        <v/>
      </c>
      <c r="AA359" s="39" t="str">
        <f>IFERROR(bütünleme!AL56*100/bütünleme!$I56,"")</f>
        <v/>
      </c>
      <c r="AB359" s="39" t="str">
        <f>IFERROR(bütünleme!AM56*100/bütünleme!$I56,"")</f>
        <v/>
      </c>
      <c r="AC359" s="39" t="str">
        <f>IFERROR(bütünleme!AN56*100/bütünleme!$I56,"")</f>
        <v/>
      </c>
      <c r="AD359" s="39" t="str">
        <f>IFERROR(bütünleme!AO56*100/bütünleme!$I56,"")</f>
        <v/>
      </c>
      <c r="AE359" s="39" t="str">
        <f>IFERROR(bütünleme!AP56*100/bütünleme!$I56,"")</f>
        <v/>
      </c>
      <c r="AF359" s="39" t="str">
        <f>IFERROR(bütünleme!AQ56*100/bütünleme!$I56,"")</f>
        <v/>
      </c>
      <c r="AG359" s="39" t="str">
        <f>IFERROR(bütünleme!AR56*100/bütünleme!$I56,"")</f>
        <v/>
      </c>
      <c r="AH359" s="39" t="str">
        <f>IFERROR(bütünleme!AS56*100/bütünleme!$I56,"")</f>
        <v/>
      </c>
      <c r="AI359" s="39" t="str">
        <f>IFERROR(bütünleme!AT56*100/bütünleme!$I56,"")</f>
        <v/>
      </c>
      <c r="AJ359" s="39" t="str">
        <f>IFERROR(bütünleme!AU56*100/bütünleme!$I56,"")</f>
        <v/>
      </c>
      <c r="AK359" s="39" t="str">
        <f>IFERROR(bütünleme!AV56*100/bütünleme!$I56,"")</f>
        <v/>
      </c>
      <c r="AL359" s="39" t="str">
        <f>IFERROR(bütünleme!AW56*100/bütünleme!$I56,"")</f>
        <v/>
      </c>
      <c r="AM359" s="39" t="str">
        <f>IFERROR(bütünleme!AX56*100/bütünleme!$I56,"")</f>
        <v/>
      </c>
      <c r="AN359" s="39" t="str">
        <f>IFERROR(bütünleme!AY56*100/bütünleme!$I56,"")</f>
        <v/>
      </c>
      <c r="AO359" s="39" t="str">
        <f>IFERROR(bütünleme!AZ56*100/bütünleme!$I56,"")</f>
        <v/>
      </c>
      <c r="AP359" s="39" t="str">
        <f>IFERROR(bütünleme!BA56*100/bütünleme!$I56,"")</f>
        <v/>
      </c>
      <c r="AQ359" s="39" t="str">
        <f>IFERROR(bütünleme!BB56*100/bütünleme!$I56,"")</f>
        <v/>
      </c>
      <c r="AR359" s="39" t="str">
        <f>IFERROR(bütünleme!BC56*100/bütünleme!$I56,"")</f>
        <v/>
      </c>
      <c r="AS359" s="39" t="str">
        <f>IFERROR(bütünleme!BD56*100/bütünleme!$I56,"")</f>
        <v/>
      </c>
      <c r="AT359" s="39" t="str">
        <f>IFERROR(bütünleme!BE56*100/bütünleme!$I56,"")</f>
        <v/>
      </c>
      <c r="AU359" s="39" t="str">
        <f>IFERROR(bütünleme!BF56*100/bütünleme!$I56,"")</f>
        <v/>
      </c>
      <c r="AV359" s="39" t="str">
        <f>IFERROR(bütünleme!BG56*100/bütünleme!$I56,"")</f>
        <v/>
      </c>
      <c r="AW359" s="39" t="str">
        <f>IFERROR(bütünleme!BH56*100/bütünleme!$I56,"")</f>
        <v/>
      </c>
      <c r="AX359" s="39" t="str">
        <f>IFERROR(bütünleme!BI56*100/bütünleme!$I56,"")</f>
        <v/>
      </c>
      <c r="AY359" s="39" t="str">
        <f>IFERROR(bütünleme!BJ56*100/bütünleme!$I56,"")</f>
        <v/>
      </c>
      <c r="AZ359" s="39" t="str">
        <f>IFERROR(bütünleme!BK56*100/bütünleme!$I56,"")</f>
        <v/>
      </c>
      <c r="BA359" s="39" t="str">
        <f>IFERROR(bütünleme!BL56*100/bütünleme!$I56,"")</f>
        <v/>
      </c>
      <c r="BB359" s="39" t="str">
        <f>IFERROR(bütünleme!BM56*100/bütünleme!$I56,"")</f>
        <v/>
      </c>
      <c r="BC359" s="39" t="str">
        <f>IFERROR(bütünleme!BN56*100/bütünleme!$I56,"")</f>
        <v/>
      </c>
      <c r="BD359" s="39" t="str">
        <f>IFERROR(bütünleme!BO56*100/bütünleme!$I56,"")</f>
        <v/>
      </c>
      <c r="BE359" s="39" t="str">
        <f>IFERROR(bütünleme!BP56*100/bütünleme!$I56,"")</f>
        <v/>
      </c>
      <c r="BF359" s="39" t="str">
        <f>IFERROR(bütünleme!BQ56*100/bütünleme!$I56,"")</f>
        <v/>
      </c>
      <c r="BG359" s="39" t="str">
        <f>IFERROR(bütünleme!BR56*100/bütünleme!$I56,"")</f>
        <v/>
      </c>
      <c r="BH359" s="39" t="str">
        <f>IFERROR(bütünleme!BS56*100/bütünleme!$I56,"")</f>
        <v/>
      </c>
      <c r="BI359" s="39" t="str">
        <f>IFERROR(bütünleme!BT56*100/bütünleme!$I56,"")</f>
        <v/>
      </c>
      <c r="BJ359" s="39" t="str">
        <f>IFERROR(bütünleme!BU56*100/bütünleme!$I56,"")</f>
        <v/>
      </c>
      <c r="BK359" s="39" t="str">
        <f>IFERROR(bütünleme!BV56*100/bütünleme!$I56,"")</f>
        <v/>
      </c>
      <c r="BL359" s="39" t="str">
        <f>IFERROR(bütünleme!BW56*100/bütünleme!$I56,"")</f>
        <v/>
      </c>
      <c r="BM359" s="39" t="str">
        <f>IFERROR(bütünleme!BX56*100/bütünleme!$I56,"")</f>
        <v/>
      </c>
      <c r="BN359" s="39" t="str">
        <f>IFERROR(bütünleme!BY56*100/bütünleme!$I56,"")</f>
        <v/>
      </c>
      <c r="BO359" s="39" t="str">
        <f>IFERROR(bütünleme!BZ56*100/bütünleme!$I56,"")</f>
        <v/>
      </c>
      <c r="BP359" s="39" t="str">
        <f>IFERROR(bütünleme!CA56*100/bütünleme!$I56,"")</f>
        <v/>
      </c>
      <c r="BQ359" s="39" t="str">
        <f>IFERROR(bütünleme!CB56*100/bütünleme!$I56,"")</f>
        <v/>
      </c>
      <c r="BR359" s="39" t="str">
        <f>IFERROR(bütünleme!CC56*100/bütünleme!$I56,"")</f>
        <v/>
      </c>
      <c r="BS359" s="39" t="str">
        <f>IFERROR(bütünleme!CD56*100/bütünleme!$I56,"")</f>
        <v/>
      </c>
      <c r="BT359" s="39" t="str">
        <f>IFERROR(bütünleme!CE56*100/bütünleme!$I56,"")</f>
        <v/>
      </c>
      <c r="BU359" s="39" t="str">
        <f>IFERROR(bütünleme!CF56*100/bütünleme!$I56,"")</f>
        <v/>
      </c>
      <c r="BV359" s="39" t="str">
        <f>IFERROR(bütünleme!CG56*100/bütünleme!$I56,"")</f>
        <v/>
      </c>
      <c r="BW359" s="39" t="str">
        <f>IFERROR(bütünleme!CH56*100/bütünleme!$I56,"")</f>
        <v/>
      </c>
      <c r="BX359" s="39" t="str">
        <f>IFERROR(bütünleme!CI56*100/bütünleme!$I56,"")</f>
        <v/>
      </c>
      <c r="BY359" s="39" t="str">
        <f>IFERROR(bütünleme!CJ56*100/bütünleme!$I56,"")</f>
        <v/>
      </c>
      <c r="BZ359" s="39" t="str">
        <f>IFERROR(bütünleme!CK56*100/bütünleme!$I56,"")</f>
        <v/>
      </c>
      <c r="CA359" s="39" t="str">
        <f>IFERROR(bütünleme!CL56*100/bütünleme!$I56,"")</f>
        <v/>
      </c>
      <c r="CB359" s="39" t="str">
        <f>IFERROR(bütünleme!CM56*100/bütünleme!$I56,"")</f>
        <v/>
      </c>
      <c r="CC359" s="39" t="str">
        <f>IFERROR(bütünleme!CN56*100/bütünleme!$I56,"")</f>
        <v/>
      </c>
      <c r="CD359" s="39" t="str">
        <f>IFERROR(bütünleme!CO56*100/bütünleme!$I56,"")</f>
        <v/>
      </c>
      <c r="CE359" s="39" t="str">
        <f>IFERROR(bütünleme!CP56*100/bütünleme!$I56,"")</f>
        <v/>
      </c>
      <c r="CF359" s="39" t="str">
        <f>IFERROR(bütünleme!CQ56*100/bütünleme!$I56,"")</f>
        <v/>
      </c>
      <c r="CG359" s="39" t="str">
        <f>IFERROR(bütünleme!CR56*100/bütünleme!$I56,"")</f>
        <v/>
      </c>
      <c r="CH359" s="39" t="str">
        <f>IFERROR(bütünleme!CS56*100/bütünleme!$I56,"")</f>
        <v/>
      </c>
      <c r="CI359" s="39" t="str">
        <f>IFERROR(bütünleme!CT56*100/bütünleme!$I56,"")</f>
        <v/>
      </c>
      <c r="CJ359" s="39" t="str">
        <f>IFERROR(bütünleme!CU56*100/bütünleme!$I56,"")</f>
        <v/>
      </c>
      <c r="CK359" s="39" t="str">
        <f>IFERROR(bütünleme!CV56*100/bütünleme!$I56,"")</f>
        <v/>
      </c>
      <c r="CL359" s="39" t="str">
        <f>IFERROR(bütünleme!CW56*100/bütünleme!$I56,"")</f>
        <v/>
      </c>
      <c r="CM359" s="39" t="str">
        <f>IFERROR(bütünleme!CX56*100/bütünleme!$I56,"")</f>
        <v/>
      </c>
      <c r="CN359" s="39" t="str">
        <f>IFERROR(bütünleme!CY56*100/bütünleme!$I56,"")</f>
        <v/>
      </c>
      <c r="CO359" s="39" t="str">
        <f>IFERROR(bütünleme!CZ56*100/bütünleme!$I56,"")</f>
        <v/>
      </c>
      <c r="CP359" s="39" t="str">
        <f>IFERROR(bütünleme!DA56*100/bütünleme!$I56,"")</f>
        <v/>
      </c>
      <c r="CQ359" s="39" t="str">
        <f>IFERROR(bütünleme!DB56*100/bütünleme!$I56,"")</f>
        <v/>
      </c>
      <c r="CR359" s="39" t="str">
        <f>IFERROR(bütünleme!DC56*100/bütünleme!$I56,"")</f>
        <v/>
      </c>
      <c r="CS359" s="39" t="str">
        <f>IFERROR(bütünleme!DD56*100/bütünleme!$I56,"")</f>
        <v/>
      </c>
      <c r="CT359" s="39" t="str">
        <f>IFERROR(bütünleme!DE56*100/bütünleme!$I56,"")</f>
        <v/>
      </c>
      <c r="CU359" s="39" t="str">
        <f>IFERROR(bütünleme!DF56*100/bütünleme!$I56,"")</f>
        <v/>
      </c>
      <c r="CV359" s="39" t="str">
        <f>IFERROR(bütünleme!DG56*100/bütünleme!$I56,"")</f>
        <v/>
      </c>
      <c r="CW359" s="36" t="str">
        <f>IFERROR(SUM(A359:CV359)/bütünleme!$DH$103,"")</f>
        <v/>
      </c>
      <c r="CX359" s="14" t="str">
        <f>IF(COUNTA(bütünleme!A56),bütünleme!A56,"")</f>
        <v/>
      </c>
      <c r="CY359" s="14" t="str">
        <f>IF(COUNTA(bütünleme!B56),bütünleme!B56,"")</f>
        <v/>
      </c>
      <c r="CZ359" s="14" t="str">
        <f>IF(COUNTA(bütünleme!C56),bütünleme!C56,"")</f>
        <v/>
      </c>
      <c r="DA359" s="14" t="str">
        <f>IF(COUNTA(bütünleme!D56),bütünleme!D56,"")</f>
        <v/>
      </c>
      <c r="DB359" s="14" t="str">
        <f>IF(COUNTA(bütünleme!E56),bütünleme!E56,"")</f>
        <v/>
      </c>
      <c r="DC359" s="14" t="str">
        <f>IF(COUNTA(bütünleme!F56),bütünleme!F56,"")</f>
        <v/>
      </c>
      <c r="DD359" s="14" t="str">
        <f>IF(COUNTA(bütünleme!G56),bütünleme!G56,"")</f>
        <v/>
      </c>
      <c r="DE359" s="14" t="str">
        <f>IF(COUNTA(bütünleme!H56),bütünleme!H56,"")</f>
        <v/>
      </c>
    </row>
    <row r="360" spans="1:109" x14ac:dyDescent="0.2">
      <c r="A360" s="39" t="str">
        <f>IFERROR(bütünleme!L57*100/bütünleme!$I57,"")</f>
        <v/>
      </c>
      <c r="B360" s="39" t="str">
        <f>IFERROR(bütünleme!M57*100/bütünleme!$I57,"")</f>
        <v/>
      </c>
      <c r="C360" s="39" t="str">
        <f>IFERROR(bütünleme!N57*100/bütünleme!$I57,"")</f>
        <v/>
      </c>
      <c r="D360" s="39" t="str">
        <f>IFERROR(bütünleme!O57*100/bütünleme!$I57,"")</f>
        <v/>
      </c>
      <c r="E360" s="39" t="str">
        <f>IFERROR(bütünleme!P57*100/bütünleme!$I57,"")</f>
        <v/>
      </c>
      <c r="F360" s="39" t="str">
        <f>IFERROR(bütünleme!Q57*100/bütünleme!$I57,"")</f>
        <v/>
      </c>
      <c r="G360" s="39" t="str">
        <f>IFERROR(bütünleme!R57*100/bütünleme!$I57,"")</f>
        <v/>
      </c>
      <c r="H360" s="39" t="str">
        <f>IFERROR(bütünleme!S57*100/bütünleme!$I57,"")</f>
        <v/>
      </c>
      <c r="I360" s="39" t="str">
        <f>IFERROR(bütünleme!T57*100/bütünleme!$I57,"")</f>
        <v/>
      </c>
      <c r="J360" s="39" t="str">
        <f>IFERROR(bütünleme!U57*100/bütünleme!$I57,"")</f>
        <v/>
      </c>
      <c r="K360" s="39" t="str">
        <f>IFERROR(bütünleme!V57*100/bütünleme!$I57,"")</f>
        <v/>
      </c>
      <c r="L360" s="39" t="str">
        <f>IFERROR(bütünleme!W57*100/bütünleme!$I57,"")</f>
        <v/>
      </c>
      <c r="M360" s="39" t="str">
        <f>IFERROR(bütünleme!X57*100/bütünleme!$I57,"")</f>
        <v/>
      </c>
      <c r="N360" s="39" t="str">
        <f>IFERROR(bütünleme!Y57*100/bütünleme!$I57,"")</f>
        <v/>
      </c>
      <c r="O360" s="39" t="str">
        <f>IFERROR(bütünleme!Z57*100/bütünleme!$I57,"")</f>
        <v/>
      </c>
      <c r="P360" s="39" t="str">
        <f>IFERROR(bütünleme!AA57*100/bütünleme!$I57,"")</f>
        <v/>
      </c>
      <c r="Q360" s="39" t="str">
        <f>IFERROR(bütünleme!AB57*100/bütünleme!$I57,"")</f>
        <v/>
      </c>
      <c r="R360" s="39" t="str">
        <f>IFERROR(bütünleme!AC57*100/bütünleme!$I57,"")</f>
        <v/>
      </c>
      <c r="S360" s="39" t="str">
        <f>IFERROR(bütünleme!AD57*100/bütünleme!$I57,"")</f>
        <v/>
      </c>
      <c r="T360" s="39" t="str">
        <f>IFERROR(bütünleme!AE57*100/bütünleme!$I57,"")</f>
        <v/>
      </c>
      <c r="U360" s="39" t="str">
        <f>IFERROR(bütünleme!AF57*100/bütünleme!$I57,"")</f>
        <v/>
      </c>
      <c r="V360" s="39" t="str">
        <f>IFERROR(bütünleme!AG57*100/bütünleme!$I57,"")</f>
        <v/>
      </c>
      <c r="W360" s="39" t="str">
        <f>IFERROR(bütünleme!AH57*100/bütünleme!$I57,"")</f>
        <v/>
      </c>
      <c r="X360" s="39" t="str">
        <f>IFERROR(bütünleme!AI57*100/bütünleme!$I57,"")</f>
        <v/>
      </c>
      <c r="Y360" s="39" t="str">
        <f>IFERROR(bütünleme!AJ57*100/bütünleme!$I57,"")</f>
        <v/>
      </c>
      <c r="Z360" s="39" t="str">
        <f>IFERROR(bütünleme!AK57*100/bütünleme!$I57,"")</f>
        <v/>
      </c>
      <c r="AA360" s="39" t="str">
        <f>IFERROR(bütünleme!AL57*100/bütünleme!$I57,"")</f>
        <v/>
      </c>
      <c r="AB360" s="39" t="str">
        <f>IFERROR(bütünleme!AM57*100/bütünleme!$I57,"")</f>
        <v/>
      </c>
      <c r="AC360" s="39" t="str">
        <f>IFERROR(bütünleme!AN57*100/bütünleme!$I57,"")</f>
        <v/>
      </c>
      <c r="AD360" s="39" t="str">
        <f>IFERROR(bütünleme!AO57*100/bütünleme!$I57,"")</f>
        <v/>
      </c>
      <c r="AE360" s="39" t="str">
        <f>IFERROR(bütünleme!AP57*100/bütünleme!$I57,"")</f>
        <v/>
      </c>
      <c r="AF360" s="39" t="str">
        <f>IFERROR(bütünleme!AQ57*100/bütünleme!$I57,"")</f>
        <v/>
      </c>
      <c r="AG360" s="39" t="str">
        <f>IFERROR(bütünleme!AR57*100/bütünleme!$I57,"")</f>
        <v/>
      </c>
      <c r="AH360" s="39" t="str">
        <f>IFERROR(bütünleme!AS57*100/bütünleme!$I57,"")</f>
        <v/>
      </c>
      <c r="AI360" s="39" t="str">
        <f>IFERROR(bütünleme!AT57*100/bütünleme!$I57,"")</f>
        <v/>
      </c>
      <c r="AJ360" s="39" t="str">
        <f>IFERROR(bütünleme!AU57*100/bütünleme!$I57,"")</f>
        <v/>
      </c>
      <c r="AK360" s="39" t="str">
        <f>IFERROR(bütünleme!AV57*100/bütünleme!$I57,"")</f>
        <v/>
      </c>
      <c r="AL360" s="39" t="str">
        <f>IFERROR(bütünleme!AW57*100/bütünleme!$I57,"")</f>
        <v/>
      </c>
      <c r="AM360" s="39" t="str">
        <f>IFERROR(bütünleme!AX57*100/bütünleme!$I57,"")</f>
        <v/>
      </c>
      <c r="AN360" s="39" t="str">
        <f>IFERROR(bütünleme!AY57*100/bütünleme!$I57,"")</f>
        <v/>
      </c>
      <c r="AO360" s="39" t="str">
        <f>IFERROR(bütünleme!AZ57*100/bütünleme!$I57,"")</f>
        <v/>
      </c>
      <c r="AP360" s="39" t="str">
        <f>IFERROR(bütünleme!BA57*100/bütünleme!$I57,"")</f>
        <v/>
      </c>
      <c r="AQ360" s="39" t="str">
        <f>IFERROR(bütünleme!BB57*100/bütünleme!$I57,"")</f>
        <v/>
      </c>
      <c r="AR360" s="39" t="str">
        <f>IFERROR(bütünleme!BC57*100/bütünleme!$I57,"")</f>
        <v/>
      </c>
      <c r="AS360" s="39" t="str">
        <f>IFERROR(bütünleme!BD57*100/bütünleme!$I57,"")</f>
        <v/>
      </c>
      <c r="AT360" s="39" t="str">
        <f>IFERROR(bütünleme!BE57*100/bütünleme!$I57,"")</f>
        <v/>
      </c>
      <c r="AU360" s="39" t="str">
        <f>IFERROR(bütünleme!BF57*100/bütünleme!$I57,"")</f>
        <v/>
      </c>
      <c r="AV360" s="39" t="str">
        <f>IFERROR(bütünleme!BG57*100/bütünleme!$I57,"")</f>
        <v/>
      </c>
      <c r="AW360" s="39" t="str">
        <f>IFERROR(bütünleme!BH57*100/bütünleme!$I57,"")</f>
        <v/>
      </c>
      <c r="AX360" s="39" t="str">
        <f>IFERROR(bütünleme!BI57*100/bütünleme!$I57,"")</f>
        <v/>
      </c>
      <c r="AY360" s="39" t="str">
        <f>IFERROR(bütünleme!BJ57*100/bütünleme!$I57,"")</f>
        <v/>
      </c>
      <c r="AZ360" s="39" t="str">
        <f>IFERROR(bütünleme!BK57*100/bütünleme!$I57,"")</f>
        <v/>
      </c>
      <c r="BA360" s="39" t="str">
        <f>IFERROR(bütünleme!BL57*100/bütünleme!$I57,"")</f>
        <v/>
      </c>
      <c r="BB360" s="39" t="str">
        <f>IFERROR(bütünleme!BM57*100/bütünleme!$I57,"")</f>
        <v/>
      </c>
      <c r="BC360" s="39" t="str">
        <f>IFERROR(bütünleme!BN57*100/bütünleme!$I57,"")</f>
        <v/>
      </c>
      <c r="BD360" s="39" t="str">
        <f>IFERROR(bütünleme!BO57*100/bütünleme!$I57,"")</f>
        <v/>
      </c>
      <c r="BE360" s="39" t="str">
        <f>IFERROR(bütünleme!BP57*100/bütünleme!$I57,"")</f>
        <v/>
      </c>
      <c r="BF360" s="39" t="str">
        <f>IFERROR(bütünleme!BQ57*100/bütünleme!$I57,"")</f>
        <v/>
      </c>
      <c r="BG360" s="39" t="str">
        <f>IFERROR(bütünleme!BR57*100/bütünleme!$I57,"")</f>
        <v/>
      </c>
      <c r="BH360" s="39" t="str">
        <f>IFERROR(bütünleme!BS57*100/bütünleme!$I57,"")</f>
        <v/>
      </c>
      <c r="BI360" s="39" t="str">
        <f>IFERROR(bütünleme!BT57*100/bütünleme!$I57,"")</f>
        <v/>
      </c>
      <c r="BJ360" s="39" t="str">
        <f>IFERROR(bütünleme!BU57*100/bütünleme!$I57,"")</f>
        <v/>
      </c>
      <c r="BK360" s="39" t="str">
        <f>IFERROR(bütünleme!BV57*100/bütünleme!$I57,"")</f>
        <v/>
      </c>
      <c r="BL360" s="39" t="str">
        <f>IFERROR(bütünleme!BW57*100/bütünleme!$I57,"")</f>
        <v/>
      </c>
      <c r="BM360" s="39" t="str">
        <f>IFERROR(bütünleme!BX57*100/bütünleme!$I57,"")</f>
        <v/>
      </c>
      <c r="BN360" s="39" t="str">
        <f>IFERROR(bütünleme!BY57*100/bütünleme!$I57,"")</f>
        <v/>
      </c>
      <c r="BO360" s="39" t="str">
        <f>IFERROR(bütünleme!BZ57*100/bütünleme!$I57,"")</f>
        <v/>
      </c>
      <c r="BP360" s="39" t="str">
        <f>IFERROR(bütünleme!CA57*100/bütünleme!$I57,"")</f>
        <v/>
      </c>
      <c r="BQ360" s="39" t="str">
        <f>IFERROR(bütünleme!CB57*100/bütünleme!$I57,"")</f>
        <v/>
      </c>
      <c r="BR360" s="39" t="str">
        <f>IFERROR(bütünleme!CC57*100/bütünleme!$I57,"")</f>
        <v/>
      </c>
      <c r="BS360" s="39" t="str">
        <f>IFERROR(bütünleme!CD57*100/bütünleme!$I57,"")</f>
        <v/>
      </c>
      <c r="BT360" s="39" t="str">
        <f>IFERROR(bütünleme!CE57*100/bütünleme!$I57,"")</f>
        <v/>
      </c>
      <c r="BU360" s="39" t="str">
        <f>IFERROR(bütünleme!CF57*100/bütünleme!$I57,"")</f>
        <v/>
      </c>
      <c r="BV360" s="39" t="str">
        <f>IFERROR(bütünleme!CG57*100/bütünleme!$I57,"")</f>
        <v/>
      </c>
      <c r="BW360" s="39" t="str">
        <f>IFERROR(bütünleme!CH57*100/bütünleme!$I57,"")</f>
        <v/>
      </c>
      <c r="BX360" s="39" t="str">
        <f>IFERROR(bütünleme!CI57*100/bütünleme!$I57,"")</f>
        <v/>
      </c>
      <c r="BY360" s="39" t="str">
        <f>IFERROR(bütünleme!CJ57*100/bütünleme!$I57,"")</f>
        <v/>
      </c>
      <c r="BZ360" s="39" t="str">
        <f>IFERROR(bütünleme!CK57*100/bütünleme!$I57,"")</f>
        <v/>
      </c>
      <c r="CA360" s="39" t="str">
        <f>IFERROR(bütünleme!CL57*100/bütünleme!$I57,"")</f>
        <v/>
      </c>
      <c r="CB360" s="39" t="str">
        <f>IFERROR(bütünleme!CM57*100/bütünleme!$I57,"")</f>
        <v/>
      </c>
      <c r="CC360" s="39" t="str">
        <f>IFERROR(bütünleme!CN57*100/bütünleme!$I57,"")</f>
        <v/>
      </c>
      <c r="CD360" s="39" t="str">
        <f>IFERROR(bütünleme!CO57*100/bütünleme!$I57,"")</f>
        <v/>
      </c>
      <c r="CE360" s="39" t="str">
        <f>IFERROR(bütünleme!CP57*100/bütünleme!$I57,"")</f>
        <v/>
      </c>
      <c r="CF360" s="39" t="str">
        <f>IFERROR(bütünleme!CQ57*100/bütünleme!$I57,"")</f>
        <v/>
      </c>
      <c r="CG360" s="39" t="str">
        <f>IFERROR(bütünleme!CR57*100/bütünleme!$I57,"")</f>
        <v/>
      </c>
      <c r="CH360" s="39" t="str">
        <f>IFERROR(bütünleme!CS57*100/bütünleme!$I57,"")</f>
        <v/>
      </c>
      <c r="CI360" s="39" t="str">
        <f>IFERROR(bütünleme!CT57*100/bütünleme!$I57,"")</f>
        <v/>
      </c>
      <c r="CJ360" s="39" t="str">
        <f>IFERROR(bütünleme!CU57*100/bütünleme!$I57,"")</f>
        <v/>
      </c>
      <c r="CK360" s="39" t="str">
        <f>IFERROR(bütünleme!CV57*100/bütünleme!$I57,"")</f>
        <v/>
      </c>
      <c r="CL360" s="39" t="str">
        <f>IFERROR(bütünleme!CW57*100/bütünleme!$I57,"")</f>
        <v/>
      </c>
      <c r="CM360" s="39" t="str">
        <f>IFERROR(bütünleme!CX57*100/bütünleme!$I57,"")</f>
        <v/>
      </c>
      <c r="CN360" s="39" t="str">
        <f>IFERROR(bütünleme!CY57*100/bütünleme!$I57,"")</f>
        <v/>
      </c>
      <c r="CO360" s="39" t="str">
        <f>IFERROR(bütünleme!CZ57*100/bütünleme!$I57,"")</f>
        <v/>
      </c>
      <c r="CP360" s="39" t="str">
        <f>IFERROR(bütünleme!DA57*100/bütünleme!$I57,"")</f>
        <v/>
      </c>
      <c r="CQ360" s="39" t="str">
        <f>IFERROR(bütünleme!DB57*100/bütünleme!$I57,"")</f>
        <v/>
      </c>
      <c r="CR360" s="39" t="str">
        <f>IFERROR(bütünleme!DC57*100/bütünleme!$I57,"")</f>
        <v/>
      </c>
      <c r="CS360" s="39" t="str">
        <f>IFERROR(bütünleme!DD57*100/bütünleme!$I57,"")</f>
        <v/>
      </c>
      <c r="CT360" s="39" t="str">
        <f>IFERROR(bütünleme!DE57*100/bütünleme!$I57,"")</f>
        <v/>
      </c>
      <c r="CU360" s="39" t="str">
        <f>IFERROR(bütünleme!DF57*100/bütünleme!$I57,"")</f>
        <v/>
      </c>
      <c r="CV360" s="39" t="str">
        <f>IFERROR(bütünleme!DG57*100/bütünleme!$I57,"")</f>
        <v/>
      </c>
      <c r="CW360" s="36" t="str">
        <f>IFERROR(SUM(A360:CV360)/bütünleme!$DH$103,"")</f>
        <v/>
      </c>
      <c r="CX360" s="14" t="str">
        <f>IF(COUNTA(bütünleme!A57),bütünleme!A57,"")</f>
        <v/>
      </c>
      <c r="CY360" s="14" t="str">
        <f>IF(COUNTA(bütünleme!B57),bütünleme!B57,"")</f>
        <v/>
      </c>
      <c r="CZ360" s="14" t="str">
        <f>IF(COUNTA(bütünleme!C57),bütünleme!C57,"")</f>
        <v/>
      </c>
      <c r="DA360" s="14" t="str">
        <f>IF(COUNTA(bütünleme!D57),bütünleme!D57,"")</f>
        <v/>
      </c>
      <c r="DB360" s="14" t="str">
        <f>IF(COUNTA(bütünleme!E57),bütünleme!E57,"")</f>
        <v/>
      </c>
      <c r="DC360" s="14" t="str">
        <f>IF(COUNTA(bütünleme!F57),bütünleme!F57,"")</f>
        <v/>
      </c>
      <c r="DD360" s="14" t="str">
        <f>IF(COUNTA(bütünleme!G57),bütünleme!G57,"")</f>
        <v/>
      </c>
      <c r="DE360" s="14" t="str">
        <f>IF(COUNTA(bütünleme!H57),bütünleme!H57,"")</f>
        <v/>
      </c>
    </row>
    <row r="361" spans="1:109" x14ac:dyDescent="0.2">
      <c r="A361" s="39" t="str">
        <f>IFERROR(bütünleme!L58*100/bütünleme!$I58,"")</f>
        <v/>
      </c>
      <c r="B361" s="39" t="str">
        <f>IFERROR(bütünleme!M58*100/bütünleme!$I58,"")</f>
        <v/>
      </c>
      <c r="C361" s="39" t="str">
        <f>IFERROR(bütünleme!N58*100/bütünleme!$I58,"")</f>
        <v/>
      </c>
      <c r="D361" s="39" t="str">
        <f>IFERROR(bütünleme!O58*100/bütünleme!$I58,"")</f>
        <v/>
      </c>
      <c r="E361" s="39" t="str">
        <f>IFERROR(bütünleme!P58*100/bütünleme!$I58,"")</f>
        <v/>
      </c>
      <c r="F361" s="39" t="str">
        <f>IFERROR(bütünleme!Q58*100/bütünleme!$I58,"")</f>
        <v/>
      </c>
      <c r="G361" s="39" t="str">
        <f>IFERROR(bütünleme!R58*100/bütünleme!$I58,"")</f>
        <v/>
      </c>
      <c r="H361" s="39" t="str">
        <f>IFERROR(bütünleme!S58*100/bütünleme!$I58,"")</f>
        <v/>
      </c>
      <c r="I361" s="39" t="str">
        <f>IFERROR(bütünleme!T58*100/bütünleme!$I58,"")</f>
        <v/>
      </c>
      <c r="J361" s="39" t="str">
        <f>IFERROR(bütünleme!U58*100/bütünleme!$I58,"")</f>
        <v/>
      </c>
      <c r="K361" s="39" t="str">
        <f>IFERROR(bütünleme!V58*100/bütünleme!$I58,"")</f>
        <v/>
      </c>
      <c r="L361" s="39" t="str">
        <f>IFERROR(bütünleme!W58*100/bütünleme!$I58,"")</f>
        <v/>
      </c>
      <c r="M361" s="39" t="str">
        <f>IFERROR(bütünleme!X58*100/bütünleme!$I58,"")</f>
        <v/>
      </c>
      <c r="N361" s="39" t="str">
        <f>IFERROR(bütünleme!Y58*100/bütünleme!$I58,"")</f>
        <v/>
      </c>
      <c r="O361" s="39" t="str">
        <f>IFERROR(bütünleme!Z58*100/bütünleme!$I58,"")</f>
        <v/>
      </c>
      <c r="P361" s="39" t="str">
        <f>IFERROR(bütünleme!AA58*100/bütünleme!$I58,"")</f>
        <v/>
      </c>
      <c r="Q361" s="39" t="str">
        <f>IFERROR(bütünleme!AB58*100/bütünleme!$I58,"")</f>
        <v/>
      </c>
      <c r="R361" s="39" t="str">
        <f>IFERROR(bütünleme!AC58*100/bütünleme!$I58,"")</f>
        <v/>
      </c>
      <c r="S361" s="39" t="str">
        <f>IFERROR(bütünleme!AD58*100/bütünleme!$I58,"")</f>
        <v/>
      </c>
      <c r="T361" s="39" t="str">
        <f>IFERROR(bütünleme!AE58*100/bütünleme!$I58,"")</f>
        <v/>
      </c>
      <c r="U361" s="39" t="str">
        <f>IFERROR(bütünleme!AF58*100/bütünleme!$I58,"")</f>
        <v/>
      </c>
      <c r="V361" s="39" t="str">
        <f>IFERROR(bütünleme!AG58*100/bütünleme!$I58,"")</f>
        <v/>
      </c>
      <c r="W361" s="39" t="str">
        <f>IFERROR(bütünleme!AH58*100/bütünleme!$I58,"")</f>
        <v/>
      </c>
      <c r="X361" s="39" t="str">
        <f>IFERROR(bütünleme!AI58*100/bütünleme!$I58,"")</f>
        <v/>
      </c>
      <c r="Y361" s="39" t="str">
        <f>IFERROR(bütünleme!AJ58*100/bütünleme!$I58,"")</f>
        <v/>
      </c>
      <c r="Z361" s="39" t="str">
        <f>IFERROR(bütünleme!AK58*100/bütünleme!$I58,"")</f>
        <v/>
      </c>
      <c r="AA361" s="39" t="str">
        <f>IFERROR(bütünleme!AL58*100/bütünleme!$I58,"")</f>
        <v/>
      </c>
      <c r="AB361" s="39" t="str">
        <f>IFERROR(bütünleme!AM58*100/bütünleme!$I58,"")</f>
        <v/>
      </c>
      <c r="AC361" s="39" t="str">
        <f>IFERROR(bütünleme!AN58*100/bütünleme!$I58,"")</f>
        <v/>
      </c>
      <c r="AD361" s="39" t="str">
        <f>IFERROR(bütünleme!AO58*100/bütünleme!$I58,"")</f>
        <v/>
      </c>
      <c r="AE361" s="39" t="str">
        <f>IFERROR(bütünleme!AP58*100/bütünleme!$I58,"")</f>
        <v/>
      </c>
      <c r="AF361" s="39" t="str">
        <f>IFERROR(bütünleme!AQ58*100/bütünleme!$I58,"")</f>
        <v/>
      </c>
      <c r="AG361" s="39" t="str">
        <f>IFERROR(bütünleme!AR58*100/bütünleme!$I58,"")</f>
        <v/>
      </c>
      <c r="AH361" s="39" t="str">
        <f>IFERROR(bütünleme!AS58*100/bütünleme!$I58,"")</f>
        <v/>
      </c>
      <c r="AI361" s="39" t="str">
        <f>IFERROR(bütünleme!AT58*100/bütünleme!$I58,"")</f>
        <v/>
      </c>
      <c r="AJ361" s="39" t="str">
        <f>IFERROR(bütünleme!AU58*100/bütünleme!$I58,"")</f>
        <v/>
      </c>
      <c r="AK361" s="39" t="str">
        <f>IFERROR(bütünleme!AV58*100/bütünleme!$I58,"")</f>
        <v/>
      </c>
      <c r="AL361" s="39" t="str">
        <f>IFERROR(bütünleme!AW58*100/bütünleme!$I58,"")</f>
        <v/>
      </c>
      <c r="AM361" s="39" t="str">
        <f>IFERROR(bütünleme!AX58*100/bütünleme!$I58,"")</f>
        <v/>
      </c>
      <c r="AN361" s="39" t="str">
        <f>IFERROR(bütünleme!AY58*100/bütünleme!$I58,"")</f>
        <v/>
      </c>
      <c r="AO361" s="39" t="str">
        <f>IFERROR(bütünleme!AZ58*100/bütünleme!$I58,"")</f>
        <v/>
      </c>
      <c r="AP361" s="39" t="str">
        <f>IFERROR(bütünleme!BA58*100/bütünleme!$I58,"")</f>
        <v/>
      </c>
      <c r="AQ361" s="39" t="str">
        <f>IFERROR(bütünleme!BB58*100/bütünleme!$I58,"")</f>
        <v/>
      </c>
      <c r="AR361" s="39" t="str">
        <f>IFERROR(bütünleme!BC58*100/bütünleme!$I58,"")</f>
        <v/>
      </c>
      <c r="AS361" s="39" t="str">
        <f>IFERROR(bütünleme!BD58*100/bütünleme!$I58,"")</f>
        <v/>
      </c>
      <c r="AT361" s="39" t="str">
        <f>IFERROR(bütünleme!BE58*100/bütünleme!$I58,"")</f>
        <v/>
      </c>
      <c r="AU361" s="39" t="str">
        <f>IFERROR(bütünleme!BF58*100/bütünleme!$I58,"")</f>
        <v/>
      </c>
      <c r="AV361" s="39" t="str">
        <f>IFERROR(bütünleme!BG58*100/bütünleme!$I58,"")</f>
        <v/>
      </c>
      <c r="AW361" s="39" t="str">
        <f>IFERROR(bütünleme!BH58*100/bütünleme!$I58,"")</f>
        <v/>
      </c>
      <c r="AX361" s="39" t="str">
        <f>IFERROR(bütünleme!BI58*100/bütünleme!$I58,"")</f>
        <v/>
      </c>
      <c r="AY361" s="39" t="str">
        <f>IFERROR(bütünleme!BJ58*100/bütünleme!$I58,"")</f>
        <v/>
      </c>
      <c r="AZ361" s="39" t="str">
        <f>IFERROR(bütünleme!BK58*100/bütünleme!$I58,"")</f>
        <v/>
      </c>
      <c r="BA361" s="39" t="str">
        <f>IFERROR(bütünleme!BL58*100/bütünleme!$I58,"")</f>
        <v/>
      </c>
      <c r="BB361" s="39" t="str">
        <f>IFERROR(bütünleme!BM58*100/bütünleme!$I58,"")</f>
        <v/>
      </c>
      <c r="BC361" s="39" t="str">
        <f>IFERROR(bütünleme!BN58*100/bütünleme!$I58,"")</f>
        <v/>
      </c>
      <c r="BD361" s="39" t="str">
        <f>IFERROR(bütünleme!BO58*100/bütünleme!$I58,"")</f>
        <v/>
      </c>
      <c r="BE361" s="39" t="str">
        <f>IFERROR(bütünleme!BP58*100/bütünleme!$I58,"")</f>
        <v/>
      </c>
      <c r="BF361" s="39" t="str">
        <f>IFERROR(bütünleme!BQ58*100/bütünleme!$I58,"")</f>
        <v/>
      </c>
      <c r="BG361" s="39" t="str">
        <f>IFERROR(bütünleme!BR58*100/bütünleme!$I58,"")</f>
        <v/>
      </c>
      <c r="BH361" s="39" t="str">
        <f>IFERROR(bütünleme!BS58*100/bütünleme!$I58,"")</f>
        <v/>
      </c>
      <c r="BI361" s="39" t="str">
        <f>IFERROR(bütünleme!BT58*100/bütünleme!$I58,"")</f>
        <v/>
      </c>
      <c r="BJ361" s="39" t="str">
        <f>IFERROR(bütünleme!BU58*100/bütünleme!$I58,"")</f>
        <v/>
      </c>
      <c r="BK361" s="39" t="str">
        <f>IFERROR(bütünleme!BV58*100/bütünleme!$I58,"")</f>
        <v/>
      </c>
      <c r="BL361" s="39" t="str">
        <f>IFERROR(bütünleme!BW58*100/bütünleme!$I58,"")</f>
        <v/>
      </c>
      <c r="BM361" s="39" t="str">
        <f>IFERROR(bütünleme!BX58*100/bütünleme!$I58,"")</f>
        <v/>
      </c>
      <c r="BN361" s="39" t="str">
        <f>IFERROR(bütünleme!BY58*100/bütünleme!$I58,"")</f>
        <v/>
      </c>
      <c r="BO361" s="39" t="str">
        <f>IFERROR(bütünleme!BZ58*100/bütünleme!$I58,"")</f>
        <v/>
      </c>
      <c r="BP361" s="39" t="str">
        <f>IFERROR(bütünleme!CA58*100/bütünleme!$I58,"")</f>
        <v/>
      </c>
      <c r="BQ361" s="39" t="str">
        <f>IFERROR(bütünleme!CB58*100/bütünleme!$I58,"")</f>
        <v/>
      </c>
      <c r="BR361" s="39" t="str">
        <f>IFERROR(bütünleme!CC58*100/bütünleme!$I58,"")</f>
        <v/>
      </c>
      <c r="BS361" s="39" t="str">
        <f>IFERROR(bütünleme!CD58*100/bütünleme!$I58,"")</f>
        <v/>
      </c>
      <c r="BT361" s="39" t="str">
        <f>IFERROR(bütünleme!CE58*100/bütünleme!$I58,"")</f>
        <v/>
      </c>
      <c r="BU361" s="39" t="str">
        <f>IFERROR(bütünleme!CF58*100/bütünleme!$I58,"")</f>
        <v/>
      </c>
      <c r="BV361" s="39" t="str">
        <f>IFERROR(bütünleme!CG58*100/bütünleme!$I58,"")</f>
        <v/>
      </c>
      <c r="BW361" s="39" t="str">
        <f>IFERROR(bütünleme!CH58*100/bütünleme!$I58,"")</f>
        <v/>
      </c>
      <c r="BX361" s="39" t="str">
        <f>IFERROR(bütünleme!CI58*100/bütünleme!$I58,"")</f>
        <v/>
      </c>
      <c r="BY361" s="39" t="str">
        <f>IFERROR(bütünleme!CJ58*100/bütünleme!$I58,"")</f>
        <v/>
      </c>
      <c r="BZ361" s="39" t="str">
        <f>IFERROR(bütünleme!CK58*100/bütünleme!$I58,"")</f>
        <v/>
      </c>
      <c r="CA361" s="39" t="str">
        <f>IFERROR(bütünleme!CL58*100/bütünleme!$I58,"")</f>
        <v/>
      </c>
      <c r="CB361" s="39" t="str">
        <f>IFERROR(bütünleme!CM58*100/bütünleme!$I58,"")</f>
        <v/>
      </c>
      <c r="CC361" s="39" t="str">
        <f>IFERROR(bütünleme!CN58*100/bütünleme!$I58,"")</f>
        <v/>
      </c>
      <c r="CD361" s="39" t="str">
        <f>IFERROR(bütünleme!CO58*100/bütünleme!$I58,"")</f>
        <v/>
      </c>
      <c r="CE361" s="39" t="str">
        <f>IFERROR(bütünleme!CP58*100/bütünleme!$I58,"")</f>
        <v/>
      </c>
      <c r="CF361" s="39" t="str">
        <f>IFERROR(bütünleme!CQ58*100/bütünleme!$I58,"")</f>
        <v/>
      </c>
      <c r="CG361" s="39" t="str">
        <f>IFERROR(bütünleme!CR58*100/bütünleme!$I58,"")</f>
        <v/>
      </c>
      <c r="CH361" s="39" t="str">
        <f>IFERROR(bütünleme!CS58*100/bütünleme!$I58,"")</f>
        <v/>
      </c>
      <c r="CI361" s="39" t="str">
        <f>IFERROR(bütünleme!CT58*100/bütünleme!$I58,"")</f>
        <v/>
      </c>
      <c r="CJ361" s="39" t="str">
        <f>IFERROR(bütünleme!CU58*100/bütünleme!$I58,"")</f>
        <v/>
      </c>
      <c r="CK361" s="39" t="str">
        <f>IFERROR(bütünleme!CV58*100/bütünleme!$I58,"")</f>
        <v/>
      </c>
      <c r="CL361" s="39" t="str">
        <f>IFERROR(bütünleme!CW58*100/bütünleme!$I58,"")</f>
        <v/>
      </c>
      <c r="CM361" s="39" t="str">
        <f>IFERROR(bütünleme!CX58*100/bütünleme!$I58,"")</f>
        <v/>
      </c>
      <c r="CN361" s="39" t="str">
        <f>IFERROR(bütünleme!CY58*100/bütünleme!$I58,"")</f>
        <v/>
      </c>
      <c r="CO361" s="39" t="str">
        <f>IFERROR(bütünleme!CZ58*100/bütünleme!$I58,"")</f>
        <v/>
      </c>
      <c r="CP361" s="39" t="str">
        <f>IFERROR(bütünleme!DA58*100/bütünleme!$I58,"")</f>
        <v/>
      </c>
      <c r="CQ361" s="39" t="str">
        <f>IFERROR(bütünleme!DB58*100/bütünleme!$I58,"")</f>
        <v/>
      </c>
      <c r="CR361" s="39" t="str">
        <f>IFERROR(bütünleme!DC58*100/bütünleme!$I58,"")</f>
        <v/>
      </c>
      <c r="CS361" s="39" t="str">
        <f>IFERROR(bütünleme!DD58*100/bütünleme!$I58,"")</f>
        <v/>
      </c>
      <c r="CT361" s="39" t="str">
        <f>IFERROR(bütünleme!DE58*100/bütünleme!$I58,"")</f>
        <v/>
      </c>
      <c r="CU361" s="39" t="str">
        <f>IFERROR(bütünleme!DF58*100/bütünleme!$I58,"")</f>
        <v/>
      </c>
      <c r="CV361" s="39" t="str">
        <f>IFERROR(bütünleme!DG58*100/bütünleme!$I58,"")</f>
        <v/>
      </c>
      <c r="CW361" s="36" t="str">
        <f>IFERROR(SUM(A361:CV361)/bütünleme!$DH$103,"")</f>
        <v/>
      </c>
      <c r="CX361" s="14" t="str">
        <f>IF(COUNTA(bütünleme!A58),bütünleme!A58,"")</f>
        <v/>
      </c>
      <c r="CY361" s="14" t="str">
        <f>IF(COUNTA(bütünleme!B58),bütünleme!B58,"")</f>
        <v/>
      </c>
      <c r="CZ361" s="14" t="str">
        <f>IF(COUNTA(bütünleme!C58),bütünleme!C58,"")</f>
        <v/>
      </c>
      <c r="DA361" s="14" t="str">
        <f>IF(COUNTA(bütünleme!D58),bütünleme!D58,"")</f>
        <v/>
      </c>
      <c r="DB361" s="14" t="str">
        <f>IF(COUNTA(bütünleme!E58),bütünleme!E58,"")</f>
        <v/>
      </c>
      <c r="DC361" s="14" t="str">
        <f>IF(COUNTA(bütünleme!F58),bütünleme!F58,"")</f>
        <v/>
      </c>
      <c r="DD361" s="14" t="str">
        <f>IF(COUNTA(bütünleme!G58),bütünleme!G58,"")</f>
        <v/>
      </c>
      <c r="DE361" s="14" t="str">
        <f>IF(COUNTA(bütünleme!H58),bütünleme!H58,"")</f>
        <v/>
      </c>
    </row>
    <row r="362" spans="1:109" x14ac:dyDescent="0.2">
      <c r="A362" s="39" t="str">
        <f>IFERROR(bütünleme!L59*100/bütünleme!$I59,"")</f>
        <v/>
      </c>
      <c r="B362" s="39" t="str">
        <f>IFERROR(bütünleme!M59*100/bütünleme!$I59,"")</f>
        <v/>
      </c>
      <c r="C362" s="39" t="str">
        <f>IFERROR(bütünleme!N59*100/bütünleme!$I59,"")</f>
        <v/>
      </c>
      <c r="D362" s="39" t="str">
        <f>IFERROR(bütünleme!O59*100/bütünleme!$I59,"")</f>
        <v/>
      </c>
      <c r="E362" s="39" t="str">
        <f>IFERROR(bütünleme!P59*100/bütünleme!$I59,"")</f>
        <v/>
      </c>
      <c r="F362" s="39" t="str">
        <f>IFERROR(bütünleme!Q59*100/bütünleme!$I59,"")</f>
        <v/>
      </c>
      <c r="G362" s="39" t="str">
        <f>IFERROR(bütünleme!R59*100/bütünleme!$I59,"")</f>
        <v/>
      </c>
      <c r="H362" s="39" t="str">
        <f>IFERROR(bütünleme!S59*100/bütünleme!$I59,"")</f>
        <v/>
      </c>
      <c r="I362" s="39" t="str">
        <f>IFERROR(bütünleme!T59*100/bütünleme!$I59,"")</f>
        <v/>
      </c>
      <c r="J362" s="39" t="str">
        <f>IFERROR(bütünleme!U59*100/bütünleme!$I59,"")</f>
        <v/>
      </c>
      <c r="K362" s="39" t="str">
        <f>IFERROR(bütünleme!V59*100/bütünleme!$I59,"")</f>
        <v/>
      </c>
      <c r="L362" s="39" t="str">
        <f>IFERROR(bütünleme!W59*100/bütünleme!$I59,"")</f>
        <v/>
      </c>
      <c r="M362" s="39" t="str">
        <f>IFERROR(bütünleme!X59*100/bütünleme!$I59,"")</f>
        <v/>
      </c>
      <c r="N362" s="39" t="str">
        <f>IFERROR(bütünleme!Y59*100/bütünleme!$I59,"")</f>
        <v/>
      </c>
      <c r="O362" s="39" t="str">
        <f>IFERROR(bütünleme!Z59*100/bütünleme!$I59,"")</f>
        <v/>
      </c>
      <c r="P362" s="39" t="str">
        <f>IFERROR(bütünleme!AA59*100/bütünleme!$I59,"")</f>
        <v/>
      </c>
      <c r="Q362" s="39" t="str">
        <f>IFERROR(bütünleme!AB59*100/bütünleme!$I59,"")</f>
        <v/>
      </c>
      <c r="R362" s="39" t="str">
        <f>IFERROR(bütünleme!AC59*100/bütünleme!$I59,"")</f>
        <v/>
      </c>
      <c r="S362" s="39" t="str">
        <f>IFERROR(bütünleme!AD59*100/bütünleme!$I59,"")</f>
        <v/>
      </c>
      <c r="T362" s="39" t="str">
        <f>IFERROR(bütünleme!AE59*100/bütünleme!$I59,"")</f>
        <v/>
      </c>
      <c r="U362" s="39" t="str">
        <f>IFERROR(bütünleme!AF59*100/bütünleme!$I59,"")</f>
        <v/>
      </c>
      <c r="V362" s="39" t="str">
        <f>IFERROR(bütünleme!AG59*100/bütünleme!$I59,"")</f>
        <v/>
      </c>
      <c r="W362" s="39" t="str">
        <f>IFERROR(bütünleme!AH59*100/bütünleme!$I59,"")</f>
        <v/>
      </c>
      <c r="X362" s="39" t="str">
        <f>IFERROR(bütünleme!AI59*100/bütünleme!$I59,"")</f>
        <v/>
      </c>
      <c r="Y362" s="39" t="str">
        <f>IFERROR(bütünleme!AJ59*100/bütünleme!$I59,"")</f>
        <v/>
      </c>
      <c r="Z362" s="39" t="str">
        <f>IFERROR(bütünleme!AK59*100/bütünleme!$I59,"")</f>
        <v/>
      </c>
      <c r="AA362" s="39" t="str">
        <f>IFERROR(bütünleme!AL59*100/bütünleme!$I59,"")</f>
        <v/>
      </c>
      <c r="AB362" s="39" t="str">
        <f>IFERROR(bütünleme!AM59*100/bütünleme!$I59,"")</f>
        <v/>
      </c>
      <c r="AC362" s="39" t="str">
        <f>IFERROR(bütünleme!AN59*100/bütünleme!$I59,"")</f>
        <v/>
      </c>
      <c r="AD362" s="39" t="str">
        <f>IFERROR(bütünleme!AO59*100/bütünleme!$I59,"")</f>
        <v/>
      </c>
      <c r="AE362" s="39" t="str">
        <f>IFERROR(bütünleme!AP59*100/bütünleme!$I59,"")</f>
        <v/>
      </c>
      <c r="AF362" s="39" t="str">
        <f>IFERROR(bütünleme!AQ59*100/bütünleme!$I59,"")</f>
        <v/>
      </c>
      <c r="AG362" s="39" t="str">
        <f>IFERROR(bütünleme!AR59*100/bütünleme!$I59,"")</f>
        <v/>
      </c>
      <c r="AH362" s="39" t="str">
        <f>IFERROR(bütünleme!AS59*100/bütünleme!$I59,"")</f>
        <v/>
      </c>
      <c r="AI362" s="39" t="str">
        <f>IFERROR(bütünleme!AT59*100/bütünleme!$I59,"")</f>
        <v/>
      </c>
      <c r="AJ362" s="39" t="str">
        <f>IFERROR(bütünleme!AU59*100/bütünleme!$I59,"")</f>
        <v/>
      </c>
      <c r="AK362" s="39" t="str">
        <f>IFERROR(bütünleme!AV59*100/bütünleme!$I59,"")</f>
        <v/>
      </c>
      <c r="AL362" s="39" t="str">
        <f>IFERROR(bütünleme!AW59*100/bütünleme!$I59,"")</f>
        <v/>
      </c>
      <c r="AM362" s="39" t="str">
        <f>IFERROR(bütünleme!AX59*100/bütünleme!$I59,"")</f>
        <v/>
      </c>
      <c r="AN362" s="39" t="str">
        <f>IFERROR(bütünleme!AY59*100/bütünleme!$I59,"")</f>
        <v/>
      </c>
      <c r="AO362" s="39" t="str">
        <f>IFERROR(bütünleme!AZ59*100/bütünleme!$I59,"")</f>
        <v/>
      </c>
      <c r="AP362" s="39" t="str">
        <f>IFERROR(bütünleme!BA59*100/bütünleme!$I59,"")</f>
        <v/>
      </c>
      <c r="AQ362" s="39" t="str">
        <f>IFERROR(bütünleme!BB59*100/bütünleme!$I59,"")</f>
        <v/>
      </c>
      <c r="AR362" s="39" t="str">
        <f>IFERROR(bütünleme!BC59*100/bütünleme!$I59,"")</f>
        <v/>
      </c>
      <c r="AS362" s="39" t="str">
        <f>IFERROR(bütünleme!BD59*100/bütünleme!$I59,"")</f>
        <v/>
      </c>
      <c r="AT362" s="39" t="str">
        <f>IFERROR(bütünleme!BE59*100/bütünleme!$I59,"")</f>
        <v/>
      </c>
      <c r="AU362" s="39" t="str">
        <f>IFERROR(bütünleme!BF59*100/bütünleme!$I59,"")</f>
        <v/>
      </c>
      <c r="AV362" s="39" t="str">
        <f>IFERROR(bütünleme!BG59*100/bütünleme!$I59,"")</f>
        <v/>
      </c>
      <c r="AW362" s="39" t="str">
        <f>IFERROR(bütünleme!BH59*100/bütünleme!$I59,"")</f>
        <v/>
      </c>
      <c r="AX362" s="39" t="str">
        <f>IFERROR(bütünleme!BI59*100/bütünleme!$I59,"")</f>
        <v/>
      </c>
      <c r="AY362" s="39" t="str">
        <f>IFERROR(bütünleme!BJ59*100/bütünleme!$I59,"")</f>
        <v/>
      </c>
      <c r="AZ362" s="39" t="str">
        <f>IFERROR(bütünleme!BK59*100/bütünleme!$I59,"")</f>
        <v/>
      </c>
      <c r="BA362" s="39" t="str">
        <f>IFERROR(bütünleme!BL59*100/bütünleme!$I59,"")</f>
        <v/>
      </c>
      <c r="BB362" s="39" t="str">
        <f>IFERROR(bütünleme!BM59*100/bütünleme!$I59,"")</f>
        <v/>
      </c>
      <c r="BC362" s="39" t="str">
        <f>IFERROR(bütünleme!BN59*100/bütünleme!$I59,"")</f>
        <v/>
      </c>
      <c r="BD362" s="39" t="str">
        <f>IFERROR(bütünleme!BO59*100/bütünleme!$I59,"")</f>
        <v/>
      </c>
      <c r="BE362" s="39" t="str">
        <f>IFERROR(bütünleme!BP59*100/bütünleme!$I59,"")</f>
        <v/>
      </c>
      <c r="BF362" s="39" t="str">
        <f>IFERROR(bütünleme!BQ59*100/bütünleme!$I59,"")</f>
        <v/>
      </c>
      <c r="BG362" s="39" t="str">
        <f>IFERROR(bütünleme!BR59*100/bütünleme!$I59,"")</f>
        <v/>
      </c>
      <c r="BH362" s="39" t="str">
        <f>IFERROR(bütünleme!BS59*100/bütünleme!$I59,"")</f>
        <v/>
      </c>
      <c r="BI362" s="39" t="str">
        <f>IFERROR(bütünleme!BT59*100/bütünleme!$I59,"")</f>
        <v/>
      </c>
      <c r="BJ362" s="39" t="str">
        <f>IFERROR(bütünleme!BU59*100/bütünleme!$I59,"")</f>
        <v/>
      </c>
      <c r="BK362" s="39" t="str">
        <f>IFERROR(bütünleme!BV59*100/bütünleme!$I59,"")</f>
        <v/>
      </c>
      <c r="BL362" s="39" t="str">
        <f>IFERROR(bütünleme!BW59*100/bütünleme!$I59,"")</f>
        <v/>
      </c>
      <c r="BM362" s="39" t="str">
        <f>IFERROR(bütünleme!BX59*100/bütünleme!$I59,"")</f>
        <v/>
      </c>
      <c r="BN362" s="39" t="str">
        <f>IFERROR(bütünleme!BY59*100/bütünleme!$I59,"")</f>
        <v/>
      </c>
      <c r="BO362" s="39" t="str">
        <f>IFERROR(bütünleme!BZ59*100/bütünleme!$I59,"")</f>
        <v/>
      </c>
      <c r="BP362" s="39" t="str">
        <f>IFERROR(bütünleme!CA59*100/bütünleme!$I59,"")</f>
        <v/>
      </c>
      <c r="BQ362" s="39" t="str">
        <f>IFERROR(bütünleme!CB59*100/bütünleme!$I59,"")</f>
        <v/>
      </c>
      <c r="BR362" s="39" t="str">
        <f>IFERROR(bütünleme!CC59*100/bütünleme!$I59,"")</f>
        <v/>
      </c>
      <c r="BS362" s="39" t="str">
        <f>IFERROR(bütünleme!CD59*100/bütünleme!$I59,"")</f>
        <v/>
      </c>
      <c r="BT362" s="39" t="str">
        <f>IFERROR(bütünleme!CE59*100/bütünleme!$I59,"")</f>
        <v/>
      </c>
      <c r="BU362" s="39" t="str">
        <f>IFERROR(bütünleme!CF59*100/bütünleme!$I59,"")</f>
        <v/>
      </c>
      <c r="BV362" s="39" t="str">
        <f>IFERROR(bütünleme!CG59*100/bütünleme!$I59,"")</f>
        <v/>
      </c>
      <c r="BW362" s="39" t="str">
        <f>IFERROR(bütünleme!CH59*100/bütünleme!$I59,"")</f>
        <v/>
      </c>
      <c r="BX362" s="39" t="str">
        <f>IFERROR(bütünleme!CI59*100/bütünleme!$I59,"")</f>
        <v/>
      </c>
      <c r="BY362" s="39" t="str">
        <f>IFERROR(bütünleme!CJ59*100/bütünleme!$I59,"")</f>
        <v/>
      </c>
      <c r="BZ362" s="39" t="str">
        <f>IFERROR(bütünleme!CK59*100/bütünleme!$I59,"")</f>
        <v/>
      </c>
      <c r="CA362" s="39" t="str">
        <f>IFERROR(bütünleme!CL59*100/bütünleme!$I59,"")</f>
        <v/>
      </c>
      <c r="CB362" s="39" t="str">
        <f>IFERROR(bütünleme!CM59*100/bütünleme!$I59,"")</f>
        <v/>
      </c>
      <c r="CC362" s="39" t="str">
        <f>IFERROR(bütünleme!CN59*100/bütünleme!$I59,"")</f>
        <v/>
      </c>
      <c r="CD362" s="39" t="str">
        <f>IFERROR(bütünleme!CO59*100/bütünleme!$I59,"")</f>
        <v/>
      </c>
      <c r="CE362" s="39" t="str">
        <f>IFERROR(bütünleme!CP59*100/bütünleme!$I59,"")</f>
        <v/>
      </c>
      <c r="CF362" s="39" t="str">
        <f>IFERROR(bütünleme!CQ59*100/bütünleme!$I59,"")</f>
        <v/>
      </c>
      <c r="CG362" s="39" t="str">
        <f>IFERROR(bütünleme!CR59*100/bütünleme!$I59,"")</f>
        <v/>
      </c>
      <c r="CH362" s="39" t="str">
        <f>IFERROR(bütünleme!CS59*100/bütünleme!$I59,"")</f>
        <v/>
      </c>
      <c r="CI362" s="39" t="str">
        <f>IFERROR(bütünleme!CT59*100/bütünleme!$I59,"")</f>
        <v/>
      </c>
      <c r="CJ362" s="39" t="str">
        <f>IFERROR(bütünleme!CU59*100/bütünleme!$I59,"")</f>
        <v/>
      </c>
      <c r="CK362" s="39" t="str">
        <f>IFERROR(bütünleme!CV59*100/bütünleme!$I59,"")</f>
        <v/>
      </c>
      <c r="CL362" s="39" t="str">
        <f>IFERROR(bütünleme!CW59*100/bütünleme!$I59,"")</f>
        <v/>
      </c>
      <c r="CM362" s="39" t="str">
        <f>IFERROR(bütünleme!CX59*100/bütünleme!$I59,"")</f>
        <v/>
      </c>
      <c r="CN362" s="39" t="str">
        <f>IFERROR(bütünleme!CY59*100/bütünleme!$I59,"")</f>
        <v/>
      </c>
      <c r="CO362" s="39" t="str">
        <f>IFERROR(bütünleme!CZ59*100/bütünleme!$I59,"")</f>
        <v/>
      </c>
      <c r="CP362" s="39" t="str">
        <f>IFERROR(bütünleme!DA59*100/bütünleme!$I59,"")</f>
        <v/>
      </c>
      <c r="CQ362" s="39" t="str">
        <f>IFERROR(bütünleme!DB59*100/bütünleme!$I59,"")</f>
        <v/>
      </c>
      <c r="CR362" s="39" t="str">
        <f>IFERROR(bütünleme!DC59*100/bütünleme!$I59,"")</f>
        <v/>
      </c>
      <c r="CS362" s="39" t="str">
        <f>IFERROR(bütünleme!DD59*100/bütünleme!$I59,"")</f>
        <v/>
      </c>
      <c r="CT362" s="39" t="str">
        <f>IFERROR(bütünleme!DE59*100/bütünleme!$I59,"")</f>
        <v/>
      </c>
      <c r="CU362" s="39" t="str">
        <f>IFERROR(bütünleme!DF59*100/bütünleme!$I59,"")</f>
        <v/>
      </c>
      <c r="CV362" s="39" t="str">
        <f>IFERROR(bütünleme!DG59*100/bütünleme!$I59,"")</f>
        <v/>
      </c>
      <c r="CW362" s="36" t="str">
        <f>IFERROR(SUM(A362:CV362)/bütünleme!$DH$103,"")</f>
        <v/>
      </c>
      <c r="CX362" s="14" t="str">
        <f>IF(COUNTA(bütünleme!A59),bütünleme!A59,"")</f>
        <v/>
      </c>
      <c r="CY362" s="14" t="str">
        <f>IF(COUNTA(bütünleme!B59),bütünleme!B59,"")</f>
        <v/>
      </c>
      <c r="CZ362" s="14" t="str">
        <f>IF(COUNTA(bütünleme!C59),bütünleme!C59,"")</f>
        <v/>
      </c>
      <c r="DA362" s="14" t="str">
        <f>IF(COUNTA(bütünleme!D59),bütünleme!D59,"")</f>
        <v/>
      </c>
      <c r="DB362" s="14" t="str">
        <f>IF(COUNTA(bütünleme!E59),bütünleme!E59,"")</f>
        <v/>
      </c>
      <c r="DC362" s="14" t="str">
        <f>IF(COUNTA(bütünleme!F59),bütünleme!F59,"")</f>
        <v/>
      </c>
      <c r="DD362" s="14" t="str">
        <f>IF(COUNTA(bütünleme!G59),bütünleme!G59,"")</f>
        <v/>
      </c>
      <c r="DE362" s="14" t="str">
        <f>IF(COUNTA(bütünleme!H59),bütünleme!H59,"")</f>
        <v/>
      </c>
    </row>
    <row r="363" spans="1:109" x14ac:dyDescent="0.2">
      <c r="A363" s="39" t="str">
        <f>IFERROR(bütünleme!L60*100/bütünleme!$I60,"")</f>
        <v/>
      </c>
      <c r="B363" s="39" t="str">
        <f>IFERROR(bütünleme!M60*100/bütünleme!$I60,"")</f>
        <v/>
      </c>
      <c r="C363" s="39" t="str">
        <f>IFERROR(bütünleme!N60*100/bütünleme!$I60,"")</f>
        <v/>
      </c>
      <c r="D363" s="39" t="str">
        <f>IFERROR(bütünleme!O60*100/bütünleme!$I60,"")</f>
        <v/>
      </c>
      <c r="E363" s="39" t="str">
        <f>IFERROR(bütünleme!P60*100/bütünleme!$I60,"")</f>
        <v/>
      </c>
      <c r="F363" s="39" t="str">
        <f>IFERROR(bütünleme!Q60*100/bütünleme!$I60,"")</f>
        <v/>
      </c>
      <c r="G363" s="39" t="str">
        <f>IFERROR(bütünleme!R60*100/bütünleme!$I60,"")</f>
        <v/>
      </c>
      <c r="H363" s="39" t="str">
        <f>IFERROR(bütünleme!S60*100/bütünleme!$I60,"")</f>
        <v/>
      </c>
      <c r="I363" s="39" t="str">
        <f>IFERROR(bütünleme!T60*100/bütünleme!$I60,"")</f>
        <v/>
      </c>
      <c r="J363" s="39" t="str">
        <f>IFERROR(bütünleme!U60*100/bütünleme!$I60,"")</f>
        <v/>
      </c>
      <c r="K363" s="39" t="str">
        <f>IFERROR(bütünleme!V60*100/bütünleme!$I60,"")</f>
        <v/>
      </c>
      <c r="L363" s="39" t="str">
        <f>IFERROR(bütünleme!W60*100/bütünleme!$I60,"")</f>
        <v/>
      </c>
      <c r="M363" s="39" t="str">
        <f>IFERROR(bütünleme!X60*100/bütünleme!$I60,"")</f>
        <v/>
      </c>
      <c r="N363" s="39" t="str">
        <f>IFERROR(bütünleme!Y60*100/bütünleme!$I60,"")</f>
        <v/>
      </c>
      <c r="O363" s="39" t="str">
        <f>IFERROR(bütünleme!Z60*100/bütünleme!$I60,"")</f>
        <v/>
      </c>
      <c r="P363" s="39" t="str">
        <f>IFERROR(bütünleme!AA60*100/bütünleme!$I60,"")</f>
        <v/>
      </c>
      <c r="Q363" s="39" t="str">
        <f>IFERROR(bütünleme!AB60*100/bütünleme!$I60,"")</f>
        <v/>
      </c>
      <c r="R363" s="39" t="str">
        <f>IFERROR(bütünleme!AC60*100/bütünleme!$I60,"")</f>
        <v/>
      </c>
      <c r="S363" s="39" t="str">
        <f>IFERROR(bütünleme!AD60*100/bütünleme!$I60,"")</f>
        <v/>
      </c>
      <c r="T363" s="39" t="str">
        <f>IFERROR(bütünleme!AE60*100/bütünleme!$I60,"")</f>
        <v/>
      </c>
      <c r="U363" s="39" t="str">
        <f>IFERROR(bütünleme!AF60*100/bütünleme!$I60,"")</f>
        <v/>
      </c>
      <c r="V363" s="39" t="str">
        <f>IFERROR(bütünleme!AG60*100/bütünleme!$I60,"")</f>
        <v/>
      </c>
      <c r="W363" s="39" t="str">
        <f>IFERROR(bütünleme!AH60*100/bütünleme!$I60,"")</f>
        <v/>
      </c>
      <c r="X363" s="39" t="str">
        <f>IFERROR(bütünleme!AI60*100/bütünleme!$I60,"")</f>
        <v/>
      </c>
      <c r="Y363" s="39" t="str">
        <f>IFERROR(bütünleme!AJ60*100/bütünleme!$I60,"")</f>
        <v/>
      </c>
      <c r="Z363" s="39" t="str">
        <f>IFERROR(bütünleme!AK60*100/bütünleme!$I60,"")</f>
        <v/>
      </c>
      <c r="AA363" s="39" t="str">
        <f>IFERROR(bütünleme!AL60*100/bütünleme!$I60,"")</f>
        <v/>
      </c>
      <c r="AB363" s="39" t="str">
        <f>IFERROR(bütünleme!AM60*100/bütünleme!$I60,"")</f>
        <v/>
      </c>
      <c r="AC363" s="39" t="str">
        <f>IFERROR(bütünleme!AN60*100/bütünleme!$I60,"")</f>
        <v/>
      </c>
      <c r="AD363" s="39" t="str">
        <f>IFERROR(bütünleme!AO60*100/bütünleme!$I60,"")</f>
        <v/>
      </c>
      <c r="AE363" s="39" t="str">
        <f>IFERROR(bütünleme!AP60*100/bütünleme!$I60,"")</f>
        <v/>
      </c>
      <c r="AF363" s="39" t="str">
        <f>IFERROR(bütünleme!AQ60*100/bütünleme!$I60,"")</f>
        <v/>
      </c>
      <c r="AG363" s="39" t="str">
        <f>IFERROR(bütünleme!AR60*100/bütünleme!$I60,"")</f>
        <v/>
      </c>
      <c r="AH363" s="39" t="str">
        <f>IFERROR(bütünleme!AS60*100/bütünleme!$I60,"")</f>
        <v/>
      </c>
      <c r="AI363" s="39" t="str">
        <f>IFERROR(bütünleme!AT60*100/bütünleme!$I60,"")</f>
        <v/>
      </c>
      <c r="AJ363" s="39" t="str">
        <f>IFERROR(bütünleme!AU60*100/bütünleme!$I60,"")</f>
        <v/>
      </c>
      <c r="AK363" s="39" t="str">
        <f>IFERROR(bütünleme!AV60*100/bütünleme!$I60,"")</f>
        <v/>
      </c>
      <c r="AL363" s="39" t="str">
        <f>IFERROR(bütünleme!AW60*100/bütünleme!$I60,"")</f>
        <v/>
      </c>
      <c r="AM363" s="39" t="str">
        <f>IFERROR(bütünleme!AX60*100/bütünleme!$I60,"")</f>
        <v/>
      </c>
      <c r="AN363" s="39" t="str">
        <f>IFERROR(bütünleme!AY60*100/bütünleme!$I60,"")</f>
        <v/>
      </c>
      <c r="AO363" s="39" t="str">
        <f>IFERROR(bütünleme!AZ60*100/bütünleme!$I60,"")</f>
        <v/>
      </c>
      <c r="AP363" s="39" t="str">
        <f>IFERROR(bütünleme!BA60*100/bütünleme!$I60,"")</f>
        <v/>
      </c>
      <c r="AQ363" s="39" t="str">
        <f>IFERROR(bütünleme!BB60*100/bütünleme!$I60,"")</f>
        <v/>
      </c>
      <c r="AR363" s="39" t="str">
        <f>IFERROR(bütünleme!BC60*100/bütünleme!$I60,"")</f>
        <v/>
      </c>
      <c r="AS363" s="39" t="str">
        <f>IFERROR(bütünleme!BD60*100/bütünleme!$I60,"")</f>
        <v/>
      </c>
      <c r="AT363" s="39" t="str">
        <f>IFERROR(bütünleme!BE60*100/bütünleme!$I60,"")</f>
        <v/>
      </c>
      <c r="AU363" s="39" t="str">
        <f>IFERROR(bütünleme!BF60*100/bütünleme!$I60,"")</f>
        <v/>
      </c>
      <c r="AV363" s="39" t="str">
        <f>IFERROR(bütünleme!BG60*100/bütünleme!$I60,"")</f>
        <v/>
      </c>
      <c r="AW363" s="39" t="str">
        <f>IFERROR(bütünleme!BH60*100/bütünleme!$I60,"")</f>
        <v/>
      </c>
      <c r="AX363" s="39" t="str">
        <f>IFERROR(bütünleme!BI60*100/bütünleme!$I60,"")</f>
        <v/>
      </c>
      <c r="AY363" s="39" t="str">
        <f>IFERROR(bütünleme!BJ60*100/bütünleme!$I60,"")</f>
        <v/>
      </c>
      <c r="AZ363" s="39" t="str">
        <f>IFERROR(bütünleme!BK60*100/bütünleme!$I60,"")</f>
        <v/>
      </c>
      <c r="BA363" s="39" t="str">
        <f>IFERROR(bütünleme!BL60*100/bütünleme!$I60,"")</f>
        <v/>
      </c>
      <c r="BB363" s="39" t="str">
        <f>IFERROR(bütünleme!BM60*100/bütünleme!$I60,"")</f>
        <v/>
      </c>
      <c r="BC363" s="39" t="str">
        <f>IFERROR(bütünleme!BN60*100/bütünleme!$I60,"")</f>
        <v/>
      </c>
      <c r="BD363" s="39" t="str">
        <f>IFERROR(bütünleme!BO60*100/bütünleme!$I60,"")</f>
        <v/>
      </c>
      <c r="BE363" s="39" t="str">
        <f>IFERROR(bütünleme!BP60*100/bütünleme!$I60,"")</f>
        <v/>
      </c>
      <c r="BF363" s="39" t="str">
        <f>IFERROR(bütünleme!BQ60*100/bütünleme!$I60,"")</f>
        <v/>
      </c>
      <c r="BG363" s="39" t="str">
        <f>IFERROR(bütünleme!BR60*100/bütünleme!$I60,"")</f>
        <v/>
      </c>
      <c r="BH363" s="39" t="str">
        <f>IFERROR(bütünleme!BS60*100/bütünleme!$I60,"")</f>
        <v/>
      </c>
      <c r="BI363" s="39" t="str">
        <f>IFERROR(bütünleme!BT60*100/bütünleme!$I60,"")</f>
        <v/>
      </c>
      <c r="BJ363" s="39" t="str">
        <f>IFERROR(bütünleme!BU60*100/bütünleme!$I60,"")</f>
        <v/>
      </c>
      <c r="BK363" s="39" t="str">
        <f>IFERROR(bütünleme!BV60*100/bütünleme!$I60,"")</f>
        <v/>
      </c>
      <c r="BL363" s="39" t="str">
        <f>IFERROR(bütünleme!BW60*100/bütünleme!$I60,"")</f>
        <v/>
      </c>
      <c r="BM363" s="39" t="str">
        <f>IFERROR(bütünleme!BX60*100/bütünleme!$I60,"")</f>
        <v/>
      </c>
      <c r="BN363" s="39" t="str">
        <f>IFERROR(bütünleme!BY60*100/bütünleme!$I60,"")</f>
        <v/>
      </c>
      <c r="BO363" s="39" t="str">
        <f>IFERROR(bütünleme!BZ60*100/bütünleme!$I60,"")</f>
        <v/>
      </c>
      <c r="BP363" s="39" t="str">
        <f>IFERROR(bütünleme!CA60*100/bütünleme!$I60,"")</f>
        <v/>
      </c>
      <c r="BQ363" s="39" t="str">
        <f>IFERROR(bütünleme!CB60*100/bütünleme!$I60,"")</f>
        <v/>
      </c>
      <c r="BR363" s="39" t="str">
        <f>IFERROR(bütünleme!CC60*100/bütünleme!$I60,"")</f>
        <v/>
      </c>
      <c r="BS363" s="39" t="str">
        <f>IFERROR(bütünleme!CD60*100/bütünleme!$I60,"")</f>
        <v/>
      </c>
      <c r="BT363" s="39" t="str">
        <f>IFERROR(bütünleme!CE60*100/bütünleme!$I60,"")</f>
        <v/>
      </c>
      <c r="BU363" s="39" t="str">
        <f>IFERROR(bütünleme!CF60*100/bütünleme!$I60,"")</f>
        <v/>
      </c>
      <c r="BV363" s="39" t="str">
        <f>IFERROR(bütünleme!CG60*100/bütünleme!$I60,"")</f>
        <v/>
      </c>
      <c r="BW363" s="39" t="str">
        <f>IFERROR(bütünleme!CH60*100/bütünleme!$I60,"")</f>
        <v/>
      </c>
      <c r="BX363" s="39" t="str">
        <f>IFERROR(bütünleme!CI60*100/bütünleme!$I60,"")</f>
        <v/>
      </c>
      <c r="BY363" s="39" t="str">
        <f>IFERROR(bütünleme!CJ60*100/bütünleme!$I60,"")</f>
        <v/>
      </c>
      <c r="BZ363" s="39" t="str">
        <f>IFERROR(bütünleme!CK60*100/bütünleme!$I60,"")</f>
        <v/>
      </c>
      <c r="CA363" s="39" t="str">
        <f>IFERROR(bütünleme!CL60*100/bütünleme!$I60,"")</f>
        <v/>
      </c>
      <c r="CB363" s="39" t="str">
        <f>IFERROR(bütünleme!CM60*100/bütünleme!$I60,"")</f>
        <v/>
      </c>
      <c r="CC363" s="39" t="str">
        <f>IFERROR(bütünleme!CN60*100/bütünleme!$I60,"")</f>
        <v/>
      </c>
      <c r="CD363" s="39" t="str">
        <f>IFERROR(bütünleme!CO60*100/bütünleme!$I60,"")</f>
        <v/>
      </c>
      <c r="CE363" s="39" t="str">
        <f>IFERROR(bütünleme!CP60*100/bütünleme!$I60,"")</f>
        <v/>
      </c>
      <c r="CF363" s="39" t="str">
        <f>IFERROR(bütünleme!CQ60*100/bütünleme!$I60,"")</f>
        <v/>
      </c>
      <c r="CG363" s="39" t="str">
        <f>IFERROR(bütünleme!CR60*100/bütünleme!$I60,"")</f>
        <v/>
      </c>
      <c r="CH363" s="39" t="str">
        <f>IFERROR(bütünleme!CS60*100/bütünleme!$I60,"")</f>
        <v/>
      </c>
      <c r="CI363" s="39" t="str">
        <f>IFERROR(bütünleme!CT60*100/bütünleme!$I60,"")</f>
        <v/>
      </c>
      <c r="CJ363" s="39" t="str">
        <f>IFERROR(bütünleme!CU60*100/bütünleme!$I60,"")</f>
        <v/>
      </c>
      <c r="CK363" s="39" t="str">
        <f>IFERROR(bütünleme!CV60*100/bütünleme!$I60,"")</f>
        <v/>
      </c>
      <c r="CL363" s="39" t="str">
        <f>IFERROR(bütünleme!CW60*100/bütünleme!$I60,"")</f>
        <v/>
      </c>
      <c r="CM363" s="39" t="str">
        <f>IFERROR(bütünleme!CX60*100/bütünleme!$I60,"")</f>
        <v/>
      </c>
      <c r="CN363" s="39" t="str">
        <f>IFERROR(bütünleme!CY60*100/bütünleme!$I60,"")</f>
        <v/>
      </c>
      <c r="CO363" s="39" t="str">
        <f>IFERROR(bütünleme!CZ60*100/bütünleme!$I60,"")</f>
        <v/>
      </c>
      <c r="CP363" s="39" t="str">
        <f>IFERROR(bütünleme!DA60*100/bütünleme!$I60,"")</f>
        <v/>
      </c>
      <c r="CQ363" s="39" t="str">
        <f>IFERROR(bütünleme!DB60*100/bütünleme!$I60,"")</f>
        <v/>
      </c>
      <c r="CR363" s="39" t="str">
        <f>IFERROR(bütünleme!DC60*100/bütünleme!$I60,"")</f>
        <v/>
      </c>
      <c r="CS363" s="39" t="str">
        <f>IFERROR(bütünleme!DD60*100/bütünleme!$I60,"")</f>
        <v/>
      </c>
      <c r="CT363" s="39" t="str">
        <f>IFERROR(bütünleme!DE60*100/bütünleme!$I60,"")</f>
        <v/>
      </c>
      <c r="CU363" s="39" t="str">
        <f>IFERROR(bütünleme!DF60*100/bütünleme!$I60,"")</f>
        <v/>
      </c>
      <c r="CV363" s="39" t="str">
        <f>IFERROR(bütünleme!DG60*100/bütünleme!$I60,"")</f>
        <v/>
      </c>
      <c r="CW363" s="36" t="str">
        <f>IFERROR(SUM(A363:CV363)/bütünleme!$DH$103,"")</f>
        <v/>
      </c>
      <c r="CX363" s="14" t="str">
        <f>IF(COUNTA(bütünleme!A60),bütünleme!A60,"")</f>
        <v/>
      </c>
      <c r="CY363" s="14" t="str">
        <f>IF(COUNTA(bütünleme!B60),bütünleme!B60,"")</f>
        <v/>
      </c>
      <c r="CZ363" s="14" t="str">
        <f>IF(COUNTA(bütünleme!C60),bütünleme!C60,"")</f>
        <v/>
      </c>
      <c r="DA363" s="14" t="str">
        <f>IF(COUNTA(bütünleme!D60),bütünleme!D60,"")</f>
        <v/>
      </c>
      <c r="DB363" s="14" t="str">
        <f>IF(COUNTA(bütünleme!E60),bütünleme!E60,"")</f>
        <v/>
      </c>
      <c r="DC363" s="14" t="str">
        <f>IF(COUNTA(bütünleme!F60),bütünleme!F60,"")</f>
        <v/>
      </c>
      <c r="DD363" s="14" t="str">
        <f>IF(COUNTA(bütünleme!G60),bütünleme!G60,"")</f>
        <v/>
      </c>
      <c r="DE363" s="14" t="str">
        <f>IF(COUNTA(bütünleme!H60),bütünleme!H60,"")</f>
        <v/>
      </c>
    </row>
    <row r="364" spans="1:109" x14ac:dyDescent="0.2">
      <c r="A364" s="39" t="str">
        <f>IFERROR(bütünleme!L61*100/bütünleme!$I61,"")</f>
        <v/>
      </c>
      <c r="B364" s="39" t="str">
        <f>IFERROR(bütünleme!M61*100/bütünleme!$I61,"")</f>
        <v/>
      </c>
      <c r="C364" s="39" t="str">
        <f>IFERROR(bütünleme!N61*100/bütünleme!$I61,"")</f>
        <v/>
      </c>
      <c r="D364" s="39" t="str">
        <f>IFERROR(bütünleme!O61*100/bütünleme!$I61,"")</f>
        <v/>
      </c>
      <c r="E364" s="39" t="str">
        <f>IFERROR(bütünleme!P61*100/bütünleme!$I61,"")</f>
        <v/>
      </c>
      <c r="F364" s="39" t="str">
        <f>IFERROR(bütünleme!Q61*100/bütünleme!$I61,"")</f>
        <v/>
      </c>
      <c r="G364" s="39" t="str">
        <f>IFERROR(bütünleme!R61*100/bütünleme!$I61,"")</f>
        <v/>
      </c>
      <c r="H364" s="39" t="str">
        <f>IFERROR(bütünleme!S61*100/bütünleme!$I61,"")</f>
        <v/>
      </c>
      <c r="I364" s="39" t="str">
        <f>IFERROR(bütünleme!T61*100/bütünleme!$I61,"")</f>
        <v/>
      </c>
      <c r="J364" s="39" t="str">
        <f>IFERROR(bütünleme!U61*100/bütünleme!$I61,"")</f>
        <v/>
      </c>
      <c r="K364" s="39" t="str">
        <f>IFERROR(bütünleme!V61*100/bütünleme!$I61,"")</f>
        <v/>
      </c>
      <c r="L364" s="39" t="str">
        <f>IFERROR(bütünleme!W61*100/bütünleme!$I61,"")</f>
        <v/>
      </c>
      <c r="M364" s="39" t="str">
        <f>IFERROR(bütünleme!X61*100/bütünleme!$I61,"")</f>
        <v/>
      </c>
      <c r="N364" s="39" t="str">
        <f>IFERROR(bütünleme!Y61*100/bütünleme!$I61,"")</f>
        <v/>
      </c>
      <c r="O364" s="39" t="str">
        <f>IFERROR(bütünleme!Z61*100/bütünleme!$I61,"")</f>
        <v/>
      </c>
      <c r="P364" s="39" t="str">
        <f>IFERROR(bütünleme!AA61*100/bütünleme!$I61,"")</f>
        <v/>
      </c>
      <c r="Q364" s="39" t="str">
        <f>IFERROR(bütünleme!AB61*100/bütünleme!$I61,"")</f>
        <v/>
      </c>
      <c r="R364" s="39" t="str">
        <f>IFERROR(bütünleme!AC61*100/bütünleme!$I61,"")</f>
        <v/>
      </c>
      <c r="S364" s="39" t="str">
        <f>IFERROR(bütünleme!AD61*100/bütünleme!$I61,"")</f>
        <v/>
      </c>
      <c r="T364" s="39" t="str">
        <f>IFERROR(bütünleme!AE61*100/bütünleme!$I61,"")</f>
        <v/>
      </c>
      <c r="U364" s="39" t="str">
        <f>IFERROR(bütünleme!AF61*100/bütünleme!$I61,"")</f>
        <v/>
      </c>
      <c r="V364" s="39" t="str">
        <f>IFERROR(bütünleme!AG61*100/bütünleme!$I61,"")</f>
        <v/>
      </c>
      <c r="W364" s="39" t="str">
        <f>IFERROR(bütünleme!AH61*100/bütünleme!$I61,"")</f>
        <v/>
      </c>
      <c r="X364" s="39" t="str">
        <f>IFERROR(bütünleme!AI61*100/bütünleme!$I61,"")</f>
        <v/>
      </c>
      <c r="Y364" s="39" t="str">
        <f>IFERROR(bütünleme!AJ61*100/bütünleme!$I61,"")</f>
        <v/>
      </c>
      <c r="Z364" s="39" t="str">
        <f>IFERROR(bütünleme!AK61*100/bütünleme!$I61,"")</f>
        <v/>
      </c>
      <c r="AA364" s="39" t="str">
        <f>IFERROR(bütünleme!AL61*100/bütünleme!$I61,"")</f>
        <v/>
      </c>
      <c r="AB364" s="39" t="str">
        <f>IFERROR(bütünleme!AM61*100/bütünleme!$I61,"")</f>
        <v/>
      </c>
      <c r="AC364" s="39" t="str">
        <f>IFERROR(bütünleme!AN61*100/bütünleme!$I61,"")</f>
        <v/>
      </c>
      <c r="AD364" s="39" t="str">
        <f>IFERROR(bütünleme!AO61*100/bütünleme!$I61,"")</f>
        <v/>
      </c>
      <c r="AE364" s="39" t="str">
        <f>IFERROR(bütünleme!AP61*100/bütünleme!$I61,"")</f>
        <v/>
      </c>
      <c r="AF364" s="39" t="str">
        <f>IFERROR(bütünleme!AQ61*100/bütünleme!$I61,"")</f>
        <v/>
      </c>
      <c r="AG364" s="39" t="str">
        <f>IFERROR(bütünleme!AR61*100/bütünleme!$I61,"")</f>
        <v/>
      </c>
      <c r="AH364" s="39" t="str">
        <f>IFERROR(bütünleme!AS61*100/bütünleme!$I61,"")</f>
        <v/>
      </c>
      <c r="AI364" s="39" t="str">
        <f>IFERROR(bütünleme!AT61*100/bütünleme!$I61,"")</f>
        <v/>
      </c>
      <c r="AJ364" s="39" t="str">
        <f>IFERROR(bütünleme!AU61*100/bütünleme!$I61,"")</f>
        <v/>
      </c>
      <c r="AK364" s="39" t="str">
        <f>IFERROR(bütünleme!AV61*100/bütünleme!$I61,"")</f>
        <v/>
      </c>
      <c r="AL364" s="39" t="str">
        <f>IFERROR(bütünleme!AW61*100/bütünleme!$I61,"")</f>
        <v/>
      </c>
      <c r="AM364" s="39" t="str">
        <f>IFERROR(bütünleme!AX61*100/bütünleme!$I61,"")</f>
        <v/>
      </c>
      <c r="AN364" s="39" t="str">
        <f>IFERROR(bütünleme!AY61*100/bütünleme!$I61,"")</f>
        <v/>
      </c>
      <c r="AO364" s="39" t="str">
        <f>IFERROR(bütünleme!AZ61*100/bütünleme!$I61,"")</f>
        <v/>
      </c>
      <c r="AP364" s="39" t="str">
        <f>IFERROR(bütünleme!BA61*100/bütünleme!$I61,"")</f>
        <v/>
      </c>
      <c r="AQ364" s="39" t="str">
        <f>IFERROR(bütünleme!BB61*100/bütünleme!$I61,"")</f>
        <v/>
      </c>
      <c r="AR364" s="39" t="str">
        <f>IFERROR(bütünleme!BC61*100/bütünleme!$I61,"")</f>
        <v/>
      </c>
      <c r="AS364" s="39" t="str">
        <f>IFERROR(bütünleme!BD61*100/bütünleme!$I61,"")</f>
        <v/>
      </c>
      <c r="AT364" s="39" t="str">
        <f>IFERROR(bütünleme!BE61*100/bütünleme!$I61,"")</f>
        <v/>
      </c>
      <c r="AU364" s="39" t="str">
        <f>IFERROR(bütünleme!BF61*100/bütünleme!$I61,"")</f>
        <v/>
      </c>
      <c r="AV364" s="39" t="str">
        <f>IFERROR(bütünleme!BG61*100/bütünleme!$I61,"")</f>
        <v/>
      </c>
      <c r="AW364" s="39" t="str">
        <f>IFERROR(bütünleme!BH61*100/bütünleme!$I61,"")</f>
        <v/>
      </c>
      <c r="AX364" s="39" t="str">
        <f>IFERROR(bütünleme!BI61*100/bütünleme!$I61,"")</f>
        <v/>
      </c>
      <c r="AY364" s="39" t="str">
        <f>IFERROR(bütünleme!BJ61*100/bütünleme!$I61,"")</f>
        <v/>
      </c>
      <c r="AZ364" s="39" t="str">
        <f>IFERROR(bütünleme!BK61*100/bütünleme!$I61,"")</f>
        <v/>
      </c>
      <c r="BA364" s="39" t="str">
        <f>IFERROR(bütünleme!BL61*100/bütünleme!$I61,"")</f>
        <v/>
      </c>
      <c r="BB364" s="39" t="str">
        <f>IFERROR(bütünleme!BM61*100/bütünleme!$I61,"")</f>
        <v/>
      </c>
      <c r="BC364" s="39" t="str">
        <f>IFERROR(bütünleme!BN61*100/bütünleme!$I61,"")</f>
        <v/>
      </c>
      <c r="BD364" s="39" t="str">
        <f>IFERROR(bütünleme!BO61*100/bütünleme!$I61,"")</f>
        <v/>
      </c>
      <c r="BE364" s="39" t="str">
        <f>IFERROR(bütünleme!BP61*100/bütünleme!$I61,"")</f>
        <v/>
      </c>
      <c r="BF364" s="39" t="str">
        <f>IFERROR(bütünleme!BQ61*100/bütünleme!$I61,"")</f>
        <v/>
      </c>
      <c r="BG364" s="39" t="str">
        <f>IFERROR(bütünleme!BR61*100/bütünleme!$I61,"")</f>
        <v/>
      </c>
      <c r="BH364" s="39" t="str">
        <f>IFERROR(bütünleme!BS61*100/bütünleme!$I61,"")</f>
        <v/>
      </c>
      <c r="BI364" s="39" t="str">
        <f>IFERROR(bütünleme!BT61*100/bütünleme!$I61,"")</f>
        <v/>
      </c>
      <c r="BJ364" s="39" t="str">
        <f>IFERROR(bütünleme!BU61*100/bütünleme!$I61,"")</f>
        <v/>
      </c>
      <c r="BK364" s="39" t="str">
        <f>IFERROR(bütünleme!BV61*100/bütünleme!$I61,"")</f>
        <v/>
      </c>
      <c r="BL364" s="39" t="str">
        <f>IFERROR(bütünleme!BW61*100/bütünleme!$I61,"")</f>
        <v/>
      </c>
      <c r="BM364" s="39" t="str">
        <f>IFERROR(bütünleme!BX61*100/bütünleme!$I61,"")</f>
        <v/>
      </c>
      <c r="BN364" s="39" t="str">
        <f>IFERROR(bütünleme!BY61*100/bütünleme!$I61,"")</f>
        <v/>
      </c>
      <c r="BO364" s="39" t="str">
        <f>IFERROR(bütünleme!BZ61*100/bütünleme!$I61,"")</f>
        <v/>
      </c>
      <c r="BP364" s="39" t="str">
        <f>IFERROR(bütünleme!CA61*100/bütünleme!$I61,"")</f>
        <v/>
      </c>
      <c r="BQ364" s="39" t="str">
        <f>IFERROR(bütünleme!CB61*100/bütünleme!$I61,"")</f>
        <v/>
      </c>
      <c r="BR364" s="39" t="str">
        <f>IFERROR(bütünleme!CC61*100/bütünleme!$I61,"")</f>
        <v/>
      </c>
      <c r="BS364" s="39" t="str">
        <f>IFERROR(bütünleme!CD61*100/bütünleme!$I61,"")</f>
        <v/>
      </c>
      <c r="BT364" s="39" t="str">
        <f>IFERROR(bütünleme!CE61*100/bütünleme!$I61,"")</f>
        <v/>
      </c>
      <c r="BU364" s="39" t="str">
        <f>IFERROR(bütünleme!CF61*100/bütünleme!$I61,"")</f>
        <v/>
      </c>
      <c r="BV364" s="39" t="str">
        <f>IFERROR(bütünleme!CG61*100/bütünleme!$I61,"")</f>
        <v/>
      </c>
      <c r="BW364" s="39" t="str">
        <f>IFERROR(bütünleme!CH61*100/bütünleme!$I61,"")</f>
        <v/>
      </c>
      <c r="BX364" s="39" t="str">
        <f>IFERROR(bütünleme!CI61*100/bütünleme!$I61,"")</f>
        <v/>
      </c>
      <c r="BY364" s="39" t="str">
        <f>IFERROR(bütünleme!CJ61*100/bütünleme!$I61,"")</f>
        <v/>
      </c>
      <c r="BZ364" s="39" t="str">
        <f>IFERROR(bütünleme!CK61*100/bütünleme!$I61,"")</f>
        <v/>
      </c>
      <c r="CA364" s="39" t="str">
        <f>IFERROR(bütünleme!CL61*100/bütünleme!$I61,"")</f>
        <v/>
      </c>
      <c r="CB364" s="39" t="str">
        <f>IFERROR(bütünleme!CM61*100/bütünleme!$I61,"")</f>
        <v/>
      </c>
      <c r="CC364" s="39" t="str">
        <f>IFERROR(bütünleme!CN61*100/bütünleme!$I61,"")</f>
        <v/>
      </c>
      <c r="CD364" s="39" t="str">
        <f>IFERROR(bütünleme!CO61*100/bütünleme!$I61,"")</f>
        <v/>
      </c>
      <c r="CE364" s="39" t="str">
        <f>IFERROR(bütünleme!CP61*100/bütünleme!$I61,"")</f>
        <v/>
      </c>
      <c r="CF364" s="39" t="str">
        <f>IFERROR(bütünleme!CQ61*100/bütünleme!$I61,"")</f>
        <v/>
      </c>
      <c r="CG364" s="39" t="str">
        <f>IFERROR(bütünleme!CR61*100/bütünleme!$I61,"")</f>
        <v/>
      </c>
      <c r="CH364" s="39" t="str">
        <f>IFERROR(bütünleme!CS61*100/bütünleme!$I61,"")</f>
        <v/>
      </c>
      <c r="CI364" s="39" t="str">
        <f>IFERROR(bütünleme!CT61*100/bütünleme!$I61,"")</f>
        <v/>
      </c>
      <c r="CJ364" s="39" t="str">
        <f>IFERROR(bütünleme!CU61*100/bütünleme!$I61,"")</f>
        <v/>
      </c>
      <c r="CK364" s="39" t="str">
        <f>IFERROR(bütünleme!CV61*100/bütünleme!$I61,"")</f>
        <v/>
      </c>
      <c r="CL364" s="39" t="str">
        <f>IFERROR(bütünleme!CW61*100/bütünleme!$I61,"")</f>
        <v/>
      </c>
      <c r="CM364" s="39" t="str">
        <f>IFERROR(bütünleme!CX61*100/bütünleme!$I61,"")</f>
        <v/>
      </c>
      <c r="CN364" s="39" t="str">
        <f>IFERROR(bütünleme!CY61*100/bütünleme!$I61,"")</f>
        <v/>
      </c>
      <c r="CO364" s="39" t="str">
        <f>IFERROR(bütünleme!CZ61*100/bütünleme!$I61,"")</f>
        <v/>
      </c>
      <c r="CP364" s="39" t="str">
        <f>IFERROR(bütünleme!DA61*100/bütünleme!$I61,"")</f>
        <v/>
      </c>
      <c r="CQ364" s="39" t="str">
        <f>IFERROR(bütünleme!DB61*100/bütünleme!$I61,"")</f>
        <v/>
      </c>
      <c r="CR364" s="39" t="str">
        <f>IFERROR(bütünleme!DC61*100/bütünleme!$I61,"")</f>
        <v/>
      </c>
      <c r="CS364" s="39" t="str">
        <f>IFERROR(bütünleme!DD61*100/bütünleme!$I61,"")</f>
        <v/>
      </c>
      <c r="CT364" s="39" t="str">
        <f>IFERROR(bütünleme!DE61*100/bütünleme!$I61,"")</f>
        <v/>
      </c>
      <c r="CU364" s="39" t="str">
        <f>IFERROR(bütünleme!DF61*100/bütünleme!$I61,"")</f>
        <v/>
      </c>
      <c r="CV364" s="39" t="str">
        <f>IFERROR(bütünleme!DG61*100/bütünleme!$I61,"")</f>
        <v/>
      </c>
      <c r="CW364" s="36" t="str">
        <f>IFERROR(SUM(A364:CV364)/bütünleme!$DH$103,"")</f>
        <v/>
      </c>
      <c r="CX364" s="14" t="str">
        <f>IF(COUNTA(bütünleme!A61),bütünleme!A61,"")</f>
        <v/>
      </c>
      <c r="CY364" s="14" t="str">
        <f>IF(COUNTA(bütünleme!B61),bütünleme!B61,"")</f>
        <v/>
      </c>
      <c r="CZ364" s="14" t="str">
        <f>IF(COUNTA(bütünleme!C61),bütünleme!C61,"")</f>
        <v/>
      </c>
      <c r="DA364" s="14" t="str">
        <f>IF(COUNTA(bütünleme!D61),bütünleme!D61,"")</f>
        <v/>
      </c>
      <c r="DB364" s="14" t="str">
        <f>IF(COUNTA(bütünleme!E61),bütünleme!E61,"")</f>
        <v/>
      </c>
      <c r="DC364" s="14" t="str">
        <f>IF(COUNTA(bütünleme!F61),bütünleme!F61,"")</f>
        <v/>
      </c>
      <c r="DD364" s="14" t="str">
        <f>IF(COUNTA(bütünleme!G61),bütünleme!G61,"")</f>
        <v/>
      </c>
      <c r="DE364" s="14" t="str">
        <f>IF(COUNTA(bütünleme!H61),bütünleme!H61,"")</f>
        <v/>
      </c>
    </row>
    <row r="365" spans="1:109" x14ac:dyDescent="0.2">
      <c r="A365" s="39" t="str">
        <f>IFERROR(bütünleme!L62*100/bütünleme!$I62,"")</f>
        <v/>
      </c>
      <c r="B365" s="39" t="str">
        <f>IFERROR(bütünleme!M62*100/bütünleme!$I62,"")</f>
        <v/>
      </c>
      <c r="C365" s="39" t="str">
        <f>IFERROR(bütünleme!N62*100/bütünleme!$I62,"")</f>
        <v/>
      </c>
      <c r="D365" s="39" t="str">
        <f>IFERROR(bütünleme!O62*100/bütünleme!$I62,"")</f>
        <v/>
      </c>
      <c r="E365" s="39" t="str">
        <f>IFERROR(bütünleme!P62*100/bütünleme!$I62,"")</f>
        <v/>
      </c>
      <c r="F365" s="39" t="str">
        <f>IFERROR(bütünleme!Q62*100/bütünleme!$I62,"")</f>
        <v/>
      </c>
      <c r="G365" s="39" t="str">
        <f>IFERROR(bütünleme!R62*100/bütünleme!$I62,"")</f>
        <v/>
      </c>
      <c r="H365" s="39" t="str">
        <f>IFERROR(bütünleme!S62*100/bütünleme!$I62,"")</f>
        <v/>
      </c>
      <c r="I365" s="39" t="str">
        <f>IFERROR(bütünleme!T62*100/bütünleme!$I62,"")</f>
        <v/>
      </c>
      <c r="J365" s="39" t="str">
        <f>IFERROR(bütünleme!U62*100/bütünleme!$I62,"")</f>
        <v/>
      </c>
      <c r="K365" s="39" t="str">
        <f>IFERROR(bütünleme!V62*100/bütünleme!$I62,"")</f>
        <v/>
      </c>
      <c r="L365" s="39" t="str">
        <f>IFERROR(bütünleme!W62*100/bütünleme!$I62,"")</f>
        <v/>
      </c>
      <c r="M365" s="39" t="str">
        <f>IFERROR(bütünleme!X62*100/bütünleme!$I62,"")</f>
        <v/>
      </c>
      <c r="N365" s="39" t="str">
        <f>IFERROR(bütünleme!Y62*100/bütünleme!$I62,"")</f>
        <v/>
      </c>
      <c r="O365" s="39" t="str">
        <f>IFERROR(bütünleme!Z62*100/bütünleme!$I62,"")</f>
        <v/>
      </c>
      <c r="P365" s="39" t="str">
        <f>IFERROR(bütünleme!AA62*100/bütünleme!$I62,"")</f>
        <v/>
      </c>
      <c r="Q365" s="39" t="str">
        <f>IFERROR(bütünleme!AB62*100/bütünleme!$I62,"")</f>
        <v/>
      </c>
      <c r="R365" s="39" t="str">
        <f>IFERROR(bütünleme!AC62*100/bütünleme!$I62,"")</f>
        <v/>
      </c>
      <c r="S365" s="39" t="str">
        <f>IFERROR(bütünleme!AD62*100/bütünleme!$I62,"")</f>
        <v/>
      </c>
      <c r="T365" s="39" t="str">
        <f>IFERROR(bütünleme!AE62*100/bütünleme!$I62,"")</f>
        <v/>
      </c>
      <c r="U365" s="39" t="str">
        <f>IFERROR(bütünleme!AF62*100/bütünleme!$I62,"")</f>
        <v/>
      </c>
      <c r="V365" s="39" t="str">
        <f>IFERROR(bütünleme!AG62*100/bütünleme!$I62,"")</f>
        <v/>
      </c>
      <c r="W365" s="39" t="str">
        <f>IFERROR(bütünleme!AH62*100/bütünleme!$I62,"")</f>
        <v/>
      </c>
      <c r="X365" s="39" t="str">
        <f>IFERROR(bütünleme!AI62*100/bütünleme!$I62,"")</f>
        <v/>
      </c>
      <c r="Y365" s="39" t="str">
        <f>IFERROR(bütünleme!AJ62*100/bütünleme!$I62,"")</f>
        <v/>
      </c>
      <c r="Z365" s="39" t="str">
        <f>IFERROR(bütünleme!AK62*100/bütünleme!$I62,"")</f>
        <v/>
      </c>
      <c r="AA365" s="39" t="str">
        <f>IFERROR(bütünleme!AL62*100/bütünleme!$I62,"")</f>
        <v/>
      </c>
      <c r="AB365" s="39" t="str">
        <f>IFERROR(bütünleme!AM62*100/bütünleme!$I62,"")</f>
        <v/>
      </c>
      <c r="AC365" s="39" t="str">
        <f>IFERROR(bütünleme!AN62*100/bütünleme!$I62,"")</f>
        <v/>
      </c>
      <c r="AD365" s="39" t="str">
        <f>IFERROR(bütünleme!AO62*100/bütünleme!$I62,"")</f>
        <v/>
      </c>
      <c r="AE365" s="39" t="str">
        <f>IFERROR(bütünleme!AP62*100/bütünleme!$I62,"")</f>
        <v/>
      </c>
      <c r="AF365" s="39" t="str">
        <f>IFERROR(bütünleme!AQ62*100/bütünleme!$I62,"")</f>
        <v/>
      </c>
      <c r="AG365" s="39" t="str">
        <f>IFERROR(bütünleme!AR62*100/bütünleme!$I62,"")</f>
        <v/>
      </c>
      <c r="AH365" s="39" t="str">
        <f>IFERROR(bütünleme!AS62*100/bütünleme!$I62,"")</f>
        <v/>
      </c>
      <c r="AI365" s="39" t="str">
        <f>IFERROR(bütünleme!AT62*100/bütünleme!$I62,"")</f>
        <v/>
      </c>
      <c r="AJ365" s="39" t="str">
        <f>IFERROR(bütünleme!AU62*100/bütünleme!$I62,"")</f>
        <v/>
      </c>
      <c r="AK365" s="39" t="str">
        <f>IFERROR(bütünleme!AV62*100/bütünleme!$I62,"")</f>
        <v/>
      </c>
      <c r="AL365" s="39" t="str">
        <f>IFERROR(bütünleme!AW62*100/bütünleme!$I62,"")</f>
        <v/>
      </c>
      <c r="AM365" s="39" t="str">
        <f>IFERROR(bütünleme!AX62*100/bütünleme!$I62,"")</f>
        <v/>
      </c>
      <c r="AN365" s="39" t="str">
        <f>IFERROR(bütünleme!AY62*100/bütünleme!$I62,"")</f>
        <v/>
      </c>
      <c r="AO365" s="39" t="str">
        <f>IFERROR(bütünleme!AZ62*100/bütünleme!$I62,"")</f>
        <v/>
      </c>
      <c r="AP365" s="39" t="str">
        <f>IFERROR(bütünleme!BA62*100/bütünleme!$I62,"")</f>
        <v/>
      </c>
      <c r="AQ365" s="39" t="str">
        <f>IFERROR(bütünleme!BB62*100/bütünleme!$I62,"")</f>
        <v/>
      </c>
      <c r="AR365" s="39" t="str">
        <f>IFERROR(bütünleme!BC62*100/bütünleme!$I62,"")</f>
        <v/>
      </c>
      <c r="AS365" s="39" t="str">
        <f>IFERROR(bütünleme!BD62*100/bütünleme!$I62,"")</f>
        <v/>
      </c>
      <c r="AT365" s="39" t="str">
        <f>IFERROR(bütünleme!BE62*100/bütünleme!$I62,"")</f>
        <v/>
      </c>
      <c r="AU365" s="39" t="str">
        <f>IFERROR(bütünleme!BF62*100/bütünleme!$I62,"")</f>
        <v/>
      </c>
      <c r="AV365" s="39" t="str">
        <f>IFERROR(bütünleme!BG62*100/bütünleme!$I62,"")</f>
        <v/>
      </c>
      <c r="AW365" s="39" t="str">
        <f>IFERROR(bütünleme!BH62*100/bütünleme!$I62,"")</f>
        <v/>
      </c>
      <c r="AX365" s="39" t="str">
        <f>IFERROR(bütünleme!BI62*100/bütünleme!$I62,"")</f>
        <v/>
      </c>
      <c r="AY365" s="39" t="str">
        <f>IFERROR(bütünleme!BJ62*100/bütünleme!$I62,"")</f>
        <v/>
      </c>
      <c r="AZ365" s="39" t="str">
        <f>IFERROR(bütünleme!BK62*100/bütünleme!$I62,"")</f>
        <v/>
      </c>
      <c r="BA365" s="39" t="str">
        <f>IFERROR(bütünleme!BL62*100/bütünleme!$I62,"")</f>
        <v/>
      </c>
      <c r="BB365" s="39" t="str">
        <f>IFERROR(bütünleme!BM62*100/bütünleme!$I62,"")</f>
        <v/>
      </c>
      <c r="BC365" s="39" t="str">
        <f>IFERROR(bütünleme!BN62*100/bütünleme!$I62,"")</f>
        <v/>
      </c>
      <c r="BD365" s="39" t="str">
        <f>IFERROR(bütünleme!BO62*100/bütünleme!$I62,"")</f>
        <v/>
      </c>
      <c r="BE365" s="39" t="str">
        <f>IFERROR(bütünleme!BP62*100/bütünleme!$I62,"")</f>
        <v/>
      </c>
      <c r="BF365" s="39" t="str">
        <f>IFERROR(bütünleme!BQ62*100/bütünleme!$I62,"")</f>
        <v/>
      </c>
      <c r="BG365" s="39" t="str">
        <f>IFERROR(bütünleme!BR62*100/bütünleme!$I62,"")</f>
        <v/>
      </c>
      <c r="BH365" s="39" t="str">
        <f>IFERROR(bütünleme!BS62*100/bütünleme!$I62,"")</f>
        <v/>
      </c>
      <c r="BI365" s="39" t="str">
        <f>IFERROR(bütünleme!BT62*100/bütünleme!$I62,"")</f>
        <v/>
      </c>
      <c r="BJ365" s="39" t="str">
        <f>IFERROR(bütünleme!BU62*100/bütünleme!$I62,"")</f>
        <v/>
      </c>
      <c r="BK365" s="39" t="str">
        <f>IFERROR(bütünleme!BV62*100/bütünleme!$I62,"")</f>
        <v/>
      </c>
      <c r="BL365" s="39" t="str">
        <f>IFERROR(bütünleme!BW62*100/bütünleme!$I62,"")</f>
        <v/>
      </c>
      <c r="BM365" s="39" t="str">
        <f>IFERROR(bütünleme!BX62*100/bütünleme!$I62,"")</f>
        <v/>
      </c>
      <c r="BN365" s="39" t="str">
        <f>IFERROR(bütünleme!BY62*100/bütünleme!$I62,"")</f>
        <v/>
      </c>
      <c r="BO365" s="39" t="str">
        <f>IFERROR(bütünleme!BZ62*100/bütünleme!$I62,"")</f>
        <v/>
      </c>
      <c r="BP365" s="39" t="str">
        <f>IFERROR(bütünleme!CA62*100/bütünleme!$I62,"")</f>
        <v/>
      </c>
      <c r="BQ365" s="39" t="str">
        <f>IFERROR(bütünleme!CB62*100/bütünleme!$I62,"")</f>
        <v/>
      </c>
      <c r="BR365" s="39" t="str">
        <f>IFERROR(bütünleme!CC62*100/bütünleme!$I62,"")</f>
        <v/>
      </c>
      <c r="BS365" s="39" t="str">
        <f>IFERROR(bütünleme!CD62*100/bütünleme!$I62,"")</f>
        <v/>
      </c>
      <c r="BT365" s="39" t="str">
        <f>IFERROR(bütünleme!CE62*100/bütünleme!$I62,"")</f>
        <v/>
      </c>
      <c r="BU365" s="39" t="str">
        <f>IFERROR(bütünleme!CF62*100/bütünleme!$I62,"")</f>
        <v/>
      </c>
      <c r="BV365" s="39" t="str">
        <f>IFERROR(bütünleme!CG62*100/bütünleme!$I62,"")</f>
        <v/>
      </c>
      <c r="BW365" s="39" t="str">
        <f>IFERROR(bütünleme!CH62*100/bütünleme!$I62,"")</f>
        <v/>
      </c>
      <c r="BX365" s="39" t="str">
        <f>IFERROR(bütünleme!CI62*100/bütünleme!$I62,"")</f>
        <v/>
      </c>
      <c r="BY365" s="39" t="str">
        <f>IFERROR(bütünleme!CJ62*100/bütünleme!$I62,"")</f>
        <v/>
      </c>
      <c r="BZ365" s="39" t="str">
        <f>IFERROR(bütünleme!CK62*100/bütünleme!$I62,"")</f>
        <v/>
      </c>
      <c r="CA365" s="39" t="str">
        <f>IFERROR(bütünleme!CL62*100/bütünleme!$I62,"")</f>
        <v/>
      </c>
      <c r="CB365" s="39" t="str">
        <f>IFERROR(bütünleme!CM62*100/bütünleme!$I62,"")</f>
        <v/>
      </c>
      <c r="CC365" s="39" t="str">
        <f>IFERROR(bütünleme!CN62*100/bütünleme!$I62,"")</f>
        <v/>
      </c>
      <c r="CD365" s="39" t="str">
        <f>IFERROR(bütünleme!CO62*100/bütünleme!$I62,"")</f>
        <v/>
      </c>
      <c r="CE365" s="39" t="str">
        <f>IFERROR(bütünleme!CP62*100/bütünleme!$I62,"")</f>
        <v/>
      </c>
      <c r="CF365" s="39" t="str">
        <f>IFERROR(bütünleme!CQ62*100/bütünleme!$I62,"")</f>
        <v/>
      </c>
      <c r="CG365" s="39" t="str">
        <f>IFERROR(bütünleme!CR62*100/bütünleme!$I62,"")</f>
        <v/>
      </c>
      <c r="CH365" s="39" t="str">
        <f>IFERROR(bütünleme!CS62*100/bütünleme!$I62,"")</f>
        <v/>
      </c>
      <c r="CI365" s="39" t="str">
        <f>IFERROR(bütünleme!CT62*100/bütünleme!$I62,"")</f>
        <v/>
      </c>
      <c r="CJ365" s="39" t="str">
        <f>IFERROR(bütünleme!CU62*100/bütünleme!$I62,"")</f>
        <v/>
      </c>
      <c r="CK365" s="39" t="str">
        <f>IFERROR(bütünleme!CV62*100/bütünleme!$I62,"")</f>
        <v/>
      </c>
      <c r="CL365" s="39" t="str">
        <f>IFERROR(bütünleme!CW62*100/bütünleme!$I62,"")</f>
        <v/>
      </c>
      <c r="CM365" s="39" t="str">
        <f>IFERROR(bütünleme!CX62*100/bütünleme!$I62,"")</f>
        <v/>
      </c>
      <c r="CN365" s="39" t="str">
        <f>IFERROR(bütünleme!CY62*100/bütünleme!$I62,"")</f>
        <v/>
      </c>
      <c r="CO365" s="39" t="str">
        <f>IFERROR(bütünleme!CZ62*100/bütünleme!$I62,"")</f>
        <v/>
      </c>
      <c r="CP365" s="39" t="str">
        <f>IFERROR(bütünleme!DA62*100/bütünleme!$I62,"")</f>
        <v/>
      </c>
      <c r="CQ365" s="39" t="str">
        <f>IFERROR(bütünleme!DB62*100/bütünleme!$I62,"")</f>
        <v/>
      </c>
      <c r="CR365" s="39" t="str">
        <f>IFERROR(bütünleme!DC62*100/bütünleme!$I62,"")</f>
        <v/>
      </c>
      <c r="CS365" s="39" t="str">
        <f>IFERROR(bütünleme!DD62*100/bütünleme!$I62,"")</f>
        <v/>
      </c>
      <c r="CT365" s="39" t="str">
        <f>IFERROR(bütünleme!DE62*100/bütünleme!$I62,"")</f>
        <v/>
      </c>
      <c r="CU365" s="39" t="str">
        <f>IFERROR(bütünleme!DF62*100/bütünleme!$I62,"")</f>
        <v/>
      </c>
      <c r="CV365" s="39" t="str">
        <f>IFERROR(bütünleme!DG62*100/bütünleme!$I62,"")</f>
        <v/>
      </c>
      <c r="CW365" s="36" t="str">
        <f>IFERROR(SUM(A365:CV365)/bütünleme!$DH$103,"")</f>
        <v/>
      </c>
      <c r="CX365" s="14" t="str">
        <f>IF(COUNTA(bütünleme!A62),bütünleme!A62,"")</f>
        <v/>
      </c>
      <c r="CY365" s="14" t="str">
        <f>IF(COUNTA(bütünleme!B62),bütünleme!B62,"")</f>
        <v/>
      </c>
      <c r="CZ365" s="14" t="str">
        <f>IF(COUNTA(bütünleme!C62),bütünleme!C62,"")</f>
        <v/>
      </c>
      <c r="DA365" s="14" t="str">
        <f>IF(COUNTA(bütünleme!D62),bütünleme!D62,"")</f>
        <v/>
      </c>
      <c r="DB365" s="14" t="str">
        <f>IF(COUNTA(bütünleme!E62),bütünleme!E62,"")</f>
        <v/>
      </c>
      <c r="DC365" s="14" t="str">
        <f>IF(COUNTA(bütünleme!F62),bütünleme!F62,"")</f>
        <v/>
      </c>
      <c r="DD365" s="14" t="str">
        <f>IF(COUNTA(bütünleme!G62),bütünleme!G62,"")</f>
        <v/>
      </c>
      <c r="DE365" s="14" t="str">
        <f>IF(COUNTA(bütünleme!H62),bütünleme!H62,"")</f>
        <v/>
      </c>
    </row>
    <row r="366" spans="1:109" x14ac:dyDescent="0.2">
      <c r="A366" s="39" t="str">
        <f>IFERROR(bütünleme!L63*100/bütünleme!$I63,"")</f>
        <v/>
      </c>
      <c r="B366" s="39" t="str">
        <f>IFERROR(bütünleme!M63*100/bütünleme!$I63,"")</f>
        <v/>
      </c>
      <c r="C366" s="39" t="str">
        <f>IFERROR(bütünleme!N63*100/bütünleme!$I63,"")</f>
        <v/>
      </c>
      <c r="D366" s="39" t="str">
        <f>IFERROR(bütünleme!O63*100/bütünleme!$I63,"")</f>
        <v/>
      </c>
      <c r="E366" s="39" t="str">
        <f>IFERROR(bütünleme!P63*100/bütünleme!$I63,"")</f>
        <v/>
      </c>
      <c r="F366" s="39" t="str">
        <f>IFERROR(bütünleme!Q63*100/bütünleme!$I63,"")</f>
        <v/>
      </c>
      <c r="G366" s="39" t="str">
        <f>IFERROR(bütünleme!R63*100/bütünleme!$I63,"")</f>
        <v/>
      </c>
      <c r="H366" s="39" t="str">
        <f>IFERROR(bütünleme!S63*100/bütünleme!$I63,"")</f>
        <v/>
      </c>
      <c r="I366" s="39" t="str">
        <f>IFERROR(bütünleme!T63*100/bütünleme!$I63,"")</f>
        <v/>
      </c>
      <c r="J366" s="39" t="str">
        <f>IFERROR(bütünleme!U63*100/bütünleme!$I63,"")</f>
        <v/>
      </c>
      <c r="K366" s="39" t="str">
        <f>IFERROR(bütünleme!V63*100/bütünleme!$I63,"")</f>
        <v/>
      </c>
      <c r="L366" s="39" t="str">
        <f>IFERROR(bütünleme!W63*100/bütünleme!$I63,"")</f>
        <v/>
      </c>
      <c r="M366" s="39" t="str">
        <f>IFERROR(bütünleme!X63*100/bütünleme!$I63,"")</f>
        <v/>
      </c>
      <c r="N366" s="39" t="str">
        <f>IFERROR(bütünleme!Y63*100/bütünleme!$I63,"")</f>
        <v/>
      </c>
      <c r="O366" s="39" t="str">
        <f>IFERROR(bütünleme!Z63*100/bütünleme!$I63,"")</f>
        <v/>
      </c>
      <c r="P366" s="39" t="str">
        <f>IFERROR(bütünleme!AA63*100/bütünleme!$I63,"")</f>
        <v/>
      </c>
      <c r="Q366" s="39" t="str">
        <f>IFERROR(bütünleme!AB63*100/bütünleme!$I63,"")</f>
        <v/>
      </c>
      <c r="R366" s="39" t="str">
        <f>IFERROR(bütünleme!AC63*100/bütünleme!$I63,"")</f>
        <v/>
      </c>
      <c r="S366" s="39" t="str">
        <f>IFERROR(bütünleme!AD63*100/bütünleme!$I63,"")</f>
        <v/>
      </c>
      <c r="T366" s="39" t="str">
        <f>IFERROR(bütünleme!AE63*100/bütünleme!$I63,"")</f>
        <v/>
      </c>
      <c r="U366" s="39" t="str">
        <f>IFERROR(bütünleme!AF63*100/bütünleme!$I63,"")</f>
        <v/>
      </c>
      <c r="V366" s="39" t="str">
        <f>IFERROR(bütünleme!AG63*100/bütünleme!$I63,"")</f>
        <v/>
      </c>
      <c r="W366" s="39" t="str">
        <f>IFERROR(bütünleme!AH63*100/bütünleme!$I63,"")</f>
        <v/>
      </c>
      <c r="X366" s="39" t="str">
        <f>IFERROR(bütünleme!AI63*100/bütünleme!$I63,"")</f>
        <v/>
      </c>
      <c r="Y366" s="39" t="str">
        <f>IFERROR(bütünleme!AJ63*100/bütünleme!$I63,"")</f>
        <v/>
      </c>
      <c r="Z366" s="39" t="str">
        <f>IFERROR(bütünleme!AK63*100/bütünleme!$I63,"")</f>
        <v/>
      </c>
      <c r="AA366" s="39" t="str">
        <f>IFERROR(bütünleme!AL63*100/bütünleme!$I63,"")</f>
        <v/>
      </c>
      <c r="AB366" s="39" t="str">
        <f>IFERROR(bütünleme!AM63*100/bütünleme!$I63,"")</f>
        <v/>
      </c>
      <c r="AC366" s="39" t="str">
        <f>IFERROR(bütünleme!AN63*100/bütünleme!$I63,"")</f>
        <v/>
      </c>
      <c r="AD366" s="39" t="str">
        <f>IFERROR(bütünleme!AO63*100/bütünleme!$I63,"")</f>
        <v/>
      </c>
      <c r="AE366" s="39" t="str">
        <f>IFERROR(bütünleme!AP63*100/bütünleme!$I63,"")</f>
        <v/>
      </c>
      <c r="AF366" s="39" t="str">
        <f>IFERROR(bütünleme!AQ63*100/bütünleme!$I63,"")</f>
        <v/>
      </c>
      <c r="AG366" s="39" t="str">
        <f>IFERROR(bütünleme!AR63*100/bütünleme!$I63,"")</f>
        <v/>
      </c>
      <c r="AH366" s="39" t="str">
        <f>IFERROR(bütünleme!AS63*100/bütünleme!$I63,"")</f>
        <v/>
      </c>
      <c r="AI366" s="39" t="str">
        <f>IFERROR(bütünleme!AT63*100/bütünleme!$I63,"")</f>
        <v/>
      </c>
      <c r="AJ366" s="39" t="str">
        <f>IFERROR(bütünleme!AU63*100/bütünleme!$I63,"")</f>
        <v/>
      </c>
      <c r="AK366" s="39" t="str">
        <f>IFERROR(bütünleme!AV63*100/bütünleme!$I63,"")</f>
        <v/>
      </c>
      <c r="AL366" s="39" t="str">
        <f>IFERROR(bütünleme!AW63*100/bütünleme!$I63,"")</f>
        <v/>
      </c>
      <c r="AM366" s="39" t="str">
        <f>IFERROR(bütünleme!AX63*100/bütünleme!$I63,"")</f>
        <v/>
      </c>
      <c r="AN366" s="39" t="str">
        <f>IFERROR(bütünleme!AY63*100/bütünleme!$I63,"")</f>
        <v/>
      </c>
      <c r="AO366" s="39" t="str">
        <f>IFERROR(bütünleme!AZ63*100/bütünleme!$I63,"")</f>
        <v/>
      </c>
      <c r="AP366" s="39" t="str">
        <f>IFERROR(bütünleme!BA63*100/bütünleme!$I63,"")</f>
        <v/>
      </c>
      <c r="AQ366" s="39" t="str">
        <f>IFERROR(bütünleme!BB63*100/bütünleme!$I63,"")</f>
        <v/>
      </c>
      <c r="AR366" s="39" t="str">
        <f>IFERROR(bütünleme!BC63*100/bütünleme!$I63,"")</f>
        <v/>
      </c>
      <c r="AS366" s="39" t="str">
        <f>IFERROR(bütünleme!BD63*100/bütünleme!$I63,"")</f>
        <v/>
      </c>
      <c r="AT366" s="39" t="str">
        <f>IFERROR(bütünleme!BE63*100/bütünleme!$I63,"")</f>
        <v/>
      </c>
      <c r="AU366" s="39" t="str">
        <f>IFERROR(bütünleme!BF63*100/bütünleme!$I63,"")</f>
        <v/>
      </c>
      <c r="AV366" s="39" t="str">
        <f>IFERROR(bütünleme!BG63*100/bütünleme!$I63,"")</f>
        <v/>
      </c>
      <c r="AW366" s="39" t="str">
        <f>IFERROR(bütünleme!BH63*100/bütünleme!$I63,"")</f>
        <v/>
      </c>
      <c r="AX366" s="39" t="str">
        <f>IFERROR(bütünleme!BI63*100/bütünleme!$I63,"")</f>
        <v/>
      </c>
      <c r="AY366" s="39" t="str">
        <f>IFERROR(bütünleme!BJ63*100/bütünleme!$I63,"")</f>
        <v/>
      </c>
      <c r="AZ366" s="39" t="str">
        <f>IFERROR(bütünleme!BK63*100/bütünleme!$I63,"")</f>
        <v/>
      </c>
      <c r="BA366" s="39" t="str">
        <f>IFERROR(bütünleme!BL63*100/bütünleme!$I63,"")</f>
        <v/>
      </c>
      <c r="BB366" s="39" t="str">
        <f>IFERROR(bütünleme!BM63*100/bütünleme!$I63,"")</f>
        <v/>
      </c>
      <c r="BC366" s="39" t="str">
        <f>IFERROR(bütünleme!BN63*100/bütünleme!$I63,"")</f>
        <v/>
      </c>
      <c r="BD366" s="39" t="str">
        <f>IFERROR(bütünleme!BO63*100/bütünleme!$I63,"")</f>
        <v/>
      </c>
      <c r="BE366" s="39" t="str">
        <f>IFERROR(bütünleme!BP63*100/bütünleme!$I63,"")</f>
        <v/>
      </c>
      <c r="BF366" s="39" t="str">
        <f>IFERROR(bütünleme!BQ63*100/bütünleme!$I63,"")</f>
        <v/>
      </c>
      <c r="BG366" s="39" t="str">
        <f>IFERROR(bütünleme!BR63*100/bütünleme!$I63,"")</f>
        <v/>
      </c>
      <c r="BH366" s="39" t="str">
        <f>IFERROR(bütünleme!BS63*100/bütünleme!$I63,"")</f>
        <v/>
      </c>
      <c r="BI366" s="39" t="str">
        <f>IFERROR(bütünleme!BT63*100/bütünleme!$I63,"")</f>
        <v/>
      </c>
      <c r="BJ366" s="39" t="str">
        <f>IFERROR(bütünleme!BU63*100/bütünleme!$I63,"")</f>
        <v/>
      </c>
      <c r="BK366" s="39" t="str">
        <f>IFERROR(bütünleme!BV63*100/bütünleme!$I63,"")</f>
        <v/>
      </c>
      <c r="BL366" s="39" t="str">
        <f>IFERROR(bütünleme!BW63*100/bütünleme!$I63,"")</f>
        <v/>
      </c>
      <c r="BM366" s="39" t="str">
        <f>IFERROR(bütünleme!BX63*100/bütünleme!$I63,"")</f>
        <v/>
      </c>
      <c r="BN366" s="39" t="str">
        <f>IFERROR(bütünleme!BY63*100/bütünleme!$I63,"")</f>
        <v/>
      </c>
      <c r="BO366" s="39" t="str">
        <f>IFERROR(bütünleme!BZ63*100/bütünleme!$I63,"")</f>
        <v/>
      </c>
      <c r="BP366" s="39" t="str">
        <f>IFERROR(bütünleme!CA63*100/bütünleme!$I63,"")</f>
        <v/>
      </c>
      <c r="BQ366" s="39" t="str">
        <f>IFERROR(bütünleme!CB63*100/bütünleme!$I63,"")</f>
        <v/>
      </c>
      <c r="BR366" s="39" t="str">
        <f>IFERROR(bütünleme!CC63*100/bütünleme!$I63,"")</f>
        <v/>
      </c>
      <c r="BS366" s="39" t="str">
        <f>IFERROR(bütünleme!CD63*100/bütünleme!$I63,"")</f>
        <v/>
      </c>
      <c r="BT366" s="39" t="str">
        <f>IFERROR(bütünleme!CE63*100/bütünleme!$I63,"")</f>
        <v/>
      </c>
      <c r="BU366" s="39" t="str">
        <f>IFERROR(bütünleme!CF63*100/bütünleme!$I63,"")</f>
        <v/>
      </c>
      <c r="BV366" s="39" t="str">
        <f>IFERROR(bütünleme!CG63*100/bütünleme!$I63,"")</f>
        <v/>
      </c>
      <c r="BW366" s="39" t="str">
        <f>IFERROR(bütünleme!CH63*100/bütünleme!$I63,"")</f>
        <v/>
      </c>
      <c r="BX366" s="39" t="str">
        <f>IFERROR(bütünleme!CI63*100/bütünleme!$I63,"")</f>
        <v/>
      </c>
      <c r="BY366" s="39" t="str">
        <f>IFERROR(bütünleme!CJ63*100/bütünleme!$I63,"")</f>
        <v/>
      </c>
      <c r="BZ366" s="39" t="str">
        <f>IFERROR(bütünleme!CK63*100/bütünleme!$I63,"")</f>
        <v/>
      </c>
      <c r="CA366" s="39" t="str">
        <f>IFERROR(bütünleme!CL63*100/bütünleme!$I63,"")</f>
        <v/>
      </c>
      <c r="CB366" s="39" t="str">
        <f>IFERROR(bütünleme!CM63*100/bütünleme!$I63,"")</f>
        <v/>
      </c>
      <c r="CC366" s="39" t="str">
        <f>IFERROR(bütünleme!CN63*100/bütünleme!$I63,"")</f>
        <v/>
      </c>
      <c r="CD366" s="39" t="str">
        <f>IFERROR(bütünleme!CO63*100/bütünleme!$I63,"")</f>
        <v/>
      </c>
      <c r="CE366" s="39" t="str">
        <f>IFERROR(bütünleme!CP63*100/bütünleme!$I63,"")</f>
        <v/>
      </c>
      <c r="CF366" s="39" t="str">
        <f>IFERROR(bütünleme!CQ63*100/bütünleme!$I63,"")</f>
        <v/>
      </c>
      <c r="CG366" s="39" t="str">
        <f>IFERROR(bütünleme!CR63*100/bütünleme!$I63,"")</f>
        <v/>
      </c>
      <c r="CH366" s="39" t="str">
        <f>IFERROR(bütünleme!CS63*100/bütünleme!$I63,"")</f>
        <v/>
      </c>
      <c r="CI366" s="39" t="str">
        <f>IFERROR(bütünleme!CT63*100/bütünleme!$I63,"")</f>
        <v/>
      </c>
      <c r="CJ366" s="39" t="str">
        <f>IFERROR(bütünleme!CU63*100/bütünleme!$I63,"")</f>
        <v/>
      </c>
      <c r="CK366" s="39" t="str">
        <f>IFERROR(bütünleme!CV63*100/bütünleme!$I63,"")</f>
        <v/>
      </c>
      <c r="CL366" s="39" t="str">
        <f>IFERROR(bütünleme!CW63*100/bütünleme!$I63,"")</f>
        <v/>
      </c>
      <c r="CM366" s="39" t="str">
        <f>IFERROR(bütünleme!CX63*100/bütünleme!$I63,"")</f>
        <v/>
      </c>
      <c r="CN366" s="39" t="str">
        <f>IFERROR(bütünleme!CY63*100/bütünleme!$I63,"")</f>
        <v/>
      </c>
      <c r="CO366" s="39" t="str">
        <f>IFERROR(bütünleme!CZ63*100/bütünleme!$I63,"")</f>
        <v/>
      </c>
      <c r="CP366" s="39" t="str">
        <f>IFERROR(bütünleme!DA63*100/bütünleme!$I63,"")</f>
        <v/>
      </c>
      <c r="CQ366" s="39" t="str">
        <f>IFERROR(bütünleme!DB63*100/bütünleme!$I63,"")</f>
        <v/>
      </c>
      <c r="CR366" s="39" t="str">
        <f>IFERROR(bütünleme!DC63*100/bütünleme!$I63,"")</f>
        <v/>
      </c>
      <c r="CS366" s="39" t="str">
        <f>IFERROR(bütünleme!DD63*100/bütünleme!$I63,"")</f>
        <v/>
      </c>
      <c r="CT366" s="39" t="str">
        <f>IFERROR(bütünleme!DE63*100/bütünleme!$I63,"")</f>
        <v/>
      </c>
      <c r="CU366" s="39" t="str">
        <f>IFERROR(bütünleme!DF63*100/bütünleme!$I63,"")</f>
        <v/>
      </c>
      <c r="CV366" s="39" t="str">
        <f>IFERROR(bütünleme!DG63*100/bütünleme!$I63,"")</f>
        <v/>
      </c>
      <c r="CW366" s="36" t="str">
        <f>IFERROR(SUM(A366:CV366)/bütünleme!$DH$103,"")</f>
        <v/>
      </c>
      <c r="CX366" s="14" t="str">
        <f>IF(COUNTA(bütünleme!A63),bütünleme!A63,"")</f>
        <v/>
      </c>
      <c r="CY366" s="14" t="str">
        <f>IF(COUNTA(bütünleme!B63),bütünleme!B63,"")</f>
        <v/>
      </c>
      <c r="CZ366" s="14" t="str">
        <f>IF(COUNTA(bütünleme!C63),bütünleme!C63,"")</f>
        <v/>
      </c>
      <c r="DA366" s="14" t="str">
        <f>IF(COUNTA(bütünleme!D63),bütünleme!D63,"")</f>
        <v/>
      </c>
      <c r="DB366" s="14" t="str">
        <f>IF(COUNTA(bütünleme!E63),bütünleme!E63,"")</f>
        <v/>
      </c>
      <c r="DC366" s="14" t="str">
        <f>IF(COUNTA(bütünleme!F63),bütünleme!F63,"")</f>
        <v/>
      </c>
      <c r="DD366" s="14" t="str">
        <f>IF(COUNTA(bütünleme!G63),bütünleme!G63,"")</f>
        <v/>
      </c>
      <c r="DE366" s="14" t="str">
        <f>IF(COUNTA(bütünleme!H63),bütünleme!H63,"")</f>
        <v/>
      </c>
    </row>
    <row r="367" spans="1:109" x14ac:dyDescent="0.2">
      <c r="A367" s="39" t="str">
        <f>IFERROR(bütünleme!L64*100/bütünleme!$I64,"")</f>
        <v/>
      </c>
      <c r="B367" s="39" t="str">
        <f>IFERROR(bütünleme!M64*100/bütünleme!$I64,"")</f>
        <v/>
      </c>
      <c r="C367" s="39" t="str">
        <f>IFERROR(bütünleme!N64*100/bütünleme!$I64,"")</f>
        <v/>
      </c>
      <c r="D367" s="39" t="str">
        <f>IFERROR(bütünleme!O64*100/bütünleme!$I64,"")</f>
        <v/>
      </c>
      <c r="E367" s="39" t="str">
        <f>IFERROR(bütünleme!P64*100/bütünleme!$I64,"")</f>
        <v/>
      </c>
      <c r="F367" s="39" t="str">
        <f>IFERROR(bütünleme!Q64*100/bütünleme!$I64,"")</f>
        <v/>
      </c>
      <c r="G367" s="39" t="str">
        <f>IFERROR(bütünleme!R64*100/bütünleme!$I64,"")</f>
        <v/>
      </c>
      <c r="H367" s="39" t="str">
        <f>IFERROR(bütünleme!S64*100/bütünleme!$I64,"")</f>
        <v/>
      </c>
      <c r="I367" s="39" t="str">
        <f>IFERROR(bütünleme!T64*100/bütünleme!$I64,"")</f>
        <v/>
      </c>
      <c r="J367" s="39" t="str">
        <f>IFERROR(bütünleme!U64*100/bütünleme!$I64,"")</f>
        <v/>
      </c>
      <c r="K367" s="39" t="str">
        <f>IFERROR(bütünleme!V64*100/bütünleme!$I64,"")</f>
        <v/>
      </c>
      <c r="L367" s="39" t="str">
        <f>IFERROR(bütünleme!W64*100/bütünleme!$I64,"")</f>
        <v/>
      </c>
      <c r="M367" s="39" t="str">
        <f>IFERROR(bütünleme!X64*100/bütünleme!$I64,"")</f>
        <v/>
      </c>
      <c r="N367" s="39" t="str">
        <f>IFERROR(bütünleme!Y64*100/bütünleme!$I64,"")</f>
        <v/>
      </c>
      <c r="O367" s="39" t="str">
        <f>IFERROR(bütünleme!Z64*100/bütünleme!$I64,"")</f>
        <v/>
      </c>
      <c r="P367" s="39" t="str">
        <f>IFERROR(bütünleme!AA64*100/bütünleme!$I64,"")</f>
        <v/>
      </c>
      <c r="Q367" s="39" t="str">
        <f>IFERROR(bütünleme!AB64*100/bütünleme!$I64,"")</f>
        <v/>
      </c>
      <c r="R367" s="39" t="str">
        <f>IFERROR(bütünleme!AC64*100/bütünleme!$I64,"")</f>
        <v/>
      </c>
      <c r="S367" s="39" t="str">
        <f>IFERROR(bütünleme!AD64*100/bütünleme!$I64,"")</f>
        <v/>
      </c>
      <c r="T367" s="39" t="str">
        <f>IFERROR(bütünleme!AE64*100/bütünleme!$I64,"")</f>
        <v/>
      </c>
      <c r="U367" s="39" t="str">
        <f>IFERROR(bütünleme!AF64*100/bütünleme!$I64,"")</f>
        <v/>
      </c>
      <c r="V367" s="39" t="str">
        <f>IFERROR(bütünleme!AG64*100/bütünleme!$I64,"")</f>
        <v/>
      </c>
      <c r="W367" s="39" t="str">
        <f>IFERROR(bütünleme!AH64*100/bütünleme!$I64,"")</f>
        <v/>
      </c>
      <c r="X367" s="39" t="str">
        <f>IFERROR(bütünleme!AI64*100/bütünleme!$I64,"")</f>
        <v/>
      </c>
      <c r="Y367" s="39" t="str">
        <f>IFERROR(bütünleme!AJ64*100/bütünleme!$I64,"")</f>
        <v/>
      </c>
      <c r="Z367" s="39" t="str">
        <f>IFERROR(bütünleme!AK64*100/bütünleme!$I64,"")</f>
        <v/>
      </c>
      <c r="AA367" s="39" t="str">
        <f>IFERROR(bütünleme!AL64*100/bütünleme!$I64,"")</f>
        <v/>
      </c>
      <c r="AB367" s="39" t="str">
        <f>IFERROR(bütünleme!AM64*100/bütünleme!$I64,"")</f>
        <v/>
      </c>
      <c r="AC367" s="39" t="str">
        <f>IFERROR(bütünleme!AN64*100/bütünleme!$I64,"")</f>
        <v/>
      </c>
      <c r="AD367" s="39" t="str">
        <f>IFERROR(bütünleme!AO64*100/bütünleme!$I64,"")</f>
        <v/>
      </c>
      <c r="AE367" s="39" t="str">
        <f>IFERROR(bütünleme!AP64*100/bütünleme!$I64,"")</f>
        <v/>
      </c>
      <c r="AF367" s="39" t="str">
        <f>IFERROR(bütünleme!AQ64*100/bütünleme!$I64,"")</f>
        <v/>
      </c>
      <c r="AG367" s="39" t="str">
        <f>IFERROR(bütünleme!AR64*100/bütünleme!$I64,"")</f>
        <v/>
      </c>
      <c r="AH367" s="39" t="str">
        <f>IFERROR(bütünleme!AS64*100/bütünleme!$I64,"")</f>
        <v/>
      </c>
      <c r="AI367" s="39" t="str">
        <f>IFERROR(bütünleme!AT64*100/bütünleme!$I64,"")</f>
        <v/>
      </c>
      <c r="AJ367" s="39" t="str">
        <f>IFERROR(bütünleme!AU64*100/bütünleme!$I64,"")</f>
        <v/>
      </c>
      <c r="AK367" s="39" t="str">
        <f>IFERROR(bütünleme!AV64*100/bütünleme!$I64,"")</f>
        <v/>
      </c>
      <c r="AL367" s="39" t="str">
        <f>IFERROR(bütünleme!AW64*100/bütünleme!$I64,"")</f>
        <v/>
      </c>
      <c r="AM367" s="39" t="str">
        <f>IFERROR(bütünleme!AX64*100/bütünleme!$I64,"")</f>
        <v/>
      </c>
      <c r="AN367" s="39" t="str">
        <f>IFERROR(bütünleme!AY64*100/bütünleme!$I64,"")</f>
        <v/>
      </c>
      <c r="AO367" s="39" t="str">
        <f>IFERROR(bütünleme!AZ64*100/bütünleme!$I64,"")</f>
        <v/>
      </c>
      <c r="AP367" s="39" t="str">
        <f>IFERROR(bütünleme!BA64*100/bütünleme!$I64,"")</f>
        <v/>
      </c>
      <c r="AQ367" s="39" t="str">
        <f>IFERROR(bütünleme!BB64*100/bütünleme!$I64,"")</f>
        <v/>
      </c>
      <c r="AR367" s="39" t="str">
        <f>IFERROR(bütünleme!BC64*100/bütünleme!$I64,"")</f>
        <v/>
      </c>
      <c r="AS367" s="39" t="str">
        <f>IFERROR(bütünleme!BD64*100/bütünleme!$I64,"")</f>
        <v/>
      </c>
      <c r="AT367" s="39" t="str">
        <f>IFERROR(bütünleme!BE64*100/bütünleme!$I64,"")</f>
        <v/>
      </c>
      <c r="AU367" s="39" t="str">
        <f>IFERROR(bütünleme!BF64*100/bütünleme!$I64,"")</f>
        <v/>
      </c>
      <c r="AV367" s="39" t="str">
        <f>IFERROR(bütünleme!BG64*100/bütünleme!$I64,"")</f>
        <v/>
      </c>
      <c r="AW367" s="39" t="str">
        <f>IFERROR(bütünleme!BH64*100/bütünleme!$I64,"")</f>
        <v/>
      </c>
      <c r="AX367" s="39" t="str">
        <f>IFERROR(bütünleme!BI64*100/bütünleme!$I64,"")</f>
        <v/>
      </c>
      <c r="AY367" s="39" t="str">
        <f>IFERROR(bütünleme!BJ64*100/bütünleme!$I64,"")</f>
        <v/>
      </c>
      <c r="AZ367" s="39" t="str">
        <f>IFERROR(bütünleme!BK64*100/bütünleme!$I64,"")</f>
        <v/>
      </c>
      <c r="BA367" s="39" t="str">
        <f>IFERROR(bütünleme!BL64*100/bütünleme!$I64,"")</f>
        <v/>
      </c>
      <c r="BB367" s="39" t="str">
        <f>IFERROR(bütünleme!BM64*100/bütünleme!$I64,"")</f>
        <v/>
      </c>
      <c r="BC367" s="39" t="str">
        <f>IFERROR(bütünleme!BN64*100/bütünleme!$I64,"")</f>
        <v/>
      </c>
      <c r="BD367" s="39" t="str">
        <f>IFERROR(bütünleme!BO64*100/bütünleme!$I64,"")</f>
        <v/>
      </c>
      <c r="BE367" s="39" t="str">
        <f>IFERROR(bütünleme!BP64*100/bütünleme!$I64,"")</f>
        <v/>
      </c>
      <c r="BF367" s="39" t="str">
        <f>IFERROR(bütünleme!BQ64*100/bütünleme!$I64,"")</f>
        <v/>
      </c>
      <c r="BG367" s="39" t="str">
        <f>IFERROR(bütünleme!BR64*100/bütünleme!$I64,"")</f>
        <v/>
      </c>
      <c r="BH367" s="39" t="str">
        <f>IFERROR(bütünleme!BS64*100/bütünleme!$I64,"")</f>
        <v/>
      </c>
      <c r="BI367" s="39" t="str">
        <f>IFERROR(bütünleme!BT64*100/bütünleme!$I64,"")</f>
        <v/>
      </c>
      <c r="BJ367" s="39" t="str">
        <f>IFERROR(bütünleme!BU64*100/bütünleme!$I64,"")</f>
        <v/>
      </c>
      <c r="BK367" s="39" t="str">
        <f>IFERROR(bütünleme!BV64*100/bütünleme!$I64,"")</f>
        <v/>
      </c>
      <c r="BL367" s="39" t="str">
        <f>IFERROR(bütünleme!BW64*100/bütünleme!$I64,"")</f>
        <v/>
      </c>
      <c r="BM367" s="39" t="str">
        <f>IFERROR(bütünleme!BX64*100/bütünleme!$I64,"")</f>
        <v/>
      </c>
      <c r="BN367" s="39" t="str">
        <f>IFERROR(bütünleme!BY64*100/bütünleme!$I64,"")</f>
        <v/>
      </c>
      <c r="BO367" s="39" t="str">
        <f>IFERROR(bütünleme!BZ64*100/bütünleme!$I64,"")</f>
        <v/>
      </c>
      <c r="BP367" s="39" t="str">
        <f>IFERROR(bütünleme!CA64*100/bütünleme!$I64,"")</f>
        <v/>
      </c>
      <c r="BQ367" s="39" t="str">
        <f>IFERROR(bütünleme!CB64*100/bütünleme!$I64,"")</f>
        <v/>
      </c>
      <c r="BR367" s="39" t="str">
        <f>IFERROR(bütünleme!CC64*100/bütünleme!$I64,"")</f>
        <v/>
      </c>
      <c r="BS367" s="39" t="str">
        <f>IFERROR(bütünleme!CD64*100/bütünleme!$I64,"")</f>
        <v/>
      </c>
      <c r="BT367" s="39" t="str">
        <f>IFERROR(bütünleme!CE64*100/bütünleme!$I64,"")</f>
        <v/>
      </c>
      <c r="BU367" s="39" t="str">
        <f>IFERROR(bütünleme!CF64*100/bütünleme!$I64,"")</f>
        <v/>
      </c>
      <c r="BV367" s="39" t="str">
        <f>IFERROR(bütünleme!CG64*100/bütünleme!$I64,"")</f>
        <v/>
      </c>
      <c r="BW367" s="39" t="str">
        <f>IFERROR(bütünleme!CH64*100/bütünleme!$I64,"")</f>
        <v/>
      </c>
      <c r="BX367" s="39" t="str">
        <f>IFERROR(bütünleme!CI64*100/bütünleme!$I64,"")</f>
        <v/>
      </c>
      <c r="BY367" s="39" t="str">
        <f>IFERROR(bütünleme!CJ64*100/bütünleme!$I64,"")</f>
        <v/>
      </c>
      <c r="BZ367" s="39" t="str">
        <f>IFERROR(bütünleme!CK64*100/bütünleme!$I64,"")</f>
        <v/>
      </c>
      <c r="CA367" s="39" t="str">
        <f>IFERROR(bütünleme!CL64*100/bütünleme!$I64,"")</f>
        <v/>
      </c>
      <c r="CB367" s="39" t="str">
        <f>IFERROR(bütünleme!CM64*100/bütünleme!$I64,"")</f>
        <v/>
      </c>
      <c r="CC367" s="39" t="str">
        <f>IFERROR(bütünleme!CN64*100/bütünleme!$I64,"")</f>
        <v/>
      </c>
      <c r="CD367" s="39" t="str">
        <f>IFERROR(bütünleme!CO64*100/bütünleme!$I64,"")</f>
        <v/>
      </c>
      <c r="CE367" s="39" t="str">
        <f>IFERROR(bütünleme!CP64*100/bütünleme!$I64,"")</f>
        <v/>
      </c>
      <c r="CF367" s="39" t="str">
        <f>IFERROR(bütünleme!CQ64*100/bütünleme!$I64,"")</f>
        <v/>
      </c>
      <c r="CG367" s="39" t="str">
        <f>IFERROR(bütünleme!CR64*100/bütünleme!$I64,"")</f>
        <v/>
      </c>
      <c r="CH367" s="39" t="str">
        <f>IFERROR(bütünleme!CS64*100/bütünleme!$I64,"")</f>
        <v/>
      </c>
      <c r="CI367" s="39" t="str">
        <f>IFERROR(bütünleme!CT64*100/bütünleme!$I64,"")</f>
        <v/>
      </c>
      <c r="CJ367" s="39" t="str">
        <f>IFERROR(bütünleme!CU64*100/bütünleme!$I64,"")</f>
        <v/>
      </c>
      <c r="CK367" s="39" t="str">
        <f>IFERROR(bütünleme!CV64*100/bütünleme!$I64,"")</f>
        <v/>
      </c>
      <c r="CL367" s="39" t="str">
        <f>IFERROR(bütünleme!CW64*100/bütünleme!$I64,"")</f>
        <v/>
      </c>
      <c r="CM367" s="39" t="str">
        <f>IFERROR(bütünleme!CX64*100/bütünleme!$I64,"")</f>
        <v/>
      </c>
      <c r="CN367" s="39" t="str">
        <f>IFERROR(bütünleme!CY64*100/bütünleme!$I64,"")</f>
        <v/>
      </c>
      <c r="CO367" s="39" t="str">
        <f>IFERROR(bütünleme!CZ64*100/bütünleme!$I64,"")</f>
        <v/>
      </c>
      <c r="CP367" s="39" t="str">
        <f>IFERROR(bütünleme!DA64*100/bütünleme!$I64,"")</f>
        <v/>
      </c>
      <c r="CQ367" s="39" t="str">
        <f>IFERROR(bütünleme!DB64*100/bütünleme!$I64,"")</f>
        <v/>
      </c>
      <c r="CR367" s="39" t="str">
        <f>IFERROR(bütünleme!DC64*100/bütünleme!$I64,"")</f>
        <v/>
      </c>
      <c r="CS367" s="39" t="str">
        <f>IFERROR(bütünleme!DD64*100/bütünleme!$I64,"")</f>
        <v/>
      </c>
      <c r="CT367" s="39" t="str">
        <f>IFERROR(bütünleme!DE64*100/bütünleme!$I64,"")</f>
        <v/>
      </c>
      <c r="CU367" s="39" t="str">
        <f>IFERROR(bütünleme!DF64*100/bütünleme!$I64,"")</f>
        <v/>
      </c>
      <c r="CV367" s="39" t="str">
        <f>IFERROR(bütünleme!DG64*100/bütünleme!$I64,"")</f>
        <v/>
      </c>
      <c r="CW367" s="36" t="str">
        <f>IFERROR(SUM(A367:CV367)/bütünleme!$DH$103,"")</f>
        <v/>
      </c>
      <c r="CX367" s="14" t="str">
        <f>IF(COUNTA(bütünleme!A64),bütünleme!A64,"")</f>
        <v/>
      </c>
      <c r="CY367" s="14" t="str">
        <f>IF(COUNTA(bütünleme!B64),bütünleme!B64,"")</f>
        <v/>
      </c>
      <c r="CZ367" s="14" t="str">
        <f>IF(COUNTA(bütünleme!C64),bütünleme!C64,"")</f>
        <v/>
      </c>
      <c r="DA367" s="14" t="str">
        <f>IF(COUNTA(bütünleme!D64),bütünleme!D64,"")</f>
        <v/>
      </c>
      <c r="DB367" s="14" t="str">
        <f>IF(COUNTA(bütünleme!E64),bütünleme!E64,"")</f>
        <v/>
      </c>
      <c r="DC367" s="14" t="str">
        <f>IF(COUNTA(bütünleme!F64),bütünleme!F64,"")</f>
        <v/>
      </c>
      <c r="DD367" s="14" t="str">
        <f>IF(COUNTA(bütünleme!G64),bütünleme!G64,"")</f>
        <v/>
      </c>
      <c r="DE367" s="14" t="str">
        <f>IF(COUNTA(bütünleme!H64),bütünleme!H64,"")</f>
        <v/>
      </c>
    </row>
    <row r="368" spans="1:109" x14ac:dyDescent="0.2">
      <c r="A368" s="39" t="str">
        <f>IFERROR(bütünleme!L65*100/bütünleme!$I65,"")</f>
        <v/>
      </c>
      <c r="B368" s="39" t="str">
        <f>IFERROR(bütünleme!M65*100/bütünleme!$I65,"")</f>
        <v/>
      </c>
      <c r="C368" s="39" t="str">
        <f>IFERROR(bütünleme!N65*100/bütünleme!$I65,"")</f>
        <v/>
      </c>
      <c r="D368" s="39" t="str">
        <f>IFERROR(bütünleme!O65*100/bütünleme!$I65,"")</f>
        <v/>
      </c>
      <c r="E368" s="39" t="str">
        <f>IFERROR(bütünleme!P65*100/bütünleme!$I65,"")</f>
        <v/>
      </c>
      <c r="F368" s="39" t="str">
        <f>IFERROR(bütünleme!Q65*100/bütünleme!$I65,"")</f>
        <v/>
      </c>
      <c r="G368" s="39" t="str">
        <f>IFERROR(bütünleme!R65*100/bütünleme!$I65,"")</f>
        <v/>
      </c>
      <c r="H368" s="39" t="str">
        <f>IFERROR(bütünleme!S65*100/bütünleme!$I65,"")</f>
        <v/>
      </c>
      <c r="I368" s="39" t="str">
        <f>IFERROR(bütünleme!T65*100/bütünleme!$I65,"")</f>
        <v/>
      </c>
      <c r="J368" s="39" t="str">
        <f>IFERROR(bütünleme!U65*100/bütünleme!$I65,"")</f>
        <v/>
      </c>
      <c r="K368" s="39" t="str">
        <f>IFERROR(bütünleme!V65*100/bütünleme!$I65,"")</f>
        <v/>
      </c>
      <c r="L368" s="39" t="str">
        <f>IFERROR(bütünleme!W65*100/bütünleme!$I65,"")</f>
        <v/>
      </c>
      <c r="M368" s="39" t="str">
        <f>IFERROR(bütünleme!X65*100/bütünleme!$I65,"")</f>
        <v/>
      </c>
      <c r="N368" s="39" t="str">
        <f>IFERROR(bütünleme!Y65*100/bütünleme!$I65,"")</f>
        <v/>
      </c>
      <c r="O368" s="39" t="str">
        <f>IFERROR(bütünleme!Z65*100/bütünleme!$I65,"")</f>
        <v/>
      </c>
      <c r="P368" s="39" t="str">
        <f>IFERROR(bütünleme!AA65*100/bütünleme!$I65,"")</f>
        <v/>
      </c>
      <c r="Q368" s="39" t="str">
        <f>IFERROR(bütünleme!AB65*100/bütünleme!$I65,"")</f>
        <v/>
      </c>
      <c r="R368" s="39" t="str">
        <f>IFERROR(bütünleme!AC65*100/bütünleme!$I65,"")</f>
        <v/>
      </c>
      <c r="S368" s="39" t="str">
        <f>IFERROR(bütünleme!AD65*100/bütünleme!$I65,"")</f>
        <v/>
      </c>
      <c r="T368" s="39" t="str">
        <f>IFERROR(bütünleme!AE65*100/bütünleme!$I65,"")</f>
        <v/>
      </c>
      <c r="U368" s="39" t="str">
        <f>IFERROR(bütünleme!AF65*100/bütünleme!$I65,"")</f>
        <v/>
      </c>
      <c r="V368" s="39" t="str">
        <f>IFERROR(bütünleme!AG65*100/bütünleme!$I65,"")</f>
        <v/>
      </c>
      <c r="W368" s="39" t="str">
        <f>IFERROR(bütünleme!AH65*100/bütünleme!$I65,"")</f>
        <v/>
      </c>
      <c r="X368" s="39" t="str">
        <f>IFERROR(bütünleme!AI65*100/bütünleme!$I65,"")</f>
        <v/>
      </c>
      <c r="Y368" s="39" t="str">
        <f>IFERROR(bütünleme!AJ65*100/bütünleme!$I65,"")</f>
        <v/>
      </c>
      <c r="Z368" s="39" t="str">
        <f>IFERROR(bütünleme!AK65*100/bütünleme!$I65,"")</f>
        <v/>
      </c>
      <c r="AA368" s="39" t="str">
        <f>IFERROR(bütünleme!AL65*100/bütünleme!$I65,"")</f>
        <v/>
      </c>
      <c r="AB368" s="39" t="str">
        <f>IFERROR(bütünleme!AM65*100/bütünleme!$I65,"")</f>
        <v/>
      </c>
      <c r="AC368" s="39" t="str">
        <f>IFERROR(bütünleme!AN65*100/bütünleme!$I65,"")</f>
        <v/>
      </c>
      <c r="AD368" s="39" t="str">
        <f>IFERROR(bütünleme!AO65*100/bütünleme!$I65,"")</f>
        <v/>
      </c>
      <c r="AE368" s="39" t="str">
        <f>IFERROR(bütünleme!AP65*100/bütünleme!$I65,"")</f>
        <v/>
      </c>
      <c r="AF368" s="39" t="str">
        <f>IFERROR(bütünleme!AQ65*100/bütünleme!$I65,"")</f>
        <v/>
      </c>
      <c r="AG368" s="39" t="str">
        <f>IFERROR(bütünleme!AR65*100/bütünleme!$I65,"")</f>
        <v/>
      </c>
      <c r="AH368" s="39" t="str">
        <f>IFERROR(bütünleme!AS65*100/bütünleme!$I65,"")</f>
        <v/>
      </c>
      <c r="AI368" s="39" t="str">
        <f>IFERROR(bütünleme!AT65*100/bütünleme!$I65,"")</f>
        <v/>
      </c>
      <c r="AJ368" s="39" t="str">
        <f>IFERROR(bütünleme!AU65*100/bütünleme!$I65,"")</f>
        <v/>
      </c>
      <c r="AK368" s="39" t="str">
        <f>IFERROR(bütünleme!AV65*100/bütünleme!$I65,"")</f>
        <v/>
      </c>
      <c r="AL368" s="39" t="str">
        <f>IFERROR(bütünleme!AW65*100/bütünleme!$I65,"")</f>
        <v/>
      </c>
      <c r="AM368" s="39" t="str">
        <f>IFERROR(bütünleme!AX65*100/bütünleme!$I65,"")</f>
        <v/>
      </c>
      <c r="AN368" s="39" t="str">
        <f>IFERROR(bütünleme!AY65*100/bütünleme!$I65,"")</f>
        <v/>
      </c>
      <c r="AO368" s="39" t="str">
        <f>IFERROR(bütünleme!AZ65*100/bütünleme!$I65,"")</f>
        <v/>
      </c>
      <c r="AP368" s="39" t="str">
        <f>IFERROR(bütünleme!BA65*100/bütünleme!$I65,"")</f>
        <v/>
      </c>
      <c r="AQ368" s="39" t="str">
        <f>IFERROR(bütünleme!BB65*100/bütünleme!$I65,"")</f>
        <v/>
      </c>
      <c r="AR368" s="39" t="str">
        <f>IFERROR(bütünleme!BC65*100/bütünleme!$I65,"")</f>
        <v/>
      </c>
      <c r="AS368" s="39" t="str">
        <f>IFERROR(bütünleme!BD65*100/bütünleme!$I65,"")</f>
        <v/>
      </c>
      <c r="AT368" s="39" t="str">
        <f>IFERROR(bütünleme!BE65*100/bütünleme!$I65,"")</f>
        <v/>
      </c>
      <c r="AU368" s="39" t="str">
        <f>IFERROR(bütünleme!BF65*100/bütünleme!$I65,"")</f>
        <v/>
      </c>
      <c r="AV368" s="39" t="str">
        <f>IFERROR(bütünleme!BG65*100/bütünleme!$I65,"")</f>
        <v/>
      </c>
      <c r="AW368" s="39" t="str">
        <f>IFERROR(bütünleme!BH65*100/bütünleme!$I65,"")</f>
        <v/>
      </c>
      <c r="AX368" s="39" t="str">
        <f>IFERROR(bütünleme!BI65*100/bütünleme!$I65,"")</f>
        <v/>
      </c>
      <c r="AY368" s="39" t="str">
        <f>IFERROR(bütünleme!BJ65*100/bütünleme!$I65,"")</f>
        <v/>
      </c>
      <c r="AZ368" s="39" t="str">
        <f>IFERROR(bütünleme!BK65*100/bütünleme!$I65,"")</f>
        <v/>
      </c>
      <c r="BA368" s="39" t="str">
        <f>IFERROR(bütünleme!BL65*100/bütünleme!$I65,"")</f>
        <v/>
      </c>
      <c r="BB368" s="39" t="str">
        <f>IFERROR(bütünleme!BM65*100/bütünleme!$I65,"")</f>
        <v/>
      </c>
      <c r="BC368" s="39" t="str">
        <f>IFERROR(bütünleme!BN65*100/bütünleme!$I65,"")</f>
        <v/>
      </c>
      <c r="BD368" s="39" t="str">
        <f>IFERROR(bütünleme!BO65*100/bütünleme!$I65,"")</f>
        <v/>
      </c>
      <c r="BE368" s="39" t="str">
        <f>IFERROR(bütünleme!BP65*100/bütünleme!$I65,"")</f>
        <v/>
      </c>
      <c r="BF368" s="39" t="str">
        <f>IFERROR(bütünleme!BQ65*100/bütünleme!$I65,"")</f>
        <v/>
      </c>
      <c r="BG368" s="39" t="str">
        <f>IFERROR(bütünleme!BR65*100/bütünleme!$I65,"")</f>
        <v/>
      </c>
      <c r="BH368" s="39" t="str">
        <f>IFERROR(bütünleme!BS65*100/bütünleme!$I65,"")</f>
        <v/>
      </c>
      <c r="BI368" s="39" t="str">
        <f>IFERROR(bütünleme!BT65*100/bütünleme!$I65,"")</f>
        <v/>
      </c>
      <c r="BJ368" s="39" t="str">
        <f>IFERROR(bütünleme!BU65*100/bütünleme!$I65,"")</f>
        <v/>
      </c>
      <c r="BK368" s="39" t="str">
        <f>IFERROR(bütünleme!BV65*100/bütünleme!$I65,"")</f>
        <v/>
      </c>
      <c r="BL368" s="39" t="str">
        <f>IFERROR(bütünleme!BW65*100/bütünleme!$I65,"")</f>
        <v/>
      </c>
      <c r="BM368" s="39" t="str">
        <f>IFERROR(bütünleme!BX65*100/bütünleme!$I65,"")</f>
        <v/>
      </c>
      <c r="BN368" s="39" t="str">
        <f>IFERROR(bütünleme!BY65*100/bütünleme!$I65,"")</f>
        <v/>
      </c>
      <c r="BO368" s="39" t="str">
        <f>IFERROR(bütünleme!BZ65*100/bütünleme!$I65,"")</f>
        <v/>
      </c>
      <c r="BP368" s="39" t="str">
        <f>IFERROR(bütünleme!CA65*100/bütünleme!$I65,"")</f>
        <v/>
      </c>
      <c r="BQ368" s="39" t="str">
        <f>IFERROR(bütünleme!CB65*100/bütünleme!$I65,"")</f>
        <v/>
      </c>
      <c r="BR368" s="39" t="str">
        <f>IFERROR(bütünleme!CC65*100/bütünleme!$I65,"")</f>
        <v/>
      </c>
      <c r="BS368" s="39" t="str">
        <f>IFERROR(bütünleme!CD65*100/bütünleme!$I65,"")</f>
        <v/>
      </c>
      <c r="BT368" s="39" t="str">
        <f>IFERROR(bütünleme!CE65*100/bütünleme!$I65,"")</f>
        <v/>
      </c>
      <c r="BU368" s="39" t="str">
        <f>IFERROR(bütünleme!CF65*100/bütünleme!$I65,"")</f>
        <v/>
      </c>
      <c r="BV368" s="39" t="str">
        <f>IFERROR(bütünleme!CG65*100/bütünleme!$I65,"")</f>
        <v/>
      </c>
      <c r="BW368" s="39" t="str">
        <f>IFERROR(bütünleme!CH65*100/bütünleme!$I65,"")</f>
        <v/>
      </c>
      <c r="BX368" s="39" t="str">
        <f>IFERROR(bütünleme!CI65*100/bütünleme!$I65,"")</f>
        <v/>
      </c>
      <c r="BY368" s="39" t="str">
        <f>IFERROR(bütünleme!CJ65*100/bütünleme!$I65,"")</f>
        <v/>
      </c>
      <c r="BZ368" s="39" t="str">
        <f>IFERROR(bütünleme!CK65*100/bütünleme!$I65,"")</f>
        <v/>
      </c>
      <c r="CA368" s="39" t="str">
        <f>IFERROR(bütünleme!CL65*100/bütünleme!$I65,"")</f>
        <v/>
      </c>
      <c r="CB368" s="39" t="str">
        <f>IFERROR(bütünleme!CM65*100/bütünleme!$I65,"")</f>
        <v/>
      </c>
      <c r="CC368" s="39" t="str">
        <f>IFERROR(bütünleme!CN65*100/bütünleme!$I65,"")</f>
        <v/>
      </c>
      <c r="CD368" s="39" t="str">
        <f>IFERROR(bütünleme!CO65*100/bütünleme!$I65,"")</f>
        <v/>
      </c>
      <c r="CE368" s="39" t="str">
        <f>IFERROR(bütünleme!CP65*100/bütünleme!$I65,"")</f>
        <v/>
      </c>
      <c r="CF368" s="39" t="str">
        <f>IFERROR(bütünleme!CQ65*100/bütünleme!$I65,"")</f>
        <v/>
      </c>
      <c r="CG368" s="39" t="str">
        <f>IFERROR(bütünleme!CR65*100/bütünleme!$I65,"")</f>
        <v/>
      </c>
      <c r="CH368" s="39" t="str">
        <f>IFERROR(bütünleme!CS65*100/bütünleme!$I65,"")</f>
        <v/>
      </c>
      <c r="CI368" s="39" t="str">
        <f>IFERROR(bütünleme!CT65*100/bütünleme!$I65,"")</f>
        <v/>
      </c>
      <c r="CJ368" s="39" t="str">
        <f>IFERROR(bütünleme!CU65*100/bütünleme!$I65,"")</f>
        <v/>
      </c>
      <c r="CK368" s="39" t="str">
        <f>IFERROR(bütünleme!CV65*100/bütünleme!$I65,"")</f>
        <v/>
      </c>
      <c r="CL368" s="39" t="str">
        <f>IFERROR(bütünleme!CW65*100/bütünleme!$I65,"")</f>
        <v/>
      </c>
      <c r="CM368" s="39" t="str">
        <f>IFERROR(bütünleme!CX65*100/bütünleme!$I65,"")</f>
        <v/>
      </c>
      <c r="CN368" s="39" t="str">
        <f>IFERROR(bütünleme!CY65*100/bütünleme!$I65,"")</f>
        <v/>
      </c>
      <c r="CO368" s="39" t="str">
        <f>IFERROR(bütünleme!CZ65*100/bütünleme!$I65,"")</f>
        <v/>
      </c>
      <c r="CP368" s="39" t="str">
        <f>IFERROR(bütünleme!DA65*100/bütünleme!$I65,"")</f>
        <v/>
      </c>
      <c r="CQ368" s="39" t="str">
        <f>IFERROR(bütünleme!DB65*100/bütünleme!$I65,"")</f>
        <v/>
      </c>
      <c r="CR368" s="39" t="str">
        <f>IFERROR(bütünleme!DC65*100/bütünleme!$I65,"")</f>
        <v/>
      </c>
      <c r="CS368" s="39" t="str">
        <f>IFERROR(bütünleme!DD65*100/bütünleme!$I65,"")</f>
        <v/>
      </c>
      <c r="CT368" s="39" t="str">
        <f>IFERROR(bütünleme!DE65*100/bütünleme!$I65,"")</f>
        <v/>
      </c>
      <c r="CU368" s="39" t="str">
        <f>IFERROR(bütünleme!DF65*100/bütünleme!$I65,"")</f>
        <v/>
      </c>
      <c r="CV368" s="39" t="str">
        <f>IFERROR(bütünleme!DG65*100/bütünleme!$I65,"")</f>
        <v/>
      </c>
      <c r="CW368" s="36" t="str">
        <f>IFERROR(SUM(A368:CV368)/bütünleme!$DH$103,"")</f>
        <v/>
      </c>
      <c r="CX368" s="14" t="str">
        <f>IF(COUNTA(bütünleme!A65),bütünleme!A65,"")</f>
        <v/>
      </c>
      <c r="CY368" s="14" t="str">
        <f>IF(COUNTA(bütünleme!B65),bütünleme!B65,"")</f>
        <v/>
      </c>
      <c r="CZ368" s="14" t="str">
        <f>IF(COUNTA(bütünleme!C65),bütünleme!C65,"")</f>
        <v/>
      </c>
      <c r="DA368" s="14" t="str">
        <f>IF(COUNTA(bütünleme!D65),bütünleme!D65,"")</f>
        <v/>
      </c>
      <c r="DB368" s="14" t="str">
        <f>IF(COUNTA(bütünleme!E65),bütünleme!E65,"")</f>
        <v/>
      </c>
      <c r="DC368" s="14" t="str">
        <f>IF(COUNTA(bütünleme!F65),bütünleme!F65,"")</f>
        <v/>
      </c>
      <c r="DD368" s="14" t="str">
        <f>IF(COUNTA(bütünleme!G65),bütünleme!G65,"")</f>
        <v/>
      </c>
      <c r="DE368" s="14" t="str">
        <f>IF(COUNTA(bütünleme!H65),bütünleme!H65,"")</f>
        <v/>
      </c>
    </row>
    <row r="369" spans="1:109" x14ac:dyDescent="0.2">
      <c r="A369" s="39" t="str">
        <f>IFERROR(bütünleme!L66*100/bütünleme!$I66,"")</f>
        <v/>
      </c>
      <c r="B369" s="39" t="str">
        <f>IFERROR(bütünleme!M66*100/bütünleme!$I66,"")</f>
        <v/>
      </c>
      <c r="C369" s="39" t="str">
        <f>IFERROR(bütünleme!N66*100/bütünleme!$I66,"")</f>
        <v/>
      </c>
      <c r="D369" s="39" t="str">
        <f>IFERROR(bütünleme!O66*100/bütünleme!$I66,"")</f>
        <v/>
      </c>
      <c r="E369" s="39" t="str">
        <f>IFERROR(bütünleme!P66*100/bütünleme!$I66,"")</f>
        <v/>
      </c>
      <c r="F369" s="39" t="str">
        <f>IFERROR(bütünleme!Q66*100/bütünleme!$I66,"")</f>
        <v/>
      </c>
      <c r="G369" s="39" t="str">
        <f>IFERROR(bütünleme!R66*100/bütünleme!$I66,"")</f>
        <v/>
      </c>
      <c r="H369" s="39" t="str">
        <f>IFERROR(bütünleme!S66*100/bütünleme!$I66,"")</f>
        <v/>
      </c>
      <c r="I369" s="39" t="str">
        <f>IFERROR(bütünleme!T66*100/bütünleme!$I66,"")</f>
        <v/>
      </c>
      <c r="J369" s="39" t="str">
        <f>IFERROR(bütünleme!U66*100/bütünleme!$I66,"")</f>
        <v/>
      </c>
      <c r="K369" s="39" t="str">
        <f>IFERROR(bütünleme!V66*100/bütünleme!$I66,"")</f>
        <v/>
      </c>
      <c r="L369" s="39" t="str">
        <f>IFERROR(bütünleme!W66*100/bütünleme!$I66,"")</f>
        <v/>
      </c>
      <c r="M369" s="39" t="str">
        <f>IFERROR(bütünleme!X66*100/bütünleme!$I66,"")</f>
        <v/>
      </c>
      <c r="N369" s="39" t="str">
        <f>IFERROR(bütünleme!Y66*100/bütünleme!$I66,"")</f>
        <v/>
      </c>
      <c r="O369" s="39" t="str">
        <f>IFERROR(bütünleme!Z66*100/bütünleme!$I66,"")</f>
        <v/>
      </c>
      <c r="P369" s="39" t="str">
        <f>IFERROR(bütünleme!AA66*100/bütünleme!$I66,"")</f>
        <v/>
      </c>
      <c r="Q369" s="39" t="str">
        <f>IFERROR(bütünleme!AB66*100/bütünleme!$I66,"")</f>
        <v/>
      </c>
      <c r="R369" s="39" t="str">
        <f>IFERROR(bütünleme!AC66*100/bütünleme!$I66,"")</f>
        <v/>
      </c>
      <c r="S369" s="39" t="str">
        <f>IFERROR(bütünleme!AD66*100/bütünleme!$I66,"")</f>
        <v/>
      </c>
      <c r="T369" s="39" t="str">
        <f>IFERROR(bütünleme!AE66*100/bütünleme!$I66,"")</f>
        <v/>
      </c>
      <c r="U369" s="39" t="str">
        <f>IFERROR(bütünleme!AF66*100/bütünleme!$I66,"")</f>
        <v/>
      </c>
      <c r="V369" s="39" t="str">
        <f>IFERROR(bütünleme!AG66*100/bütünleme!$I66,"")</f>
        <v/>
      </c>
      <c r="W369" s="39" t="str">
        <f>IFERROR(bütünleme!AH66*100/bütünleme!$I66,"")</f>
        <v/>
      </c>
      <c r="X369" s="39" t="str">
        <f>IFERROR(bütünleme!AI66*100/bütünleme!$I66,"")</f>
        <v/>
      </c>
      <c r="Y369" s="39" t="str">
        <f>IFERROR(bütünleme!AJ66*100/bütünleme!$I66,"")</f>
        <v/>
      </c>
      <c r="Z369" s="39" t="str">
        <f>IFERROR(bütünleme!AK66*100/bütünleme!$I66,"")</f>
        <v/>
      </c>
      <c r="AA369" s="39" t="str">
        <f>IFERROR(bütünleme!AL66*100/bütünleme!$I66,"")</f>
        <v/>
      </c>
      <c r="AB369" s="39" t="str">
        <f>IFERROR(bütünleme!AM66*100/bütünleme!$I66,"")</f>
        <v/>
      </c>
      <c r="AC369" s="39" t="str">
        <f>IFERROR(bütünleme!AN66*100/bütünleme!$I66,"")</f>
        <v/>
      </c>
      <c r="AD369" s="39" t="str">
        <f>IFERROR(bütünleme!AO66*100/bütünleme!$I66,"")</f>
        <v/>
      </c>
      <c r="AE369" s="39" t="str">
        <f>IFERROR(bütünleme!AP66*100/bütünleme!$I66,"")</f>
        <v/>
      </c>
      <c r="AF369" s="39" t="str">
        <f>IFERROR(bütünleme!AQ66*100/bütünleme!$I66,"")</f>
        <v/>
      </c>
      <c r="AG369" s="39" t="str">
        <f>IFERROR(bütünleme!AR66*100/bütünleme!$I66,"")</f>
        <v/>
      </c>
      <c r="AH369" s="39" t="str">
        <f>IFERROR(bütünleme!AS66*100/bütünleme!$I66,"")</f>
        <v/>
      </c>
      <c r="AI369" s="39" t="str">
        <f>IFERROR(bütünleme!AT66*100/bütünleme!$I66,"")</f>
        <v/>
      </c>
      <c r="AJ369" s="39" t="str">
        <f>IFERROR(bütünleme!AU66*100/bütünleme!$I66,"")</f>
        <v/>
      </c>
      <c r="AK369" s="39" t="str">
        <f>IFERROR(bütünleme!AV66*100/bütünleme!$I66,"")</f>
        <v/>
      </c>
      <c r="AL369" s="39" t="str">
        <f>IFERROR(bütünleme!AW66*100/bütünleme!$I66,"")</f>
        <v/>
      </c>
      <c r="AM369" s="39" t="str">
        <f>IFERROR(bütünleme!AX66*100/bütünleme!$I66,"")</f>
        <v/>
      </c>
      <c r="AN369" s="39" t="str">
        <f>IFERROR(bütünleme!AY66*100/bütünleme!$I66,"")</f>
        <v/>
      </c>
      <c r="AO369" s="39" t="str">
        <f>IFERROR(bütünleme!AZ66*100/bütünleme!$I66,"")</f>
        <v/>
      </c>
      <c r="AP369" s="39" t="str">
        <f>IFERROR(bütünleme!BA66*100/bütünleme!$I66,"")</f>
        <v/>
      </c>
      <c r="AQ369" s="39" t="str">
        <f>IFERROR(bütünleme!BB66*100/bütünleme!$I66,"")</f>
        <v/>
      </c>
      <c r="AR369" s="39" t="str">
        <f>IFERROR(bütünleme!BC66*100/bütünleme!$I66,"")</f>
        <v/>
      </c>
      <c r="AS369" s="39" t="str">
        <f>IFERROR(bütünleme!BD66*100/bütünleme!$I66,"")</f>
        <v/>
      </c>
      <c r="AT369" s="39" t="str">
        <f>IFERROR(bütünleme!BE66*100/bütünleme!$I66,"")</f>
        <v/>
      </c>
      <c r="AU369" s="39" t="str">
        <f>IFERROR(bütünleme!BF66*100/bütünleme!$I66,"")</f>
        <v/>
      </c>
      <c r="AV369" s="39" t="str">
        <f>IFERROR(bütünleme!BG66*100/bütünleme!$I66,"")</f>
        <v/>
      </c>
      <c r="AW369" s="39" t="str">
        <f>IFERROR(bütünleme!BH66*100/bütünleme!$I66,"")</f>
        <v/>
      </c>
      <c r="AX369" s="39" t="str">
        <f>IFERROR(bütünleme!BI66*100/bütünleme!$I66,"")</f>
        <v/>
      </c>
      <c r="AY369" s="39" t="str">
        <f>IFERROR(bütünleme!BJ66*100/bütünleme!$I66,"")</f>
        <v/>
      </c>
      <c r="AZ369" s="39" t="str">
        <f>IFERROR(bütünleme!BK66*100/bütünleme!$I66,"")</f>
        <v/>
      </c>
      <c r="BA369" s="39" t="str">
        <f>IFERROR(bütünleme!BL66*100/bütünleme!$I66,"")</f>
        <v/>
      </c>
      <c r="BB369" s="39" t="str">
        <f>IFERROR(bütünleme!BM66*100/bütünleme!$I66,"")</f>
        <v/>
      </c>
      <c r="BC369" s="39" t="str">
        <f>IFERROR(bütünleme!BN66*100/bütünleme!$I66,"")</f>
        <v/>
      </c>
      <c r="BD369" s="39" t="str">
        <f>IFERROR(bütünleme!BO66*100/bütünleme!$I66,"")</f>
        <v/>
      </c>
      <c r="BE369" s="39" t="str">
        <f>IFERROR(bütünleme!BP66*100/bütünleme!$I66,"")</f>
        <v/>
      </c>
      <c r="BF369" s="39" t="str">
        <f>IFERROR(bütünleme!BQ66*100/bütünleme!$I66,"")</f>
        <v/>
      </c>
      <c r="BG369" s="39" t="str">
        <f>IFERROR(bütünleme!BR66*100/bütünleme!$I66,"")</f>
        <v/>
      </c>
      <c r="BH369" s="39" t="str">
        <f>IFERROR(bütünleme!BS66*100/bütünleme!$I66,"")</f>
        <v/>
      </c>
      <c r="BI369" s="39" t="str">
        <f>IFERROR(bütünleme!BT66*100/bütünleme!$I66,"")</f>
        <v/>
      </c>
      <c r="BJ369" s="39" t="str">
        <f>IFERROR(bütünleme!BU66*100/bütünleme!$I66,"")</f>
        <v/>
      </c>
      <c r="BK369" s="39" t="str">
        <f>IFERROR(bütünleme!BV66*100/bütünleme!$I66,"")</f>
        <v/>
      </c>
      <c r="BL369" s="39" t="str">
        <f>IFERROR(bütünleme!BW66*100/bütünleme!$I66,"")</f>
        <v/>
      </c>
      <c r="BM369" s="39" t="str">
        <f>IFERROR(bütünleme!BX66*100/bütünleme!$I66,"")</f>
        <v/>
      </c>
      <c r="BN369" s="39" t="str">
        <f>IFERROR(bütünleme!BY66*100/bütünleme!$I66,"")</f>
        <v/>
      </c>
      <c r="BO369" s="39" t="str">
        <f>IFERROR(bütünleme!BZ66*100/bütünleme!$I66,"")</f>
        <v/>
      </c>
      <c r="BP369" s="39" t="str">
        <f>IFERROR(bütünleme!CA66*100/bütünleme!$I66,"")</f>
        <v/>
      </c>
      <c r="BQ369" s="39" t="str">
        <f>IFERROR(bütünleme!CB66*100/bütünleme!$I66,"")</f>
        <v/>
      </c>
      <c r="BR369" s="39" t="str">
        <f>IFERROR(bütünleme!CC66*100/bütünleme!$I66,"")</f>
        <v/>
      </c>
      <c r="BS369" s="39" t="str">
        <f>IFERROR(bütünleme!CD66*100/bütünleme!$I66,"")</f>
        <v/>
      </c>
      <c r="BT369" s="39" t="str">
        <f>IFERROR(bütünleme!CE66*100/bütünleme!$I66,"")</f>
        <v/>
      </c>
      <c r="BU369" s="39" t="str">
        <f>IFERROR(bütünleme!CF66*100/bütünleme!$I66,"")</f>
        <v/>
      </c>
      <c r="BV369" s="39" t="str">
        <f>IFERROR(bütünleme!CG66*100/bütünleme!$I66,"")</f>
        <v/>
      </c>
      <c r="BW369" s="39" t="str">
        <f>IFERROR(bütünleme!CH66*100/bütünleme!$I66,"")</f>
        <v/>
      </c>
      <c r="BX369" s="39" t="str">
        <f>IFERROR(bütünleme!CI66*100/bütünleme!$I66,"")</f>
        <v/>
      </c>
      <c r="BY369" s="39" t="str">
        <f>IFERROR(bütünleme!CJ66*100/bütünleme!$I66,"")</f>
        <v/>
      </c>
      <c r="BZ369" s="39" t="str">
        <f>IFERROR(bütünleme!CK66*100/bütünleme!$I66,"")</f>
        <v/>
      </c>
      <c r="CA369" s="39" t="str">
        <f>IFERROR(bütünleme!CL66*100/bütünleme!$I66,"")</f>
        <v/>
      </c>
      <c r="CB369" s="39" t="str">
        <f>IFERROR(bütünleme!CM66*100/bütünleme!$I66,"")</f>
        <v/>
      </c>
      <c r="CC369" s="39" t="str">
        <f>IFERROR(bütünleme!CN66*100/bütünleme!$I66,"")</f>
        <v/>
      </c>
      <c r="CD369" s="39" t="str">
        <f>IFERROR(bütünleme!CO66*100/bütünleme!$I66,"")</f>
        <v/>
      </c>
      <c r="CE369" s="39" t="str">
        <f>IFERROR(bütünleme!CP66*100/bütünleme!$I66,"")</f>
        <v/>
      </c>
      <c r="CF369" s="39" t="str">
        <f>IFERROR(bütünleme!CQ66*100/bütünleme!$I66,"")</f>
        <v/>
      </c>
      <c r="CG369" s="39" t="str">
        <f>IFERROR(bütünleme!CR66*100/bütünleme!$I66,"")</f>
        <v/>
      </c>
      <c r="CH369" s="39" t="str">
        <f>IFERROR(bütünleme!CS66*100/bütünleme!$I66,"")</f>
        <v/>
      </c>
      <c r="CI369" s="39" t="str">
        <f>IFERROR(bütünleme!CT66*100/bütünleme!$I66,"")</f>
        <v/>
      </c>
      <c r="CJ369" s="39" t="str">
        <f>IFERROR(bütünleme!CU66*100/bütünleme!$I66,"")</f>
        <v/>
      </c>
      <c r="CK369" s="39" t="str">
        <f>IFERROR(bütünleme!CV66*100/bütünleme!$I66,"")</f>
        <v/>
      </c>
      <c r="CL369" s="39" t="str">
        <f>IFERROR(bütünleme!CW66*100/bütünleme!$I66,"")</f>
        <v/>
      </c>
      <c r="CM369" s="39" t="str">
        <f>IFERROR(bütünleme!CX66*100/bütünleme!$I66,"")</f>
        <v/>
      </c>
      <c r="CN369" s="39" t="str">
        <f>IFERROR(bütünleme!CY66*100/bütünleme!$I66,"")</f>
        <v/>
      </c>
      <c r="CO369" s="39" t="str">
        <f>IFERROR(bütünleme!CZ66*100/bütünleme!$I66,"")</f>
        <v/>
      </c>
      <c r="CP369" s="39" t="str">
        <f>IFERROR(bütünleme!DA66*100/bütünleme!$I66,"")</f>
        <v/>
      </c>
      <c r="CQ369" s="39" t="str">
        <f>IFERROR(bütünleme!DB66*100/bütünleme!$I66,"")</f>
        <v/>
      </c>
      <c r="CR369" s="39" t="str">
        <f>IFERROR(bütünleme!DC66*100/bütünleme!$I66,"")</f>
        <v/>
      </c>
      <c r="CS369" s="39" t="str">
        <f>IFERROR(bütünleme!DD66*100/bütünleme!$I66,"")</f>
        <v/>
      </c>
      <c r="CT369" s="39" t="str">
        <f>IFERROR(bütünleme!DE66*100/bütünleme!$I66,"")</f>
        <v/>
      </c>
      <c r="CU369" s="39" t="str">
        <f>IFERROR(bütünleme!DF66*100/bütünleme!$I66,"")</f>
        <v/>
      </c>
      <c r="CV369" s="39" t="str">
        <f>IFERROR(bütünleme!DG66*100/bütünleme!$I66,"")</f>
        <v/>
      </c>
      <c r="CW369" s="36" t="str">
        <f>IFERROR(SUM(A369:CV369)/bütünleme!$DH$103,"")</f>
        <v/>
      </c>
      <c r="CX369" s="14" t="str">
        <f>IF(COUNTA(bütünleme!A66),bütünleme!A66,"")</f>
        <v/>
      </c>
      <c r="CY369" s="14" t="str">
        <f>IF(COUNTA(bütünleme!B66),bütünleme!B66,"")</f>
        <v/>
      </c>
      <c r="CZ369" s="14" t="str">
        <f>IF(COUNTA(bütünleme!C66),bütünleme!C66,"")</f>
        <v/>
      </c>
      <c r="DA369" s="14" t="str">
        <f>IF(COUNTA(bütünleme!D66),bütünleme!D66,"")</f>
        <v/>
      </c>
      <c r="DB369" s="14" t="str">
        <f>IF(COUNTA(bütünleme!E66),bütünleme!E66,"")</f>
        <v/>
      </c>
      <c r="DC369" s="14" t="str">
        <f>IF(COUNTA(bütünleme!F66),bütünleme!F66,"")</f>
        <v/>
      </c>
      <c r="DD369" s="14" t="str">
        <f>IF(COUNTA(bütünleme!G66),bütünleme!G66,"")</f>
        <v/>
      </c>
      <c r="DE369" s="14" t="str">
        <f>IF(COUNTA(bütünleme!H66),bütünleme!H66,"")</f>
        <v/>
      </c>
    </row>
    <row r="370" spans="1:109" x14ac:dyDescent="0.2">
      <c r="A370" s="39" t="str">
        <f>IFERROR(bütünleme!L67*100/bütünleme!$I67,"")</f>
        <v/>
      </c>
      <c r="B370" s="39" t="str">
        <f>IFERROR(bütünleme!M67*100/bütünleme!$I67,"")</f>
        <v/>
      </c>
      <c r="C370" s="39" t="str">
        <f>IFERROR(bütünleme!N67*100/bütünleme!$I67,"")</f>
        <v/>
      </c>
      <c r="D370" s="39" t="str">
        <f>IFERROR(bütünleme!O67*100/bütünleme!$I67,"")</f>
        <v/>
      </c>
      <c r="E370" s="39" t="str">
        <f>IFERROR(bütünleme!P67*100/bütünleme!$I67,"")</f>
        <v/>
      </c>
      <c r="F370" s="39" t="str">
        <f>IFERROR(bütünleme!Q67*100/bütünleme!$I67,"")</f>
        <v/>
      </c>
      <c r="G370" s="39" t="str">
        <f>IFERROR(bütünleme!R67*100/bütünleme!$I67,"")</f>
        <v/>
      </c>
      <c r="H370" s="39" t="str">
        <f>IFERROR(bütünleme!S67*100/bütünleme!$I67,"")</f>
        <v/>
      </c>
      <c r="I370" s="39" t="str">
        <f>IFERROR(bütünleme!T67*100/bütünleme!$I67,"")</f>
        <v/>
      </c>
      <c r="J370" s="39" t="str">
        <f>IFERROR(bütünleme!U67*100/bütünleme!$I67,"")</f>
        <v/>
      </c>
      <c r="K370" s="39" t="str">
        <f>IFERROR(bütünleme!V67*100/bütünleme!$I67,"")</f>
        <v/>
      </c>
      <c r="L370" s="39" t="str">
        <f>IFERROR(bütünleme!W67*100/bütünleme!$I67,"")</f>
        <v/>
      </c>
      <c r="M370" s="39" t="str">
        <f>IFERROR(bütünleme!X67*100/bütünleme!$I67,"")</f>
        <v/>
      </c>
      <c r="N370" s="39" t="str">
        <f>IFERROR(bütünleme!Y67*100/bütünleme!$I67,"")</f>
        <v/>
      </c>
      <c r="O370" s="39" t="str">
        <f>IFERROR(bütünleme!Z67*100/bütünleme!$I67,"")</f>
        <v/>
      </c>
      <c r="P370" s="39" t="str">
        <f>IFERROR(bütünleme!AA67*100/bütünleme!$I67,"")</f>
        <v/>
      </c>
      <c r="Q370" s="39" t="str">
        <f>IFERROR(bütünleme!AB67*100/bütünleme!$I67,"")</f>
        <v/>
      </c>
      <c r="R370" s="39" t="str">
        <f>IFERROR(bütünleme!AC67*100/bütünleme!$I67,"")</f>
        <v/>
      </c>
      <c r="S370" s="39" t="str">
        <f>IFERROR(bütünleme!AD67*100/bütünleme!$I67,"")</f>
        <v/>
      </c>
      <c r="T370" s="39" t="str">
        <f>IFERROR(bütünleme!AE67*100/bütünleme!$I67,"")</f>
        <v/>
      </c>
      <c r="U370" s="39" t="str">
        <f>IFERROR(bütünleme!AF67*100/bütünleme!$I67,"")</f>
        <v/>
      </c>
      <c r="V370" s="39" t="str">
        <f>IFERROR(bütünleme!AG67*100/bütünleme!$I67,"")</f>
        <v/>
      </c>
      <c r="W370" s="39" t="str">
        <f>IFERROR(bütünleme!AH67*100/bütünleme!$I67,"")</f>
        <v/>
      </c>
      <c r="X370" s="39" t="str">
        <f>IFERROR(bütünleme!AI67*100/bütünleme!$I67,"")</f>
        <v/>
      </c>
      <c r="Y370" s="39" t="str">
        <f>IFERROR(bütünleme!AJ67*100/bütünleme!$I67,"")</f>
        <v/>
      </c>
      <c r="Z370" s="39" t="str">
        <f>IFERROR(bütünleme!AK67*100/bütünleme!$I67,"")</f>
        <v/>
      </c>
      <c r="AA370" s="39" t="str">
        <f>IFERROR(bütünleme!AL67*100/bütünleme!$I67,"")</f>
        <v/>
      </c>
      <c r="AB370" s="39" t="str">
        <f>IFERROR(bütünleme!AM67*100/bütünleme!$I67,"")</f>
        <v/>
      </c>
      <c r="AC370" s="39" t="str">
        <f>IFERROR(bütünleme!AN67*100/bütünleme!$I67,"")</f>
        <v/>
      </c>
      <c r="AD370" s="39" t="str">
        <f>IFERROR(bütünleme!AO67*100/bütünleme!$I67,"")</f>
        <v/>
      </c>
      <c r="AE370" s="39" t="str">
        <f>IFERROR(bütünleme!AP67*100/bütünleme!$I67,"")</f>
        <v/>
      </c>
      <c r="AF370" s="39" t="str">
        <f>IFERROR(bütünleme!AQ67*100/bütünleme!$I67,"")</f>
        <v/>
      </c>
      <c r="AG370" s="39" t="str">
        <f>IFERROR(bütünleme!AR67*100/bütünleme!$I67,"")</f>
        <v/>
      </c>
      <c r="AH370" s="39" t="str">
        <f>IFERROR(bütünleme!AS67*100/bütünleme!$I67,"")</f>
        <v/>
      </c>
      <c r="AI370" s="39" t="str">
        <f>IFERROR(bütünleme!AT67*100/bütünleme!$I67,"")</f>
        <v/>
      </c>
      <c r="AJ370" s="39" t="str">
        <f>IFERROR(bütünleme!AU67*100/bütünleme!$I67,"")</f>
        <v/>
      </c>
      <c r="AK370" s="39" t="str">
        <f>IFERROR(bütünleme!AV67*100/bütünleme!$I67,"")</f>
        <v/>
      </c>
      <c r="AL370" s="39" t="str">
        <f>IFERROR(bütünleme!AW67*100/bütünleme!$I67,"")</f>
        <v/>
      </c>
      <c r="AM370" s="39" t="str">
        <f>IFERROR(bütünleme!AX67*100/bütünleme!$I67,"")</f>
        <v/>
      </c>
      <c r="AN370" s="39" t="str">
        <f>IFERROR(bütünleme!AY67*100/bütünleme!$I67,"")</f>
        <v/>
      </c>
      <c r="AO370" s="39" t="str">
        <f>IFERROR(bütünleme!AZ67*100/bütünleme!$I67,"")</f>
        <v/>
      </c>
      <c r="AP370" s="39" t="str">
        <f>IFERROR(bütünleme!BA67*100/bütünleme!$I67,"")</f>
        <v/>
      </c>
      <c r="AQ370" s="39" t="str">
        <f>IFERROR(bütünleme!BB67*100/bütünleme!$I67,"")</f>
        <v/>
      </c>
      <c r="AR370" s="39" t="str">
        <f>IFERROR(bütünleme!BC67*100/bütünleme!$I67,"")</f>
        <v/>
      </c>
      <c r="AS370" s="39" t="str">
        <f>IFERROR(bütünleme!BD67*100/bütünleme!$I67,"")</f>
        <v/>
      </c>
      <c r="AT370" s="39" t="str">
        <f>IFERROR(bütünleme!BE67*100/bütünleme!$I67,"")</f>
        <v/>
      </c>
      <c r="AU370" s="39" t="str">
        <f>IFERROR(bütünleme!BF67*100/bütünleme!$I67,"")</f>
        <v/>
      </c>
      <c r="AV370" s="39" t="str">
        <f>IFERROR(bütünleme!BG67*100/bütünleme!$I67,"")</f>
        <v/>
      </c>
      <c r="AW370" s="39" t="str">
        <f>IFERROR(bütünleme!BH67*100/bütünleme!$I67,"")</f>
        <v/>
      </c>
      <c r="AX370" s="39" t="str">
        <f>IFERROR(bütünleme!BI67*100/bütünleme!$I67,"")</f>
        <v/>
      </c>
      <c r="AY370" s="39" t="str">
        <f>IFERROR(bütünleme!BJ67*100/bütünleme!$I67,"")</f>
        <v/>
      </c>
      <c r="AZ370" s="39" t="str">
        <f>IFERROR(bütünleme!BK67*100/bütünleme!$I67,"")</f>
        <v/>
      </c>
      <c r="BA370" s="39" t="str">
        <f>IFERROR(bütünleme!BL67*100/bütünleme!$I67,"")</f>
        <v/>
      </c>
      <c r="BB370" s="39" t="str">
        <f>IFERROR(bütünleme!BM67*100/bütünleme!$I67,"")</f>
        <v/>
      </c>
      <c r="BC370" s="39" t="str">
        <f>IFERROR(bütünleme!BN67*100/bütünleme!$I67,"")</f>
        <v/>
      </c>
      <c r="BD370" s="39" t="str">
        <f>IFERROR(bütünleme!BO67*100/bütünleme!$I67,"")</f>
        <v/>
      </c>
      <c r="BE370" s="39" t="str">
        <f>IFERROR(bütünleme!BP67*100/bütünleme!$I67,"")</f>
        <v/>
      </c>
      <c r="BF370" s="39" t="str">
        <f>IFERROR(bütünleme!BQ67*100/bütünleme!$I67,"")</f>
        <v/>
      </c>
      <c r="BG370" s="39" t="str">
        <f>IFERROR(bütünleme!BR67*100/bütünleme!$I67,"")</f>
        <v/>
      </c>
      <c r="BH370" s="39" t="str">
        <f>IFERROR(bütünleme!BS67*100/bütünleme!$I67,"")</f>
        <v/>
      </c>
      <c r="BI370" s="39" t="str">
        <f>IFERROR(bütünleme!BT67*100/bütünleme!$I67,"")</f>
        <v/>
      </c>
      <c r="BJ370" s="39" t="str">
        <f>IFERROR(bütünleme!BU67*100/bütünleme!$I67,"")</f>
        <v/>
      </c>
      <c r="BK370" s="39" t="str">
        <f>IFERROR(bütünleme!BV67*100/bütünleme!$I67,"")</f>
        <v/>
      </c>
      <c r="BL370" s="39" t="str">
        <f>IFERROR(bütünleme!BW67*100/bütünleme!$I67,"")</f>
        <v/>
      </c>
      <c r="BM370" s="39" t="str">
        <f>IFERROR(bütünleme!BX67*100/bütünleme!$I67,"")</f>
        <v/>
      </c>
      <c r="BN370" s="39" t="str">
        <f>IFERROR(bütünleme!BY67*100/bütünleme!$I67,"")</f>
        <v/>
      </c>
      <c r="BO370" s="39" t="str">
        <f>IFERROR(bütünleme!BZ67*100/bütünleme!$I67,"")</f>
        <v/>
      </c>
      <c r="BP370" s="39" t="str">
        <f>IFERROR(bütünleme!CA67*100/bütünleme!$I67,"")</f>
        <v/>
      </c>
      <c r="BQ370" s="39" t="str">
        <f>IFERROR(bütünleme!CB67*100/bütünleme!$I67,"")</f>
        <v/>
      </c>
      <c r="BR370" s="39" t="str">
        <f>IFERROR(bütünleme!CC67*100/bütünleme!$I67,"")</f>
        <v/>
      </c>
      <c r="BS370" s="39" t="str">
        <f>IFERROR(bütünleme!CD67*100/bütünleme!$I67,"")</f>
        <v/>
      </c>
      <c r="BT370" s="39" t="str">
        <f>IFERROR(bütünleme!CE67*100/bütünleme!$I67,"")</f>
        <v/>
      </c>
      <c r="BU370" s="39" t="str">
        <f>IFERROR(bütünleme!CF67*100/bütünleme!$I67,"")</f>
        <v/>
      </c>
      <c r="BV370" s="39" t="str">
        <f>IFERROR(bütünleme!CG67*100/bütünleme!$I67,"")</f>
        <v/>
      </c>
      <c r="BW370" s="39" t="str">
        <f>IFERROR(bütünleme!CH67*100/bütünleme!$I67,"")</f>
        <v/>
      </c>
      <c r="BX370" s="39" t="str">
        <f>IFERROR(bütünleme!CI67*100/bütünleme!$I67,"")</f>
        <v/>
      </c>
      <c r="BY370" s="39" t="str">
        <f>IFERROR(bütünleme!CJ67*100/bütünleme!$I67,"")</f>
        <v/>
      </c>
      <c r="BZ370" s="39" t="str">
        <f>IFERROR(bütünleme!CK67*100/bütünleme!$I67,"")</f>
        <v/>
      </c>
      <c r="CA370" s="39" t="str">
        <f>IFERROR(bütünleme!CL67*100/bütünleme!$I67,"")</f>
        <v/>
      </c>
      <c r="CB370" s="39" t="str">
        <f>IFERROR(bütünleme!CM67*100/bütünleme!$I67,"")</f>
        <v/>
      </c>
      <c r="CC370" s="39" t="str">
        <f>IFERROR(bütünleme!CN67*100/bütünleme!$I67,"")</f>
        <v/>
      </c>
      <c r="CD370" s="39" t="str">
        <f>IFERROR(bütünleme!CO67*100/bütünleme!$I67,"")</f>
        <v/>
      </c>
      <c r="CE370" s="39" t="str">
        <f>IFERROR(bütünleme!CP67*100/bütünleme!$I67,"")</f>
        <v/>
      </c>
      <c r="CF370" s="39" t="str">
        <f>IFERROR(bütünleme!CQ67*100/bütünleme!$I67,"")</f>
        <v/>
      </c>
      <c r="CG370" s="39" t="str">
        <f>IFERROR(bütünleme!CR67*100/bütünleme!$I67,"")</f>
        <v/>
      </c>
      <c r="CH370" s="39" t="str">
        <f>IFERROR(bütünleme!CS67*100/bütünleme!$I67,"")</f>
        <v/>
      </c>
      <c r="CI370" s="39" t="str">
        <f>IFERROR(bütünleme!CT67*100/bütünleme!$I67,"")</f>
        <v/>
      </c>
      <c r="CJ370" s="39" t="str">
        <f>IFERROR(bütünleme!CU67*100/bütünleme!$I67,"")</f>
        <v/>
      </c>
      <c r="CK370" s="39" t="str">
        <f>IFERROR(bütünleme!CV67*100/bütünleme!$I67,"")</f>
        <v/>
      </c>
      <c r="CL370" s="39" t="str">
        <f>IFERROR(bütünleme!CW67*100/bütünleme!$I67,"")</f>
        <v/>
      </c>
      <c r="CM370" s="39" t="str">
        <f>IFERROR(bütünleme!CX67*100/bütünleme!$I67,"")</f>
        <v/>
      </c>
      <c r="CN370" s="39" t="str">
        <f>IFERROR(bütünleme!CY67*100/bütünleme!$I67,"")</f>
        <v/>
      </c>
      <c r="CO370" s="39" t="str">
        <f>IFERROR(bütünleme!CZ67*100/bütünleme!$I67,"")</f>
        <v/>
      </c>
      <c r="CP370" s="39" t="str">
        <f>IFERROR(bütünleme!DA67*100/bütünleme!$I67,"")</f>
        <v/>
      </c>
      <c r="CQ370" s="39" t="str">
        <f>IFERROR(bütünleme!DB67*100/bütünleme!$I67,"")</f>
        <v/>
      </c>
      <c r="CR370" s="39" t="str">
        <f>IFERROR(bütünleme!DC67*100/bütünleme!$I67,"")</f>
        <v/>
      </c>
      <c r="CS370" s="39" t="str">
        <f>IFERROR(bütünleme!DD67*100/bütünleme!$I67,"")</f>
        <v/>
      </c>
      <c r="CT370" s="39" t="str">
        <f>IFERROR(bütünleme!DE67*100/bütünleme!$I67,"")</f>
        <v/>
      </c>
      <c r="CU370" s="39" t="str">
        <f>IFERROR(bütünleme!DF67*100/bütünleme!$I67,"")</f>
        <v/>
      </c>
      <c r="CV370" s="39" t="str">
        <f>IFERROR(bütünleme!DG67*100/bütünleme!$I67,"")</f>
        <v/>
      </c>
      <c r="CW370" s="36" t="str">
        <f>IFERROR(SUM(A370:CV370)/bütünleme!$DH$103,"")</f>
        <v/>
      </c>
      <c r="CX370" s="14" t="str">
        <f>IF(COUNTA(bütünleme!A67),bütünleme!A67,"")</f>
        <v/>
      </c>
      <c r="CY370" s="14" t="str">
        <f>IF(COUNTA(bütünleme!B67),bütünleme!B67,"")</f>
        <v/>
      </c>
      <c r="CZ370" s="14" t="str">
        <f>IF(COUNTA(bütünleme!C67),bütünleme!C67,"")</f>
        <v/>
      </c>
      <c r="DA370" s="14" t="str">
        <f>IF(COUNTA(bütünleme!D67),bütünleme!D67,"")</f>
        <v/>
      </c>
      <c r="DB370" s="14" t="str">
        <f>IF(COUNTA(bütünleme!E67),bütünleme!E67,"")</f>
        <v/>
      </c>
      <c r="DC370" s="14" t="str">
        <f>IF(COUNTA(bütünleme!F67),bütünleme!F67,"")</f>
        <v/>
      </c>
      <c r="DD370" s="14" t="str">
        <f>IF(COUNTA(bütünleme!G67),bütünleme!G67,"")</f>
        <v/>
      </c>
      <c r="DE370" s="14" t="str">
        <f>IF(COUNTA(bütünleme!H67),bütünleme!H67,"")</f>
        <v/>
      </c>
    </row>
    <row r="371" spans="1:109" x14ac:dyDescent="0.2">
      <c r="A371" s="39" t="str">
        <f>IFERROR(bütünleme!L68*100/bütünleme!$I68,"")</f>
        <v/>
      </c>
      <c r="B371" s="39" t="str">
        <f>IFERROR(bütünleme!M68*100/bütünleme!$I68,"")</f>
        <v/>
      </c>
      <c r="C371" s="39" t="str">
        <f>IFERROR(bütünleme!N68*100/bütünleme!$I68,"")</f>
        <v/>
      </c>
      <c r="D371" s="39" t="str">
        <f>IFERROR(bütünleme!O68*100/bütünleme!$I68,"")</f>
        <v/>
      </c>
      <c r="E371" s="39" t="str">
        <f>IFERROR(bütünleme!P68*100/bütünleme!$I68,"")</f>
        <v/>
      </c>
      <c r="F371" s="39" t="str">
        <f>IFERROR(bütünleme!Q68*100/bütünleme!$I68,"")</f>
        <v/>
      </c>
      <c r="G371" s="39" t="str">
        <f>IFERROR(bütünleme!R68*100/bütünleme!$I68,"")</f>
        <v/>
      </c>
      <c r="H371" s="39" t="str">
        <f>IFERROR(bütünleme!S68*100/bütünleme!$I68,"")</f>
        <v/>
      </c>
      <c r="I371" s="39" t="str">
        <f>IFERROR(bütünleme!T68*100/bütünleme!$I68,"")</f>
        <v/>
      </c>
      <c r="J371" s="39" t="str">
        <f>IFERROR(bütünleme!U68*100/bütünleme!$I68,"")</f>
        <v/>
      </c>
      <c r="K371" s="39" t="str">
        <f>IFERROR(bütünleme!V68*100/bütünleme!$I68,"")</f>
        <v/>
      </c>
      <c r="L371" s="39" t="str">
        <f>IFERROR(bütünleme!W68*100/bütünleme!$I68,"")</f>
        <v/>
      </c>
      <c r="M371" s="39" t="str">
        <f>IFERROR(bütünleme!X68*100/bütünleme!$I68,"")</f>
        <v/>
      </c>
      <c r="N371" s="39" t="str">
        <f>IFERROR(bütünleme!Y68*100/bütünleme!$I68,"")</f>
        <v/>
      </c>
      <c r="O371" s="39" t="str">
        <f>IFERROR(bütünleme!Z68*100/bütünleme!$I68,"")</f>
        <v/>
      </c>
      <c r="P371" s="39" t="str">
        <f>IFERROR(bütünleme!AA68*100/bütünleme!$I68,"")</f>
        <v/>
      </c>
      <c r="Q371" s="39" t="str">
        <f>IFERROR(bütünleme!AB68*100/bütünleme!$I68,"")</f>
        <v/>
      </c>
      <c r="R371" s="39" t="str">
        <f>IFERROR(bütünleme!AC68*100/bütünleme!$I68,"")</f>
        <v/>
      </c>
      <c r="S371" s="39" t="str">
        <f>IFERROR(bütünleme!AD68*100/bütünleme!$I68,"")</f>
        <v/>
      </c>
      <c r="T371" s="39" t="str">
        <f>IFERROR(bütünleme!AE68*100/bütünleme!$I68,"")</f>
        <v/>
      </c>
      <c r="U371" s="39" t="str">
        <f>IFERROR(bütünleme!AF68*100/bütünleme!$I68,"")</f>
        <v/>
      </c>
      <c r="V371" s="39" t="str">
        <f>IFERROR(bütünleme!AG68*100/bütünleme!$I68,"")</f>
        <v/>
      </c>
      <c r="W371" s="39" t="str">
        <f>IFERROR(bütünleme!AH68*100/bütünleme!$I68,"")</f>
        <v/>
      </c>
      <c r="X371" s="39" t="str">
        <f>IFERROR(bütünleme!AI68*100/bütünleme!$I68,"")</f>
        <v/>
      </c>
      <c r="Y371" s="39" t="str">
        <f>IFERROR(bütünleme!AJ68*100/bütünleme!$I68,"")</f>
        <v/>
      </c>
      <c r="Z371" s="39" t="str">
        <f>IFERROR(bütünleme!AK68*100/bütünleme!$I68,"")</f>
        <v/>
      </c>
      <c r="AA371" s="39" t="str">
        <f>IFERROR(bütünleme!AL68*100/bütünleme!$I68,"")</f>
        <v/>
      </c>
      <c r="AB371" s="39" t="str">
        <f>IFERROR(bütünleme!AM68*100/bütünleme!$I68,"")</f>
        <v/>
      </c>
      <c r="AC371" s="39" t="str">
        <f>IFERROR(bütünleme!AN68*100/bütünleme!$I68,"")</f>
        <v/>
      </c>
      <c r="AD371" s="39" t="str">
        <f>IFERROR(bütünleme!AO68*100/bütünleme!$I68,"")</f>
        <v/>
      </c>
      <c r="AE371" s="39" t="str">
        <f>IFERROR(bütünleme!AP68*100/bütünleme!$I68,"")</f>
        <v/>
      </c>
      <c r="AF371" s="39" t="str">
        <f>IFERROR(bütünleme!AQ68*100/bütünleme!$I68,"")</f>
        <v/>
      </c>
      <c r="AG371" s="39" t="str">
        <f>IFERROR(bütünleme!AR68*100/bütünleme!$I68,"")</f>
        <v/>
      </c>
      <c r="AH371" s="39" t="str">
        <f>IFERROR(bütünleme!AS68*100/bütünleme!$I68,"")</f>
        <v/>
      </c>
      <c r="AI371" s="39" t="str">
        <f>IFERROR(bütünleme!AT68*100/bütünleme!$I68,"")</f>
        <v/>
      </c>
      <c r="AJ371" s="39" t="str">
        <f>IFERROR(bütünleme!AU68*100/bütünleme!$I68,"")</f>
        <v/>
      </c>
      <c r="AK371" s="39" t="str">
        <f>IFERROR(bütünleme!AV68*100/bütünleme!$I68,"")</f>
        <v/>
      </c>
      <c r="AL371" s="39" t="str">
        <f>IFERROR(bütünleme!AW68*100/bütünleme!$I68,"")</f>
        <v/>
      </c>
      <c r="AM371" s="39" t="str">
        <f>IFERROR(bütünleme!AX68*100/bütünleme!$I68,"")</f>
        <v/>
      </c>
      <c r="AN371" s="39" t="str">
        <f>IFERROR(bütünleme!AY68*100/bütünleme!$I68,"")</f>
        <v/>
      </c>
      <c r="AO371" s="39" t="str">
        <f>IFERROR(bütünleme!AZ68*100/bütünleme!$I68,"")</f>
        <v/>
      </c>
      <c r="AP371" s="39" t="str">
        <f>IFERROR(bütünleme!BA68*100/bütünleme!$I68,"")</f>
        <v/>
      </c>
      <c r="AQ371" s="39" t="str">
        <f>IFERROR(bütünleme!BB68*100/bütünleme!$I68,"")</f>
        <v/>
      </c>
      <c r="AR371" s="39" t="str">
        <f>IFERROR(bütünleme!BC68*100/bütünleme!$I68,"")</f>
        <v/>
      </c>
      <c r="AS371" s="39" t="str">
        <f>IFERROR(bütünleme!BD68*100/bütünleme!$I68,"")</f>
        <v/>
      </c>
      <c r="AT371" s="39" t="str">
        <f>IFERROR(bütünleme!BE68*100/bütünleme!$I68,"")</f>
        <v/>
      </c>
      <c r="AU371" s="39" t="str">
        <f>IFERROR(bütünleme!BF68*100/bütünleme!$I68,"")</f>
        <v/>
      </c>
      <c r="AV371" s="39" t="str">
        <f>IFERROR(bütünleme!BG68*100/bütünleme!$I68,"")</f>
        <v/>
      </c>
      <c r="AW371" s="39" t="str">
        <f>IFERROR(bütünleme!BH68*100/bütünleme!$I68,"")</f>
        <v/>
      </c>
      <c r="AX371" s="39" t="str">
        <f>IFERROR(bütünleme!BI68*100/bütünleme!$I68,"")</f>
        <v/>
      </c>
      <c r="AY371" s="39" t="str">
        <f>IFERROR(bütünleme!BJ68*100/bütünleme!$I68,"")</f>
        <v/>
      </c>
      <c r="AZ371" s="39" t="str">
        <f>IFERROR(bütünleme!BK68*100/bütünleme!$I68,"")</f>
        <v/>
      </c>
      <c r="BA371" s="39" t="str">
        <f>IFERROR(bütünleme!BL68*100/bütünleme!$I68,"")</f>
        <v/>
      </c>
      <c r="BB371" s="39" t="str">
        <f>IFERROR(bütünleme!BM68*100/bütünleme!$I68,"")</f>
        <v/>
      </c>
      <c r="BC371" s="39" t="str">
        <f>IFERROR(bütünleme!BN68*100/bütünleme!$I68,"")</f>
        <v/>
      </c>
      <c r="BD371" s="39" t="str">
        <f>IFERROR(bütünleme!BO68*100/bütünleme!$I68,"")</f>
        <v/>
      </c>
      <c r="BE371" s="39" t="str">
        <f>IFERROR(bütünleme!BP68*100/bütünleme!$I68,"")</f>
        <v/>
      </c>
      <c r="BF371" s="39" t="str">
        <f>IFERROR(bütünleme!BQ68*100/bütünleme!$I68,"")</f>
        <v/>
      </c>
      <c r="BG371" s="39" t="str">
        <f>IFERROR(bütünleme!BR68*100/bütünleme!$I68,"")</f>
        <v/>
      </c>
      <c r="BH371" s="39" t="str">
        <f>IFERROR(bütünleme!BS68*100/bütünleme!$I68,"")</f>
        <v/>
      </c>
      <c r="BI371" s="39" t="str">
        <f>IFERROR(bütünleme!BT68*100/bütünleme!$I68,"")</f>
        <v/>
      </c>
      <c r="BJ371" s="39" t="str">
        <f>IFERROR(bütünleme!BU68*100/bütünleme!$I68,"")</f>
        <v/>
      </c>
      <c r="BK371" s="39" t="str">
        <f>IFERROR(bütünleme!BV68*100/bütünleme!$I68,"")</f>
        <v/>
      </c>
      <c r="BL371" s="39" t="str">
        <f>IFERROR(bütünleme!BW68*100/bütünleme!$I68,"")</f>
        <v/>
      </c>
      <c r="BM371" s="39" t="str">
        <f>IFERROR(bütünleme!BX68*100/bütünleme!$I68,"")</f>
        <v/>
      </c>
      <c r="BN371" s="39" t="str">
        <f>IFERROR(bütünleme!BY68*100/bütünleme!$I68,"")</f>
        <v/>
      </c>
      <c r="BO371" s="39" t="str">
        <f>IFERROR(bütünleme!BZ68*100/bütünleme!$I68,"")</f>
        <v/>
      </c>
      <c r="BP371" s="39" t="str">
        <f>IFERROR(bütünleme!CA68*100/bütünleme!$I68,"")</f>
        <v/>
      </c>
      <c r="BQ371" s="39" t="str">
        <f>IFERROR(bütünleme!CB68*100/bütünleme!$I68,"")</f>
        <v/>
      </c>
      <c r="BR371" s="39" t="str">
        <f>IFERROR(bütünleme!CC68*100/bütünleme!$I68,"")</f>
        <v/>
      </c>
      <c r="BS371" s="39" t="str">
        <f>IFERROR(bütünleme!CD68*100/bütünleme!$I68,"")</f>
        <v/>
      </c>
      <c r="BT371" s="39" t="str">
        <f>IFERROR(bütünleme!CE68*100/bütünleme!$I68,"")</f>
        <v/>
      </c>
      <c r="BU371" s="39" t="str">
        <f>IFERROR(bütünleme!CF68*100/bütünleme!$I68,"")</f>
        <v/>
      </c>
      <c r="BV371" s="39" t="str">
        <f>IFERROR(bütünleme!CG68*100/bütünleme!$I68,"")</f>
        <v/>
      </c>
      <c r="BW371" s="39" t="str">
        <f>IFERROR(bütünleme!CH68*100/bütünleme!$I68,"")</f>
        <v/>
      </c>
      <c r="BX371" s="39" t="str">
        <f>IFERROR(bütünleme!CI68*100/bütünleme!$I68,"")</f>
        <v/>
      </c>
      <c r="BY371" s="39" t="str">
        <f>IFERROR(bütünleme!CJ68*100/bütünleme!$I68,"")</f>
        <v/>
      </c>
      <c r="BZ371" s="39" t="str">
        <f>IFERROR(bütünleme!CK68*100/bütünleme!$I68,"")</f>
        <v/>
      </c>
      <c r="CA371" s="39" t="str">
        <f>IFERROR(bütünleme!CL68*100/bütünleme!$I68,"")</f>
        <v/>
      </c>
      <c r="CB371" s="39" t="str">
        <f>IFERROR(bütünleme!CM68*100/bütünleme!$I68,"")</f>
        <v/>
      </c>
      <c r="CC371" s="39" t="str">
        <f>IFERROR(bütünleme!CN68*100/bütünleme!$I68,"")</f>
        <v/>
      </c>
      <c r="CD371" s="39" t="str">
        <f>IFERROR(bütünleme!CO68*100/bütünleme!$I68,"")</f>
        <v/>
      </c>
      <c r="CE371" s="39" t="str">
        <f>IFERROR(bütünleme!CP68*100/bütünleme!$I68,"")</f>
        <v/>
      </c>
      <c r="CF371" s="39" t="str">
        <f>IFERROR(bütünleme!CQ68*100/bütünleme!$I68,"")</f>
        <v/>
      </c>
      <c r="CG371" s="39" t="str">
        <f>IFERROR(bütünleme!CR68*100/bütünleme!$I68,"")</f>
        <v/>
      </c>
      <c r="CH371" s="39" t="str">
        <f>IFERROR(bütünleme!CS68*100/bütünleme!$I68,"")</f>
        <v/>
      </c>
      <c r="CI371" s="39" t="str">
        <f>IFERROR(bütünleme!CT68*100/bütünleme!$I68,"")</f>
        <v/>
      </c>
      <c r="CJ371" s="39" t="str">
        <f>IFERROR(bütünleme!CU68*100/bütünleme!$I68,"")</f>
        <v/>
      </c>
      <c r="CK371" s="39" t="str">
        <f>IFERROR(bütünleme!CV68*100/bütünleme!$I68,"")</f>
        <v/>
      </c>
      <c r="CL371" s="39" t="str">
        <f>IFERROR(bütünleme!CW68*100/bütünleme!$I68,"")</f>
        <v/>
      </c>
      <c r="CM371" s="39" t="str">
        <f>IFERROR(bütünleme!CX68*100/bütünleme!$I68,"")</f>
        <v/>
      </c>
      <c r="CN371" s="39" t="str">
        <f>IFERROR(bütünleme!CY68*100/bütünleme!$I68,"")</f>
        <v/>
      </c>
      <c r="CO371" s="39" t="str">
        <f>IFERROR(bütünleme!CZ68*100/bütünleme!$I68,"")</f>
        <v/>
      </c>
      <c r="CP371" s="39" t="str">
        <f>IFERROR(bütünleme!DA68*100/bütünleme!$I68,"")</f>
        <v/>
      </c>
      <c r="CQ371" s="39" t="str">
        <f>IFERROR(bütünleme!DB68*100/bütünleme!$I68,"")</f>
        <v/>
      </c>
      <c r="CR371" s="39" t="str">
        <f>IFERROR(bütünleme!DC68*100/bütünleme!$I68,"")</f>
        <v/>
      </c>
      <c r="CS371" s="39" t="str">
        <f>IFERROR(bütünleme!DD68*100/bütünleme!$I68,"")</f>
        <v/>
      </c>
      <c r="CT371" s="39" t="str">
        <f>IFERROR(bütünleme!DE68*100/bütünleme!$I68,"")</f>
        <v/>
      </c>
      <c r="CU371" s="39" t="str">
        <f>IFERROR(bütünleme!DF68*100/bütünleme!$I68,"")</f>
        <v/>
      </c>
      <c r="CV371" s="39" t="str">
        <f>IFERROR(bütünleme!DG68*100/bütünleme!$I68,"")</f>
        <v/>
      </c>
      <c r="CW371" s="36" t="str">
        <f>IFERROR(SUM(A371:CV371)/bütünleme!$DH$103,"")</f>
        <v/>
      </c>
      <c r="CX371" s="14" t="str">
        <f>IF(COUNTA(bütünleme!A68),bütünleme!A68,"")</f>
        <v/>
      </c>
      <c r="CY371" s="14" t="str">
        <f>IF(COUNTA(bütünleme!B68),bütünleme!B68,"")</f>
        <v/>
      </c>
      <c r="CZ371" s="14" t="str">
        <f>IF(COUNTA(bütünleme!C68),bütünleme!C68,"")</f>
        <v/>
      </c>
      <c r="DA371" s="14" t="str">
        <f>IF(COUNTA(bütünleme!D68),bütünleme!D68,"")</f>
        <v/>
      </c>
      <c r="DB371" s="14" t="str">
        <f>IF(COUNTA(bütünleme!E68),bütünleme!E68,"")</f>
        <v/>
      </c>
      <c r="DC371" s="14" t="str">
        <f>IF(COUNTA(bütünleme!F68),bütünleme!F68,"")</f>
        <v/>
      </c>
      <c r="DD371" s="14" t="str">
        <f>IF(COUNTA(bütünleme!G68),bütünleme!G68,"")</f>
        <v/>
      </c>
      <c r="DE371" s="14" t="str">
        <f>IF(COUNTA(bütünleme!H68),bütünleme!H68,"")</f>
        <v/>
      </c>
    </row>
    <row r="372" spans="1:109" x14ac:dyDescent="0.2">
      <c r="A372" s="39" t="str">
        <f>IFERROR(bütünleme!L69*100/bütünleme!$I69,"")</f>
        <v/>
      </c>
      <c r="B372" s="39" t="str">
        <f>IFERROR(bütünleme!M69*100/bütünleme!$I69,"")</f>
        <v/>
      </c>
      <c r="C372" s="39" t="str">
        <f>IFERROR(bütünleme!N69*100/bütünleme!$I69,"")</f>
        <v/>
      </c>
      <c r="D372" s="39" t="str">
        <f>IFERROR(bütünleme!O69*100/bütünleme!$I69,"")</f>
        <v/>
      </c>
      <c r="E372" s="39" t="str">
        <f>IFERROR(bütünleme!P69*100/bütünleme!$I69,"")</f>
        <v/>
      </c>
      <c r="F372" s="39" t="str">
        <f>IFERROR(bütünleme!Q69*100/bütünleme!$I69,"")</f>
        <v/>
      </c>
      <c r="G372" s="39" t="str">
        <f>IFERROR(bütünleme!R69*100/bütünleme!$I69,"")</f>
        <v/>
      </c>
      <c r="H372" s="39" t="str">
        <f>IFERROR(bütünleme!S69*100/bütünleme!$I69,"")</f>
        <v/>
      </c>
      <c r="I372" s="39" t="str">
        <f>IFERROR(bütünleme!T69*100/bütünleme!$I69,"")</f>
        <v/>
      </c>
      <c r="J372" s="39" t="str">
        <f>IFERROR(bütünleme!U69*100/bütünleme!$I69,"")</f>
        <v/>
      </c>
      <c r="K372" s="39" t="str">
        <f>IFERROR(bütünleme!V69*100/bütünleme!$I69,"")</f>
        <v/>
      </c>
      <c r="L372" s="39" t="str">
        <f>IFERROR(bütünleme!W69*100/bütünleme!$I69,"")</f>
        <v/>
      </c>
      <c r="M372" s="39" t="str">
        <f>IFERROR(bütünleme!X69*100/bütünleme!$I69,"")</f>
        <v/>
      </c>
      <c r="N372" s="39" t="str">
        <f>IFERROR(bütünleme!Y69*100/bütünleme!$I69,"")</f>
        <v/>
      </c>
      <c r="O372" s="39" t="str">
        <f>IFERROR(bütünleme!Z69*100/bütünleme!$I69,"")</f>
        <v/>
      </c>
      <c r="P372" s="39" t="str">
        <f>IFERROR(bütünleme!AA69*100/bütünleme!$I69,"")</f>
        <v/>
      </c>
      <c r="Q372" s="39" t="str">
        <f>IFERROR(bütünleme!AB69*100/bütünleme!$I69,"")</f>
        <v/>
      </c>
      <c r="R372" s="39" t="str">
        <f>IFERROR(bütünleme!AC69*100/bütünleme!$I69,"")</f>
        <v/>
      </c>
      <c r="S372" s="39" t="str">
        <f>IFERROR(bütünleme!AD69*100/bütünleme!$I69,"")</f>
        <v/>
      </c>
      <c r="T372" s="39" t="str">
        <f>IFERROR(bütünleme!AE69*100/bütünleme!$I69,"")</f>
        <v/>
      </c>
      <c r="U372" s="39" t="str">
        <f>IFERROR(bütünleme!AF69*100/bütünleme!$I69,"")</f>
        <v/>
      </c>
      <c r="V372" s="39" t="str">
        <f>IFERROR(bütünleme!AG69*100/bütünleme!$I69,"")</f>
        <v/>
      </c>
      <c r="W372" s="39" t="str">
        <f>IFERROR(bütünleme!AH69*100/bütünleme!$I69,"")</f>
        <v/>
      </c>
      <c r="X372" s="39" t="str">
        <f>IFERROR(bütünleme!AI69*100/bütünleme!$I69,"")</f>
        <v/>
      </c>
      <c r="Y372" s="39" t="str">
        <f>IFERROR(bütünleme!AJ69*100/bütünleme!$I69,"")</f>
        <v/>
      </c>
      <c r="Z372" s="39" t="str">
        <f>IFERROR(bütünleme!AK69*100/bütünleme!$I69,"")</f>
        <v/>
      </c>
      <c r="AA372" s="39" t="str">
        <f>IFERROR(bütünleme!AL69*100/bütünleme!$I69,"")</f>
        <v/>
      </c>
      <c r="AB372" s="39" t="str">
        <f>IFERROR(bütünleme!AM69*100/bütünleme!$I69,"")</f>
        <v/>
      </c>
      <c r="AC372" s="39" t="str">
        <f>IFERROR(bütünleme!AN69*100/bütünleme!$I69,"")</f>
        <v/>
      </c>
      <c r="AD372" s="39" t="str">
        <f>IFERROR(bütünleme!AO69*100/bütünleme!$I69,"")</f>
        <v/>
      </c>
      <c r="AE372" s="39" t="str">
        <f>IFERROR(bütünleme!AP69*100/bütünleme!$I69,"")</f>
        <v/>
      </c>
      <c r="AF372" s="39" t="str">
        <f>IFERROR(bütünleme!AQ69*100/bütünleme!$I69,"")</f>
        <v/>
      </c>
      <c r="AG372" s="39" t="str">
        <f>IFERROR(bütünleme!AR69*100/bütünleme!$I69,"")</f>
        <v/>
      </c>
      <c r="AH372" s="39" t="str">
        <f>IFERROR(bütünleme!AS69*100/bütünleme!$I69,"")</f>
        <v/>
      </c>
      <c r="AI372" s="39" t="str">
        <f>IFERROR(bütünleme!AT69*100/bütünleme!$I69,"")</f>
        <v/>
      </c>
      <c r="AJ372" s="39" t="str">
        <f>IFERROR(bütünleme!AU69*100/bütünleme!$I69,"")</f>
        <v/>
      </c>
      <c r="AK372" s="39" t="str">
        <f>IFERROR(bütünleme!AV69*100/bütünleme!$I69,"")</f>
        <v/>
      </c>
      <c r="AL372" s="39" t="str">
        <f>IFERROR(bütünleme!AW69*100/bütünleme!$I69,"")</f>
        <v/>
      </c>
      <c r="AM372" s="39" t="str">
        <f>IFERROR(bütünleme!AX69*100/bütünleme!$I69,"")</f>
        <v/>
      </c>
      <c r="AN372" s="39" t="str">
        <f>IFERROR(bütünleme!AY69*100/bütünleme!$I69,"")</f>
        <v/>
      </c>
      <c r="AO372" s="39" t="str">
        <f>IFERROR(bütünleme!AZ69*100/bütünleme!$I69,"")</f>
        <v/>
      </c>
      <c r="AP372" s="39" t="str">
        <f>IFERROR(bütünleme!BA69*100/bütünleme!$I69,"")</f>
        <v/>
      </c>
      <c r="AQ372" s="39" t="str">
        <f>IFERROR(bütünleme!BB69*100/bütünleme!$I69,"")</f>
        <v/>
      </c>
      <c r="AR372" s="39" t="str">
        <f>IFERROR(bütünleme!BC69*100/bütünleme!$I69,"")</f>
        <v/>
      </c>
      <c r="AS372" s="39" t="str">
        <f>IFERROR(bütünleme!BD69*100/bütünleme!$I69,"")</f>
        <v/>
      </c>
      <c r="AT372" s="39" t="str">
        <f>IFERROR(bütünleme!BE69*100/bütünleme!$I69,"")</f>
        <v/>
      </c>
      <c r="AU372" s="39" t="str">
        <f>IFERROR(bütünleme!BF69*100/bütünleme!$I69,"")</f>
        <v/>
      </c>
      <c r="AV372" s="39" t="str">
        <f>IFERROR(bütünleme!BG69*100/bütünleme!$I69,"")</f>
        <v/>
      </c>
      <c r="AW372" s="39" t="str">
        <f>IFERROR(bütünleme!BH69*100/bütünleme!$I69,"")</f>
        <v/>
      </c>
      <c r="AX372" s="39" t="str">
        <f>IFERROR(bütünleme!BI69*100/bütünleme!$I69,"")</f>
        <v/>
      </c>
      <c r="AY372" s="39" t="str">
        <f>IFERROR(bütünleme!BJ69*100/bütünleme!$I69,"")</f>
        <v/>
      </c>
      <c r="AZ372" s="39" t="str">
        <f>IFERROR(bütünleme!BK69*100/bütünleme!$I69,"")</f>
        <v/>
      </c>
      <c r="BA372" s="39" t="str">
        <f>IFERROR(bütünleme!BL69*100/bütünleme!$I69,"")</f>
        <v/>
      </c>
      <c r="BB372" s="39" t="str">
        <f>IFERROR(bütünleme!BM69*100/bütünleme!$I69,"")</f>
        <v/>
      </c>
      <c r="BC372" s="39" t="str">
        <f>IFERROR(bütünleme!BN69*100/bütünleme!$I69,"")</f>
        <v/>
      </c>
      <c r="BD372" s="39" t="str">
        <f>IFERROR(bütünleme!BO69*100/bütünleme!$I69,"")</f>
        <v/>
      </c>
      <c r="BE372" s="39" t="str">
        <f>IFERROR(bütünleme!BP69*100/bütünleme!$I69,"")</f>
        <v/>
      </c>
      <c r="BF372" s="39" t="str">
        <f>IFERROR(bütünleme!BQ69*100/bütünleme!$I69,"")</f>
        <v/>
      </c>
      <c r="BG372" s="39" t="str">
        <f>IFERROR(bütünleme!BR69*100/bütünleme!$I69,"")</f>
        <v/>
      </c>
      <c r="BH372" s="39" t="str">
        <f>IFERROR(bütünleme!BS69*100/bütünleme!$I69,"")</f>
        <v/>
      </c>
      <c r="BI372" s="39" t="str">
        <f>IFERROR(bütünleme!BT69*100/bütünleme!$I69,"")</f>
        <v/>
      </c>
      <c r="BJ372" s="39" t="str">
        <f>IFERROR(bütünleme!BU69*100/bütünleme!$I69,"")</f>
        <v/>
      </c>
      <c r="BK372" s="39" t="str">
        <f>IFERROR(bütünleme!BV69*100/bütünleme!$I69,"")</f>
        <v/>
      </c>
      <c r="BL372" s="39" t="str">
        <f>IFERROR(bütünleme!BW69*100/bütünleme!$I69,"")</f>
        <v/>
      </c>
      <c r="BM372" s="39" t="str">
        <f>IFERROR(bütünleme!BX69*100/bütünleme!$I69,"")</f>
        <v/>
      </c>
      <c r="BN372" s="39" t="str">
        <f>IFERROR(bütünleme!BY69*100/bütünleme!$I69,"")</f>
        <v/>
      </c>
      <c r="BO372" s="39" t="str">
        <f>IFERROR(bütünleme!BZ69*100/bütünleme!$I69,"")</f>
        <v/>
      </c>
      <c r="BP372" s="39" t="str">
        <f>IFERROR(bütünleme!CA69*100/bütünleme!$I69,"")</f>
        <v/>
      </c>
      <c r="BQ372" s="39" t="str">
        <f>IFERROR(bütünleme!CB69*100/bütünleme!$I69,"")</f>
        <v/>
      </c>
      <c r="BR372" s="39" t="str">
        <f>IFERROR(bütünleme!CC69*100/bütünleme!$I69,"")</f>
        <v/>
      </c>
      <c r="BS372" s="39" t="str">
        <f>IFERROR(bütünleme!CD69*100/bütünleme!$I69,"")</f>
        <v/>
      </c>
      <c r="BT372" s="39" t="str">
        <f>IFERROR(bütünleme!CE69*100/bütünleme!$I69,"")</f>
        <v/>
      </c>
      <c r="BU372" s="39" t="str">
        <f>IFERROR(bütünleme!CF69*100/bütünleme!$I69,"")</f>
        <v/>
      </c>
      <c r="BV372" s="39" t="str">
        <f>IFERROR(bütünleme!CG69*100/bütünleme!$I69,"")</f>
        <v/>
      </c>
      <c r="BW372" s="39" t="str">
        <f>IFERROR(bütünleme!CH69*100/bütünleme!$I69,"")</f>
        <v/>
      </c>
      <c r="BX372" s="39" t="str">
        <f>IFERROR(bütünleme!CI69*100/bütünleme!$I69,"")</f>
        <v/>
      </c>
      <c r="BY372" s="39" t="str">
        <f>IFERROR(bütünleme!CJ69*100/bütünleme!$I69,"")</f>
        <v/>
      </c>
      <c r="BZ372" s="39" t="str">
        <f>IFERROR(bütünleme!CK69*100/bütünleme!$I69,"")</f>
        <v/>
      </c>
      <c r="CA372" s="39" t="str">
        <f>IFERROR(bütünleme!CL69*100/bütünleme!$I69,"")</f>
        <v/>
      </c>
      <c r="CB372" s="39" t="str">
        <f>IFERROR(bütünleme!CM69*100/bütünleme!$I69,"")</f>
        <v/>
      </c>
      <c r="CC372" s="39" t="str">
        <f>IFERROR(bütünleme!CN69*100/bütünleme!$I69,"")</f>
        <v/>
      </c>
      <c r="CD372" s="39" t="str">
        <f>IFERROR(bütünleme!CO69*100/bütünleme!$I69,"")</f>
        <v/>
      </c>
      <c r="CE372" s="39" t="str">
        <f>IFERROR(bütünleme!CP69*100/bütünleme!$I69,"")</f>
        <v/>
      </c>
      <c r="CF372" s="39" t="str">
        <f>IFERROR(bütünleme!CQ69*100/bütünleme!$I69,"")</f>
        <v/>
      </c>
      <c r="CG372" s="39" t="str">
        <f>IFERROR(bütünleme!CR69*100/bütünleme!$I69,"")</f>
        <v/>
      </c>
      <c r="CH372" s="39" t="str">
        <f>IFERROR(bütünleme!CS69*100/bütünleme!$I69,"")</f>
        <v/>
      </c>
      <c r="CI372" s="39" t="str">
        <f>IFERROR(bütünleme!CT69*100/bütünleme!$I69,"")</f>
        <v/>
      </c>
      <c r="CJ372" s="39" t="str">
        <f>IFERROR(bütünleme!CU69*100/bütünleme!$I69,"")</f>
        <v/>
      </c>
      <c r="CK372" s="39" t="str">
        <f>IFERROR(bütünleme!CV69*100/bütünleme!$I69,"")</f>
        <v/>
      </c>
      <c r="CL372" s="39" t="str">
        <f>IFERROR(bütünleme!CW69*100/bütünleme!$I69,"")</f>
        <v/>
      </c>
      <c r="CM372" s="39" t="str">
        <f>IFERROR(bütünleme!CX69*100/bütünleme!$I69,"")</f>
        <v/>
      </c>
      <c r="CN372" s="39" t="str">
        <f>IFERROR(bütünleme!CY69*100/bütünleme!$I69,"")</f>
        <v/>
      </c>
      <c r="CO372" s="39" t="str">
        <f>IFERROR(bütünleme!CZ69*100/bütünleme!$I69,"")</f>
        <v/>
      </c>
      <c r="CP372" s="39" t="str">
        <f>IFERROR(bütünleme!DA69*100/bütünleme!$I69,"")</f>
        <v/>
      </c>
      <c r="CQ372" s="39" t="str">
        <f>IFERROR(bütünleme!DB69*100/bütünleme!$I69,"")</f>
        <v/>
      </c>
      <c r="CR372" s="39" t="str">
        <f>IFERROR(bütünleme!DC69*100/bütünleme!$I69,"")</f>
        <v/>
      </c>
      <c r="CS372" s="39" t="str">
        <f>IFERROR(bütünleme!DD69*100/bütünleme!$I69,"")</f>
        <v/>
      </c>
      <c r="CT372" s="39" t="str">
        <f>IFERROR(bütünleme!DE69*100/bütünleme!$I69,"")</f>
        <v/>
      </c>
      <c r="CU372" s="39" t="str">
        <f>IFERROR(bütünleme!DF69*100/bütünleme!$I69,"")</f>
        <v/>
      </c>
      <c r="CV372" s="39" t="str">
        <f>IFERROR(bütünleme!DG69*100/bütünleme!$I69,"")</f>
        <v/>
      </c>
      <c r="CW372" s="36" t="str">
        <f>IFERROR(SUM(A372:CV372)/bütünleme!$DH$103,"")</f>
        <v/>
      </c>
      <c r="CX372" s="14" t="str">
        <f>IF(COUNTA(bütünleme!A69),bütünleme!A69,"")</f>
        <v/>
      </c>
      <c r="CY372" s="14" t="str">
        <f>IF(COUNTA(bütünleme!B69),bütünleme!B69,"")</f>
        <v/>
      </c>
      <c r="CZ372" s="14" t="str">
        <f>IF(COUNTA(bütünleme!C69),bütünleme!C69,"")</f>
        <v/>
      </c>
      <c r="DA372" s="14" t="str">
        <f>IF(COUNTA(bütünleme!D69),bütünleme!D69,"")</f>
        <v/>
      </c>
      <c r="DB372" s="14" t="str">
        <f>IF(COUNTA(bütünleme!E69),bütünleme!E69,"")</f>
        <v/>
      </c>
      <c r="DC372" s="14" t="str">
        <f>IF(COUNTA(bütünleme!F69),bütünleme!F69,"")</f>
        <v/>
      </c>
      <c r="DD372" s="14" t="str">
        <f>IF(COUNTA(bütünleme!G69),bütünleme!G69,"")</f>
        <v/>
      </c>
      <c r="DE372" s="14" t="str">
        <f>IF(COUNTA(bütünleme!H69),bütünleme!H69,"")</f>
        <v/>
      </c>
    </row>
    <row r="373" spans="1:109" x14ac:dyDescent="0.2">
      <c r="A373" s="39" t="str">
        <f>IFERROR(bütünleme!L70*100/bütünleme!$I70,"")</f>
        <v/>
      </c>
      <c r="B373" s="39" t="str">
        <f>IFERROR(bütünleme!M70*100/bütünleme!$I70,"")</f>
        <v/>
      </c>
      <c r="C373" s="39" t="str">
        <f>IFERROR(bütünleme!N70*100/bütünleme!$I70,"")</f>
        <v/>
      </c>
      <c r="D373" s="39" t="str">
        <f>IFERROR(bütünleme!O70*100/bütünleme!$I70,"")</f>
        <v/>
      </c>
      <c r="E373" s="39" t="str">
        <f>IFERROR(bütünleme!P70*100/bütünleme!$I70,"")</f>
        <v/>
      </c>
      <c r="F373" s="39" t="str">
        <f>IFERROR(bütünleme!Q70*100/bütünleme!$I70,"")</f>
        <v/>
      </c>
      <c r="G373" s="39" t="str">
        <f>IFERROR(bütünleme!R70*100/bütünleme!$I70,"")</f>
        <v/>
      </c>
      <c r="H373" s="39" t="str">
        <f>IFERROR(bütünleme!S70*100/bütünleme!$I70,"")</f>
        <v/>
      </c>
      <c r="I373" s="39" t="str">
        <f>IFERROR(bütünleme!T70*100/bütünleme!$I70,"")</f>
        <v/>
      </c>
      <c r="J373" s="39" t="str">
        <f>IFERROR(bütünleme!U70*100/bütünleme!$I70,"")</f>
        <v/>
      </c>
      <c r="K373" s="39" t="str">
        <f>IFERROR(bütünleme!V70*100/bütünleme!$I70,"")</f>
        <v/>
      </c>
      <c r="L373" s="39" t="str">
        <f>IFERROR(bütünleme!W70*100/bütünleme!$I70,"")</f>
        <v/>
      </c>
      <c r="M373" s="39" t="str">
        <f>IFERROR(bütünleme!X70*100/bütünleme!$I70,"")</f>
        <v/>
      </c>
      <c r="N373" s="39" t="str">
        <f>IFERROR(bütünleme!Y70*100/bütünleme!$I70,"")</f>
        <v/>
      </c>
      <c r="O373" s="39" t="str">
        <f>IFERROR(bütünleme!Z70*100/bütünleme!$I70,"")</f>
        <v/>
      </c>
      <c r="P373" s="39" t="str">
        <f>IFERROR(bütünleme!AA70*100/bütünleme!$I70,"")</f>
        <v/>
      </c>
      <c r="Q373" s="39" t="str">
        <f>IFERROR(bütünleme!AB70*100/bütünleme!$I70,"")</f>
        <v/>
      </c>
      <c r="R373" s="39" t="str">
        <f>IFERROR(bütünleme!AC70*100/bütünleme!$I70,"")</f>
        <v/>
      </c>
      <c r="S373" s="39" t="str">
        <f>IFERROR(bütünleme!AD70*100/bütünleme!$I70,"")</f>
        <v/>
      </c>
      <c r="T373" s="39" t="str">
        <f>IFERROR(bütünleme!AE70*100/bütünleme!$I70,"")</f>
        <v/>
      </c>
      <c r="U373" s="39" t="str">
        <f>IFERROR(bütünleme!AF70*100/bütünleme!$I70,"")</f>
        <v/>
      </c>
      <c r="V373" s="39" t="str">
        <f>IFERROR(bütünleme!AG70*100/bütünleme!$I70,"")</f>
        <v/>
      </c>
      <c r="W373" s="39" t="str">
        <f>IFERROR(bütünleme!AH70*100/bütünleme!$I70,"")</f>
        <v/>
      </c>
      <c r="X373" s="39" t="str">
        <f>IFERROR(bütünleme!AI70*100/bütünleme!$I70,"")</f>
        <v/>
      </c>
      <c r="Y373" s="39" t="str">
        <f>IFERROR(bütünleme!AJ70*100/bütünleme!$I70,"")</f>
        <v/>
      </c>
      <c r="Z373" s="39" t="str">
        <f>IFERROR(bütünleme!AK70*100/bütünleme!$I70,"")</f>
        <v/>
      </c>
      <c r="AA373" s="39" t="str">
        <f>IFERROR(bütünleme!AL70*100/bütünleme!$I70,"")</f>
        <v/>
      </c>
      <c r="AB373" s="39" t="str">
        <f>IFERROR(bütünleme!AM70*100/bütünleme!$I70,"")</f>
        <v/>
      </c>
      <c r="AC373" s="39" t="str">
        <f>IFERROR(bütünleme!AN70*100/bütünleme!$I70,"")</f>
        <v/>
      </c>
      <c r="AD373" s="39" t="str">
        <f>IFERROR(bütünleme!AO70*100/bütünleme!$I70,"")</f>
        <v/>
      </c>
      <c r="AE373" s="39" t="str">
        <f>IFERROR(bütünleme!AP70*100/bütünleme!$I70,"")</f>
        <v/>
      </c>
      <c r="AF373" s="39" t="str">
        <f>IFERROR(bütünleme!AQ70*100/bütünleme!$I70,"")</f>
        <v/>
      </c>
      <c r="AG373" s="39" t="str">
        <f>IFERROR(bütünleme!AR70*100/bütünleme!$I70,"")</f>
        <v/>
      </c>
      <c r="AH373" s="39" t="str">
        <f>IFERROR(bütünleme!AS70*100/bütünleme!$I70,"")</f>
        <v/>
      </c>
      <c r="AI373" s="39" t="str">
        <f>IFERROR(bütünleme!AT70*100/bütünleme!$I70,"")</f>
        <v/>
      </c>
      <c r="AJ373" s="39" t="str">
        <f>IFERROR(bütünleme!AU70*100/bütünleme!$I70,"")</f>
        <v/>
      </c>
      <c r="AK373" s="39" t="str">
        <f>IFERROR(bütünleme!AV70*100/bütünleme!$I70,"")</f>
        <v/>
      </c>
      <c r="AL373" s="39" t="str">
        <f>IFERROR(bütünleme!AW70*100/bütünleme!$I70,"")</f>
        <v/>
      </c>
      <c r="AM373" s="39" t="str">
        <f>IFERROR(bütünleme!AX70*100/bütünleme!$I70,"")</f>
        <v/>
      </c>
      <c r="AN373" s="39" t="str">
        <f>IFERROR(bütünleme!AY70*100/bütünleme!$I70,"")</f>
        <v/>
      </c>
      <c r="AO373" s="39" t="str">
        <f>IFERROR(bütünleme!AZ70*100/bütünleme!$I70,"")</f>
        <v/>
      </c>
      <c r="AP373" s="39" t="str">
        <f>IFERROR(bütünleme!BA70*100/bütünleme!$I70,"")</f>
        <v/>
      </c>
      <c r="AQ373" s="39" t="str">
        <f>IFERROR(bütünleme!BB70*100/bütünleme!$I70,"")</f>
        <v/>
      </c>
      <c r="AR373" s="39" t="str">
        <f>IFERROR(bütünleme!BC70*100/bütünleme!$I70,"")</f>
        <v/>
      </c>
      <c r="AS373" s="39" t="str">
        <f>IFERROR(bütünleme!BD70*100/bütünleme!$I70,"")</f>
        <v/>
      </c>
      <c r="AT373" s="39" t="str">
        <f>IFERROR(bütünleme!BE70*100/bütünleme!$I70,"")</f>
        <v/>
      </c>
      <c r="AU373" s="39" t="str">
        <f>IFERROR(bütünleme!BF70*100/bütünleme!$I70,"")</f>
        <v/>
      </c>
      <c r="AV373" s="39" t="str">
        <f>IFERROR(bütünleme!BG70*100/bütünleme!$I70,"")</f>
        <v/>
      </c>
      <c r="AW373" s="39" t="str">
        <f>IFERROR(bütünleme!BH70*100/bütünleme!$I70,"")</f>
        <v/>
      </c>
      <c r="AX373" s="39" t="str">
        <f>IFERROR(bütünleme!BI70*100/bütünleme!$I70,"")</f>
        <v/>
      </c>
      <c r="AY373" s="39" t="str">
        <f>IFERROR(bütünleme!BJ70*100/bütünleme!$I70,"")</f>
        <v/>
      </c>
      <c r="AZ373" s="39" t="str">
        <f>IFERROR(bütünleme!BK70*100/bütünleme!$I70,"")</f>
        <v/>
      </c>
      <c r="BA373" s="39" t="str">
        <f>IFERROR(bütünleme!BL70*100/bütünleme!$I70,"")</f>
        <v/>
      </c>
      <c r="BB373" s="39" t="str">
        <f>IFERROR(bütünleme!BM70*100/bütünleme!$I70,"")</f>
        <v/>
      </c>
      <c r="BC373" s="39" t="str">
        <f>IFERROR(bütünleme!BN70*100/bütünleme!$I70,"")</f>
        <v/>
      </c>
      <c r="BD373" s="39" t="str">
        <f>IFERROR(bütünleme!BO70*100/bütünleme!$I70,"")</f>
        <v/>
      </c>
      <c r="BE373" s="39" t="str">
        <f>IFERROR(bütünleme!BP70*100/bütünleme!$I70,"")</f>
        <v/>
      </c>
      <c r="BF373" s="39" t="str">
        <f>IFERROR(bütünleme!BQ70*100/bütünleme!$I70,"")</f>
        <v/>
      </c>
      <c r="BG373" s="39" t="str">
        <f>IFERROR(bütünleme!BR70*100/bütünleme!$I70,"")</f>
        <v/>
      </c>
      <c r="BH373" s="39" t="str">
        <f>IFERROR(bütünleme!BS70*100/bütünleme!$I70,"")</f>
        <v/>
      </c>
      <c r="BI373" s="39" t="str">
        <f>IFERROR(bütünleme!BT70*100/bütünleme!$I70,"")</f>
        <v/>
      </c>
      <c r="BJ373" s="39" t="str">
        <f>IFERROR(bütünleme!BU70*100/bütünleme!$I70,"")</f>
        <v/>
      </c>
      <c r="BK373" s="39" t="str">
        <f>IFERROR(bütünleme!BV70*100/bütünleme!$I70,"")</f>
        <v/>
      </c>
      <c r="BL373" s="39" t="str">
        <f>IFERROR(bütünleme!BW70*100/bütünleme!$I70,"")</f>
        <v/>
      </c>
      <c r="BM373" s="39" t="str">
        <f>IFERROR(bütünleme!BX70*100/bütünleme!$I70,"")</f>
        <v/>
      </c>
      <c r="BN373" s="39" t="str">
        <f>IFERROR(bütünleme!BY70*100/bütünleme!$I70,"")</f>
        <v/>
      </c>
      <c r="BO373" s="39" t="str">
        <f>IFERROR(bütünleme!BZ70*100/bütünleme!$I70,"")</f>
        <v/>
      </c>
      <c r="BP373" s="39" t="str">
        <f>IFERROR(bütünleme!CA70*100/bütünleme!$I70,"")</f>
        <v/>
      </c>
      <c r="BQ373" s="39" t="str">
        <f>IFERROR(bütünleme!CB70*100/bütünleme!$I70,"")</f>
        <v/>
      </c>
      <c r="BR373" s="39" t="str">
        <f>IFERROR(bütünleme!CC70*100/bütünleme!$I70,"")</f>
        <v/>
      </c>
      <c r="BS373" s="39" t="str">
        <f>IFERROR(bütünleme!CD70*100/bütünleme!$I70,"")</f>
        <v/>
      </c>
      <c r="BT373" s="39" t="str">
        <f>IFERROR(bütünleme!CE70*100/bütünleme!$I70,"")</f>
        <v/>
      </c>
      <c r="BU373" s="39" t="str">
        <f>IFERROR(bütünleme!CF70*100/bütünleme!$I70,"")</f>
        <v/>
      </c>
      <c r="BV373" s="39" t="str">
        <f>IFERROR(bütünleme!CG70*100/bütünleme!$I70,"")</f>
        <v/>
      </c>
      <c r="BW373" s="39" t="str">
        <f>IFERROR(bütünleme!CH70*100/bütünleme!$I70,"")</f>
        <v/>
      </c>
      <c r="BX373" s="39" t="str">
        <f>IFERROR(bütünleme!CI70*100/bütünleme!$I70,"")</f>
        <v/>
      </c>
      <c r="BY373" s="39" t="str">
        <f>IFERROR(bütünleme!CJ70*100/bütünleme!$I70,"")</f>
        <v/>
      </c>
      <c r="BZ373" s="39" t="str">
        <f>IFERROR(bütünleme!CK70*100/bütünleme!$I70,"")</f>
        <v/>
      </c>
      <c r="CA373" s="39" t="str">
        <f>IFERROR(bütünleme!CL70*100/bütünleme!$I70,"")</f>
        <v/>
      </c>
      <c r="CB373" s="39" t="str">
        <f>IFERROR(bütünleme!CM70*100/bütünleme!$I70,"")</f>
        <v/>
      </c>
      <c r="CC373" s="39" t="str">
        <f>IFERROR(bütünleme!CN70*100/bütünleme!$I70,"")</f>
        <v/>
      </c>
      <c r="CD373" s="39" t="str">
        <f>IFERROR(bütünleme!CO70*100/bütünleme!$I70,"")</f>
        <v/>
      </c>
      <c r="CE373" s="39" t="str">
        <f>IFERROR(bütünleme!CP70*100/bütünleme!$I70,"")</f>
        <v/>
      </c>
      <c r="CF373" s="39" t="str">
        <f>IFERROR(bütünleme!CQ70*100/bütünleme!$I70,"")</f>
        <v/>
      </c>
      <c r="CG373" s="39" t="str">
        <f>IFERROR(bütünleme!CR70*100/bütünleme!$I70,"")</f>
        <v/>
      </c>
      <c r="CH373" s="39" t="str">
        <f>IFERROR(bütünleme!CS70*100/bütünleme!$I70,"")</f>
        <v/>
      </c>
      <c r="CI373" s="39" t="str">
        <f>IFERROR(bütünleme!CT70*100/bütünleme!$I70,"")</f>
        <v/>
      </c>
      <c r="CJ373" s="39" t="str">
        <f>IFERROR(bütünleme!CU70*100/bütünleme!$I70,"")</f>
        <v/>
      </c>
      <c r="CK373" s="39" t="str">
        <f>IFERROR(bütünleme!CV70*100/bütünleme!$I70,"")</f>
        <v/>
      </c>
      <c r="CL373" s="39" t="str">
        <f>IFERROR(bütünleme!CW70*100/bütünleme!$I70,"")</f>
        <v/>
      </c>
      <c r="CM373" s="39" t="str">
        <f>IFERROR(bütünleme!CX70*100/bütünleme!$I70,"")</f>
        <v/>
      </c>
      <c r="CN373" s="39" t="str">
        <f>IFERROR(bütünleme!CY70*100/bütünleme!$I70,"")</f>
        <v/>
      </c>
      <c r="CO373" s="39" t="str">
        <f>IFERROR(bütünleme!CZ70*100/bütünleme!$I70,"")</f>
        <v/>
      </c>
      <c r="CP373" s="39" t="str">
        <f>IFERROR(bütünleme!DA70*100/bütünleme!$I70,"")</f>
        <v/>
      </c>
      <c r="CQ373" s="39" t="str">
        <f>IFERROR(bütünleme!DB70*100/bütünleme!$I70,"")</f>
        <v/>
      </c>
      <c r="CR373" s="39" t="str">
        <f>IFERROR(bütünleme!DC70*100/bütünleme!$I70,"")</f>
        <v/>
      </c>
      <c r="CS373" s="39" t="str">
        <f>IFERROR(bütünleme!DD70*100/bütünleme!$I70,"")</f>
        <v/>
      </c>
      <c r="CT373" s="39" t="str">
        <f>IFERROR(bütünleme!DE70*100/bütünleme!$I70,"")</f>
        <v/>
      </c>
      <c r="CU373" s="39" t="str">
        <f>IFERROR(bütünleme!DF70*100/bütünleme!$I70,"")</f>
        <v/>
      </c>
      <c r="CV373" s="39" t="str">
        <f>IFERROR(bütünleme!DG70*100/bütünleme!$I70,"")</f>
        <v/>
      </c>
      <c r="CW373" s="36" t="str">
        <f>IFERROR(SUM(A373:CV373)/bütünleme!$DH$103,"")</f>
        <v/>
      </c>
      <c r="CX373" s="14" t="str">
        <f>IF(COUNTA(bütünleme!A70),bütünleme!A70,"")</f>
        <v/>
      </c>
      <c r="CY373" s="14" t="str">
        <f>IF(COUNTA(bütünleme!B70),bütünleme!B70,"")</f>
        <v/>
      </c>
      <c r="CZ373" s="14" t="str">
        <f>IF(COUNTA(bütünleme!C70),bütünleme!C70,"")</f>
        <v/>
      </c>
      <c r="DA373" s="14" t="str">
        <f>IF(COUNTA(bütünleme!D70),bütünleme!D70,"")</f>
        <v/>
      </c>
      <c r="DB373" s="14" t="str">
        <f>IF(COUNTA(bütünleme!E70),bütünleme!E70,"")</f>
        <v/>
      </c>
      <c r="DC373" s="14" t="str">
        <f>IF(COUNTA(bütünleme!F70),bütünleme!F70,"")</f>
        <v/>
      </c>
      <c r="DD373" s="14" t="str">
        <f>IF(COUNTA(bütünleme!G70),bütünleme!G70,"")</f>
        <v/>
      </c>
      <c r="DE373" s="14" t="str">
        <f>IF(COUNTA(bütünleme!H70),bütünleme!H70,"")</f>
        <v/>
      </c>
    </row>
    <row r="374" spans="1:109" x14ac:dyDescent="0.2">
      <c r="A374" s="39" t="str">
        <f>IFERROR(bütünleme!L71*100/bütünleme!$I71,"")</f>
        <v/>
      </c>
      <c r="B374" s="39" t="str">
        <f>IFERROR(bütünleme!M71*100/bütünleme!$I71,"")</f>
        <v/>
      </c>
      <c r="C374" s="39" t="str">
        <f>IFERROR(bütünleme!N71*100/bütünleme!$I71,"")</f>
        <v/>
      </c>
      <c r="D374" s="39" t="str">
        <f>IFERROR(bütünleme!O71*100/bütünleme!$I71,"")</f>
        <v/>
      </c>
      <c r="E374" s="39" t="str">
        <f>IFERROR(bütünleme!P71*100/bütünleme!$I71,"")</f>
        <v/>
      </c>
      <c r="F374" s="39" t="str">
        <f>IFERROR(bütünleme!Q71*100/bütünleme!$I71,"")</f>
        <v/>
      </c>
      <c r="G374" s="39" t="str">
        <f>IFERROR(bütünleme!R71*100/bütünleme!$I71,"")</f>
        <v/>
      </c>
      <c r="H374" s="39" t="str">
        <f>IFERROR(bütünleme!S71*100/bütünleme!$I71,"")</f>
        <v/>
      </c>
      <c r="I374" s="39" t="str">
        <f>IFERROR(bütünleme!T71*100/bütünleme!$I71,"")</f>
        <v/>
      </c>
      <c r="J374" s="39" t="str">
        <f>IFERROR(bütünleme!U71*100/bütünleme!$I71,"")</f>
        <v/>
      </c>
      <c r="K374" s="39" t="str">
        <f>IFERROR(bütünleme!V71*100/bütünleme!$I71,"")</f>
        <v/>
      </c>
      <c r="L374" s="39" t="str">
        <f>IFERROR(bütünleme!W71*100/bütünleme!$I71,"")</f>
        <v/>
      </c>
      <c r="M374" s="39" t="str">
        <f>IFERROR(bütünleme!X71*100/bütünleme!$I71,"")</f>
        <v/>
      </c>
      <c r="N374" s="39" t="str">
        <f>IFERROR(bütünleme!Y71*100/bütünleme!$I71,"")</f>
        <v/>
      </c>
      <c r="O374" s="39" t="str">
        <f>IFERROR(bütünleme!Z71*100/bütünleme!$I71,"")</f>
        <v/>
      </c>
      <c r="P374" s="39" t="str">
        <f>IFERROR(bütünleme!AA71*100/bütünleme!$I71,"")</f>
        <v/>
      </c>
      <c r="Q374" s="39" t="str">
        <f>IFERROR(bütünleme!AB71*100/bütünleme!$I71,"")</f>
        <v/>
      </c>
      <c r="R374" s="39" t="str">
        <f>IFERROR(bütünleme!AC71*100/bütünleme!$I71,"")</f>
        <v/>
      </c>
      <c r="S374" s="39" t="str">
        <f>IFERROR(bütünleme!AD71*100/bütünleme!$I71,"")</f>
        <v/>
      </c>
      <c r="T374" s="39" t="str">
        <f>IFERROR(bütünleme!AE71*100/bütünleme!$I71,"")</f>
        <v/>
      </c>
      <c r="U374" s="39" t="str">
        <f>IFERROR(bütünleme!AF71*100/bütünleme!$I71,"")</f>
        <v/>
      </c>
      <c r="V374" s="39" t="str">
        <f>IFERROR(bütünleme!AG71*100/bütünleme!$I71,"")</f>
        <v/>
      </c>
      <c r="W374" s="39" t="str">
        <f>IFERROR(bütünleme!AH71*100/bütünleme!$I71,"")</f>
        <v/>
      </c>
      <c r="X374" s="39" t="str">
        <f>IFERROR(bütünleme!AI71*100/bütünleme!$I71,"")</f>
        <v/>
      </c>
      <c r="Y374" s="39" t="str">
        <f>IFERROR(bütünleme!AJ71*100/bütünleme!$I71,"")</f>
        <v/>
      </c>
      <c r="Z374" s="39" t="str">
        <f>IFERROR(bütünleme!AK71*100/bütünleme!$I71,"")</f>
        <v/>
      </c>
      <c r="AA374" s="39" t="str">
        <f>IFERROR(bütünleme!AL71*100/bütünleme!$I71,"")</f>
        <v/>
      </c>
      <c r="AB374" s="39" t="str">
        <f>IFERROR(bütünleme!AM71*100/bütünleme!$I71,"")</f>
        <v/>
      </c>
      <c r="AC374" s="39" t="str">
        <f>IFERROR(bütünleme!AN71*100/bütünleme!$I71,"")</f>
        <v/>
      </c>
      <c r="AD374" s="39" t="str">
        <f>IFERROR(bütünleme!AO71*100/bütünleme!$I71,"")</f>
        <v/>
      </c>
      <c r="AE374" s="39" t="str">
        <f>IFERROR(bütünleme!AP71*100/bütünleme!$I71,"")</f>
        <v/>
      </c>
      <c r="AF374" s="39" t="str">
        <f>IFERROR(bütünleme!AQ71*100/bütünleme!$I71,"")</f>
        <v/>
      </c>
      <c r="AG374" s="39" t="str">
        <f>IFERROR(bütünleme!AR71*100/bütünleme!$I71,"")</f>
        <v/>
      </c>
      <c r="AH374" s="39" t="str">
        <f>IFERROR(bütünleme!AS71*100/bütünleme!$I71,"")</f>
        <v/>
      </c>
      <c r="AI374" s="39" t="str">
        <f>IFERROR(bütünleme!AT71*100/bütünleme!$I71,"")</f>
        <v/>
      </c>
      <c r="AJ374" s="39" t="str">
        <f>IFERROR(bütünleme!AU71*100/bütünleme!$I71,"")</f>
        <v/>
      </c>
      <c r="AK374" s="39" t="str">
        <f>IFERROR(bütünleme!AV71*100/bütünleme!$I71,"")</f>
        <v/>
      </c>
      <c r="AL374" s="39" t="str">
        <f>IFERROR(bütünleme!AW71*100/bütünleme!$I71,"")</f>
        <v/>
      </c>
      <c r="AM374" s="39" t="str">
        <f>IFERROR(bütünleme!AX71*100/bütünleme!$I71,"")</f>
        <v/>
      </c>
      <c r="AN374" s="39" t="str">
        <f>IFERROR(bütünleme!AY71*100/bütünleme!$I71,"")</f>
        <v/>
      </c>
      <c r="AO374" s="39" t="str">
        <f>IFERROR(bütünleme!AZ71*100/bütünleme!$I71,"")</f>
        <v/>
      </c>
      <c r="AP374" s="39" t="str">
        <f>IFERROR(bütünleme!BA71*100/bütünleme!$I71,"")</f>
        <v/>
      </c>
      <c r="AQ374" s="39" t="str">
        <f>IFERROR(bütünleme!BB71*100/bütünleme!$I71,"")</f>
        <v/>
      </c>
      <c r="AR374" s="39" t="str">
        <f>IFERROR(bütünleme!BC71*100/bütünleme!$I71,"")</f>
        <v/>
      </c>
      <c r="AS374" s="39" t="str">
        <f>IFERROR(bütünleme!BD71*100/bütünleme!$I71,"")</f>
        <v/>
      </c>
      <c r="AT374" s="39" t="str">
        <f>IFERROR(bütünleme!BE71*100/bütünleme!$I71,"")</f>
        <v/>
      </c>
      <c r="AU374" s="39" t="str">
        <f>IFERROR(bütünleme!BF71*100/bütünleme!$I71,"")</f>
        <v/>
      </c>
      <c r="AV374" s="39" t="str">
        <f>IFERROR(bütünleme!BG71*100/bütünleme!$I71,"")</f>
        <v/>
      </c>
      <c r="AW374" s="39" t="str">
        <f>IFERROR(bütünleme!BH71*100/bütünleme!$I71,"")</f>
        <v/>
      </c>
      <c r="AX374" s="39" t="str">
        <f>IFERROR(bütünleme!BI71*100/bütünleme!$I71,"")</f>
        <v/>
      </c>
      <c r="AY374" s="39" t="str">
        <f>IFERROR(bütünleme!BJ71*100/bütünleme!$I71,"")</f>
        <v/>
      </c>
      <c r="AZ374" s="39" t="str">
        <f>IFERROR(bütünleme!BK71*100/bütünleme!$I71,"")</f>
        <v/>
      </c>
      <c r="BA374" s="39" t="str">
        <f>IFERROR(bütünleme!BL71*100/bütünleme!$I71,"")</f>
        <v/>
      </c>
      <c r="BB374" s="39" t="str">
        <f>IFERROR(bütünleme!BM71*100/bütünleme!$I71,"")</f>
        <v/>
      </c>
      <c r="BC374" s="39" t="str">
        <f>IFERROR(bütünleme!BN71*100/bütünleme!$I71,"")</f>
        <v/>
      </c>
      <c r="BD374" s="39" t="str">
        <f>IFERROR(bütünleme!BO71*100/bütünleme!$I71,"")</f>
        <v/>
      </c>
      <c r="BE374" s="39" t="str">
        <f>IFERROR(bütünleme!BP71*100/bütünleme!$I71,"")</f>
        <v/>
      </c>
      <c r="BF374" s="39" t="str">
        <f>IFERROR(bütünleme!BQ71*100/bütünleme!$I71,"")</f>
        <v/>
      </c>
      <c r="BG374" s="39" t="str">
        <f>IFERROR(bütünleme!BR71*100/bütünleme!$I71,"")</f>
        <v/>
      </c>
      <c r="BH374" s="39" t="str">
        <f>IFERROR(bütünleme!BS71*100/bütünleme!$I71,"")</f>
        <v/>
      </c>
      <c r="BI374" s="39" t="str">
        <f>IFERROR(bütünleme!BT71*100/bütünleme!$I71,"")</f>
        <v/>
      </c>
      <c r="BJ374" s="39" t="str">
        <f>IFERROR(bütünleme!BU71*100/bütünleme!$I71,"")</f>
        <v/>
      </c>
      <c r="BK374" s="39" t="str">
        <f>IFERROR(bütünleme!BV71*100/bütünleme!$I71,"")</f>
        <v/>
      </c>
      <c r="BL374" s="39" t="str">
        <f>IFERROR(bütünleme!BW71*100/bütünleme!$I71,"")</f>
        <v/>
      </c>
      <c r="BM374" s="39" t="str">
        <f>IFERROR(bütünleme!BX71*100/bütünleme!$I71,"")</f>
        <v/>
      </c>
      <c r="BN374" s="39" t="str">
        <f>IFERROR(bütünleme!BY71*100/bütünleme!$I71,"")</f>
        <v/>
      </c>
      <c r="BO374" s="39" t="str">
        <f>IFERROR(bütünleme!BZ71*100/bütünleme!$I71,"")</f>
        <v/>
      </c>
      <c r="BP374" s="39" t="str">
        <f>IFERROR(bütünleme!CA71*100/bütünleme!$I71,"")</f>
        <v/>
      </c>
      <c r="BQ374" s="39" t="str">
        <f>IFERROR(bütünleme!CB71*100/bütünleme!$I71,"")</f>
        <v/>
      </c>
      <c r="BR374" s="39" t="str">
        <f>IFERROR(bütünleme!CC71*100/bütünleme!$I71,"")</f>
        <v/>
      </c>
      <c r="BS374" s="39" t="str">
        <f>IFERROR(bütünleme!CD71*100/bütünleme!$I71,"")</f>
        <v/>
      </c>
      <c r="BT374" s="39" t="str">
        <f>IFERROR(bütünleme!CE71*100/bütünleme!$I71,"")</f>
        <v/>
      </c>
      <c r="BU374" s="39" t="str">
        <f>IFERROR(bütünleme!CF71*100/bütünleme!$I71,"")</f>
        <v/>
      </c>
      <c r="BV374" s="39" t="str">
        <f>IFERROR(bütünleme!CG71*100/bütünleme!$I71,"")</f>
        <v/>
      </c>
      <c r="BW374" s="39" t="str">
        <f>IFERROR(bütünleme!CH71*100/bütünleme!$I71,"")</f>
        <v/>
      </c>
      <c r="BX374" s="39" t="str">
        <f>IFERROR(bütünleme!CI71*100/bütünleme!$I71,"")</f>
        <v/>
      </c>
      <c r="BY374" s="39" t="str">
        <f>IFERROR(bütünleme!CJ71*100/bütünleme!$I71,"")</f>
        <v/>
      </c>
      <c r="BZ374" s="39" t="str">
        <f>IFERROR(bütünleme!CK71*100/bütünleme!$I71,"")</f>
        <v/>
      </c>
      <c r="CA374" s="39" t="str">
        <f>IFERROR(bütünleme!CL71*100/bütünleme!$I71,"")</f>
        <v/>
      </c>
      <c r="CB374" s="39" t="str">
        <f>IFERROR(bütünleme!CM71*100/bütünleme!$I71,"")</f>
        <v/>
      </c>
      <c r="CC374" s="39" t="str">
        <f>IFERROR(bütünleme!CN71*100/bütünleme!$I71,"")</f>
        <v/>
      </c>
      <c r="CD374" s="39" t="str">
        <f>IFERROR(bütünleme!CO71*100/bütünleme!$I71,"")</f>
        <v/>
      </c>
      <c r="CE374" s="39" t="str">
        <f>IFERROR(bütünleme!CP71*100/bütünleme!$I71,"")</f>
        <v/>
      </c>
      <c r="CF374" s="39" t="str">
        <f>IFERROR(bütünleme!CQ71*100/bütünleme!$I71,"")</f>
        <v/>
      </c>
      <c r="CG374" s="39" t="str">
        <f>IFERROR(bütünleme!CR71*100/bütünleme!$I71,"")</f>
        <v/>
      </c>
      <c r="CH374" s="39" t="str">
        <f>IFERROR(bütünleme!CS71*100/bütünleme!$I71,"")</f>
        <v/>
      </c>
      <c r="CI374" s="39" t="str">
        <f>IFERROR(bütünleme!CT71*100/bütünleme!$I71,"")</f>
        <v/>
      </c>
      <c r="CJ374" s="39" t="str">
        <f>IFERROR(bütünleme!CU71*100/bütünleme!$I71,"")</f>
        <v/>
      </c>
      <c r="CK374" s="39" t="str">
        <f>IFERROR(bütünleme!CV71*100/bütünleme!$I71,"")</f>
        <v/>
      </c>
      <c r="CL374" s="39" t="str">
        <f>IFERROR(bütünleme!CW71*100/bütünleme!$I71,"")</f>
        <v/>
      </c>
      <c r="CM374" s="39" t="str">
        <f>IFERROR(bütünleme!CX71*100/bütünleme!$I71,"")</f>
        <v/>
      </c>
      <c r="CN374" s="39" t="str">
        <f>IFERROR(bütünleme!CY71*100/bütünleme!$I71,"")</f>
        <v/>
      </c>
      <c r="CO374" s="39" t="str">
        <f>IFERROR(bütünleme!CZ71*100/bütünleme!$I71,"")</f>
        <v/>
      </c>
      <c r="CP374" s="39" t="str">
        <f>IFERROR(bütünleme!DA71*100/bütünleme!$I71,"")</f>
        <v/>
      </c>
      <c r="CQ374" s="39" t="str">
        <f>IFERROR(bütünleme!DB71*100/bütünleme!$I71,"")</f>
        <v/>
      </c>
      <c r="CR374" s="39" t="str">
        <f>IFERROR(bütünleme!DC71*100/bütünleme!$I71,"")</f>
        <v/>
      </c>
      <c r="CS374" s="39" t="str">
        <f>IFERROR(bütünleme!DD71*100/bütünleme!$I71,"")</f>
        <v/>
      </c>
      <c r="CT374" s="39" t="str">
        <f>IFERROR(bütünleme!DE71*100/bütünleme!$I71,"")</f>
        <v/>
      </c>
      <c r="CU374" s="39" t="str">
        <f>IFERROR(bütünleme!DF71*100/bütünleme!$I71,"")</f>
        <v/>
      </c>
      <c r="CV374" s="39" t="str">
        <f>IFERROR(bütünleme!DG71*100/bütünleme!$I71,"")</f>
        <v/>
      </c>
      <c r="CW374" s="36" t="str">
        <f>IFERROR(SUM(A374:CV374)/bütünleme!$DH$103,"")</f>
        <v/>
      </c>
      <c r="CX374" s="14" t="str">
        <f>IF(COUNTA(bütünleme!A71),bütünleme!A71,"")</f>
        <v/>
      </c>
      <c r="CY374" s="14" t="str">
        <f>IF(COUNTA(bütünleme!B71),bütünleme!B71,"")</f>
        <v/>
      </c>
      <c r="CZ374" s="14" t="str">
        <f>IF(COUNTA(bütünleme!C71),bütünleme!C71,"")</f>
        <v/>
      </c>
      <c r="DA374" s="14" t="str">
        <f>IF(COUNTA(bütünleme!D71),bütünleme!D71,"")</f>
        <v/>
      </c>
      <c r="DB374" s="14" t="str">
        <f>IF(COUNTA(bütünleme!E71),bütünleme!E71,"")</f>
        <v/>
      </c>
      <c r="DC374" s="14" t="str">
        <f>IF(COUNTA(bütünleme!F71),bütünleme!F71,"")</f>
        <v/>
      </c>
      <c r="DD374" s="14" t="str">
        <f>IF(COUNTA(bütünleme!G71),bütünleme!G71,"")</f>
        <v/>
      </c>
      <c r="DE374" s="14" t="str">
        <f>IF(COUNTA(bütünleme!H71),bütünleme!H71,"")</f>
        <v/>
      </c>
    </row>
    <row r="375" spans="1:109" x14ac:dyDescent="0.2">
      <c r="A375" s="39" t="str">
        <f>IFERROR(bütünleme!L72*100/bütünleme!$I72,"")</f>
        <v/>
      </c>
      <c r="B375" s="39" t="str">
        <f>IFERROR(bütünleme!M72*100/bütünleme!$I72,"")</f>
        <v/>
      </c>
      <c r="C375" s="39" t="str">
        <f>IFERROR(bütünleme!N72*100/bütünleme!$I72,"")</f>
        <v/>
      </c>
      <c r="D375" s="39" t="str">
        <f>IFERROR(bütünleme!O72*100/bütünleme!$I72,"")</f>
        <v/>
      </c>
      <c r="E375" s="39" t="str">
        <f>IFERROR(bütünleme!P72*100/bütünleme!$I72,"")</f>
        <v/>
      </c>
      <c r="F375" s="39" t="str">
        <f>IFERROR(bütünleme!Q72*100/bütünleme!$I72,"")</f>
        <v/>
      </c>
      <c r="G375" s="39" t="str">
        <f>IFERROR(bütünleme!R72*100/bütünleme!$I72,"")</f>
        <v/>
      </c>
      <c r="H375" s="39" t="str">
        <f>IFERROR(bütünleme!S72*100/bütünleme!$I72,"")</f>
        <v/>
      </c>
      <c r="I375" s="39" t="str">
        <f>IFERROR(bütünleme!T72*100/bütünleme!$I72,"")</f>
        <v/>
      </c>
      <c r="J375" s="39" t="str">
        <f>IFERROR(bütünleme!U72*100/bütünleme!$I72,"")</f>
        <v/>
      </c>
      <c r="K375" s="39" t="str">
        <f>IFERROR(bütünleme!V72*100/bütünleme!$I72,"")</f>
        <v/>
      </c>
      <c r="L375" s="39" t="str">
        <f>IFERROR(bütünleme!W72*100/bütünleme!$I72,"")</f>
        <v/>
      </c>
      <c r="M375" s="39" t="str">
        <f>IFERROR(bütünleme!X72*100/bütünleme!$I72,"")</f>
        <v/>
      </c>
      <c r="N375" s="39" t="str">
        <f>IFERROR(bütünleme!Y72*100/bütünleme!$I72,"")</f>
        <v/>
      </c>
      <c r="O375" s="39" t="str">
        <f>IFERROR(bütünleme!Z72*100/bütünleme!$I72,"")</f>
        <v/>
      </c>
      <c r="P375" s="39" t="str">
        <f>IFERROR(bütünleme!AA72*100/bütünleme!$I72,"")</f>
        <v/>
      </c>
      <c r="Q375" s="39" t="str">
        <f>IFERROR(bütünleme!AB72*100/bütünleme!$I72,"")</f>
        <v/>
      </c>
      <c r="R375" s="39" t="str">
        <f>IFERROR(bütünleme!AC72*100/bütünleme!$I72,"")</f>
        <v/>
      </c>
      <c r="S375" s="39" t="str">
        <f>IFERROR(bütünleme!AD72*100/bütünleme!$I72,"")</f>
        <v/>
      </c>
      <c r="T375" s="39" t="str">
        <f>IFERROR(bütünleme!AE72*100/bütünleme!$I72,"")</f>
        <v/>
      </c>
      <c r="U375" s="39" t="str">
        <f>IFERROR(bütünleme!AF72*100/bütünleme!$I72,"")</f>
        <v/>
      </c>
      <c r="V375" s="39" t="str">
        <f>IFERROR(bütünleme!AG72*100/bütünleme!$I72,"")</f>
        <v/>
      </c>
      <c r="W375" s="39" t="str">
        <f>IFERROR(bütünleme!AH72*100/bütünleme!$I72,"")</f>
        <v/>
      </c>
      <c r="X375" s="39" t="str">
        <f>IFERROR(bütünleme!AI72*100/bütünleme!$I72,"")</f>
        <v/>
      </c>
      <c r="Y375" s="39" t="str">
        <f>IFERROR(bütünleme!AJ72*100/bütünleme!$I72,"")</f>
        <v/>
      </c>
      <c r="Z375" s="39" t="str">
        <f>IFERROR(bütünleme!AK72*100/bütünleme!$I72,"")</f>
        <v/>
      </c>
      <c r="AA375" s="39" t="str">
        <f>IFERROR(bütünleme!AL72*100/bütünleme!$I72,"")</f>
        <v/>
      </c>
      <c r="AB375" s="39" t="str">
        <f>IFERROR(bütünleme!AM72*100/bütünleme!$I72,"")</f>
        <v/>
      </c>
      <c r="AC375" s="39" t="str">
        <f>IFERROR(bütünleme!AN72*100/bütünleme!$I72,"")</f>
        <v/>
      </c>
      <c r="AD375" s="39" t="str">
        <f>IFERROR(bütünleme!AO72*100/bütünleme!$I72,"")</f>
        <v/>
      </c>
      <c r="AE375" s="39" t="str">
        <f>IFERROR(bütünleme!AP72*100/bütünleme!$I72,"")</f>
        <v/>
      </c>
      <c r="AF375" s="39" t="str">
        <f>IFERROR(bütünleme!AQ72*100/bütünleme!$I72,"")</f>
        <v/>
      </c>
      <c r="AG375" s="39" t="str">
        <f>IFERROR(bütünleme!AR72*100/bütünleme!$I72,"")</f>
        <v/>
      </c>
      <c r="AH375" s="39" t="str">
        <f>IFERROR(bütünleme!AS72*100/bütünleme!$I72,"")</f>
        <v/>
      </c>
      <c r="AI375" s="39" t="str">
        <f>IFERROR(bütünleme!AT72*100/bütünleme!$I72,"")</f>
        <v/>
      </c>
      <c r="AJ375" s="39" t="str">
        <f>IFERROR(bütünleme!AU72*100/bütünleme!$I72,"")</f>
        <v/>
      </c>
      <c r="AK375" s="39" t="str">
        <f>IFERROR(bütünleme!AV72*100/bütünleme!$I72,"")</f>
        <v/>
      </c>
      <c r="AL375" s="39" t="str">
        <f>IFERROR(bütünleme!AW72*100/bütünleme!$I72,"")</f>
        <v/>
      </c>
      <c r="AM375" s="39" t="str">
        <f>IFERROR(bütünleme!AX72*100/bütünleme!$I72,"")</f>
        <v/>
      </c>
      <c r="AN375" s="39" t="str">
        <f>IFERROR(bütünleme!AY72*100/bütünleme!$I72,"")</f>
        <v/>
      </c>
      <c r="AO375" s="39" t="str">
        <f>IFERROR(bütünleme!AZ72*100/bütünleme!$I72,"")</f>
        <v/>
      </c>
      <c r="AP375" s="39" t="str">
        <f>IFERROR(bütünleme!BA72*100/bütünleme!$I72,"")</f>
        <v/>
      </c>
      <c r="AQ375" s="39" t="str">
        <f>IFERROR(bütünleme!BB72*100/bütünleme!$I72,"")</f>
        <v/>
      </c>
      <c r="AR375" s="39" t="str">
        <f>IFERROR(bütünleme!BC72*100/bütünleme!$I72,"")</f>
        <v/>
      </c>
      <c r="AS375" s="39" t="str">
        <f>IFERROR(bütünleme!BD72*100/bütünleme!$I72,"")</f>
        <v/>
      </c>
      <c r="AT375" s="39" t="str">
        <f>IFERROR(bütünleme!BE72*100/bütünleme!$I72,"")</f>
        <v/>
      </c>
      <c r="AU375" s="39" t="str">
        <f>IFERROR(bütünleme!BF72*100/bütünleme!$I72,"")</f>
        <v/>
      </c>
      <c r="AV375" s="39" t="str">
        <f>IFERROR(bütünleme!BG72*100/bütünleme!$I72,"")</f>
        <v/>
      </c>
      <c r="AW375" s="39" t="str">
        <f>IFERROR(bütünleme!BH72*100/bütünleme!$I72,"")</f>
        <v/>
      </c>
      <c r="AX375" s="39" t="str">
        <f>IFERROR(bütünleme!BI72*100/bütünleme!$I72,"")</f>
        <v/>
      </c>
      <c r="AY375" s="39" t="str">
        <f>IFERROR(bütünleme!BJ72*100/bütünleme!$I72,"")</f>
        <v/>
      </c>
      <c r="AZ375" s="39" t="str">
        <f>IFERROR(bütünleme!BK72*100/bütünleme!$I72,"")</f>
        <v/>
      </c>
      <c r="BA375" s="39" t="str">
        <f>IFERROR(bütünleme!BL72*100/bütünleme!$I72,"")</f>
        <v/>
      </c>
      <c r="BB375" s="39" t="str">
        <f>IFERROR(bütünleme!BM72*100/bütünleme!$I72,"")</f>
        <v/>
      </c>
      <c r="BC375" s="39" t="str">
        <f>IFERROR(bütünleme!BN72*100/bütünleme!$I72,"")</f>
        <v/>
      </c>
      <c r="BD375" s="39" t="str">
        <f>IFERROR(bütünleme!BO72*100/bütünleme!$I72,"")</f>
        <v/>
      </c>
      <c r="BE375" s="39" t="str">
        <f>IFERROR(bütünleme!BP72*100/bütünleme!$I72,"")</f>
        <v/>
      </c>
      <c r="BF375" s="39" t="str">
        <f>IFERROR(bütünleme!BQ72*100/bütünleme!$I72,"")</f>
        <v/>
      </c>
      <c r="BG375" s="39" t="str">
        <f>IFERROR(bütünleme!BR72*100/bütünleme!$I72,"")</f>
        <v/>
      </c>
      <c r="BH375" s="39" t="str">
        <f>IFERROR(bütünleme!BS72*100/bütünleme!$I72,"")</f>
        <v/>
      </c>
      <c r="BI375" s="39" t="str">
        <f>IFERROR(bütünleme!BT72*100/bütünleme!$I72,"")</f>
        <v/>
      </c>
      <c r="BJ375" s="39" t="str">
        <f>IFERROR(bütünleme!BU72*100/bütünleme!$I72,"")</f>
        <v/>
      </c>
      <c r="BK375" s="39" t="str">
        <f>IFERROR(bütünleme!BV72*100/bütünleme!$I72,"")</f>
        <v/>
      </c>
      <c r="BL375" s="39" t="str">
        <f>IFERROR(bütünleme!BW72*100/bütünleme!$I72,"")</f>
        <v/>
      </c>
      <c r="BM375" s="39" t="str">
        <f>IFERROR(bütünleme!BX72*100/bütünleme!$I72,"")</f>
        <v/>
      </c>
      <c r="BN375" s="39" t="str">
        <f>IFERROR(bütünleme!BY72*100/bütünleme!$I72,"")</f>
        <v/>
      </c>
      <c r="BO375" s="39" t="str">
        <f>IFERROR(bütünleme!BZ72*100/bütünleme!$I72,"")</f>
        <v/>
      </c>
      <c r="BP375" s="39" t="str">
        <f>IFERROR(bütünleme!CA72*100/bütünleme!$I72,"")</f>
        <v/>
      </c>
      <c r="BQ375" s="39" t="str">
        <f>IFERROR(bütünleme!CB72*100/bütünleme!$I72,"")</f>
        <v/>
      </c>
      <c r="BR375" s="39" t="str">
        <f>IFERROR(bütünleme!CC72*100/bütünleme!$I72,"")</f>
        <v/>
      </c>
      <c r="BS375" s="39" t="str">
        <f>IFERROR(bütünleme!CD72*100/bütünleme!$I72,"")</f>
        <v/>
      </c>
      <c r="BT375" s="39" t="str">
        <f>IFERROR(bütünleme!CE72*100/bütünleme!$I72,"")</f>
        <v/>
      </c>
      <c r="BU375" s="39" t="str">
        <f>IFERROR(bütünleme!CF72*100/bütünleme!$I72,"")</f>
        <v/>
      </c>
      <c r="BV375" s="39" t="str">
        <f>IFERROR(bütünleme!CG72*100/bütünleme!$I72,"")</f>
        <v/>
      </c>
      <c r="BW375" s="39" t="str">
        <f>IFERROR(bütünleme!CH72*100/bütünleme!$I72,"")</f>
        <v/>
      </c>
      <c r="BX375" s="39" t="str">
        <f>IFERROR(bütünleme!CI72*100/bütünleme!$I72,"")</f>
        <v/>
      </c>
      <c r="BY375" s="39" t="str">
        <f>IFERROR(bütünleme!CJ72*100/bütünleme!$I72,"")</f>
        <v/>
      </c>
      <c r="BZ375" s="39" t="str">
        <f>IFERROR(bütünleme!CK72*100/bütünleme!$I72,"")</f>
        <v/>
      </c>
      <c r="CA375" s="39" t="str">
        <f>IFERROR(bütünleme!CL72*100/bütünleme!$I72,"")</f>
        <v/>
      </c>
      <c r="CB375" s="39" t="str">
        <f>IFERROR(bütünleme!CM72*100/bütünleme!$I72,"")</f>
        <v/>
      </c>
      <c r="CC375" s="39" t="str">
        <f>IFERROR(bütünleme!CN72*100/bütünleme!$I72,"")</f>
        <v/>
      </c>
      <c r="CD375" s="39" t="str">
        <f>IFERROR(bütünleme!CO72*100/bütünleme!$I72,"")</f>
        <v/>
      </c>
      <c r="CE375" s="39" t="str">
        <f>IFERROR(bütünleme!CP72*100/bütünleme!$I72,"")</f>
        <v/>
      </c>
      <c r="CF375" s="39" t="str">
        <f>IFERROR(bütünleme!CQ72*100/bütünleme!$I72,"")</f>
        <v/>
      </c>
      <c r="CG375" s="39" t="str">
        <f>IFERROR(bütünleme!CR72*100/bütünleme!$I72,"")</f>
        <v/>
      </c>
      <c r="CH375" s="39" t="str">
        <f>IFERROR(bütünleme!CS72*100/bütünleme!$I72,"")</f>
        <v/>
      </c>
      <c r="CI375" s="39" t="str">
        <f>IFERROR(bütünleme!CT72*100/bütünleme!$I72,"")</f>
        <v/>
      </c>
      <c r="CJ375" s="39" t="str">
        <f>IFERROR(bütünleme!CU72*100/bütünleme!$I72,"")</f>
        <v/>
      </c>
      <c r="CK375" s="39" t="str">
        <f>IFERROR(bütünleme!CV72*100/bütünleme!$I72,"")</f>
        <v/>
      </c>
      <c r="CL375" s="39" t="str">
        <f>IFERROR(bütünleme!CW72*100/bütünleme!$I72,"")</f>
        <v/>
      </c>
      <c r="CM375" s="39" t="str">
        <f>IFERROR(bütünleme!CX72*100/bütünleme!$I72,"")</f>
        <v/>
      </c>
      <c r="CN375" s="39" t="str">
        <f>IFERROR(bütünleme!CY72*100/bütünleme!$I72,"")</f>
        <v/>
      </c>
      <c r="CO375" s="39" t="str">
        <f>IFERROR(bütünleme!CZ72*100/bütünleme!$I72,"")</f>
        <v/>
      </c>
      <c r="CP375" s="39" t="str">
        <f>IFERROR(bütünleme!DA72*100/bütünleme!$I72,"")</f>
        <v/>
      </c>
      <c r="CQ375" s="39" t="str">
        <f>IFERROR(bütünleme!DB72*100/bütünleme!$I72,"")</f>
        <v/>
      </c>
      <c r="CR375" s="39" t="str">
        <f>IFERROR(bütünleme!DC72*100/bütünleme!$I72,"")</f>
        <v/>
      </c>
      <c r="CS375" s="39" t="str">
        <f>IFERROR(bütünleme!DD72*100/bütünleme!$I72,"")</f>
        <v/>
      </c>
      <c r="CT375" s="39" t="str">
        <f>IFERROR(bütünleme!DE72*100/bütünleme!$I72,"")</f>
        <v/>
      </c>
      <c r="CU375" s="39" t="str">
        <f>IFERROR(bütünleme!DF72*100/bütünleme!$I72,"")</f>
        <v/>
      </c>
      <c r="CV375" s="39" t="str">
        <f>IFERROR(bütünleme!DG72*100/bütünleme!$I72,"")</f>
        <v/>
      </c>
      <c r="CW375" s="36" t="str">
        <f>IFERROR(SUM(A375:CV375)/bütünleme!$DH$103,"")</f>
        <v/>
      </c>
      <c r="CX375" s="14" t="str">
        <f>IF(COUNTA(bütünleme!A72),bütünleme!A72,"")</f>
        <v/>
      </c>
      <c r="CY375" s="14" t="str">
        <f>IF(COUNTA(bütünleme!B72),bütünleme!B72,"")</f>
        <v/>
      </c>
      <c r="CZ375" s="14" t="str">
        <f>IF(COUNTA(bütünleme!C72),bütünleme!C72,"")</f>
        <v/>
      </c>
      <c r="DA375" s="14" t="str">
        <f>IF(COUNTA(bütünleme!D72),bütünleme!D72,"")</f>
        <v/>
      </c>
      <c r="DB375" s="14" t="str">
        <f>IF(COUNTA(bütünleme!E72),bütünleme!E72,"")</f>
        <v/>
      </c>
      <c r="DC375" s="14" t="str">
        <f>IF(COUNTA(bütünleme!F72),bütünleme!F72,"")</f>
        <v/>
      </c>
      <c r="DD375" s="14" t="str">
        <f>IF(COUNTA(bütünleme!G72),bütünleme!G72,"")</f>
        <v/>
      </c>
      <c r="DE375" s="14" t="str">
        <f>IF(COUNTA(bütünleme!H72),bütünleme!H72,"")</f>
        <v/>
      </c>
    </row>
    <row r="376" spans="1:109" x14ac:dyDescent="0.2">
      <c r="A376" s="39" t="str">
        <f>IFERROR(bütünleme!L73*100/bütünleme!$I73,"")</f>
        <v/>
      </c>
      <c r="B376" s="39" t="str">
        <f>IFERROR(bütünleme!M73*100/bütünleme!$I73,"")</f>
        <v/>
      </c>
      <c r="C376" s="39" t="str">
        <f>IFERROR(bütünleme!N73*100/bütünleme!$I73,"")</f>
        <v/>
      </c>
      <c r="D376" s="39" t="str">
        <f>IFERROR(bütünleme!O73*100/bütünleme!$I73,"")</f>
        <v/>
      </c>
      <c r="E376" s="39" t="str">
        <f>IFERROR(bütünleme!P73*100/bütünleme!$I73,"")</f>
        <v/>
      </c>
      <c r="F376" s="39" t="str">
        <f>IFERROR(bütünleme!Q73*100/bütünleme!$I73,"")</f>
        <v/>
      </c>
      <c r="G376" s="39" t="str">
        <f>IFERROR(bütünleme!R73*100/bütünleme!$I73,"")</f>
        <v/>
      </c>
      <c r="H376" s="39" t="str">
        <f>IFERROR(bütünleme!S73*100/bütünleme!$I73,"")</f>
        <v/>
      </c>
      <c r="I376" s="39" t="str">
        <f>IFERROR(bütünleme!T73*100/bütünleme!$I73,"")</f>
        <v/>
      </c>
      <c r="J376" s="39" t="str">
        <f>IFERROR(bütünleme!U73*100/bütünleme!$I73,"")</f>
        <v/>
      </c>
      <c r="K376" s="39" t="str">
        <f>IFERROR(bütünleme!V73*100/bütünleme!$I73,"")</f>
        <v/>
      </c>
      <c r="L376" s="39" t="str">
        <f>IFERROR(bütünleme!W73*100/bütünleme!$I73,"")</f>
        <v/>
      </c>
      <c r="M376" s="39" t="str">
        <f>IFERROR(bütünleme!X73*100/bütünleme!$I73,"")</f>
        <v/>
      </c>
      <c r="N376" s="39" t="str">
        <f>IFERROR(bütünleme!Y73*100/bütünleme!$I73,"")</f>
        <v/>
      </c>
      <c r="O376" s="39" t="str">
        <f>IFERROR(bütünleme!Z73*100/bütünleme!$I73,"")</f>
        <v/>
      </c>
      <c r="P376" s="39" t="str">
        <f>IFERROR(bütünleme!AA73*100/bütünleme!$I73,"")</f>
        <v/>
      </c>
      <c r="Q376" s="39" t="str">
        <f>IFERROR(bütünleme!AB73*100/bütünleme!$I73,"")</f>
        <v/>
      </c>
      <c r="R376" s="39" t="str">
        <f>IFERROR(bütünleme!AC73*100/bütünleme!$I73,"")</f>
        <v/>
      </c>
      <c r="S376" s="39" t="str">
        <f>IFERROR(bütünleme!AD73*100/bütünleme!$I73,"")</f>
        <v/>
      </c>
      <c r="T376" s="39" t="str">
        <f>IFERROR(bütünleme!AE73*100/bütünleme!$I73,"")</f>
        <v/>
      </c>
      <c r="U376" s="39" t="str">
        <f>IFERROR(bütünleme!AF73*100/bütünleme!$I73,"")</f>
        <v/>
      </c>
      <c r="V376" s="39" t="str">
        <f>IFERROR(bütünleme!AG73*100/bütünleme!$I73,"")</f>
        <v/>
      </c>
      <c r="W376" s="39" t="str">
        <f>IFERROR(bütünleme!AH73*100/bütünleme!$I73,"")</f>
        <v/>
      </c>
      <c r="X376" s="39" t="str">
        <f>IFERROR(bütünleme!AI73*100/bütünleme!$I73,"")</f>
        <v/>
      </c>
      <c r="Y376" s="39" t="str">
        <f>IFERROR(bütünleme!AJ73*100/bütünleme!$I73,"")</f>
        <v/>
      </c>
      <c r="Z376" s="39" t="str">
        <f>IFERROR(bütünleme!AK73*100/bütünleme!$I73,"")</f>
        <v/>
      </c>
      <c r="AA376" s="39" t="str">
        <f>IFERROR(bütünleme!AL73*100/bütünleme!$I73,"")</f>
        <v/>
      </c>
      <c r="AB376" s="39" t="str">
        <f>IFERROR(bütünleme!AM73*100/bütünleme!$I73,"")</f>
        <v/>
      </c>
      <c r="AC376" s="39" t="str">
        <f>IFERROR(bütünleme!AN73*100/bütünleme!$I73,"")</f>
        <v/>
      </c>
      <c r="AD376" s="39" t="str">
        <f>IFERROR(bütünleme!AO73*100/bütünleme!$I73,"")</f>
        <v/>
      </c>
      <c r="AE376" s="39" t="str">
        <f>IFERROR(bütünleme!AP73*100/bütünleme!$I73,"")</f>
        <v/>
      </c>
      <c r="AF376" s="39" t="str">
        <f>IFERROR(bütünleme!AQ73*100/bütünleme!$I73,"")</f>
        <v/>
      </c>
      <c r="AG376" s="39" t="str">
        <f>IFERROR(bütünleme!AR73*100/bütünleme!$I73,"")</f>
        <v/>
      </c>
      <c r="AH376" s="39" t="str">
        <f>IFERROR(bütünleme!AS73*100/bütünleme!$I73,"")</f>
        <v/>
      </c>
      <c r="AI376" s="39" t="str">
        <f>IFERROR(bütünleme!AT73*100/bütünleme!$I73,"")</f>
        <v/>
      </c>
      <c r="AJ376" s="39" t="str">
        <f>IFERROR(bütünleme!AU73*100/bütünleme!$I73,"")</f>
        <v/>
      </c>
      <c r="AK376" s="39" t="str">
        <f>IFERROR(bütünleme!AV73*100/bütünleme!$I73,"")</f>
        <v/>
      </c>
      <c r="AL376" s="39" t="str">
        <f>IFERROR(bütünleme!AW73*100/bütünleme!$I73,"")</f>
        <v/>
      </c>
      <c r="AM376" s="39" t="str">
        <f>IFERROR(bütünleme!AX73*100/bütünleme!$I73,"")</f>
        <v/>
      </c>
      <c r="AN376" s="39" t="str">
        <f>IFERROR(bütünleme!AY73*100/bütünleme!$I73,"")</f>
        <v/>
      </c>
      <c r="AO376" s="39" t="str">
        <f>IFERROR(bütünleme!AZ73*100/bütünleme!$I73,"")</f>
        <v/>
      </c>
      <c r="AP376" s="39" t="str">
        <f>IFERROR(bütünleme!BA73*100/bütünleme!$I73,"")</f>
        <v/>
      </c>
      <c r="AQ376" s="39" t="str">
        <f>IFERROR(bütünleme!BB73*100/bütünleme!$I73,"")</f>
        <v/>
      </c>
      <c r="AR376" s="39" t="str">
        <f>IFERROR(bütünleme!BC73*100/bütünleme!$I73,"")</f>
        <v/>
      </c>
      <c r="AS376" s="39" t="str">
        <f>IFERROR(bütünleme!BD73*100/bütünleme!$I73,"")</f>
        <v/>
      </c>
      <c r="AT376" s="39" t="str">
        <f>IFERROR(bütünleme!BE73*100/bütünleme!$I73,"")</f>
        <v/>
      </c>
      <c r="AU376" s="39" t="str">
        <f>IFERROR(bütünleme!BF73*100/bütünleme!$I73,"")</f>
        <v/>
      </c>
      <c r="AV376" s="39" t="str">
        <f>IFERROR(bütünleme!BG73*100/bütünleme!$I73,"")</f>
        <v/>
      </c>
      <c r="AW376" s="39" t="str">
        <f>IFERROR(bütünleme!BH73*100/bütünleme!$I73,"")</f>
        <v/>
      </c>
      <c r="AX376" s="39" t="str">
        <f>IFERROR(bütünleme!BI73*100/bütünleme!$I73,"")</f>
        <v/>
      </c>
      <c r="AY376" s="39" t="str">
        <f>IFERROR(bütünleme!BJ73*100/bütünleme!$I73,"")</f>
        <v/>
      </c>
      <c r="AZ376" s="39" t="str">
        <f>IFERROR(bütünleme!BK73*100/bütünleme!$I73,"")</f>
        <v/>
      </c>
      <c r="BA376" s="39" t="str">
        <f>IFERROR(bütünleme!BL73*100/bütünleme!$I73,"")</f>
        <v/>
      </c>
      <c r="BB376" s="39" t="str">
        <f>IFERROR(bütünleme!BM73*100/bütünleme!$I73,"")</f>
        <v/>
      </c>
      <c r="BC376" s="39" t="str">
        <f>IFERROR(bütünleme!BN73*100/bütünleme!$I73,"")</f>
        <v/>
      </c>
      <c r="BD376" s="39" t="str">
        <f>IFERROR(bütünleme!BO73*100/bütünleme!$I73,"")</f>
        <v/>
      </c>
      <c r="BE376" s="39" t="str">
        <f>IFERROR(bütünleme!BP73*100/bütünleme!$I73,"")</f>
        <v/>
      </c>
      <c r="BF376" s="39" t="str">
        <f>IFERROR(bütünleme!BQ73*100/bütünleme!$I73,"")</f>
        <v/>
      </c>
      <c r="BG376" s="39" t="str">
        <f>IFERROR(bütünleme!BR73*100/bütünleme!$I73,"")</f>
        <v/>
      </c>
      <c r="BH376" s="39" t="str">
        <f>IFERROR(bütünleme!BS73*100/bütünleme!$I73,"")</f>
        <v/>
      </c>
      <c r="BI376" s="39" t="str">
        <f>IFERROR(bütünleme!BT73*100/bütünleme!$I73,"")</f>
        <v/>
      </c>
      <c r="BJ376" s="39" t="str">
        <f>IFERROR(bütünleme!BU73*100/bütünleme!$I73,"")</f>
        <v/>
      </c>
      <c r="BK376" s="39" t="str">
        <f>IFERROR(bütünleme!BV73*100/bütünleme!$I73,"")</f>
        <v/>
      </c>
      <c r="BL376" s="39" t="str">
        <f>IFERROR(bütünleme!BW73*100/bütünleme!$I73,"")</f>
        <v/>
      </c>
      <c r="BM376" s="39" t="str">
        <f>IFERROR(bütünleme!BX73*100/bütünleme!$I73,"")</f>
        <v/>
      </c>
      <c r="BN376" s="39" t="str">
        <f>IFERROR(bütünleme!BY73*100/bütünleme!$I73,"")</f>
        <v/>
      </c>
      <c r="BO376" s="39" t="str">
        <f>IFERROR(bütünleme!BZ73*100/bütünleme!$I73,"")</f>
        <v/>
      </c>
      <c r="BP376" s="39" t="str">
        <f>IFERROR(bütünleme!CA73*100/bütünleme!$I73,"")</f>
        <v/>
      </c>
      <c r="BQ376" s="39" t="str">
        <f>IFERROR(bütünleme!CB73*100/bütünleme!$I73,"")</f>
        <v/>
      </c>
      <c r="BR376" s="39" t="str">
        <f>IFERROR(bütünleme!CC73*100/bütünleme!$I73,"")</f>
        <v/>
      </c>
      <c r="BS376" s="39" t="str">
        <f>IFERROR(bütünleme!CD73*100/bütünleme!$I73,"")</f>
        <v/>
      </c>
      <c r="BT376" s="39" t="str">
        <f>IFERROR(bütünleme!CE73*100/bütünleme!$I73,"")</f>
        <v/>
      </c>
      <c r="BU376" s="39" t="str">
        <f>IFERROR(bütünleme!CF73*100/bütünleme!$I73,"")</f>
        <v/>
      </c>
      <c r="BV376" s="39" t="str">
        <f>IFERROR(bütünleme!CG73*100/bütünleme!$I73,"")</f>
        <v/>
      </c>
      <c r="BW376" s="39" t="str">
        <f>IFERROR(bütünleme!CH73*100/bütünleme!$I73,"")</f>
        <v/>
      </c>
      <c r="BX376" s="39" t="str">
        <f>IFERROR(bütünleme!CI73*100/bütünleme!$I73,"")</f>
        <v/>
      </c>
      <c r="BY376" s="39" t="str">
        <f>IFERROR(bütünleme!CJ73*100/bütünleme!$I73,"")</f>
        <v/>
      </c>
      <c r="BZ376" s="39" t="str">
        <f>IFERROR(bütünleme!CK73*100/bütünleme!$I73,"")</f>
        <v/>
      </c>
      <c r="CA376" s="39" t="str">
        <f>IFERROR(bütünleme!CL73*100/bütünleme!$I73,"")</f>
        <v/>
      </c>
      <c r="CB376" s="39" t="str">
        <f>IFERROR(bütünleme!CM73*100/bütünleme!$I73,"")</f>
        <v/>
      </c>
      <c r="CC376" s="39" t="str">
        <f>IFERROR(bütünleme!CN73*100/bütünleme!$I73,"")</f>
        <v/>
      </c>
      <c r="CD376" s="39" t="str">
        <f>IFERROR(bütünleme!CO73*100/bütünleme!$I73,"")</f>
        <v/>
      </c>
      <c r="CE376" s="39" t="str">
        <f>IFERROR(bütünleme!CP73*100/bütünleme!$I73,"")</f>
        <v/>
      </c>
      <c r="CF376" s="39" t="str">
        <f>IFERROR(bütünleme!CQ73*100/bütünleme!$I73,"")</f>
        <v/>
      </c>
      <c r="CG376" s="39" t="str">
        <f>IFERROR(bütünleme!CR73*100/bütünleme!$I73,"")</f>
        <v/>
      </c>
      <c r="CH376" s="39" t="str">
        <f>IFERROR(bütünleme!CS73*100/bütünleme!$I73,"")</f>
        <v/>
      </c>
      <c r="CI376" s="39" t="str">
        <f>IFERROR(bütünleme!CT73*100/bütünleme!$I73,"")</f>
        <v/>
      </c>
      <c r="CJ376" s="39" t="str">
        <f>IFERROR(bütünleme!CU73*100/bütünleme!$I73,"")</f>
        <v/>
      </c>
      <c r="CK376" s="39" t="str">
        <f>IFERROR(bütünleme!CV73*100/bütünleme!$I73,"")</f>
        <v/>
      </c>
      <c r="CL376" s="39" t="str">
        <f>IFERROR(bütünleme!CW73*100/bütünleme!$I73,"")</f>
        <v/>
      </c>
      <c r="CM376" s="39" t="str">
        <f>IFERROR(bütünleme!CX73*100/bütünleme!$I73,"")</f>
        <v/>
      </c>
      <c r="CN376" s="39" t="str">
        <f>IFERROR(bütünleme!CY73*100/bütünleme!$I73,"")</f>
        <v/>
      </c>
      <c r="CO376" s="39" t="str">
        <f>IFERROR(bütünleme!CZ73*100/bütünleme!$I73,"")</f>
        <v/>
      </c>
      <c r="CP376" s="39" t="str">
        <f>IFERROR(bütünleme!DA73*100/bütünleme!$I73,"")</f>
        <v/>
      </c>
      <c r="CQ376" s="39" t="str">
        <f>IFERROR(bütünleme!DB73*100/bütünleme!$I73,"")</f>
        <v/>
      </c>
      <c r="CR376" s="39" t="str">
        <f>IFERROR(bütünleme!DC73*100/bütünleme!$I73,"")</f>
        <v/>
      </c>
      <c r="CS376" s="39" t="str">
        <f>IFERROR(bütünleme!DD73*100/bütünleme!$I73,"")</f>
        <v/>
      </c>
      <c r="CT376" s="39" t="str">
        <f>IFERROR(bütünleme!DE73*100/bütünleme!$I73,"")</f>
        <v/>
      </c>
      <c r="CU376" s="39" t="str">
        <f>IFERROR(bütünleme!DF73*100/bütünleme!$I73,"")</f>
        <v/>
      </c>
      <c r="CV376" s="39" t="str">
        <f>IFERROR(bütünleme!DG73*100/bütünleme!$I73,"")</f>
        <v/>
      </c>
      <c r="CW376" s="36" t="str">
        <f>IFERROR(SUM(A376:CV376)/bütünleme!$DH$103,"")</f>
        <v/>
      </c>
      <c r="CX376" s="14" t="str">
        <f>IF(COUNTA(bütünleme!A73),bütünleme!A73,"")</f>
        <v/>
      </c>
      <c r="CY376" s="14" t="str">
        <f>IF(COUNTA(bütünleme!B73),bütünleme!B73,"")</f>
        <v/>
      </c>
      <c r="CZ376" s="14" t="str">
        <f>IF(COUNTA(bütünleme!C73),bütünleme!C73,"")</f>
        <v/>
      </c>
      <c r="DA376" s="14" t="str">
        <f>IF(COUNTA(bütünleme!D73),bütünleme!D73,"")</f>
        <v/>
      </c>
      <c r="DB376" s="14" t="str">
        <f>IF(COUNTA(bütünleme!E73),bütünleme!E73,"")</f>
        <v/>
      </c>
      <c r="DC376" s="14" t="str">
        <f>IF(COUNTA(bütünleme!F73),bütünleme!F73,"")</f>
        <v/>
      </c>
      <c r="DD376" s="14" t="str">
        <f>IF(COUNTA(bütünleme!G73),bütünleme!G73,"")</f>
        <v/>
      </c>
      <c r="DE376" s="14" t="str">
        <f>IF(COUNTA(bütünleme!H73),bütünleme!H73,"")</f>
        <v/>
      </c>
    </row>
    <row r="377" spans="1:109" x14ac:dyDescent="0.2">
      <c r="A377" s="39" t="str">
        <f>IFERROR(bütünleme!L74*100/bütünleme!$I74,"")</f>
        <v/>
      </c>
      <c r="B377" s="39" t="str">
        <f>IFERROR(bütünleme!M74*100/bütünleme!$I74,"")</f>
        <v/>
      </c>
      <c r="C377" s="39" t="str">
        <f>IFERROR(bütünleme!N74*100/bütünleme!$I74,"")</f>
        <v/>
      </c>
      <c r="D377" s="39" t="str">
        <f>IFERROR(bütünleme!O74*100/bütünleme!$I74,"")</f>
        <v/>
      </c>
      <c r="E377" s="39" t="str">
        <f>IFERROR(bütünleme!P74*100/bütünleme!$I74,"")</f>
        <v/>
      </c>
      <c r="F377" s="39" t="str">
        <f>IFERROR(bütünleme!Q74*100/bütünleme!$I74,"")</f>
        <v/>
      </c>
      <c r="G377" s="39" t="str">
        <f>IFERROR(bütünleme!R74*100/bütünleme!$I74,"")</f>
        <v/>
      </c>
      <c r="H377" s="39" t="str">
        <f>IFERROR(bütünleme!S74*100/bütünleme!$I74,"")</f>
        <v/>
      </c>
      <c r="I377" s="39" t="str">
        <f>IFERROR(bütünleme!T74*100/bütünleme!$I74,"")</f>
        <v/>
      </c>
      <c r="J377" s="39" t="str">
        <f>IFERROR(bütünleme!U74*100/bütünleme!$I74,"")</f>
        <v/>
      </c>
      <c r="K377" s="39" t="str">
        <f>IFERROR(bütünleme!V74*100/bütünleme!$I74,"")</f>
        <v/>
      </c>
      <c r="L377" s="39" t="str">
        <f>IFERROR(bütünleme!W74*100/bütünleme!$I74,"")</f>
        <v/>
      </c>
      <c r="M377" s="39" t="str">
        <f>IFERROR(bütünleme!X74*100/bütünleme!$I74,"")</f>
        <v/>
      </c>
      <c r="N377" s="39" t="str">
        <f>IFERROR(bütünleme!Y74*100/bütünleme!$I74,"")</f>
        <v/>
      </c>
      <c r="O377" s="39" t="str">
        <f>IFERROR(bütünleme!Z74*100/bütünleme!$I74,"")</f>
        <v/>
      </c>
      <c r="P377" s="39" t="str">
        <f>IFERROR(bütünleme!AA74*100/bütünleme!$I74,"")</f>
        <v/>
      </c>
      <c r="Q377" s="39" t="str">
        <f>IFERROR(bütünleme!AB74*100/bütünleme!$I74,"")</f>
        <v/>
      </c>
      <c r="R377" s="39" t="str">
        <f>IFERROR(bütünleme!AC74*100/bütünleme!$I74,"")</f>
        <v/>
      </c>
      <c r="S377" s="39" t="str">
        <f>IFERROR(bütünleme!AD74*100/bütünleme!$I74,"")</f>
        <v/>
      </c>
      <c r="T377" s="39" t="str">
        <f>IFERROR(bütünleme!AE74*100/bütünleme!$I74,"")</f>
        <v/>
      </c>
      <c r="U377" s="39" t="str">
        <f>IFERROR(bütünleme!AF74*100/bütünleme!$I74,"")</f>
        <v/>
      </c>
      <c r="V377" s="39" t="str">
        <f>IFERROR(bütünleme!AG74*100/bütünleme!$I74,"")</f>
        <v/>
      </c>
      <c r="W377" s="39" t="str">
        <f>IFERROR(bütünleme!AH74*100/bütünleme!$I74,"")</f>
        <v/>
      </c>
      <c r="X377" s="39" t="str">
        <f>IFERROR(bütünleme!AI74*100/bütünleme!$I74,"")</f>
        <v/>
      </c>
      <c r="Y377" s="39" t="str">
        <f>IFERROR(bütünleme!AJ74*100/bütünleme!$I74,"")</f>
        <v/>
      </c>
      <c r="Z377" s="39" t="str">
        <f>IFERROR(bütünleme!AK74*100/bütünleme!$I74,"")</f>
        <v/>
      </c>
      <c r="AA377" s="39" t="str">
        <f>IFERROR(bütünleme!AL74*100/bütünleme!$I74,"")</f>
        <v/>
      </c>
      <c r="AB377" s="39" t="str">
        <f>IFERROR(bütünleme!AM74*100/bütünleme!$I74,"")</f>
        <v/>
      </c>
      <c r="AC377" s="39" t="str">
        <f>IFERROR(bütünleme!AN74*100/bütünleme!$I74,"")</f>
        <v/>
      </c>
      <c r="AD377" s="39" t="str">
        <f>IFERROR(bütünleme!AO74*100/bütünleme!$I74,"")</f>
        <v/>
      </c>
      <c r="AE377" s="39" t="str">
        <f>IFERROR(bütünleme!AP74*100/bütünleme!$I74,"")</f>
        <v/>
      </c>
      <c r="AF377" s="39" t="str">
        <f>IFERROR(bütünleme!AQ74*100/bütünleme!$I74,"")</f>
        <v/>
      </c>
      <c r="AG377" s="39" t="str">
        <f>IFERROR(bütünleme!AR74*100/bütünleme!$I74,"")</f>
        <v/>
      </c>
      <c r="AH377" s="39" t="str">
        <f>IFERROR(bütünleme!AS74*100/bütünleme!$I74,"")</f>
        <v/>
      </c>
      <c r="AI377" s="39" t="str">
        <f>IFERROR(bütünleme!AT74*100/bütünleme!$I74,"")</f>
        <v/>
      </c>
      <c r="AJ377" s="39" t="str">
        <f>IFERROR(bütünleme!AU74*100/bütünleme!$I74,"")</f>
        <v/>
      </c>
      <c r="AK377" s="39" t="str">
        <f>IFERROR(bütünleme!AV74*100/bütünleme!$I74,"")</f>
        <v/>
      </c>
      <c r="AL377" s="39" t="str">
        <f>IFERROR(bütünleme!AW74*100/bütünleme!$I74,"")</f>
        <v/>
      </c>
      <c r="AM377" s="39" t="str">
        <f>IFERROR(bütünleme!AX74*100/bütünleme!$I74,"")</f>
        <v/>
      </c>
      <c r="AN377" s="39" t="str">
        <f>IFERROR(bütünleme!AY74*100/bütünleme!$I74,"")</f>
        <v/>
      </c>
      <c r="AO377" s="39" t="str">
        <f>IFERROR(bütünleme!AZ74*100/bütünleme!$I74,"")</f>
        <v/>
      </c>
      <c r="AP377" s="39" t="str">
        <f>IFERROR(bütünleme!BA74*100/bütünleme!$I74,"")</f>
        <v/>
      </c>
      <c r="AQ377" s="39" t="str">
        <f>IFERROR(bütünleme!BB74*100/bütünleme!$I74,"")</f>
        <v/>
      </c>
      <c r="AR377" s="39" t="str">
        <f>IFERROR(bütünleme!BC74*100/bütünleme!$I74,"")</f>
        <v/>
      </c>
      <c r="AS377" s="39" t="str">
        <f>IFERROR(bütünleme!BD74*100/bütünleme!$I74,"")</f>
        <v/>
      </c>
      <c r="AT377" s="39" t="str">
        <f>IFERROR(bütünleme!BE74*100/bütünleme!$I74,"")</f>
        <v/>
      </c>
      <c r="AU377" s="39" t="str">
        <f>IFERROR(bütünleme!BF74*100/bütünleme!$I74,"")</f>
        <v/>
      </c>
      <c r="AV377" s="39" t="str">
        <f>IFERROR(bütünleme!BG74*100/bütünleme!$I74,"")</f>
        <v/>
      </c>
      <c r="AW377" s="39" t="str">
        <f>IFERROR(bütünleme!BH74*100/bütünleme!$I74,"")</f>
        <v/>
      </c>
      <c r="AX377" s="39" t="str">
        <f>IFERROR(bütünleme!BI74*100/bütünleme!$I74,"")</f>
        <v/>
      </c>
      <c r="AY377" s="39" t="str">
        <f>IFERROR(bütünleme!BJ74*100/bütünleme!$I74,"")</f>
        <v/>
      </c>
      <c r="AZ377" s="39" t="str">
        <f>IFERROR(bütünleme!BK74*100/bütünleme!$I74,"")</f>
        <v/>
      </c>
      <c r="BA377" s="39" t="str">
        <f>IFERROR(bütünleme!BL74*100/bütünleme!$I74,"")</f>
        <v/>
      </c>
      <c r="BB377" s="39" t="str">
        <f>IFERROR(bütünleme!BM74*100/bütünleme!$I74,"")</f>
        <v/>
      </c>
      <c r="BC377" s="39" t="str">
        <f>IFERROR(bütünleme!BN74*100/bütünleme!$I74,"")</f>
        <v/>
      </c>
      <c r="BD377" s="39" t="str">
        <f>IFERROR(bütünleme!BO74*100/bütünleme!$I74,"")</f>
        <v/>
      </c>
      <c r="BE377" s="39" t="str">
        <f>IFERROR(bütünleme!BP74*100/bütünleme!$I74,"")</f>
        <v/>
      </c>
      <c r="BF377" s="39" t="str">
        <f>IFERROR(bütünleme!BQ74*100/bütünleme!$I74,"")</f>
        <v/>
      </c>
      <c r="BG377" s="39" t="str">
        <f>IFERROR(bütünleme!BR74*100/bütünleme!$I74,"")</f>
        <v/>
      </c>
      <c r="BH377" s="39" t="str">
        <f>IFERROR(bütünleme!BS74*100/bütünleme!$I74,"")</f>
        <v/>
      </c>
      <c r="BI377" s="39" t="str">
        <f>IFERROR(bütünleme!BT74*100/bütünleme!$I74,"")</f>
        <v/>
      </c>
      <c r="BJ377" s="39" t="str">
        <f>IFERROR(bütünleme!BU74*100/bütünleme!$I74,"")</f>
        <v/>
      </c>
      <c r="BK377" s="39" t="str">
        <f>IFERROR(bütünleme!BV74*100/bütünleme!$I74,"")</f>
        <v/>
      </c>
      <c r="BL377" s="39" t="str">
        <f>IFERROR(bütünleme!BW74*100/bütünleme!$I74,"")</f>
        <v/>
      </c>
      <c r="BM377" s="39" t="str">
        <f>IFERROR(bütünleme!BX74*100/bütünleme!$I74,"")</f>
        <v/>
      </c>
      <c r="BN377" s="39" t="str">
        <f>IFERROR(bütünleme!BY74*100/bütünleme!$I74,"")</f>
        <v/>
      </c>
      <c r="BO377" s="39" t="str">
        <f>IFERROR(bütünleme!BZ74*100/bütünleme!$I74,"")</f>
        <v/>
      </c>
      <c r="BP377" s="39" t="str">
        <f>IFERROR(bütünleme!CA74*100/bütünleme!$I74,"")</f>
        <v/>
      </c>
      <c r="BQ377" s="39" t="str">
        <f>IFERROR(bütünleme!CB74*100/bütünleme!$I74,"")</f>
        <v/>
      </c>
      <c r="BR377" s="39" t="str">
        <f>IFERROR(bütünleme!CC74*100/bütünleme!$I74,"")</f>
        <v/>
      </c>
      <c r="BS377" s="39" t="str">
        <f>IFERROR(bütünleme!CD74*100/bütünleme!$I74,"")</f>
        <v/>
      </c>
      <c r="BT377" s="39" t="str">
        <f>IFERROR(bütünleme!CE74*100/bütünleme!$I74,"")</f>
        <v/>
      </c>
      <c r="BU377" s="39" t="str">
        <f>IFERROR(bütünleme!CF74*100/bütünleme!$I74,"")</f>
        <v/>
      </c>
      <c r="BV377" s="39" t="str">
        <f>IFERROR(bütünleme!CG74*100/bütünleme!$I74,"")</f>
        <v/>
      </c>
      <c r="BW377" s="39" t="str">
        <f>IFERROR(bütünleme!CH74*100/bütünleme!$I74,"")</f>
        <v/>
      </c>
      <c r="BX377" s="39" t="str">
        <f>IFERROR(bütünleme!CI74*100/bütünleme!$I74,"")</f>
        <v/>
      </c>
      <c r="BY377" s="39" t="str">
        <f>IFERROR(bütünleme!CJ74*100/bütünleme!$I74,"")</f>
        <v/>
      </c>
      <c r="BZ377" s="39" t="str">
        <f>IFERROR(bütünleme!CK74*100/bütünleme!$I74,"")</f>
        <v/>
      </c>
      <c r="CA377" s="39" t="str">
        <f>IFERROR(bütünleme!CL74*100/bütünleme!$I74,"")</f>
        <v/>
      </c>
      <c r="CB377" s="39" t="str">
        <f>IFERROR(bütünleme!CM74*100/bütünleme!$I74,"")</f>
        <v/>
      </c>
      <c r="CC377" s="39" t="str">
        <f>IFERROR(bütünleme!CN74*100/bütünleme!$I74,"")</f>
        <v/>
      </c>
      <c r="CD377" s="39" t="str">
        <f>IFERROR(bütünleme!CO74*100/bütünleme!$I74,"")</f>
        <v/>
      </c>
      <c r="CE377" s="39" t="str">
        <f>IFERROR(bütünleme!CP74*100/bütünleme!$I74,"")</f>
        <v/>
      </c>
      <c r="CF377" s="39" t="str">
        <f>IFERROR(bütünleme!CQ74*100/bütünleme!$I74,"")</f>
        <v/>
      </c>
      <c r="CG377" s="39" t="str">
        <f>IFERROR(bütünleme!CR74*100/bütünleme!$I74,"")</f>
        <v/>
      </c>
      <c r="CH377" s="39" t="str">
        <f>IFERROR(bütünleme!CS74*100/bütünleme!$I74,"")</f>
        <v/>
      </c>
      <c r="CI377" s="39" t="str">
        <f>IFERROR(bütünleme!CT74*100/bütünleme!$I74,"")</f>
        <v/>
      </c>
      <c r="CJ377" s="39" t="str">
        <f>IFERROR(bütünleme!CU74*100/bütünleme!$I74,"")</f>
        <v/>
      </c>
      <c r="CK377" s="39" t="str">
        <f>IFERROR(bütünleme!CV74*100/bütünleme!$I74,"")</f>
        <v/>
      </c>
      <c r="CL377" s="39" t="str">
        <f>IFERROR(bütünleme!CW74*100/bütünleme!$I74,"")</f>
        <v/>
      </c>
      <c r="CM377" s="39" t="str">
        <f>IFERROR(bütünleme!CX74*100/bütünleme!$I74,"")</f>
        <v/>
      </c>
      <c r="CN377" s="39" t="str">
        <f>IFERROR(bütünleme!CY74*100/bütünleme!$I74,"")</f>
        <v/>
      </c>
      <c r="CO377" s="39" t="str">
        <f>IFERROR(bütünleme!CZ74*100/bütünleme!$I74,"")</f>
        <v/>
      </c>
      <c r="CP377" s="39" t="str">
        <f>IFERROR(bütünleme!DA74*100/bütünleme!$I74,"")</f>
        <v/>
      </c>
      <c r="CQ377" s="39" t="str">
        <f>IFERROR(bütünleme!DB74*100/bütünleme!$I74,"")</f>
        <v/>
      </c>
      <c r="CR377" s="39" t="str">
        <f>IFERROR(bütünleme!DC74*100/bütünleme!$I74,"")</f>
        <v/>
      </c>
      <c r="CS377" s="39" t="str">
        <f>IFERROR(bütünleme!DD74*100/bütünleme!$I74,"")</f>
        <v/>
      </c>
      <c r="CT377" s="39" t="str">
        <f>IFERROR(bütünleme!DE74*100/bütünleme!$I74,"")</f>
        <v/>
      </c>
      <c r="CU377" s="39" t="str">
        <f>IFERROR(bütünleme!DF74*100/bütünleme!$I74,"")</f>
        <v/>
      </c>
      <c r="CV377" s="39" t="str">
        <f>IFERROR(bütünleme!DG74*100/bütünleme!$I74,"")</f>
        <v/>
      </c>
      <c r="CW377" s="36" t="str">
        <f>IFERROR(SUM(A377:CV377)/bütünleme!$DH$103,"")</f>
        <v/>
      </c>
      <c r="CX377" s="14" t="str">
        <f>IF(COUNTA(bütünleme!A74),bütünleme!A74,"")</f>
        <v/>
      </c>
      <c r="CY377" s="14" t="str">
        <f>IF(COUNTA(bütünleme!B74),bütünleme!B74,"")</f>
        <v/>
      </c>
      <c r="CZ377" s="14" t="str">
        <f>IF(COUNTA(bütünleme!C74),bütünleme!C74,"")</f>
        <v/>
      </c>
      <c r="DA377" s="14" t="str">
        <f>IF(COUNTA(bütünleme!D74),bütünleme!D74,"")</f>
        <v/>
      </c>
      <c r="DB377" s="14" t="str">
        <f>IF(COUNTA(bütünleme!E74),bütünleme!E74,"")</f>
        <v/>
      </c>
      <c r="DC377" s="14" t="str">
        <f>IF(COUNTA(bütünleme!F74),bütünleme!F74,"")</f>
        <v/>
      </c>
      <c r="DD377" s="14" t="str">
        <f>IF(COUNTA(bütünleme!G74),bütünleme!G74,"")</f>
        <v/>
      </c>
      <c r="DE377" s="14" t="str">
        <f>IF(COUNTA(bütünleme!H74),bütünleme!H74,"")</f>
        <v/>
      </c>
    </row>
    <row r="378" spans="1:109" x14ac:dyDescent="0.2">
      <c r="A378" s="39" t="str">
        <f>IFERROR(bütünleme!L75*100/bütünleme!$I75,"")</f>
        <v/>
      </c>
      <c r="B378" s="39" t="str">
        <f>IFERROR(bütünleme!M75*100/bütünleme!$I75,"")</f>
        <v/>
      </c>
      <c r="C378" s="39" t="str">
        <f>IFERROR(bütünleme!N75*100/bütünleme!$I75,"")</f>
        <v/>
      </c>
      <c r="D378" s="39" t="str">
        <f>IFERROR(bütünleme!O75*100/bütünleme!$I75,"")</f>
        <v/>
      </c>
      <c r="E378" s="39" t="str">
        <f>IFERROR(bütünleme!P75*100/bütünleme!$I75,"")</f>
        <v/>
      </c>
      <c r="F378" s="39" t="str">
        <f>IFERROR(bütünleme!Q75*100/bütünleme!$I75,"")</f>
        <v/>
      </c>
      <c r="G378" s="39" t="str">
        <f>IFERROR(bütünleme!R75*100/bütünleme!$I75,"")</f>
        <v/>
      </c>
      <c r="H378" s="39" t="str">
        <f>IFERROR(bütünleme!S75*100/bütünleme!$I75,"")</f>
        <v/>
      </c>
      <c r="I378" s="39" t="str">
        <f>IFERROR(bütünleme!T75*100/bütünleme!$I75,"")</f>
        <v/>
      </c>
      <c r="J378" s="39" t="str">
        <f>IFERROR(bütünleme!U75*100/bütünleme!$I75,"")</f>
        <v/>
      </c>
      <c r="K378" s="39" t="str">
        <f>IFERROR(bütünleme!V75*100/bütünleme!$I75,"")</f>
        <v/>
      </c>
      <c r="L378" s="39" t="str">
        <f>IFERROR(bütünleme!W75*100/bütünleme!$I75,"")</f>
        <v/>
      </c>
      <c r="M378" s="39" t="str">
        <f>IFERROR(bütünleme!X75*100/bütünleme!$I75,"")</f>
        <v/>
      </c>
      <c r="N378" s="39" t="str">
        <f>IFERROR(bütünleme!Y75*100/bütünleme!$I75,"")</f>
        <v/>
      </c>
      <c r="O378" s="39" t="str">
        <f>IFERROR(bütünleme!Z75*100/bütünleme!$I75,"")</f>
        <v/>
      </c>
      <c r="P378" s="39" t="str">
        <f>IFERROR(bütünleme!AA75*100/bütünleme!$I75,"")</f>
        <v/>
      </c>
      <c r="Q378" s="39" t="str">
        <f>IFERROR(bütünleme!AB75*100/bütünleme!$I75,"")</f>
        <v/>
      </c>
      <c r="R378" s="39" t="str">
        <f>IFERROR(bütünleme!AC75*100/bütünleme!$I75,"")</f>
        <v/>
      </c>
      <c r="S378" s="39" t="str">
        <f>IFERROR(bütünleme!AD75*100/bütünleme!$I75,"")</f>
        <v/>
      </c>
      <c r="T378" s="39" t="str">
        <f>IFERROR(bütünleme!AE75*100/bütünleme!$I75,"")</f>
        <v/>
      </c>
      <c r="U378" s="39" t="str">
        <f>IFERROR(bütünleme!AF75*100/bütünleme!$I75,"")</f>
        <v/>
      </c>
      <c r="V378" s="39" t="str">
        <f>IFERROR(bütünleme!AG75*100/bütünleme!$I75,"")</f>
        <v/>
      </c>
      <c r="W378" s="39" t="str">
        <f>IFERROR(bütünleme!AH75*100/bütünleme!$I75,"")</f>
        <v/>
      </c>
      <c r="X378" s="39" t="str">
        <f>IFERROR(bütünleme!AI75*100/bütünleme!$I75,"")</f>
        <v/>
      </c>
      <c r="Y378" s="39" t="str">
        <f>IFERROR(bütünleme!AJ75*100/bütünleme!$I75,"")</f>
        <v/>
      </c>
      <c r="Z378" s="39" t="str">
        <f>IFERROR(bütünleme!AK75*100/bütünleme!$I75,"")</f>
        <v/>
      </c>
      <c r="AA378" s="39" t="str">
        <f>IFERROR(bütünleme!AL75*100/bütünleme!$I75,"")</f>
        <v/>
      </c>
      <c r="AB378" s="39" t="str">
        <f>IFERROR(bütünleme!AM75*100/bütünleme!$I75,"")</f>
        <v/>
      </c>
      <c r="AC378" s="39" t="str">
        <f>IFERROR(bütünleme!AN75*100/bütünleme!$I75,"")</f>
        <v/>
      </c>
      <c r="AD378" s="39" t="str">
        <f>IFERROR(bütünleme!AO75*100/bütünleme!$I75,"")</f>
        <v/>
      </c>
      <c r="AE378" s="39" t="str">
        <f>IFERROR(bütünleme!AP75*100/bütünleme!$I75,"")</f>
        <v/>
      </c>
      <c r="AF378" s="39" t="str">
        <f>IFERROR(bütünleme!AQ75*100/bütünleme!$I75,"")</f>
        <v/>
      </c>
      <c r="AG378" s="39" t="str">
        <f>IFERROR(bütünleme!AR75*100/bütünleme!$I75,"")</f>
        <v/>
      </c>
      <c r="AH378" s="39" t="str">
        <f>IFERROR(bütünleme!AS75*100/bütünleme!$I75,"")</f>
        <v/>
      </c>
      <c r="AI378" s="39" t="str">
        <f>IFERROR(bütünleme!AT75*100/bütünleme!$I75,"")</f>
        <v/>
      </c>
      <c r="AJ378" s="39" t="str">
        <f>IFERROR(bütünleme!AU75*100/bütünleme!$I75,"")</f>
        <v/>
      </c>
      <c r="AK378" s="39" t="str">
        <f>IFERROR(bütünleme!AV75*100/bütünleme!$I75,"")</f>
        <v/>
      </c>
      <c r="AL378" s="39" t="str">
        <f>IFERROR(bütünleme!AW75*100/bütünleme!$I75,"")</f>
        <v/>
      </c>
      <c r="AM378" s="39" t="str">
        <f>IFERROR(bütünleme!AX75*100/bütünleme!$I75,"")</f>
        <v/>
      </c>
      <c r="AN378" s="39" t="str">
        <f>IFERROR(bütünleme!AY75*100/bütünleme!$I75,"")</f>
        <v/>
      </c>
      <c r="AO378" s="39" t="str">
        <f>IFERROR(bütünleme!AZ75*100/bütünleme!$I75,"")</f>
        <v/>
      </c>
      <c r="AP378" s="39" t="str">
        <f>IFERROR(bütünleme!BA75*100/bütünleme!$I75,"")</f>
        <v/>
      </c>
      <c r="AQ378" s="39" t="str">
        <f>IFERROR(bütünleme!BB75*100/bütünleme!$I75,"")</f>
        <v/>
      </c>
      <c r="AR378" s="39" t="str">
        <f>IFERROR(bütünleme!BC75*100/bütünleme!$I75,"")</f>
        <v/>
      </c>
      <c r="AS378" s="39" t="str">
        <f>IFERROR(bütünleme!BD75*100/bütünleme!$I75,"")</f>
        <v/>
      </c>
      <c r="AT378" s="39" t="str">
        <f>IFERROR(bütünleme!BE75*100/bütünleme!$I75,"")</f>
        <v/>
      </c>
      <c r="AU378" s="39" t="str">
        <f>IFERROR(bütünleme!BF75*100/bütünleme!$I75,"")</f>
        <v/>
      </c>
      <c r="AV378" s="39" t="str">
        <f>IFERROR(bütünleme!BG75*100/bütünleme!$I75,"")</f>
        <v/>
      </c>
      <c r="AW378" s="39" t="str">
        <f>IFERROR(bütünleme!BH75*100/bütünleme!$I75,"")</f>
        <v/>
      </c>
      <c r="AX378" s="39" t="str">
        <f>IFERROR(bütünleme!BI75*100/bütünleme!$I75,"")</f>
        <v/>
      </c>
      <c r="AY378" s="39" t="str">
        <f>IFERROR(bütünleme!BJ75*100/bütünleme!$I75,"")</f>
        <v/>
      </c>
      <c r="AZ378" s="39" t="str">
        <f>IFERROR(bütünleme!BK75*100/bütünleme!$I75,"")</f>
        <v/>
      </c>
      <c r="BA378" s="39" t="str">
        <f>IFERROR(bütünleme!BL75*100/bütünleme!$I75,"")</f>
        <v/>
      </c>
      <c r="BB378" s="39" t="str">
        <f>IFERROR(bütünleme!BM75*100/bütünleme!$I75,"")</f>
        <v/>
      </c>
      <c r="BC378" s="39" t="str">
        <f>IFERROR(bütünleme!BN75*100/bütünleme!$I75,"")</f>
        <v/>
      </c>
      <c r="BD378" s="39" t="str">
        <f>IFERROR(bütünleme!BO75*100/bütünleme!$I75,"")</f>
        <v/>
      </c>
      <c r="BE378" s="39" t="str">
        <f>IFERROR(bütünleme!BP75*100/bütünleme!$I75,"")</f>
        <v/>
      </c>
      <c r="BF378" s="39" t="str">
        <f>IFERROR(bütünleme!BQ75*100/bütünleme!$I75,"")</f>
        <v/>
      </c>
      <c r="BG378" s="39" t="str">
        <f>IFERROR(bütünleme!BR75*100/bütünleme!$I75,"")</f>
        <v/>
      </c>
      <c r="BH378" s="39" t="str">
        <f>IFERROR(bütünleme!BS75*100/bütünleme!$I75,"")</f>
        <v/>
      </c>
      <c r="BI378" s="39" t="str">
        <f>IFERROR(bütünleme!BT75*100/bütünleme!$I75,"")</f>
        <v/>
      </c>
      <c r="BJ378" s="39" t="str">
        <f>IFERROR(bütünleme!BU75*100/bütünleme!$I75,"")</f>
        <v/>
      </c>
      <c r="BK378" s="39" t="str">
        <f>IFERROR(bütünleme!BV75*100/bütünleme!$I75,"")</f>
        <v/>
      </c>
      <c r="BL378" s="39" t="str">
        <f>IFERROR(bütünleme!BW75*100/bütünleme!$I75,"")</f>
        <v/>
      </c>
      <c r="BM378" s="39" t="str">
        <f>IFERROR(bütünleme!BX75*100/bütünleme!$I75,"")</f>
        <v/>
      </c>
      <c r="BN378" s="39" t="str">
        <f>IFERROR(bütünleme!BY75*100/bütünleme!$I75,"")</f>
        <v/>
      </c>
      <c r="BO378" s="39" t="str">
        <f>IFERROR(bütünleme!BZ75*100/bütünleme!$I75,"")</f>
        <v/>
      </c>
      <c r="BP378" s="39" t="str">
        <f>IFERROR(bütünleme!CA75*100/bütünleme!$I75,"")</f>
        <v/>
      </c>
      <c r="BQ378" s="39" t="str">
        <f>IFERROR(bütünleme!CB75*100/bütünleme!$I75,"")</f>
        <v/>
      </c>
      <c r="BR378" s="39" t="str">
        <f>IFERROR(bütünleme!CC75*100/bütünleme!$I75,"")</f>
        <v/>
      </c>
      <c r="BS378" s="39" t="str">
        <f>IFERROR(bütünleme!CD75*100/bütünleme!$I75,"")</f>
        <v/>
      </c>
      <c r="BT378" s="39" t="str">
        <f>IFERROR(bütünleme!CE75*100/bütünleme!$I75,"")</f>
        <v/>
      </c>
      <c r="BU378" s="39" t="str">
        <f>IFERROR(bütünleme!CF75*100/bütünleme!$I75,"")</f>
        <v/>
      </c>
      <c r="BV378" s="39" t="str">
        <f>IFERROR(bütünleme!CG75*100/bütünleme!$I75,"")</f>
        <v/>
      </c>
      <c r="BW378" s="39" t="str">
        <f>IFERROR(bütünleme!CH75*100/bütünleme!$I75,"")</f>
        <v/>
      </c>
      <c r="BX378" s="39" t="str">
        <f>IFERROR(bütünleme!CI75*100/bütünleme!$I75,"")</f>
        <v/>
      </c>
      <c r="BY378" s="39" t="str">
        <f>IFERROR(bütünleme!CJ75*100/bütünleme!$I75,"")</f>
        <v/>
      </c>
      <c r="BZ378" s="39" t="str">
        <f>IFERROR(bütünleme!CK75*100/bütünleme!$I75,"")</f>
        <v/>
      </c>
      <c r="CA378" s="39" t="str">
        <f>IFERROR(bütünleme!CL75*100/bütünleme!$I75,"")</f>
        <v/>
      </c>
      <c r="CB378" s="39" t="str">
        <f>IFERROR(bütünleme!CM75*100/bütünleme!$I75,"")</f>
        <v/>
      </c>
      <c r="CC378" s="39" t="str">
        <f>IFERROR(bütünleme!CN75*100/bütünleme!$I75,"")</f>
        <v/>
      </c>
      <c r="CD378" s="39" t="str">
        <f>IFERROR(bütünleme!CO75*100/bütünleme!$I75,"")</f>
        <v/>
      </c>
      <c r="CE378" s="39" t="str">
        <f>IFERROR(bütünleme!CP75*100/bütünleme!$I75,"")</f>
        <v/>
      </c>
      <c r="CF378" s="39" t="str">
        <f>IFERROR(bütünleme!CQ75*100/bütünleme!$I75,"")</f>
        <v/>
      </c>
      <c r="CG378" s="39" t="str">
        <f>IFERROR(bütünleme!CR75*100/bütünleme!$I75,"")</f>
        <v/>
      </c>
      <c r="CH378" s="39" t="str">
        <f>IFERROR(bütünleme!CS75*100/bütünleme!$I75,"")</f>
        <v/>
      </c>
      <c r="CI378" s="39" t="str">
        <f>IFERROR(bütünleme!CT75*100/bütünleme!$I75,"")</f>
        <v/>
      </c>
      <c r="CJ378" s="39" t="str">
        <f>IFERROR(bütünleme!CU75*100/bütünleme!$I75,"")</f>
        <v/>
      </c>
      <c r="CK378" s="39" t="str">
        <f>IFERROR(bütünleme!CV75*100/bütünleme!$I75,"")</f>
        <v/>
      </c>
      <c r="CL378" s="39" t="str">
        <f>IFERROR(bütünleme!CW75*100/bütünleme!$I75,"")</f>
        <v/>
      </c>
      <c r="CM378" s="39" t="str">
        <f>IFERROR(bütünleme!CX75*100/bütünleme!$I75,"")</f>
        <v/>
      </c>
      <c r="CN378" s="39" t="str">
        <f>IFERROR(bütünleme!CY75*100/bütünleme!$I75,"")</f>
        <v/>
      </c>
      <c r="CO378" s="39" t="str">
        <f>IFERROR(bütünleme!CZ75*100/bütünleme!$I75,"")</f>
        <v/>
      </c>
      <c r="CP378" s="39" t="str">
        <f>IFERROR(bütünleme!DA75*100/bütünleme!$I75,"")</f>
        <v/>
      </c>
      <c r="CQ378" s="39" t="str">
        <f>IFERROR(bütünleme!DB75*100/bütünleme!$I75,"")</f>
        <v/>
      </c>
      <c r="CR378" s="39" t="str">
        <f>IFERROR(bütünleme!DC75*100/bütünleme!$I75,"")</f>
        <v/>
      </c>
      <c r="CS378" s="39" t="str">
        <f>IFERROR(bütünleme!DD75*100/bütünleme!$I75,"")</f>
        <v/>
      </c>
      <c r="CT378" s="39" t="str">
        <f>IFERROR(bütünleme!DE75*100/bütünleme!$I75,"")</f>
        <v/>
      </c>
      <c r="CU378" s="39" t="str">
        <f>IFERROR(bütünleme!DF75*100/bütünleme!$I75,"")</f>
        <v/>
      </c>
      <c r="CV378" s="39" t="str">
        <f>IFERROR(bütünleme!DG75*100/bütünleme!$I75,"")</f>
        <v/>
      </c>
      <c r="CW378" s="36" t="str">
        <f>IFERROR(SUM(A378:CV378)/bütünleme!$DH$103,"")</f>
        <v/>
      </c>
      <c r="CX378" s="14" t="str">
        <f>IF(COUNTA(bütünleme!A75),bütünleme!A75,"")</f>
        <v/>
      </c>
      <c r="CY378" s="14" t="str">
        <f>IF(COUNTA(bütünleme!B75),bütünleme!B75,"")</f>
        <v/>
      </c>
      <c r="CZ378" s="14" t="str">
        <f>IF(COUNTA(bütünleme!C75),bütünleme!C75,"")</f>
        <v/>
      </c>
      <c r="DA378" s="14" t="str">
        <f>IF(COUNTA(bütünleme!D75),bütünleme!D75,"")</f>
        <v/>
      </c>
      <c r="DB378" s="14" t="str">
        <f>IF(COUNTA(bütünleme!E75),bütünleme!E75,"")</f>
        <v/>
      </c>
      <c r="DC378" s="14" t="str">
        <f>IF(COUNTA(bütünleme!F75),bütünleme!F75,"")</f>
        <v/>
      </c>
      <c r="DD378" s="14" t="str">
        <f>IF(COUNTA(bütünleme!G75),bütünleme!G75,"")</f>
        <v/>
      </c>
      <c r="DE378" s="14" t="str">
        <f>IF(COUNTA(bütünleme!H75),bütünleme!H75,"")</f>
        <v/>
      </c>
    </row>
    <row r="379" spans="1:109" x14ac:dyDescent="0.2">
      <c r="A379" s="39" t="str">
        <f>IFERROR(bütünleme!L76*100/bütünleme!$I76,"")</f>
        <v/>
      </c>
      <c r="B379" s="39" t="str">
        <f>IFERROR(bütünleme!M76*100/bütünleme!$I76,"")</f>
        <v/>
      </c>
      <c r="C379" s="39" t="str">
        <f>IFERROR(bütünleme!N76*100/bütünleme!$I76,"")</f>
        <v/>
      </c>
      <c r="D379" s="39" t="str">
        <f>IFERROR(bütünleme!O76*100/bütünleme!$I76,"")</f>
        <v/>
      </c>
      <c r="E379" s="39" t="str">
        <f>IFERROR(bütünleme!P76*100/bütünleme!$I76,"")</f>
        <v/>
      </c>
      <c r="F379" s="39" t="str">
        <f>IFERROR(bütünleme!Q76*100/bütünleme!$I76,"")</f>
        <v/>
      </c>
      <c r="G379" s="39" t="str">
        <f>IFERROR(bütünleme!R76*100/bütünleme!$I76,"")</f>
        <v/>
      </c>
      <c r="H379" s="39" t="str">
        <f>IFERROR(bütünleme!S76*100/bütünleme!$I76,"")</f>
        <v/>
      </c>
      <c r="I379" s="39" t="str">
        <f>IFERROR(bütünleme!T76*100/bütünleme!$I76,"")</f>
        <v/>
      </c>
      <c r="J379" s="39" t="str">
        <f>IFERROR(bütünleme!U76*100/bütünleme!$I76,"")</f>
        <v/>
      </c>
      <c r="K379" s="39" t="str">
        <f>IFERROR(bütünleme!V76*100/bütünleme!$I76,"")</f>
        <v/>
      </c>
      <c r="L379" s="39" t="str">
        <f>IFERROR(bütünleme!W76*100/bütünleme!$I76,"")</f>
        <v/>
      </c>
      <c r="M379" s="39" t="str">
        <f>IFERROR(bütünleme!X76*100/bütünleme!$I76,"")</f>
        <v/>
      </c>
      <c r="N379" s="39" t="str">
        <f>IFERROR(bütünleme!Y76*100/bütünleme!$I76,"")</f>
        <v/>
      </c>
      <c r="O379" s="39" t="str">
        <f>IFERROR(bütünleme!Z76*100/bütünleme!$I76,"")</f>
        <v/>
      </c>
      <c r="P379" s="39" t="str">
        <f>IFERROR(bütünleme!AA76*100/bütünleme!$I76,"")</f>
        <v/>
      </c>
      <c r="Q379" s="39" t="str">
        <f>IFERROR(bütünleme!AB76*100/bütünleme!$I76,"")</f>
        <v/>
      </c>
      <c r="R379" s="39" t="str">
        <f>IFERROR(bütünleme!AC76*100/bütünleme!$I76,"")</f>
        <v/>
      </c>
      <c r="S379" s="39" t="str">
        <f>IFERROR(bütünleme!AD76*100/bütünleme!$I76,"")</f>
        <v/>
      </c>
      <c r="T379" s="39" t="str">
        <f>IFERROR(bütünleme!AE76*100/bütünleme!$I76,"")</f>
        <v/>
      </c>
      <c r="U379" s="39" t="str">
        <f>IFERROR(bütünleme!AF76*100/bütünleme!$I76,"")</f>
        <v/>
      </c>
      <c r="V379" s="39" t="str">
        <f>IFERROR(bütünleme!AG76*100/bütünleme!$I76,"")</f>
        <v/>
      </c>
      <c r="W379" s="39" t="str">
        <f>IFERROR(bütünleme!AH76*100/bütünleme!$I76,"")</f>
        <v/>
      </c>
      <c r="X379" s="39" t="str">
        <f>IFERROR(bütünleme!AI76*100/bütünleme!$I76,"")</f>
        <v/>
      </c>
      <c r="Y379" s="39" t="str">
        <f>IFERROR(bütünleme!AJ76*100/bütünleme!$I76,"")</f>
        <v/>
      </c>
      <c r="Z379" s="39" t="str">
        <f>IFERROR(bütünleme!AK76*100/bütünleme!$I76,"")</f>
        <v/>
      </c>
      <c r="AA379" s="39" t="str">
        <f>IFERROR(bütünleme!AL76*100/bütünleme!$I76,"")</f>
        <v/>
      </c>
      <c r="AB379" s="39" t="str">
        <f>IFERROR(bütünleme!AM76*100/bütünleme!$I76,"")</f>
        <v/>
      </c>
      <c r="AC379" s="39" t="str">
        <f>IFERROR(bütünleme!AN76*100/bütünleme!$I76,"")</f>
        <v/>
      </c>
      <c r="AD379" s="39" t="str">
        <f>IFERROR(bütünleme!AO76*100/bütünleme!$I76,"")</f>
        <v/>
      </c>
      <c r="AE379" s="39" t="str">
        <f>IFERROR(bütünleme!AP76*100/bütünleme!$I76,"")</f>
        <v/>
      </c>
      <c r="AF379" s="39" t="str">
        <f>IFERROR(bütünleme!AQ76*100/bütünleme!$I76,"")</f>
        <v/>
      </c>
      <c r="AG379" s="39" t="str">
        <f>IFERROR(bütünleme!AR76*100/bütünleme!$I76,"")</f>
        <v/>
      </c>
      <c r="AH379" s="39" t="str">
        <f>IFERROR(bütünleme!AS76*100/bütünleme!$I76,"")</f>
        <v/>
      </c>
      <c r="AI379" s="39" t="str">
        <f>IFERROR(bütünleme!AT76*100/bütünleme!$I76,"")</f>
        <v/>
      </c>
      <c r="AJ379" s="39" t="str">
        <f>IFERROR(bütünleme!AU76*100/bütünleme!$I76,"")</f>
        <v/>
      </c>
      <c r="AK379" s="39" t="str">
        <f>IFERROR(bütünleme!AV76*100/bütünleme!$I76,"")</f>
        <v/>
      </c>
      <c r="AL379" s="39" t="str">
        <f>IFERROR(bütünleme!AW76*100/bütünleme!$I76,"")</f>
        <v/>
      </c>
      <c r="AM379" s="39" t="str">
        <f>IFERROR(bütünleme!AX76*100/bütünleme!$I76,"")</f>
        <v/>
      </c>
      <c r="AN379" s="39" t="str">
        <f>IFERROR(bütünleme!AY76*100/bütünleme!$I76,"")</f>
        <v/>
      </c>
      <c r="AO379" s="39" t="str">
        <f>IFERROR(bütünleme!AZ76*100/bütünleme!$I76,"")</f>
        <v/>
      </c>
      <c r="AP379" s="39" t="str">
        <f>IFERROR(bütünleme!BA76*100/bütünleme!$I76,"")</f>
        <v/>
      </c>
      <c r="AQ379" s="39" t="str">
        <f>IFERROR(bütünleme!BB76*100/bütünleme!$I76,"")</f>
        <v/>
      </c>
      <c r="AR379" s="39" t="str">
        <f>IFERROR(bütünleme!BC76*100/bütünleme!$I76,"")</f>
        <v/>
      </c>
      <c r="AS379" s="39" t="str">
        <f>IFERROR(bütünleme!BD76*100/bütünleme!$I76,"")</f>
        <v/>
      </c>
      <c r="AT379" s="39" t="str">
        <f>IFERROR(bütünleme!BE76*100/bütünleme!$I76,"")</f>
        <v/>
      </c>
      <c r="AU379" s="39" t="str">
        <f>IFERROR(bütünleme!BF76*100/bütünleme!$I76,"")</f>
        <v/>
      </c>
      <c r="AV379" s="39" t="str">
        <f>IFERROR(bütünleme!BG76*100/bütünleme!$I76,"")</f>
        <v/>
      </c>
      <c r="AW379" s="39" t="str">
        <f>IFERROR(bütünleme!BH76*100/bütünleme!$I76,"")</f>
        <v/>
      </c>
      <c r="AX379" s="39" t="str">
        <f>IFERROR(bütünleme!BI76*100/bütünleme!$I76,"")</f>
        <v/>
      </c>
      <c r="AY379" s="39" t="str">
        <f>IFERROR(bütünleme!BJ76*100/bütünleme!$I76,"")</f>
        <v/>
      </c>
      <c r="AZ379" s="39" t="str">
        <f>IFERROR(bütünleme!BK76*100/bütünleme!$I76,"")</f>
        <v/>
      </c>
      <c r="BA379" s="39" t="str">
        <f>IFERROR(bütünleme!BL76*100/bütünleme!$I76,"")</f>
        <v/>
      </c>
      <c r="BB379" s="39" t="str">
        <f>IFERROR(bütünleme!BM76*100/bütünleme!$I76,"")</f>
        <v/>
      </c>
      <c r="BC379" s="39" t="str">
        <f>IFERROR(bütünleme!BN76*100/bütünleme!$I76,"")</f>
        <v/>
      </c>
      <c r="BD379" s="39" t="str">
        <f>IFERROR(bütünleme!BO76*100/bütünleme!$I76,"")</f>
        <v/>
      </c>
      <c r="BE379" s="39" t="str">
        <f>IFERROR(bütünleme!BP76*100/bütünleme!$I76,"")</f>
        <v/>
      </c>
      <c r="BF379" s="39" t="str">
        <f>IFERROR(bütünleme!BQ76*100/bütünleme!$I76,"")</f>
        <v/>
      </c>
      <c r="BG379" s="39" t="str">
        <f>IFERROR(bütünleme!BR76*100/bütünleme!$I76,"")</f>
        <v/>
      </c>
      <c r="BH379" s="39" t="str">
        <f>IFERROR(bütünleme!BS76*100/bütünleme!$I76,"")</f>
        <v/>
      </c>
      <c r="BI379" s="39" t="str">
        <f>IFERROR(bütünleme!BT76*100/bütünleme!$I76,"")</f>
        <v/>
      </c>
      <c r="BJ379" s="39" t="str">
        <f>IFERROR(bütünleme!BU76*100/bütünleme!$I76,"")</f>
        <v/>
      </c>
      <c r="BK379" s="39" t="str">
        <f>IFERROR(bütünleme!BV76*100/bütünleme!$I76,"")</f>
        <v/>
      </c>
      <c r="BL379" s="39" t="str">
        <f>IFERROR(bütünleme!BW76*100/bütünleme!$I76,"")</f>
        <v/>
      </c>
      <c r="BM379" s="39" t="str">
        <f>IFERROR(bütünleme!BX76*100/bütünleme!$I76,"")</f>
        <v/>
      </c>
      <c r="BN379" s="39" t="str">
        <f>IFERROR(bütünleme!BY76*100/bütünleme!$I76,"")</f>
        <v/>
      </c>
      <c r="BO379" s="39" t="str">
        <f>IFERROR(bütünleme!BZ76*100/bütünleme!$I76,"")</f>
        <v/>
      </c>
      <c r="BP379" s="39" t="str">
        <f>IFERROR(bütünleme!CA76*100/bütünleme!$I76,"")</f>
        <v/>
      </c>
      <c r="BQ379" s="39" t="str">
        <f>IFERROR(bütünleme!CB76*100/bütünleme!$I76,"")</f>
        <v/>
      </c>
      <c r="BR379" s="39" t="str">
        <f>IFERROR(bütünleme!CC76*100/bütünleme!$I76,"")</f>
        <v/>
      </c>
      <c r="BS379" s="39" t="str">
        <f>IFERROR(bütünleme!CD76*100/bütünleme!$I76,"")</f>
        <v/>
      </c>
      <c r="BT379" s="39" t="str">
        <f>IFERROR(bütünleme!CE76*100/bütünleme!$I76,"")</f>
        <v/>
      </c>
      <c r="BU379" s="39" t="str">
        <f>IFERROR(bütünleme!CF76*100/bütünleme!$I76,"")</f>
        <v/>
      </c>
      <c r="BV379" s="39" t="str">
        <f>IFERROR(bütünleme!CG76*100/bütünleme!$I76,"")</f>
        <v/>
      </c>
      <c r="BW379" s="39" t="str">
        <f>IFERROR(bütünleme!CH76*100/bütünleme!$I76,"")</f>
        <v/>
      </c>
      <c r="BX379" s="39" t="str">
        <f>IFERROR(bütünleme!CI76*100/bütünleme!$I76,"")</f>
        <v/>
      </c>
      <c r="BY379" s="39" t="str">
        <f>IFERROR(bütünleme!CJ76*100/bütünleme!$I76,"")</f>
        <v/>
      </c>
      <c r="BZ379" s="39" t="str">
        <f>IFERROR(bütünleme!CK76*100/bütünleme!$I76,"")</f>
        <v/>
      </c>
      <c r="CA379" s="39" t="str">
        <f>IFERROR(bütünleme!CL76*100/bütünleme!$I76,"")</f>
        <v/>
      </c>
      <c r="CB379" s="39" t="str">
        <f>IFERROR(bütünleme!CM76*100/bütünleme!$I76,"")</f>
        <v/>
      </c>
      <c r="CC379" s="39" t="str">
        <f>IFERROR(bütünleme!CN76*100/bütünleme!$I76,"")</f>
        <v/>
      </c>
      <c r="CD379" s="39" t="str">
        <f>IFERROR(bütünleme!CO76*100/bütünleme!$I76,"")</f>
        <v/>
      </c>
      <c r="CE379" s="39" t="str">
        <f>IFERROR(bütünleme!CP76*100/bütünleme!$I76,"")</f>
        <v/>
      </c>
      <c r="CF379" s="39" t="str">
        <f>IFERROR(bütünleme!CQ76*100/bütünleme!$I76,"")</f>
        <v/>
      </c>
      <c r="CG379" s="39" t="str">
        <f>IFERROR(bütünleme!CR76*100/bütünleme!$I76,"")</f>
        <v/>
      </c>
      <c r="CH379" s="39" t="str">
        <f>IFERROR(bütünleme!CS76*100/bütünleme!$I76,"")</f>
        <v/>
      </c>
      <c r="CI379" s="39" t="str">
        <f>IFERROR(bütünleme!CT76*100/bütünleme!$I76,"")</f>
        <v/>
      </c>
      <c r="CJ379" s="39" t="str">
        <f>IFERROR(bütünleme!CU76*100/bütünleme!$I76,"")</f>
        <v/>
      </c>
      <c r="CK379" s="39" t="str">
        <f>IFERROR(bütünleme!CV76*100/bütünleme!$I76,"")</f>
        <v/>
      </c>
      <c r="CL379" s="39" t="str">
        <f>IFERROR(bütünleme!CW76*100/bütünleme!$I76,"")</f>
        <v/>
      </c>
      <c r="CM379" s="39" t="str">
        <f>IFERROR(bütünleme!CX76*100/bütünleme!$I76,"")</f>
        <v/>
      </c>
      <c r="CN379" s="39" t="str">
        <f>IFERROR(bütünleme!CY76*100/bütünleme!$I76,"")</f>
        <v/>
      </c>
      <c r="CO379" s="39" t="str">
        <f>IFERROR(bütünleme!CZ76*100/bütünleme!$I76,"")</f>
        <v/>
      </c>
      <c r="CP379" s="39" t="str">
        <f>IFERROR(bütünleme!DA76*100/bütünleme!$I76,"")</f>
        <v/>
      </c>
      <c r="CQ379" s="39" t="str">
        <f>IFERROR(bütünleme!DB76*100/bütünleme!$I76,"")</f>
        <v/>
      </c>
      <c r="CR379" s="39" t="str">
        <f>IFERROR(bütünleme!DC76*100/bütünleme!$I76,"")</f>
        <v/>
      </c>
      <c r="CS379" s="39" t="str">
        <f>IFERROR(bütünleme!DD76*100/bütünleme!$I76,"")</f>
        <v/>
      </c>
      <c r="CT379" s="39" t="str">
        <f>IFERROR(bütünleme!DE76*100/bütünleme!$I76,"")</f>
        <v/>
      </c>
      <c r="CU379" s="39" t="str">
        <f>IFERROR(bütünleme!DF76*100/bütünleme!$I76,"")</f>
        <v/>
      </c>
      <c r="CV379" s="39" t="str">
        <f>IFERROR(bütünleme!DG76*100/bütünleme!$I76,"")</f>
        <v/>
      </c>
      <c r="CW379" s="36" t="str">
        <f>IFERROR(SUM(A379:CV379)/bütünleme!$DH$103,"")</f>
        <v/>
      </c>
      <c r="CX379" s="14" t="str">
        <f>IF(COUNTA(bütünleme!A76),bütünleme!A76,"")</f>
        <v/>
      </c>
      <c r="CY379" s="14" t="str">
        <f>IF(COUNTA(bütünleme!B76),bütünleme!B76,"")</f>
        <v/>
      </c>
      <c r="CZ379" s="14" t="str">
        <f>IF(COUNTA(bütünleme!C76),bütünleme!C76,"")</f>
        <v/>
      </c>
      <c r="DA379" s="14" t="str">
        <f>IF(COUNTA(bütünleme!D76),bütünleme!D76,"")</f>
        <v/>
      </c>
      <c r="DB379" s="14" t="str">
        <f>IF(COUNTA(bütünleme!E76),bütünleme!E76,"")</f>
        <v/>
      </c>
      <c r="DC379" s="14" t="str">
        <f>IF(COUNTA(bütünleme!F76),bütünleme!F76,"")</f>
        <v/>
      </c>
      <c r="DD379" s="14" t="str">
        <f>IF(COUNTA(bütünleme!G76),bütünleme!G76,"")</f>
        <v/>
      </c>
      <c r="DE379" s="14" t="str">
        <f>IF(COUNTA(bütünleme!H76),bütünleme!H76,"")</f>
        <v/>
      </c>
    </row>
    <row r="380" spans="1:109" x14ac:dyDescent="0.2">
      <c r="A380" s="39" t="str">
        <f>IFERROR(bütünleme!L77*100/bütünleme!$I77,"")</f>
        <v/>
      </c>
      <c r="B380" s="39" t="str">
        <f>IFERROR(bütünleme!M77*100/bütünleme!$I77,"")</f>
        <v/>
      </c>
      <c r="C380" s="39" t="str">
        <f>IFERROR(bütünleme!N77*100/bütünleme!$I77,"")</f>
        <v/>
      </c>
      <c r="D380" s="39" t="str">
        <f>IFERROR(bütünleme!O77*100/bütünleme!$I77,"")</f>
        <v/>
      </c>
      <c r="E380" s="39" t="str">
        <f>IFERROR(bütünleme!P77*100/bütünleme!$I77,"")</f>
        <v/>
      </c>
      <c r="F380" s="39" t="str">
        <f>IFERROR(bütünleme!Q77*100/bütünleme!$I77,"")</f>
        <v/>
      </c>
      <c r="G380" s="39" t="str">
        <f>IFERROR(bütünleme!R77*100/bütünleme!$I77,"")</f>
        <v/>
      </c>
      <c r="H380" s="39" t="str">
        <f>IFERROR(bütünleme!S77*100/bütünleme!$I77,"")</f>
        <v/>
      </c>
      <c r="I380" s="39" t="str">
        <f>IFERROR(bütünleme!T77*100/bütünleme!$I77,"")</f>
        <v/>
      </c>
      <c r="J380" s="39" t="str">
        <f>IFERROR(bütünleme!U77*100/bütünleme!$I77,"")</f>
        <v/>
      </c>
      <c r="K380" s="39" t="str">
        <f>IFERROR(bütünleme!V77*100/bütünleme!$I77,"")</f>
        <v/>
      </c>
      <c r="L380" s="39" t="str">
        <f>IFERROR(bütünleme!W77*100/bütünleme!$I77,"")</f>
        <v/>
      </c>
      <c r="M380" s="39" t="str">
        <f>IFERROR(bütünleme!X77*100/bütünleme!$I77,"")</f>
        <v/>
      </c>
      <c r="N380" s="39" t="str">
        <f>IFERROR(bütünleme!Y77*100/bütünleme!$I77,"")</f>
        <v/>
      </c>
      <c r="O380" s="39" t="str">
        <f>IFERROR(bütünleme!Z77*100/bütünleme!$I77,"")</f>
        <v/>
      </c>
      <c r="P380" s="39" t="str">
        <f>IFERROR(bütünleme!AA77*100/bütünleme!$I77,"")</f>
        <v/>
      </c>
      <c r="Q380" s="39" t="str">
        <f>IFERROR(bütünleme!AB77*100/bütünleme!$I77,"")</f>
        <v/>
      </c>
      <c r="R380" s="39" t="str">
        <f>IFERROR(bütünleme!AC77*100/bütünleme!$I77,"")</f>
        <v/>
      </c>
      <c r="S380" s="39" t="str">
        <f>IFERROR(bütünleme!AD77*100/bütünleme!$I77,"")</f>
        <v/>
      </c>
      <c r="T380" s="39" t="str">
        <f>IFERROR(bütünleme!AE77*100/bütünleme!$I77,"")</f>
        <v/>
      </c>
      <c r="U380" s="39" t="str">
        <f>IFERROR(bütünleme!AF77*100/bütünleme!$I77,"")</f>
        <v/>
      </c>
      <c r="V380" s="39" t="str">
        <f>IFERROR(bütünleme!AG77*100/bütünleme!$I77,"")</f>
        <v/>
      </c>
      <c r="W380" s="39" t="str">
        <f>IFERROR(bütünleme!AH77*100/bütünleme!$I77,"")</f>
        <v/>
      </c>
      <c r="X380" s="39" t="str">
        <f>IFERROR(bütünleme!AI77*100/bütünleme!$I77,"")</f>
        <v/>
      </c>
      <c r="Y380" s="39" t="str">
        <f>IFERROR(bütünleme!AJ77*100/bütünleme!$I77,"")</f>
        <v/>
      </c>
      <c r="Z380" s="39" t="str">
        <f>IFERROR(bütünleme!AK77*100/bütünleme!$I77,"")</f>
        <v/>
      </c>
      <c r="AA380" s="39" t="str">
        <f>IFERROR(bütünleme!AL77*100/bütünleme!$I77,"")</f>
        <v/>
      </c>
      <c r="AB380" s="39" t="str">
        <f>IFERROR(bütünleme!AM77*100/bütünleme!$I77,"")</f>
        <v/>
      </c>
      <c r="AC380" s="39" t="str">
        <f>IFERROR(bütünleme!AN77*100/bütünleme!$I77,"")</f>
        <v/>
      </c>
      <c r="AD380" s="39" t="str">
        <f>IFERROR(bütünleme!AO77*100/bütünleme!$I77,"")</f>
        <v/>
      </c>
      <c r="AE380" s="39" t="str">
        <f>IFERROR(bütünleme!AP77*100/bütünleme!$I77,"")</f>
        <v/>
      </c>
      <c r="AF380" s="39" t="str">
        <f>IFERROR(bütünleme!AQ77*100/bütünleme!$I77,"")</f>
        <v/>
      </c>
      <c r="AG380" s="39" t="str">
        <f>IFERROR(bütünleme!AR77*100/bütünleme!$I77,"")</f>
        <v/>
      </c>
      <c r="AH380" s="39" t="str">
        <f>IFERROR(bütünleme!AS77*100/bütünleme!$I77,"")</f>
        <v/>
      </c>
      <c r="AI380" s="39" t="str">
        <f>IFERROR(bütünleme!AT77*100/bütünleme!$I77,"")</f>
        <v/>
      </c>
      <c r="AJ380" s="39" t="str">
        <f>IFERROR(bütünleme!AU77*100/bütünleme!$I77,"")</f>
        <v/>
      </c>
      <c r="AK380" s="39" t="str">
        <f>IFERROR(bütünleme!AV77*100/bütünleme!$I77,"")</f>
        <v/>
      </c>
      <c r="AL380" s="39" t="str">
        <f>IFERROR(bütünleme!AW77*100/bütünleme!$I77,"")</f>
        <v/>
      </c>
      <c r="AM380" s="39" t="str">
        <f>IFERROR(bütünleme!AX77*100/bütünleme!$I77,"")</f>
        <v/>
      </c>
      <c r="AN380" s="39" t="str">
        <f>IFERROR(bütünleme!AY77*100/bütünleme!$I77,"")</f>
        <v/>
      </c>
      <c r="AO380" s="39" t="str">
        <f>IFERROR(bütünleme!AZ77*100/bütünleme!$I77,"")</f>
        <v/>
      </c>
      <c r="AP380" s="39" t="str">
        <f>IFERROR(bütünleme!BA77*100/bütünleme!$I77,"")</f>
        <v/>
      </c>
      <c r="AQ380" s="39" t="str">
        <f>IFERROR(bütünleme!BB77*100/bütünleme!$I77,"")</f>
        <v/>
      </c>
      <c r="AR380" s="39" t="str">
        <f>IFERROR(bütünleme!BC77*100/bütünleme!$I77,"")</f>
        <v/>
      </c>
      <c r="AS380" s="39" t="str">
        <f>IFERROR(bütünleme!BD77*100/bütünleme!$I77,"")</f>
        <v/>
      </c>
      <c r="AT380" s="39" t="str">
        <f>IFERROR(bütünleme!BE77*100/bütünleme!$I77,"")</f>
        <v/>
      </c>
      <c r="AU380" s="39" t="str">
        <f>IFERROR(bütünleme!BF77*100/bütünleme!$I77,"")</f>
        <v/>
      </c>
      <c r="AV380" s="39" t="str">
        <f>IFERROR(bütünleme!BG77*100/bütünleme!$I77,"")</f>
        <v/>
      </c>
      <c r="AW380" s="39" t="str">
        <f>IFERROR(bütünleme!BH77*100/bütünleme!$I77,"")</f>
        <v/>
      </c>
      <c r="AX380" s="39" t="str">
        <f>IFERROR(bütünleme!BI77*100/bütünleme!$I77,"")</f>
        <v/>
      </c>
      <c r="AY380" s="39" t="str">
        <f>IFERROR(bütünleme!BJ77*100/bütünleme!$I77,"")</f>
        <v/>
      </c>
      <c r="AZ380" s="39" t="str">
        <f>IFERROR(bütünleme!BK77*100/bütünleme!$I77,"")</f>
        <v/>
      </c>
      <c r="BA380" s="39" t="str">
        <f>IFERROR(bütünleme!BL77*100/bütünleme!$I77,"")</f>
        <v/>
      </c>
      <c r="BB380" s="39" t="str">
        <f>IFERROR(bütünleme!BM77*100/bütünleme!$I77,"")</f>
        <v/>
      </c>
      <c r="BC380" s="39" t="str">
        <f>IFERROR(bütünleme!BN77*100/bütünleme!$I77,"")</f>
        <v/>
      </c>
      <c r="BD380" s="39" t="str">
        <f>IFERROR(bütünleme!BO77*100/bütünleme!$I77,"")</f>
        <v/>
      </c>
      <c r="BE380" s="39" t="str">
        <f>IFERROR(bütünleme!BP77*100/bütünleme!$I77,"")</f>
        <v/>
      </c>
      <c r="BF380" s="39" t="str">
        <f>IFERROR(bütünleme!BQ77*100/bütünleme!$I77,"")</f>
        <v/>
      </c>
      <c r="BG380" s="39" t="str">
        <f>IFERROR(bütünleme!BR77*100/bütünleme!$I77,"")</f>
        <v/>
      </c>
      <c r="BH380" s="39" t="str">
        <f>IFERROR(bütünleme!BS77*100/bütünleme!$I77,"")</f>
        <v/>
      </c>
      <c r="BI380" s="39" t="str">
        <f>IFERROR(bütünleme!BT77*100/bütünleme!$I77,"")</f>
        <v/>
      </c>
      <c r="BJ380" s="39" t="str">
        <f>IFERROR(bütünleme!BU77*100/bütünleme!$I77,"")</f>
        <v/>
      </c>
      <c r="BK380" s="39" t="str">
        <f>IFERROR(bütünleme!BV77*100/bütünleme!$I77,"")</f>
        <v/>
      </c>
      <c r="BL380" s="39" t="str">
        <f>IFERROR(bütünleme!BW77*100/bütünleme!$I77,"")</f>
        <v/>
      </c>
      <c r="BM380" s="39" t="str">
        <f>IFERROR(bütünleme!BX77*100/bütünleme!$I77,"")</f>
        <v/>
      </c>
      <c r="BN380" s="39" t="str">
        <f>IFERROR(bütünleme!BY77*100/bütünleme!$I77,"")</f>
        <v/>
      </c>
      <c r="BO380" s="39" t="str">
        <f>IFERROR(bütünleme!BZ77*100/bütünleme!$I77,"")</f>
        <v/>
      </c>
      <c r="BP380" s="39" t="str">
        <f>IFERROR(bütünleme!CA77*100/bütünleme!$I77,"")</f>
        <v/>
      </c>
      <c r="BQ380" s="39" t="str">
        <f>IFERROR(bütünleme!CB77*100/bütünleme!$I77,"")</f>
        <v/>
      </c>
      <c r="BR380" s="39" t="str">
        <f>IFERROR(bütünleme!CC77*100/bütünleme!$I77,"")</f>
        <v/>
      </c>
      <c r="BS380" s="39" t="str">
        <f>IFERROR(bütünleme!CD77*100/bütünleme!$I77,"")</f>
        <v/>
      </c>
      <c r="BT380" s="39" t="str">
        <f>IFERROR(bütünleme!CE77*100/bütünleme!$I77,"")</f>
        <v/>
      </c>
      <c r="BU380" s="39" t="str">
        <f>IFERROR(bütünleme!CF77*100/bütünleme!$I77,"")</f>
        <v/>
      </c>
      <c r="BV380" s="39" t="str">
        <f>IFERROR(bütünleme!CG77*100/bütünleme!$I77,"")</f>
        <v/>
      </c>
      <c r="BW380" s="39" t="str">
        <f>IFERROR(bütünleme!CH77*100/bütünleme!$I77,"")</f>
        <v/>
      </c>
      <c r="BX380" s="39" t="str">
        <f>IFERROR(bütünleme!CI77*100/bütünleme!$I77,"")</f>
        <v/>
      </c>
      <c r="BY380" s="39" t="str">
        <f>IFERROR(bütünleme!CJ77*100/bütünleme!$I77,"")</f>
        <v/>
      </c>
      <c r="BZ380" s="39" t="str">
        <f>IFERROR(bütünleme!CK77*100/bütünleme!$I77,"")</f>
        <v/>
      </c>
      <c r="CA380" s="39" t="str">
        <f>IFERROR(bütünleme!CL77*100/bütünleme!$I77,"")</f>
        <v/>
      </c>
      <c r="CB380" s="39" t="str">
        <f>IFERROR(bütünleme!CM77*100/bütünleme!$I77,"")</f>
        <v/>
      </c>
      <c r="CC380" s="39" t="str">
        <f>IFERROR(bütünleme!CN77*100/bütünleme!$I77,"")</f>
        <v/>
      </c>
      <c r="CD380" s="39" t="str">
        <f>IFERROR(bütünleme!CO77*100/bütünleme!$I77,"")</f>
        <v/>
      </c>
      <c r="CE380" s="39" t="str">
        <f>IFERROR(bütünleme!CP77*100/bütünleme!$I77,"")</f>
        <v/>
      </c>
      <c r="CF380" s="39" t="str">
        <f>IFERROR(bütünleme!CQ77*100/bütünleme!$I77,"")</f>
        <v/>
      </c>
      <c r="CG380" s="39" t="str">
        <f>IFERROR(bütünleme!CR77*100/bütünleme!$I77,"")</f>
        <v/>
      </c>
      <c r="CH380" s="39" t="str">
        <f>IFERROR(bütünleme!CS77*100/bütünleme!$I77,"")</f>
        <v/>
      </c>
      <c r="CI380" s="39" t="str">
        <f>IFERROR(bütünleme!CT77*100/bütünleme!$I77,"")</f>
        <v/>
      </c>
      <c r="CJ380" s="39" t="str">
        <f>IFERROR(bütünleme!CU77*100/bütünleme!$I77,"")</f>
        <v/>
      </c>
      <c r="CK380" s="39" t="str">
        <f>IFERROR(bütünleme!CV77*100/bütünleme!$I77,"")</f>
        <v/>
      </c>
      <c r="CL380" s="39" t="str">
        <f>IFERROR(bütünleme!CW77*100/bütünleme!$I77,"")</f>
        <v/>
      </c>
      <c r="CM380" s="39" t="str">
        <f>IFERROR(bütünleme!CX77*100/bütünleme!$I77,"")</f>
        <v/>
      </c>
      <c r="CN380" s="39" t="str">
        <f>IFERROR(bütünleme!CY77*100/bütünleme!$I77,"")</f>
        <v/>
      </c>
      <c r="CO380" s="39" t="str">
        <f>IFERROR(bütünleme!CZ77*100/bütünleme!$I77,"")</f>
        <v/>
      </c>
      <c r="CP380" s="39" t="str">
        <f>IFERROR(bütünleme!DA77*100/bütünleme!$I77,"")</f>
        <v/>
      </c>
      <c r="CQ380" s="39" t="str">
        <f>IFERROR(bütünleme!DB77*100/bütünleme!$I77,"")</f>
        <v/>
      </c>
      <c r="CR380" s="39" t="str">
        <f>IFERROR(bütünleme!DC77*100/bütünleme!$I77,"")</f>
        <v/>
      </c>
      <c r="CS380" s="39" t="str">
        <f>IFERROR(bütünleme!DD77*100/bütünleme!$I77,"")</f>
        <v/>
      </c>
      <c r="CT380" s="39" t="str">
        <f>IFERROR(bütünleme!DE77*100/bütünleme!$I77,"")</f>
        <v/>
      </c>
      <c r="CU380" s="39" t="str">
        <f>IFERROR(bütünleme!DF77*100/bütünleme!$I77,"")</f>
        <v/>
      </c>
      <c r="CV380" s="39" t="str">
        <f>IFERROR(bütünleme!DG77*100/bütünleme!$I77,"")</f>
        <v/>
      </c>
      <c r="CW380" s="36" t="str">
        <f>IFERROR(SUM(A380:CV380)/bütünleme!$DH$103,"")</f>
        <v/>
      </c>
      <c r="CX380" s="14" t="str">
        <f>IF(COUNTA(bütünleme!A77),bütünleme!A77,"")</f>
        <v/>
      </c>
      <c r="CY380" s="14" t="str">
        <f>IF(COUNTA(bütünleme!B77),bütünleme!B77,"")</f>
        <v/>
      </c>
      <c r="CZ380" s="14" t="str">
        <f>IF(COUNTA(bütünleme!C77),bütünleme!C77,"")</f>
        <v/>
      </c>
      <c r="DA380" s="14" t="str">
        <f>IF(COUNTA(bütünleme!D77),bütünleme!D77,"")</f>
        <v/>
      </c>
      <c r="DB380" s="14" t="str">
        <f>IF(COUNTA(bütünleme!E77),bütünleme!E77,"")</f>
        <v/>
      </c>
      <c r="DC380" s="14" t="str">
        <f>IF(COUNTA(bütünleme!F77),bütünleme!F77,"")</f>
        <v/>
      </c>
      <c r="DD380" s="14" t="str">
        <f>IF(COUNTA(bütünleme!G77),bütünleme!G77,"")</f>
        <v/>
      </c>
      <c r="DE380" s="14" t="str">
        <f>IF(COUNTA(bütünleme!H77),bütünleme!H77,"")</f>
        <v/>
      </c>
    </row>
    <row r="381" spans="1:109" x14ac:dyDescent="0.2">
      <c r="A381" s="39" t="str">
        <f>IFERROR(bütünleme!L78*100/bütünleme!$I78,"")</f>
        <v/>
      </c>
      <c r="B381" s="39" t="str">
        <f>IFERROR(bütünleme!M78*100/bütünleme!$I78,"")</f>
        <v/>
      </c>
      <c r="C381" s="39" t="str">
        <f>IFERROR(bütünleme!N78*100/bütünleme!$I78,"")</f>
        <v/>
      </c>
      <c r="D381" s="39" t="str">
        <f>IFERROR(bütünleme!O78*100/bütünleme!$I78,"")</f>
        <v/>
      </c>
      <c r="E381" s="39" t="str">
        <f>IFERROR(bütünleme!P78*100/bütünleme!$I78,"")</f>
        <v/>
      </c>
      <c r="F381" s="39" t="str">
        <f>IFERROR(bütünleme!Q78*100/bütünleme!$I78,"")</f>
        <v/>
      </c>
      <c r="G381" s="39" t="str">
        <f>IFERROR(bütünleme!R78*100/bütünleme!$I78,"")</f>
        <v/>
      </c>
      <c r="H381" s="39" t="str">
        <f>IFERROR(bütünleme!S78*100/bütünleme!$I78,"")</f>
        <v/>
      </c>
      <c r="I381" s="39" t="str">
        <f>IFERROR(bütünleme!T78*100/bütünleme!$I78,"")</f>
        <v/>
      </c>
      <c r="J381" s="39" t="str">
        <f>IFERROR(bütünleme!U78*100/bütünleme!$I78,"")</f>
        <v/>
      </c>
      <c r="K381" s="39" t="str">
        <f>IFERROR(bütünleme!V78*100/bütünleme!$I78,"")</f>
        <v/>
      </c>
      <c r="L381" s="39" t="str">
        <f>IFERROR(bütünleme!W78*100/bütünleme!$I78,"")</f>
        <v/>
      </c>
      <c r="M381" s="39" t="str">
        <f>IFERROR(bütünleme!X78*100/bütünleme!$I78,"")</f>
        <v/>
      </c>
      <c r="N381" s="39" t="str">
        <f>IFERROR(bütünleme!Y78*100/bütünleme!$I78,"")</f>
        <v/>
      </c>
      <c r="O381" s="39" t="str">
        <f>IFERROR(bütünleme!Z78*100/bütünleme!$I78,"")</f>
        <v/>
      </c>
      <c r="P381" s="39" t="str">
        <f>IFERROR(bütünleme!AA78*100/bütünleme!$I78,"")</f>
        <v/>
      </c>
      <c r="Q381" s="39" t="str">
        <f>IFERROR(bütünleme!AB78*100/bütünleme!$I78,"")</f>
        <v/>
      </c>
      <c r="R381" s="39" t="str">
        <f>IFERROR(bütünleme!AC78*100/bütünleme!$I78,"")</f>
        <v/>
      </c>
      <c r="S381" s="39" t="str">
        <f>IFERROR(bütünleme!AD78*100/bütünleme!$I78,"")</f>
        <v/>
      </c>
      <c r="T381" s="39" t="str">
        <f>IFERROR(bütünleme!AE78*100/bütünleme!$I78,"")</f>
        <v/>
      </c>
      <c r="U381" s="39" t="str">
        <f>IFERROR(bütünleme!AF78*100/bütünleme!$I78,"")</f>
        <v/>
      </c>
      <c r="V381" s="39" t="str">
        <f>IFERROR(bütünleme!AG78*100/bütünleme!$I78,"")</f>
        <v/>
      </c>
      <c r="W381" s="39" t="str">
        <f>IFERROR(bütünleme!AH78*100/bütünleme!$I78,"")</f>
        <v/>
      </c>
      <c r="X381" s="39" t="str">
        <f>IFERROR(bütünleme!AI78*100/bütünleme!$I78,"")</f>
        <v/>
      </c>
      <c r="Y381" s="39" t="str">
        <f>IFERROR(bütünleme!AJ78*100/bütünleme!$I78,"")</f>
        <v/>
      </c>
      <c r="Z381" s="39" t="str">
        <f>IFERROR(bütünleme!AK78*100/bütünleme!$I78,"")</f>
        <v/>
      </c>
      <c r="AA381" s="39" t="str">
        <f>IFERROR(bütünleme!AL78*100/bütünleme!$I78,"")</f>
        <v/>
      </c>
      <c r="AB381" s="39" t="str">
        <f>IFERROR(bütünleme!AM78*100/bütünleme!$I78,"")</f>
        <v/>
      </c>
      <c r="AC381" s="39" t="str">
        <f>IFERROR(bütünleme!AN78*100/bütünleme!$I78,"")</f>
        <v/>
      </c>
      <c r="AD381" s="39" t="str">
        <f>IFERROR(bütünleme!AO78*100/bütünleme!$I78,"")</f>
        <v/>
      </c>
      <c r="AE381" s="39" t="str">
        <f>IFERROR(bütünleme!AP78*100/bütünleme!$I78,"")</f>
        <v/>
      </c>
      <c r="AF381" s="39" t="str">
        <f>IFERROR(bütünleme!AQ78*100/bütünleme!$I78,"")</f>
        <v/>
      </c>
      <c r="AG381" s="39" t="str">
        <f>IFERROR(bütünleme!AR78*100/bütünleme!$I78,"")</f>
        <v/>
      </c>
      <c r="AH381" s="39" t="str">
        <f>IFERROR(bütünleme!AS78*100/bütünleme!$I78,"")</f>
        <v/>
      </c>
      <c r="AI381" s="39" t="str">
        <f>IFERROR(bütünleme!AT78*100/bütünleme!$I78,"")</f>
        <v/>
      </c>
      <c r="AJ381" s="39" t="str">
        <f>IFERROR(bütünleme!AU78*100/bütünleme!$I78,"")</f>
        <v/>
      </c>
      <c r="AK381" s="39" t="str">
        <f>IFERROR(bütünleme!AV78*100/bütünleme!$I78,"")</f>
        <v/>
      </c>
      <c r="AL381" s="39" t="str">
        <f>IFERROR(bütünleme!AW78*100/bütünleme!$I78,"")</f>
        <v/>
      </c>
      <c r="AM381" s="39" t="str">
        <f>IFERROR(bütünleme!AX78*100/bütünleme!$I78,"")</f>
        <v/>
      </c>
      <c r="AN381" s="39" t="str">
        <f>IFERROR(bütünleme!AY78*100/bütünleme!$I78,"")</f>
        <v/>
      </c>
      <c r="AO381" s="39" t="str">
        <f>IFERROR(bütünleme!AZ78*100/bütünleme!$I78,"")</f>
        <v/>
      </c>
      <c r="AP381" s="39" t="str">
        <f>IFERROR(bütünleme!BA78*100/bütünleme!$I78,"")</f>
        <v/>
      </c>
      <c r="AQ381" s="39" t="str">
        <f>IFERROR(bütünleme!BB78*100/bütünleme!$I78,"")</f>
        <v/>
      </c>
      <c r="AR381" s="39" t="str">
        <f>IFERROR(bütünleme!BC78*100/bütünleme!$I78,"")</f>
        <v/>
      </c>
      <c r="AS381" s="39" t="str">
        <f>IFERROR(bütünleme!BD78*100/bütünleme!$I78,"")</f>
        <v/>
      </c>
      <c r="AT381" s="39" t="str">
        <f>IFERROR(bütünleme!BE78*100/bütünleme!$I78,"")</f>
        <v/>
      </c>
      <c r="AU381" s="39" t="str">
        <f>IFERROR(bütünleme!BF78*100/bütünleme!$I78,"")</f>
        <v/>
      </c>
      <c r="AV381" s="39" t="str">
        <f>IFERROR(bütünleme!BG78*100/bütünleme!$I78,"")</f>
        <v/>
      </c>
      <c r="AW381" s="39" t="str">
        <f>IFERROR(bütünleme!BH78*100/bütünleme!$I78,"")</f>
        <v/>
      </c>
      <c r="AX381" s="39" t="str">
        <f>IFERROR(bütünleme!BI78*100/bütünleme!$I78,"")</f>
        <v/>
      </c>
      <c r="AY381" s="39" t="str">
        <f>IFERROR(bütünleme!BJ78*100/bütünleme!$I78,"")</f>
        <v/>
      </c>
      <c r="AZ381" s="39" t="str">
        <f>IFERROR(bütünleme!BK78*100/bütünleme!$I78,"")</f>
        <v/>
      </c>
      <c r="BA381" s="39" t="str">
        <f>IFERROR(bütünleme!BL78*100/bütünleme!$I78,"")</f>
        <v/>
      </c>
      <c r="BB381" s="39" t="str">
        <f>IFERROR(bütünleme!BM78*100/bütünleme!$I78,"")</f>
        <v/>
      </c>
      <c r="BC381" s="39" t="str">
        <f>IFERROR(bütünleme!BN78*100/bütünleme!$I78,"")</f>
        <v/>
      </c>
      <c r="BD381" s="39" t="str">
        <f>IFERROR(bütünleme!BO78*100/bütünleme!$I78,"")</f>
        <v/>
      </c>
      <c r="BE381" s="39" t="str">
        <f>IFERROR(bütünleme!BP78*100/bütünleme!$I78,"")</f>
        <v/>
      </c>
      <c r="BF381" s="39" t="str">
        <f>IFERROR(bütünleme!BQ78*100/bütünleme!$I78,"")</f>
        <v/>
      </c>
      <c r="BG381" s="39" t="str">
        <f>IFERROR(bütünleme!BR78*100/bütünleme!$I78,"")</f>
        <v/>
      </c>
      <c r="BH381" s="39" t="str">
        <f>IFERROR(bütünleme!BS78*100/bütünleme!$I78,"")</f>
        <v/>
      </c>
      <c r="BI381" s="39" t="str">
        <f>IFERROR(bütünleme!BT78*100/bütünleme!$I78,"")</f>
        <v/>
      </c>
      <c r="BJ381" s="39" t="str">
        <f>IFERROR(bütünleme!BU78*100/bütünleme!$I78,"")</f>
        <v/>
      </c>
      <c r="BK381" s="39" t="str">
        <f>IFERROR(bütünleme!BV78*100/bütünleme!$I78,"")</f>
        <v/>
      </c>
      <c r="BL381" s="39" t="str">
        <f>IFERROR(bütünleme!BW78*100/bütünleme!$I78,"")</f>
        <v/>
      </c>
      <c r="BM381" s="39" t="str">
        <f>IFERROR(bütünleme!BX78*100/bütünleme!$I78,"")</f>
        <v/>
      </c>
      <c r="BN381" s="39" t="str">
        <f>IFERROR(bütünleme!BY78*100/bütünleme!$I78,"")</f>
        <v/>
      </c>
      <c r="BO381" s="39" t="str">
        <f>IFERROR(bütünleme!BZ78*100/bütünleme!$I78,"")</f>
        <v/>
      </c>
      <c r="BP381" s="39" t="str">
        <f>IFERROR(bütünleme!CA78*100/bütünleme!$I78,"")</f>
        <v/>
      </c>
      <c r="BQ381" s="39" t="str">
        <f>IFERROR(bütünleme!CB78*100/bütünleme!$I78,"")</f>
        <v/>
      </c>
      <c r="BR381" s="39" t="str">
        <f>IFERROR(bütünleme!CC78*100/bütünleme!$I78,"")</f>
        <v/>
      </c>
      <c r="BS381" s="39" t="str">
        <f>IFERROR(bütünleme!CD78*100/bütünleme!$I78,"")</f>
        <v/>
      </c>
      <c r="BT381" s="39" t="str">
        <f>IFERROR(bütünleme!CE78*100/bütünleme!$I78,"")</f>
        <v/>
      </c>
      <c r="BU381" s="39" t="str">
        <f>IFERROR(bütünleme!CF78*100/bütünleme!$I78,"")</f>
        <v/>
      </c>
      <c r="BV381" s="39" t="str">
        <f>IFERROR(bütünleme!CG78*100/bütünleme!$I78,"")</f>
        <v/>
      </c>
      <c r="BW381" s="39" t="str">
        <f>IFERROR(bütünleme!CH78*100/bütünleme!$I78,"")</f>
        <v/>
      </c>
      <c r="BX381" s="39" t="str">
        <f>IFERROR(bütünleme!CI78*100/bütünleme!$I78,"")</f>
        <v/>
      </c>
      <c r="BY381" s="39" t="str">
        <f>IFERROR(bütünleme!CJ78*100/bütünleme!$I78,"")</f>
        <v/>
      </c>
      <c r="BZ381" s="39" t="str">
        <f>IFERROR(bütünleme!CK78*100/bütünleme!$I78,"")</f>
        <v/>
      </c>
      <c r="CA381" s="39" t="str">
        <f>IFERROR(bütünleme!CL78*100/bütünleme!$I78,"")</f>
        <v/>
      </c>
      <c r="CB381" s="39" t="str">
        <f>IFERROR(bütünleme!CM78*100/bütünleme!$I78,"")</f>
        <v/>
      </c>
      <c r="CC381" s="39" t="str">
        <f>IFERROR(bütünleme!CN78*100/bütünleme!$I78,"")</f>
        <v/>
      </c>
      <c r="CD381" s="39" t="str">
        <f>IFERROR(bütünleme!CO78*100/bütünleme!$I78,"")</f>
        <v/>
      </c>
      <c r="CE381" s="39" t="str">
        <f>IFERROR(bütünleme!CP78*100/bütünleme!$I78,"")</f>
        <v/>
      </c>
      <c r="CF381" s="39" t="str">
        <f>IFERROR(bütünleme!CQ78*100/bütünleme!$I78,"")</f>
        <v/>
      </c>
      <c r="CG381" s="39" t="str">
        <f>IFERROR(bütünleme!CR78*100/bütünleme!$I78,"")</f>
        <v/>
      </c>
      <c r="CH381" s="39" t="str">
        <f>IFERROR(bütünleme!CS78*100/bütünleme!$I78,"")</f>
        <v/>
      </c>
      <c r="CI381" s="39" t="str">
        <f>IFERROR(bütünleme!CT78*100/bütünleme!$I78,"")</f>
        <v/>
      </c>
      <c r="CJ381" s="39" t="str">
        <f>IFERROR(bütünleme!CU78*100/bütünleme!$I78,"")</f>
        <v/>
      </c>
      <c r="CK381" s="39" t="str">
        <f>IFERROR(bütünleme!CV78*100/bütünleme!$I78,"")</f>
        <v/>
      </c>
      <c r="CL381" s="39" t="str">
        <f>IFERROR(bütünleme!CW78*100/bütünleme!$I78,"")</f>
        <v/>
      </c>
      <c r="CM381" s="39" t="str">
        <f>IFERROR(bütünleme!CX78*100/bütünleme!$I78,"")</f>
        <v/>
      </c>
      <c r="CN381" s="39" t="str">
        <f>IFERROR(bütünleme!CY78*100/bütünleme!$I78,"")</f>
        <v/>
      </c>
      <c r="CO381" s="39" t="str">
        <f>IFERROR(bütünleme!CZ78*100/bütünleme!$I78,"")</f>
        <v/>
      </c>
      <c r="CP381" s="39" t="str">
        <f>IFERROR(bütünleme!DA78*100/bütünleme!$I78,"")</f>
        <v/>
      </c>
      <c r="CQ381" s="39" t="str">
        <f>IFERROR(bütünleme!DB78*100/bütünleme!$I78,"")</f>
        <v/>
      </c>
      <c r="CR381" s="39" t="str">
        <f>IFERROR(bütünleme!DC78*100/bütünleme!$I78,"")</f>
        <v/>
      </c>
      <c r="CS381" s="39" t="str">
        <f>IFERROR(bütünleme!DD78*100/bütünleme!$I78,"")</f>
        <v/>
      </c>
      <c r="CT381" s="39" t="str">
        <f>IFERROR(bütünleme!DE78*100/bütünleme!$I78,"")</f>
        <v/>
      </c>
      <c r="CU381" s="39" t="str">
        <f>IFERROR(bütünleme!DF78*100/bütünleme!$I78,"")</f>
        <v/>
      </c>
      <c r="CV381" s="39" t="str">
        <f>IFERROR(bütünleme!DG78*100/bütünleme!$I78,"")</f>
        <v/>
      </c>
      <c r="CW381" s="36" t="str">
        <f>IFERROR(SUM(A381:CV381)/bütünleme!$DH$103,"")</f>
        <v/>
      </c>
      <c r="CX381" s="14" t="str">
        <f>IF(COUNTA(bütünleme!A78),bütünleme!A78,"")</f>
        <v/>
      </c>
      <c r="CY381" s="14" t="str">
        <f>IF(COUNTA(bütünleme!B78),bütünleme!B78,"")</f>
        <v/>
      </c>
      <c r="CZ381" s="14" t="str">
        <f>IF(COUNTA(bütünleme!C78),bütünleme!C78,"")</f>
        <v/>
      </c>
      <c r="DA381" s="14" t="str">
        <f>IF(COUNTA(bütünleme!D78),bütünleme!D78,"")</f>
        <v/>
      </c>
      <c r="DB381" s="14" t="str">
        <f>IF(COUNTA(bütünleme!E78),bütünleme!E78,"")</f>
        <v/>
      </c>
      <c r="DC381" s="14" t="str">
        <f>IF(COUNTA(bütünleme!F78),bütünleme!F78,"")</f>
        <v/>
      </c>
      <c r="DD381" s="14" t="str">
        <f>IF(COUNTA(bütünleme!G78),bütünleme!G78,"")</f>
        <v/>
      </c>
      <c r="DE381" s="14" t="str">
        <f>IF(COUNTA(bütünleme!H78),bütünleme!H78,"")</f>
        <v/>
      </c>
    </row>
    <row r="382" spans="1:109" x14ac:dyDescent="0.2">
      <c r="A382" s="39" t="str">
        <f>IFERROR(bütünleme!L79*100/bütünleme!$I79,"")</f>
        <v/>
      </c>
      <c r="B382" s="39" t="str">
        <f>IFERROR(bütünleme!M79*100/bütünleme!$I79,"")</f>
        <v/>
      </c>
      <c r="C382" s="39" t="str">
        <f>IFERROR(bütünleme!N79*100/bütünleme!$I79,"")</f>
        <v/>
      </c>
      <c r="D382" s="39" t="str">
        <f>IFERROR(bütünleme!O79*100/bütünleme!$I79,"")</f>
        <v/>
      </c>
      <c r="E382" s="39" t="str">
        <f>IFERROR(bütünleme!P79*100/bütünleme!$I79,"")</f>
        <v/>
      </c>
      <c r="F382" s="39" t="str">
        <f>IFERROR(bütünleme!Q79*100/bütünleme!$I79,"")</f>
        <v/>
      </c>
      <c r="G382" s="39" t="str">
        <f>IFERROR(bütünleme!R79*100/bütünleme!$I79,"")</f>
        <v/>
      </c>
      <c r="H382" s="39" t="str">
        <f>IFERROR(bütünleme!S79*100/bütünleme!$I79,"")</f>
        <v/>
      </c>
      <c r="I382" s="39" t="str">
        <f>IFERROR(bütünleme!T79*100/bütünleme!$I79,"")</f>
        <v/>
      </c>
      <c r="J382" s="39" t="str">
        <f>IFERROR(bütünleme!U79*100/bütünleme!$I79,"")</f>
        <v/>
      </c>
      <c r="K382" s="39" t="str">
        <f>IFERROR(bütünleme!V79*100/bütünleme!$I79,"")</f>
        <v/>
      </c>
      <c r="L382" s="39" t="str">
        <f>IFERROR(bütünleme!W79*100/bütünleme!$I79,"")</f>
        <v/>
      </c>
      <c r="M382" s="39" t="str">
        <f>IFERROR(bütünleme!X79*100/bütünleme!$I79,"")</f>
        <v/>
      </c>
      <c r="N382" s="39" t="str">
        <f>IFERROR(bütünleme!Y79*100/bütünleme!$I79,"")</f>
        <v/>
      </c>
      <c r="O382" s="39" t="str">
        <f>IFERROR(bütünleme!Z79*100/bütünleme!$I79,"")</f>
        <v/>
      </c>
      <c r="P382" s="39" t="str">
        <f>IFERROR(bütünleme!AA79*100/bütünleme!$I79,"")</f>
        <v/>
      </c>
      <c r="Q382" s="39" t="str">
        <f>IFERROR(bütünleme!AB79*100/bütünleme!$I79,"")</f>
        <v/>
      </c>
      <c r="R382" s="39" t="str">
        <f>IFERROR(bütünleme!AC79*100/bütünleme!$I79,"")</f>
        <v/>
      </c>
      <c r="S382" s="39" t="str">
        <f>IFERROR(bütünleme!AD79*100/bütünleme!$I79,"")</f>
        <v/>
      </c>
      <c r="T382" s="39" t="str">
        <f>IFERROR(bütünleme!AE79*100/bütünleme!$I79,"")</f>
        <v/>
      </c>
      <c r="U382" s="39" t="str">
        <f>IFERROR(bütünleme!AF79*100/bütünleme!$I79,"")</f>
        <v/>
      </c>
      <c r="V382" s="39" t="str">
        <f>IFERROR(bütünleme!AG79*100/bütünleme!$I79,"")</f>
        <v/>
      </c>
      <c r="W382" s="39" t="str">
        <f>IFERROR(bütünleme!AH79*100/bütünleme!$I79,"")</f>
        <v/>
      </c>
      <c r="X382" s="39" t="str">
        <f>IFERROR(bütünleme!AI79*100/bütünleme!$I79,"")</f>
        <v/>
      </c>
      <c r="Y382" s="39" t="str">
        <f>IFERROR(bütünleme!AJ79*100/bütünleme!$I79,"")</f>
        <v/>
      </c>
      <c r="Z382" s="39" t="str">
        <f>IFERROR(bütünleme!AK79*100/bütünleme!$I79,"")</f>
        <v/>
      </c>
      <c r="AA382" s="39" t="str">
        <f>IFERROR(bütünleme!AL79*100/bütünleme!$I79,"")</f>
        <v/>
      </c>
      <c r="AB382" s="39" t="str">
        <f>IFERROR(bütünleme!AM79*100/bütünleme!$I79,"")</f>
        <v/>
      </c>
      <c r="AC382" s="39" t="str">
        <f>IFERROR(bütünleme!AN79*100/bütünleme!$I79,"")</f>
        <v/>
      </c>
      <c r="AD382" s="39" t="str">
        <f>IFERROR(bütünleme!AO79*100/bütünleme!$I79,"")</f>
        <v/>
      </c>
      <c r="AE382" s="39" t="str">
        <f>IFERROR(bütünleme!AP79*100/bütünleme!$I79,"")</f>
        <v/>
      </c>
      <c r="AF382" s="39" t="str">
        <f>IFERROR(bütünleme!AQ79*100/bütünleme!$I79,"")</f>
        <v/>
      </c>
      <c r="AG382" s="39" t="str">
        <f>IFERROR(bütünleme!AR79*100/bütünleme!$I79,"")</f>
        <v/>
      </c>
      <c r="AH382" s="39" t="str">
        <f>IFERROR(bütünleme!AS79*100/bütünleme!$I79,"")</f>
        <v/>
      </c>
      <c r="AI382" s="39" t="str">
        <f>IFERROR(bütünleme!AT79*100/bütünleme!$I79,"")</f>
        <v/>
      </c>
      <c r="AJ382" s="39" t="str">
        <f>IFERROR(bütünleme!AU79*100/bütünleme!$I79,"")</f>
        <v/>
      </c>
      <c r="AK382" s="39" t="str">
        <f>IFERROR(bütünleme!AV79*100/bütünleme!$I79,"")</f>
        <v/>
      </c>
      <c r="AL382" s="39" t="str">
        <f>IFERROR(bütünleme!AW79*100/bütünleme!$I79,"")</f>
        <v/>
      </c>
      <c r="AM382" s="39" t="str">
        <f>IFERROR(bütünleme!AX79*100/bütünleme!$I79,"")</f>
        <v/>
      </c>
      <c r="AN382" s="39" t="str">
        <f>IFERROR(bütünleme!AY79*100/bütünleme!$I79,"")</f>
        <v/>
      </c>
      <c r="AO382" s="39" t="str">
        <f>IFERROR(bütünleme!AZ79*100/bütünleme!$I79,"")</f>
        <v/>
      </c>
      <c r="AP382" s="39" t="str">
        <f>IFERROR(bütünleme!BA79*100/bütünleme!$I79,"")</f>
        <v/>
      </c>
      <c r="AQ382" s="39" t="str">
        <f>IFERROR(bütünleme!BB79*100/bütünleme!$I79,"")</f>
        <v/>
      </c>
      <c r="AR382" s="39" t="str">
        <f>IFERROR(bütünleme!BC79*100/bütünleme!$I79,"")</f>
        <v/>
      </c>
      <c r="AS382" s="39" t="str">
        <f>IFERROR(bütünleme!BD79*100/bütünleme!$I79,"")</f>
        <v/>
      </c>
      <c r="AT382" s="39" t="str">
        <f>IFERROR(bütünleme!BE79*100/bütünleme!$I79,"")</f>
        <v/>
      </c>
      <c r="AU382" s="39" t="str">
        <f>IFERROR(bütünleme!BF79*100/bütünleme!$I79,"")</f>
        <v/>
      </c>
      <c r="AV382" s="39" t="str">
        <f>IFERROR(bütünleme!BG79*100/bütünleme!$I79,"")</f>
        <v/>
      </c>
      <c r="AW382" s="39" t="str">
        <f>IFERROR(bütünleme!BH79*100/bütünleme!$I79,"")</f>
        <v/>
      </c>
      <c r="AX382" s="39" t="str">
        <f>IFERROR(bütünleme!BI79*100/bütünleme!$I79,"")</f>
        <v/>
      </c>
      <c r="AY382" s="39" t="str">
        <f>IFERROR(bütünleme!BJ79*100/bütünleme!$I79,"")</f>
        <v/>
      </c>
      <c r="AZ382" s="39" t="str">
        <f>IFERROR(bütünleme!BK79*100/bütünleme!$I79,"")</f>
        <v/>
      </c>
      <c r="BA382" s="39" t="str">
        <f>IFERROR(bütünleme!BL79*100/bütünleme!$I79,"")</f>
        <v/>
      </c>
      <c r="BB382" s="39" t="str">
        <f>IFERROR(bütünleme!BM79*100/bütünleme!$I79,"")</f>
        <v/>
      </c>
      <c r="BC382" s="39" t="str">
        <f>IFERROR(bütünleme!BN79*100/bütünleme!$I79,"")</f>
        <v/>
      </c>
      <c r="BD382" s="39" t="str">
        <f>IFERROR(bütünleme!BO79*100/bütünleme!$I79,"")</f>
        <v/>
      </c>
      <c r="BE382" s="39" t="str">
        <f>IFERROR(bütünleme!BP79*100/bütünleme!$I79,"")</f>
        <v/>
      </c>
      <c r="BF382" s="39" t="str">
        <f>IFERROR(bütünleme!BQ79*100/bütünleme!$I79,"")</f>
        <v/>
      </c>
      <c r="BG382" s="39" t="str">
        <f>IFERROR(bütünleme!BR79*100/bütünleme!$I79,"")</f>
        <v/>
      </c>
      <c r="BH382" s="39" t="str">
        <f>IFERROR(bütünleme!BS79*100/bütünleme!$I79,"")</f>
        <v/>
      </c>
      <c r="BI382" s="39" t="str">
        <f>IFERROR(bütünleme!BT79*100/bütünleme!$I79,"")</f>
        <v/>
      </c>
      <c r="BJ382" s="39" t="str">
        <f>IFERROR(bütünleme!BU79*100/bütünleme!$I79,"")</f>
        <v/>
      </c>
      <c r="BK382" s="39" t="str">
        <f>IFERROR(bütünleme!BV79*100/bütünleme!$I79,"")</f>
        <v/>
      </c>
      <c r="BL382" s="39" t="str">
        <f>IFERROR(bütünleme!BW79*100/bütünleme!$I79,"")</f>
        <v/>
      </c>
      <c r="BM382" s="39" t="str">
        <f>IFERROR(bütünleme!BX79*100/bütünleme!$I79,"")</f>
        <v/>
      </c>
      <c r="BN382" s="39" t="str">
        <f>IFERROR(bütünleme!BY79*100/bütünleme!$I79,"")</f>
        <v/>
      </c>
      <c r="BO382" s="39" t="str">
        <f>IFERROR(bütünleme!BZ79*100/bütünleme!$I79,"")</f>
        <v/>
      </c>
      <c r="BP382" s="39" t="str">
        <f>IFERROR(bütünleme!CA79*100/bütünleme!$I79,"")</f>
        <v/>
      </c>
      <c r="BQ382" s="39" t="str">
        <f>IFERROR(bütünleme!CB79*100/bütünleme!$I79,"")</f>
        <v/>
      </c>
      <c r="BR382" s="39" t="str">
        <f>IFERROR(bütünleme!CC79*100/bütünleme!$I79,"")</f>
        <v/>
      </c>
      <c r="BS382" s="39" t="str">
        <f>IFERROR(bütünleme!CD79*100/bütünleme!$I79,"")</f>
        <v/>
      </c>
      <c r="BT382" s="39" t="str">
        <f>IFERROR(bütünleme!CE79*100/bütünleme!$I79,"")</f>
        <v/>
      </c>
      <c r="BU382" s="39" t="str">
        <f>IFERROR(bütünleme!CF79*100/bütünleme!$I79,"")</f>
        <v/>
      </c>
      <c r="BV382" s="39" t="str">
        <f>IFERROR(bütünleme!CG79*100/bütünleme!$I79,"")</f>
        <v/>
      </c>
      <c r="BW382" s="39" t="str">
        <f>IFERROR(bütünleme!CH79*100/bütünleme!$I79,"")</f>
        <v/>
      </c>
      <c r="BX382" s="39" t="str">
        <f>IFERROR(bütünleme!CI79*100/bütünleme!$I79,"")</f>
        <v/>
      </c>
      <c r="BY382" s="39" t="str">
        <f>IFERROR(bütünleme!CJ79*100/bütünleme!$I79,"")</f>
        <v/>
      </c>
      <c r="BZ382" s="39" t="str">
        <f>IFERROR(bütünleme!CK79*100/bütünleme!$I79,"")</f>
        <v/>
      </c>
      <c r="CA382" s="39" t="str">
        <f>IFERROR(bütünleme!CL79*100/bütünleme!$I79,"")</f>
        <v/>
      </c>
      <c r="CB382" s="39" t="str">
        <f>IFERROR(bütünleme!CM79*100/bütünleme!$I79,"")</f>
        <v/>
      </c>
      <c r="CC382" s="39" t="str">
        <f>IFERROR(bütünleme!CN79*100/bütünleme!$I79,"")</f>
        <v/>
      </c>
      <c r="CD382" s="39" t="str">
        <f>IFERROR(bütünleme!CO79*100/bütünleme!$I79,"")</f>
        <v/>
      </c>
      <c r="CE382" s="39" t="str">
        <f>IFERROR(bütünleme!CP79*100/bütünleme!$I79,"")</f>
        <v/>
      </c>
      <c r="CF382" s="39" t="str">
        <f>IFERROR(bütünleme!CQ79*100/bütünleme!$I79,"")</f>
        <v/>
      </c>
      <c r="CG382" s="39" t="str">
        <f>IFERROR(bütünleme!CR79*100/bütünleme!$I79,"")</f>
        <v/>
      </c>
      <c r="CH382" s="39" t="str">
        <f>IFERROR(bütünleme!CS79*100/bütünleme!$I79,"")</f>
        <v/>
      </c>
      <c r="CI382" s="39" t="str">
        <f>IFERROR(bütünleme!CT79*100/bütünleme!$I79,"")</f>
        <v/>
      </c>
      <c r="CJ382" s="39" t="str">
        <f>IFERROR(bütünleme!CU79*100/bütünleme!$I79,"")</f>
        <v/>
      </c>
      <c r="CK382" s="39" t="str">
        <f>IFERROR(bütünleme!CV79*100/bütünleme!$I79,"")</f>
        <v/>
      </c>
      <c r="CL382" s="39" t="str">
        <f>IFERROR(bütünleme!CW79*100/bütünleme!$I79,"")</f>
        <v/>
      </c>
      <c r="CM382" s="39" t="str">
        <f>IFERROR(bütünleme!CX79*100/bütünleme!$I79,"")</f>
        <v/>
      </c>
      <c r="CN382" s="39" t="str">
        <f>IFERROR(bütünleme!CY79*100/bütünleme!$I79,"")</f>
        <v/>
      </c>
      <c r="CO382" s="39" t="str">
        <f>IFERROR(bütünleme!CZ79*100/bütünleme!$I79,"")</f>
        <v/>
      </c>
      <c r="CP382" s="39" t="str">
        <f>IFERROR(bütünleme!DA79*100/bütünleme!$I79,"")</f>
        <v/>
      </c>
      <c r="CQ382" s="39" t="str">
        <f>IFERROR(bütünleme!DB79*100/bütünleme!$I79,"")</f>
        <v/>
      </c>
      <c r="CR382" s="39" t="str">
        <f>IFERROR(bütünleme!DC79*100/bütünleme!$I79,"")</f>
        <v/>
      </c>
      <c r="CS382" s="39" t="str">
        <f>IFERROR(bütünleme!DD79*100/bütünleme!$I79,"")</f>
        <v/>
      </c>
      <c r="CT382" s="39" t="str">
        <f>IFERROR(bütünleme!DE79*100/bütünleme!$I79,"")</f>
        <v/>
      </c>
      <c r="CU382" s="39" t="str">
        <f>IFERROR(bütünleme!DF79*100/bütünleme!$I79,"")</f>
        <v/>
      </c>
      <c r="CV382" s="39" t="str">
        <f>IFERROR(bütünleme!DG79*100/bütünleme!$I79,"")</f>
        <v/>
      </c>
      <c r="CW382" s="36" t="str">
        <f>IFERROR(SUM(A382:CV382)/bütünleme!$DH$103,"")</f>
        <v/>
      </c>
      <c r="CX382" s="14" t="str">
        <f>IF(COUNTA(bütünleme!A79),bütünleme!A79,"")</f>
        <v/>
      </c>
      <c r="CY382" s="14" t="str">
        <f>IF(COUNTA(bütünleme!B79),bütünleme!B79,"")</f>
        <v/>
      </c>
      <c r="CZ382" s="14" t="str">
        <f>IF(COUNTA(bütünleme!C79),bütünleme!C79,"")</f>
        <v/>
      </c>
      <c r="DA382" s="14" t="str">
        <f>IF(COUNTA(bütünleme!D79),bütünleme!D79,"")</f>
        <v/>
      </c>
      <c r="DB382" s="14" t="str">
        <f>IF(COUNTA(bütünleme!E79),bütünleme!E79,"")</f>
        <v/>
      </c>
      <c r="DC382" s="14" t="str">
        <f>IF(COUNTA(bütünleme!F79),bütünleme!F79,"")</f>
        <v/>
      </c>
      <c r="DD382" s="14" t="str">
        <f>IF(COUNTA(bütünleme!G79),bütünleme!G79,"")</f>
        <v/>
      </c>
      <c r="DE382" s="14" t="str">
        <f>IF(COUNTA(bütünleme!H79),bütünleme!H79,"")</f>
        <v/>
      </c>
    </row>
    <row r="383" spans="1:109" x14ac:dyDescent="0.2">
      <c r="A383" s="39" t="str">
        <f>IFERROR(bütünleme!L80*100/bütünleme!$I80,"")</f>
        <v/>
      </c>
      <c r="B383" s="39" t="str">
        <f>IFERROR(bütünleme!M80*100/bütünleme!$I80,"")</f>
        <v/>
      </c>
      <c r="C383" s="39" t="str">
        <f>IFERROR(bütünleme!N80*100/bütünleme!$I80,"")</f>
        <v/>
      </c>
      <c r="D383" s="39" t="str">
        <f>IFERROR(bütünleme!O80*100/bütünleme!$I80,"")</f>
        <v/>
      </c>
      <c r="E383" s="39" t="str">
        <f>IFERROR(bütünleme!P80*100/bütünleme!$I80,"")</f>
        <v/>
      </c>
      <c r="F383" s="39" t="str">
        <f>IFERROR(bütünleme!Q80*100/bütünleme!$I80,"")</f>
        <v/>
      </c>
      <c r="G383" s="39" t="str">
        <f>IFERROR(bütünleme!R80*100/bütünleme!$I80,"")</f>
        <v/>
      </c>
      <c r="H383" s="39" t="str">
        <f>IFERROR(bütünleme!S80*100/bütünleme!$I80,"")</f>
        <v/>
      </c>
      <c r="I383" s="39" t="str">
        <f>IFERROR(bütünleme!T80*100/bütünleme!$I80,"")</f>
        <v/>
      </c>
      <c r="J383" s="39" t="str">
        <f>IFERROR(bütünleme!U80*100/bütünleme!$I80,"")</f>
        <v/>
      </c>
      <c r="K383" s="39" t="str">
        <f>IFERROR(bütünleme!V80*100/bütünleme!$I80,"")</f>
        <v/>
      </c>
      <c r="L383" s="39" t="str">
        <f>IFERROR(bütünleme!W80*100/bütünleme!$I80,"")</f>
        <v/>
      </c>
      <c r="M383" s="39" t="str">
        <f>IFERROR(bütünleme!X80*100/bütünleme!$I80,"")</f>
        <v/>
      </c>
      <c r="N383" s="39" t="str">
        <f>IFERROR(bütünleme!Y80*100/bütünleme!$I80,"")</f>
        <v/>
      </c>
      <c r="O383" s="39" t="str">
        <f>IFERROR(bütünleme!Z80*100/bütünleme!$I80,"")</f>
        <v/>
      </c>
      <c r="P383" s="39" t="str">
        <f>IFERROR(bütünleme!AA80*100/bütünleme!$I80,"")</f>
        <v/>
      </c>
      <c r="Q383" s="39" t="str">
        <f>IFERROR(bütünleme!AB80*100/bütünleme!$I80,"")</f>
        <v/>
      </c>
      <c r="R383" s="39" t="str">
        <f>IFERROR(bütünleme!AC80*100/bütünleme!$I80,"")</f>
        <v/>
      </c>
      <c r="S383" s="39" t="str">
        <f>IFERROR(bütünleme!AD80*100/bütünleme!$I80,"")</f>
        <v/>
      </c>
      <c r="T383" s="39" t="str">
        <f>IFERROR(bütünleme!AE80*100/bütünleme!$I80,"")</f>
        <v/>
      </c>
      <c r="U383" s="39" t="str">
        <f>IFERROR(bütünleme!AF80*100/bütünleme!$I80,"")</f>
        <v/>
      </c>
      <c r="V383" s="39" t="str">
        <f>IFERROR(bütünleme!AG80*100/bütünleme!$I80,"")</f>
        <v/>
      </c>
      <c r="W383" s="39" t="str">
        <f>IFERROR(bütünleme!AH80*100/bütünleme!$I80,"")</f>
        <v/>
      </c>
      <c r="X383" s="39" t="str">
        <f>IFERROR(bütünleme!AI80*100/bütünleme!$I80,"")</f>
        <v/>
      </c>
      <c r="Y383" s="39" t="str">
        <f>IFERROR(bütünleme!AJ80*100/bütünleme!$I80,"")</f>
        <v/>
      </c>
      <c r="Z383" s="39" t="str">
        <f>IFERROR(bütünleme!AK80*100/bütünleme!$I80,"")</f>
        <v/>
      </c>
      <c r="AA383" s="39" t="str">
        <f>IFERROR(bütünleme!AL80*100/bütünleme!$I80,"")</f>
        <v/>
      </c>
      <c r="AB383" s="39" t="str">
        <f>IFERROR(bütünleme!AM80*100/bütünleme!$I80,"")</f>
        <v/>
      </c>
      <c r="AC383" s="39" t="str">
        <f>IFERROR(bütünleme!AN80*100/bütünleme!$I80,"")</f>
        <v/>
      </c>
      <c r="AD383" s="39" t="str">
        <f>IFERROR(bütünleme!AO80*100/bütünleme!$I80,"")</f>
        <v/>
      </c>
      <c r="AE383" s="39" t="str">
        <f>IFERROR(bütünleme!AP80*100/bütünleme!$I80,"")</f>
        <v/>
      </c>
      <c r="AF383" s="39" t="str">
        <f>IFERROR(bütünleme!AQ80*100/bütünleme!$I80,"")</f>
        <v/>
      </c>
      <c r="AG383" s="39" t="str">
        <f>IFERROR(bütünleme!AR80*100/bütünleme!$I80,"")</f>
        <v/>
      </c>
      <c r="AH383" s="39" t="str">
        <f>IFERROR(bütünleme!AS80*100/bütünleme!$I80,"")</f>
        <v/>
      </c>
      <c r="AI383" s="39" t="str">
        <f>IFERROR(bütünleme!AT80*100/bütünleme!$I80,"")</f>
        <v/>
      </c>
      <c r="AJ383" s="39" t="str">
        <f>IFERROR(bütünleme!AU80*100/bütünleme!$I80,"")</f>
        <v/>
      </c>
      <c r="AK383" s="39" t="str">
        <f>IFERROR(bütünleme!AV80*100/bütünleme!$I80,"")</f>
        <v/>
      </c>
      <c r="AL383" s="39" t="str">
        <f>IFERROR(bütünleme!AW80*100/bütünleme!$I80,"")</f>
        <v/>
      </c>
      <c r="AM383" s="39" t="str">
        <f>IFERROR(bütünleme!AX80*100/bütünleme!$I80,"")</f>
        <v/>
      </c>
      <c r="AN383" s="39" t="str">
        <f>IFERROR(bütünleme!AY80*100/bütünleme!$I80,"")</f>
        <v/>
      </c>
      <c r="AO383" s="39" t="str">
        <f>IFERROR(bütünleme!AZ80*100/bütünleme!$I80,"")</f>
        <v/>
      </c>
      <c r="AP383" s="39" t="str">
        <f>IFERROR(bütünleme!BA80*100/bütünleme!$I80,"")</f>
        <v/>
      </c>
      <c r="AQ383" s="39" t="str">
        <f>IFERROR(bütünleme!BB80*100/bütünleme!$I80,"")</f>
        <v/>
      </c>
      <c r="AR383" s="39" t="str">
        <f>IFERROR(bütünleme!BC80*100/bütünleme!$I80,"")</f>
        <v/>
      </c>
      <c r="AS383" s="39" t="str">
        <f>IFERROR(bütünleme!BD80*100/bütünleme!$I80,"")</f>
        <v/>
      </c>
      <c r="AT383" s="39" t="str">
        <f>IFERROR(bütünleme!BE80*100/bütünleme!$I80,"")</f>
        <v/>
      </c>
      <c r="AU383" s="39" t="str">
        <f>IFERROR(bütünleme!BF80*100/bütünleme!$I80,"")</f>
        <v/>
      </c>
      <c r="AV383" s="39" t="str">
        <f>IFERROR(bütünleme!BG80*100/bütünleme!$I80,"")</f>
        <v/>
      </c>
      <c r="AW383" s="39" t="str">
        <f>IFERROR(bütünleme!BH80*100/bütünleme!$I80,"")</f>
        <v/>
      </c>
      <c r="AX383" s="39" t="str">
        <f>IFERROR(bütünleme!BI80*100/bütünleme!$I80,"")</f>
        <v/>
      </c>
      <c r="AY383" s="39" t="str">
        <f>IFERROR(bütünleme!BJ80*100/bütünleme!$I80,"")</f>
        <v/>
      </c>
      <c r="AZ383" s="39" t="str">
        <f>IFERROR(bütünleme!BK80*100/bütünleme!$I80,"")</f>
        <v/>
      </c>
      <c r="BA383" s="39" t="str">
        <f>IFERROR(bütünleme!BL80*100/bütünleme!$I80,"")</f>
        <v/>
      </c>
      <c r="BB383" s="39" t="str">
        <f>IFERROR(bütünleme!BM80*100/bütünleme!$I80,"")</f>
        <v/>
      </c>
      <c r="BC383" s="39" t="str">
        <f>IFERROR(bütünleme!BN80*100/bütünleme!$I80,"")</f>
        <v/>
      </c>
      <c r="BD383" s="39" t="str">
        <f>IFERROR(bütünleme!BO80*100/bütünleme!$I80,"")</f>
        <v/>
      </c>
      <c r="BE383" s="39" t="str">
        <f>IFERROR(bütünleme!BP80*100/bütünleme!$I80,"")</f>
        <v/>
      </c>
      <c r="BF383" s="39" t="str">
        <f>IFERROR(bütünleme!BQ80*100/bütünleme!$I80,"")</f>
        <v/>
      </c>
      <c r="BG383" s="39" t="str">
        <f>IFERROR(bütünleme!BR80*100/bütünleme!$I80,"")</f>
        <v/>
      </c>
      <c r="BH383" s="39" t="str">
        <f>IFERROR(bütünleme!BS80*100/bütünleme!$I80,"")</f>
        <v/>
      </c>
      <c r="BI383" s="39" t="str">
        <f>IFERROR(bütünleme!BT80*100/bütünleme!$I80,"")</f>
        <v/>
      </c>
      <c r="BJ383" s="39" t="str">
        <f>IFERROR(bütünleme!BU80*100/bütünleme!$I80,"")</f>
        <v/>
      </c>
      <c r="BK383" s="39" t="str">
        <f>IFERROR(bütünleme!BV80*100/bütünleme!$I80,"")</f>
        <v/>
      </c>
      <c r="BL383" s="39" t="str">
        <f>IFERROR(bütünleme!BW80*100/bütünleme!$I80,"")</f>
        <v/>
      </c>
      <c r="BM383" s="39" t="str">
        <f>IFERROR(bütünleme!BX80*100/bütünleme!$I80,"")</f>
        <v/>
      </c>
      <c r="BN383" s="39" t="str">
        <f>IFERROR(bütünleme!BY80*100/bütünleme!$I80,"")</f>
        <v/>
      </c>
      <c r="BO383" s="39" t="str">
        <f>IFERROR(bütünleme!BZ80*100/bütünleme!$I80,"")</f>
        <v/>
      </c>
      <c r="BP383" s="39" t="str">
        <f>IFERROR(bütünleme!CA80*100/bütünleme!$I80,"")</f>
        <v/>
      </c>
      <c r="BQ383" s="39" t="str">
        <f>IFERROR(bütünleme!CB80*100/bütünleme!$I80,"")</f>
        <v/>
      </c>
      <c r="BR383" s="39" t="str">
        <f>IFERROR(bütünleme!CC80*100/bütünleme!$I80,"")</f>
        <v/>
      </c>
      <c r="BS383" s="39" t="str">
        <f>IFERROR(bütünleme!CD80*100/bütünleme!$I80,"")</f>
        <v/>
      </c>
      <c r="BT383" s="39" t="str">
        <f>IFERROR(bütünleme!CE80*100/bütünleme!$I80,"")</f>
        <v/>
      </c>
      <c r="BU383" s="39" t="str">
        <f>IFERROR(bütünleme!CF80*100/bütünleme!$I80,"")</f>
        <v/>
      </c>
      <c r="BV383" s="39" t="str">
        <f>IFERROR(bütünleme!CG80*100/bütünleme!$I80,"")</f>
        <v/>
      </c>
      <c r="BW383" s="39" t="str">
        <f>IFERROR(bütünleme!CH80*100/bütünleme!$I80,"")</f>
        <v/>
      </c>
      <c r="BX383" s="39" t="str">
        <f>IFERROR(bütünleme!CI80*100/bütünleme!$I80,"")</f>
        <v/>
      </c>
      <c r="BY383" s="39" t="str">
        <f>IFERROR(bütünleme!CJ80*100/bütünleme!$I80,"")</f>
        <v/>
      </c>
      <c r="BZ383" s="39" t="str">
        <f>IFERROR(bütünleme!CK80*100/bütünleme!$I80,"")</f>
        <v/>
      </c>
      <c r="CA383" s="39" t="str">
        <f>IFERROR(bütünleme!CL80*100/bütünleme!$I80,"")</f>
        <v/>
      </c>
      <c r="CB383" s="39" t="str">
        <f>IFERROR(bütünleme!CM80*100/bütünleme!$I80,"")</f>
        <v/>
      </c>
      <c r="CC383" s="39" t="str">
        <f>IFERROR(bütünleme!CN80*100/bütünleme!$I80,"")</f>
        <v/>
      </c>
      <c r="CD383" s="39" t="str">
        <f>IFERROR(bütünleme!CO80*100/bütünleme!$I80,"")</f>
        <v/>
      </c>
      <c r="CE383" s="39" t="str">
        <f>IFERROR(bütünleme!CP80*100/bütünleme!$I80,"")</f>
        <v/>
      </c>
      <c r="CF383" s="39" t="str">
        <f>IFERROR(bütünleme!CQ80*100/bütünleme!$I80,"")</f>
        <v/>
      </c>
      <c r="CG383" s="39" t="str">
        <f>IFERROR(bütünleme!CR80*100/bütünleme!$I80,"")</f>
        <v/>
      </c>
      <c r="CH383" s="39" t="str">
        <f>IFERROR(bütünleme!CS80*100/bütünleme!$I80,"")</f>
        <v/>
      </c>
      <c r="CI383" s="39" t="str">
        <f>IFERROR(bütünleme!CT80*100/bütünleme!$I80,"")</f>
        <v/>
      </c>
      <c r="CJ383" s="39" t="str">
        <f>IFERROR(bütünleme!CU80*100/bütünleme!$I80,"")</f>
        <v/>
      </c>
      <c r="CK383" s="39" t="str">
        <f>IFERROR(bütünleme!CV80*100/bütünleme!$I80,"")</f>
        <v/>
      </c>
      <c r="CL383" s="39" t="str">
        <f>IFERROR(bütünleme!CW80*100/bütünleme!$I80,"")</f>
        <v/>
      </c>
      <c r="CM383" s="39" t="str">
        <f>IFERROR(bütünleme!CX80*100/bütünleme!$I80,"")</f>
        <v/>
      </c>
      <c r="CN383" s="39" t="str">
        <f>IFERROR(bütünleme!CY80*100/bütünleme!$I80,"")</f>
        <v/>
      </c>
      <c r="CO383" s="39" t="str">
        <f>IFERROR(bütünleme!CZ80*100/bütünleme!$I80,"")</f>
        <v/>
      </c>
      <c r="CP383" s="39" t="str">
        <f>IFERROR(bütünleme!DA80*100/bütünleme!$I80,"")</f>
        <v/>
      </c>
      <c r="CQ383" s="39" t="str">
        <f>IFERROR(bütünleme!DB80*100/bütünleme!$I80,"")</f>
        <v/>
      </c>
      <c r="CR383" s="39" t="str">
        <f>IFERROR(bütünleme!DC80*100/bütünleme!$I80,"")</f>
        <v/>
      </c>
      <c r="CS383" s="39" t="str">
        <f>IFERROR(bütünleme!DD80*100/bütünleme!$I80,"")</f>
        <v/>
      </c>
      <c r="CT383" s="39" t="str">
        <f>IFERROR(bütünleme!DE80*100/bütünleme!$I80,"")</f>
        <v/>
      </c>
      <c r="CU383" s="39" t="str">
        <f>IFERROR(bütünleme!DF80*100/bütünleme!$I80,"")</f>
        <v/>
      </c>
      <c r="CV383" s="39" t="str">
        <f>IFERROR(bütünleme!DG80*100/bütünleme!$I80,"")</f>
        <v/>
      </c>
      <c r="CW383" s="36" t="str">
        <f>IFERROR(SUM(A383:CV383)/bütünleme!$DH$103,"")</f>
        <v/>
      </c>
      <c r="CX383" s="14" t="str">
        <f>IF(COUNTA(bütünleme!A80),bütünleme!A80,"")</f>
        <v/>
      </c>
      <c r="CY383" s="14" t="str">
        <f>IF(COUNTA(bütünleme!B80),bütünleme!B80,"")</f>
        <v/>
      </c>
      <c r="CZ383" s="14" t="str">
        <f>IF(COUNTA(bütünleme!C80),bütünleme!C80,"")</f>
        <v/>
      </c>
      <c r="DA383" s="14" t="str">
        <f>IF(COUNTA(bütünleme!D80),bütünleme!D80,"")</f>
        <v/>
      </c>
      <c r="DB383" s="14" t="str">
        <f>IF(COUNTA(bütünleme!E80),bütünleme!E80,"")</f>
        <v/>
      </c>
      <c r="DC383" s="14" t="str">
        <f>IF(COUNTA(bütünleme!F80),bütünleme!F80,"")</f>
        <v/>
      </c>
      <c r="DD383" s="14" t="str">
        <f>IF(COUNTA(bütünleme!G80),bütünleme!G80,"")</f>
        <v/>
      </c>
      <c r="DE383" s="14" t="str">
        <f>IF(COUNTA(bütünleme!H80),bütünleme!H80,"")</f>
        <v/>
      </c>
    </row>
    <row r="384" spans="1:109" x14ac:dyDescent="0.2">
      <c r="A384" s="39" t="str">
        <f>IFERROR(bütünleme!L81*100/bütünleme!$I81,"")</f>
        <v/>
      </c>
      <c r="B384" s="39" t="str">
        <f>IFERROR(bütünleme!M81*100/bütünleme!$I81,"")</f>
        <v/>
      </c>
      <c r="C384" s="39" t="str">
        <f>IFERROR(bütünleme!N81*100/bütünleme!$I81,"")</f>
        <v/>
      </c>
      <c r="D384" s="39" t="str">
        <f>IFERROR(bütünleme!O81*100/bütünleme!$I81,"")</f>
        <v/>
      </c>
      <c r="E384" s="39" t="str">
        <f>IFERROR(bütünleme!P81*100/bütünleme!$I81,"")</f>
        <v/>
      </c>
      <c r="F384" s="39" t="str">
        <f>IFERROR(bütünleme!Q81*100/bütünleme!$I81,"")</f>
        <v/>
      </c>
      <c r="G384" s="39" t="str">
        <f>IFERROR(bütünleme!R81*100/bütünleme!$I81,"")</f>
        <v/>
      </c>
      <c r="H384" s="39" t="str">
        <f>IFERROR(bütünleme!S81*100/bütünleme!$I81,"")</f>
        <v/>
      </c>
      <c r="I384" s="39" t="str">
        <f>IFERROR(bütünleme!T81*100/bütünleme!$I81,"")</f>
        <v/>
      </c>
      <c r="J384" s="39" t="str">
        <f>IFERROR(bütünleme!U81*100/bütünleme!$I81,"")</f>
        <v/>
      </c>
      <c r="K384" s="39" t="str">
        <f>IFERROR(bütünleme!V81*100/bütünleme!$I81,"")</f>
        <v/>
      </c>
      <c r="L384" s="39" t="str">
        <f>IFERROR(bütünleme!W81*100/bütünleme!$I81,"")</f>
        <v/>
      </c>
      <c r="M384" s="39" t="str">
        <f>IFERROR(bütünleme!X81*100/bütünleme!$I81,"")</f>
        <v/>
      </c>
      <c r="N384" s="39" t="str">
        <f>IFERROR(bütünleme!Y81*100/bütünleme!$I81,"")</f>
        <v/>
      </c>
      <c r="O384" s="39" t="str">
        <f>IFERROR(bütünleme!Z81*100/bütünleme!$I81,"")</f>
        <v/>
      </c>
      <c r="P384" s="39" t="str">
        <f>IFERROR(bütünleme!AA81*100/bütünleme!$I81,"")</f>
        <v/>
      </c>
      <c r="Q384" s="39" t="str">
        <f>IFERROR(bütünleme!AB81*100/bütünleme!$I81,"")</f>
        <v/>
      </c>
      <c r="R384" s="39" t="str">
        <f>IFERROR(bütünleme!AC81*100/bütünleme!$I81,"")</f>
        <v/>
      </c>
      <c r="S384" s="39" t="str">
        <f>IFERROR(bütünleme!AD81*100/bütünleme!$I81,"")</f>
        <v/>
      </c>
      <c r="T384" s="39" t="str">
        <f>IFERROR(bütünleme!AE81*100/bütünleme!$I81,"")</f>
        <v/>
      </c>
      <c r="U384" s="39" t="str">
        <f>IFERROR(bütünleme!AF81*100/bütünleme!$I81,"")</f>
        <v/>
      </c>
      <c r="V384" s="39" t="str">
        <f>IFERROR(bütünleme!AG81*100/bütünleme!$I81,"")</f>
        <v/>
      </c>
      <c r="W384" s="39" t="str">
        <f>IFERROR(bütünleme!AH81*100/bütünleme!$I81,"")</f>
        <v/>
      </c>
      <c r="X384" s="39" t="str">
        <f>IFERROR(bütünleme!AI81*100/bütünleme!$I81,"")</f>
        <v/>
      </c>
      <c r="Y384" s="39" t="str">
        <f>IFERROR(bütünleme!AJ81*100/bütünleme!$I81,"")</f>
        <v/>
      </c>
      <c r="Z384" s="39" t="str">
        <f>IFERROR(bütünleme!AK81*100/bütünleme!$I81,"")</f>
        <v/>
      </c>
      <c r="AA384" s="39" t="str">
        <f>IFERROR(bütünleme!AL81*100/bütünleme!$I81,"")</f>
        <v/>
      </c>
      <c r="AB384" s="39" t="str">
        <f>IFERROR(bütünleme!AM81*100/bütünleme!$I81,"")</f>
        <v/>
      </c>
      <c r="AC384" s="39" t="str">
        <f>IFERROR(bütünleme!AN81*100/bütünleme!$I81,"")</f>
        <v/>
      </c>
      <c r="AD384" s="39" t="str">
        <f>IFERROR(bütünleme!AO81*100/bütünleme!$I81,"")</f>
        <v/>
      </c>
      <c r="AE384" s="39" t="str">
        <f>IFERROR(bütünleme!AP81*100/bütünleme!$I81,"")</f>
        <v/>
      </c>
      <c r="AF384" s="39" t="str">
        <f>IFERROR(bütünleme!AQ81*100/bütünleme!$I81,"")</f>
        <v/>
      </c>
      <c r="AG384" s="39" t="str">
        <f>IFERROR(bütünleme!AR81*100/bütünleme!$I81,"")</f>
        <v/>
      </c>
      <c r="AH384" s="39" t="str">
        <f>IFERROR(bütünleme!AS81*100/bütünleme!$I81,"")</f>
        <v/>
      </c>
      <c r="AI384" s="39" t="str">
        <f>IFERROR(bütünleme!AT81*100/bütünleme!$I81,"")</f>
        <v/>
      </c>
      <c r="AJ384" s="39" t="str">
        <f>IFERROR(bütünleme!AU81*100/bütünleme!$I81,"")</f>
        <v/>
      </c>
      <c r="AK384" s="39" t="str">
        <f>IFERROR(bütünleme!AV81*100/bütünleme!$I81,"")</f>
        <v/>
      </c>
      <c r="AL384" s="39" t="str">
        <f>IFERROR(bütünleme!AW81*100/bütünleme!$I81,"")</f>
        <v/>
      </c>
      <c r="AM384" s="39" t="str">
        <f>IFERROR(bütünleme!AX81*100/bütünleme!$I81,"")</f>
        <v/>
      </c>
      <c r="AN384" s="39" t="str">
        <f>IFERROR(bütünleme!AY81*100/bütünleme!$I81,"")</f>
        <v/>
      </c>
      <c r="AO384" s="39" t="str">
        <f>IFERROR(bütünleme!AZ81*100/bütünleme!$I81,"")</f>
        <v/>
      </c>
      <c r="AP384" s="39" t="str">
        <f>IFERROR(bütünleme!BA81*100/bütünleme!$I81,"")</f>
        <v/>
      </c>
      <c r="AQ384" s="39" t="str">
        <f>IFERROR(bütünleme!BB81*100/bütünleme!$I81,"")</f>
        <v/>
      </c>
      <c r="AR384" s="39" t="str">
        <f>IFERROR(bütünleme!BC81*100/bütünleme!$I81,"")</f>
        <v/>
      </c>
      <c r="AS384" s="39" t="str">
        <f>IFERROR(bütünleme!BD81*100/bütünleme!$I81,"")</f>
        <v/>
      </c>
      <c r="AT384" s="39" t="str">
        <f>IFERROR(bütünleme!BE81*100/bütünleme!$I81,"")</f>
        <v/>
      </c>
      <c r="AU384" s="39" t="str">
        <f>IFERROR(bütünleme!BF81*100/bütünleme!$I81,"")</f>
        <v/>
      </c>
      <c r="AV384" s="39" t="str">
        <f>IFERROR(bütünleme!BG81*100/bütünleme!$I81,"")</f>
        <v/>
      </c>
      <c r="AW384" s="39" t="str">
        <f>IFERROR(bütünleme!BH81*100/bütünleme!$I81,"")</f>
        <v/>
      </c>
      <c r="AX384" s="39" t="str">
        <f>IFERROR(bütünleme!BI81*100/bütünleme!$I81,"")</f>
        <v/>
      </c>
      <c r="AY384" s="39" t="str">
        <f>IFERROR(bütünleme!BJ81*100/bütünleme!$I81,"")</f>
        <v/>
      </c>
      <c r="AZ384" s="39" t="str">
        <f>IFERROR(bütünleme!BK81*100/bütünleme!$I81,"")</f>
        <v/>
      </c>
      <c r="BA384" s="39" t="str">
        <f>IFERROR(bütünleme!BL81*100/bütünleme!$I81,"")</f>
        <v/>
      </c>
      <c r="BB384" s="39" t="str">
        <f>IFERROR(bütünleme!BM81*100/bütünleme!$I81,"")</f>
        <v/>
      </c>
      <c r="BC384" s="39" t="str">
        <f>IFERROR(bütünleme!BN81*100/bütünleme!$I81,"")</f>
        <v/>
      </c>
      <c r="BD384" s="39" t="str">
        <f>IFERROR(bütünleme!BO81*100/bütünleme!$I81,"")</f>
        <v/>
      </c>
      <c r="BE384" s="39" t="str">
        <f>IFERROR(bütünleme!BP81*100/bütünleme!$I81,"")</f>
        <v/>
      </c>
      <c r="BF384" s="39" t="str">
        <f>IFERROR(bütünleme!BQ81*100/bütünleme!$I81,"")</f>
        <v/>
      </c>
      <c r="BG384" s="39" t="str">
        <f>IFERROR(bütünleme!BR81*100/bütünleme!$I81,"")</f>
        <v/>
      </c>
      <c r="BH384" s="39" t="str">
        <f>IFERROR(bütünleme!BS81*100/bütünleme!$I81,"")</f>
        <v/>
      </c>
      <c r="BI384" s="39" t="str">
        <f>IFERROR(bütünleme!BT81*100/bütünleme!$I81,"")</f>
        <v/>
      </c>
      <c r="BJ384" s="39" t="str">
        <f>IFERROR(bütünleme!BU81*100/bütünleme!$I81,"")</f>
        <v/>
      </c>
      <c r="BK384" s="39" t="str">
        <f>IFERROR(bütünleme!BV81*100/bütünleme!$I81,"")</f>
        <v/>
      </c>
      <c r="BL384" s="39" t="str">
        <f>IFERROR(bütünleme!BW81*100/bütünleme!$I81,"")</f>
        <v/>
      </c>
      <c r="BM384" s="39" t="str">
        <f>IFERROR(bütünleme!BX81*100/bütünleme!$I81,"")</f>
        <v/>
      </c>
      <c r="BN384" s="39" t="str">
        <f>IFERROR(bütünleme!BY81*100/bütünleme!$I81,"")</f>
        <v/>
      </c>
      <c r="BO384" s="39" t="str">
        <f>IFERROR(bütünleme!BZ81*100/bütünleme!$I81,"")</f>
        <v/>
      </c>
      <c r="BP384" s="39" t="str">
        <f>IFERROR(bütünleme!CA81*100/bütünleme!$I81,"")</f>
        <v/>
      </c>
      <c r="BQ384" s="39" t="str">
        <f>IFERROR(bütünleme!CB81*100/bütünleme!$I81,"")</f>
        <v/>
      </c>
      <c r="BR384" s="39" t="str">
        <f>IFERROR(bütünleme!CC81*100/bütünleme!$I81,"")</f>
        <v/>
      </c>
      <c r="BS384" s="39" t="str">
        <f>IFERROR(bütünleme!CD81*100/bütünleme!$I81,"")</f>
        <v/>
      </c>
      <c r="BT384" s="39" t="str">
        <f>IFERROR(bütünleme!CE81*100/bütünleme!$I81,"")</f>
        <v/>
      </c>
      <c r="BU384" s="39" t="str">
        <f>IFERROR(bütünleme!CF81*100/bütünleme!$I81,"")</f>
        <v/>
      </c>
      <c r="BV384" s="39" t="str">
        <f>IFERROR(bütünleme!CG81*100/bütünleme!$I81,"")</f>
        <v/>
      </c>
      <c r="BW384" s="39" t="str">
        <f>IFERROR(bütünleme!CH81*100/bütünleme!$I81,"")</f>
        <v/>
      </c>
      <c r="BX384" s="39" t="str">
        <f>IFERROR(bütünleme!CI81*100/bütünleme!$I81,"")</f>
        <v/>
      </c>
      <c r="BY384" s="39" t="str">
        <f>IFERROR(bütünleme!CJ81*100/bütünleme!$I81,"")</f>
        <v/>
      </c>
      <c r="BZ384" s="39" t="str">
        <f>IFERROR(bütünleme!CK81*100/bütünleme!$I81,"")</f>
        <v/>
      </c>
      <c r="CA384" s="39" t="str">
        <f>IFERROR(bütünleme!CL81*100/bütünleme!$I81,"")</f>
        <v/>
      </c>
      <c r="CB384" s="39" t="str">
        <f>IFERROR(bütünleme!CM81*100/bütünleme!$I81,"")</f>
        <v/>
      </c>
      <c r="CC384" s="39" t="str">
        <f>IFERROR(bütünleme!CN81*100/bütünleme!$I81,"")</f>
        <v/>
      </c>
      <c r="CD384" s="39" t="str">
        <f>IFERROR(bütünleme!CO81*100/bütünleme!$I81,"")</f>
        <v/>
      </c>
      <c r="CE384" s="39" t="str">
        <f>IFERROR(bütünleme!CP81*100/bütünleme!$I81,"")</f>
        <v/>
      </c>
      <c r="CF384" s="39" t="str">
        <f>IFERROR(bütünleme!CQ81*100/bütünleme!$I81,"")</f>
        <v/>
      </c>
      <c r="CG384" s="39" t="str">
        <f>IFERROR(bütünleme!CR81*100/bütünleme!$I81,"")</f>
        <v/>
      </c>
      <c r="CH384" s="39" t="str">
        <f>IFERROR(bütünleme!CS81*100/bütünleme!$I81,"")</f>
        <v/>
      </c>
      <c r="CI384" s="39" t="str">
        <f>IFERROR(bütünleme!CT81*100/bütünleme!$I81,"")</f>
        <v/>
      </c>
      <c r="CJ384" s="39" t="str">
        <f>IFERROR(bütünleme!CU81*100/bütünleme!$I81,"")</f>
        <v/>
      </c>
      <c r="CK384" s="39" t="str">
        <f>IFERROR(bütünleme!CV81*100/bütünleme!$I81,"")</f>
        <v/>
      </c>
      <c r="CL384" s="39" t="str">
        <f>IFERROR(bütünleme!CW81*100/bütünleme!$I81,"")</f>
        <v/>
      </c>
      <c r="CM384" s="39" t="str">
        <f>IFERROR(bütünleme!CX81*100/bütünleme!$I81,"")</f>
        <v/>
      </c>
      <c r="CN384" s="39" t="str">
        <f>IFERROR(bütünleme!CY81*100/bütünleme!$I81,"")</f>
        <v/>
      </c>
      <c r="CO384" s="39" t="str">
        <f>IFERROR(bütünleme!CZ81*100/bütünleme!$I81,"")</f>
        <v/>
      </c>
      <c r="CP384" s="39" t="str">
        <f>IFERROR(bütünleme!DA81*100/bütünleme!$I81,"")</f>
        <v/>
      </c>
      <c r="CQ384" s="39" t="str">
        <f>IFERROR(bütünleme!DB81*100/bütünleme!$I81,"")</f>
        <v/>
      </c>
      <c r="CR384" s="39" t="str">
        <f>IFERROR(bütünleme!DC81*100/bütünleme!$I81,"")</f>
        <v/>
      </c>
      <c r="CS384" s="39" t="str">
        <f>IFERROR(bütünleme!DD81*100/bütünleme!$I81,"")</f>
        <v/>
      </c>
      <c r="CT384" s="39" t="str">
        <f>IFERROR(bütünleme!DE81*100/bütünleme!$I81,"")</f>
        <v/>
      </c>
      <c r="CU384" s="39" t="str">
        <f>IFERROR(bütünleme!DF81*100/bütünleme!$I81,"")</f>
        <v/>
      </c>
      <c r="CV384" s="39" t="str">
        <f>IFERROR(bütünleme!DG81*100/bütünleme!$I81,"")</f>
        <v/>
      </c>
      <c r="CW384" s="36" t="str">
        <f>IFERROR(SUM(A384:CV384)/bütünleme!$DH$103,"")</f>
        <v/>
      </c>
      <c r="CX384" s="14" t="str">
        <f>IF(COUNTA(bütünleme!A81),bütünleme!A81,"")</f>
        <v/>
      </c>
      <c r="CY384" s="14" t="str">
        <f>IF(COUNTA(bütünleme!B81),bütünleme!B81,"")</f>
        <v/>
      </c>
      <c r="CZ384" s="14" t="str">
        <f>IF(COUNTA(bütünleme!C81),bütünleme!C81,"")</f>
        <v/>
      </c>
      <c r="DA384" s="14" t="str">
        <f>IF(COUNTA(bütünleme!D81),bütünleme!D81,"")</f>
        <v/>
      </c>
      <c r="DB384" s="14" t="str">
        <f>IF(COUNTA(bütünleme!E81),bütünleme!E81,"")</f>
        <v/>
      </c>
      <c r="DC384" s="14" t="str">
        <f>IF(COUNTA(bütünleme!F81),bütünleme!F81,"")</f>
        <v/>
      </c>
      <c r="DD384" s="14" t="str">
        <f>IF(COUNTA(bütünleme!G81),bütünleme!G81,"")</f>
        <v/>
      </c>
      <c r="DE384" s="14" t="str">
        <f>IF(COUNTA(bütünleme!H81),bütünleme!H81,"")</f>
        <v/>
      </c>
    </row>
    <row r="385" spans="1:109" x14ac:dyDescent="0.2">
      <c r="A385" s="39" t="str">
        <f>IFERROR(bütünleme!L82*100/bütünleme!$I82,"")</f>
        <v/>
      </c>
      <c r="B385" s="39" t="str">
        <f>IFERROR(bütünleme!M82*100/bütünleme!$I82,"")</f>
        <v/>
      </c>
      <c r="C385" s="39" t="str">
        <f>IFERROR(bütünleme!N82*100/bütünleme!$I82,"")</f>
        <v/>
      </c>
      <c r="D385" s="39" t="str">
        <f>IFERROR(bütünleme!O82*100/bütünleme!$I82,"")</f>
        <v/>
      </c>
      <c r="E385" s="39" t="str">
        <f>IFERROR(bütünleme!P82*100/bütünleme!$I82,"")</f>
        <v/>
      </c>
      <c r="F385" s="39" t="str">
        <f>IFERROR(bütünleme!Q82*100/bütünleme!$I82,"")</f>
        <v/>
      </c>
      <c r="G385" s="39" t="str">
        <f>IFERROR(bütünleme!R82*100/bütünleme!$I82,"")</f>
        <v/>
      </c>
      <c r="H385" s="39" t="str">
        <f>IFERROR(bütünleme!S82*100/bütünleme!$I82,"")</f>
        <v/>
      </c>
      <c r="I385" s="39" t="str">
        <f>IFERROR(bütünleme!T82*100/bütünleme!$I82,"")</f>
        <v/>
      </c>
      <c r="J385" s="39" t="str">
        <f>IFERROR(bütünleme!U82*100/bütünleme!$I82,"")</f>
        <v/>
      </c>
      <c r="K385" s="39" t="str">
        <f>IFERROR(bütünleme!V82*100/bütünleme!$I82,"")</f>
        <v/>
      </c>
      <c r="L385" s="39" t="str">
        <f>IFERROR(bütünleme!W82*100/bütünleme!$I82,"")</f>
        <v/>
      </c>
      <c r="M385" s="39" t="str">
        <f>IFERROR(bütünleme!X82*100/bütünleme!$I82,"")</f>
        <v/>
      </c>
      <c r="N385" s="39" t="str">
        <f>IFERROR(bütünleme!Y82*100/bütünleme!$I82,"")</f>
        <v/>
      </c>
      <c r="O385" s="39" t="str">
        <f>IFERROR(bütünleme!Z82*100/bütünleme!$I82,"")</f>
        <v/>
      </c>
      <c r="P385" s="39" t="str">
        <f>IFERROR(bütünleme!AA82*100/bütünleme!$I82,"")</f>
        <v/>
      </c>
      <c r="Q385" s="39" t="str">
        <f>IFERROR(bütünleme!AB82*100/bütünleme!$I82,"")</f>
        <v/>
      </c>
      <c r="R385" s="39" t="str">
        <f>IFERROR(bütünleme!AC82*100/bütünleme!$I82,"")</f>
        <v/>
      </c>
      <c r="S385" s="39" t="str">
        <f>IFERROR(bütünleme!AD82*100/bütünleme!$I82,"")</f>
        <v/>
      </c>
      <c r="T385" s="39" t="str">
        <f>IFERROR(bütünleme!AE82*100/bütünleme!$I82,"")</f>
        <v/>
      </c>
      <c r="U385" s="39" t="str">
        <f>IFERROR(bütünleme!AF82*100/bütünleme!$I82,"")</f>
        <v/>
      </c>
      <c r="V385" s="39" t="str">
        <f>IFERROR(bütünleme!AG82*100/bütünleme!$I82,"")</f>
        <v/>
      </c>
      <c r="W385" s="39" t="str">
        <f>IFERROR(bütünleme!AH82*100/bütünleme!$I82,"")</f>
        <v/>
      </c>
      <c r="X385" s="39" t="str">
        <f>IFERROR(bütünleme!AI82*100/bütünleme!$I82,"")</f>
        <v/>
      </c>
      <c r="Y385" s="39" t="str">
        <f>IFERROR(bütünleme!AJ82*100/bütünleme!$I82,"")</f>
        <v/>
      </c>
      <c r="Z385" s="39" t="str">
        <f>IFERROR(bütünleme!AK82*100/bütünleme!$I82,"")</f>
        <v/>
      </c>
      <c r="AA385" s="39" t="str">
        <f>IFERROR(bütünleme!AL82*100/bütünleme!$I82,"")</f>
        <v/>
      </c>
      <c r="AB385" s="39" t="str">
        <f>IFERROR(bütünleme!AM82*100/bütünleme!$I82,"")</f>
        <v/>
      </c>
      <c r="AC385" s="39" t="str">
        <f>IFERROR(bütünleme!AN82*100/bütünleme!$I82,"")</f>
        <v/>
      </c>
      <c r="AD385" s="39" t="str">
        <f>IFERROR(bütünleme!AO82*100/bütünleme!$I82,"")</f>
        <v/>
      </c>
      <c r="AE385" s="39" t="str">
        <f>IFERROR(bütünleme!AP82*100/bütünleme!$I82,"")</f>
        <v/>
      </c>
      <c r="AF385" s="39" t="str">
        <f>IFERROR(bütünleme!AQ82*100/bütünleme!$I82,"")</f>
        <v/>
      </c>
      <c r="AG385" s="39" t="str">
        <f>IFERROR(bütünleme!AR82*100/bütünleme!$I82,"")</f>
        <v/>
      </c>
      <c r="AH385" s="39" t="str">
        <f>IFERROR(bütünleme!AS82*100/bütünleme!$I82,"")</f>
        <v/>
      </c>
      <c r="AI385" s="39" t="str">
        <f>IFERROR(bütünleme!AT82*100/bütünleme!$I82,"")</f>
        <v/>
      </c>
      <c r="AJ385" s="39" t="str">
        <f>IFERROR(bütünleme!AU82*100/bütünleme!$I82,"")</f>
        <v/>
      </c>
      <c r="AK385" s="39" t="str">
        <f>IFERROR(bütünleme!AV82*100/bütünleme!$I82,"")</f>
        <v/>
      </c>
      <c r="AL385" s="39" t="str">
        <f>IFERROR(bütünleme!AW82*100/bütünleme!$I82,"")</f>
        <v/>
      </c>
      <c r="AM385" s="39" t="str">
        <f>IFERROR(bütünleme!AX82*100/bütünleme!$I82,"")</f>
        <v/>
      </c>
      <c r="AN385" s="39" t="str">
        <f>IFERROR(bütünleme!AY82*100/bütünleme!$I82,"")</f>
        <v/>
      </c>
      <c r="AO385" s="39" t="str">
        <f>IFERROR(bütünleme!AZ82*100/bütünleme!$I82,"")</f>
        <v/>
      </c>
      <c r="AP385" s="39" t="str">
        <f>IFERROR(bütünleme!BA82*100/bütünleme!$I82,"")</f>
        <v/>
      </c>
      <c r="AQ385" s="39" t="str">
        <f>IFERROR(bütünleme!BB82*100/bütünleme!$I82,"")</f>
        <v/>
      </c>
      <c r="AR385" s="39" t="str">
        <f>IFERROR(bütünleme!BC82*100/bütünleme!$I82,"")</f>
        <v/>
      </c>
      <c r="AS385" s="39" t="str">
        <f>IFERROR(bütünleme!BD82*100/bütünleme!$I82,"")</f>
        <v/>
      </c>
      <c r="AT385" s="39" t="str">
        <f>IFERROR(bütünleme!BE82*100/bütünleme!$I82,"")</f>
        <v/>
      </c>
      <c r="AU385" s="39" t="str">
        <f>IFERROR(bütünleme!BF82*100/bütünleme!$I82,"")</f>
        <v/>
      </c>
      <c r="AV385" s="39" t="str">
        <f>IFERROR(bütünleme!BG82*100/bütünleme!$I82,"")</f>
        <v/>
      </c>
      <c r="AW385" s="39" t="str">
        <f>IFERROR(bütünleme!BH82*100/bütünleme!$I82,"")</f>
        <v/>
      </c>
      <c r="AX385" s="39" t="str">
        <f>IFERROR(bütünleme!BI82*100/bütünleme!$I82,"")</f>
        <v/>
      </c>
      <c r="AY385" s="39" t="str">
        <f>IFERROR(bütünleme!BJ82*100/bütünleme!$I82,"")</f>
        <v/>
      </c>
      <c r="AZ385" s="39" t="str">
        <f>IFERROR(bütünleme!BK82*100/bütünleme!$I82,"")</f>
        <v/>
      </c>
      <c r="BA385" s="39" t="str">
        <f>IFERROR(bütünleme!BL82*100/bütünleme!$I82,"")</f>
        <v/>
      </c>
      <c r="BB385" s="39" t="str">
        <f>IFERROR(bütünleme!BM82*100/bütünleme!$I82,"")</f>
        <v/>
      </c>
      <c r="BC385" s="39" t="str">
        <f>IFERROR(bütünleme!BN82*100/bütünleme!$I82,"")</f>
        <v/>
      </c>
      <c r="BD385" s="39" t="str">
        <f>IFERROR(bütünleme!BO82*100/bütünleme!$I82,"")</f>
        <v/>
      </c>
      <c r="BE385" s="39" t="str">
        <f>IFERROR(bütünleme!BP82*100/bütünleme!$I82,"")</f>
        <v/>
      </c>
      <c r="BF385" s="39" t="str">
        <f>IFERROR(bütünleme!BQ82*100/bütünleme!$I82,"")</f>
        <v/>
      </c>
      <c r="BG385" s="39" t="str">
        <f>IFERROR(bütünleme!BR82*100/bütünleme!$I82,"")</f>
        <v/>
      </c>
      <c r="BH385" s="39" t="str">
        <f>IFERROR(bütünleme!BS82*100/bütünleme!$I82,"")</f>
        <v/>
      </c>
      <c r="BI385" s="39" t="str">
        <f>IFERROR(bütünleme!BT82*100/bütünleme!$I82,"")</f>
        <v/>
      </c>
      <c r="BJ385" s="39" t="str">
        <f>IFERROR(bütünleme!BU82*100/bütünleme!$I82,"")</f>
        <v/>
      </c>
      <c r="BK385" s="39" t="str">
        <f>IFERROR(bütünleme!BV82*100/bütünleme!$I82,"")</f>
        <v/>
      </c>
      <c r="BL385" s="39" t="str">
        <f>IFERROR(bütünleme!BW82*100/bütünleme!$I82,"")</f>
        <v/>
      </c>
      <c r="BM385" s="39" t="str">
        <f>IFERROR(bütünleme!BX82*100/bütünleme!$I82,"")</f>
        <v/>
      </c>
      <c r="BN385" s="39" t="str">
        <f>IFERROR(bütünleme!BY82*100/bütünleme!$I82,"")</f>
        <v/>
      </c>
      <c r="BO385" s="39" t="str">
        <f>IFERROR(bütünleme!BZ82*100/bütünleme!$I82,"")</f>
        <v/>
      </c>
      <c r="BP385" s="39" t="str">
        <f>IFERROR(bütünleme!CA82*100/bütünleme!$I82,"")</f>
        <v/>
      </c>
      <c r="BQ385" s="39" t="str">
        <f>IFERROR(bütünleme!CB82*100/bütünleme!$I82,"")</f>
        <v/>
      </c>
      <c r="BR385" s="39" t="str">
        <f>IFERROR(bütünleme!CC82*100/bütünleme!$I82,"")</f>
        <v/>
      </c>
      <c r="BS385" s="39" t="str">
        <f>IFERROR(bütünleme!CD82*100/bütünleme!$I82,"")</f>
        <v/>
      </c>
      <c r="BT385" s="39" t="str">
        <f>IFERROR(bütünleme!CE82*100/bütünleme!$I82,"")</f>
        <v/>
      </c>
      <c r="BU385" s="39" t="str">
        <f>IFERROR(bütünleme!CF82*100/bütünleme!$I82,"")</f>
        <v/>
      </c>
      <c r="BV385" s="39" t="str">
        <f>IFERROR(bütünleme!CG82*100/bütünleme!$I82,"")</f>
        <v/>
      </c>
      <c r="BW385" s="39" t="str">
        <f>IFERROR(bütünleme!CH82*100/bütünleme!$I82,"")</f>
        <v/>
      </c>
      <c r="BX385" s="39" t="str">
        <f>IFERROR(bütünleme!CI82*100/bütünleme!$I82,"")</f>
        <v/>
      </c>
      <c r="BY385" s="39" t="str">
        <f>IFERROR(bütünleme!CJ82*100/bütünleme!$I82,"")</f>
        <v/>
      </c>
      <c r="BZ385" s="39" t="str">
        <f>IFERROR(bütünleme!CK82*100/bütünleme!$I82,"")</f>
        <v/>
      </c>
      <c r="CA385" s="39" t="str">
        <f>IFERROR(bütünleme!CL82*100/bütünleme!$I82,"")</f>
        <v/>
      </c>
      <c r="CB385" s="39" t="str">
        <f>IFERROR(bütünleme!CM82*100/bütünleme!$I82,"")</f>
        <v/>
      </c>
      <c r="CC385" s="39" t="str">
        <f>IFERROR(bütünleme!CN82*100/bütünleme!$I82,"")</f>
        <v/>
      </c>
      <c r="CD385" s="39" t="str">
        <f>IFERROR(bütünleme!CO82*100/bütünleme!$I82,"")</f>
        <v/>
      </c>
      <c r="CE385" s="39" t="str">
        <f>IFERROR(bütünleme!CP82*100/bütünleme!$I82,"")</f>
        <v/>
      </c>
      <c r="CF385" s="39" t="str">
        <f>IFERROR(bütünleme!CQ82*100/bütünleme!$I82,"")</f>
        <v/>
      </c>
      <c r="CG385" s="39" t="str">
        <f>IFERROR(bütünleme!CR82*100/bütünleme!$I82,"")</f>
        <v/>
      </c>
      <c r="CH385" s="39" t="str">
        <f>IFERROR(bütünleme!CS82*100/bütünleme!$I82,"")</f>
        <v/>
      </c>
      <c r="CI385" s="39" t="str">
        <f>IFERROR(bütünleme!CT82*100/bütünleme!$I82,"")</f>
        <v/>
      </c>
      <c r="CJ385" s="39" t="str">
        <f>IFERROR(bütünleme!CU82*100/bütünleme!$I82,"")</f>
        <v/>
      </c>
      <c r="CK385" s="39" t="str">
        <f>IFERROR(bütünleme!CV82*100/bütünleme!$I82,"")</f>
        <v/>
      </c>
      <c r="CL385" s="39" t="str">
        <f>IFERROR(bütünleme!CW82*100/bütünleme!$I82,"")</f>
        <v/>
      </c>
      <c r="CM385" s="39" t="str">
        <f>IFERROR(bütünleme!CX82*100/bütünleme!$I82,"")</f>
        <v/>
      </c>
      <c r="CN385" s="39" t="str">
        <f>IFERROR(bütünleme!CY82*100/bütünleme!$I82,"")</f>
        <v/>
      </c>
      <c r="CO385" s="39" t="str">
        <f>IFERROR(bütünleme!CZ82*100/bütünleme!$I82,"")</f>
        <v/>
      </c>
      <c r="CP385" s="39" t="str">
        <f>IFERROR(bütünleme!DA82*100/bütünleme!$I82,"")</f>
        <v/>
      </c>
      <c r="CQ385" s="39" t="str">
        <f>IFERROR(bütünleme!DB82*100/bütünleme!$I82,"")</f>
        <v/>
      </c>
      <c r="CR385" s="39" t="str">
        <f>IFERROR(bütünleme!DC82*100/bütünleme!$I82,"")</f>
        <v/>
      </c>
      <c r="CS385" s="39" t="str">
        <f>IFERROR(bütünleme!DD82*100/bütünleme!$I82,"")</f>
        <v/>
      </c>
      <c r="CT385" s="39" t="str">
        <f>IFERROR(bütünleme!DE82*100/bütünleme!$I82,"")</f>
        <v/>
      </c>
      <c r="CU385" s="39" t="str">
        <f>IFERROR(bütünleme!DF82*100/bütünleme!$I82,"")</f>
        <v/>
      </c>
      <c r="CV385" s="39" t="str">
        <f>IFERROR(bütünleme!DG82*100/bütünleme!$I82,"")</f>
        <v/>
      </c>
      <c r="CW385" s="36" t="str">
        <f>IFERROR(SUM(A385:CV385)/bütünleme!$DH$103,"")</f>
        <v/>
      </c>
      <c r="CX385" s="14" t="str">
        <f>IF(COUNTA(bütünleme!A82),bütünleme!A82,"")</f>
        <v/>
      </c>
      <c r="CY385" s="14" t="str">
        <f>IF(COUNTA(bütünleme!B82),bütünleme!B82,"")</f>
        <v/>
      </c>
      <c r="CZ385" s="14" t="str">
        <f>IF(COUNTA(bütünleme!C82),bütünleme!C82,"")</f>
        <v/>
      </c>
      <c r="DA385" s="14" t="str">
        <f>IF(COUNTA(bütünleme!D82),bütünleme!D82,"")</f>
        <v/>
      </c>
      <c r="DB385" s="14" t="str">
        <f>IF(COUNTA(bütünleme!E82),bütünleme!E82,"")</f>
        <v/>
      </c>
      <c r="DC385" s="14" t="str">
        <f>IF(COUNTA(bütünleme!F82),bütünleme!F82,"")</f>
        <v/>
      </c>
      <c r="DD385" s="14" t="str">
        <f>IF(COUNTA(bütünleme!G82),bütünleme!G82,"")</f>
        <v/>
      </c>
      <c r="DE385" s="14" t="str">
        <f>IF(COUNTA(bütünleme!H82),bütünleme!H82,"")</f>
        <v/>
      </c>
    </row>
    <row r="386" spans="1:109" x14ac:dyDescent="0.2">
      <c r="A386" s="39" t="str">
        <f>IFERROR(bütünleme!L83*100/bütünleme!$I83,"")</f>
        <v/>
      </c>
      <c r="B386" s="39" t="str">
        <f>IFERROR(bütünleme!M83*100/bütünleme!$I83,"")</f>
        <v/>
      </c>
      <c r="C386" s="39" t="str">
        <f>IFERROR(bütünleme!N83*100/bütünleme!$I83,"")</f>
        <v/>
      </c>
      <c r="D386" s="39" t="str">
        <f>IFERROR(bütünleme!O83*100/bütünleme!$I83,"")</f>
        <v/>
      </c>
      <c r="E386" s="39" t="str">
        <f>IFERROR(bütünleme!P83*100/bütünleme!$I83,"")</f>
        <v/>
      </c>
      <c r="F386" s="39" t="str">
        <f>IFERROR(bütünleme!Q83*100/bütünleme!$I83,"")</f>
        <v/>
      </c>
      <c r="G386" s="39" t="str">
        <f>IFERROR(bütünleme!R83*100/bütünleme!$I83,"")</f>
        <v/>
      </c>
      <c r="H386" s="39" t="str">
        <f>IFERROR(bütünleme!S83*100/bütünleme!$I83,"")</f>
        <v/>
      </c>
      <c r="I386" s="39" t="str">
        <f>IFERROR(bütünleme!T83*100/bütünleme!$I83,"")</f>
        <v/>
      </c>
      <c r="J386" s="39" t="str">
        <f>IFERROR(bütünleme!U83*100/bütünleme!$I83,"")</f>
        <v/>
      </c>
      <c r="K386" s="39" t="str">
        <f>IFERROR(bütünleme!V83*100/bütünleme!$I83,"")</f>
        <v/>
      </c>
      <c r="L386" s="39" t="str">
        <f>IFERROR(bütünleme!W83*100/bütünleme!$I83,"")</f>
        <v/>
      </c>
      <c r="M386" s="39" t="str">
        <f>IFERROR(bütünleme!X83*100/bütünleme!$I83,"")</f>
        <v/>
      </c>
      <c r="N386" s="39" t="str">
        <f>IFERROR(bütünleme!Y83*100/bütünleme!$I83,"")</f>
        <v/>
      </c>
      <c r="O386" s="39" t="str">
        <f>IFERROR(bütünleme!Z83*100/bütünleme!$I83,"")</f>
        <v/>
      </c>
      <c r="P386" s="39" t="str">
        <f>IFERROR(bütünleme!AA83*100/bütünleme!$I83,"")</f>
        <v/>
      </c>
      <c r="Q386" s="39" t="str">
        <f>IFERROR(bütünleme!AB83*100/bütünleme!$I83,"")</f>
        <v/>
      </c>
      <c r="R386" s="39" t="str">
        <f>IFERROR(bütünleme!AC83*100/bütünleme!$I83,"")</f>
        <v/>
      </c>
      <c r="S386" s="39" t="str">
        <f>IFERROR(bütünleme!AD83*100/bütünleme!$I83,"")</f>
        <v/>
      </c>
      <c r="T386" s="39" t="str">
        <f>IFERROR(bütünleme!AE83*100/bütünleme!$I83,"")</f>
        <v/>
      </c>
      <c r="U386" s="39" t="str">
        <f>IFERROR(bütünleme!AF83*100/bütünleme!$I83,"")</f>
        <v/>
      </c>
      <c r="V386" s="39" t="str">
        <f>IFERROR(bütünleme!AG83*100/bütünleme!$I83,"")</f>
        <v/>
      </c>
      <c r="W386" s="39" t="str">
        <f>IFERROR(bütünleme!AH83*100/bütünleme!$I83,"")</f>
        <v/>
      </c>
      <c r="X386" s="39" t="str">
        <f>IFERROR(bütünleme!AI83*100/bütünleme!$I83,"")</f>
        <v/>
      </c>
      <c r="Y386" s="39" t="str">
        <f>IFERROR(bütünleme!AJ83*100/bütünleme!$I83,"")</f>
        <v/>
      </c>
      <c r="Z386" s="39" t="str">
        <f>IFERROR(bütünleme!AK83*100/bütünleme!$I83,"")</f>
        <v/>
      </c>
      <c r="AA386" s="39" t="str">
        <f>IFERROR(bütünleme!AL83*100/bütünleme!$I83,"")</f>
        <v/>
      </c>
      <c r="AB386" s="39" t="str">
        <f>IFERROR(bütünleme!AM83*100/bütünleme!$I83,"")</f>
        <v/>
      </c>
      <c r="AC386" s="39" t="str">
        <f>IFERROR(bütünleme!AN83*100/bütünleme!$I83,"")</f>
        <v/>
      </c>
      <c r="AD386" s="39" t="str">
        <f>IFERROR(bütünleme!AO83*100/bütünleme!$I83,"")</f>
        <v/>
      </c>
      <c r="AE386" s="39" t="str">
        <f>IFERROR(bütünleme!AP83*100/bütünleme!$I83,"")</f>
        <v/>
      </c>
      <c r="AF386" s="39" t="str">
        <f>IFERROR(bütünleme!AQ83*100/bütünleme!$I83,"")</f>
        <v/>
      </c>
      <c r="AG386" s="39" t="str">
        <f>IFERROR(bütünleme!AR83*100/bütünleme!$I83,"")</f>
        <v/>
      </c>
      <c r="AH386" s="39" t="str">
        <f>IFERROR(bütünleme!AS83*100/bütünleme!$I83,"")</f>
        <v/>
      </c>
      <c r="AI386" s="39" t="str">
        <f>IFERROR(bütünleme!AT83*100/bütünleme!$I83,"")</f>
        <v/>
      </c>
      <c r="AJ386" s="39" t="str">
        <f>IFERROR(bütünleme!AU83*100/bütünleme!$I83,"")</f>
        <v/>
      </c>
      <c r="AK386" s="39" t="str">
        <f>IFERROR(bütünleme!AV83*100/bütünleme!$I83,"")</f>
        <v/>
      </c>
      <c r="AL386" s="39" t="str">
        <f>IFERROR(bütünleme!AW83*100/bütünleme!$I83,"")</f>
        <v/>
      </c>
      <c r="AM386" s="39" t="str">
        <f>IFERROR(bütünleme!AX83*100/bütünleme!$I83,"")</f>
        <v/>
      </c>
      <c r="AN386" s="39" t="str">
        <f>IFERROR(bütünleme!AY83*100/bütünleme!$I83,"")</f>
        <v/>
      </c>
      <c r="AO386" s="39" t="str">
        <f>IFERROR(bütünleme!AZ83*100/bütünleme!$I83,"")</f>
        <v/>
      </c>
      <c r="AP386" s="39" t="str">
        <f>IFERROR(bütünleme!BA83*100/bütünleme!$I83,"")</f>
        <v/>
      </c>
      <c r="AQ386" s="39" t="str">
        <f>IFERROR(bütünleme!BB83*100/bütünleme!$I83,"")</f>
        <v/>
      </c>
      <c r="AR386" s="39" t="str">
        <f>IFERROR(bütünleme!BC83*100/bütünleme!$I83,"")</f>
        <v/>
      </c>
      <c r="AS386" s="39" t="str">
        <f>IFERROR(bütünleme!BD83*100/bütünleme!$I83,"")</f>
        <v/>
      </c>
      <c r="AT386" s="39" t="str">
        <f>IFERROR(bütünleme!BE83*100/bütünleme!$I83,"")</f>
        <v/>
      </c>
      <c r="AU386" s="39" t="str">
        <f>IFERROR(bütünleme!BF83*100/bütünleme!$I83,"")</f>
        <v/>
      </c>
      <c r="AV386" s="39" t="str">
        <f>IFERROR(bütünleme!BG83*100/bütünleme!$I83,"")</f>
        <v/>
      </c>
      <c r="AW386" s="39" t="str">
        <f>IFERROR(bütünleme!BH83*100/bütünleme!$I83,"")</f>
        <v/>
      </c>
      <c r="AX386" s="39" t="str">
        <f>IFERROR(bütünleme!BI83*100/bütünleme!$I83,"")</f>
        <v/>
      </c>
      <c r="AY386" s="39" t="str">
        <f>IFERROR(bütünleme!BJ83*100/bütünleme!$I83,"")</f>
        <v/>
      </c>
      <c r="AZ386" s="39" t="str">
        <f>IFERROR(bütünleme!BK83*100/bütünleme!$I83,"")</f>
        <v/>
      </c>
      <c r="BA386" s="39" t="str">
        <f>IFERROR(bütünleme!BL83*100/bütünleme!$I83,"")</f>
        <v/>
      </c>
      <c r="BB386" s="39" t="str">
        <f>IFERROR(bütünleme!BM83*100/bütünleme!$I83,"")</f>
        <v/>
      </c>
      <c r="BC386" s="39" t="str">
        <f>IFERROR(bütünleme!BN83*100/bütünleme!$I83,"")</f>
        <v/>
      </c>
      <c r="BD386" s="39" t="str">
        <f>IFERROR(bütünleme!BO83*100/bütünleme!$I83,"")</f>
        <v/>
      </c>
      <c r="BE386" s="39" t="str">
        <f>IFERROR(bütünleme!BP83*100/bütünleme!$I83,"")</f>
        <v/>
      </c>
      <c r="BF386" s="39" t="str">
        <f>IFERROR(bütünleme!BQ83*100/bütünleme!$I83,"")</f>
        <v/>
      </c>
      <c r="BG386" s="39" t="str">
        <f>IFERROR(bütünleme!BR83*100/bütünleme!$I83,"")</f>
        <v/>
      </c>
      <c r="BH386" s="39" t="str">
        <f>IFERROR(bütünleme!BS83*100/bütünleme!$I83,"")</f>
        <v/>
      </c>
      <c r="BI386" s="39" t="str">
        <f>IFERROR(bütünleme!BT83*100/bütünleme!$I83,"")</f>
        <v/>
      </c>
      <c r="BJ386" s="39" t="str">
        <f>IFERROR(bütünleme!BU83*100/bütünleme!$I83,"")</f>
        <v/>
      </c>
      <c r="BK386" s="39" t="str">
        <f>IFERROR(bütünleme!BV83*100/bütünleme!$I83,"")</f>
        <v/>
      </c>
      <c r="BL386" s="39" t="str">
        <f>IFERROR(bütünleme!BW83*100/bütünleme!$I83,"")</f>
        <v/>
      </c>
      <c r="BM386" s="39" t="str">
        <f>IFERROR(bütünleme!BX83*100/bütünleme!$I83,"")</f>
        <v/>
      </c>
      <c r="BN386" s="39" t="str">
        <f>IFERROR(bütünleme!BY83*100/bütünleme!$I83,"")</f>
        <v/>
      </c>
      <c r="BO386" s="39" t="str">
        <f>IFERROR(bütünleme!BZ83*100/bütünleme!$I83,"")</f>
        <v/>
      </c>
      <c r="BP386" s="39" t="str">
        <f>IFERROR(bütünleme!CA83*100/bütünleme!$I83,"")</f>
        <v/>
      </c>
      <c r="BQ386" s="39" t="str">
        <f>IFERROR(bütünleme!CB83*100/bütünleme!$I83,"")</f>
        <v/>
      </c>
      <c r="BR386" s="39" t="str">
        <f>IFERROR(bütünleme!CC83*100/bütünleme!$I83,"")</f>
        <v/>
      </c>
      <c r="BS386" s="39" t="str">
        <f>IFERROR(bütünleme!CD83*100/bütünleme!$I83,"")</f>
        <v/>
      </c>
      <c r="BT386" s="39" t="str">
        <f>IFERROR(bütünleme!CE83*100/bütünleme!$I83,"")</f>
        <v/>
      </c>
      <c r="BU386" s="39" t="str">
        <f>IFERROR(bütünleme!CF83*100/bütünleme!$I83,"")</f>
        <v/>
      </c>
      <c r="BV386" s="39" t="str">
        <f>IFERROR(bütünleme!CG83*100/bütünleme!$I83,"")</f>
        <v/>
      </c>
      <c r="BW386" s="39" t="str">
        <f>IFERROR(bütünleme!CH83*100/bütünleme!$I83,"")</f>
        <v/>
      </c>
      <c r="BX386" s="39" t="str">
        <f>IFERROR(bütünleme!CI83*100/bütünleme!$I83,"")</f>
        <v/>
      </c>
      <c r="BY386" s="39" t="str">
        <f>IFERROR(bütünleme!CJ83*100/bütünleme!$I83,"")</f>
        <v/>
      </c>
      <c r="BZ386" s="39" t="str">
        <f>IFERROR(bütünleme!CK83*100/bütünleme!$I83,"")</f>
        <v/>
      </c>
      <c r="CA386" s="39" t="str">
        <f>IFERROR(bütünleme!CL83*100/bütünleme!$I83,"")</f>
        <v/>
      </c>
      <c r="CB386" s="39" t="str">
        <f>IFERROR(bütünleme!CM83*100/bütünleme!$I83,"")</f>
        <v/>
      </c>
      <c r="CC386" s="39" t="str">
        <f>IFERROR(bütünleme!CN83*100/bütünleme!$I83,"")</f>
        <v/>
      </c>
      <c r="CD386" s="39" t="str">
        <f>IFERROR(bütünleme!CO83*100/bütünleme!$I83,"")</f>
        <v/>
      </c>
      <c r="CE386" s="39" t="str">
        <f>IFERROR(bütünleme!CP83*100/bütünleme!$I83,"")</f>
        <v/>
      </c>
      <c r="CF386" s="39" t="str">
        <f>IFERROR(bütünleme!CQ83*100/bütünleme!$I83,"")</f>
        <v/>
      </c>
      <c r="CG386" s="39" t="str">
        <f>IFERROR(bütünleme!CR83*100/bütünleme!$I83,"")</f>
        <v/>
      </c>
      <c r="CH386" s="39" t="str">
        <f>IFERROR(bütünleme!CS83*100/bütünleme!$I83,"")</f>
        <v/>
      </c>
      <c r="CI386" s="39" t="str">
        <f>IFERROR(bütünleme!CT83*100/bütünleme!$I83,"")</f>
        <v/>
      </c>
      <c r="CJ386" s="39" t="str">
        <f>IFERROR(bütünleme!CU83*100/bütünleme!$I83,"")</f>
        <v/>
      </c>
      <c r="CK386" s="39" t="str">
        <f>IFERROR(bütünleme!CV83*100/bütünleme!$I83,"")</f>
        <v/>
      </c>
      <c r="CL386" s="39" t="str">
        <f>IFERROR(bütünleme!CW83*100/bütünleme!$I83,"")</f>
        <v/>
      </c>
      <c r="CM386" s="39" t="str">
        <f>IFERROR(bütünleme!CX83*100/bütünleme!$I83,"")</f>
        <v/>
      </c>
      <c r="CN386" s="39" t="str">
        <f>IFERROR(bütünleme!CY83*100/bütünleme!$I83,"")</f>
        <v/>
      </c>
      <c r="CO386" s="39" t="str">
        <f>IFERROR(bütünleme!CZ83*100/bütünleme!$I83,"")</f>
        <v/>
      </c>
      <c r="CP386" s="39" t="str">
        <f>IFERROR(bütünleme!DA83*100/bütünleme!$I83,"")</f>
        <v/>
      </c>
      <c r="CQ386" s="39" t="str">
        <f>IFERROR(bütünleme!DB83*100/bütünleme!$I83,"")</f>
        <v/>
      </c>
      <c r="CR386" s="39" t="str">
        <f>IFERROR(bütünleme!DC83*100/bütünleme!$I83,"")</f>
        <v/>
      </c>
      <c r="CS386" s="39" t="str">
        <f>IFERROR(bütünleme!DD83*100/bütünleme!$I83,"")</f>
        <v/>
      </c>
      <c r="CT386" s="39" t="str">
        <f>IFERROR(bütünleme!DE83*100/bütünleme!$I83,"")</f>
        <v/>
      </c>
      <c r="CU386" s="39" t="str">
        <f>IFERROR(bütünleme!DF83*100/bütünleme!$I83,"")</f>
        <v/>
      </c>
      <c r="CV386" s="39" t="str">
        <f>IFERROR(bütünleme!DG83*100/bütünleme!$I83,"")</f>
        <v/>
      </c>
      <c r="CW386" s="36" t="str">
        <f>IFERROR(SUM(A386:CV386)/bütünleme!$DH$103,"")</f>
        <v/>
      </c>
      <c r="CX386" s="14" t="str">
        <f>IF(COUNTA(bütünleme!A83),bütünleme!A83,"")</f>
        <v/>
      </c>
      <c r="CY386" s="14" t="str">
        <f>IF(COUNTA(bütünleme!B83),bütünleme!B83,"")</f>
        <v/>
      </c>
      <c r="CZ386" s="14" t="str">
        <f>IF(COUNTA(bütünleme!C83),bütünleme!C83,"")</f>
        <v/>
      </c>
      <c r="DA386" s="14" t="str">
        <f>IF(COUNTA(bütünleme!D83),bütünleme!D83,"")</f>
        <v/>
      </c>
      <c r="DB386" s="14" t="str">
        <f>IF(COUNTA(bütünleme!E83),bütünleme!E83,"")</f>
        <v/>
      </c>
      <c r="DC386" s="14" t="str">
        <f>IF(COUNTA(bütünleme!F83),bütünleme!F83,"")</f>
        <v/>
      </c>
      <c r="DD386" s="14" t="str">
        <f>IF(COUNTA(bütünleme!G83),bütünleme!G83,"")</f>
        <v/>
      </c>
      <c r="DE386" s="14" t="str">
        <f>IF(COUNTA(bütünleme!H83),bütünleme!H83,"")</f>
        <v/>
      </c>
    </row>
    <row r="387" spans="1:109" x14ac:dyDescent="0.2">
      <c r="A387" s="39" t="str">
        <f>IFERROR(bütünleme!L84*100/bütünleme!$I84,"")</f>
        <v/>
      </c>
      <c r="B387" s="39" t="str">
        <f>IFERROR(bütünleme!M84*100/bütünleme!$I84,"")</f>
        <v/>
      </c>
      <c r="C387" s="39" t="str">
        <f>IFERROR(bütünleme!N84*100/bütünleme!$I84,"")</f>
        <v/>
      </c>
      <c r="D387" s="39" t="str">
        <f>IFERROR(bütünleme!O84*100/bütünleme!$I84,"")</f>
        <v/>
      </c>
      <c r="E387" s="39" t="str">
        <f>IFERROR(bütünleme!P84*100/bütünleme!$I84,"")</f>
        <v/>
      </c>
      <c r="F387" s="39" t="str">
        <f>IFERROR(bütünleme!Q84*100/bütünleme!$I84,"")</f>
        <v/>
      </c>
      <c r="G387" s="39" t="str">
        <f>IFERROR(bütünleme!R84*100/bütünleme!$I84,"")</f>
        <v/>
      </c>
      <c r="H387" s="39" t="str">
        <f>IFERROR(bütünleme!S84*100/bütünleme!$I84,"")</f>
        <v/>
      </c>
      <c r="I387" s="39" t="str">
        <f>IFERROR(bütünleme!T84*100/bütünleme!$I84,"")</f>
        <v/>
      </c>
      <c r="J387" s="39" t="str">
        <f>IFERROR(bütünleme!U84*100/bütünleme!$I84,"")</f>
        <v/>
      </c>
      <c r="K387" s="39" t="str">
        <f>IFERROR(bütünleme!V84*100/bütünleme!$I84,"")</f>
        <v/>
      </c>
      <c r="L387" s="39" t="str">
        <f>IFERROR(bütünleme!W84*100/bütünleme!$I84,"")</f>
        <v/>
      </c>
      <c r="M387" s="39" t="str">
        <f>IFERROR(bütünleme!X84*100/bütünleme!$I84,"")</f>
        <v/>
      </c>
      <c r="N387" s="39" t="str">
        <f>IFERROR(bütünleme!Y84*100/bütünleme!$I84,"")</f>
        <v/>
      </c>
      <c r="O387" s="39" t="str">
        <f>IFERROR(bütünleme!Z84*100/bütünleme!$I84,"")</f>
        <v/>
      </c>
      <c r="P387" s="39" t="str">
        <f>IFERROR(bütünleme!AA84*100/bütünleme!$I84,"")</f>
        <v/>
      </c>
      <c r="Q387" s="39" t="str">
        <f>IFERROR(bütünleme!AB84*100/bütünleme!$I84,"")</f>
        <v/>
      </c>
      <c r="R387" s="39" t="str">
        <f>IFERROR(bütünleme!AC84*100/bütünleme!$I84,"")</f>
        <v/>
      </c>
      <c r="S387" s="39" t="str">
        <f>IFERROR(bütünleme!AD84*100/bütünleme!$I84,"")</f>
        <v/>
      </c>
      <c r="T387" s="39" t="str">
        <f>IFERROR(bütünleme!AE84*100/bütünleme!$I84,"")</f>
        <v/>
      </c>
      <c r="U387" s="39" t="str">
        <f>IFERROR(bütünleme!AF84*100/bütünleme!$I84,"")</f>
        <v/>
      </c>
      <c r="V387" s="39" t="str">
        <f>IFERROR(bütünleme!AG84*100/bütünleme!$I84,"")</f>
        <v/>
      </c>
      <c r="W387" s="39" t="str">
        <f>IFERROR(bütünleme!AH84*100/bütünleme!$I84,"")</f>
        <v/>
      </c>
      <c r="X387" s="39" t="str">
        <f>IFERROR(bütünleme!AI84*100/bütünleme!$I84,"")</f>
        <v/>
      </c>
      <c r="Y387" s="39" t="str">
        <f>IFERROR(bütünleme!AJ84*100/bütünleme!$I84,"")</f>
        <v/>
      </c>
      <c r="Z387" s="39" t="str">
        <f>IFERROR(bütünleme!AK84*100/bütünleme!$I84,"")</f>
        <v/>
      </c>
      <c r="AA387" s="39" t="str">
        <f>IFERROR(bütünleme!AL84*100/bütünleme!$I84,"")</f>
        <v/>
      </c>
      <c r="AB387" s="39" t="str">
        <f>IFERROR(bütünleme!AM84*100/bütünleme!$I84,"")</f>
        <v/>
      </c>
      <c r="AC387" s="39" t="str">
        <f>IFERROR(bütünleme!AN84*100/bütünleme!$I84,"")</f>
        <v/>
      </c>
      <c r="AD387" s="39" t="str">
        <f>IFERROR(bütünleme!AO84*100/bütünleme!$I84,"")</f>
        <v/>
      </c>
      <c r="AE387" s="39" t="str">
        <f>IFERROR(bütünleme!AP84*100/bütünleme!$I84,"")</f>
        <v/>
      </c>
      <c r="AF387" s="39" t="str">
        <f>IFERROR(bütünleme!AQ84*100/bütünleme!$I84,"")</f>
        <v/>
      </c>
      <c r="AG387" s="39" t="str">
        <f>IFERROR(bütünleme!AR84*100/bütünleme!$I84,"")</f>
        <v/>
      </c>
      <c r="AH387" s="39" t="str">
        <f>IFERROR(bütünleme!AS84*100/bütünleme!$I84,"")</f>
        <v/>
      </c>
      <c r="AI387" s="39" t="str">
        <f>IFERROR(bütünleme!AT84*100/bütünleme!$I84,"")</f>
        <v/>
      </c>
      <c r="AJ387" s="39" t="str">
        <f>IFERROR(bütünleme!AU84*100/bütünleme!$I84,"")</f>
        <v/>
      </c>
      <c r="AK387" s="39" t="str">
        <f>IFERROR(bütünleme!AV84*100/bütünleme!$I84,"")</f>
        <v/>
      </c>
      <c r="AL387" s="39" t="str">
        <f>IFERROR(bütünleme!AW84*100/bütünleme!$I84,"")</f>
        <v/>
      </c>
      <c r="AM387" s="39" t="str">
        <f>IFERROR(bütünleme!AX84*100/bütünleme!$I84,"")</f>
        <v/>
      </c>
      <c r="AN387" s="39" t="str">
        <f>IFERROR(bütünleme!AY84*100/bütünleme!$I84,"")</f>
        <v/>
      </c>
      <c r="AO387" s="39" t="str">
        <f>IFERROR(bütünleme!AZ84*100/bütünleme!$I84,"")</f>
        <v/>
      </c>
      <c r="AP387" s="39" t="str">
        <f>IFERROR(bütünleme!BA84*100/bütünleme!$I84,"")</f>
        <v/>
      </c>
      <c r="AQ387" s="39" t="str">
        <f>IFERROR(bütünleme!BB84*100/bütünleme!$I84,"")</f>
        <v/>
      </c>
      <c r="AR387" s="39" t="str">
        <f>IFERROR(bütünleme!BC84*100/bütünleme!$I84,"")</f>
        <v/>
      </c>
      <c r="AS387" s="39" t="str">
        <f>IFERROR(bütünleme!BD84*100/bütünleme!$I84,"")</f>
        <v/>
      </c>
      <c r="AT387" s="39" t="str">
        <f>IFERROR(bütünleme!BE84*100/bütünleme!$I84,"")</f>
        <v/>
      </c>
      <c r="AU387" s="39" t="str">
        <f>IFERROR(bütünleme!BF84*100/bütünleme!$I84,"")</f>
        <v/>
      </c>
      <c r="AV387" s="39" t="str">
        <f>IFERROR(bütünleme!BG84*100/bütünleme!$I84,"")</f>
        <v/>
      </c>
      <c r="AW387" s="39" t="str">
        <f>IFERROR(bütünleme!BH84*100/bütünleme!$I84,"")</f>
        <v/>
      </c>
      <c r="AX387" s="39" t="str">
        <f>IFERROR(bütünleme!BI84*100/bütünleme!$I84,"")</f>
        <v/>
      </c>
      <c r="AY387" s="39" t="str">
        <f>IFERROR(bütünleme!BJ84*100/bütünleme!$I84,"")</f>
        <v/>
      </c>
      <c r="AZ387" s="39" t="str">
        <f>IFERROR(bütünleme!BK84*100/bütünleme!$I84,"")</f>
        <v/>
      </c>
      <c r="BA387" s="39" t="str">
        <f>IFERROR(bütünleme!BL84*100/bütünleme!$I84,"")</f>
        <v/>
      </c>
      <c r="BB387" s="39" t="str">
        <f>IFERROR(bütünleme!BM84*100/bütünleme!$I84,"")</f>
        <v/>
      </c>
      <c r="BC387" s="39" t="str">
        <f>IFERROR(bütünleme!BN84*100/bütünleme!$I84,"")</f>
        <v/>
      </c>
      <c r="BD387" s="39" t="str">
        <f>IFERROR(bütünleme!BO84*100/bütünleme!$I84,"")</f>
        <v/>
      </c>
      <c r="BE387" s="39" t="str">
        <f>IFERROR(bütünleme!BP84*100/bütünleme!$I84,"")</f>
        <v/>
      </c>
      <c r="BF387" s="39" t="str">
        <f>IFERROR(bütünleme!BQ84*100/bütünleme!$I84,"")</f>
        <v/>
      </c>
      <c r="BG387" s="39" t="str">
        <f>IFERROR(bütünleme!BR84*100/bütünleme!$I84,"")</f>
        <v/>
      </c>
      <c r="BH387" s="39" t="str">
        <f>IFERROR(bütünleme!BS84*100/bütünleme!$I84,"")</f>
        <v/>
      </c>
      <c r="BI387" s="39" t="str">
        <f>IFERROR(bütünleme!BT84*100/bütünleme!$I84,"")</f>
        <v/>
      </c>
      <c r="BJ387" s="39" t="str">
        <f>IFERROR(bütünleme!BU84*100/bütünleme!$I84,"")</f>
        <v/>
      </c>
      <c r="BK387" s="39" t="str">
        <f>IFERROR(bütünleme!BV84*100/bütünleme!$I84,"")</f>
        <v/>
      </c>
      <c r="BL387" s="39" t="str">
        <f>IFERROR(bütünleme!BW84*100/bütünleme!$I84,"")</f>
        <v/>
      </c>
      <c r="BM387" s="39" t="str">
        <f>IFERROR(bütünleme!BX84*100/bütünleme!$I84,"")</f>
        <v/>
      </c>
      <c r="BN387" s="39" t="str">
        <f>IFERROR(bütünleme!BY84*100/bütünleme!$I84,"")</f>
        <v/>
      </c>
      <c r="BO387" s="39" t="str">
        <f>IFERROR(bütünleme!BZ84*100/bütünleme!$I84,"")</f>
        <v/>
      </c>
      <c r="BP387" s="39" t="str">
        <f>IFERROR(bütünleme!CA84*100/bütünleme!$I84,"")</f>
        <v/>
      </c>
      <c r="BQ387" s="39" t="str">
        <f>IFERROR(bütünleme!CB84*100/bütünleme!$I84,"")</f>
        <v/>
      </c>
      <c r="BR387" s="39" t="str">
        <f>IFERROR(bütünleme!CC84*100/bütünleme!$I84,"")</f>
        <v/>
      </c>
      <c r="BS387" s="39" t="str">
        <f>IFERROR(bütünleme!CD84*100/bütünleme!$I84,"")</f>
        <v/>
      </c>
      <c r="BT387" s="39" t="str">
        <f>IFERROR(bütünleme!CE84*100/bütünleme!$I84,"")</f>
        <v/>
      </c>
      <c r="BU387" s="39" t="str">
        <f>IFERROR(bütünleme!CF84*100/bütünleme!$I84,"")</f>
        <v/>
      </c>
      <c r="BV387" s="39" t="str">
        <f>IFERROR(bütünleme!CG84*100/bütünleme!$I84,"")</f>
        <v/>
      </c>
      <c r="BW387" s="39" t="str">
        <f>IFERROR(bütünleme!CH84*100/bütünleme!$I84,"")</f>
        <v/>
      </c>
      <c r="BX387" s="39" t="str">
        <f>IFERROR(bütünleme!CI84*100/bütünleme!$I84,"")</f>
        <v/>
      </c>
      <c r="BY387" s="39" t="str">
        <f>IFERROR(bütünleme!CJ84*100/bütünleme!$I84,"")</f>
        <v/>
      </c>
      <c r="BZ387" s="39" t="str">
        <f>IFERROR(bütünleme!CK84*100/bütünleme!$I84,"")</f>
        <v/>
      </c>
      <c r="CA387" s="39" t="str">
        <f>IFERROR(bütünleme!CL84*100/bütünleme!$I84,"")</f>
        <v/>
      </c>
      <c r="CB387" s="39" t="str">
        <f>IFERROR(bütünleme!CM84*100/bütünleme!$I84,"")</f>
        <v/>
      </c>
      <c r="CC387" s="39" t="str">
        <f>IFERROR(bütünleme!CN84*100/bütünleme!$I84,"")</f>
        <v/>
      </c>
      <c r="CD387" s="39" t="str">
        <f>IFERROR(bütünleme!CO84*100/bütünleme!$I84,"")</f>
        <v/>
      </c>
      <c r="CE387" s="39" t="str">
        <f>IFERROR(bütünleme!CP84*100/bütünleme!$I84,"")</f>
        <v/>
      </c>
      <c r="CF387" s="39" t="str">
        <f>IFERROR(bütünleme!CQ84*100/bütünleme!$I84,"")</f>
        <v/>
      </c>
      <c r="CG387" s="39" t="str">
        <f>IFERROR(bütünleme!CR84*100/bütünleme!$I84,"")</f>
        <v/>
      </c>
      <c r="CH387" s="39" t="str">
        <f>IFERROR(bütünleme!CS84*100/bütünleme!$I84,"")</f>
        <v/>
      </c>
      <c r="CI387" s="39" t="str">
        <f>IFERROR(bütünleme!CT84*100/bütünleme!$I84,"")</f>
        <v/>
      </c>
      <c r="CJ387" s="39" t="str">
        <f>IFERROR(bütünleme!CU84*100/bütünleme!$I84,"")</f>
        <v/>
      </c>
      <c r="CK387" s="39" t="str">
        <f>IFERROR(bütünleme!CV84*100/bütünleme!$I84,"")</f>
        <v/>
      </c>
      <c r="CL387" s="39" t="str">
        <f>IFERROR(bütünleme!CW84*100/bütünleme!$I84,"")</f>
        <v/>
      </c>
      <c r="CM387" s="39" t="str">
        <f>IFERROR(bütünleme!CX84*100/bütünleme!$I84,"")</f>
        <v/>
      </c>
      <c r="CN387" s="39" t="str">
        <f>IFERROR(bütünleme!CY84*100/bütünleme!$I84,"")</f>
        <v/>
      </c>
      <c r="CO387" s="39" t="str">
        <f>IFERROR(bütünleme!CZ84*100/bütünleme!$I84,"")</f>
        <v/>
      </c>
      <c r="CP387" s="39" t="str">
        <f>IFERROR(bütünleme!DA84*100/bütünleme!$I84,"")</f>
        <v/>
      </c>
      <c r="CQ387" s="39" t="str">
        <f>IFERROR(bütünleme!DB84*100/bütünleme!$I84,"")</f>
        <v/>
      </c>
      <c r="CR387" s="39" t="str">
        <f>IFERROR(bütünleme!DC84*100/bütünleme!$I84,"")</f>
        <v/>
      </c>
      <c r="CS387" s="39" t="str">
        <f>IFERROR(bütünleme!DD84*100/bütünleme!$I84,"")</f>
        <v/>
      </c>
      <c r="CT387" s="39" t="str">
        <f>IFERROR(bütünleme!DE84*100/bütünleme!$I84,"")</f>
        <v/>
      </c>
      <c r="CU387" s="39" t="str">
        <f>IFERROR(bütünleme!DF84*100/bütünleme!$I84,"")</f>
        <v/>
      </c>
      <c r="CV387" s="39" t="str">
        <f>IFERROR(bütünleme!DG84*100/bütünleme!$I84,"")</f>
        <v/>
      </c>
      <c r="CW387" s="36" t="str">
        <f>IFERROR(SUM(A387:CV387)/bütünleme!$DH$103,"")</f>
        <v/>
      </c>
      <c r="CX387" s="14" t="str">
        <f>IF(COUNTA(bütünleme!A84),bütünleme!A84,"")</f>
        <v/>
      </c>
      <c r="CY387" s="14" t="str">
        <f>IF(COUNTA(bütünleme!B84),bütünleme!B84,"")</f>
        <v/>
      </c>
      <c r="CZ387" s="14" t="str">
        <f>IF(COUNTA(bütünleme!C84),bütünleme!C84,"")</f>
        <v/>
      </c>
      <c r="DA387" s="14" t="str">
        <f>IF(COUNTA(bütünleme!D84),bütünleme!D84,"")</f>
        <v/>
      </c>
      <c r="DB387" s="14" t="str">
        <f>IF(COUNTA(bütünleme!E84),bütünleme!E84,"")</f>
        <v/>
      </c>
      <c r="DC387" s="14" t="str">
        <f>IF(COUNTA(bütünleme!F84),bütünleme!F84,"")</f>
        <v/>
      </c>
      <c r="DD387" s="14" t="str">
        <f>IF(COUNTA(bütünleme!G84),bütünleme!G84,"")</f>
        <v/>
      </c>
      <c r="DE387" s="14" t="str">
        <f>IF(COUNTA(bütünleme!H84),bütünleme!H84,"")</f>
        <v/>
      </c>
    </row>
    <row r="388" spans="1:109" x14ac:dyDescent="0.2">
      <c r="A388" s="39" t="str">
        <f>IFERROR(bütünleme!L85*100/bütünleme!$I85,"")</f>
        <v/>
      </c>
      <c r="B388" s="39" t="str">
        <f>IFERROR(bütünleme!M85*100/bütünleme!$I85,"")</f>
        <v/>
      </c>
      <c r="C388" s="39" t="str">
        <f>IFERROR(bütünleme!N85*100/bütünleme!$I85,"")</f>
        <v/>
      </c>
      <c r="D388" s="39" t="str">
        <f>IFERROR(bütünleme!O85*100/bütünleme!$I85,"")</f>
        <v/>
      </c>
      <c r="E388" s="39" t="str">
        <f>IFERROR(bütünleme!P85*100/bütünleme!$I85,"")</f>
        <v/>
      </c>
      <c r="F388" s="39" t="str">
        <f>IFERROR(bütünleme!Q85*100/bütünleme!$I85,"")</f>
        <v/>
      </c>
      <c r="G388" s="39" t="str">
        <f>IFERROR(bütünleme!R85*100/bütünleme!$I85,"")</f>
        <v/>
      </c>
      <c r="H388" s="39" t="str">
        <f>IFERROR(bütünleme!S85*100/bütünleme!$I85,"")</f>
        <v/>
      </c>
      <c r="I388" s="39" t="str">
        <f>IFERROR(bütünleme!T85*100/bütünleme!$I85,"")</f>
        <v/>
      </c>
      <c r="J388" s="39" t="str">
        <f>IFERROR(bütünleme!U85*100/bütünleme!$I85,"")</f>
        <v/>
      </c>
      <c r="K388" s="39" t="str">
        <f>IFERROR(bütünleme!V85*100/bütünleme!$I85,"")</f>
        <v/>
      </c>
      <c r="L388" s="39" t="str">
        <f>IFERROR(bütünleme!W85*100/bütünleme!$I85,"")</f>
        <v/>
      </c>
      <c r="M388" s="39" t="str">
        <f>IFERROR(bütünleme!X85*100/bütünleme!$I85,"")</f>
        <v/>
      </c>
      <c r="N388" s="39" t="str">
        <f>IFERROR(bütünleme!Y85*100/bütünleme!$I85,"")</f>
        <v/>
      </c>
      <c r="O388" s="39" t="str">
        <f>IFERROR(bütünleme!Z85*100/bütünleme!$I85,"")</f>
        <v/>
      </c>
      <c r="P388" s="39" t="str">
        <f>IFERROR(bütünleme!AA85*100/bütünleme!$I85,"")</f>
        <v/>
      </c>
      <c r="Q388" s="39" t="str">
        <f>IFERROR(bütünleme!AB85*100/bütünleme!$I85,"")</f>
        <v/>
      </c>
      <c r="R388" s="39" t="str">
        <f>IFERROR(bütünleme!AC85*100/bütünleme!$I85,"")</f>
        <v/>
      </c>
      <c r="S388" s="39" t="str">
        <f>IFERROR(bütünleme!AD85*100/bütünleme!$I85,"")</f>
        <v/>
      </c>
      <c r="T388" s="39" t="str">
        <f>IFERROR(bütünleme!AE85*100/bütünleme!$I85,"")</f>
        <v/>
      </c>
      <c r="U388" s="39" t="str">
        <f>IFERROR(bütünleme!AF85*100/bütünleme!$I85,"")</f>
        <v/>
      </c>
      <c r="V388" s="39" t="str">
        <f>IFERROR(bütünleme!AG85*100/bütünleme!$I85,"")</f>
        <v/>
      </c>
      <c r="W388" s="39" t="str">
        <f>IFERROR(bütünleme!AH85*100/bütünleme!$I85,"")</f>
        <v/>
      </c>
      <c r="X388" s="39" t="str">
        <f>IFERROR(bütünleme!AI85*100/bütünleme!$I85,"")</f>
        <v/>
      </c>
      <c r="Y388" s="39" t="str">
        <f>IFERROR(bütünleme!AJ85*100/bütünleme!$I85,"")</f>
        <v/>
      </c>
      <c r="Z388" s="39" t="str">
        <f>IFERROR(bütünleme!AK85*100/bütünleme!$I85,"")</f>
        <v/>
      </c>
      <c r="AA388" s="39" t="str">
        <f>IFERROR(bütünleme!AL85*100/bütünleme!$I85,"")</f>
        <v/>
      </c>
      <c r="AB388" s="39" t="str">
        <f>IFERROR(bütünleme!AM85*100/bütünleme!$I85,"")</f>
        <v/>
      </c>
      <c r="AC388" s="39" t="str">
        <f>IFERROR(bütünleme!AN85*100/bütünleme!$I85,"")</f>
        <v/>
      </c>
      <c r="AD388" s="39" t="str">
        <f>IFERROR(bütünleme!AO85*100/bütünleme!$I85,"")</f>
        <v/>
      </c>
      <c r="AE388" s="39" t="str">
        <f>IFERROR(bütünleme!AP85*100/bütünleme!$I85,"")</f>
        <v/>
      </c>
      <c r="AF388" s="39" t="str">
        <f>IFERROR(bütünleme!AQ85*100/bütünleme!$I85,"")</f>
        <v/>
      </c>
      <c r="AG388" s="39" t="str">
        <f>IFERROR(bütünleme!AR85*100/bütünleme!$I85,"")</f>
        <v/>
      </c>
      <c r="AH388" s="39" t="str">
        <f>IFERROR(bütünleme!AS85*100/bütünleme!$I85,"")</f>
        <v/>
      </c>
      <c r="AI388" s="39" t="str">
        <f>IFERROR(bütünleme!AT85*100/bütünleme!$I85,"")</f>
        <v/>
      </c>
      <c r="AJ388" s="39" t="str">
        <f>IFERROR(bütünleme!AU85*100/bütünleme!$I85,"")</f>
        <v/>
      </c>
      <c r="AK388" s="39" t="str">
        <f>IFERROR(bütünleme!AV85*100/bütünleme!$I85,"")</f>
        <v/>
      </c>
      <c r="AL388" s="39" t="str">
        <f>IFERROR(bütünleme!AW85*100/bütünleme!$I85,"")</f>
        <v/>
      </c>
      <c r="AM388" s="39" t="str">
        <f>IFERROR(bütünleme!AX85*100/bütünleme!$I85,"")</f>
        <v/>
      </c>
      <c r="AN388" s="39" t="str">
        <f>IFERROR(bütünleme!AY85*100/bütünleme!$I85,"")</f>
        <v/>
      </c>
      <c r="AO388" s="39" t="str">
        <f>IFERROR(bütünleme!AZ85*100/bütünleme!$I85,"")</f>
        <v/>
      </c>
      <c r="AP388" s="39" t="str">
        <f>IFERROR(bütünleme!BA85*100/bütünleme!$I85,"")</f>
        <v/>
      </c>
      <c r="AQ388" s="39" t="str">
        <f>IFERROR(bütünleme!BB85*100/bütünleme!$I85,"")</f>
        <v/>
      </c>
      <c r="AR388" s="39" t="str">
        <f>IFERROR(bütünleme!BC85*100/bütünleme!$I85,"")</f>
        <v/>
      </c>
      <c r="AS388" s="39" t="str">
        <f>IFERROR(bütünleme!BD85*100/bütünleme!$I85,"")</f>
        <v/>
      </c>
      <c r="AT388" s="39" t="str">
        <f>IFERROR(bütünleme!BE85*100/bütünleme!$I85,"")</f>
        <v/>
      </c>
      <c r="AU388" s="39" t="str">
        <f>IFERROR(bütünleme!BF85*100/bütünleme!$I85,"")</f>
        <v/>
      </c>
      <c r="AV388" s="39" t="str">
        <f>IFERROR(bütünleme!BG85*100/bütünleme!$I85,"")</f>
        <v/>
      </c>
      <c r="AW388" s="39" t="str">
        <f>IFERROR(bütünleme!BH85*100/bütünleme!$I85,"")</f>
        <v/>
      </c>
      <c r="AX388" s="39" t="str">
        <f>IFERROR(bütünleme!BI85*100/bütünleme!$I85,"")</f>
        <v/>
      </c>
      <c r="AY388" s="39" t="str">
        <f>IFERROR(bütünleme!BJ85*100/bütünleme!$I85,"")</f>
        <v/>
      </c>
      <c r="AZ388" s="39" t="str">
        <f>IFERROR(bütünleme!BK85*100/bütünleme!$I85,"")</f>
        <v/>
      </c>
      <c r="BA388" s="39" t="str">
        <f>IFERROR(bütünleme!BL85*100/bütünleme!$I85,"")</f>
        <v/>
      </c>
      <c r="BB388" s="39" t="str">
        <f>IFERROR(bütünleme!BM85*100/bütünleme!$I85,"")</f>
        <v/>
      </c>
      <c r="BC388" s="39" t="str">
        <f>IFERROR(bütünleme!BN85*100/bütünleme!$I85,"")</f>
        <v/>
      </c>
      <c r="BD388" s="39" t="str">
        <f>IFERROR(bütünleme!BO85*100/bütünleme!$I85,"")</f>
        <v/>
      </c>
      <c r="BE388" s="39" t="str">
        <f>IFERROR(bütünleme!BP85*100/bütünleme!$I85,"")</f>
        <v/>
      </c>
      <c r="BF388" s="39" t="str">
        <f>IFERROR(bütünleme!BQ85*100/bütünleme!$I85,"")</f>
        <v/>
      </c>
      <c r="BG388" s="39" t="str">
        <f>IFERROR(bütünleme!BR85*100/bütünleme!$I85,"")</f>
        <v/>
      </c>
      <c r="BH388" s="39" t="str">
        <f>IFERROR(bütünleme!BS85*100/bütünleme!$I85,"")</f>
        <v/>
      </c>
      <c r="BI388" s="39" t="str">
        <f>IFERROR(bütünleme!BT85*100/bütünleme!$I85,"")</f>
        <v/>
      </c>
      <c r="BJ388" s="39" t="str">
        <f>IFERROR(bütünleme!BU85*100/bütünleme!$I85,"")</f>
        <v/>
      </c>
      <c r="BK388" s="39" t="str">
        <f>IFERROR(bütünleme!BV85*100/bütünleme!$I85,"")</f>
        <v/>
      </c>
      <c r="BL388" s="39" t="str">
        <f>IFERROR(bütünleme!BW85*100/bütünleme!$I85,"")</f>
        <v/>
      </c>
      <c r="BM388" s="39" t="str">
        <f>IFERROR(bütünleme!BX85*100/bütünleme!$I85,"")</f>
        <v/>
      </c>
      <c r="BN388" s="39" t="str">
        <f>IFERROR(bütünleme!BY85*100/bütünleme!$I85,"")</f>
        <v/>
      </c>
      <c r="BO388" s="39" t="str">
        <f>IFERROR(bütünleme!BZ85*100/bütünleme!$I85,"")</f>
        <v/>
      </c>
      <c r="BP388" s="39" t="str">
        <f>IFERROR(bütünleme!CA85*100/bütünleme!$I85,"")</f>
        <v/>
      </c>
      <c r="BQ388" s="39" t="str">
        <f>IFERROR(bütünleme!CB85*100/bütünleme!$I85,"")</f>
        <v/>
      </c>
      <c r="BR388" s="39" t="str">
        <f>IFERROR(bütünleme!CC85*100/bütünleme!$I85,"")</f>
        <v/>
      </c>
      <c r="BS388" s="39" t="str">
        <f>IFERROR(bütünleme!CD85*100/bütünleme!$I85,"")</f>
        <v/>
      </c>
      <c r="BT388" s="39" t="str">
        <f>IFERROR(bütünleme!CE85*100/bütünleme!$I85,"")</f>
        <v/>
      </c>
      <c r="BU388" s="39" t="str">
        <f>IFERROR(bütünleme!CF85*100/bütünleme!$I85,"")</f>
        <v/>
      </c>
      <c r="BV388" s="39" t="str">
        <f>IFERROR(bütünleme!CG85*100/bütünleme!$I85,"")</f>
        <v/>
      </c>
      <c r="BW388" s="39" t="str">
        <f>IFERROR(bütünleme!CH85*100/bütünleme!$I85,"")</f>
        <v/>
      </c>
      <c r="BX388" s="39" t="str">
        <f>IFERROR(bütünleme!CI85*100/bütünleme!$I85,"")</f>
        <v/>
      </c>
      <c r="BY388" s="39" t="str">
        <f>IFERROR(bütünleme!CJ85*100/bütünleme!$I85,"")</f>
        <v/>
      </c>
      <c r="BZ388" s="39" t="str">
        <f>IFERROR(bütünleme!CK85*100/bütünleme!$I85,"")</f>
        <v/>
      </c>
      <c r="CA388" s="39" t="str">
        <f>IFERROR(bütünleme!CL85*100/bütünleme!$I85,"")</f>
        <v/>
      </c>
      <c r="CB388" s="39" t="str">
        <f>IFERROR(bütünleme!CM85*100/bütünleme!$I85,"")</f>
        <v/>
      </c>
      <c r="CC388" s="39" t="str">
        <f>IFERROR(bütünleme!CN85*100/bütünleme!$I85,"")</f>
        <v/>
      </c>
      <c r="CD388" s="39" t="str">
        <f>IFERROR(bütünleme!CO85*100/bütünleme!$I85,"")</f>
        <v/>
      </c>
      <c r="CE388" s="39" t="str">
        <f>IFERROR(bütünleme!CP85*100/bütünleme!$I85,"")</f>
        <v/>
      </c>
      <c r="CF388" s="39" t="str">
        <f>IFERROR(bütünleme!CQ85*100/bütünleme!$I85,"")</f>
        <v/>
      </c>
      <c r="CG388" s="39" t="str">
        <f>IFERROR(bütünleme!CR85*100/bütünleme!$I85,"")</f>
        <v/>
      </c>
      <c r="CH388" s="39" t="str">
        <f>IFERROR(bütünleme!CS85*100/bütünleme!$I85,"")</f>
        <v/>
      </c>
      <c r="CI388" s="39" t="str">
        <f>IFERROR(bütünleme!CT85*100/bütünleme!$I85,"")</f>
        <v/>
      </c>
      <c r="CJ388" s="39" t="str">
        <f>IFERROR(bütünleme!CU85*100/bütünleme!$I85,"")</f>
        <v/>
      </c>
      <c r="CK388" s="39" t="str">
        <f>IFERROR(bütünleme!CV85*100/bütünleme!$I85,"")</f>
        <v/>
      </c>
      <c r="CL388" s="39" t="str">
        <f>IFERROR(bütünleme!CW85*100/bütünleme!$I85,"")</f>
        <v/>
      </c>
      <c r="CM388" s="39" t="str">
        <f>IFERROR(bütünleme!CX85*100/bütünleme!$I85,"")</f>
        <v/>
      </c>
      <c r="CN388" s="39" t="str">
        <f>IFERROR(bütünleme!CY85*100/bütünleme!$I85,"")</f>
        <v/>
      </c>
      <c r="CO388" s="39" t="str">
        <f>IFERROR(bütünleme!CZ85*100/bütünleme!$I85,"")</f>
        <v/>
      </c>
      <c r="CP388" s="39" t="str">
        <f>IFERROR(bütünleme!DA85*100/bütünleme!$I85,"")</f>
        <v/>
      </c>
      <c r="CQ388" s="39" t="str">
        <f>IFERROR(bütünleme!DB85*100/bütünleme!$I85,"")</f>
        <v/>
      </c>
      <c r="CR388" s="39" t="str">
        <f>IFERROR(bütünleme!DC85*100/bütünleme!$I85,"")</f>
        <v/>
      </c>
      <c r="CS388" s="39" t="str">
        <f>IFERROR(bütünleme!DD85*100/bütünleme!$I85,"")</f>
        <v/>
      </c>
      <c r="CT388" s="39" t="str">
        <f>IFERROR(bütünleme!DE85*100/bütünleme!$I85,"")</f>
        <v/>
      </c>
      <c r="CU388" s="39" t="str">
        <f>IFERROR(bütünleme!DF85*100/bütünleme!$I85,"")</f>
        <v/>
      </c>
      <c r="CV388" s="39" t="str">
        <f>IFERROR(bütünleme!DG85*100/bütünleme!$I85,"")</f>
        <v/>
      </c>
      <c r="CW388" s="36" t="str">
        <f>IFERROR(SUM(A388:CV388)/bütünleme!$DH$103,"")</f>
        <v/>
      </c>
      <c r="CX388" s="14" t="str">
        <f>IF(COUNTA(bütünleme!A85),bütünleme!A85,"")</f>
        <v/>
      </c>
      <c r="CY388" s="14" t="str">
        <f>IF(COUNTA(bütünleme!B85),bütünleme!B85,"")</f>
        <v/>
      </c>
      <c r="CZ388" s="14" t="str">
        <f>IF(COUNTA(bütünleme!C85),bütünleme!C85,"")</f>
        <v/>
      </c>
      <c r="DA388" s="14" t="str">
        <f>IF(COUNTA(bütünleme!D85),bütünleme!D85,"")</f>
        <v/>
      </c>
      <c r="DB388" s="14" t="str">
        <f>IF(COUNTA(bütünleme!E85),bütünleme!E85,"")</f>
        <v/>
      </c>
      <c r="DC388" s="14" t="str">
        <f>IF(COUNTA(bütünleme!F85),bütünleme!F85,"")</f>
        <v/>
      </c>
      <c r="DD388" s="14" t="str">
        <f>IF(COUNTA(bütünleme!G85),bütünleme!G85,"")</f>
        <v/>
      </c>
      <c r="DE388" s="14" t="str">
        <f>IF(COUNTA(bütünleme!H85),bütünleme!H85,"")</f>
        <v/>
      </c>
    </row>
    <row r="389" spans="1:109" x14ac:dyDescent="0.2">
      <c r="A389" s="39" t="str">
        <f>IFERROR(bütünleme!L86*100/bütünleme!$I86,"")</f>
        <v/>
      </c>
      <c r="B389" s="39" t="str">
        <f>IFERROR(bütünleme!M86*100/bütünleme!$I86,"")</f>
        <v/>
      </c>
      <c r="C389" s="39" t="str">
        <f>IFERROR(bütünleme!N86*100/bütünleme!$I86,"")</f>
        <v/>
      </c>
      <c r="D389" s="39" t="str">
        <f>IFERROR(bütünleme!O86*100/bütünleme!$I86,"")</f>
        <v/>
      </c>
      <c r="E389" s="39" t="str">
        <f>IFERROR(bütünleme!P86*100/bütünleme!$I86,"")</f>
        <v/>
      </c>
      <c r="F389" s="39" t="str">
        <f>IFERROR(bütünleme!Q86*100/bütünleme!$I86,"")</f>
        <v/>
      </c>
      <c r="G389" s="39" t="str">
        <f>IFERROR(bütünleme!R86*100/bütünleme!$I86,"")</f>
        <v/>
      </c>
      <c r="H389" s="39" t="str">
        <f>IFERROR(bütünleme!S86*100/bütünleme!$I86,"")</f>
        <v/>
      </c>
      <c r="I389" s="39" t="str">
        <f>IFERROR(bütünleme!T86*100/bütünleme!$I86,"")</f>
        <v/>
      </c>
      <c r="J389" s="39" t="str">
        <f>IFERROR(bütünleme!U86*100/bütünleme!$I86,"")</f>
        <v/>
      </c>
      <c r="K389" s="39" t="str">
        <f>IFERROR(bütünleme!V86*100/bütünleme!$I86,"")</f>
        <v/>
      </c>
      <c r="L389" s="39" t="str">
        <f>IFERROR(bütünleme!W86*100/bütünleme!$I86,"")</f>
        <v/>
      </c>
      <c r="M389" s="39" t="str">
        <f>IFERROR(bütünleme!X86*100/bütünleme!$I86,"")</f>
        <v/>
      </c>
      <c r="N389" s="39" t="str">
        <f>IFERROR(bütünleme!Y86*100/bütünleme!$I86,"")</f>
        <v/>
      </c>
      <c r="O389" s="39" t="str">
        <f>IFERROR(bütünleme!Z86*100/bütünleme!$I86,"")</f>
        <v/>
      </c>
      <c r="P389" s="39" t="str">
        <f>IFERROR(bütünleme!AA86*100/bütünleme!$I86,"")</f>
        <v/>
      </c>
      <c r="Q389" s="39" t="str">
        <f>IFERROR(bütünleme!AB86*100/bütünleme!$I86,"")</f>
        <v/>
      </c>
      <c r="R389" s="39" t="str">
        <f>IFERROR(bütünleme!AC86*100/bütünleme!$I86,"")</f>
        <v/>
      </c>
      <c r="S389" s="39" t="str">
        <f>IFERROR(bütünleme!AD86*100/bütünleme!$I86,"")</f>
        <v/>
      </c>
      <c r="T389" s="39" t="str">
        <f>IFERROR(bütünleme!AE86*100/bütünleme!$I86,"")</f>
        <v/>
      </c>
      <c r="U389" s="39" t="str">
        <f>IFERROR(bütünleme!AF86*100/bütünleme!$I86,"")</f>
        <v/>
      </c>
      <c r="V389" s="39" t="str">
        <f>IFERROR(bütünleme!AG86*100/bütünleme!$I86,"")</f>
        <v/>
      </c>
      <c r="W389" s="39" t="str">
        <f>IFERROR(bütünleme!AH86*100/bütünleme!$I86,"")</f>
        <v/>
      </c>
      <c r="X389" s="39" t="str">
        <f>IFERROR(bütünleme!AI86*100/bütünleme!$I86,"")</f>
        <v/>
      </c>
      <c r="Y389" s="39" t="str">
        <f>IFERROR(bütünleme!AJ86*100/bütünleme!$I86,"")</f>
        <v/>
      </c>
      <c r="Z389" s="39" t="str">
        <f>IFERROR(bütünleme!AK86*100/bütünleme!$I86,"")</f>
        <v/>
      </c>
      <c r="AA389" s="39" t="str">
        <f>IFERROR(bütünleme!AL86*100/bütünleme!$I86,"")</f>
        <v/>
      </c>
      <c r="AB389" s="39" t="str">
        <f>IFERROR(bütünleme!AM86*100/bütünleme!$I86,"")</f>
        <v/>
      </c>
      <c r="AC389" s="39" t="str">
        <f>IFERROR(bütünleme!AN86*100/bütünleme!$I86,"")</f>
        <v/>
      </c>
      <c r="AD389" s="39" t="str">
        <f>IFERROR(bütünleme!AO86*100/bütünleme!$I86,"")</f>
        <v/>
      </c>
      <c r="AE389" s="39" t="str">
        <f>IFERROR(bütünleme!AP86*100/bütünleme!$I86,"")</f>
        <v/>
      </c>
      <c r="AF389" s="39" t="str">
        <f>IFERROR(bütünleme!AQ86*100/bütünleme!$I86,"")</f>
        <v/>
      </c>
      <c r="AG389" s="39" t="str">
        <f>IFERROR(bütünleme!AR86*100/bütünleme!$I86,"")</f>
        <v/>
      </c>
      <c r="AH389" s="39" t="str">
        <f>IFERROR(bütünleme!AS86*100/bütünleme!$I86,"")</f>
        <v/>
      </c>
      <c r="AI389" s="39" t="str">
        <f>IFERROR(bütünleme!AT86*100/bütünleme!$I86,"")</f>
        <v/>
      </c>
      <c r="AJ389" s="39" t="str">
        <f>IFERROR(bütünleme!AU86*100/bütünleme!$I86,"")</f>
        <v/>
      </c>
      <c r="AK389" s="39" t="str">
        <f>IFERROR(bütünleme!AV86*100/bütünleme!$I86,"")</f>
        <v/>
      </c>
      <c r="AL389" s="39" t="str">
        <f>IFERROR(bütünleme!AW86*100/bütünleme!$I86,"")</f>
        <v/>
      </c>
      <c r="AM389" s="39" t="str">
        <f>IFERROR(bütünleme!AX86*100/bütünleme!$I86,"")</f>
        <v/>
      </c>
      <c r="AN389" s="39" t="str">
        <f>IFERROR(bütünleme!AY86*100/bütünleme!$I86,"")</f>
        <v/>
      </c>
      <c r="AO389" s="39" t="str">
        <f>IFERROR(bütünleme!AZ86*100/bütünleme!$I86,"")</f>
        <v/>
      </c>
      <c r="AP389" s="39" t="str">
        <f>IFERROR(bütünleme!BA86*100/bütünleme!$I86,"")</f>
        <v/>
      </c>
      <c r="AQ389" s="39" t="str">
        <f>IFERROR(bütünleme!BB86*100/bütünleme!$I86,"")</f>
        <v/>
      </c>
      <c r="AR389" s="39" t="str">
        <f>IFERROR(bütünleme!BC86*100/bütünleme!$I86,"")</f>
        <v/>
      </c>
      <c r="AS389" s="39" t="str">
        <f>IFERROR(bütünleme!BD86*100/bütünleme!$I86,"")</f>
        <v/>
      </c>
      <c r="AT389" s="39" t="str">
        <f>IFERROR(bütünleme!BE86*100/bütünleme!$I86,"")</f>
        <v/>
      </c>
      <c r="AU389" s="39" t="str">
        <f>IFERROR(bütünleme!BF86*100/bütünleme!$I86,"")</f>
        <v/>
      </c>
      <c r="AV389" s="39" t="str">
        <f>IFERROR(bütünleme!BG86*100/bütünleme!$I86,"")</f>
        <v/>
      </c>
      <c r="AW389" s="39" t="str">
        <f>IFERROR(bütünleme!BH86*100/bütünleme!$I86,"")</f>
        <v/>
      </c>
      <c r="AX389" s="39" t="str">
        <f>IFERROR(bütünleme!BI86*100/bütünleme!$I86,"")</f>
        <v/>
      </c>
      <c r="AY389" s="39" t="str">
        <f>IFERROR(bütünleme!BJ86*100/bütünleme!$I86,"")</f>
        <v/>
      </c>
      <c r="AZ389" s="39" t="str">
        <f>IFERROR(bütünleme!BK86*100/bütünleme!$I86,"")</f>
        <v/>
      </c>
      <c r="BA389" s="39" t="str">
        <f>IFERROR(bütünleme!BL86*100/bütünleme!$I86,"")</f>
        <v/>
      </c>
      <c r="BB389" s="39" t="str">
        <f>IFERROR(bütünleme!BM86*100/bütünleme!$I86,"")</f>
        <v/>
      </c>
      <c r="BC389" s="39" t="str">
        <f>IFERROR(bütünleme!BN86*100/bütünleme!$I86,"")</f>
        <v/>
      </c>
      <c r="BD389" s="39" t="str">
        <f>IFERROR(bütünleme!BO86*100/bütünleme!$I86,"")</f>
        <v/>
      </c>
      <c r="BE389" s="39" t="str">
        <f>IFERROR(bütünleme!BP86*100/bütünleme!$I86,"")</f>
        <v/>
      </c>
      <c r="BF389" s="39" t="str">
        <f>IFERROR(bütünleme!BQ86*100/bütünleme!$I86,"")</f>
        <v/>
      </c>
      <c r="BG389" s="39" t="str">
        <f>IFERROR(bütünleme!BR86*100/bütünleme!$I86,"")</f>
        <v/>
      </c>
      <c r="BH389" s="39" t="str">
        <f>IFERROR(bütünleme!BS86*100/bütünleme!$I86,"")</f>
        <v/>
      </c>
      <c r="BI389" s="39" t="str">
        <f>IFERROR(bütünleme!BT86*100/bütünleme!$I86,"")</f>
        <v/>
      </c>
      <c r="BJ389" s="39" t="str">
        <f>IFERROR(bütünleme!BU86*100/bütünleme!$I86,"")</f>
        <v/>
      </c>
      <c r="BK389" s="39" t="str">
        <f>IFERROR(bütünleme!BV86*100/bütünleme!$I86,"")</f>
        <v/>
      </c>
      <c r="BL389" s="39" t="str">
        <f>IFERROR(bütünleme!BW86*100/bütünleme!$I86,"")</f>
        <v/>
      </c>
      <c r="BM389" s="39" t="str">
        <f>IFERROR(bütünleme!BX86*100/bütünleme!$I86,"")</f>
        <v/>
      </c>
      <c r="BN389" s="39" t="str">
        <f>IFERROR(bütünleme!BY86*100/bütünleme!$I86,"")</f>
        <v/>
      </c>
      <c r="BO389" s="39" t="str">
        <f>IFERROR(bütünleme!BZ86*100/bütünleme!$I86,"")</f>
        <v/>
      </c>
      <c r="BP389" s="39" t="str">
        <f>IFERROR(bütünleme!CA86*100/bütünleme!$I86,"")</f>
        <v/>
      </c>
      <c r="BQ389" s="39" t="str">
        <f>IFERROR(bütünleme!CB86*100/bütünleme!$I86,"")</f>
        <v/>
      </c>
      <c r="BR389" s="39" t="str">
        <f>IFERROR(bütünleme!CC86*100/bütünleme!$I86,"")</f>
        <v/>
      </c>
      <c r="BS389" s="39" t="str">
        <f>IFERROR(bütünleme!CD86*100/bütünleme!$I86,"")</f>
        <v/>
      </c>
      <c r="BT389" s="39" t="str">
        <f>IFERROR(bütünleme!CE86*100/bütünleme!$I86,"")</f>
        <v/>
      </c>
      <c r="BU389" s="39" t="str">
        <f>IFERROR(bütünleme!CF86*100/bütünleme!$I86,"")</f>
        <v/>
      </c>
      <c r="BV389" s="39" t="str">
        <f>IFERROR(bütünleme!CG86*100/bütünleme!$I86,"")</f>
        <v/>
      </c>
      <c r="BW389" s="39" t="str">
        <f>IFERROR(bütünleme!CH86*100/bütünleme!$I86,"")</f>
        <v/>
      </c>
      <c r="BX389" s="39" t="str">
        <f>IFERROR(bütünleme!CI86*100/bütünleme!$I86,"")</f>
        <v/>
      </c>
      <c r="BY389" s="39" t="str">
        <f>IFERROR(bütünleme!CJ86*100/bütünleme!$I86,"")</f>
        <v/>
      </c>
      <c r="BZ389" s="39" t="str">
        <f>IFERROR(bütünleme!CK86*100/bütünleme!$I86,"")</f>
        <v/>
      </c>
      <c r="CA389" s="39" t="str">
        <f>IFERROR(bütünleme!CL86*100/bütünleme!$I86,"")</f>
        <v/>
      </c>
      <c r="CB389" s="39" t="str">
        <f>IFERROR(bütünleme!CM86*100/bütünleme!$I86,"")</f>
        <v/>
      </c>
      <c r="CC389" s="39" t="str">
        <f>IFERROR(bütünleme!CN86*100/bütünleme!$I86,"")</f>
        <v/>
      </c>
      <c r="CD389" s="39" t="str">
        <f>IFERROR(bütünleme!CO86*100/bütünleme!$I86,"")</f>
        <v/>
      </c>
      <c r="CE389" s="39" t="str">
        <f>IFERROR(bütünleme!CP86*100/bütünleme!$I86,"")</f>
        <v/>
      </c>
      <c r="CF389" s="39" t="str">
        <f>IFERROR(bütünleme!CQ86*100/bütünleme!$I86,"")</f>
        <v/>
      </c>
      <c r="CG389" s="39" t="str">
        <f>IFERROR(bütünleme!CR86*100/bütünleme!$I86,"")</f>
        <v/>
      </c>
      <c r="CH389" s="39" t="str">
        <f>IFERROR(bütünleme!CS86*100/bütünleme!$I86,"")</f>
        <v/>
      </c>
      <c r="CI389" s="39" t="str">
        <f>IFERROR(bütünleme!CT86*100/bütünleme!$I86,"")</f>
        <v/>
      </c>
      <c r="CJ389" s="39" t="str">
        <f>IFERROR(bütünleme!CU86*100/bütünleme!$I86,"")</f>
        <v/>
      </c>
      <c r="CK389" s="39" t="str">
        <f>IFERROR(bütünleme!CV86*100/bütünleme!$I86,"")</f>
        <v/>
      </c>
      <c r="CL389" s="39" t="str">
        <f>IFERROR(bütünleme!CW86*100/bütünleme!$I86,"")</f>
        <v/>
      </c>
      <c r="CM389" s="39" t="str">
        <f>IFERROR(bütünleme!CX86*100/bütünleme!$I86,"")</f>
        <v/>
      </c>
      <c r="CN389" s="39" t="str">
        <f>IFERROR(bütünleme!CY86*100/bütünleme!$I86,"")</f>
        <v/>
      </c>
      <c r="CO389" s="39" t="str">
        <f>IFERROR(bütünleme!CZ86*100/bütünleme!$I86,"")</f>
        <v/>
      </c>
      <c r="CP389" s="39" t="str">
        <f>IFERROR(bütünleme!DA86*100/bütünleme!$I86,"")</f>
        <v/>
      </c>
      <c r="CQ389" s="39" t="str">
        <f>IFERROR(bütünleme!DB86*100/bütünleme!$I86,"")</f>
        <v/>
      </c>
      <c r="CR389" s="39" t="str">
        <f>IFERROR(bütünleme!DC86*100/bütünleme!$I86,"")</f>
        <v/>
      </c>
      <c r="CS389" s="39" t="str">
        <f>IFERROR(bütünleme!DD86*100/bütünleme!$I86,"")</f>
        <v/>
      </c>
      <c r="CT389" s="39" t="str">
        <f>IFERROR(bütünleme!DE86*100/bütünleme!$I86,"")</f>
        <v/>
      </c>
      <c r="CU389" s="39" t="str">
        <f>IFERROR(bütünleme!DF86*100/bütünleme!$I86,"")</f>
        <v/>
      </c>
      <c r="CV389" s="39" t="str">
        <f>IFERROR(bütünleme!DG86*100/bütünleme!$I86,"")</f>
        <v/>
      </c>
      <c r="CW389" s="36" t="str">
        <f>IFERROR(SUM(A389:CV389)/bütünleme!$DH$103,"")</f>
        <v/>
      </c>
      <c r="CX389" s="14" t="str">
        <f>IF(COUNTA(bütünleme!A86),bütünleme!A86,"")</f>
        <v/>
      </c>
      <c r="CY389" s="14" t="str">
        <f>IF(COUNTA(bütünleme!B86),bütünleme!B86,"")</f>
        <v/>
      </c>
      <c r="CZ389" s="14" t="str">
        <f>IF(COUNTA(bütünleme!C86),bütünleme!C86,"")</f>
        <v/>
      </c>
      <c r="DA389" s="14" t="str">
        <f>IF(COUNTA(bütünleme!D86),bütünleme!D86,"")</f>
        <v/>
      </c>
      <c r="DB389" s="14" t="str">
        <f>IF(COUNTA(bütünleme!E86),bütünleme!E86,"")</f>
        <v/>
      </c>
      <c r="DC389" s="14" t="str">
        <f>IF(COUNTA(bütünleme!F86),bütünleme!F86,"")</f>
        <v/>
      </c>
      <c r="DD389" s="14" t="str">
        <f>IF(COUNTA(bütünleme!G86),bütünleme!G86,"")</f>
        <v/>
      </c>
      <c r="DE389" s="14" t="str">
        <f>IF(COUNTA(bütünleme!H86),bütünleme!H86,"")</f>
        <v/>
      </c>
    </row>
    <row r="390" spans="1:109" x14ac:dyDescent="0.2">
      <c r="A390" s="39" t="str">
        <f>IFERROR(bütünleme!L87*100/bütünleme!$I87,"")</f>
        <v/>
      </c>
      <c r="B390" s="39" t="str">
        <f>IFERROR(bütünleme!M87*100/bütünleme!$I87,"")</f>
        <v/>
      </c>
      <c r="C390" s="39" t="str">
        <f>IFERROR(bütünleme!N87*100/bütünleme!$I87,"")</f>
        <v/>
      </c>
      <c r="D390" s="39" t="str">
        <f>IFERROR(bütünleme!O87*100/bütünleme!$I87,"")</f>
        <v/>
      </c>
      <c r="E390" s="39" t="str">
        <f>IFERROR(bütünleme!P87*100/bütünleme!$I87,"")</f>
        <v/>
      </c>
      <c r="F390" s="39" t="str">
        <f>IFERROR(bütünleme!Q87*100/bütünleme!$I87,"")</f>
        <v/>
      </c>
      <c r="G390" s="39" t="str">
        <f>IFERROR(bütünleme!R87*100/bütünleme!$I87,"")</f>
        <v/>
      </c>
      <c r="H390" s="39" t="str">
        <f>IFERROR(bütünleme!S87*100/bütünleme!$I87,"")</f>
        <v/>
      </c>
      <c r="I390" s="39" t="str">
        <f>IFERROR(bütünleme!T87*100/bütünleme!$I87,"")</f>
        <v/>
      </c>
      <c r="J390" s="39" t="str">
        <f>IFERROR(bütünleme!U87*100/bütünleme!$I87,"")</f>
        <v/>
      </c>
      <c r="K390" s="39" t="str">
        <f>IFERROR(bütünleme!V87*100/bütünleme!$I87,"")</f>
        <v/>
      </c>
      <c r="L390" s="39" t="str">
        <f>IFERROR(bütünleme!W87*100/bütünleme!$I87,"")</f>
        <v/>
      </c>
      <c r="M390" s="39" t="str">
        <f>IFERROR(bütünleme!X87*100/bütünleme!$I87,"")</f>
        <v/>
      </c>
      <c r="N390" s="39" t="str">
        <f>IFERROR(bütünleme!Y87*100/bütünleme!$I87,"")</f>
        <v/>
      </c>
      <c r="O390" s="39" t="str">
        <f>IFERROR(bütünleme!Z87*100/bütünleme!$I87,"")</f>
        <v/>
      </c>
      <c r="P390" s="39" t="str">
        <f>IFERROR(bütünleme!AA87*100/bütünleme!$I87,"")</f>
        <v/>
      </c>
      <c r="Q390" s="39" t="str">
        <f>IFERROR(bütünleme!AB87*100/bütünleme!$I87,"")</f>
        <v/>
      </c>
      <c r="R390" s="39" t="str">
        <f>IFERROR(bütünleme!AC87*100/bütünleme!$I87,"")</f>
        <v/>
      </c>
      <c r="S390" s="39" t="str">
        <f>IFERROR(bütünleme!AD87*100/bütünleme!$I87,"")</f>
        <v/>
      </c>
      <c r="T390" s="39" t="str">
        <f>IFERROR(bütünleme!AE87*100/bütünleme!$I87,"")</f>
        <v/>
      </c>
      <c r="U390" s="39" t="str">
        <f>IFERROR(bütünleme!AF87*100/bütünleme!$I87,"")</f>
        <v/>
      </c>
      <c r="V390" s="39" t="str">
        <f>IFERROR(bütünleme!AG87*100/bütünleme!$I87,"")</f>
        <v/>
      </c>
      <c r="W390" s="39" t="str">
        <f>IFERROR(bütünleme!AH87*100/bütünleme!$I87,"")</f>
        <v/>
      </c>
      <c r="X390" s="39" t="str">
        <f>IFERROR(bütünleme!AI87*100/bütünleme!$I87,"")</f>
        <v/>
      </c>
      <c r="Y390" s="39" t="str">
        <f>IFERROR(bütünleme!AJ87*100/bütünleme!$I87,"")</f>
        <v/>
      </c>
      <c r="Z390" s="39" t="str">
        <f>IFERROR(bütünleme!AK87*100/bütünleme!$I87,"")</f>
        <v/>
      </c>
      <c r="AA390" s="39" t="str">
        <f>IFERROR(bütünleme!AL87*100/bütünleme!$I87,"")</f>
        <v/>
      </c>
      <c r="AB390" s="39" t="str">
        <f>IFERROR(bütünleme!AM87*100/bütünleme!$I87,"")</f>
        <v/>
      </c>
      <c r="AC390" s="39" t="str">
        <f>IFERROR(bütünleme!AN87*100/bütünleme!$I87,"")</f>
        <v/>
      </c>
      <c r="AD390" s="39" t="str">
        <f>IFERROR(bütünleme!AO87*100/bütünleme!$I87,"")</f>
        <v/>
      </c>
      <c r="AE390" s="39" t="str">
        <f>IFERROR(bütünleme!AP87*100/bütünleme!$I87,"")</f>
        <v/>
      </c>
      <c r="AF390" s="39" t="str">
        <f>IFERROR(bütünleme!AQ87*100/bütünleme!$I87,"")</f>
        <v/>
      </c>
      <c r="AG390" s="39" t="str">
        <f>IFERROR(bütünleme!AR87*100/bütünleme!$I87,"")</f>
        <v/>
      </c>
      <c r="AH390" s="39" t="str">
        <f>IFERROR(bütünleme!AS87*100/bütünleme!$I87,"")</f>
        <v/>
      </c>
      <c r="AI390" s="39" t="str">
        <f>IFERROR(bütünleme!AT87*100/bütünleme!$I87,"")</f>
        <v/>
      </c>
      <c r="AJ390" s="39" t="str">
        <f>IFERROR(bütünleme!AU87*100/bütünleme!$I87,"")</f>
        <v/>
      </c>
      <c r="AK390" s="39" t="str">
        <f>IFERROR(bütünleme!AV87*100/bütünleme!$I87,"")</f>
        <v/>
      </c>
      <c r="AL390" s="39" t="str">
        <f>IFERROR(bütünleme!AW87*100/bütünleme!$I87,"")</f>
        <v/>
      </c>
      <c r="AM390" s="39" t="str">
        <f>IFERROR(bütünleme!AX87*100/bütünleme!$I87,"")</f>
        <v/>
      </c>
      <c r="AN390" s="39" t="str">
        <f>IFERROR(bütünleme!AY87*100/bütünleme!$I87,"")</f>
        <v/>
      </c>
      <c r="AO390" s="39" t="str">
        <f>IFERROR(bütünleme!AZ87*100/bütünleme!$I87,"")</f>
        <v/>
      </c>
      <c r="AP390" s="39" t="str">
        <f>IFERROR(bütünleme!BA87*100/bütünleme!$I87,"")</f>
        <v/>
      </c>
      <c r="AQ390" s="39" t="str">
        <f>IFERROR(bütünleme!BB87*100/bütünleme!$I87,"")</f>
        <v/>
      </c>
      <c r="AR390" s="39" t="str">
        <f>IFERROR(bütünleme!BC87*100/bütünleme!$I87,"")</f>
        <v/>
      </c>
      <c r="AS390" s="39" t="str">
        <f>IFERROR(bütünleme!BD87*100/bütünleme!$I87,"")</f>
        <v/>
      </c>
      <c r="AT390" s="39" t="str">
        <f>IFERROR(bütünleme!BE87*100/bütünleme!$I87,"")</f>
        <v/>
      </c>
      <c r="AU390" s="39" t="str">
        <f>IFERROR(bütünleme!BF87*100/bütünleme!$I87,"")</f>
        <v/>
      </c>
      <c r="AV390" s="39" t="str">
        <f>IFERROR(bütünleme!BG87*100/bütünleme!$I87,"")</f>
        <v/>
      </c>
      <c r="AW390" s="39" t="str">
        <f>IFERROR(bütünleme!BH87*100/bütünleme!$I87,"")</f>
        <v/>
      </c>
      <c r="AX390" s="39" t="str">
        <f>IFERROR(bütünleme!BI87*100/bütünleme!$I87,"")</f>
        <v/>
      </c>
      <c r="AY390" s="39" t="str">
        <f>IFERROR(bütünleme!BJ87*100/bütünleme!$I87,"")</f>
        <v/>
      </c>
      <c r="AZ390" s="39" t="str">
        <f>IFERROR(bütünleme!BK87*100/bütünleme!$I87,"")</f>
        <v/>
      </c>
      <c r="BA390" s="39" t="str">
        <f>IFERROR(bütünleme!BL87*100/bütünleme!$I87,"")</f>
        <v/>
      </c>
      <c r="BB390" s="39" t="str">
        <f>IFERROR(bütünleme!BM87*100/bütünleme!$I87,"")</f>
        <v/>
      </c>
      <c r="BC390" s="39" t="str">
        <f>IFERROR(bütünleme!BN87*100/bütünleme!$I87,"")</f>
        <v/>
      </c>
      <c r="BD390" s="39" t="str">
        <f>IFERROR(bütünleme!BO87*100/bütünleme!$I87,"")</f>
        <v/>
      </c>
      <c r="BE390" s="39" t="str">
        <f>IFERROR(bütünleme!BP87*100/bütünleme!$I87,"")</f>
        <v/>
      </c>
      <c r="BF390" s="39" t="str">
        <f>IFERROR(bütünleme!BQ87*100/bütünleme!$I87,"")</f>
        <v/>
      </c>
      <c r="BG390" s="39" t="str">
        <f>IFERROR(bütünleme!BR87*100/bütünleme!$I87,"")</f>
        <v/>
      </c>
      <c r="BH390" s="39" t="str">
        <f>IFERROR(bütünleme!BS87*100/bütünleme!$I87,"")</f>
        <v/>
      </c>
      <c r="BI390" s="39" t="str">
        <f>IFERROR(bütünleme!BT87*100/bütünleme!$I87,"")</f>
        <v/>
      </c>
      <c r="BJ390" s="39" t="str">
        <f>IFERROR(bütünleme!BU87*100/bütünleme!$I87,"")</f>
        <v/>
      </c>
      <c r="BK390" s="39" t="str">
        <f>IFERROR(bütünleme!BV87*100/bütünleme!$I87,"")</f>
        <v/>
      </c>
      <c r="BL390" s="39" t="str">
        <f>IFERROR(bütünleme!BW87*100/bütünleme!$I87,"")</f>
        <v/>
      </c>
      <c r="BM390" s="39" t="str">
        <f>IFERROR(bütünleme!BX87*100/bütünleme!$I87,"")</f>
        <v/>
      </c>
      <c r="BN390" s="39" t="str">
        <f>IFERROR(bütünleme!BY87*100/bütünleme!$I87,"")</f>
        <v/>
      </c>
      <c r="BO390" s="39" t="str">
        <f>IFERROR(bütünleme!BZ87*100/bütünleme!$I87,"")</f>
        <v/>
      </c>
      <c r="BP390" s="39" t="str">
        <f>IFERROR(bütünleme!CA87*100/bütünleme!$I87,"")</f>
        <v/>
      </c>
      <c r="BQ390" s="39" t="str">
        <f>IFERROR(bütünleme!CB87*100/bütünleme!$I87,"")</f>
        <v/>
      </c>
      <c r="BR390" s="39" t="str">
        <f>IFERROR(bütünleme!CC87*100/bütünleme!$I87,"")</f>
        <v/>
      </c>
      <c r="BS390" s="39" t="str">
        <f>IFERROR(bütünleme!CD87*100/bütünleme!$I87,"")</f>
        <v/>
      </c>
      <c r="BT390" s="39" t="str">
        <f>IFERROR(bütünleme!CE87*100/bütünleme!$I87,"")</f>
        <v/>
      </c>
      <c r="BU390" s="39" t="str">
        <f>IFERROR(bütünleme!CF87*100/bütünleme!$I87,"")</f>
        <v/>
      </c>
      <c r="BV390" s="39" t="str">
        <f>IFERROR(bütünleme!CG87*100/bütünleme!$I87,"")</f>
        <v/>
      </c>
      <c r="BW390" s="39" t="str">
        <f>IFERROR(bütünleme!CH87*100/bütünleme!$I87,"")</f>
        <v/>
      </c>
      <c r="BX390" s="39" t="str">
        <f>IFERROR(bütünleme!CI87*100/bütünleme!$I87,"")</f>
        <v/>
      </c>
      <c r="BY390" s="39" t="str">
        <f>IFERROR(bütünleme!CJ87*100/bütünleme!$I87,"")</f>
        <v/>
      </c>
      <c r="BZ390" s="39" t="str">
        <f>IFERROR(bütünleme!CK87*100/bütünleme!$I87,"")</f>
        <v/>
      </c>
      <c r="CA390" s="39" t="str">
        <f>IFERROR(bütünleme!CL87*100/bütünleme!$I87,"")</f>
        <v/>
      </c>
      <c r="CB390" s="39" t="str">
        <f>IFERROR(bütünleme!CM87*100/bütünleme!$I87,"")</f>
        <v/>
      </c>
      <c r="CC390" s="39" t="str">
        <f>IFERROR(bütünleme!CN87*100/bütünleme!$I87,"")</f>
        <v/>
      </c>
      <c r="CD390" s="39" t="str">
        <f>IFERROR(bütünleme!CO87*100/bütünleme!$I87,"")</f>
        <v/>
      </c>
      <c r="CE390" s="39" t="str">
        <f>IFERROR(bütünleme!CP87*100/bütünleme!$I87,"")</f>
        <v/>
      </c>
      <c r="CF390" s="39" t="str">
        <f>IFERROR(bütünleme!CQ87*100/bütünleme!$I87,"")</f>
        <v/>
      </c>
      <c r="CG390" s="39" t="str">
        <f>IFERROR(bütünleme!CR87*100/bütünleme!$I87,"")</f>
        <v/>
      </c>
      <c r="CH390" s="39" t="str">
        <f>IFERROR(bütünleme!CS87*100/bütünleme!$I87,"")</f>
        <v/>
      </c>
      <c r="CI390" s="39" t="str">
        <f>IFERROR(bütünleme!CT87*100/bütünleme!$I87,"")</f>
        <v/>
      </c>
      <c r="CJ390" s="39" t="str">
        <f>IFERROR(bütünleme!CU87*100/bütünleme!$I87,"")</f>
        <v/>
      </c>
      <c r="CK390" s="39" t="str">
        <f>IFERROR(bütünleme!CV87*100/bütünleme!$I87,"")</f>
        <v/>
      </c>
      <c r="CL390" s="39" t="str">
        <f>IFERROR(bütünleme!CW87*100/bütünleme!$I87,"")</f>
        <v/>
      </c>
      <c r="CM390" s="39" t="str">
        <f>IFERROR(bütünleme!CX87*100/bütünleme!$I87,"")</f>
        <v/>
      </c>
      <c r="CN390" s="39" t="str">
        <f>IFERROR(bütünleme!CY87*100/bütünleme!$I87,"")</f>
        <v/>
      </c>
      <c r="CO390" s="39" t="str">
        <f>IFERROR(bütünleme!CZ87*100/bütünleme!$I87,"")</f>
        <v/>
      </c>
      <c r="CP390" s="39" t="str">
        <f>IFERROR(bütünleme!DA87*100/bütünleme!$I87,"")</f>
        <v/>
      </c>
      <c r="CQ390" s="39" t="str">
        <f>IFERROR(bütünleme!DB87*100/bütünleme!$I87,"")</f>
        <v/>
      </c>
      <c r="CR390" s="39" t="str">
        <f>IFERROR(bütünleme!DC87*100/bütünleme!$I87,"")</f>
        <v/>
      </c>
      <c r="CS390" s="39" t="str">
        <f>IFERROR(bütünleme!DD87*100/bütünleme!$I87,"")</f>
        <v/>
      </c>
      <c r="CT390" s="39" t="str">
        <f>IFERROR(bütünleme!DE87*100/bütünleme!$I87,"")</f>
        <v/>
      </c>
      <c r="CU390" s="39" t="str">
        <f>IFERROR(bütünleme!DF87*100/bütünleme!$I87,"")</f>
        <v/>
      </c>
      <c r="CV390" s="39" t="str">
        <f>IFERROR(bütünleme!DG87*100/bütünleme!$I87,"")</f>
        <v/>
      </c>
      <c r="CW390" s="36" t="str">
        <f>IFERROR(SUM(A390:CV390)/bütünleme!$DH$103,"")</f>
        <v/>
      </c>
      <c r="CX390" s="14" t="str">
        <f>IF(COUNTA(bütünleme!A87),bütünleme!A87,"")</f>
        <v/>
      </c>
      <c r="CY390" s="14" t="str">
        <f>IF(COUNTA(bütünleme!B87),bütünleme!B87,"")</f>
        <v/>
      </c>
      <c r="CZ390" s="14" t="str">
        <f>IF(COUNTA(bütünleme!C87),bütünleme!C87,"")</f>
        <v/>
      </c>
      <c r="DA390" s="14" t="str">
        <f>IF(COUNTA(bütünleme!D87),bütünleme!D87,"")</f>
        <v/>
      </c>
      <c r="DB390" s="14" t="str">
        <f>IF(COUNTA(bütünleme!E87),bütünleme!E87,"")</f>
        <v/>
      </c>
      <c r="DC390" s="14" t="str">
        <f>IF(COUNTA(bütünleme!F87),bütünleme!F87,"")</f>
        <v/>
      </c>
      <c r="DD390" s="14" t="str">
        <f>IF(COUNTA(bütünleme!G87),bütünleme!G87,"")</f>
        <v/>
      </c>
      <c r="DE390" s="14" t="str">
        <f>IF(COUNTA(bütünleme!H87),bütünleme!H87,"")</f>
        <v/>
      </c>
    </row>
    <row r="391" spans="1:109" x14ac:dyDescent="0.2">
      <c r="A391" s="39" t="str">
        <f>IFERROR(bütünleme!L88*100/bütünleme!$I88,"")</f>
        <v/>
      </c>
      <c r="B391" s="39" t="str">
        <f>IFERROR(bütünleme!M88*100/bütünleme!$I88,"")</f>
        <v/>
      </c>
      <c r="C391" s="39" t="str">
        <f>IFERROR(bütünleme!N88*100/bütünleme!$I88,"")</f>
        <v/>
      </c>
      <c r="D391" s="39" t="str">
        <f>IFERROR(bütünleme!O88*100/bütünleme!$I88,"")</f>
        <v/>
      </c>
      <c r="E391" s="39" t="str">
        <f>IFERROR(bütünleme!P88*100/bütünleme!$I88,"")</f>
        <v/>
      </c>
      <c r="F391" s="39" t="str">
        <f>IFERROR(bütünleme!Q88*100/bütünleme!$I88,"")</f>
        <v/>
      </c>
      <c r="G391" s="39" t="str">
        <f>IFERROR(bütünleme!R88*100/bütünleme!$I88,"")</f>
        <v/>
      </c>
      <c r="H391" s="39" t="str">
        <f>IFERROR(bütünleme!S88*100/bütünleme!$I88,"")</f>
        <v/>
      </c>
      <c r="I391" s="39" t="str">
        <f>IFERROR(bütünleme!T88*100/bütünleme!$I88,"")</f>
        <v/>
      </c>
      <c r="J391" s="39" t="str">
        <f>IFERROR(bütünleme!U88*100/bütünleme!$I88,"")</f>
        <v/>
      </c>
      <c r="K391" s="39" t="str">
        <f>IFERROR(bütünleme!V88*100/bütünleme!$I88,"")</f>
        <v/>
      </c>
      <c r="L391" s="39" t="str">
        <f>IFERROR(bütünleme!W88*100/bütünleme!$I88,"")</f>
        <v/>
      </c>
      <c r="M391" s="39" t="str">
        <f>IFERROR(bütünleme!X88*100/bütünleme!$I88,"")</f>
        <v/>
      </c>
      <c r="N391" s="39" t="str">
        <f>IFERROR(bütünleme!Y88*100/bütünleme!$I88,"")</f>
        <v/>
      </c>
      <c r="O391" s="39" t="str">
        <f>IFERROR(bütünleme!Z88*100/bütünleme!$I88,"")</f>
        <v/>
      </c>
      <c r="P391" s="39" t="str">
        <f>IFERROR(bütünleme!AA88*100/bütünleme!$I88,"")</f>
        <v/>
      </c>
      <c r="Q391" s="39" t="str">
        <f>IFERROR(bütünleme!AB88*100/bütünleme!$I88,"")</f>
        <v/>
      </c>
      <c r="R391" s="39" t="str">
        <f>IFERROR(bütünleme!AC88*100/bütünleme!$I88,"")</f>
        <v/>
      </c>
      <c r="S391" s="39" t="str">
        <f>IFERROR(bütünleme!AD88*100/bütünleme!$I88,"")</f>
        <v/>
      </c>
      <c r="T391" s="39" t="str">
        <f>IFERROR(bütünleme!AE88*100/bütünleme!$I88,"")</f>
        <v/>
      </c>
      <c r="U391" s="39" t="str">
        <f>IFERROR(bütünleme!AF88*100/bütünleme!$I88,"")</f>
        <v/>
      </c>
      <c r="V391" s="39" t="str">
        <f>IFERROR(bütünleme!AG88*100/bütünleme!$I88,"")</f>
        <v/>
      </c>
      <c r="W391" s="39" t="str">
        <f>IFERROR(bütünleme!AH88*100/bütünleme!$I88,"")</f>
        <v/>
      </c>
      <c r="X391" s="39" t="str">
        <f>IFERROR(bütünleme!AI88*100/bütünleme!$I88,"")</f>
        <v/>
      </c>
      <c r="Y391" s="39" t="str">
        <f>IFERROR(bütünleme!AJ88*100/bütünleme!$I88,"")</f>
        <v/>
      </c>
      <c r="Z391" s="39" t="str">
        <f>IFERROR(bütünleme!AK88*100/bütünleme!$I88,"")</f>
        <v/>
      </c>
      <c r="AA391" s="39" t="str">
        <f>IFERROR(bütünleme!AL88*100/bütünleme!$I88,"")</f>
        <v/>
      </c>
      <c r="AB391" s="39" t="str">
        <f>IFERROR(bütünleme!AM88*100/bütünleme!$I88,"")</f>
        <v/>
      </c>
      <c r="AC391" s="39" t="str">
        <f>IFERROR(bütünleme!AN88*100/bütünleme!$I88,"")</f>
        <v/>
      </c>
      <c r="AD391" s="39" t="str">
        <f>IFERROR(bütünleme!AO88*100/bütünleme!$I88,"")</f>
        <v/>
      </c>
      <c r="AE391" s="39" t="str">
        <f>IFERROR(bütünleme!AP88*100/bütünleme!$I88,"")</f>
        <v/>
      </c>
      <c r="AF391" s="39" t="str">
        <f>IFERROR(bütünleme!AQ88*100/bütünleme!$I88,"")</f>
        <v/>
      </c>
      <c r="AG391" s="39" t="str">
        <f>IFERROR(bütünleme!AR88*100/bütünleme!$I88,"")</f>
        <v/>
      </c>
      <c r="AH391" s="39" t="str">
        <f>IFERROR(bütünleme!AS88*100/bütünleme!$I88,"")</f>
        <v/>
      </c>
      <c r="AI391" s="39" t="str">
        <f>IFERROR(bütünleme!AT88*100/bütünleme!$I88,"")</f>
        <v/>
      </c>
      <c r="AJ391" s="39" t="str">
        <f>IFERROR(bütünleme!AU88*100/bütünleme!$I88,"")</f>
        <v/>
      </c>
      <c r="AK391" s="39" t="str">
        <f>IFERROR(bütünleme!AV88*100/bütünleme!$I88,"")</f>
        <v/>
      </c>
      <c r="AL391" s="39" t="str">
        <f>IFERROR(bütünleme!AW88*100/bütünleme!$I88,"")</f>
        <v/>
      </c>
      <c r="AM391" s="39" t="str">
        <f>IFERROR(bütünleme!AX88*100/bütünleme!$I88,"")</f>
        <v/>
      </c>
      <c r="AN391" s="39" t="str">
        <f>IFERROR(bütünleme!AY88*100/bütünleme!$I88,"")</f>
        <v/>
      </c>
      <c r="AO391" s="39" t="str">
        <f>IFERROR(bütünleme!AZ88*100/bütünleme!$I88,"")</f>
        <v/>
      </c>
      <c r="AP391" s="39" t="str">
        <f>IFERROR(bütünleme!BA88*100/bütünleme!$I88,"")</f>
        <v/>
      </c>
      <c r="AQ391" s="39" t="str">
        <f>IFERROR(bütünleme!BB88*100/bütünleme!$I88,"")</f>
        <v/>
      </c>
      <c r="AR391" s="39" t="str">
        <f>IFERROR(bütünleme!BC88*100/bütünleme!$I88,"")</f>
        <v/>
      </c>
      <c r="AS391" s="39" t="str">
        <f>IFERROR(bütünleme!BD88*100/bütünleme!$I88,"")</f>
        <v/>
      </c>
      <c r="AT391" s="39" t="str">
        <f>IFERROR(bütünleme!BE88*100/bütünleme!$I88,"")</f>
        <v/>
      </c>
      <c r="AU391" s="39" t="str">
        <f>IFERROR(bütünleme!BF88*100/bütünleme!$I88,"")</f>
        <v/>
      </c>
      <c r="AV391" s="39" t="str">
        <f>IFERROR(bütünleme!BG88*100/bütünleme!$I88,"")</f>
        <v/>
      </c>
      <c r="AW391" s="39" t="str">
        <f>IFERROR(bütünleme!BH88*100/bütünleme!$I88,"")</f>
        <v/>
      </c>
      <c r="AX391" s="39" t="str">
        <f>IFERROR(bütünleme!BI88*100/bütünleme!$I88,"")</f>
        <v/>
      </c>
      <c r="AY391" s="39" t="str">
        <f>IFERROR(bütünleme!BJ88*100/bütünleme!$I88,"")</f>
        <v/>
      </c>
      <c r="AZ391" s="39" t="str">
        <f>IFERROR(bütünleme!BK88*100/bütünleme!$I88,"")</f>
        <v/>
      </c>
      <c r="BA391" s="39" t="str">
        <f>IFERROR(bütünleme!BL88*100/bütünleme!$I88,"")</f>
        <v/>
      </c>
      <c r="BB391" s="39" t="str">
        <f>IFERROR(bütünleme!BM88*100/bütünleme!$I88,"")</f>
        <v/>
      </c>
      <c r="BC391" s="39" t="str">
        <f>IFERROR(bütünleme!BN88*100/bütünleme!$I88,"")</f>
        <v/>
      </c>
      <c r="BD391" s="39" t="str">
        <f>IFERROR(bütünleme!BO88*100/bütünleme!$I88,"")</f>
        <v/>
      </c>
      <c r="BE391" s="39" t="str">
        <f>IFERROR(bütünleme!BP88*100/bütünleme!$I88,"")</f>
        <v/>
      </c>
      <c r="BF391" s="39" t="str">
        <f>IFERROR(bütünleme!BQ88*100/bütünleme!$I88,"")</f>
        <v/>
      </c>
      <c r="BG391" s="39" t="str">
        <f>IFERROR(bütünleme!BR88*100/bütünleme!$I88,"")</f>
        <v/>
      </c>
      <c r="BH391" s="39" t="str">
        <f>IFERROR(bütünleme!BS88*100/bütünleme!$I88,"")</f>
        <v/>
      </c>
      <c r="BI391" s="39" t="str">
        <f>IFERROR(bütünleme!BT88*100/bütünleme!$I88,"")</f>
        <v/>
      </c>
      <c r="BJ391" s="39" t="str">
        <f>IFERROR(bütünleme!BU88*100/bütünleme!$I88,"")</f>
        <v/>
      </c>
      <c r="BK391" s="39" t="str">
        <f>IFERROR(bütünleme!BV88*100/bütünleme!$I88,"")</f>
        <v/>
      </c>
      <c r="BL391" s="39" t="str">
        <f>IFERROR(bütünleme!BW88*100/bütünleme!$I88,"")</f>
        <v/>
      </c>
      <c r="BM391" s="39" t="str">
        <f>IFERROR(bütünleme!BX88*100/bütünleme!$I88,"")</f>
        <v/>
      </c>
      <c r="BN391" s="39" t="str">
        <f>IFERROR(bütünleme!BY88*100/bütünleme!$I88,"")</f>
        <v/>
      </c>
      <c r="BO391" s="39" t="str">
        <f>IFERROR(bütünleme!BZ88*100/bütünleme!$I88,"")</f>
        <v/>
      </c>
      <c r="BP391" s="39" t="str">
        <f>IFERROR(bütünleme!CA88*100/bütünleme!$I88,"")</f>
        <v/>
      </c>
      <c r="BQ391" s="39" t="str">
        <f>IFERROR(bütünleme!CB88*100/bütünleme!$I88,"")</f>
        <v/>
      </c>
      <c r="BR391" s="39" t="str">
        <f>IFERROR(bütünleme!CC88*100/bütünleme!$I88,"")</f>
        <v/>
      </c>
      <c r="BS391" s="39" t="str">
        <f>IFERROR(bütünleme!CD88*100/bütünleme!$I88,"")</f>
        <v/>
      </c>
      <c r="BT391" s="39" t="str">
        <f>IFERROR(bütünleme!CE88*100/bütünleme!$I88,"")</f>
        <v/>
      </c>
      <c r="BU391" s="39" t="str">
        <f>IFERROR(bütünleme!CF88*100/bütünleme!$I88,"")</f>
        <v/>
      </c>
      <c r="BV391" s="39" t="str">
        <f>IFERROR(bütünleme!CG88*100/bütünleme!$I88,"")</f>
        <v/>
      </c>
      <c r="BW391" s="39" t="str">
        <f>IFERROR(bütünleme!CH88*100/bütünleme!$I88,"")</f>
        <v/>
      </c>
      <c r="BX391" s="39" t="str">
        <f>IFERROR(bütünleme!CI88*100/bütünleme!$I88,"")</f>
        <v/>
      </c>
      <c r="BY391" s="39" t="str">
        <f>IFERROR(bütünleme!CJ88*100/bütünleme!$I88,"")</f>
        <v/>
      </c>
      <c r="BZ391" s="39" t="str">
        <f>IFERROR(bütünleme!CK88*100/bütünleme!$I88,"")</f>
        <v/>
      </c>
      <c r="CA391" s="39" t="str">
        <f>IFERROR(bütünleme!CL88*100/bütünleme!$I88,"")</f>
        <v/>
      </c>
      <c r="CB391" s="39" t="str">
        <f>IFERROR(bütünleme!CM88*100/bütünleme!$I88,"")</f>
        <v/>
      </c>
      <c r="CC391" s="39" t="str">
        <f>IFERROR(bütünleme!CN88*100/bütünleme!$I88,"")</f>
        <v/>
      </c>
      <c r="CD391" s="39" t="str">
        <f>IFERROR(bütünleme!CO88*100/bütünleme!$I88,"")</f>
        <v/>
      </c>
      <c r="CE391" s="39" t="str">
        <f>IFERROR(bütünleme!CP88*100/bütünleme!$I88,"")</f>
        <v/>
      </c>
      <c r="CF391" s="39" t="str">
        <f>IFERROR(bütünleme!CQ88*100/bütünleme!$I88,"")</f>
        <v/>
      </c>
      <c r="CG391" s="39" t="str">
        <f>IFERROR(bütünleme!CR88*100/bütünleme!$I88,"")</f>
        <v/>
      </c>
      <c r="CH391" s="39" t="str">
        <f>IFERROR(bütünleme!CS88*100/bütünleme!$I88,"")</f>
        <v/>
      </c>
      <c r="CI391" s="39" t="str">
        <f>IFERROR(bütünleme!CT88*100/bütünleme!$I88,"")</f>
        <v/>
      </c>
      <c r="CJ391" s="39" t="str">
        <f>IFERROR(bütünleme!CU88*100/bütünleme!$I88,"")</f>
        <v/>
      </c>
      <c r="CK391" s="39" t="str">
        <f>IFERROR(bütünleme!CV88*100/bütünleme!$I88,"")</f>
        <v/>
      </c>
      <c r="CL391" s="39" t="str">
        <f>IFERROR(bütünleme!CW88*100/bütünleme!$I88,"")</f>
        <v/>
      </c>
      <c r="CM391" s="39" t="str">
        <f>IFERROR(bütünleme!CX88*100/bütünleme!$I88,"")</f>
        <v/>
      </c>
      <c r="CN391" s="39" t="str">
        <f>IFERROR(bütünleme!CY88*100/bütünleme!$I88,"")</f>
        <v/>
      </c>
      <c r="CO391" s="39" t="str">
        <f>IFERROR(bütünleme!CZ88*100/bütünleme!$I88,"")</f>
        <v/>
      </c>
      <c r="CP391" s="39" t="str">
        <f>IFERROR(bütünleme!DA88*100/bütünleme!$I88,"")</f>
        <v/>
      </c>
      <c r="CQ391" s="39" t="str">
        <f>IFERROR(bütünleme!DB88*100/bütünleme!$I88,"")</f>
        <v/>
      </c>
      <c r="CR391" s="39" t="str">
        <f>IFERROR(bütünleme!DC88*100/bütünleme!$I88,"")</f>
        <v/>
      </c>
      <c r="CS391" s="39" t="str">
        <f>IFERROR(bütünleme!DD88*100/bütünleme!$I88,"")</f>
        <v/>
      </c>
      <c r="CT391" s="39" t="str">
        <f>IFERROR(bütünleme!DE88*100/bütünleme!$I88,"")</f>
        <v/>
      </c>
      <c r="CU391" s="39" t="str">
        <f>IFERROR(bütünleme!DF88*100/bütünleme!$I88,"")</f>
        <v/>
      </c>
      <c r="CV391" s="39" t="str">
        <f>IFERROR(bütünleme!DG88*100/bütünleme!$I88,"")</f>
        <v/>
      </c>
      <c r="CW391" s="36" t="str">
        <f>IFERROR(SUM(A391:CV391)/bütünleme!$DH$103,"")</f>
        <v/>
      </c>
      <c r="CX391" s="14" t="str">
        <f>IF(COUNTA(bütünleme!A88),bütünleme!A88,"")</f>
        <v/>
      </c>
      <c r="CY391" s="14" t="str">
        <f>IF(COUNTA(bütünleme!B88),bütünleme!B88,"")</f>
        <v/>
      </c>
      <c r="CZ391" s="14" t="str">
        <f>IF(COUNTA(bütünleme!C88),bütünleme!C88,"")</f>
        <v/>
      </c>
      <c r="DA391" s="14" t="str">
        <f>IF(COUNTA(bütünleme!D88),bütünleme!D88,"")</f>
        <v/>
      </c>
      <c r="DB391" s="14" t="str">
        <f>IF(COUNTA(bütünleme!E88),bütünleme!E88,"")</f>
        <v/>
      </c>
      <c r="DC391" s="14" t="str">
        <f>IF(COUNTA(bütünleme!F88),bütünleme!F88,"")</f>
        <v/>
      </c>
      <c r="DD391" s="14" t="str">
        <f>IF(COUNTA(bütünleme!G88),bütünleme!G88,"")</f>
        <v/>
      </c>
      <c r="DE391" s="14" t="str">
        <f>IF(COUNTA(bütünleme!H88),bütünleme!H88,"")</f>
        <v/>
      </c>
    </row>
    <row r="392" spans="1:109" x14ac:dyDescent="0.2">
      <c r="A392" s="39" t="str">
        <f>IFERROR(bütünleme!L89*100/bütünleme!$I89,"")</f>
        <v/>
      </c>
      <c r="B392" s="39" t="str">
        <f>IFERROR(bütünleme!M89*100/bütünleme!$I89,"")</f>
        <v/>
      </c>
      <c r="C392" s="39" t="str">
        <f>IFERROR(bütünleme!N89*100/bütünleme!$I89,"")</f>
        <v/>
      </c>
      <c r="D392" s="39" t="str">
        <f>IFERROR(bütünleme!O89*100/bütünleme!$I89,"")</f>
        <v/>
      </c>
      <c r="E392" s="39" t="str">
        <f>IFERROR(bütünleme!P89*100/bütünleme!$I89,"")</f>
        <v/>
      </c>
      <c r="F392" s="39" t="str">
        <f>IFERROR(bütünleme!Q89*100/bütünleme!$I89,"")</f>
        <v/>
      </c>
      <c r="G392" s="39" t="str">
        <f>IFERROR(bütünleme!R89*100/bütünleme!$I89,"")</f>
        <v/>
      </c>
      <c r="H392" s="39" t="str">
        <f>IFERROR(bütünleme!S89*100/bütünleme!$I89,"")</f>
        <v/>
      </c>
      <c r="I392" s="39" t="str">
        <f>IFERROR(bütünleme!T89*100/bütünleme!$I89,"")</f>
        <v/>
      </c>
      <c r="J392" s="39" t="str">
        <f>IFERROR(bütünleme!U89*100/bütünleme!$I89,"")</f>
        <v/>
      </c>
      <c r="K392" s="39" t="str">
        <f>IFERROR(bütünleme!V89*100/bütünleme!$I89,"")</f>
        <v/>
      </c>
      <c r="L392" s="39" t="str">
        <f>IFERROR(bütünleme!W89*100/bütünleme!$I89,"")</f>
        <v/>
      </c>
      <c r="M392" s="39" t="str">
        <f>IFERROR(bütünleme!X89*100/bütünleme!$I89,"")</f>
        <v/>
      </c>
      <c r="N392" s="39" t="str">
        <f>IFERROR(bütünleme!Y89*100/bütünleme!$I89,"")</f>
        <v/>
      </c>
      <c r="O392" s="39" t="str">
        <f>IFERROR(bütünleme!Z89*100/bütünleme!$I89,"")</f>
        <v/>
      </c>
      <c r="P392" s="39" t="str">
        <f>IFERROR(bütünleme!AA89*100/bütünleme!$I89,"")</f>
        <v/>
      </c>
      <c r="Q392" s="39" t="str">
        <f>IFERROR(bütünleme!AB89*100/bütünleme!$I89,"")</f>
        <v/>
      </c>
      <c r="R392" s="39" t="str">
        <f>IFERROR(bütünleme!AC89*100/bütünleme!$I89,"")</f>
        <v/>
      </c>
      <c r="S392" s="39" t="str">
        <f>IFERROR(bütünleme!AD89*100/bütünleme!$I89,"")</f>
        <v/>
      </c>
      <c r="T392" s="39" t="str">
        <f>IFERROR(bütünleme!AE89*100/bütünleme!$I89,"")</f>
        <v/>
      </c>
      <c r="U392" s="39" t="str">
        <f>IFERROR(bütünleme!AF89*100/bütünleme!$I89,"")</f>
        <v/>
      </c>
      <c r="V392" s="39" t="str">
        <f>IFERROR(bütünleme!AG89*100/bütünleme!$I89,"")</f>
        <v/>
      </c>
      <c r="W392" s="39" t="str">
        <f>IFERROR(bütünleme!AH89*100/bütünleme!$I89,"")</f>
        <v/>
      </c>
      <c r="X392" s="39" t="str">
        <f>IFERROR(bütünleme!AI89*100/bütünleme!$I89,"")</f>
        <v/>
      </c>
      <c r="Y392" s="39" t="str">
        <f>IFERROR(bütünleme!AJ89*100/bütünleme!$I89,"")</f>
        <v/>
      </c>
      <c r="Z392" s="39" t="str">
        <f>IFERROR(bütünleme!AK89*100/bütünleme!$I89,"")</f>
        <v/>
      </c>
      <c r="AA392" s="39" t="str">
        <f>IFERROR(bütünleme!AL89*100/bütünleme!$I89,"")</f>
        <v/>
      </c>
      <c r="AB392" s="39" t="str">
        <f>IFERROR(bütünleme!AM89*100/bütünleme!$I89,"")</f>
        <v/>
      </c>
      <c r="AC392" s="39" t="str">
        <f>IFERROR(bütünleme!AN89*100/bütünleme!$I89,"")</f>
        <v/>
      </c>
      <c r="AD392" s="39" t="str">
        <f>IFERROR(bütünleme!AO89*100/bütünleme!$I89,"")</f>
        <v/>
      </c>
      <c r="AE392" s="39" t="str">
        <f>IFERROR(bütünleme!AP89*100/bütünleme!$I89,"")</f>
        <v/>
      </c>
      <c r="AF392" s="39" t="str">
        <f>IFERROR(bütünleme!AQ89*100/bütünleme!$I89,"")</f>
        <v/>
      </c>
      <c r="AG392" s="39" t="str">
        <f>IFERROR(bütünleme!AR89*100/bütünleme!$I89,"")</f>
        <v/>
      </c>
      <c r="AH392" s="39" t="str">
        <f>IFERROR(bütünleme!AS89*100/bütünleme!$I89,"")</f>
        <v/>
      </c>
      <c r="AI392" s="39" t="str">
        <f>IFERROR(bütünleme!AT89*100/bütünleme!$I89,"")</f>
        <v/>
      </c>
      <c r="AJ392" s="39" t="str">
        <f>IFERROR(bütünleme!AU89*100/bütünleme!$I89,"")</f>
        <v/>
      </c>
      <c r="AK392" s="39" t="str">
        <f>IFERROR(bütünleme!AV89*100/bütünleme!$I89,"")</f>
        <v/>
      </c>
      <c r="AL392" s="39" t="str">
        <f>IFERROR(bütünleme!AW89*100/bütünleme!$I89,"")</f>
        <v/>
      </c>
      <c r="AM392" s="39" t="str">
        <f>IFERROR(bütünleme!AX89*100/bütünleme!$I89,"")</f>
        <v/>
      </c>
      <c r="AN392" s="39" t="str">
        <f>IFERROR(bütünleme!AY89*100/bütünleme!$I89,"")</f>
        <v/>
      </c>
      <c r="AO392" s="39" t="str">
        <f>IFERROR(bütünleme!AZ89*100/bütünleme!$I89,"")</f>
        <v/>
      </c>
      <c r="AP392" s="39" t="str">
        <f>IFERROR(bütünleme!BA89*100/bütünleme!$I89,"")</f>
        <v/>
      </c>
      <c r="AQ392" s="39" t="str">
        <f>IFERROR(bütünleme!BB89*100/bütünleme!$I89,"")</f>
        <v/>
      </c>
      <c r="AR392" s="39" t="str">
        <f>IFERROR(bütünleme!BC89*100/bütünleme!$I89,"")</f>
        <v/>
      </c>
      <c r="AS392" s="39" t="str">
        <f>IFERROR(bütünleme!BD89*100/bütünleme!$I89,"")</f>
        <v/>
      </c>
      <c r="AT392" s="39" t="str">
        <f>IFERROR(bütünleme!BE89*100/bütünleme!$I89,"")</f>
        <v/>
      </c>
      <c r="AU392" s="39" t="str">
        <f>IFERROR(bütünleme!BF89*100/bütünleme!$I89,"")</f>
        <v/>
      </c>
      <c r="AV392" s="39" t="str">
        <f>IFERROR(bütünleme!BG89*100/bütünleme!$I89,"")</f>
        <v/>
      </c>
      <c r="AW392" s="39" t="str">
        <f>IFERROR(bütünleme!BH89*100/bütünleme!$I89,"")</f>
        <v/>
      </c>
      <c r="AX392" s="39" t="str">
        <f>IFERROR(bütünleme!BI89*100/bütünleme!$I89,"")</f>
        <v/>
      </c>
      <c r="AY392" s="39" t="str">
        <f>IFERROR(bütünleme!BJ89*100/bütünleme!$I89,"")</f>
        <v/>
      </c>
      <c r="AZ392" s="39" t="str">
        <f>IFERROR(bütünleme!BK89*100/bütünleme!$I89,"")</f>
        <v/>
      </c>
      <c r="BA392" s="39" t="str">
        <f>IFERROR(bütünleme!BL89*100/bütünleme!$I89,"")</f>
        <v/>
      </c>
      <c r="BB392" s="39" t="str">
        <f>IFERROR(bütünleme!BM89*100/bütünleme!$I89,"")</f>
        <v/>
      </c>
      <c r="BC392" s="39" t="str">
        <f>IFERROR(bütünleme!BN89*100/bütünleme!$I89,"")</f>
        <v/>
      </c>
      <c r="BD392" s="39" t="str">
        <f>IFERROR(bütünleme!BO89*100/bütünleme!$I89,"")</f>
        <v/>
      </c>
      <c r="BE392" s="39" t="str">
        <f>IFERROR(bütünleme!BP89*100/bütünleme!$I89,"")</f>
        <v/>
      </c>
      <c r="BF392" s="39" t="str">
        <f>IFERROR(bütünleme!BQ89*100/bütünleme!$I89,"")</f>
        <v/>
      </c>
      <c r="BG392" s="39" t="str">
        <f>IFERROR(bütünleme!BR89*100/bütünleme!$I89,"")</f>
        <v/>
      </c>
      <c r="BH392" s="39" t="str">
        <f>IFERROR(bütünleme!BS89*100/bütünleme!$I89,"")</f>
        <v/>
      </c>
      <c r="BI392" s="39" t="str">
        <f>IFERROR(bütünleme!BT89*100/bütünleme!$I89,"")</f>
        <v/>
      </c>
      <c r="BJ392" s="39" t="str">
        <f>IFERROR(bütünleme!BU89*100/bütünleme!$I89,"")</f>
        <v/>
      </c>
      <c r="BK392" s="39" t="str">
        <f>IFERROR(bütünleme!BV89*100/bütünleme!$I89,"")</f>
        <v/>
      </c>
      <c r="BL392" s="39" t="str">
        <f>IFERROR(bütünleme!BW89*100/bütünleme!$I89,"")</f>
        <v/>
      </c>
      <c r="BM392" s="39" t="str">
        <f>IFERROR(bütünleme!BX89*100/bütünleme!$I89,"")</f>
        <v/>
      </c>
      <c r="BN392" s="39" t="str">
        <f>IFERROR(bütünleme!BY89*100/bütünleme!$I89,"")</f>
        <v/>
      </c>
      <c r="BO392" s="39" t="str">
        <f>IFERROR(bütünleme!BZ89*100/bütünleme!$I89,"")</f>
        <v/>
      </c>
      <c r="BP392" s="39" t="str">
        <f>IFERROR(bütünleme!CA89*100/bütünleme!$I89,"")</f>
        <v/>
      </c>
      <c r="BQ392" s="39" t="str">
        <f>IFERROR(bütünleme!CB89*100/bütünleme!$I89,"")</f>
        <v/>
      </c>
      <c r="BR392" s="39" t="str">
        <f>IFERROR(bütünleme!CC89*100/bütünleme!$I89,"")</f>
        <v/>
      </c>
      <c r="BS392" s="39" t="str">
        <f>IFERROR(bütünleme!CD89*100/bütünleme!$I89,"")</f>
        <v/>
      </c>
      <c r="BT392" s="39" t="str">
        <f>IFERROR(bütünleme!CE89*100/bütünleme!$I89,"")</f>
        <v/>
      </c>
      <c r="BU392" s="39" t="str">
        <f>IFERROR(bütünleme!CF89*100/bütünleme!$I89,"")</f>
        <v/>
      </c>
      <c r="BV392" s="39" t="str">
        <f>IFERROR(bütünleme!CG89*100/bütünleme!$I89,"")</f>
        <v/>
      </c>
      <c r="BW392" s="39" t="str">
        <f>IFERROR(bütünleme!CH89*100/bütünleme!$I89,"")</f>
        <v/>
      </c>
      <c r="BX392" s="39" t="str">
        <f>IFERROR(bütünleme!CI89*100/bütünleme!$I89,"")</f>
        <v/>
      </c>
      <c r="BY392" s="39" t="str">
        <f>IFERROR(bütünleme!CJ89*100/bütünleme!$I89,"")</f>
        <v/>
      </c>
      <c r="BZ392" s="39" t="str">
        <f>IFERROR(bütünleme!CK89*100/bütünleme!$I89,"")</f>
        <v/>
      </c>
      <c r="CA392" s="39" t="str">
        <f>IFERROR(bütünleme!CL89*100/bütünleme!$I89,"")</f>
        <v/>
      </c>
      <c r="CB392" s="39" t="str">
        <f>IFERROR(bütünleme!CM89*100/bütünleme!$I89,"")</f>
        <v/>
      </c>
      <c r="CC392" s="39" t="str">
        <f>IFERROR(bütünleme!CN89*100/bütünleme!$I89,"")</f>
        <v/>
      </c>
      <c r="CD392" s="39" t="str">
        <f>IFERROR(bütünleme!CO89*100/bütünleme!$I89,"")</f>
        <v/>
      </c>
      <c r="CE392" s="39" t="str">
        <f>IFERROR(bütünleme!CP89*100/bütünleme!$I89,"")</f>
        <v/>
      </c>
      <c r="CF392" s="39" t="str">
        <f>IFERROR(bütünleme!CQ89*100/bütünleme!$I89,"")</f>
        <v/>
      </c>
      <c r="CG392" s="39" t="str">
        <f>IFERROR(bütünleme!CR89*100/bütünleme!$I89,"")</f>
        <v/>
      </c>
      <c r="CH392" s="39" t="str">
        <f>IFERROR(bütünleme!CS89*100/bütünleme!$I89,"")</f>
        <v/>
      </c>
      <c r="CI392" s="39" t="str">
        <f>IFERROR(bütünleme!CT89*100/bütünleme!$I89,"")</f>
        <v/>
      </c>
      <c r="CJ392" s="39" t="str">
        <f>IFERROR(bütünleme!CU89*100/bütünleme!$I89,"")</f>
        <v/>
      </c>
      <c r="CK392" s="39" t="str">
        <f>IFERROR(bütünleme!CV89*100/bütünleme!$I89,"")</f>
        <v/>
      </c>
      <c r="CL392" s="39" t="str">
        <f>IFERROR(bütünleme!CW89*100/bütünleme!$I89,"")</f>
        <v/>
      </c>
      <c r="CM392" s="39" t="str">
        <f>IFERROR(bütünleme!CX89*100/bütünleme!$I89,"")</f>
        <v/>
      </c>
      <c r="CN392" s="39" t="str">
        <f>IFERROR(bütünleme!CY89*100/bütünleme!$I89,"")</f>
        <v/>
      </c>
      <c r="CO392" s="39" t="str">
        <f>IFERROR(bütünleme!CZ89*100/bütünleme!$I89,"")</f>
        <v/>
      </c>
      <c r="CP392" s="39" t="str">
        <f>IFERROR(bütünleme!DA89*100/bütünleme!$I89,"")</f>
        <v/>
      </c>
      <c r="CQ392" s="39" t="str">
        <f>IFERROR(bütünleme!DB89*100/bütünleme!$I89,"")</f>
        <v/>
      </c>
      <c r="CR392" s="39" t="str">
        <f>IFERROR(bütünleme!DC89*100/bütünleme!$I89,"")</f>
        <v/>
      </c>
      <c r="CS392" s="39" t="str">
        <f>IFERROR(bütünleme!DD89*100/bütünleme!$I89,"")</f>
        <v/>
      </c>
      <c r="CT392" s="39" t="str">
        <f>IFERROR(bütünleme!DE89*100/bütünleme!$I89,"")</f>
        <v/>
      </c>
      <c r="CU392" s="39" t="str">
        <f>IFERROR(bütünleme!DF89*100/bütünleme!$I89,"")</f>
        <v/>
      </c>
      <c r="CV392" s="39" t="str">
        <f>IFERROR(bütünleme!DG89*100/bütünleme!$I89,"")</f>
        <v/>
      </c>
      <c r="CW392" s="36" t="str">
        <f>IFERROR(SUM(A392:CV392)/bütünleme!$DH$103,"")</f>
        <v/>
      </c>
      <c r="CX392" s="14" t="str">
        <f>IF(COUNTA(bütünleme!A89),bütünleme!A89,"")</f>
        <v/>
      </c>
      <c r="CY392" s="14" t="str">
        <f>IF(COUNTA(bütünleme!B89),bütünleme!B89,"")</f>
        <v/>
      </c>
      <c r="CZ392" s="14" t="str">
        <f>IF(COUNTA(bütünleme!C89),bütünleme!C89,"")</f>
        <v/>
      </c>
      <c r="DA392" s="14" t="str">
        <f>IF(COUNTA(bütünleme!D89),bütünleme!D89,"")</f>
        <v/>
      </c>
      <c r="DB392" s="14" t="str">
        <f>IF(COUNTA(bütünleme!E89),bütünleme!E89,"")</f>
        <v/>
      </c>
      <c r="DC392" s="14" t="str">
        <f>IF(COUNTA(bütünleme!F89),bütünleme!F89,"")</f>
        <v/>
      </c>
      <c r="DD392" s="14" t="str">
        <f>IF(COUNTA(bütünleme!G89),bütünleme!G89,"")</f>
        <v/>
      </c>
      <c r="DE392" s="14" t="str">
        <f>IF(COUNTA(bütünleme!H89),bütünleme!H89,"")</f>
        <v/>
      </c>
    </row>
    <row r="393" spans="1:109" x14ac:dyDescent="0.2">
      <c r="A393" s="39" t="str">
        <f>IFERROR(bütünleme!L90*100/bütünleme!$I90,"")</f>
        <v/>
      </c>
      <c r="B393" s="39" t="str">
        <f>IFERROR(bütünleme!M90*100/bütünleme!$I90,"")</f>
        <v/>
      </c>
      <c r="C393" s="39" t="str">
        <f>IFERROR(bütünleme!N90*100/bütünleme!$I90,"")</f>
        <v/>
      </c>
      <c r="D393" s="39" t="str">
        <f>IFERROR(bütünleme!O90*100/bütünleme!$I90,"")</f>
        <v/>
      </c>
      <c r="E393" s="39" t="str">
        <f>IFERROR(bütünleme!P90*100/bütünleme!$I90,"")</f>
        <v/>
      </c>
      <c r="F393" s="39" t="str">
        <f>IFERROR(bütünleme!Q90*100/bütünleme!$I90,"")</f>
        <v/>
      </c>
      <c r="G393" s="39" t="str">
        <f>IFERROR(bütünleme!R90*100/bütünleme!$I90,"")</f>
        <v/>
      </c>
      <c r="H393" s="39" t="str">
        <f>IFERROR(bütünleme!S90*100/bütünleme!$I90,"")</f>
        <v/>
      </c>
      <c r="I393" s="39" t="str">
        <f>IFERROR(bütünleme!T90*100/bütünleme!$I90,"")</f>
        <v/>
      </c>
      <c r="J393" s="39" t="str">
        <f>IFERROR(bütünleme!U90*100/bütünleme!$I90,"")</f>
        <v/>
      </c>
      <c r="K393" s="39" t="str">
        <f>IFERROR(bütünleme!V90*100/bütünleme!$I90,"")</f>
        <v/>
      </c>
      <c r="L393" s="39" t="str">
        <f>IFERROR(bütünleme!W90*100/bütünleme!$I90,"")</f>
        <v/>
      </c>
      <c r="M393" s="39" t="str">
        <f>IFERROR(bütünleme!X90*100/bütünleme!$I90,"")</f>
        <v/>
      </c>
      <c r="N393" s="39" t="str">
        <f>IFERROR(bütünleme!Y90*100/bütünleme!$I90,"")</f>
        <v/>
      </c>
      <c r="O393" s="39" t="str">
        <f>IFERROR(bütünleme!Z90*100/bütünleme!$I90,"")</f>
        <v/>
      </c>
      <c r="P393" s="39" t="str">
        <f>IFERROR(bütünleme!AA90*100/bütünleme!$I90,"")</f>
        <v/>
      </c>
      <c r="Q393" s="39" t="str">
        <f>IFERROR(bütünleme!AB90*100/bütünleme!$I90,"")</f>
        <v/>
      </c>
      <c r="R393" s="39" t="str">
        <f>IFERROR(bütünleme!AC90*100/bütünleme!$I90,"")</f>
        <v/>
      </c>
      <c r="S393" s="39" t="str">
        <f>IFERROR(bütünleme!AD90*100/bütünleme!$I90,"")</f>
        <v/>
      </c>
      <c r="T393" s="39" t="str">
        <f>IFERROR(bütünleme!AE90*100/bütünleme!$I90,"")</f>
        <v/>
      </c>
      <c r="U393" s="39" t="str">
        <f>IFERROR(bütünleme!AF90*100/bütünleme!$I90,"")</f>
        <v/>
      </c>
      <c r="V393" s="39" t="str">
        <f>IFERROR(bütünleme!AG90*100/bütünleme!$I90,"")</f>
        <v/>
      </c>
      <c r="W393" s="39" t="str">
        <f>IFERROR(bütünleme!AH90*100/bütünleme!$I90,"")</f>
        <v/>
      </c>
      <c r="X393" s="39" t="str">
        <f>IFERROR(bütünleme!AI90*100/bütünleme!$I90,"")</f>
        <v/>
      </c>
      <c r="Y393" s="39" t="str">
        <f>IFERROR(bütünleme!AJ90*100/bütünleme!$I90,"")</f>
        <v/>
      </c>
      <c r="Z393" s="39" t="str">
        <f>IFERROR(bütünleme!AK90*100/bütünleme!$I90,"")</f>
        <v/>
      </c>
      <c r="AA393" s="39" t="str">
        <f>IFERROR(bütünleme!AL90*100/bütünleme!$I90,"")</f>
        <v/>
      </c>
      <c r="AB393" s="39" t="str">
        <f>IFERROR(bütünleme!AM90*100/bütünleme!$I90,"")</f>
        <v/>
      </c>
      <c r="AC393" s="39" t="str">
        <f>IFERROR(bütünleme!AN90*100/bütünleme!$I90,"")</f>
        <v/>
      </c>
      <c r="AD393" s="39" t="str">
        <f>IFERROR(bütünleme!AO90*100/bütünleme!$I90,"")</f>
        <v/>
      </c>
      <c r="AE393" s="39" t="str">
        <f>IFERROR(bütünleme!AP90*100/bütünleme!$I90,"")</f>
        <v/>
      </c>
      <c r="AF393" s="39" t="str">
        <f>IFERROR(bütünleme!AQ90*100/bütünleme!$I90,"")</f>
        <v/>
      </c>
      <c r="AG393" s="39" t="str">
        <f>IFERROR(bütünleme!AR90*100/bütünleme!$I90,"")</f>
        <v/>
      </c>
      <c r="AH393" s="39" t="str">
        <f>IFERROR(bütünleme!AS90*100/bütünleme!$I90,"")</f>
        <v/>
      </c>
      <c r="AI393" s="39" t="str">
        <f>IFERROR(bütünleme!AT90*100/bütünleme!$I90,"")</f>
        <v/>
      </c>
      <c r="AJ393" s="39" t="str">
        <f>IFERROR(bütünleme!AU90*100/bütünleme!$I90,"")</f>
        <v/>
      </c>
      <c r="AK393" s="39" t="str">
        <f>IFERROR(bütünleme!AV90*100/bütünleme!$I90,"")</f>
        <v/>
      </c>
      <c r="AL393" s="39" t="str">
        <f>IFERROR(bütünleme!AW90*100/bütünleme!$I90,"")</f>
        <v/>
      </c>
      <c r="AM393" s="39" t="str">
        <f>IFERROR(bütünleme!AX90*100/bütünleme!$I90,"")</f>
        <v/>
      </c>
      <c r="AN393" s="39" t="str">
        <f>IFERROR(bütünleme!AY90*100/bütünleme!$I90,"")</f>
        <v/>
      </c>
      <c r="AO393" s="39" t="str">
        <f>IFERROR(bütünleme!AZ90*100/bütünleme!$I90,"")</f>
        <v/>
      </c>
      <c r="AP393" s="39" t="str">
        <f>IFERROR(bütünleme!BA90*100/bütünleme!$I90,"")</f>
        <v/>
      </c>
      <c r="AQ393" s="39" t="str">
        <f>IFERROR(bütünleme!BB90*100/bütünleme!$I90,"")</f>
        <v/>
      </c>
      <c r="AR393" s="39" t="str">
        <f>IFERROR(bütünleme!BC90*100/bütünleme!$I90,"")</f>
        <v/>
      </c>
      <c r="AS393" s="39" t="str">
        <f>IFERROR(bütünleme!BD90*100/bütünleme!$I90,"")</f>
        <v/>
      </c>
      <c r="AT393" s="39" t="str">
        <f>IFERROR(bütünleme!BE90*100/bütünleme!$I90,"")</f>
        <v/>
      </c>
      <c r="AU393" s="39" t="str">
        <f>IFERROR(bütünleme!BF90*100/bütünleme!$I90,"")</f>
        <v/>
      </c>
      <c r="AV393" s="39" t="str">
        <f>IFERROR(bütünleme!BG90*100/bütünleme!$I90,"")</f>
        <v/>
      </c>
      <c r="AW393" s="39" t="str">
        <f>IFERROR(bütünleme!BH90*100/bütünleme!$I90,"")</f>
        <v/>
      </c>
      <c r="AX393" s="39" t="str">
        <f>IFERROR(bütünleme!BI90*100/bütünleme!$I90,"")</f>
        <v/>
      </c>
      <c r="AY393" s="39" t="str">
        <f>IFERROR(bütünleme!BJ90*100/bütünleme!$I90,"")</f>
        <v/>
      </c>
      <c r="AZ393" s="39" t="str">
        <f>IFERROR(bütünleme!BK90*100/bütünleme!$I90,"")</f>
        <v/>
      </c>
      <c r="BA393" s="39" t="str">
        <f>IFERROR(bütünleme!BL90*100/bütünleme!$I90,"")</f>
        <v/>
      </c>
      <c r="BB393" s="39" t="str">
        <f>IFERROR(bütünleme!BM90*100/bütünleme!$I90,"")</f>
        <v/>
      </c>
      <c r="BC393" s="39" t="str">
        <f>IFERROR(bütünleme!BN90*100/bütünleme!$I90,"")</f>
        <v/>
      </c>
      <c r="BD393" s="39" t="str">
        <f>IFERROR(bütünleme!BO90*100/bütünleme!$I90,"")</f>
        <v/>
      </c>
      <c r="BE393" s="39" t="str">
        <f>IFERROR(bütünleme!BP90*100/bütünleme!$I90,"")</f>
        <v/>
      </c>
      <c r="BF393" s="39" t="str">
        <f>IFERROR(bütünleme!BQ90*100/bütünleme!$I90,"")</f>
        <v/>
      </c>
      <c r="BG393" s="39" t="str">
        <f>IFERROR(bütünleme!BR90*100/bütünleme!$I90,"")</f>
        <v/>
      </c>
      <c r="BH393" s="39" t="str">
        <f>IFERROR(bütünleme!BS90*100/bütünleme!$I90,"")</f>
        <v/>
      </c>
      <c r="BI393" s="39" t="str">
        <f>IFERROR(bütünleme!BT90*100/bütünleme!$I90,"")</f>
        <v/>
      </c>
      <c r="BJ393" s="39" t="str">
        <f>IFERROR(bütünleme!BU90*100/bütünleme!$I90,"")</f>
        <v/>
      </c>
      <c r="BK393" s="39" t="str">
        <f>IFERROR(bütünleme!BV90*100/bütünleme!$I90,"")</f>
        <v/>
      </c>
      <c r="BL393" s="39" t="str">
        <f>IFERROR(bütünleme!BW90*100/bütünleme!$I90,"")</f>
        <v/>
      </c>
      <c r="BM393" s="39" t="str">
        <f>IFERROR(bütünleme!BX90*100/bütünleme!$I90,"")</f>
        <v/>
      </c>
      <c r="BN393" s="39" t="str">
        <f>IFERROR(bütünleme!BY90*100/bütünleme!$I90,"")</f>
        <v/>
      </c>
      <c r="BO393" s="39" t="str">
        <f>IFERROR(bütünleme!BZ90*100/bütünleme!$I90,"")</f>
        <v/>
      </c>
      <c r="BP393" s="39" t="str">
        <f>IFERROR(bütünleme!CA90*100/bütünleme!$I90,"")</f>
        <v/>
      </c>
      <c r="BQ393" s="39" t="str">
        <f>IFERROR(bütünleme!CB90*100/bütünleme!$I90,"")</f>
        <v/>
      </c>
      <c r="BR393" s="39" t="str">
        <f>IFERROR(bütünleme!CC90*100/bütünleme!$I90,"")</f>
        <v/>
      </c>
      <c r="BS393" s="39" t="str">
        <f>IFERROR(bütünleme!CD90*100/bütünleme!$I90,"")</f>
        <v/>
      </c>
      <c r="BT393" s="39" t="str">
        <f>IFERROR(bütünleme!CE90*100/bütünleme!$I90,"")</f>
        <v/>
      </c>
      <c r="BU393" s="39" t="str">
        <f>IFERROR(bütünleme!CF90*100/bütünleme!$I90,"")</f>
        <v/>
      </c>
      <c r="BV393" s="39" t="str">
        <f>IFERROR(bütünleme!CG90*100/bütünleme!$I90,"")</f>
        <v/>
      </c>
      <c r="BW393" s="39" t="str">
        <f>IFERROR(bütünleme!CH90*100/bütünleme!$I90,"")</f>
        <v/>
      </c>
      <c r="BX393" s="39" t="str">
        <f>IFERROR(bütünleme!CI90*100/bütünleme!$I90,"")</f>
        <v/>
      </c>
      <c r="BY393" s="39" t="str">
        <f>IFERROR(bütünleme!CJ90*100/bütünleme!$I90,"")</f>
        <v/>
      </c>
      <c r="BZ393" s="39" t="str">
        <f>IFERROR(bütünleme!CK90*100/bütünleme!$I90,"")</f>
        <v/>
      </c>
      <c r="CA393" s="39" t="str">
        <f>IFERROR(bütünleme!CL90*100/bütünleme!$I90,"")</f>
        <v/>
      </c>
      <c r="CB393" s="39" t="str">
        <f>IFERROR(bütünleme!CM90*100/bütünleme!$I90,"")</f>
        <v/>
      </c>
      <c r="CC393" s="39" t="str">
        <f>IFERROR(bütünleme!CN90*100/bütünleme!$I90,"")</f>
        <v/>
      </c>
      <c r="CD393" s="39" t="str">
        <f>IFERROR(bütünleme!CO90*100/bütünleme!$I90,"")</f>
        <v/>
      </c>
      <c r="CE393" s="39" t="str">
        <f>IFERROR(bütünleme!CP90*100/bütünleme!$I90,"")</f>
        <v/>
      </c>
      <c r="CF393" s="39" t="str">
        <f>IFERROR(bütünleme!CQ90*100/bütünleme!$I90,"")</f>
        <v/>
      </c>
      <c r="CG393" s="39" t="str">
        <f>IFERROR(bütünleme!CR90*100/bütünleme!$I90,"")</f>
        <v/>
      </c>
      <c r="CH393" s="39" t="str">
        <f>IFERROR(bütünleme!CS90*100/bütünleme!$I90,"")</f>
        <v/>
      </c>
      <c r="CI393" s="39" t="str">
        <f>IFERROR(bütünleme!CT90*100/bütünleme!$I90,"")</f>
        <v/>
      </c>
      <c r="CJ393" s="39" t="str">
        <f>IFERROR(bütünleme!CU90*100/bütünleme!$I90,"")</f>
        <v/>
      </c>
      <c r="CK393" s="39" t="str">
        <f>IFERROR(bütünleme!CV90*100/bütünleme!$I90,"")</f>
        <v/>
      </c>
      <c r="CL393" s="39" t="str">
        <f>IFERROR(bütünleme!CW90*100/bütünleme!$I90,"")</f>
        <v/>
      </c>
      <c r="CM393" s="39" t="str">
        <f>IFERROR(bütünleme!CX90*100/bütünleme!$I90,"")</f>
        <v/>
      </c>
      <c r="CN393" s="39" t="str">
        <f>IFERROR(bütünleme!CY90*100/bütünleme!$I90,"")</f>
        <v/>
      </c>
      <c r="CO393" s="39" t="str">
        <f>IFERROR(bütünleme!CZ90*100/bütünleme!$I90,"")</f>
        <v/>
      </c>
      <c r="CP393" s="39" t="str">
        <f>IFERROR(bütünleme!DA90*100/bütünleme!$I90,"")</f>
        <v/>
      </c>
      <c r="CQ393" s="39" t="str">
        <f>IFERROR(bütünleme!DB90*100/bütünleme!$I90,"")</f>
        <v/>
      </c>
      <c r="CR393" s="39" t="str">
        <f>IFERROR(bütünleme!DC90*100/bütünleme!$I90,"")</f>
        <v/>
      </c>
      <c r="CS393" s="39" t="str">
        <f>IFERROR(bütünleme!DD90*100/bütünleme!$I90,"")</f>
        <v/>
      </c>
      <c r="CT393" s="39" t="str">
        <f>IFERROR(bütünleme!DE90*100/bütünleme!$I90,"")</f>
        <v/>
      </c>
      <c r="CU393" s="39" t="str">
        <f>IFERROR(bütünleme!DF90*100/bütünleme!$I90,"")</f>
        <v/>
      </c>
      <c r="CV393" s="39" t="str">
        <f>IFERROR(bütünleme!DG90*100/bütünleme!$I90,"")</f>
        <v/>
      </c>
      <c r="CW393" s="36" t="str">
        <f>IFERROR(SUM(A393:CV393)/bütünleme!$DH$103,"")</f>
        <v/>
      </c>
      <c r="CX393" s="14" t="str">
        <f>IF(COUNTA(bütünleme!A90),bütünleme!A90,"")</f>
        <v/>
      </c>
      <c r="CY393" s="14" t="str">
        <f>IF(COUNTA(bütünleme!B90),bütünleme!B90,"")</f>
        <v/>
      </c>
      <c r="CZ393" s="14" t="str">
        <f>IF(COUNTA(bütünleme!C90),bütünleme!C90,"")</f>
        <v/>
      </c>
      <c r="DA393" s="14" t="str">
        <f>IF(COUNTA(bütünleme!D90),bütünleme!D90,"")</f>
        <v/>
      </c>
      <c r="DB393" s="14" t="str">
        <f>IF(COUNTA(bütünleme!E90),bütünleme!E90,"")</f>
        <v/>
      </c>
      <c r="DC393" s="14" t="str">
        <f>IF(COUNTA(bütünleme!F90),bütünleme!F90,"")</f>
        <v/>
      </c>
      <c r="DD393" s="14" t="str">
        <f>IF(COUNTA(bütünleme!G90),bütünleme!G90,"")</f>
        <v/>
      </c>
      <c r="DE393" s="14" t="str">
        <f>IF(COUNTA(bütünleme!H90),bütünleme!H90,"")</f>
        <v/>
      </c>
    </row>
    <row r="394" spans="1:109" x14ac:dyDescent="0.2">
      <c r="A394" s="39" t="str">
        <f>IFERROR(bütünleme!L91*100/bütünleme!$I91,"")</f>
        <v/>
      </c>
      <c r="B394" s="39" t="str">
        <f>IFERROR(bütünleme!M91*100/bütünleme!$I91,"")</f>
        <v/>
      </c>
      <c r="C394" s="39" t="str">
        <f>IFERROR(bütünleme!N91*100/bütünleme!$I91,"")</f>
        <v/>
      </c>
      <c r="D394" s="39" t="str">
        <f>IFERROR(bütünleme!O91*100/bütünleme!$I91,"")</f>
        <v/>
      </c>
      <c r="E394" s="39" t="str">
        <f>IFERROR(bütünleme!P91*100/bütünleme!$I91,"")</f>
        <v/>
      </c>
      <c r="F394" s="39" t="str">
        <f>IFERROR(bütünleme!Q91*100/bütünleme!$I91,"")</f>
        <v/>
      </c>
      <c r="G394" s="39" t="str">
        <f>IFERROR(bütünleme!R91*100/bütünleme!$I91,"")</f>
        <v/>
      </c>
      <c r="H394" s="39" t="str">
        <f>IFERROR(bütünleme!S91*100/bütünleme!$I91,"")</f>
        <v/>
      </c>
      <c r="I394" s="39" t="str">
        <f>IFERROR(bütünleme!T91*100/bütünleme!$I91,"")</f>
        <v/>
      </c>
      <c r="J394" s="39" t="str">
        <f>IFERROR(bütünleme!U91*100/bütünleme!$I91,"")</f>
        <v/>
      </c>
      <c r="K394" s="39" t="str">
        <f>IFERROR(bütünleme!V91*100/bütünleme!$I91,"")</f>
        <v/>
      </c>
      <c r="L394" s="39" t="str">
        <f>IFERROR(bütünleme!W91*100/bütünleme!$I91,"")</f>
        <v/>
      </c>
      <c r="M394" s="39" t="str">
        <f>IFERROR(bütünleme!X91*100/bütünleme!$I91,"")</f>
        <v/>
      </c>
      <c r="N394" s="39" t="str">
        <f>IFERROR(bütünleme!Y91*100/bütünleme!$I91,"")</f>
        <v/>
      </c>
      <c r="O394" s="39" t="str">
        <f>IFERROR(bütünleme!Z91*100/bütünleme!$I91,"")</f>
        <v/>
      </c>
      <c r="P394" s="39" t="str">
        <f>IFERROR(bütünleme!AA91*100/bütünleme!$I91,"")</f>
        <v/>
      </c>
      <c r="Q394" s="39" t="str">
        <f>IFERROR(bütünleme!AB91*100/bütünleme!$I91,"")</f>
        <v/>
      </c>
      <c r="R394" s="39" t="str">
        <f>IFERROR(bütünleme!AC91*100/bütünleme!$I91,"")</f>
        <v/>
      </c>
      <c r="S394" s="39" t="str">
        <f>IFERROR(bütünleme!AD91*100/bütünleme!$I91,"")</f>
        <v/>
      </c>
      <c r="T394" s="39" t="str">
        <f>IFERROR(bütünleme!AE91*100/bütünleme!$I91,"")</f>
        <v/>
      </c>
      <c r="U394" s="39" t="str">
        <f>IFERROR(bütünleme!AF91*100/bütünleme!$I91,"")</f>
        <v/>
      </c>
      <c r="V394" s="39" t="str">
        <f>IFERROR(bütünleme!AG91*100/bütünleme!$I91,"")</f>
        <v/>
      </c>
      <c r="W394" s="39" t="str">
        <f>IFERROR(bütünleme!AH91*100/bütünleme!$I91,"")</f>
        <v/>
      </c>
      <c r="X394" s="39" t="str">
        <f>IFERROR(bütünleme!AI91*100/bütünleme!$I91,"")</f>
        <v/>
      </c>
      <c r="Y394" s="39" t="str">
        <f>IFERROR(bütünleme!AJ91*100/bütünleme!$I91,"")</f>
        <v/>
      </c>
      <c r="Z394" s="39" t="str">
        <f>IFERROR(bütünleme!AK91*100/bütünleme!$I91,"")</f>
        <v/>
      </c>
      <c r="AA394" s="39" t="str">
        <f>IFERROR(bütünleme!AL91*100/bütünleme!$I91,"")</f>
        <v/>
      </c>
      <c r="AB394" s="39" t="str">
        <f>IFERROR(bütünleme!AM91*100/bütünleme!$I91,"")</f>
        <v/>
      </c>
      <c r="AC394" s="39" t="str">
        <f>IFERROR(bütünleme!AN91*100/bütünleme!$I91,"")</f>
        <v/>
      </c>
      <c r="AD394" s="39" t="str">
        <f>IFERROR(bütünleme!AO91*100/bütünleme!$I91,"")</f>
        <v/>
      </c>
      <c r="AE394" s="39" t="str">
        <f>IFERROR(bütünleme!AP91*100/bütünleme!$I91,"")</f>
        <v/>
      </c>
      <c r="AF394" s="39" t="str">
        <f>IFERROR(bütünleme!AQ91*100/bütünleme!$I91,"")</f>
        <v/>
      </c>
      <c r="AG394" s="39" t="str">
        <f>IFERROR(bütünleme!AR91*100/bütünleme!$I91,"")</f>
        <v/>
      </c>
      <c r="AH394" s="39" t="str">
        <f>IFERROR(bütünleme!AS91*100/bütünleme!$I91,"")</f>
        <v/>
      </c>
      <c r="AI394" s="39" t="str">
        <f>IFERROR(bütünleme!AT91*100/bütünleme!$I91,"")</f>
        <v/>
      </c>
      <c r="AJ394" s="39" t="str">
        <f>IFERROR(bütünleme!AU91*100/bütünleme!$I91,"")</f>
        <v/>
      </c>
      <c r="AK394" s="39" t="str">
        <f>IFERROR(bütünleme!AV91*100/bütünleme!$I91,"")</f>
        <v/>
      </c>
      <c r="AL394" s="39" t="str">
        <f>IFERROR(bütünleme!AW91*100/bütünleme!$I91,"")</f>
        <v/>
      </c>
      <c r="AM394" s="39" t="str">
        <f>IFERROR(bütünleme!AX91*100/bütünleme!$I91,"")</f>
        <v/>
      </c>
      <c r="AN394" s="39" t="str">
        <f>IFERROR(bütünleme!AY91*100/bütünleme!$I91,"")</f>
        <v/>
      </c>
      <c r="AO394" s="39" t="str">
        <f>IFERROR(bütünleme!AZ91*100/bütünleme!$I91,"")</f>
        <v/>
      </c>
      <c r="AP394" s="39" t="str">
        <f>IFERROR(bütünleme!BA91*100/bütünleme!$I91,"")</f>
        <v/>
      </c>
      <c r="AQ394" s="39" t="str">
        <f>IFERROR(bütünleme!BB91*100/bütünleme!$I91,"")</f>
        <v/>
      </c>
      <c r="AR394" s="39" t="str">
        <f>IFERROR(bütünleme!BC91*100/bütünleme!$I91,"")</f>
        <v/>
      </c>
      <c r="AS394" s="39" t="str">
        <f>IFERROR(bütünleme!BD91*100/bütünleme!$I91,"")</f>
        <v/>
      </c>
      <c r="AT394" s="39" t="str">
        <f>IFERROR(bütünleme!BE91*100/bütünleme!$I91,"")</f>
        <v/>
      </c>
      <c r="AU394" s="39" t="str">
        <f>IFERROR(bütünleme!BF91*100/bütünleme!$I91,"")</f>
        <v/>
      </c>
      <c r="AV394" s="39" t="str">
        <f>IFERROR(bütünleme!BG91*100/bütünleme!$I91,"")</f>
        <v/>
      </c>
      <c r="AW394" s="39" t="str">
        <f>IFERROR(bütünleme!BH91*100/bütünleme!$I91,"")</f>
        <v/>
      </c>
      <c r="AX394" s="39" t="str">
        <f>IFERROR(bütünleme!BI91*100/bütünleme!$I91,"")</f>
        <v/>
      </c>
      <c r="AY394" s="39" t="str">
        <f>IFERROR(bütünleme!BJ91*100/bütünleme!$I91,"")</f>
        <v/>
      </c>
      <c r="AZ394" s="39" t="str">
        <f>IFERROR(bütünleme!BK91*100/bütünleme!$I91,"")</f>
        <v/>
      </c>
      <c r="BA394" s="39" t="str">
        <f>IFERROR(bütünleme!BL91*100/bütünleme!$I91,"")</f>
        <v/>
      </c>
      <c r="BB394" s="39" t="str">
        <f>IFERROR(bütünleme!BM91*100/bütünleme!$I91,"")</f>
        <v/>
      </c>
      <c r="BC394" s="39" t="str">
        <f>IFERROR(bütünleme!BN91*100/bütünleme!$I91,"")</f>
        <v/>
      </c>
      <c r="BD394" s="39" t="str">
        <f>IFERROR(bütünleme!BO91*100/bütünleme!$I91,"")</f>
        <v/>
      </c>
      <c r="BE394" s="39" t="str">
        <f>IFERROR(bütünleme!BP91*100/bütünleme!$I91,"")</f>
        <v/>
      </c>
      <c r="BF394" s="39" t="str">
        <f>IFERROR(bütünleme!BQ91*100/bütünleme!$I91,"")</f>
        <v/>
      </c>
      <c r="BG394" s="39" t="str">
        <f>IFERROR(bütünleme!BR91*100/bütünleme!$I91,"")</f>
        <v/>
      </c>
      <c r="BH394" s="39" t="str">
        <f>IFERROR(bütünleme!BS91*100/bütünleme!$I91,"")</f>
        <v/>
      </c>
      <c r="BI394" s="39" t="str">
        <f>IFERROR(bütünleme!BT91*100/bütünleme!$I91,"")</f>
        <v/>
      </c>
      <c r="BJ394" s="39" t="str">
        <f>IFERROR(bütünleme!BU91*100/bütünleme!$I91,"")</f>
        <v/>
      </c>
      <c r="BK394" s="39" t="str">
        <f>IFERROR(bütünleme!BV91*100/bütünleme!$I91,"")</f>
        <v/>
      </c>
      <c r="BL394" s="39" t="str">
        <f>IFERROR(bütünleme!BW91*100/bütünleme!$I91,"")</f>
        <v/>
      </c>
      <c r="BM394" s="39" t="str">
        <f>IFERROR(bütünleme!BX91*100/bütünleme!$I91,"")</f>
        <v/>
      </c>
      <c r="BN394" s="39" t="str">
        <f>IFERROR(bütünleme!BY91*100/bütünleme!$I91,"")</f>
        <v/>
      </c>
      <c r="BO394" s="39" t="str">
        <f>IFERROR(bütünleme!BZ91*100/bütünleme!$I91,"")</f>
        <v/>
      </c>
      <c r="BP394" s="39" t="str">
        <f>IFERROR(bütünleme!CA91*100/bütünleme!$I91,"")</f>
        <v/>
      </c>
      <c r="BQ394" s="39" t="str">
        <f>IFERROR(bütünleme!CB91*100/bütünleme!$I91,"")</f>
        <v/>
      </c>
      <c r="BR394" s="39" t="str">
        <f>IFERROR(bütünleme!CC91*100/bütünleme!$I91,"")</f>
        <v/>
      </c>
      <c r="BS394" s="39" t="str">
        <f>IFERROR(bütünleme!CD91*100/bütünleme!$I91,"")</f>
        <v/>
      </c>
      <c r="BT394" s="39" t="str">
        <f>IFERROR(bütünleme!CE91*100/bütünleme!$I91,"")</f>
        <v/>
      </c>
      <c r="BU394" s="39" t="str">
        <f>IFERROR(bütünleme!CF91*100/bütünleme!$I91,"")</f>
        <v/>
      </c>
      <c r="BV394" s="39" t="str">
        <f>IFERROR(bütünleme!CG91*100/bütünleme!$I91,"")</f>
        <v/>
      </c>
      <c r="BW394" s="39" t="str">
        <f>IFERROR(bütünleme!CH91*100/bütünleme!$I91,"")</f>
        <v/>
      </c>
      <c r="BX394" s="39" t="str">
        <f>IFERROR(bütünleme!CI91*100/bütünleme!$I91,"")</f>
        <v/>
      </c>
      <c r="BY394" s="39" t="str">
        <f>IFERROR(bütünleme!CJ91*100/bütünleme!$I91,"")</f>
        <v/>
      </c>
      <c r="BZ394" s="39" t="str">
        <f>IFERROR(bütünleme!CK91*100/bütünleme!$I91,"")</f>
        <v/>
      </c>
      <c r="CA394" s="39" t="str">
        <f>IFERROR(bütünleme!CL91*100/bütünleme!$I91,"")</f>
        <v/>
      </c>
      <c r="CB394" s="39" t="str">
        <f>IFERROR(bütünleme!CM91*100/bütünleme!$I91,"")</f>
        <v/>
      </c>
      <c r="CC394" s="39" t="str">
        <f>IFERROR(bütünleme!CN91*100/bütünleme!$I91,"")</f>
        <v/>
      </c>
      <c r="CD394" s="39" t="str">
        <f>IFERROR(bütünleme!CO91*100/bütünleme!$I91,"")</f>
        <v/>
      </c>
      <c r="CE394" s="39" t="str">
        <f>IFERROR(bütünleme!CP91*100/bütünleme!$I91,"")</f>
        <v/>
      </c>
      <c r="CF394" s="39" t="str">
        <f>IFERROR(bütünleme!CQ91*100/bütünleme!$I91,"")</f>
        <v/>
      </c>
      <c r="CG394" s="39" t="str">
        <f>IFERROR(bütünleme!CR91*100/bütünleme!$I91,"")</f>
        <v/>
      </c>
      <c r="CH394" s="39" t="str">
        <f>IFERROR(bütünleme!CS91*100/bütünleme!$I91,"")</f>
        <v/>
      </c>
      <c r="CI394" s="39" t="str">
        <f>IFERROR(bütünleme!CT91*100/bütünleme!$I91,"")</f>
        <v/>
      </c>
      <c r="CJ394" s="39" t="str">
        <f>IFERROR(bütünleme!CU91*100/bütünleme!$I91,"")</f>
        <v/>
      </c>
      <c r="CK394" s="39" t="str">
        <f>IFERROR(bütünleme!CV91*100/bütünleme!$I91,"")</f>
        <v/>
      </c>
      <c r="CL394" s="39" t="str">
        <f>IFERROR(bütünleme!CW91*100/bütünleme!$I91,"")</f>
        <v/>
      </c>
      <c r="CM394" s="39" t="str">
        <f>IFERROR(bütünleme!CX91*100/bütünleme!$I91,"")</f>
        <v/>
      </c>
      <c r="CN394" s="39" t="str">
        <f>IFERROR(bütünleme!CY91*100/bütünleme!$I91,"")</f>
        <v/>
      </c>
      <c r="CO394" s="39" t="str">
        <f>IFERROR(bütünleme!CZ91*100/bütünleme!$I91,"")</f>
        <v/>
      </c>
      <c r="CP394" s="39" t="str">
        <f>IFERROR(bütünleme!DA91*100/bütünleme!$I91,"")</f>
        <v/>
      </c>
      <c r="CQ394" s="39" t="str">
        <f>IFERROR(bütünleme!DB91*100/bütünleme!$I91,"")</f>
        <v/>
      </c>
      <c r="CR394" s="39" t="str">
        <f>IFERROR(bütünleme!DC91*100/bütünleme!$I91,"")</f>
        <v/>
      </c>
      <c r="CS394" s="39" t="str">
        <f>IFERROR(bütünleme!DD91*100/bütünleme!$I91,"")</f>
        <v/>
      </c>
      <c r="CT394" s="39" t="str">
        <f>IFERROR(bütünleme!DE91*100/bütünleme!$I91,"")</f>
        <v/>
      </c>
      <c r="CU394" s="39" t="str">
        <f>IFERROR(bütünleme!DF91*100/bütünleme!$I91,"")</f>
        <v/>
      </c>
      <c r="CV394" s="39" t="str">
        <f>IFERROR(bütünleme!DG91*100/bütünleme!$I91,"")</f>
        <v/>
      </c>
      <c r="CW394" s="36" t="str">
        <f>IFERROR(SUM(A394:CV394)/bütünleme!$DH$103,"")</f>
        <v/>
      </c>
      <c r="CX394" s="14" t="str">
        <f>IF(COUNTA(bütünleme!A91),bütünleme!A91,"")</f>
        <v/>
      </c>
      <c r="CY394" s="14" t="str">
        <f>IF(COUNTA(bütünleme!B91),bütünleme!B91,"")</f>
        <v/>
      </c>
      <c r="CZ394" s="14" t="str">
        <f>IF(COUNTA(bütünleme!C91),bütünleme!C91,"")</f>
        <v/>
      </c>
      <c r="DA394" s="14" t="str">
        <f>IF(COUNTA(bütünleme!D91),bütünleme!D91,"")</f>
        <v/>
      </c>
      <c r="DB394" s="14" t="str">
        <f>IF(COUNTA(bütünleme!E91),bütünleme!E91,"")</f>
        <v/>
      </c>
      <c r="DC394" s="14" t="str">
        <f>IF(COUNTA(bütünleme!F91),bütünleme!F91,"")</f>
        <v/>
      </c>
      <c r="DD394" s="14" t="str">
        <f>IF(COUNTA(bütünleme!G91),bütünleme!G91,"")</f>
        <v/>
      </c>
      <c r="DE394" s="14" t="str">
        <f>IF(COUNTA(bütünleme!H91),bütünleme!H91,"")</f>
        <v/>
      </c>
    </row>
    <row r="395" spans="1:109" x14ac:dyDescent="0.2">
      <c r="A395" s="39" t="str">
        <f>IFERROR(bütünleme!L92*100/bütünleme!$I92,"")</f>
        <v/>
      </c>
      <c r="B395" s="39" t="str">
        <f>IFERROR(bütünleme!M92*100/bütünleme!$I92,"")</f>
        <v/>
      </c>
      <c r="C395" s="39" t="str">
        <f>IFERROR(bütünleme!N92*100/bütünleme!$I92,"")</f>
        <v/>
      </c>
      <c r="D395" s="39" t="str">
        <f>IFERROR(bütünleme!O92*100/bütünleme!$I92,"")</f>
        <v/>
      </c>
      <c r="E395" s="39" t="str">
        <f>IFERROR(bütünleme!P92*100/bütünleme!$I92,"")</f>
        <v/>
      </c>
      <c r="F395" s="39" t="str">
        <f>IFERROR(bütünleme!Q92*100/bütünleme!$I92,"")</f>
        <v/>
      </c>
      <c r="G395" s="39" t="str">
        <f>IFERROR(bütünleme!R92*100/bütünleme!$I92,"")</f>
        <v/>
      </c>
      <c r="H395" s="39" t="str">
        <f>IFERROR(bütünleme!S92*100/bütünleme!$I92,"")</f>
        <v/>
      </c>
      <c r="I395" s="39" t="str">
        <f>IFERROR(bütünleme!T92*100/bütünleme!$I92,"")</f>
        <v/>
      </c>
      <c r="J395" s="39" t="str">
        <f>IFERROR(bütünleme!U92*100/bütünleme!$I92,"")</f>
        <v/>
      </c>
      <c r="K395" s="39" t="str">
        <f>IFERROR(bütünleme!V92*100/bütünleme!$I92,"")</f>
        <v/>
      </c>
      <c r="L395" s="39" t="str">
        <f>IFERROR(bütünleme!W92*100/bütünleme!$I92,"")</f>
        <v/>
      </c>
      <c r="M395" s="39" t="str">
        <f>IFERROR(bütünleme!X92*100/bütünleme!$I92,"")</f>
        <v/>
      </c>
      <c r="N395" s="39" t="str">
        <f>IFERROR(bütünleme!Y92*100/bütünleme!$I92,"")</f>
        <v/>
      </c>
      <c r="O395" s="39" t="str">
        <f>IFERROR(bütünleme!Z92*100/bütünleme!$I92,"")</f>
        <v/>
      </c>
      <c r="P395" s="39" t="str">
        <f>IFERROR(bütünleme!AA92*100/bütünleme!$I92,"")</f>
        <v/>
      </c>
      <c r="Q395" s="39" t="str">
        <f>IFERROR(bütünleme!AB92*100/bütünleme!$I92,"")</f>
        <v/>
      </c>
      <c r="R395" s="39" t="str">
        <f>IFERROR(bütünleme!AC92*100/bütünleme!$I92,"")</f>
        <v/>
      </c>
      <c r="S395" s="39" t="str">
        <f>IFERROR(bütünleme!AD92*100/bütünleme!$I92,"")</f>
        <v/>
      </c>
      <c r="T395" s="39" t="str">
        <f>IFERROR(bütünleme!AE92*100/bütünleme!$I92,"")</f>
        <v/>
      </c>
      <c r="U395" s="39" t="str">
        <f>IFERROR(bütünleme!AF92*100/bütünleme!$I92,"")</f>
        <v/>
      </c>
      <c r="V395" s="39" t="str">
        <f>IFERROR(bütünleme!AG92*100/bütünleme!$I92,"")</f>
        <v/>
      </c>
      <c r="W395" s="39" t="str">
        <f>IFERROR(bütünleme!AH92*100/bütünleme!$I92,"")</f>
        <v/>
      </c>
      <c r="X395" s="39" t="str">
        <f>IFERROR(bütünleme!AI92*100/bütünleme!$I92,"")</f>
        <v/>
      </c>
      <c r="Y395" s="39" t="str">
        <f>IFERROR(bütünleme!AJ92*100/bütünleme!$I92,"")</f>
        <v/>
      </c>
      <c r="Z395" s="39" t="str">
        <f>IFERROR(bütünleme!AK92*100/bütünleme!$I92,"")</f>
        <v/>
      </c>
      <c r="AA395" s="39" t="str">
        <f>IFERROR(bütünleme!AL92*100/bütünleme!$I92,"")</f>
        <v/>
      </c>
      <c r="AB395" s="39" t="str">
        <f>IFERROR(bütünleme!AM92*100/bütünleme!$I92,"")</f>
        <v/>
      </c>
      <c r="AC395" s="39" t="str">
        <f>IFERROR(bütünleme!AN92*100/bütünleme!$I92,"")</f>
        <v/>
      </c>
      <c r="AD395" s="39" t="str">
        <f>IFERROR(bütünleme!AO92*100/bütünleme!$I92,"")</f>
        <v/>
      </c>
      <c r="AE395" s="39" t="str">
        <f>IFERROR(bütünleme!AP92*100/bütünleme!$I92,"")</f>
        <v/>
      </c>
      <c r="AF395" s="39" t="str">
        <f>IFERROR(bütünleme!AQ92*100/bütünleme!$I92,"")</f>
        <v/>
      </c>
      <c r="AG395" s="39" t="str">
        <f>IFERROR(bütünleme!AR92*100/bütünleme!$I92,"")</f>
        <v/>
      </c>
      <c r="AH395" s="39" t="str">
        <f>IFERROR(bütünleme!AS92*100/bütünleme!$I92,"")</f>
        <v/>
      </c>
      <c r="AI395" s="39" t="str">
        <f>IFERROR(bütünleme!AT92*100/bütünleme!$I92,"")</f>
        <v/>
      </c>
      <c r="AJ395" s="39" t="str">
        <f>IFERROR(bütünleme!AU92*100/bütünleme!$I92,"")</f>
        <v/>
      </c>
      <c r="AK395" s="39" t="str">
        <f>IFERROR(bütünleme!AV92*100/bütünleme!$I92,"")</f>
        <v/>
      </c>
      <c r="AL395" s="39" t="str">
        <f>IFERROR(bütünleme!AW92*100/bütünleme!$I92,"")</f>
        <v/>
      </c>
      <c r="AM395" s="39" t="str">
        <f>IFERROR(bütünleme!AX92*100/bütünleme!$I92,"")</f>
        <v/>
      </c>
      <c r="AN395" s="39" t="str">
        <f>IFERROR(bütünleme!AY92*100/bütünleme!$I92,"")</f>
        <v/>
      </c>
      <c r="AO395" s="39" t="str">
        <f>IFERROR(bütünleme!AZ92*100/bütünleme!$I92,"")</f>
        <v/>
      </c>
      <c r="AP395" s="39" t="str">
        <f>IFERROR(bütünleme!BA92*100/bütünleme!$I92,"")</f>
        <v/>
      </c>
      <c r="AQ395" s="39" t="str">
        <f>IFERROR(bütünleme!BB92*100/bütünleme!$I92,"")</f>
        <v/>
      </c>
      <c r="AR395" s="39" t="str">
        <f>IFERROR(bütünleme!BC92*100/bütünleme!$I92,"")</f>
        <v/>
      </c>
      <c r="AS395" s="39" t="str">
        <f>IFERROR(bütünleme!BD92*100/bütünleme!$I92,"")</f>
        <v/>
      </c>
      <c r="AT395" s="39" t="str">
        <f>IFERROR(bütünleme!BE92*100/bütünleme!$I92,"")</f>
        <v/>
      </c>
      <c r="AU395" s="39" t="str">
        <f>IFERROR(bütünleme!BF92*100/bütünleme!$I92,"")</f>
        <v/>
      </c>
      <c r="AV395" s="39" t="str">
        <f>IFERROR(bütünleme!BG92*100/bütünleme!$I92,"")</f>
        <v/>
      </c>
      <c r="AW395" s="39" t="str">
        <f>IFERROR(bütünleme!BH92*100/bütünleme!$I92,"")</f>
        <v/>
      </c>
      <c r="AX395" s="39" t="str">
        <f>IFERROR(bütünleme!BI92*100/bütünleme!$I92,"")</f>
        <v/>
      </c>
      <c r="AY395" s="39" t="str">
        <f>IFERROR(bütünleme!BJ92*100/bütünleme!$I92,"")</f>
        <v/>
      </c>
      <c r="AZ395" s="39" t="str">
        <f>IFERROR(bütünleme!BK92*100/bütünleme!$I92,"")</f>
        <v/>
      </c>
      <c r="BA395" s="39" t="str">
        <f>IFERROR(bütünleme!BL92*100/bütünleme!$I92,"")</f>
        <v/>
      </c>
      <c r="BB395" s="39" t="str">
        <f>IFERROR(bütünleme!BM92*100/bütünleme!$I92,"")</f>
        <v/>
      </c>
      <c r="BC395" s="39" t="str">
        <f>IFERROR(bütünleme!BN92*100/bütünleme!$I92,"")</f>
        <v/>
      </c>
      <c r="BD395" s="39" t="str">
        <f>IFERROR(bütünleme!BO92*100/bütünleme!$I92,"")</f>
        <v/>
      </c>
      <c r="BE395" s="39" t="str">
        <f>IFERROR(bütünleme!BP92*100/bütünleme!$I92,"")</f>
        <v/>
      </c>
      <c r="BF395" s="39" t="str">
        <f>IFERROR(bütünleme!BQ92*100/bütünleme!$I92,"")</f>
        <v/>
      </c>
      <c r="BG395" s="39" t="str">
        <f>IFERROR(bütünleme!BR92*100/bütünleme!$I92,"")</f>
        <v/>
      </c>
      <c r="BH395" s="39" t="str">
        <f>IFERROR(bütünleme!BS92*100/bütünleme!$I92,"")</f>
        <v/>
      </c>
      <c r="BI395" s="39" t="str">
        <f>IFERROR(bütünleme!BT92*100/bütünleme!$I92,"")</f>
        <v/>
      </c>
      <c r="BJ395" s="39" t="str">
        <f>IFERROR(bütünleme!BU92*100/bütünleme!$I92,"")</f>
        <v/>
      </c>
      <c r="BK395" s="39" t="str">
        <f>IFERROR(bütünleme!BV92*100/bütünleme!$I92,"")</f>
        <v/>
      </c>
      <c r="BL395" s="39" t="str">
        <f>IFERROR(bütünleme!BW92*100/bütünleme!$I92,"")</f>
        <v/>
      </c>
      <c r="BM395" s="39" t="str">
        <f>IFERROR(bütünleme!BX92*100/bütünleme!$I92,"")</f>
        <v/>
      </c>
      <c r="BN395" s="39" t="str">
        <f>IFERROR(bütünleme!BY92*100/bütünleme!$I92,"")</f>
        <v/>
      </c>
      <c r="BO395" s="39" t="str">
        <f>IFERROR(bütünleme!BZ92*100/bütünleme!$I92,"")</f>
        <v/>
      </c>
      <c r="BP395" s="39" t="str">
        <f>IFERROR(bütünleme!CA92*100/bütünleme!$I92,"")</f>
        <v/>
      </c>
      <c r="BQ395" s="39" t="str">
        <f>IFERROR(bütünleme!CB92*100/bütünleme!$I92,"")</f>
        <v/>
      </c>
      <c r="BR395" s="39" t="str">
        <f>IFERROR(bütünleme!CC92*100/bütünleme!$I92,"")</f>
        <v/>
      </c>
      <c r="BS395" s="39" t="str">
        <f>IFERROR(bütünleme!CD92*100/bütünleme!$I92,"")</f>
        <v/>
      </c>
      <c r="BT395" s="39" t="str">
        <f>IFERROR(bütünleme!CE92*100/bütünleme!$I92,"")</f>
        <v/>
      </c>
      <c r="BU395" s="39" t="str">
        <f>IFERROR(bütünleme!CF92*100/bütünleme!$I92,"")</f>
        <v/>
      </c>
      <c r="BV395" s="39" t="str">
        <f>IFERROR(bütünleme!CG92*100/bütünleme!$I92,"")</f>
        <v/>
      </c>
      <c r="BW395" s="39" t="str">
        <f>IFERROR(bütünleme!CH92*100/bütünleme!$I92,"")</f>
        <v/>
      </c>
      <c r="BX395" s="39" t="str">
        <f>IFERROR(bütünleme!CI92*100/bütünleme!$I92,"")</f>
        <v/>
      </c>
      <c r="BY395" s="39" t="str">
        <f>IFERROR(bütünleme!CJ92*100/bütünleme!$I92,"")</f>
        <v/>
      </c>
      <c r="BZ395" s="39" t="str">
        <f>IFERROR(bütünleme!CK92*100/bütünleme!$I92,"")</f>
        <v/>
      </c>
      <c r="CA395" s="39" t="str">
        <f>IFERROR(bütünleme!CL92*100/bütünleme!$I92,"")</f>
        <v/>
      </c>
      <c r="CB395" s="39" t="str">
        <f>IFERROR(bütünleme!CM92*100/bütünleme!$I92,"")</f>
        <v/>
      </c>
      <c r="CC395" s="39" t="str">
        <f>IFERROR(bütünleme!CN92*100/bütünleme!$I92,"")</f>
        <v/>
      </c>
      <c r="CD395" s="39" t="str">
        <f>IFERROR(bütünleme!CO92*100/bütünleme!$I92,"")</f>
        <v/>
      </c>
      <c r="CE395" s="39" t="str">
        <f>IFERROR(bütünleme!CP92*100/bütünleme!$I92,"")</f>
        <v/>
      </c>
      <c r="CF395" s="39" t="str">
        <f>IFERROR(bütünleme!CQ92*100/bütünleme!$I92,"")</f>
        <v/>
      </c>
      <c r="CG395" s="39" t="str">
        <f>IFERROR(bütünleme!CR92*100/bütünleme!$I92,"")</f>
        <v/>
      </c>
      <c r="CH395" s="39" t="str">
        <f>IFERROR(bütünleme!CS92*100/bütünleme!$I92,"")</f>
        <v/>
      </c>
      <c r="CI395" s="39" t="str">
        <f>IFERROR(bütünleme!CT92*100/bütünleme!$I92,"")</f>
        <v/>
      </c>
      <c r="CJ395" s="39" t="str">
        <f>IFERROR(bütünleme!CU92*100/bütünleme!$I92,"")</f>
        <v/>
      </c>
      <c r="CK395" s="39" t="str">
        <f>IFERROR(bütünleme!CV92*100/bütünleme!$I92,"")</f>
        <v/>
      </c>
      <c r="CL395" s="39" t="str">
        <f>IFERROR(bütünleme!CW92*100/bütünleme!$I92,"")</f>
        <v/>
      </c>
      <c r="CM395" s="39" t="str">
        <f>IFERROR(bütünleme!CX92*100/bütünleme!$I92,"")</f>
        <v/>
      </c>
      <c r="CN395" s="39" t="str">
        <f>IFERROR(bütünleme!CY92*100/bütünleme!$I92,"")</f>
        <v/>
      </c>
      <c r="CO395" s="39" t="str">
        <f>IFERROR(bütünleme!CZ92*100/bütünleme!$I92,"")</f>
        <v/>
      </c>
      <c r="CP395" s="39" t="str">
        <f>IFERROR(bütünleme!DA92*100/bütünleme!$I92,"")</f>
        <v/>
      </c>
      <c r="CQ395" s="39" t="str">
        <f>IFERROR(bütünleme!DB92*100/bütünleme!$I92,"")</f>
        <v/>
      </c>
      <c r="CR395" s="39" t="str">
        <f>IFERROR(bütünleme!DC92*100/bütünleme!$I92,"")</f>
        <v/>
      </c>
      <c r="CS395" s="39" t="str">
        <f>IFERROR(bütünleme!DD92*100/bütünleme!$I92,"")</f>
        <v/>
      </c>
      <c r="CT395" s="39" t="str">
        <f>IFERROR(bütünleme!DE92*100/bütünleme!$I92,"")</f>
        <v/>
      </c>
      <c r="CU395" s="39" t="str">
        <f>IFERROR(bütünleme!DF92*100/bütünleme!$I92,"")</f>
        <v/>
      </c>
      <c r="CV395" s="39" t="str">
        <f>IFERROR(bütünleme!DG92*100/bütünleme!$I92,"")</f>
        <v/>
      </c>
      <c r="CW395" s="36" t="str">
        <f>IFERROR(SUM(A395:CV395)/bütünleme!$DH$103,"")</f>
        <v/>
      </c>
      <c r="CX395" s="14" t="str">
        <f>IF(COUNTA(bütünleme!A92),bütünleme!A92,"")</f>
        <v/>
      </c>
      <c r="CY395" s="14" t="str">
        <f>IF(COUNTA(bütünleme!B92),bütünleme!B92,"")</f>
        <v/>
      </c>
      <c r="CZ395" s="14" t="str">
        <f>IF(COUNTA(bütünleme!C92),bütünleme!C92,"")</f>
        <v/>
      </c>
      <c r="DA395" s="14" t="str">
        <f>IF(COUNTA(bütünleme!D92),bütünleme!D92,"")</f>
        <v/>
      </c>
      <c r="DB395" s="14" t="str">
        <f>IF(COUNTA(bütünleme!E92),bütünleme!E92,"")</f>
        <v/>
      </c>
      <c r="DC395" s="14" t="str">
        <f>IF(COUNTA(bütünleme!F92),bütünleme!F92,"")</f>
        <v/>
      </c>
      <c r="DD395" s="14" t="str">
        <f>IF(COUNTA(bütünleme!G92),bütünleme!G92,"")</f>
        <v/>
      </c>
      <c r="DE395" s="14" t="str">
        <f>IF(COUNTA(bütünleme!H92),bütünleme!H92,"")</f>
        <v/>
      </c>
    </row>
    <row r="396" spans="1:109" x14ac:dyDescent="0.2">
      <c r="A396" s="39" t="str">
        <f>IFERROR(bütünleme!L93*100/bütünleme!$I93,"")</f>
        <v/>
      </c>
      <c r="B396" s="39" t="str">
        <f>IFERROR(bütünleme!M93*100/bütünleme!$I93,"")</f>
        <v/>
      </c>
      <c r="C396" s="39" t="str">
        <f>IFERROR(bütünleme!N93*100/bütünleme!$I93,"")</f>
        <v/>
      </c>
      <c r="D396" s="39" t="str">
        <f>IFERROR(bütünleme!O93*100/bütünleme!$I93,"")</f>
        <v/>
      </c>
      <c r="E396" s="39" t="str">
        <f>IFERROR(bütünleme!P93*100/bütünleme!$I93,"")</f>
        <v/>
      </c>
      <c r="F396" s="39" t="str">
        <f>IFERROR(bütünleme!Q93*100/bütünleme!$I93,"")</f>
        <v/>
      </c>
      <c r="G396" s="39" t="str">
        <f>IFERROR(bütünleme!R93*100/bütünleme!$I93,"")</f>
        <v/>
      </c>
      <c r="H396" s="39" t="str">
        <f>IFERROR(bütünleme!S93*100/bütünleme!$I93,"")</f>
        <v/>
      </c>
      <c r="I396" s="39" t="str">
        <f>IFERROR(bütünleme!T93*100/bütünleme!$I93,"")</f>
        <v/>
      </c>
      <c r="J396" s="39" t="str">
        <f>IFERROR(bütünleme!U93*100/bütünleme!$I93,"")</f>
        <v/>
      </c>
      <c r="K396" s="39" t="str">
        <f>IFERROR(bütünleme!V93*100/bütünleme!$I93,"")</f>
        <v/>
      </c>
      <c r="L396" s="39" t="str">
        <f>IFERROR(bütünleme!W93*100/bütünleme!$I93,"")</f>
        <v/>
      </c>
      <c r="M396" s="39" t="str">
        <f>IFERROR(bütünleme!X93*100/bütünleme!$I93,"")</f>
        <v/>
      </c>
      <c r="N396" s="39" t="str">
        <f>IFERROR(bütünleme!Y93*100/bütünleme!$I93,"")</f>
        <v/>
      </c>
      <c r="O396" s="39" t="str">
        <f>IFERROR(bütünleme!Z93*100/bütünleme!$I93,"")</f>
        <v/>
      </c>
      <c r="P396" s="39" t="str">
        <f>IFERROR(bütünleme!AA93*100/bütünleme!$I93,"")</f>
        <v/>
      </c>
      <c r="Q396" s="39" t="str">
        <f>IFERROR(bütünleme!AB93*100/bütünleme!$I93,"")</f>
        <v/>
      </c>
      <c r="R396" s="39" t="str">
        <f>IFERROR(bütünleme!AC93*100/bütünleme!$I93,"")</f>
        <v/>
      </c>
      <c r="S396" s="39" t="str">
        <f>IFERROR(bütünleme!AD93*100/bütünleme!$I93,"")</f>
        <v/>
      </c>
      <c r="T396" s="39" t="str">
        <f>IFERROR(bütünleme!AE93*100/bütünleme!$I93,"")</f>
        <v/>
      </c>
      <c r="U396" s="39" t="str">
        <f>IFERROR(bütünleme!AF93*100/bütünleme!$I93,"")</f>
        <v/>
      </c>
      <c r="V396" s="39" t="str">
        <f>IFERROR(bütünleme!AG93*100/bütünleme!$I93,"")</f>
        <v/>
      </c>
      <c r="W396" s="39" t="str">
        <f>IFERROR(bütünleme!AH93*100/bütünleme!$I93,"")</f>
        <v/>
      </c>
      <c r="X396" s="39" t="str">
        <f>IFERROR(bütünleme!AI93*100/bütünleme!$I93,"")</f>
        <v/>
      </c>
      <c r="Y396" s="39" t="str">
        <f>IFERROR(bütünleme!AJ93*100/bütünleme!$I93,"")</f>
        <v/>
      </c>
      <c r="Z396" s="39" t="str">
        <f>IFERROR(bütünleme!AK93*100/bütünleme!$I93,"")</f>
        <v/>
      </c>
      <c r="AA396" s="39" t="str">
        <f>IFERROR(bütünleme!AL93*100/bütünleme!$I93,"")</f>
        <v/>
      </c>
      <c r="AB396" s="39" t="str">
        <f>IFERROR(bütünleme!AM93*100/bütünleme!$I93,"")</f>
        <v/>
      </c>
      <c r="AC396" s="39" t="str">
        <f>IFERROR(bütünleme!AN93*100/bütünleme!$I93,"")</f>
        <v/>
      </c>
      <c r="AD396" s="39" t="str">
        <f>IFERROR(bütünleme!AO93*100/bütünleme!$I93,"")</f>
        <v/>
      </c>
      <c r="AE396" s="39" t="str">
        <f>IFERROR(bütünleme!AP93*100/bütünleme!$I93,"")</f>
        <v/>
      </c>
      <c r="AF396" s="39" t="str">
        <f>IFERROR(bütünleme!AQ93*100/bütünleme!$I93,"")</f>
        <v/>
      </c>
      <c r="AG396" s="39" t="str">
        <f>IFERROR(bütünleme!AR93*100/bütünleme!$I93,"")</f>
        <v/>
      </c>
      <c r="AH396" s="39" t="str">
        <f>IFERROR(bütünleme!AS93*100/bütünleme!$I93,"")</f>
        <v/>
      </c>
      <c r="AI396" s="39" t="str">
        <f>IFERROR(bütünleme!AT93*100/bütünleme!$I93,"")</f>
        <v/>
      </c>
      <c r="AJ396" s="39" t="str">
        <f>IFERROR(bütünleme!AU93*100/bütünleme!$I93,"")</f>
        <v/>
      </c>
      <c r="AK396" s="39" t="str">
        <f>IFERROR(bütünleme!AV93*100/bütünleme!$I93,"")</f>
        <v/>
      </c>
      <c r="AL396" s="39" t="str">
        <f>IFERROR(bütünleme!AW93*100/bütünleme!$I93,"")</f>
        <v/>
      </c>
      <c r="AM396" s="39" t="str">
        <f>IFERROR(bütünleme!AX93*100/bütünleme!$I93,"")</f>
        <v/>
      </c>
      <c r="AN396" s="39" t="str">
        <f>IFERROR(bütünleme!AY93*100/bütünleme!$I93,"")</f>
        <v/>
      </c>
      <c r="AO396" s="39" t="str">
        <f>IFERROR(bütünleme!AZ93*100/bütünleme!$I93,"")</f>
        <v/>
      </c>
      <c r="AP396" s="39" t="str">
        <f>IFERROR(bütünleme!BA93*100/bütünleme!$I93,"")</f>
        <v/>
      </c>
      <c r="AQ396" s="39" t="str">
        <f>IFERROR(bütünleme!BB93*100/bütünleme!$I93,"")</f>
        <v/>
      </c>
      <c r="AR396" s="39" t="str">
        <f>IFERROR(bütünleme!BC93*100/bütünleme!$I93,"")</f>
        <v/>
      </c>
      <c r="AS396" s="39" t="str">
        <f>IFERROR(bütünleme!BD93*100/bütünleme!$I93,"")</f>
        <v/>
      </c>
      <c r="AT396" s="39" t="str">
        <f>IFERROR(bütünleme!BE93*100/bütünleme!$I93,"")</f>
        <v/>
      </c>
      <c r="AU396" s="39" t="str">
        <f>IFERROR(bütünleme!BF93*100/bütünleme!$I93,"")</f>
        <v/>
      </c>
      <c r="AV396" s="39" t="str">
        <f>IFERROR(bütünleme!BG93*100/bütünleme!$I93,"")</f>
        <v/>
      </c>
      <c r="AW396" s="39" t="str">
        <f>IFERROR(bütünleme!BH93*100/bütünleme!$I93,"")</f>
        <v/>
      </c>
      <c r="AX396" s="39" t="str">
        <f>IFERROR(bütünleme!BI93*100/bütünleme!$I93,"")</f>
        <v/>
      </c>
      <c r="AY396" s="39" t="str">
        <f>IFERROR(bütünleme!BJ93*100/bütünleme!$I93,"")</f>
        <v/>
      </c>
      <c r="AZ396" s="39" t="str">
        <f>IFERROR(bütünleme!BK93*100/bütünleme!$I93,"")</f>
        <v/>
      </c>
      <c r="BA396" s="39" t="str">
        <f>IFERROR(bütünleme!BL93*100/bütünleme!$I93,"")</f>
        <v/>
      </c>
      <c r="BB396" s="39" t="str">
        <f>IFERROR(bütünleme!BM93*100/bütünleme!$I93,"")</f>
        <v/>
      </c>
      <c r="BC396" s="39" t="str">
        <f>IFERROR(bütünleme!BN93*100/bütünleme!$I93,"")</f>
        <v/>
      </c>
      <c r="BD396" s="39" t="str">
        <f>IFERROR(bütünleme!BO93*100/bütünleme!$I93,"")</f>
        <v/>
      </c>
      <c r="BE396" s="39" t="str">
        <f>IFERROR(bütünleme!BP93*100/bütünleme!$I93,"")</f>
        <v/>
      </c>
      <c r="BF396" s="39" t="str">
        <f>IFERROR(bütünleme!BQ93*100/bütünleme!$I93,"")</f>
        <v/>
      </c>
      <c r="BG396" s="39" t="str">
        <f>IFERROR(bütünleme!BR93*100/bütünleme!$I93,"")</f>
        <v/>
      </c>
      <c r="BH396" s="39" t="str">
        <f>IFERROR(bütünleme!BS93*100/bütünleme!$I93,"")</f>
        <v/>
      </c>
      <c r="BI396" s="39" t="str">
        <f>IFERROR(bütünleme!BT93*100/bütünleme!$I93,"")</f>
        <v/>
      </c>
      <c r="BJ396" s="39" t="str">
        <f>IFERROR(bütünleme!BU93*100/bütünleme!$I93,"")</f>
        <v/>
      </c>
      <c r="BK396" s="39" t="str">
        <f>IFERROR(bütünleme!BV93*100/bütünleme!$I93,"")</f>
        <v/>
      </c>
      <c r="BL396" s="39" t="str">
        <f>IFERROR(bütünleme!BW93*100/bütünleme!$I93,"")</f>
        <v/>
      </c>
      <c r="BM396" s="39" t="str">
        <f>IFERROR(bütünleme!BX93*100/bütünleme!$I93,"")</f>
        <v/>
      </c>
      <c r="BN396" s="39" t="str">
        <f>IFERROR(bütünleme!BY93*100/bütünleme!$I93,"")</f>
        <v/>
      </c>
      <c r="BO396" s="39" t="str">
        <f>IFERROR(bütünleme!BZ93*100/bütünleme!$I93,"")</f>
        <v/>
      </c>
      <c r="BP396" s="39" t="str">
        <f>IFERROR(bütünleme!CA93*100/bütünleme!$I93,"")</f>
        <v/>
      </c>
      <c r="BQ396" s="39" t="str">
        <f>IFERROR(bütünleme!CB93*100/bütünleme!$I93,"")</f>
        <v/>
      </c>
      <c r="BR396" s="39" t="str">
        <f>IFERROR(bütünleme!CC93*100/bütünleme!$I93,"")</f>
        <v/>
      </c>
      <c r="BS396" s="39" t="str">
        <f>IFERROR(bütünleme!CD93*100/bütünleme!$I93,"")</f>
        <v/>
      </c>
      <c r="BT396" s="39" t="str">
        <f>IFERROR(bütünleme!CE93*100/bütünleme!$I93,"")</f>
        <v/>
      </c>
      <c r="BU396" s="39" t="str">
        <f>IFERROR(bütünleme!CF93*100/bütünleme!$I93,"")</f>
        <v/>
      </c>
      <c r="BV396" s="39" t="str">
        <f>IFERROR(bütünleme!CG93*100/bütünleme!$I93,"")</f>
        <v/>
      </c>
      <c r="BW396" s="39" t="str">
        <f>IFERROR(bütünleme!CH93*100/bütünleme!$I93,"")</f>
        <v/>
      </c>
      <c r="BX396" s="39" t="str">
        <f>IFERROR(bütünleme!CI93*100/bütünleme!$I93,"")</f>
        <v/>
      </c>
      <c r="BY396" s="39" t="str">
        <f>IFERROR(bütünleme!CJ93*100/bütünleme!$I93,"")</f>
        <v/>
      </c>
      <c r="BZ396" s="39" t="str">
        <f>IFERROR(bütünleme!CK93*100/bütünleme!$I93,"")</f>
        <v/>
      </c>
      <c r="CA396" s="39" t="str">
        <f>IFERROR(bütünleme!CL93*100/bütünleme!$I93,"")</f>
        <v/>
      </c>
      <c r="CB396" s="39" t="str">
        <f>IFERROR(bütünleme!CM93*100/bütünleme!$I93,"")</f>
        <v/>
      </c>
      <c r="CC396" s="39" t="str">
        <f>IFERROR(bütünleme!CN93*100/bütünleme!$I93,"")</f>
        <v/>
      </c>
      <c r="CD396" s="39" t="str">
        <f>IFERROR(bütünleme!CO93*100/bütünleme!$I93,"")</f>
        <v/>
      </c>
      <c r="CE396" s="39" t="str">
        <f>IFERROR(bütünleme!CP93*100/bütünleme!$I93,"")</f>
        <v/>
      </c>
      <c r="CF396" s="39" t="str">
        <f>IFERROR(bütünleme!CQ93*100/bütünleme!$I93,"")</f>
        <v/>
      </c>
      <c r="CG396" s="39" t="str">
        <f>IFERROR(bütünleme!CR93*100/bütünleme!$I93,"")</f>
        <v/>
      </c>
      <c r="CH396" s="39" t="str">
        <f>IFERROR(bütünleme!CS93*100/bütünleme!$I93,"")</f>
        <v/>
      </c>
      <c r="CI396" s="39" t="str">
        <f>IFERROR(bütünleme!CT93*100/bütünleme!$I93,"")</f>
        <v/>
      </c>
      <c r="CJ396" s="39" t="str">
        <f>IFERROR(bütünleme!CU93*100/bütünleme!$I93,"")</f>
        <v/>
      </c>
      <c r="CK396" s="39" t="str">
        <f>IFERROR(bütünleme!CV93*100/bütünleme!$I93,"")</f>
        <v/>
      </c>
      <c r="CL396" s="39" t="str">
        <f>IFERROR(bütünleme!CW93*100/bütünleme!$I93,"")</f>
        <v/>
      </c>
      <c r="CM396" s="39" t="str">
        <f>IFERROR(bütünleme!CX93*100/bütünleme!$I93,"")</f>
        <v/>
      </c>
      <c r="CN396" s="39" t="str">
        <f>IFERROR(bütünleme!CY93*100/bütünleme!$I93,"")</f>
        <v/>
      </c>
      <c r="CO396" s="39" t="str">
        <f>IFERROR(bütünleme!CZ93*100/bütünleme!$I93,"")</f>
        <v/>
      </c>
      <c r="CP396" s="39" t="str">
        <f>IFERROR(bütünleme!DA93*100/bütünleme!$I93,"")</f>
        <v/>
      </c>
      <c r="CQ396" s="39" t="str">
        <f>IFERROR(bütünleme!DB93*100/bütünleme!$I93,"")</f>
        <v/>
      </c>
      <c r="CR396" s="39" t="str">
        <f>IFERROR(bütünleme!DC93*100/bütünleme!$I93,"")</f>
        <v/>
      </c>
      <c r="CS396" s="39" t="str">
        <f>IFERROR(bütünleme!DD93*100/bütünleme!$I93,"")</f>
        <v/>
      </c>
      <c r="CT396" s="39" t="str">
        <f>IFERROR(bütünleme!DE93*100/bütünleme!$I93,"")</f>
        <v/>
      </c>
      <c r="CU396" s="39" t="str">
        <f>IFERROR(bütünleme!DF93*100/bütünleme!$I93,"")</f>
        <v/>
      </c>
      <c r="CV396" s="39" t="str">
        <f>IFERROR(bütünleme!DG93*100/bütünleme!$I93,"")</f>
        <v/>
      </c>
      <c r="CW396" s="36" t="str">
        <f>IFERROR(SUM(A396:CV396)/bütünleme!$DH$103,"")</f>
        <v/>
      </c>
      <c r="CX396" s="14" t="str">
        <f>IF(COUNTA(bütünleme!A93),bütünleme!A93,"")</f>
        <v/>
      </c>
      <c r="CY396" s="14" t="str">
        <f>IF(COUNTA(bütünleme!B93),bütünleme!B93,"")</f>
        <v/>
      </c>
      <c r="CZ396" s="14" t="str">
        <f>IF(COUNTA(bütünleme!C93),bütünleme!C93,"")</f>
        <v/>
      </c>
      <c r="DA396" s="14" t="str">
        <f>IF(COUNTA(bütünleme!D93),bütünleme!D93,"")</f>
        <v/>
      </c>
      <c r="DB396" s="14" t="str">
        <f>IF(COUNTA(bütünleme!E93),bütünleme!E93,"")</f>
        <v/>
      </c>
      <c r="DC396" s="14" t="str">
        <f>IF(COUNTA(bütünleme!F93),bütünleme!F93,"")</f>
        <v/>
      </c>
      <c r="DD396" s="14" t="str">
        <f>IF(COUNTA(bütünleme!G93),bütünleme!G93,"")</f>
        <v/>
      </c>
      <c r="DE396" s="14" t="str">
        <f>IF(COUNTA(bütünleme!H93),bütünleme!H93,"")</f>
        <v/>
      </c>
    </row>
    <row r="397" spans="1:109" x14ac:dyDescent="0.2">
      <c r="A397" s="39" t="str">
        <f>IFERROR(bütünleme!L94*100/bütünleme!$I94,"")</f>
        <v/>
      </c>
      <c r="B397" s="39" t="str">
        <f>IFERROR(bütünleme!M94*100/bütünleme!$I94,"")</f>
        <v/>
      </c>
      <c r="C397" s="39" t="str">
        <f>IFERROR(bütünleme!N94*100/bütünleme!$I94,"")</f>
        <v/>
      </c>
      <c r="D397" s="39" t="str">
        <f>IFERROR(bütünleme!O94*100/bütünleme!$I94,"")</f>
        <v/>
      </c>
      <c r="E397" s="39" t="str">
        <f>IFERROR(bütünleme!P94*100/bütünleme!$I94,"")</f>
        <v/>
      </c>
      <c r="F397" s="39" t="str">
        <f>IFERROR(bütünleme!Q94*100/bütünleme!$I94,"")</f>
        <v/>
      </c>
      <c r="G397" s="39" t="str">
        <f>IFERROR(bütünleme!R94*100/bütünleme!$I94,"")</f>
        <v/>
      </c>
      <c r="H397" s="39" t="str">
        <f>IFERROR(bütünleme!S94*100/bütünleme!$I94,"")</f>
        <v/>
      </c>
      <c r="I397" s="39" t="str">
        <f>IFERROR(bütünleme!T94*100/bütünleme!$I94,"")</f>
        <v/>
      </c>
      <c r="J397" s="39" t="str">
        <f>IFERROR(bütünleme!U94*100/bütünleme!$I94,"")</f>
        <v/>
      </c>
      <c r="K397" s="39" t="str">
        <f>IFERROR(bütünleme!V94*100/bütünleme!$I94,"")</f>
        <v/>
      </c>
      <c r="L397" s="39" t="str">
        <f>IFERROR(bütünleme!W94*100/bütünleme!$I94,"")</f>
        <v/>
      </c>
      <c r="M397" s="39" t="str">
        <f>IFERROR(bütünleme!X94*100/bütünleme!$I94,"")</f>
        <v/>
      </c>
      <c r="N397" s="39" t="str">
        <f>IFERROR(bütünleme!Y94*100/bütünleme!$I94,"")</f>
        <v/>
      </c>
      <c r="O397" s="39" t="str">
        <f>IFERROR(bütünleme!Z94*100/bütünleme!$I94,"")</f>
        <v/>
      </c>
      <c r="P397" s="39" t="str">
        <f>IFERROR(bütünleme!AA94*100/bütünleme!$I94,"")</f>
        <v/>
      </c>
      <c r="Q397" s="39" t="str">
        <f>IFERROR(bütünleme!AB94*100/bütünleme!$I94,"")</f>
        <v/>
      </c>
      <c r="R397" s="39" t="str">
        <f>IFERROR(bütünleme!AC94*100/bütünleme!$I94,"")</f>
        <v/>
      </c>
      <c r="S397" s="39" t="str">
        <f>IFERROR(bütünleme!AD94*100/bütünleme!$I94,"")</f>
        <v/>
      </c>
      <c r="T397" s="39" t="str">
        <f>IFERROR(bütünleme!AE94*100/bütünleme!$I94,"")</f>
        <v/>
      </c>
      <c r="U397" s="39" t="str">
        <f>IFERROR(bütünleme!AF94*100/bütünleme!$I94,"")</f>
        <v/>
      </c>
      <c r="V397" s="39" t="str">
        <f>IFERROR(bütünleme!AG94*100/bütünleme!$I94,"")</f>
        <v/>
      </c>
      <c r="W397" s="39" t="str">
        <f>IFERROR(bütünleme!AH94*100/bütünleme!$I94,"")</f>
        <v/>
      </c>
      <c r="X397" s="39" t="str">
        <f>IFERROR(bütünleme!AI94*100/bütünleme!$I94,"")</f>
        <v/>
      </c>
      <c r="Y397" s="39" t="str">
        <f>IFERROR(bütünleme!AJ94*100/bütünleme!$I94,"")</f>
        <v/>
      </c>
      <c r="Z397" s="39" t="str">
        <f>IFERROR(bütünleme!AK94*100/bütünleme!$I94,"")</f>
        <v/>
      </c>
      <c r="AA397" s="39" t="str">
        <f>IFERROR(bütünleme!AL94*100/bütünleme!$I94,"")</f>
        <v/>
      </c>
      <c r="AB397" s="39" t="str">
        <f>IFERROR(bütünleme!AM94*100/bütünleme!$I94,"")</f>
        <v/>
      </c>
      <c r="AC397" s="39" t="str">
        <f>IFERROR(bütünleme!AN94*100/bütünleme!$I94,"")</f>
        <v/>
      </c>
      <c r="AD397" s="39" t="str">
        <f>IFERROR(bütünleme!AO94*100/bütünleme!$I94,"")</f>
        <v/>
      </c>
      <c r="AE397" s="39" t="str">
        <f>IFERROR(bütünleme!AP94*100/bütünleme!$I94,"")</f>
        <v/>
      </c>
      <c r="AF397" s="39" t="str">
        <f>IFERROR(bütünleme!AQ94*100/bütünleme!$I94,"")</f>
        <v/>
      </c>
      <c r="AG397" s="39" t="str">
        <f>IFERROR(bütünleme!AR94*100/bütünleme!$I94,"")</f>
        <v/>
      </c>
      <c r="AH397" s="39" t="str">
        <f>IFERROR(bütünleme!AS94*100/bütünleme!$I94,"")</f>
        <v/>
      </c>
      <c r="AI397" s="39" t="str">
        <f>IFERROR(bütünleme!AT94*100/bütünleme!$I94,"")</f>
        <v/>
      </c>
      <c r="AJ397" s="39" t="str">
        <f>IFERROR(bütünleme!AU94*100/bütünleme!$I94,"")</f>
        <v/>
      </c>
      <c r="AK397" s="39" t="str">
        <f>IFERROR(bütünleme!AV94*100/bütünleme!$I94,"")</f>
        <v/>
      </c>
      <c r="AL397" s="39" t="str">
        <f>IFERROR(bütünleme!AW94*100/bütünleme!$I94,"")</f>
        <v/>
      </c>
      <c r="AM397" s="39" t="str">
        <f>IFERROR(bütünleme!AX94*100/bütünleme!$I94,"")</f>
        <v/>
      </c>
      <c r="AN397" s="39" t="str">
        <f>IFERROR(bütünleme!AY94*100/bütünleme!$I94,"")</f>
        <v/>
      </c>
      <c r="AO397" s="39" t="str">
        <f>IFERROR(bütünleme!AZ94*100/bütünleme!$I94,"")</f>
        <v/>
      </c>
      <c r="AP397" s="39" t="str">
        <f>IFERROR(bütünleme!BA94*100/bütünleme!$I94,"")</f>
        <v/>
      </c>
      <c r="AQ397" s="39" t="str">
        <f>IFERROR(bütünleme!BB94*100/bütünleme!$I94,"")</f>
        <v/>
      </c>
      <c r="AR397" s="39" t="str">
        <f>IFERROR(bütünleme!BC94*100/bütünleme!$I94,"")</f>
        <v/>
      </c>
      <c r="AS397" s="39" t="str">
        <f>IFERROR(bütünleme!BD94*100/bütünleme!$I94,"")</f>
        <v/>
      </c>
      <c r="AT397" s="39" t="str">
        <f>IFERROR(bütünleme!BE94*100/bütünleme!$I94,"")</f>
        <v/>
      </c>
      <c r="AU397" s="39" t="str">
        <f>IFERROR(bütünleme!BF94*100/bütünleme!$I94,"")</f>
        <v/>
      </c>
      <c r="AV397" s="39" t="str">
        <f>IFERROR(bütünleme!BG94*100/bütünleme!$I94,"")</f>
        <v/>
      </c>
      <c r="AW397" s="39" t="str">
        <f>IFERROR(bütünleme!BH94*100/bütünleme!$I94,"")</f>
        <v/>
      </c>
      <c r="AX397" s="39" t="str">
        <f>IFERROR(bütünleme!BI94*100/bütünleme!$I94,"")</f>
        <v/>
      </c>
      <c r="AY397" s="39" t="str">
        <f>IFERROR(bütünleme!BJ94*100/bütünleme!$I94,"")</f>
        <v/>
      </c>
      <c r="AZ397" s="39" t="str">
        <f>IFERROR(bütünleme!BK94*100/bütünleme!$I94,"")</f>
        <v/>
      </c>
      <c r="BA397" s="39" t="str">
        <f>IFERROR(bütünleme!BL94*100/bütünleme!$I94,"")</f>
        <v/>
      </c>
      <c r="BB397" s="39" t="str">
        <f>IFERROR(bütünleme!BM94*100/bütünleme!$I94,"")</f>
        <v/>
      </c>
      <c r="BC397" s="39" t="str">
        <f>IFERROR(bütünleme!BN94*100/bütünleme!$I94,"")</f>
        <v/>
      </c>
      <c r="BD397" s="39" t="str">
        <f>IFERROR(bütünleme!BO94*100/bütünleme!$I94,"")</f>
        <v/>
      </c>
      <c r="BE397" s="39" t="str">
        <f>IFERROR(bütünleme!BP94*100/bütünleme!$I94,"")</f>
        <v/>
      </c>
      <c r="BF397" s="39" t="str">
        <f>IFERROR(bütünleme!BQ94*100/bütünleme!$I94,"")</f>
        <v/>
      </c>
      <c r="BG397" s="39" t="str">
        <f>IFERROR(bütünleme!BR94*100/bütünleme!$I94,"")</f>
        <v/>
      </c>
      <c r="BH397" s="39" t="str">
        <f>IFERROR(bütünleme!BS94*100/bütünleme!$I94,"")</f>
        <v/>
      </c>
      <c r="BI397" s="39" t="str">
        <f>IFERROR(bütünleme!BT94*100/bütünleme!$I94,"")</f>
        <v/>
      </c>
      <c r="BJ397" s="39" t="str">
        <f>IFERROR(bütünleme!BU94*100/bütünleme!$I94,"")</f>
        <v/>
      </c>
      <c r="BK397" s="39" t="str">
        <f>IFERROR(bütünleme!BV94*100/bütünleme!$I94,"")</f>
        <v/>
      </c>
      <c r="BL397" s="39" t="str">
        <f>IFERROR(bütünleme!BW94*100/bütünleme!$I94,"")</f>
        <v/>
      </c>
      <c r="BM397" s="39" t="str">
        <f>IFERROR(bütünleme!BX94*100/bütünleme!$I94,"")</f>
        <v/>
      </c>
      <c r="BN397" s="39" t="str">
        <f>IFERROR(bütünleme!BY94*100/bütünleme!$I94,"")</f>
        <v/>
      </c>
      <c r="BO397" s="39" t="str">
        <f>IFERROR(bütünleme!BZ94*100/bütünleme!$I94,"")</f>
        <v/>
      </c>
      <c r="BP397" s="39" t="str">
        <f>IFERROR(bütünleme!CA94*100/bütünleme!$I94,"")</f>
        <v/>
      </c>
      <c r="BQ397" s="39" t="str">
        <f>IFERROR(bütünleme!CB94*100/bütünleme!$I94,"")</f>
        <v/>
      </c>
      <c r="BR397" s="39" t="str">
        <f>IFERROR(bütünleme!CC94*100/bütünleme!$I94,"")</f>
        <v/>
      </c>
      <c r="BS397" s="39" t="str">
        <f>IFERROR(bütünleme!CD94*100/bütünleme!$I94,"")</f>
        <v/>
      </c>
      <c r="BT397" s="39" t="str">
        <f>IFERROR(bütünleme!CE94*100/bütünleme!$I94,"")</f>
        <v/>
      </c>
      <c r="BU397" s="39" t="str">
        <f>IFERROR(bütünleme!CF94*100/bütünleme!$I94,"")</f>
        <v/>
      </c>
      <c r="BV397" s="39" t="str">
        <f>IFERROR(bütünleme!CG94*100/bütünleme!$I94,"")</f>
        <v/>
      </c>
      <c r="BW397" s="39" t="str">
        <f>IFERROR(bütünleme!CH94*100/bütünleme!$I94,"")</f>
        <v/>
      </c>
      <c r="BX397" s="39" t="str">
        <f>IFERROR(bütünleme!CI94*100/bütünleme!$I94,"")</f>
        <v/>
      </c>
      <c r="BY397" s="39" t="str">
        <f>IFERROR(bütünleme!CJ94*100/bütünleme!$I94,"")</f>
        <v/>
      </c>
      <c r="BZ397" s="39" t="str">
        <f>IFERROR(bütünleme!CK94*100/bütünleme!$I94,"")</f>
        <v/>
      </c>
      <c r="CA397" s="39" t="str">
        <f>IFERROR(bütünleme!CL94*100/bütünleme!$I94,"")</f>
        <v/>
      </c>
      <c r="CB397" s="39" t="str">
        <f>IFERROR(bütünleme!CM94*100/bütünleme!$I94,"")</f>
        <v/>
      </c>
      <c r="CC397" s="39" t="str">
        <f>IFERROR(bütünleme!CN94*100/bütünleme!$I94,"")</f>
        <v/>
      </c>
      <c r="CD397" s="39" t="str">
        <f>IFERROR(bütünleme!CO94*100/bütünleme!$I94,"")</f>
        <v/>
      </c>
      <c r="CE397" s="39" t="str">
        <f>IFERROR(bütünleme!CP94*100/bütünleme!$I94,"")</f>
        <v/>
      </c>
      <c r="CF397" s="39" t="str">
        <f>IFERROR(bütünleme!CQ94*100/bütünleme!$I94,"")</f>
        <v/>
      </c>
      <c r="CG397" s="39" t="str">
        <f>IFERROR(bütünleme!CR94*100/bütünleme!$I94,"")</f>
        <v/>
      </c>
      <c r="CH397" s="39" t="str">
        <f>IFERROR(bütünleme!CS94*100/bütünleme!$I94,"")</f>
        <v/>
      </c>
      <c r="CI397" s="39" t="str">
        <f>IFERROR(bütünleme!CT94*100/bütünleme!$I94,"")</f>
        <v/>
      </c>
      <c r="CJ397" s="39" t="str">
        <f>IFERROR(bütünleme!CU94*100/bütünleme!$I94,"")</f>
        <v/>
      </c>
      <c r="CK397" s="39" t="str">
        <f>IFERROR(bütünleme!CV94*100/bütünleme!$I94,"")</f>
        <v/>
      </c>
      <c r="CL397" s="39" t="str">
        <f>IFERROR(bütünleme!CW94*100/bütünleme!$I94,"")</f>
        <v/>
      </c>
      <c r="CM397" s="39" t="str">
        <f>IFERROR(bütünleme!CX94*100/bütünleme!$I94,"")</f>
        <v/>
      </c>
      <c r="CN397" s="39" t="str">
        <f>IFERROR(bütünleme!CY94*100/bütünleme!$I94,"")</f>
        <v/>
      </c>
      <c r="CO397" s="39" t="str">
        <f>IFERROR(bütünleme!CZ94*100/bütünleme!$I94,"")</f>
        <v/>
      </c>
      <c r="CP397" s="39" t="str">
        <f>IFERROR(bütünleme!DA94*100/bütünleme!$I94,"")</f>
        <v/>
      </c>
      <c r="CQ397" s="39" t="str">
        <f>IFERROR(bütünleme!DB94*100/bütünleme!$I94,"")</f>
        <v/>
      </c>
      <c r="CR397" s="39" t="str">
        <f>IFERROR(bütünleme!DC94*100/bütünleme!$I94,"")</f>
        <v/>
      </c>
      <c r="CS397" s="39" t="str">
        <f>IFERROR(bütünleme!DD94*100/bütünleme!$I94,"")</f>
        <v/>
      </c>
      <c r="CT397" s="39" t="str">
        <f>IFERROR(bütünleme!DE94*100/bütünleme!$I94,"")</f>
        <v/>
      </c>
      <c r="CU397" s="39" t="str">
        <f>IFERROR(bütünleme!DF94*100/bütünleme!$I94,"")</f>
        <v/>
      </c>
      <c r="CV397" s="39" t="str">
        <f>IFERROR(bütünleme!DG94*100/bütünleme!$I94,"")</f>
        <v/>
      </c>
      <c r="CW397" s="36" t="str">
        <f>IFERROR(SUM(A397:CV397)/bütünleme!$DH$103,"")</f>
        <v/>
      </c>
      <c r="CX397" s="14" t="str">
        <f>IF(COUNTA(bütünleme!A94),bütünleme!A94,"")</f>
        <v/>
      </c>
      <c r="CY397" s="14" t="str">
        <f>IF(COUNTA(bütünleme!B94),bütünleme!B94,"")</f>
        <v/>
      </c>
      <c r="CZ397" s="14" t="str">
        <f>IF(COUNTA(bütünleme!C94),bütünleme!C94,"")</f>
        <v/>
      </c>
      <c r="DA397" s="14" t="str">
        <f>IF(COUNTA(bütünleme!D94),bütünleme!D94,"")</f>
        <v/>
      </c>
      <c r="DB397" s="14" t="str">
        <f>IF(COUNTA(bütünleme!E94),bütünleme!E94,"")</f>
        <v/>
      </c>
      <c r="DC397" s="14" t="str">
        <f>IF(COUNTA(bütünleme!F94),bütünleme!F94,"")</f>
        <v/>
      </c>
      <c r="DD397" s="14" t="str">
        <f>IF(COUNTA(bütünleme!G94),bütünleme!G94,"")</f>
        <v/>
      </c>
      <c r="DE397" s="14" t="str">
        <f>IF(COUNTA(bütünleme!H94),bütünleme!H94,"")</f>
        <v/>
      </c>
    </row>
    <row r="398" spans="1:109" x14ac:dyDescent="0.2">
      <c r="A398" s="39" t="str">
        <f>IFERROR(bütünleme!L95*100/bütünleme!$I95,"")</f>
        <v/>
      </c>
      <c r="B398" s="39" t="str">
        <f>IFERROR(bütünleme!M95*100/bütünleme!$I95,"")</f>
        <v/>
      </c>
      <c r="C398" s="39" t="str">
        <f>IFERROR(bütünleme!N95*100/bütünleme!$I95,"")</f>
        <v/>
      </c>
      <c r="D398" s="39" t="str">
        <f>IFERROR(bütünleme!O95*100/bütünleme!$I95,"")</f>
        <v/>
      </c>
      <c r="E398" s="39" t="str">
        <f>IFERROR(bütünleme!P95*100/bütünleme!$I95,"")</f>
        <v/>
      </c>
      <c r="F398" s="39" t="str">
        <f>IFERROR(bütünleme!Q95*100/bütünleme!$I95,"")</f>
        <v/>
      </c>
      <c r="G398" s="39" t="str">
        <f>IFERROR(bütünleme!R95*100/bütünleme!$I95,"")</f>
        <v/>
      </c>
      <c r="H398" s="39" t="str">
        <f>IFERROR(bütünleme!S95*100/bütünleme!$I95,"")</f>
        <v/>
      </c>
      <c r="I398" s="39" t="str">
        <f>IFERROR(bütünleme!T95*100/bütünleme!$I95,"")</f>
        <v/>
      </c>
      <c r="J398" s="39" t="str">
        <f>IFERROR(bütünleme!U95*100/bütünleme!$I95,"")</f>
        <v/>
      </c>
      <c r="K398" s="39" t="str">
        <f>IFERROR(bütünleme!V95*100/bütünleme!$I95,"")</f>
        <v/>
      </c>
      <c r="L398" s="39" t="str">
        <f>IFERROR(bütünleme!W95*100/bütünleme!$I95,"")</f>
        <v/>
      </c>
      <c r="M398" s="39" t="str">
        <f>IFERROR(bütünleme!X95*100/bütünleme!$I95,"")</f>
        <v/>
      </c>
      <c r="N398" s="39" t="str">
        <f>IFERROR(bütünleme!Y95*100/bütünleme!$I95,"")</f>
        <v/>
      </c>
      <c r="O398" s="39" t="str">
        <f>IFERROR(bütünleme!Z95*100/bütünleme!$I95,"")</f>
        <v/>
      </c>
      <c r="P398" s="39" t="str">
        <f>IFERROR(bütünleme!AA95*100/bütünleme!$I95,"")</f>
        <v/>
      </c>
      <c r="Q398" s="39" t="str">
        <f>IFERROR(bütünleme!AB95*100/bütünleme!$I95,"")</f>
        <v/>
      </c>
      <c r="R398" s="39" t="str">
        <f>IFERROR(bütünleme!AC95*100/bütünleme!$I95,"")</f>
        <v/>
      </c>
      <c r="S398" s="39" t="str">
        <f>IFERROR(bütünleme!AD95*100/bütünleme!$I95,"")</f>
        <v/>
      </c>
      <c r="T398" s="39" t="str">
        <f>IFERROR(bütünleme!AE95*100/bütünleme!$I95,"")</f>
        <v/>
      </c>
      <c r="U398" s="39" t="str">
        <f>IFERROR(bütünleme!AF95*100/bütünleme!$I95,"")</f>
        <v/>
      </c>
      <c r="V398" s="39" t="str">
        <f>IFERROR(bütünleme!AG95*100/bütünleme!$I95,"")</f>
        <v/>
      </c>
      <c r="W398" s="39" t="str">
        <f>IFERROR(bütünleme!AH95*100/bütünleme!$I95,"")</f>
        <v/>
      </c>
      <c r="X398" s="39" t="str">
        <f>IFERROR(bütünleme!AI95*100/bütünleme!$I95,"")</f>
        <v/>
      </c>
      <c r="Y398" s="39" t="str">
        <f>IFERROR(bütünleme!AJ95*100/bütünleme!$I95,"")</f>
        <v/>
      </c>
      <c r="Z398" s="39" t="str">
        <f>IFERROR(bütünleme!AK95*100/bütünleme!$I95,"")</f>
        <v/>
      </c>
      <c r="AA398" s="39" t="str">
        <f>IFERROR(bütünleme!AL95*100/bütünleme!$I95,"")</f>
        <v/>
      </c>
      <c r="AB398" s="39" t="str">
        <f>IFERROR(bütünleme!AM95*100/bütünleme!$I95,"")</f>
        <v/>
      </c>
      <c r="AC398" s="39" t="str">
        <f>IFERROR(bütünleme!AN95*100/bütünleme!$I95,"")</f>
        <v/>
      </c>
      <c r="AD398" s="39" t="str">
        <f>IFERROR(bütünleme!AO95*100/bütünleme!$I95,"")</f>
        <v/>
      </c>
      <c r="AE398" s="39" t="str">
        <f>IFERROR(bütünleme!AP95*100/bütünleme!$I95,"")</f>
        <v/>
      </c>
      <c r="AF398" s="39" t="str">
        <f>IFERROR(bütünleme!AQ95*100/bütünleme!$I95,"")</f>
        <v/>
      </c>
      <c r="AG398" s="39" t="str">
        <f>IFERROR(bütünleme!AR95*100/bütünleme!$I95,"")</f>
        <v/>
      </c>
      <c r="AH398" s="39" t="str">
        <f>IFERROR(bütünleme!AS95*100/bütünleme!$I95,"")</f>
        <v/>
      </c>
      <c r="AI398" s="39" t="str">
        <f>IFERROR(bütünleme!AT95*100/bütünleme!$I95,"")</f>
        <v/>
      </c>
      <c r="AJ398" s="39" t="str">
        <f>IFERROR(bütünleme!AU95*100/bütünleme!$I95,"")</f>
        <v/>
      </c>
      <c r="AK398" s="39" t="str">
        <f>IFERROR(bütünleme!AV95*100/bütünleme!$I95,"")</f>
        <v/>
      </c>
      <c r="AL398" s="39" t="str">
        <f>IFERROR(bütünleme!AW95*100/bütünleme!$I95,"")</f>
        <v/>
      </c>
      <c r="AM398" s="39" t="str">
        <f>IFERROR(bütünleme!AX95*100/bütünleme!$I95,"")</f>
        <v/>
      </c>
      <c r="AN398" s="39" t="str">
        <f>IFERROR(bütünleme!AY95*100/bütünleme!$I95,"")</f>
        <v/>
      </c>
      <c r="AO398" s="39" t="str">
        <f>IFERROR(bütünleme!AZ95*100/bütünleme!$I95,"")</f>
        <v/>
      </c>
      <c r="AP398" s="39" t="str">
        <f>IFERROR(bütünleme!BA95*100/bütünleme!$I95,"")</f>
        <v/>
      </c>
      <c r="AQ398" s="39" t="str">
        <f>IFERROR(bütünleme!BB95*100/bütünleme!$I95,"")</f>
        <v/>
      </c>
      <c r="AR398" s="39" t="str">
        <f>IFERROR(bütünleme!BC95*100/bütünleme!$I95,"")</f>
        <v/>
      </c>
      <c r="AS398" s="39" t="str">
        <f>IFERROR(bütünleme!BD95*100/bütünleme!$I95,"")</f>
        <v/>
      </c>
      <c r="AT398" s="39" t="str">
        <f>IFERROR(bütünleme!BE95*100/bütünleme!$I95,"")</f>
        <v/>
      </c>
      <c r="AU398" s="39" t="str">
        <f>IFERROR(bütünleme!BF95*100/bütünleme!$I95,"")</f>
        <v/>
      </c>
      <c r="AV398" s="39" t="str">
        <f>IFERROR(bütünleme!BG95*100/bütünleme!$I95,"")</f>
        <v/>
      </c>
      <c r="AW398" s="39" t="str">
        <f>IFERROR(bütünleme!BH95*100/bütünleme!$I95,"")</f>
        <v/>
      </c>
      <c r="AX398" s="39" t="str">
        <f>IFERROR(bütünleme!BI95*100/bütünleme!$I95,"")</f>
        <v/>
      </c>
      <c r="AY398" s="39" t="str">
        <f>IFERROR(bütünleme!BJ95*100/bütünleme!$I95,"")</f>
        <v/>
      </c>
      <c r="AZ398" s="39" t="str">
        <f>IFERROR(bütünleme!BK95*100/bütünleme!$I95,"")</f>
        <v/>
      </c>
      <c r="BA398" s="39" t="str">
        <f>IFERROR(bütünleme!BL95*100/bütünleme!$I95,"")</f>
        <v/>
      </c>
      <c r="BB398" s="39" t="str">
        <f>IFERROR(bütünleme!BM95*100/bütünleme!$I95,"")</f>
        <v/>
      </c>
      <c r="BC398" s="39" t="str">
        <f>IFERROR(bütünleme!BN95*100/bütünleme!$I95,"")</f>
        <v/>
      </c>
      <c r="BD398" s="39" t="str">
        <f>IFERROR(bütünleme!BO95*100/bütünleme!$I95,"")</f>
        <v/>
      </c>
      <c r="BE398" s="39" t="str">
        <f>IFERROR(bütünleme!BP95*100/bütünleme!$I95,"")</f>
        <v/>
      </c>
      <c r="BF398" s="39" t="str">
        <f>IFERROR(bütünleme!BQ95*100/bütünleme!$I95,"")</f>
        <v/>
      </c>
      <c r="BG398" s="39" t="str">
        <f>IFERROR(bütünleme!BR95*100/bütünleme!$I95,"")</f>
        <v/>
      </c>
      <c r="BH398" s="39" t="str">
        <f>IFERROR(bütünleme!BS95*100/bütünleme!$I95,"")</f>
        <v/>
      </c>
      <c r="BI398" s="39" t="str">
        <f>IFERROR(bütünleme!BT95*100/bütünleme!$I95,"")</f>
        <v/>
      </c>
      <c r="BJ398" s="39" t="str">
        <f>IFERROR(bütünleme!BU95*100/bütünleme!$I95,"")</f>
        <v/>
      </c>
      <c r="BK398" s="39" t="str">
        <f>IFERROR(bütünleme!BV95*100/bütünleme!$I95,"")</f>
        <v/>
      </c>
      <c r="BL398" s="39" t="str">
        <f>IFERROR(bütünleme!BW95*100/bütünleme!$I95,"")</f>
        <v/>
      </c>
      <c r="BM398" s="39" t="str">
        <f>IFERROR(bütünleme!BX95*100/bütünleme!$I95,"")</f>
        <v/>
      </c>
      <c r="BN398" s="39" t="str">
        <f>IFERROR(bütünleme!BY95*100/bütünleme!$I95,"")</f>
        <v/>
      </c>
      <c r="BO398" s="39" t="str">
        <f>IFERROR(bütünleme!BZ95*100/bütünleme!$I95,"")</f>
        <v/>
      </c>
      <c r="BP398" s="39" t="str">
        <f>IFERROR(bütünleme!CA95*100/bütünleme!$I95,"")</f>
        <v/>
      </c>
      <c r="BQ398" s="39" t="str">
        <f>IFERROR(bütünleme!CB95*100/bütünleme!$I95,"")</f>
        <v/>
      </c>
      <c r="BR398" s="39" t="str">
        <f>IFERROR(bütünleme!CC95*100/bütünleme!$I95,"")</f>
        <v/>
      </c>
      <c r="BS398" s="39" t="str">
        <f>IFERROR(bütünleme!CD95*100/bütünleme!$I95,"")</f>
        <v/>
      </c>
      <c r="BT398" s="39" t="str">
        <f>IFERROR(bütünleme!CE95*100/bütünleme!$I95,"")</f>
        <v/>
      </c>
      <c r="BU398" s="39" t="str">
        <f>IFERROR(bütünleme!CF95*100/bütünleme!$I95,"")</f>
        <v/>
      </c>
      <c r="BV398" s="39" t="str">
        <f>IFERROR(bütünleme!CG95*100/bütünleme!$I95,"")</f>
        <v/>
      </c>
      <c r="BW398" s="39" t="str">
        <f>IFERROR(bütünleme!CH95*100/bütünleme!$I95,"")</f>
        <v/>
      </c>
      <c r="BX398" s="39" t="str">
        <f>IFERROR(bütünleme!CI95*100/bütünleme!$I95,"")</f>
        <v/>
      </c>
      <c r="BY398" s="39" t="str">
        <f>IFERROR(bütünleme!CJ95*100/bütünleme!$I95,"")</f>
        <v/>
      </c>
      <c r="BZ398" s="39" t="str">
        <f>IFERROR(bütünleme!CK95*100/bütünleme!$I95,"")</f>
        <v/>
      </c>
      <c r="CA398" s="39" t="str">
        <f>IFERROR(bütünleme!CL95*100/bütünleme!$I95,"")</f>
        <v/>
      </c>
      <c r="CB398" s="39" t="str">
        <f>IFERROR(bütünleme!CM95*100/bütünleme!$I95,"")</f>
        <v/>
      </c>
      <c r="CC398" s="39" t="str">
        <f>IFERROR(bütünleme!CN95*100/bütünleme!$I95,"")</f>
        <v/>
      </c>
      <c r="CD398" s="39" t="str">
        <f>IFERROR(bütünleme!CO95*100/bütünleme!$I95,"")</f>
        <v/>
      </c>
      <c r="CE398" s="39" t="str">
        <f>IFERROR(bütünleme!CP95*100/bütünleme!$I95,"")</f>
        <v/>
      </c>
      <c r="CF398" s="39" t="str">
        <f>IFERROR(bütünleme!CQ95*100/bütünleme!$I95,"")</f>
        <v/>
      </c>
      <c r="CG398" s="39" t="str">
        <f>IFERROR(bütünleme!CR95*100/bütünleme!$I95,"")</f>
        <v/>
      </c>
      <c r="CH398" s="39" t="str">
        <f>IFERROR(bütünleme!CS95*100/bütünleme!$I95,"")</f>
        <v/>
      </c>
      <c r="CI398" s="39" t="str">
        <f>IFERROR(bütünleme!CT95*100/bütünleme!$I95,"")</f>
        <v/>
      </c>
      <c r="CJ398" s="39" t="str">
        <f>IFERROR(bütünleme!CU95*100/bütünleme!$I95,"")</f>
        <v/>
      </c>
      <c r="CK398" s="39" t="str">
        <f>IFERROR(bütünleme!CV95*100/bütünleme!$I95,"")</f>
        <v/>
      </c>
      <c r="CL398" s="39" t="str">
        <f>IFERROR(bütünleme!CW95*100/bütünleme!$I95,"")</f>
        <v/>
      </c>
      <c r="CM398" s="39" t="str">
        <f>IFERROR(bütünleme!CX95*100/bütünleme!$I95,"")</f>
        <v/>
      </c>
      <c r="CN398" s="39" t="str">
        <f>IFERROR(bütünleme!CY95*100/bütünleme!$I95,"")</f>
        <v/>
      </c>
      <c r="CO398" s="39" t="str">
        <f>IFERROR(bütünleme!CZ95*100/bütünleme!$I95,"")</f>
        <v/>
      </c>
      <c r="CP398" s="39" t="str">
        <f>IFERROR(bütünleme!DA95*100/bütünleme!$I95,"")</f>
        <v/>
      </c>
      <c r="CQ398" s="39" t="str">
        <f>IFERROR(bütünleme!DB95*100/bütünleme!$I95,"")</f>
        <v/>
      </c>
      <c r="CR398" s="39" t="str">
        <f>IFERROR(bütünleme!DC95*100/bütünleme!$I95,"")</f>
        <v/>
      </c>
      <c r="CS398" s="39" t="str">
        <f>IFERROR(bütünleme!DD95*100/bütünleme!$I95,"")</f>
        <v/>
      </c>
      <c r="CT398" s="39" t="str">
        <f>IFERROR(bütünleme!DE95*100/bütünleme!$I95,"")</f>
        <v/>
      </c>
      <c r="CU398" s="39" t="str">
        <f>IFERROR(bütünleme!DF95*100/bütünleme!$I95,"")</f>
        <v/>
      </c>
      <c r="CV398" s="39" t="str">
        <f>IFERROR(bütünleme!DG95*100/bütünleme!$I95,"")</f>
        <v/>
      </c>
      <c r="CW398" s="36" t="str">
        <f>IFERROR(SUM(A398:CV398)/bütünleme!$DH$103,"")</f>
        <v/>
      </c>
      <c r="CX398" s="14" t="str">
        <f>IF(COUNTA(bütünleme!A95),bütünleme!A95,"")</f>
        <v/>
      </c>
      <c r="CY398" s="14" t="str">
        <f>IF(COUNTA(bütünleme!B95),bütünleme!B95,"")</f>
        <v/>
      </c>
      <c r="CZ398" s="14" t="str">
        <f>IF(COUNTA(bütünleme!C95),bütünleme!C95,"")</f>
        <v/>
      </c>
      <c r="DA398" s="14" t="str">
        <f>IF(COUNTA(bütünleme!D95),bütünleme!D95,"")</f>
        <v/>
      </c>
      <c r="DB398" s="14" t="str">
        <f>IF(COUNTA(bütünleme!E95),bütünleme!E95,"")</f>
        <v/>
      </c>
      <c r="DC398" s="14" t="str">
        <f>IF(COUNTA(bütünleme!F95),bütünleme!F95,"")</f>
        <v/>
      </c>
      <c r="DD398" s="14" t="str">
        <f>IF(COUNTA(bütünleme!G95),bütünleme!G95,"")</f>
        <v/>
      </c>
      <c r="DE398" s="14" t="str">
        <f>IF(COUNTA(bütünleme!H95),bütünleme!H95,"")</f>
        <v/>
      </c>
    </row>
    <row r="399" spans="1:109" x14ac:dyDescent="0.2">
      <c r="A399" s="39" t="str">
        <f>IFERROR(bütünleme!L96*100/bütünleme!$I96,"")</f>
        <v/>
      </c>
      <c r="B399" s="39" t="str">
        <f>IFERROR(bütünleme!M96*100/bütünleme!$I96,"")</f>
        <v/>
      </c>
      <c r="C399" s="39" t="str">
        <f>IFERROR(bütünleme!N96*100/bütünleme!$I96,"")</f>
        <v/>
      </c>
      <c r="D399" s="39" t="str">
        <f>IFERROR(bütünleme!O96*100/bütünleme!$I96,"")</f>
        <v/>
      </c>
      <c r="E399" s="39" t="str">
        <f>IFERROR(bütünleme!P96*100/bütünleme!$I96,"")</f>
        <v/>
      </c>
      <c r="F399" s="39" t="str">
        <f>IFERROR(bütünleme!Q96*100/bütünleme!$I96,"")</f>
        <v/>
      </c>
      <c r="G399" s="39" t="str">
        <f>IFERROR(bütünleme!R96*100/bütünleme!$I96,"")</f>
        <v/>
      </c>
      <c r="H399" s="39" t="str">
        <f>IFERROR(bütünleme!S96*100/bütünleme!$I96,"")</f>
        <v/>
      </c>
      <c r="I399" s="39" t="str">
        <f>IFERROR(bütünleme!T96*100/bütünleme!$I96,"")</f>
        <v/>
      </c>
      <c r="J399" s="39" t="str">
        <f>IFERROR(bütünleme!U96*100/bütünleme!$I96,"")</f>
        <v/>
      </c>
      <c r="K399" s="39" t="str">
        <f>IFERROR(bütünleme!V96*100/bütünleme!$I96,"")</f>
        <v/>
      </c>
      <c r="L399" s="39" t="str">
        <f>IFERROR(bütünleme!W96*100/bütünleme!$I96,"")</f>
        <v/>
      </c>
      <c r="M399" s="39" t="str">
        <f>IFERROR(bütünleme!X96*100/bütünleme!$I96,"")</f>
        <v/>
      </c>
      <c r="N399" s="39" t="str">
        <f>IFERROR(bütünleme!Y96*100/bütünleme!$I96,"")</f>
        <v/>
      </c>
      <c r="O399" s="39" t="str">
        <f>IFERROR(bütünleme!Z96*100/bütünleme!$I96,"")</f>
        <v/>
      </c>
      <c r="P399" s="39" t="str">
        <f>IFERROR(bütünleme!AA96*100/bütünleme!$I96,"")</f>
        <v/>
      </c>
      <c r="Q399" s="39" t="str">
        <f>IFERROR(bütünleme!AB96*100/bütünleme!$I96,"")</f>
        <v/>
      </c>
      <c r="R399" s="39" t="str">
        <f>IFERROR(bütünleme!AC96*100/bütünleme!$I96,"")</f>
        <v/>
      </c>
      <c r="S399" s="39" t="str">
        <f>IFERROR(bütünleme!AD96*100/bütünleme!$I96,"")</f>
        <v/>
      </c>
      <c r="T399" s="39" t="str">
        <f>IFERROR(bütünleme!AE96*100/bütünleme!$I96,"")</f>
        <v/>
      </c>
      <c r="U399" s="39" t="str">
        <f>IFERROR(bütünleme!AF96*100/bütünleme!$I96,"")</f>
        <v/>
      </c>
      <c r="V399" s="39" t="str">
        <f>IFERROR(bütünleme!AG96*100/bütünleme!$I96,"")</f>
        <v/>
      </c>
      <c r="W399" s="39" t="str">
        <f>IFERROR(bütünleme!AH96*100/bütünleme!$I96,"")</f>
        <v/>
      </c>
      <c r="X399" s="39" t="str">
        <f>IFERROR(bütünleme!AI96*100/bütünleme!$I96,"")</f>
        <v/>
      </c>
      <c r="Y399" s="39" t="str">
        <f>IFERROR(bütünleme!AJ96*100/bütünleme!$I96,"")</f>
        <v/>
      </c>
      <c r="Z399" s="39" t="str">
        <f>IFERROR(bütünleme!AK96*100/bütünleme!$I96,"")</f>
        <v/>
      </c>
      <c r="AA399" s="39" t="str">
        <f>IFERROR(bütünleme!AL96*100/bütünleme!$I96,"")</f>
        <v/>
      </c>
      <c r="AB399" s="39" t="str">
        <f>IFERROR(bütünleme!AM96*100/bütünleme!$I96,"")</f>
        <v/>
      </c>
      <c r="AC399" s="39" t="str">
        <f>IFERROR(bütünleme!AN96*100/bütünleme!$I96,"")</f>
        <v/>
      </c>
      <c r="AD399" s="39" t="str">
        <f>IFERROR(bütünleme!AO96*100/bütünleme!$I96,"")</f>
        <v/>
      </c>
      <c r="AE399" s="39" t="str">
        <f>IFERROR(bütünleme!AP96*100/bütünleme!$I96,"")</f>
        <v/>
      </c>
      <c r="AF399" s="39" t="str">
        <f>IFERROR(bütünleme!AQ96*100/bütünleme!$I96,"")</f>
        <v/>
      </c>
      <c r="AG399" s="39" t="str">
        <f>IFERROR(bütünleme!AR96*100/bütünleme!$I96,"")</f>
        <v/>
      </c>
      <c r="AH399" s="39" t="str">
        <f>IFERROR(bütünleme!AS96*100/bütünleme!$I96,"")</f>
        <v/>
      </c>
      <c r="AI399" s="39" t="str">
        <f>IFERROR(bütünleme!AT96*100/bütünleme!$I96,"")</f>
        <v/>
      </c>
      <c r="AJ399" s="39" t="str">
        <f>IFERROR(bütünleme!AU96*100/bütünleme!$I96,"")</f>
        <v/>
      </c>
      <c r="AK399" s="39" t="str">
        <f>IFERROR(bütünleme!AV96*100/bütünleme!$I96,"")</f>
        <v/>
      </c>
      <c r="AL399" s="39" t="str">
        <f>IFERROR(bütünleme!AW96*100/bütünleme!$I96,"")</f>
        <v/>
      </c>
      <c r="AM399" s="39" t="str">
        <f>IFERROR(bütünleme!AX96*100/bütünleme!$I96,"")</f>
        <v/>
      </c>
      <c r="AN399" s="39" t="str">
        <f>IFERROR(bütünleme!AY96*100/bütünleme!$I96,"")</f>
        <v/>
      </c>
      <c r="AO399" s="39" t="str">
        <f>IFERROR(bütünleme!AZ96*100/bütünleme!$I96,"")</f>
        <v/>
      </c>
      <c r="AP399" s="39" t="str">
        <f>IFERROR(bütünleme!BA96*100/bütünleme!$I96,"")</f>
        <v/>
      </c>
      <c r="AQ399" s="39" t="str">
        <f>IFERROR(bütünleme!BB96*100/bütünleme!$I96,"")</f>
        <v/>
      </c>
      <c r="AR399" s="39" t="str">
        <f>IFERROR(bütünleme!BC96*100/bütünleme!$I96,"")</f>
        <v/>
      </c>
      <c r="AS399" s="39" t="str">
        <f>IFERROR(bütünleme!BD96*100/bütünleme!$I96,"")</f>
        <v/>
      </c>
      <c r="AT399" s="39" t="str">
        <f>IFERROR(bütünleme!BE96*100/bütünleme!$I96,"")</f>
        <v/>
      </c>
      <c r="AU399" s="39" t="str">
        <f>IFERROR(bütünleme!BF96*100/bütünleme!$I96,"")</f>
        <v/>
      </c>
      <c r="AV399" s="39" t="str">
        <f>IFERROR(bütünleme!BG96*100/bütünleme!$I96,"")</f>
        <v/>
      </c>
      <c r="AW399" s="39" t="str">
        <f>IFERROR(bütünleme!BH96*100/bütünleme!$I96,"")</f>
        <v/>
      </c>
      <c r="AX399" s="39" t="str">
        <f>IFERROR(bütünleme!BI96*100/bütünleme!$I96,"")</f>
        <v/>
      </c>
      <c r="AY399" s="39" t="str">
        <f>IFERROR(bütünleme!BJ96*100/bütünleme!$I96,"")</f>
        <v/>
      </c>
      <c r="AZ399" s="39" t="str">
        <f>IFERROR(bütünleme!BK96*100/bütünleme!$I96,"")</f>
        <v/>
      </c>
      <c r="BA399" s="39" t="str">
        <f>IFERROR(bütünleme!BL96*100/bütünleme!$I96,"")</f>
        <v/>
      </c>
      <c r="BB399" s="39" t="str">
        <f>IFERROR(bütünleme!BM96*100/bütünleme!$I96,"")</f>
        <v/>
      </c>
      <c r="BC399" s="39" t="str">
        <f>IFERROR(bütünleme!BN96*100/bütünleme!$I96,"")</f>
        <v/>
      </c>
      <c r="BD399" s="39" t="str">
        <f>IFERROR(bütünleme!BO96*100/bütünleme!$I96,"")</f>
        <v/>
      </c>
      <c r="BE399" s="39" t="str">
        <f>IFERROR(bütünleme!BP96*100/bütünleme!$I96,"")</f>
        <v/>
      </c>
      <c r="BF399" s="39" t="str">
        <f>IFERROR(bütünleme!BQ96*100/bütünleme!$I96,"")</f>
        <v/>
      </c>
      <c r="BG399" s="39" t="str">
        <f>IFERROR(bütünleme!BR96*100/bütünleme!$I96,"")</f>
        <v/>
      </c>
      <c r="BH399" s="39" t="str">
        <f>IFERROR(bütünleme!BS96*100/bütünleme!$I96,"")</f>
        <v/>
      </c>
      <c r="BI399" s="39" t="str">
        <f>IFERROR(bütünleme!BT96*100/bütünleme!$I96,"")</f>
        <v/>
      </c>
      <c r="BJ399" s="39" t="str">
        <f>IFERROR(bütünleme!BU96*100/bütünleme!$I96,"")</f>
        <v/>
      </c>
      <c r="BK399" s="39" t="str">
        <f>IFERROR(bütünleme!BV96*100/bütünleme!$I96,"")</f>
        <v/>
      </c>
      <c r="BL399" s="39" t="str">
        <f>IFERROR(bütünleme!BW96*100/bütünleme!$I96,"")</f>
        <v/>
      </c>
      <c r="BM399" s="39" t="str">
        <f>IFERROR(bütünleme!BX96*100/bütünleme!$I96,"")</f>
        <v/>
      </c>
      <c r="BN399" s="39" t="str">
        <f>IFERROR(bütünleme!BY96*100/bütünleme!$I96,"")</f>
        <v/>
      </c>
      <c r="BO399" s="39" t="str">
        <f>IFERROR(bütünleme!BZ96*100/bütünleme!$I96,"")</f>
        <v/>
      </c>
      <c r="BP399" s="39" t="str">
        <f>IFERROR(bütünleme!CA96*100/bütünleme!$I96,"")</f>
        <v/>
      </c>
      <c r="BQ399" s="39" t="str">
        <f>IFERROR(bütünleme!CB96*100/bütünleme!$I96,"")</f>
        <v/>
      </c>
      <c r="BR399" s="39" t="str">
        <f>IFERROR(bütünleme!CC96*100/bütünleme!$I96,"")</f>
        <v/>
      </c>
      <c r="BS399" s="39" t="str">
        <f>IFERROR(bütünleme!CD96*100/bütünleme!$I96,"")</f>
        <v/>
      </c>
      <c r="BT399" s="39" t="str">
        <f>IFERROR(bütünleme!CE96*100/bütünleme!$I96,"")</f>
        <v/>
      </c>
      <c r="BU399" s="39" t="str">
        <f>IFERROR(bütünleme!CF96*100/bütünleme!$I96,"")</f>
        <v/>
      </c>
      <c r="BV399" s="39" t="str">
        <f>IFERROR(bütünleme!CG96*100/bütünleme!$I96,"")</f>
        <v/>
      </c>
      <c r="BW399" s="39" t="str">
        <f>IFERROR(bütünleme!CH96*100/bütünleme!$I96,"")</f>
        <v/>
      </c>
      <c r="BX399" s="39" t="str">
        <f>IFERROR(bütünleme!CI96*100/bütünleme!$I96,"")</f>
        <v/>
      </c>
      <c r="BY399" s="39" t="str">
        <f>IFERROR(bütünleme!CJ96*100/bütünleme!$I96,"")</f>
        <v/>
      </c>
      <c r="BZ399" s="39" t="str">
        <f>IFERROR(bütünleme!CK96*100/bütünleme!$I96,"")</f>
        <v/>
      </c>
      <c r="CA399" s="39" t="str">
        <f>IFERROR(bütünleme!CL96*100/bütünleme!$I96,"")</f>
        <v/>
      </c>
      <c r="CB399" s="39" t="str">
        <f>IFERROR(bütünleme!CM96*100/bütünleme!$I96,"")</f>
        <v/>
      </c>
      <c r="CC399" s="39" t="str">
        <f>IFERROR(bütünleme!CN96*100/bütünleme!$I96,"")</f>
        <v/>
      </c>
      <c r="CD399" s="39" t="str">
        <f>IFERROR(bütünleme!CO96*100/bütünleme!$I96,"")</f>
        <v/>
      </c>
      <c r="CE399" s="39" t="str">
        <f>IFERROR(bütünleme!CP96*100/bütünleme!$I96,"")</f>
        <v/>
      </c>
      <c r="CF399" s="39" t="str">
        <f>IFERROR(bütünleme!CQ96*100/bütünleme!$I96,"")</f>
        <v/>
      </c>
      <c r="CG399" s="39" t="str">
        <f>IFERROR(bütünleme!CR96*100/bütünleme!$I96,"")</f>
        <v/>
      </c>
      <c r="CH399" s="39" t="str">
        <f>IFERROR(bütünleme!CS96*100/bütünleme!$I96,"")</f>
        <v/>
      </c>
      <c r="CI399" s="39" t="str">
        <f>IFERROR(bütünleme!CT96*100/bütünleme!$I96,"")</f>
        <v/>
      </c>
      <c r="CJ399" s="39" t="str">
        <f>IFERROR(bütünleme!CU96*100/bütünleme!$I96,"")</f>
        <v/>
      </c>
      <c r="CK399" s="39" t="str">
        <f>IFERROR(bütünleme!CV96*100/bütünleme!$I96,"")</f>
        <v/>
      </c>
      <c r="CL399" s="39" t="str">
        <f>IFERROR(bütünleme!CW96*100/bütünleme!$I96,"")</f>
        <v/>
      </c>
      <c r="CM399" s="39" t="str">
        <f>IFERROR(bütünleme!CX96*100/bütünleme!$I96,"")</f>
        <v/>
      </c>
      <c r="CN399" s="39" t="str">
        <f>IFERROR(bütünleme!CY96*100/bütünleme!$I96,"")</f>
        <v/>
      </c>
      <c r="CO399" s="39" t="str">
        <f>IFERROR(bütünleme!CZ96*100/bütünleme!$I96,"")</f>
        <v/>
      </c>
      <c r="CP399" s="39" t="str">
        <f>IFERROR(bütünleme!DA96*100/bütünleme!$I96,"")</f>
        <v/>
      </c>
      <c r="CQ399" s="39" t="str">
        <f>IFERROR(bütünleme!DB96*100/bütünleme!$I96,"")</f>
        <v/>
      </c>
      <c r="CR399" s="39" t="str">
        <f>IFERROR(bütünleme!DC96*100/bütünleme!$I96,"")</f>
        <v/>
      </c>
      <c r="CS399" s="39" t="str">
        <f>IFERROR(bütünleme!DD96*100/bütünleme!$I96,"")</f>
        <v/>
      </c>
      <c r="CT399" s="39" t="str">
        <f>IFERROR(bütünleme!DE96*100/bütünleme!$I96,"")</f>
        <v/>
      </c>
      <c r="CU399" s="39" t="str">
        <f>IFERROR(bütünleme!DF96*100/bütünleme!$I96,"")</f>
        <v/>
      </c>
      <c r="CV399" s="39" t="str">
        <f>IFERROR(bütünleme!DG96*100/bütünleme!$I96,"")</f>
        <v/>
      </c>
      <c r="CW399" s="36" t="str">
        <f>IFERROR(SUM(A399:CV399)/bütünleme!$DH$103,"")</f>
        <v/>
      </c>
      <c r="CX399" s="14" t="str">
        <f>IF(COUNTA(bütünleme!A96),bütünleme!A96,"")</f>
        <v/>
      </c>
      <c r="CY399" s="14" t="str">
        <f>IF(COUNTA(bütünleme!B96),bütünleme!B96,"")</f>
        <v/>
      </c>
      <c r="CZ399" s="14" t="str">
        <f>IF(COUNTA(bütünleme!C96),bütünleme!C96,"")</f>
        <v/>
      </c>
      <c r="DA399" s="14" t="str">
        <f>IF(COUNTA(bütünleme!D96),bütünleme!D96,"")</f>
        <v/>
      </c>
      <c r="DB399" s="14" t="str">
        <f>IF(COUNTA(bütünleme!E96),bütünleme!E96,"")</f>
        <v/>
      </c>
      <c r="DC399" s="14" t="str">
        <f>IF(COUNTA(bütünleme!F96),bütünleme!F96,"")</f>
        <v/>
      </c>
      <c r="DD399" s="14" t="str">
        <f>IF(COUNTA(bütünleme!G96),bütünleme!G96,"")</f>
        <v/>
      </c>
      <c r="DE399" s="14" t="str">
        <f>IF(COUNTA(bütünleme!H96),bütünleme!H96,"")</f>
        <v/>
      </c>
    </row>
    <row r="400" spans="1:109" x14ac:dyDescent="0.2">
      <c r="A400" s="39" t="str">
        <f>IFERROR(bütünleme!L97*100/bütünleme!$I97,"")</f>
        <v/>
      </c>
      <c r="B400" s="39" t="str">
        <f>IFERROR(bütünleme!M97*100/bütünleme!$I97,"")</f>
        <v/>
      </c>
      <c r="C400" s="39" t="str">
        <f>IFERROR(bütünleme!N97*100/bütünleme!$I97,"")</f>
        <v/>
      </c>
      <c r="D400" s="39" t="str">
        <f>IFERROR(bütünleme!O97*100/bütünleme!$I97,"")</f>
        <v/>
      </c>
      <c r="E400" s="39" t="str">
        <f>IFERROR(bütünleme!P97*100/bütünleme!$I97,"")</f>
        <v/>
      </c>
      <c r="F400" s="39" t="str">
        <f>IFERROR(bütünleme!Q97*100/bütünleme!$I97,"")</f>
        <v/>
      </c>
      <c r="G400" s="39" t="str">
        <f>IFERROR(bütünleme!R97*100/bütünleme!$I97,"")</f>
        <v/>
      </c>
      <c r="H400" s="39" t="str">
        <f>IFERROR(bütünleme!S97*100/bütünleme!$I97,"")</f>
        <v/>
      </c>
      <c r="I400" s="39" t="str">
        <f>IFERROR(bütünleme!T97*100/bütünleme!$I97,"")</f>
        <v/>
      </c>
      <c r="J400" s="39" t="str">
        <f>IFERROR(bütünleme!U97*100/bütünleme!$I97,"")</f>
        <v/>
      </c>
      <c r="K400" s="39" t="str">
        <f>IFERROR(bütünleme!V97*100/bütünleme!$I97,"")</f>
        <v/>
      </c>
      <c r="L400" s="39" t="str">
        <f>IFERROR(bütünleme!W97*100/bütünleme!$I97,"")</f>
        <v/>
      </c>
      <c r="M400" s="39" t="str">
        <f>IFERROR(bütünleme!X97*100/bütünleme!$I97,"")</f>
        <v/>
      </c>
      <c r="N400" s="39" t="str">
        <f>IFERROR(bütünleme!Y97*100/bütünleme!$I97,"")</f>
        <v/>
      </c>
      <c r="O400" s="39" t="str">
        <f>IFERROR(bütünleme!Z97*100/bütünleme!$I97,"")</f>
        <v/>
      </c>
      <c r="P400" s="39" t="str">
        <f>IFERROR(bütünleme!AA97*100/bütünleme!$I97,"")</f>
        <v/>
      </c>
      <c r="Q400" s="39" t="str">
        <f>IFERROR(bütünleme!AB97*100/bütünleme!$I97,"")</f>
        <v/>
      </c>
      <c r="R400" s="39" t="str">
        <f>IFERROR(bütünleme!AC97*100/bütünleme!$I97,"")</f>
        <v/>
      </c>
      <c r="S400" s="39" t="str">
        <f>IFERROR(bütünleme!AD97*100/bütünleme!$I97,"")</f>
        <v/>
      </c>
      <c r="T400" s="39" t="str">
        <f>IFERROR(bütünleme!AE97*100/bütünleme!$I97,"")</f>
        <v/>
      </c>
      <c r="U400" s="39" t="str">
        <f>IFERROR(bütünleme!AF97*100/bütünleme!$I97,"")</f>
        <v/>
      </c>
      <c r="V400" s="39" t="str">
        <f>IFERROR(bütünleme!AG97*100/bütünleme!$I97,"")</f>
        <v/>
      </c>
      <c r="W400" s="39" t="str">
        <f>IFERROR(bütünleme!AH97*100/bütünleme!$I97,"")</f>
        <v/>
      </c>
      <c r="X400" s="39" t="str">
        <f>IFERROR(bütünleme!AI97*100/bütünleme!$I97,"")</f>
        <v/>
      </c>
      <c r="Y400" s="39" t="str">
        <f>IFERROR(bütünleme!AJ97*100/bütünleme!$I97,"")</f>
        <v/>
      </c>
      <c r="Z400" s="39" t="str">
        <f>IFERROR(bütünleme!AK97*100/bütünleme!$I97,"")</f>
        <v/>
      </c>
      <c r="AA400" s="39" t="str">
        <f>IFERROR(bütünleme!AL97*100/bütünleme!$I97,"")</f>
        <v/>
      </c>
      <c r="AB400" s="39" t="str">
        <f>IFERROR(bütünleme!AM97*100/bütünleme!$I97,"")</f>
        <v/>
      </c>
      <c r="AC400" s="39" t="str">
        <f>IFERROR(bütünleme!AN97*100/bütünleme!$I97,"")</f>
        <v/>
      </c>
      <c r="AD400" s="39" t="str">
        <f>IFERROR(bütünleme!AO97*100/bütünleme!$I97,"")</f>
        <v/>
      </c>
      <c r="AE400" s="39" t="str">
        <f>IFERROR(bütünleme!AP97*100/bütünleme!$I97,"")</f>
        <v/>
      </c>
      <c r="AF400" s="39" t="str">
        <f>IFERROR(bütünleme!AQ97*100/bütünleme!$I97,"")</f>
        <v/>
      </c>
      <c r="AG400" s="39" t="str">
        <f>IFERROR(bütünleme!AR97*100/bütünleme!$I97,"")</f>
        <v/>
      </c>
      <c r="AH400" s="39" t="str">
        <f>IFERROR(bütünleme!AS97*100/bütünleme!$I97,"")</f>
        <v/>
      </c>
      <c r="AI400" s="39" t="str">
        <f>IFERROR(bütünleme!AT97*100/bütünleme!$I97,"")</f>
        <v/>
      </c>
      <c r="AJ400" s="39" t="str">
        <f>IFERROR(bütünleme!AU97*100/bütünleme!$I97,"")</f>
        <v/>
      </c>
      <c r="AK400" s="39" t="str">
        <f>IFERROR(bütünleme!AV97*100/bütünleme!$I97,"")</f>
        <v/>
      </c>
      <c r="AL400" s="39" t="str">
        <f>IFERROR(bütünleme!AW97*100/bütünleme!$I97,"")</f>
        <v/>
      </c>
      <c r="AM400" s="39" t="str">
        <f>IFERROR(bütünleme!AX97*100/bütünleme!$I97,"")</f>
        <v/>
      </c>
      <c r="AN400" s="39" t="str">
        <f>IFERROR(bütünleme!AY97*100/bütünleme!$I97,"")</f>
        <v/>
      </c>
      <c r="AO400" s="39" t="str">
        <f>IFERROR(bütünleme!AZ97*100/bütünleme!$I97,"")</f>
        <v/>
      </c>
      <c r="AP400" s="39" t="str">
        <f>IFERROR(bütünleme!BA97*100/bütünleme!$I97,"")</f>
        <v/>
      </c>
      <c r="AQ400" s="39" t="str">
        <f>IFERROR(bütünleme!BB97*100/bütünleme!$I97,"")</f>
        <v/>
      </c>
      <c r="AR400" s="39" t="str">
        <f>IFERROR(bütünleme!BC97*100/bütünleme!$I97,"")</f>
        <v/>
      </c>
      <c r="AS400" s="39" t="str">
        <f>IFERROR(bütünleme!BD97*100/bütünleme!$I97,"")</f>
        <v/>
      </c>
      <c r="AT400" s="39" t="str">
        <f>IFERROR(bütünleme!BE97*100/bütünleme!$I97,"")</f>
        <v/>
      </c>
      <c r="AU400" s="39" t="str">
        <f>IFERROR(bütünleme!BF97*100/bütünleme!$I97,"")</f>
        <v/>
      </c>
      <c r="AV400" s="39" t="str">
        <f>IFERROR(bütünleme!BG97*100/bütünleme!$I97,"")</f>
        <v/>
      </c>
      <c r="AW400" s="39" t="str">
        <f>IFERROR(bütünleme!BH97*100/bütünleme!$I97,"")</f>
        <v/>
      </c>
      <c r="AX400" s="39" t="str">
        <f>IFERROR(bütünleme!BI97*100/bütünleme!$I97,"")</f>
        <v/>
      </c>
      <c r="AY400" s="39" t="str">
        <f>IFERROR(bütünleme!BJ97*100/bütünleme!$I97,"")</f>
        <v/>
      </c>
      <c r="AZ400" s="39" t="str">
        <f>IFERROR(bütünleme!BK97*100/bütünleme!$I97,"")</f>
        <v/>
      </c>
      <c r="BA400" s="39" t="str">
        <f>IFERROR(bütünleme!BL97*100/bütünleme!$I97,"")</f>
        <v/>
      </c>
      <c r="BB400" s="39" t="str">
        <f>IFERROR(bütünleme!BM97*100/bütünleme!$I97,"")</f>
        <v/>
      </c>
      <c r="BC400" s="39" t="str">
        <f>IFERROR(bütünleme!BN97*100/bütünleme!$I97,"")</f>
        <v/>
      </c>
      <c r="BD400" s="39" t="str">
        <f>IFERROR(bütünleme!BO97*100/bütünleme!$I97,"")</f>
        <v/>
      </c>
      <c r="BE400" s="39" t="str">
        <f>IFERROR(bütünleme!BP97*100/bütünleme!$I97,"")</f>
        <v/>
      </c>
      <c r="BF400" s="39" t="str">
        <f>IFERROR(bütünleme!BQ97*100/bütünleme!$I97,"")</f>
        <v/>
      </c>
      <c r="BG400" s="39" t="str">
        <f>IFERROR(bütünleme!BR97*100/bütünleme!$I97,"")</f>
        <v/>
      </c>
      <c r="BH400" s="39" t="str">
        <f>IFERROR(bütünleme!BS97*100/bütünleme!$I97,"")</f>
        <v/>
      </c>
      <c r="BI400" s="39" t="str">
        <f>IFERROR(bütünleme!BT97*100/bütünleme!$I97,"")</f>
        <v/>
      </c>
      <c r="BJ400" s="39" t="str">
        <f>IFERROR(bütünleme!BU97*100/bütünleme!$I97,"")</f>
        <v/>
      </c>
      <c r="BK400" s="39" t="str">
        <f>IFERROR(bütünleme!BV97*100/bütünleme!$I97,"")</f>
        <v/>
      </c>
      <c r="BL400" s="39" t="str">
        <f>IFERROR(bütünleme!BW97*100/bütünleme!$I97,"")</f>
        <v/>
      </c>
      <c r="BM400" s="39" t="str">
        <f>IFERROR(bütünleme!BX97*100/bütünleme!$I97,"")</f>
        <v/>
      </c>
      <c r="BN400" s="39" t="str">
        <f>IFERROR(bütünleme!BY97*100/bütünleme!$I97,"")</f>
        <v/>
      </c>
      <c r="BO400" s="39" t="str">
        <f>IFERROR(bütünleme!BZ97*100/bütünleme!$I97,"")</f>
        <v/>
      </c>
      <c r="BP400" s="39" t="str">
        <f>IFERROR(bütünleme!CA97*100/bütünleme!$I97,"")</f>
        <v/>
      </c>
      <c r="BQ400" s="39" t="str">
        <f>IFERROR(bütünleme!CB97*100/bütünleme!$I97,"")</f>
        <v/>
      </c>
      <c r="BR400" s="39" t="str">
        <f>IFERROR(bütünleme!CC97*100/bütünleme!$I97,"")</f>
        <v/>
      </c>
      <c r="BS400" s="39" t="str">
        <f>IFERROR(bütünleme!CD97*100/bütünleme!$I97,"")</f>
        <v/>
      </c>
      <c r="BT400" s="39" t="str">
        <f>IFERROR(bütünleme!CE97*100/bütünleme!$I97,"")</f>
        <v/>
      </c>
      <c r="BU400" s="39" t="str">
        <f>IFERROR(bütünleme!CF97*100/bütünleme!$I97,"")</f>
        <v/>
      </c>
      <c r="BV400" s="39" t="str">
        <f>IFERROR(bütünleme!CG97*100/bütünleme!$I97,"")</f>
        <v/>
      </c>
      <c r="BW400" s="39" t="str">
        <f>IFERROR(bütünleme!CH97*100/bütünleme!$I97,"")</f>
        <v/>
      </c>
      <c r="BX400" s="39" t="str">
        <f>IFERROR(bütünleme!CI97*100/bütünleme!$I97,"")</f>
        <v/>
      </c>
      <c r="BY400" s="39" t="str">
        <f>IFERROR(bütünleme!CJ97*100/bütünleme!$I97,"")</f>
        <v/>
      </c>
      <c r="BZ400" s="39" t="str">
        <f>IFERROR(bütünleme!CK97*100/bütünleme!$I97,"")</f>
        <v/>
      </c>
      <c r="CA400" s="39" t="str">
        <f>IFERROR(bütünleme!CL97*100/bütünleme!$I97,"")</f>
        <v/>
      </c>
      <c r="CB400" s="39" t="str">
        <f>IFERROR(bütünleme!CM97*100/bütünleme!$I97,"")</f>
        <v/>
      </c>
      <c r="CC400" s="39" t="str">
        <f>IFERROR(bütünleme!CN97*100/bütünleme!$I97,"")</f>
        <v/>
      </c>
      <c r="CD400" s="39" t="str">
        <f>IFERROR(bütünleme!CO97*100/bütünleme!$I97,"")</f>
        <v/>
      </c>
      <c r="CE400" s="39" t="str">
        <f>IFERROR(bütünleme!CP97*100/bütünleme!$I97,"")</f>
        <v/>
      </c>
      <c r="CF400" s="39" t="str">
        <f>IFERROR(bütünleme!CQ97*100/bütünleme!$I97,"")</f>
        <v/>
      </c>
      <c r="CG400" s="39" t="str">
        <f>IFERROR(bütünleme!CR97*100/bütünleme!$I97,"")</f>
        <v/>
      </c>
      <c r="CH400" s="39" t="str">
        <f>IFERROR(bütünleme!CS97*100/bütünleme!$I97,"")</f>
        <v/>
      </c>
      <c r="CI400" s="39" t="str">
        <f>IFERROR(bütünleme!CT97*100/bütünleme!$I97,"")</f>
        <v/>
      </c>
      <c r="CJ400" s="39" t="str">
        <f>IFERROR(bütünleme!CU97*100/bütünleme!$I97,"")</f>
        <v/>
      </c>
      <c r="CK400" s="39" t="str">
        <f>IFERROR(bütünleme!CV97*100/bütünleme!$I97,"")</f>
        <v/>
      </c>
      <c r="CL400" s="39" t="str">
        <f>IFERROR(bütünleme!CW97*100/bütünleme!$I97,"")</f>
        <v/>
      </c>
      <c r="CM400" s="39" t="str">
        <f>IFERROR(bütünleme!CX97*100/bütünleme!$I97,"")</f>
        <v/>
      </c>
      <c r="CN400" s="39" t="str">
        <f>IFERROR(bütünleme!CY97*100/bütünleme!$I97,"")</f>
        <v/>
      </c>
      <c r="CO400" s="39" t="str">
        <f>IFERROR(bütünleme!CZ97*100/bütünleme!$I97,"")</f>
        <v/>
      </c>
      <c r="CP400" s="39" t="str">
        <f>IFERROR(bütünleme!DA97*100/bütünleme!$I97,"")</f>
        <v/>
      </c>
      <c r="CQ400" s="39" t="str">
        <f>IFERROR(bütünleme!DB97*100/bütünleme!$I97,"")</f>
        <v/>
      </c>
      <c r="CR400" s="39" t="str">
        <f>IFERROR(bütünleme!DC97*100/bütünleme!$I97,"")</f>
        <v/>
      </c>
      <c r="CS400" s="39" t="str">
        <f>IFERROR(bütünleme!DD97*100/bütünleme!$I97,"")</f>
        <v/>
      </c>
      <c r="CT400" s="39" t="str">
        <f>IFERROR(bütünleme!DE97*100/bütünleme!$I97,"")</f>
        <v/>
      </c>
      <c r="CU400" s="39" t="str">
        <f>IFERROR(bütünleme!DF97*100/bütünleme!$I97,"")</f>
        <v/>
      </c>
      <c r="CV400" s="39" t="str">
        <f>IFERROR(bütünleme!DG97*100/bütünleme!$I97,"")</f>
        <v/>
      </c>
      <c r="CW400" s="36" t="str">
        <f>IFERROR(SUM(A400:CV400)/bütünleme!$DH$103,"")</f>
        <v/>
      </c>
      <c r="CX400" s="14" t="str">
        <f>IF(COUNTA(bütünleme!A97),bütünleme!A97,"")</f>
        <v/>
      </c>
      <c r="CY400" s="14" t="str">
        <f>IF(COUNTA(bütünleme!B97),bütünleme!B97,"")</f>
        <v/>
      </c>
      <c r="CZ400" s="14" t="str">
        <f>IF(COUNTA(bütünleme!C97),bütünleme!C97,"")</f>
        <v/>
      </c>
      <c r="DA400" s="14" t="str">
        <f>IF(COUNTA(bütünleme!D97),bütünleme!D97,"")</f>
        <v/>
      </c>
      <c r="DB400" s="14" t="str">
        <f>IF(COUNTA(bütünleme!E97),bütünleme!E97,"")</f>
        <v/>
      </c>
      <c r="DC400" s="14" t="str">
        <f>IF(COUNTA(bütünleme!F97),bütünleme!F97,"")</f>
        <v/>
      </c>
      <c r="DD400" s="14" t="str">
        <f>IF(COUNTA(bütünleme!G97),bütünleme!G97,"")</f>
        <v/>
      </c>
      <c r="DE400" s="14" t="str">
        <f>IF(COUNTA(bütünleme!H97),bütünleme!H97,"")</f>
        <v/>
      </c>
    </row>
    <row r="401" spans="1:118" x14ac:dyDescent="0.2">
      <c r="A401" s="39" t="str">
        <f>IFERROR(bütünleme!L98*100/bütünleme!$I98,"")</f>
        <v/>
      </c>
      <c r="B401" s="39" t="str">
        <f>IFERROR(bütünleme!M98*100/bütünleme!$I98,"")</f>
        <v/>
      </c>
      <c r="C401" s="39" t="str">
        <f>IFERROR(bütünleme!N98*100/bütünleme!$I98,"")</f>
        <v/>
      </c>
      <c r="D401" s="39" t="str">
        <f>IFERROR(bütünleme!O98*100/bütünleme!$I98,"")</f>
        <v/>
      </c>
      <c r="E401" s="39" t="str">
        <f>IFERROR(bütünleme!P98*100/bütünleme!$I98,"")</f>
        <v/>
      </c>
      <c r="F401" s="39" t="str">
        <f>IFERROR(bütünleme!Q98*100/bütünleme!$I98,"")</f>
        <v/>
      </c>
      <c r="G401" s="39" t="str">
        <f>IFERROR(bütünleme!R98*100/bütünleme!$I98,"")</f>
        <v/>
      </c>
      <c r="H401" s="39" t="str">
        <f>IFERROR(bütünleme!S98*100/bütünleme!$I98,"")</f>
        <v/>
      </c>
      <c r="I401" s="39" t="str">
        <f>IFERROR(bütünleme!T98*100/bütünleme!$I98,"")</f>
        <v/>
      </c>
      <c r="J401" s="39" t="str">
        <f>IFERROR(bütünleme!U98*100/bütünleme!$I98,"")</f>
        <v/>
      </c>
      <c r="K401" s="39" t="str">
        <f>IFERROR(bütünleme!V98*100/bütünleme!$I98,"")</f>
        <v/>
      </c>
      <c r="L401" s="39" t="str">
        <f>IFERROR(bütünleme!W98*100/bütünleme!$I98,"")</f>
        <v/>
      </c>
      <c r="M401" s="39" t="str">
        <f>IFERROR(bütünleme!X98*100/bütünleme!$I98,"")</f>
        <v/>
      </c>
      <c r="N401" s="39" t="str">
        <f>IFERROR(bütünleme!Y98*100/bütünleme!$I98,"")</f>
        <v/>
      </c>
      <c r="O401" s="39" t="str">
        <f>IFERROR(bütünleme!Z98*100/bütünleme!$I98,"")</f>
        <v/>
      </c>
      <c r="P401" s="39" t="str">
        <f>IFERROR(bütünleme!AA98*100/bütünleme!$I98,"")</f>
        <v/>
      </c>
      <c r="Q401" s="39" t="str">
        <f>IFERROR(bütünleme!AB98*100/bütünleme!$I98,"")</f>
        <v/>
      </c>
      <c r="R401" s="39" t="str">
        <f>IFERROR(bütünleme!AC98*100/bütünleme!$I98,"")</f>
        <v/>
      </c>
      <c r="S401" s="39" t="str">
        <f>IFERROR(bütünleme!AD98*100/bütünleme!$I98,"")</f>
        <v/>
      </c>
      <c r="T401" s="39" t="str">
        <f>IFERROR(bütünleme!AE98*100/bütünleme!$I98,"")</f>
        <v/>
      </c>
      <c r="U401" s="39" t="str">
        <f>IFERROR(bütünleme!AF98*100/bütünleme!$I98,"")</f>
        <v/>
      </c>
      <c r="V401" s="39" t="str">
        <f>IFERROR(bütünleme!AG98*100/bütünleme!$I98,"")</f>
        <v/>
      </c>
      <c r="W401" s="39" t="str">
        <f>IFERROR(bütünleme!AH98*100/bütünleme!$I98,"")</f>
        <v/>
      </c>
      <c r="X401" s="39" t="str">
        <f>IFERROR(bütünleme!AI98*100/bütünleme!$I98,"")</f>
        <v/>
      </c>
      <c r="Y401" s="39" t="str">
        <f>IFERROR(bütünleme!AJ98*100/bütünleme!$I98,"")</f>
        <v/>
      </c>
      <c r="Z401" s="39" t="str">
        <f>IFERROR(bütünleme!AK98*100/bütünleme!$I98,"")</f>
        <v/>
      </c>
      <c r="AA401" s="39" t="str">
        <f>IFERROR(bütünleme!AL98*100/bütünleme!$I98,"")</f>
        <v/>
      </c>
      <c r="AB401" s="39" t="str">
        <f>IFERROR(bütünleme!AM98*100/bütünleme!$I98,"")</f>
        <v/>
      </c>
      <c r="AC401" s="39" t="str">
        <f>IFERROR(bütünleme!AN98*100/bütünleme!$I98,"")</f>
        <v/>
      </c>
      <c r="AD401" s="39" t="str">
        <f>IFERROR(bütünleme!AO98*100/bütünleme!$I98,"")</f>
        <v/>
      </c>
      <c r="AE401" s="39" t="str">
        <f>IFERROR(bütünleme!AP98*100/bütünleme!$I98,"")</f>
        <v/>
      </c>
      <c r="AF401" s="39" t="str">
        <f>IFERROR(bütünleme!AQ98*100/bütünleme!$I98,"")</f>
        <v/>
      </c>
      <c r="AG401" s="39" t="str">
        <f>IFERROR(bütünleme!AR98*100/bütünleme!$I98,"")</f>
        <v/>
      </c>
      <c r="AH401" s="39" t="str">
        <f>IFERROR(bütünleme!AS98*100/bütünleme!$I98,"")</f>
        <v/>
      </c>
      <c r="AI401" s="39" t="str">
        <f>IFERROR(bütünleme!AT98*100/bütünleme!$I98,"")</f>
        <v/>
      </c>
      <c r="AJ401" s="39" t="str">
        <f>IFERROR(bütünleme!AU98*100/bütünleme!$I98,"")</f>
        <v/>
      </c>
      <c r="AK401" s="39" t="str">
        <f>IFERROR(bütünleme!AV98*100/bütünleme!$I98,"")</f>
        <v/>
      </c>
      <c r="AL401" s="39" t="str">
        <f>IFERROR(bütünleme!AW98*100/bütünleme!$I98,"")</f>
        <v/>
      </c>
      <c r="AM401" s="39" t="str">
        <f>IFERROR(bütünleme!AX98*100/bütünleme!$I98,"")</f>
        <v/>
      </c>
      <c r="AN401" s="39" t="str">
        <f>IFERROR(bütünleme!AY98*100/bütünleme!$I98,"")</f>
        <v/>
      </c>
      <c r="AO401" s="39" t="str">
        <f>IFERROR(bütünleme!AZ98*100/bütünleme!$I98,"")</f>
        <v/>
      </c>
      <c r="AP401" s="39" t="str">
        <f>IFERROR(bütünleme!BA98*100/bütünleme!$I98,"")</f>
        <v/>
      </c>
      <c r="AQ401" s="39" t="str">
        <f>IFERROR(bütünleme!BB98*100/bütünleme!$I98,"")</f>
        <v/>
      </c>
      <c r="AR401" s="39" t="str">
        <f>IFERROR(bütünleme!BC98*100/bütünleme!$I98,"")</f>
        <v/>
      </c>
      <c r="AS401" s="39" t="str">
        <f>IFERROR(bütünleme!BD98*100/bütünleme!$I98,"")</f>
        <v/>
      </c>
      <c r="AT401" s="39" t="str">
        <f>IFERROR(bütünleme!BE98*100/bütünleme!$I98,"")</f>
        <v/>
      </c>
      <c r="AU401" s="39" t="str">
        <f>IFERROR(bütünleme!BF98*100/bütünleme!$I98,"")</f>
        <v/>
      </c>
      <c r="AV401" s="39" t="str">
        <f>IFERROR(bütünleme!BG98*100/bütünleme!$I98,"")</f>
        <v/>
      </c>
      <c r="AW401" s="39" t="str">
        <f>IFERROR(bütünleme!BH98*100/bütünleme!$I98,"")</f>
        <v/>
      </c>
      <c r="AX401" s="39" t="str">
        <f>IFERROR(bütünleme!BI98*100/bütünleme!$I98,"")</f>
        <v/>
      </c>
      <c r="AY401" s="39" t="str">
        <f>IFERROR(bütünleme!BJ98*100/bütünleme!$I98,"")</f>
        <v/>
      </c>
      <c r="AZ401" s="39" t="str">
        <f>IFERROR(bütünleme!BK98*100/bütünleme!$I98,"")</f>
        <v/>
      </c>
      <c r="BA401" s="39" t="str">
        <f>IFERROR(bütünleme!BL98*100/bütünleme!$I98,"")</f>
        <v/>
      </c>
      <c r="BB401" s="39" t="str">
        <f>IFERROR(bütünleme!BM98*100/bütünleme!$I98,"")</f>
        <v/>
      </c>
      <c r="BC401" s="39" t="str">
        <f>IFERROR(bütünleme!BN98*100/bütünleme!$I98,"")</f>
        <v/>
      </c>
      <c r="BD401" s="39" t="str">
        <f>IFERROR(bütünleme!BO98*100/bütünleme!$I98,"")</f>
        <v/>
      </c>
      <c r="BE401" s="39" t="str">
        <f>IFERROR(bütünleme!BP98*100/bütünleme!$I98,"")</f>
        <v/>
      </c>
      <c r="BF401" s="39" t="str">
        <f>IFERROR(bütünleme!BQ98*100/bütünleme!$I98,"")</f>
        <v/>
      </c>
      <c r="BG401" s="39" t="str">
        <f>IFERROR(bütünleme!BR98*100/bütünleme!$I98,"")</f>
        <v/>
      </c>
      <c r="BH401" s="39" t="str">
        <f>IFERROR(bütünleme!BS98*100/bütünleme!$I98,"")</f>
        <v/>
      </c>
      <c r="BI401" s="39" t="str">
        <f>IFERROR(bütünleme!BT98*100/bütünleme!$I98,"")</f>
        <v/>
      </c>
      <c r="BJ401" s="39" t="str">
        <f>IFERROR(bütünleme!BU98*100/bütünleme!$I98,"")</f>
        <v/>
      </c>
      <c r="BK401" s="39" t="str">
        <f>IFERROR(bütünleme!BV98*100/bütünleme!$I98,"")</f>
        <v/>
      </c>
      <c r="BL401" s="39" t="str">
        <f>IFERROR(bütünleme!BW98*100/bütünleme!$I98,"")</f>
        <v/>
      </c>
      <c r="BM401" s="39" t="str">
        <f>IFERROR(bütünleme!BX98*100/bütünleme!$I98,"")</f>
        <v/>
      </c>
      <c r="BN401" s="39" t="str">
        <f>IFERROR(bütünleme!BY98*100/bütünleme!$I98,"")</f>
        <v/>
      </c>
      <c r="BO401" s="39" t="str">
        <f>IFERROR(bütünleme!BZ98*100/bütünleme!$I98,"")</f>
        <v/>
      </c>
      <c r="BP401" s="39" t="str">
        <f>IFERROR(bütünleme!CA98*100/bütünleme!$I98,"")</f>
        <v/>
      </c>
      <c r="BQ401" s="39" t="str">
        <f>IFERROR(bütünleme!CB98*100/bütünleme!$I98,"")</f>
        <v/>
      </c>
      <c r="BR401" s="39" t="str">
        <f>IFERROR(bütünleme!CC98*100/bütünleme!$I98,"")</f>
        <v/>
      </c>
      <c r="BS401" s="39" t="str">
        <f>IFERROR(bütünleme!CD98*100/bütünleme!$I98,"")</f>
        <v/>
      </c>
      <c r="BT401" s="39" t="str">
        <f>IFERROR(bütünleme!CE98*100/bütünleme!$I98,"")</f>
        <v/>
      </c>
      <c r="BU401" s="39" t="str">
        <f>IFERROR(bütünleme!CF98*100/bütünleme!$I98,"")</f>
        <v/>
      </c>
      <c r="BV401" s="39" t="str">
        <f>IFERROR(bütünleme!CG98*100/bütünleme!$I98,"")</f>
        <v/>
      </c>
      <c r="BW401" s="39" t="str">
        <f>IFERROR(bütünleme!CH98*100/bütünleme!$I98,"")</f>
        <v/>
      </c>
      <c r="BX401" s="39" t="str">
        <f>IFERROR(bütünleme!CI98*100/bütünleme!$I98,"")</f>
        <v/>
      </c>
      <c r="BY401" s="39" t="str">
        <f>IFERROR(bütünleme!CJ98*100/bütünleme!$I98,"")</f>
        <v/>
      </c>
      <c r="BZ401" s="39" t="str">
        <f>IFERROR(bütünleme!CK98*100/bütünleme!$I98,"")</f>
        <v/>
      </c>
      <c r="CA401" s="39" t="str">
        <f>IFERROR(bütünleme!CL98*100/bütünleme!$I98,"")</f>
        <v/>
      </c>
      <c r="CB401" s="39" t="str">
        <f>IFERROR(bütünleme!CM98*100/bütünleme!$I98,"")</f>
        <v/>
      </c>
      <c r="CC401" s="39" t="str">
        <f>IFERROR(bütünleme!CN98*100/bütünleme!$I98,"")</f>
        <v/>
      </c>
      <c r="CD401" s="39" t="str">
        <f>IFERROR(bütünleme!CO98*100/bütünleme!$I98,"")</f>
        <v/>
      </c>
      <c r="CE401" s="39" t="str">
        <f>IFERROR(bütünleme!CP98*100/bütünleme!$I98,"")</f>
        <v/>
      </c>
      <c r="CF401" s="39" t="str">
        <f>IFERROR(bütünleme!CQ98*100/bütünleme!$I98,"")</f>
        <v/>
      </c>
      <c r="CG401" s="39" t="str">
        <f>IFERROR(bütünleme!CR98*100/bütünleme!$I98,"")</f>
        <v/>
      </c>
      <c r="CH401" s="39" t="str">
        <f>IFERROR(bütünleme!CS98*100/bütünleme!$I98,"")</f>
        <v/>
      </c>
      <c r="CI401" s="39" t="str">
        <f>IFERROR(bütünleme!CT98*100/bütünleme!$I98,"")</f>
        <v/>
      </c>
      <c r="CJ401" s="39" t="str">
        <f>IFERROR(bütünleme!CU98*100/bütünleme!$I98,"")</f>
        <v/>
      </c>
      <c r="CK401" s="39" t="str">
        <f>IFERROR(bütünleme!CV98*100/bütünleme!$I98,"")</f>
        <v/>
      </c>
      <c r="CL401" s="39" t="str">
        <f>IFERROR(bütünleme!CW98*100/bütünleme!$I98,"")</f>
        <v/>
      </c>
      <c r="CM401" s="39" t="str">
        <f>IFERROR(bütünleme!CX98*100/bütünleme!$I98,"")</f>
        <v/>
      </c>
      <c r="CN401" s="39" t="str">
        <f>IFERROR(bütünleme!CY98*100/bütünleme!$I98,"")</f>
        <v/>
      </c>
      <c r="CO401" s="39" t="str">
        <f>IFERROR(bütünleme!CZ98*100/bütünleme!$I98,"")</f>
        <v/>
      </c>
      <c r="CP401" s="39" t="str">
        <f>IFERROR(bütünleme!DA98*100/bütünleme!$I98,"")</f>
        <v/>
      </c>
      <c r="CQ401" s="39" t="str">
        <f>IFERROR(bütünleme!DB98*100/bütünleme!$I98,"")</f>
        <v/>
      </c>
      <c r="CR401" s="39" t="str">
        <f>IFERROR(bütünleme!DC98*100/bütünleme!$I98,"")</f>
        <v/>
      </c>
      <c r="CS401" s="39" t="str">
        <f>IFERROR(bütünleme!DD98*100/bütünleme!$I98,"")</f>
        <v/>
      </c>
      <c r="CT401" s="39" t="str">
        <f>IFERROR(bütünleme!DE98*100/bütünleme!$I98,"")</f>
        <v/>
      </c>
      <c r="CU401" s="39" t="str">
        <f>IFERROR(bütünleme!DF98*100/bütünleme!$I98,"")</f>
        <v/>
      </c>
      <c r="CV401" s="39" t="str">
        <f>IFERROR(bütünleme!DG98*100/bütünleme!$I98,"")</f>
        <v/>
      </c>
      <c r="CW401" s="36" t="str">
        <f>IFERROR(SUM(A401:CV401)/bütünleme!$DH$103,"")</f>
        <v/>
      </c>
      <c r="CX401" s="14" t="str">
        <f>IF(COUNTA(bütünleme!A98),bütünleme!A98,"")</f>
        <v/>
      </c>
      <c r="CY401" s="14" t="str">
        <f>IF(COUNTA(bütünleme!B98),bütünleme!B98,"")</f>
        <v/>
      </c>
      <c r="CZ401" s="14" t="str">
        <f>IF(COUNTA(bütünleme!C98),bütünleme!C98,"")</f>
        <v/>
      </c>
      <c r="DA401" s="14" t="str">
        <f>IF(COUNTA(bütünleme!D98),bütünleme!D98,"")</f>
        <v/>
      </c>
      <c r="DB401" s="14" t="str">
        <f>IF(COUNTA(bütünleme!E98),bütünleme!E98,"")</f>
        <v/>
      </c>
      <c r="DC401" s="14" t="str">
        <f>IF(COUNTA(bütünleme!F98),bütünleme!F98,"")</f>
        <v/>
      </c>
      <c r="DD401" s="14" t="str">
        <f>IF(COUNTA(bütünleme!G98),bütünleme!G98,"")</f>
        <v/>
      </c>
      <c r="DE401" s="14" t="str">
        <f>IF(COUNTA(bütünleme!H98),bütünleme!H98,"")</f>
        <v/>
      </c>
    </row>
    <row r="402" spans="1:118" x14ac:dyDescent="0.2">
      <c r="A402" s="39" t="str">
        <f>IFERROR(bütünleme!L99*100/bütünleme!$I99,"")</f>
        <v/>
      </c>
      <c r="B402" s="39" t="str">
        <f>IFERROR(bütünleme!M99*100/bütünleme!$I99,"")</f>
        <v/>
      </c>
      <c r="C402" s="39" t="str">
        <f>IFERROR(bütünleme!N99*100/bütünleme!$I99,"")</f>
        <v/>
      </c>
      <c r="D402" s="39" t="str">
        <f>IFERROR(bütünleme!O99*100/bütünleme!$I99,"")</f>
        <v/>
      </c>
      <c r="E402" s="39" t="str">
        <f>IFERROR(bütünleme!P99*100/bütünleme!$I99,"")</f>
        <v/>
      </c>
      <c r="F402" s="39" t="str">
        <f>IFERROR(bütünleme!Q99*100/bütünleme!$I99,"")</f>
        <v/>
      </c>
      <c r="G402" s="39" t="str">
        <f>IFERROR(bütünleme!R99*100/bütünleme!$I99,"")</f>
        <v/>
      </c>
      <c r="H402" s="39" t="str">
        <f>IFERROR(bütünleme!S99*100/bütünleme!$I99,"")</f>
        <v/>
      </c>
      <c r="I402" s="39" t="str">
        <f>IFERROR(bütünleme!T99*100/bütünleme!$I99,"")</f>
        <v/>
      </c>
      <c r="J402" s="39" t="str">
        <f>IFERROR(bütünleme!U99*100/bütünleme!$I99,"")</f>
        <v/>
      </c>
      <c r="K402" s="39" t="str">
        <f>IFERROR(bütünleme!V99*100/bütünleme!$I99,"")</f>
        <v/>
      </c>
      <c r="L402" s="39" t="str">
        <f>IFERROR(bütünleme!W99*100/bütünleme!$I99,"")</f>
        <v/>
      </c>
      <c r="M402" s="39" t="str">
        <f>IFERROR(bütünleme!X99*100/bütünleme!$I99,"")</f>
        <v/>
      </c>
      <c r="N402" s="39" t="str">
        <f>IFERROR(bütünleme!Y99*100/bütünleme!$I99,"")</f>
        <v/>
      </c>
      <c r="O402" s="39" t="str">
        <f>IFERROR(bütünleme!Z99*100/bütünleme!$I99,"")</f>
        <v/>
      </c>
      <c r="P402" s="39" t="str">
        <f>IFERROR(bütünleme!AA99*100/bütünleme!$I99,"")</f>
        <v/>
      </c>
      <c r="Q402" s="39" t="str">
        <f>IFERROR(bütünleme!AB99*100/bütünleme!$I99,"")</f>
        <v/>
      </c>
      <c r="R402" s="39" t="str">
        <f>IFERROR(bütünleme!AC99*100/bütünleme!$I99,"")</f>
        <v/>
      </c>
      <c r="S402" s="39" t="str">
        <f>IFERROR(bütünleme!AD99*100/bütünleme!$I99,"")</f>
        <v/>
      </c>
      <c r="T402" s="39" t="str">
        <f>IFERROR(bütünleme!AE99*100/bütünleme!$I99,"")</f>
        <v/>
      </c>
      <c r="U402" s="39" t="str">
        <f>IFERROR(bütünleme!AF99*100/bütünleme!$I99,"")</f>
        <v/>
      </c>
      <c r="V402" s="39" t="str">
        <f>IFERROR(bütünleme!AG99*100/bütünleme!$I99,"")</f>
        <v/>
      </c>
      <c r="W402" s="39" t="str">
        <f>IFERROR(bütünleme!AH99*100/bütünleme!$I99,"")</f>
        <v/>
      </c>
      <c r="X402" s="39" t="str">
        <f>IFERROR(bütünleme!AI99*100/bütünleme!$I99,"")</f>
        <v/>
      </c>
      <c r="Y402" s="39" t="str">
        <f>IFERROR(bütünleme!AJ99*100/bütünleme!$I99,"")</f>
        <v/>
      </c>
      <c r="Z402" s="39" t="str">
        <f>IFERROR(bütünleme!AK99*100/bütünleme!$I99,"")</f>
        <v/>
      </c>
      <c r="AA402" s="39" t="str">
        <f>IFERROR(bütünleme!AL99*100/bütünleme!$I99,"")</f>
        <v/>
      </c>
      <c r="AB402" s="39" t="str">
        <f>IFERROR(bütünleme!AM99*100/bütünleme!$I99,"")</f>
        <v/>
      </c>
      <c r="AC402" s="39" t="str">
        <f>IFERROR(bütünleme!AN99*100/bütünleme!$I99,"")</f>
        <v/>
      </c>
      <c r="AD402" s="39" t="str">
        <f>IFERROR(bütünleme!AO99*100/bütünleme!$I99,"")</f>
        <v/>
      </c>
      <c r="AE402" s="39" t="str">
        <f>IFERROR(bütünleme!AP99*100/bütünleme!$I99,"")</f>
        <v/>
      </c>
      <c r="AF402" s="39" t="str">
        <f>IFERROR(bütünleme!AQ99*100/bütünleme!$I99,"")</f>
        <v/>
      </c>
      <c r="AG402" s="39" t="str">
        <f>IFERROR(bütünleme!AR99*100/bütünleme!$I99,"")</f>
        <v/>
      </c>
      <c r="AH402" s="39" t="str">
        <f>IFERROR(bütünleme!AS99*100/bütünleme!$I99,"")</f>
        <v/>
      </c>
      <c r="AI402" s="39" t="str">
        <f>IFERROR(bütünleme!AT99*100/bütünleme!$I99,"")</f>
        <v/>
      </c>
      <c r="AJ402" s="39" t="str">
        <f>IFERROR(bütünleme!AU99*100/bütünleme!$I99,"")</f>
        <v/>
      </c>
      <c r="AK402" s="39" t="str">
        <f>IFERROR(bütünleme!AV99*100/bütünleme!$I99,"")</f>
        <v/>
      </c>
      <c r="AL402" s="39" t="str">
        <f>IFERROR(bütünleme!AW99*100/bütünleme!$I99,"")</f>
        <v/>
      </c>
      <c r="AM402" s="39" t="str">
        <f>IFERROR(bütünleme!AX99*100/bütünleme!$I99,"")</f>
        <v/>
      </c>
      <c r="AN402" s="39" t="str">
        <f>IFERROR(bütünleme!AY99*100/bütünleme!$I99,"")</f>
        <v/>
      </c>
      <c r="AO402" s="39" t="str">
        <f>IFERROR(bütünleme!AZ99*100/bütünleme!$I99,"")</f>
        <v/>
      </c>
      <c r="AP402" s="39" t="str">
        <f>IFERROR(bütünleme!BA99*100/bütünleme!$I99,"")</f>
        <v/>
      </c>
      <c r="AQ402" s="39" t="str">
        <f>IFERROR(bütünleme!BB99*100/bütünleme!$I99,"")</f>
        <v/>
      </c>
      <c r="AR402" s="39" t="str">
        <f>IFERROR(bütünleme!BC99*100/bütünleme!$I99,"")</f>
        <v/>
      </c>
      <c r="AS402" s="39" t="str">
        <f>IFERROR(bütünleme!BD99*100/bütünleme!$I99,"")</f>
        <v/>
      </c>
      <c r="AT402" s="39" t="str">
        <f>IFERROR(bütünleme!BE99*100/bütünleme!$I99,"")</f>
        <v/>
      </c>
      <c r="AU402" s="39" t="str">
        <f>IFERROR(bütünleme!BF99*100/bütünleme!$I99,"")</f>
        <v/>
      </c>
      <c r="AV402" s="39" t="str">
        <f>IFERROR(bütünleme!BG99*100/bütünleme!$I99,"")</f>
        <v/>
      </c>
      <c r="AW402" s="39" t="str">
        <f>IFERROR(bütünleme!BH99*100/bütünleme!$I99,"")</f>
        <v/>
      </c>
      <c r="AX402" s="39" t="str">
        <f>IFERROR(bütünleme!BI99*100/bütünleme!$I99,"")</f>
        <v/>
      </c>
      <c r="AY402" s="39" t="str">
        <f>IFERROR(bütünleme!BJ99*100/bütünleme!$I99,"")</f>
        <v/>
      </c>
      <c r="AZ402" s="39" t="str">
        <f>IFERROR(bütünleme!BK99*100/bütünleme!$I99,"")</f>
        <v/>
      </c>
      <c r="BA402" s="39" t="str">
        <f>IFERROR(bütünleme!BL99*100/bütünleme!$I99,"")</f>
        <v/>
      </c>
      <c r="BB402" s="39" t="str">
        <f>IFERROR(bütünleme!BM99*100/bütünleme!$I99,"")</f>
        <v/>
      </c>
      <c r="BC402" s="39" t="str">
        <f>IFERROR(bütünleme!BN99*100/bütünleme!$I99,"")</f>
        <v/>
      </c>
      <c r="BD402" s="39" t="str">
        <f>IFERROR(bütünleme!BO99*100/bütünleme!$I99,"")</f>
        <v/>
      </c>
      <c r="BE402" s="39" t="str">
        <f>IFERROR(bütünleme!BP99*100/bütünleme!$I99,"")</f>
        <v/>
      </c>
      <c r="BF402" s="39" t="str">
        <f>IFERROR(bütünleme!BQ99*100/bütünleme!$I99,"")</f>
        <v/>
      </c>
      <c r="BG402" s="39" t="str">
        <f>IFERROR(bütünleme!BR99*100/bütünleme!$I99,"")</f>
        <v/>
      </c>
      <c r="BH402" s="39" t="str">
        <f>IFERROR(bütünleme!BS99*100/bütünleme!$I99,"")</f>
        <v/>
      </c>
      <c r="BI402" s="39" t="str">
        <f>IFERROR(bütünleme!BT99*100/bütünleme!$I99,"")</f>
        <v/>
      </c>
      <c r="BJ402" s="39" t="str">
        <f>IFERROR(bütünleme!BU99*100/bütünleme!$I99,"")</f>
        <v/>
      </c>
      <c r="BK402" s="39" t="str">
        <f>IFERROR(bütünleme!BV99*100/bütünleme!$I99,"")</f>
        <v/>
      </c>
      <c r="BL402" s="39" t="str">
        <f>IFERROR(bütünleme!BW99*100/bütünleme!$I99,"")</f>
        <v/>
      </c>
      <c r="BM402" s="39" t="str">
        <f>IFERROR(bütünleme!BX99*100/bütünleme!$I99,"")</f>
        <v/>
      </c>
      <c r="BN402" s="39" t="str">
        <f>IFERROR(bütünleme!BY99*100/bütünleme!$I99,"")</f>
        <v/>
      </c>
      <c r="BO402" s="39" t="str">
        <f>IFERROR(bütünleme!BZ99*100/bütünleme!$I99,"")</f>
        <v/>
      </c>
      <c r="BP402" s="39" t="str">
        <f>IFERROR(bütünleme!CA99*100/bütünleme!$I99,"")</f>
        <v/>
      </c>
      <c r="BQ402" s="39" t="str">
        <f>IFERROR(bütünleme!CB99*100/bütünleme!$I99,"")</f>
        <v/>
      </c>
      <c r="BR402" s="39" t="str">
        <f>IFERROR(bütünleme!CC99*100/bütünleme!$I99,"")</f>
        <v/>
      </c>
      <c r="BS402" s="39" t="str">
        <f>IFERROR(bütünleme!CD99*100/bütünleme!$I99,"")</f>
        <v/>
      </c>
      <c r="BT402" s="39" t="str">
        <f>IFERROR(bütünleme!CE99*100/bütünleme!$I99,"")</f>
        <v/>
      </c>
      <c r="BU402" s="39" t="str">
        <f>IFERROR(bütünleme!CF99*100/bütünleme!$I99,"")</f>
        <v/>
      </c>
      <c r="BV402" s="39" t="str">
        <f>IFERROR(bütünleme!CG99*100/bütünleme!$I99,"")</f>
        <v/>
      </c>
      <c r="BW402" s="39" t="str">
        <f>IFERROR(bütünleme!CH99*100/bütünleme!$I99,"")</f>
        <v/>
      </c>
      <c r="BX402" s="39" t="str">
        <f>IFERROR(bütünleme!CI99*100/bütünleme!$I99,"")</f>
        <v/>
      </c>
      <c r="BY402" s="39" t="str">
        <f>IFERROR(bütünleme!CJ99*100/bütünleme!$I99,"")</f>
        <v/>
      </c>
      <c r="BZ402" s="39" t="str">
        <f>IFERROR(bütünleme!CK99*100/bütünleme!$I99,"")</f>
        <v/>
      </c>
      <c r="CA402" s="39" t="str">
        <f>IFERROR(bütünleme!CL99*100/bütünleme!$I99,"")</f>
        <v/>
      </c>
      <c r="CB402" s="39" t="str">
        <f>IFERROR(bütünleme!CM99*100/bütünleme!$I99,"")</f>
        <v/>
      </c>
      <c r="CC402" s="39" t="str">
        <f>IFERROR(bütünleme!CN99*100/bütünleme!$I99,"")</f>
        <v/>
      </c>
      <c r="CD402" s="39" t="str">
        <f>IFERROR(bütünleme!CO99*100/bütünleme!$I99,"")</f>
        <v/>
      </c>
      <c r="CE402" s="39" t="str">
        <f>IFERROR(bütünleme!CP99*100/bütünleme!$I99,"")</f>
        <v/>
      </c>
      <c r="CF402" s="39" t="str">
        <f>IFERROR(bütünleme!CQ99*100/bütünleme!$I99,"")</f>
        <v/>
      </c>
      <c r="CG402" s="39" t="str">
        <f>IFERROR(bütünleme!CR99*100/bütünleme!$I99,"")</f>
        <v/>
      </c>
      <c r="CH402" s="39" t="str">
        <f>IFERROR(bütünleme!CS99*100/bütünleme!$I99,"")</f>
        <v/>
      </c>
      <c r="CI402" s="39" t="str">
        <f>IFERROR(bütünleme!CT99*100/bütünleme!$I99,"")</f>
        <v/>
      </c>
      <c r="CJ402" s="39" t="str">
        <f>IFERROR(bütünleme!CU99*100/bütünleme!$I99,"")</f>
        <v/>
      </c>
      <c r="CK402" s="39" t="str">
        <f>IFERROR(bütünleme!CV99*100/bütünleme!$I99,"")</f>
        <v/>
      </c>
      <c r="CL402" s="39" t="str">
        <f>IFERROR(bütünleme!CW99*100/bütünleme!$I99,"")</f>
        <v/>
      </c>
      <c r="CM402" s="39" t="str">
        <f>IFERROR(bütünleme!CX99*100/bütünleme!$I99,"")</f>
        <v/>
      </c>
      <c r="CN402" s="39" t="str">
        <f>IFERROR(bütünleme!CY99*100/bütünleme!$I99,"")</f>
        <v/>
      </c>
      <c r="CO402" s="39" t="str">
        <f>IFERROR(bütünleme!CZ99*100/bütünleme!$I99,"")</f>
        <v/>
      </c>
      <c r="CP402" s="39" t="str">
        <f>IFERROR(bütünleme!DA99*100/bütünleme!$I99,"")</f>
        <v/>
      </c>
      <c r="CQ402" s="39" t="str">
        <f>IFERROR(bütünleme!DB99*100/bütünleme!$I99,"")</f>
        <v/>
      </c>
      <c r="CR402" s="39" t="str">
        <f>IFERROR(bütünleme!DC99*100/bütünleme!$I99,"")</f>
        <v/>
      </c>
      <c r="CS402" s="39" t="str">
        <f>IFERROR(bütünleme!DD99*100/bütünleme!$I99,"")</f>
        <v/>
      </c>
      <c r="CT402" s="39" t="str">
        <f>IFERROR(bütünleme!DE99*100/bütünleme!$I99,"")</f>
        <v/>
      </c>
      <c r="CU402" s="39" t="str">
        <f>IFERROR(bütünleme!DF99*100/bütünleme!$I99,"")</f>
        <v/>
      </c>
      <c r="CV402" s="39" t="str">
        <f>IFERROR(bütünleme!DG99*100/bütünleme!$I99,"")</f>
        <v/>
      </c>
      <c r="CW402" s="36" t="str">
        <f>IFERROR(SUM(A402:CV402)/bütünleme!$DH$103,"")</f>
        <v/>
      </c>
      <c r="CX402" s="14" t="str">
        <f>IF(COUNTA(bütünleme!A99),bütünleme!A99,"")</f>
        <v/>
      </c>
      <c r="CY402" s="14" t="str">
        <f>IF(COUNTA(bütünleme!B99),bütünleme!B99,"")</f>
        <v/>
      </c>
      <c r="CZ402" s="14" t="str">
        <f>IF(COUNTA(bütünleme!C99),bütünleme!C99,"")</f>
        <v/>
      </c>
      <c r="DA402" s="14" t="str">
        <f>IF(COUNTA(bütünleme!D99),bütünleme!D99,"")</f>
        <v/>
      </c>
      <c r="DB402" s="14" t="str">
        <f>IF(COUNTA(bütünleme!E99),bütünleme!E99,"")</f>
        <v/>
      </c>
      <c r="DC402" s="14" t="str">
        <f>IF(COUNTA(bütünleme!F99),bütünleme!F99,"")</f>
        <v/>
      </c>
      <c r="DD402" s="14" t="str">
        <f>IF(COUNTA(bütünleme!G99),bütünleme!G99,"")</f>
        <v/>
      </c>
      <c r="DE402" s="14" t="str">
        <f>IF(COUNTA(bütünleme!H99),bütünleme!H99,"")</f>
        <v/>
      </c>
    </row>
    <row r="403" spans="1:118" x14ac:dyDescent="0.2">
      <c r="A403" s="39" t="str">
        <f>IFERROR(bütünleme!L100*100/bütünleme!$I100,"")</f>
        <v/>
      </c>
      <c r="B403" s="39" t="str">
        <f>IFERROR(bütünleme!M100*100/bütünleme!$I100,"")</f>
        <v/>
      </c>
      <c r="C403" s="39" t="str">
        <f>IFERROR(bütünleme!N100*100/bütünleme!$I100,"")</f>
        <v/>
      </c>
      <c r="D403" s="39" t="str">
        <f>IFERROR(bütünleme!O100*100/bütünleme!$I100,"")</f>
        <v/>
      </c>
      <c r="E403" s="39" t="str">
        <f>IFERROR(bütünleme!P100*100/bütünleme!$I100,"")</f>
        <v/>
      </c>
      <c r="F403" s="39" t="str">
        <f>IFERROR(bütünleme!Q100*100/bütünleme!$I100,"")</f>
        <v/>
      </c>
      <c r="G403" s="39" t="str">
        <f>IFERROR(bütünleme!R100*100/bütünleme!$I100,"")</f>
        <v/>
      </c>
      <c r="H403" s="39" t="str">
        <f>IFERROR(bütünleme!S100*100/bütünleme!$I100,"")</f>
        <v/>
      </c>
      <c r="I403" s="39" t="str">
        <f>IFERROR(bütünleme!T100*100/bütünleme!$I100,"")</f>
        <v/>
      </c>
      <c r="J403" s="39" t="str">
        <f>IFERROR(bütünleme!U100*100/bütünleme!$I100,"")</f>
        <v/>
      </c>
      <c r="K403" s="39" t="str">
        <f>IFERROR(bütünleme!V100*100/bütünleme!$I100,"")</f>
        <v/>
      </c>
      <c r="L403" s="39" t="str">
        <f>IFERROR(bütünleme!W100*100/bütünleme!$I100,"")</f>
        <v/>
      </c>
      <c r="M403" s="39" t="str">
        <f>IFERROR(bütünleme!X100*100/bütünleme!$I100,"")</f>
        <v/>
      </c>
      <c r="N403" s="39" t="str">
        <f>IFERROR(bütünleme!Y100*100/bütünleme!$I100,"")</f>
        <v/>
      </c>
      <c r="O403" s="39" t="str">
        <f>IFERROR(bütünleme!Z100*100/bütünleme!$I100,"")</f>
        <v/>
      </c>
      <c r="P403" s="39" t="str">
        <f>IFERROR(bütünleme!AA100*100/bütünleme!$I100,"")</f>
        <v/>
      </c>
      <c r="Q403" s="39" t="str">
        <f>IFERROR(bütünleme!AB100*100/bütünleme!$I100,"")</f>
        <v/>
      </c>
      <c r="R403" s="39" t="str">
        <f>IFERROR(bütünleme!AC100*100/bütünleme!$I100,"")</f>
        <v/>
      </c>
      <c r="S403" s="39" t="str">
        <f>IFERROR(bütünleme!AD100*100/bütünleme!$I100,"")</f>
        <v/>
      </c>
      <c r="T403" s="39" t="str">
        <f>IFERROR(bütünleme!AE100*100/bütünleme!$I100,"")</f>
        <v/>
      </c>
      <c r="U403" s="39" t="str">
        <f>IFERROR(bütünleme!AF100*100/bütünleme!$I100,"")</f>
        <v/>
      </c>
      <c r="V403" s="39" t="str">
        <f>IFERROR(bütünleme!AG100*100/bütünleme!$I100,"")</f>
        <v/>
      </c>
      <c r="W403" s="39" t="str">
        <f>IFERROR(bütünleme!AH100*100/bütünleme!$I100,"")</f>
        <v/>
      </c>
      <c r="X403" s="39" t="str">
        <f>IFERROR(bütünleme!AI100*100/bütünleme!$I100,"")</f>
        <v/>
      </c>
      <c r="Y403" s="39" t="str">
        <f>IFERROR(bütünleme!AJ100*100/bütünleme!$I100,"")</f>
        <v/>
      </c>
      <c r="Z403" s="39" t="str">
        <f>IFERROR(bütünleme!AK100*100/bütünleme!$I100,"")</f>
        <v/>
      </c>
      <c r="AA403" s="39" t="str">
        <f>IFERROR(bütünleme!AL100*100/bütünleme!$I100,"")</f>
        <v/>
      </c>
      <c r="AB403" s="39" t="str">
        <f>IFERROR(bütünleme!AM100*100/bütünleme!$I100,"")</f>
        <v/>
      </c>
      <c r="AC403" s="39" t="str">
        <f>IFERROR(bütünleme!AN100*100/bütünleme!$I100,"")</f>
        <v/>
      </c>
      <c r="AD403" s="39" t="str">
        <f>IFERROR(bütünleme!AO100*100/bütünleme!$I100,"")</f>
        <v/>
      </c>
      <c r="AE403" s="39" t="str">
        <f>IFERROR(bütünleme!AP100*100/bütünleme!$I100,"")</f>
        <v/>
      </c>
      <c r="AF403" s="39" t="str">
        <f>IFERROR(bütünleme!AQ100*100/bütünleme!$I100,"")</f>
        <v/>
      </c>
      <c r="AG403" s="39" t="str">
        <f>IFERROR(bütünleme!AR100*100/bütünleme!$I100,"")</f>
        <v/>
      </c>
      <c r="AH403" s="39" t="str">
        <f>IFERROR(bütünleme!AS100*100/bütünleme!$I100,"")</f>
        <v/>
      </c>
      <c r="AI403" s="39" t="str">
        <f>IFERROR(bütünleme!AT100*100/bütünleme!$I100,"")</f>
        <v/>
      </c>
      <c r="AJ403" s="39" t="str">
        <f>IFERROR(bütünleme!AU100*100/bütünleme!$I100,"")</f>
        <v/>
      </c>
      <c r="AK403" s="39" t="str">
        <f>IFERROR(bütünleme!AV100*100/bütünleme!$I100,"")</f>
        <v/>
      </c>
      <c r="AL403" s="39" t="str">
        <f>IFERROR(bütünleme!AW100*100/bütünleme!$I100,"")</f>
        <v/>
      </c>
      <c r="AM403" s="39" t="str">
        <f>IFERROR(bütünleme!AX100*100/bütünleme!$I100,"")</f>
        <v/>
      </c>
      <c r="AN403" s="39" t="str">
        <f>IFERROR(bütünleme!AY100*100/bütünleme!$I100,"")</f>
        <v/>
      </c>
      <c r="AO403" s="39" t="str">
        <f>IFERROR(bütünleme!AZ100*100/bütünleme!$I100,"")</f>
        <v/>
      </c>
      <c r="AP403" s="39" t="str">
        <f>IFERROR(bütünleme!BA100*100/bütünleme!$I100,"")</f>
        <v/>
      </c>
      <c r="AQ403" s="39" t="str">
        <f>IFERROR(bütünleme!BB100*100/bütünleme!$I100,"")</f>
        <v/>
      </c>
      <c r="AR403" s="39" t="str">
        <f>IFERROR(bütünleme!BC100*100/bütünleme!$I100,"")</f>
        <v/>
      </c>
      <c r="AS403" s="39" t="str">
        <f>IFERROR(bütünleme!BD100*100/bütünleme!$I100,"")</f>
        <v/>
      </c>
      <c r="AT403" s="39" t="str">
        <f>IFERROR(bütünleme!BE100*100/bütünleme!$I100,"")</f>
        <v/>
      </c>
      <c r="AU403" s="39" t="str">
        <f>IFERROR(bütünleme!BF100*100/bütünleme!$I100,"")</f>
        <v/>
      </c>
      <c r="AV403" s="39" t="str">
        <f>IFERROR(bütünleme!BG100*100/bütünleme!$I100,"")</f>
        <v/>
      </c>
      <c r="AW403" s="39" t="str">
        <f>IFERROR(bütünleme!BH100*100/bütünleme!$I100,"")</f>
        <v/>
      </c>
      <c r="AX403" s="39" t="str">
        <f>IFERROR(bütünleme!BI100*100/bütünleme!$I100,"")</f>
        <v/>
      </c>
      <c r="AY403" s="39" t="str">
        <f>IFERROR(bütünleme!BJ100*100/bütünleme!$I100,"")</f>
        <v/>
      </c>
      <c r="AZ403" s="39" t="str">
        <f>IFERROR(bütünleme!BK100*100/bütünleme!$I100,"")</f>
        <v/>
      </c>
      <c r="BA403" s="39" t="str">
        <f>IFERROR(bütünleme!BL100*100/bütünleme!$I100,"")</f>
        <v/>
      </c>
      <c r="BB403" s="39" t="str">
        <f>IFERROR(bütünleme!BM100*100/bütünleme!$I100,"")</f>
        <v/>
      </c>
      <c r="BC403" s="39" t="str">
        <f>IFERROR(bütünleme!BN100*100/bütünleme!$I100,"")</f>
        <v/>
      </c>
      <c r="BD403" s="39" t="str">
        <f>IFERROR(bütünleme!BO100*100/bütünleme!$I100,"")</f>
        <v/>
      </c>
      <c r="BE403" s="39" t="str">
        <f>IFERROR(bütünleme!BP100*100/bütünleme!$I100,"")</f>
        <v/>
      </c>
      <c r="BF403" s="39" t="str">
        <f>IFERROR(bütünleme!BQ100*100/bütünleme!$I100,"")</f>
        <v/>
      </c>
      <c r="BG403" s="39" t="str">
        <f>IFERROR(bütünleme!BR100*100/bütünleme!$I100,"")</f>
        <v/>
      </c>
      <c r="BH403" s="39" t="str">
        <f>IFERROR(bütünleme!BS100*100/bütünleme!$I100,"")</f>
        <v/>
      </c>
      <c r="BI403" s="39" t="str">
        <f>IFERROR(bütünleme!BT100*100/bütünleme!$I100,"")</f>
        <v/>
      </c>
      <c r="BJ403" s="39" t="str">
        <f>IFERROR(bütünleme!BU100*100/bütünleme!$I100,"")</f>
        <v/>
      </c>
      <c r="BK403" s="39" t="str">
        <f>IFERROR(bütünleme!BV100*100/bütünleme!$I100,"")</f>
        <v/>
      </c>
      <c r="BL403" s="39" t="str">
        <f>IFERROR(bütünleme!BW100*100/bütünleme!$I100,"")</f>
        <v/>
      </c>
      <c r="BM403" s="39" t="str">
        <f>IFERROR(bütünleme!BX100*100/bütünleme!$I100,"")</f>
        <v/>
      </c>
      <c r="BN403" s="39" t="str">
        <f>IFERROR(bütünleme!BY100*100/bütünleme!$I100,"")</f>
        <v/>
      </c>
      <c r="BO403" s="39" t="str">
        <f>IFERROR(bütünleme!BZ100*100/bütünleme!$I100,"")</f>
        <v/>
      </c>
      <c r="BP403" s="39" t="str">
        <f>IFERROR(bütünleme!CA100*100/bütünleme!$I100,"")</f>
        <v/>
      </c>
      <c r="BQ403" s="39" t="str">
        <f>IFERROR(bütünleme!CB100*100/bütünleme!$I100,"")</f>
        <v/>
      </c>
      <c r="BR403" s="39" t="str">
        <f>IFERROR(bütünleme!CC100*100/bütünleme!$I100,"")</f>
        <v/>
      </c>
      <c r="BS403" s="39" t="str">
        <f>IFERROR(bütünleme!CD100*100/bütünleme!$I100,"")</f>
        <v/>
      </c>
      <c r="BT403" s="39" t="str">
        <f>IFERROR(bütünleme!CE100*100/bütünleme!$I100,"")</f>
        <v/>
      </c>
      <c r="BU403" s="39" t="str">
        <f>IFERROR(bütünleme!CF100*100/bütünleme!$I100,"")</f>
        <v/>
      </c>
      <c r="BV403" s="39" t="str">
        <f>IFERROR(bütünleme!CG100*100/bütünleme!$I100,"")</f>
        <v/>
      </c>
      <c r="BW403" s="39" t="str">
        <f>IFERROR(bütünleme!CH100*100/bütünleme!$I100,"")</f>
        <v/>
      </c>
      <c r="BX403" s="39" t="str">
        <f>IFERROR(bütünleme!CI100*100/bütünleme!$I100,"")</f>
        <v/>
      </c>
      <c r="BY403" s="39" t="str">
        <f>IFERROR(bütünleme!CJ100*100/bütünleme!$I100,"")</f>
        <v/>
      </c>
      <c r="BZ403" s="39" t="str">
        <f>IFERROR(bütünleme!CK100*100/bütünleme!$I100,"")</f>
        <v/>
      </c>
      <c r="CA403" s="39" t="str">
        <f>IFERROR(bütünleme!CL100*100/bütünleme!$I100,"")</f>
        <v/>
      </c>
      <c r="CB403" s="39" t="str">
        <f>IFERROR(bütünleme!CM100*100/bütünleme!$I100,"")</f>
        <v/>
      </c>
      <c r="CC403" s="39" t="str">
        <f>IFERROR(bütünleme!CN100*100/bütünleme!$I100,"")</f>
        <v/>
      </c>
      <c r="CD403" s="39" t="str">
        <f>IFERROR(bütünleme!CO100*100/bütünleme!$I100,"")</f>
        <v/>
      </c>
      <c r="CE403" s="39" t="str">
        <f>IFERROR(bütünleme!CP100*100/bütünleme!$I100,"")</f>
        <v/>
      </c>
      <c r="CF403" s="39" t="str">
        <f>IFERROR(bütünleme!CQ100*100/bütünleme!$I100,"")</f>
        <v/>
      </c>
      <c r="CG403" s="39" t="str">
        <f>IFERROR(bütünleme!CR100*100/bütünleme!$I100,"")</f>
        <v/>
      </c>
      <c r="CH403" s="39" t="str">
        <f>IFERROR(bütünleme!CS100*100/bütünleme!$I100,"")</f>
        <v/>
      </c>
      <c r="CI403" s="39" t="str">
        <f>IFERROR(bütünleme!CT100*100/bütünleme!$I100,"")</f>
        <v/>
      </c>
      <c r="CJ403" s="39" t="str">
        <f>IFERROR(bütünleme!CU100*100/bütünleme!$I100,"")</f>
        <v/>
      </c>
      <c r="CK403" s="39" t="str">
        <f>IFERROR(bütünleme!CV100*100/bütünleme!$I100,"")</f>
        <v/>
      </c>
      <c r="CL403" s="39" t="str">
        <f>IFERROR(bütünleme!CW100*100/bütünleme!$I100,"")</f>
        <v/>
      </c>
      <c r="CM403" s="39" t="str">
        <f>IFERROR(bütünleme!CX100*100/bütünleme!$I100,"")</f>
        <v/>
      </c>
      <c r="CN403" s="39" t="str">
        <f>IFERROR(bütünleme!CY100*100/bütünleme!$I100,"")</f>
        <v/>
      </c>
      <c r="CO403" s="39" t="str">
        <f>IFERROR(bütünleme!CZ100*100/bütünleme!$I100,"")</f>
        <v/>
      </c>
      <c r="CP403" s="39" t="str">
        <f>IFERROR(bütünleme!DA100*100/bütünleme!$I100,"")</f>
        <v/>
      </c>
      <c r="CQ403" s="39" t="str">
        <f>IFERROR(bütünleme!DB100*100/bütünleme!$I100,"")</f>
        <v/>
      </c>
      <c r="CR403" s="39" t="str">
        <f>IFERROR(bütünleme!DC100*100/bütünleme!$I100,"")</f>
        <v/>
      </c>
      <c r="CS403" s="39" t="str">
        <f>IFERROR(bütünleme!DD100*100/bütünleme!$I100,"")</f>
        <v/>
      </c>
      <c r="CT403" s="39" t="str">
        <f>IFERROR(bütünleme!DE100*100/bütünleme!$I100,"")</f>
        <v/>
      </c>
      <c r="CU403" s="39" t="str">
        <f>IFERROR(bütünleme!DF100*100/bütünleme!$I100,"")</f>
        <v/>
      </c>
      <c r="CV403" s="39" t="str">
        <f>IFERROR(bütünleme!DG100*100/bütünleme!$I100,"")</f>
        <v/>
      </c>
      <c r="CW403" s="36" t="str">
        <f>IFERROR(SUM(A403:CV403)/bütünleme!$DH$103,"")</f>
        <v/>
      </c>
      <c r="CX403" s="14" t="str">
        <f>IF(COUNTA(bütünleme!A100),bütünleme!A100,"")</f>
        <v/>
      </c>
      <c r="CY403" s="14" t="str">
        <f>IF(COUNTA(bütünleme!B100),bütünleme!B100,"")</f>
        <v/>
      </c>
      <c r="CZ403" s="14" t="str">
        <f>IF(COUNTA(bütünleme!C100),bütünleme!C100,"")</f>
        <v/>
      </c>
      <c r="DA403" s="14" t="str">
        <f>IF(COUNTA(bütünleme!D100),bütünleme!D100,"")</f>
        <v/>
      </c>
      <c r="DB403" s="14" t="str">
        <f>IF(COUNTA(bütünleme!E100),bütünleme!E100,"")</f>
        <v/>
      </c>
      <c r="DC403" s="14" t="str">
        <f>IF(COUNTA(bütünleme!F100),bütünleme!F100,"")</f>
        <v/>
      </c>
      <c r="DD403" s="14" t="str">
        <f>IF(COUNTA(bütünleme!G100),bütünleme!G100,"")</f>
        <v/>
      </c>
      <c r="DE403" s="14" t="str">
        <f>IF(COUNTA(bütünleme!H100),bütünleme!H100,"")</f>
        <v/>
      </c>
    </row>
    <row r="404" spans="1:118" x14ac:dyDescent="0.2">
      <c r="A404" s="39" t="str">
        <f>IFERROR(bütünleme!L101*100/bütünleme!$I101,"")</f>
        <v/>
      </c>
      <c r="B404" s="39" t="str">
        <f>IFERROR(bütünleme!M101*100/bütünleme!$I101,"")</f>
        <v/>
      </c>
      <c r="C404" s="39" t="str">
        <f>IFERROR(bütünleme!N101*100/bütünleme!$I101,"")</f>
        <v/>
      </c>
      <c r="D404" s="39" t="str">
        <f>IFERROR(bütünleme!O101*100/bütünleme!$I101,"")</f>
        <v/>
      </c>
      <c r="E404" s="39" t="str">
        <f>IFERROR(bütünleme!P101*100/bütünleme!$I101,"")</f>
        <v/>
      </c>
      <c r="F404" s="39" t="str">
        <f>IFERROR(bütünleme!Q101*100/bütünleme!$I101,"")</f>
        <v/>
      </c>
      <c r="G404" s="39" t="str">
        <f>IFERROR(bütünleme!R101*100/bütünleme!$I101,"")</f>
        <v/>
      </c>
      <c r="H404" s="39" t="str">
        <f>IFERROR(bütünleme!S101*100/bütünleme!$I101,"")</f>
        <v/>
      </c>
      <c r="I404" s="39" t="str">
        <f>IFERROR(bütünleme!T101*100/bütünleme!$I101,"")</f>
        <v/>
      </c>
      <c r="J404" s="39" t="str">
        <f>IFERROR(bütünleme!U101*100/bütünleme!$I101,"")</f>
        <v/>
      </c>
      <c r="K404" s="39" t="str">
        <f>IFERROR(bütünleme!V101*100/bütünleme!$I101,"")</f>
        <v/>
      </c>
      <c r="L404" s="39" t="str">
        <f>IFERROR(bütünleme!W101*100/bütünleme!$I101,"")</f>
        <v/>
      </c>
      <c r="M404" s="39" t="str">
        <f>IFERROR(bütünleme!X101*100/bütünleme!$I101,"")</f>
        <v/>
      </c>
      <c r="N404" s="39" t="str">
        <f>IFERROR(bütünleme!Y101*100/bütünleme!$I101,"")</f>
        <v/>
      </c>
      <c r="O404" s="39" t="str">
        <f>IFERROR(bütünleme!Z101*100/bütünleme!$I101,"")</f>
        <v/>
      </c>
      <c r="P404" s="39" t="str">
        <f>IFERROR(bütünleme!AA101*100/bütünleme!$I101,"")</f>
        <v/>
      </c>
      <c r="Q404" s="39" t="str">
        <f>IFERROR(bütünleme!AB101*100/bütünleme!$I101,"")</f>
        <v/>
      </c>
      <c r="R404" s="39" t="str">
        <f>IFERROR(bütünleme!AC101*100/bütünleme!$I101,"")</f>
        <v/>
      </c>
      <c r="S404" s="39" t="str">
        <f>IFERROR(bütünleme!AD101*100/bütünleme!$I101,"")</f>
        <v/>
      </c>
      <c r="T404" s="39" t="str">
        <f>IFERROR(bütünleme!AE101*100/bütünleme!$I101,"")</f>
        <v/>
      </c>
      <c r="U404" s="39" t="str">
        <f>IFERROR(bütünleme!AF101*100/bütünleme!$I101,"")</f>
        <v/>
      </c>
      <c r="V404" s="39" t="str">
        <f>IFERROR(bütünleme!AG101*100/bütünleme!$I101,"")</f>
        <v/>
      </c>
      <c r="W404" s="39" t="str">
        <f>IFERROR(bütünleme!AH101*100/bütünleme!$I101,"")</f>
        <v/>
      </c>
      <c r="X404" s="39" t="str">
        <f>IFERROR(bütünleme!AI101*100/bütünleme!$I101,"")</f>
        <v/>
      </c>
      <c r="Y404" s="39" t="str">
        <f>IFERROR(bütünleme!AJ101*100/bütünleme!$I101,"")</f>
        <v/>
      </c>
      <c r="Z404" s="39" t="str">
        <f>IFERROR(bütünleme!AK101*100/bütünleme!$I101,"")</f>
        <v/>
      </c>
      <c r="AA404" s="39" t="str">
        <f>IFERROR(bütünleme!AL101*100/bütünleme!$I101,"")</f>
        <v/>
      </c>
      <c r="AB404" s="39" t="str">
        <f>IFERROR(bütünleme!AM101*100/bütünleme!$I101,"")</f>
        <v/>
      </c>
      <c r="AC404" s="39" t="str">
        <f>IFERROR(bütünleme!AN101*100/bütünleme!$I101,"")</f>
        <v/>
      </c>
      <c r="AD404" s="39" t="str">
        <f>IFERROR(bütünleme!AO101*100/bütünleme!$I101,"")</f>
        <v/>
      </c>
      <c r="AE404" s="39" t="str">
        <f>IFERROR(bütünleme!AP101*100/bütünleme!$I101,"")</f>
        <v/>
      </c>
      <c r="AF404" s="39" t="str">
        <f>IFERROR(bütünleme!AQ101*100/bütünleme!$I101,"")</f>
        <v/>
      </c>
      <c r="AG404" s="39" t="str">
        <f>IFERROR(bütünleme!AR101*100/bütünleme!$I101,"")</f>
        <v/>
      </c>
      <c r="AH404" s="39" t="str">
        <f>IFERROR(bütünleme!AS101*100/bütünleme!$I101,"")</f>
        <v/>
      </c>
      <c r="AI404" s="39" t="str">
        <f>IFERROR(bütünleme!AT101*100/bütünleme!$I101,"")</f>
        <v/>
      </c>
      <c r="AJ404" s="39" t="str">
        <f>IFERROR(bütünleme!AU101*100/bütünleme!$I101,"")</f>
        <v/>
      </c>
      <c r="AK404" s="39" t="str">
        <f>IFERROR(bütünleme!AV101*100/bütünleme!$I101,"")</f>
        <v/>
      </c>
      <c r="AL404" s="39" t="str">
        <f>IFERROR(bütünleme!AW101*100/bütünleme!$I101,"")</f>
        <v/>
      </c>
      <c r="AM404" s="39" t="str">
        <f>IFERROR(bütünleme!AX101*100/bütünleme!$I101,"")</f>
        <v/>
      </c>
      <c r="AN404" s="39" t="str">
        <f>IFERROR(bütünleme!AY101*100/bütünleme!$I101,"")</f>
        <v/>
      </c>
      <c r="AO404" s="39" t="str">
        <f>IFERROR(bütünleme!AZ101*100/bütünleme!$I101,"")</f>
        <v/>
      </c>
      <c r="AP404" s="39" t="str">
        <f>IFERROR(bütünleme!BA101*100/bütünleme!$I101,"")</f>
        <v/>
      </c>
      <c r="AQ404" s="39" t="str">
        <f>IFERROR(bütünleme!BB101*100/bütünleme!$I101,"")</f>
        <v/>
      </c>
      <c r="AR404" s="39" t="str">
        <f>IFERROR(bütünleme!BC101*100/bütünleme!$I101,"")</f>
        <v/>
      </c>
      <c r="AS404" s="39" t="str">
        <f>IFERROR(bütünleme!BD101*100/bütünleme!$I101,"")</f>
        <v/>
      </c>
      <c r="AT404" s="39" t="str">
        <f>IFERROR(bütünleme!BE101*100/bütünleme!$I101,"")</f>
        <v/>
      </c>
      <c r="AU404" s="39" t="str">
        <f>IFERROR(bütünleme!BF101*100/bütünleme!$I101,"")</f>
        <v/>
      </c>
      <c r="AV404" s="39" t="str">
        <f>IFERROR(bütünleme!BG101*100/bütünleme!$I101,"")</f>
        <v/>
      </c>
      <c r="AW404" s="39" t="str">
        <f>IFERROR(bütünleme!BH101*100/bütünleme!$I101,"")</f>
        <v/>
      </c>
      <c r="AX404" s="39" t="str">
        <f>IFERROR(bütünleme!BI101*100/bütünleme!$I101,"")</f>
        <v/>
      </c>
      <c r="AY404" s="39" t="str">
        <f>IFERROR(bütünleme!BJ101*100/bütünleme!$I101,"")</f>
        <v/>
      </c>
      <c r="AZ404" s="39" t="str">
        <f>IFERROR(bütünleme!BK101*100/bütünleme!$I101,"")</f>
        <v/>
      </c>
      <c r="BA404" s="39" t="str">
        <f>IFERROR(bütünleme!BL101*100/bütünleme!$I101,"")</f>
        <v/>
      </c>
      <c r="BB404" s="39" t="str">
        <f>IFERROR(bütünleme!BM101*100/bütünleme!$I101,"")</f>
        <v/>
      </c>
      <c r="BC404" s="39" t="str">
        <f>IFERROR(bütünleme!BN101*100/bütünleme!$I101,"")</f>
        <v/>
      </c>
      <c r="BD404" s="39" t="str">
        <f>IFERROR(bütünleme!BO101*100/bütünleme!$I101,"")</f>
        <v/>
      </c>
      <c r="BE404" s="39" t="str">
        <f>IFERROR(bütünleme!BP101*100/bütünleme!$I101,"")</f>
        <v/>
      </c>
      <c r="BF404" s="39" t="str">
        <f>IFERROR(bütünleme!BQ101*100/bütünleme!$I101,"")</f>
        <v/>
      </c>
      <c r="BG404" s="39" t="str">
        <f>IFERROR(bütünleme!BR101*100/bütünleme!$I101,"")</f>
        <v/>
      </c>
      <c r="BH404" s="39" t="str">
        <f>IFERROR(bütünleme!BS101*100/bütünleme!$I101,"")</f>
        <v/>
      </c>
      <c r="BI404" s="39" t="str">
        <f>IFERROR(bütünleme!BT101*100/bütünleme!$I101,"")</f>
        <v/>
      </c>
      <c r="BJ404" s="39" t="str">
        <f>IFERROR(bütünleme!BU101*100/bütünleme!$I101,"")</f>
        <v/>
      </c>
      <c r="BK404" s="39" t="str">
        <f>IFERROR(bütünleme!BV101*100/bütünleme!$I101,"")</f>
        <v/>
      </c>
      <c r="BL404" s="39" t="str">
        <f>IFERROR(bütünleme!BW101*100/bütünleme!$I101,"")</f>
        <v/>
      </c>
      <c r="BM404" s="39" t="str">
        <f>IFERROR(bütünleme!BX101*100/bütünleme!$I101,"")</f>
        <v/>
      </c>
      <c r="BN404" s="39" t="str">
        <f>IFERROR(bütünleme!BY101*100/bütünleme!$I101,"")</f>
        <v/>
      </c>
      <c r="BO404" s="39" t="str">
        <f>IFERROR(bütünleme!BZ101*100/bütünleme!$I101,"")</f>
        <v/>
      </c>
      <c r="BP404" s="39" t="str">
        <f>IFERROR(bütünleme!CA101*100/bütünleme!$I101,"")</f>
        <v/>
      </c>
      <c r="BQ404" s="39" t="str">
        <f>IFERROR(bütünleme!CB101*100/bütünleme!$I101,"")</f>
        <v/>
      </c>
      <c r="BR404" s="39" t="str">
        <f>IFERROR(bütünleme!CC101*100/bütünleme!$I101,"")</f>
        <v/>
      </c>
      <c r="BS404" s="39" t="str">
        <f>IFERROR(bütünleme!CD101*100/bütünleme!$I101,"")</f>
        <v/>
      </c>
      <c r="BT404" s="39" t="str">
        <f>IFERROR(bütünleme!CE101*100/bütünleme!$I101,"")</f>
        <v/>
      </c>
      <c r="BU404" s="39" t="str">
        <f>IFERROR(bütünleme!CF101*100/bütünleme!$I101,"")</f>
        <v/>
      </c>
      <c r="BV404" s="39" t="str">
        <f>IFERROR(bütünleme!CG101*100/bütünleme!$I101,"")</f>
        <v/>
      </c>
      <c r="BW404" s="39" t="str">
        <f>IFERROR(bütünleme!CH101*100/bütünleme!$I101,"")</f>
        <v/>
      </c>
      <c r="BX404" s="39" t="str">
        <f>IFERROR(bütünleme!CI101*100/bütünleme!$I101,"")</f>
        <v/>
      </c>
      <c r="BY404" s="39" t="str">
        <f>IFERROR(bütünleme!CJ101*100/bütünleme!$I101,"")</f>
        <v/>
      </c>
      <c r="BZ404" s="39" t="str">
        <f>IFERROR(bütünleme!CK101*100/bütünleme!$I101,"")</f>
        <v/>
      </c>
      <c r="CA404" s="39" t="str">
        <f>IFERROR(bütünleme!CL101*100/bütünleme!$I101,"")</f>
        <v/>
      </c>
      <c r="CB404" s="39" t="str">
        <f>IFERROR(bütünleme!CM101*100/bütünleme!$I101,"")</f>
        <v/>
      </c>
      <c r="CC404" s="39" t="str">
        <f>IFERROR(bütünleme!CN101*100/bütünleme!$I101,"")</f>
        <v/>
      </c>
      <c r="CD404" s="39" t="str">
        <f>IFERROR(bütünleme!CO101*100/bütünleme!$I101,"")</f>
        <v/>
      </c>
      <c r="CE404" s="39" t="str">
        <f>IFERROR(bütünleme!CP101*100/bütünleme!$I101,"")</f>
        <v/>
      </c>
      <c r="CF404" s="39" t="str">
        <f>IFERROR(bütünleme!CQ101*100/bütünleme!$I101,"")</f>
        <v/>
      </c>
      <c r="CG404" s="39" t="str">
        <f>IFERROR(bütünleme!CR101*100/bütünleme!$I101,"")</f>
        <v/>
      </c>
      <c r="CH404" s="39" t="str">
        <f>IFERROR(bütünleme!CS101*100/bütünleme!$I101,"")</f>
        <v/>
      </c>
      <c r="CI404" s="39" t="str">
        <f>IFERROR(bütünleme!CT101*100/bütünleme!$I101,"")</f>
        <v/>
      </c>
      <c r="CJ404" s="39" t="str">
        <f>IFERROR(bütünleme!CU101*100/bütünleme!$I101,"")</f>
        <v/>
      </c>
      <c r="CK404" s="39" t="str">
        <f>IFERROR(bütünleme!CV101*100/bütünleme!$I101,"")</f>
        <v/>
      </c>
      <c r="CL404" s="39" t="str">
        <f>IFERROR(bütünleme!CW101*100/bütünleme!$I101,"")</f>
        <v/>
      </c>
      <c r="CM404" s="39" t="str">
        <f>IFERROR(bütünleme!CX101*100/bütünleme!$I101,"")</f>
        <v/>
      </c>
      <c r="CN404" s="39" t="str">
        <f>IFERROR(bütünleme!CY101*100/bütünleme!$I101,"")</f>
        <v/>
      </c>
      <c r="CO404" s="39" t="str">
        <f>IFERROR(bütünleme!CZ101*100/bütünleme!$I101,"")</f>
        <v/>
      </c>
      <c r="CP404" s="39" t="str">
        <f>IFERROR(bütünleme!DA101*100/bütünleme!$I101,"")</f>
        <v/>
      </c>
      <c r="CQ404" s="39" t="str">
        <f>IFERROR(bütünleme!DB101*100/bütünleme!$I101,"")</f>
        <v/>
      </c>
      <c r="CR404" s="39" t="str">
        <f>IFERROR(bütünleme!DC101*100/bütünleme!$I101,"")</f>
        <v/>
      </c>
      <c r="CS404" s="39" t="str">
        <f>IFERROR(bütünleme!DD101*100/bütünleme!$I101,"")</f>
        <v/>
      </c>
      <c r="CT404" s="39" t="str">
        <f>IFERROR(bütünleme!DE101*100/bütünleme!$I101,"")</f>
        <v/>
      </c>
      <c r="CU404" s="39" t="str">
        <f>IFERROR(bütünleme!DF101*100/bütünleme!$I101,"")</f>
        <v/>
      </c>
      <c r="CV404" s="39" t="str">
        <f>IFERROR(bütünleme!DG101*100/bütünleme!$I101,"")</f>
        <v/>
      </c>
      <c r="CW404" s="36" t="str">
        <f>IFERROR(SUM(A404:CV404)/bütünleme!$DH$103,"")</f>
        <v/>
      </c>
      <c r="CX404" s="14" t="str">
        <f>IF(COUNTA(bütünleme!A101),bütünleme!A101,"")</f>
        <v/>
      </c>
      <c r="CY404" s="14" t="str">
        <f>IF(COUNTA(bütünleme!B101),bütünleme!B101,"")</f>
        <v/>
      </c>
      <c r="CZ404" s="14" t="str">
        <f>IF(COUNTA(bütünleme!C101),bütünleme!C101,"")</f>
        <v/>
      </c>
      <c r="DA404" s="14" t="str">
        <f>IF(COUNTA(bütünleme!D101),bütünleme!D101,"")</f>
        <v/>
      </c>
      <c r="DB404" s="14" t="str">
        <f>IF(COUNTA(bütünleme!E101),bütünleme!E101,"")</f>
        <v/>
      </c>
      <c r="DC404" s="14" t="str">
        <f>IF(COUNTA(bütünleme!F101),bütünleme!F101,"")</f>
        <v/>
      </c>
      <c r="DD404" s="14" t="str">
        <f>IF(COUNTA(bütünleme!G101),bütünleme!G101,"")</f>
        <v/>
      </c>
      <c r="DE404" s="14" t="str">
        <f>IF(COUNTA(bütünleme!H101),bütünleme!H101,"")</f>
        <v/>
      </c>
    </row>
    <row r="405" spans="1:118" x14ac:dyDescent="0.2">
      <c r="DG405" s="37"/>
    </row>
    <row r="406" spans="1:118" x14ac:dyDescent="0.2">
      <c r="A406" s="39" t="str">
        <f>IFERROR(ödev!L2*100/ödev!$I2,"")</f>
        <v/>
      </c>
      <c r="B406" s="39" t="str">
        <f>IFERROR(ödev!M2*100/ödev!$I2,"")</f>
        <v/>
      </c>
      <c r="C406" s="39" t="str">
        <f>IFERROR(ödev!N2*100/ödev!$I2,"")</f>
        <v/>
      </c>
      <c r="D406" s="39" t="str">
        <f>IFERROR(ödev!O2*100/ödev!$I2,"")</f>
        <v/>
      </c>
      <c r="E406" s="39" t="str">
        <f>IFERROR(ödev!P2*100/ödev!$I2,"")</f>
        <v/>
      </c>
      <c r="F406" s="39" t="str">
        <f>IFERROR(ödev!Q2*100/ödev!$I2,"")</f>
        <v/>
      </c>
      <c r="G406" s="39" t="str">
        <f>IFERROR(ödev!R2*100/ödev!$I2,"")</f>
        <v/>
      </c>
      <c r="H406" s="39" t="str">
        <f>IFERROR(ödev!S2*100/ödev!$I2,"")</f>
        <v/>
      </c>
      <c r="I406" s="39" t="str">
        <f>IFERROR(ödev!T2*100/ödev!$I2,"")</f>
        <v/>
      </c>
      <c r="J406" s="39" t="str">
        <f>IFERROR(ödev!U2*100/ödev!$I2,"")</f>
        <v/>
      </c>
      <c r="K406" s="39" t="str">
        <f>IFERROR(ödev!V2*100/ödev!$I2,"")</f>
        <v/>
      </c>
      <c r="L406" s="39" t="str">
        <f>IFERROR(ödev!W2*100/ödev!$I2,"")</f>
        <v/>
      </c>
      <c r="M406" s="39" t="str">
        <f>IFERROR(ödev!X2*100/ödev!$I2,"")</f>
        <v/>
      </c>
      <c r="N406" s="39" t="str">
        <f>IFERROR(ödev!Y2*100/ödev!$I2,"")</f>
        <v/>
      </c>
      <c r="O406" s="39" t="str">
        <f>IFERROR(ödev!Z2*100/ödev!$I2,"")</f>
        <v/>
      </c>
      <c r="P406" s="39" t="str">
        <f>IFERROR(ödev!AA2*100/ödev!$I2,"")</f>
        <v/>
      </c>
      <c r="Q406" s="39" t="str">
        <f>IFERROR(ödev!AB2*100/ödev!$I2,"")</f>
        <v/>
      </c>
      <c r="R406" s="39" t="str">
        <f>IFERROR(ödev!AC2*100/ödev!$I2,"")</f>
        <v/>
      </c>
      <c r="S406" s="39" t="str">
        <f>IFERROR(ödev!AD2*100/ödev!$I2,"")</f>
        <v/>
      </c>
      <c r="T406" s="39" t="str">
        <f>IFERROR(ödev!AE2*100/ödev!$I2,"")</f>
        <v/>
      </c>
      <c r="U406" s="39" t="str">
        <f>IFERROR(ödev!AF2*100/ödev!$I2,"")</f>
        <v/>
      </c>
      <c r="V406" s="39" t="str">
        <f>IFERROR(ödev!AG2*100/ödev!$I2,"")</f>
        <v/>
      </c>
      <c r="W406" s="39" t="str">
        <f>IFERROR(ödev!AH2*100/ödev!$I2,"")</f>
        <v/>
      </c>
      <c r="X406" s="39" t="str">
        <f>IFERROR(ödev!AI2*100/ödev!$I2,"")</f>
        <v/>
      </c>
      <c r="Y406" s="39" t="str">
        <f>IFERROR(ödev!AJ2*100/ödev!$I2,"")</f>
        <v/>
      </c>
      <c r="Z406" s="39" t="str">
        <f>IFERROR(ödev!AK2*100/ödev!$I2,"")</f>
        <v/>
      </c>
      <c r="AA406" s="39" t="str">
        <f>IFERROR(ödev!AL2*100/ödev!$I2,"")</f>
        <v/>
      </c>
      <c r="AB406" s="39" t="str">
        <f>IFERROR(ödev!AM2*100/ödev!$I2,"")</f>
        <v/>
      </c>
      <c r="AC406" s="39" t="str">
        <f>IFERROR(ödev!AN2*100/ödev!$I2,"")</f>
        <v/>
      </c>
      <c r="AD406" s="39" t="str">
        <f>IFERROR(ödev!AO2*100/ödev!$I2,"")</f>
        <v/>
      </c>
      <c r="AE406" s="39" t="str">
        <f>IFERROR(ödev!AP2*100/ödev!$I2,"")</f>
        <v/>
      </c>
      <c r="AF406" s="39" t="str">
        <f>IFERROR(ödev!AQ2*100/ödev!$I2,"")</f>
        <v/>
      </c>
      <c r="AG406" s="39" t="str">
        <f>IFERROR(ödev!AR2*100/ödev!$I2,"")</f>
        <v/>
      </c>
      <c r="AH406" s="39" t="str">
        <f>IFERROR(ödev!AS2*100/ödev!$I2,"")</f>
        <v/>
      </c>
      <c r="AI406" s="39" t="str">
        <f>IFERROR(ödev!AT2*100/ödev!$I2,"")</f>
        <v/>
      </c>
      <c r="AJ406" s="39" t="str">
        <f>IFERROR(ödev!AU2*100/ödev!$I2,"")</f>
        <v/>
      </c>
      <c r="AK406" s="39" t="str">
        <f>IFERROR(ödev!AV2*100/ödev!$I2,"")</f>
        <v/>
      </c>
      <c r="AL406" s="39" t="str">
        <f>IFERROR(ödev!AW2*100/ödev!$I2,"")</f>
        <v/>
      </c>
      <c r="AM406" s="39" t="str">
        <f>IFERROR(ödev!AX2*100/ödev!$I2,"")</f>
        <v/>
      </c>
      <c r="AN406" s="39" t="str">
        <f>IFERROR(ödev!AY2*100/ödev!$I2,"")</f>
        <v/>
      </c>
      <c r="AO406" s="39" t="str">
        <f>IFERROR(ödev!AZ2*100/ödev!$I2,"")</f>
        <v/>
      </c>
      <c r="AP406" s="39" t="str">
        <f>IFERROR(ödev!BA2*100/ödev!$I2,"")</f>
        <v/>
      </c>
      <c r="AQ406" s="39" t="str">
        <f>IFERROR(ödev!BB2*100/ödev!$I2,"")</f>
        <v/>
      </c>
      <c r="AR406" s="39" t="str">
        <f>IFERROR(ödev!BC2*100/ödev!$I2,"")</f>
        <v/>
      </c>
      <c r="AS406" s="39" t="str">
        <f>IFERROR(ödev!BD2*100/ödev!$I2,"")</f>
        <v/>
      </c>
      <c r="AT406" s="39" t="str">
        <f>IFERROR(ödev!BE2*100/ödev!$I2,"")</f>
        <v/>
      </c>
      <c r="AU406" s="39" t="str">
        <f>IFERROR(ödev!BF2*100/ödev!$I2,"")</f>
        <v/>
      </c>
      <c r="AV406" s="39" t="str">
        <f>IFERROR(ödev!BG2*100/ödev!$I2,"")</f>
        <v/>
      </c>
      <c r="AW406" s="39" t="str">
        <f>IFERROR(ödev!BH2*100/ödev!$I2,"")</f>
        <v/>
      </c>
      <c r="AX406" s="39" t="str">
        <f>IFERROR(ödev!BI2*100/ödev!$I2,"")</f>
        <v/>
      </c>
      <c r="AY406" s="39" t="str">
        <f>IFERROR(ödev!BJ2*100/ödev!$I2,"")</f>
        <v/>
      </c>
      <c r="AZ406" s="39" t="str">
        <f>IFERROR(ödev!BK2*100/ödev!$I2,"")</f>
        <v/>
      </c>
      <c r="BA406" s="39" t="str">
        <f>IFERROR(ödev!BL2*100/ödev!$I2,"")</f>
        <v/>
      </c>
      <c r="BB406" s="39" t="str">
        <f>IFERROR(ödev!BM2*100/ödev!$I2,"")</f>
        <v/>
      </c>
      <c r="BC406" s="39" t="str">
        <f>IFERROR(ödev!BN2*100/ödev!$I2,"")</f>
        <v/>
      </c>
      <c r="BD406" s="39" t="str">
        <f>IFERROR(ödev!BO2*100/ödev!$I2,"")</f>
        <v/>
      </c>
      <c r="BE406" s="39" t="str">
        <f>IFERROR(ödev!BP2*100/ödev!$I2,"")</f>
        <v/>
      </c>
      <c r="BF406" s="39" t="str">
        <f>IFERROR(ödev!BQ2*100/ödev!$I2,"")</f>
        <v/>
      </c>
      <c r="BG406" s="39" t="str">
        <f>IFERROR(ödev!BR2*100/ödev!$I2,"")</f>
        <v/>
      </c>
      <c r="BH406" s="39" t="str">
        <f>IFERROR(ödev!BS2*100/ödev!$I2,"")</f>
        <v/>
      </c>
      <c r="BI406" s="39" t="str">
        <f>IFERROR(ödev!BT2*100/ödev!$I2,"")</f>
        <v/>
      </c>
      <c r="BJ406" s="39" t="str">
        <f>IFERROR(ödev!BU2*100/ödev!$I2,"")</f>
        <v/>
      </c>
      <c r="BK406" s="39" t="str">
        <f>IFERROR(ödev!BV2*100/ödev!$I2,"")</f>
        <v/>
      </c>
      <c r="BL406" s="39" t="str">
        <f>IFERROR(ödev!BW2*100/ödev!$I2,"")</f>
        <v/>
      </c>
      <c r="BM406" s="39" t="str">
        <f>IFERROR(ödev!BX2*100/ödev!$I2,"")</f>
        <v/>
      </c>
      <c r="BN406" s="39" t="str">
        <f>IFERROR(ödev!BY2*100/ödev!$I2,"")</f>
        <v/>
      </c>
      <c r="BO406" s="39" t="str">
        <f>IFERROR(ödev!BZ2*100/ödev!$I2,"")</f>
        <v/>
      </c>
      <c r="BP406" s="39" t="str">
        <f>IFERROR(ödev!CA2*100/ödev!$I2,"")</f>
        <v/>
      </c>
      <c r="BQ406" s="39" t="str">
        <f>IFERROR(ödev!CB2*100/ödev!$I2,"")</f>
        <v/>
      </c>
      <c r="BR406" s="39" t="str">
        <f>IFERROR(ödev!CC2*100/ödev!$I2,"")</f>
        <v/>
      </c>
      <c r="BS406" s="39" t="str">
        <f>IFERROR(ödev!CD2*100/ödev!$I2,"")</f>
        <v/>
      </c>
      <c r="BT406" s="39" t="str">
        <f>IFERROR(ödev!CE2*100/ödev!$I2,"")</f>
        <v/>
      </c>
      <c r="BU406" s="39" t="str">
        <f>IFERROR(ödev!CF2*100/ödev!$I2,"")</f>
        <v/>
      </c>
      <c r="BV406" s="39" t="str">
        <f>IFERROR(ödev!CG2*100/ödev!$I2,"")</f>
        <v/>
      </c>
      <c r="BW406" s="39" t="str">
        <f>IFERROR(ödev!CH2*100/ödev!$I2,"")</f>
        <v/>
      </c>
      <c r="BX406" s="39" t="str">
        <f>IFERROR(ödev!CI2*100/ödev!$I2,"")</f>
        <v/>
      </c>
      <c r="BY406" s="39" t="str">
        <f>IFERROR(ödev!CJ2*100/ödev!$I2,"")</f>
        <v/>
      </c>
      <c r="BZ406" s="39" t="str">
        <f>IFERROR(ödev!CK2*100/ödev!$I2,"")</f>
        <v/>
      </c>
      <c r="CA406" s="39" t="str">
        <f>IFERROR(ödev!CL2*100/ödev!$I2,"")</f>
        <v/>
      </c>
      <c r="CB406" s="39" t="str">
        <f>IFERROR(ödev!CM2*100/ödev!$I2,"")</f>
        <v/>
      </c>
      <c r="CC406" s="39" t="str">
        <f>IFERROR(ödev!CN2*100/ödev!$I2,"")</f>
        <v/>
      </c>
      <c r="CD406" s="39" t="str">
        <f>IFERROR(ödev!CO2*100/ödev!$I2,"")</f>
        <v/>
      </c>
      <c r="CE406" s="39" t="str">
        <f>IFERROR(ödev!CP2*100/ödev!$I2,"")</f>
        <v/>
      </c>
      <c r="CF406" s="39" t="str">
        <f>IFERROR(ödev!CQ2*100/ödev!$I2,"")</f>
        <v/>
      </c>
      <c r="CG406" s="39" t="str">
        <f>IFERROR(ödev!CR2*100/ödev!$I2,"")</f>
        <v/>
      </c>
      <c r="CH406" s="39" t="str">
        <f>IFERROR(ödev!CS2*100/ödev!$I2,"")</f>
        <v/>
      </c>
      <c r="CI406" s="39" t="str">
        <f>IFERROR(ödev!CT2*100/ödev!$I2,"")</f>
        <v/>
      </c>
      <c r="CJ406" s="39" t="str">
        <f>IFERROR(ödev!CU2*100/ödev!$I2,"")</f>
        <v/>
      </c>
      <c r="CK406" s="39" t="str">
        <f>IFERROR(ödev!CV2*100/ödev!$I2,"")</f>
        <v/>
      </c>
      <c r="CL406" s="39" t="str">
        <f>IFERROR(ödev!CW2*100/ödev!$I2,"")</f>
        <v/>
      </c>
      <c r="CM406" s="39" t="str">
        <f>IFERROR(ödev!CX2*100/ödev!$I2,"")</f>
        <v/>
      </c>
      <c r="CN406" s="39" t="str">
        <f>IFERROR(ödev!CY2*100/ödev!$I2,"")</f>
        <v/>
      </c>
      <c r="CO406" s="39" t="str">
        <f>IFERROR(ödev!CZ2*100/ödev!$I2,"")</f>
        <v/>
      </c>
      <c r="CP406" s="39" t="str">
        <f>IFERROR(ödev!DA2*100/ödev!$I2,"")</f>
        <v/>
      </c>
      <c r="CQ406" s="39" t="str">
        <f>IFERROR(ödev!DB2*100/ödev!$I2,"")</f>
        <v/>
      </c>
      <c r="CR406" s="39" t="str">
        <f>IFERROR(ödev!DC2*100/ödev!$I2,"")</f>
        <v/>
      </c>
      <c r="CS406" s="39" t="str">
        <f>IFERROR(ödev!DD2*100/ödev!$I2,"")</f>
        <v/>
      </c>
      <c r="CT406" s="39" t="str">
        <f>IFERROR(ödev!DE2*100/ödev!$I2,"")</f>
        <v/>
      </c>
      <c r="CU406" s="39" t="str">
        <f>IFERROR(ödev!DF2*100/ödev!$I2,"")</f>
        <v/>
      </c>
      <c r="CV406" s="39" t="str">
        <f>IFERROR(ödev!DG2*100/ödev!$I2,"")</f>
        <v/>
      </c>
      <c r="CW406" s="36" t="str">
        <f>IFERROR(SUM(A406:CV406)/ödev!$DH$103,"")</f>
        <v/>
      </c>
      <c r="CX406" s="14" t="str">
        <f>IF(COUNTA(ödev!A2),ödev!A2,"")</f>
        <v/>
      </c>
      <c r="CY406" s="14" t="str">
        <f>IF(COUNTA(ödev!B2),ödev!B2,"")</f>
        <v/>
      </c>
      <c r="CZ406" s="14" t="str">
        <f>IF(COUNTA(ödev!C2),ödev!C2,"")</f>
        <v/>
      </c>
      <c r="DA406" s="14" t="str">
        <f>IF(COUNTA(ödev!D2),ödev!D2,"")</f>
        <v/>
      </c>
      <c r="DB406" s="14" t="str">
        <f>IF(COUNTA(ödev!E2),ödev!E2,"")</f>
        <v/>
      </c>
      <c r="DC406" s="14" t="str">
        <f>IF(COUNTA(ödev!F2),ödev!F2,"")</f>
        <v/>
      </c>
      <c r="DD406" s="14" t="str">
        <f>IF(COUNTA(ödev!G2),ödev!G2,"")</f>
        <v/>
      </c>
      <c r="DE406" s="14" t="str">
        <f>IF(COUNTA(ödev!H2),ödev!H2,"")</f>
        <v/>
      </c>
      <c r="DG406" s="35" t="str">
        <f>IFERROR(AVERAGEIFS($CW$406:$CW$505,$CX$406:$CX$505,1),"")</f>
        <v/>
      </c>
      <c r="DH406" s="35" t="str">
        <f>IFERROR(AVERAGEIFS($CW$406:$CW$505,$CY$406:$CY$505,2),"")</f>
        <v/>
      </c>
      <c r="DI406" s="35" t="str">
        <f>IFERROR(AVERAGEIFS($CW$406:$CW$505,$CZ$406:$CZ$505,3),"")</f>
        <v/>
      </c>
      <c r="DJ406" s="35" t="str">
        <f>IFERROR(AVERAGEIFS($CW$406:$CW$505,$DA$406:$DA$505,4),"")</f>
        <v/>
      </c>
      <c r="DK406" s="35" t="str">
        <f>IFERROR(AVERAGEIFS($CW$406:$CW$505,$DB$406:$DB$505,5),"")</f>
        <v/>
      </c>
      <c r="DL406" s="35" t="str">
        <f>IFERROR(AVERAGEIFS($CW$406:$CW$505,$DC$406:$DC$505,6),"")</f>
        <v/>
      </c>
      <c r="DM406" s="35" t="str">
        <f>IFERROR(AVERAGEIFS($CW$406:$CW$505,$DD$406:$DD$505,7),"")</f>
        <v/>
      </c>
      <c r="DN406" s="35" t="str">
        <f>IFERROR(AVERAGEIFS($CW$406:$CW$505,$DE$406:$DE$505,8),"")</f>
        <v/>
      </c>
    </row>
    <row r="407" spans="1:118" x14ac:dyDescent="0.2">
      <c r="A407" s="39" t="str">
        <f>IFERROR(ödev!L3*100/ödev!$I3,"")</f>
        <v/>
      </c>
      <c r="B407" s="39" t="str">
        <f>IFERROR(ödev!M3*100/ödev!$I3,"")</f>
        <v/>
      </c>
      <c r="C407" s="39" t="str">
        <f>IFERROR(ödev!N3*100/ödev!$I3,"")</f>
        <v/>
      </c>
      <c r="D407" s="39" t="str">
        <f>IFERROR(ödev!O3*100/ödev!$I3,"")</f>
        <v/>
      </c>
      <c r="E407" s="39" t="str">
        <f>IFERROR(ödev!P3*100/ödev!$I3,"")</f>
        <v/>
      </c>
      <c r="F407" s="39" t="str">
        <f>IFERROR(ödev!Q3*100/ödev!$I3,"")</f>
        <v/>
      </c>
      <c r="G407" s="39" t="str">
        <f>IFERROR(ödev!R3*100/ödev!$I3,"")</f>
        <v/>
      </c>
      <c r="H407" s="39" t="str">
        <f>IFERROR(ödev!S3*100/ödev!$I3,"")</f>
        <v/>
      </c>
      <c r="I407" s="39" t="str">
        <f>IFERROR(ödev!T3*100/ödev!$I3,"")</f>
        <v/>
      </c>
      <c r="J407" s="39" t="str">
        <f>IFERROR(ödev!U3*100/ödev!$I3,"")</f>
        <v/>
      </c>
      <c r="K407" s="39" t="str">
        <f>IFERROR(ödev!V3*100/ödev!$I3,"")</f>
        <v/>
      </c>
      <c r="L407" s="39" t="str">
        <f>IFERROR(ödev!W3*100/ödev!$I3,"")</f>
        <v/>
      </c>
      <c r="M407" s="39" t="str">
        <f>IFERROR(ödev!X3*100/ödev!$I3,"")</f>
        <v/>
      </c>
      <c r="N407" s="39" t="str">
        <f>IFERROR(ödev!Y3*100/ödev!$I3,"")</f>
        <v/>
      </c>
      <c r="O407" s="39" t="str">
        <f>IFERROR(ödev!Z3*100/ödev!$I3,"")</f>
        <v/>
      </c>
      <c r="P407" s="39" t="str">
        <f>IFERROR(ödev!AA3*100/ödev!$I3,"")</f>
        <v/>
      </c>
      <c r="Q407" s="39" t="str">
        <f>IFERROR(ödev!AB3*100/ödev!$I3,"")</f>
        <v/>
      </c>
      <c r="R407" s="39" t="str">
        <f>IFERROR(ödev!AC3*100/ödev!$I3,"")</f>
        <v/>
      </c>
      <c r="S407" s="39" t="str">
        <f>IFERROR(ödev!AD3*100/ödev!$I3,"")</f>
        <v/>
      </c>
      <c r="T407" s="39" t="str">
        <f>IFERROR(ödev!AE3*100/ödev!$I3,"")</f>
        <v/>
      </c>
      <c r="U407" s="39" t="str">
        <f>IFERROR(ödev!AF3*100/ödev!$I3,"")</f>
        <v/>
      </c>
      <c r="V407" s="39" t="str">
        <f>IFERROR(ödev!AG3*100/ödev!$I3,"")</f>
        <v/>
      </c>
      <c r="W407" s="39" t="str">
        <f>IFERROR(ödev!AH3*100/ödev!$I3,"")</f>
        <v/>
      </c>
      <c r="X407" s="39" t="str">
        <f>IFERROR(ödev!AI3*100/ödev!$I3,"")</f>
        <v/>
      </c>
      <c r="Y407" s="39" t="str">
        <f>IFERROR(ödev!AJ3*100/ödev!$I3,"")</f>
        <v/>
      </c>
      <c r="Z407" s="39" t="str">
        <f>IFERROR(ödev!AK3*100/ödev!$I3,"")</f>
        <v/>
      </c>
      <c r="AA407" s="39" t="str">
        <f>IFERROR(ödev!AL3*100/ödev!$I3,"")</f>
        <v/>
      </c>
      <c r="AB407" s="39" t="str">
        <f>IFERROR(ödev!AM3*100/ödev!$I3,"")</f>
        <v/>
      </c>
      <c r="AC407" s="39" t="str">
        <f>IFERROR(ödev!AN3*100/ödev!$I3,"")</f>
        <v/>
      </c>
      <c r="AD407" s="39" t="str">
        <f>IFERROR(ödev!AO3*100/ödev!$I3,"")</f>
        <v/>
      </c>
      <c r="AE407" s="39" t="str">
        <f>IFERROR(ödev!AP3*100/ödev!$I3,"")</f>
        <v/>
      </c>
      <c r="AF407" s="39" t="str">
        <f>IFERROR(ödev!AQ3*100/ödev!$I3,"")</f>
        <v/>
      </c>
      <c r="AG407" s="39" t="str">
        <f>IFERROR(ödev!AR3*100/ödev!$I3,"")</f>
        <v/>
      </c>
      <c r="AH407" s="39" t="str">
        <f>IFERROR(ödev!AS3*100/ödev!$I3,"")</f>
        <v/>
      </c>
      <c r="AI407" s="39" t="str">
        <f>IFERROR(ödev!AT3*100/ödev!$I3,"")</f>
        <v/>
      </c>
      <c r="AJ407" s="39" t="str">
        <f>IFERROR(ödev!AU3*100/ödev!$I3,"")</f>
        <v/>
      </c>
      <c r="AK407" s="39" t="str">
        <f>IFERROR(ödev!AV3*100/ödev!$I3,"")</f>
        <v/>
      </c>
      <c r="AL407" s="39" t="str">
        <f>IFERROR(ödev!AW3*100/ödev!$I3,"")</f>
        <v/>
      </c>
      <c r="AM407" s="39" t="str">
        <f>IFERROR(ödev!AX3*100/ödev!$I3,"")</f>
        <v/>
      </c>
      <c r="AN407" s="39" t="str">
        <f>IFERROR(ödev!AY3*100/ödev!$I3,"")</f>
        <v/>
      </c>
      <c r="AO407" s="39" t="str">
        <f>IFERROR(ödev!AZ3*100/ödev!$I3,"")</f>
        <v/>
      </c>
      <c r="AP407" s="39" t="str">
        <f>IFERROR(ödev!BA3*100/ödev!$I3,"")</f>
        <v/>
      </c>
      <c r="AQ407" s="39" t="str">
        <f>IFERROR(ödev!BB3*100/ödev!$I3,"")</f>
        <v/>
      </c>
      <c r="AR407" s="39" t="str">
        <f>IFERROR(ödev!BC3*100/ödev!$I3,"")</f>
        <v/>
      </c>
      <c r="AS407" s="39" t="str">
        <f>IFERROR(ödev!BD3*100/ödev!$I3,"")</f>
        <v/>
      </c>
      <c r="AT407" s="39" t="str">
        <f>IFERROR(ödev!BE3*100/ödev!$I3,"")</f>
        <v/>
      </c>
      <c r="AU407" s="39" t="str">
        <f>IFERROR(ödev!BF3*100/ödev!$I3,"")</f>
        <v/>
      </c>
      <c r="AV407" s="39" t="str">
        <f>IFERROR(ödev!BG3*100/ödev!$I3,"")</f>
        <v/>
      </c>
      <c r="AW407" s="39" t="str">
        <f>IFERROR(ödev!BH3*100/ödev!$I3,"")</f>
        <v/>
      </c>
      <c r="AX407" s="39" t="str">
        <f>IFERROR(ödev!BI3*100/ödev!$I3,"")</f>
        <v/>
      </c>
      <c r="AY407" s="39" t="str">
        <f>IFERROR(ödev!BJ3*100/ödev!$I3,"")</f>
        <v/>
      </c>
      <c r="AZ407" s="39" t="str">
        <f>IFERROR(ödev!BK3*100/ödev!$I3,"")</f>
        <v/>
      </c>
      <c r="BA407" s="39" t="str">
        <f>IFERROR(ödev!BL3*100/ödev!$I3,"")</f>
        <v/>
      </c>
      <c r="BB407" s="39" t="str">
        <f>IFERROR(ödev!BM3*100/ödev!$I3,"")</f>
        <v/>
      </c>
      <c r="BC407" s="39" t="str">
        <f>IFERROR(ödev!BN3*100/ödev!$I3,"")</f>
        <v/>
      </c>
      <c r="BD407" s="39" t="str">
        <f>IFERROR(ödev!BO3*100/ödev!$I3,"")</f>
        <v/>
      </c>
      <c r="BE407" s="39" t="str">
        <f>IFERROR(ödev!BP3*100/ödev!$I3,"")</f>
        <v/>
      </c>
      <c r="BF407" s="39" t="str">
        <f>IFERROR(ödev!BQ3*100/ödev!$I3,"")</f>
        <v/>
      </c>
      <c r="BG407" s="39" t="str">
        <f>IFERROR(ödev!BR3*100/ödev!$I3,"")</f>
        <v/>
      </c>
      <c r="BH407" s="39" t="str">
        <f>IFERROR(ödev!BS3*100/ödev!$I3,"")</f>
        <v/>
      </c>
      <c r="BI407" s="39" t="str">
        <f>IFERROR(ödev!BT3*100/ödev!$I3,"")</f>
        <v/>
      </c>
      <c r="BJ407" s="39" t="str">
        <f>IFERROR(ödev!BU3*100/ödev!$I3,"")</f>
        <v/>
      </c>
      <c r="BK407" s="39" t="str">
        <f>IFERROR(ödev!BV3*100/ödev!$I3,"")</f>
        <v/>
      </c>
      <c r="BL407" s="39" t="str">
        <f>IFERROR(ödev!BW3*100/ödev!$I3,"")</f>
        <v/>
      </c>
      <c r="BM407" s="39" t="str">
        <f>IFERROR(ödev!BX3*100/ödev!$I3,"")</f>
        <v/>
      </c>
      <c r="BN407" s="39" t="str">
        <f>IFERROR(ödev!BY3*100/ödev!$I3,"")</f>
        <v/>
      </c>
      <c r="BO407" s="39" t="str">
        <f>IFERROR(ödev!BZ3*100/ödev!$I3,"")</f>
        <v/>
      </c>
      <c r="BP407" s="39" t="str">
        <f>IFERROR(ödev!CA3*100/ödev!$I3,"")</f>
        <v/>
      </c>
      <c r="BQ407" s="39" t="str">
        <f>IFERROR(ödev!CB3*100/ödev!$I3,"")</f>
        <v/>
      </c>
      <c r="BR407" s="39" t="str">
        <f>IFERROR(ödev!CC3*100/ödev!$I3,"")</f>
        <v/>
      </c>
      <c r="BS407" s="39" t="str">
        <f>IFERROR(ödev!CD3*100/ödev!$I3,"")</f>
        <v/>
      </c>
      <c r="BT407" s="39" t="str">
        <f>IFERROR(ödev!CE3*100/ödev!$I3,"")</f>
        <v/>
      </c>
      <c r="BU407" s="39" t="str">
        <f>IFERROR(ödev!CF3*100/ödev!$I3,"")</f>
        <v/>
      </c>
      <c r="BV407" s="39" t="str">
        <f>IFERROR(ödev!CG3*100/ödev!$I3,"")</f>
        <v/>
      </c>
      <c r="BW407" s="39" t="str">
        <f>IFERROR(ödev!CH3*100/ödev!$I3,"")</f>
        <v/>
      </c>
      <c r="BX407" s="39" t="str">
        <f>IFERROR(ödev!CI3*100/ödev!$I3,"")</f>
        <v/>
      </c>
      <c r="BY407" s="39" t="str">
        <f>IFERROR(ödev!CJ3*100/ödev!$I3,"")</f>
        <v/>
      </c>
      <c r="BZ407" s="39" t="str">
        <f>IFERROR(ödev!CK3*100/ödev!$I3,"")</f>
        <v/>
      </c>
      <c r="CA407" s="39" t="str">
        <f>IFERROR(ödev!CL3*100/ödev!$I3,"")</f>
        <v/>
      </c>
      <c r="CB407" s="39" t="str">
        <f>IFERROR(ödev!CM3*100/ödev!$I3,"")</f>
        <v/>
      </c>
      <c r="CC407" s="39" t="str">
        <f>IFERROR(ödev!CN3*100/ödev!$I3,"")</f>
        <v/>
      </c>
      <c r="CD407" s="39" t="str">
        <f>IFERROR(ödev!CO3*100/ödev!$I3,"")</f>
        <v/>
      </c>
      <c r="CE407" s="39" t="str">
        <f>IFERROR(ödev!CP3*100/ödev!$I3,"")</f>
        <v/>
      </c>
      <c r="CF407" s="39" t="str">
        <f>IFERROR(ödev!CQ3*100/ödev!$I3,"")</f>
        <v/>
      </c>
      <c r="CG407" s="39" t="str">
        <f>IFERROR(ödev!CR3*100/ödev!$I3,"")</f>
        <v/>
      </c>
      <c r="CH407" s="39" t="str">
        <f>IFERROR(ödev!CS3*100/ödev!$I3,"")</f>
        <v/>
      </c>
      <c r="CI407" s="39" t="str">
        <f>IFERROR(ödev!CT3*100/ödev!$I3,"")</f>
        <v/>
      </c>
      <c r="CJ407" s="39" t="str">
        <f>IFERROR(ödev!CU3*100/ödev!$I3,"")</f>
        <v/>
      </c>
      <c r="CK407" s="39" t="str">
        <f>IFERROR(ödev!CV3*100/ödev!$I3,"")</f>
        <v/>
      </c>
      <c r="CL407" s="39" t="str">
        <f>IFERROR(ödev!CW3*100/ödev!$I3,"")</f>
        <v/>
      </c>
      <c r="CM407" s="39" t="str">
        <f>IFERROR(ödev!CX3*100/ödev!$I3,"")</f>
        <v/>
      </c>
      <c r="CN407" s="39" t="str">
        <f>IFERROR(ödev!CY3*100/ödev!$I3,"")</f>
        <v/>
      </c>
      <c r="CO407" s="39" t="str">
        <f>IFERROR(ödev!CZ3*100/ödev!$I3,"")</f>
        <v/>
      </c>
      <c r="CP407" s="39" t="str">
        <f>IFERROR(ödev!DA3*100/ödev!$I3,"")</f>
        <v/>
      </c>
      <c r="CQ407" s="39" t="str">
        <f>IFERROR(ödev!DB3*100/ödev!$I3,"")</f>
        <v/>
      </c>
      <c r="CR407" s="39" t="str">
        <f>IFERROR(ödev!DC3*100/ödev!$I3,"")</f>
        <v/>
      </c>
      <c r="CS407" s="39" t="str">
        <f>IFERROR(ödev!DD3*100/ödev!$I3,"")</f>
        <v/>
      </c>
      <c r="CT407" s="39" t="str">
        <f>IFERROR(ödev!DE3*100/ödev!$I3,"")</f>
        <v/>
      </c>
      <c r="CU407" s="39" t="str">
        <f>IFERROR(ödev!DF3*100/ödev!$I3,"")</f>
        <v/>
      </c>
      <c r="CV407" s="39" t="str">
        <f>IFERROR(ödev!DG3*100/ödev!$I3,"")</f>
        <v/>
      </c>
      <c r="CW407" s="36" t="str">
        <f>IFERROR(SUM(A407:CV407)/ödev!$DH$103,"")</f>
        <v/>
      </c>
      <c r="CX407" s="14" t="str">
        <f>IF(COUNTA(ödev!A3),ödev!A3,"")</f>
        <v/>
      </c>
      <c r="CY407" s="14" t="str">
        <f>IF(COUNTA(ödev!B3),ödev!B3,"")</f>
        <v/>
      </c>
      <c r="CZ407" s="14" t="str">
        <f>IF(COUNTA(ödev!C3),ödev!C3,"")</f>
        <v/>
      </c>
      <c r="DA407" s="14" t="str">
        <f>IF(COUNTA(ödev!D3),ödev!D3,"")</f>
        <v/>
      </c>
      <c r="DB407" s="14" t="str">
        <f>IF(COUNTA(ödev!E3),ödev!E3,"")</f>
        <v/>
      </c>
      <c r="DC407" s="14" t="str">
        <f>IF(COUNTA(ödev!F3),ödev!F3,"")</f>
        <v/>
      </c>
      <c r="DD407" s="14" t="str">
        <f>IF(COUNTA(ödev!G3),ödev!G3,"")</f>
        <v/>
      </c>
      <c r="DE407" s="14" t="str">
        <f>IF(COUNTA(ödev!H3),ödev!H3,"")</f>
        <v/>
      </c>
    </row>
    <row r="408" spans="1:118" x14ac:dyDescent="0.2">
      <c r="A408" s="39" t="str">
        <f>IFERROR(ödev!L4*100/ödev!$I4,"")</f>
        <v/>
      </c>
      <c r="B408" s="39" t="str">
        <f>IFERROR(ödev!M4*100/ödev!$I4,"")</f>
        <v/>
      </c>
      <c r="C408" s="39" t="str">
        <f>IFERROR(ödev!N4*100/ödev!$I4,"")</f>
        <v/>
      </c>
      <c r="D408" s="39" t="str">
        <f>IFERROR(ödev!O4*100/ödev!$I4,"")</f>
        <v/>
      </c>
      <c r="E408" s="39" t="str">
        <f>IFERROR(ödev!P4*100/ödev!$I4,"")</f>
        <v/>
      </c>
      <c r="F408" s="39" t="str">
        <f>IFERROR(ödev!Q4*100/ödev!$I4,"")</f>
        <v/>
      </c>
      <c r="G408" s="39" t="str">
        <f>IFERROR(ödev!R4*100/ödev!$I4,"")</f>
        <v/>
      </c>
      <c r="H408" s="39" t="str">
        <f>IFERROR(ödev!S4*100/ödev!$I4,"")</f>
        <v/>
      </c>
      <c r="I408" s="39" t="str">
        <f>IFERROR(ödev!T4*100/ödev!$I4,"")</f>
        <v/>
      </c>
      <c r="J408" s="39" t="str">
        <f>IFERROR(ödev!U4*100/ödev!$I4,"")</f>
        <v/>
      </c>
      <c r="K408" s="39" t="str">
        <f>IFERROR(ödev!V4*100/ödev!$I4,"")</f>
        <v/>
      </c>
      <c r="L408" s="39" t="str">
        <f>IFERROR(ödev!W4*100/ödev!$I4,"")</f>
        <v/>
      </c>
      <c r="M408" s="39" t="str">
        <f>IFERROR(ödev!X4*100/ödev!$I4,"")</f>
        <v/>
      </c>
      <c r="N408" s="39" t="str">
        <f>IFERROR(ödev!Y4*100/ödev!$I4,"")</f>
        <v/>
      </c>
      <c r="O408" s="39" t="str">
        <f>IFERROR(ödev!Z4*100/ödev!$I4,"")</f>
        <v/>
      </c>
      <c r="P408" s="39" t="str">
        <f>IFERROR(ödev!AA4*100/ödev!$I4,"")</f>
        <v/>
      </c>
      <c r="Q408" s="39" t="str">
        <f>IFERROR(ödev!AB4*100/ödev!$I4,"")</f>
        <v/>
      </c>
      <c r="R408" s="39" t="str">
        <f>IFERROR(ödev!AC4*100/ödev!$I4,"")</f>
        <v/>
      </c>
      <c r="S408" s="39" t="str">
        <f>IFERROR(ödev!AD4*100/ödev!$I4,"")</f>
        <v/>
      </c>
      <c r="T408" s="39" t="str">
        <f>IFERROR(ödev!AE4*100/ödev!$I4,"")</f>
        <v/>
      </c>
      <c r="U408" s="39" t="str">
        <f>IFERROR(ödev!AF4*100/ödev!$I4,"")</f>
        <v/>
      </c>
      <c r="V408" s="39" t="str">
        <f>IFERROR(ödev!AG4*100/ödev!$I4,"")</f>
        <v/>
      </c>
      <c r="W408" s="39" t="str">
        <f>IFERROR(ödev!AH4*100/ödev!$I4,"")</f>
        <v/>
      </c>
      <c r="X408" s="39" t="str">
        <f>IFERROR(ödev!AI4*100/ödev!$I4,"")</f>
        <v/>
      </c>
      <c r="Y408" s="39" t="str">
        <f>IFERROR(ödev!AJ4*100/ödev!$I4,"")</f>
        <v/>
      </c>
      <c r="Z408" s="39" t="str">
        <f>IFERROR(ödev!AK4*100/ödev!$I4,"")</f>
        <v/>
      </c>
      <c r="AA408" s="39" t="str">
        <f>IFERROR(ödev!AL4*100/ödev!$I4,"")</f>
        <v/>
      </c>
      <c r="AB408" s="39" t="str">
        <f>IFERROR(ödev!AM4*100/ödev!$I4,"")</f>
        <v/>
      </c>
      <c r="AC408" s="39" t="str">
        <f>IFERROR(ödev!AN4*100/ödev!$I4,"")</f>
        <v/>
      </c>
      <c r="AD408" s="39" t="str">
        <f>IFERROR(ödev!AO4*100/ödev!$I4,"")</f>
        <v/>
      </c>
      <c r="AE408" s="39" t="str">
        <f>IFERROR(ödev!AP4*100/ödev!$I4,"")</f>
        <v/>
      </c>
      <c r="AF408" s="39" t="str">
        <f>IFERROR(ödev!AQ4*100/ödev!$I4,"")</f>
        <v/>
      </c>
      <c r="AG408" s="39" t="str">
        <f>IFERROR(ödev!AR4*100/ödev!$I4,"")</f>
        <v/>
      </c>
      <c r="AH408" s="39" t="str">
        <f>IFERROR(ödev!AS4*100/ödev!$I4,"")</f>
        <v/>
      </c>
      <c r="AI408" s="39" t="str">
        <f>IFERROR(ödev!AT4*100/ödev!$I4,"")</f>
        <v/>
      </c>
      <c r="AJ408" s="39" t="str">
        <f>IFERROR(ödev!AU4*100/ödev!$I4,"")</f>
        <v/>
      </c>
      <c r="AK408" s="39" t="str">
        <f>IFERROR(ödev!AV4*100/ödev!$I4,"")</f>
        <v/>
      </c>
      <c r="AL408" s="39" t="str">
        <f>IFERROR(ödev!AW4*100/ödev!$I4,"")</f>
        <v/>
      </c>
      <c r="AM408" s="39" t="str">
        <f>IFERROR(ödev!AX4*100/ödev!$I4,"")</f>
        <v/>
      </c>
      <c r="AN408" s="39" t="str">
        <f>IFERROR(ödev!AY4*100/ödev!$I4,"")</f>
        <v/>
      </c>
      <c r="AO408" s="39" t="str">
        <f>IFERROR(ödev!AZ4*100/ödev!$I4,"")</f>
        <v/>
      </c>
      <c r="AP408" s="39" t="str">
        <f>IFERROR(ödev!BA4*100/ödev!$I4,"")</f>
        <v/>
      </c>
      <c r="AQ408" s="39" t="str">
        <f>IFERROR(ödev!BB4*100/ödev!$I4,"")</f>
        <v/>
      </c>
      <c r="AR408" s="39" t="str">
        <f>IFERROR(ödev!BC4*100/ödev!$I4,"")</f>
        <v/>
      </c>
      <c r="AS408" s="39" t="str">
        <f>IFERROR(ödev!BD4*100/ödev!$I4,"")</f>
        <v/>
      </c>
      <c r="AT408" s="39" t="str">
        <f>IFERROR(ödev!BE4*100/ödev!$I4,"")</f>
        <v/>
      </c>
      <c r="AU408" s="39" t="str">
        <f>IFERROR(ödev!BF4*100/ödev!$I4,"")</f>
        <v/>
      </c>
      <c r="AV408" s="39" t="str">
        <f>IFERROR(ödev!BG4*100/ödev!$I4,"")</f>
        <v/>
      </c>
      <c r="AW408" s="39" t="str">
        <f>IFERROR(ödev!BH4*100/ödev!$I4,"")</f>
        <v/>
      </c>
      <c r="AX408" s="39" t="str">
        <f>IFERROR(ödev!BI4*100/ödev!$I4,"")</f>
        <v/>
      </c>
      <c r="AY408" s="39" t="str">
        <f>IFERROR(ödev!BJ4*100/ödev!$I4,"")</f>
        <v/>
      </c>
      <c r="AZ408" s="39" t="str">
        <f>IFERROR(ödev!BK4*100/ödev!$I4,"")</f>
        <v/>
      </c>
      <c r="BA408" s="39" t="str">
        <f>IFERROR(ödev!BL4*100/ödev!$I4,"")</f>
        <v/>
      </c>
      <c r="BB408" s="39" t="str">
        <f>IFERROR(ödev!BM4*100/ödev!$I4,"")</f>
        <v/>
      </c>
      <c r="BC408" s="39" t="str">
        <f>IFERROR(ödev!BN4*100/ödev!$I4,"")</f>
        <v/>
      </c>
      <c r="BD408" s="39" t="str">
        <f>IFERROR(ödev!BO4*100/ödev!$I4,"")</f>
        <v/>
      </c>
      <c r="BE408" s="39" t="str">
        <f>IFERROR(ödev!BP4*100/ödev!$I4,"")</f>
        <v/>
      </c>
      <c r="BF408" s="39" t="str">
        <f>IFERROR(ödev!BQ4*100/ödev!$I4,"")</f>
        <v/>
      </c>
      <c r="BG408" s="39" t="str">
        <f>IFERROR(ödev!BR4*100/ödev!$I4,"")</f>
        <v/>
      </c>
      <c r="BH408" s="39" t="str">
        <f>IFERROR(ödev!BS4*100/ödev!$I4,"")</f>
        <v/>
      </c>
      <c r="BI408" s="39" t="str">
        <f>IFERROR(ödev!BT4*100/ödev!$I4,"")</f>
        <v/>
      </c>
      <c r="BJ408" s="39" t="str">
        <f>IFERROR(ödev!BU4*100/ödev!$I4,"")</f>
        <v/>
      </c>
      <c r="BK408" s="39" t="str">
        <f>IFERROR(ödev!BV4*100/ödev!$I4,"")</f>
        <v/>
      </c>
      <c r="BL408" s="39" t="str">
        <f>IFERROR(ödev!BW4*100/ödev!$I4,"")</f>
        <v/>
      </c>
      <c r="BM408" s="39" t="str">
        <f>IFERROR(ödev!BX4*100/ödev!$I4,"")</f>
        <v/>
      </c>
      <c r="BN408" s="39" t="str">
        <f>IFERROR(ödev!BY4*100/ödev!$I4,"")</f>
        <v/>
      </c>
      <c r="BO408" s="39" t="str">
        <f>IFERROR(ödev!BZ4*100/ödev!$I4,"")</f>
        <v/>
      </c>
      <c r="BP408" s="39" t="str">
        <f>IFERROR(ödev!CA4*100/ödev!$I4,"")</f>
        <v/>
      </c>
      <c r="BQ408" s="39" t="str">
        <f>IFERROR(ödev!CB4*100/ödev!$I4,"")</f>
        <v/>
      </c>
      <c r="BR408" s="39" t="str">
        <f>IFERROR(ödev!CC4*100/ödev!$I4,"")</f>
        <v/>
      </c>
      <c r="BS408" s="39" t="str">
        <f>IFERROR(ödev!CD4*100/ödev!$I4,"")</f>
        <v/>
      </c>
      <c r="BT408" s="39" t="str">
        <f>IFERROR(ödev!CE4*100/ödev!$I4,"")</f>
        <v/>
      </c>
      <c r="BU408" s="39" t="str">
        <f>IFERROR(ödev!CF4*100/ödev!$I4,"")</f>
        <v/>
      </c>
      <c r="BV408" s="39" t="str">
        <f>IFERROR(ödev!CG4*100/ödev!$I4,"")</f>
        <v/>
      </c>
      <c r="BW408" s="39" t="str">
        <f>IFERROR(ödev!CH4*100/ödev!$I4,"")</f>
        <v/>
      </c>
      <c r="BX408" s="39" t="str">
        <f>IFERROR(ödev!CI4*100/ödev!$I4,"")</f>
        <v/>
      </c>
      <c r="BY408" s="39" t="str">
        <f>IFERROR(ödev!CJ4*100/ödev!$I4,"")</f>
        <v/>
      </c>
      <c r="BZ408" s="39" t="str">
        <f>IFERROR(ödev!CK4*100/ödev!$I4,"")</f>
        <v/>
      </c>
      <c r="CA408" s="39" t="str">
        <f>IFERROR(ödev!CL4*100/ödev!$I4,"")</f>
        <v/>
      </c>
      <c r="CB408" s="39" t="str">
        <f>IFERROR(ödev!CM4*100/ödev!$I4,"")</f>
        <v/>
      </c>
      <c r="CC408" s="39" t="str">
        <f>IFERROR(ödev!CN4*100/ödev!$I4,"")</f>
        <v/>
      </c>
      <c r="CD408" s="39" t="str">
        <f>IFERROR(ödev!CO4*100/ödev!$I4,"")</f>
        <v/>
      </c>
      <c r="CE408" s="39" t="str">
        <f>IFERROR(ödev!CP4*100/ödev!$I4,"")</f>
        <v/>
      </c>
      <c r="CF408" s="39" t="str">
        <f>IFERROR(ödev!CQ4*100/ödev!$I4,"")</f>
        <v/>
      </c>
      <c r="CG408" s="39" t="str">
        <f>IFERROR(ödev!CR4*100/ödev!$I4,"")</f>
        <v/>
      </c>
      <c r="CH408" s="39" t="str">
        <f>IFERROR(ödev!CS4*100/ödev!$I4,"")</f>
        <v/>
      </c>
      <c r="CI408" s="39" t="str">
        <f>IFERROR(ödev!CT4*100/ödev!$I4,"")</f>
        <v/>
      </c>
      <c r="CJ408" s="39" t="str">
        <f>IFERROR(ödev!CU4*100/ödev!$I4,"")</f>
        <v/>
      </c>
      <c r="CK408" s="39" t="str">
        <f>IFERROR(ödev!CV4*100/ödev!$I4,"")</f>
        <v/>
      </c>
      <c r="CL408" s="39" t="str">
        <f>IFERROR(ödev!CW4*100/ödev!$I4,"")</f>
        <v/>
      </c>
      <c r="CM408" s="39" t="str">
        <f>IFERROR(ödev!CX4*100/ödev!$I4,"")</f>
        <v/>
      </c>
      <c r="CN408" s="39" t="str">
        <f>IFERROR(ödev!CY4*100/ödev!$I4,"")</f>
        <v/>
      </c>
      <c r="CO408" s="39" t="str">
        <f>IFERROR(ödev!CZ4*100/ödev!$I4,"")</f>
        <v/>
      </c>
      <c r="CP408" s="39" t="str">
        <f>IFERROR(ödev!DA4*100/ödev!$I4,"")</f>
        <v/>
      </c>
      <c r="CQ408" s="39" t="str">
        <f>IFERROR(ödev!DB4*100/ödev!$I4,"")</f>
        <v/>
      </c>
      <c r="CR408" s="39" t="str">
        <f>IFERROR(ödev!DC4*100/ödev!$I4,"")</f>
        <v/>
      </c>
      <c r="CS408" s="39" t="str">
        <f>IFERROR(ödev!DD4*100/ödev!$I4,"")</f>
        <v/>
      </c>
      <c r="CT408" s="39" t="str">
        <f>IFERROR(ödev!DE4*100/ödev!$I4,"")</f>
        <v/>
      </c>
      <c r="CU408" s="39" t="str">
        <f>IFERROR(ödev!DF4*100/ödev!$I4,"")</f>
        <v/>
      </c>
      <c r="CV408" s="39" t="str">
        <f>IFERROR(ödev!DG4*100/ödev!$I4,"")</f>
        <v/>
      </c>
      <c r="CW408" s="36" t="str">
        <f>IFERROR(SUM(A408:CV408)/ödev!$DH$103,"")</f>
        <v/>
      </c>
      <c r="CX408" s="14" t="str">
        <f>IF(COUNTA(ödev!A4),ödev!A4,"")</f>
        <v/>
      </c>
      <c r="CY408" s="14" t="str">
        <f>IF(COUNTA(ödev!B4),ödev!B4,"")</f>
        <v/>
      </c>
      <c r="CZ408" s="14" t="str">
        <f>IF(COUNTA(ödev!C4),ödev!C4,"")</f>
        <v/>
      </c>
      <c r="DA408" s="14" t="str">
        <f>IF(COUNTA(ödev!D4),ödev!D4,"")</f>
        <v/>
      </c>
      <c r="DB408" s="14" t="str">
        <f>IF(COUNTA(ödev!E4),ödev!E4,"")</f>
        <v/>
      </c>
      <c r="DC408" s="14" t="str">
        <f>IF(COUNTA(ödev!F4),ödev!F4,"")</f>
        <v/>
      </c>
      <c r="DD408" s="14" t="str">
        <f>IF(COUNTA(ödev!G4),ödev!G4,"")</f>
        <v/>
      </c>
      <c r="DE408" s="14" t="str">
        <f>IF(COUNTA(ödev!H4),ödev!H4,"")</f>
        <v/>
      </c>
    </row>
    <row r="409" spans="1:118" x14ac:dyDescent="0.2">
      <c r="A409" s="39" t="str">
        <f>IFERROR(ödev!L5*100/ödev!$I5,"")</f>
        <v/>
      </c>
      <c r="B409" s="39" t="str">
        <f>IFERROR(ödev!M5*100/ödev!$I5,"")</f>
        <v/>
      </c>
      <c r="C409" s="39" t="str">
        <f>IFERROR(ödev!N5*100/ödev!$I5,"")</f>
        <v/>
      </c>
      <c r="D409" s="39" t="str">
        <f>IFERROR(ödev!O5*100/ödev!$I5,"")</f>
        <v/>
      </c>
      <c r="E409" s="39" t="str">
        <f>IFERROR(ödev!P5*100/ödev!$I5,"")</f>
        <v/>
      </c>
      <c r="F409" s="39" t="str">
        <f>IFERROR(ödev!Q5*100/ödev!$I5,"")</f>
        <v/>
      </c>
      <c r="G409" s="39" t="str">
        <f>IFERROR(ödev!R5*100/ödev!$I5,"")</f>
        <v/>
      </c>
      <c r="H409" s="39" t="str">
        <f>IFERROR(ödev!S5*100/ödev!$I5,"")</f>
        <v/>
      </c>
      <c r="I409" s="39" t="str">
        <f>IFERROR(ödev!T5*100/ödev!$I5,"")</f>
        <v/>
      </c>
      <c r="J409" s="39" t="str">
        <f>IFERROR(ödev!U5*100/ödev!$I5,"")</f>
        <v/>
      </c>
      <c r="K409" s="39" t="str">
        <f>IFERROR(ödev!V5*100/ödev!$I5,"")</f>
        <v/>
      </c>
      <c r="L409" s="39" t="str">
        <f>IFERROR(ödev!W5*100/ödev!$I5,"")</f>
        <v/>
      </c>
      <c r="M409" s="39" t="str">
        <f>IFERROR(ödev!X5*100/ödev!$I5,"")</f>
        <v/>
      </c>
      <c r="N409" s="39" t="str">
        <f>IFERROR(ödev!Y5*100/ödev!$I5,"")</f>
        <v/>
      </c>
      <c r="O409" s="39" t="str">
        <f>IFERROR(ödev!Z5*100/ödev!$I5,"")</f>
        <v/>
      </c>
      <c r="P409" s="39" t="str">
        <f>IFERROR(ödev!AA5*100/ödev!$I5,"")</f>
        <v/>
      </c>
      <c r="Q409" s="39" t="str">
        <f>IFERROR(ödev!AB5*100/ödev!$I5,"")</f>
        <v/>
      </c>
      <c r="R409" s="39" t="str">
        <f>IFERROR(ödev!AC5*100/ödev!$I5,"")</f>
        <v/>
      </c>
      <c r="S409" s="39" t="str">
        <f>IFERROR(ödev!AD5*100/ödev!$I5,"")</f>
        <v/>
      </c>
      <c r="T409" s="39" t="str">
        <f>IFERROR(ödev!AE5*100/ödev!$I5,"")</f>
        <v/>
      </c>
      <c r="U409" s="39" t="str">
        <f>IFERROR(ödev!AF5*100/ödev!$I5,"")</f>
        <v/>
      </c>
      <c r="V409" s="39" t="str">
        <f>IFERROR(ödev!AG5*100/ödev!$I5,"")</f>
        <v/>
      </c>
      <c r="W409" s="39" t="str">
        <f>IFERROR(ödev!AH5*100/ödev!$I5,"")</f>
        <v/>
      </c>
      <c r="X409" s="39" t="str">
        <f>IFERROR(ödev!AI5*100/ödev!$I5,"")</f>
        <v/>
      </c>
      <c r="Y409" s="39" t="str">
        <f>IFERROR(ödev!AJ5*100/ödev!$I5,"")</f>
        <v/>
      </c>
      <c r="Z409" s="39" t="str">
        <f>IFERROR(ödev!AK5*100/ödev!$I5,"")</f>
        <v/>
      </c>
      <c r="AA409" s="39" t="str">
        <f>IFERROR(ödev!AL5*100/ödev!$I5,"")</f>
        <v/>
      </c>
      <c r="AB409" s="39" t="str">
        <f>IFERROR(ödev!AM5*100/ödev!$I5,"")</f>
        <v/>
      </c>
      <c r="AC409" s="39" t="str">
        <f>IFERROR(ödev!AN5*100/ödev!$I5,"")</f>
        <v/>
      </c>
      <c r="AD409" s="39" t="str">
        <f>IFERROR(ödev!AO5*100/ödev!$I5,"")</f>
        <v/>
      </c>
      <c r="AE409" s="39" t="str">
        <f>IFERROR(ödev!AP5*100/ödev!$I5,"")</f>
        <v/>
      </c>
      <c r="AF409" s="39" t="str">
        <f>IFERROR(ödev!AQ5*100/ödev!$I5,"")</f>
        <v/>
      </c>
      <c r="AG409" s="39" t="str">
        <f>IFERROR(ödev!AR5*100/ödev!$I5,"")</f>
        <v/>
      </c>
      <c r="AH409" s="39" t="str">
        <f>IFERROR(ödev!AS5*100/ödev!$I5,"")</f>
        <v/>
      </c>
      <c r="AI409" s="39" t="str">
        <f>IFERROR(ödev!AT5*100/ödev!$I5,"")</f>
        <v/>
      </c>
      <c r="AJ409" s="39" t="str">
        <f>IFERROR(ödev!AU5*100/ödev!$I5,"")</f>
        <v/>
      </c>
      <c r="AK409" s="39" t="str">
        <f>IFERROR(ödev!AV5*100/ödev!$I5,"")</f>
        <v/>
      </c>
      <c r="AL409" s="39" t="str">
        <f>IFERROR(ödev!AW5*100/ödev!$I5,"")</f>
        <v/>
      </c>
      <c r="AM409" s="39" t="str">
        <f>IFERROR(ödev!AX5*100/ödev!$I5,"")</f>
        <v/>
      </c>
      <c r="AN409" s="39" t="str">
        <f>IFERROR(ödev!AY5*100/ödev!$I5,"")</f>
        <v/>
      </c>
      <c r="AO409" s="39" t="str">
        <f>IFERROR(ödev!AZ5*100/ödev!$I5,"")</f>
        <v/>
      </c>
      <c r="AP409" s="39" t="str">
        <f>IFERROR(ödev!BA5*100/ödev!$I5,"")</f>
        <v/>
      </c>
      <c r="AQ409" s="39" t="str">
        <f>IFERROR(ödev!BB5*100/ödev!$I5,"")</f>
        <v/>
      </c>
      <c r="AR409" s="39" t="str">
        <f>IFERROR(ödev!BC5*100/ödev!$I5,"")</f>
        <v/>
      </c>
      <c r="AS409" s="39" t="str">
        <f>IFERROR(ödev!BD5*100/ödev!$I5,"")</f>
        <v/>
      </c>
      <c r="AT409" s="39" t="str">
        <f>IFERROR(ödev!BE5*100/ödev!$I5,"")</f>
        <v/>
      </c>
      <c r="AU409" s="39" t="str">
        <f>IFERROR(ödev!BF5*100/ödev!$I5,"")</f>
        <v/>
      </c>
      <c r="AV409" s="39" t="str">
        <f>IFERROR(ödev!BG5*100/ödev!$I5,"")</f>
        <v/>
      </c>
      <c r="AW409" s="39" t="str">
        <f>IFERROR(ödev!BH5*100/ödev!$I5,"")</f>
        <v/>
      </c>
      <c r="AX409" s="39" t="str">
        <f>IFERROR(ödev!BI5*100/ödev!$I5,"")</f>
        <v/>
      </c>
      <c r="AY409" s="39" t="str">
        <f>IFERROR(ödev!BJ5*100/ödev!$I5,"")</f>
        <v/>
      </c>
      <c r="AZ409" s="39" t="str">
        <f>IFERROR(ödev!BK5*100/ödev!$I5,"")</f>
        <v/>
      </c>
      <c r="BA409" s="39" t="str">
        <f>IFERROR(ödev!BL5*100/ödev!$I5,"")</f>
        <v/>
      </c>
      <c r="BB409" s="39" t="str">
        <f>IFERROR(ödev!BM5*100/ödev!$I5,"")</f>
        <v/>
      </c>
      <c r="BC409" s="39" t="str">
        <f>IFERROR(ödev!BN5*100/ödev!$I5,"")</f>
        <v/>
      </c>
      <c r="BD409" s="39" t="str">
        <f>IFERROR(ödev!BO5*100/ödev!$I5,"")</f>
        <v/>
      </c>
      <c r="BE409" s="39" t="str">
        <f>IFERROR(ödev!BP5*100/ödev!$I5,"")</f>
        <v/>
      </c>
      <c r="BF409" s="39" t="str">
        <f>IFERROR(ödev!BQ5*100/ödev!$I5,"")</f>
        <v/>
      </c>
      <c r="BG409" s="39" t="str">
        <f>IFERROR(ödev!BR5*100/ödev!$I5,"")</f>
        <v/>
      </c>
      <c r="BH409" s="39" t="str">
        <f>IFERROR(ödev!BS5*100/ödev!$I5,"")</f>
        <v/>
      </c>
      <c r="BI409" s="39" t="str">
        <f>IFERROR(ödev!BT5*100/ödev!$I5,"")</f>
        <v/>
      </c>
      <c r="BJ409" s="39" t="str">
        <f>IFERROR(ödev!BU5*100/ödev!$I5,"")</f>
        <v/>
      </c>
      <c r="BK409" s="39" t="str">
        <f>IFERROR(ödev!BV5*100/ödev!$I5,"")</f>
        <v/>
      </c>
      <c r="BL409" s="39" t="str">
        <f>IFERROR(ödev!BW5*100/ödev!$I5,"")</f>
        <v/>
      </c>
      <c r="BM409" s="39" t="str">
        <f>IFERROR(ödev!BX5*100/ödev!$I5,"")</f>
        <v/>
      </c>
      <c r="BN409" s="39" t="str">
        <f>IFERROR(ödev!BY5*100/ödev!$I5,"")</f>
        <v/>
      </c>
      <c r="BO409" s="39" t="str">
        <f>IFERROR(ödev!BZ5*100/ödev!$I5,"")</f>
        <v/>
      </c>
      <c r="BP409" s="39" t="str">
        <f>IFERROR(ödev!CA5*100/ödev!$I5,"")</f>
        <v/>
      </c>
      <c r="BQ409" s="39" t="str">
        <f>IFERROR(ödev!CB5*100/ödev!$I5,"")</f>
        <v/>
      </c>
      <c r="BR409" s="39" t="str">
        <f>IFERROR(ödev!CC5*100/ödev!$I5,"")</f>
        <v/>
      </c>
      <c r="BS409" s="39" t="str">
        <f>IFERROR(ödev!CD5*100/ödev!$I5,"")</f>
        <v/>
      </c>
      <c r="BT409" s="39" t="str">
        <f>IFERROR(ödev!CE5*100/ödev!$I5,"")</f>
        <v/>
      </c>
      <c r="BU409" s="39" t="str">
        <f>IFERROR(ödev!CF5*100/ödev!$I5,"")</f>
        <v/>
      </c>
      <c r="BV409" s="39" t="str">
        <f>IFERROR(ödev!CG5*100/ödev!$I5,"")</f>
        <v/>
      </c>
      <c r="BW409" s="39" t="str">
        <f>IFERROR(ödev!CH5*100/ödev!$I5,"")</f>
        <v/>
      </c>
      <c r="BX409" s="39" t="str">
        <f>IFERROR(ödev!CI5*100/ödev!$I5,"")</f>
        <v/>
      </c>
      <c r="BY409" s="39" t="str">
        <f>IFERROR(ödev!CJ5*100/ödev!$I5,"")</f>
        <v/>
      </c>
      <c r="BZ409" s="39" t="str">
        <f>IFERROR(ödev!CK5*100/ödev!$I5,"")</f>
        <v/>
      </c>
      <c r="CA409" s="39" t="str">
        <f>IFERROR(ödev!CL5*100/ödev!$I5,"")</f>
        <v/>
      </c>
      <c r="CB409" s="39" t="str">
        <f>IFERROR(ödev!CM5*100/ödev!$I5,"")</f>
        <v/>
      </c>
      <c r="CC409" s="39" t="str">
        <f>IFERROR(ödev!CN5*100/ödev!$I5,"")</f>
        <v/>
      </c>
      <c r="CD409" s="39" t="str">
        <f>IFERROR(ödev!CO5*100/ödev!$I5,"")</f>
        <v/>
      </c>
      <c r="CE409" s="39" t="str">
        <f>IFERROR(ödev!CP5*100/ödev!$I5,"")</f>
        <v/>
      </c>
      <c r="CF409" s="39" t="str">
        <f>IFERROR(ödev!CQ5*100/ödev!$I5,"")</f>
        <v/>
      </c>
      <c r="CG409" s="39" t="str">
        <f>IFERROR(ödev!CR5*100/ödev!$I5,"")</f>
        <v/>
      </c>
      <c r="CH409" s="39" t="str">
        <f>IFERROR(ödev!CS5*100/ödev!$I5,"")</f>
        <v/>
      </c>
      <c r="CI409" s="39" t="str">
        <f>IFERROR(ödev!CT5*100/ödev!$I5,"")</f>
        <v/>
      </c>
      <c r="CJ409" s="39" t="str">
        <f>IFERROR(ödev!CU5*100/ödev!$I5,"")</f>
        <v/>
      </c>
      <c r="CK409" s="39" t="str">
        <f>IFERROR(ödev!CV5*100/ödev!$I5,"")</f>
        <v/>
      </c>
      <c r="CL409" s="39" t="str">
        <f>IFERROR(ödev!CW5*100/ödev!$I5,"")</f>
        <v/>
      </c>
      <c r="CM409" s="39" t="str">
        <f>IFERROR(ödev!CX5*100/ödev!$I5,"")</f>
        <v/>
      </c>
      <c r="CN409" s="39" t="str">
        <f>IFERROR(ödev!CY5*100/ödev!$I5,"")</f>
        <v/>
      </c>
      <c r="CO409" s="39" t="str">
        <f>IFERROR(ödev!CZ5*100/ödev!$I5,"")</f>
        <v/>
      </c>
      <c r="CP409" s="39" t="str">
        <f>IFERROR(ödev!DA5*100/ödev!$I5,"")</f>
        <v/>
      </c>
      <c r="CQ409" s="39" t="str">
        <f>IFERROR(ödev!DB5*100/ödev!$I5,"")</f>
        <v/>
      </c>
      <c r="CR409" s="39" t="str">
        <f>IFERROR(ödev!DC5*100/ödev!$I5,"")</f>
        <v/>
      </c>
      <c r="CS409" s="39" t="str">
        <f>IFERROR(ödev!DD5*100/ödev!$I5,"")</f>
        <v/>
      </c>
      <c r="CT409" s="39" t="str">
        <f>IFERROR(ödev!DE5*100/ödev!$I5,"")</f>
        <v/>
      </c>
      <c r="CU409" s="39" t="str">
        <f>IFERROR(ödev!DF5*100/ödev!$I5,"")</f>
        <v/>
      </c>
      <c r="CV409" s="39" t="str">
        <f>IFERROR(ödev!DG5*100/ödev!$I5,"")</f>
        <v/>
      </c>
      <c r="CW409" s="36" t="str">
        <f>IFERROR(SUM(A409:CV409)/ödev!$DH$103,"")</f>
        <v/>
      </c>
      <c r="CX409" s="14" t="str">
        <f>IF(COUNTA(ödev!A5),ödev!A5,"")</f>
        <v/>
      </c>
      <c r="CY409" s="14" t="str">
        <f>IF(COUNTA(ödev!B5),ödev!B5,"")</f>
        <v/>
      </c>
      <c r="CZ409" s="14" t="str">
        <f>IF(COUNTA(ödev!C5),ödev!C5,"")</f>
        <v/>
      </c>
      <c r="DA409" s="14" t="str">
        <f>IF(COUNTA(ödev!D5),ödev!D5,"")</f>
        <v/>
      </c>
      <c r="DB409" s="14" t="str">
        <f>IF(COUNTA(ödev!E5),ödev!E5,"")</f>
        <v/>
      </c>
      <c r="DC409" s="14" t="str">
        <f>IF(COUNTA(ödev!F5),ödev!F5,"")</f>
        <v/>
      </c>
      <c r="DD409" s="14" t="str">
        <f>IF(COUNTA(ödev!G5),ödev!G5,"")</f>
        <v/>
      </c>
      <c r="DE409" s="14" t="str">
        <f>IF(COUNTA(ödev!H5),ödev!H5,"")</f>
        <v/>
      </c>
    </row>
    <row r="410" spans="1:118" x14ac:dyDescent="0.2">
      <c r="A410" s="39" t="str">
        <f>IFERROR(ödev!L6*100/ödev!$I6,"")</f>
        <v/>
      </c>
      <c r="B410" s="39" t="str">
        <f>IFERROR(ödev!M6*100/ödev!$I6,"")</f>
        <v/>
      </c>
      <c r="C410" s="39" t="str">
        <f>IFERROR(ödev!N6*100/ödev!$I6,"")</f>
        <v/>
      </c>
      <c r="D410" s="39" t="str">
        <f>IFERROR(ödev!O6*100/ödev!$I6,"")</f>
        <v/>
      </c>
      <c r="E410" s="39" t="str">
        <f>IFERROR(ödev!P6*100/ödev!$I6,"")</f>
        <v/>
      </c>
      <c r="F410" s="39" t="str">
        <f>IFERROR(ödev!Q6*100/ödev!$I6,"")</f>
        <v/>
      </c>
      <c r="G410" s="39" t="str">
        <f>IFERROR(ödev!R6*100/ödev!$I6,"")</f>
        <v/>
      </c>
      <c r="H410" s="39" t="str">
        <f>IFERROR(ödev!S6*100/ödev!$I6,"")</f>
        <v/>
      </c>
      <c r="I410" s="39" t="str">
        <f>IFERROR(ödev!T6*100/ödev!$I6,"")</f>
        <v/>
      </c>
      <c r="J410" s="39" t="str">
        <f>IFERROR(ödev!U6*100/ödev!$I6,"")</f>
        <v/>
      </c>
      <c r="K410" s="39" t="str">
        <f>IFERROR(ödev!V6*100/ödev!$I6,"")</f>
        <v/>
      </c>
      <c r="L410" s="39" t="str">
        <f>IFERROR(ödev!W6*100/ödev!$I6,"")</f>
        <v/>
      </c>
      <c r="M410" s="39" t="str">
        <f>IFERROR(ödev!X6*100/ödev!$I6,"")</f>
        <v/>
      </c>
      <c r="N410" s="39" t="str">
        <f>IFERROR(ödev!Y6*100/ödev!$I6,"")</f>
        <v/>
      </c>
      <c r="O410" s="39" t="str">
        <f>IFERROR(ödev!Z6*100/ödev!$I6,"")</f>
        <v/>
      </c>
      <c r="P410" s="39" t="str">
        <f>IFERROR(ödev!AA6*100/ödev!$I6,"")</f>
        <v/>
      </c>
      <c r="Q410" s="39" t="str">
        <f>IFERROR(ödev!AB6*100/ödev!$I6,"")</f>
        <v/>
      </c>
      <c r="R410" s="39" t="str">
        <f>IFERROR(ödev!AC6*100/ödev!$I6,"")</f>
        <v/>
      </c>
      <c r="S410" s="39" t="str">
        <f>IFERROR(ödev!AD6*100/ödev!$I6,"")</f>
        <v/>
      </c>
      <c r="T410" s="39" t="str">
        <f>IFERROR(ödev!AE6*100/ödev!$I6,"")</f>
        <v/>
      </c>
      <c r="U410" s="39" t="str">
        <f>IFERROR(ödev!AF6*100/ödev!$I6,"")</f>
        <v/>
      </c>
      <c r="V410" s="39" t="str">
        <f>IFERROR(ödev!AG6*100/ödev!$I6,"")</f>
        <v/>
      </c>
      <c r="W410" s="39" t="str">
        <f>IFERROR(ödev!AH6*100/ödev!$I6,"")</f>
        <v/>
      </c>
      <c r="X410" s="39" t="str">
        <f>IFERROR(ödev!AI6*100/ödev!$I6,"")</f>
        <v/>
      </c>
      <c r="Y410" s="39" t="str">
        <f>IFERROR(ödev!AJ6*100/ödev!$I6,"")</f>
        <v/>
      </c>
      <c r="Z410" s="39" t="str">
        <f>IFERROR(ödev!AK6*100/ödev!$I6,"")</f>
        <v/>
      </c>
      <c r="AA410" s="39" t="str">
        <f>IFERROR(ödev!AL6*100/ödev!$I6,"")</f>
        <v/>
      </c>
      <c r="AB410" s="39" t="str">
        <f>IFERROR(ödev!AM6*100/ödev!$I6,"")</f>
        <v/>
      </c>
      <c r="AC410" s="39" t="str">
        <f>IFERROR(ödev!AN6*100/ödev!$I6,"")</f>
        <v/>
      </c>
      <c r="AD410" s="39" t="str">
        <f>IFERROR(ödev!AO6*100/ödev!$I6,"")</f>
        <v/>
      </c>
      <c r="AE410" s="39" t="str">
        <f>IFERROR(ödev!AP6*100/ödev!$I6,"")</f>
        <v/>
      </c>
      <c r="AF410" s="39" t="str">
        <f>IFERROR(ödev!AQ6*100/ödev!$I6,"")</f>
        <v/>
      </c>
      <c r="AG410" s="39" t="str">
        <f>IFERROR(ödev!AR6*100/ödev!$I6,"")</f>
        <v/>
      </c>
      <c r="AH410" s="39" t="str">
        <f>IFERROR(ödev!AS6*100/ödev!$I6,"")</f>
        <v/>
      </c>
      <c r="AI410" s="39" t="str">
        <f>IFERROR(ödev!AT6*100/ödev!$I6,"")</f>
        <v/>
      </c>
      <c r="AJ410" s="39" t="str">
        <f>IFERROR(ödev!AU6*100/ödev!$I6,"")</f>
        <v/>
      </c>
      <c r="AK410" s="39" t="str">
        <f>IFERROR(ödev!AV6*100/ödev!$I6,"")</f>
        <v/>
      </c>
      <c r="AL410" s="39" t="str">
        <f>IFERROR(ödev!AW6*100/ödev!$I6,"")</f>
        <v/>
      </c>
      <c r="AM410" s="39" t="str">
        <f>IFERROR(ödev!AX6*100/ödev!$I6,"")</f>
        <v/>
      </c>
      <c r="AN410" s="39" t="str">
        <f>IFERROR(ödev!AY6*100/ödev!$I6,"")</f>
        <v/>
      </c>
      <c r="AO410" s="39" t="str">
        <f>IFERROR(ödev!AZ6*100/ödev!$I6,"")</f>
        <v/>
      </c>
      <c r="AP410" s="39" t="str">
        <f>IFERROR(ödev!BA6*100/ödev!$I6,"")</f>
        <v/>
      </c>
      <c r="AQ410" s="39" t="str">
        <f>IFERROR(ödev!BB6*100/ödev!$I6,"")</f>
        <v/>
      </c>
      <c r="AR410" s="39" t="str">
        <f>IFERROR(ödev!BC6*100/ödev!$I6,"")</f>
        <v/>
      </c>
      <c r="AS410" s="39" t="str">
        <f>IFERROR(ödev!BD6*100/ödev!$I6,"")</f>
        <v/>
      </c>
      <c r="AT410" s="39" t="str">
        <f>IFERROR(ödev!BE6*100/ödev!$I6,"")</f>
        <v/>
      </c>
      <c r="AU410" s="39" t="str">
        <f>IFERROR(ödev!BF6*100/ödev!$I6,"")</f>
        <v/>
      </c>
      <c r="AV410" s="39" t="str">
        <f>IFERROR(ödev!BG6*100/ödev!$I6,"")</f>
        <v/>
      </c>
      <c r="AW410" s="39" t="str">
        <f>IFERROR(ödev!BH6*100/ödev!$I6,"")</f>
        <v/>
      </c>
      <c r="AX410" s="39" t="str">
        <f>IFERROR(ödev!BI6*100/ödev!$I6,"")</f>
        <v/>
      </c>
      <c r="AY410" s="39" t="str">
        <f>IFERROR(ödev!BJ6*100/ödev!$I6,"")</f>
        <v/>
      </c>
      <c r="AZ410" s="39" t="str">
        <f>IFERROR(ödev!BK6*100/ödev!$I6,"")</f>
        <v/>
      </c>
      <c r="BA410" s="39" t="str">
        <f>IFERROR(ödev!BL6*100/ödev!$I6,"")</f>
        <v/>
      </c>
      <c r="BB410" s="39" t="str">
        <f>IFERROR(ödev!BM6*100/ödev!$I6,"")</f>
        <v/>
      </c>
      <c r="BC410" s="39" t="str">
        <f>IFERROR(ödev!BN6*100/ödev!$I6,"")</f>
        <v/>
      </c>
      <c r="BD410" s="39" t="str">
        <f>IFERROR(ödev!BO6*100/ödev!$I6,"")</f>
        <v/>
      </c>
      <c r="BE410" s="39" t="str">
        <f>IFERROR(ödev!BP6*100/ödev!$I6,"")</f>
        <v/>
      </c>
      <c r="BF410" s="39" t="str">
        <f>IFERROR(ödev!BQ6*100/ödev!$I6,"")</f>
        <v/>
      </c>
      <c r="BG410" s="39" t="str">
        <f>IFERROR(ödev!BR6*100/ödev!$I6,"")</f>
        <v/>
      </c>
      <c r="BH410" s="39" t="str">
        <f>IFERROR(ödev!BS6*100/ödev!$I6,"")</f>
        <v/>
      </c>
      <c r="BI410" s="39" t="str">
        <f>IFERROR(ödev!BT6*100/ödev!$I6,"")</f>
        <v/>
      </c>
      <c r="BJ410" s="39" t="str">
        <f>IFERROR(ödev!BU6*100/ödev!$I6,"")</f>
        <v/>
      </c>
      <c r="BK410" s="39" t="str">
        <f>IFERROR(ödev!BV6*100/ödev!$I6,"")</f>
        <v/>
      </c>
      <c r="BL410" s="39" t="str">
        <f>IFERROR(ödev!BW6*100/ödev!$I6,"")</f>
        <v/>
      </c>
      <c r="BM410" s="39" t="str">
        <f>IFERROR(ödev!BX6*100/ödev!$I6,"")</f>
        <v/>
      </c>
      <c r="BN410" s="39" t="str">
        <f>IFERROR(ödev!BY6*100/ödev!$I6,"")</f>
        <v/>
      </c>
      <c r="BO410" s="39" t="str">
        <f>IFERROR(ödev!BZ6*100/ödev!$I6,"")</f>
        <v/>
      </c>
      <c r="BP410" s="39" t="str">
        <f>IFERROR(ödev!CA6*100/ödev!$I6,"")</f>
        <v/>
      </c>
      <c r="BQ410" s="39" t="str">
        <f>IFERROR(ödev!CB6*100/ödev!$I6,"")</f>
        <v/>
      </c>
      <c r="BR410" s="39" t="str">
        <f>IFERROR(ödev!CC6*100/ödev!$I6,"")</f>
        <v/>
      </c>
      <c r="BS410" s="39" t="str">
        <f>IFERROR(ödev!CD6*100/ödev!$I6,"")</f>
        <v/>
      </c>
      <c r="BT410" s="39" t="str">
        <f>IFERROR(ödev!CE6*100/ödev!$I6,"")</f>
        <v/>
      </c>
      <c r="BU410" s="39" t="str">
        <f>IFERROR(ödev!CF6*100/ödev!$I6,"")</f>
        <v/>
      </c>
      <c r="BV410" s="39" t="str">
        <f>IFERROR(ödev!CG6*100/ödev!$I6,"")</f>
        <v/>
      </c>
      <c r="BW410" s="39" t="str">
        <f>IFERROR(ödev!CH6*100/ödev!$I6,"")</f>
        <v/>
      </c>
      <c r="BX410" s="39" t="str">
        <f>IFERROR(ödev!CI6*100/ödev!$I6,"")</f>
        <v/>
      </c>
      <c r="BY410" s="39" t="str">
        <f>IFERROR(ödev!CJ6*100/ödev!$I6,"")</f>
        <v/>
      </c>
      <c r="BZ410" s="39" t="str">
        <f>IFERROR(ödev!CK6*100/ödev!$I6,"")</f>
        <v/>
      </c>
      <c r="CA410" s="39" t="str">
        <f>IFERROR(ödev!CL6*100/ödev!$I6,"")</f>
        <v/>
      </c>
      <c r="CB410" s="39" t="str">
        <f>IFERROR(ödev!CM6*100/ödev!$I6,"")</f>
        <v/>
      </c>
      <c r="CC410" s="39" t="str">
        <f>IFERROR(ödev!CN6*100/ödev!$I6,"")</f>
        <v/>
      </c>
      <c r="CD410" s="39" t="str">
        <f>IFERROR(ödev!CO6*100/ödev!$I6,"")</f>
        <v/>
      </c>
      <c r="CE410" s="39" t="str">
        <f>IFERROR(ödev!CP6*100/ödev!$I6,"")</f>
        <v/>
      </c>
      <c r="CF410" s="39" t="str">
        <f>IFERROR(ödev!CQ6*100/ödev!$I6,"")</f>
        <v/>
      </c>
      <c r="CG410" s="39" t="str">
        <f>IFERROR(ödev!CR6*100/ödev!$I6,"")</f>
        <v/>
      </c>
      <c r="CH410" s="39" t="str">
        <f>IFERROR(ödev!CS6*100/ödev!$I6,"")</f>
        <v/>
      </c>
      <c r="CI410" s="39" t="str">
        <f>IFERROR(ödev!CT6*100/ödev!$I6,"")</f>
        <v/>
      </c>
      <c r="CJ410" s="39" t="str">
        <f>IFERROR(ödev!CU6*100/ödev!$I6,"")</f>
        <v/>
      </c>
      <c r="CK410" s="39" t="str">
        <f>IFERROR(ödev!CV6*100/ödev!$I6,"")</f>
        <v/>
      </c>
      <c r="CL410" s="39" t="str">
        <f>IFERROR(ödev!CW6*100/ödev!$I6,"")</f>
        <v/>
      </c>
      <c r="CM410" s="39" t="str">
        <f>IFERROR(ödev!CX6*100/ödev!$I6,"")</f>
        <v/>
      </c>
      <c r="CN410" s="39" t="str">
        <f>IFERROR(ödev!CY6*100/ödev!$I6,"")</f>
        <v/>
      </c>
      <c r="CO410" s="39" t="str">
        <f>IFERROR(ödev!CZ6*100/ödev!$I6,"")</f>
        <v/>
      </c>
      <c r="CP410" s="39" t="str">
        <f>IFERROR(ödev!DA6*100/ödev!$I6,"")</f>
        <v/>
      </c>
      <c r="CQ410" s="39" t="str">
        <f>IFERROR(ödev!DB6*100/ödev!$I6,"")</f>
        <v/>
      </c>
      <c r="CR410" s="39" t="str">
        <f>IFERROR(ödev!DC6*100/ödev!$I6,"")</f>
        <v/>
      </c>
      <c r="CS410" s="39" t="str">
        <f>IFERROR(ödev!DD6*100/ödev!$I6,"")</f>
        <v/>
      </c>
      <c r="CT410" s="39" t="str">
        <f>IFERROR(ödev!DE6*100/ödev!$I6,"")</f>
        <v/>
      </c>
      <c r="CU410" s="39" t="str">
        <f>IFERROR(ödev!DF6*100/ödev!$I6,"")</f>
        <v/>
      </c>
      <c r="CV410" s="39" t="str">
        <f>IFERROR(ödev!DG6*100/ödev!$I6,"")</f>
        <v/>
      </c>
      <c r="CW410" s="36" t="str">
        <f>IFERROR(SUM(A410:CV410)/ödev!$DH$103,"")</f>
        <v/>
      </c>
      <c r="CX410" s="14" t="str">
        <f>IF(COUNTA(ödev!A6),ödev!A6,"")</f>
        <v/>
      </c>
      <c r="CY410" s="14" t="str">
        <f>IF(COUNTA(ödev!B6),ödev!B6,"")</f>
        <v/>
      </c>
      <c r="CZ410" s="14" t="str">
        <f>IF(COUNTA(ödev!C6),ödev!C6,"")</f>
        <v/>
      </c>
      <c r="DA410" s="14" t="str">
        <f>IF(COUNTA(ödev!D6),ödev!D6,"")</f>
        <v/>
      </c>
      <c r="DB410" s="14" t="str">
        <f>IF(COUNTA(ödev!E6),ödev!E6,"")</f>
        <v/>
      </c>
      <c r="DC410" s="14" t="str">
        <f>IF(COUNTA(ödev!F6),ödev!F6,"")</f>
        <v/>
      </c>
      <c r="DD410" s="14" t="str">
        <f>IF(COUNTA(ödev!G6),ödev!G6,"")</f>
        <v/>
      </c>
      <c r="DE410" s="14" t="str">
        <f>IF(COUNTA(ödev!H6),ödev!H6,"")</f>
        <v/>
      </c>
    </row>
    <row r="411" spans="1:118" x14ac:dyDescent="0.2">
      <c r="A411" s="39" t="str">
        <f>IFERROR(ödev!L7*100/ödev!$I7,"")</f>
        <v/>
      </c>
      <c r="B411" s="39" t="str">
        <f>IFERROR(ödev!M7*100/ödev!$I7,"")</f>
        <v/>
      </c>
      <c r="C411" s="39" t="str">
        <f>IFERROR(ödev!N7*100/ödev!$I7,"")</f>
        <v/>
      </c>
      <c r="D411" s="39" t="str">
        <f>IFERROR(ödev!O7*100/ödev!$I7,"")</f>
        <v/>
      </c>
      <c r="E411" s="39" t="str">
        <f>IFERROR(ödev!P7*100/ödev!$I7,"")</f>
        <v/>
      </c>
      <c r="F411" s="39" t="str">
        <f>IFERROR(ödev!Q7*100/ödev!$I7,"")</f>
        <v/>
      </c>
      <c r="G411" s="39" t="str">
        <f>IFERROR(ödev!R7*100/ödev!$I7,"")</f>
        <v/>
      </c>
      <c r="H411" s="39" t="str">
        <f>IFERROR(ödev!S7*100/ödev!$I7,"")</f>
        <v/>
      </c>
      <c r="I411" s="39" t="str">
        <f>IFERROR(ödev!T7*100/ödev!$I7,"")</f>
        <v/>
      </c>
      <c r="J411" s="39" t="str">
        <f>IFERROR(ödev!U7*100/ödev!$I7,"")</f>
        <v/>
      </c>
      <c r="K411" s="39" t="str">
        <f>IFERROR(ödev!V7*100/ödev!$I7,"")</f>
        <v/>
      </c>
      <c r="L411" s="39" t="str">
        <f>IFERROR(ödev!W7*100/ödev!$I7,"")</f>
        <v/>
      </c>
      <c r="M411" s="39" t="str">
        <f>IFERROR(ödev!X7*100/ödev!$I7,"")</f>
        <v/>
      </c>
      <c r="N411" s="39" t="str">
        <f>IFERROR(ödev!Y7*100/ödev!$I7,"")</f>
        <v/>
      </c>
      <c r="O411" s="39" t="str">
        <f>IFERROR(ödev!Z7*100/ödev!$I7,"")</f>
        <v/>
      </c>
      <c r="P411" s="39" t="str">
        <f>IFERROR(ödev!AA7*100/ödev!$I7,"")</f>
        <v/>
      </c>
      <c r="Q411" s="39" t="str">
        <f>IFERROR(ödev!AB7*100/ödev!$I7,"")</f>
        <v/>
      </c>
      <c r="R411" s="39" t="str">
        <f>IFERROR(ödev!AC7*100/ödev!$I7,"")</f>
        <v/>
      </c>
      <c r="S411" s="39" t="str">
        <f>IFERROR(ödev!AD7*100/ödev!$I7,"")</f>
        <v/>
      </c>
      <c r="T411" s="39" t="str">
        <f>IFERROR(ödev!AE7*100/ödev!$I7,"")</f>
        <v/>
      </c>
      <c r="U411" s="39" t="str">
        <f>IFERROR(ödev!AF7*100/ödev!$I7,"")</f>
        <v/>
      </c>
      <c r="V411" s="39" t="str">
        <f>IFERROR(ödev!AG7*100/ödev!$I7,"")</f>
        <v/>
      </c>
      <c r="W411" s="39" t="str">
        <f>IFERROR(ödev!AH7*100/ödev!$I7,"")</f>
        <v/>
      </c>
      <c r="X411" s="39" t="str">
        <f>IFERROR(ödev!AI7*100/ödev!$I7,"")</f>
        <v/>
      </c>
      <c r="Y411" s="39" t="str">
        <f>IFERROR(ödev!AJ7*100/ödev!$I7,"")</f>
        <v/>
      </c>
      <c r="Z411" s="39" t="str">
        <f>IFERROR(ödev!AK7*100/ödev!$I7,"")</f>
        <v/>
      </c>
      <c r="AA411" s="39" t="str">
        <f>IFERROR(ödev!AL7*100/ödev!$I7,"")</f>
        <v/>
      </c>
      <c r="AB411" s="39" t="str">
        <f>IFERROR(ödev!AM7*100/ödev!$I7,"")</f>
        <v/>
      </c>
      <c r="AC411" s="39" t="str">
        <f>IFERROR(ödev!AN7*100/ödev!$I7,"")</f>
        <v/>
      </c>
      <c r="AD411" s="39" t="str">
        <f>IFERROR(ödev!AO7*100/ödev!$I7,"")</f>
        <v/>
      </c>
      <c r="AE411" s="39" t="str">
        <f>IFERROR(ödev!AP7*100/ödev!$I7,"")</f>
        <v/>
      </c>
      <c r="AF411" s="39" t="str">
        <f>IFERROR(ödev!AQ7*100/ödev!$I7,"")</f>
        <v/>
      </c>
      <c r="AG411" s="39" t="str">
        <f>IFERROR(ödev!AR7*100/ödev!$I7,"")</f>
        <v/>
      </c>
      <c r="AH411" s="39" t="str">
        <f>IFERROR(ödev!AS7*100/ödev!$I7,"")</f>
        <v/>
      </c>
      <c r="AI411" s="39" t="str">
        <f>IFERROR(ödev!AT7*100/ödev!$I7,"")</f>
        <v/>
      </c>
      <c r="AJ411" s="39" t="str">
        <f>IFERROR(ödev!AU7*100/ödev!$I7,"")</f>
        <v/>
      </c>
      <c r="AK411" s="39" t="str">
        <f>IFERROR(ödev!AV7*100/ödev!$I7,"")</f>
        <v/>
      </c>
      <c r="AL411" s="39" t="str">
        <f>IFERROR(ödev!AW7*100/ödev!$I7,"")</f>
        <v/>
      </c>
      <c r="AM411" s="39" t="str">
        <f>IFERROR(ödev!AX7*100/ödev!$I7,"")</f>
        <v/>
      </c>
      <c r="AN411" s="39" t="str">
        <f>IFERROR(ödev!AY7*100/ödev!$I7,"")</f>
        <v/>
      </c>
      <c r="AO411" s="39" t="str">
        <f>IFERROR(ödev!AZ7*100/ödev!$I7,"")</f>
        <v/>
      </c>
      <c r="AP411" s="39" t="str">
        <f>IFERROR(ödev!BA7*100/ödev!$I7,"")</f>
        <v/>
      </c>
      <c r="AQ411" s="39" t="str">
        <f>IFERROR(ödev!BB7*100/ödev!$I7,"")</f>
        <v/>
      </c>
      <c r="AR411" s="39" t="str">
        <f>IFERROR(ödev!BC7*100/ödev!$I7,"")</f>
        <v/>
      </c>
      <c r="AS411" s="39" t="str">
        <f>IFERROR(ödev!BD7*100/ödev!$I7,"")</f>
        <v/>
      </c>
      <c r="AT411" s="39" t="str">
        <f>IFERROR(ödev!BE7*100/ödev!$I7,"")</f>
        <v/>
      </c>
      <c r="AU411" s="39" t="str">
        <f>IFERROR(ödev!BF7*100/ödev!$I7,"")</f>
        <v/>
      </c>
      <c r="AV411" s="39" t="str">
        <f>IFERROR(ödev!BG7*100/ödev!$I7,"")</f>
        <v/>
      </c>
      <c r="AW411" s="39" t="str">
        <f>IFERROR(ödev!BH7*100/ödev!$I7,"")</f>
        <v/>
      </c>
      <c r="AX411" s="39" t="str">
        <f>IFERROR(ödev!BI7*100/ödev!$I7,"")</f>
        <v/>
      </c>
      <c r="AY411" s="39" t="str">
        <f>IFERROR(ödev!BJ7*100/ödev!$I7,"")</f>
        <v/>
      </c>
      <c r="AZ411" s="39" t="str">
        <f>IFERROR(ödev!BK7*100/ödev!$I7,"")</f>
        <v/>
      </c>
      <c r="BA411" s="39" t="str">
        <f>IFERROR(ödev!BL7*100/ödev!$I7,"")</f>
        <v/>
      </c>
      <c r="BB411" s="39" t="str">
        <f>IFERROR(ödev!BM7*100/ödev!$I7,"")</f>
        <v/>
      </c>
      <c r="BC411" s="39" t="str">
        <f>IFERROR(ödev!BN7*100/ödev!$I7,"")</f>
        <v/>
      </c>
      <c r="BD411" s="39" t="str">
        <f>IFERROR(ödev!BO7*100/ödev!$I7,"")</f>
        <v/>
      </c>
      <c r="BE411" s="39" t="str">
        <f>IFERROR(ödev!BP7*100/ödev!$I7,"")</f>
        <v/>
      </c>
      <c r="BF411" s="39" t="str">
        <f>IFERROR(ödev!BQ7*100/ödev!$I7,"")</f>
        <v/>
      </c>
      <c r="BG411" s="39" t="str">
        <f>IFERROR(ödev!BR7*100/ödev!$I7,"")</f>
        <v/>
      </c>
      <c r="BH411" s="39" t="str">
        <f>IFERROR(ödev!BS7*100/ödev!$I7,"")</f>
        <v/>
      </c>
      <c r="BI411" s="39" t="str">
        <f>IFERROR(ödev!BT7*100/ödev!$I7,"")</f>
        <v/>
      </c>
      <c r="BJ411" s="39" t="str">
        <f>IFERROR(ödev!BU7*100/ödev!$I7,"")</f>
        <v/>
      </c>
      <c r="BK411" s="39" t="str">
        <f>IFERROR(ödev!BV7*100/ödev!$I7,"")</f>
        <v/>
      </c>
      <c r="BL411" s="39" t="str">
        <f>IFERROR(ödev!BW7*100/ödev!$I7,"")</f>
        <v/>
      </c>
      <c r="BM411" s="39" t="str">
        <f>IFERROR(ödev!BX7*100/ödev!$I7,"")</f>
        <v/>
      </c>
      <c r="BN411" s="39" t="str">
        <f>IFERROR(ödev!BY7*100/ödev!$I7,"")</f>
        <v/>
      </c>
      <c r="BO411" s="39" t="str">
        <f>IFERROR(ödev!BZ7*100/ödev!$I7,"")</f>
        <v/>
      </c>
      <c r="BP411" s="39" t="str">
        <f>IFERROR(ödev!CA7*100/ödev!$I7,"")</f>
        <v/>
      </c>
      <c r="BQ411" s="39" t="str">
        <f>IFERROR(ödev!CB7*100/ödev!$I7,"")</f>
        <v/>
      </c>
      <c r="BR411" s="39" t="str">
        <f>IFERROR(ödev!CC7*100/ödev!$I7,"")</f>
        <v/>
      </c>
      <c r="BS411" s="39" t="str">
        <f>IFERROR(ödev!CD7*100/ödev!$I7,"")</f>
        <v/>
      </c>
      <c r="BT411" s="39" t="str">
        <f>IFERROR(ödev!CE7*100/ödev!$I7,"")</f>
        <v/>
      </c>
      <c r="BU411" s="39" t="str">
        <f>IFERROR(ödev!CF7*100/ödev!$I7,"")</f>
        <v/>
      </c>
      <c r="BV411" s="39" t="str">
        <f>IFERROR(ödev!CG7*100/ödev!$I7,"")</f>
        <v/>
      </c>
      <c r="BW411" s="39" t="str">
        <f>IFERROR(ödev!CH7*100/ödev!$I7,"")</f>
        <v/>
      </c>
      <c r="BX411" s="39" t="str">
        <f>IFERROR(ödev!CI7*100/ödev!$I7,"")</f>
        <v/>
      </c>
      <c r="BY411" s="39" t="str">
        <f>IFERROR(ödev!CJ7*100/ödev!$I7,"")</f>
        <v/>
      </c>
      <c r="BZ411" s="39" t="str">
        <f>IFERROR(ödev!CK7*100/ödev!$I7,"")</f>
        <v/>
      </c>
      <c r="CA411" s="39" t="str">
        <f>IFERROR(ödev!CL7*100/ödev!$I7,"")</f>
        <v/>
      </c>
      <c r="CB411" s="39" t="str">
        <f>IFERROR(ödev!CM7*100/ödev!$I7,"")</f>
        <v/>
      </c>
      <c r="CC411" s="39" t="str">
        <f>IFERROR(ödev!CN7*100/ödev!$I7,"")</f>
        <v/>
      </c>
      <c r="CD411" s="39" t="str">
        <f>IFERROR(ödev!CO7*100/ödev!$I7,"")</f>
        <v/>
      </c>
      <c r="CE411" s="39" t="str">
        <f>IFERROR(ödev!CP7*100/ödev!$I7,"")</f>
        <v/>
      </c>
      <c r="CF411" s="39" t="str">
        <f>IFERROR(ödev!CQ7*100/ödev!$I7,"")</f>
        <v/>
      </c>
      <c r="CG411" s="39" t="str">
        <f>IFERROR(ödev!CR7*100/ödev!$I7,"")</f>
        <v/>
      </c>
      <c r="CH411" s="39" t="str">
        <f>IFERROR(ödev!CS7*100/ödev!$I7,"")</f>
        <v/>
      </c>
      <c r="CI411" s="39" t="str">
        <f>IFERROR(ödev!CT7*100/ödev!$I7,"")</f>
        <v/>
      </c>
      <c r="CJ411" s="39" t="str">
        <f>IFERROR(ödev!CU7*100/ödev!$I7,"")</f>
        <v/>
      </c>
      <c r="CK411" s="39" t="str">
        <f>IFERROR(ödev!CV7*100/ödev!$I7,"")</f>
        <v/>
      </c>
      <c r="CL411" s="39" t="str">
        <f>IFERROR(ödev!CW7*100/ödev!$I7,"")</f>
        <v/>
      </c>
      <c r="CM411" s="39" t="str">
        <f>IFERROR(ödev!CX7*100/ödev!$I7,"")</f>
        <v/>
      </c>
      <c r="CN411" s="39" t="str">
        <f>IFERROR(ödev!CY7*100/ödev!$I7,"")</f>
        <v/>
      </c>
      <c r="CO411" s="39" t="str">
        <f>IFERROR(ödev!CZ7*100/ödev!$I7,"")</f>
        <v/>
      </c>
      <c r="CP411" s="39" t="str">
        <f>IFERROR(ödev!DA7*100/ödev!$I7,"")</f>
        <v/>
      </c>
      <c r="CQ411" s="39" t="str">
        <f>IFERROR(ödev!DB7*100/ödev!$I7,"")</f>
        <v/>
      </c>
      <c r="CR411" s="39" t="str">
        <f>IFERROR(ödev!DC7*100/ödev!$I7,"")</f>
        <v/>
      </c>
      <c r="CS411" s="39" t="str">
        <f>IFERROR(ödev!DD7*100/ödev!$I7,"")</f>
        <v/>
      </c>
      <c r="CT411" s="39" t="str">
        <f>IFERROR(ödev!DE7*100/ödev!$I7,"")</f>
        <v/>
      </c>
      <c r="CU411" s="39" t="str">
        <f>IFERROR(ödev!DF7*100/ödev!$I7,"")</f>
        <v/>
      </c>
      <c r="CV411" s="39" t="str">
        <f>IFERROR(ödev!DG7*100/ödev!$I7,"")</f>
        <v/>
      </c>
      <c r="CW411" s="36" t="str">
        <f>IFERROR(SUM(A411:CV411)/ödev!$DH$103,"")</f>
        <v/>
      </c>
      <c r="CX411" s="14" t="str">
        <f>IF(COUNTA(ödev!A7),ödev!A7,"")</f>
        <v/>
      </c>
      <c r="CY411" s="14" t="str">
        <f>IF(COUNTA(ödev!B7),ödev!B7,"")</f>
        <v/>
      </c>
      <c r="CZ411" s="14" t="str">
        <f>IF(COUNTA(ödev!C7),ödev!C7,"")</f>
        <v/>
      </c>
      <c r="DA411" s="14" t="str">
        <f>IF(COUNTA(ödev!D7),ödev!D7,"")</f>
        <v/>
      </c>
      <c r="DB411" s="14" t="str">
        <f>IF(COUNTA(ödev!E7),ödev!E7,"")</f>
        <v/>
      </c>
      <c r="DC411" s="14" t="str">
        <f>IF(COUNTA(ödev!F7),ödev!F7,"")</f>
        <v/>
      </c>
      <c r="DD411" s="14" t="str">
        <f>IF(COUNTA(ödev!G7),ödev!G7,"")</f>
        <v/>
      </c>
      <c r="DE411" s="14" t="str">
        <f>IF(COUNTA(ödev!H7),ödev!H7,"")</f>
        <v/>
      </c>
    </row>
    <row r="412" spans="1:118" x14ac:dyDescent="0.2">
      <c r="A412" s="39" t="str">
        <f>IFERROR(ödev!L8*100/ödev!$I8,"")</f>
        <v/>
      </c>
      <c r="B412" s="39" t="str">
        <f>IFERROR(ödev!M8*100/ödev!$I8,"")</f>
        <v/>
      </c>
      <c r="C412" s="39" t="str">
        <f>IFERROR(ödev!N8*100/ödev!$I8,"")</f>
        <v/>
      </c>
      <c r="D412" s="39" t="str">
        <f>IFERROR(ödev!O8*100/ödev!$I8,"")</f>
        <v/>
      </c>
      <c r="E412" s="39" t="str">
        <f>IFERROR(ödev!P8*100/ödev!$I8,"")</f>
        <v/>
      </c>
      <c r="F412" s="39" t="str">
        <f>IFERROR(ödev!Q8*100/ödev!$I8,"")</f>
        <v/>
      </c>
      <c r="G412" s="39" t="str">
        <f>IFERROR(ödev!R8*100/ödev!$I8,"")</f>
        <v/>
      </c>
      <c r="H412" s="39" t="str">
        <f>IFERROR(ödev!S8*100/ödev!$I8,"")</f>
        <v/>
      </c>
      <c r="I412" s="39" t="str">
        <f>IFERROR(ödev!T8*100/ödev!$I8,"")</f>
        <v/>
      </c>
      <c r="J412" s="39" t="str">
        <f>IFERROR(ödev!U8*100/ödev!$I8,"")</f>
        <v/>
      </c>
      <c r="K412" s="39" t="str">
        <f>IFERROR(ödev!V8*100/ödev!$I8,"")</f>
        <v/>
      </c>
      <c r="L412" s="39" t="str">
        <f>IFERROR(ödev!W8*100/ödev!$I8,"")</f>
        <v/>
      </c>
      <c r="M412" s="39" t="str">
        <f>IFERROR(ödev!X8*100/ödev!$I8,"")</f>
        <v/>
      </c>
      <c r="N412" s="39" t="str">
        <f>IFERROR(ödev!Y8*100/ödev!$I8,"")</f>
        <v/>
      </c>
      <c r="O412" s="39" t="str">
        <f>IFERROR(ödev!Z8*100/ödev!$I8,"")</f>
        <v/>
      </c>
      <c r="P412" s="39" t="str">
        <f>IFERROR(ödev!AA8*100/ödev!$I8,"")</f>
        <v/>
      </c>
      <c r="Q412" s="39" t="str">
        <f>IFERROR(ödev!AB8*100/ödev!$I8,"")</f>
        <v/>
      </c>
      <c r="R412" s="39" t="str">
        <f>IFERROR(ödev!AC8*100/ödev!$I8,"")</f>
        <v/>
      </c>
      <c r="S412" s="39" t="str">
        <f>IFERROR(ödev!AD8*100/ödev!$I8,"")</f>
        <v/>
      </c>
      <c r="T412" s="39" t="str">
        <f>IFERROR(ödev!AE8*100/ödev!$I8,"")</f>
        <v/>
      </c>
      <c r="U412" s="39" t="str">
        <f>IFERROR(ödev!AF8*100/ödev!$I8,"")</f>
        <v/>
      </c>
      <c r="V412" s="39" t="str">
        <f>IFERROR(ödev!AG8*100/ödev!$I8,"")</f>
        <v/>
      </c>
      <c r="W412" s="39" t="str">
        <f>IFERROR(ödev!AH8*100/ödev!$I8,"")</f>
        <v/>
      </c>
      <c r="X412" s="39" t="str">
        <f>IFERROR(ödev!AI8*100/ödev!$I8,"")</f>
        <v/>
      </c>
      <c r="Y412" s="39" t="str">
        <f>IFERROR(ödev!AJ8*100/ödev!$I8,"")</f>
        <v/>
      </c>
      <c r="Z412" s="39" t="str">
        <f>IFERROR(ödev!AK8*100/ödev!$I8,"")</f>
        <v/>
      </c>
      <c r="AA412" s="39" t="str">
        <f>IFERROR(ödev!AL8*100/ödev!$I8,"")</f>
        <v/>
      </c>
      <c r="AB412" s="39" t="str">
        <f>IFERROR(ödev!AM8*100/ödev!$I8,"")</f>
        <v/>
      </c>
      <c r="AC412" s="39" t="str">
        <f>IFERROR(ödev!AN8*100/ödev!$I8,"")</f>
        <v/>
      </c>
      <c r="AD412" s="39" t="str">
        <f>IFERROR(ödev!AO8*100/ödev!$I8,"")</f>
        <v/>
      </c>
      <c r="AE412" s="39" t="str">
        <f>IFERROR(ödev!AP8*100/ödev!$I8,"")</f>
        <v/>
      </c>
      <c r="AF412" s="39" t="str">
        <f>IFERROR(ödev!AQ8*100/ödev!$I8,"")</f>
        <v/>
      </c>
      <c r="AG412" s="39" t="str">
        <f>IFERROR(ödev!AR8*100/ödev!$I8,"")</f>
        <v/>
      </c>
      <c r="AH412" s="39" t="str">
        <f>IFERROR(ödev!AS8*100/ödev!$I8,"")</f>
        <v/>
      </c>
      <c r="AI412" s="39" t="str">
        <f>IFERROR(ödev!AT8*100/ödev!$I8,"")</f>
        <v/>
      </c>
      <c r="AJ412" s="39" t="str">
        <f>IFERROR(ödev!AU8*100/ödev!$I8,"")</f>
        <v/>
      </c>
      <c r="AK412" s="39" t="str">
        <f>IFERROR(ödev!AV8*100/ödev!$I8,"")</f>
        <v/>
      </c>
      <c r="AL412" s="39" t="str">
        <f>IFERROR(ödev!AW8*100/ödev!$I8,"")</f>
        <v/>
      </c>
      <c r="AM412" s="39" t="str">
        <f>IFERROR(ödev!AX8*100/ödev!$I8,"")</f>
        <v/>
      </c>
      <c r="AN412" s="39" t="str">
        <f>IFERROR(ödev!AY8*100/ödev!$I8,"")</f>
        <v/>
      </c>
      <c r="AO412" s="39" t="str">
        <f>IFERROR(ödev!AZ8*100/ödev!$I8,"")</f>
        <v/>
      </c>
      <c r="AP412" s="39" t="str">
        <f>IFERROR(ödev!BA8*100/ödev!$I8,"")</f>
        <v/>
      </c>
      <c r="AQ412" s="39" t="str">
        <f>IFERROR(ödev!BB8*100/ödev!$I8,"")</f>
        <v/>
      </c>
      <c r="AR412" s="39" t="str">
        <f>IFERROR(ödev!BC8*100/ödev!$I8,"")</f>
        <v/>
      </c>
      <c r="AS412" s="39" t="str">
        <f>IFERROR(ödev!BD8*100/ödev!$I8,"")</f>
        <v/>
      </c>
      <c r="AT412" s="39" t="str">
        <f>IFERROR(ödev!BE8*100/ödev!$I8,"")</f>
        <v/>
      </c>
      <c r="AU412" s="39" t="str">
        <f>IFERROR(ödev!BF8*100/ödev!$I8,"")</f>
        <v/>
      </c>
      <c r="AV412" s="39" t="str">
        <f>IFERROR(ödev!BG8*100/ödev!$I8,"")</f>
        <v/>
      </c>
      <c r="AW412" s="39" t="str">
        <f>IFERROR(ödev!BH8*100/ödev!$I8,"")</f>
        <v/>
      </c>
      <c r="AX412" s="39" t="str">
        <f>IFERROR(ödev!BI8*100/ödev!$I8,"")</f>
        <v/>
      </c>
      <c r="AY412" s="39" t="str">
        <f>IFERROR(ödev!BJ8*100/ödev!$I8,"")</f>
        <v/>
      </c>
      <c r="AZ412" s="39" t="str">
        <f>IFERROR(ödev!BK8*100/ödev!$I8,"")</f>
        <v/>
      </c>
      <c r="BA412" s="39" t="str">
        <f>IFERROR(ödev!BL8*100/ödev!$I8,"")</f>
        <v/>
      </c>
      <c r="BB412" s="39" t="str">
        <f>IFERROR(ödev!BM8*100/ödev!$I8,"")</f>
        <v/>
      </c>
      <c r="BC412" s="39" t="str">
        <f>IFERROR(ödev!BN8*100/ödev!$I8,"")</f>
        <v/>
      </c>
      <c r="BD412" s="39" t="str">
        <f>IFERROR(ödev!BO8*100/ödev!$I8,"")</f>
        <v/>
      </c>
      <c r="BE412" s="39" t="str">
        <f>IFERROR(ödev!BP8*100/ödev!$I8,"")</f>
        <v/>
      </c>
      <c r="BF412" s="39" t="str">
        <f>IFERROR(ödev!BQ8*100/ödev!$I8,"")</f>
        <v/>
      </c>
      <c r="BG412" s="39" t="str">
        <f>IFERROR(ödev!BR8*100/ödev!$I8,"")</f>
        <v/>
      </c>
      <c r="BH412" s="39" t="str">
        <f>IFERROR(ödev!BS8*100/ödev!$I8,"")</f>
        <v/>
      </c>
      <c r="BI412" s="39" t="str">
        <f>IFERROR(ödev!BT8*100/ödev!$I8,"")</f>
        <v/>
      </c>
      <c r="BJ412" s="39" t="str">
        <f>IFERROR(ödev!BU8*100/ödev!$I8,"")</f>
        <v/>
      </c>
      <c r="BK412" s="39" t="str">
        <f>IFERROR(ödev!BV8*100/ödev!$I8,"")</f>
        <v/>
      </c>
      <c r="BL412" s="39" t="str">
        <f>IFERROR(ödev!BW8*100/ödev!$I8,"")</f>
        <v/>
      </c>
      <c r="BM412" s="39" t="str">
        <f>IFERROR(ödev!BX8*100/ödev!$I8,"")</f>
        <v/>
      </c>
      <c r="BN412" s="39" t="str">
        <f>IFERROR(ödev!BY8*100/ödev!$I8,"")</f>
        <v/>
      </c>
      <c r="BO412" s="39" t="str">
        <f>IFERROR(ödev!BZ8*100/ödev!$I8,"")</f>
        <v/>
      </c>
      <c r="BP412" s="39" t="str">
        <f>IFERROR(ödev!CA8*100/ödev!$I8,"")</f>
        <v/>
      </c>
      <c r="BQ412" s="39" t="str">
        <f>IFERROR(ödev!CB8*100/ödev!$I8,"")</f>
        <v/>
      </c>
      <c r="BR412" s="39" t="str">
        <f>IFERROR(ödev!CC8*100/ödev!$I8,"")</f>
        <v/>
      </c>
      <c r="BS412" s="39" t="str">
        <f>IFERROR(ödev!CD8*100/ödev!$I8,"")</f>
        <v/>
      </c>
      <c r="BT412" s="39" t="str">
        <f>IFERROR(ödev!CE8*100/ödev!$I8,"")</f>
        <v/>
      </c>
      <c r="BU412" s="39" t="str">
        <f>IFERROR(ödev!CF8*100/ödev!$I8,"")</f>
        <v/>
      </c>
      <c r="BV412" s="39" t="str">
        <f>IFERROR(ödev!CG8*100/ödev!$I8,"")</f>
        <v/>
      </c>
      <c r="BW412" s="39" t="str">
        <f>IFERROR(ödev!CH8*100/ödev!$I8,"")</f>
        <v/>
      </c>
      <c r="BX412" s="39" t="str">
        <f>IFERROR(ödev!CI8*100/ödev!$I8,"")</f>
        <v/>
      </c>
      <c r="BY412" s="39" t="str">
        <f>IFERROR(ödev!CJ8*100/ödev!$I8,"")</f>
        <v/>
      </c>
      <c r="BZ412" s="39" t="str">
        <f>IFERROR(ödev!CK8*100/ödev!$I8,"")</f>
        <v/>
      </c>
      <c r="CA412" s="39" t="str">
        <f>IFERROR(ödev!CL8*100/ödev!$I8,"")</f>
        <v/>
      </c>
      <c r="CB412" s="39" t="str">
        <f>IFERROR(ödev!CM8*100/ödev!$I8,"")</f>
        <v/>
      </c>
      <c r="CC412" s="39" t="str">
        <f>IFERROR(ödev!CN8*100/ödev!$I8,"")</f>
        <v/>
      </c>
      <c r="CD412" s="39" t="str">
        <f>IFERROR(ödev!CO8*100/ödev!$I8,"")</f>
        <v/>
      </c>
      <c r="CE412" s="39" t="str">
        <f>IFERROR(ödev!CP8*100/ödev!$I8,"")</f>
        <v/>
      </c>
      <c r="CF412" s="39" t="str">
        <f>IFERROR(ödev!CQ8*100/ödev!$I8,"")</f>
        <v/>
      </c>
      <c r="CG412" s="39" t="str">
        <f>IFERROR(ödev!CR8*100/ödev!$I8,"")</f>
        <v/>
      </c>
      <c r="CH412" s="39" t="str">
        <f>IFERROR(ödev!CS8*100/ödev!$I8,"")</f>
        <v/>
      </c>
      <c r="CI412" s="39" t="str">
        <f>IFERROR(ödev!CT8*100/ödev!$I8,"")</f>
        <v/>
      </c>
      <c r="CJ412" s="39" t="str">
        <f>IFERROR(ödev!CU8*100/ödev!$I8,"")</f>
        <v/>
      </c>
      <c r="CK412" s="39" t="str">
        <f>IFERROR(ödev!CV8*100/ödev!$I8,"")</f>
        <v/>
      </c>
      <c r="CL412" s="39" t="str">
        <f>IFERROR(ödev!CW8*100/ödev!$I8,"")</f>
        <v/>
      </c>
      <c r="CM412" s="39" t="str">
        <f>IFERROR(ödev!CX8*100/ödev!$I8,"")</f>
        <v/>
      </c>
      <c r="CN412" s="39" t="str">
        <f>IFERROR(ödev!CY8*100/ödev!$I8,"")</f>
        <v/>
      </c>
      <c r="CO412" s="39" t="str">
        <f>IFERROR(ödev!CZ8*100/ödev!$I8,"")</f>
        <v/>
      </c>
      <c r="CP412" s="39" t="str">
        <f>IFERROR(ödev!DA8*100/ödev!$I8,"")</f>
        <v/>
      </c>
      <c r="CQ412" s="39" t="str">
        <f>IFERROR(ödev!DB8*100/ödev!$I8,"")</f>
        <v/>
      </c>
      <c r="CR412" s="39" t="str">
        <f>IFERROR(ödev!DC8*100/ödev!$I8,"")</f>
        <v/>
      </c>
      <c r="CS412" s="39" t="str">
        <f>IFERROR(ödev!DD8*100/ödev!$I8,"")</f>
        <v/>
      </c>
      <c r="CT412" s="39" t="str">
        <f>IFERROR(ödev!DE8*100/ödev!$I8,"")</f>
        <v/>
      </c>
      <c r="CU412" s="39" t="str">
        <f>IFERROR(ödev!DF8*100/ödev!$I8,"")</f>
        <v/>
      </c>
      <c r="CV412" s="39" t="str">
        <f>IFERROR(ödev!DG8*100/ödev!$I8,"")</f>
        <v/>
      </c>
      <c r="CW412" s="36" t="str">
        <f>IFERROR(SUM(A412:CV412)/ödev!$DH$103,"")</f>
        <v/>
      </c>
      <c r="CX412" s="14" t="str">
        <f>IF(COUNTA(ödev!A8),ödev!A8,"")</f>
        <v/>
      </c>
      <c r="CY412" s="14" t="str">
        <f>IF(COUNTA(ödev!B8),ödev!B8,"")</f>
        <v/>
      </c>
      <c r="CZ412" s="14" t="str">
        <f>IF(COUNTA(ödev!C8),ödev!C8,"")</f>
        <v/>
      </c>
      <c r="DA412" s="14" t="str">
        <f>IF(COUNTA(ödev!D8),ödev!D8,"")</f>
        <v/>
      </c>
      <c r="DB412" s="14" t="str">
        <f>IF(COUNTA(ödev!E8),ödev!E8,"")</f>
        <v/>
      </c>
      <c r="DC412" s="14" t="str">
        <f>IF(COUNTA(ödev!F8),ödev!F8,"")</f>
        <v/>
      </c>
      <c r="DD412" s="14" t="str">
        <f>IF(COUNTA(ödev!G8),ödev!G8,"")</f>
        <v/>
      </c>
      <c r="DE412" s="14" t="str">
        <f>IF(COUNTA(ödev!H8),ödev!H8,"")</f>
        <v/>
      </c>
    </row>
    <row r="413" spans="1:118" x14ac:dyDescent="0.2">
      <c r="A413" s="39" t="str">
        <f>IFERROR(ödev!L9*100/ödev!$I9,"")</f>
        <v/>
      </c>
      <c r="B413" s="39" t="str">
        <f>IFERROR(ödev!M9*100/ödev!$I9,"")</f>
        <v/>
      </c>
      <c r="C413" s="39" t="str">
        <f>IFERROR(ödev!N9*100/ödev!$I9,"")</f>
        <v/>
      </c>
      <c r="D413" s="39" t="str">
        <f>IFERROR(ödev!O9*100/ödev!$I9,"")</f>
        <v/>
      </c>
      <c r="E413" s="39" t="str">
        <f>IFERROR(ödev!P9*100/ödev!$I9,"")</f>
        <v/>
      </c>
      <c r="F413" s="39" t="str">
        <f>IFERROR(ödev!Q9*100/ödev!$I9,"")</f>
        <v/>
      </c>
      <c r="G413" s="39" t="str">
        <f>IFERROR(ödev!R9*100/ödev!$I9,"")</f>
        <v/>
      </c>
      <c r="H413" s="39" t="str">
        <f>IFERROR(ödev!S9*100/ödev!$I9,"")</f>
        <v/>
      </c>
      <c r="I413" s="39" t="str">
        <f>IFERROR(ödev!T9*100/ödev!$I9,"")</f>
        <v/>
      </c>
      <c r="J413" s="39" t="str">
        <f>IFERROR(ödev!U9*100/ödev!$I9,"")</f>
        <v/>
      </c>
      <c r="K413" s="39" t="str">
        <f>IFERROR(ödev!V9*100/ödev!$I9,"")</f>
        <v/>
      </c>
      <c r="L413" s="39" t="str">
        <f>IFERROR(ödev!W9*100/ödev!$I9,"")</f>
        <v/>
      </c>
      <c r="M413" s="39" t="str">
        <f>IFERROR(ödev!X9*100/ödev!$I9,"")</f>
        <v/>
      </c>
      <c r="N413" s="39" t="str">
        <f>IFERROR(ödev!Y9*100/ödev!$I9,"")</f>
        <v/>
      </c>
      <c r="O413" s="39" t="str">
        <f>IFERROR(ödev!Z9*100/ödev!$I9,"")</f>
        <v/>
      </c>
      <c r="P413" s="39" t="str">
        <f>IFERROR(ödev!AA9*100/ödev!$I9,"")</f>
        <v/>
      </c>
      <c r="Q413" s="39" t="str">
        <f>IFERROR(ödev!AB9*100/ödev!$I9,"")</f>
        <v/>
      </c>
      <c r="R413" s="39" t="str">
        <f>IFERROR(ödev!AC9*100/ödev!$I9,"")</f>
        <v/>
      </c>
      <c r="S413" s="39" t="str">
        <f>IFERROR(ödev!AD9*100/ödev!$I9,"")</f>
        <v/>
      </c>
      <c r="T413" s="39" t="str">
        <f>IFERROR(ödev!AE9*100/ödev!$I9,"")</f>
        <v/>
      </c>
      <c r="U413" s="39" t="str">
        <f>IFERROR(ödev!AF9*100/ödev!$I9,"")</f>
        <v/>
      </c>
      <c r="V413" s="39" t="str">
        <f>IFERROR(ödev!AG9*100/ödev!$I9,"")</f>
        <v/>
      </c>
      <c r="W413" s="39" t="str">
        <f>IFERROR(ödev!AH9*100/ödev!$I9,"")</f>
        <v/>
      </c>
      <c r="X413" s="39" t="str">
        <f>IFERROR(ödev!AI9*100/ödev!$I9,"")</f>
        <v/>
      </c>
      <c r="Y413" s="39" t="str">
        <f>IFERROR(ödev!AJ9*100/ödev!$I9,"")</f>
        <v/>
      </c>
      <c r="Z413" s="39" t="str">
        <f>IFERROR(ödev!AK9*100/ödev!$I9,"")</f>
        <v/>
      </c>
      <c r="AA413" s="39" t="str">
        <f>IFERROR(ödev!AL9*100/ödev!$I9,"")</f>
        <v/>
      </c>
      <c r="AB413" s="39" t="str">
        <f>IFERROR(ödev!AM9*100/ödev!$I9,"")</f>
        <v/>
      </c>
      <c r="AC413" s="39" t="str">
        <f>IFERROR(ödev!AN9*100/ödev!$I9,"")</f>
        <v/>
      </c>
      <c r="AD413" s="39" t="str">
        <f>IFERROR(ödev!AO9*100/ödev!$I9,"")</f>
        <v/>
      </c>
      <c r="AE413" s="39" t="str">
        <f>IFERROR(ödev!AP9*100/ödev!$I9,"")</f>
        <v/>
      </c>
      <c r="AF413" s="39" t="str">
        <f>IFERROR(ödev!AQ9*100/ödev!$I9,"")</f>
        <v/>
      </c>
      <c r="AG413" s="39" t="str">
        <f>IFERROR(ödev!AR9*100/ödev!$I9,"")</f>
        <v/>
      </c>
      <c r="AH413" s="39" t="str">
        <f>IFERROR(ödev!AS9*100/ödev!$I9,"")</f>
        <v/>
      </c>
      <c r="AI413" s="39" t="str">
        <f>IFERROR(ödev!AT9*100/ödev!$I9,"")</f>
        <v/>
      </c>
      <c r="AJ413" s="39" t="str">
        <f>IFERROR(ödev!AU9*100/ödev!$I9,"")</f>
        <v/>
      </c>
      <c r="AK413" s="39" t="str">
        <f>IFERROR(ödev!AV9*100/ödev!$I9,"")</f>
        <v/>
      </c>
      <c r="AL413" s="39" t="str">
        <f>IFERROR(ödev!AW9*100/ödev!$I9,"")</f>
        <v/>
      </c>
      <c r="AM413" s="39" t="str">
        <f>IFERROR(ödev!AX9*100/ödev!$I9,"")</f>
        <v/>
      </c>
      <c r="AN413" s="39" t="str">
        <f>IFERROR(ödev!AY9*100/ödev!$I9,"")</f>
        <v/>
      </c>
      <c r="AO413" s="39" t="str">
        <f>IFERROR(ödev!AZ9*100/ödev!$I9,"")</f>
        <v/>
      </c>
      <c r="AP413" s="39" t="str">
        <f>IFERROR(ödev!BA9*100/ödev!$I9,"")</f>
        <v/>
      </c>
      <c r="AQ413" s="39" t="str">
        <f>IFERROR(ödev!BB9*100/ödev!$I9,"")</f>
        <v/>
      </c>
      <c r="AR413" s="39" t="str">
        <f>IFERROR(ödev!BC9*100/ödev!$I9,"")</f>
        <v/>
      </c>
      <c r="AS413" s="39" t="str">
        <f>IFERROR(ödev!BD9*100/ödev!$I9,"")</f>
        <v/>
      </c>
      <c r="AT413" s="39" t="str">
        <f>IFERROR(ödev!BE9*100/ödev!$I9,"")</f>
        <v/>
      </c>
      <c r="AU413" s="39" t="str">
        <f>IFERROR(ödev!BF9*100/ödev!$I9,"")</f>
        <v/>
      </c>
      <c r="AV413" s="39" t="str">
        <f>IFERROR(ödev!BG9*100/ödev!$I9,"")</f>
        <v/>
      </c>
      <c r="AW413" s="39" t="str">
        <f>IFERROR(ödev!BH9*100/ödev!$I9,"")</f>
        <v/>
      </c>
      <c r="AX413" s="39" t="str">
        <f>IFERROR(ödev!BI9*100/ödev!$I9,"")</f>
        <v/>
      </c>
      <c r="AY413" s="39" t="str">
        <f>IFERROR(ödev!BJ9*100/ödev!$I9,"")</f>
        <v/>
      </c>
      <c r="AZ413" s="39" t="str">
        <f>IFERROR(ödev!BK9*100/ödev!$I9,"")</f>
        <v/>
      </c>
      <c r="BA413" s="39" t="str">
        <f>IFERROR(ödev!BL9*100/ödev!$I9,"")</f>
        <v/>
      </c>
      <c r="BB413" s="39" t="str">
        <f>IFERROR(ödev!BM9*100/ödev!$I9,"")</f>
        <v/>
      </c>
      <c r="BC413" s="39" t="str">
        <f>IFERROR(ödev!BN9*100/ödev!$I9,"")</f>
        <v/>
      </c>
      <c r="BD413" s="39" t="str">
        <f>IFERROR(ödev!BO9*100/ödev!$I9,"")</f>
        <v/>
      </c>
      <c r="BE413" s="39" t="str">
        <f>IFERROR(ödev!BP9*100/ödev!$I9,"")</f>
        <v/>
      </c>
      <c r="BF413" s="39" t="str">
        <f>IFERROR(ödev!BQ9*100/ödev!$I9,"")</f>
        <v/>
      </c>
      <c r="BG413" s="39" t="str">
        <f>IFERROR(ödev!BR9*100/ödev!$I9,"")</f>
        <v/>
      </c>
      <c r="BH413" s="39" t="str">
        <f>IFERROR(ödev!BS9*100/ödev!$I9,"")</f>
        <v/>
      </c>
      <c r="BI413" s="39" t="str">
        <f>IFERROR(ödev!BT9*100/ödev!$I9,"")</f>
        <v/>
      </c>
      <c r="BJ413" s="39" t="str">
        <f>IFERROR(ödev!BU9*100/ödev!$I9,"")</f>
        <v/>
      </c>
      <c r="BK413" s="39" t="str">
        <f>IFERROR(ödev!BV9*100/ödev!$I9,"")</f>
        <v/>
      </c>
      <c r="BL413" s="39" t="str">
        <f>IFERROR(ödev!BW9*100/ödev!$I9,"")</f>
        <v/>
      </c>
      <c r="BM413" s="39" t="str">
        <f>IFERROR(ödev!BX9*100/ödev!$I9,"")</f>
        <v/>
      </c>
      <c r="BN413" s="39" t="str">
        <f>IFERROR(ödev!BY9*100/ödev!$I9,"")</f>
        <v/>
      </c>
      <c r="BO413" s="39" t="str">
        <f>IFERROR(ödev!BZ9*100/ödev!$I9,"")</f>
        <v/>
      </c>
      <c r="BP413" s="39" t="str">
        <f>IFERROR(ödev!CA9*100/ödev!$I9,"")</f>
        <v/>
      </c>
      <c r="BQ413" s="39" t="str">
        <f>IFERROR(ödev!CB9*100/ödev!$I9,"")</f>
        <v/>
      </c>
      <c r="BR413" s="39" t="str">
        <f>IFERROR(ödev!CC9*100/ödev!$I9,"")</f>
        <v/>
      </c>
      <c r="BS413" s="39" t="str">
        <f>IFERROR(ödev!CD9*100/ödev!$I9,"")</f>
        <v/>
      </c>
      <c r="BT413" s="39" t="str">
        <f>IFERROR(ödev!CE9*100/ödev!$I9,"")</f>
        <v/>
      </c>
      <c r="BU413" s="39" t="str">
        <f>IFERROR(ödev!CF9*100/ödev!$I9,"")</f>
        <v/>
      </c>
      <c r="BV413" s="39" t="str">
        <f>IFERROR(ödev!CG9*100/ödev!$I9,"")</f>
        <v/>
      </c>
      <c r="BW413" s="39" t="str">
        <f>IFERROR(ödev!CH9*100/ödev!$I9,"")</f>
        <v/>
      </c>
      <c r="BX413" s="39" t="str">
        <f>IFERROR(ödev!CI9*100/ödev!$I9,"")</f>
        <v/>
      </c>
      <c r="BY413" s="39" t="str">
        <f>IFERROR(ödev!CJ9*100/ödev!$I9,"")</f>
        <v/>
      </c>
      <c r="BZ413" s="39" t="str">
        <f>IFERROR(ödev!CK9*100/ödev!$I9,"")</f>
        <v/>
      </c>
      <c r="CA413" s="39" t="str">
        <f>IFERROR(ödev!CL9*100/ödev!$I9,"")</f>
        <v/>
      </c>
      <c r="CB413" s="39" t="str">
        <f>IFERROR(ödev!CM9*100/ödev!$I9,"")</f>
        <v/>
      </c>
      <c r="CC413" s="39" t="str">
        <f>IFERROR(ödev!CN9*100/ödev!$I9,"")</f>
        <v/>
      </c>
      <c r="CD413" s="39" t="str">
        <f>IFERROR(ödev!CO9*100/ödev!$I9,"")</f>
        <v/>
      </c>
      <c r="CE413" s="39" t="str">
        <f>IFERROR(ödev!CP9*100/ödev!$I9,"")</f>
        <v/>
      </c>
      <c r="CF413" s="39" t="str">
        <f>IFERROR(ödev!CQ9*100/ödev!$I9,"")</f>
        <v/>
      </c>
      <c r="CG413" s="39" t="str">
        <f>IFERROR(ödev!CR9*100/ödev!$I9,"")</f>
        <v/>
      </c>
      <c r="CH413" s="39" t="str">
        <f>IFERROR(ödev!CS9*100/ödev!$I9,"")</f>
        <v/>
      </c>
      <c r="CI413" s="39" t="str">
        <f>IFERROR(ödev!CT9*100/ödev!$I9,"")</f>
        <v/>
      </c>
      <c r="CJ413" s="39" t="str">
        <f>IFERROR(ödev!CU9*100/ödev!$I9,"")</f>
        <v/>
      </c>
      <c r="CK413" s="39" t="str">
        <f>IFERROR(ödev!CV9*100/ödev!$I9,"")</f>
        <v/>
      </c>
      <c r="CL413" s="39" t="str">
        <f>IFERROR(ödev!CW9*100/ödev!$I9,"")</f>
        <v/>
      </c>
      <c r="CM413" s="39" t="str">
        <f>IFERROR(ödev!CX9*100/ödev!$I9,"")</f>
        <v/>
      </c>
      <c r="CN413" s="39" t="str">
        <f>IFERROR(ödev!CY9*100/ödev!$I9,"")</f>
        <v/>
      </c>
      <c r="CO413" s="39" t="str">
        <f>IFERROR(ödev!CZ9*100/ödev!$I9,"")</f>
        <v/>
      </c>
      <c r="CP413" s="39" t="str">
        <f>IFERROR(ödev!DA9*100/ödev!$I9,"")</f>
        <v/>
      </c>
      <c r="CQ413" s="39" t="str">
        <f>IFERROR(ödev!DB9*100/ödev!$I9,"")</f>
        <v/>
      </c>
      <c r="CR413" s="39" t="str">
        <f>IFERROR(ödev!DC9*100/ödev!$I9,"")</f>
        <v/>
      </c>
      <c r="CS413" s="39" t="str">
        <f>IFERROR(ödev!DD9*100/ödev!$I9,"")</f>
        <v/>
      </c>
      <c r="CT413" s="39" t="str">
        <f>IFERROR(ödev!DE9*100/ödev!$I9,"")</f>
        <v/>
      </c>
      <c r="CU413" s="39" t="str">
        <f>IFERROR(ödev!DF9*100/ödev!$I9,"")</f>
        <v/>
      </c>
      <c r="CV413" s="39" t="str">
        <f>IFERROR(ödev!DG9*100/ödev!$I9,"")</f>
        <v/>
      </c>
      <c r="CW413" s="36" t="str">
        <f>IFERROR(SUM(A413:CV413)/ödev!$DH$103,"")</f>
        <v/>
      </c>
      <c r="CX413" s="14" t="str">
        <f>IF(COUNTA(ödev!A9),ödev!A9,"")</f>
        <v/>
      </c>
      <c r="CY413" s="14" t="str">
        <f>IF(COUNTA(ödev!B9),ödev!B9,"")</f>
        <v/>
      </c>
      <c r="CZ413" s="14" t="str">
        <f>IF(COUNTA(ödev!C9),ödev!C9,"")</f>
        <v/>
      </c>
      <c r="DA413" s="14" t="str">
        <f>IF(COUNTA(ödev!D9),ödev!D9,"")</f>
        <v/>
      </c>
      <c r="DB413" s="14" t="str">
        <f>IF(COUNTA(ödev!E9),ödev!E9,"")</f>
        <v/>
      </c>
      <c r="DC413" s="14" t="str">
        <f>IF(COUNTA(ödev!F9),ödev!F9,"")</f>
        <v/>
      </c>
      <c r="DD413" s="14" t="str">
        <f>IF(COUNTA(ödev!G9),ödev!G9,"")</f>
        <v/>
      </c>
      <c r="DE413" s="14" t="str">
        <f>IF(COUNTA(ödev!H9),ödev!H9,"")</f>
        <v/>
      </c>
    </row>
    <row r="414" spans="1:118" x14ac:dyDescent="0.2">
      <c r="A414" s="39" t="str">
        <f>IFERROR(ödev!L10*100/ödev!$I10,"")</f>
        <v/>
      </c>
      <c r="B414" s="39" t="str">
        <f>IFERROR(ödev!M10*100/ödev!$I10,"")</f>
        <v/>
      </c>
      <c r="C414" s="39" t="str">
        <f>IFERROR(ödev!N10*100/ödev!$I10,"")</f>
        <v/>
      </c>
      <c r="D414" s="39" t="str">
        <f>IFERROR(ödev!O10*100/ödev!$I10,"")</f>
        <v/>
      </c>
      <c r="E414" s="39" t="str">
        <f>IFERROR(ödev!P10*100/ödev!$I10,"")</f>
        <v/>
      </c>
      <c r="F414" s="39" t="str">
        <f>IFERROR(ödev!Q10*100/ödev!$I10,"")</f>
        <v/>
      </c>
      <c r="G414" s="39" t="str">
        <f>IFERROR(ödev!R10*100/ödev!$I10,"")</f>
        <v/>
      </c>
      <c r="H414" s="39" t="str">
        <f>IFERROR(ödev!S10*100/ödev!$I10,"")</f>
        <v/>
      </c>
      <c r="I414" s="39" t="str">
        <f>IFERROR(ödev!T10*100/ödev!$I10,"")</f>
        <v/>
      </c>
      <c r="J414" s="39" t="str">
        <f>IFERROR(ödev!U10*100/ödev!$I10,"")</f>
        <v/>
      </c>
      <c r="K414" s="39" t="str">
        <f>IFERROR(ödev!V10*100/ödev!$I10,"")</f>
        <v/>
      </c>
      <c r="L414" s="39" t="str">
        <f>IFERROR(ödev!W10*100/ödev!$I10,"")</f>
        <v/>
      </c>
      <c r="M414" s="39" t="str">
        <f>IFERROR(ödev!X10*100/ödev!$I10,"")</f>
        <v/>
      </c>
      <c r="N414" s="39" t="str">
        <f>IFERROR(ödev!Y10*100/ödev!$I10,"")</f>
        <v/>
      </c>
      <c r="O414" s="39" t="str">
        <f>IFERROR(ödev!Z10*100/ödev!$I10,"")</f>
        <v/>
      </c>
      <c r="P414" s="39" t="str">
        <f>IFERROR(ödev!AA10*100/ödev!$I10,"")</f>
        <v/>
      </c>
      <c r="Q414" s="39" t="str">
        <f>IFERROR(ödev!AB10*100/ödev!$I10,"")</f>
        <v/>
      </c>
      <c r="R414" s="39" t="str">
        <f>IFERROR(ödev!AC10*100/ödev!$I10,"")</f>
        <v/>
      </c>
      <c r="S414" s="39" t="str">
        <f>IFERROR(ödev!AD10*100/ödev!$I10,"")</f>
        <v/>
      </c>
      <c r="T414" s="39" t="str">
        <f>IFERROR(ödev!AE10*100/ödev!$I10,"")</f>
        <v/>
      </c>
      <c r="U414" s="39" t="str">
        <f>IFERROR(ödev!AF10*100/ödev!$I10,"")</f>
        <v/>
      </c>
      <c r="V414" s="39" t="str">
        <f>IFERROR(ödev!AG10*100/ödev!$I10,"")</f>
        <v/>
      </c>
      <c r="W414" s="39" t="str">
        <f>IFERROR(ödev!AH10*100/ödev!$I10,"")</f>
        <v/>
      </c>
      <c r="X414" s="39" t="str">
        <f>IFERROR(ödev!AI10*100/ödev!$I10,"")</f>
        <v/>
      </c>
      <c r="Y414" s="39" t="str">
        <f>IFERROR(ödev!AJ10*100/ödev!$I10,"")</f>
        <v/>
      </c>
      <c r="Z414" s="39" t="str">
        <f>IFERROR(ödev!AK10*100/ödev!$I10,"")</f>
        <v/>
      </c>
      <c r="AA414" s="39" t="str">
        <f>IFERROR(ödev!AL10*100/ödev!$I10,"")</f>
        <v/>
      </c>
      <c r="AB414" s="39" t="str">
        <f>IFERROR(ödev!AM10*100/ödev!$I10,"")</f>
        <v/>
      </c>
      <c r="AC414" s="39" t="str">
        <f>IFERROR(ödev!AN10*100/ödev!$I10,"")</f>
        <v/>
      </c>
      <c r="AD414" s="39" t="str">
        <f>IFERROR(ödev!AO10*100/ödev!$I10,"")</f>
        <v/>
      </c>
      <c r="AE414" s="39" t="str">
        <f>IFERROR(ödev!AP10*100/ödev!$I10,"")</f>
        <v/>
      </c>
      <c r="AF414" s="39" t="str">
        <f>IFERROR(ödev!AQ10*100/ödev!$I10,"")</f>
        <v/>
      </c>
      <c r="AG414" s="39" t="str">
        <f>IFERROR(ödev!AR10*100/ödev!$I10,"")</f>
        <v/>
      </c>
      <c r="AH414" s="39" t="str">
        <f>IFERROR(ödev!AS10*100/ödev!$I10,"")</f>
        <v/>
      </c>
      <c r="AI414" s="39" t="str">
        <f>IFERROR(ödev!AT10*100/ödev!$I10,"")</f>
        <v/>
      </c>
      <c r="AJ414" s="39" t="str">
        <f>IFERROR(ödev!AU10*100/ödev!$I10,"")</f>
        <v/>
      </c>
      <c r="AK414" s="39" t="str">
        <f>IFERROR(ödev!AV10*100/ödev!$I10,"")</f>
        <v/>
      </c>
      <c r="AL414" s="39" t="str">
        <f>IFERROR(ödev!AW10*100/ödev!$I10,"")</f>
        <v/>
      </c>
      <c r="AM414" s="39" t="str">
        <f>IFERROR(ödev!AX10*100/ödev!$I10,"")</f>
        <v/>
      </c>
      <c r="AN414" s="39" t="str">
        <f>IFERROR(ödev!AY10*100/ödev!$I10,"")</f>
        <v/>
      </c>
      <c r="AO414" s="39" t="str">
        <f>IFERROR(ödev!AZ10*100/ödev!$I10,"")</f>
        <v/>
      </c>
      <c r="AP414" s="39" t="str">
        <f>IFERROR(ödev!BA10*100/ödev!$I10,"")</f>
        <v/>
      </c>
      <c r="AQ414" s="39" t="str">
        <f>IFERROR(ödev!BB10*100/ödev!$I10,"")</f>
        <v/>
      </c>
      <c r="AR414" s="39" t="str">
        <f>IFERROR(ödev!BC10*100/ödev!$I10,"")</f>
        <v/>
      </c>
      <c r="AS414" s="39" t="str">
        <f>IFERROR(ödev!BD10*100/ödev!$I10,"")</f>
        <v/>
      </c>
      <c r="AT414" s="39" t="str">
        <f>IFERROR(ödev!BE10*100/ödev!$I10,"")</f>
        <v/>
      </c>
      <c r="AU414" s="39" t="str">
        <f>IFERROR(ödev!BF10*100/ödev!$I10,"")</f>
        <v/>
      </c>
      <c r="AV414" s="39" t="str">
        <f>IFERROR(ödev!BG10*100/ödev!$I10,"")</f>
        <v/>
      </c>
      <c r="AW414" s="39" t="str">
        <f>IFERROR(ödev!BH10*100/ödev!$I10,"")</f>
        <v/>
      </c>
      <c r="AX414" s="39" t="str">
        <f>IFERROR(ödev!BI10*100/ödev!$I10,"")</f>
        <v/>
      </c>
      <c r="AY414" s="39" t="str">
        <f>IFERROR(ödev!BJ10*100/ödev!$I10,"")</f>
        <v/>
      </c>
      <c r="AZ414" s="39" t="str">
        <f>IFERROR(ödev!BK10*100/ödev!$I10,"")</f>
        <v/>
      </c>
      <c r="BA414" s="39" t="str">
        <f>IFERROR(ödev!BL10*100/ödev!$I10,"")</f>
        <v/>
      </c>
      <c r="BB414" s="39" t="str">
        <f>IFERROR(ödev!BM10*100/ödev!$I10,"")</f>
        <v/>
      </c>
      <c r="BC414" s="39" t="str">
        <f>IFERROR(ödev!BN10*100/ödev!$I10,"")</f>
        <v/>
      </c>
      <c r="BD414" s="39" t="str">
        <f>IFERROR(ödev!BO10*100/ödev!$I10,"")</f>
        <v/>
      </c>
      <c r="BE414" s="39" t="str">
        <f>IFERROR(ödev!BP10*100/ödev!$I10,"")</f>
        <v/>
      </c>
      <c r="BF414" s="39" t="str">
        <f>IFERROR(ödev!BQ10*100/ödev!$I10,"")</f>
        <v/>
      </c>
      <c r="BG414" s="39" t="str">
        <f>IFERROR(ödev!BR10*100/ödev!$I10,"")</f>
        <v/>
      </c>
      <c r="BH414" s="39" t="str">
        <f>IFERROR(ödev!BS10*100/ödev!$I10,"")</f>
        <v/>
      </c>
      <c r="BI414" s="39" t="str">
        <f>IFERROR(ödev!BT10*100/ödev!$I10,"")</f>
        <v/>
      </c>
      <c r="BJ414" s="39" t="str">
        <f>IFERROR(ödev!BU10*100/ödev!$I10,"")</f>
        <v/>
      </c>
      <c r="BK414" s="39" t="str">
        <f>IFERROR(ödev!BV10*100/ödev!$I10,"")</f>
        <v/>
      </c>
      <c r="BL414" s="39" t="str">
        <f>IFERROR(ödev!BW10*100/ödev!$I10,"")</f>
        <v/>
      </c>
      <c r="BM414" s="39" t="str">
        <f>IFERROR(ödev!BX10*100/ödev!$I10,"")</f>
        <v/>
      </c>
      <c r="BN414" s="39" t="str">
        <f>IFERROR(ödev!BY10*100/ödev!$I10,"")</f>
        <v/>
      </c>
      <c r="BO414" s="39" t="str">
        <f>IFERROR(ödev!BZ10*100/ödev!$I10,"")</f>
        <v/>
      </c>
      <c r="BP414" s="39" t="str">
        <f>IFERROR(ödev!CA10*100/ödev!$I10,"")</f>
        <v/>
      </c>
      <c r="BQ414" s="39" t="str">
        <f>IFERROR(ödev!CB10*100/ödev!$I10,"")</f>
        <v/>
      </c>
      <c r="BR414" s="39" t="str">
        <f>IFERROR(ödev!CC10*100/ödev!$I10,"")</f>
        <v/>
      </c>
      <c r="BS414" s="39" t="str">
        <f>IFERROR(ödev!CD10*100/ödev!$I10,"")</f>
        <v/>
      </c>
      <c r="BT414" s="39" t="str">
        <f>IFERROR(ödev!CE10*100/ödev!$I10,"")</f>
        <v/>
      </c>
      <c r="BU414" s="39" t="str">
        <f>IFERROR(ödev!CF10*100/ödev!$I10,"")</f>
        <v/>
      </c>
      <c r="BV414" s="39" t="str">
        <f>IFERROR(ödev!CG10*100/ödev!$I10,"")</f>
        <v/>
      </c>
      <c r="BW414" s="39" t="str">
        <f>IFERROR(ödev!CH10*100/ödev!$I10,"")</f>
        <v/>
      </c>
      <c r="BX414" s="39" t="str">
        <f>IFERROR(ödev!CI10*100/ödev!$I10,"")</f>
        <v/>
      </c>
      <c r="BY414" s="39" t="str">
        <f>IFERROR(ödev!CJ10*100/ödev!$I10,"")</f>
        <v/>
      </c>
      <c r="BZ414" s="39" t="str">
        <f>IFERROR(ödev!CK10*100/ödev!$I10,"")</f>
        <v/>
      </c>
      <c r="CA414" s="39" t="str">
        <f>IFERROR(ödev!CL10*100/ödev!$I10,"")</f>
        <v/>
      </c>
      <c r="CB414" s="39" t="str">
        <f>IFERROR(ödev!CM10*100/ödev!$I10,"")</f>
        <v/>
      </c>
      <c r="CC414" s="39" t="str">
        <f>IFERROR(ödev!CN10*100/ödev!$I10,"")</f>
        <v/>
      </c>
      <c r="CD414" s="39" t="str">
        <f>IFERROR(ödev!CO10*100/ödev!$I10,"")</f>
        <v/>
      </c>
      <c r="CE414" s="39" t="str">
        <f>IFERROR(ödev!CP10*100/ödev!$I10,"")</f>
        <v/>
      </c>
      <c r="CF414" s="39" t="str">
        <f>IFERROR(ödev!CQ10*100/ödev!$I10,"")</f>
        <v/>
      </c>
      <c r="CG414" s="39" t="str">
        <f>IFERROR(ödev!CR10*100/ödev!$I10,"")</f>
        <v/>
      </c>
      <c r="CH414" s="39" t="str">
        <f>IFERROR(ödev!CS10*100/ödev!$I10,"")</f>
        <v/>
      </c>
      <c r="CI414" s="39" t="str">
        <f>IFERROR(ödev!CT10*100/ödev!$I10,"")</f>
        <v/>
      </c>
      <c r="CJ414" s="39" t="str">
        <f>IFERROR(ödev!CU10*100/ödev!$I10,"")</f>
        <v/>
      </c>
      <c r="CK414" s="39" t="str">
        <f>IFERROR(ödev!CV10*100/ödev!$I10,"")</f>
        <v/>
      </c>
      <c r="CL414" s="39" t="str">
        <f>IFERROR(ödev!CW10*100/ödev!$I10,"")</f>
        <v/>
      </c>
      <c r="CM414" s="39" t="str">
        <f>IFERROR(ödev!CX10*100/ödev!$I10,"")</f>
        <v/>
      </c>
      <c r="CN414" s="39" t="str">
        <f>IFERROR(ödev!CY10*100/ödev!$I10,"")</f>
        <v/>
      </c>
      <c r="CO414" s="39" t="str">
        <f>IFERROR(ödev!CZ10*100/ödev!$I10,"")</f>
        <v/>
      </c>
      <c r="CP414" s="39" t="str">
        <f>IFERROR(ödev!DA10*100/ödev!$I10,"")</f>
        <v/>
      </c>
      <c r="CQ414" s="39" t="str">
        <f>IFERROR(ödev!DB10*100/ödev!$I10,"")</f>
        <v/>
      </c>
      <c r="CR414" s="39" t="str">
        <f>IFERROR(ödev!DC10*100/ödev!$I10,"")</f>
        <v/>
      </c>
      <c r="CS414" s="39" t="str">
        <f>IFERROR(ödev!DD10*100/ödev!$I10,"")</f>
        <v/>
      </c>
      <c r="CT414" s="39" t="str">
        <f>IFERROR(ödev!DE10*100/ödev!$I10,"")</f>
        <v/>
      </c>
      <c r="CU414" s="39" t="str">
        <f>IFERROR(ödev!DF10*100/ödev!$I10,"")</f>
        <v/>
      </c>
      <c r="CV414" s="39" t="str">
        <f>IFERROR(ödev!DG10*100/ödev!$I10,"")</f>
        <v/>
      </c>
      <c r="CW414" s="36" t="str">
        <f>IFERROR(SUM(A414:CV414)/ödev!$DH$103,"")</f>
        <v/>
      </c>
      <c r="CX414" s="14" t="str">
        <f>IF(COUNTA(ödev!A10),ödev!A10,"")</f>
        <v/>
      </c>
      <c r="CY414" s="14" t="str">
        <f>IF(COUNTA(ödev!B10),ödev!B10,"")</f>
        <v/>
      </c>
      <c r="CZ414" s="14" t="str">
        <f>IF(COUNTA(ödev!C10),ödev!C10,"")</f>
        <v/>
      </c>
      <c r="DA414" s="14" t="str">
        <f>IF(COUNTA(ödev!D10),ödev!D10,"")</f>
        <v/>
      </c>
      <c r="DB414" s="14" t="str">
        <f>IF(COUNTA(ödev!E10),ödev!E10,"")</f>
        <v/>
      </c>
      <c r="DC414" s="14" t="str">
        <f>IF(COUNTA(ödev!F10),ödev!F10,"")</f>
        <v/>
      </c>
      <c r="DD414" s="14" t="str">
        <f>IF(COUNTA(ödev!G10),ödev!G10,"")</f>
        <v/>
      </c>
      <c r="DE414" s="14" t="str">
        <f>IF(COUNTA(ödev!H10),ödev!H10,"")</f>
        <v/>
      </c>
    </row>
    <row r="415" spans="1:118" x14ac:dyDescent="0.2">
      <c r="A415" s="39" t="str">
        <f>IFERROR(ödev!L11*100/ödev!$I11,"")</f>
        <v/>
      </c>
      <c r="B415" s="39" t="str">
        <f>IFERROR(ödev!M11*100/ödev!$I11,"")</f>
        <v/>
      </c>
      <c r="C415" s="39" t="str">
        <f>IFERROR(ödev!N11*100/ödev!$I11,"")</f>
        <v/>
      </c>
      <c r="D415" s="39" t="str">
        <f>IFERROR(ödev!O11*100/ödev!$I11,"")</f>
        <v/>
      </c>
      <c r="E415" s="39" t="str">
        <f>IFERROR(ödev!P11*100/ödev!$I11,"")</f>
        <v/>
      </c>
      <c r="F415" s="39" t="str">
        <f>IFERROR(ödev!Q11*100/ödev!$I11,"")</f>
        <v/>
      </c>
      <c r="G415" s="39" t="str">
        <f>IFERROR(ödev!R11*100/ödev!$I11,"")</f>
        <v/>
      </c>
      <c r="H415" s="39" t="str">
        <f>IFERROR(ödev!S11*100/ödev!$I11,"")</f>
        <v/>
      </c>
      <c r="I415" s="39" t="str">
        <f>IFERROR(ödev!T11*100/ödev!$I11,"")</f>
        <v/>
      </c>
      <c r="J415" s="39" t="str">
        <f>IFERROR(ödev!U11*100/ödev!$I11,"")</f>
        <v/>
      </c>
      <c r="K415" s="39" t="str">
        <f>IFERROR(ödev!V11*100/ödev!$I11,"")</f>
        <v/>
      </c>
      <c r="L415" s="39" t="str">
        <f>IFERROR(ödev!W11*100/ödev!$I11,"")</f>
        <v/>
      </c>
      <c r="M415" s="39" t="str">
        <f>IFERROR(ödev!X11*100/ödev!$I11,"")</f>
        <v/>
      </c>
      <c r="N415" s="39" t="str">
        <f>IFERROR(ödev!Y11*100/ödev!$I11,"")</f>
        <v/>
      </c>
      <c r="O415" s="39" t="str">
        <f>IFERROR(ödev!Z11*100/ödev!$I11,"")</f>
        <v/>
      </c>
      <c r="P415" s="39" t="str">
        <f>IFERROR(ödev!AA11*100/ödev!$I11,"")</f>
        <v/>
      </c>
      <c r="Q415" s="39" t="str">
        <f>IFERROR(ödev!AB11*100/ödev!$I11,"")</f>
        <v/>
      </c>
      <c r="R415" s="39" t="str">
        <f>IFERROR(ödev!AC11*100/ödev!$I11,"")</f>
        <v/>
      </c>
      <c r="S415" s="39" t="str">
        <f>IFERROR(ödev!AD11*100/ödev!$I11,"")</f>
        <v/>
      </c>
      <c r="T415" s="39" t="str">
        <f>IFERROR(ödev!AE11*100/ödev!$I11,"")</f>
        <v/>
      </c>
      <c r="U415" s="39" t="str">
        <f>IFERROR(ödev!AF11*100/ödev!$I11,"")</f>
        <v/>
      </c>
      <c r="V415" s="39" t="str">
        <f>IFERROR(ödev!AG11*100/ödev!$I11,"")</f>
        <v/>
      </c>
      <c r="W415" s="39" t="str">
        <f>IFERROR(ödev!AH11*100/ödev!$I11,"")</f>
        <v/>
      </c>
      <c r="X415" s="39" t="str">
        <f>IFERROR(ödev!AI11*100/ödev!$I11,"")</f>
        <v/>
      </c>
      <c r="Y415" s="39" t="str">
        <f>IFERROR(ödev!AJ11*100/ödev!$I11,"")</f>
        <v/>
      </c>
      <c r="Z415" s="39" t="str">
        <f>IFERROR(ödev!AK11*100/ödev!$I11,"")</f>
        <v/>
      </c>
      <c r="AA415" s="39" t="str">
        <f>IFERROR(ödev!AL11*100/ödev!$I11,"")</f>
        <v/>
      </c>
      <c r="AB415" s="39" t="str">
        <f>IFERROR(ödev!AM11*100/ödev!$I11,"")</f>
        <v/>
      </c>
      <c r="AC415" s="39" t="str">
        <f>IFERROR(ödev!AN11*100/ödev!$I11,"")</f>
        <v/>
      </c>
      <c r="AD415" s="39" t="str">
        <f>IFERROR(ödev!AO11*100/ödev!$I11,"")</f>
        <v/>
      </c>
      <c r="AE415" s="39" t="str">
        <f>IFERROR(ödev!AP11*100/ödev!$I11,"")</f>
        <v/>
      </c>
      <c r="AF415" s="39" t="str">
        <f>IFERROR(ödev!AQ11*100/ödev!$I11,"")</f>
        <v/>
      </c>
      <c r="AG415" s="39" t="str">
        <f>IFERROR(ödev!AR11*100/ödev!$I11,"")</f>
        <v/>
      </c>
      <c r="AH415" s="39" t="str">
        <f>IFERROR(ödev!AS11*100/ödev!$I11,"")</f>
        <v/>
      </c>
      <c r="AI415" s="39" t="str">
        <f>IFERROR(ödev!AT11*100/ödev!$I11,"")</f>
        <v/>
      </c>
      <c r="AJ415" s="39" t="str">
        <f>IFERROR(ödev!AU11*100/ödev!$I11,"")</f>
        <v/>
      </c>
      <c r="AK415" s="39" t="str">
        <f>IFERROR(ödev!AV11*100/ödev!$I11,"")</f>
        <v/>
      </c>
      <c r="AL415" s="39" t="str">
        <f>IFERROR(ödev!AW11*100/ödev!$I11,"")</f>
        <v/>
      </c>
      <c r="AM415" s="39" t="str">
        <f>IFERROR(ödev!AX11*100/ödev!$I11,"")</f>
        <v/>
      </c>
      <c r="AN415" s="39" t="str">
        <f>IFERROR(ödev!AY11*100/ödev!$I11,"")</f>
        <v/>
      </c>
      <c r="AO415" s="39" t="str">
        <f>IFERROR(ödev!AZ11*100/ödev!$I11,"")</f>
        <v/>
      </c>
      <c r="AP415" s="39" t="str">
        <f>IFERROR(ödev!BA11*100/ödev!$I11,"")</f>
        <v/>
      </c>
      <c r="AQ415" s="39" t="str">
        <f>IFERROR(ödev!BB11*100/ödev!$I11,"")</f>
        <v/>
      </c>
      <c r="AR415" s="39" t="str">
        <f>IFERROR(ödev!BC11*100/ödev!$I11,"")</f>
        <v/>
      </c>
      <c r="AS415" s="39" t="str">
        <f>IFERROR(ödev!BD11*100/ödev!$I11,"")</f>
        <v/>
      </c>
      <c r="AT415" s="39" t="str">
        <f>IFERROR(ödev!BE11*100/ödev!$I11,"")</f>
        <v/>
      </c>
      <c r="AU415" s="39" t="str">
        <f>IFERROR(ödev!BF11*100/ödev!$I11,"")</f>
        <v/>
      </c>
      <c r="AV415" s="39" t="str">
        <f>IFERROR(ödev!BG11*100/ödev!$I11,"")</f>
        <v/>
      </c>
      <c r="AW415" s="39" t="str">
        <f>IFERROR(ödev!BH11*100/ödev!$I11,"")</f>
        <v/>
      </c>
      <c r="AX415" s="39" t="str">
        <f>IFERROR(ödev!BI11*100/ödev!$I11,"")</f>
        <v/>
      </c>
      <c r="AY415" s="39" t="str">
        <f>IFERROR(ödev!BJ11*100/ödev!$I11,"")</f>
        <v/>
      </c>
      <c r="AZ415" s="39" t="str">
        <f>IFERROR(ödev!BK11*100/ödev!$I11,"")</f>
        <v/>
      </c>
      <c r="BA415" s="39" t="str">
        <f>IFERROR(ödev!BL11*100/ödev!$I11,"")</f>
        <v/>
      </c>
      <c r="BB415" s="39" t="str">
        <f>IFERROR(ödev!BM11*100/ödev!$I11,"")</f>
        <v/>
      </c>
      <c r="BC415" s="39" t="str">
        <f>IFERROR(ödev!BN11*100/ödev!$I11,"")</f>
        <v/>
      </c>
      <c r="BD415" s="39" t="str">
        <f>IFERROR(ödev!BO11*100/ödev!$I11,"")</f>
        <v/>
      </c>
      <c r="BE415" s="39" t="str">
        <f>IFERROR(ödev!BP11*100/ödev!$I11,"")</f>
        <v/>
      </c>
      <c r="BF415" s="39" t="str">
        <f>IFERROR(ödev!BQ11*100/ödev!$I11,"")</f>
        <v/>
      </c>
      <c r="BG415" s="39" t="str">
        <f>IFERROR(ödev!BR11*100/ödev!$I11,"")</f>
        <v/>
      </c>
      <c r="BH415" s="39" t="str">
        <f>IFERROR(ödev!BS11*100/ödev!$I11,"")</f>
        <v/>
      </c>
      <c r="BI415" s="39" t="str">
        <f>IFERROR(ödev!BT11*100/ödev!$I11,"")</f>
        <v/>
      </c>
      <c r="BJ415" s="39" t="str">
        <f>IFERROR(ödev!BU11*100/ödev!$I11,"")</f>
        <v/>
      </c>
      <c r="BK415" s="39" t="str">
        <f>IFERROR(ödev!BV11*100/ödev!$I11,"")</f>
        <v/>
      </c>
      <c r="BL415" s="39" t="str">
        <f>IFERROR(ödev!BW11*100/ödev!$I11,"")</f>
        <v/>
      </c>
      <c r="BM415" s="39" t="str">
        <f>IFERROR(ödev!BX11*100/ödev!$I11,"")</f>
        <v/>
      </c>
      <c r="BN415" s="39" t="str">
        <f>IFERROR(ödev!BY11*100/ödev!$I11,"")</f>
        <v/>
      </c>
      <c r="BO415" s="39" t="str">
        <f>IFERROR(ödev!BZ11*100/ödev!$I11,"")</f>
        <v/>
      </c>
      <c r="BP415" s="39" t="str">
        <f>IFERROR(ödev!CA11*100/ödev!$I11,"")</f>
        <v/>
      </c>
      <c r="BQ415" s="39" t="str">
        <f>IFERROR(ödev!CB11*100/ödev!$I11,"")</f>
        <v/>
      </c>
      <c r="BR415" s="39" t="str">
        <f>IFERROR(ödev!CC11*100/ödev!$I11,"")</f>
        <v/>
      </c>
      <c r="BS415" s="39" t="str">
        <f>IFERROR(ödev!CD11*100/ödev!$I11,"")</f>
        <v/>
      </c>
      <c r="BT415" s="39" t="str">
        <f>IFERROR(ödev!CE11*100/ödev!$I11,"")</f>
        <v/>
      </c>
      <c r="BU415" s="39" t="str">
        <f>IFERROR(ödev!CF11*100/ödev!$I11,"")</f>
        <v/>
      </c>
      <c r="BV415" s="39" t="str">
        <f>IFERROR(ödev!CG11*100/ödev!$I11,"")</f>
        <v/>
      </c>
      <c r="BW415" s="39" t="str">
        <f>IFERROR(ödev!CH11*100/ödev!$I11,"")</f>
        <v/>
      </c>
      <c r="BX415" s="39" t="str">
        <f>IFERROR(ödev!CI11*100/ödev!$I11,"")</f>
        <v/>
      </c>
      <c r="BY415" s="39" t="str">
        <f>IFERROR(ödev!CJ11*100/ödev!$I11,"")</f>
        <v/>
      </c>
      <c r="BZ415" s="39" t="str">
        <f>IFERROR(ödev!CK11*100/ödev!$I11,"")</f>
        <v/>
      </c>
      <c r="CA415" s="39" t="str">
        <f>IFERROR(ödev!CL11*100/ödev!$I11,"")</f>
        <v/>
      </c>
      <c r="CB415" s="39" t="str">
        <f>IFERROR(ödev!CM11*100/ödev!$I11,"")</f>
        <v/>
      </c>
      <c r="CC415" s="39" t="str">
        <f>IFERROR(ödev!CN11*100/ödev!$I11,"")</f>
        <v/>
      </c>
      <c r="CD415" s="39" t="str">
        <f>IFERROR(ödev!CO11*100/ödev!$I11,"")</f>
        <v/>
      </c>
      <c r="CE415" s="39" t="str">
        <f>IFERROR(ödev!CP11*100/ödev!$I11,"")</f>
        <v/>
      </c>
      <c r="CF415" s="39" t="str">
        <f>IFERROR(ödev!CQ11*100/ödev!$I11,"")</f>
        <v/>
      </c>
      <c r="CG415" s="39" t="str">
        <f>IFERROR(ödev!CR11*100/ödev!$I11,"")</f>
        <v/>
      </c>
      <c r="CH415" s="39" t="str">
        <f>IFERROR(ödev!CS11*100/ödev!$I11,"")</f>
        <v/>
      </c>
      <c r="CI415" s="39" t="str">
        <f>IFERROR(ödev!CT11*100/ödev!$I11,"")</f>
        <v/>
      </c>
      <c r="CJ415" s="39" t="str">
        <f>IFERROR(ödev!CU11*100/ödev!$I11,"")</f>
        <v/>
      </c>
      <c r="CK415" s="39" t="str">
        <f>IFERROR(ödev!CV11*100/ödev!$I11,"")</f>
        <v/>
      </c>
      <c r="CL415" s="39" t="str">
        <f>IFERROR(ödev!CW11*100/ödev!$I11,"")</f>
        <v/>
      </c>
      <c r="CM415" s="39" t="str">
        <f>IFERROR(ödev!CX11*100/ödev!$I11,"")</f>
        <v/>
      </c>
      <c r="CN415" s="39" t="str">
        <f>IFERROR(ödev!CY11*100/ödev!$I11,"")</f>
        <v/>
      </c>
      <c r="CO415" s="39" t="str">
        <f>IFERROR(ödev!CZ11*100/ödev!$I11,"")</f>
        <v/>
      </c>
      <c r="CP415" s="39" t="str">
        <f>IFERROR(ödev!DA11*100/ödev!$I11,"")</f>
        <v/>
      </c>
      <c r="CQ415" s="39" t="str">
        <f>IFERROR(ödev!DB11*100/ödev!$I11,"")</f>
        <v/>
      </c>
      <c r="CR415" s="39" t="str">
        <f>IFERROR(ödev!DC11*100/ödev!$I11,"")</f>
        <v/>
      </c>
      <c r="CS415" s="39" t="str">
        <f>IFERROR(ödev!DD11*100/ödev!$I11,"")</f>
        <v/>
      </c>
      <c r="CT415" s="39" t="str">
        <f>IFERROR(ödev!DE11*100/ödev!$I11,"")</f>
        <v/>
      </c>
      <c r="CU415" s="39" t="str">
        <f>IFERROR(ödev!DF11*100/ödev!$I11,"")</f>
        <v/>
      </c>
      <c r="CV415" s="39" t="str">
        <f>IFERROR(ödev!DG11*100/ödev!$I11,"")</f>
        <v/>
      </c>
      <c r="CW415" s="36" t="str">
        <f>IFERROR(SUM(A415:CV415)/ödev!$DH$103,"")</f>
        <v/>
      </c>
      <c r="CX415" s="14" t="str">
        <f>IF(COUNTA(ödev!A11),ödev!A11,"")</f>
        <v/>
      </c>
      <c r="CY415" s="14" t="str">
        <f>IF(COUNTA(ödev!B11),ödev!B11,"")</f>
        <v/>
      </c>
      <c r="CZ415" s="14" t="str">
        <f>IF(COUNTA(ödev!C11),ödev!C11,"")</f>
        <v/>
      </c>
      <c r="DA415" s="14" t="str">
        <f>IF(COUNTA(ödev!D11),ödev!D11,"")</f>
        <v/>
      </c>
      <c r="DB415" s="14" t="str">
        <f>IF(COUNTA(ödev!E11),ödev!E11,"")</f>
        <v/>
      </c>
      <c r="DC415" s="14" t="str">
        <f>IF(COUNTA(ödev!F11),ödev!F11,"")</f>
        <v/>
      </c>
      <c r="DD415" s="14" t="str">
        <f>IF(COUNTA(ödev!G11),ödev!G11,"")</f>
        <v/>
      </c>
      <c r="DE415" s="14" t="str">
        <f>IF(COUNTA(ödev!H11),ödev!H11,"")</f>
        <v/>
      </c>
    </row>
    <row r="416" spans="1:118" x14ac:dyDescent="0.2">
      <c r="A416" s="39" t="str">
        <f>IFERROR(ödev!L12*100/ödev!$I12,"")</f>
        <v/>
      </c>
      <c r="B416" s="39" t="str">
        <f>IFERROR(ödev!M12*100/ödev!$I12,"")</f>
        <v/>
      </c>
      <c r="C416" s="39" t="str">
        <f>IFERROR(ödev!N12*100/ödev!$I12,"")</f>
        <v/>
      </c>
      <c r="D416" s="39" t="str">
        <f>IFERROR(ödev!O12*100/ödev!$I12,"")</f>
        <v/>
      </c>
      <c r="E416" s="39" t="str">
        <f>IFERROR(ödev!P12*100/ödev!$I12,"")</f>
        <v/>
      </c>
      <c r="F416" s="39" t="str">
        <f>IFERROR(ödev!Q12*100/ödev!$I12,"")</f>
        <v/>
      </c>
      <c r="G416" s="39" t="str">
        <f>IFERROR(ödev!R12*100/ödev!$I12,"")</f>
        <v/>
      </c>
      <c r="H416" s="39" t="str">
        <f>IFERROR(ödev!S12*100/ödev!$I12,"")</f>
        <v/>
      </c>
      <c r="I416" s="39" t="str">
        <f>IFERROR(ödev!T12*100/ödev!$I12,"")</f>
        <v/>
      </c>
      <c r="J416" s="39" t="str">
        <f>IFERROR(ödev!U12*100/ödev!$I12,"")</f>
        <v/>
      </c>
      <c r="K416" s="39" t="str">
        <f>IFERROR(ödev!V12*100/ödev!$I12,"")</f>
        <v/>
      </c>
      <c r="L416" s="39" t="str">
        <f>IFERROR(ödev!W12*100/ödev!$I12,"")</f>
        <v/>
      </c>
      <c r="M416" s="39" t="str">
        <f>IFERROR(ödev!X12*100/ödev!$I12,"")</f>
        <v/>
      </c>
      <c r="N416" s="39" t="str">
        <f>IFERROR(ödev!Y12*100/ödev!$I12,"")</f>
        <v/>
      </c>
      <c r="O416" s="39" t="str">
        <f>IFERROR(ödev!Z12*100/ödev!$I12,"")</f>
        <v/>
      </c>
      <c r="P416" s="39" t="str">
        <f>IFERROR(ödev!AA12*100/ödev!$I12,"")</f>
        <v/>
      </c>
      <c r="Q416" s="39" t="str">
        <f>IFERROR(ödev!AB12*100/ödev!$I12,"")</f>
        <v/>
      </c>
      <c r="R416" s="39" t="str">
        <f>IFERROR(ödev!AC12*100/ödev!$I12,"")</f>
        <v/>
      </c>
      <c r="S416" s="39" t="str">
        <f>IFERROR(ödev!AD12*100/ödev!$I12,"")</f>
        <v/>
      </c>
      <c r="T416" s="39" t="str">
        <f>IFERROR(ödev!AE12*100/ödev!$I12,"")</f>
        <v/>
      </c>
      <c r="U416" s="39" t="str">
        <f>IFERROR(ödev!AF12*100/ödev!$I12,"")</f>
        <v/>
      </c>
      <c r="V416" s="39" t="str">
        <f>IFERROR(ödev!AG12*100/ödev!$I12,"")</f>
        <v/>
      </c>
      <c r="W416" s="39" t="str">
        <f>IFERROR(ödev!AH12*100/ödev!$I12,"")</f>
        <v/>
      </c>
      <c r="X416" s="39" t="str">
        <f>IFERROR(ödev!AI12*100/ödev!$I12,"")</f>
        <v/>
      </c>
      <c r="Y416" s="39" t="str">
        <f>IFERROR(ödev!AJ12*100/ödev!$I12,"")</f>
        <v/>
      </c>
      <c r="Z416" s="39" t="str">
        <f>IFERROR(ödev!AK12*100/ödev!$I12,"")</f>
        <v/>
      </c>
      <c r="AA416" s="39" t="str">
        <f>IFERROR(ödev!AL12*100/ödev!$I12,"")</f>
        <v/>
      </c>
      <c r="AB416" s="39" t="str">
        <f>IFERROR(ödev!AM12*100/ödev!$I12,"")</f>
        <v/>
      </c>
      <c r="AC416" s="39" t="str">
        <f>IFERROR(ödev!AN12*100/ödev!$I12,"")</f>
        <v/>
      </c>
      <c r="AD416" s="39" t="str">
        <f>IFERROR(ödev!AO12*100/ödev!$I12,"")</f>
        <v/>
      </c>
      <c r="AE416" s="39" t="str">
        <f>IFERROR(ödev!AP12*100/ödev!$I12,"")</f>
        <v/>
      </c>
      <c r="AF416" s="39" t="str">
        <f>IFERROR(ödev!AQ12*100/ödev!$I12,"")</f>
        <v/>
      </c>
      <c r="AG416" s="39" t="str">
        <f>IFERROR(ödev!AR12*100/ödev!$I12,"")</f>
        <v/>
      </c>
      <c r="AH416" s="39" t="str">
        <f>IFERROR(ödev!AS12*100/ödev!$I12,"")</f>
        <v/>
      </c>
      <c r="AI416" s="39" t="str">
        <f>IFERROR(ödev!AT12*100/ödev!$I12,"")</f>
        <v/>
      </c>
      <c r="AJ416" s="39" t="str">
        <f>IFERROR(ödev!AU12*100/ödev!$I12,"")</f>
        <v/>
      </c>
      <c r="AK416" s="39" t="str">
        <f>IFERROR(ödev!AV12*100/ödev!$I12,"")</f>
        <v/>
      </c>
      <c r="AL416" s="39" t="str">
        <f>IFERROR(ödev!AW12*100/ödev!$I12,"")</f>
        <v/>
      </c>
      <c r="AM416" s="39" t="str">
        <f>IFERROR(ödev!AX12*100/ödev!$I12,"")</f>
        <v/>
      </c>
      <c r="AN416" s="39" t="str">
        <f>IFERROR(ödev!AY12*100/ödev!$I12,"")</f>
        <v/>
      </c>
      <c r="AO416" s="39" t="str">
        <f>IFERROR(ödev!AZ12*100/ödev!$I12,"")</f>
        <v/>
      </c>
      <c r="AP416" s="39" t="str">
        <f>IFERROR(ödev!BA12*100/ödev!$I12,"")</f>
        <v/>
      </c>
      <c r="AQ416" s="39" t="str">
        <f>IFERROR(ödev!BB12*100/ödev!$I12,"")</f>
        <v/>
      </c>
      <c r="AR416" s="39" t="str">
        <f>IFERROR(ödev!BC12*100/ödev!$I12,"")</f>
        <v/>
      </c>
      <c r="AS416" s="39" t="str">
        <f>IFERROR(ödev!BD12*100/ödev!$I12,"")</f>
        <v/>
      </c>
      <c r="AT416" s="39" t="str">
        <f>IFERROR(ödev!BE12*100/ödev!$I12,"")</f>
        <v/>
      </c>
      <c r="AU416" s="39" t="str">
        <f>IFERROR(ödev!BF12*100/ödev!$I12,"")</f>
        <v/>
      </c>
      <c r="AV416" s="39" t="str">
        <f>IFERROR(ödev!BG12*100/ödev!$I12,"")</f>
        <v/>
      </c>
      <c r="AW416" s="39" t="str">
        <f>IFERROR(ödev!BH12*100/ödev!$I12,"")</f>
        <v/>
      </c>
      <c r="AX416" s="39" t="str">
        <f>IFERROR(ödev!BI12*100/ödev!$I12,"")</f>
        <v/>
      </c>
      <c r="AY416" s="39" t="str">
        <f>IFERROR(ödev!BJ12*100/ödev!$I12,"")</f>
        <v/>
      </c>
      <c r="AZ416" s="39" t="str">
        <f>IFERROR(ödev!BK12*100/ödev!$I12,"")</f>
        <v/>
      </c>
      <c r="BA416" s="39" t="str">
        <f>IFERROR(ödev!BL12*100/ödev!$I12,"")</f>
        <v/>
      </c>
      <c r="BB416" s="39" t="str">
        <f>IFERROR(ödev!BM12*100/ödev!$I12,"")</f>
        <v/>
      </c>
      <c r="BC416" s="39" t="str">
        <f>IFERROR(ödev!BN12*100/ödev!$I12,"")</f>
        <v/>
      </c>
      <c r="BD416" s="39" t="str">
        <f>IFERROR(ödev!BO12*100/ödev!$I12,"")</f>
        <v/>
      </c>
      <c r="BE416" s="39" t="str">
        <f>IFERROR(ödev!BP12*100/ödev!$I12,"")</f>
        <v/>
      </c>
      <c r="BF416" s="39" t="str">
        <f>IFERROR(ödev!BQ12*100/ödev!$I12,"")</f>
        <v/>
      </c>
      <c r="BG416" s="39" t="str">
        <f>IFERROR(ödev!BR12*100/ödev!$I12,"")</f>
        <v/>
      </c>
      <c r="BH416" s="39" t="str">
        <f>IFERROR(ödev!BS12*100/ödev!$I12,"")</f>
        <v/>
      </c>
      <c r="BI416" s="39" t="str">
        <f>IFERROR(ödev!BT12*100/ödev!$I12,"")</f>
        <v/>
      </c>
      <c r="BJ416" s="39" t="str">
        <f>IFERROR(ödev!BU12*100/ödev!$I12,"")</f>
        <v/>
      </c>
      <c r="BK416" s="39" t="str">
        <f>IFERROR(ödev!BV12*100/ödev!$I12,"")</f>
        <v/>
      </c>
      <c r="BL416" s="39" t="str">
        <f>IFERROR(ödev!BW12*100/ödev!$I12,"")</f>
        <v/>
      </c>
      <c r="BM416" s="39" t="str">
        <f>IFERROR(ödev!BX12*100/ödev!$I12,"")</f>
        <v/>
      </c>
      <c r="BN416" s="39" t="str">
        <f>IFERROR(ödev!BY12*100/ödev!$I12,"")</f>
        <v/>
      </c>
      <c r="BO416" s="39" t="str">
        <f>IFERROR(ödev!BZ12*100/ödev!$I12,"")</f>
        <v/>
      </c>
      <c r="BP416" s="39" t="str">
        <f>IFERROR(ödev!CA12*100/ödev!$I12,"")</f>
        <v/>
      </c>
      <c r="BQ416" s="39" t="str">
        <f>IFERROR(ödev!CB12*100/ödev!$I12,"")</f>
        <v/>
      </c>
      <c r="BR416" s="39" t="str">
        <f>IFERROR(ödev!CC12*100/ödev!$I12,"")</f>
        <v/>
      </c>
      <c r="BS416" s="39" t="str">
        <f>IFERROR(ödev!CD12*100/ödev!$I12,"")</f>
        <v/>
      </c>
      <c r="BT416" s="39" t="str">
        <f>IFERROR(ödev!CE12*100/ödev!$I12,"")</f>
        <v/>
      </c>
      <c r="BU416" s="39" t="str">
        <f>IFERROR(ödev!CF12*100/ödev!$I12,"")</f>
        <v/>
      </c>
      <c r="BV416" s="39" t="str">
        <f>IFERROR(ödev!CG12*100/ödev!$I12,"")</f>
        <v/>
      </c>
      <c r="BW416" s="39" t="str">
        <f>IFERROR(ödev!CH12*100/ödev!$I12,"")</f>
        <v/>
      </c>
      <c r="BX416" s="39" t="str">
        <f>IFERROR(ödev!CI12*100/ödev!$I12,"")</f>
        <v/>
      </c>
      <c r="BY416" s="39" t="str">
        <f>IFERROR(ödev!CJ12*100/ödev!$I12,"")</f>
        <v/>
      </c>
      <c r="BZ416" s="39" t="str">
        <f>IFERROR(ödev!CK12*100/ödev!$I12,"")</f>
        <v/>
      </c>
      <c r="CA416" s="39" t="str">
        <f>IFERROR(ödev!CL12*100/ödev!$I12,"")</f>
        <v/>
      </c>
      <c r="CB416" s="39" t="str">
        <f>IFERROR(ödev!CM12*100/ödev!$I12,"")</f>
        <v/>
      </c>
      <c r="CC416" s="39" t="str">
        <f>IFERROR(ödev!CN12*100/ödev!$I12,"")</f>
        <v/>
      </c>
      <c r="CD416" s="39" t="str">
        <f>IFERROR(ödev!CO12*100/ödev!$I12,"")</f>
        <v/>
      </c>
      <c r="CE416" s="39" t="str">
        <f>IFERROR(ödev!CP12*100/ödev!$I12,"")</f>
        <v/>
      </c>
      <c r="CF416" s="39" t="str">
        <f>IFERROR(ödev!CQ12*100/ödev!$I12,"")</f>
        <v/>
      </c>
      <c r="CG416" s="39" t="str">
        <f>IFERROR(ödev!CR12*100/ödev!$I12,"")</f>
        <v/>
      </c>
      <c r="CH416" s="39" t="str">
        <f>IFERROR(ödev!CS12*100/ödev!$I12,"")</f>
        <v/>
      </c>
      <c r="CI416" s="39" t="str">
        <f>IFERROR(ödev!CT12*100/ödev!$I12,"")</f>
        <v/>
      </c>
      <c r="CJ416" s="39" t="str">
        <f>IFERROR(ödev!CU12*100/ödev!$I12,"")</f>
        <v/>
      </c>
      <c r="CK416" s="39" t="str">
        <f>IFERROR(ödev!CV12*100/ödev!$I12,"")</f>
        <v/>
      </c>
      <c r="CL416" s="39" t="str">
        <f>IFERROR(ödev!CW12*100/ödev!$I12,"")</f>
        <v/>
      </c>
      <c r="CM416" s="39" t="str">
        <f>IFERROR(ödev!CX12*100/ödev!$I12,"")</f>
        <v/>
      </c>
      <c r="CN416" s="39" t="str">
        <f>IFERROR(ödev!CY12*100/ödev!$I12,"")</f>
        <v/>
      </c>
      <c r="CO416" s="39" t="str">
        <f>IFERROR(ödev!CZ12*100/ödev!$I12,"")</f>
        <v/>
      </c>
      <c r="CP416" s="39" t="str">
        <f>IFERROR(ödev!DA12*100/ödev!$I12,"")</f>
        <v/>
      </c>
      <c r="CQ416" s="39" t="str">
        <f>IFERROR(ödev!DB12*100/ödev!$I12,"")</f>
        <v/>
      </c>
      <c r="CR416" s="39" t="str">
        <f>IFERROR(ödev!DC12*100/ödev!$I12,"")</f>
        <v/>
      </c>
      <c r="CS416" s="39" t="str">
        <f>IFERROR(ödev!DD12*100/ödev!$I12,"")</f>
        <v/>
      </c>
      <c r="CT416" s="39" t="str">
        <f>IFERROR(ödev!DE12*100/ödev!$I12,"")</f>
        <v/>
      </c>
      <c r="CU416" s="39" t="str">
        <f>IFERROR(ödev!DF12*100/ödev!$I12,"")</f>
        <v/>
      </c>
      <c r="CV416" s="39" t="str">
        <f>IFERROR(ödev!DG12*100/ödev!$I12,"")</f>
        <v/>
      </c>
      <c r="CW416" s="36" t="str">
        <f>IFERROR(SUM(A416:CV416)/ödev!$DH$103,"")</f>
        <v/>
      </c>
      <c r="CX416" s="14" t="str">
        <f>IF(COUNTA(ödev!A12),ödev!A12,"")</f>
        <v/>
      </c>
      <c r="CY416" s="14" t="str">
        <f>IF(COUNTA(ödev!B12),ödev!B12,"")</f>
        <v/>
      </c>
      <c r="CZ416" s="14" t="str">
        <f>IF(COUNTA(ödev!C12),ödev!C12,"")</f>
        <v/>
      </c>
      <c r="DA416" s="14" t="str">
        <f>IF(COUNTA(ödev!D12),ödev!D12,"")</f>
        <v/>
      </c>
      <c r="DB416" s="14" t="str">
        <f>IF(COUNTA(ödev!E12),ödev!E12,"")</f>
        <v/>
      </c>
      <c r="DC416" s="14" t="str">
        <f>IF(COUNTA(ödev!F12),ödev!F12,"")</f>
        <v/>
      </c>
      <c r="DD416" s="14" t="str">
        <f>IF(COUNTA(ödev!G12),ödev!G12,"")</f>
        <v/>
      </c>
      <c r="DE416" s="14" t="str">
        <f>IF(COUNTA(ödev!H12),ödev!H12,"")</f>
        <v/>
      </c>
    </row>
    <row r="417" spans="1:109" x14ac:dyDescent="0.2">
      <c r="A417" s="39" t="str">
        <f>IFERROR(ödev!L13*100/ödev!$I13,"")</f>
        <v/>
      </c>
      <c r="B417" s="39" t="str">
        <f>IFERROR(ödev!M13*100/ödev!$I13,"")</f>
        <v/>
      </c>
      <c r="C417" s="39" t="str">
        <f>IFERROR(ödev!N13*100/ödev!$I13,"")</f>
        <v/>
      </c>
      <c r="D417" s="39" t="str">
        <f>IFERROR(ödev!O13*100/ödev!$I13,"")</f>
        <v/>
      </c>
      <c r="E417" s="39" t="str">
        <f>IFERROR(ödev!P13*100/ödev!$I13,"")</f>
        <v/>
      </c>
      <c r="F417" s="39" t="str">
        <f>IFERROR(ödev!Q13*100/ödev!$I13,"")</f>
        <v/>
      </c>
      <c r="G417" s="39" t="str">
        <f>IFERROR(ödev!R13*100/ödev!$I13,"")</f>
        <v/>
      </c>
      <c r="H417" s="39" t="str">
        <f>IFERROR(ödev!S13*100/ödev!$I13,"")</f>
        <v/>
      </c>
      <c r="I417" s="39" t="str">
        <f>IFERROR(ödev!T13*100/ödev!$I13,"")</f>
        <v/>
      </c>
      <c r="J417" s="39" t="str">
        <f>IFERROR(ödev!U13*100/ödev!$I13,"")</f>
        <v/>
      </c>
      <c r="K417" s="39" t="str">
        <f>IFERROR(ödev!V13*100/ödev!$I13,"")</f>
        <v/>
      </c>
      <c r="L417" s="39" t="str">
        <f>IFERROR(ödev!W13*100/ödev!$I13,"")</f>
        <v/>
      </c>
      <c r="M417" s="39" t="str">
        <f>IFERROR(ödev!X13*100/ödev!$I13,"")</f>
        <v/>
      </c>
      <c r="N417" s="39" t="str">
        <f>IFERROR(ödev!Y13*100/ödev!$I13,"")</f>
        <v/>
      </c>
      <c r="O417" s="39" t="str">
        <f>IFERROR(ödev!Z13*100/ödev!$I13,"")</f>
        <v/>
      </c>
      <c r="P417" s="39" t="str">
        <f>IFERROR(ödev!AA13*100/ödev!$I13,"")</f>
        <v/>
      </c>
      <c r="Q417" s="39" t="str">
        <f>IFERROR(ödev!AB13*100/ödev!$I13,"")</f>
        <v/>
      </c>
      <c r="R417" s="39" t="str">
        <f>IFERROR(ödev!AC13*100/ödev!$I13,"")</f>
        <v/>
      </c>
      <c r="S417" s="39" t="str">
        <f>IFERROR(ödev!AD13*100/ödev!$I13,"")</f>
        <v/>
      </c>
      <c r="T417" s="39" t="str">
        <f>IFERROR(ödev!AE13*100/ödev!$I13,"")</f>
        <v/>
      </c>
      <c r="U417" s="39" t="str">
        <f>IFERROR(ödev!AF13*100/ödev!$I13,"")</f>
        <v/>
      </c>
      <c r="V417" s="39" t="str">
        <f>IFERROR(ödev!AG13*100/ödev!$I13,"")</f>
        <v/>
      </c>
      <c r="W417" s="39" t="str">
        <f>IFERROR(ödev!AH13*100/ödev!$I13,"")</f>
        <v/>
      </c>
      <c r="X417" s="39" t="str">
        <f>IFERROR(ödev!AI13*100/ödev!$I13,"")</f>
        <v/>
      </c>
      <c r="Y417" s="39" t="str">
        <f>IFERROR(ödev!AJ13*100/ödev!$I13,"")</f>
        <v/>
      </c>
      <c r="Z417" s="39" t="str">
        <f>IFERROR(ödev!AK13*100/ödev!$I13,"")</f>
        <v/>
      </c>
      <c r="AA417" s="39" t="str">
        <f>IFERROR(ödev!AL13*100/ödev!$I13,"")</f>
        <v/>
      </c>
      <c r="AB417" s="39" t="str">
        <f>IFERROR(ödev!AM13*100/ödev!$I13,"")</f>
        <v/>
      </c>
      <c r="AC417" s="39" t="str">
        <f>IFERROR(ödev!AN13*100/ödev!$I13,"")</f>
        <v/>
      </c>
      <c r="AD417" s="39" t="str">
        <f>IFERROR(ödev!AO13*100/ödev!$I13,"")</f>
        <v/>
      </c>
      <c r="AE417" s="39" t="str">
        <f>IFERROR(ödev!AP13*100/ödev!$I13,"")</f>
        <v/>
      </c>
      <c r="AF417" s="39" t="str">
        <f>IFERROR(ödev!AQ13*100/ödev!$I13,"")</f>
        <v/>
      </c>
      <c r="AG417" s="39" t="str">
        <f>IFERROR(ödev!AR13*100/ödev!$I13,"")</f>
        <v/>
      </c>
      <c r="AH417" s="39" t="str">
        <f>IFERROR(ödev!AS13*100/ödev!$I13,"")</f>
        <v/>
      </c>
      <c r="AI417" s="39" t="str">
        <f>IFERROR(ödev!AT13*100/ödev!$I13,"")</f>
        <v/>
      </c>
      <c r="AJ417" s="39" t="str">
        <f>IFERROR(ödev!AU13*100/ödev!$I13,"")</f>
        <v/>
      </c>
      <c r="AK417" s="39" t="str">
        <f>IFERROR(ödev!AV13*100/ödev!$I13,"")</f>
        <v/>
      </c>
      <c r="AL417" s="39" t="str">
        <f>IFERROR(ödev!AW13*100/ödev!$I13,"")</f>
        <v/>
      </c>
      <c r="AM417" s="39" t="str">
        <f>IFERROR(ödev!AX13*100/ödev!$I13,"")</f>
        <v/>
      </c>
      <c r="AN417" s="39" t="str">
        <f>IFERROR(ödev!AY13*100/ödev!$I13,"")</f>
        <v/>
      </c>
      <c r="AO417" s="39" t="str">
        <f>IFERROR(ödev!AZ13*100/ödev!$I13,"")</f>
        <v/>
      </c>
      <c r="AP417" s="39" t="str">
        <f>IFERROR(ödev!BA13*100/ödev!$I13,"")</f>
        <v/>
      </c>
      <c r="AQ417" s="39" t="str">
        <f>IFERROR(ödev!BB13*100/ödev!$I13,"")</f>
        <v/>
      </c>
      <c r="AR417" s="39" t="str">
        <f>IFERROR(ödev!BC13*100/ödev!$I13,"")</f>
        <v/>
      </c>
      <c r="AS417" s="39" t="str">
        <f>IFERROR(ödev!BD13*100/ödev!$I13,"")</f>
        <v/>
      </c>
      <c r="AT417" s="39" t="str">
        <f>IFERROR(ödev!BE13*100/ödev!$I13,"")</f>
        <v/>
      </c>
      <c r="AU417" s="39" t="str">
        <f>IFERROR(ödev!BF13*100/ödev!$I13,"")</f>
        <v/>
      </c>
      <c r="AV417" s="39" t="str">
        <f>IFERROR(ödev!BG13*100/ödev!$I13,"")</f>
        <v/>
      </c>
      <c r="AW417" s="39" t="str">
        <f>IFERROR(ödev!BH13*100/ödev!$I13,"")</f>
        <v/>
      </c>
      <c r="AX417" s="39" t="str">
        <f>IFERROR(ödev!BI13*100/ödev!$I13,"")</f>
        <v/>
      </c>
      <c r="AY417" s="39" t="str">
        <f>IFERROR(ödev!BJ13*100/ödev!$I13,"")</f>
        <v/>
      </c>
      <c r="AZ417" s="39" t="str">
        <f>IFERROR(ödev!BK13*100/ödev!$I13,"")</f>
        <v/>
      </c>
      <c r="BA417" s="39" t="str">
        <f>IFERROR(ödev!BL13*100/ödev!$I13,"")</f>
        <v/>
      </c>
      <c r="BB417" s="39" t="str">
        <f>IFERROR(ödev!BM13*100/ödev!$I13,"")</f>
        <v/>
      </c>
      <c r="BC417" s="39" t="str">
        <f>IFERROR(ödev!BN13*100/ödev!$I13,"")</f>
        <v/>
      </c>
      <c r="BD417" s="39" t="str">
        <f>IFERROR(ödev!BO13*100/ödev!$I13,"")</f>
        <v/>
      </c>
      <c r="BE417" s="39" t="str">
        <f>IFERROR(ödev!BP13*100/ödev!$I13,"")</f>
        <v/>
      </c>
      <c r="BF417" s="39" t="str">
        <f>IFERROR(ödev!BQ13*100/ödev!$I13,"")</f>
        <v/>
      </c>
      <c r="BG417" s="39" t="str">
        <f>IFERROR(ödev!BR13*100/ödev!$I13,"")</f>
        <v/>
      </c>
      <c r="BH417" s="39" t="str">
        <f>IFERROR(ödev!BS13*100/ödev!$I13,"")</f>
        <v/>
      </c>
      <c r="BI417" s="39" t="str">
        <f>IFERROR(ödev!BT13*100/ödev!$I13,"")</f>
        <v/>
      </c>
      <c r="BJ417" s="39" t="str">
        <f>IFERROR(ödev!BU13*100/ödev!$I13,"")</f>
        <v/>
      </c>
      <c r="BK417" s="39" t="str">
        <f>IFERROR(ödev!BV13*100/ödev!$I13,"")</f>
        <v/>
      </c>
      <c r="BL417" s="39" t="str">
        <f>IFERROR(ödev!BW13*100/ödev!$I13,"")</f>
        <v/>
      </c>
      <c r="BM417" s="39" t="str">
        <f>IFERROR(ödev!BX13*100/ödev!$I13,"")</f>
        <v/>
      </c>
      <c r="BN417" s="39" t="str">
        <f>IFERROR(ödev!BY13*100/ödev!$I13,"")</f>
        <v/>
      </c>
      <c r="BO417" s="39" t="str">
        <f>IFERROR(ödev!BZ13*100/ödev!$I13,"")</f>
        <v/>
      </c>
      <c r="BP417" s="39" t="str">
        <f>IFERROR(ödev!CA13*100/ödev!$I13,"")</f>
        <v/>
      </c>
      <c r="BQ417" s="39" t="str">
        <f>IFERROR(ödev!CB13*100/ödev!$I13,"")</f>
        <v/>
      </c>
      <c r="BR417" s="39" t="str">
        <f>IFERROR(ödev!CC13*100/ödev!$I13,"")</f>
        <v/>
      </c>
      <c r="BS417" s="39" t="str">
        <f>IFERROR(ödev!CD13*100/ödev!$I13,"")</f>
        <v/>
      </c>
      <c r="BT417" s="39" t="str">
        <f>IFERROR(ödev!CE13*100/ödev!$I13,"")</f>
        <v/>
      </c>
      <c r="BU417" s="39" t="str">
        <f>IFERROR(ödev!CF13*100/ödev!$I13,"")</f>
        <v/>
      </c>
      <c r="BV417" s="39" t="str">
        <f>IFERROR(ödev!CG13*100/ödev!$I13,"")</f>
        <v/>
      </c>
      <c r="BW417" s="39" t="str">
        <f>IFERROR(ödev!CH13*100/ödev!$I13,"")</f>
        <v/>
      </c>
      <c r="BX417" s="39" t="str">
        <f>IFERROR(ödev!CI13*100/ödev!$I13,"")</f>
        <v/>
      </c>
      <c r="BY417" s="39" t="str">
        <f>IFERROR(ödev!CJ13*100/ödev!$I13,"")</f>
        <v/>
      </c>
      <c r="BZ417" s="39" t="str">
        <f>IFERROR(ödev!CK13*100/ödev!$I13,"")</f>
        <v/>
      </c>
      <c r="CA417" s="39" t="str">
        <f>IFERROR(ödev!CL13*100/ödev!$I13,"")</f>
        <v/>
      </c>
      <c r="CB417" s="39" t="str">
        <f>IFERROR(ödev!CM13*100/ödev!$I13,"")</f>
        <v/>
      </c>
      <c r="CC417" s="39" t="str">
        <f>IFERROR(ödev!CN13*100/ödev!$I13,"")</f>
        <v/>
      </c>
      <c r="CD417" s="39" t="str">
        <f>IFERROR(ödev!CO13*100/ödev!$I13,"")</f>
        <v/>
      </c>
      <c r="CE417" s="39" t="str">
        <f>IFERROR(ödev!CP13*100/ödev!$I13,"")</f>
        <v/>
      </c>
      <c r="CF417" s="39" t="str">
        <f>IFERROR(ödev!CQ13*100/ödev!$I13,"")</f>
        <v/>
      </c>
      <c r="CG417" s="39" t="str">
        <f>IFERROR(ödev!CR13*100/ödev!$I13,"")</f>
        <v/>
      </c>
      <c r="CH417" s="39" t="str">
        <f>IFERROR(ödev!CS13*100/ödev!$I13,"")</f>
        <v/>
      </c>
      <c r="CI417" s="39" t="str">
        <f>IFERROR(ödev!CT13*100/ödev!$I13,"")</f>
        <v/>
      </c>
      <c r="CJ417" s="39" t="str">
        <f>IFERROR(ödev!CU13*100/ödev!$I13,"")</f>
        <v/>
      </c>
      <c r="CK417" s="39" t="str">
        <f>IFERROR(ödev!CV13*100/ödev!$I13,"")</f>
        <v/>
      </c>
      <c r="CL417" s="39" t="str">
        <f>IFERROR(ödev!CW13*100/ödev!$I13,"")</f>
        <v/>
      </c>
      <c r="CM417" s="39" t="str">
        <f>IFERROR(ödev!CX13*100/ödev!$I13,"")</f>
        <v/>
      </c>
      <c r="CN417" s="39" t="str">
        <f>IFERROR(ödev!CY13*100/ödev!$I13,"")</f>
        <v/>
      </c>
      <c r="CO417" s="39" t="str">
        <f>IFERROR(ödev!CZ13*100/ödev!$I13,"")</f>
        <v/>
      </c>
      <c r="CP417" s="39" t="str">
        <f>IFERROR(ödev!DA13*100/ödev!$I13,"")</f>
        <v/>
      </c>
      <c r="CQ417" s="39" t="str">
        <f>IFERROR(ödev!DB13*100/ödev!$I13,"")</f>
        <v/>
      </c>
      <c r="CR417" s="39" t="str">
        <f>IFERROR(ödev!DC13*100/ödev!$I13,"")</f>
        <v/>
      </c>
      <c r="CS417" s="39" t="str">
        <f>IFERROR(ödev!DD13*100/ödev!$I13,"")</f>
        <v/>
      </c>
      <c r="CT417" s="39" t="str">
        <f>IFERROR(ödev!DE13*100/ödev!$I13,"")</f>
        <v/>
      </c>
      <c r="CU417" s="39" t="str">
        <f>IFERROR(ödev!DF13*100/ödev!$I13,"")</f>
        <v/>
      </c>
      <c r="CV417" s="39" t="str">
        <f>IFERROR(ödev!DG13*100/ödev!$I13,"")</f>
        <v/>
      </c>
      <c r="CW417" s="36" t="str">
        <f>IFERROR(SUM(A417:CV417)/ödev!$DH$103,"")</f>
        <v/>
      </c>
      <c r="CX417" s="14" t="str">
        <f>IF(COUNTA(ödev!A13),ödev!A13,"")</f>
        <v/>
      </c>
      <c r="CY417" s="14" t="str">
        <f>IF(COUNTA(ödev!B13),ödev!B13,"")</f>
        <v/>
      </c>
      <c r="CZ417" s="14" t="str">
        <f>IF(COUNTA(ödev!C13),ödev!C13,"")</f>
        <v/>
      </c>
      <c r="DA417" s="14" t="str">
        <f>IF(COUNTA(ödev!D13),ödev!D13,"")</f>
        <v/>
      </c>
      <c r="DB417" s="14" t="str">
        <f>IF(COUNTA(ödev!E13),ödev!E13,"")</f>
        <v/>
      </c>
      <c r="DC417" s="14" t="str">
        <f>IF(COUNTA(ödev!F13),ödev!F13,"")</f>
        <v/>
      </c>
      <c r="DD417" s="14" t="str">
        <f>IF(COUNTA(ödev!G13),ödev!G13,"")</f>
        <v/>
      </c>
      <c r="DE417" s="14" t="str">
        <f>IF(COUNTA(ödev!H13),ödev!H13,"")</f>
        <v/>
      </c>
    </row>
    <row r="418" spans="1:109" x14ac:dyDescent="0.2">
      <c r="A418" s="39" t="str">
        <f>IFERROR(ödev!L14*100/ödev!$I14,"")</f>
        <v/>
      </c>
      <c r="B418" s="39" t="str">
        <f>IFERROR(ödev!M14*100/ödev!$I14,"")</f>
        <v/>
      </c>
      <c r="C418" s="39" t="str">
        <f>IFERROR(ödev!N14*100/ödev!$I14,"")</f>
        <v/>
      </c>
      <c r="D418" s="39" t="str">
        <f>IFERROR(ödev!O14*100/ödev!$I14,"")</f>
        <v/>
      </c>
      <c r="E418" s="39" t="str">
        <f>IFERROR(ödev!P14*100/ödev!$I14,"")</f>
        <v/>
      </c>
      <c r="F418" s="39" t="str">
        <f>IFERROR(ödev!Q14*100/ödev!$I14,"")</f>
        <v/>
      </c>
      <c r="G418" s="39" t="str">
        <f>IFERROR(ödev!R14*100/ödev!$I14,"")</f>
        <v/>
      </c>
      <c r="H418" s="39" t="str">
        <f>IFERROR(ödev!S14*100/ödev!$I14,"")</f>
        <v/>
      </c>
      <c r="I418" s="39" t="str">
        <f>IFERROR(ödev!T14*100/ödev!$I14,"")</f>
        <v/>
      </c>
      <c r="J418" s="39" t="str">
        <f>IFERROR(ödev!U14*100/ödev!$I14,"")</f>
        <v/>
      </c>
      <c r="K418" s="39" t="str">
        <f>IFERROR(ödev!V14*100/ödev!$I14,"")</f>
        <v/>
      </c>
      <c r="L418" s="39" t="str">
        <f>IFERROR(ödev!W14*100/ödev!$I14,"")</f>
        <v/>
      </c>
      <c r="M418" s="39" t="str">
        <f>IFERROR(ödev!X14*100/ödev!$I14,"")</f>
        <v/>
      </c>
      <c r="N418" s="39" t="str">
        <f>IFERROR(ödev!Y14*100/ödev!$I14,"")</f>
        <v/>
      </c>
      <c r="O418" s="39" t="str">
        <f>IFERROR(ödev!Z14*100/ödev!$I14,"")</f>
        <v/>
      </c>
      <c r="P418" s="39" t="str">
        <f>IFERROR(ödev!AA14*100/ödev!$I14,"")</f>
        <v/>
      </c>
      <c r="Q418" s="39" t="str">
        <f>IFERROR(ödev!AB14*100/ödev!$I14,"")</f>
        <v/>
      </c>
      <c r="R418" s="39" t="str">
        <f>IFERROR(ödev!AC14*100/ödev!$I14,"")</f>
        <v/>
      </c>
      <c r="S418" s="39" t="str">
        <f>IFERROR(ödev!AD14*100/ödev!$I14,"")</f>
        <v/>
      </c>
      <c r="T418" s="39" t="str">
        <f>IFERROR(ödev!AE14*100/ödev!$I14,"")</f>
        <v/>
      </c>
      <c r="U418" s="39" t="str">
        <f>IFERROR(ödev!AF14*100/ödev!$I14,"")</f>
        <v/>
      </c>
      <c r="V418" s="39" t="str">
        <f>IFERROR(ödev!AG14*100/ödev!$I14,"")</f>
        <v/>
      </c>
      <c r="W418" s="39" t="str">
        <f>IFERROR(ödev!AH14*100/ödev!$I14,"")</f>
        <v/>
      </c>
      <c r="X418" s="39" t="str">
        <f>IFERROR(ödev!AI14*100/ödev!$I14,"")</f>
        <v/>
      </c>
      <c r="Y418" s="39" t="str">
        <f>IFERROR(ödev!AJ14*100/ödev!$I14,"")</f>
        <v/>
      </c>
      <c r="Z418" s="39" t="str">
        <f>IFERROR(ödev!AK14*100/ödev!$I14,"")</f>
        <v/>
      </c>
      <c r="AA418" s="39" t="str">
        <f>IFERROR(ödev!AL14*100/ödev!$I14,"")</f>
        <v/>
      </c>
      <c r="AB418" s="39" t="str">
        <f>IFERROR(ödev!AM14*100/ödev!$I14,"")</f>
        <v/>
      </c>
      <c r="AC418" s="39" t="str">
        <f>IFERROR(ödev!AN14*100/ödev!$I14,"")</f>
        <v/>
      </c>
      <c r="AD418" s="39" t="str">
        <f>IFERROR(ödev!AO14*100/ödev!$I14,"")</f>
        <v/>
      </c>
      <c r="AE418" s="39" t="str">
        <f>IFERROR(ödev!AP14*100/ödev!$I14,"")</f>
        <v/>
      </c>
      <c r="AF418" s="39" t="str">
        <f>IFERROR(ödev!AQ14*100/ödev!$I14,"")</f>
        <v/>
      </c>
      <c r="AG418" s="39" t="str">
        <f>IFERROR(ödev!AR14*100/ödev!$I14,"")</f>
        <v/>
      </c>
      <c r="AH418" s="39" t="str">
        <f>IFERROR(ödev!AS14*100/ödev!$I14,"")</f>
        <v/>
      </c>
      <c r="AI418" s="39" t="str">
        <f>IFERROR(ödev!AT14*100/ödev!$I14,"")</f>
        <v/>
      </c>
      <c r="AJ418" s="39" t="str">
        <f>IFERROR(ödev!AU14*100/ödev!$I14,"")</f>
        <v/>
      </c>
      <c r="AK418" s="39" t="str">
        <f>IFERROR(ödev!AV14*100/ödev!$I14,"")</f>
        <v/>
      </c>
      <c r="AL418" s="39" t="str">
        <f>IFERROR(ödev!AW14*100/ödev!$I14,"")</f>
        <v/>
      </c>
      <c r="AM418" s="39" t="str">
        <f>IFERROR(ödev!AX14*100/ödev!$I14,"")</f>
        <v/>
      </c>
      <c r="AN418" s="39" t="str">
        <f>IFERROR(ödev!AY14*100/ödev!$I14,"")</f>
        <v/>
      </c>
      <c r="AO418" s="39" t="str">
        <f>IFERROR(ödev!AZ14*100/ödev!$I14,"")</f>
        <v/>
      </c>
      <c r="AP418" s="39" t="str">
        <f>IFERROR(ödev!BA14*100/ödev!$I14,"")</f>
        <v/>
      </c>
      <c r="AQ418" s="39" t="str">
        <f>IFERROR(ödev!BB14*100/ödev!$I14,"")</f>
        <v/>
      </c>
      <c r="AR418" s="39" t="str">
        <f>IFERROR(ödev!BC14*100/ödev!$I14,"")</f>
        <v/>
      </c>
      <c r="AS418" s="39" t="str">
        <f>IFERROR(ödev!BD14*100/ödev!$I14,"")</f>
        <v/>
      </c>
      <c r="AT418" s="39" t="str">
        <f>IFERROR(ödev!BE14*100/ödev!$I14,"")</f>
        <v/>
      </c>
      <c r="AU418" s="39" t="str">
        <f>IFERROR(ödev!BF14*100/ödev!$I14,"")</f>
        <v/>
      </c>
      <c r="AV418" s="39" t="str">
        <f>IFERROR(ödev!BG14*100/ödev!$I14,"")</f>
        <v/>
      </c>
      <c r="AW418" s="39" t="str">
        <f>IFERROR(ödev!BH14*100/ödev!$I14,"")</f>
        <v/>
      </c>
      <c r="AX418" s="39" t="str">
        <f>IFERROR(ödev!BI14*100/ödev!$I14,"")</f>
        <v/>
      </c>
      <c r="AY418" s="39" t="str">
        <f>IFERROR(ödev!BJ14*100/ödev!$I14,"")</f>
        <v/>
      </c>
      <c r="AZ418" s="39" t="str">
        <f>IFERROR(ödev!BK14*100/ödev!$I14,"")</f>
        <v/>
      </c>
      <c r="BA418" s="39" t="str">
        <f>IFERROR(ödev!BL14*100/ödev!$I14,"")</f>
        <v/>
      </c>
      <c r="BB418" s="39" t="str">
        <f>IFERROR(ödev!BM14*100/ödev!$I14,"")</f>
        <v/>
      </c>
      <c r="BC418" s="39" t="str">
        <f>IFERROR(ödev!BN14*100/ödev!$I14,"")</f>
        <v/>
      </c>
      <c r="BD418" s="39" t="str">
        <f>IFERROR(ödev!BO14*100/ödev!$I14,"")</f>
        <v/>
      </c>
      <c r="BE418" s="39" t="str">
        <f>IFERROR(ödev!BP14*100/ödev!$I14,"")</f>
        <v/>
      </c>
      <c r="BF418" s="39" t="str">
        <f>IFERROR(ödev!BQ14*100/ödev!$I14,"")</f>
        <v/>
      </c>
      <c r="BG418" s="39" t="str">
        <f>IFERROR(ödev!BR14*100/ödev!$I14,"")</f>
        <v/>
      </c>
      <c r="BH418" s="39" t="str">
        <f>IFERROR(ödev!BS14*100/ödev!$I14,"")</f>
        <v/>
      </c>
      <c r="BI418" s="39" t="str">
        <f>IFERROR(ödev!BT14*100/ödev!$I14,"")</f>
        <v/>
      </c>
      <c r="BJ418" s="39" t="str">
        <f>IFERROR(ödev!BU14*100/ödev!$I14,"")</f>
        <v/>
      </c>
      <c r="BK418" s="39" t="str">
        <f>IFERROR(ödev!BV14*100/ödev!$I14,"")</f>
        <v/>
      </c>
      <c r="BL418" s="39" t="str">
        <f>IFERROR(ödev!BW14*100/ödev!$I14,"")</f>
        <v/>
      </c>
      <c r="BM418" s="39" t="str">
        <f>IFERROR(ödev!BX14*100/ödev!$I14,"")</f>
        <v/>
      </c>
      <c r="BN418" s="39" t="str">
        <f>IFERROR(ödev!BY14*100/ödev!$I14,"")</f>
        <v/>
      </c>
      <c r="BO418" s="39" t="str">
        <f>IFERROR(ödev!BZ14*100/ödev!$I14,"")</f>
        <v/>
      </c>
      <c r="BP418" s="39" t="str">
        <f>IFERROR(ödev!CA14*100/ödev!$I14,"")</f>
        <v/>
      </c>
      <c r="BQ418" s="39" t="str">
        <f>IFERROR(ödev!CB14*100/ödev!$I14,"")</f>
        <v/>
      </c>
      <c r="BR418" s="39" t="str">
        <f>IFERROR(ödev!CC14*100/ödev!$I14,"")</f>
        <v/>
      </c>
      <c r="BS418" s="39" t="str">
        <f>IFERROR(ödev!CD14*100/ödev!$I14,"")</f>
        <v/>
      </c>
      <c r="BT418" s="39" t="str">
        <f>IFERROR(ödev!CE14*100/ödev!$I14,"")</f>
        <v/>
      </c>
      <c r="BU418" s="39" t="str">
        <f>IFERROR(ödev!CF14*100/ödev!$I14,"")</f>
        <v/>
      </c>
      <c r="BV418" s="39" t="str">
        <f>IFERROR(ödev!CG14*100/ödev!$I14,"")</f>
        <v/>
      </c>
      <c r="BW418" s="39" t="str">
        <f>IFERROR(ödev!CH14*100/ödev!$I14,"")</f>
        <v/>
      </c>
      <c r="BX418" s="39" t="str">
        <f>IFERROR(ödev!CI14*100/ödev!$I14,"")</f>
        <v/>
      </c>
      <c r="BY418" s="39" t="str">
        <f>IFERROR(ödev!CJ14*100/ödev!$I14,"")</f>
        <v/>
      </c>
      <c r="BZ418" s="39" t="str">
        <f>IFERROR(ödev!CK14*100/ödev!$I14,"")</f>
        <v/>
      </c>
      <c r="CA418" s="39" t="str">
        <f>IFERROR(ödev!CL14*100/ödev!$I14,"")</f>
        <v/>
      </c>
      <c r="CB418" s="39" t="str">
        <f>IFERROR(ödev!CM14*100/ödev!$I14,"")</f>
        <v/>
      </c>
      <c r="CC418" s="39" t="str">
        <f>IFERROR(ödev!CN14*100/ödev!$I14,"")</f>
        <v/>
      </c>
      <c r="CD418" s="39" t="str">
        <f>IFERROR(ödev!CO14*100/ödev!$I14,"")</f>
        <v/>
      </c>
      <c r="CE418" s="39" t="str">
        <f>IFERROR(ödev!CP14*100/ödev!$I14,"")</f>
        <v/>
      </c>
      <c r="CF418" s="39" t="str">
        <f>IFERROR(ödev!CQ14*100/ödev!$I14,"")</f>
        <v/>
      </c>
      <c r="CG418" s="39" t="str">
        <f>IFERROR(ödev!CR14*100/ödev!$I14,"")</f>
        <v/>
      </c>
      <c r="CH418" s="39" t="str">
        <f>IFERROR(ödev!CS14*100/ödev!$I14,"")</f>
        <v/>
      </c>
      <c r="CI418" s="39" t="str">
        <f>IFERROR(ödev!CT14*100/ödev!$I14,"")</f>
        <v/>
      </c>
      <c r="CJ418" s="39" t="str">
        <f>IFERROR(ödev!CU14*100/ödev!$I14,"")</f>
        <v/>
      </c>
      <c r="CK418" s="39" t="str">
        <f>IFERROR(ödev!CV14*100/ödev!$I14,"")</f>
        <v/>
      </c>
      <c r="CL418" s="39" t="str">
        <f>IFERROR(ödev!CW14*100/ödev!$I14,"")</f>
        <v/>
      </c>
      <c r="CM418" s="39" t="str">
        <f>IFERROR(ödev!CX14*100/ödev!$I14,"")</f>
        <v/>
      </c>
      <c r="CN418" s="39" t="str">
        <f>IFERROR(ödev!CY14*100/ödev!$I14,"")</f>
        <v/>
      </c>
      <c r="CO418" s="39" t="str">
        <f>IFERROR(ödev!CZ14*100/ödev!$I14,"")</f>
        <v/>
      </c>
      <c r="CP418" s="39" t="str">
        <f>IFERROR(ödev!DA14*100/ödev!$I14,"")</f>
        <v/>
      </c>
      <c r="CQ418" s="39" t="str">
        <f>IFERROR(ödev!DB14*100/ödev!$I14,"")</f>
        <v/>
      </c>
      <c r="CR418" s="39" t="str">
        <f>IFERROR(ödev!DC14*100/ödev!$I14,"")</f>
        <v/>
      </c>
      <c r="CS418" s="39" t="str">
        <f>IFERROR(ödev!DD14*100/ödev!$I14,"")</f>
        <v/>
      </c>
      <c r="CT418" s="39" t="str">
        <f>IFERROR(ödev!DE14*100/ödev!$I14,"")</f>
        <v/>
      </c>
      <c r="CU418" s="39" t="str">
        <f>IFERROR(ödev!DF14*100/ödev!$I14,"")</f>
        <v/>
      </c>
      <c r="CV418" s="39" t="str">
        <f>IFERROR(ödev!DG14*100/ödev!$I14,"")</f>
        <v/>
      </c>
      <c r="CW418" s="36" t="str">
        <f>IFERROR(SUM(A418:CV418)/ödev!$DH$103,"")</f>
        <v/>
      </c>
      <c r="CX418" s="14" t="str">
        <f>IF(COUNTA(ödev!A14),ödev!A14,"")</f>
        <v/>
      </c>
      <c r="CY418" s="14" t="str">
        <f>IF(COUNTA(ödev!B14),ödev!B14,"")</f>
        <v/>
      </c>
      <c r="CZ418" s="14" t="str">
        <f>IF(COUNTA(ödev!C14),ödev!C14,"")</f>
        <v/>
      </c>
      <c r="DA418" s="14" t="str">
        <f>IF(COUNTA(ödev!D14),ödev!D14,"")</f>
        <v/>
      </c>
      <c r="DB418" s="14" t="str">
        <f>IF(COUNTA(ödev!E14),ödev!E14,"")</f>
        <v/>
      </c>
      <c r="DC418" s="14" t="str">
        <f>IF(COUNTA(ödev!F14),ödev!F14,"")</f>
        <v/>
      </c>
      <c r="DD418" s="14" t="str">
        <f>IF(COUNTA(ödev!G14),ödev!G14,"")</f>
        <v/>
      </c>
      <c r="DE418" s="14" t="str">
        <f>IF(COUNTA(ödev!H14),ödev!H14,"")</f>
        <v/>
      </c>
    </row>
    <row r="419" spans="1:109" x14ac:dyDescent="0.2">
      <c r="A419" s="39" t="str">
        <f>IFERROR(ödev!L15*100/ödev!$I15,"")</f>
        <v/>
      </c>
      <c r="B419" s="39" t="str">
        <f>IFERROR(ödev!M15*100/ödev!$I15,"")</f>
        <v/>
      </c>
      <c r="C419" s="39" t="str">
        <f>IFERROR(ödev!N15*100/ödev!$I15,"")</f>
        <v/>
      </c>
      <c r="D419" s="39" t="str">
        <f>IFERROR(ödev!O15*100/ödev!$I15,"")</f>
        <v/>
      </c>
      <c r="E419" s="39" t="str">
        <f>IFERROR(ödev!P15*100/ödev!$I15,"")</f>
        <v/>
      </c>
      <c r="F419" s="39" t="str">
        <f>IFERROR(ödev!Q15*100/ödev!$I15,"")</f>
        <v/>
      </c>
      <c r="G419" s="39" t="str">
        <f>IFERROR(ödev!R15*100/ödev!$I15,"")</f>
        <v/>
      </c>
      <c r="H419" s="39" t="str">
        <f>IFERROR(ödev!S15*100/ödev!$I15,"")</f>
        <v/>
      </c>
      <c r="I419" s="39" t="str">
        <f>IFERROR(ödev!T15*100/ödev!$I15,"")</f>
        <v/>
      </c>
      <c r="J419" s="39" t="str">
        <f>IFERROR(ödev!U15*100/ödev!$I15,"")</f>
        <v/>
      </c>
      <c r="K419" s="39" t="str">
        <f>IFERROR(ödev!V15*100/ödev!$I15,"")</f>
        <v/>
      </c>
      <c r="L419" s="39" t="str">
        <f>IFERROR(ödev!W15*100/ödev!$I15,"")</f>
        <v/>
      </c>
      <c r="M419" s="39" t="str">
        <f>IFERROR(ödev!X15*100/ödev!$I15,"")</f>
        <v/>
      </c>
      <c r="N419" s="39" t="str">
        <f>IFERROR(ödev!Y15*100/ödev!$I15,"")</f>
        <v/>
      </c>
      <c r="O419" s="39" t="str">
        <f>IFERROR(ödev!Z15*100/ödev!$I15,"")</f>
        <v/>
      </c>
      <c r="P419" s="39" t="str">
        <f>IFERROR(ödev!AA15*100/ödev!$I15,"")</f>
        <v/>
      </c>
      <c r="Q419" s="39" t="str">
        <f>IFERROR(ödev!AB15*100/ödev!$I15,"")</f>
        <v/>
      </c>
      <c r="R419" s="39" t="str">
        <f>IFERROR(ödev!AC15*100/ödev!$I15,"")</f>
        <v/>
      </c>
      <c r="S419" s="39" t="str">
        <f>IFERROR(ödev!AD15*100/ödev!$I15,"")</f>
        <v/>
      </c>
      <c r="T419" s="39" t="str">
        <f>IFERROR(ödev!AE15*100/ödev!$I15,"")</f>
        <v/>
      </c>
      <c r="U419" s="39" t="str">
        <f>IFERROR(ödev!AF15*100/ödev!$I15,"")</f>
        <v/>
      </c>
      <c r="V419" s="39" t="str">
        <f>IFERROR(ödev!AG15*100/ödev!$I15,"")</f>
        <v/>
      </c>
      <c r="W419" s="39" t="str">
        <f>IFERROR(ödev!AH15*100/ödev!$I15,"")</f>
        <v/>
      </c>
      <c r="X419" s="39" t="str">
        <f>IFERROR(ödev!AI15*100/ödev!$I15,"")</f>
        <v/>
      </c>
      <c r="Y419" s="39" t="str">
        <f>IFERROR(ödev!AJ15*100/ödev!$I15,"")</f>
        <v/>
      </c>
      <c r="Z419" s="39" t="str">
        <f>IFERROR(ödev!AK15*100/ödev!$I15,"")</f>
        <v/>
      </c>
      <c r="AA419" s="39" t="str">
        <f>IFERROR(ödev!AL15*100/ödev!$I15,"")</f>
        <v/>
      </c>
      <c r="AB419" s="39" t="str">
        <f>IFERROR(ödev!AM15*100/ödev!$I15,"")</f>
        <v/>
      </c>
      <c r="AC419" s="39" t="str">
        <f>IFERROR(ödev!AN15*100/ödev!$I15,"")</f>
        <v/>
      </c>
      <c r="AD419" s="39" t="str">
        <f>IFERROR(ödev!AO15*100/ödev!$I15,"")</f>
        <v/>
      </c>
      <c r="AE419" s="39" t="str">
        <f>IFERROR(ödev!AP15*100/ödev!$I15,"")</f>
        <v/>
      </c>
      <c r="AF419" s="39" t="str">
        <f>IFERROR(ödev!AQ15*100/ödev!$I15,"")</f>
        <v/>
      </c>
      <c r="AG419" s="39" t="str">
        <f>IFERROR(ödev!AR15*100/ödev!$I15,"")</f>
        <v/>
      </c>
      <c r="AH419" s="39" t="str">
        <f>IFERROR(ödev!AS15*100/ödev!$I15,"")</f>
        <v/>
      </c>
      <c r="AI419" s="39" t="str">
        <f>IFERROR(ödev!AT15*100/ödev!$I15,"")</f>
        <v/>
      </c>
      <c r="AJ419" s="39" t="str">
        <f>IFERROR(ödev!AU15*100/ödev!$I15,"")</f>
        <v/>
      </c>
      <c r="AK419" s="39" t="str">
        <f>IFERROR(ödev!AV15*100/ödev!$I15,"")</f>
        <v/>
      </c>
      <c r="AL419" s="39" t="str">
        <f>IFERROR(ödev!AW15*100/ödev!$I15,"")</f>
        <v/>
      </c>
      <c r="AM419" s="39" t="str">
        <f>IFERROR(ödev!AX15*100/ödev!$I15,"")</f>
        <v/>
      </c>
      <c r="AN419" s="39" t="str">
        <f>IFERROR(ödev!AY15*100/ödev!$I15,"")</f>
        <v/>
      </c>
      <c r="AO419" s="39" t="str">
        <f>IFERROR(ödev!AZ15*100/ödev!$I15,"")</f>
        <v/>
      </c>
      <c r="AP419" s="39" t="str">
        <f>IFERROR(ödev!BA15*100/ödev!$I15,"")</f>
        <v/>
      </c>
      <c r="AQ419" s="39" t="str">
        <f>IFERROR(ödev!BB15*100/ödev!$I15,"")</f>
        <v/>
      </c>
      <c r="AR419" s="39" t="str">
        <f>IFERROR(ödev!BC15*100/ödev!$I15,"")</f>
        <v/>
      </c>
      <c r="AS419" s="39" t="str">
        <f>IFERROR(ödev!BD15*100/ödev!$I15,"")</f>
        <v/>
      </c>
      <c r="AT419" s="39" t="str">
        <f>IFERROR(ödev!BE15*100/ödev!$I15,"")</f>
        <v/>
      </c>
      <c r="AU419" s="39" t="str">
        <f>IFERROR(ödev!BF15*100/ödev!$I15,"")</f>
        <v/>
      </c>
      <c r="AV419" s="39" t="str">
        <f>IFERROR(ödev!BG15*100/ödev!$I15,"")</f>
        <v/>
      </c>
      <c r="AW419" s="39" t="str">
        <f>IFERROR(ödev!BH15*100/ödev!$I15,"")</f>
        <v/>
      </c>
      <c r="AX419" s="39" t="str">
        <f>IFERROR(ödev!BI15*100/ödev!$I15,"")</f>
        <v/>
      </c>
      <c r="AY419" s="39" t="str">
        <f>IFERROR(ödev!BJ15*100/ödev!$I15,"")</f>
        <v/>
      </c>
      <c r="AZ419" s="39" t="str">
        <f>IFERROR(ödev!BK15*100/ödev!$I15,"")</f>
        <v/>
      </c>
      <c r="BA419" s="39" t="str">
        <f>IFERROR(ödev!BL15*100/ödev!$I15,"")</f>
        <v/>
      </c>
      <c r="BB419" s="39" t="str">
        <f>IFERROR(ödev!BM15*100/ödev!$I15,"")</f>
        <v/>
      </c>
      <c r="BC419" s="39" t="str">
        <f>IFERROR(ödev!BN15*100/ödev!$I15,"")</f>
        <v/>
      </c>
      <c r="BD419" s="39" t="str">
        <f>IFERROR(ödev!BO15*100/ödev!$I15,"")</f>
        <v/>
      </c>
      <c r="BE419" s="39" t="str">
        <f>IFERROR(ödev!BP15*100/ödev!$I15,"")</f>
        <v/>
      </c>
      <c r="BF419" s="39" t="str">
        <f>IFERROR(ödev!BQ15*100/ödev!$I15,"")</f>
        <v/>
      </c>
      <c r="BG419" s="39" t="str">
        <f>IFERROR(ödev!BR15*100/ödev!$I15,"")</f>
        <v/>
      </c>
      <c r="BH419" s="39" t="str">
        <f>IFERROR(ödev!BS15*100/ödev!$I15,"")</f>
        <v/>
      </c>
      <c r="BI419" s="39" t="str">
        <f>IFERROR(ödev!BT15*100/ödev!$I15,"")</f>
        <v/>
      </c>
      <c r="BJ419" s="39" t="str">
        <f>IFERROR(ödev!BU15*100/ödev!$I15,"")</f>
        <v/>
      </c>
      <c r="BK419" s="39" t="str">
        <f>IFERROR(ödev!BV15*100/ödev!$I15,"")</f>
        <v/>
      </c>
      <c r="BL419" s="39" t="str">
        <f>IFERROR(ödev!BW15*100/ödev!$I15,"")</f>
        <v/>
      </c>
      <c r="BM419" s="39" t="str">
        <f>IFERROR(ödev!BX15*100/ödev!$I15,"")</f>
        <v/>
      </c>
      <c r="BN419" s="39" t="str">
        <f>IFERROR(ödev!BY15*100/ödev!$I15,"")</f>
        <v/>
      </c>
      <c r="BO419" s="39" t="str">
        <f>IFERROR(ödev!BZ15*100/ödev!$I15,"")</f>
        <v/>
      </c>
      <c r="BP419" s="39" t="str">
        <f>IFERROR(ödev!CA15*100/ödev!$I15,"")</f>
        <v/>
      </c>
      <c r="BQ419" s="39" t="str">
        <f>IFERROR(ödev!CB15*100/ödev!$I15,"")</f>
        <v/>
      </c>
      <c r="BR419" s="39" t="str">
        <f>IFERROR(ödev!CC15*100/ödev!$I15,"")</f>
        <v/>
      </c>
      <c r="BS419" s="39" t="str">
        <f>IFERROR(ödev!CD15*100/ödev!$I15,"")</f>
        <v/>
      </c>
      <c r="BT419" s="39" t="str">
        <f>IFERROR(ödev!CE15*100/ödev!$I15,"")</f>
        <v/>
      </c>
      <c r="BU419" s="39" t="str">
        <f>IFERROR(ödev!CF15*100/ödev!$I15,"")</f>
        <v/>
      </c>
      <c r="BV419" s="39" t="str">
        <f>IFERROR(ödev!CG15*100/ödev!$I15,"")</f>
        <v/>
      </c>
      <c r="BW419" s="39" t="str">
        <f>IFERROR(ödev!CH15*100/ödev!$I15,"")</f>
        <v/>
      </c>
      <c r="BX419" s="39" t="str">
        <f>IFERROR(ödev!CI15*100/ödev!$I15,"")</f>
        <v/>
      </c>
      <c r="BY419" s="39" t="str">
        <f>IFERROR(ödev!CJ15*100/ödev!$I15,"")</f>
        <v/>
      </c>
      <c r="BZ419" s="39" t="str">
        <f>IFERROR(ödev!CK15*100/ödev!$I15,"")</f>
        <v/>
      </c>
      <c r="CA419" s="39" t="str">
        <f>IFERROR(ödev!CL15*100/ödev!$I15,"")</f>
        <v/>
      </c>
      <c r="CB419" s="39" t="str">
        <f>IFERROR(ödev!CM15*100/ödev!$I15,"")</f>
        <v/>
      </c>
      <c r="CC419" s="39" t="str">
        <f>IFERROR(ödev!CN15*100/ödev!$I15,"")</f>
        <v/>
      </c>
      <c r="CD419" s="39" t="str">
        <f>IFERROR(ödev!CO15*100/ödev!$I15,"")</f>
        <v/>
      </c>
      <c r="CE419" s="39" t="str">
        <f>IFERROR(ödev!CP15*100/ödev!$I15,"")</f>
        <v/>
      </c>
      <c r="CF419" s="39" t="str">
        <f>IFERROR(ödev!CQ15*100/ödev!$I15,"")</f>
        <v/>
      </c>
      <c r="CG419" s="39" t="str">
        <f>IFERROR(ödev!CR15*100/ödev!$I15,"")</f>
        <v/>
      </c>
      <c r="CH419" s="39" t="str">
        <f>IFERROR(ödev!CS15*100/ödev!$I15,"")</f>
        <v/>
      </c>
      <c r="CI419" s="39" t="str">
        <f>IFERROR(ödev!CT15*100/ödev!$I15,"")</f>
        <v/>
      </c>
      <c r="CJ419" s="39" t="str">
        <f>IFERROR(ödev!CU15*100/ödev!$I15,"")</f>
        <v/>
      </c>
      <c r="CK419" s="39" t="str">
        <f>IFERROR(ödev!CV15*100/ödev!$I15,"")</f>
        <v/>
      </c>
      <c r="CL419" s="39" t="str">
        <f>IFERROR(ödev!CW15*100/ödev!$I15,"")</f>
        <v/>
      </c>
      <c r="CM419" s="39" t="str">
        <f>IFERROR(ödev!CX15*100/ödev!$I15,"")</f>
        <v/>
      </c>
      <c r="CN419" s="39" t="str">
        <f>IFERROR(ödev!CY15*100/ödev!$I15,"")</f>
        <v/>
      </c>
      <c r="CO419" s="39" t="str">
        <f>IFERROR(ödev!CZ15*100/ödev!$I15,"")</f>
        <v/>
      </c>
      <c r="CP419" s="39" t="str">
        <f>IFERROR(ödev!DA15*100/ödev!$I15,"")</f>
        <v/>
      </c>
      <c r="CQ419" s="39" t="str">
        <f>IFERROR(ödev!DB15*100/ödev!$I15,"")</f>
        <v/>
      </c>
      <c r="CR419" s="39" t="str">
        <f>IFERROR(ödev!DC15*100/ödev!$I15,"")</f>
        <v/>
      </c>
      <c r="CS419" s="39" t="str">
        <f>IFERROR(ödev!DD15*100/ödev!$I15,"")</f>
        <v/>
      </c>
      <c r="CT419" s="39" t="str">
        <f>IFERROR(ödev!DE15*100/ödev!$I15,"")</f>
        <v/>
      </c>
      <c r="CU419" s="39" t="str">
        <f>IFERROR(ödev!DF15*100/ödev!$I15,"")</f>
        <v/>
      </c>
      <c r="CV419" s="39" t="str">
        <f>IFERROR(ödev!DG15*100/ödev!$I15,"")</f>
        <v/>
      </c>
      <c r="CW419" s="36" t="str">
        <f>IFERROR(SUM(A419:CV419)/ödev!$DH$103,"")</f>
        <v/>
      </c>
      <c r="CX419" s="14" t="str">
        <f>IF(COUNTA(ödev!A15),ödev!A15,"")</f>
        <v/>
      </c>
      <c r="CY419" s="14" t="str">
        <f>IF(COUNTA(ödev!B15),ödev!B15,"")</f>
        <v/>
      </c>
      <c r="CZ419" s="14" t="str">
        <f>IF(COUNTA(ödev!C15),ödev!C15,"")</f>
        <v/>
      </c>
      <c r="DA419" s="14" t="str">
        <f>IF(COUNTA(ödev!D15),ödev!D15,"")</f>
        <v/>
      </c>
      <c r="DB419" s="14" t="str">
        <f>IF(COUNTA(ödev!E15),ödev!E15,"")</f>
        <v/>
      </c>
      <c r="DC419" s="14" t="str">
        <f>IF(COUNTA(ödev!F15),ödev!F15,"")</f>
        <v/>
      </c>
      <c r="DD419" s="14" t="str">
        <f>IF(COUNTA(ödev!G15),ödev!G15,"")</f>
        <v/>
      </c>
      <c r="DE419" s="14" t="str">
        <f>IF(COUNTA(ödev!H15),ödev!H15,"")</f>
        <v/>
      </c>
    </row>
    <row r="420" spans="1:109" x14ac:dyDescent="0.2">
      <c r="A420" s="39" t="str">
        <f>IFERROR(ödev!L16*100/ödev!$I16,"")</f>
        <v/>
      </c>
      <c r="B420" s="39" t="str">
        <f>IFERROR(ödev!M16*100/ödev!$I16,"")</f>
        <v/>
      </c>
      <c r="C420" s="39" t="str">
        <f>IFERROR(ödev!N16*100/ödev!$I16,"")</f>
        <v/>
      </c>
      <c r="D420" s="39" t="str">
        <f>IFERROR(ödev!O16*100/ödev!$I16,"")</f>
        <v/>
      </c>
      <c r="E420" s="39" t="str">
        <f>IFERROR(ödev!P16*100/ödev!$I16,"")</f>
        <v/>
      </c>
      <c r="F420" s="39" t="str">
        <f>IFERROR(ödev!Q16*100/ödev!$I16,"")</f>
        <v/>
      </c>
      <c r="G420" s="39" t="str">
        <f>IFERROR(ödev!R16*100/ödev!$I16,"")</f>
        <v/>
      </c>
      <c r="H420" s="39" t="str">
        <f>IFERROR(ödev!S16*100/ödev!$I16,"")</f>
        <v/>
      </c>
      <c r="I420" s="39" t="str">
        <f>IFERROR(ödev!T16*100/ödev!$I16,"")</f>
        <v/>
      </c>
      <c r="J420" s="39" t="str">
        <f>IFERROR(ödev!U16*100/ödev!$I16,"")</f>
        <v/>
      </c>
      <c r="K420" s="39" t="str">
        <f>IFERROR(ödev!V16*100/ödev!$I16,"")</f>
        <v/>
      </c>
      <c r="L420" s="39" t="str">
        <f>IFERROR(ödev!W16*100/ödev!$I16,"")</f>
        <v/>
      </c>
      <c r="M420" s="39" t="str">
        <f>IFERROR(ödev!X16*100/ödev!$I16,"")</f>
        <v/>
      </c>
      <c r="N420" s="39" t="str">
        <f>IFERROR(ödev!Y16*100/ödev!$I16,"")</f>
        <v/>
      </c>
      <c r="O420" s="39" t="str">
        <f>IFERROR(ödev!Z16*100/ödev!$I16,"")</f>
        <v/>
      </c>
      <c r="P420" s="39" t="str">
        <f>IFERROR(ödev!AA16*100/ödev!$I16,"")</f>
        <v/>
      </c>
      <c r="Q420" s="39" t="str">
        <f>IFERROR(ödev!AB16*100/ödev!$I16,"")</f>
        <v/>
      </c>
      <c r="R420" s="39" t="str">
        <f>IFERROR(ödev!AC16*100/ödev!$I16,"")</f>
        <v/>
      </c>
      <c r="S420" s="39" t="str">
        <f>IFERROR(ödev!AD16*100/ödev!$I16,"")</f>
        <v/>
      </c>
      <c r="T420" s="39" t="str">
        <f>IFERROR(ödev!AE16*100/ödev!$I16,"")</f>
        <v/>
      </c>
      <c r="U420" s="39" t="str">
        <f>IFERROR(ödev!AF16*100/ödev!$I16,"")</f>
        <v/>
      </c>
      <c r="V420" s="39" t="str">
        <f>IFERROR(ödev!AG16*100/ödev!$I16,"")</f>
        <v/>
      </c>
      <c r="W420" s="39" t="str">
        <f>IFERROR(ödev!AH16*100/ödev!$I16,"")</f>
        <v/>
      </c>
      <c r="X420" s="39" t="str">
        <f>IFERROR(ödev!AI16*100/ödev!$I16,"")</f>
        <v/>
      </c>
      <c r="Y420" s="39" t="str">
        <f>IFERROR(ödev!AJ16*100/ödev!$I16,"")</f>
        <v/>
      </c>
      <c r="Z420" s="39" t="str">
        <f>IFERROR(ödev!AK16*100/ödev!$I16,"")</f>
        <v/>
      </c>
      <c r="AA420" s="39" t="str">
        <f>IFERROR(ödev!AL16*100/ödev!$I16,"")</f>
        <v/>
      </c>
      <c r="AB420" s="39" t="str">
        <f>IFERROR(ödev!AM16*100/ödev!$I16,"")</f>
        <v/>
      </c>
      <c r="AC420" s="39" t="str">
        <f>IFERROR(ödev!AN16*100/ödev!$I16,"")</f>
        <v/>
      </c>
      <c r="AD420" s="39" t="str">
        <f>IFERROR(ödev!AO16*100/ödev!$I16,"")</f>
        <v/>
      </c>
      <c r="AE420" s="39" t="str">
        <f>IFERROR(ödev!AP16*100/ödev!$I16,"")</f>
        <v/>
      </c>
      <c r="AF420" s="39" t="str">
        <f>IFERROR(ödev!AQ16*100/ödev!$I16,"")</f>
        <v/>
      </c>
      <c r="AG420" s="39" t="str">
        <f>IFERROR(ödev!AR16*100/ödev!$I16,"")</f>
        <v/>
      </c>
      <c r="AH420" s="39" t="str">
        <f>IFERROR(ödev!AS16*100/ödev!$I16,"")</f>
        <v/>
      </c>
      <c r="AI420" s="39" t="str">
        <f>IFERROR(ödev!AT16*100/ödev!$I16,"")</f>
        <v/>
      </c>
      <c r="AJ420" s="39" t="str">
        <f>IFERROR(ödev!AU16*100/ödev!$I16,"")</f>
        <v/>
      </c>
      <c r="AK420" s="39" t="str">
        <f>IFERROR(ödev!AV16*100/ödev!$I16,"")</f>
        <v/>
      </c>
      <c r="AL420" s="39" t="str">
        <f>IFERROR(ödev!AW16*100/ödev!$I16,"")</f>
        <v/>
      </c>
      <c r="AM420" s="39" t="str">
        <f>IFERROR(ödev!AX16*100/ödev!$I16,"")</f>
        <v/>
      </c>
      <c r="AN420" s="39" t="str">
        <f>IFERROR(ödev!AY16*100/ödev!$I16,"")</f>
        <v/>
      </c>
      <c r="AO420" s="39" t="str">
        <f>IFERROR(ödev!AZ16*100/ödev!$I16,"")</f>
        <v/>
      </c>
      <c r="AP420" s="39" t="str">
        <f>IFERROR(ödev!BA16*100/ödev!$I16,"")</f>
        <v/>
      </c>
      <c r="AQ420" s="39" t="str">
        <f>IFERROR(ödev!BB16*100/ödev!$I16,"")</f>
        <v/>
      </c>
      <c r="AR420" s="39" t="str">
        <f>IFERROR(ödev!BC16*100/ödev!$I16,"")</f>
        <v/>
      </c>
      <c r="AS420" s="39" t="str">
        <f>IFERROR(ödev!BD16*100/ödev!$I16,"")</f>
        <v/>
      </c>
      <c r="AT420" s="39" t="str">
        <f>IFERROR(ödev!BE16*100/ödev!$I16,"")</f>
        <v/>
      </c>
      <c r="AU420" s="39" t="str">
        <f>IFERROR(ödev!BF16*100/ödev!$I16,"")</f>
        <v/>
      </c>
      <c r="AV420" s="39" t="str">
        <f>IFERROR(ödev!BG16*100/ödev!$I16,"")</f>
        <v/>
      </c>
      <c r="AW420" s="39" t="str">
        <f>IFERROR(ödev!BH16*100/ödev!$I16,"")</f>
        <v/>
      </c>
      <c r="AX420" s="39" t="str">
        <f>IFERROR(ödev!BI16*100/ödev!$I16,"")</f>
        <v/>
      </c>
      <c r="AY420" s="39" t="str">
        <f>IFERROR(ödev!BJ16*100/ödev!$I16,"")</f>
        <v/>
      </c>
      <c r="AZ420" s="39" t="str">
        <f>IFERROR(ödev!BK16*100/ödev!$I16,"")</f>
        <v/>
      </c>
      <c r="BA420" s="39" t="str">
        <f>IFERROR(ödev!BL16*100/ödev!$I16,"")</f>
        <v/>
      </c>
      <c r="BB420" s="39" t="str">
        <f>IFERROR(ödev!BM16*100/ödev!$I16,"")</f>
        <v/>
      </c>
      <c r="BC420" s="39" t="str">
        <f>IFERROR(ödev!BN16*100/ödev!$I16,"")</f>
        <v/>
      </c>
      <c r="BD420" s="39" t="str">
        <f>IFERROR(ödev!BO16*100/ödev!$I16,"")</f>
        <v/>
      </c>
      <c r="BE420" s="39" t="str">
        <f>IFERROR(ödev!BP16*100/ödev!$I16,"")</f>
        <v/>
      </c>
      <c r="BF420" s="39" t="str">
        <f>IFERROR(ödev!BQ16*100/ödev!$I16,"")</f>
        <v/>
      </c>
      <c r="BG420" s="39" t="str">
        <f>IFERROR(ödev!BR16*100/ödev!$I16,"")</f>
        <v/>
      </c>
      <c r="BH420" s="39" t="str">
        <f>IFERROR(ödev!BS16*100/ödev!$I16,"")</f>
        <v/>
      </c>
      <c r="BI420" s="39" t="str">
        <f>IFERROR(ödev!BT16*100/ödev!$I16,"")</f>
        <v/>
      </c>
      <c r="BJ420" s="39" t="str">
        <f>IFERROR(ödev!BU16*100/ödev!$I16,"")</f>
        <v/>
      </c>
      <c r="BK420" s="39" t="str">
        <f>IFERROR(ödev!BV16*100/ödev!$I16,"")</f>
        <v/>
      </c>
      <c r="BL420" s="39" t="str">
        <f>IFERROR(ödev!BW16*100/ödev!$I16,"")</f>
        <v/>
      </c>
      <c r="BM420" s="39" t="str">
        <f>IFERROR(ödev!BX16*100/ödev!$I16,"")</f>
        <v/>
      </c>
      <c r="BN420" s="39" t="str">
        <f>IFERROR(ödev!BY16*100/ödev!$I16,"")</f>
        <v/>
      </c>
      <c r="BO420" s="39" t="str">
        <f>IFERROR(ödev!BZ16*100/ödev!$I16,"")</f>
        <v/>
      </c>
      <c r="BP420" s="39" t="str">
        <f>IFERROR(ödev!CA16*100/ödev!$I16,"")</f>
        <v/>
      </c>
      <c r="BQ420" s="39" t="str">
        <f>IFERROR(ödev!CB16*100/ödev!$I16,"")</f>
        <v/>
      </c>
      <c r="BR420" s="39" t="str">
        <f>IFERROR(ödev!CC16*100/ödev!$I16,"")</f>
        <v/>
      </c>
      <c r="BS420" s="39" t="str">
        <f>IFERROR(ödev!CD16*100/ödev!$I16,"")</f>
        <v/>
      </c>
      <c r="BT420" s="39" t="str">
        <f>IFERROR(ödev!CE16*100/ödev!$I16,"")</f>
        <v/>
      </c>
      <c r="BU420" s="39" t="str">
        <f>IFERROR(ödev!CF16*100/ödev!$I16,"")</f>
        <v/>
      </c>
      <c r="BV420" s="39" t="str">
        <f>IFERROR(ödev!CG16*100/ödev!$I16,"")</f>
        <v/>
      </c>
      <c r="BW420" s="39" t="str">
        <f>IFERROR(ödev!CH16*100/ödev!$I16,"")</f>
        <v/>
      </c>
      <c r="BX420" s="39" t="str">
        <f>IFERROR(ödev!CI16*100/ödev!$I16,"")</f>
        <v/>
      </c>
      <c r="BY420" s="39" t="str">
        <f>IFERROR(ödev!CJ16*100/ödev!$I16,"")</f>
        <v/>
      </c>
      <c r="BZ420" s="39" t="str">
        <f>IFERROR(ödev!CK16*100/ödev!$I16,"")</f>
        <v/>
      </c>
      <c r="CA420" s="39" t="str">
        <f>IFERROR(ödev!CL16*100/ödev!$I16,"")</f>
        <v/>
      </c>
      <c r="CB420" s="39" t="str">
        <f>IFERROR(ödev!CM16*100/ödev!$I16,"")</f>
        <v/>
      </c>
      <c r="CC420" s="39" t="str">
        <f>IFERROR(ödev!CN16*100/ödev!$I16,"")</f>
        <v/>
      </c>
      <c r="CD420" s="39" t="str">
        <f>IFERROR(ödev!CO16*100/ödev!$I16,"")</f>
        <v/>
      </c>
      <c r="CE420" s="39" t="str">
        <f>IFERROR(ödev!CP16*100/ödev!$I16,"")</f>
        <v/>
      </c>
      <c r="CF420" s="39" t="str">
        <f>IFERROR(ödev!CQ16*100/ödev!$I16,"")</f>
        <v/>
      </c>
      <c r="CG420" s="39" t="str">
        <f>IFERROR(ödev!CR16*100/ödev!$I16,"")</f>
        <v/>
      </c>
      <c r="CH420" s="39" t="str">
        <f>IFERROR(ödev!CS16*100/ödev!$I16,"")</f>
        <v/>
      </c>
      <c r="CI420" s="39" t="str">
        <f>IFERROR(ödev!CT16*100/ödev!$I16,"")</f>
        <v/>
      </c>
      <c r="CJ420" s="39" t="str">
        <f>IFERROR(ödev!CU16*100/ödev!$I16,"")</f>
        <v/>
      </c>
      <c r="CK420" s="39" t="str">
        <f>IFERROR(ödev!CV16*100/ödev!$I16,"")</f>
        <v/>
      </c>
      <c r="CL420" s="39" t="str">
        <f>IFERROR(ödev!CW16*100/ödev!$I16,"")</f>
        <v/>
      </c>
      <c r="CM420" s="39" t="str">
        <f>IFERROR(ödev!CX16*100/ödev!$I16,"")</f>
        <v/>
      </c>
      <c r="CN420" s="39" t="str">
        <f>IFERROR(ödev!CY16*100/ödev!$I16,"")</f>
        <v/>
      </c>
      <c r="CO420" s="39" t="str">
        <f>IFERROR(ödev!CZ16*100/ödev!$I16,"")</f>
        <v/>
      </c>
      <c r="CP420" s="39" t="str">
        <f>IFERROR(ödev!DA16*100/ödev!$I16,"")</f>
        <v/>
      </c>
      <c r="CQ420" s="39" t="str">
        <f>IFERROR(ödev!DB16*100/ödev!$I16,"")</f>
        <v/>
      </c>
      <c r="CR420" s="39" t="str">
        <f>IFERROR(ödev!DC16*100/ödev!$I16,"")</f>
        <v/>
      </c>
      <c r="CS420" s="39" t="str">
        <f>IFERROR(ödev!DD16*100/ödev!$I16,"")</f>
        <v/>
      </c>
      <c r="CT420" s="39" t="str">
        <f>IFERROR(ödev!DE16*100/ödev!$I16,"")</f>
        <v/>
      </c>
      <c r="CU420" s="39" t="str">
        <f>IFERROR(ödev!DF16*100/ödev!$I16,"")</f>
        <v/>
      </c>
      <c r="CV420" s="39" t="str">
        <f>IFERROR(ödev!DG16*100/ödev!$I16,"")</f>
        <v/>
      </c>
      <c r="CW420" s="36" t="str">
        <f>IFERROR(SUM(A420:CV420)/ödev!$DH$103,"")</f>
        <v/>
      </c>
      <c r="CX420" s="14" t="str">
        <f>IF(COUNTA(ödev!A16),ödev!A16,"")</f>
        <v/>
      </c>
      <c r="CY420" s="14" t="str">
        <f>IF(COUNTA(ödev!B16),ödev!B16,"")</f>
        <v/>
      </c>
      <c r="CZ420" s="14" t="str">
        <f>IF(COUNTA(ödev!C16),ödev!C16,"")</f>
        <v/>
      </c>
      <c r="DA420" s="14" t="str">
        <f>IF(COUNTA(ödev!D16),ödev!D16,"")</f>
        <v/>
      </c>
      <c r="DB420" s="14" t="str">
        <f>IF(COUNTA(ödev!E16),ödev!E16,"")</f>
        <v/>
      </c>
      <c r="DC420" s="14" t="str">
        <f>IF(COUNTA(ödev!F16),ödev!F16,"")</f>
        <v/>
      </c>
      <c r="DD420" s="14" t="str">
        <f>IF(COUNTA(ödev!G16),ödev!G16,"")</f>
        <v/>
      </c>
      <c r="DE420" s="14" t="str">
        <f>IF(COUNTA(ödev!H16),ödev!H16,"")</f>
        <v/>
      </c>
    </row>
    <row r="421" spans="1:109" x14ac:dyDescent="0.2">
      <c r="A421" s="39" t="str">
        <f>IFERROR(ödev!L17*100/ödev!$I17,"")</f>
        <v/>
      </c>
      <c r="B421" s="39" t="str">
        <f>IFERROR(ödev!M17*100/ödev!$I17,"")</f>
        <v/>
      </c>
      <c r="C421" s="39" t="str">
        <f>IFERROR(ödev!N17*100/ödev!$I17,"")</f>
        <v/>
      </c>
      <c r="D421" s="39" t="str">
        <f>IFERROR(ödev!O17*100/ödev!$I17,"")</f>
        <v/>
      </c>
      <c r="E421" s="39" t="str">
        <f>IFERROR(ödev!P17*100/ödev!$I17,"")</f>
        <v/>
      </c>
      <c r="F421" s="39" t="str">
        <f>IFERROR(ödev!Q17*100/ödev!$I17,"")</f>
        <v/>
      </c>
      <c r="G421" s="39" t="str">
        <f>IFERROR(ödev!R17*100/ödev!$I17,"")</f>
        <v/>
      </c>
      <c r="H421" s="39" t="str">
        <f>IFERROR(ödev!S17*100/ödev!$I17,"")</f>
        <v/>
      </c>
      <c r="I421" s="39" t="str">
        <f>IFERROR(ödev!T17*100/ödev!$I17,"")</f>
        <v/>
      </c>
      <c r="J421" s="39" t="str">
        <f>IFERROR(ödev!U17*100/ödev!$I17,"")</f>
        <v/>
      </c>
      <c r="K421" s="39" t="str">
        <f>IFERROR(ödev!V17*100/ödev!$I17,"")</f>
        <v/>
      </c>
      <c r="L421" s="39" t="str">
        <f>IFERROR(ödev!W17*100/ödev!$I17,"")</f>
        <v/>
      </c>
      <c r="M421" s="39" t="str">
        <f>IFERROR(ödev!X17*100/ödev!$I17,"")</f>
        <v/>
      </c>
      <c r="N421" s="39" t="str">
        <f>IFERROR(ödev!Y17*100/ödev!$I17,"")</f>
        <v/>
      </c>
      <c r="O421" s="39" t="str">
        <f>IFERROR(ödev!Z17*100/ödev!$I17,"")</f>
        <v/>
      </c>
      <c r="P421" s="39" t="str">
        <f>IFERROR(ödev!AA17*100/ödev!$I17,"")</f>
        <v/>
      </c>
      <c r="Q421" s="39" t="str">
        <f>IFERROR(ödev!AB17*100/ödev!$I17,"")</f>
        <v/>
      </c>
      <c r="R421" s="39" t="str">
        <f>IFERROR(ödev!AC17*100/ödev!$I17,"")</f>
        <v/>
      </c>
      <c r="S421" s="39" t="str">
        <f>IFERROR(ödev!AD17*100/ödev!$I17,"")</f>
        <v/>
      </c>
      <c r="T421" s="39" t="str">
        <f>IFERROR(ödev!AE17*100/ödev!$I17,"")</f>
        <v/>
      </c>
      <c r="U421" s="39" t="str">
        <f>IFERROR(ödev!AF17*100/ödev!$I17,"")</f>
        <v/>
      </c>
      <c r="V421" s="39" t="str">
        <f>IFERROR(ödev!AG17*100/ödev!$I17,"")</f>
        <v/>
      </c>
      <c r="W421" s="39" t="str">
        <f>IFERROR(ödev!AH17*100/ödev!$I17,"")</f>
        <v/>
      </c>
      <c r="X421" s="39" t="str">
        <f>IFERROR(ödev!AI17*100/ödev!$I17,"")</f>
        <v/>
      </c>
      <c r="Y421" s="39" t="str">
        <f>IFERROR(ödev!AJ17*100/ödev!$I17,"")</f>
        <v/>
      </c>
      <c r="Z421" s="39" t="str">
        <f>IFERROR(ödev!AK17*100/ödev!$I17,"")</f>
        <v/>
      </c>
      <c r="AA421" s="39" t="str">
        <f>IFERROR(ödev!AL17*100/ödev!$I17,"")</f>
        <v/>
      </c>
      <c r="AB421" s="39" t="str">
        <f>IFERROR(ödev!AM17*100/ödev!$I17,"")</f>
        <v/>
      </c>
      <c r="AC421" s="39" t="str">
        <f>IFERROR(ödev!AN17*100/ödev!$I17,"")</f>
        <v/>
      </c>
      <c r="AD421" s="39" t="str">
        <f>IFERROR(ödev!AO17*100/ödev!$I17,"")</f>
        <v/>
      </c>
      <c r="AE421" s="39" t="str">
        <f>IFERROR(ödev!AP17*100/ödev!$I17,"")</f>
        <v/>
      </c>
      <c r="AF421" s="39" t="str">
        <f>IFERROR(ödev!AQ17*100/ödev!$I17,"")</f>
        <v/>
      </c>
      <c r="AG421" s="39" t="str">
        <f>IFERROR(ödev!AR17*100/ödev!$I17,"")</f>
        <v/>
      </c>
      <c r="AH421" s="39" t="str">
        <f>IFERROR(ödev!AS17*100/ödev!$I17,"")</f>
        <v/>
      </c>
      <c r="AI421" s="39" t="str">
        <f>IFERROR(ödev!AT17*100/ödev!$I17,"")</f>
        <v/>
      </c>
      <c r="AJ421" s="39" t="str">
        <f>IFERROR(ödev!AU17*100/ödev!$I17,"")</f>
        <v/>
      </c>
      <c r="AK421" s="39" t="str">
        <f>IFERROR(ödev!AV17*100/ödev!$I17,"")</f>
        <v/>
      </c>
      <c r="AL421" s="39" t="str">
        <f>IFERROR(ödev!AW17*100/ödev!$I17,"")</f>
        <v/>
      </c>
      <c r="AM421" s="39" t="str">
        <f>IFERROR(ödev!AX17*100/ödev!$I17,"")</f>
        <v/>
      </c>
      <c r="AN421" s="39" t="str">
        <f>IFERROR(ödev!AY17*100/ödev!$I17,"")</f>
        <v/>
      </c>
      <c r="AO421" s="39" t="str">
        <f>IFERROR(ödev!AZ17*100/ödev!$I17,"")</f>
        <v/>
      </c>
      <c r="AP421" s="39" t="str">
        <f>IFERROR(ödev!BA17*100/ödev!$I17,"")</f>
        <v/>
      </c>
      <c r="AQ421" s="39" t="str">
        <f>IFERROR(ödev!BB17*100/ödev!$I17,"")</f>
        <v/>
      </c>
      <c r="AR421" s="39" t="str">
        <f>IFERROR(ödev!BC17*100/ödev!$I17,"")</f>
        <v/>
      </c>
      <c r="AS421" s="39" t="str">
        <f>IFERROR(ödev!BD17*100/ödev!$I17,"")</f>
        <v/>
      </c>
      <c r="AT421" s="39" t="str">
        <f>IFERROR(ödev!BE17*100/ödev!$I17,"")</f>
        <v/>
      </c>
      <c r="AU421" s="39" t="str">
        <f>IFERROR(ödev!BF17*100/ödev!$I17,"")</f>
        <v/>
      </c>
      <c r="AV421" s="39" t="str">
        <f>IFERROR(ödev!BG17*100/ödev!$I17,"")</f>
        <v/>
      </c>
      <c r="AW421" s="39" t="str">
        <f>IFERROR(ödev!BH17*100/ödev!$I17,"")</f>
        <v/>
      </c>
      <c r="AX421" s="39" t="str">
        <f>IFERROR(ödev!BI17*100/ödev!$I17,"")</f>
        <v/>
      </c>
      <c r="AY421" s="39" t="str">
        <f>IFERROR(ödev!BJ17*100/ödev!$I17,"")</f>
        <v/>
      </c>
      <c r="AZ421" s="39" t="str">
        <f>IFERROR(ödev!BK17*100/ödev!$I17,"")</f>
        <v/>
      </c>
      <c r="BA421" s="39" t="str">
        <f>IFERROR(ödev!BL17*100/ödev!$I17,"")</f>
        <v/>
      </c>
      <c r="BB421" s="39" t="str">
        <f>IFERROR(ödev!BM17*100/ödev!$I17,"")</f>
        <v/>
      </c>
      <c r="BC421" s="39" t="str">
        <f>IFERROR(ödev!BN17*100/ödev!$I17,"")</f>
        <v/>
      </c>
      <c r="BD421" s="39" t="str">
        <f>IFERROR(ödev!BO17*100/ödev!$I17,"")</f>
        <v/>
      </c>
      <c r="BE421" s="39" t="str">
        <f>IFERROR(ödev!BP17*100/ödev!$I17,"")</f>
        <v/>
      </c>
      <c r="BF421" s="39" t="str">
        <f>IFERROR(ödev!BQ17*100/ödev!$I17,"")</f>
        <v/>
      </c>
      <c r="BG421" s="39" t="str">
        <f>IFERROR(ödev!BR17*100/ödev!$I17,"")</f>
        <v/>
      </c>
      <c r="BH421" s="39" t="str">
        <f>IFERROR(ödev!BS17*100/ödev!$I17,"")</f>
        <v/>
      </c>
      <c r="BI421" s="39" t="str">
        <f>IFERROR(ödev!BT17*100/ödev!$I17,"")</f>
        <v/>
      </c>
      <c r="BJ421" s="39" t="str">
        <f>IFERROR(ödev!BU17*100/ödev!$I17,"")</f>
        <v/>
      </c>
      <c r="BK421" s="39" t="str">
        <f>IFERROR(ödev!BV17*100/ödev!$I17,"")</f>
        <v/>
      </c>
      <c r="BL421" s="39" t="str">
        <f>IFERROR(ödev!BW17*100/ödev!$I17,"")</f>
        <v/>
      </c>
      <c r="BM421" s="39" t="str">
        <f>IFERROR(ödev!BX17*100/ödev!$I17,"")</f>
        <v/>
      </c>
      <c r="BN421" s="39" t="str">
        <f>IFERROR(ödev!BY17*100/ödev!$I17,"")</f>
        <v/>
      </c>
      <c r="BO421" s="39" t="str">
        <f>IFERROR(ödev!BZ17*100/ödev!$I17,"")</f>
        <v/>
      </c>
      <c r="BP421" s="39" t="str">
        <f>IFERROR(ödev!CA17*100/ödev!$I17,"")</f>
        <v/>
      </c>
      <c r="BQ421" s="39" t="str">
        <f>IFERROR(ödev!CB17*100/ödev!$I17,"")</f>
        <v/>
      </c>
      <c r="BR421" s="39" t="str">
        <f>IFERROR(ödev!CC17*100/ödev!$I17,"")</f>
        <v/>
      </c>
      <c r="BS421" s="39" t="str">
        <f>IFERROR(ödev!CD17*100/ödev!$I17,"")</f>
        <v/>
      </c>
      <c r="BT421" s="39" t="str">
        <f>IFERROR(ödev!CE17*100/ödev!$I17,"")</f>
        <v/>
      </c>
      <c r="BU421" s="39" t="str">
        <f>IFERROR(ödev!CF17*100/ödev!$I17,"")</f>
        <v/>
      </c>
      <c r="BV421" s="39" t="str">
        <f>IFERROR(ödev!CG17*100/ödev!$I17,"")</f>
        <v/>
      </c>
      <c r="BW421" s="39" t="str">
        <f>IFERROR(ödev!CH17*100/ödev!$I17,"")</f>
        <v/>
      </c>
      <c r="BX421" s="39" t="str">
        <f>IFERROR(ödev!CI17*100/ödev!$I17,"")</f>
        <v/>
      </c>
      <c r="BY421" s="39" t="str">
        <f>IFERROR(ödev!CJ17*100/ödev!$I17,"")</f>
        <v/>
      </c>
      <c r="BZ421" s="39" t="str">
        <f>IFERROR(ödev!CK17*100/ödev!$I17,"")</f>
        <v/>
      </c>
      <c r="CA421" s="39" t="str">
        <f>IFERROR(ödev!CL17*100/ödev!$I17,"")</f>
        <v/>
      </c>
      <c r="CB421" s="39" t="str">
        <f>IFERROR(ödev!CM17*100/ödev!$I17,"")</f>
        <v/>
      </c>
      <c r="CC421" s="39" t="str">
        <f>IFERROR(ödev!CN17*100/ödev!$I17,"")</f>
        <v/>
      </c>
      <c r="CD421" s="39" t="str">
        <f>IFERROR(ödev!CO17*100/ödev!$I17,"")</f>
        <v/>
      </c>
      <c r="CE421" s="39" t="str">
        <f>IFERROR(ödev!CP17*100/ödev!$I17,"")</f>
        <v/>
      </c>
      <c r="CF421" s="39" t="str">
        <f>IFERROR(ödev!CQ17*100/ödev!$I17,"")</f>
        <v/>
      </c>
      <c r="CG421" s="39" t="str">
        <f>IFERROR(ödev!CR17*100/ödev!$I17,"")</f>
        <v/>
      </c>
      <c r="CH421" s="39" t="str">
        <f>IFERROR(ödev!CS17*100/ödev!$I17,"")</f>
        <v/>
      </c>
      <c r="CI421" s="39" t="str">
        <f>IFERROR(ödev!CT17*100/ödev!$I17,"")</f>
        <v/>
      </c>
      <c r="CJ421" s="39" t="str">
        <f>IFERROR(ödev!CU17*100/ödev!$I17,"")</f>
        <v/>
      </c>
      <c r="CK421" s="39" t="str">
        <f>IFERROR(ödev!CV17*100/ödev!$I17,"")</f>
        <v/>
      </c>
      <c r="CL421" s="39" t="str">
        <f>IFERROR(ödev!CW17*100/ödev!$I17,"")</f>
        <v/>
      </c>
      <c r="CM421" s="39" t="str">
        <f>IFERROR(ödev!CX17*100/ödev!$I17,"")</f>
        <v/>
      </c>
      <c r="CN421" s="39" t="str">
        <f>IFERROR(ödev!CY17*100/ödev!$I17,"")</f>
        <v/>
      </c>
      <c r="CO421" s="39" t="str">
        <f>IFERROR(ödev!CZ17*100/ödev!$I17,"")</f>
        <v/>
      </c>
      <c r="CP421" s="39" t="str">
        <f>IFERROR(ödev!DA17*100/ödev!$I17,"")</f>
        <v/>
      </c>
      <c r="CQ421" s="39" t="str">
        <f>IFERROR(ödev!DB17*100/ödev!$I17,"")</f>
        <v/>
      </c>
      <c r="CR421" s="39" t="str">
        <f>IFERROR(ödev!DC17*100/ödev!$I17,"")</f>
        <v/>
      </c>
      <c r="CS421" s="39" t="str">
        <f>IFERROR(ödev!DD17*100/ödev!$I17,"")</f>
        <v/>
      </c>
      <c r="CT421" s="39" t="str">
        <f>IFERROR(ödev!DE17*100/ödev!$I17,"")</f>
        <v/>
      </c>
      <c r="CU421" s="39" t="str">
        <f>IFERROR(ödev!DF17*100/ödev!$I17,"")</f>
        <v/>
      </c>
      <c r="CV421" s="39" t="str">
        <f>IFERROR(ödev!DG17*100/ödev!$I17,"")</f>
        <v/>
      </c>
      <c r="CW421" s="36" t="str">
        <f>IFERROR(SUM(A421:CV421)/ödev!$DH$103,"")</f>
        <v/>
      </c>
      <c r="CX421" s="14" t="str">
        <f>IF(COUNTA(ödev!A17),ödev!A17,"")</f>
        <v/>
      </c>
      <c r="CY421" s="14" t="str">
        <f>IF(COUNTA(ödev!B17),ödev!B17,"")</f>
        <v/>
      </c>
      <c r="CZ421" s="14" t="str">
        <f>IF(COUNTA(ödev!C17),ödev!C17,"")</f>
        <v/>
      </c>
      <c r="DA421" s="14" t="str">
        <f>IF(COUNTA(ödev!D17),ödev!D17,"")</f>
        <v/>
      </c>
      <c r="DB421" s="14" t="str">
        <f>IF(COUNTA(ödev!E17),ödev!E17,"")</f>
        <v/>
      </c>
      <c r="DC421" s="14" t="str">
        <f>IF(COUNTA(ödev!F17),ödev!F17,"")</f>
        <v/>
      </c>
      <c r="DD421" s="14" t="str">
        <f>IF(COUNTA(ödev!G17),ödev!G17,"")</f>
        <v/>
      </c>
      <c r="DE421" s="14" t="str">
        <f>IF(COUNTA(ödev!H17),ödev!H17,"")</f>
        <v/>
      </c>
    </row>
    <row r="422" spans="1:109" x14ac:dyDescent="0.2">
      <c r="A422" s="39" t="str">
        <f>IFERROR(ödev!L18*100/ödev!$I18,"")</f>
        <v/>
      </c>
      <c r="B422" s="39" t="str">
        <f>IFERROR(ödev!M18*100/ödev!$I18,"")</f>
        <v/>
      </c>
      <c r="C422" s="39" t="str">
        <f>IFERROR(ödev!N18*100/ödev!$I18,"")</f>
        <v/>
      </c>
      <c r="D422" s="39" t="str">
        <f>IFERROR(ödev!O18*100/ödev!$I18,"")</f>
        <v/>
      </c>
      <c r="E422" s="39" t="str">
        <f>IFERROR(ödev!P18*100/ödev!$I18,"")</f>
        <v/>
      </c>
      <c r="F422" s="39" t="str">
        <f>IFERROR(ödev!Q18*100/ödev!$I18,"")</f>
        <v/>
      </c>
      <c r="G422" s="39" t="str">
        <f>IFERROR(ödev!R18*100/ödev!$I18,"")</f>
        <v/>
      </c>
      <c r="H422" s="39" t="str">
        <f>IFERROR(ödev!S18*100/ödev!$I18,"")</f>
        <v/>
      </c>
      <c r="I422" s="39" t="str">
        <f>IFERROR(ödev!T18*100/ödev!$I18,"")</f>
        <v/>
      </c>
      <c r="J422" s="39" t="str">
        <f>IFERROR(ödev!U18*100/ödev!$I18,"")</f>
        <v/>
      </c>
      <c r="K422" s="39" t="str">
        <f>IFERROR(ödev!V18*100/ödev!$I18,"")</f>
        <v/>
      </c>
      <c r="L422" s="39" t="str">
        <f>IFERROR(ödev!W18*100/ödev!$I18,"")</f>
        <v/>
      </c>
      <c r="M422" s="39" t="str">
        <f>IFERROR(ödev!X18*100/ödev!$I18,"")</f>
        <v/>
      </c>
      <c r="N422" s="39" t="str">
        <f>IFERROR(ödev!Y18*100/ödev!$I18,"")</f>
        <v/>
      </c>
      <c r="O422" s="39" t="str">
        <f>IFERROR(ödev!Z18*100/ödev!$I18,"")</f>
        <v/>
      </c>
      <c r="P422" s="39" t="str">
        <f>IFERROR(ödev!AA18*100/ödev!$I18,"")</f>
        <v/>
      </c>
      <c r="Q422" s="39" t="str">
        <f>IFERROR(ödev!AB18*100/ödev!$I18,"")</f>
        <v/>
      </c>
      <c r="R422" s="39" t="str">
        <f>IFERROR(ödev!AC18*100/ödev!$I18,"")</f>
        <v/>
      </c>
      <c r="S422" s="39" t="str">
        <f>IFERROR(ödev!AD18*100/ödev!$I18,"")</f>
        <v/>
      </c>
      <c r="T422" s="39" t="str">
        <f>IFERROR(ödev!AE18*100/ödev!$I18,"")</f>
        <v/>
      </c>
      <c r="U422" s="39" t="str">
        <f>IFERROR(ödev!AF18*100/ödev!$I18,"")</f>
        <v/>
      </c>
      <c r="V422" s="39" t="str">
        <f>IFERROR(ödev!AG18*100/ödev!$I18,"")</f>
        <v/>
      </c>
      <c r="W422" s="39" t="str">
        <f>IFERROR(ödev!AH18*100/ödev!$I18,"")</f>
        <v/>
      </c>
      <c r="X422" s="39" t="str">
        <f>IFERROR(ödev!AI18*100/ödev!$I18,"")</f>
        <v/>
      </c>
      <c r="Y422" s="39" t="str">
        <f>IFERROR(ödev!AJ18*100/ödev!$I18,"")</f>
        <v/>
      </c>
      <c r="Z422" s="39" t="str">
        <f>IFERROR(ödev!AK18*100/ödev!$I18,"")</f>
        <v/>
      </c>
      <c r="AA422" s="39" t="str">
        <f>IFERROR(ödev!AL18*100/ödev!$I18,"")</f>
        <v/>
      </c>
      <c r="AB422" s="39" t="str">
        <f>IFERROR(ödev!AM18*100/ödev!$I18,"")</f>
        <v/>
      </c>
      <c r="AC422" s="39" t="str">
        <f>IFERROR(ödev!AN18*100/ödev!$I18,"")</f>
        <v/>
      </c>
      <c r="AD422" s="39" t="str">
        <f>IFERROR(ödev!AO18*100/ödev!$I18,"")</f>
        <v/>
      </c>
      <c r="AE422" s="39" t="str">
        <f>IFERROR(ödev!AP18*100/ödev!$I18,"")</f>
        <v/>
      </c>
      <c r="AF422" s="39" t="str">
        <f>IFERROR(ödev!AQ18*100/ödev!$I18,"")</f>
        <v/>
      </c>
      <c r="AG422" s="39" t="str">
        <f>IFERROR(ödev!AR18*100/ödev!$I18,"")</f>
        <v/>
      </c>
      <c r="AH422" s="39" t="str">
        <f>IFERROR(ödev!AS18*100/ödev!$I18,"")</f>
        <v/>
      </c>
      <c r="AI422" s="39" t="str">
        <f>IFERROR(ödev!AT18*100/ödev!$I18,"")</f>
        <v/>
      </c>
      <c r="AJ422" s="39" t="str">
        <f>IFERROR(ödev!AU18*100/ödev!$I18,"")</f>
        <v/>
      </c>
      <c r="AK422" s="39" t="str">
        <f>IFERROR(ödev!AV18*100/ödev!$I18,"")</f>
        <v/>
      </c>
      <c r="AL422" s="39" t="str">
        <f>IFERROR(ödev!AW18*100/ödev!$I18,"")</f>
        <v/>
      </c>
      <c r="AM422" s="39" t="str">
        <f>IFERROR(ödev!AX18*100/ödev!$I18,"")</f>
        <v/>
      </c>
      <c r="AN422" s="39" t="str">
        <f>IFERROR(ödev!AY18*100/ödev!$I18,"")</f>
        <v/>
      </c>
      <c r="AO422" s="39" t="str">
        <f>IFERROR(ödev!AZ18*100/ödev!$I18,"")</f>
        <v/>
      </c>
      <c r="AP422" s="39" t="str">
        <f>IFERROR(ödev!BA18*100/ödev!$I18,"")</f>
        <v/>
      </c>
      <c r="AQ422" s="39" t="str">
        <f>IFERROR(ödev!BB18*100/ödev!$I18,"")</f>
        <v/>
      </c>
      <c r="AR422" s="39" t="str">
        <f>IFERROR(ödev!BC18*100/ödev!$I18,"")</f>
        <v/>
      </c>
      <c r="AS422" s="39" t="str">
        <f>IFERROR(ödev!BD18*100/ödev!$I18,"")</f>
        <v/>
      </c>
      <c r="AT422" s="39" t="str">
        <f>IFERROR(ödev!BE18*100/ödev!$I18,"")</f>
        <v/>
      </c>
      <c r="AU422" s="39" t="str">
        <f>IFERROR(ödev!BF18*100/ödev!$I18,"")</f>
        <v/>
      </c>
      <c r="AV422" s="39" t="str">
        <f>IFERROR(ödev!BG18*100/ödev!$I18,"")</f>
        <v/>
      </c>
      <c r="AW422" s="39" t="str">
        <f>IFERROR(ödev!BH18*100/ödev!$I18,"")</f>
        <v/>
      </c>
      <c r="AX422" s="39" t="str">
        <f>IFERROR(ödev!BI18*100/ödev!$I18,"")</f>
        <v/>
      </c>
      <c r="AY422" s="39" t="str">
        <f>IFERROR(ödev!BJ18*100/ödev!$I18,"")</f>
        <v/>
      </c>
      <c r="AZ422" s="39" t="str">
        <f>IFERROR(ödev!BK18*100/ödev!$I18,"")</f>
        <v/>
      </c>
      <c r="BA422" s="39" t="str">
        <f>IFERROR(ödev!BL18*100/ödev!$I18,"")</f>
        <v/>
      </c>
      <c r="BB422" s="39" t="str">
        <f>IFERROR(ödev!BM18*100/ödev!$I18,"")</f>
        <v/>
      </c>
      <c r="BC422" s="39" t="str">
        <f>IFERROR(ödev!BN18*100/ödev!$I18,"")</f>
        <v/>
      </c>
      <c r="BD422" s="39" t="str">
        <f>IFERROR(ödev!BO18*100/ödev!$I18,"")</f>
        <v/>
      </c>
      <c r="BE422" s="39" t="str">
        <f>IFERROR(ödev!BP18*100/ödev!$I18,"")</f>
        <v/>
      </c>
      <c r="BF422" s="39" t="str">
        <f>IFERROR(ödev!BQ18*100/ödev!$I18,"")</f>
        <v/>
      </c>
      <c r="BG422" s="39" t="str">
        <f>IFERROR(ödev!BR18*100/ödev!$I18,"")</f>
        <v/>
      </c>
      <c r="BH422" s="39" t="str">
        <f>IFERROR(ödev!BS18*100/ödev!$I18,"")</f>
        <v/>
      </c>
      <c r="BI422" s="39" t="str">
        <f>IFERROR(ödev!BT18*100/ödev!$I18,"")</f>
        <v/>
      </c>
      <c r="BJ422" s="39" t="str">
        <f>IFERROR(ödev!BU18*100/ödev!$I18,"")</f>
        <v/>
      </c>
      <c r="BK422" s="39" t="str">
        <f>IFERROR(ödev!BV18*100/ödev!$I18,"")</f>
        <v/>
      </c>
      <c r="BL422" s="39" t="str">
        <f>IFERROR(ödev!BW18*100/ödev!$I18,"")</f>
        <v/>
      </c>
      <c r="BM422" s="39" t="str">
        <f>IFERROR(ödev!BX18*100/ödev!$I18,"")</f>
        <v/>
      </c>
      <c r="BN422" s="39" t="str">
        <f>IFERROR(ödev!BY18*100/ödev!$I18,"")</f>
        <v/>
      </c>
      <c r="BO422" s="39" t="str">
        <f>IFERROR(ödev!BZ18*100/ödev!$I18,"")</f>
        <v/>
      </c>
      <c r="BP422" s="39" t="str">
        <f>IFERROR(ödev!CA18*100/ödev!$I18,"")</f>
        <v/>
      </c>
      <c r="BQ422" s="39" t="str">
        <f>IFERROR(ödev!CB18*100/ödev!$I18,"")</f>
        <v/>
      </c>
      <c r="BR422" s="39" t="str">
        <f>IFERROR(ödev!CC18*100/ödev!$I18,"")</f>
        <v/>
      </c>
      <c r="BS422" s="39" t="str">
        <f>IFERROR(ödev!CD18*100/ödev!$I18,"")</f>
        <v/>
      </c>
      <c r="BT422" s="39" t="str">
        <f>IFERROR(ödev!CE18*100/ödev!$I18,"")</f>
        <v/>
      </c>
      <c r="BU422" s="39" t="str">
        <f>IFERROR(ödev!CF18*100/ödev!$I18,"")</f>
        <v/>
      </c>
      <c r="BV422" s="39" t="str">
        <f>IFERROR(ödev!CG18*100/ödev!$I18,"")</f>
        <v/>
      </c>
      <c r="BW422" s="39" t="str">
        <f>IFERROR(ödev!CH18*100/ödev!$I18,"")</f>
        <v/>
      </c>
      <c r="BX422" s="39" t="str">
        <f>IFERROR(ödev!CI18*100/ödev!$I18,"")</f>
        <v/>
      </c>
      <c r="BY422" s="39" t="str">
        <f>IFERROR(ödev!CJ18*100/ödev!$I18,"")</f>
        <v/>
      </c>
      <c r="BZ422" s="39" t="str">
        <f>IFERROR(ödev!CK18*100/ödev!$I18,"")</f>
        <v/>
      </c>
      <c r="CA422" s="39" t="str">
        <f>IFERROR(ödev!CL18*100/ödev!$I18,"")</f>
        <v/>
      </c>
      <c r="CB422" s="39" t="str">
        <f>IFERROR(ödev!CM18*100/ödev!$I18,"")</f>
        <v/>
      </c>
      <c r="CC422" s="39" t="str">
        <f>IFERROR(ödev!CN18*100/ödev!$I18,"")</f>
        <v/>
      </c>
      <c r="CD422" s="39" t="str">
        <f>IFERROR(ödev!CO18*100/ödev!$I18,"")</f>
        <v/>
      </c>
      <c r="CE422" s="39" t="str">
        <f>IFERROR(ödev!CP18*100/ödev!$I18,"")</f>
        <v/>
      </c>
      <c r="CF422" s="39" t="str">
        <f>IFERROR(ödev!CQ18*100/ödev!$I18,"")</f>
        <v/>
      </c>
      <c r="CG422" s="39" t="str">
        <f>IFERROR(ödev!CR18*100/ödev!$I18,"")</f>
        <v/>
      </c>
      <c r="CH422" s="39" t="str">
        <f>IFERROR(ödev!CS18*100/ödev!$I18,"")</f>
        <v/>
      </c>
      <c r="CI422" s="39" t="str">
        <f>IFERROR(ödev!CT18*100/ödev!$I18,"")</f>
        <v/>
      </c>
      <c r="CJ422" s="39" t="str">
        <f>IFERROR(ödev!CU18*100/ödev!$I18,"")</f>
        <v/>
      </c>
      <c r="CK422" s="39" t="str">
        <f>IFERROR(ödev!CV18*100/ödev!$I18,"")</f>
        <v/>
      </c>
      <c r="CL422" s="39" t="str">
        <f>IFERROR(ödev!CW18*100/ödev!$I18,"")</f>
        <v/>
      </c>
      <c r="CM422" s="39" t="str">
        <f>IFERROR(ödev!CX18*100/ödev!$I18,"")</f>
        <v/>
      </c>
      <c r="CN422" s="39" t="str">
        <f>IFERROR(ödev!CY18*100/ödev!$I18,"")</f>
        <v/>
      </c>
      <c r="CO422" s="39" t="str">
        <f>IFERROR(ödev!CZ18*100/ödev!$I18,"")</f>
        <v/>
      </c>
      <c r="CP422" s="39" t="str">
        <f>IFERROR(ödev!DA18*100/ödev!$I18,"")</f>
        <v/>
      </c>
      <c r="CQ422" s="39" t="str">
        <f>IFERROR(ödev!DB18*100/ödev!$I18,"")</f>
        <v/>
      </c>
      <c r="CR422" s="39" t="str">
        <f>IFERROR(ödev!DC18*100/ödev!$I18,"")</f>
        <v/>
      </c>
      <c r="CS422" s="39" t="str">
        <f>IFERROR(ödev!DD18*100/ödev!$I18,"")</f>
        <v/>
      </c>
      <c r="CT422" s="39" t="str">
        <f>IFERROR(ödev!DE18*100/ödev!$I18,"")</f>
        <v/>
      </c>
      <c r="CU422" s="39" t="str">
        <f>IFERROR(ödev!DF18*100/ödev!$I18,"")</f>
        <v/>
      </c>
      <c r="CV422" s="39" t="str">
        <f>IFERROR(ödev!DG18*100/ödev!$I18,"")</f>
        <v/>
      </c>
      <c r="CW422" s="36" t="str">
        <f>IFERROR(SUM(A422:CV422)/ödev!$DH$103,"")</f>
        <v/>
      </c>
      <c r="CX422" s="14" t="str">
        <f>IF(COUNTA(ödev!A18),ödev!A18,"")</f>
        <v/>
      </c>
      <c r="CY422" s="14" t="str">
        <f>IF(COUNTA(ödev!B18),ödev!B18,"")</f>
        <v/>
      </c>
      <c r="CZ422" s="14" t="str">
        <f>IF(COUNTA(ödev!C18),ödev!C18,"")</f>
        <v/>
      </c>
      <c r="DA422" s="14" t="str">
        <f>IF(COUNTA(ödev!D18),ödev!D18,"")</f>
        <v/>
      </c>
      <c r="DB422" s="14" t="str">
        <f>IF(COUNTA(ödev!E18),ödev!E18,"")</f>
        <v/>
      </c>
      <c r="DC422" s="14" t="str">
        <f>IF(COUNTA(ödev!F18),ödev!F18,"")</f>
        <v/>
      </c>
      <c r="DD422" s="14" t="str">
        <f>IF(COUNTA(ödev!G18),ödev!G18,"")</f>
        <v/>
      </c>
      <c r="DE422" s="14" t="str">
        <f>IF(COUNTA(ödev!H18),ödev!H18,"")</f>
        <v/>
      </c>
    </row>
    <row r="423" spans="1:109" x14ac:dyDescent="0.2">
      <c r="A423" s="39" t="str">
        <f>IFERROR(ödev!L19*100/ödev!$I19,"")</f>
        <v/>
      </c>
      <c r="B423" s="39" t="str">
        <f>IFERROR(ödev!M19*100/ödev!$I19,"")</f>
        <v/>
      </c>
      <c r="C423" s="39" t="str">
        <f>IFERROR(ödev!N19*100/ödev!$I19,"")</f>
        <v/>
      </c>
      <c r="D423" s="39" t="str">
        <f>IFERROR(ödev!O19*100/ödev!$I19,"")</f>
        <v/>
      </c>
      <c r="E423" s="39" t="str">
        <f>IFERROR(ödev!P19*100/ödev!$I19,"")</f>
        <v/>
      </c>
      <c r="F423" s="39" t="str">
        <f>IFERROR(ödev!Q19*100/ödev!$I19,"")</f>
        <v/>
      </c>
      <c r="G423" s="39" t="str">
        <f>IFERROR(ödev!R19*100/ödev!$I19,"")</f>
        <v/>
      </c>
      <c r="H423" s="39" t="str">
        <f>IFERROR(ödev!S19*100/ödev!$I19,"")</f>
        <v/>
      </c>
      <c r="I423" s="39" t="str">
        <f>IFERROR(ödev!T19*100/ödev!$I19,"")</f>
        <v/>
      </c>
      <c r="J423" s="39" t="str">
        <f>IFERROR(ödev!U19*100/ödev!$I19,"")</f>
        <v/>
      </c>
      <c r="K423" s="39" t="str">
        <f>IFERROR(ödev!V19*100/ödev!$I19,"")</f>
        <v/>
      </c>
      <c r="L423" s="39" t="str">
        <f>IFERROR(ödev!W19*100/ödev!$I19,"")</f>
        <v/>
      </c>
      <c r="M423" s="39" t="str">
        <f>IFERROR(ödev!X19*100/ödev!$I19,"")</f>
        <v/>
      </c>
      <c r="N423" s="39" t="str">
        <f>IFERROR(ödev!Y19*100/ödev!$I19,"")</f>
        <v/>
      </c>
      <c r="O423" s="39" t="str">
        <f>IFERROR(ödev!Z19*100/ödev!$I19,"")</f>
        <v/>
      </c>
      <c r="P423" s="39" t="str">
        <f>IFERROR(ödev!AA19*100/ödev!$I19,"")</f>
        <v/>
      </c>
      <c r="Q423" s="39" t="str">
        <f>IFERROR(ödev!AB19*100/ödev!$I19,"")</f>
        <v/>
      </c>
      <c r="R423" s="39" t="str">
        <f>IFERROR(ödev!AC19*100/ödev!$I19,"")</f>
        <v/>
      </c>
      <c r="S423" s="39" t="str">
        <f>IFERROR(ödev!AD19*100/ödev!$I19,"")</f>
        <v/>
      </c>
      <c r="T423" s="39" t="str">
        <f>IFERROR(ödev!AE19*100/ödev!$I19,"")</f>
        <v/>
      </c>
      <c r="U423" s="39" t="str">
        <f>IFERROR(ödev!AF19*100/ödev!$I19,"")</f>
        <v/>
      </c>
      <c r="V423" s="39" t="str">
        <f>IFERROR(ödev!AG19*100/ödev!$I19,"")</f>
        <v/>
      </c>
      <c r="W423" s="39" t="str">
        <f>IFERROR(ödev!AH19*100/ödev!$I19,"")</f>
        <v/>
      </c>
      <c r="X423" s="39" t="str">
        <f>IFERROR(ödev!AI19*100/ödev!$I19,"")</f>
        <v/>
      </c>
      <c r="Y423" s="39" t="str">
        <f>IFERROR(ödev!AJ19*100/ödev!$I19,"")</f>
        <v/>
      </c>
      <c r="Z423" s="39" t="str">
        <f>IFERROR(ödev!AK19*100/ödev!$I19,"")</f>
        <v/>
      </c>
      <c r="AA423" s="39" t="str">
        <f>IFERROR(ödev!AL19*100/ödev!$I19,"")</f>
        <v/>
      </c>
      <c r="AB423" s="39" t="str">
        <f>IFERROR(ödev!AM19*100/ödev!$I19,"")</f>
        <v/>
      </c>
      <c r="AC423" s="39" t="str">
        <f>IFERROR(ödev!AN19*100/ödev!$I19,"")</f>
        <v/>
      </c>
      <c r="AD423" s="39" t="str">
        <f>IFERROR(ödev!AO19*100/ödev!$I19,"")</f>
        <v/>
      </c>
      <c r="AE423" s="39" t="str">
        <f>IFERROR(ödev!AP19*100/ödev!$I19,"")</f>
        <v/>
      </c>
      <c r="AF423" s="39" t="str">
        <f>IFERROR(ödev!AQ19*100/ödev!$I19,"")</f>
        <v/>
      </c>
      <c r="AG423" s="39" t="str">
        <f>IFERROR(ödev!AR19*100/ödev!$I19,"")</f>
        <v/>
      </c>
      <c r="AH423" s="39" t="str">
        <f>IFERROR(ödev!AS19*100/ödev!$I19,"")</f>
        <v/>
      </c>
      <c r="AI423" s="39" t="str">
        <f>IFERROR(ödev!AT19*100/ödev!$I19,"")</f>
        <v/>
      </c>
      <c r="AJ423" s="39" t="str">
        <f>IFERROR(ödev!AU19*100/ödev!$I19,"")</f>
        <v/>
      </c>
      <c r="AK423" s="39" t="str">
        <f>IFERROR(ödev!AV19*100/ödev!$I19,"")</f>
        <v/>
      </c>
      <c r="AL423" s="39" t="str">
        <f>IFERROR(ödev!AW19*100/ödev!$I19,"")</f>
        <v/>
      </c>
      <c r="AM423" s="39" t="str">
        <f>IFERROR(ödev!AX19*100/ödev!$I19,"")</f>
        <v/>
      </c>
      <c r="AN423" s="39" t="str">
        <f>IFERROR(ödev!AY19*100/ödev!$I19,"")</f>
        <v/>
      </c>
      <c r="AO423" s="39" t="str">
        <f>IFERROR(ödev!AZ19*100/ödev!$I19,"")</f>
        <v/>
      </c>
      <c r="AP423" s="39" t="str">
        <f>IFERROR(ödev!BA19*100/ödev!$I19,"")</f>
        <v/>
      </c>
      <c r="AQ423" s="39" t="str">
        <f>IFERROR(ödev!BB19*100/ödev!$I19,"")</f>
        <v/>
      </c>
      <c r="AR423" s="39" t="str">
        <f>IFERROR(ödev!BC19*100/ödev!$I19,"")</f>
        <v/>
      </c>
      <c r="AS423" s="39" t="str">
        <f>IFERROR(ödev!BD19*100/ödev!$I19,"")</f>
        <v/>
      </c>
      <c r="AT423" s="39" t="str">
        <f>IFERROR(ödev!BE19*100/ödev!$I19,"")</f>
        <v/>
      </c>
      <c r="AU423" s="39" t="str">
        <f>IFERROR(ödev!BF19*100/ödev!$I19,"")</f>
        <v/>
      </c>
      <c r="AV423" s="39" t="str">
        <f>IFERROR(ödev!BG19*100/ödev!$I19,"")</f>
        <v/>
      </c>
      <c r="AW423" s="39" t="str">
        <f>IFERROR(ödev!BH19*100/ödev!$I19,"")</f>
        <v/>
      </c>
      <c r="AX423" s="39" t="str">
        <f>IFERROR(ödev!BI19*100/ödev!$I19,"")</f>
        <v/>
      </c>
      <c r="AY423" s="39" t="str">
        <f>IFERROR(ödev!BJ19*100/ödev!$I19,"")</f>
        <v/>
      </c>
      <c r="AZ423" s="39" t="str">
        <f>IFERROR(ödev!BK19*100/ödev!$I19,"")</f>
        <v/>
      </c>
      <c r="BA423" s="39" t="str">
        <f>IFERROR(ödev!BL19*100/ödev!$I19,"")</f>
        <v/>
      </c>
      <c r="BB423" s="39" t="str">
        <f>IFERROR(ödev!BM19*100/ödev!$I19,"")</f>
        <v/>
      </c>
      <c r="BC423" s="39" t="str">
        <f>IFERROR(ödev!BN19*100/ödev!$I19,"")</f>
        <v/>
      </c>
      <c r="BD423" s="39" t="str">
        <f>IFERROR(ödev!BO19*100/ödev!$I19,"")</f>
        <v/>
      </c>
      <c r="BE423" s="39" t="str">
        <f>IFERROR(ödev!BP19*100/ödev!$I19,"")</f>
        <v/>
      </c>
      <c r="BF423" s="39" t="str">
        <f>IFERROR(ödev!BQ19*100/ödev!$I19,"")</f>
        <v/>
      </c>
      <c r="BG423" s="39" t="str">
        <f>IFERROR(ödev!BR19*100/ödev!$I19,"")</f>
        <v/>
      </c>
      <c r="BH423" s="39" t="str">
        <f>IFERROR(ödev!BS19*100/ödev!$I19,"")</f>
        <v/>
      </c>
      <c r="BI423" s="39" t="str">
        <f>IFERROR(ödev!BT19*100/ödev!$I19,"")</f>
        <v/>
      </c>
      <c r="BJ423" s="39" t="str">
        <f>IFERROR(ödev!BU19*100/ödev!$I19,"")</f>
        <v/>
      </c>
      <c r="BK423" s="39" t="str">
        <f>IFERROR(ödev!BV19*100/ödev!$I19,"")</f>
        <v/>
      </c>
      <c r="BL423" s="39" t="str">
        <f>IFERROR(ödev!BW19*100/ödev!$I19,"")</f>
        <v/>
      </c>
      <c r="BM423" s="39" t="str">
        <f>IFERROR(ödev!BX19*100/ödev!$I19,"")</f>
        <v/>
      </c>
      <c r="BN423" s="39" t="str">
        <f>IFERROR(ödev!BY19*100/ödev!$I19,"")</f>
        <v/>
      </c>
      <c r="BO423" s="39" t="str">
        <f>IFERROR(ödev!BZ19*100/ödev!$I19,"")</f>
        <v/>
      </c>
      <c r="BP423" s="39" t="str">
        <f>IFERROR(ödev!CA19*100/ödev!$I19,"")</f>
        <v/>
      </c>
      <c r="BQ423" s="39" t="str">
        <f>IFERROR(ödev!CB19*100/ödev!$I19,"")</f>
        <v/>
      </c>
      <c r="BR423" s="39" t="str">
        <f>IFERROR(ödev!CC19*100/ödev!$I19,"")</f>
        <v/>
      </c>
      <c r="BS423" s="39" t="str">
        <f>IFERROR(ödev!CD19*100/ödev!$I19,"")</f>
        <v/>
      </c>
      <c r="BT423" s="39" t="str">
        <f>IFERROR(ödev!CE19*100/ödev!$I19,"")</f>
        <v/>
      </c>
      <c r="BU423" s="39" t="str">
        <f>IFERROR(ödev!CF19*100/ödev!$I19,"")</f>
        <v/>
      </c>
      <c r="BV423" s="39" t="str">
        <f>IFERROR(ödev!CG19*100/ödev!$I19,"")</f>
        <v/>
      </c>
      <c r="BW423" s="39" t="str">
        <f>IFERROR(ödev!CH19*100/ödev!$I19,"")</f>
        <v/>
      </c>
      <c r="BX423" s="39" t="str">
        <f>IFERROR(ödev!CI19*100/ödev!$I19,"")</f>
        <v/>
      </c>
      <c r="BY423" s="39" t="str">
        <f>IFERROR(ödev!CJ19*100/ödev!$I19,"")</f>
        <v/>
      </c>
      <c r="BZ423" s="39" t="str">
        <f>IFERROR(ödev!CK19*100/ödev!$I19,"")</f>
        <v/>
      </c>
      <c r="CA423" s="39" t="str">
        <f>IFERROR(ödev!CL19*100/ödev!$I19,"")</f>
        <v/>
      </c>
      <c r="CB423" s="39" t="str">
        <f>IFERROR(ödev!CM19*100/ödev!$I19,"")</f>
        <v/>
      </c>
      <c r="CC423" s="39" t="str">
        <f>IFERROR(ödev!CN19*100/ödev!$I19,"")</f>
        <v/>
      </c>
      <c r="CD423" s="39" t="str">
        <f>IFERROR(ödev!CO19*100/ödev!$I19,"")</f>
        <v/>
      </c>
      <c r="CE423" s="39" t="str">
        <f>IFERROR(ödev!CP19*100/ödev!$I19,"")</f>
        <v/>
      </c>
      <c r="CF423" s="39" t="str">
        <f>IFERROR(ödev!CQ19*100/ödev!$I19,"")</f>
        <v/>
      </c>
      <c r="CG423" s="39" t="str">
        <f>IFERROR(ödev!CR19*100/ödev!$I19,"")</f>
        <v/>
      </c>
      <c r="CH423" s="39" t="str">
        <f>IFERROR(ödev!CS19*100/ödev!$I19,"")</f>
        <v/>
      </c>
      <c r="CI423" s="39" t="str">
        <f>IFERROR(ödev!CT19*100/ödev!$I19,"")</f>
        <v/>
      </c>
      <c r="CJ423" s="39" t="str">
        <f>IFERROR(ödev!CU19*100/ödev!$I19,"")</f>
        <v/>
      </c>
      <c r="CK423" s="39" t="str">
        <f>IFERROR(ödev!CV19*100/ödev!$I19,"")</f>
        <v/>
      </c>
      <c r="CL423" s="39" t="str">
        <f>IFERROR(ödev!CW19*100/ödev!$I19,"")</f>
        <v/>
      </c>
      <c r="CM423" s="39" t="str">
        <f>IFERROR(ödev!CX19*100/ödev!$I19,"")</f>
        <v/>
      </c>
      <c r="CN423" s="39" t="str">
        <f>IFERROR(ödev!CY19*100/ödev!$I19,"")</f>
        <v/>
      </c>
      <c r="CO423" s="39" t="str">
        <f>IFERROR(ödev!CZ19*100/ödev!$I19,"")</f>
        <v/>
      </c>
      <c r="CP423" s="39" t="str">
        <f>IFERROR(ödev!DA19*100/ödev!$I19,"")</f>
        <v/>
      </c>
      <c r="CQ423" s="39" t="str">
        <f>IFERROR(ödev!DB19*100/ödev!$I19,"")</f>
        <v/>
      </c>
      <c r="CR423" s="39" t="str">
        <f>IFERROR(ödev!DC19*100/ödev!$I19,"")</f>
        <v/>
      </c>
      <c r="CS423" s="39" t="str">
        <f>IFERROR(ödev!DD19*100/ödev!$I19,"")</f>
        <v/>
      </c>
      <c r="CT423" s="39" t="str">
        <f>IFERROR(ödev!DE19*100/ödev!$I19,"")</f>
        <v/>
      </c>
      <c r="CU423" s="39" t="str">
        <f>IFERROR(ödev!DF19*100/ödev!$I19,"")</f>
        <v/>
      </c>
      <c r="CV423" s="39" t="str">
        <f>IFERROR(ödev!DG19*100/ödev!$I19,"")</f>
        <v/>
      </c>
      <c r="CW423" s="36" t="str">
        <f>IFERROR(SUM(A423:CV423)/ödev!$DH$103,"")</f>
        <v/>
      </c>
      <c r="CX423" s="14" t="str">
        <f>IF(COUNTA(ödev!A19),ödev!A19,"")</f>
        <v/>
      </c>
      <c r="CY423" s="14" t="str">
        <f>IF(COUNTA(ödev!B19),ödev!B19,"")</f>
        <v/>
      </c>
      <c r="CZ423" s="14" t="str">
        <f>IF(COUNTA(ödev!C19),ödev!C19,"")</f>
        <v/>
      </c>
      <c r="DA423" s="14" t="str">
        <f>IF(COUNTA(ödev!D19),ödev!D19,"")</f>
        <v/>
      </c>
      <c r="DB423" s="14" t="str">
        <f>IF(COUNTA(ödev!E19),ödev!E19,"")</f>
        <v/>
      </c>
      <c r="DC423" s="14" t="str">
        <f>IF(COUNTA(ödev!F19),ödev!F19,"")</f>
        <v/>
      </c>
      <c r="DD423" s="14" t="str">
        <f>IF(COUNTA(ödev!G19),ödev!G19,"")</f>
        <v/>
      </c>
      <c r="DE423" s="14" t="str">
        <f>IF(COUNTA(ödev!H19),ödev!H19,"")</f>
        <v/>
      </c>
    </row>
    <row r="424" spans="1:109" x14ac:dyDescent="0.2">
      <c r="A424" s="39" t="str">
        <f>IFERROR(ödev!L20*100/ödev!$I20,"")</f>
        <v/>
      </c>
      <c r="B424" s="39" t="str">
        <f>IFERROR(ödev!M20*100/ödev!$I20,"")</f>
        <v/>
      </c>
      <c r="C424" s="39" t="str">
        <f>IFERROR(ödev!N20*100/ödev!$I20,"")</f>
        <v/>
      </c>
      <c r="D424" s="39" t="str">
        <f>IFERROR(ödev!O20*100/ödev!$I20,"")</f>
        <v/>
      </c>
      <c r="E424" s="39" t="str">
        <f>IFERROR(ödev!P20*100/ödev!$I20,"")</f>
        <v/>
      </c>
      <c r="F424" s="39" t="str">
        <f>IFERROR(ödev!Q20*100/ödev!$I20,"")</f>
        <v/>
      </c>
      <c r="G424" s="39" t="str">
        <f>IFERROR(ödev!R20*100/ödev!$I20,"")</f>
        <v/>
      </c>
      <c r="H424" s="39" t="str">
        <f>IFERROR(ödev!S20*100/ödev!$I20,"")</f>
        <v/>
      </c>
      <c r="I424" s="39" t="str">
        <f>IFERROR(ödev!T20*100/ödev!$I20,"")</f>
        <v/>
      </c>
      <c r="J424" s="39" t="str">
        <f>IFERROR(ödev!U20*100/ödev!$I20,"")</f>
        <v/>
      </c>
      <c r="K424" s="39" t="str">
        <f>IFERROR(ödev!V20*100/ödev!$I20,"")</f>
        <v/>
      </c>
      <c r="L424" s="39" t="str">
        <f>IFERROR(ödev!W20*100/ödev!$I20,"")</f>
        <v/>
      </c>
      <c r="M424" s="39" t="str">
        <f>IFERROR(ödev!X20*100/ödev!$I20,"")</f>
        <v/>
      </c>
      <c r="N424" s="39" t="str">
        <f>IFERROR(ödev!Y20*100/ödev!$I20,"")</f>
        <v/>
      </c>
      <c r="O424" s="39" t="str">
        <f>IFERROR(ödev!Z20*100/ödev!$I20,"")</f>
        <v/>
      </c>
      <c r="P424" s="39" t="str">
        <f>IFERROR(ödev!AA20*100/ödev!$I20,"")</f>
        <v/>
      </c>
      <c r="Q424" s="39" t="str">
        <f>IFERROR(ödev!AB20*100/ödev!$I20,"")</f>
        <v/>
      </c>
      <c r="R424" s="39" t="str">
        <f>IFERROR(ödev!AC20*100/ödev!$I20,"")</f>
        <v/>
      </c>
      <c r="S424" s="39" t="str">
        <f>IFERROR(ödev!AD20*100/ödev!$I20,"")</f>
        <v/>
      </c>
      <c r="T424" s="39" t="str">
        <f>IFERROR(ödev!AE20*100/ödev!$I20,"")</f>
        <v/>
      </c>
      <c r="U424" s="39" t="str">
        <f>IFERROR(ödev!AF20*100/ödev!$I20,"")</f>
        <v/>
      </c>
      <c r="V424" s="39" t="str">
        <f>IFERROR(ödev!AG20*100/ödev!$I20,"")</f>
        <v/>
      </c>
      <c r="W424" s="39" t="str">
        <f>IFERROR(ödev!AH20*100/ödev!$I20,"")</f>
        <v/>
      </c>
      <c r="X424" s="39" t="str">
        <f>IFERROR(ödev!AI20*100/ödev!$I20,"")</f>
        <v/>
      </c>
      <c r="Y424" s="39" t="str">
        <f>IFERROR(ödev!AJ20*100/ödev!$I20,"")</f>
        <v/>
      </c>
      <c r="Z424" s="39" t="str">
        <f>IFERROR(ödev!AK20*100/ödev!$I20,"")</f>
        <v/>
      </c>
      <c r="AA424" s="39" t="str">
        <f>IFERROR(ödev!AL20*100/ödev!$I20,"")</f>
        <v/>
      </c>
      <c r="AB424" s="39" t="str">
        <f>IFERROR(ödev!AM20*100/ödev!$I20,"")</f>
        <v/>
      </c>
      <c r="AC424" s="39" t="str">
        <f>IFERROR(ödev!AN20*100/ödev!$I20,"")</f>
        <v/>
      </c>
      <c r="AD424" s="39" t="str">
        <f>IFERROR(ödev!AO20*100/ödev!$I20,"")</f>
        <v/>
      </c>
      <c r="AE424" s="39" t="str">
        <f>IFERROR(ödev!AP20*100/ödev!$I20,"")</f>
        <v/>
      </c>
      <c r="AF424" s="39" t="str">
        <f>IFERROR(ödev!AQ20*100/ödev!$I20,"")</f>
        <v/>
      </c>
      <c r="AG424" s="39" t="str">
        <f>IFERROR(ödev!AR20*100/ödev!$I20,"")</f>
        <v/>
      </c>
      <c r="AH424" s="39" t="str">
        <f>IFERROR(ödev!AS20*100/ödev!$I20,"")</f>
        <v/>
      </c>
      <c r="AI424" s="39" t="str">
        <f>IFERROR(ödev!AT20*100/ödev!$I20,"")</f>
        <v/>
      </c>
      <c r="AJ424" s="39" t="str">
        <f>IFERROR(ödev!AU20*100/ödev!$I20,"")</f>
        <v/>
      </c>
      <c r="AK424" s="39" t="str">
        <f>IFERROR(ödev!AV20*100/ödev!$I20,"")</f>
        <v/>
      </c>
      <c r="AL424" s="39" t="str">
        <f>IFERROR(ödev!AW20*100/ödev!$I20,"")</f>
        <v/>
      </c>
      <c r="AM424" s="39" t="str">
        <f>IFERROR(ödev!AX20*100/ödev!$I20,"")</f>
        <v/>
      </c>
      <c r="AN424" s="39" t="str">
        <f>IFERROR(ödev!AY20*100/ödev!$I20,"")</f>
        <v/>
      </c>
      <c r="AO424" s="39" t="str">
        <f>IFERROR(ödev!AZ20*100/ödev!$I20,"")</f>
        <v/>
      </c>
      <c r="AP424" s="39" t="str">
        <f>IFERROR(ödev!BA20*100/ödev!$I20,"")</f>
        <v/>
      </c>
      <c r="AQ424" s="39" t="str">
        <f>IFERROR(ödev!BB20*100/ödev!$I20,"")</f>
        <v/>
      </c>
      <c r="AR424" s="39" t="str">
        <f>IFERROR(ödev!BC20*100/ödev!$I20,"")</f>
        <v/>
      </c>
      <c r="AS424" s="39" t="str">
        <f>IFERROR(ödev!BD20*100/ödev!$I20,"")</f>
        <v/>
      </c>
      <c r="AT424" s="39" t="str">
        <f>IFERROR(ödev!BE20*100/ödev!$I20,"")</f>
        <v/>
      </c>
      <c r="AU424" s="39" t="str">
        <f>IFERROR(ödev!BF20*100/ödev!$I20,"")</f>
        <v/>
      </c>
      <c r="AV424" s="39" t="str">
        <f>IFERROR(ödev!BG20*100/ödev!$I20,"")</f>
        <v/>
      </c>
      <c r="AW424" s="39" t="str">
        <f>IFERROR(ödev!BH20*100/ödev!$I20,"")</f>
        <v/>
      </c>
      <c r="AX424" s="39" t="str">
        <f>IFERROR(ödev!BI20*100/ödev!$I20,"")</f>
        <v/>
      </c>
      <c r="AY424" s="39" t="str">
        <f>IFERROR(ödev!BJ20*100/ödev!$I20,"")</f>
        <v/>
      </c>
      <c r="AZ424" s="39" t="str">
        <f>IFERROR(ödev!BK20*100/ödev!$I20,"")</f>
        <v/>
      </c>
      <c r="BA424" s="39" t="str">
        <f>IFERROR(ödev!BL20*100/ödev!$I20,"")</f>
        <v/>
      </c>
      <c r="BB424" s="39" t="str">
        <f>IFERROR(ödev!BM20*100/ödev!$I20,"")</f>
        <v/>
      </c>
      <c r="BC424" s="39" t="str">
        <f>IFERROR(ödev!BN20*100/ödev!$I20,"")</f>
        <v/>
      </c>
      <c r="BD424" s="39" t="str">
        <f>IFERROR(ödev!BO20*100/ödev!$I20,"")</f>
        <v/>
      </c>
      <c r="BE424" s="39" t="str">
        <f>IFERROR(ödev!BP20*100/ödev!$I20,"")</f>
        <v/>
      </c>
      <c r="BF424" s="39" t="str">
        <f>IFERROR(ödev!BQ20*100/ödev!$I20,"")</f>
        <v/>
      </c>
      <c r="BG424" s="39" t="str">
        <f>IFERROR(ödev!BR20*100/ödev!$I20,"")</f>
        <v/>
      </c>
      <c r="BH424" s="39" t="str">
        <f>IFERROR(ödev!BS20*100/ödev!$I20,"")</f>
        <v/>
      </c>
      <c r="BI424" s="39" t="str">
        <f>IFERROR(ödev!BT20*100/ödev!$I20,"")</f>
        <v/>
      </c>
      <c r="BJ424" s="39" t="str">
        <f>IFERROR(ödev!BU20*100/ödev!$I20,"")</f>
        <v/>
      </c>
      <c r="BK424" s="39" t="str">
        <f>IFERROR(ödev!BV20*100/ödev!$I20,"")</f>
        <v/>
      </c>
      <c r="BL424" s="39" t="str">
        <f>IFERROR(ödev!BW20*100/ödev!$I20,"")</f>
        <v/>
      </c>
      <c r="BM424" s="39" t="str">
        <f>IFERROR(ödev!BX20*100/ödev!$I20,"")</f>
        <v/>
      </c>
      <c r="BN424" s="39" t="str">
        <f>IFERROR(ödev!BY20*100/ödev!$I20,"")</f>
        <v/>
      </c>
      <c r="BO424" s="39" t="str">
        <f>IFERROR(ödev!BZ20*100/ödev!$I20,"")</f>
        <v/>
      </c>
      <c r="BP424" s="39" t="str">
        <f>IFERROR(ödev!CA20*100/ödev!$I20,"")</f>
        <v/>
      </c>
      <c r="BQ424" s="39" t="str">
        <f>IFERROR(ödev!CB20*100/ödev!$I20,"")</f>
        <v/>
      </c>
      <c r="BR424" s="39" t="str">
        <f>IFERROR(ödev!CC20*100/ödev!$I20,"")</f>
        <v/>
      </c>
      <c r="BS424" s="39" t="str">
        <f>IFERROR(ödev!CD20*100/ödev!$I20,"")</f>
        <v/>
      </c>
      <c r="BT424" s="39" t="str">
        <f>IFERROR(ödev!CE20*100/ödev!$I20,"")</f>
        <v/>
      </c>
      <c r="BU424" s="39" t="str">
        <f>IFERROR(ödev!CF20*100/ödev!$I20,"")</f>
        <v/>
      </c>
      <c r="BV424" s="39" t="str">
        <f>IFERROR(ödev!CG20*100/ödev!$I20,"")</f>
        <v/>
      </c>
      <c r="BW424" s="39" t="str">
        <f>IFERROR(ödev!CH20*100/ödev!$I20,"")</f>
        <v/>
      </c>
      <c r="BX424" s="39" t="str">
        <f>IFERROR(ödev!CI20*100/ödev!$I20,"")</f>
        <v/>
      </c>
      <c r="BY424" s="39" t="str">
        <f>IFERROR(ödev!CJ20*100/ödev!$I20,"")</f>
        <v/>
      </c>
      <c r="BZ424" s="39" t="str">
        <f>IFERROR(ödev!CK20*100/ödev!$I20,"")</f>
        <v/>
      </c>
      <c r="CA424" s="39" t="str">
        <f>IFERROR(ödev!CL20*100/ödev!$I20,"")</f>
        <v/>
      </c>
      <c r="CB424" s="39" t="str">
        <f>IFERROR(ödev!CM20*100/ödev!$I20,"")</f>
        <v/>
      </c>
      <c r="CC424" s="39" t="str">
        <f>IFERROR(ödev!CN20*100/ödev!$I20,"")</f>
        <v/>
      </c>
      <c r="CD424" s="39" t="str">
        <f>IFERROR(ödev!CO20*100/ödev!$I20,"")</f>
        <v/>
      </c>
      <c r="CE424" s="39" t="str">
        <f>IFERROR(ödev!CP20*100/ödev!$I20,"")</f>
        <v/>
      </c>
      <c r="CF424" s="39" t="str">
        <f>IFERROR(ödev!CQ20*100/ödev!$I20,"")</f>
        <v/>
      </c>
      <c r="CG424" s="39" t="str">
        <f>IFERROR(ödev!CR20*100/ödev!$I20,"")</f>
        <v/>
      </c>
      <c r="CH424" s="39" t="str">
        <f>IFERROR(ödev!CS20*100/ödev!$I20,"")</f>
        <v/>
      </c>
      <c r="CI424" s="39" t="str">
        <f>IFERROR(ödev!CT20*100/ödev!$I20,"")</f>
        <v/>
      </c>
      <c r="CJ424" s="39" t="str">
        <f>IFERROR(ödev!CU20*100/ödev!$I20,"")</f>
        <v/>
      </c>
      <c r="CK424" s="39" t="str">
        <f>IFERROR(ödev!CV20*100/ödev!$I20,"")</f>
        <v/>
      </c>
      <c r="CL424" s="39" t="str">
        <f>IFERROR(ödev!CW20*100/ödev!$I20,"")</f>
        <v/>
      </c>
      <c r="CM424" s="39" t="str">
        <f>IFERROR(ödev!CX20*100/ödev!$I20,"")</f>
        <v/>
      </c>
      <c r="CN424" s="39" t="str">
        <f>IFERROR(ödev!CY20*100/ödev!$I20,"")</f>
        <v/>
      </c>
      <c r="CO424" s="39" t="str">
        <f>IFERROR(ödev!CZ20*100/ödev!$I20,"")</f>
        <v/>
      </c>
      <c r="CP424" s="39" t="str">
        <f>IFERROR(ödev!DA20*100/ödev!$I20,"")</f>
        <v/>
      </c>
      <c r="CQ424" s="39" t="str">
        <f>IFERROR(ödev!DB20*100/ödev!$I20,"")</f>
        <v/>
      </c>
      <c r="CR424" s="39" t="str">
        <f>IFERROR(ödev!DC20*100/ödev!$I20,"")</f>
        <v/>
      </c>
      <c r="CS424" s="39" t="str">
        <f>IFERROR(ödev!DD20*100/ödev!$I20,"")</f>
        <v/>
      </c>
      <c r="CT424" s="39" t="str">
        <f>IFERROR(ödev!DE20*100/ödev!$I20,"")</f>
        <v/>
      </c>
      <c r="CU424" s="39" t="str">
        <f>IFERROR(ödev!DF20*100/ödev!$I20,"")</f>
        <v/>
      </c>
      <c r="CV424" s="39" t="str">
        <f>IFERROR(ödev!DG20*100/ödev!$I20,"")</f>
        <v/>
      </c>
      <c r="CW424" s="36" t="str">
        <f>IFERROR(SUM(A424:CV424)/ödev!$DH$103,"")</f>
        <v/>
      </c>
      <c r="CX424" s="14" t="str">
        <f>IF(COUNTA(ödev!A20),ödev!A20,"")</f>
        <v/>
      </c>
      <c r="CY424" s="14" t="str">
        <f>IF(COUNTA(ödev!B20),ödev!B20,"")</f>
        <v/>
      </c>
      <c r="CZ424" s="14" t="str">
        <f>IF(COUNTA(ödev!C20),ödev!C20,"")</f>
        <v/>
      </c>
      <c r="DA424" s="14" t="str">
        <f>IF(COUNTA(ödev!D20),ödev!D20,"")</f>
        <v/>
      </c>
      <c r="DB424" s="14" t="str">
        <f>IF(COUNTA(ödev!E20),ödev!E20,"")</f>
        <v/>
      </c>
      <c r="DC424" s="14" t="str">
        <f>IF(COUNTA(ödev!F20),ödev!F20,"")</f>
        <v/>
      </c>
      <c r="DD424" s="14" t="str">
        <f>IF(COUNTA(ödev!G20),ödev!G20,"")</f>
        <v/>
      </c>
      <c r="DE424" s="14" t="str">
        <f>IF(COUNTA(ödev!H20),ödev!H20,"")</f>
        <v/>
      </c>
    </row>
    <row r="425" spans="1:109" x14ac:dyDescent="0.2">
      <c r="A425" s="39" t="str">
        <f>IFERROR(ödev!L21*100/ödev!$I21,"")</f>
        <v/>
      </c>
      <c r="B425" s="39" t="str">
        <f>IFERROR(ödev!M21*100/ödev!$I21,"")</f>
        <v/>
      </c>
      <c r="C425" s="39" t="str">
        <f>IFERROR(ödev!N21*100/ödev!$I21,"")</f>
        <v/>
      </c>
      <c r="D425" s="39" t="str">
        <f>IFERROR(ödev!O21*100/ödev!$I21,"")</f>
        <v/>
      </c>
      <c r="E425" s="39" t="str">
        <f>IFERROR(ödev!P21*100/ödev!$I21,"")</f>
        <v/>
      </c>
      <c r="F425" s="39" t="str">
        <f>IFERROR(ödev!Q21*100/ödev!$I21,"")</f>
        <v/>
      </c>
      <c r="G425" s="39" t="str">
        <f>IFERROR(ödev!R21*100/ödev!$I21,"")</f>
        <v/>
      </c>
      <c r="H425" s="39" t="str">
        <f>IFERROR(ödev!S21*100/ödev!$I21,"")</f>
        <v/>
      </c>
      <c r="I425" s="39" t="str">
        <f>IFERROR(ödev!T21*100/ödev!$I21,"")</f>
        <v/>
      </c>
      <c r="J425" s="39" t="str">
        <f>IFERROR(ödev!U21*100/ödev!$I21,"")</f>
        <v/>
      </c>
      <c r="K425" s="39" t="str">
        <f>IFERROR(ödev!V21*100/ödev!$I21,"")</f>
        <v/>
      </c>
      <c r="L425" s="39" t="str">
        <f>IFERROR(ödev!W21*100/ödev!$I21,"")</f>
        <v/>
      </c>
      <c r="M425" s="39" t="str">
        <f>IFERROR(ödev!X21*100/ödev!$I21,"")</f>
        <v/>
      </c>
      <c r="N425" s="39" t="str">
        <f>IFERROR(ödev!Y21*100/ödev!$I21,"")</f>
        <v/>
      </c>
      <c r="O425" s="39" t="str">
        <f>IFERROR(ödev!Z21*100/ödev!$I21,"")</f>
        <v/>
      </c>
      <c r="P425" s="39" t="str">
        <f>IFERROR(ödev!AA21*100/ödev!$I21,"")</f>
        <v/>
      </c>
      <c r="Q425" s="39" t="str">
        <f>IFERROR(ödev!AB21*100/ödev!$I21,"")</f>
        <v/>
      </c>
      <c r="R425" s="39" t="str">
        <f>IFERROR(ödev!AC21*100/ödev!$I21,"")</f>
        <v/>
      </c>
      <c r="S425" s="39" t="str">
        <f>IFERROR(ödev!AD21*100/ödev!$I21,"")</f>
        <v/>
      </c>
      <c r="T425" s="39" t="str">
        <f>IFERROR(ödev!AE21*100/ödev!$I21,"")</f>
        <v/>
      </c>
      <c r="U425" s="39" t="str">
        <f>IFERROR(ödev!AF21*100/ödev!$I21,"")</f>
        <v/>
      </c>
      <c r="V425" s="39" t="str">
        <f>IFERROR(ödev!AG21*100/ödev!$I21,"")</f>
        <v/>
      </c>
      <c r="W425" s="39" t="str">
        <f>IFERROR(ödev!AH21*100/ödev!$I21,"")</f>
        <v/>
      </c>
      <c r="X425" s="39" t="str">
        <f>IFERROR(ödev!AI21*100/ödev!$I21,"")</f>
        <v/>
      </c>
      <c r="Y425" s="39" t="str">
        <f>IFERROR(ödev!AJ21*100/ödev!$I21,"")</f>
        <v/>
      </c>
      <c r="Z425" s="39" t="str">
        <f>IFERROR(ödev!AK21*100/ödev!$I21,"")</f>
        <v/>
      </c>
      <c r="AA425" s="39" t="str">
        <f>IFERROR(ödev!AL21*100/ödev!$I21,"")</f>
        <v/>
      </c>
      <c r="AB425" s="39" t="str">
        <f>IFERROR(ödev!AM21*100/ödev!$I21,"")</f>
        <v/>
      </c>
      <c r="AC425" s="39" t="str">
        <f>IFERROR(ödev!AN21*100/ödev!$I21,"")</f>
        <v/>
      </c>
      <c r="AD425" s="39" t="str">
        <f>IFERROR(ödev!AO21*100/ödev!$I21,"")</f>
        <v/>
      </c>
      <c r="AE425" s="39" t="str">
        <f>IFERROR(ödev!AP21*100/ödev!$I21,"")</f>
        <v/>
      </c>
      <c r="AF425" s="39" t="str">
        <f>IFERROR(ödev!AQ21*100/ödev!$I21,"")</f>
        <v/>
      </c>
      <c r="AG425" s="39" t="str">
        <f>IFERROR(ödev!AR21*100/ödev!$I21,"")</f>
        <v/>
      </c>
      <c r="AH425" s="39" t="str">
        <f>IFERROR(ödev!AS21*100/ödev!$I21,"")</f>
        <v/>
      </c>
      <c r="AI425" s="39" t="str">
        <f>IFERROR(ödev!AT21*100/ödev!$I21,"")</f>
        <v/>
      </c>
      <c r="AJ425" s="39" t="str">
        <f>IFERROR(ödev!AU21*100/ödev!$I21,"")</f>
        <v/>
      </c>
      <c r="AK425" s="39" t="str">
        <f>IFERROR(ödev!AV21*100/ödev!$I21,"")</f>
        <v/>
      </c>
      <c r="AL425" s="39" t="str">
        <f>IFERROR(ödev!AW21*100/ödev!$I21,"")</f>
        <v/>
      </c>
      <c r="AM425" s="39" t="str">
        <f>IFERROR(ödev!AX21*100/ödev!$I21,"")</f>
        <v/>
      </c>
      <c r="AN425" s="39" t="str">
        <f>IFERROR(ödev!AY21*100/ödev!$I21,"")</f>
        <v/>
      </c>
      <c r="AO425" s="39" t="str">
        <f>IFERROR(ödev!AZ21*100/ödev!$I21,"")</f>
        <v/>
      </c>
      <c r="AP425" s="39" t="str">
        <f>IFERROR(ödev!BA21*100/ödev!$I21,"")</f>
        <v/>
      </c>
      <c r="AQ425" s="39" t="str">
        <f>IFERROR(ödev!BB21*100/ödev!$I21,"")</f>
        <v/>
      </c>
      <c r="AR425" s="39" t="str">
        <f>IFERROR(ödev!BC21*100/ödev!$I21,"")</f>
        <v/>
      </c>
      <c r="AS425" s="39" t="str">
        <f>IFERROR(ödev!BD21*100/ödev!$I21,"")</f>
        <v/>
      </c>
      <c r="AT425" s="39" t="str">
        <f>IFERROR(ödev!BE21*100/ödev!$I21,"")</f>
        <v/>
      </c>
      <c r="AU425" s="39" t="str">
        <f>IFERROR(ödev!BF21*100/ödev!$I21,"")</f>
        <v/>
      </c>
      <c r="AV425" s="39" t="str">
        <f>IFERROR(ödev!BG21*100/ödev!$I21,"")</f>
        <v/>
      </c>
      <c r="AW425" s="39" t="str">
        <f>IFERROR(ödev!BH21*100/ödev!$I21,"")</f>
        <v/>
      </c>
      <c r="AX425" s="39" t="str">
        <f>IFERROR(ödev!BI21*100/ödev!$I21,"")</f>
        <v/>
      </c>
      <c r="AY425" s="39" t="str">
        <f>IFERROR(ödev!BJ21*100/ödev!$I21,"")</f>
        <v/>
      </c>
      <c r="AZ425" s="39" t="str">
        <f>IFERROR(ödev!BK21*100/ödev!$I21,"")</f>
        <v/>
      </c>
      <c r="BA425" s="39" t="str">
        <f>IFERROR(ödev!BL21*100/ödev!$I21,"")</f>
        <v/>
      </c>
      <c r="BB425" s="39" t="str">
        <f>IFERROR(ödev!BM21*100/ödev!$I21,"")</f>
        <v/>
      </c>
      <c r="BC425" s="39" t="str">
        <f>IFERROR(ödev!BN21*100/ödev!$I21,"")</f>
        <v/>
      </c>
      <c r="BD425" s="39" t="str">
        <f>IFERROR(ödev!BO21*100/ödev!$I21,"")</f>
        <v/>
      </c>
      <c r="BE425" s="39" t="str">
        <f>IFERROR(ödev!BP21*100/ödev!$I21,"")</f>
        <v/>
      </c>
      <c r="BF425" s="39" t="str">
        <f>IFERROR(ödev!BQ21*100/ödev!$I21,"")</f>
        <v/>
      </c>
      <c r="BG425" s="39" t="str">
        <f>IFERROR(ödev!BR21*100/ödev!$I21,"")</f>
        <v/>
      </c>
      <c r="BH425" s="39" t="str">
        <f>IFERROR(ödev!BS21*100/ödev!$I21,"")</f>
        <v/>
      </c>
      <c r="BI425" s="39" t="str">
        <f>IFERROR(ödev!BT21*100/ödev!$I21,"")</f>
        <v/>
      </c>
      <c r="BJ425" s="39" t="str">
        <f>IFERROR(ödev!BU21*100/ödev!$I21,"")</f>
        <v/>
      </c>
      <c r="BK425" s="39" t="str">
        <f>IFERROR(ödev!BV21*100/ödev!$I21,"")</f>
        <v/>
      </c>
      <c r="BL425" s="39" t="str">
        <f>IFERROR(ödev!BW21*100/ödev!$I21,"")</f>
        <v/>
      </c>
      <c r="BM425" s="39" t="str">
        <f>IFERROR(ödev!BX21*100/ödev!$I21,"")</f>
        <v/>
      </c>
      <c r="BN425" s="39" t="str">
        <f>IFERROR(ödev!BY21*100/ödev!$I21,"")</f>
        <v/>
      </c>
      <c r="BO425" s="39" t="str">
        <f>IFERROR(ödev!BZ21*100/ödev!$I21,"")</f>
        <v/>
      </c>
      <c r="BP425" s="39" t="str">
        <f>IFERROR(ödev!CA21*100/ödev!$I21,"")</f>
        <v/>
      </c>
      <c r="BQ425" s="39" t="str">
        <f>IFERROR(ödev!CB21*100/ödev!$I21,"")</f>
        <v/>
      </c>
      <c r="BR425" s="39" t="str">
        <f>IFERROR(ödev!CC21*100/ödev!$I21,"")</f>
        <v/>
      </c>
      <c r="BS425" s="39" t="str">
        <f>IFERROR(ödev!CD21*100/ödev!$I21,"")</f>
        <v/>
      </c>
      <c r="BT425" s="39" t="str">
        <f>IFERROR(ödev!CE21*100/ödev!$I21,"")</f>
        <v/>
      </c>
      <c r="BU425" s="39" t="str">
        <f>IFERROR(ödev!CF21*100/ödev!$I21,"")</f>
        <v/>
      </c>
      <c r="BV425" s="39" t="str">
        <f>IFERROR(ödev!CG21*100/ödev!$I21,"")</f>
        <v/>
      </c>
      <c r="BW425" s="39" t="str">
        <f>IFERROR(ödev!CH21*100/ödev!$I21,"")</f>
        <v/>
      </c>
      <c r="BX425" s="39" t="str">
        <f>IFERROR(ödev!CI21*100/ödev!$I21,"")</f>
        <v/>
      </c>
      <c r="BY425" s="39" t="str">
        <f>IFERROR(ödev!CJ21*100/ödev!$I21,"")</f>
        <v/>
      </c>
      <c r="BZ425" s="39" t="str">
        <f>IFERROR(ödev!CK21*100/ödev!$I21,"")</f>
        <v/>
      </c>
      <c r="CA425" s="39" t="str">
        <f>IFERROR(ödev!CL21*100/ödev!$I21,"")</f>
        <v/>
      </c>
      <c r="CB425" s="39" t="str">
        <f>IFERROR(ödev!CM21*100/ödev!$I21,"")</f>
        <v/>
      </c>
      <c r="CC425" s="39" t="str">
        <f>IFERROR(ödev!CN21*100/ödev!$I21,"")</f>
        <v/>
      </c>
      <c r="CD425" s="39" t="str">
        <f>IFERROR(ödev!CO21*100/ödev!$I21,"")</f>
        <v/>
      </c>
      <c r="CE425" s="39" t="str">
        <f>IFERROR(ödev!CP21*100/ödev!$I21,"")</f>
        <v/>
      </c>
      <c r="CF425" s="39" t="str">
        <f>IFERROR(ödev!CQ21*100/ödev!$I21,"")</f>
        <v/>
      </c>
      <c r="CG425" s="39" t="str">
        <f>IFERROR(ödev!CR21*100/ödev!$I21,"")</f>
        <v/>
      </c>
      <c r="CH425" s="39" t="str">
        <f>IFERROR(ödev!CS21*100/ödev!$I21,"")</f>
        <v/>
      </c>
      <c r="CI425" s="39" t="str">
        <f>IFERROR(ödev!CT21*100/ödev!$I21,"")</f>
        <v/>
      </c>
      <c r="CJ425" s="39" t="str">
        <f>IFERROR(ödev!CU21*100/ödev!$I21,"")</f>
        <v/>
      </c>
      <c r="CK425" s="39" t="str">
        <f>IFERROR(ödev!CV21*100/ödev!$I21,"")</f>
        <v/>
      </c>
      <c r="CL425" s="39" t="str">
        <f>IFERROR(ödev!CW21*100/ödev!$I21,"")</f>
        <v/>
      </c>
      <c r="CM425" s="39" t="str">
        <f>IFERROR(ödev!CX21*100/ödev!$I21,"")</f>
        <v/>
      </c>
      <c r="CN425" s="39" t="str">
        <f>IFERROR(ödev!CY21*100/ödev!$I21,"")</f>
        <v/>
      </c>
      <c r="CO425" s="39" t="str">
        <f>IFERROR(ödev!CZ21*100/ödev!$I21,"")</f>
        <v/>
      </c>
      <c r="CP425" s="39" t="str">
        <f>IFERROR(ödev!DA21*100/ödev!$I21,"")</f>
        <v/>
      </c>
      <c r="CQ425" s="39" t="str">
        <f>IFERROR(ödev!DB21*100/ödev!$I21,"")</f>
        <v/>
      </c>
      <c r="CR425" s="39" t="str">
        <f>IFERROR(ödev!DC21*100/ödev!$I21,"")</f>
        <v/>
      </c>
      <c r="CS425" s="39" t="str">
        <f>IFERROR(ödev!DD21*100/ödev!$I21,"")</f>
        <v/>
      </c>
      <c r="CT425" s="39" t="str">
        <f>IFERROR(ödev!DE21*100/ödev!$I21,"")</f>
        <v/>
      </c>
      <c r="CU425" s="39" t="str">
        <f>IFERROR(ödev!DF21*100/ödev!$I21,"")</f>
        <v/>
      </c>
      <c r="CV425" s="39" t="str">
        <f>IFERROR(ödev!DG21*100/ödev!$I21,"")</f>
        <v/>
      </c>
      <c r="CW425" s="36" t="str">
        <f>IFERROR(SUM(A425:CV425)/ödev!$DH$103,"")</f>
        <v/>
      </c>
      <c r="CX425" s="14" t="str">
        <f>IF(COUNTA(ödev!A21),ödev!A21,"")</f>
        <v/>
      </c>
      <c r="CY425" s="14" t="str">
        <f>IF(COUNTA(ödev!B21),ödev!B21,"")</f>
        <v/>
      </c>
      <c r="CZ425" s="14" t="str">
        <f>IF(COUNTA(ödev!C21),ödev!C21,"")</f>
        <v/>
      </c>
      <c r="DA425" s="14" t="str">
        <f>IF(COUNTA(ödev!D21),ödev!D21,"")</f>
        <v/>
      </c>
      <c r="DB425" s="14" t="str">
        <f>IF(COUNTA(ödev!E21),ödev!E21,"")</f>
        <v/>
      </c>
      <c r="DC425" s="14" t="str">
        <f>IF(COUNTA(ödev!F21),ödev!F21,"")</f>
        <v/>
      </c>
      <c r="DD425" s="14" t="str">
        <f>IF(COUNTA(ödev!G21),ödev!G21,"")</f>
        <v/>
      </c>
      <c r="DE425" s="14" t="str">
        <f>IF(COUNTA(ödev!H21),ödev!H21,"")</f>
        <v/>
      </c>
    </row>
    <row r="426" spans="1:109" x14ac:dyDescent="0.2">
      <c r="A426" s="39" t="str">
        <f>IFERROR(ödev!L22*100/ödev!$I22,"")</f>
        <v/>
      </c>
      <c r="B426" s="39" t="str">
        <f>IFERROR(ödev!M22*100/ödev!$I22,"")</f>
        <v/>
      </c>
      <c r="C426" s="39" t="str">
        <f>IFERROR(ödev!N22*100/ödev!$I22,"")</f>
        <v/>
      </c>
      <c r="D426" s="39" t="str">
        <f>IFERROR(ödev!O22*100/ödev!$I22,"")</f>
        <v/>
      </c>
      <c r="E426" s="39" t="str">
        <f>IFERROR(ödev!P22*100/ödev!$I22,"")</f>
        <v/>
      </c>
      <c r="F426" s="39" t="str">
        <f>IFERROR(ödev!Q22*100/ödev!$I22,"")</f>
        <v/>
      </c>
      <c r="G426" s="39" t="str">
        <f>IFERROR(ödev!R22*100/ödev!$I22,"")</f>
        <v/>
      </c>
      <c r="H426" s="39" t="str">
        <f>IFERROR(ödev!S22*100/ödev!$I22,"")</f>
        <v/>
      </c>
      <c r="I426" s="39" t="str">
        <f>IFERROR(ödev!T22*100/ödev!$I22,"")</f>
        <v/>
      </c>
      <c r="J426" s="39" t="str">
        <f>IFERROR(ödev!U22*100/ödev!$I22,"")</f>
        <v/>
      </c>
      <c r="K426" s="39" t="str">
        <f>IFERROR(ödev!V22*100/ödev!$I22,"")</f>
        <v/>
      </c>
      <c r="L426" s="39" t="str">
        <f>IFERROR(ödev!W22*100/ödev!$I22,"")</f>
        <v/>
      </c>
      <c r="M426" s="39" t="str">
        <f>IFERROR(ödev!X22*100/ödev!$I22,"")</f>
        <v/>
      </c>
      <c r="N426" s="39" t="str">
        <f>IFERROR(ödev!Y22*100/ödev!$I22,"")</f>
        <v/>
      </c>
      <c r="O426" s="39" t="str">
        <f>IFERROR(ödev!Z22*100/ödev!$I22,"")</f>
        <v/>
      </c>
      <c r="P426" s="39" t="str">
        <f>IFERROR(ödev!AA22*100/ödev!$I22,"")</f>
        <v/>
      </c>
      <c r="Q426" s="39" t="str">
        <f>IFERROR(ödev!AB22*100/ödev!$I22,"")</f>
        <v/>
      </c>
      <c r="R426" s="39" t="str">
        <f>IFERROR(ödev!AC22*100/ödev!$I22,"")</f>
        <v/>
      </c>
      <c r="S426" s="39" t="str">
        <f>IFERROR(ödev!AD22*100/ödev!$I22,"")</f>
        <v/>
      </c>
      <c r="T426" s="39" t="str">
        <f>IFERROR(ödev!AE22*100/ödev!$I22,"")</f>
        <v/>
      </c>
      <c r="U426" s="39" t="str">
        <f>IFERROR(ödev!AF22*100/ödev!$I22,"")</f>
        <v/>
      </c>
      <c r="V426" s="39" t="str">
        <f>IFERROR(ödev!AG22*100/ödev!$I22,"")</f>
        <v/>
      </c>
      <c r="W426" s="39" t="str">
        <f>IFERROR(ödev!AH22*100/ödev!$I22,"")</f>
        <v/>
      </c>
      <c r="X426" s="39" t="str">
        <f>IFERROR(ödev!AI22*100/ödev!$I22,"")</f>
        <v/>
      </c>
      <c r="Y426" s="39" t="str">
        <f>IFERROR(ödev!AJ22*100/ödev!$I22,"")</f>
        <v/>
      </c>
      <c r="Z426" s="39" t="str">
        <f>IFERROR(ödev!AK22*100/ödev!$I22,"")</f>
        <v/>
      </c>
      <c r="AA426" s="39" t="str">
        <f>IFERROR(ödev!AL22*100/ödev!$I22,"")</f>
        <v/>
      </c>
      <c r="AB426" s="39" t="str">
        <f>IFERROR(ödev!AM22*100/ödev!$I22,"")</f>
        <v/>
      </c>
      <c r="AC426" s="39" t="str">
        <f>IFERROR(ödev!AN22*100/ödev!$I22,"")</f>
        <v/>
      </c>
      <c r="AD426" s="39" t="str">
        <f>IFERROR(ödev!AO22*100/ödev!$I22,"")</f>
        <v/>
      </c>
      <c r="AE426" s="39" t="str">
        <f>IFERROR(ödev!AP22*100/ödev!$I22,"")</f>
        <v/>
      </c>
      <c r="AF426" s="39" t="str">
        <f>IFERROR(ödev!AQ22*100/ödev!$I22,"")</f>
        <v/>
      </c>
      <c r="AG426" s="39" t="str">
        <f>IFERROR(ödev!AR22*100/ödev!$I22,"")</f>
        <v/>
      </c>
      <c r="AH426" s="39" t="str">
        <f>IFERROR(ödev!AS22*100/ödev!$I22,"")</f>
        <v/>
      </c>
      <c r="AI426" s="39" t="str">
        <f>IFERROR(ödev!AT22*100/ödev!$I22,"")</f>
        <v/>
      </c>
      <c r="AJ426" s="39" t="str">
        <f>IFERROR(ödev!AU22*100/ödev!$I22,"")</f>
        <v/>
      </c>
      <c r="AK426" s="39" t="str">
        <f>IFERROR(ödev!AV22*100/ödev!$I22,"")</f>
        <v/>
      </c>
      <c r="AL426" s="39" t="str">
        <f>IFERROR(ödev!AW22*100/ödev!$I22,"")</f>
        <v/>
      </c>
      <c r="AM426" s="39" t="str">
        <f>IFERROR(ödev!AX22*100/ödev!$I22,"")</f>
        <v/>
      </c>
      <c r="AN426" s="39" t="str">
        <f>IFERROR(ödev!AY22*100/ödev!$I22,"")</f>
        <v/>
      </c>
      <c r="AO426" s="39" t="str">
        <f>IFERROR(ödev!AZ22*100/ödev!$I22,"")</f>
        <v/>
      </c>
      <c r="AP426" s="39" t="str">
        <f>IFERROR(ödev!BA22*100/ödev!$I22,"")</f>
        <v/>
      </c>
      <c r="AQ426" s="39" t="str">
        <f>IFERROR(ödev!BB22*100/ödev!$I22,"")</f>
        <v/>
      </c>
      <c r="AR426" s="39" t="str">
        <f>IFERROR(ödev!BC22*100/ödev!$I22,"")</f>
        <v/>
      </c>
      <c r="AS426" s="39" t="str">
        <f>IFERROR(ödev!BD22*100/ödev!$I22,"")</f>
        <v/>
      </c>
      <c r="AT426" s="39" t="str">
        <f>IFERROR(ödev!BE22*100/ödev!$I22,"")</f>
        <v/>
      </c>
      <c r="AU426" s="39" t="str">
        <f>IFERROR(ödev!BF22*100/ödev!$I22,"")</f>
        <v/>
      </c>
      <c r="AV426" s="39" t="str">
        <f>IFERROR(ödev!BG22*100/ödev!$I22,"")</f>
        <v/>
      </c>
      <c r="AW426" s="39" t="str">
        <f>IFERROR(ödev!BH22*100/ödev!$I22,"")</f>
        <v/>
      </c>
      <c r="AX426" s="39" t="str">
        <f>IFERROR(ödev!BI22*100/ödev!$I22,"")</f>
        <v/>
      </c>
      <c r="AY426" s="39" t="str">
        <f>IFERROR(ödev!BJ22*100/ödev!$I22,"")</f>
        <v/>
      </c>
      <c r="AZ426" s="39" t="str">
        <f>IFERROR(ödev!BK22*100/ödev!$I22,"")</f>
        <v/>
      </c>
      <c r="BA426" s="39" t="str">
        <f>IFERROR(ödev!BL22*100/ödev!$I22,"")</f>
        <v/>
      </c>
      <c r="BB426" s="39" t="str">
        <f>IFERROR(ödev!BM22*100/ödev!$I22,"")</f>
        <v/>
      </c>
      <c r="BC426" s="39" t="str">
        <f>IFERROR(ödev!BN22*100/ödev!$I22,"")</f>
        <v/>
      </c>
      <c r="BD426" s="39" t="str">
        <f>IFERROR(ödev!BO22*100/ödev!$I22,"")</f>
        <v/>
      </c>
      <c r="BE426" s="39" t="str">
        <f>IFERROR(ödev!BP22*100/ödev!$I22,"")</f>
        <v/>
      </c>
      <c r="BF426" s="39" t="str">
        <f>IFERROR(ödev!BQ22*100/ödev!$I22,"")</f>
        <v/>
      </c>
      <c r="BG426" s="39" t="str">
        <f>IFERROR(ödev!BR22*100/ödev!$I22,"")</f>
        <v/>
      </c>
      <c r="BH426" s="39" t="str">
        <f>IFERROR(ödev!BS22*100/ödev!$I22,"")</f>
        <v/>
      </c>
      <c r="BI426" s="39" t="str">
        <f>IFERROR(ödev!BT22*100/ödev!$I22,"")</f>
        <v/>
      </c>
      <c r="BJ426" s="39" t="str">
        <f>IFERROR(ödev!BU22*100/ödev!$I22,"")</f>
        <v/>
      </c>
      <c r="BK426" s="39" t="str">
        <f>IFERROR(ödev!BV22*100/ödev!$I22,"")</f>
        <v/>
      </c>
      <c r="BL426" s="39" t="str">
        <f>IFERROR(ödev!BW22*100/ödev!$I22,"")</f>
        <v/>
      </c>
      <c r="BM426" s="39" t="str">
        <f>IFERROR(ödev!BX22*100/ödev!$I22,"")</f>
        <v/>
      </c>
      <c r="BN426" s="39" t="str">
        <f>IFERROR(ödev!BY22*100/ödev!$I22,"")</f>
        <v/>
      </c>
      <c r="BO426" s="39" t="str">
        <f>IFERROR(ödev!BZ22*100/ödev!$I22,"")</f>
        <v/>
      </c>
      <c r="BP426" s="39" t="str">
        <f>IFERROR(ödev!CA22*100/ödev!$I22,"")</f>
        <v/>
      </c>
      <c r="BQ426" s="39" t="str">
        <f>IFERROR(ödev!CB22*100/ödev!$I22,"")</f>
        <v/>
      </c>
      <c r="BR426" s="39" t="str">
        <f>IFERROR(ödev!CC22*100/ödev!$I22,"")</f>
        <v/>
      </c>
      <c r="BS426" s="39" t="str">
        <f>IFERROR(ödev!CD22*100/ödev!$I22,"")</f>
        <v/>
      </c>
      <c r="BT426" s="39" t="str">
        <f>IFERROR(ödev!CE22*100/ödev!$I22,"")</f>
        <v/>
      </c>
      <c r="BU426" s="39" t="str">
        <f>IFERROR(ödev!CF22*100/ödev!$I22,"")</f>
        <v/>
      </c>
      <c r="BV426" s="39" t="str">
        <f>IFERROR(ödev!CG22*100/ödev!$I22,"")</f>
        <v/>
      </c>
      <c r="BW426" s="39" t="str">
        <f>IFERROR(ödev!CH22*100/ödev!$I22,"")</f>
        <v/>
      </c>
      <c r="BX426" s="39" t="str">
        <f>IFERROR(ödev!CI22*100/ödev!$I22,"")</f>
        <v/>
      </c>
      <c r="BY426" s="39" t="str">
        <f>IFERROR(ödev!CJ22*100/ödev!$I22,"")</f>
        <v/>
      </c>
      <c r="BZ426" s="39" t="str">
        <f>IFERROR(ödev!CK22*100/ödev!$I22,"")</f>
        <v/>
      </c>
      <c r="CA426" s="39" t="str">
        <f>IFERROR(ödev!CL22*100/ödev!$I22,"")</f>
        <v/>
      </c>
      <c r="CB426" s="39" t="str">
        <f>IFERROR(ödev!CM22*100/ödev!$I22,"")</f>
        <v/>
      </c>
      <c r="CC426" s="39" t="str">
        <f>IFERROR(ödev!CN22*100/ödev!$I22,"")</f>
        <v/>
      </c>
      <c r="CD426" s="39" t="str">
        <f>IFERROR(ödev!CO22*100/ödev!$I22,"")</f>
        <v/>
      </c>
      <c r="CE426" s="39" t="str">
        <f>IFERROR(ödev!CP22*100/ödev!$I22,"")</f>
        <v/>
      </c>
      <c r="CF426" s="39" t="str">
        <f>IFERROR(ödev!CQ22*100/ödev!$I22,"")</f>
        <v/>
      </c>
      <c r="CG426" s="39" t="str">
        <f>IFERROR(ödev!CR22*100/ödev!$I22,"")</f>
        <v/>
      </c>
      <c r="CH426" s="39" t="str">
        <f>IFERROR(ödev!CS22*100/ödev!$I22,"")</f>
        <v/>
      </c>
      <c r="CI426" s="39" t="str">
        <f>IFERROR(ödev!CT22*100/ödev!$I22,"")</f>
        <v/>
      </c>
      <c r="CJ426" s="39" t="str">
        <f>IFERROR(ödev!CU22*100/ödev!$I22,"")</f>
        <v/>
      </c>
      <c r="CK426" s="39" t="str">
        <f>IFERROR(ödev!CV22*100/ödev!$I22,"")</f>
        <v/>
      </c>
      <c r="CL426" s="39" t="str">
        <f>IFERROR(ödev!CW22*100/ödev!$I22,"")</f>
        <v/>
      </c>
      <c r="CM426" s="39" t="str">
        <f>IFERROR(ödev!CX22*100/ödev!$I22,"")</f>
        <v/>
      </c>
      <c r="CN426" s="39" t="str">
        <f>IFERROR(ödev!CY22*100/ödev!$I22,"")</f>
        <v/>
      </c>
      <c r="CO426" s="39" t="str">
        <f>IFERROR(ödev!CZ22*100/ödev!$I22,"")</f>
        <v/>
      </c>
      <c r="CP426" s="39" t="str">
        <f>IFERROR(ödev!DA22*100/ödev!$I22,"")</f>
        <v/>
      </c>
      <c r="CQ426" s="39" t="str">
        <f>IFERROR(ödev!DB22*100/ödev!$I22,"")</f>
        <v/>
      </c>
      <c r="CR426" s="39" t="str">
        <f>IFERROR(ödev!DC22*100/ödev!$I22,"")</f>
        <v/>
      </c>
      <c r="CS426" s="39" t="str">
        <f>IFERROR(ödev!DD22*100/ödev!$I22,"")</f>
        <v/>
      </c>
      <c r="CT426" s="39" t="str">
        <f>IFERROR(ödev!DE22*100/ödev!$I22,"")</f>
        <v/>
      </c>
      <c r="CU426" s="39" t="str">
        <f>IFERROR(ödev!DF22*100/ödev!$I22,"")</f>
        <v/>
      </c>
      <c r="CV426" s="39" t="str">
        <f>IFERROR(ödev!DG22*100/ödev!$I22,"")</f>
        <v/>
      </c>
      <c r="CW426" s="36" t="str">
        <f>IFERROR(SUM(A426:CV426)/ödev!$DH$103,"")</f>
        <v/>
      </c>
      <c r="CX426" s="14" t="str">
        <f>IF(COUNTA(ödev!A22),ödev!A22,"")</f>
        <v/>
      </c>
      <c r="CY426" s="14" t="str">
        <f>IF(COUNTA(ödev!B22),ödev!B22,"")</f>
        <v/>
      </c>
      <c r="CZ426" s="14" t="str">
        <f>IF(COUNTA(ödev!C22),ödev!C22,"")</f>
        <v/>
      </c>
      <c r="DA426" s="14" t="str">
        <f>IF(COUNTA(ödev!D22),ödev!D22,"")</f>
        <v/>
      </c>
      <c r="DB426" s="14" t="str">
        <f>IF(COUNTA(ödev!E22),ödev!E22,"")</f>
        <v/>
      </c>
      <c r="DC426" s="14" t="str">
        <f>IF(COUNTA(ödev!F22),ödev!F22,"")</f>
        <v/>
      </c>
      <c r="DD426" s="14" t="str">
        <f>IF(COUNTA(ödev!G22),ödev!G22,"")</f>
        <v/>
      </c>
      <c r="DE426" s="14" t="str">
        <f>IF(COUNTA(ödev!H22),ödev!H22,"")</f>
        <v/>
      </c>
    </row>
    <row r="427" spans="1:109" x14ac:dyDescent="0.2">
      <c r="A427" s="39" t="str">
        <f>IFERROR(ödev!L23*100/ödev!$I23,"")</f>
        <v/>
      </c>
      <c r="B427" s="39" t="str">
        <f>IFERROR(ödev!M23*100/ödev!$I23,"")</f>
        <v/>
      </c>
      <c r="C427" s="39" t="str">
        <f>IFERROR(ödev!N23*100/ödev!$I23,"")</f>
        <v/>
      </c>
      <c r="D427" s="39" t="str">
        <f>IFERROR(ödev!O23*100/ödev!$I23,"")</f>
        <v/>
      </c>
      <c r="E427" s="39" t="str">
        <f>IFERROR(ödev!P23*100/ödev!$I23,"")</f>
        <v/>
      </c>
      <c r="F427" s="39" t="str">
        <f>IFERROR(ödev!Q23*100/ödev!$I23,"")</f>
        <v/>
      </c>
      <c r="G427" s="39" t="str">
        <f>IFERROR(ödev!R23*100/ödev!$I23,"")</f>
        <v/>
      </c>
      <c r="H427" s="39" t="str">
        <f>IFERROR(ödev!S23*100/ödev!$I23,"")</f>
        <v/>
      </c>
      <c r="I427" s="39" t="str">
        <f>IFERROR(ödev!T23*100/ödev!$I23,"")</f>
        <v/>
      </c>
      <c r="J427" s="39" t="str">
        <f>IFERROR(ödev!U23*100/ödev!$I23,"")</f>
        <v/>
      </c>
      <c r="K427" s="39" t="str">
        <f>IFERROR(ödev!V23*100/ödev!$I23,"")</f>
        <v/>
      </c>
      <c r="L427" s="39" t="str">
        <f>IFERROR(ödev!W23*100/ödev!$I23,"")</f>
        <v/>
      </c>
      <c r="M427" s="39" t="str">
        <f>IFERROR(ödev!X23*100/ödev!$I23,"")</f>
        <v/>
      </c>
      <c r="N427" s="39" t="str">
        <f>IFERROR(ödev!Y23*100/ödev!$I23,"")</f>
        <v/>
      </c>
      <c r="O427" s="39" t="str">
        <f>IFERROR(ödev!Z23*100/ödev!$I23,"")</f>
        <v/>
      </c>
      <c r="P427" s="39" t="str">
        <f>IFERROR(ödev!AA23*100/ödev!$I23,"")</f>
        <v/>
      </c>
      <c r="Q427" s="39" t="str">
        <f>IFERROR(ödev!AB23*100/ödev!$I23,"")</f>
        <v/>
      </c>
      <c r="R427" s="39" t="str">
        <f>IFERROR(ödev!AC23*100/ödev!$I23,"")</f>
        <v/>
      </c>
      <c r="S427" s="39" t="str">
        <f>IFERROR(ödev!AD23*100/ödev!$I23,"")</f>
        <v/>
      </c>
      <c r="T427" s="39" t="str">
        <f>IFERROR(ödev!AE23*100/ödev!$I23,"")</f>
        <v/>
      </c>
      <c r="U427" s="39" t="str">
        <f>IFERROR(ödev!AF23*100/ödev!$I23,"")</f>
        <v/>
      </c>
      <c r="V427" s="39" t="str">
        <f>IFERROR(ödev!AG23*100/ödev!$I23,"")</f>
        <v/>
      </c>
      <c r="W427" s="39" t="str">
        <f>IFERROR(ödev!AH23*100/ödev!$I23,"")</f>
        <v/>
      </c>
      <c r="X427" s="39" t="str">
        <f>IFERROR(ödev!AI23*100/ödev!$I23,"")</f>
        <v/>
      </c>
      <c r="Y427" s="39" t="str">
        <f>IFERROR(ödev!AJ23*100/ödev!$I23,"")</f>
        <v/>
      </c>
      <c r="Z427" s="39" t="str">
        <f>IFERROR(ödev!AK23*100/ödev!$I23,"")</f>
        <v/>
      </c>
      <c r="AA427" s="39" t="str">
        <f>IFERROR(ödev!AL23*100/ödev!$I23,"")</f>
        <v/>
      </c>
      <c r="AB427" s="39" t="str">
        <f>IFERROR(ödev!AM23*100/ödev!$I23,"")</f>
        <v/>
      </c>
      <c r="AC427" s="39" t="str">
        <f>IFERROR(ödev!AN23*100/ödev!$I23,"")</f>
        <v/>
      </c>
      <c r="AD427" s="39" t="str">
        <f>IFERROR(ödev!AO23*100/ödev!$I23,"")</f>
        <v/>
      </c>
      <c r="AE427" s="39" t="str">
        <f>IFERROR(ödev!AP23*100/ödev!$I23,"")</f>
        <v/>
      </c>
      <c r="AF427" s="39" t="str">
        <f>IFERROR(ödev!AQ23*100/ödev!$I23,"")</f>
        <v/>
      </c>
      <c r="AG427" s="39" t="str">
        <f>IFERROR(ödev!AR23*100/ödev!$I23,"")</f>
        <v/>
      </c>
      <c r="AH427" s="39" t="str">
        <f>IFERROR(ödev!AS23*100/ödev!$I23,"")</f>
        <v/>
      </c>
      <c r="AI427" s="39" t="str">
        <f>IFERROR(ödev!AT23*100/ödev!$I23,"")</f>
        <v/>
      </c>
      <c r="AJ427" s="39" t="str">
        <f>IFERROR(ödev!AU23*100/ödev!$I23,"")</f>
        <v/>
      </c>
      <c r="AK427" s="39" t="str">
        <f>IFERROR(ödev!AV23*100/ödev!$I23,"")</f>
        <v/>
      </c>
      <c r="AL427" s="39" t="str">
        <f>IFERROR(ödev!AW23*100/ödev!$I23,"")</f>
        <v/>
      </c>
      <c r="AM427" s="39" t="str">
        <f>IFERROR(ödev!AX23*100/ödev!$I23,"")</f>
        <v/>
      </c>
      <c r="AN427" s="39" t="str">
        <f>IFERROR(ödev!AY23*100/ödev!$I23,"")</f>
        <v/>
      </c>
      <c r="AO427" s="39" t="str">
        <f>IFERROR(ödev!AZ23*100/ödev!$I23,"")</f>
        <v/>
      </c>
      <c r="AP427" s="39" t="str">
        <f>IFERROR(ödev!BA23*100/ödev!$I23,"")</f>
        <v/>
      </c>
      <c r="AQ427" s="39" t="str">
        <f>IFERROR(ödev!BB23*100/ödev!$I23,"")</f>
        <v/>
      </c>
      <c r="AR427" s="39" t="str">
        <f>IFERROR(ödev!BC23*100/ödev!$I23,"")</f>
        <v/>
      </c>
      <c r="AS427" s="39" t="str">
        <f>IFERROR(ödev!BD23*100/ödev!$I23,"")</f>
        <v/>
      </c>
      <c r="AT427" s="39" t="str">
        <f>IFERROR(ödev!BE23*100/ödev!$I23,"")</f>
        <v/>
      </c>
      <c r="AU427" s="39" t="str">
        <f>IFERROR(ödev!BF23*100/ödev!$I23,"")</f>
        <v/>
      </c>
      <c r="AV427" s="39" t="str">
        <f>IFERROR(ödev!BG23*100/ödev!$I23,"")</f>
        <v/>
      </c>
      <c r="AW427" s="39" t="str">
        <f>IFERROR(ödev!BH23*100/ödev!$I23,"")</f>
        <v/>
      </c>
      <c r="AX427" s="39" t="str">
        <f>IFERROR(ödev!BI23*100/ödev!$I23,"")</f>
        <v/>
      </c>
      <c r="AY427" s="39" t="str">
        <f>IFERROR(ödev!BJ23*100/ödev!$I23,"")</f>
        <v/>
      </c>
      <c r="AZ427" s="39" t="str">
        <f>IFERROR(ödev!BK23*100/ödev!$I23,"")</f>
        <v/>
      </c>
      <c r="BA427" s="39" t="str">
        <f>IFERROR(ödev!BL23*100/ödev!$I23,"")</f>
        <v/>
      </c>
      <c r="BB427" s="39" t="str">
        <f>IFERROR(ödev!BM23*100/ödev!$I23,"")</f>
        <v/>
      </c>
      <c r="BC427" s="39" t="str">
        <f>IFERROR(ödev!BN23*100/ödev!$I23,"")</f>
        <v/>
      </c>
      <c r="BD427" s="39" t="str">
        <f>IFERROR(ödev!BO23*100/ödev!$I23,"")</f>
        <v/>
      </c>
      <c r="BE427" s="39" t="str">
        <f>IFERROR(ödev!BP23*100/ödev!$I23,"")</f>
        <v/>
      </c>
      <c r="BF427" s="39" t="str">
        <f>IFERROR(ödev!BQ23*100/ödev!$I23,"")</f>
        <v/>
      </c>
      <c r="BG427" s="39" t="str">
        <f>IFERROR(ödev!BR23*100/ödev!$I23,"")</f>
        <v/>
      </c>
      <c r="BH427" s="39" t="str">
        <f>IFERROR(ödev!BS23*100/ödev!$I23,"")</f>
        <v/>
      </c>
      <c r="BI427" s="39" t="str">
        <f>IFERROR(ödev!BT23*100/ödev!$I23,"")</f>
        <v/>
      </c>
      <c r="BJ427" s="39" t="str">
        <f>IFERROR(ödev!BU23*100/ödev!$I23,"")</f>
        <v/>
      </c>
      <c r="BK427" s="39" t="str">
        <f>IFERROR(ödev!BV23*100/ödev!$I23,"")</f>
        <v/>
      </c>
      <c r="BL427" s="39" t="str">
        <f>IFERROR(ödev!BW23*100/ödev!$I23,"")</f>
        <v/>
      </c>
      <c r="BM427" s="39" t="str">
        <f>IFERROR(ödev!BX23*100/ödev!$I23,"")</f>
        <v/>
      </c>
      <c r="BN427" s="39" t="str">
        <f>IFERROR(ödev!BY23*100/ödev!$I23,"")</f>
        <v/>
      </c>
      <c r="BO427" s="39" t="str">
        <f>IFERROR(ödev!BZ23*100/ödev!$I23,"")</f>
        <v/>
      </c>
      <c r="BP427" s="39" t="str">
        <f>IFERROR(ödev!CA23*100/ödev!$I23,"")</f>
        <v/>
      </c>
      <c r="BQ427" s="39" t="str">
        <f>IFERROR(ödev!CB23*100/ödev!$I23,"")</f>
        <v/>
      </c>
      <c r="BR427" s="39" t="str">
        <f>IFERROR(ödev!CC23*100/ödev!$I23,"")</f>
        <v/>
      </c>
      <c r="BS427" s="39" t="str">
        <f>IFERROR(ödev!CD23*100/ödev!$I23,"")</f>
        <v/>
      </c>
      <c r="BT427" s="39" t="str">
        <f>IFERROR(ödev!CE23*100/ödev!$I23,"")</f>
        <v/>
      </c>
      <c r="BU427" s="39" t="str">
        <f>IFERROR(ödev!CF23*100/ödev!$I23,"")</f>
        <v/>
      </c>
      <c r="BV427" s="39" t="str">
        <f>IFERROR(ödev!CG23*100/ödev!$I23,"")</f>
        <v/>
      </c>
      <c r="BW427" s="39" t="str">
        <f>IFERROR(ödev!CH23*100/ödev!$I23,"")</f>
        <v/>
      </c>
      <c r="BX427" s="39" t="str">
        <f>IFERROR(ödev!CI23*100/ödev!$I23,"")</f>
        <v/>
      </c>
      <c r="BY427" s="39" t="str">
        <f>IFERROR(ödev!CJ23*100/ödev!$I23,"")</f>
        <v/>
      </c>
      <c r="BZ427" s="39" t="str">
        <f>IFERROR(ödev!CK23*100/ödev!$I23,"")</f>
        <v/>
      </c>
      <c r="CA427" s="39" t="str">
        <f>IFERROR(ödev!CL23*100/ödev!$I23,"")</f>
        <v/>
      </c>
      <c r="CB427" s="39" t="str">
        <f>IFERROR(ödev!CM23*100/ödev!$I23,"")</f>
        <v/>
      </c>
      <c r="CC427" s="39" t="str">
        <f>IFERROR(ödev!CN23*100/ödev!$I23,"")</f>
        <v/>
      </c>
      <c r="CD427" s="39" t="str">
        <f>IFERROR(ödev!CO23*100/ödev!$I23,"")</f>
        <v/>
      </c>
      <c r="CE427" s="39" t="str">
        <f>IFERROR(ödev!CP23*100/ödev!$I23,"")</f>
        <v/>
      </c>
      <c r="CF427" s="39" t="str">
        <f>IFERROR(ödev!CQ23*100/ödev!$I23,"")</f>
        <v/>
      </c>
      <c r="CG427" s="39" t="str">
        <f>IFERROR(ödev!CR23*100/ödev!$I23,"")</f>
        <v/>
      </c>
      <c r="CH427" s="39" t="str">
        <f>IFERROR(ödev!CS23*100/ödev!$I23,"")</f>
        <v/>
      </c>
      <c r="CI427" s="39" t="str">
        <f>IFERROR(ödev!CT23*100/ödev!$I23,"")</f>
        <v/>
      </c>
      <c r="CJ427" s="39" t="str">
        <f>IFERROR(ödev!CU23*100/ödev!$I23,"")</f>
        <v/>
      </c>
      <c r="CK427" s="39" t="str">
        <f>IFERROR(ödev!CV23*100/ödev!$I23,"")</f>
        <v/>
      </c>
      <c r="CL427" s="39" t="str">
        <f>IFERROR(ödev!CW23*100/ödev!$I23,"")</f>
        <v/>
      </c>
      <c r="CM427" s="39" t="str">
        <f>IFERROR(ödev!CX23*100/ödev!$I23,"")</f>
        <v/>
      </c>
      <c r="CN427" s="39" t="str">
        <f>IFERROR(ödev!CY23*100/ödev!$I23,"")</f>
        <v/>
      </c>
      <c r="CO427" s="39" t="str">
        <f>IFERROR(ödev!CZ23*100/ödev!$I23,"")</f>
        <v/>
      </c>
      <c r="CP427" s="39" t="str">
        <f>IFERROR(ödev!DA23*100/ödev!$I23,"")</f>
        <v/>
      </c>
      <c r="CQ427" s="39" t="str">
        <f>IFERROR(ödev!DB23*100/ödev!$I23,"")</f>
        <v/>
      </c>
      <c r="CR427" s="39" t="str">
        <f>IFERROR(ödev!DC23*100/ödev!$I23,"")</f>
        <v/>
      </c>
      <c r="CS427" s="39" t="str">
        <f>IFERROR(ödev!DD23*100/ödev!$I23,"")</f>
        <v/>
      </c>
      <c r="CT427" s="39" t="str">
        <f>IFERROR(ödev!DE23*100/ödev!$I23,"")</f>
        <v/>
      </c>
      <c r="CU427" s="39" t="str">
        <f>IFERROR(ödev!DF23*100/ödev!$I23,"")</f>
        <v/>
      </c>
      <c r="CV427" s="39" t="str">
        <f>IFERROR(ödev!DG23*100/ödev!$I23,"")</f>
        <v/>
      </c>
      <c r="CW427" s="36" t="str">
        <f>IFERROR(SUM(A427:CV427)/ödev!$DH$103,"")</f>
        <v/>
      </c>
      <c r="CX427" s="14" t="str">
        <f>IF(COUNTA(ödev!A23),ödev!A23,"")</f>
        <v/>
      </c>
      <c r="CY427" s="14" t="str">
        <f>IF(COUNTA(ödev!B23),ödev!B23,"")</f>
        <v/>
      </c>
      <c r="CZ427" s="14" t="str">
        <f>IF(COUNTA(ödev!C23),ödev!C23,"")</f>
        <v/>
      </c>
      <c r="DA427" s="14" t="str">
        <f>IF(COUNTA(ödev!D23),ödev!D23,"")</f>
        <v/>
      </c>
      <c r="DB427" s="14" t="str">
        <f>IF(COUNTA(ödev!E23),ödev!E23,"")</f>
        <v/>
      </c>
      <c r="DC427" s="14" t="str">
        <f>IF(COUNTA(ödev!F23),ödev!F23,"")</f>
        <v/>
      </c>
      <c r="DD427" s="14" t="str">
        <f>IF(COUNTA(ödev!G23),ödev!G23,"")</f>
        <v/>
      </c>
      <c r="DE427" s="14" t="str">
        <f>IF(COUNTA(ödev!H23),ödev!H23,"")</f>
        <v/>
      </c>
    </row>
    <row r="428" spans="1:109" x14ac:dyDescent="0.2">
      <c r="A428" s="39" t="str">
        <f>IFERROR(ödev!L24*100/ödev!$I24,"")</f>
        <v/>
      </c>
      <c r="B428" s="39" t="str">
        <f>IFERROR(ödev!M24*100/ödev!$I24,"")</f>
        <v/>
      </c>
      <c r="C428" s="39" t="str">
        <f>IFERROR(ödev!N24*100/ödev!$I24,"")</f>
        <v/>
      </c>
      <c r="D428" s="39" t="str">
        <f>IFERROR(ödev!O24*100/ödev!$I24,"")</f>
        <v/>
      </c>
      <c r="E428" s="39" t="str">
        <f>IFERROR(ödev!P24*100/ödev!$I24,"")</f>
        <v/>
      </c>
      <c r="F428" s="39" t="str">
        <f>IFERROR(ödev!Q24*100/ödev!$I24,"")</f>
        <v/>
      </c>
      <c r="G428" s="39" t="str">
        <f>IFERROR(ödev!R24*100/ödev!$I24,"")</f>
        <v/>
      </c>
      <c r="H428" s="39" t="str">
        <f>IFERROR(ödev!S24*100/ödev!$I24,"")</f>
        <v/>
      </c>
      <c r="I428" s="39" t="str">
        <f>IFERROR(ödev!T24*100/ödev!$I24,"")</f>
        <v/>
      </c>
      <c r="J428" s="39" t="str">
        <f>IFERROR(ödev!U24*100/ödev!$I24,"")</f>
        <v/>
      </c>
      <c r="K428" s="39" t="str">
        <f>IFERROR(ödev!V24*100/ödev!$I24,"")</f>
        <v/>
      </c>
      <c r="L428" s="39" t="str">
        <f>IFERROR(ödev!W24*100/ödev!$I24,"")</f>
        <v/>
      </c>
      <c r="M428" s="39" t="str">
        <f>IFERROR(ödev!X24*100/ödev!$I24,"")</f>
        <v/>
      </c>
      <c r="N428" s="39" t="str">
        <f>IFERROR(ödev!Y24*100/ödev!$I24,"")</f>
        <v/>
      </c>
      <c r="O428" s="39" t="str">
        <f>IFERROR(ödev!Z24*100/ödev!$I24,"")</f>
        <v/>
      </c>
      <c r="P428" s="39" t="str">
        <f>IFERROR(ödev!AA24*100/ödev!$I24,"")</f>
        <v/>
      </c>
      <c r="Q428" s="39" t="str">
        <f>IFERROR(ödev!AB24*100/ödev!$I24,"")</f>
        <v/>
      </c>
      <c r="R428" s="39" t="str">
        <f>IFERROR(ödev!AC24*100/ödev!$I24,"")</f>
        <v/>
      </c>
      <c r="S428" s="39" t="str">
        <f>IFERROR(ödev!AD24*100/ödev!$I24,"")</f>
        <v/>
      </c>
      <c r="T428" s="39" t="str">
        <f>IFERROR(ödev!AE24*100/ödev!$I24,"")</f>
        <v/>
      </c>
      <c r="U428" s="39" t="str">
        <f>IFERROR(ödev!AF24*100/ödev!$I24,"")</f>
        <v/>
      </c>
      <c r="V428" s="39" t="str">
        <f>IFERROR(ödev!AG24*100/ödev!$I24,"")</f>
        <v/>
      </c>
      <c r="W428" s="39" t="str">
        <f>IFERROR(ödev!AH24*100/ödev!$I24,"")</f>
        <v/>
      </c>
      <c r="X428" s="39" t="str">
        <f>IFERROR(ödev!AI24*100/ödev!$I24,"")</f>
        <v/>
      </c>
      <c r="Y428" s="39" t="str">
        <f>IFERROR(ödev!AJ24*100/ödev!$I24,"")</f>
        <v/>
      </c>
      <c r="Z428" s="39" t="str">
        <f>IFERROR(ödev!AK24*100/ödev!$I24,"")</f>
        <v/>
      </c>
      <c r="AA428" s="39" t="str">
        <f>IFERROR(ödev!AL24*100/ödev!$I24,"")</f>
        <v/>
      </c>
      <c r="AB428" s="39" t="str">
        <f>IFERROR(ödev!AM24*100/ödev!$I24,"")</f>
        <v/>
      </c>
      <c r="AC428" s="39" t="str">
        <f>IFERROR(ödev!AN24*100/ödev!$I24,"")</f>
        <v/>
      </c>
      <c r="AD428" s="39" t="str">
        <f>IFERROR(ödev!AO24*100/ödev!$I24,"")</f>
        <v/>
      </c>
      <c r="AE428" s="39" t="str">
        <f>IFERROR(ödev!AP24*100/ödev!$I24,"")</f>
        <v/>
      </c>
      <c r="AF428" s="39" t="str">
        <f>IFERROR(ödev!AQ24*100/ödev!$I24,"")</f>
        <v/>
      </c>
      <c r="AG428" s="39" t="str">
        <f>IFERROR(ödev!AR24*100/ödev!$I24,"")</f>
        <v/>
      </c>
      <c r="AH428" s="39" t="str">
        <f>IFERROR(ödev!AS24*100/ödev!$I24,"")</f>
        <v/>
      </c>
      <c r="AI428" s="39" t="str">
        <f>IFERROR(ödev!AT24*100/ödev!$I24,"")</f>
        <v/>
      </c>
      <c r="AJ428" s="39" t="str">
        <f>IFERROR(ödev!AU24*100/ödev!$I24,"")</f>
        <v/>
      </c>
      <c r="AK428" s="39" t="str">
        <f>IFERROR(ödev!AV24*100/ödev!$I24,"")</f>
        <v/>
      </c>
      <c r="AL428" s="39" t="str">
        <f>IFERROR(ödev!AW24*100/ödev!$I24,"")</f>
        <v/>
      </c>
      <c r="AM428" s="39" t="str">
        <f>IFERROR(ödev!AX24*100/ödev!$I24,"")</f>
        <v/>
      </c>
      <c r="AN428" s="39" t="str">
        <f>IFERROR(ödev!AY24*100/ödev!$I24,"")</f>
        <v/>
      </c>
      <c r="AO428" s="39" t="str">
        <f>IFERROR(ödev!AZ24*100/ödev!$I24,"")</f>
        <v/>
      </c>
      <c r="AP428" s="39" t="str">
        <f>IFERROR(ödev!BA24*100/ödev!$I24,"")</f>
        <v/>
      </c>
      <c r="AQ428" s="39" t="str">
        <f>IFERROR(ödev!BB24*100/ödev!$I24,"")</f>
        <v/>
      </c>
      <c r="AR428" s="39" t="str">
        <f>IFERROR(ödev!BC24*100/ödev!$I24,"")</f>
        <v/>
      </c>
      <c r="AS428" s="39" t="str">
        <f>IFERROR(ödev!BD24*100/ödev!$I24,"")</f>
        <v/>
      </c>
      <c r="AT428" s="39" t="str">
        <f>IFERROR(ödev!BE24*100/ödev!$I24,"")</f>
        <v/>
      </c>
      <c r="AU428" s="39" t="str">
        <f>IFERROR(ödev!BF24*100/ödev!$I24,"")</f>
        <v/>
      </c>
      <c r="AV428" s="39" t="str">
        <f>IFERROR(ödev!BG24*100/ödev!$I24,"")</f>
        <v/>
      </c>
      <c r="AW428" s="39" t="str">
        <f>IFERROR(ödev!BH24*100/ödev!$I24,"")</f>
        <v/>
      </c>
      <c r="AX428" s="39" t="str">
        <f>IFERROR(ödev!BI24*100/ödev!$I24,"")</f>
        <v/>
      </c>
      <c r="AY428" s="39" t="str">
        <f>IFERROR(ödev!BJ24*100/ödev!$I24,"")</f>
        <v/>
      </c>
      <c r="AZ428" s="39" t="str">
        <f>IFERROR(ödev!BK24*100/ödev!$I24,"")</f>
        <v/>
      </c>
      <c r="BA428" s="39" t="str">
        <f>IFERROR(ödev!BL24*100/ödev!$I24,"")</f>
        <v/>
      </c>
      <c r="BB428" s="39" t="str">
        <f>IFERROR(ödev!BM24*100/ödev!$I24,"")</f>
        <v/>
      </c>
      <c r="BC428" s="39" t="str">
        <f>IFERROR(ödev!BN24*100/ödev!$I24,"")</f>
        <v/>
      </c>
      <c r="BD428" s="39" t="str">
        <f>IFERROR(ödev!BO24*100/ödev!$I24,"")</f>
        <v/>
      </c>
      <c r="BE428" s="39" t="str">
        <f>IFERROR(ödev!BP24*100/ödev!$I24,"")</f>
        <v/>
      </c>
      <c r="BF428" s="39" t="str">
        <f>IFERROR(ödev!BQ24*100/ödev!$I24,"")</f>
        <v/>
      </c>
      <c r="BG428" s="39" t="str">
        <f>IFERROR(ödev!BR24*100/ödev!$I24,"")</f>
        <v/>
      </c>
      <c r="BH428" s="39" t="str">
        <f>IFERROR(ödev!BS24*100/ödev!$I24,"")</f>
        <v/>
      </c>
      <c r="BI428" s="39" t="str">
        <f>IFERROR(ödev!BT24*100/ödev!$I24,"")</f>
        <v/>
      </c>
      <c r="BJ428" s="39" t="str">
        <f>IFERROR(ödev!BU24*100/ödev!$I24,"")</f>
        <v/>
      </c>
      <c r="BK428" s="39" t="str">
        <f>IFERROR(ödev!BV24*100/ödev!$I24,"")</f>
        <v/>
      </c>
      <c r="BL428" s="39" t="str">
        <f>IFERROR(ödev!BW24*100/ödev!$I24,"")</f>
        <v/>
      </c>
      <c r="BM428" s="39" t="str">
        <f>IFERROR(ödev!BX24*100/ödev!$I24,"")</f>
        <v/>
      </c>
      <c r="BN428" s="39" t="str">
        <f>IFERROR(ödev!BY24*100/ödev!$I24,"")</f>
        <v/>
      </c>
      <c r="BO428" s="39" t="str">
        <f>IFERROR(ödev!BZ24*100/ödev!$I24,"")</f>
        <v/>
      </c>
      <c r="BP428" s="39" t="str">
        <f>IFERROR(ödev!CA24*100/ödev!$I24,"")</f>
        <v/>
      </c>
      <c r="BQ428" s="39" t="str">
        <f>IFERROR(ödev!CB24*100/ödev!$I24,"")</f>
        <v/>
      </c>
      <c r="BR428" s="39" t="str">
        <f>IFERROR(ödev!CC24*100/ödev!$I24,"")</f>
        <v/>
      </c>
      <c r="BS428" s="39" t="str">
        <f>IFERROR(ödev!CD24*100/ödev!$I24,"")</f>
        <v/>
      </c>
      <c r="BT428" s="39" t="str">
        <f>IFERROR(ödev!CE24*100/ödev!$I24,"")</f>
        <v/>
      </c>
      <c r="BU428" s="39" t="str">
        <f>IFERROR(ödev!CF24*100/ödev!$I24,"")</f>
        <v/>
      </c>
      <c r="BV428" s="39" t="str">
        <f>IFERROR(ödev!CG24*100/ödev!$I24,"")</f>
        <v/>
      </c>
      <c r="BW428" s="39" t="str">
        <f>IFERROR(ödev!CH24*100/ödev!$I24,"")</f>
        <v/>
      </c>
      <c r="BX428" s="39" t="str">
        <f>IFERROR(ödev!CI24*100/ödev!$I24,"")</f>
        <v/>
      </c>
      <c r="BY428" s="39" t="str">
        <f>IFERROR(ödev!CJ24*100/ödev!$I24,"")</f>
        <v/>
      </c>
      <c r="BZ428" s="39" t="str">
        <f>IFERROR(ödev!CK24*100/ödev!$I24,"")</f>
        <v/>
      </c>
      <c r="CA428" s="39" t="str">
        <f>IFERROR(ödev!CL24*100/ödev!$I24,"")</f>
        <v/>
      </c>
      <c r="CB428" s="39" t="str">
        <f>IFERROR(ödev!CM24*100/ödev!$I24,"")</f>
        <v/>
      </c>
      <c r="CC428" s="39" t="str">
        <f>IFERROR(ödev!CN24*100/ödev!$I24,"")</f>
        <v/>
      </c>
      <c r="CD428" s="39" t="str">
        <f>IFERROR(ödev!CO24*100/ödev!$I24,"")</f>
        <v/>
      </c>
      <c r="CE428" s="39" t="str">
        <f>IFERROR(ödev!CP24*100/ödev!$I24,"")</f>
        <v/>
      </c>
      <c r="CF428" s="39" t="str">
        <f>IFERROR(ödev!CQ24*100/ödev!$I24,"")</f>
        <v/>
      </c>
      <c r="CG428" s="39" t="str">
        <f>IFERROR(ödev!CR24*100/ödev!$I24,"")</f>
        <v/>
      </c>
      <c r="CH428" s="39" t="str">
        <f>IFERROR(ödev!CS24*100/ödev!$I24,"")</f>
        <v/>
      </c>
      <c r="CI428" s="39" t="str">
        <f>IFERROR(ödev!CT24*100/ödev!$I24,"")</f>
        <v/>
      </c>
      <c r="CJ428" s="39" t="str">
        <f>IFERROR(ödev!CU24*100/ödev!$I24,"")</f>
        <v/>
      </c>
      <c r="CK428" s="39" t="str">
        <f>IFERROR(ödev!CV24*100/ödev!$I24,"")</f>
        <v/>
      </c>
      <c r="CL428" s="39" t="str">
        <f>IFERROR(ödev!CW24*100/ödev!$I24,"")</f>
        <v/>
      </c>
      <c r="CM428" s="39" t="str">
        <f>IFERROR(ödev!CX24*100/ödev!$I24,"")</f>
        <v/>
      </c>
      <c r="CN428" s="39" t="str">
        <f>IFERROR(ödev!CY24*100/ödev!$I24,"")</f>
        <v/>
      </c>
      <c r="CO428" s="39" t="str">
        <f>IFERROR(ödev!CZ24*100/ödev!$I24,"")</f>
        <v/>
      </c>
      <c r="CP428" s="39" t="str">
        <f>IFERROR(ödev!DA24*100/ödev!$I24,"")</f>
        <v/>
      </c>
      <c r="CQ428" s="39" t="str">
        <f>IFERROR(ödev!DB24*100/ödev!$I24,"")</f>
        <v/>
      </c>
      <c r="CR428" s="39" t="str">
        <f>IFERROR(ödev!DC24*100/ödev!$I24,"")</f>
        <v/>
      </c>
      <c r="CS428" s="39" t="str">
        <f>IFERROR(ödev!DD24*100/ödev!$I24,"")</f>
        <v/>
      </c>
      <c r="CT428" s="39" t="str">
        <f>IFERROR(ödev!DE24*100/ödev!$I24,"")</f>
        <v/>
      </c>
      <c r="CU428" s="39" t="str">
        <f>IFERROR(ödev!DF24*100/ödev!$I24,"")</f>
        <v/>
      </c>
      <c r="CV428" s="39" t="str">
        <f>IFERROR(ödev!DG24*100/ödev!$I24,"")</f>
        <v/>
      </c>
      <c r="CW428" s="36" t="str">
        <f>IFERROR(SUM(A428:CV428)/ödev!$DH$103,"")</f>
        <v/>
      </c>
      <c r="CX428" s="14" t="str">
        <f>IF(COUNTA(ödev!A24),ödev!A24,"")</f>
        <v/>
      </c>
      <c r="CY428" s="14" t="str">
        <f>IF(COUNTA(ödev!B24),ödev!B24,"")</f>
        <v/>
      </c>
      <c r="CZ428" s="14" t="str">
        <f>IF(COUNTA(ödev!C24),ödev!C24,"")</f>
        <v/>
      </c>
      <c r="DA428" s="14" t="str">
        <f>IF(COUNTA(ödev!D24),ödev!D24,"")</f>
        <v/>
      </c>
      <c r="DB428" s="14" t="str">
        <f>IF(COUNTA(ödev!E24),ödev!E24,"")</f>
        <v/>
      </c>
      <c r="DC428" s="14" t="str">
        <f>IF(COUNTA(ödev!F24),ödev!F24,"")</f>
        <v/>
      </c>
      <c r="DD428" s="14" t="str">
        <f>IF(COUNTA(ödev!G24),ödev!G24,"")</f>
        <v/>
      </c>
      <c r="DE428" s="14" t="str">
        <f>IF(COUNTA(ödev!H24),ödev!H24,"")</f>
        <v/>
      </c>
    </row>
    <row r="429" spans="1:109" x14ac:dyDescent="0.2">
      <c r="A429" s="39" t="str">
        <f>IFERROR(ödev!L25*100/ödev!$I25,"")</f>
        <v/>
      </c>
      <c r="B429" s="39" t="str">
        <f>IFERROR(ödev!M25*100/ödev!$I25,"")</f>
        <v/>
      </c>
      <c r="C429" s="39" t="str">
        <f>IFERROR(ödev!N25*100/ödev!$I25,"")</f>
        <v/>
      </c>
      <c r="D429" s="39" t="str">
        <f>IFERROR(ödev!O25*100/ödev!$I25,"")</f>
        <v/>
      </c>
      <c r="E429" s="39" t="str">
        <f>IFERROR(ödev!P25*100/ödev!$I25,"")</f>
        <v/>
      </c>
      <c r="F429" s="39" t="str">
        <f>IFERROR(ödev!Q25*100/ödev!$I25,"")</f>
        <v/>
      </c>
      <c r="G429" s="39" t="str">
        <f>IFERROR(ödev!R25*100/ödev!$I25,"")</f>
        <v/>
      </c>
      <c r="H429" s="39" t="str">
        <f>IFERROR(ödev!S25*100/ödev!$I25,"")</f>
        <v/>
      </c>
      <c r="I429" s="39" t="str">
        <f>IFERROR(ödev!T25*100/ödev!$I25,"")</f>
        <v/>
      </c>
      <c r="J429" s="39" t="str">
        <f>IFERROR(ödev!U25*100/ödev!$I25,"")</f>
        <v/>
      </c>
      <c r="K429" s="39" t="str">
        <f>IFERROR(ödev!V25*100/ödev!$I25,"")</f>
        <v/>
      </c>
      <c r="L429" s="39" t="str">
        <f>IFERROR(ödev!W25*100/ödev!$I25,"")</f>
        <v/>
      </c>
      <c r="M429" s="39" t="str">
        <f>IFERROR(ödev!X25*100/ödev!$I25,"")</f>
        <v/>
      </c>
      <c r="N429" s="39" t="str">
        <f>IFERROR(ödev!Y25*100/ödev!$I25,"")</f>
        <v/>
      </c>
      <c r="O429" s="39" t="str">
        <f>IFERROR(ödev!Z25*100/ödev!$I25,"")</f>
        <v/>
      </c>
      <c r="P429" s="39" t="str">
        <f>IFERROR(ödev!AA25*100/ödev!$I25,"")</f>
        <v/>
      </c>
      <c r="Q429" s="39" t="str">
        <f>IFERROR(ödev!AB25*100/ödev!$I25,"")</f>
        <v/>
      </c>
      <c r="R429" s="39" t="str">
        <f>IFERROR(ödev!AC25*100/ödev!$I25,"")</f>
        <v/>
      </c>
      <c r="S429" s="39" t="str">
        <f>IFERROR(ödev!AD25*100/ödev!$I25,"")</f>
        <v/>
      </c>
      <c r="T429" s="39" t="str">
        <f>IFERROR(ödev!AE25*100/ödev!$I25,"")</f>
        <v/>
      </c>
      <c r="U429" s="39" t="str">
        <f>IFERROR(ödev!AF25*100/ödev!$I25,"")</f>
        <v/>
      </c>
      <c r="V429" s="39" t="str">
        <f>IFERROR(ödev!AG25*100/ödev!$I25,"")</f>
        <v/>
      </c>
      <c r="W429" s="39" t="str">
        <f>IFERROR(ödev!AH25*100/ödev!$I25,"")</f>
        <v/>
      </c>
      <c r="X429" s="39" t="str">
        <f>IFERROR(ödev!AI25*100/ödev!$I25,"")</f>
        <v/>
      </c>
      <c r="Y429" s="39" t="str">
        <f>IFERROR(ödev!AJ25*100/ödev!$I25,"")</f>
        <v/>
      </c>
      <c r="Z429" s="39" t="str">
        <f>IFERROR(ödev!AK25*100/ödev!$I25,"")</f>
        <v/>
      </c>
      <c r="AA429" s="39" t="str">
        <f>IFERROR(ödev!AL25*100/ödev!$I25,"")</f>
        <v/>
      </c>
      <c r="AB429" s="39" t="str">
        <f>IFERROR(ödev!AM25*100/ödev!$I25,"")</f>
        <v/>
      </c>
      <c r="AC429" s="39" t="str">
        <f>IFERROR(ödev!AN25*100/ödev!$I25,"")</f>
        <v/>
      </c>
      <c r="AD429" s="39" t="str">
        <f>IFERROR(ödev!AO25*100/ödev!$I25,"")</f>
        <v/>
      </c>
      <c r="AE429" s="39" t="str">
        <f>IFERROR(ödev!AP25*100/ödev!$I25,"")</f>
        <v/>
      </c>
      <c r="AF429" s="39" t="str">
        <f>IFERROR(ödev!AQ25*100/ödev!$I25,"")</f>
        <v/>
      </c>
      <c r="AG429" s="39" t="str">
        <f>IFERROR(ödev!AR25*100/ödev!$I25,"")</f>
        <v/>
      </c>
      <c r="AH429" s="39" t="str">
        <f>IFERROR(ödev!AS25*100/ödev!$I25,"")</f>
        <v/>
      </c>
      <c r="AI429" s="39" t="str">
        <f>IFERROR(ödev!AT25*100/ödev!$I25,"")</f>
        <v/>
      </c>
      <c r="AJ429" s="39" t="str">
        <f>IFERROR(ödev!AU25*100/ödev!$I25,"")</f>
        <v/>
      </c>
      <c r="AK429" s="39" t="str">
        <f>IFERROR(ödev!AV25*100/ödev!$I25,"")</f>
        <v/>
      </c>
      <c r="AL429" s="39" t="str">
        <f>IFERROR(ödev!AW25*100/ödev!$I25,"")</f>
        <v/>
      </c>
      <c r="AM429" s="39" t="str">
        <f>IFERROR(ödev!AX25*100/ödev!$I25,"")</f>
        <v/>
      </c>
      <c r="AN429" s="39" t="str">
        <f>IFERROR(ödev!AY25*100/ödev!$I25,"")</f>
        <v/>
      </c>
      <c r="AO429" s="39" t="str">
        <f>IFERROR(ödev!AZ25*100/ödev!$I25,"")</f>
        <v/>
      </c>
      <c r="AP429" s="39" t="str">
        <f>IFERROR(ödev!BA25*100/ödev!$I25,"")</f>
        <v/>
      </c>
      <c r="AQ429" s="39" t="str">
        <f>IFERROR(ödev!BB25*100/ödev!$I25,"")</f>
        <v/>
      </c>
      <c r="AR429" s="39" t="str">
        <f>IFERROR(ödev!BC25*100/ödev!$I25,"")</f>
        <v/>
      </c>
      <c r="AS429" s="39" t="str">
        <f>IFERROR(ödev!BD25*100/ödev!$I25,"")</f>
        <v/>
      </c>
      <c r="AT429" s="39" t="str">
        <f>IFERROR(ödev!BE25*100/ödev!$I25,"")</f>
        <v/>
      </c>
      <c r="AU429" s="39" t="str">
        <f>IFERROR(ödev!BF25*100/ödev!$I25,"")</f>
        <v/>
      </c>
      <c r="AV429" s="39" t="str">
        <f>IFERROR(ödev!BG25*100/ödev!$I25,"")</f>
        <v/>
      </c>
      <c r="AW429" s="39" t="str">
        <f>IFERROR(ödev!BH25*100/ödev!$I25,"")</f>
        <v/>
      </c>
      <c r="AX429" s="39" t="str">
        <f>IFERROR(ödev!BI25*100/ödev!$I25,"")</f>
        <v/>
      </c>
      <c r="AY429" s="39" t="str">
        <f>IFERROR(ödev!BJ25*100/ödev!$I25,"")</f>
        <v/>
      </c>
      <c r="AZ429" s="39" t="str">
        <f>IFERROR(ödev!BK25*100/ödev!$I25,"")</f>
        <v/>
      </c>
      <c r="BA429" s="39" t="str">
        <f>IFERROR(ödev!BL25*100/ödev!$I25,"")</f>
        <v/>
      </c>
      <c r="BB429" s="39" t="str">
        <f>IFERROR(ödev!BM25*100/ödev!$I25,"")</f>
        <v/>
      </c>
      <c r="BC429" s="39" t="str">
        <f>IFERROR(ödev!BN25*100/ödev!$I25,"")</f>
        <v/>
      </c>
      <c r="BD429" s="39" t="str">
        <f>IFERROR(ödev!BO25*100/ödev!$I25,"")</f>
        <v/>
      </c>
      <c r="BE429" s="39" t="str">
        <f>IFERROR(ödev!BP25*100/ödev!$I25,"")</f>
        <v/>
      </c>
      <c r="BF429" s="39" t="str">
        <f>IFERROR(ödev!BQ25*100/ödev!$I25,"")</f>
        <v/>
      </c>
      <c r="BG429" s="39" t="str">
        <f>IFERROR(ödev!BR25*100/ödev!$I25,"")</f>
        <v/>
      </c>
      <c r="BH429" s="39" t="str">
        <f>IFERROR(ödev!BS25*100/ödev!$I25,"")</f>
        <v/>
      </c>
      <c r="BI429" s="39" t="str">
        <f>IFERROR(ödev!BT25*100/ödev!$I25,"")</f>
        <v/>
      </c>
      <c r="BJ429" s="39" t="str">
        <f>IFERROR(ödev!BU25*100/ödev!$I25,"")</f>
        <v/>
      </c>
      <c r="BK429" s="39" t="str">
        <f>IFERROR(ödev!BV25*100/ödev!$I25,"")</f>
        <v/>
      </c>
      <c r="BL429" s="39" t="str">
        <f>IFERROR(ödev!BW25*100/ödev!$I25,"")</f>
        <v/>
      </c>
      <c r="BM429" s="39" t="str">
        <f>IFERROR(ödev!BX25*100/ödev!$I25,"")</f>
        <v/>
      </c>
      <c r="BN429" s="39" t="str">
        <f>IFERROR(ödev!BY25*100/ödev!$I25,"")</f>
        <v/>
      </c>
      <c r="BO429" s="39" t="str">
        <f>IFERROR(ödev!BZ25*100/ödev!$I25,"")</f>
        <v/>
      </c>
      <c r="BP429" s="39" t="str">
        <f>IFERROR(ödev!CA25*100/ödev!$I25,"")</f>
        <v/>
      </c>
      <c r="BQ429" s="39" t="str">
        <f>IFERROR(ödev!CB25*100/ödev!$I25,"")</f>
        <v/>
      </c>
      <c r="BR429" s="39" t="str">
        <f>IFERROR(ödev!CC25*100/ödev!$I25,"")</f>
        <v/>
      </c>
      <c r="BS429" s="39" t="str">
        <f>IFERROR(ödev!CD25*100/ödev!$I25,"")</f>
        <v/>
      </c>
      <c r="BT429" s="39" t="str">
        <f>IFERROR(ödev!CE25*100/ödev!$I25,"")</f>
        <v/>
      </c>
      <c r="BU429" s="39" t="str">
        <f>IFERROR(ödev!CF25*100/ödev!$I25,"")</f>
        <v/>
      </c>
      <c r="BV429" s="39" t="str">
        <f>IFERROR(ödev!CG25*100/ödev!$I25,"")</f>
        <v/>
      </c>
      <c r="BW429" s="39" t="str">
        <f>IFERROR(ödev!CH25*100/ödev!$I25,"")</f>
        <v/>
      </c>
      <c r="BX429" s="39" t="str">
        <f>IFERROR(ödev!CI25*100/ödev!$I25,"")</f>
        <v/>
      </c>
      <c r="BY429" s="39" t="str">
        <f>IFERROR(ödev!CJ25*100/ödev!$I25,"")</f>
        <v/>
      </c>
      <c r="BZ429" s="39" t="str">
        <f>IFERROR(ödev!CK25*100/ödev!$I25,"")</f>
        <v/>
      </c>
      <c r="CA429" s="39" t="str">
        <f>IFERROR(ödev!CL25*100/ödev!$I25,"")</f>
        <v/>
      </c>
      <c r="CB429" s="39" t="str">
        <f>IFERROR(ödev!CM25*100/ödev!$I25,"")</f>
        <v/>
      </c>
      <c r="CC429" s="39" t="str">
        <f>IFERROR(ödev!CN25*100/ödev!$I25,"")</f>
        <v/>
      </c>
      <c r="CD429" s="39" t="str">
        <f>IFERROR(ödev!CO25*100/ödev!$I25,"")</f>
        <v/>
      </c>
      <c r="CE429" s="39" t="str">
        <f>IFERROR(ödev!CP25*100/ödev!$I25,"")</f>
        <v/>
      </c>
      <c r="CF429" s="39" t="str">
        <f>IFERROR(ödev!CQ25*100/ödev!$I25,"")</f>
        <v/>
      </c>
      <c r="CG429" s="39" t="str">
        <f>IFERROR(ödev!CR25*100/ödev!$I25,"")</f>
        <v/>
      </c>
      <c r="CH429" s="39" t="str">
        <f>IFERROR(ödev!CS25*100/ödev!$I25,"")</f>
        <v/>
      </c>
      <c r="CI429" s="39" t="str">
        <f>IFERROR(ödev!CT25*100/ödev!$I25,"")</f>
        <v/>
      </c>
      <c r="CJ429" s="39" t="str">
        <f>IFERROR(ödev!CU25*100/ödev!$I25,"")</f>
        <v/>
      </c>
      <c r="CK429" s="39" t="str">
        <f>IFERROR(ödev!CV25*100/ödev!$I25,"")</f>
        <v/>
      </c>
      <c r="CL429" s="39" t="str">
        <f>IFERROR(ödev!CW25*100/ödev!$I25,"")</f>
        <v/>
      </c>
      <c r="CM429" s="39" t="str">
        <f>IFERROR(ödev!CX25*100/ödev!$I25,"")</f>
        <v/>
      </c>
      <c r="CN429" s="39" t="str">
        <f>IFERROR(ödev!CY25*100/ödev!$I25,"")</f>
        <v/>
      </c>
      <c r="CO429" s="39" t="str">
        <f>IFERROR(ödev!CZ25*100/ödev!$I25,"")</f>
        <v/>
      </c>
      <c r="CP429" s="39" t="str">
        <f>IFERROR(ödev!DA25*100/ödev!$I25,"")</f>
        <v/>
      </c>
      <c r="CQ429" s="39" t="str">
        <f>IFERROR(ödev!DB25*100/ödev!$I25,"")</f>
        <v/>
      </c>
      <c r="CR429" s="39" t="str">
        <f>IFERROR(ödev!DC25*100/ödev!$I25,"")</f>
        <v/>
      </c>
      <c r="CS429" s="39" t="str">
        <f>IFERROR(ödev!DD25*100/ödev!$I25,"")</f>
        <v/>
      </c>
      <c r="CT429" s="39" t="str">
        <f>IFERROR(ödev!DE25*100/ödev!$I25,"")</f>
        <v/>
      </c>
      <c r="CU429" s="39" t="str">
        <f>IFERROR(ödev!DF25*100/ödev!$I25,"")</f>
        <v/>
      </c>
      <c r="CV429" s="39" t="str">
        <f>IFERROR(ödev!DG25*100/ödev!$I25,"")</f>
        <v/>
      </c>
      <c r="CW429" s="36" t="str">
        <f>IFERROR(SUM(A429:CV429)/ödev!$DH$103,"")</f>
        <v/>
      </c>
      <c r="CX429" s="14" t="str">
        <f>IF(COUNTA(ödev!A25),ödev!A25,"")</f>
        <v/>
      </c>
      <c r="CY429" s="14" t="str">
        <f>IF(COUNTA(ödev!B25),ödev!B25,"")</f>
        <v/>
      </c>
      <c r="CZ429" s="14" t="str">
        <f>IF(COUNTA(ödev!C25),ödev!C25,"")</f>
        <v/>
      </c>
      <c r="DA429" s="14" t="str">
        <f>IF(COUNTA(ödev!D25),ödev!D25,"")</f>
        <v/>
      </c>
      <c r="DB429" s="14" t="str">
        <f>IF(COUNTA(ödev!E25),ödev!E25,"")</f>
        <v/>
      </c>
      <c r="DC429" s="14" t="str">
        <f>IF(COUNTA(ödev!F25),ödev!F25,"")</f>
        <v/>
      </c>
      <c r="DD429" s="14" t="str">
        <f>IF(COUNTA(ödev!G25),ödev!G25,"")</f>
        <v/>
      </c>
      <c r="DE429" s="14" t="str">
        <f>IF(COUNTA(ödev!H25),ödev!H25,"")</f>
        <v/>
      </c>
    </row>
    <row r="430" spans="1:109" x14ac:dyDescent="0.2">
      <c r="A430" s="39" t="str">
        <f>IFERROR(ödev!L26*100/ödev!$I26,"")</f>
        <v/>
      </c>
      <c r="B430" s="39" t="str">
        <f>IFERROR(ödev!M26*100/ödev!$I26,"")</f>
        <v/>
      </c>
      <c r="C430" s="39" t="str">
        <f>IFERROR(ödev!N26*100/ödev!$I26,"")</f>
        <v/>
      </c>
      <c r="D430" s="39" t="str">
        <f>IFERROR(ödev!O26*100/ödev!$I26,"")</f>
        <v/>
      </c>
      <c r="E430" s="39" t="str">
        <f>IFERROR(ödev!P26*100/ödev!$I26,"")</f>
        <v/>
      </c>
      <c r="F430" s="39" t="str">
        <f>IFERROR(ödev!Q26*100/ödev!$I26,"")</f>
        <v/>
      </c>
      <c r="G430" s="39" t="str">
        <f>IFERROR(ödev!R26*100/ödev!$I26,"")</f>
        <v/>
      </c>
      <c r="H430" s="39" t="str">
        <f>IFERROR(ödev!S26*100/ödev!$I26,"")</f>
        <v/>
      </c>
      <c r="I430" s="39" t="str">
        <f>IFERROR(ödev!T26*100/ödev!$I26,"")</f>
        <v/>
      </c>
      <c r="J430" s="39" t="str">
        <f>IFERROR(ödev!U26*100/ödev!$I26,"")</f>
        <v/>
      </c>
      <c r="K430" s="39" t="str">
        <f>IFERROR(ödev!V26*100/ödev!$I26,"")</f>
        <v/>
      </c>
      <c r="L430" s="39" t="str">
        <f>IFERROR(ödev!W26*100/ödev!$I26,"")</f>
        <v/>
      </c>
      <c r="M430" s="39" t="str">
        <f>IFERROR(ödev!X26*100/ödev!$I26,"")</f>
        <v/>
      </c>
      <c r="N430" s="39" t="str">
        <f>IFERROR(ödev!Y26*100/ödev!$I26,"")</f>
        <v/>
      </c>
      <c r="O430" s="39" t="str">
        <f>IFERROR(ödev!Z26*100/ödev!$I26,"")</f>
        <v/>
      </c>
      <c r="P430" s="39" t="str">
        <f>IFERROR(ödev!AA26*100/ödev!$I26,"")</f>
        <v/>
      </c>
      <c r="Q430" s="39" t="str">
        <f>IFERROR(ödev!AB26*100/ödev!$I26,"")</f>
        <v/>
      </c>
      <c r="R430" s="39" t="str">
        <f>IFERROR(ödev!AC26*100/ödev!$I26,"")</f>
        <v/>
      </c>
      <c r="S430" s="39" t="str">
        <f>IFERROR(ödev!AD26*100/ödev!$I26,"")</f>
        <v/>
      </c>
      <c r="T430" s="39" t="str">
        <f>IFERROR(ödev!AE26*100/ödev!$I26,"")</f>
        <v/>
      </c>
      <c r="U430" s="39" t="str">
        <f>IFERROR(ödev!AF26*100/ödev!$I26,"")</f>
        <v/>
      </c>
      <c r="V430" s="39" t="str">
        <f>IFERROR(ödev!AG26*100/ödev!$I26,"")</f>
        <v/>
      </c>
      <c r="W430" s="39" t="str">
        <f>IFERROR(ödev!AH26*100/ödev!$I26,"")</f>
        <v/>
      </c>
      <c r="X430" s="39" t="str">
        <f>IFERROR(ödev!AI26*100/ödev!$I26,"")</f>
        <v/>
      </c>
      <c r="Y430" s="39" t="str">
        <f>IFERROR(ödev!AJ26*100/ödev!$I26,"")</f>
        <v/>
      </c>
      <c r="Z430" s="39" t="str">
        <f>IFERROR(ödev!AK26*100/ödev!$I26,"")</f>
        <v/>
      </c>
      <c r="AA430" s="39" t="str">
        <f>IFERROR(ödev!AL26*100/ödev!$I26,"")</f>
        <v/>
      </c>
      <c r="AB430" s="39" t="str">
        <f>IFERROR(ödev!AM26*100/ödev!$I26,"")</f>
        <v/>
      </c>
      <c r="AC430" s="39" t="str">
        <f>IFERROR(ödev!AN26*100/ödev!$I26,"")</f>
        <v/>
      </c>
      <c r="AD430" s="39" t="str">
        <f>IFERROR(ödev!AO26*100/ödev!$I26,"")</f>
        <v/>
      </c>
      <c r="AE430" s="39" t="str">
        <f>IFERROR(ödev!AP26*100/ödev!$I26,"")</f>
        <v/>
      </c>
      <c r="AF430" s="39" t="str">
        <f>IFERROR(ödev!AQ26*100/ödev!$I26,"")</f>
        <v/>
      </c>
      <c r="AG430" s="39" t="str">
        <f>IFERROR(ödev!AR26*100/ödev!$I26,"")</f>
        <v/>
      </c>
      <c r="AH430" s="39" t="str">
        <f>IFERROR(ödev!AS26*100/ödev!$I26,"")</f>
        <v/>
      </c>
      <c r="AI430" s="39" t="str">
        <f>IFERROR(ödev!AT26*100/ödev!$I26,"")</f>
        <v/>
      </c>
      <c r="AJ430" s="39" t="str">
        <f>IFERROR(ödev!AU26*100/ödev!$I26,"")</f>
        <v/>
      </c>
      <c r="AK430" s="39" t="str">
        <f>IFERROR(ödev!AV26*100/ödev!$I26,"")</f>
        <v/>
      </c>
      <c r="AL430" s="39" t="str">
        <f>IFERROR(ödev!AW26*100/ödev!$I26,"")</f>
        <v/>
      </c>
      <c r="AM430" s="39" t="str">
        <f>IFERROR(ödev!AX26*100/ödev!$I26,"")</f>
        <v/>
      </c>
      <c r="AN430" s="39" t="str">
        <f>IFERROR(ödev!AY26*100/ödev!$I26,"")</f>
        <v/>
      </c>
      <c r="AO430" s="39" t="str">
        <f>IFERROR(ödev!AZ26*100/ödev!$I26,"")</f>
        <v/>
      </c>
      <c r="AP430" s="39" t="str">
        <f>IFERROR(ödev!BA26*100/ödev!$I26,"")</f>
        <v/>
      </c>
      <c r="AQ430" s="39" t="str">
        <f>IFERROR(ödev!BB26*100/ödev!$I26,"")</f>
        <v/>
      </c>
      <c r="AR430" s="39" t="str">
        <f>IFERROR(ödev!BC26*100/ödev!$I26,"")</f>
        <v/>
      </c>
      <c r="AS430" s="39" t="str">
        <f>IFERROR(ödev!BD26*100/ödev!$I26,"")</f>
        <v/>
      </c>
      <c r="AT430" s="39" t="str">
        <f>IFERROR(ödev!BE26*100/ödev!$I26,"")</f>
        <v/>
      </c>
      <c r="AU430" s="39" t="str">
        <f>IFERROR(ödev!BF26*100/ödev!$I26,"")</f>
        <v/>
      </c>
      <c r="AV430" s="39" t="str">
        <f>IFERROR(ödev!BG26*100/ödev!$I26,"")</f>
        <v/>
      </c>
      <c r="AW430" s="39" t="str">
        <f>IFERROR(ödev!BH26*100/ödev!$I26,"")</f>
        <v/>
      </c>
      <c r="AX430" s="39" t="str">
        <f>IFERROR(ödev!BI26*100/ödev!$I26,"")</f>
        <v/>
      </c>
      <c r="AY430" s="39" t="str">
        <f>IFERROR(ödev!BJ26*100/ödev!$I26,"")</f>
        <v/>
      </c>
      <c r="AZ430" s="39" t="str">
        <f>IFERROR(ödev!BK26*100/ödev!$I26,"")</f>
        <v/>
      </c>
      <c r="BA430" s="39" t="str">
        <f>IFERROR(ödev!BL26*100/ödev!$I26,"")</f>
        <v/>
      </c>
      <c r="BB430" s="39" t="str">
        <f>IFERROR(ödev!BM26*100/ödev!$I26,"")</f>
        <v/>
      </c>
      <c r="BC430" s="39" t="str">
        <f>IFERROR(ödev!BN26*100/ödev!$I26,"")</f>
        <v/>
      </c>
      <c r="BD430" s="39" t="str">
        <f>IFERROR(ödev!BO26*100/ödev!$I26,"")</f>
        <v/>
      </c>
      <c r="BE430" s="39" t="str">
        <f>IFERROR(ödev!BP26*100/ödev!$I26,"")</f>
        <v/>
      </c>
      <c r="BF430" s="39" t="str">
        <f>IFERROR(ödev!BQ26*100/ödev!$I26,"")</f>
        <v/>
      </c>
      <c r="BG430" s="39" t="str">
        <f>IFERROR(ödev!BR26*100/ödev!$I26,"")</f>
        <v/>
      </c>
      <c r="BH430" s="39" t="str">
        <f>IFERROR(ödev!BS26*100/ödev!$I26,"")</f>
        <v/>
      </c>
      <c r="BI430" s="39" t="str">
        <f>IFERROR(ödev!BT26*100/ödev!$I26,"")</f>
        <v/>
      </c>
      <c r="BJ430" s="39" t="str">
        <f>IFERROR(ödev!BU26*100/ödev!$I26,"")</f>
        <v/>
      </c>
      <c r="BK430" s="39" t="str">
        <f>IFERROR(ödev!BV26*100/ödev!$I26,"")</f>
        <v/>
      </c>
      <c r="BL430" s="39" t="str">
        <f>IFERROR(ödev!BW26*100/ödev!$I26,"")</f>
        <v/>
      </c>
      <c r="BM430" s="39" t="str">
        <f>IFERROR(ödev!BX26*100/ödev!$I26,"")</f>
        <v/>
      </c>
      <c r="BN430" s="39" t="str">
        <f>IFERROR(ödev!BY26*100/ödev!$I26,"")</f>
        <v/>
      </c>
      <c r="BO430" s="39" t="str">
        <f>IFERROR(ödev!BZ26*100/ödev!$I26,"")</f>
        <v/>
      </c>
      <c r="BP430" s="39" t="str">
        <f>IFERROR(ödev!CA26*100/ödev!$I26,"")</f>
        <v/>
      </c>
      <c r="BQ430" s="39" t="str">
        <f>IFERROR(ödev!CB26*100/ödev!$I26,"")</f>
        <v/>
      </c>
      <c r="BR430" s="39" t="str">
        <f>IFERROR(ödev!CC26*100/ödev!$I26,"")</f>
        <v/>
      </c>
      <c r="BS430" s="39" t="str">
        <f>IFERROR(ödev!CD26*100/ödev!$I26,"")</f>
        <v/>
      </c>
      <c r="BT430" s="39" t="str">
        <f>IFERROR(ödev!CE26*100/ödev!$I26,"")</f>
        <v/>
      </c>
      <c r="BU430" s="39" t="str">
        <f>IFERROR(ödev!CF26*100/ödev!$I26,"")</f>
        <v/>
      </c>
      <c r="BV430" s="39" t="str">
        <f>IFERROR(ödev!CG26*100/ödev!$I26,"")</f>
        <v/>
      </c>
      <c r="BW430" s="39" t="str">
        <f>IFERROR(ödev!CH26*100/ödev!$I26,"")</f>
        <v/>
      </c>
      <c r="BX430" s="39" t="str">
        <f>IFERROR(ödev!CI26*100/ödev!$I26,"")</f>
        <v/>
      </c>
      <c r="BY430" s="39" t="str">
        <f>IFERROR(ödev!CJ26*100/ödev!$I26,"")</f>
        <v/>
      </c>
      <c r="BZ430" s="39" t="str">
        <f>IFERROR(ödev!CK26*100/ödev!$I26,"")</f>
        <v/>
      </c>
      <c r="CA430" s="39" t="str">
        <f>IFERROR(ödev!CL26*100/ödev!$I26,"")</f>
        <v/>
      </c>
      <c r="CB430" s="39" t="str">
        <f>IFERROR(ödev!CM26*100/ödev!$I26,"")</f>
        <v/>
      </c>
      <c r="CC430" s="39" t="str">
        <f>IFERROR(ödev!CN26*100/ödev!$I26,"")</f>
        <v/>
      </c>
      <c r="CD430" s="39" t="str">
        <f>IFERROR(ödev!CO26*100/ödev!$I26,"")</f>
        <v/>
      </c>
      <c r="CE430" s="39" t="str">
        <f>IFERROR(ödev!CP26*100/ödev!$I26,"")</f>
        <v/>
      </c>
      <c r="CF430" s="39" t="str">
        <f>IFERROR(ödev!CQ26*100/ödev!$I26,"")</f>
        <v/>
      </c>
      <c r="CG430" s="39" t="str">
        <f>IFERROR(ödev!CR26*100/ödev!$I26,"")</f>
        <v/>
      </c>
      <c r="CH430" s="39" t="str">
        <f>IFERROR(ödev!CS26*100/ödev!$I26,"")</f>
        <v/>
      </c>
      <c r="CI430" s="39" t="str">
        <f>IFERROR(ödev!CT26*100/ödev!$I26,"")</f>
        <v/>
      </c>
      <c r="CJ430" s="39" t="str">
        <f>IFERROR(ödev!CU26*100/ödev!$I26,"")</f>
        <v/>
      </c>
      <c r="CK430" s="39" t="str">
        <f>IFERROR(ödev!CV26*100/ödev!$I26,"")</f>
        <v/>
      </c>
      <c r="CL430" s="39" t="str">
        <f>IFERROR(ödev!CW26*100/ödev!$I26,"")</f>
        <v/>
      </c>
      <c r="CM430" s="39" t="str">
        <f>IFERROR(ödev!CX26*100/ödev!$I26,"")</f>
        <v/>
      </c>
      <c r="CN430" s="39" t="str">
        <f>IFERROR(ödev!CY26*100/ödev!$I26,"")</f>
        <v/>
      </c>
      <c r="CO430" s="39" t="str">
        <f>IFERROR(ödev!CZ26*100/ödev!$I26,"")</f>
        <v/>
      </c>
      <c r="CP430" s="39" t="str">
        <f>IFERROR(ödev!DA26*100/ödev!$I26,"")</f>
        <v/>
      </c>
      <c r="CQ430" s="39" t="str">
        <f>IFERROR(ödev!DB26*100/ödev!$I26,"")</f>
        <v/>
      </c>
      <c r="CR430" s="39" t="str">
        <f>IFERROR(ödev!DC26*100/ödev!$I26,"")</f>
        <v/>
      </c>
      <c r="CS430" s="39" t="str">
        <f>IFERROR(ödev!DD26*100/ödev!$I26,"")</f>
        <v/>
      </c>
      <c r="CT430" s="39" t="str">
        <f>IFERROR(ödev!DE26*100/ödev!$I26,"")</f>
        <v/>
      </c>
      <c r="CU430" s="39" t="str">
        <f>IFERROR(ödev!DF26*100/ödev!$I26,"")</f>
        <v/>
      </c>
      <c r="CV430" s="39" t="str">
        <f>IFERROR(ödev!DG26*100/ödev!$I26,"")</f>
        <v/>
      </c>
      <c r="CW430" s="36" t="str">
        <f>IFERROR(SUM(A430:CV430)/ödev!$DH$103,"")</f>
        <v/>
      </c>
      <c r="CX430" s="14" t="str">
        <f>IF(COUNTA(ödev!A26),ödev!A26,"")</f>
        <v/>
      </c>
      <c r="CY430" s="14" t="str">
        <f>IF(COUNTA(ödev!B26),ödev!B26,"")</f>
        <v/>
      </c>
      <c r="CZ430" s="14" t="str">
        <f>IF(COUNTA(ödev!C26),ödev!C26,"")</f>
        <v/>
      </c>
      <c r="DA430" s="14" t="str">
        <f>IF(COUNTA(ödev!D26),ödev!D26,"")</f>
        <v/>
      </c>
      <c r="DB430" s="14" t="str">
        <f>IF(COUNTA(ödev!E26),ödev!E26,"")</f>
        <v/>
      </c>
      <c r="DC430" s="14" t="str">
        <f>IF(COUNTA(ödev!F26),ödev!F26,"")</f>
        <v/>
      </c>
      <c r="DD430" s="14" t="str">
        <f>IF(COUNTA(ödev!G26),ödev!G26,"")</f>
        <v/>
      </c>
      <c r="DE430" s="14" t="str">
        <f>IF(COUNTA(ödev!H26),ödev!H26,"")</f>
        <v/>
      </c>
    </row>
    <row r="431" spans="1:109" x14ac:dyDescent="0.2">
      <c r="A431" s="39" t="str">
        <f>IFERROR(ödev!L27*100/ödev!$I27,"")</f>
        <v/>
      </c>
      <c r="B431" s="39" t="str">
        <f>IFERROR(ödev!M27*100/ödev!$I27,"")</f>
        <v/>
      </c>
      <c r="C431" s="39" t="str">
        <f>IFERROR(ödev!N27*100/ödev!$I27,"")</f>
        <v/>
      </c>
      <c r="D431" s="39" t="str">
        <f>IFERROR(ödev!O27*100/ödev!$I27,"")</f>
        <v/>
      </c>
      <c r="E431" s="39" t="str">
        <f>IFERROR(ödev!P27*100/ödev!$I27,"")</f>
        <v/>
      </c>
      <c r="F431" s="39" t="str">
        <f>IFERROR(ödev!Q27*100/ödev!$I27,"")</f>
        <v/>
      </c>
      <c r="G431" s="39" t="str">
        <f>IFERROR(ödev!R27*100/ödev!$I27,"")</f>
        <v/>
      </c>
      <c r="H431" s="39" t="str">
        <f>IFERROR(ödev!S27*100/ödev!$I27,"")</f>
        <v/>
      </c>
      <c r="I431" s="39" t="str">
        <f>IFERROR(ödev!T27*100/ödev!$I27,"")</f>
        <v/>
      </c>
      <c r="J431" s="39" t="str">
        <f>IFERROR(ödev!U27*100/ödev!$I27,"")</f>
        <v/>
      </c>
      <c r="K431" s="39" t="str">
        <f>IFERROR(ödev!V27*100/ödev!$I27,"")</f>
        <v/>
      </c>
      <c r="L431" s="39" t="str">
        <f>IFERROR(ödev!W27*100/ödev!$I27,"")</f>
        <v/>
      </c>
      <c r="M431" s="39" t="str">
        <f>IFERROR(ödev!X27*100/ödev!$I27,"")</f>
        <v/>
      </c>
      <c r="N431" s="39" t="str">
        <f>IFERROR(ödev!Y27*100/ödev!$I27,"")</f>
        <v/>
      </c>
      <c r="O431" s="39" t="str">
        <f>IFERROR(ödev!Z27*100/ödev!$I27,"")</f>
        <v/>
      </c>
      <c r="P431" s="39" t="str">
        <f>IFERROR(ödev!AA27*100/ödev!$I27,"")</f>
        <v/>
      </c>
      <c r="Q431" s="39" t="str">
        <f>IFERROR(ödev!AB27*100/ödev!$I27,"")</f>
        <v/>
      </c>
      <c r="R431" s="39" t="str">
        <f>IFERROR(ödev!AC27*100/ödev!$I27,"")</f>
        <v/>
      </c>
      <c r="S431" s="39" t="str">
        <f>IFERROR(ödev!AD27*100/ödev!$I27,"")</f>
        <v/>
      </c>
      <c r="T431" s="39" t="str">
        <f>IFERROR(ödev!AE27*100/ödev!$I27,"")</f>
        <v/>
      </c>
      <c r="U431" s="39" t="str">
        <f>IFERROR(ödev!AF27*100/ödev!$I27,"")</f>
        <v/>
      </c>
      <c r="V431" s="39" t="str">
        <f>IFERROR(ödev!AG27*100/ödev!$I27,"")</f>
        <v/>
      </c>
      <c r="W431" s="39" t="str">
        <f>IFERROR(ödev!AH27*100/ödev!$I27,"")</f>
        <v/>
      </c>
      <c r="X431" s="39" t="str">
        <f>IFERROR(ödev!AI27*100/ödev!$I27,"")</f>
        <v/>
      </c>
      <c r="Y431" s="39" t="str">
        <f>IFERROR(ödev!AJ27*100/ödev!$I27,"")</f>
        <v/>
      </c>
      <c r="Z431" s="39" t="str">
        <f>IFERROR(ödev!AK27*100/ödev!$I27,"")</f>
        <v/>
      </c>
      <c r="AA431" s="39" t="str">
        <f>IFERROR(ödev!AL27*100/ödev!$I27,"")</f>
        <v/>
      </c>
      <c r="AB431" s="39" t="str">
        <f>IFERROR(ödev!AM27*100/ödev!$I27,"")</f>
        <v/>
      </c>
      <c r="AC431" s="39" t="str">
        <f>IFERROR(ödev!AN27*100/ödev!$I27,"")</f>
        <v/>
      </c>
      <c r="AD431" s="39" t="str">
        <f>IFERROR(ödev!AO27*100/ödev!$I27,"")</f>
        <v/>
      </c>
      <c r="AE431" s="39" t="str">
        <f>IFERROR(ödev!AP27*100/ödev!$I27,"")</f>
        <v/>
      </c>
      <c r="AF431" s="39" t="str">
        <f>IFERROR(ödev!AQ27*100/ödev!$I27,"")</f>
        <v/>
      </c>
      <c r="AG431" s="39" t="str">
        <f>IFERROR(ödev!AR27*100/ödev!$I27,"")</f>
        <v/>
      </c>
      <c r="AH431" s="39" t="str">
        <f>IFERROR(ödev!AS27*100/ödev!$I27,"")</f>
        <v/>
      </c>
      <c r="AI431" s="39" t="str">
        <f>IFERROR(ödev!AT27*100/ödev!$I27,"")</f>
        <v/>
      </c>
      <c r="AJ431" s="39" t="str">
        <f>IFERROR(ödev!AU27*100/ödev!$I27,"")</f>
        <v/>
      </c>
      <c r="AK431" s="39" t="str">
        <f>IFERROR(ödev!AV27*100/ödev!$I27,"")</f>
        <v/>
      </c>
      <c r="AL431" s="39" t="str">
        <f>IFERROR(ödev!AW27*100/ödev!$I27,"")</f>
        <v/>
      </c>
      <c r="AM431" s="39" t="str">
        <f>IFERROR(ödev!AX27*100/ödev!$I27,"")</f>
        <v/>
      </c>
      <c r="AN431" s="39" t="str">
        <f>IFERROR(ödev!AY27*100/ödev!$I27,"")</f>
        <v/>
      </c>
      <c r="AO431" s="39" t="str">
        <f>IFERROR(ödev!AZ27*100/ödev!$I27,"")</f>
        <v/>
      </c>
      <c r="AP431" s="39" t="str">
        <f>IFERROR(ödev!BA27*100/ödev!$I27,"")</f>
        <v/>
      </c>
      <c r="AQ431" s="39" t="str">
        <f>IFERROR(ödev!BB27*100/ödev!$I27,"")</f>
        <v/>
      </c>
      <c r="AR431" s="39" t="str">
        <f>IFERROR(ödev!BC27*100/ödev!$I27,"")</f>
        <v/>
      </c>
      <c r="AS431" s="39" t="str">
        <f>IFERROR(ödev!BD27*100/ödev!$I27,"")</f>
        <v/>
      </c>
      <c r="AT431" s="39" t="str">
        <f>IFERROR(ödev!BE27*100/ödev!$I27,"")</f>
        <v/>
      </c>
      <c r="AU431" s="39" t="str">
        <f>IFERROR(ödev!BF27*100/ödev!$I27,"")</f>
        <v/>
      </c>
      <c r="AV431" s="39" t="str">
        <f>IFERROR(ödev!BG27*100/ödev!$I27,"")</f>
        <v/>
      </c>
      <c r="AW431" s="39" t="str">
        <f>IFERROR(ödev!BH27*100/ödev!$I27,"")</f>
        <v/>
      </c>
      <c r="AX431" s="39" t="str">
        <f>IFERROR(ödev!BI27*100/ödev!$I27,"")</f>
        <v/>
      </c>
      <c r="AY431" s="39" t="str">
        <f>IFERROR(ödev!BJ27*100/ödev!$I27,"")</f>
        <v/>
      </c>
      <c r="AZ431" s="39" t="str">
        <f>IFERROR(ödev!BK27*100/ödev!$I27,"")</f>
        <v/>
      </c>
      <c r="BA431" s="39" t="str">
        <f>IFERROR(ödev!BL27*100/ödev!$I27,"")</f>
        <v/>
      </c>
      <c r="BB431" s="39" t="str">
        <f>IFERROR(ödev!BM27*100/ödev!$I27,"")</f>
        <v/>
      </c>
      <c r="BC431" s="39" t="str">
        <f>IFERROR(ödev!BN27*100/ödev!$I27,"")</f>
        <v/>
      </c>
      <c r="BD431" s="39" t="str">
        <f>IFERROR(ödev!BO27*100/ödev!$I27,"")</f>
        <v/>
      </c>
      <c r="BE431" s="39" t="str">
        <f>IFERROR(ödev!BP27*100/ödev!$I27,"")</f>
        <v/>
      </c>
      <c r="BF431" s="39" t="str">
        <f>IFERROR(ödev!BQ27*100/ödev!$I27,"")</f>
        <v/>
      </c>
      <c r="BG431" s="39" t="str">
        <f>IFERROR(ödev!BR27*100/ödev!$I27,"")</f>
        <v/>
      </c>
      <c r="BH431" s="39" t="str">
        <f>IFERROR(ödev!BS27*100/ödev!$I27,"")</f>
        <v/>
      </c>
      <c r="BI431" s="39" t="str">
        <f>IFERROR(ödev!BT27*100/ödev!$I27,"")</f>
        <v/>
      </c>
      <c r="BJ431" s="39" t="str">
        <f>IFERROR(ödev!BU27*100/ödev!$I27,"")</f>
        <v/>
      </c>
      <c r="BK431" s="39" t="str">
        <f>IFERROR(ödev!BV27*100/ödev!$I27,"")</f>
        <v/>
      </c>
      <c r="BL431" s="39" t="str">
        <f>IFERROR(ödev!BW27*100/ödev!$I27,"")</f>
        <v/>
      </c>
      <c r="BM431" s="39" t="str">
        <f>IFERROR(ödev!BX27*100/ödev!$I27,"")</f>
        <v/>
      </c>
      <c r="BN431" s="39" t="str">
        <f>IFERROR(ödev!BY27*100/ödev!$I27,"")</f>
        <v/>
      </c>
      <c r="BO431" s="39" t="str">
        <f>IFERROR(ödev!BZ27*100/ödev!$I27,"")</f>
        <v/>
      </c>
      <c r="BP431" s="39" t="str">
        <f>IFERROR(ödev!CA27*100/ödev!$I27,"")</f>
        <v/>
      </c>
      <c r="BQ431" s="39" t="str">
        <f>IFERROR(ödev!CB27*100/ödev!$I27,"")</f>
        <v/>
      </c>
      <c r="BR431" s="39" t="str">
        <f>IFERROR(ödev!CC27*100/ödev!$I27,"")</f>
        <v/>
      </c>
      <c r="BS431" s="39" t="str">
        <f>IFERROR(ödev!CD27*100/ödev!$I27,"")</f>
        <v/>
      </c>
      <c r="BT431" s="39" t="str">
        <f>IFERROR(ödev!CE27*100/ödev!$I27,"")</f>
        <v/>
      </c>
      <c r="BU431" s="39" t="str">
        <f>IFERROR(ödev!CF27*100/ödev!$I27,"")</f>
        <v/>
      </c>
      <c r="BV431" s="39" t="str">
        <f>IFERROR(ödev!CG27*100/ödev!$I27,"")</f>
        <v/>
      </c>
      <c r="BW431" s="39" t="str">
        <f>IFERROR(ödev!CH27*100/ödev!$I27,"")</f>
        <v/>
      </c>
      <c r="BX431" s="39" t="str">
        <f>IFERROR(ödev!CI27*100/ödev!$I27,"")</f>
        <v/>
      </c>
      <c r="BY431" s="39" t="str">
        <f>IFERROR(ödev!CJ27*100/ödev!$I27,"")</f>
        <v/>
      </c>
      <c r="BZ431" s="39" t="str">
        <f>IFERROR(ödev!CK27*100/ödev!$I27,"")</f>
        <v/>
      </c>
      <c r="CA431" s="39" t="str">
        <f>IFERROR(ödev!CL27*100/ödev!$I27,"")</f>
        <v/>
      </c>
      <c r="CB431" s="39" t="str">
        <f>IFERROR(ödev!CM27*100/ödev!$I27,"")</f>
        <v/>
      </c>
      <c r="CC431" s="39" t="str">
        <f>IFERROR(ödev!CN27*100/ödev!$I27,"")</f>
        <v/>
      </c>
      <c r="CD431" s="39" t="str">
        <f>IFERROR(ödev!CO27*100/ödev!$I27,"")</f>
        <v/>
      </c>
      <c r="CE431" s="39" t="str">
        <f>IFERROR(ödev!CP27*100/ödev!$I27,"")</f>
        <v/>
      </c>
      <c r="CF431" s="39" t="str">
        <f>IFERROR(ödev!CQ27*100/ödev!$I27,"")</f>
        <v/>
      </c>
      <c r="CG431" s="39" t="str">
        <f>IFERROR(ödev!CR27*100/ödev!$I27,"")</f>
        <v/>
      </c>
      <c r="CH431" s="39" t="str">
        <f>IFERROR(ödev!CS27*100/ödev!$I27,"")</f>
        <v/>
      </c>
      <c r="CI431" s="39" t="str">
        <f>IFERROR(ödev!CT27*100/ödev!$I27,"")</f>
        <v/>
      </c>
      <c r="CJ431" s="39" t="str">
        <f>IFERROR(ödev!CU27*100/ödev!$I27,"")</f>
        <v/>
      </c>
      <c r="CK431" s="39" t="str">
        <f>IFERROR(ödev!CV27*100/ödev!$I27,"")</f>
        <v/>
      </c>
      <c r="CL431" s="39" t="str">
        <f>IFERROR(ödev!CW27*100/ödev!$I27,"")</f>
        <v/>
      </c>
      <c r="CM431" s="39" t="str">
        <f>IFERROR(ödev!CX27*100/ödev!$I27,"")</f>
        <v/>
      </c>
      <c r="CN431" s="39" t="str">
        <f>IFERROR(ödev!CY27*100/ödev!$I27,"")</f>
        <v/>
      </c>
      <c r="CO431" s="39" t="str">
        <f>IFERROR(ödev!CZ27*100/ödev!$I27,"")</f>
        <v/>
      </c>
      <c r="CP431" s="39" t="str">
        <f>IFERROR(ödev!DA27*100/ödev!$I27,"")</f>
        <v/>
      </c>
      <c r="CQ431" s="39" t="str">
        <f>IFERROR(ödev!DB27*100/ödev!$I27,"")</f>
        <v/>
      </c>
      <c r="CR431" s="39" t="str">
        <f>IFERROR(ödev!DC27*100/ödev!$I27,"")</f>
        <v/>
      </c>
      <c r="CS431" s="39" t="str">
        <f>IFERROR(ödev!DD27*100/ödev!$I27,"")</f>
        <v/>
      </c>
      <c r="CT431" s="39" t="str">
        <f>IFERROR(ödev!DE27*100/ödev!$I27,"")</f>
        <v/>
      </c>
      <c r="CU431" s="39" t="str">
        <f>IFERROR(ödev!DF27*100/ödev!$I27,"")</f>
        <v/>
      </c>
      <c r="CV431" s="39" t="str">
        <f>IFERROR(ödev!DG27*100/ödev!$I27,"")</f>
        <v/>
      </c>
      <c r="CW431" s="36" t="str">
        <f>IFERROR(SUM(A431:CV431)/ödev!$DH$103,"")</f>
        <v/>
      </c>
      <c r="CX431" s="14" t="str">
        <f>IF(COUNTA(ödev!A27),ödev!A27,"")</f>
        <v/>
      </c>
      <c r="CY431" s="14" t="str">
        <f>IF(COUNTA(ödev!B27),ödev!B27,"")</f>
        <v/>
      </c>
      <c r="CZ431" s="14" t="str">
        <f>IF(COUNTA(ödev!C27),ödev!C27,"")</f>
        <v/>
      </c>
      <c r="DA431" s="14" t="str">
        <f>IF(COUNTA(ödev!D27),ödev!D27,"")</f>
        <v/>
      </c>
      <c r="DB431" s="14" t="str">
        <f>IF(COUNTA(ödev!E27),ödev!E27,"")</f>
        <v/>
      </c>
      <c r="DC431" s="14" t="str">
        <f>IF(COUNTA(ödev!F27),ödev!F27,"")</f>
        <v/>
      </c>
      <c r="DD431" s="14" t="str">
        <f>IF(COUNTA(ödev!G27),ödev!G27,"")</f>
        <v/>
      </c>
      <c r="DE431" s="14" t="str">
        <f>IF(COUNTA(ödev!H27),ödev!H27,"")</f>
        <v/>
      </c>
    </row>
    <row r="432" spans="1:109" x14ac:dyDescent="0.2">
      <c r="A432" s="39" t="str">
        <f>IFERROR(ödev!L28*100/ödev!$I28,"")</f>
        <v/>
      </c>
      <c r="B432" s="39" t="str">
        <f>IFERROR(ödev!M28*100/ödev!$I28,"")</f>
        <v/>
      </c>
      <c r="C432" s="39" t="str">
        <f>IFERROR(ödev!N28*100/ödev!$I28,"")</f>
        <v/>
      </c>
      <c r="D432" s="39" t="str">
        <f>IFERROR(ödev!O28*100/ödev!$I28,"")</f>
        <v/>
      </c>
      <c r="E432" s="39" t="str">
        <f>IFERROR(ödev!P28*100/ödev!$I28,"")</f>
        <v/>
      </c>
      <c r="F432" s="39" t="str">
        <f>IFERROR(ödev!Q28*100/ödev!$I28,"")</f>
        <v/>
      </c>
      <c r="G432" s="39" t="str">
        <f>IFERROR(ödev!R28*100/ödev!$I28,"")</f>
        <v/>
      </c>
      <c r="H432" s="39" t="str">
        <f>IFERROR(ödev!S28*100/ödev!$I28,"")</f>
        <v/>
      </c>
      <c r="I432" s="39" t="str">
        <f>IFERROR(ödev!T28*100/ödev!$I28,"")</f>
        <v/>
      </c>
      <c r="J432" s="39" t="str">
        <f>IFERROR(ödev!U28*100/ödev!$I28,"")</f>
        <v/>
      </c>
      <c r="K432" s="39" t="str">
        <f>IFERROR(ödev!V28*100/ödev!$I28,"")</f>
        <v/>
      </c>
      <c r="L432" s="39" t="str">
        <f>IFERROR(ödev!W28*100/ödev!$I28,"")</f>
        <v/>
      </c>
      <c r="M432" s="39" t="str">
        <f>IFERROR(ödev!X28*100/ödev!$I28,"")</f>
        <v/>
      </c>
      <c r="N432" s="39" t="str">
        <f>IFERROR(ödev!Y28*100/ödev!$I28,"")</f>
        <v/>
      </c>
      <c r="O432" s="39" t="str">
        <f>IFERROR(ödev!Z28*100/ödev!$I28,"")</f>
        <v/>
      </c>
      <c r="P432" s="39" t="str">
        <f>IFERROR(ödev!AA28*100/ödev!$I28,"")</f>
        <v/>
      </c>
      <c r="Q432" s="39" t="str">
        <f>IFERROR(ödev!AB28*100/ödev!$I28,"")</f>
        <v/>
      </c>
      <c r="R432" s="39" t="str">
        <f>IFERROR(ödev!AC28*100/ödev!$I28,"")</f>
        <v/>
      </c>
      <c r="S432" s="39" t="str">
        <f>IFERROR(ödev!AD28*100/ödev!$I28,"")</f>
        <v/>
      </c>
      <c r="T432" s="39" t="str">
        <f>IFERROR(ödev!AE28*100/ödev!$I28,"")</f>
        <v/>
      </c>
      <c r="U432" s="39" t="str">
        <f>IFERROR(ödev!AF28*100/ödev!$I28,"")</f>
        <v/>
      </c>
      <c r="V432" s="39" t="str">
        <f>IFERROR(ödev!AG28*100/ödev!$I28,"")</f>
        <v/>
      </c>
      <c r="W432" s="39" t="str">
        <f>IFERROR(ödev!AH28*100/ödev!$I28,"")</f>
        <v/>
      </c>
      <c r="X432" s="39" t="str">
        <f>IFERROR(ödev!AI28*100/ödev!$I28,"")</f>
        <v/>
      </c>
      <c r="Y432" s="39" t="str">
        <f>IFERROR(ödev!AJ28*100/ödev!$I28,"")</f>
        <v/>
      </c>
      <c r="Z432" s="39" t="str">
        <f>IFERROR(ödev!AK28*100/ödev!$I28,"")</f>
        <v/>
      </c>
      <c r="AA432" s="39" t="str">
        <f>IFERROR(ödev!AL28*100/ödev!$I28,"")</f>
        <v/>
      </c>
      <c r="AB432" s="39" t="str">
        <f>IFERROR(ödev!AM28*100/ödev!$I28,"")</f>
        <v/>
      </c>
      <c r="AC432" s="39" t="str">
        <f>IFERROR(ödev!AN28*100/ödev!$I28,"")</f>
        <v/>
      </c>
      <c r="AD432" s="39" t="str">
        <f>IFERROR(ödev!AO28*100/ödev!$I28,"")</f>
        <v/>
      </c>
      <c r="AE432" s="39" t="str">
        <f>IFERROR(ödev!AP28*100/ödev!$I28,"")</f>
        <v/>
      </c>
      <c r="AF432" s="39" t="str">
        <f>IFERROR(ödev!AQ28*100/ödev!$I28,"")</f>
        <v/>
      </c>
      <c r="AG432" s="39" t="str">
        <f>IFERROR(ödev!AR28*100/ödev!$I28,"")</f>
        <v/>
      </c>
      <c r="AH432" s="39" t="str">
        <f>IFERROR(ödev!AS28*100/ödev!$I28,"")</f>
        <v/>
      </c>
      <c r="AI432" s="39" t="str">
        <f>IFERROR(ödev!AT28*100/ödev!$I28,"")</f>
        <v/>
      </c>
      <c r="AJ432" s="39" t="str">
        <f>IFERROR(ödev!AU28*100/ödev!$I28,"")</f>
        <v/>
      </c>
      <c r="AK432" s="39" t="str">
        <f>IFERROR(ödev!AV28*100/ödev!$I28,"")</f>
        <v/>
      </c>
      <c r="AL432" s="39" t="str">
        <f>IFERROR(ödev!AW28*100/ödev!$I28,"")</f>
        <v/>
      </c>
      <c r="AM432" s="39" t="str">
        <f>IFERROR(ödev!AX28*100/ödev!$I28,"")</f>
        <v/>
      </c>
      <c r="AN432" s="39" t="str">
        <f>IFERROR(ödev!AY28*100/ödev!$I28,"")</f>
        <v/>
      </c>
      <c r="AO432" s="39" t="str">
        <f>IFERROR(ödev!AZ28*100/ödev!$I28,"")</f>
        <v/>
      </c>
      <c r="AP432" s="39" t="str">
        <f>IFERROR(ödev!BA28*100/ödev!$I28,"")</f>
        <v/>
      </c>
      <c r="AQ432" s="39" t="str">
        <f>IFERROR(ödev!BB28*100/ödev!$I28,"")</f>
        <v/>
      </c>
      <c r="AR432" s="39" t="str">
        <f>IFERROR(ödev!BC28*100/ödev!$I28,"")</f>
        <v/>
      </c>
      <c r="AS432" s="39" t="str">
        <f>IFERROR(ödev!BD28*100/ödev!$I28,"")</f>
        <v/>
      </c>
      <c r="AT432" s="39" t="str">
        <f>IFERROR(ödev!BE28*100/ödev!$I28,"")</f>
        <v/>
      </c>
      <c r="AU432" s="39" t="str">
        <f>IFERROR(ödev!BF28*100/ödev!$I28,"")</f>
        <v/>
      </c>
      <c r="AV432" s="39" t="str">
        <f>IFERROR(ödev!BG28*100/ödev!$I28,"")</f>
        <v/>
      </c>
      <c r="AW432" s="39" t="str">
        <f>IFERROR(ödev!BH28*100/ödev!$I28,"")</f>
        <v/>
      </c>
      <c r="AX432" s="39" t="str">
        <f>IFERROR(ödev!BI28*100/ödev!$I28,"")</f>
        <v/>
      </c>
      <c r="AY432" s="39" t="str">
        <f>IFERROR(ödev!BJ28*100/ödev!$I28,"")</f>
        <v/>
      </c>
      <c r="AZ432" s="39" t="str">
        <f>IFERROR(ödev!BK28*100/ödev!$I28,"")</f>
        <v/>
      </c>
      <c r="BA432" s="39" t="str">
        <f>IFERROR(ödev!BL28*100/ödev!$I28,"")</f>
        <v/>
      </c>
      <c r="BB432" s="39" t="str">
        <f>IFERROR(ödev!BM28*100/ödev!$I28,"")</f>
        <v/>
      </c>
      <c r="BC432" s="39" t="str">
        <f>IFERROR(ödev!BN28*100/ödev!$I28,"")</f>
        <v/>
      </c>
      <c r="BD432" s="39" t="str">
        <f>IFERROR(ödev!BO28*100/ödev!$I28,"")</f>
        <v/>
      </c>
      <c r="BE432" s="39" t="str">
        <f>IFERROR(ödev!BP28*100/ödev!$I28,"")</f>
        <v/>
      </c>
      <c r="BF432" s="39" t="str">
        <f>IFERROR(ödev!BQ28*100/ödev!$I28,"")</f>
        <v/>
      </c>
      <c r="BG432" s="39" t="str">
        <f>IFERROR(ödev!BR28*100/ödev!$I28,"")</f>
        <v/>
      </c>
      <c r="BH432" s="39" t="str">
        <f>IFERROR(ödev!BS28*100/ödev!$I28,"")</f>
        <v/>
      </c>
      <c r="BI432" s="39" t="str">
        <f>IFERROR(ödev!BT28*100/ödev!$I28,"")</f>
        <v/>
      </c>
      <c r="BJ432" s="39" t="str">
        <f>IFERROR(ödev!BU28*100/ödev!$I28,"")</f>
        <v/>
      </c>
      <c r="BK432" s="39" t="str">
        <f>IFERROR(ödev!BV28*100/ödev!$I28,"")</f>
        <v/>
      </c>
      <c r="BL432" s="39" t="str">
        <f>IFERROR(ödev!BW28*100/ödev!$I28,"")</f>
        <v/>
      </c>
      <c r="BM432" s="39" t="str">
        <f>IFERROR(ödev!BX28*100/ödev!$I28,"")</f>
        <v/>
      </c>
      <c r="BN432" s="39" t="str">
        <f>IFERROR(ödev!BY28*100/ödev!$I28,"")</f>
        <v/>
      </c>
      <c r="BO432" s="39" t="str">
        <f>IFERROR(ödev!BZ28*100/ödev!$I28,"")</f>
        <v/>
      </c>
      <c r="BP432" s="39" t="str">
        <f>IFERROR(ödev!CA28*100/ödev!$I28,"")</f>
        <v/>
      </c>
      <c r="BQ432" s="39" t="str">
        <f>IFERROR(ödev!CB28*100/ödev!$I28,"")</f>
        <v/>
      </c>
      <c r="BR432" s="39" t="str">
        <f>IFERROR(ödev!CC28*100/ödev!$I28,"")</f>
        <v/>
      </c>
      <c r="BS432" s="39" t="str">
        <f>IFERROR(ödev!CD28*100/ödev!$I28,"")</f>
        <v/>
      </c>
      <c r="BT432" s="39" t="str">
        <f>IFERROR(ödev!CE28*100/ödev!$I28,"")</f>
        <v/>
      </c>
      <c r="BU432" s="39" t="str">
        <f>IFERROR(ödev!CF28*100/ödev!$I28,"")</f>
        <v/>
      </c>
      <c r="BV432" s="39" t="str">
        <f>IFERROR(ödev!CG28*100/ödev!$I28,"")</f>
        <v/>
      </c>
      <c r="BW432" s="39" t="str">
        <f>IFERROR(ödev!CH28*100/ödev!$I28,"")</f>
        <v/>
      </c>
      <c r="BX432" s="39" t="str">
        <f>IFERROR(ödev!CI28*100/ödev!$I28,"")</f>
        <v/>
      </c>
      <c r="BY432" s="39" t="str">
        <f>IFERROR(ödev!CJ28*100/ödev!$I28,"")</f>
        <v/>
      </c>
      <c r="BZ432" s="39" t="str">
        <f>IFERROR(ödev!CK28*100/ödev!$I28,"")</f>
        <v/>
      </c>
      <c r="CA432" s="39" t="str">
        <f>IFERROR(ödev!CL28*100/ödev!$I28,"")</f>
        <v/>
      </c>
      <c r="CB432" s="39" t="str">
        <f>IFERROR(ödev!CM28*100/ödev!$I28,"")</f>
        <v/>
      </c>
      <c r="CC432" s="39" t="str">
        <f>IFERROR(ödev!CN28*100/ödev!$I28,"")</f>
        <v/>
      </c>
      <c r="CD432" s="39" t="str">
        <f>IFERROR(ödev!CO28*100/ödev!$I28,"")</f>
        <v/>
      </c>
      <c r="CE432" s="39" t="str">
        <f>IFERROR(ödev!CP28*100/ödev!$I28,"")</f>
        <v/>
      </c>
      <c r="CF432" s="39" t="str">
        <f>IFERROR(ödev!CQ28*100/ödev!$I28,"")</f>
        <v/>
      </c>
      <c r="CG432" s="39" t="str">
        <f>IFERROR(ödev!CR28*100/ödev!$I28,"")</f>
        <v/>
      </c>
      <c r="CH432" s="39" t="str">
        <f>IFERROR(ödev!CS28*100/ödev!$I28,"")</f>
        <v/>
      </c>
      <c r="CI432" s="39" t="str">
        <f>IFERROR(ödev!CT28*100/ödev!$I28,"")</f>
        <v/>
      </c>
      <c r="CJ432" s="39" t="str">
        <f>IFERROR(ödev!CU28*100/ödev!$I28,"")</f>
        <v/>
      </c>
      <c r="CK432" s="39" t="str">
        <f>IFERROR(ödev!CV28*100/ödev!$I28,"")</f>
        <v/>
      </c>
      <c r="CL432" s="39" t="str">
        <f>IFERROR(ödev!CW28*100/ödev!$I28,"")</f>
        <v/>
      </c>
      <c r="CM432" s="39" t="str">
        <f>IFERROR(ödev!CX28*100/ödev!$I28,"")</f>
        <v/>
      </c>
      <c r="CN432" s="39" t="str">
        <f>IFERROR(ödev!CY28*100/ödev!$I28,"")</f>
        <v/>
      </c>
      <c r="CO432" s="39" t="str">
        <f>IFERROR(ödev!CZ28*100/ödev!$I28,"")</f>
        <v/>
      </c>
      <c r="CP432" s="39" t="str">
        <f>IFERROR(ödev!DA28*100/ödev!$I28,"")</f>
        <v/>
      </c>
      <c r="CQ432" s="39" t="str">
        <f>IFERROR(ödev!DB28*100/ödev!$I28,"")</f>
        <v/>
      </c>
      <c r="CR432" s="39" t="str">
        <f>IFERROR(ödev!DC28*100/ödev!$I28,"")</f>
        <v/>
      </c>
      <c r="CS432" s="39" t="str">
        <f>IFERROR(ödev!DD28*100/ödev!$I28,"")</f>
        <v/>
      </c>
      <c r="CT432" s="39" t="str">
        <f>IFERROR(ödev!DE28*100/ödev!$I28,"")</f>
        <v/>
      </c>
      <c r="CU432" s="39" t="str">
        <f>IFERROR(ödev!DF28*100/ödev!$I28,"")</f>
        <v/>
      </c>
      <c r="CV432" s="39" t="str">
        <f>IFERROR(ödev!DG28*100/ödev!$I28,"")</f>
        <v/>
      </c>
      <c r="CW432" s="36" t="str">
        <f>IFERROR(SUM(A432:CV432)/ödev!$DH$103,"")</f>
        <v/>
      </c>
      <c r="CX432" s="14" t="str">
        <f>IF(COUNTA(ödev!A28),ödev!A28,"")</f>
        <v/>
      </c>
      <c r="CY432" s="14" t="str">
        <f>IF(COUNTA(ödev!B28),ödev!B28,"")</f>
        <v/>
      </c>
      <c r="CZ432" s="14" t="str">
        <f>IF(COUNTA(ödev!C28),ödev!C28,"")</f>
        <v/>
      </c>
      <c r="DA432" s="14" t="str">
        <f>IF(COUNTA(ödev!D28),ödev!D28,"")</f>
        <v/>
      </c>
      <c r="DB432" s="14" t="str">
        <f>IF(COUNTA(ödev!E28),ödev!E28,"")</f>
        <v/>
      </c>
      <c r="DC432" s="14" t="str">
        <f>IF(COUNTA(ödev!F28),ödev!F28,"")</f>
        <v/>
      </c>
      <c r="DD432" s="14" t="str">
        <f>IF(COUNTA(ödev!G28),ödev!G28,"")</f>
        <v/>
      </c>
      <c r="DE432" s="14" t="str">
        <f>IF(COUNTA(ödev!H28),ödev!H28,"")</f>
        <v/>
      </c>
    </row>
    <row r="433" spans="1:109" x14ac:dyDescent="0.2">
      <c r="A433" s="39" t="str">
        <f>IFERROR(ödev!L29*100/ödev!$I29,"")</f>
        <v/>
      </c>
      <c r="B433" s="39" t="str">
        <f>IFERROR(ödev!M29*100/ödev!$I29,"")</f>
        <v/>
      </c>
      <c r="C433" s="39" t="str">
        <f>IFERROR(ödev!N29*100/ödev!$I29,"")</f>
        <v/>
      </c>
      <c r="D433" s="39" t="str">
        <f>IFERROR(ödev!O29*100/ödev!$I29,"")</f>
        <v/>
      </c>
      <c r="E433" s="39" t="str">
        <f>IFERROR(ödev!P29*100/ödev!$I29,"")</f>
        <v/>
      </c>
      <c r="F433" s="39" t="str">
        <f>IFERROR(ödev!Q29*100/ödev!$I29,"")</f>
        <v/>
      </c>
      <c r="G433" s="39" t="str">
        <f>IFERROR(ödev!R29*100/ödev!$I29,"")</f>
        <v/>
      </c>
      <c r="H433" s="39" t="str">
        <f>IFERROR(ödev!S29*100/ödev!$I29,"")</f>
        <v/>
      </c>
      <c r="I433" s="39" t="str">
        <f>IFERROR(ödev!T29*100/ödev!$I29,"")</f>
        <v/>
      </c>
      <c r="J433" s="39" t="str">
        <f>IFERROR(ödev!U29*100/ödev!$I29,"")</f>
        <v/>
      </c>
      <c r="K433" s="39" t="str">
        <f>IFERROR(ödev!V29*100/ödev!$I29,"")</f>
        <v/>
      </c>
      <c r="L433" s="39" t="str">
        <f>IFERROR(ödev!W29*100/ödev!$I29,"")</f>
        <v/>
      </c>
      <c r="M433" s="39" t="str">
        <f>IFERROR(ödev!X29*100/ödev!$I29,"")</f>
        <v/>
      </c>
      <c r="N433" s="39" t="str">
        <f>IFERROR(ödev!Y29*100/ödev!$I29,"")</f>
        <v/>
      </c>
      <c r="O433" s="39" t="str">
        <f>IFERROR(ödev!Z29*100/ödev!$I29,"")</f>
        <v/>
      </c>
      <c r="P433" s="39" t="str">
        <f>IFERROR(ödev!AA29*100/ödev!$I29,"")</f>
        <v/>
      </c>
      <c r="Q433" s="39" t="str">
        <f>IFERROR(ödev!AB29*100/ödev!$I29,"")</f>
        <v/>
      </c>
      <c r="R433" s="39" t="str">
        <f>IFERROR(ödev!AC29*100/ödev!$I29,"")</f>
        <v/>
      </c>
      <c r="S433" s="39" t="str">
        <f>IFERROR(ödev!AD29*100/ödev!$I29,"")</f>
        <v/>
      </c>
      <c r="T433" s="39" t="str">
        <f>IFERROR(ödev!AE29*100/ödev!$I29,"")</f>
        <v/>
      </c>
      <c r="U433" s="39" t="str">
        <f>IFERROR(ödev!AF29*100/ödev!$I29,"")</f>
        <v/>
      </c>
      <c r="V433" s="39" t="str">
        <f>IFERROR(ödev!AG29*100/ödev!$I29,"")</f>
        <v/>
      </c>
      <c r="W433" s="39" t="str">
        <f>IFERROR(ödev!AH29*100/ödev!$I29,"")</f>
        <v/>
      </c>
      <c r="X433" s="39" t="str">
        <f>IFERROR(ödev!AI29*100/ödev!$I29,"")</f>
        <v/>
      </c>
      <c r="Y433" s="39" t="str">
        <f>IFERROR(ödev!AJ29*100/ödev!$I29,"")</f>
        <v/>
      </c>
      <c r="Z433" s="39" t="str">
        <f>IFERROR(ödev!AK29*100/ödev!$I29,"")</f>
        <v/>
      </c>
      <c r="AA433" s="39" t="str">
        <f>IFERROR(ödev!AL29*100/ödev!$I29,"")</f>
        <v/>
      </c>
      <c r="AB433" s="39" t="str">
        <f>IFERROR(ödev!AM29*100/ödev!$I29,"")</f>
        <v/>
      </c>
      <c r="AC433" s="39" t="str">
        <f>IFERROR(ödev!AN29*100/ödev!$I29,"")</f>
        <v/>
      </c>
      <c r="AD433" s="39" t="str">
        <f>IFERROR(ödev!AO29*100/ödev!$I29,"")</f>
        <v/>
      </c>
      <c r="AE433" s="39" t="str">
        <f>IFERROR(ödev!AP29*100/ödev!$I29,"")</f>
        <v/>
      </c>
      <c r="AF433" s="39" t="str">
        <f>IFERROR(ödev!AQ29*100/ödev!$I29,"")</f>
        <v/>
      </c>
      <c r="AG433" s="39" t="str">
        <f>IFERROR(ödev!AR29*100/ödev!$I29,"")</f>
        <v/>
      </c>
      <c r="AH433" s="39" t="str">
        <f>IFERROR(ödev!AS29*100/ödev!$I29,"")</f>
        <v/>
      </c>
      <c r="AI433" s="39" t="str">
        <f>IFERROR(ödev!AT29*100/ödev!$I29,"")</f>
        <v/>
      </c>
      <c r="AJ433" s="39" t="str">
        <f>IFERROR(ödev!AU29*100/ödev!$I29,"")</f>
        <v/>
      </c>
      <c r="AK433" s="39" t="str">
        <f>IFERROR(ödev!AV29*100/ödev!$I29,"")</f>
        <v/>
      </c>
      <c r="AL433" s="39" t="str">
        <f>IFERROR(ödev!AW29*100/ödev!$I29,"")</f>
        <v/>
      </c>
      <c r="AM433" s="39" t="str">
        <f>IFERROR(ödev!AX29*100/ödev!$I29,"")</f>
        <v/>
      </c>
      <c r="AN433" s="39" t="str">
        <f>IFERROR(ödev!AY29*100/ödev!$I29,"")</f>
        <v/>
      </c>
      <c r="AO433" s="39" t="str">
        <f>IFERROR(ödev!AZ29*100/ödev!$I29,"")</f>
        <v/>
      </c>
      <c r="AP433" s="39" t="str">
        <f>IFERROR(ödev!BA29*100/ödev!$I29,"")</f>
        <v/>
      </c>
      <c r="AQ433" s="39" t="str">
        <f>IFERROR(ödev!BB29*100/ödev!$I29,"")</f>
        <v/>
      </c>
      <c r="AR433" s="39" t="str">
        <f>IFERROR(ödev!BC29*100/ödev!$I29,"")</f>
        <v/>
      </c>
      <c r="AS433" s="39" t="str">
        <f>IFERROR(ödev!BD29*100/ödev!$I29,"")</f>
        <v/>
      </c>
      <c r="AT433" s="39" t="str">
        <f>IFERROR(ödev!BE29*100/ödev!$I29,"")</f>
        <v/>
      </c>
      <c r="AU433" s="39" t="str">
        <f>IFERROR(ödev!BF29*100/ödev!$I29,"")</f>
        <v/>
      </c>
      <c r="AV433" s="39" t="str">
        <f>IFERROR(ödev!BG29*100/ödev!$I29,"")</f>
        <v/>
      </c>
      <c r="AW433" s="39" t="str">
        <f>IFERROR(ödev!BH29*100/ödev!$I29,"")</f>
        <v/>
      </c>
      <c r="AX433" s="39" t="str">
        <f>IFERROR(ödev!BI29*100/ödev!$I29,"")</f>
        <v/>
      </c>
      <c r="AY433" s="39" t="str">
        <f>IFERROR(ödev!BJ29*100/ödev!$I29,"")</f>
        <v/>
      </c>
      <c r="AZ433" s="39" t="str">
        <f>IFERROR(ödev!BK29*100/ödev!$I29,"")</f>
        <v/>
      </c>
      <c r="BA433" s="39" t="str">
        <f>IFERROR(ödev!BL29*100/ödev!$I29,"")</f>
        <v/>
      </c>
      <c r="BB433" s="39" t="str">
        <f>IFERROR(ödev!BM29*100/ödev!$I29,"")</f>
        <v/>
      </c>
      <c r="BC433" s="39" t="str">
        <f>IFERROR(ödev!BN29*100/ödev!$I29,"")</f>
        <v/>
      </c>
      <c r="BD433" s="39" t="str">
        <f>IFERROR(ödev!BO29*100/ödev!$I29,"")</f>
        <v/>
      </c>
      <c r="BE433" s="39" t="str">
        <f>IFERROR(ödev!BP29*100/ödev!$I29,"")</f>
        <v/>
      </c>
      <c r="BF433" s="39" t="str">
        <f>IFERROR(ödev!BQ29*100/ödev!$I29,"")</f>
        <v/>
      </c>
      <c r="BG433" s="39" t="str">
        <f>IFERROR(ödev!BR29*100/ödev!$I29,"")</f>
        <v/>
      </c>
      <c r="BH433" s="39" t="str">
        <f>IFERROR(ödev!BS29*100/ödev!$I29,"")</f>
        <v/>
      </c>
      <c r="BI433" s="39" t="str">
        <f>IFERROR(ödev!BT29*100/ödev!$I29,"")</f>
        <v/>
      </c>
      <c r="BJ433" s="39" t="str">
        <f>IFERROR(ödev!BU29*100/ödev!$I29,"")</f>
        <v/>
      </c>
      <c r="BK433" s="39" t="str">
        <f>IFERROR(ödev!BV29*100/ödev!$I29,"")</f>
        <v/>
      </c>
      <c r="BL433" s="39" t="str">
        <f>IFERROR(ödev!BW29*100/ödev!$I29,"")</f>
        <v/>
      </c>
      <c r="BM433" s="39" t="str">
        <f>IFERROR(ödev!BX29*100/ödev!$I29,"")</f>
        <v/>
      </c>
      <c r="BN433" s="39" t="str">
        <f>IFERROR(ödev!BY29*100/ödev!$I29,"")</f>
        <v/>
      </c>
      <c r="BO433" s="39" t="str">
        <f>IFERROR(ödev!BZ29*100/ödev!$I29,"")</f>
        <v/>
      </c>
      <c r="BP433" s="39" t="str">
        <f>IFERROR(ödev!CA29*100/ödev!$I29,"")</f>
        <v/>
      </c>
      <c r="BQ433" s="39" t="str">
        <f>IFERROR(ödev!CB29*100/ödev!$I29,"")</f>
        <v/>
      </c>
      <c r="BR433" s="39" t="str">
        <f>IFERROR(ödev!CC29*100/ödev!$I29,"")</f>
        <v/>
      </c>
      <c r="BS433" s="39" t="str">
        <f>IFERROR(ödev!CD29*100/ödev!$I29,"")</f>
        <v/>
      </c>
      <c r="BT433" s="39" t="str">
        <f>IFERROR(ödev!CE29*100/ödev!$I29,"")</f>
        <v/>
      </c>
      <c r="BU433" s="39" t="str">
        <f>IFERROR(ödev!CF29*100/ödev!$I29,"")</f>
        <v/>
      </c>
      <c r="BV433" s="39" t="str">
        <f>IFERROR(ödev!CG29*100/ödev!$I29,"")</f>
        <v/>
      </c>
      <c r="BW433" s="39" t="str">
        <f>IFERROR(ödev!CH29*100/ödev!$I29,"")</f>
        <v/>
      </c>
      <c r="BX433" s="39" t="str">
        <f>IFERROR(ödev!CI29*100/ödev!$I29,"")</f>
        <v/>
      </c>
      <c r="BY433" s="39" t="str">
        <f>IFERROR(ödev!CJ29*100/ödev!$I29,"")</f>
        <v/>
      </c>
      <c r="BZ433" s="39" t="str">
        <f>IFERROR(ödev!CK29*100/ödev!$I29,"")</f>
        <v/>
      </c>
      <c r="CA433" s="39" t="str">
        <f>IFERROR(ödev!CL29*100/ödev!$I29,"")</f>
        <v/>
      </c>
      <c r="CB433" s="39" t="str">
        <f>IFERROR(ödev!CM29*100/ödev!$I29,"")</f>
        <v/>
      </c>
      <c r="CC433" s="39" t="str">
        <f>IFERROR(ödev!CN29*100/ödev!$I29,"")</f>
        <v/>
      </c>
      <c r="CD433" s="39" t="str">
        <f>IFERROR(ödev!CO29*100/ödev!$I29,"")</f>
        <v/>
      </c>
      <c r="CE433" s="39" t="str">
        <f>IFERROR(ödev!CP29*100/ödev!$I29,"")</f>
        <v/>
      </c>
      <c r="CF433" s="39" t="str">
        <f>IFERROR(ödev!CQ29*100/ödev!$I29,"")</f>
        <v/>
      </c>
      <c r="CG433" s="39" t="str">
        <f>IFERROR(ödev!CR29*100/ödev!$I29,"")</f>
        <v/>
      </c>
      <c r="CH433" s="39" t="str">
        <f>IFERROR(ödev!CS29*100/ödev!$I29,"")</f>
        <v/>
      </c>
      <c r="CI433" s="39" t="str">
        <f>IFERROR(ödev!CT29*100/ödev!$I29,"")</f>
        <v/>
      </c>
      <c r="CJ433" s="39" t="str">
        <f>IFERROR(ödev!CU29*100/ödev!$I29,"")</f>
        <v/>
      </c>
      <c r="CK433" s="39" t="str">
        <f>IFERROR(ödev!CV29*100/ödev!$I29,"")</f>
        <v/>
      </c>
      <c r="CL433" s="39" t="str">
        <f>IFERROR(ödev!CW29*100/ödev!$I29,"")</f>
        <v/>
      </c>
      <c r="CM433" s="39" t="str">
        <f>IFERROR(ödev!CX29*100/ödev!$I29,"")</f>
        <v/>
      </c>
      <c r="CN433" s="39" t="str">
        <f>IFERROR(ödev!CY29*100/ödev!$I29,"")</f>
        <v/>
      </c>
      <c r="CO433" s="39" t="str">
        <f>IFERROR(ödev!CZ29*100/ödev!$I29,"")</f>
        <v/>
      </c>
      <c r="CP433" s="39" t="str">
        <f>IFERROR(ödev!DA29*100/ödev!$I29,"")</f>
        <v/>
      </c>
      <c r="CQ433" s="39" t="str">
        <f>IFERROR(ödev!DB29*100/ödev!$I29,"")</f>
        <v/>
      </c>
      <c r="CR433" s="39" t="str">
        <f>IFERROR(ödev!DC29*100/ödev!$I29,"")</f>
        <v/>
      </c>
      <c r="CS433" s="39" t="str">
        <f>IFERROR(ödev!DD29*100/ödev!$I29,"")</f>
        <v/>
      </c>
      <c r="CT433" s="39" t="str">
        <f>IFERROR(ödev!DE29*100/ödev!$I29,"")</f>
        <v/>
      </c>
      <c r="CU433" s="39" t="str">
        <f>IFERROR(ödev!DF29*100/ödev!$I29,"")</f>
        <v/>
      </c>
      <c r="CV433" s="39" t="str">
        <f>IFERROR(ödev!DG29*100/ödev!$I29,"")</f>
        <v/>
      </c>
      <c r="CW433" s="36" t="str">
        <f>IFERROR(SUM(A433:CV433)/ödev!$DH$103,"")</f>
        <v/>
      </c>
      <c r="CX433" s="14" t="str">
        <f>IF(COUNTA(ödev!A29),ödev!A29,"")</f>
        <v/>
      </c>
      <c r="CY433" s="14" t="str">
        <f>IF(COUNTA(ödev!B29),ödev!B29,"")</f>
        <v/>
      </c>
      <c r="CZ433" s="14" t="str">
        <f>IF(COUNTA(ödev!C29),ödev!C29,"")</f>
        <v/>
      </c>
      <c r="DA433" s="14" t="str">
        <f>IF(COUNTA(ödev!D29),ödev!D29,"")</f>
        <v/>
      </c>
      <c r="DB433" s="14" t="str">
        <f>IF(COUNTA(ödev!E29),ödev!E29,"")</f>
        <v/>
      </c>
      <c r="DC433" s="14" t="str">
        <f>IF(COUNTA(ödev!F29),ödev!F29,"")</f>
        <v/>
      </c>
      <c r="DD433" s="14" t="str">
        <f>IF(COUNTA(ödev!G29),ödev!G29,"")</f>
        <v/>
      </c>
      <c r="DE433" s="14" t="str">
        <f>IF(COUNTA(ödev!H29),ödev!H29,"")</f>
        <v/>
      </c>
    </row>
    <row r="434" spans="1:109" x14ac:dyDescent="0.2">
      <c r="A434" s="39" t="str">
        <f>IFERROR(ödev!L30*100/ödev!$I30,"")</f>
        <v/>
      </c>
      <c r="B434" s="39" t="str">
        <f>IFERROR(ödev!M30*100/ödev!$I30,"")</f>
        <v/>
      </c>
      <c r="C434" s="39" t="str">
        <f>IFERROR(ödev!N30*100/ödev!$I30,"")</f>
        <v/>
      </c>
      <c r="D434" s="39" t="str">
        <f>IFERROR(ödev!O30*100/ödev!$I30,"")</f>
        <v/>
      </c>
      <c r="E434" s="39" t="str">
        <f>IFERROR(ödev!P30*100/ödev!$I30,"")</f>
        <v/>
      </c>
      <c r="F434" s="39" t="str">
        <f>IFERROR(ödev!Q30*100/ödev!$I30,"")</f>
        <v/>
      </c>
      <c r="G434" s="39" t="str">
        <f>IFERROR(ödev!R30*100/ödev!$I30,"")</f>
        <v/>
      </c>
      <c r="H434" s="39" t="str">
        <f>IFERROR(ödev!S30*100/ödev!$I30,"")</f>
        <v/>
      </c>
      <c r="I434" s="39" t="str">
        <f>IFERROR(ödev!T30*100/ödev!$I30,"")</f>
        <v/>
      </c>
      <c r="J434" s="39" t="str">
        <f>IFERROR(ödev!U30*100/ödev!$I30,"")</f>
        <v/>
      </c>
      <c r="K434" s="39" t="str">
        <f>IFERROR(ödev!V30*100/ödev!$I30,"")</f>
        <v/>
      </c>
      <c r="L434" s="39" t="str">
        <f>IFERROR(ödev!W30*100/ödev!$I30,"")</f>
        <v/>
      </c>
      <c r="M434" s="39" t="str">
        <f>IFERROR(ödev!X30*100/ödev!$I30,"")</f>
        <v/>
      </c>
      <c r="N434" s="39" t="str">
        <f>IFERROR(ödev!Y30*100/ödev!$I30,"")</f>
        <v/>
      </c>
      <c r="O434" s="39" t="str">
        <f>IFERROR(ödev!Z30*100/ödev!$I30,"")</f>
        <v/>
      </c>
      <c r="P434" s="39" t="str">
        <f>IFERROR(ödev!AA30*100/ödev!$I30,"")</f>
        <v/>
      </c>
      <c r="Q434" s="39" t="str">
        <f>IFERROR(ödev!AB30*100/ödev!$I30,"")</f>
        <v/>
      </c>
      <c r="R434" s="39" t="str">
        <f>IFERROR(ödev!AC30*100/ödev!$I30,"")</f>
        <v/>
      </c>
      <c r="S434" s="39" t="str">
        <f>IFERROR(ödev!AD30*100/ödev!$I30,"")</f>
        <v/>
      </c>
      <c r="T434" s="39" t="str">
        <f>IFERROR(ödev!AE30*100/ödev!$I30,"")</f>
        <v/>
      </c>
      <c r="U434" s="39" t="str">
        <f>IFERROR(ödev!AF30*100/ödev!$I30,"")</f>
        <v/>
      </c>
      <c r="V434" s="39" t="str">
        <f>IFERROR(ödev!AG30*100/ödev!$I30,"")</f>
        <v/>
      </c>
      <c r="W434" s="39" t="str">
        <f>IFERROR(ödev!AH30*100/ödev!$I30,"")</f>
        <v/>
      </c>
      <c r="X434" s="39" t="str">
        <f>IFERROR(ödev!AI30*100/ödev!$I30,"")</f>
        <v/>
      </c>
      <c r="Y434" s="39" t="str">
        <f>IFERROR(ödev!AJ30*100/ödev!$I30,"")</f>
        <v/>
      </c>
      <c r="Z434" s="39" t="str">
        <f>IFERROR(ödev!AK30*100/ödev!$I30,"")</f>
        <v/>
      </c>
      <c r="AA434" s="39" t="str">
        <f>IFERROR(ödev!AL30*100/ödev!$I30,"")</f>
        <v/>
      </c>
      <c r="AB434" s="39" t="str">
        <f>IFERROR(ödev!AM30*100/ödev!$I30,"")</f>
        <v/>
      </c>
      <c r="AC434" s="39" t="str">
        <f>IFERROR(ödev!AN30*100/ödev!$I30,"")</f>
        <v/>
      </c>
      <c r="AD434" s="39" t="str">
        <f>IFERROR(ödev!AO30*100/ödev!$I30,"")</f>
        <v/>
      </c>
      <c r="AE434" s="39" t="str">
        <f>IFERROR(ödev!AP30*100/ödev!$I30,"")</f>
        <v/>
      </c>
      <c r="AF434" s="39" t="str">
        <f>IFERROR(ödev!AQ30*100/ödev!$I30,"")</f>
        <v/>
      </c>
      <c r="AG434" s="39" t="str">
        <f>IFERROR(ödev!AR30*100/ödev!$I30,"")</f>
        <v/>
      </c>
      <c r="AH434" s="39" t="str">
        <f>IFERROR(ödev!AS30*100/ödev!$I30,"")</f>
        <v/>
      </c>
      <c r="AI434" s="39" t="str">
        <f>IFERROR(ödev!AT30*100/ödev!$I30,"")</f>
        <v/>
      </c>
      <c r="AJ434" s="39" t="str">
        <f>IFERROR(ödev!AU30*100/ödev!$I30,"")</f>
        <v/>
      </c>
      <c r="AK434" s="39" t="str">
        <f>IFERROR(ödev!AV30*100/ödev!$I30,"")</f>
        <v/>
      </c>
      <c r="AL434" s="39" t="str">
        <f>IFERROR(ödev!AW30*100/ödev!$I30,"")</f>
        <v/>
      </c>
      <c r="AM434" s="39" t="str">
        <f>IFERROR(ödev!AX30*100/ödev!$I30,"")</f>
        <v/>
      </c>
      <c r="AN434" s="39" t="str">
        <f>IFERROR(ödev!AY30*100/ödev!$I30,"")</f>
        <v/>
      </c>
      <c r="AO434" s="39" t="str">
        <f>IFERROR(ödev!AZ30*100/ödev!$I30,"")</f>
        <v/>
      </c>
      <c r="AP434" s="39" t="str">
        <f>IFERROR(ödev!BA30*100/ödev!$I30,"")</f>
        <v/>
      </c>
      <c r="AQ434" s="39" t="str">
        <f>IFERROR(ödev!BB30*100/ödev!$I30,"")</f>
        <v/>
      </c>
      <c r="AR434" s="39" t="str">
        <f>IFERROR(ödev!BC30*100/ödev!$I30,"")</f>
        <v/>
      </c>
      <c r="AS434" s="39" t="str">
        <f>IFERROR(ödev!BD30*100/ödev!$I30,"")</f>
        <v/>
      </c>
      <c r="AT434" s="39" t="str">
        <f>IFERROR(ödev!BE30*100/ödev!$I30,"")</f>
        <v/>
      </c>
      <c r="AU434" s="39" t="str">
        <f>IFERROR(ödev!BF30*100/ödev!$I30,"")</f>
        <v/>
      </c>
      <c r="AV434" s="39" t="str">
        <f>IFERROR(ödev!BG30*100/ödev!$I30,"")</f>
        <v/>
      </c>
      <c r="AW434" s="39" t="str">
        <f>IFERROR(ödev!BH30*100/ödev!$I30,"")</f>
        <v/>
      </c>
      <c r="AX434" s="39" t="str">
        <f>IFERROR(ödev!BI30*100/ödev!$I30,"")</f>
        <v/>
      </c>
      <c r="AY434" s="39" t="str">
        <f>IFERROR(ödev!BJ30*100/ödev!$I30,"")</f>
        <v/>
      </c>
      <c r="AZ434" s="39" t="str">
        <f>IFERROR(ödev!BK30*100/ödev!$I30,"")</f>
        <v/>
      </c>
      <c r="BA434" s="39" t="str">
        <f>IFERROR(ödev!BL30*100/ödev!$I30,"")</f>
        <v/>
      </c>
      <c r="BB434" s="39" t="str">
        <f>IFERROR(ödev!BM30*100/ödev!$I30,"")</f>
        <v/>
      </c>
      <c r="BC434" s="39" t="str">
        <f>IFERROR(ödev!BN30*100/ödev!$I30,"")</f>
        <v/>
      </c>
      <c r="BD434" s="39" t="str">
        <f>IFERROR(ödev!BO30*100/ödev!$I30,"")</f>
        <v/>
      </c>
      <c r="BE434" s="39" t="str">
        <f>IFERROR(ödev!BP30*100/ödev!$I30,"")</f>
        <v/>
      </c>
      <c r="BF434" s="39" t="str">
        <f>IFERROR(ödev!BQ30*100/ödev!$I30,"")</f>
        <v/>
      </c>
      <c r="BG434" s="39" t="str">
        <f>IFERROR(ödev!BR30*100/ödev!$I30,"")</f>
        <v/>
      </c>
      <c r="BH434" s="39" t="str">
        <f>IFERROR(ödev!BS30*100/ödev!$I30,"")</f>
        <v/>
      </c>
      <c r="BI434" s="39" t="str">
        <f>IFERROR(ödev!BT30*100/ödev!$I30,"")</f>
        <v/>
      </c>
      <c r="BJ434" s="39" t="str">
        <f>IFERROR(ödev!BU30*100/ödev!$I30,"")</f>
        <v/>
      </c>
      <c r="BK434" s="39" t="str">
        <f>IFERROR(ödev!BV30*100/ödev!$I30,"")</f>
        <v/>
      </c>
      <c r="BL434" s="39" t="str">
        <f>IFERROR(ödev!BW30*100/ödev!$I30,"")</f>
        <v/>
      </c>
      <c r="BM434" s="39" t="str">
        <f>IFERROR(ödev!BX30*100/ödev!$I30,"")</f>
        <v/>
      </c>
      <c r="BN434" s="39" t="str">
        <f>IFERROR(ödev!BY30*100/ödev!$I30,"")</f>
        <v/>
      </c>
      <c r="BO434" s="39" t="str">
        <f>IFERROR(ödev!BZ30*100/ödev!$I30,"")</f>
        <v/>
      </c>
      <c r="BP434" s="39" t="str">
        <f>IFERROR(ödev!CA30*100/ödev!$I30,"")</f>
        <v/>
      </c>
      <c r="BQ434" s="39" t="str">
        <f>IFERROR(ödev!CB30*100/ödev!$I30,"")</f>
        <v/>
      </c>
      <c r="BR434" s="39" t="str">
        <f>IFERROR(ödev!CC30*100/ödev!$I30,"")</f>
        <v/>
      </c>
      <c r="BS434" s="39" t="str">
        <f>IFERROR(ödev!CD30*100/ödev!$I30,"")</f>
        <v/>
      </c>
      <c r="BT434" s="39" t="str">
        <f>IFERROR(ödev!CE30*100/ödev!$I30,"")</f>
        <v/>
      </c>
      <c r="BU434" s="39" t="str">
        <f>IFERROR(ödev!CF30*100/ödev!$I30,"")</f>
        <v/>
      </c>
      <c r="BV434" s="39" t="str">
        <f>IFERROR(ödev!CG30*100/ödev!$I30,"")</f>
        <v/>
      </c>
      <c r="BW434" s="39" t="str">
        <f>IFERROR(ödev!CH30*100/ödev!$I30,"")</f>
        <v/>
      </c>
      <c r="BX434" s="39" t="str">
        <f>IFERROR(ödev!CI30*100/ödev!$I30,"")</f>
        <v/>
      </c>
      <c r="BY434" s="39" t="str">
        <f>IFERROR(ödev!CJ30*100/ödev!$I30,"")</f>
        <v/>
      </c>
      <c r="BZ434" s="39" t="str">
        <f>IFERROR(ödev!CK30*100/ödev!$I30,"")</f>
        <v/>
      </c>
      <c r="CA434" s="39" t="str">
        <f>IFERROR(ödev!CL30*100/ödev!$I30,"")</f>
        <v/>
      </c>
      <c r="CB434" s="39" t="str">
        <f>IFERROR(ödev!CM30*100/ödev!$I30,"")</f>
        <v/>
      </c>
      <c r="CC434" s="39" t="str">
        <f>IFERROR(ödev!CN30*100/ödev!$I30,"")</f>
        <v/>
      </c>
      <c r="CD434" s="39" t="str">
        <f>IFERROR(ödev!CO30*100/ödev!$I30,"")</f>
        <v/>
      </c>
      <c r="CE434" s="39" t="str">
        <f>IFERROR(ödev!CP30*100/ödev!$I30,"")</f>
        <v/>
      </c>
      <c r="CF434" s="39" t="str">
        <f>IFERROR(ödev!CQ30*100/ödev!$I30,"")</f>
        <v/>
      </c>
      <c r="CG434" s="39" t="str">
        <f>IFERROR(ödev!CR30*100/ödev!$I30,"")</f>
        <v/>
      </c>
      <c r="CH434" s="39" t="str">
        <f>IFERROR(ödev!CS30*100/ödev!$I30,"")</f>
        <v/>
      </c>
      <c r="CI434" s="39" t="str">
        <f>IFERROR(ödev!CT30*100/ödev!$I30,"")</f>
        <v/>
      </c>
      <c r="CJ434" s="39" t="str">
        <f>IFERROR(ödev!CU30*100/ödev!$I30,"")</f>
        <v/>
      </c>
      <c r="CK434" s="39" t="str">
        <f>IFERROR(ödev!CV30*100/ödev!$I30,"")</f>
        <v/>
      </c>
      <c r="CL434" s="39" t="str">
        <f>IFERROR(ödev!CW30*100/ödev!$I30,"")</f>
        <v/>
      </c>
      <c r="CM434" s="39" t="str">
        <f>IFERROR(ödev!CX30*100/ödev!$I30,"")</f>
        <v/>
      </c>
      <c r="CN434" s="39" t="str">
        <f>IFERROR(ödev!CY30*100/ödev!$I30,"")</f>
        <v/>
      </c>
      <c r="CO434" s="39" t="str">
        <f>IFERROR(ödev!CZ30*100/ödev!$I30,"")</f>
        <v/>
      </c>
      <c r="CP434" s="39" t="str">
        <f>IFERROR(ödev!DA30*100/ödev!$I30,"")</f>
        <v/>
      </c>
      <c r="CQ434" s="39" t="str">
        <f>IFERROR(ödev!DB30*100/ödev!$I30,"")</f>
        <v/>
      </c>
      <c r="CR434" s="39" t="str">
        <f>IFERROR(ödev!DC30*100/ödev!$I30,"")</f>
        <v/>
      </c>
      <c r="CS434" s="39" t="str">
        <f>IFERROR(ödev!DD30*100/ödev!$I30,"")</f>
        <v/>
      </c>
      <c r="CT434" s="39" t="str">
        <f>IFERROR(ödev!DE30*100/ödev!$I30,"")</f>
        <v/>
      </c>
      <c r="CU434" s="39" t="str">
        <f>IFERROR(ödev!DF30*100/ödev!$I30,"")</f>
        <v/>
      </c>
      <c r="CV434" s="39" t="str">
        <f>IFERROR(ödev!DG30*100/ödev!$I30,"")</f>
        <v/>
      </c>
      <c r="CW434" s="36" t="str">
        <f>IFERROR(SUM(A434:CV434)/ödev!$DH$103,"")</f>
        <v/>
      </c>
      <c r="CX434" s="14" t="str">
        <f>IF(COUNTA(ödev!A30),ödev!A30,"")</f>
        <v/>
      </c>
      <c r="CY434" s="14" t="str">
        <f>IF(COUNTA(ödev!B30),ödev!B30,"")</f>
        <v/>
      </c>
      <c r="CZ434" s="14" t="str">
        <f>IF(COUNTA(ödev!C30),ödev!C30,"")</f>
        <v/>
      </c>
      <c r="DA434" s="14" t="str">
        <f>IF(COUNTA(ödev!D30),ödev!D30,"")</f>
        <v/>
      </c>
      <c r="DB434" s="14" t="str">
        <f>IF(COUNTA(ödev!E30),ödev!E30,"")</f>
        <v/>
      </c>
      <c r="DC434" s="14" t="str">
        <f>IF(COUNTA(ödev!F30),ödev!F30,"")</f>
        <v/>
      </c>
      <c r="DD434" s="14" t="str">
        <f>IF(COUNTA(ödev!G30),ödev!G30,"")</f>
        <v/>
      </c>
      <c r="DE434" s="14" t="str">
        <f>IF(COUNTA(ödev!H30),ödev!H30,"")</f>
        <v/>
      </c>
    </row>
    <row r="435" spans="1:109" x14ac:dyDescent="0.2">
      <c r="A435" s="39" t="str">
        <f>IFERROR(ödev!L31*100/ödev!$I31,"")</f>
        <v/>
      </c>
      <c r="B435" s="39" t="str">
        <f>IFERROR(ödev!M31*100/ödev!$I31,"")</f>
        <v/>
      </c>
      <c r="C435" s="39" t="str">
        <f>IFERROR(ödev!N31*100/ödev!$I31,"")</f>
        <v/>
      </c>
      <c r="D435" s="39" t="str">
        <f>IFERROR(ödev!O31*100/ödev!$I31,"")</f>
        <v/>
      </c>
      <c r="E435" s="39" t="str">
        <f>IFERROR(ödev!P31*100/ödev!$I31,"")</f>
        <v/>
      </c>
      <c r="F435" s="39" t="str">
        <f>IFERROR(ödev!Q31*100/ödev!$I31,"")</f>
        <v/>
      </c>
      <c r="G435" s="39" t="str">
        <f>IFERROR(ödev!R31*100/ödev!$I31,"")</f>
        <v/>
      </c>
      <c r="H435" s="39" t="str">
        <f>IFERROR(ödev!S31*100/ödev!$I31,"")</f>
        <v/>
      </c>
      <c r="I435" s="39" t="str">
        <f>IFERROR(ödev!T31*100/ödev!$I31,"")</f>
        <v/>
      </c>
      <c r="J435" s="39" t="str">
        <f>IFERROR(ödev!U31*100/ödev!$I31,"")</f>
        <v/>
      </c>
      <c r="K435" s="39" t="str">
        <f>IFERROR(ödev!V31*100/ödev!$I31,"")</f>
        <v/>
      </c>
      <c r="L435" s="39" t="str">
        <f>IFERROR(ödev!W31*100/ödev!$I31,"")</f>
        <v/>
      </c>
      <c r="M435" s="39" t="str">
        <f>IFERROR(ödev!X31*100/ödev!$I31,"")</f>
        <v/>
      </c>
      <c r="N435" s="39" t="str">
        <f>IFERROR(ödev!Y31*100/ödev!$I31,"")</f>
        <v/>
      </c>
      <c r="O435" s="39" t="str">
        <f>IFERROR(ödev!Z31*100/ödev!$I31,"")</f>
        <v/>
      </c>
      <c r="P435" s="39" t="str">
        <f>IFERROR(ödev!AA31*100/ödev!$I31,"")</f>
        <v/>
      </c>
      <c r="Q435" s="39" t="str">
        <f>IFERROR(ödev!AB31*100/ödev!$I31,"")</f>
        <v/>
      </c>
      <c r="R435" s="39" t="str">
        <f>IFERROR(ödev!AC31*100/ödev!$I31,"")</f>
        <v/>
      </c>
      <c r="S435" s="39" t="str">
        <f>IFERROR(ödev!AD31*100/ödev!$I31,"")</f>
        <v/>
      </c>
      <c r="T435" s="39" t="str">
        <f>IFERROR(ödev!AE31*100/ödev!$I31,"")</f>
        <v/>
      </c>
      <c r="U435" s="39" t="str">
        <f>IFERROR(ödev!AF31*100/ödev!$I31,"")</f>
        <v/>
      </c>
      <c r="V435" s="39" t="str">
        <f>IFERROR(ödev!AG31*100/ödev!$I31,"")</f>
        <v/>
      </c>
      <c r="W435" s="39" t="str">
        <f>IFERROR(ödev!AH31*100/ödev!$I31,"")</f>
        <v/>
      </c>
      <c r="X435" s="39" t="str">
        <f>IFERROR(ödev!AI31*100/ödev!$I31,"")</f>
        <v/>
      </c>
      <c r="Y435" s="39" t="str">
        <f>IFERROR(ödev!AJ31*100/ödev!$I31,"")</f>
        <v/>
      </c>
      <c r="Z435" s="39" t="str">
        <f>IFERROR(ödev!AK31*100/ödev!$I31,"")</f>
        <v/>
      </c>
      <c r="AA435" s="39" t="str">
        <f>IFERROR(ödev!AL31*100/ödev!$I31,"")</f>
        <v/>
      </c>
      <c r="AB435" s="39" t="str">
        <f>IFERROR(ödev!AM31*100/ödev!$I31,"")</f>
        <v/>
      </c>
      <c r="AC435" s="39" t="str">
        <f>IFERROR(ödev!AN31*100/ödev!$I31,"")</f>
        <v/>
      </c>
      <c r="AD435" s="39" t="str">
        <f>IFERROR(ödev!AO31*100/ödev!$I31,"")</f>
        <v/>
      </c>
      <c r="AE435" s="39" t="str">
        <f>IFERROR(ödev!AP31*100/ödev!$I31,"")</f>
        <v/>
      </c>
      <c r="AF435" s="39" t="str">
        <f>IFERROR(ödev!AQ31*100/ödev!$I31,"")</f>
        <v/>
      </c>
      <c r="AG435" s="39" t="str">
        <f>IFERROR(ödev!AR31*100/ödev!$I31,"")</f>
        <v/>
      </c>
      <c r="AH435" s="39" t="str">
        <f>IFERROR(ödev!AS31*100/ödev!$I31,"")</f>
        <v/>
      </c>
      <c r="AI435" s="39" t="str">
        <f>IFERROR(ödev!AT31*100/ödev!$I31,"")</f>
        <v/>
      </c>
      <c r="AJ435" s="39" t="str">
        <f>IFERROR(ödev!AU31*100/ödev!$I31,"")</f>
        <v/>
      </c>
      <c r="AK435" s="39" t="str">
        <f>IFERROR(ödev!AV31*100/ödev!$I31,"")</f>
        <v/>
      </c>
      <c r="AL435" s="39" t="str">
        <f>IFERROR(ödev!AW31*100/ödev!$I31,"")</f>
        <v/>
      </c>
      <c r="AM435" s="39" t="str">
        <f>IFERROR(ödev!AX31*100/ödev!$I31,"")</f>
        <v/>
      </c>
      <c r="AN435" s="39" t="str">
        <f>IFERROR(ödev!AY31*100/ödev!$I31,"")</f>
        <v/>
      </c>
      <c r="AO435" s="39" t="str">
        <f>IFERROR(ödev!AZ31*100/ödev!$I31,"")</f>
        <v/>
      </c>
      <c r="AP435" s="39" t="str">
        <f>IFERROR(ödev!BA31*100/ödev!$I31,"")</f>
        <v/>
      </c>
      <c r="AQ435" s="39" t="str">
        <f>IFERROR(ödev!BB31*100/ödev!$I31,"")</f>
        <v/>
      </c>
      <c r="AR435" s="39" t="str">
        <f>IFERROR(ödev!BC31*100/ödev!$I31,"")</f>
        <v/>
      </c>
      <c r="AS435" s="39" t="str">
        <f>IFERROR(ödev!BD31*100/ödev!$I31,"")</f>
        <v/>
      </c>
      <c r="AT435" s="39" t="str">
        <f>IFERROR(ödev!BE31*100/ödev!$I31,"")</f>
        <v/>
      </c>
      <c r="AU435" s="39" t="str">
        <f>IFERROR(ödev!BF31*100/ödev!$I31,"")</f>
        <v/>
      </c>
      <c r="AV435" s="39" t="str">
        <f>IFERROR(ödev!BG31*100/ödev!$I31,"")</f>
        <v/>
      </c>
      <c r="AW435" s="39" t="str">
        <f>IFERROR(ödev!BH31*100/ödev!$I31,"")</f>
        <v/>
      </c>
      <c r="AX435" s="39" t="str">
        <f>IFERROR(ödev!BI31*100/ödev!$I31,"")</f>
        <v/>
      </c>
      <c r="AY435" s="39" t="str">
        <f>IFERROR(ödev!BJ31*100/ödev!$I31,"")</f>
        <v/>
      </c>
      <c r="AZ435" s="39" t="str">
        <f>IFERROR(ödev!BK31*100/ödev!$I31,"")</f>
        <v/>
      </c>
      <c r="BA435" s="39" t="str">
        <f>IFERROR(ödev!BL31*100/ödev!$I31,"")</f>
        <v/>
      </c>
      <c r="BB435" s="39" t="str">
        <f>IFERROR(ödev!BM31*100/ödev!$I31,"")</f>
        <v/>
      </c>
      <c r="BC435" s="39" t="str">
        <f>IFERROR(ödev!BN31*100/ödev!$I31,"")</f>
        <v/>
      </c>
      <c r="BD435" s="39" t="str">
        <f>IFERROR(ödev!BO31*100/ödev!$I31,"")</f>
        <v/>
      </c>
      <c r="BE435" s="39" t="str">
        <f>IFERROR(ödev!BP31*100/ödev!$I31,"")</f>
        <v/>
      </c>
      <c r="BF435" s="39" t="str">
        <f>IFERROR(ödev!BQ31*100/ödev!$I31,"")</f>
        <v/>
      </c>
      <c r="BG435" s="39" t="str">
        <f>IFERROR(ödev!BR31*100/ödev!$I31,"")</f>
        <v/>
      </c>
      <c r="BH435" s="39" t="str">
        <f>IFERROR(ödev!BS31*100/ödev!$I31,"")</f>
        <v/>
      </c>
      <c r="BI435" s="39" t="str">
        <f>IFERROR(ödev!BT31*100/ödev!$I31,"")</f>
        <v/>
      </c>
      <c r="BJ435" s="39" t="str">
        <f>IFERROR(ödev!BU31*100/ödev!$I31,"")</f>
        <v/>
      </c>
      <c r="BK435" s="39" t="str">
        <f>IFERROR(ödev!BV31*100/ödev!$I31,"")</f>
        <v/>
      </c>
      <c r="BL435" s="39" t="str">
        <f>IFERROR(ödev!BW31*100/ödev!$I31,"")</f>
        <v/>
      </c>
      <c r="BM435" s="39" t="str">
        <f>IFERROR(ödev!BX31*100/ödev!$I31,"")</f>
        <v/>
      </c>
      <c r="BN435" s="39" t="str">
        <f>IFERROR(ödev!BY31*100/ödev!$I31,"")</f>
        <v/>
      </c>
      <c r="BO435" s="39" t="str">
        <f>IFERROR(ödev!BZ31*100/ödev!$I31,"")</f>
        <v/>
      </c>
      <c r="BP435" s="39" t="str">
        <f>IFERROR(ödev!CA31*100/ödev!$I31,"")</f>
        <v/>
      </c>
      <c r="BQ435" s="39" t="str">
        <f>IFERROR(ödev!CB31*100/ödev!$I31,"")</f>
        <v/>
      </c>
      <c r="BR435" s="39" t="str">
        <f>IFERROR(ödev!CC31*100/ödev!$I31,"")</f>
        <v/>
      </c>
      <c r="BS435" s="39" t="str">
        <f>IFERROR(ödev!CD31*100/ödev!$I31,"")</f>
        <v/>
      </c>
      <c r="BT435" s="39" t="str">
        <f>IFERROR(ödev!CE31*100/ödev!$I31,"")</f>
        <v/>
      </c>
      <c r="BU435" s="39" t="str">
        <f>IFERROR(ödev!CF31*100/ödev!$I31,"")</f>
        <v/>
      </c>
      <c r="BV435" s="39" t="str">
        <f>IFERROR(ödev!CG31*100/ödev!$I31,"")</f>
        <v/>
      </c>
      <c r="BW435" s="39" t="str">
        <f>IFERROR(ödev!CH31*100/ödev!$I31,"")</f>
        <v/>
      </c>
      <c r="BX435" s="39" t="str">
        <f>IFERROR(ödev!CI31*100/ödev!$I31,"")</f>
        <v/>
      </c>
      <c r="BY435" s="39" t="str">
        <f>IFERROR(ödev!CJ31*100/ödev!$I31,"")</f>
        <v/>
      </c>
      <c r="BZ435" s="39" t="str">
        <f>IFERROR(ödev!CK31*100/ödev!$I31,"")</f>
        <v/>
      </c>
      <c r="CA435" s="39" t="str">
        <f>IFERROR(ödev!CL31*100/ödev!$I31,"")</f>
        <v/>
      </c>
      <c r="CB435" s="39" t="str">
        <f>IFERROR(ödev!CM31*100/ödev!$I31,"")</f>
        <v/>
      </c>
      <c r="CC435" s="39" t="str">
        <f>IFERROR(ödev!CN31*100/ödev!$I31,"")</f>
        <v/>
      </c>
      <c r="CD435" s="39" t="str">
        <f>IFERROR(ödev!CO31*100/ödev!$I31,"")</f>
        <v/>
      </c>
      <c r="CE435" s="39" t="str">
        <f>IFERROR(ödev!CP31*100/ödev!$I31,"")</f>
        <v/>
      </c>
      <c r="CF435" s="39" t="str">
        <f>IFERROR(ödev!CQ31*100/ödev!$I31,"")</f>
        <v/>
      </c>
      <c r="CG435" s="39" t="str">
        <f>IFERROR(ödev!CR31*100/ödev!$I31,"")</f>
        <v/>
      </c>
      <c r="CH435" s="39" t="str">
        <f>IFERROR(ödev!CS31*100/ödev!$I31,"")</f>
        <v/>
      </c>
      <c r="CI435" s="39" t="str">
        <f>IFERROR(ödev!CT31*100/ödev!$I31,"")</f>
        <v/>
      </c>
      <c r="CJ435" s="39" t="str">
        <f>IFERROR(ödev!CU31*100/ödev!$I31,"")</f>
        <v/>
      </c>
      <c r="CK435" s="39" t="str">
        <f>IFERROR(ödev!CV31*100/ödev!$I31,"")</f>
        <v/>
      </c>
      <c r="CL435" s="39" t="str">
        <f>IFERROR(ödev!CW31*100/ödev!$I31,"")</f>
        <v/>
      </c>
      <c r="CM435" s="39" t="str">
        <f>IFERROR(ödev!CX31*100/ödev!$I31,"")</f>
        <v/>
      </c>
      <c r="CN435" s="39" t="str">
        <f>IFERROR(ödev!CY31*100/ödev!$I31,"")</f>
        <v/>
      </c>
      <c r="CO435" s="39" t="str">
        <f>IFERROR(ödev!CZ31*100/ödev!$I31,"")</f>
        <v/>
      </c>
      <c r="CP435" s="39" t="str">
        <f>IFERROR(ödev!DA31*100/ödev!$I31,"")</f>
        <v/>
      </c>
      <c r="CQ435" s="39" t="str">
        <f>IFERROR(ödev!DB31*100/ödev!$I31,"")</f>
        <v/>
      </c>
      <c r="CR435" s="39" t="str">
        <f>IFERROR(ödev!DC31*100/ödev!$I31,"")</f>
        <v/>
      </c>
      <c r="CS435" s="39" t="str">
        <f>IFERROR(ödev!DD31*100/ödev!$I31,"")</f>
        <v/>
      </c>
      <c r="CT435" s="39" t="str">
        <f>IFERROR(ödev!DE31*100/ödev!$I31,"")</f>
        <v/>
      </c>
      <c r="CU435" s="39" t="str">
        <f>IFERROR(ödev!DF31*100/ödev!$I31,"")</f>
        <v/>
      </c>
      <c r="CV435" s="39" t="str">
        <f>IFERROR(ödev!DG31*100/ödev!$I31,"")</f>
        <v/>
      </c>
      <c r="CW435" s="36" t="str">
        <f>IFERROR(SUM(A435:CV435)/ödev!$DH$103,"")</f>
        <v/>
      </c>
      <c r="CX435" s="14" t="str">
        <f>IF(COUNTA(ödev!A31),ödev!A31,"")</f>
        <v/>
      </c>
      <c r="CY435" s="14" t="str">
        <f>IF(COUNTA(ödev!B31),ödev!B31,"")</f>
        <v/>
      </c>
      <c r="CZ435" s="14" t="str">
        <f>IF(COUNTA(ödev!C31),ödev!C31,"")</f>
        <v/>
      </c>
      <c r="DA435" s="14" t="str">
        <f>IF(COUNTA(ödev!D31),ödev!D31,"")</f>
        <v/>
      </c>
      <c r="DB435" s="14" t="str">
        <f>IF(COUNTA(ödev!E31),ödev!E31,"")</f>
        <v/>
      </c>
      <c r="DC435" s="14" t="str">
        <f>IF(COUNTA(ödev!F31),ödev!F31,"")</f>
        <v/>
      </c>
      <c r="DD435" s="14" t="str">
        <f>IF(COUNTA(ödev!G31),ödev!G31,"")</f>
        <v/>
      </c>
      <c r="DE435" s="14" t="str">
        <f>IF(COUNTA(ödev!H31),ödev!H31,"")</f>
        <v/>
      </c>
    </row>
    <row r="436" spans="1:109" x14ac:dyDescent="0.2">
      <c r="A436" s="39" t="str">
        <f>IFERROR(ödev!L32*100/ödev!$I32,"")</f>
        <v/>
      </c>
      <c r="B436" s="39" t="str">
        <f>IFERROR(ödev!M32*100/ödev!$I32,"")</f>
        <v/>
      </c>
      <c r="C436" s="39" t="str">
        <f>IFERROR(ödev!N32*100/ödev!$I32,"")</f>
        <v/>
      </c>
      <c r="D436" s="39" t="str">
        <f>IFERROR(ödev!O32*100/ödev!$I32,"")</f>
        <v/>
      </c>
      <c r="E436" s="39" t="str">
        <f>IFERROR(ödev!P32*100/ödev!$I32,"")</f>
        <v/>
      </c>
      <c r="F436" s="39" t="str">
        <f>IFERROR(ödev!Q32*100/ödev!$I32,"")</f>
        <v/>
      </c>
      <c r="G436" s="39" t="str">
        <f>IFERROR(ödev!R32*100/ödev!$I32,"")</f>
        <v/>
      </c>
      <c r="H436" s="39" t="str">
        <f>IFERROR(ödev!S32*100/ödev!$I32,"")</f>
        <v/>
      </c>
      <c r="I436" s="39" t="str">
        <f>IFERROR(ödev!T32*100/ödev!$I32,"")</f>
        <v/>
      </c>
      <c r="J436" s="39" t="str">
        <f>IFERROR(ödev!U32*100/ödev!$I32,"")</f>
        <v/>
      </c>
      <c r="K436" s="39" t="str">
        <f>IFERROR(ödev!V32*100/ödev!$I32,"")</f>
        <v/>
      </c>
      <c r="L436" s="39" t="str">
        <f>IFERROR(ödev!W32*100/ödev!$I32,"")</f>
        <v/>
      </c>
      <c r="M436" s="39" t="str">
        <f>IFERROR(ödev!X32*100/ödev!$I32,"")</f>
        <v/>
      </c>
      <c r="N436" s="39" t="str">
        <f>IFERROR(ödev!Y32*100/ödev!$I32,"")</f>
        <v/>
      </c>
      <c r="O436" s="39" t="str">
        <f>IFERROR(ödev!Z32*100/ödev!$I32,"")</f>
        <v/>
      </c>
      <c r="P436" s="39" t="str">
        <f>IFERROR(ödev!AA32*100/ödev!$I32,"")</f>
        <v/>
      </c>
      <c r="Q436" s="39" t="str">
        <f>IFERROR(ödev!AB32*100/ödev!$I32,"")</f>
        <v/>
      </c>
      <c r="R436" s="39" t="str">
        <f>IFERROR(ödev!AC32*100/ödev!$I32,"")</f>
        <v/>
      </c>
      <c r="S436" s="39" t="str">
        <f>IFERROR(ödev!AD32*100/ödev!$I32,"")</f>
        <v/>
      </c>
      <c r="T436" s="39" t="str">
        <f>IFERROR(ödev!AE32*100/ödev!$I32,"")</f>
        <v/>
      </c>
      <c r="U436" s="39" t="str">
        <f>IFERROR(ödev!AF32*100/ödev!$I32,"")</f>
        <v/>
      </c>
      <c r="V436" s="39" t="str">
        <f>IFERROR(ödev!AG32*100/ödev!$I32,"")</f>
        <v/>
      </c>
      <c r="W436" s="39" t="str">
        <f>IFERROR(ödev!AH32*100/ödev!$I32,"")</f>
        <v/>
      </c>
      <c r="X436" s="39" t="str">
        <f>IFERROR(ödev!AI32*100/ödev!$I32,"")</f>
        <v/>
      </c>
      <c r="Y436" s="39" t="str">
        <f>IFERROR(ödev!AJ32*100/ödev!$I32,"")</f>
        <v/>
      </c>
      <c r="Z436" s="39" t="str">
        <f>IFERROR(ödev!AK32*100/ödev!$I32,"")</f>
        <v/>
      </c>
      <c r="AA436" s="39" t="str">
        <f>IFERROR(ödev!AL32*100/ödev!$I32,"")</f>
        <v/>
      </c>
      <c r="AB436" s="39" t="str">
        <f>IFERROR(ödev!AM32*100/ödev!$I32,"")</f>
        <v/>
      </c>
      <c r="AC436" s="39" t="str">
        <f>IFERROR(ödev!AN32*100/ödev!$I32,"")</f>
        <v/>
      </c>
      <c r="AD436" s="39" t="str">
        <f>IFERROR(ödev!AO32*100/ödev!$I32,"")</f>
        <v/>
      </c>
      <c r="AE436" s="39" t="str">
        <f>IFERROR(ödev!AP32*100/ödev!$I32,"")</f>
        <v/>
      </c>
      <c r="AF436" s="39" t="str">
        <f>IFERROR(ödev!AQ32*100/ödev!$I32,"")</f>
        <v/>
      </c>
      <c r="AG436" s="39" t="str">
        <f>IFERROR(ödev!AR32*100/ödev!$I32,"")</f>
        <v/>
      </c>
      <c r="AH436" s="39" t="str">
        <f>IFERROR(ödev!AS32*100/ödev!$I32,"")</f>
        <v/>
      </c>
      <c r="AI436" s="39" t="str">
        <f>IFERROR(ödev!AT32*100/ödev!$I32,"")</f>
        <v/>
      </c>
      <c r="AJ436" s="39" t="str">
        <f>IFERROR(ödev!AU32*100/ödev!$I32,"")</f>
        <v/>
      </c>
      <c r="AK436" s="39" t="str">
        <f>IFERROR(ödev!AV32*100/ödev!$I32,"")</f>
        <v/>
      </c>
      <c r="AL436" s="39" t="str">
        <f>IFERROR(ödev!AW32*100/ödev!$I32,"")</f>
        <v/>
      </c>
      <c r="AM436" s="39" t="str">
        <f>IFERROR(ödev!AX32*100/ödev!$I32,"")</f>
        <v/>
      </c>
      <c r="AN436" s="39" t="str">
        <f>IFERROR(ödev!AY32*100/ödev!$I32,"")</f>
        <v/>
      </c>
      <c r="AO436" s="39" t="str">
        <f>IFERROR(ödev!AZ32*100/ödev!$I32,"")</f>
        <v/>
      </c>
      <c r="AP436" s="39" t="str">
        <f>IFERROR(ödev!BA32*100/ödev!$I32,"")</f>
        <v/>
      </c>
      <c r="AQ436" s="39" t="str">
        <f>IFERROR(ödev!BB32*100/ödev!$I32,"")</f>
        <v/>
      </c>
      <c r="AR436" s="39" t="str">
        <f>IFERROR(ödev!BC32*100/ödev!$I32,"")</f>
        <v/>
      </c>
      <c r="AS436" s="39" t="str">
        <f>IFERROR(ödev!BD32*100/ödev!$I32,"")</f>
        <v/>
      </c>
      <c r="AT436" s="39" t="str">
        <f>IFERROR(ödev!BE32*100/ödev!$I32,"")</f>
        <v/>
      </c>
      <c r="AU436" s="39" t="str">
        <f>IFERROR(ödev!BF32*100/ödev!$I32,"")</f>
        <v/>
      </c>
      <c r="AV436" s="39" t="str">
        <f>IFERROR(ödev!BG32*100/ödev!$I32,"")</f>
        <v/>
      </c>
      <c r="AW436" s="39" t="str">
        <f>IFERROR(ödev!BH32*100/ödev!$I32,"")</f>
        <v/>
      </c>
      <c r="AX436" s="39" t="str">
        <f>IFERROR(ödev!BI32*100/ödev!$I32,"")</f>
        <v/>
      </c>
      <c r="AY436" s="39" t="str">
        <f>IFERROR(ödev!BJ32*100/ödev!$I32,"")</f>
        <v/>
      </c>
      <c r="AZ436" s="39" t="str">
        <f>IFERROR(ödev!BK32*100/ödev!$I32,"")</f>
        <v/>
      </c>
      <c r="BA436" s="39" t="str">
        <f>IFERROR(ödev!BL32*100/ödev!$I32,"")</f>
        <v/>
      </c>
      <c r="BB436" s="39" t="str">
        <f>IFERROR(ödev!BM32*100/ödev!$I32,"")</f>
        <v/>
      </c>
      <c r="BC436" s="39" t="str">
        <f>IFERROR(ödev!BN32*100/ödev!$I32,"")</f>
        <v/>
      </c>
      <c r="BD436" s="39" t="str">
        <f>IFERROR(ödev!BO32*100/ödev!$I32,"")</f>
        <v/>
      </c>
      <c r="BE436" s="39" t="str">
        <f>IFERROR(ödev!BP32*100/ödev!$I32,"")</f>
        <v/>
      </c>
      <c r="BF436" s="39" t="str">
        <f>IFERROR(ödev!BQ32*100/ödev!$I32,"")</f>
        <v/>
      </c>
      <c r="BG436" s="39" t="str">
        <f>IFERROR(ödev!BR32*100/ödev!$I32,"")</f>
        <v/>
      </c>
      <c r="BH436" s="39" t="str">
        <f>IFERROR(ödev!BS32*100/ödev!$I32,"")</f>
        <v/>
      </c>
      <c r="BI436" s="39" t="str">
        <f>IFERROR(ödev!BT32*100/ödev!$I32,"")</f>
        <v/>
      </c>
      <c r="BJ436" s="39" t="str">
        <f>IFERROR(ödev!BU32*100/ödev!$I32,"")</f>
        <v/>
      </c>
      <c r="BK436" s="39" t="str">
        <f>IFERROR(ödev!BV32*100/ödev!$I32,"")</f>
        <v/>
      </c>
      <c r="BL436" s="39" t="str">
        <f>IFERROR(ödev!BW32*100/ödev!$I32,"")</f>
        <v/>
      </c>
      <c r="BM436" s="39" t="str">
        <f>IFERROR(ödev!BX32*100/ödev!$I32,"")</f>
        <v/>
      </c>
      <c r="BN436" s="39" t="str">
        <f>IFERROR(ödev!BY32*100/ödev!$I32,"")</f>
        <v/>
      </c>
      <c r="BO436" s="39" t="str">
        <f>IFERROR(ödev!BZ32*100/ödev!$I32,"")</f>
        <v/>
      </c>
      <c r="BP436" s="39" t="str">
        <f>IFERROR(ödev!CA32*100/ödev!$I32,"")</f>
        <v/>
      </c>
      <c r="BQ436" s="39" t="str">
        <f>IFERROR(ödev!CB32*100/ödev!$I32,"")</f>
        <v/>
      </c>
      <c r="BR436" s="39" t="str">
        <f>IFERROR(ödev!CC32*100/ödev!$I32,"")</f>
        <v/>
      </c>
      <c r="BS436" s="39" t="str">
        <f>IFERROR(ödev!CD32*100/ödev!$I32,"")</f>
        <v/>
      </c>
      <c r="BT436" s="39" t="str">
        <f>IFERROR(ödev!CE32*100/ödev!$I32,"")</f>
        <v/>
      </c>
      <c r="BU436" s="39" t="str">
        <f>IFERROR(ödev!CF32*100/ödev!$I32,"")</f>
        <v/>
      </c>
      <c r="BV436" s="39" t="str">
        <f>IFERROR(ödev!CG32*100/ödev!$I32,"")</f>
        <v/>
      </c>
      <c r="BW436" s="39" t="str">
        <f>IFERROR(ödev!CH32*100/ödev!$I32,"")</f>
        <v/>
      </c>
      <c r="BX436" s="39" t="str">
        <f>IFERROR(ödev!CI32*100/ödev!$I32,"")</f>
        <v/>
      </c>
      <c r="BY436" s="39" t="str">
        <f>IFERROR(ödev!CJ32*100/ödev!$I32,"")</f>
        <v/>
      </c>
      <c r="BZ436" s="39" t="str">
        <f>IFERROR(ödev!CK32*100/ödev!$I32,"")</f>
        <v/>
      </c>
      <c r="CA436" s="39" t="str">
        <f>IFERROR(ödev!CL32*100/ödev!$I32,"")</f>
        <v/>
      </c>
      <c r="CB436" s="39" t="str">
        <f>IFERROR(ödev!CM32*100/ödev!$I32,"")</f>
        <v/>
      </c>
      <c r="CC436" s="39" t="str">
        <f>IFERROR(ödev!CN32*100/ödev!$I32,"")</f>
        <v/>
      </c>
      <c r="CD436" s="39" t="str">
        <f>IFERROR(ödev!CO32*100/ödev!$I32,"")</f>
        <v/>
      </c>
      <c r="CE436" s="39" t="str">
        <f>IFERROR(ödev!CP32*100/ödev!$I32,"")</f>
        <v/>
      </c>
      <c r="CF436" s="39" t="str">
        <f>IFERROR(ödev!CQ32*100/ödev!$I32,"")</f>
        <v/>
      </c>
      <c r="CG436" s="39" t="str">
        <f>IFERROR(ödev!CR32*100/ödev!$I32,"")</f>
        <v/>
      </c>
      <c r="CH436" s="39" t="str">
        <f>IFERROR(ödev!CS32*100/ödev!$I32,"")</f>
        <v/>
      </c>
      <c r="CI436" s="39" t="str">
        <f>IFERROR(ödev!CT32*100/ödev!$I32,"")</f>
        <v/>
      </c>
      <c r="CJ436" s="39" t="str">
        <f>IFERROR(ödev!CU32*100/ödev!$I32,"")</f>
        <v/>
      </c>
      <c r="CK436" s="39" t="str">
        <f>IFERROR(ödev!CV32*100/ödev!$I32,"")</f>
        <v/>
      </c>
      <c r="CL436" s="39" t="str">
        <f>IFERROR(ödev!CW32*100/ödev!$I32,"")</f>
        <v/>
      </c>
      <c r="CM436" s="39" t="str">
        <f>IFERROR(ödev!CX32*100/ödev!$I32,"")</f>
        <v/>
      </c>
      <c r="CN436" s="39" t="str">
        <f>IFERROR(ödev!CY32*100/ödev!$I32,"")</f>
        <v/>
      </c>
      <c r="CO436" s="39" t="str">
        <f>IFERROR(ödev!CZ32*100/ödev!$I32,"")</f>
        <v/>
      </c>
      <c r="CP436" s="39" t="str">
        <f>IFERROR(ödev!DA32*100/ödev!$I32,"")</f>
        <v/>
      </c>
      <c r="CQ436" s="39" t="str">
        <f>IFERROR(ödev!DB32*100/ödev!$I32,"")</f>
        <v/>
      </c>
      <c r="CR436" s="39" t="str">
        <f>IFERROR(ödev!DC32*100/ödev!$I32,"")</f>
        <v/>
      </c>
      <c r="CS436" s="39" t="str">
        <f>IFERROR(ödev!DD32*100/ödev!$I32,"")</f>
        <v/>
      </c>
      <c r="CT436" s="39" t="str">
        <f>IFERROR(ödev!DE32*100/ödev!$I32,"")</f>
        <v/>
      </c>
      <c r="CU436" s="39" t="str">
        <f>IFERROR(ödev!DF32*100/ödev!$I32,"")</f>
        <v/>
      </c>
      <c r="CV436" s="39" t="str">
        <f>IFERROR(ödev!DG32*100/ödev!$I32,"")</f>
        <v/>
      </c>
      <c r="CW436" s="36" t="str">
        <f>IFERROR(SUM(A436:CV436)/ödev!$DH$103,"")</f>
        <v/>
      </c>
      <c r="CX436" s="14" t="str">
        <f>IF(COUNTA(ödev!A32),ödev!A32,"")</f>
        <v/>
      </c>
      <c r="CY436" s="14" t="str">
        <f>IF(COUNTA(ödev!B32),ödev!B32,"")</f>
        <v/>
      </c>
      <c r="CZ436" s="14" t="str">
        <f>IF(COUNTA(ödev!C32),ödev!C32,"")</f>
        <v/>
      </c>
      <c r="DA436" s="14" t="str">
        <f>IF(COUNTA(ödev!D32),ödev!D32,"")</f>
        <v/>
      </c>
      <c r="DB436" s="14" t="str">
        <f>IF(COUNTA(ödev!E32),ödev!E32,"")</f>
        <v/>
      </c>
      <c r="DC436" s="14" t="str">
        <f>IF(COUNTA(ödev!F32),ödev!F32,"")</f>
        <v/>
      </c>
      <c r="DD436" s="14" t="str">
        <f>IF(COUNTA(ödev!G32),ödev!G32,"")</f>
        <v/>
      </c>
      <c r="DE436" s="14" t="str">
        <f>IF(COUNTA(ödev!H32),ödev!H32,"")</f>
        <v/>
      </c>
    </row>
    <row r="437" spans="1:109" x14ac:dyDescent="0.2">
      <c r="A437" s="39" t="str">
        <f>IFERROR(ödev!L33*100/ödev!$I33,"")</f>
        <v/>
      </c>
      <c r="B437" s="39" t="str">
        <f>IFERROR(ödev!M33*100/ödev!$I33,"")</f>
        <v/>
      </c>
      <c r="C437" s="39" t="str">
        <f>IFERROR(ödev!N33*100/ödev!$I33,"")</f>
        <v/>
      </c>
      <c r="D437" s="39" t="str">
        <f>IFERROR(ödev!O33*100/ödev!$I33,"")</f>
        <v/>
      </c>
      <c r="E437" s="39" t="str">
        <f>IFERROR(ödev!P33*100/ödev!$I33,"")</f>
        <v/>
      </c>
      <c r="F437" s="39" t="str">
        <f>IFERROR(ödev!Q33*100/ödev!$I33,"")</f>
        <v/>
      </c>
      <c r="G437" s="39" t="str">
        <f>IFERROR(ödev!R33*100/ödev!$I33,"")</f>
        <v/>
      </c>
      <c r="H437" s="39" t="str">
        <f>IFERROR(ödev!S33*100/ödev!$I33,"")</f>
        <v/>
      </c>
      <c r="I437" s="39" t="str">
        <f>IFERROR(ödev!T33*100/ödev!$I33,"")</f>
        <v/>
      </c>
      <c r="J437" s="39" t="str">
        <f>IFERROR(ödev!U33*100/ödev!$I33,"")</f>
        <v/>
      </c>
      <c r="K437" s="39" t="str">
        <f>IFERROR(ödev!V33*100/ödev!$I33,"")</f>
        <v/>
      </c>
      <c r="L437" s="39" t="str">
        <f>IFERROR(ödev!W33*100/ödev!$I33,"")</f>
        <v/>
      </c>
      <c r="M437" s="39" t="str">
        <f>IFERROR(ödev!X33*100/ödev!$I33,"")</f>
        <v/>
      </c>
      <c r="N437" s="39" t="str">
        <f>IFERROR(ödev!Y33*100/ödev!$I33,"")</f>
        <v/>
      </c>
      <c r="O437" s="39" t="str">
        <f>IFERROR(ödev!Z33*100/ödev!$I33,"")</f>
        <v/>
      </c>
      <c r="P437" s="39" t="str">
        <f>IFERROR(ödev!AA33*100/ödev!$I33,"")</f>
        <v/>
      </c>
      <c r="Q437" s="39" t="str">
        <f>IFERROR(ödev!AB33*100/ödev!$I33,"")</f>
        <v/>
      </c>
      <c r="R437" s="39" t="str">
        <f>IFERROR(ödev!AC33*100/ödev!$I33,"")</f>
        <v/>
      </c>
      <c r="S437" s="39" t="str">
        <f>IFERROR(ödev!AD33*100/ödev!$I33,"")</f>
        <v/>
      </c>
      <c r="T437" s="39" t="str">
        <f>IFERROR(ödev!AE33*100/ödev!$I33,"")</f>
        <v/>
      </c>
      <c r="U437" s="39" t="str">
        <f>IFERROR(ödev!AF33*100/ödev!$I33,"")</f>
        <v/>
      </c>
      <c r="V437" s="39" t="str">
        <f>IFERROR(ödev!AG33*100/ödev!$I33,"")</f>
        <v/>
      </c>
      <c r="W437" s="39" t="str">
        <f>IFERROR(ödev!AH33*100/ödev!$I33,"")</f>
        <v/>
      </c>
      <c r="X437" s="39" t="str">
        <f>IFERROR(ödev!AI33*100/ödev!$I33,"")</f>
        <v/>
      </c>
      <c r="Y437" s="39" t="str">
        <f>IFERROR(ödev!AJ33*100/ödev!$I33,"")</f>
        <v/>
      </c>
      <c r="Z437" s="39" t="str">
        <f>IFERROR(ödev!AK33*100/ödev!$I33,"")</f>
        <v/>
      </c>
      <c r="AA437" s="39" t="str">
        <f>IFERROR(ödev!AL33*100/ödev!$I33,"")</f>
        <v/>
      </c>
      <c r="AB437" s="39" t="str">
        <f>IFERROR(ödev!AM33*100/ödev!$I33,"")</f>
        <v/>
      </c>
      <c r="AC437" s="39" t="str">
        <f>IFERROR(ödev!AN33*100/ödev!$I33,"")</f>
        <v/>
      </c>
      <c r="AD437" s="39" t="str">
        <f>IFERROR(ödev!AO33*100/ödev!$I33,"")</f>
        <v/>
      </c>
      <c r="AE437" s="39" t="str">
        <f>IFERROR(ödev!AP33*100/ödev!$I33,"")</f>
        <v/>
      </c>
      <c r="AF437" s="39" t="str">
        <f>IFERROR(ödev!AQ33*100/ödev!$I33,"")</f>
        <v/>
      </c>
      <c r="AG437" s="39" t="str">
        <f>IFERROR(ödev!AR33*100/ödev!$I33,"")</f>
        <v/>
      </c>
      <c r="AH437" s="39" t="str">
        <f>IFERROR(ödev!AS33*100/ödev!$I33,"")</f>
        <v/>
      </c>
      <c r="AI437" s="39" t="str">
        <f>IFERROR(ödev!AT33*100/ödev!$I33,"")</f>
        <v/>
      </c>
      <c r="AJ437" s="39" t="str">
        <f>IFERROR(ödev!AU33*100/ödev!$I33,"")</f>
        <v/>
      </c>
      <c r="AK437" s="39" t="str">
        <f>IFERROR(ödev!AV33*100/ödev!$I33,"")</f>
        <v/>
      </c>
      <c r="AL437" s="39" t="str">
        <f>IFERROR(ödev!AW33*100/ödev!$I33,"")</f>
        <v/>
      </c>
      <c r="AM437" s="39" t="str">
        <f>IFERROR(ödev!AX33*100/ödev!$I33,"")</f>
        <v/>
      </c>
      <c r="AN437" s="39" t="str">
        <f>IFERROR(ödev!AY33*100/ödev!$I33,"")</f>
        <v/>
      </c>
      <c r="AO437" s="39" t="str">
        <f>IFERROR(ödev!AZ33*100/ödev!$I33,"")</f>
        <v/>
      </c>
      <c r="AP437" s="39" t="str">
        <f>IFERROR(ödev!BA33*100/ödev!$I33,"")</f>
        <v/>
      </c>
      <c r="AQ437" s="39" t="str">
        <f>IFERROR(ödev!BB33*100/ödev!$I33,"")</f>
        <v/>
      </c>
      <c r="AR437" s="39" t="str">
        <f>IFERROR(ödev!BC33*100/ödev!$I33,"")</f>
        <v/>
      </c>
      <c r="AS437" s="39" t="str">
        <f>IFERROR(ödev!BD33*100/ödev!$I33,"")</f>
        <v/>
      </c>
      <c r="AT437" s="39" t="str">
        <f>IFERROR(ödev!BE33*100/ödev!$I33,"")</f>
        <v/>
      </c>
      <c r="AU437" s="39" t="str">
        <f>IFERROR(ödev!BF33*100/ödev!$I33,"")</f>
        <v/>
      </c>
      <c r="AV437" s="39" t="str">
        <f>IFERROR(ödev!BG33*100/ödev!$I33,"")</f>
        <v/>
      </c>
      <c r="AW437" s="39" t="str">
        <f>IFERROR(ödev!BH33*100/ödev!$I33,"")</f>
        <v/>
      </c>
      <c r="AX437" s="39" t="str">
        <f>IFERROR(ödev!BI33*100/ödev!$I33,"")</f>
        <v/>
      </c>
      <c r="AY437" s="39" t="str">
        <f>IFERROR(ödev!BJ33*100/ödev!$I33,"")</f>
        <v/>
      </c>
      <c r="AZ437" s="39" t="str">
        <f>IFERROR(ödev!BK33*100/ödev!$I33,"")</f>
        <v/>
      </c>
      <c r="BA437" s="39" t="str">
        <f>IFERROR(ödev!BL33*100/ödev!$I33,"")</f>
        <v/>
      </c>
      <c r="BB437" s="39" t="str">
        <f>IFERROR(ödev!BM33*100/ödev!$I33,"")</f>
        <v/>
      </c>
      <c r="BC437" s="39" t="str">
        <f>IFERROR(ödev!BN33*100/ödev!$I33,"")</f>
        <v/>
      </c>
      <c r="BD437" s="39" t="str">
        <f>IFERROR(ödev!BO33*100/ödev!$I33,"")</f>
        <v/>
      </c>
      <c r="BE437" s="39" t="str">
        <f>IFERROR(ödev!BP33*100/ödev!$I33,"")</f>
        <v/>
      </c>
      <c r="BF437" s="39" t="str">
        <f>IFERROR(ödev!BQ33*100/ödev!$I33,"")</f>
        <v/>
      </c>
      <c r="BG437" s="39" t="str">
        <f>IFERROR(ödev!BR33*100/ödev!$I33,"")</f>
        <v/>
      </c>
      <c r="BH437" s="39" t="str">
        <f>IFERROR(ödev!BS33*100/ödev!$I33,"")</f>
        <v/>
      </c>
      <c r="BI437" s="39" t="str">
        <f>IFERROR(ödev!BT33*100/ödev!$I33,"")</f>
        <v/>
      </c>
      <c r="BJ437" s="39" t="str">
        <f>IFERROR(ödev!BU33*100/ödev!$I33,"")</f>
        <v/>
      </c>
      <c r="BK437" s="39" t="str">
        <f>IFERROR(ödev!BV33*100/ödev!$I33,"")</f>
        <v/>
      </c>
      <c r="BL437" s="39" t="str">
        <f>IFERROR(ödev!BW33*100/ödev!$I33,"")</f>
        <v/>
      </c>
      <c r="BM437" s="39" t="str">
        <f>IFERROR(ödev!BX33*100/ödev!$I33,"")</f>
        <v/>
      </c>
      <c r="BN437" s="39" t="str">
        <f>IFERROR(ödev!BY33*100/ödev!$I33,"")</f>
        <v/>
      </c>
      <c r="BO437" s="39" t="str">
        <f>IFERROR(ödev!BZ33*100/ödev!$I33,"")</f>
        <v/>
      </c>
      <c r="BP437" s="39" t="str">
        <f>IFERROR(ödev!CA33*100/ödev!$I33,"")</f>
        <v/>
      </c>
      <c r="BQ437" s="39" t="str">
        <f>IFERROR(ödev!CB33*100/ödev!$I33,"")</f>
        <v/>
      </c>
      <c r="BR437" s="39" t="str">
        <f>IFERROR(ödev!CC33*100/ödev!$I33,"")</f>
        <v/>
      </c>
      <c r="BS437" s="39" t="str">
        <f>IFERROR(ödev!CD33*100/ödev!$I33,"")</f>
        <v/>
      </c>
      <c r="BT437" s="39" t="str">
        <f>IFERROR(ödev!CE33*100/ödev!$I33,"")</f>
        <v/>
      </c>
      <c r="BU437" s="39" t="str">
        <f>IFERROR(ödev!CF33*100/ödev!$I33,"")</f>
        <v/>
      </c>
      <c r="BV437" s="39" t="str">
        <f>IFERROR(ödev!CG33*100/ödev!$I33,"")</f>
        <v/>
      </c>
      <c r="BW437" s="39" t="str">
        <f>IFERROR(ödev!CH33*100/ödev!$I33,"")</f>
        <v/>
      </c>
      <c r="BX437" s="39" t="str">
        <f>IFERROR(ödev!CI33*100/ödev!$I33,"")</f>
        <v/>
      </c>
      <c r="BY437" s="39" t="str">
        <f>IFERROR(ödev!CJ33*100/ödev!$I33,"")</f>
        <v/>
      </c>
      <c r="BZ437" s="39" t="str">
        <f>IFERROR(ödev!CK33*100/ödev!$I33,"")</f>
        <v/>
      </c>
      <c r="CA437" s="39" t="str">
        <f>IFERROR(ödev!CL33*100/ödev!$I33,"")</f>
        <v/>
      </c>
      <c r="CB437" s="39" t="str">
        <f>IFERROR(ödev!CM33*100/ödev!$I33,"")</f>
        <v/>
      </c>
      <c r="CC437" s="39" t="str">
        <f>IFERROR(ödev!CN33*100/ödev!$I33,"")</f>
        <v/>
      </c>
      <c r="CD437" s="39" t="str">
        <f>IFERROR(ödev!CO33*100/ödev!$I33,"")</f>
        <v/>
      </c>
      <c r="CE437" s="39" t="str">
        <f>IFERROR(ödev!CP33*100/ödev!$I33,"")</f>
        <v/>
      </c>
      <c r="CF437" s="39" t="str">
        <f>IFERROR(ödev!CQ33*100/ödev!$I33,"")</f>
        <v/>
      </c>
      <c r="CG437" s="39" t="str">
        <f>IFERROR(ödev!CR33*100/ödev!$I33,"")</f>
        <v/>
      </c>
      <c r="CH437" s="39" t="str">
        <f>IFERROR(ödev!CS33*100/ödev!$I33,"")</f>
        <v/>
      </c>
      <c r="CI437" s="39" t="str">
        <f>IFERROR(ödev!CT33*100/ödev!$I33,"")</f>
        <v/>
      </c>
      <c r="CJ437" s="39" t="str">
        <f>IFERROR(ödev!CU33*100/ödev!$I33,"")</f>
        <v/>
      </c>
      <c r="CK437" s="39" t="str">
        <f>IFERROR(ödev!CV33*100/ödev!$I33,"")</f>
        <v/>
      </c>
      <c r="CL437" s="39" t="str">
        <f>IFERROR(ödev!CW33*100/ödev!$I33,"")</f>
        <v/>
      </c>
      <c r="CM437" s="39" t="str">
        <f>IFERROR(ödev!CX33*100/ödev!$I33,"")</f>
        <v/>
      </c>
      <c r="CN437" s="39" t="str">
        <f>IFERROR(ödev!CY33*100/ödev!$I33,"")</f>
        <v/>
      </c>
      <c r="CO437" s="39" t="str">
        <f>IFERROR(ödev!CZ33*100/ödev!$I33,"")</f>
        <v/>
      </c>
      <c r="CP437" s="39" t="str">
        <f>IFERROR(ödev!DA33*100/ödev!$I33,"")</f>
        <v/>
      </c>
      <c r="CQ437" s="39" t="str">
        <f>IFERROR(ödev!DB33*100/ödev!$I33,"")</f>
        <v/>
      </c>
      <c r="CR437" s="39" t="str">
        <f>IFERROR(ödev!DC33*100/ödev!$I33,"")</f>
        <v/>
      </c>
      <c r="CS437" s="39" t="str">
        <f>IFERROR(ödev!DD33*100/ödev!$I33,"")</f>
        <v/>
      </c>
      <c r="CT437" s="39" t="str">
        <f>IFERROR(ödev!DE33*100/ödev!$I33,"")</f>
        <v/>
      </c>
      <c r="CU437" s="39" t="str">
        <f>IFERROR(ödev!DF33*100/ödev!$I33,"")</f>
        <v/>
      </c>
      <c r="CV437" s="39" t="str">
        <f>IFERROR(ödev!DG33*100/ödev!$I33,"")</f>
        <v/>
      </c>
      <c r="CW437" s="36" t="str">
        <f>IFERROR(SUM(A437:CV437)/ödev!$DH$103,"")</f>
        <v/>
      </c>
      <c r="CX437" s="14" t="str">
        <f>IF(COUNTA(ödev!A33),ödev!A33,"")</f>
        <v/>
      </c>
      <c r="CY437" s="14" t="str">
        <f>IF(COUNTA(ödev!B33),ödev!B33,"")</f>
        <v/>
      </c>
      <c r="CZ437" s="14" t="str">
        <f>IF(COUNTA(ödev!C33),ödev!C33,"")</f>
        <v/>
      </c>
      <c r="DA437" s="14" t="str">
        <f>IF(COUNTA(ödev!D33),ödev!D33,"")</f>
        <v/>
      </c>
      <c r="DB437" s="14" t="str">
        <f>IF(COUNTA(ödev!E33),ödev!E33,"")</f>
        <v/>
      </c>
      <c r="DC437" s="14" t="str">
        <f>IF(COUNTA(ödev!F33),ödev!F33,"")</f>
        <v/>
      </c>
      <c r="DD437" s="14" t="str">
        <f>IF(COUNTA(ödev!G33),ödev!G33,"")</f>
        <v/>
      </c>
      <c r="DE437" s="14" t="str">
        <f>IF(COUNTA(ödev!H33),ödev!H33,"")</f>
        <v/>
      </c>
    </row>
    <row r="438" spans="1:109" x14ac:dyDescent="0.2">
      <c r="A438" s="39" t="str">
        <f>IFERROR(ödev!L34*100/ödev!$I34,"")</f>
        <v/>
      </c>
      <c r="B438" s="39" t="str">
        <f>IFERROR(ödev!M34*100/ödev!$I34,"")</f>
        <v/>
      </c>
      <c r="C438" s="39" t="str">
        <f>IFERROR(ödev!N34*100/ödev!$I34,"")</f>
        <v/>
      </c>
      <c r="D438" s="39" t="str">
        <f>IFERROR(ödev!O34*100/ödev!$I34,"")</f>
        <v/>
      </c>
      <c r="E438" s="39" t="str">
        <f>IFERROR(ödev!P34*100/ödev!$I34,"")</f>
        <v/>
      </c>
      <c r="F438" s="39" t="str">
        <f>IFERROR(ödev!Q34*100/ödev!$I34,"")</f>
        <v/>
      </c>
      <c r="G438" s="39" t="str">
        <f>IFERROR(ödev!R34*100/ödev!$I34,"")</f>
        <v/>
      </c>
      <c r="H438" s="39" t="str">
        <f>IFERROR(ödev!S34*100/ödev!$I34,"")</f>
        <v/>
      </c>
      <c r="I438" s="39" t="str">
        <f>IFERROR(ödev!T34*100/ödev!$I34,"")</f>
        <v/>
      </c>
      <c r="J438" s="39" t="str">
        <f>IFERROR(ödev!U34*100/ödev!$I34,"")</f>
        <v/>
      </c>
      <c r="K438" s="39" t="str">
        <f>IFERROR(ödev!V34*100/ödev!$I34,"")</f>
        <v/>
      </c>
      <c r="L438" s="39" t="str">
        <f>IFERROR(ödev!W34*100/ödev!$I34,"")</f>
        <v/>
      </c>
      <c r="M438" s="39" t="str">
        <f>IFERROR(ödev!X34*100/ödev!$I34,"")</f>
        <v/>
      </c>
      <c r="N438" s="39" t="str">
        <f>IFERROR(ödev!Y34*100/ödev!$I34,"")</f>
        <v/>
      </c>
      <c r="O438" s="39" t="str">
        <f>IFERROR(ödev!Z34*100/ödev!$I34,"")</f>
        <v/>
      </c>
      <c r="P438" s="39" t="str">
        <f>IFERROR(ödev!AA34*100/ödev!$I34,"")</f>
        <v/>
      </c>
      <c r="Q438" s="39" t="str">
        <f>IFERROR(ödev!AB34*100/ödev!$I34,"")</f>
        <v/>
      </c>
      <c r="R438" s="39" t="str">
        <f>IFERROR(ödev!AC34*100/ödev!$I34,"")</f>
        <v/>
      </c>
      <c r="S438" s="39" t="str">
        <f>IFERROR(ödev!AD34*100/ödev!$I34,"")</f>
        <v/>
      </c>
      <c r="T438" s="39" t="str">
        <f>IFERROR(ödev!AE34*100/ödev!$I34,"")</f>
        <v/>
      </c>
      <c r="U438" s="39" t="str">
        <f>IFERROR(ödev!AF34*100/ödev!$I34,"")</f>
        <v/>
      </c>
      <c r="V438" s="39" t="str">
        <f>IFERROR(ödev!AG34*100/ödev!$I34,"")</f>
        <v/>
      </c>
      <c r="W438" s="39" t="str">
        <f>IFERROR(ödev!AH34*100/ödev!$I34,"")</f>
        <v/>
      </c>
      <c r="X438" s="39" t="str">
        <f>IFERROR(ödev!AI34*100/ödev!$I34,"")</f>
        <v/>
      </c>
      <c r="Y438" s="39" t="str">
        <f>IFERROR(ödev!AJ34*100/ödev!$I34,"")</f>
        <v/>
      </c>
      <c r="Z438" s="39" t="str">
        <f>IFERROR(ödev!AK34*100/ödev!$I34,"")</f>
        <v/>
      </c>
      <c r="AA438" s="39" t="str">
        <f>IFERROR(ödev!AL34*100/ödev!$I34,"")</f>
        <v/>
      </c>
      <c r="AB438" s="39" t="str">
        <f>IFERROR(ödev!AM34*100/ödev!$I34,"")</f>
        <v/>
      </c>
      <c r="AC438" s="39" t="str">
        <f>IFERROR(ödev!AN34*100/ödev!$I34,"")</f>
        <v/>
      </c>
      <c r="AD438" s="39" t="str">
        <f>IFERROR(ödev!AO34*100/ödev!$I34,"")</f>
        <v/>
      </c>
      <c r="AE438" s="39" t="str">
        <f>IFERROR(ödev!AP34*100/ödev!$I34,"")</f>
        <v/>
      </c>
      <c r="AF438" s="39" t="str">
        <f>IFERROR(ödev!AQ34*100/ödev!$I34,"")</f>
        <v/>
      </c>
      <c r="AG438" s="39" t="str">
        <f>IFERROR(ödev!AR34*100/ödev!$I34,"")</f>
        <v/>
      </c>
      <c r="AH438" s="39" t="str">
        <f>IFERROR(ödev!AS34*100/ödev!$I34,"")</f>
        <v/>
      </c>
      <c r="AI438" s="39" t="str">
        <f>IFERROR(ödev!AT34*100/ödev!$I34,"")</f>
        <v/>
      </c>
      <c r="AJ438" s="39" t="str">
        <f>IFERROR(ödev!AU34*100/ödev!$I34,"")</f>
        <v/>
      </c>
      <c r="AK438" s="39" t="str">
        <f>IFERROR(ödev!AV34*100/ödev!$I34,"")</f>
        <v/>
      </c>
      <c r="AL438" s="39" t="str">
        <f>IFERROR(ödev!AW34*100/ödev!$I34,"")</f>
        <v/>
      </c>
      <c r="AM438" s="39" t="str">
        <f>IFERROR(ödev!AX34*100/ödev!$I34,"")</f>
        <v/>
      </c>
      <c r="AN438" s="39" t="str">
        <f>IFERROR(ödev!AY34*100/ödev!$I34,"")</f>
        <v/>
      </c>
      <c r="AO438" s="39" t="str">
        <f>IFERROR(ödev!AZ34*100/ödev!$I34,"")</f>
        <v/>
      </c>
      <c r="AP438" s="39" t="str">
        <f>IFERROR(ödev!BA34*100/ödev!$I34,"")</f>
        <v/>
      </c>
      <c r="AQ438" s="39" t="str">
        <f>IFERROR(ödev!BB34*100/ödev!$I34,"")</f>
        <v/>
      </c>
      <c r="AR438" s="39" t="str">
        <f>IFERROR(ödev!BC34*100/ödev!$I34,"")</f>
        <v/>
      </c>
      <c r="AS438" s="39" t="str">
        <f>IFERROR(ödev!BD34*100/ödev!$I34,"")</f>
        <v/>
      </c>
      <c r="AT438" s="39" t="str">
        <f>IFERROR(ödev!BE34*100/ödev!$I34,"")</f>
        <v/>
      </c>
      <c r="AU438" s="39" t="str">
        <f>IFERROR(ödev!BF34*100/ödev!$I34,"")</f>
        <v/>
      </c>
      <c r="AV438" s="39" t="str">
        <f>IFERROR(ödev!BG34*100/ödev!$I34,"")</f>
        <v/>
      </c>
      <c r="AW438" s="39" t="str">
        <f>IFERROR(ödev!BH34*100/ödev!$I34,"")</f>
        <v/>
      </c>
      <c r="AX438" s="39" t="str">
        <f>IFERROR(ödev!BI34*100/ödev!$I34,"")</f>
        <v/>
      </c>
      <c r="AY438" s="39" t="str">
        <f>IFERROR(ödev!BJ34*100/ödev!$I34,"")</f>
        <v/>
      </c>
      <c r="AZ438" s="39" t="str">
        <f>IFERROR(ödev!BK34*100/ödev!$I34,"")</f>
        <v/>
      </c>
      <c r="BA438" s="39" t="str">
        <f>IFERROR(ödev!BL34*100/ödev!$I34,"")</f>
        <v/>
      </c>
      <c r="BB438" s="39" t="str">
        <f>IFERROR(ödev!BM34*100/ödev!$I34,"")</f>
        <v/>
      </c>
      <c r="BC438" s="39" t="str">
        <f>IFERROR(ödev!BN34*100/ödev!$I34,"")</f>
        <v/>
      </c>
      <c r="BD438" s="39" t="str">
        <f>IFERROR(ödev!BO34*100/ödev!$I34,"")</f>
        <v/>
      </c>
      <c r="BE438" s="39" t="str">
        <f>IFERROR(ödev!BP34*100/ödev!$I34,"")</f>
        <v/>
      </c>
      <c r="BF438" s="39" t="str">
        <f>IFERROR(ödev!BQ34*100/ödev!$I34,"")</f>
        <v/>
      </c>
      <c r="BG438" s="39" t="str">
        <f>IFERROR(ödev!BR34*100/ödev!$I34,"")</f>
        <v/>
      </c>
      <c r="BH438" s="39" t="str">
        <f>IFERROR(ödev!BS34*100/ödev!$I34,"")</f>
        <v/>
      </c>
      <c r="BI438" s="39" t="str">
        <f>IFERROR(ödev!BT34*100/ödev!$I34,"")</f>
        <v/>
      </c>
      <c r="BJ438" s="39" t="str">
        <f>IFERROR(ödev!BU34*100/ödev!$I34,"")</f>
        <v/>
      </c>
      <c r="BK438" s="39" t="str">
        <f>IFERROR(ödev!BV34*100/ödev!$I34,"")</f>
        <v/>
      </c>
      <c r="BL438" s="39" t="str">
        <f>IFERROR(ödev!BW34*100/ödev!$I34,"")</f>
        <v/>
      </c>
      <c r="BM438" s="39" t="str">
        <f>IFERROR(ödev!BX34*100/ödev!$I34,"")</f>
        <v/>
      </c>
      <c r="BN438" s="39" t="str">
        <f>IFERROR(ödev!BY34*100/ödev!$I34,"")</f>
        <v/>
      </c>
      <c r="BO438" s="39" t="str">
        <f>IFERROR(ödev!BZ34*100/ödev!$I34,"")</f>
        <v/>
      </c>
      <c r="BP438" s="39" t="str">
        <f>IFERROR(ödev!CA34*100/ödev!$I34,"")</f>
        <v/>
      </c>
      <c r="BQ438" s="39" t="str">
        <f>IFERROR(ödev!CB34*100/ödev!$I34,"")</f>
        <v/>
      </c>
      <c r="BR438" s="39" t="str">
        <f>IFERROR(ödev!CC34*100/ödev!$I34,"")</f>
        <v/>
      </c>
      <c r="BS438" s="39" t="str">
        <f>IFERROR(ödev!CD34*100/ödev!$I34,"")</f>
        <v/>
      </c>
      <c r="BT438" s="39" t="str">
        <f>IFERROR(ödev!CE34*100/ödev!$I34,"")</f>
        <v/>
      </c>
      <c r="BU438" s="39" t="str">
        <f>IFERROR(ödev!CF34*100/ödev!$I34,"")</f>
        <v/>
      </c>
      <c r="BV438" s="39" t="str">
        <f>IFERROR(ödev!CG34*100/ödev!$I34,"")</f>
        <v/>
      </c>
      <c r="BW438" s="39" t="str">
        <f>IFERROR(ödev!CH34*100/ödev!$I34,"")</f>
        <v/>
      </c>
      <c r="BX438" s="39" t="str">
        <f>IFERROR(ödev!CI34*100/ödev!$I34,"")</f>
        <v/>
      </c>
      <c r="BY438" s="39" t="str">
        <f>IFERROR(ödev!CJ34*100/ödev!$I34,"")</f>
        <v/>
      </c>
      <c r="BZ438" s="39" t="str">
        <f>IFERROR(ödev!CK34*100/ödev!$I34,"")</f>
        <v/>
      </c>
      <c r="CA438" s="39" t="str">
        <f>IFERROR(ödev!CL34*100/ödev!$I34,"")</f>
        <v/>
      </c>
      <c r="CB438" s="39" t="str">
        <f>IFERROR(ödev!CM34*100/ödev!$I34,"")</f>
        <v/>
      </c>
      <c r="CC438" s="39" t="str">
        <f>IFERROR(ödev!CN34*100/ödev!$I34,"")</f>
        <v/>
      </c>
      <c r="CD438" s="39" t="str">
        <f>IFERROR(ödev!CO34*100/ödev!$I34,"")</f>
        <v/>
      </c>
      <c r="CE438" s="39" t="str">
        <f>IFERROR(ödev!CP34*100/ödev!$I34,"")</f>
        <v/>
      </c>
      <c r="CF438" s="39" t="str">
        <f>IFERROR(ödev!CQ34*100/ödev!$I34,"")</f>
        <v/>
      </c>
      <c r="CG438" s="39" t="str">
        <f>IFERROR(ödev!CR34*100/ödev!$I34,"")</f>
        <v/>
      </c>
      <c r="CH438" s="39" t="str">
        <f>IFERROR(ödev!CS34*100/ödev!$I34,"")</f>
        <v/>
      </c>
      <c r="CI438" s="39" t="str">
        <f>IFERROR(ödev!CT34*100/ödev!$I34,"")</f>
        <v/>
      </c>
      <c r="CJ438" s="39" t="str">
        <f>IFERROR(ödev!CU34*100/ödev!$I34,"")</f>
        <v/>
      </c>
      <c r="CK438" s="39" t="str">
        <f>IFERROR(ödev!CV34*100/ödev!$I34,"")</f>
        <v/>
      </c>
      <c r="CL438" s="39" t="str">
        <f>IFERROR(ödev!CW34*100/ödev!$I34,"")</f>
        <v/>
      </c>
      <c r="CM438" s="39" t="str">
        <f>IFERROR(ödev!CX34*100/ödev!$I34,"")</f>
        <v/>
      </c>
      <c r="CN438" s="39" t="str">
        <f>IFERROR(ödev!CY34*100/ödev!$I34,"")</f>
        <v/>
      </c>
      <c r="CO438" s="39" t="str">
        <f>IFERROR(ödev!CZ34*100/ödev!$I34,"")</f>
        <v/>
      </c>
      <c r="CP438" s="39" t="str">
        <f>IFERROR(ödev!DA34*100/ödev!$I34,"")</f>
        <v/>
      </c>
      <c r="CQ438" s="39" t="str">
        <f>IFERROR(ödev!DB34*100/ödev!$I34,"")</f>
        <v/>
      </c>
      <c r="CR438" s="39" t="str">
        <f>IFERROR(ödev!DC34*100/ödev!$I34,"")</f>
        <v/>
      </c>
      <c r="CS438" s="39" t="str">
        <f>IFERROR(ödev!DD34*100/ödev!$I34,"")</f>
        <v/>
      </c>
      <c r="CT438" s="39" t="str">
        <f>IFERROR(ödev!DE34*100/ödev!$I34,"")</f>
        <v/>
      </c>
      <c r="CU438" s="39" t="str">
        <f>IFERROR(ödev!DF34*100/ödev!$I34,"")</f>
        <v/>
      </c>
      <c r="CV438" s="39" t="str">
        <f>IFERROR(ödev!DG34*100/ödev!$I34,"")</f>
        <v/>
      </c>
      <c r="CW438" s="36" t="str">
        <f>IFERROR(SUM(A438:CV438)/ödev!$DH$103,"")</f>
        <v/>
      </c>
      <c r="CX438" s="14" t="str">
        <f>IF(COUNTA(ödev!A34),ödev!A34,"")</f>
        <v/>
      </c>
      <c r="CY438" s="14" t="str">
        <f>IF(COUNTA(ödev!B34),ödev!B34,"")</f>
        <v/>
      </c>
      <c r="CZ438" s="14" t="str">
        <f>IF(COUNTA(ödev!C34),ödev!C34,"")</f>
        <v/>
      </c>
      <c r="DA438" s="14" t="str">
        <f>IF(COUNTA(ödev!D34),ödev!D34,"")</f>
        <v/>
      </c>
      <c r="DB438" s="14" t="str">
        <f>IF(COUNTA(ödev!E34),ödev!E34,"")</f>
        <v/>
      </c>
      <c r="DC438" s="14" t="str">
        <f>IF(COUNTA(ödev!F34),ödev!F34,"")</f>
        <v/>
      </c>
      <c r="DD438" s="14" t="str">
        <f>IF(COUNTA(ödev!G34),ödev!G34,"")</f>
        <v/>
      </c>
      <c r="DE438" s="14" t="str">
        <f>IF(COUNTA(ödev!H34),ödev!H34,"")</f>
        <v/>
      </c>
    </row>
    <row r="439" spans="1:109" x14ac:dyDescent="0.2">
      <c r="A439" s="39" t="str">
        <f>IFERROR(ödev!L35*100/ödev!$I35,"")</f>
        <v/>
      </c>
      <c r="B439" s="39" t="str">
        <f>IFERROR(ödev!M35*100/ödev!$I35,"")</f>
        <v/>
      </c>
      <c r="C439" s="39" t="str">
        <f>IFERROR(ödev!N35*100/ödev!$I35,"")</f>
        <v/>
      </c>
      <c r="D439" s="39" t="str">
        <f>IFERROR(ödev!O35*100/ödev!$I35,"")</f>
        <v/>
      </c>
      <c r="E439" s="39" t="str">
        <f>IFERROR(ödev!P35*100/ödev!$I35,"")</f>
        <v/>
      </c>
      <c r="F439" s="39" t="str">
        <f>IFERROR(ödev!Q35*100/ödev!$I35,"")</f>
        <v/>
      </c>
      <c r="G439" s="39" t="str">
        <f>IFERROR(ödev!R35*100/ödev!$I35,"")</f>
        <v/>
      </c>
      <c r="H439" s="39" t="str">
        <f>IFERROR(ödev!S35*100/ödev!$I35,"")</f>
        <v/>
      </c>
      <c r="I439" s="39" t="str">
        <f>IFERROR(ödev!T35*100/ödev!$I35,"")</f>
        <v/>
      </c>
      <c r="J439" s="39" t="str">
        <f>IFERROR(ödev!U35*100/ödev!$I35,"")</f>
        <v/>
      </c>
      <c r="K439" s="39" t="str">
        <f>IFERROR(ödev!V35*100/ödev!$I35,"")</f>
        <v/>
      </c>
      <c r="L439" s="39" t="str">
        <f>IFERROR(ödev!W35*100/ödev!$I35,"")</f>
        <v/>
      </c>
      <c r="M439" s="39" t="str">
        <f>IFERROR(ödev!X35*100/ödev!$I35,"")</f>
        <v/>
      </c>
      <c r="N439" s="39" t="str">
        <f>IFERROR(ödev!Y35*100/ödev!$I35,"")</f>
        <v/>
      </c>
      <c r="O439" s="39" t="str">
        <f>IFERROR(ödev!Z35*100/ödev!$I35,"")</f>
        <v/>
      </c>
      <c r="P439" s="39" t="str">
        <f>IFERROR(ödev!AA35*100/ödev!$I35,"")</f>
        <v/>
      </c>
      <c r="Q439" s="39" t="str">
        <f>IFERROR(ödev!AB35*100/ödev!$I35,"")</f>
        <v/>
      </c>
      <c r="R439" s="39" t="str">
        <f>IFERROR(ödev!AC35*100/ödev!$I35,"")</f>
        <v/>
      </c>
      <c r="S439" s="39" t="str">
        <f>IFERROR(ödev!AD35*100/ödev!$I35,"")</f>
        <v/>
      </c>
      <c r="T439" s="39" t="str">
        <f>IFERROR(ödev!AE35*100/ödev!$I35,"")</f>
        <v/>
      </c>
      <c r="U439" s="39" t="str">
        <f>IFERROR(ödev!AF35*100/ödev!$I35,"")</f>
        <v/>
      </c>
      <c r="V439" s="39" t="str">
        <f>IFERROR(ödev!AG35*100/ödev!$I35,"")</f>
        <v/>
      </c>
      <c r="W439" s="39" t="str">
        <f>IFERROR(ödev!AH35*100/ödev!$I35,"")</f>
        <v/>
      </c>
      <c r="X439" s="39" t="str">
        <f>IFERROR(ödev!AI35*100/ödev!$I35,"")</f>
        <v/>
      </c>
      <c r="Y439" s="39" t="str">
        <f>IFERROR(ödev!AJ35*100/ödev!$I35,"")</f>
        <v/>
      </c>
      <c r="Z439" s="39" t="str">
        <f>IFERROR(ödev!AK35*100/ödev!$I35,"")</f>
        <v/>
      </c>
      <c r="AA439" s="39" t="str">
        <f>IFERROR(ödev!AL35*100/ödev!$I35,"")</f>
        <v/>
      </c>
      <c r="AB439" s="39" t="str">
        <f>IFERROR(ödev!AM35*100/ödev!$I35,"")</f>
        <v/>
      </c>
      <c r="AC439" s="39" t="str">
        <f>IFERROR(ödev!AN35*100/ödev!$I35,"")</f>
        <v/>
      </c>
      <c r="AD439" s="39" t="str">
        <f>IFERROR(ödev!AO35*100/ödev!$I35,"")</f>
        <v/>
      </c>
      <c r="AE439" s="39" t="str">
        <f>IFERROR(ödev!AP35*100/ödev!$I35,"")</f>
        <v/>
      </c>
      <c r="AF439" s="39" t="str">
        <f>IFERROR(ödev!AQ35*100/ödev!$I35,"")</f>
        <v/>
      </c>
      <c r="AG439" s="39" t="str">
        <f>IFERROR(ödev!AR35*100/ödev!$I35,"")</f>
        <v/>
      </c>
      <c r="AH439" s="39" t="str">
        <f>IFERROR(ödev!AS35*100/ödev!$I35,"")</f>
        <v/>
      </c>
      <c r="AI439" s="39" t="str">
        <f>IFERROR(ödev!AT35*100/ödev!$I35,"")</f>
        <v/>
      </c>
      <c r="AJ439" s="39" t="str">
        <f>IFERROR(ödev!AU35*100/ödev!$I35,"")</f>
        <v/>
      </c>
      <c r="AK439" s="39" t="str">
        <f>IFERROR(ödev!AV35*100/ödev!$I35,"")</f>
        <v/>
      </c>
      <c r="AL439" s="39" t="str">
        <f>IFERROR(ödev!AW35*100/ödev!$I35,"")</f>
        <v/>
      </c>
      <c r="AM439" s="39" t="str">
        <f>IFERROR(ödev!AX35*100/ödev!$I35,"")</f>
        <v/>
      </c>
      <c r="AN439" s="39" t="str">
        <f>IFERROR(ödev!AY35*100/ödev!$I35,"")</f>
        <v/>
      </c>
      <c r="AO439" s="39" t="str">
        <f>IFERROR(ödev!AZ35*100/ödev!$I35,"")</f>
        <v/>
      </c>
      <c r="AP439" s="39" t="str">
        <f>IFERROR(ödev!BA35*100/ödev!$I35,"")</f>
        <v/>
      </c>
      <c r="AQ439" s="39" t="str">
        <f>IFERROR(ödev!BB35*100/ödev!$I35,"")</f>
        <v/>
      </c>
      <c r="AR439" s="39" t="str">
        <f>IFERROR(ödev!BC35*100/ödev!$I35,"")</f>
        <v/>
      </c>
      <c r="AS439" s="39" t="str">
        <f>IFERROR(ödev!BD35*100/ödev!$I35,"")</f>
        <v/>
      </c>
      <c r="AT439" s="39" t="str">
        <f>IFERROR(ödev!BE35*100/ödev!$I35,"")</f>
        <v/>
      </c>
      <c r="AU439" s="39" t="str">
        <f>IFERROR(ödev!BF35*100/ödev!$I35,"")</f>
        <v/>
      </c>
      <c r="AV439" s="39" t="str">
        <f>IFERROR(ödev!BG35*100/ödev!$I35,"")</f>
        <v/>
      </c>
      <c r="AW439" s="39" t="str">
        <f>IFERROR(ödev!BH35*100/ödev!$I35,"")</f>
        <v/>
      </c>
      <c r="AX439" s="39" t="str">
        <f>IFERROR(ödev!BI35*100/ödev!$I35,"")</f>
        <v/>
      </c>
      <c r="AY439" s="39" t="str">
        <f>IFERROR(ödev!BJ35*100/ödev!$I35,"")</f>
        <v/>
      </c>
      <c r="AZ439" s="39" t="str">
        <f>IFERROR(ödev!BK35*100/ödev!$I35,"")</f>
        <v/>
      </c>
      <c r="BA439" s="39" t="str">
        <f>IFERROR(ödev!BL35*100/ödev!$I35,"")</f>
        <v/>
      </c>
      <c r="BB439" s="39" t="str">
        <f>IFERROR(ödev!BM35*100/ödev!$I35,"")</f>
        <v/>
      </c>
      <c r="BC439" s="39" t="str">
        <f>IFERROR(ödev!BN35*100/ödev!$I35,"")</f>
        <v/>
      </c>
      <c r="BD439" s="39" t="str">
        <f>IFERROR(ödev!BO35*100/ödev!$I35,"")</f>
        <v/>
      </c>
      <c r="BE439" s="39" t="str">
        <f>IFERROR(ödev!BP35*100/ödev!$I35,"")</f>
        <v/>
      </c>
      <c r="BF439" s="39" t="str">
        <f>IFERROR(ödev!BQ35*100/ödev!$I35,"")</f>
        <v/>
      </c>
      <c r="BG439" s="39" t="str">
        <f>IFERROR(ödev!BR35*100/ödev!$I35,"")</f>
        <v/>
      </c>
      <c r="BH439" s="39" t="str">
        <f>IFERROR(ödev!BS35*100/ödev!$I35,"")</f>
        <v/>
      </c>
      <c r="BI439" s="39" t="str">
        <f>IFERROR(ödev!BT35*100/ödev!$I35,"")</f>
        <v/>
      </c>
      <c r="BJ439" s="39" t="str">
        <f>IFERROR(ödev!BU35*100/ödev!$I35,"")</f>
        <v/>
      </c>
      <c r="BK439" s="39" t="str">
        <f>IFERROR(ödev!BV35*100/ödev!$I35,"")</f>
        <v/>
      </c>
      <c r="BL439" s="39" t="str">
        <f>IFERROR(ödev!BW35*100/ödev!$I35,"")</f>
        <v/>
      </c>
      <c r="BM439" s="39" t="str">
        <f>IFERROR(ödev!BX35*100/ödev!$I35,"")</f>
        <v/>
      </c>
      <c r="BN439" s="39" t="str">
        <f>IFERROR(ödev!BY35*100/ödev!$I35,"")</f>
        <v/>
      </c>
      <c r="BO439" s="39" t="str">
        <f>IFERROR(ödev!BZ35*100/ödev!$I35,"")</f>
        <v/>
      </c>
      <c r="BP439" s="39" t="str">
        <f>IFERROR(ödev!CA35*100/ödev!$I35,"")</f>
        <v/>
      </c>
      <c r="BQ439" s="39" t="str">
        <f>IFERROR(ödev!CB35*100/ödev!$I35,"")</f>
        <v/>
      </c>
      <c r="BR439" s="39" t="str">
        <f>IFERROR(ödev!CC35*100/ödev!$I35,"")</f>
        <v/>
      </c>
      <c r="BS439" s="39" t="str">
        <f>IFERROR(ödev!CD35*100/ödev!$I35,"")</f>
        <v/>
      </c>
      <c r="BT439" s="39" t="str">
        <f>IFERROR(ödev!CE35*100/ödev!$I35,"")</f>
        <v/>
      </c>
      <c r="BU439" s="39" t="str">
        <f>IFERROR(ödev!CF35*100/ödev!$I35,"")</f>
        <v/>
      </c>
      <c r="BV439" s="39" t="str">
        <f>IFERROR(ödev!CG35*100/ödev!$I35,"")</f>
        <v/>
      </c>
      <c r="BW439" s="39" t="str">
        <f>IFERROR(ödev!CH35*100/ödev!$I35,"")</f>
        <v/>
      </c>
      <c r="BX439" s="39" t="str">
        <f>IFERROR(ödev!CI35*100/ödev!$I35,"")</f>
        <v/>
      </c>
      <c r="BY439" s="39" t="str">
        <f>IFERROR(ödev!CJ35*100/ödev!$I35,"")</f>
        <v/>
      </c>
      <c r="BZ439" s="39" t="str">
        <f>IFERROR(ödev!CK35*100/ödev!$I35,"")</f>
        <v/>
      </c>
      <c r="CA439" s="39" t="str">
        <f>IFERROR(ödev!CL35*100/ödev!$I35,"")</f>
        <v/>
      </c>
      <c r="CB439" s="39" t="str">
        <f>IFERROR(ödev!CM35*100/ödev!$I35,"")</f>
        <v/>
      </c>
      <c r="CC439" s="39" t="str">
        <f>IFERROR(ödev!CN35*100/ödev!$I35,"")</f>
        <v/>
      </c>
      <c r="CD439" s="39" t="str">
        <f>IFERROR(ödev!CO35*100/ödev!$I35,"")</f>
        <v/>
      </c>
      <c r="CE439" s="39" t="str">
        <f>IFERROR(ödev!CP35*100/ödev!$I35,"")</f>
        <v/>
      </c>
      <c r="CF439" s="39" t="str">
        <f>IFERROR(ödev!CQ35*100/ödev!$I35,"")</f>
        <v/>
      </c>
      <c r="CG439" s="39" t="str">
        <f>IFERROR(ödev!CR35*100/ödev!$I35,"")</f>
        <v/>
      </c>
      <c r="CH439" s="39" t="str">
        <f>IFERROR(ödev!CS35*100/ödev!$I35,"")</f>
        <v/>
      </c>
      <c r="CI439" s="39" t="str">
        <f>IFERROR(ödev!CT35*100/ödev!$I35,"")</f>
        <v/>
      </c>
      <c r="CJ439" s="39" t="str">
        <f>IFERROR(ödev!CU35*100/ödev!$I35,"")</f>
        <v/>
      </c>
      <c r="CK439" s="39" t="str">
        <f>IFERROR(ödev!CV35*100/ödev!$I35,"")</f>
        <v/>
      </c>
      <c r="CL439" s="39" t="str">
        <f>IFERROR(ödev!CW35*100/ödev!$I35,"")</f>
        <v/>
      </c>
      <c r="CM439" s="39" t="str">
        <f>IFERROR(ödev!CX35*100/ödev!$I35,"")</f>
        <v/>
      </c>
      <c r="CN439" s="39" t="str">
        <f>IFERROR(ödev!CY35*100/ödev!$I35,"")</f>
        <v/>
      </c>
      <c r="CO439" s="39" t="str">
        <f>IFERROR(ödev!CZ35*100/ödev!$I35,"")</f>
        <v/>
      </c>
      <c r="CP439" s="39" t="str">
        <f>IFERROR(ödev!DA35*100/ödev!$I35,"")</f>
        <v/>
      </c>
      <c r="CQ439" s="39" t="str">
        <f>IFERROR(ödev!DB35*100/ödev!$I35,"")</f>
        <v/>
      </c>
      <c r="CR439" s="39" t="str">
        <f>IFERROR(ödev!DC35*100/ödev!$I35,"")</f>
        <v/>
      </c>
      <c r="CS439" s="39" t="str">
        <f>IFERROR(ödev!DD35*100/ödev!$I35,"")</f>
        <v/>
      </c>
      <c r="CT439" s="39" t="str">
        <f>IFERROR(ödev!DE35*100/ödev!$I35,"")</f>
        <v/>
      </c>
      <c r="CU439" s="39" t="str">
        <f>IFERROR(ödev!DF35*100/ödev!$I35,"")</f>
        <v/>
      </c>
      <c r="CV439" s="39" t="str">
        <f>IFERROR(ödev!DG35*100/ödev!$I35,"")</f>
        <v/>
      </c>
      <c r="CW439" s="36" t="str">
        <f>IFERROR(SUM(A439:CV439)/ödev!$DH$103,"")</f>
        <v/>
      </c>
      <c r="CX439" s="14" t="str">
        <f>IF(COUNTA(ödev!A35),ödev!A35,"")</f>
        <v/>
      </c>
      <c r="CY439" s="14" t="str">
        <f>IF(COUNTA(ödev!B35),ödev!B35,"")</f>
        <v/>
      </c>
      <c r="CZ439" s="14" t="str">
        <f>IF(COUNTA(ödev!C35),ödev!C35,"")</f>
        <v/>
      </c>
      <c r="DA439" s="14" t="str">
        <f>IF(COUNTA(ödev!D35),ödev!D35,"")</f>
        <v/>
      </c>
      <c r="DB439" s="14" t="str">
        <f>IF(COUNTA(ödev!E35),ödev!E35,"")</f>
        <v/>
      </c>
      <c r="DC439" s="14" t="str">
        <f>IF(COUNTA(ödev!F35),ödev!F35,"")</f>
        <v/>
      </c>
      <c r="DD439" s="14" t="str">
        <f>IF(COUNTA(ödev!G35),ödev!G35,"")</f>
        <v/>
      </c>
      <c r="DE439" s="14" t="str">
        <f>IF(COUNTA(ödev!H35),ödev!H35,"")</f>
        <v/>
      </c>
    </row>
    <row r="440" spans="1:109" x14ac:dyDescent="0.2">
      <c r="A440" s="39" t="str">
        <f>IFERROR(ödev!L36*100/ödev!$I36,"")</f>
        <v/>
      </c>
      <c r="B440" s="39" t="str">
        <f>IFERROR(ödev!M36*100/ödev!$I36,"")</f>
        <v/>
      </c>
      <c r="C440" s="39" t="str">
        <f>IFERROR(ödev!N36*100/ödev!$I36,"")</f>
        <v/>
      </c>
      <c r="D440" s="39" t="str">
        <f>IFERROR(ödev!O36*100/ödev!$I36,"")</f>
        <v/>
      </c>
      <c r="E440" s="39" t="str">
        <f>IFERROR(ödev!P36*100/ödev!$I36,"")</f>
        <v/>
      </c>
      <c r="F440" s="39" t="str">
        <f>IFERROR(ödev!Q36*100/ödev!$I36,"")</f>
        <v/>
      </c>
      <c r="G440" s="39" t="str">
        <f>IFERROR(ödev!R36*100/ödev!$I36,"")</f>
        <v/>
      </c>
      <c r="H440" s="39" t="str">
        <f>IFERROR(ödev!S36*100/ödev!$I36,"")</f>
        <v/>
      </c>
      <c r="I440" s="39" t="str">
        <f>IFERROR(ödev!T36*100/ödev!$I36,"")</f>
        <v/>
      </c>
      <c r="J440" s="39" t="str">
        <f>IFERROR(ödev!U36*100/ödev!$I36,"")</f>
        <v/>
      </c>
      <c r="K440" s="39" t="str">
        <f>IFERROR(ödev!V36*100/ödev!$I36,"")</f>
        <v/>
      </c>
      <c r="L440" s="39" t="str">
        <f>IFERROR(ödev!W36*100/ödev!$I36,"")</f>
        <v/>
      </c>
      <c r="M440" s="39" t="str">
        <f>IFERROR(ödev!X36*100/ödev!$I36,"")</f>
        <v/>
      </c>
      <c r="N440" s="39" t="str">
        <f>IFERROR(ödev!Y36*100/ödev!$I36,"")</f>
        <v/>
      </c>
      <c r="O440" s="39" t="str">
        <f>IFERROR(ödev!Z36*100/ödev!$I36,"")</f>
        <v/>
      </c>
      <c r="P440" s="39" t="str">
        <f>IFERROR(ödev!AA36*100/ödev!$I36,"")</f>
        <v/>
      </c>
      <c r="Q440" s="39" t="str">
        <f>IFERROR(ödev!AB36*100/ödev!$I36,"")</f>
        <v/>
      </c>
      <c r="R440" s="39" t="str">
        <f>IFERROR(ödev!AC36*100/ödev!$I36,"")</f>
        <v/>
      </c>
      <c r="S440" s="39" t="str">
        <f>IFERROR(ödev!AD36*100/ödev!$I36,"")</f>
        <v/>
      </c>
      <c r="T440" s="39" t="str">
        <f>IFERROR(ödev!AE36*100/ödev!$I36,"")</f>
        <v/>
      </c>
      <c r="U440" s="39" t="str">
        <f>IFERROR(ödev!AF36*100/ödev!$I36,"")</f>
        <v/>
      </c>
      <c r="V440" s="39" t="str">
        <f>IFERROR(ödev!AG36*100/ödev!$I36,"")</f>
        <v/>
      </c>
      <c r="W440" s="39" t="str">
        <f>IFERROR(ödev!AH36*100/ödev!$I36,"")</f>
        <v/>
      </c>
      <c r="X440" s="39" t="str">
        <f>IFERROR(ödev!AI36*100/ödev!$I36,"")</f>
        <v/>
      </c>
      <c r="Y440" s="39" t="str">
        <f>IFERROR(ödev!AJ36*100/ödev!$I36,"")</f>
        <v/>
      </c>
      <c r="Z440" s="39" t="str">
        <f>IFERROR(ödev!AK36*100/ödev!$I36,"")</f>
        <v/>
      </c>
      <c r="AA440" s="39" t="str">
        <f>IFERROR(ödev!AL36*100/ödev!$I36,"")</f>
        <v/>
      </c>
      <c r="AB440" s="39" t="str">
        <f>IFERROR(ödev!AM36*100/ödev!$I36,"")</f>
        <v/>
      </c>
      <c r="AC440" s="39" t="str">
        <f>IFERROR(ödev!AN36*100/ödev!$I36,"")</f>
        <v/>
      </c>
      <c r="AD440" s="39" t="str">
        <f>IFERROR(ödev!AO36*100/ödev!$I36,"")</f>
        <v/>
      </c>
      <c r="AE440" s="39" t="str">
        <f>IFERROR(ödev!AP36*100/ödev!$I36,"")</f>
        <v/>
      </c>
      <c r="AF440" s="39" t="str">
        <f>IFERROR(ödev!AQ36*100/ödev!$I36,"")</f>
        <v/>
      </c>
      <c r="AG440" s="39" t="str">
        <f>IFERROR(ödev!AR36*100/ödev!$I36,"")</f>
        <v/>
      </c>
      <c r="AH440" s="39" t="str">
        <f>IFERROR(ödev!AS36*100/ödev!$I36,"")</f>
        <v/>
      </c>
      <c r="AI440" s="39" t="str">
        <f>IFERROR(ödev!AT36*100/ödev!$I36,"")</f>
        <v/>
      </c>
      <c r="AJ440" s="39" t="str">
        <f>IFERROR(ödev!AU36*100/ödev!$I36,"")</f>
        <v/>
      </c>
      <c r="AK440" s="39" t="str">
        <f>IFERROR(ödev!AV36*100/ödev!$I36,"")</f>
        <v/>
      </c>
      <c r="AL440" s="39" t="str">
        <f>IFERROR(ödev!AW36*100/ödev!$I36,"")</f>
        <v/>
      </c>
      <c r="AM440" s="39" t="str">
        <f>IFERROR(ödev!AX36*100/ödev!$I36,"")</f>
        <v/>
      </c>
      <c r="AN440" s="39" t="str">
        <f>IFERROR(ödev!AY36*100/ödev!$I36,"")</f>
        <v/>
      </c>
      <c r="AO440" s="39" t="str">
        <f>IFERROR(ödev!AZ36*100/ödev!$I36,"")</f>
        <v/>
      </c>
      <c r="AP440" s="39" t="str">
        <f>IFERROR(ödev!BA36*100/ödev!$I36,"")</f>
        <v/>
      </c>
      <c r="AQ440" s="39" t="str">
        <f>IFERROR(ödev!BB36*100/ödev!$I36,"")</f>
        <v/>
      </c>
      <c r="AR440" s="39" t="str">
        <f>IFERROR(ödev!BC36*100/ödev!$I36,"")</f>
        <v/>
      </c>
      <c r="AS440" s="39" t="str">
        <f>IFERROR(ödev!BD36*100/ödev!$I36,"")</f>
        <v/>
      </c>
      <c r="AT440" s="39" t="str">
        <f>IFERROR(ödev!BE36*100/ödev!$I36,"")</f>
        <v/>
      </c>
      <c r="AU440" s="39" t="str">
        <f>IFERROR(ödev!BF36*100/ödev!$I36,"")</f>
        <v/>
      </c>
      <c r="AV440" s="39" t="str">
        <f>IFERROR(ödev!BG36*100/ödev!$I36,"")</f>
        <v/>
      </c>
      <c r="AW440" s="39" t="str">
        <f>IFERROR(ödev!BH36*100/ödev!$I36,"")</f>
        <v/>
      </c>
      <c r="AX440" s="39" t="str">
        <f>IFERROR(ödev!BI36*100/ödev!$I36,"")</f>
        <v/>
      </c>
      <c r="AY440" s="39" t="str">
        <f>IFERROR(ödev!BJ36*100/ödev!$I36,"")</f>
        <v/>
      </c>
      <c r="AZ440" s="39" t="str">
        <f>IFERROR(ödev!BK36*100/ödev!$I36,"")</f>
        <v/>
      </c>
      <c r="BA440" s="39" t="str">
        <f>IFERROR(ödev!BL36*100/ödev!$I36,"")</f>
        <v/>
      </c>
      <c r="BB440" s="39" t="str">
        <f>IFERROR(ödev!BM36*100/ödev!$I36,"")</f>
        <v/>
      </c>
      <c r="BC440" s="39" t="str">
        <f>IFERROR(ödev!BN36*100/ödev!$I36,"")</f>
        <v/>
      </c>
      <c r="BD440" s="39" t="str">
        <f>IFERROR(ödev!BO36*100/ödev!$I36,"")</f>
        <v/>
      </c>
      <c r="BE440" s="39" t="str">
        <f>IFERROR(ödev!BP36*100/ödev!$I36,"")</f>
        <v/>
      </c>
      <c r="BF440" s="39" t="str">
        <f>IFERROR(ödev!BQ36*100/ödev!$I36,"")</f>
        <v/>
      </c>
      <c r="BG440" s="39" t="str">
        <f>IFERROR(ödev!BR36*100/ödev!$I36,"")</f>
        <v/>
      </c>
      <c r="BH440" s="39" t="str">
        <f>IFERROR(ödev!BS36*100/ödev!$I36,"")</f>
        <v/>
      </c>
      <c r="BI440" s="39" t="str">
        <f>IFERROR(ödev!BT36*100/ödev!$I36,"")</f>
        <v/>
      </c>
      <c r="BJ440" s="39" t="str">
        <f>IFERROR(ödev!BU36*100/ödev!$I36,"")</f>
        <v/>
      </c>
      <c r="BK440" s="39" t="str">
        <f>IFERROR(ödev!BV36*100/ödev!$I36,"")</f>
        <v/>
      </c>
      <c r="BL440" s="39" t="str">
        <f>IFERROR(ödev!BW36*100/ödev!$I36,"")</f>
        <v/>
      </c>
      <c r="BM440" s="39" t="str">
        <f>IFERROR(ödev!BX36*100/ödev!$I36,"")</f>
        <v/>
      </c>
      <c r="BN440" s="39" t="str">
        <f>IFERROR(ödev!BY36*100/ödev!$I36,"")</f>
        <v/>
      </c>
      <c r="BO440" s="39" t="str">
        <f>IFERROR(ödev!BZ36*100/ödev!$I36,"")</f>
        <v/>
      </c>
      <c r="BP440" s="39" t="str">
        <f>IFERROR(ödev!CA36*100/ödev!$I36,"")</f>
        <v/>
      </c>
      <c r="BQ440" s="39" t="str">
        <f>IFERROR(ödev!CB36*100/ödev!$I36,"")</f>
        <v/>
      </c>
      <c r="BR440" s="39" t="str">
        <f>IFERROR(ödev!CC36*100/ödev!$I36,"")</f>
        <v/>
      </c>
      <c r="BS440" s="39" t="str">
        <f>IFERROR(ödev!CD36*100/ödev!$I36,"")</f>
        <v/>
      </c>
      <c r="BT440" s="39" t="str">
        <f>IFERROR(ödev!CE36*100/ödev!$I36,"")</f>
        <v/>
      </c>
      <c r="BU440" s="39" t="str">
        <f>IFERROR(ödev!CF36*100/ödev!$I36,"")</f>
        <v/>
      </c>
      <c r="BV440" s="39" t="str">
        <f>IFERROR(ödev!CG36*100/ödev!$I36,"")</f>
        <v/>
      </c>
      <c r="BW440" s="39" t="str">
        <f>IFERROR(ödev!CH36*100/ödev!$I36,"")</f>
        <v/>
      </c>
      <c r="BX440" s="39" t="str">
        <f>IFERROR(ödev!CI36*100/ödev!$I36,"")</f>
        <v/>
      </c>
      <c r="BY440" s="39" t="str">
        <f>IFERROR(ödev!CJ36*100/ödev!$I36,"")</f>
        <v/>
      </c>
      <c r="BZ440" s="39" t="str">
        <f>IFERROR(ödev!CK36*100/ödev!$I36,"")</f>
        <v/>
      </c>
      <c r="CA440" s="39" t="str">
        <f>IFERROR(ödev!CL36*100/ödev!$I36,"")</f>
        <v/>
      </c>
      <c r="CB440" s="39" t="str">
        <f>IFERROR(ödev!CM36*100/ödev!$I36,"")</f>
        <v/>
      </c>
      <c r="CC440" s="39" t="str">
        <f>IFERROR(ödev!CN36*100/ödev!$I36,"")</f>
        <v/>
      </c>
      <c r="CD440" s="39" t="str">
        <f>IFERROR(ödev!CO36*100/ödev!$I36,"")</f>
        <v/>
      </c>
      <c r="CE440" s="39" t="str">
        <f>IFERROR(ödev!CP36*100/ödev!$I36,"")</f>
        <v/>
      </c>
      <c r="CF440" s="39" t="str">
        <f>IFERROR(ödev!CQ36*100/ödev!$I36,"")</f>
        <v/>
      </c>
      <c r="CG440" s="39" t="str">
        <f>IFERROR(ödev!CR36*100/ödev!$I36,"")</f>
        <v/>
      </c>
      <c r="CH440" s="39" t="str">
        <f>IFERROR(ödev!CS36*100/ödev!$I36,"")</f>
        <v/>
      </c>
      <c r="CI440" s="39" t="str">
        <f>IFERROR(ödev!CT36*100/ödev!$I36,"")</f>
        <v/>
      </c>
      <c r="CJ440" s="39" t="str">
        <f>IFERROR(ödev!CU36*100/ödev!$I36,"")</f>
        <v/>
      </c>
      <c r="CK440" s="39" t="str">
        <f>IFERROR(ödev!CV36*100/ödev!$I36,"")</f>
        <v/>
      </c>
      <c r="CL440" s="39" t="str">
        <f>IFERROR(ödev!CW36*100/ödev!$I36,"")</f>
        <v/>
      </c>
      <c r="CM440" s="39" t="str">
        <f>IFERROR(ödev!CX36*100/ödev!$I36,"")</f>
        <v/>
      </c>
      <c r="CN440" s="39" t="str">
        <f>IFERROR(ödev!CY36*100/ödev!$I36,"")</f>
        <v/>
      </c>
      <c r="CO440" s="39" t="str">
        <f>IFERROR(ödev!CZ36*100/ödev!$I36,"")</f>
        <v/>
      </c>
      <c r="CP440" s="39" t="str">
        <f>IFERROR(ödev!DA36*100/ödev!$I36,"")</f>
        <v/>
      </c>
      <c r="CQ440" s="39" t="str">
        <f>IFERROR(ödev!DB36*100/ödev!$I36,"")</f>
        <v/>
      </c>
      <c r="CR440" s="39" t="str">
        <f>IFERROR(ödev!DC36*100/ödev!$I36,"")</f>
        <v/>
      </c>
      <c r="CS440" s="39" t="str">
        <f>IFERROR(ödev!DD36*100/ödev!$I36,"")</f>
        <v/>
      </c>
      <c r="CT440" s="39" t="str">
        <f>IFERROR(ödev!DE36*100/ödev!$I36,"")</f>
        <v/>
      </c>
      <c r="CU440" s="39" t="str">
        <f>IFERROR(ödev!DF36*100/ödev!$I36,"")</f>
        <v/>
      </c>
      <c r="CV440" s="39" t="str">
        <f>IFERROR(ödev!DG36*100/ödev!$I36,"")</f>
        <v/>
      </c>
      <c r="CW440" s="36" t="str">
        <f>IFERROR(SUM(A440:CV440)/ödev!$DH$103,"")</f>
        <v/>
      </c>
      <c r="CX440" s="14" t="str">
        <f>IF(COUNTA(ödev!A36),ödev!A36,"")</f>
        <v/>
      </c>
      <c r="CY440" s="14" t="str">
        <f>IF(COUNTA(ödev!B36),ödev!B36,"")</f>
        <v/>
      </c>
      <c r="CZ440" s="14" t="str">
        <f>IF(COUNTA(ödev!C36),ödev!C36,"")</f>
        <v/>
      </c>
      <c r="DA440" s="14" t="str">
        <f>IF(COUNTA(ödev!D36),ödev!D36,"")</f>
        <v/>
      </c>
      <c r="DB440" s="14" t="str">
        <f>IF(COUNTA(ödev!E36),ödev!E36,"")</f>
        <v/>
      </c>
      <c r="DC440" s="14" t="str">
        <f>IF(COUNTA(ödev!F36),ödev!F36,"")</f>
        <v/>
      </c>
      <c r="DD440" s="14" t="str">
        <f>IF(COUNTA(ödev!G36),ödev!G36,"")</f>
        <v/>
      </c>
      <c r="DE440" s="14" t="str">
        <f>IF(COUNTA(ödev!H36),ödev!H36,"")</f>
        <v/>
      </c>
    </row>
    <row r="441" spans="1:109" x14ac:dyDescent="0.2">
      <c r="A441" s="39" t="str">
        <f>IFERROR(ödev!L37*100/ödev!$I37,"")</f>
        <v/>
      </c>
      <c r="B441" s="39" t="str">
        <f>IFERROR(ödev!M37*100/ödev!$I37,"")</f>
        <v/>
      </c>
      <c r="C441" s="39" t="str">
        <f>IFERROR(ödev!N37*100/ödev!$I37,"")</f>
        <v/>
      </c>
      <c r="D441" s="39" t="str">
        <f>IFERROR(ödev!O37*100/ödev!$I37,"")</f>
        <v/>
      </c>
      <c r="E441" s="39" t="str">
        <f>IFERROR(ödev!P37*100/ödev!$I37,"")</f>
        <v/>
      </c>
      <c r="F441" s="39" t="str">
        <f>IFERROR(ödev!Q37*100/ödev!$I37,"")</f>
        <v/>
      </c>
      <c r="G441" s="39" t="str">
        <f>IFERROR(ödev!R37*100/ödev!$I37,"")</f>
        <v/>
      </c>
      <c r="H441" s="39" t="str">
        <f>IFERROR(ödev!S37*100/ödev!$I37,"")</f>
        <v/>
      </c>
      <c r="I441" s="39" t="str">
        <f>IFERROR(ödev!T37*100/ödev!$I37,"")</f>
        <v/>
      </c>
      <c r="J441" s="39" t="str">
        <f>IFERROR(ödev!U37*100/ödev!$I37,"")</f>
        <v/>
      </c>
      <c r="K441" s="39" t="str">
        <f>IFERROR(ödev!V37*100/ödev!$I37,"")</f>
        <v/>
      </c>
      <c r="L441" s="39" t="str">
        <f>IFERROR(ödev!W37*100/ödev!$I37,"")</f>
        <v/>
      </c>
      <c r="M441" s="39" t="str">
        <f>IFERROR(ödev!X37*100/ödev!$I37,"")</f>
        <v/>
      </c>
      <c r="N441" s="39" t="str">
        <f>IFERROR(ödev!Y37*100/ödev!$I37,"")</f>
        <v/>
      </c>
      <c r="O441" s="39" t="str">
        <f>IFERROR(ödev!Z37*100/ödev!$I37,"")</f>
        <v/>
      </c>
      <c r="P441" s="39" t="str">
        <f>IFERROR(ödev!AA37*100/ödev!$I37,"")</f>
        <v/>
      </c>
      <c r="Q441" s="39" t="str">
        <f>IFERROR(ödev!AB37*100/ödev!$I37,"")</f>
        <v/>
      </c>
      <c r="R441" s="39" t="str">
        <f>IFERROR(ödev!AC37*100/ödev!$I37,"")</f>
        <v/>
      </c>
      <c r="S441" s="39" t="str">
        <f>IFERROR(ödev!AD37*100/ödev!$I37,"")</f>
        <v/>
      </c>
      <c r="T441" s="39" t="str">
        <f>IFERROR(ödev!AE37*100/ödev!$I37,"")</f>
        <v/>
      </c>
      <c r="U441" s="39" t="str">
        <f>IFERROR(ödev!AF37*100/ödev!$I37,"")</f>
        <v/>
      </c>
      <c r="V441" s="39" t="str">
        <f>IFERROR(ödev!AG37*100/ödev!$I37,"")</f>
        <v/>
      </c>
      <c r="W441" s="39" t="str">
        <f>IFERROR(ödev!AH37*100/ödev!$I37,"")</f>
        <v/>
      </c>
      <c r="X441" s="39" t="str">
        <f>IFERROR(ödev!AI37*100/ödev!$I37,"")</f>
        <v/>
      </c>
      <c r="Y441" s="39" t="str">
        <f>IFERROR(ödev!AJ37*100/ödev!$I37,"")</f>
        <v/>
      </c>
      <c r="Z441" s="39" t="str">
        <f>IFERROR(ödev!AK37*100/ödev!$I37,"")</f>
        <v/>
      </c>
      <c r="AA441" s="39" t="str">
        <f>IFERROR(ödev!AL37*100/ödev!$I37,"")</f>
        <v/>
      </c>
      <c r="AB441" s="39" t="str">
        <f>IFERROR(ödev!AM37*100/ödev!$I37,"")</f>
        <v/>
      </c>
      <c r="AC441" s="39" t="str">
        <f>IFERROR(ödev!AN37*100/ödev!$I37,"")</f>
        <v/>
      </c>
      <c r="AD441" s="39" t="str">
        <f>IFERROR(ödev!AO37*100/ödev!$I37,"")</f>
        <v/>
      </c>
      <c r="AE441" s="39" t="str">
        <f>IFERROR(ödev!AP37*100/ödev!$I37,"")</f>
        <v/>
      </c>
      <c r="AF441" s="39" t="str">
        <f>IFERROR(ödev!AQ37*100/ödev!$I37,"")</f>
        <v/>
      </c>
      <c r="AG441" s="39" t="str">
        <f>IFERROR(ödev!AR37*100/ödev!$I37,"")</f>
        <v/>
      </c>
      <c r="AH441" s="39" t="str">
        <f>IFERROR(ödev!AS37*100/ödev!$I37,"")</f>
        <v/>
      </c>
      <c r="AI441" s="39" t="str">
        <f>IFERROR(ödev!AT37*100/ödev!$I37,"")</f>
        <v/>
      </c>
      <c r="AJ441" s="39" t="str">
        <f>IFERROR(ödev!AU37*100/ödev!$I37,"")</f>
        <v/>
      </c>
      <c r="AK441" s="39" t="str">
        <f>IFERROR(ödev!AV37*100/ödev!$I37,"")</f>
        <v/>
      </c>
      <c r="AL441" s="39" t="str">
        <f>IFERROR(ödev!AW37*100/ödev!$I37,"")</f>
        <v/>
      </c>
      <c r="AM441" s="39" t="str">
        <f>IFERROR(ödev!AX37*100/ödev!$I37,"")</f>
        <v/>
      </c>
      <c r="AN441" s="39" t="str">
        <f>IFERROR(ödev!AY37*100/ödev!$I37,"")</f>
        <v/>
      </c>
      <c r="AO441" s="39" t="str">
        <f>IFERROR(ödev!AZ37*100/ödev!$I37,"")</f>
        <v/>
      </c>
      <c r="AP441" s="39" t="str">
        <f>IFERROR(ödev!BA37*100/ödev!$I37,"")</f>
        <v/>
      </c>
      <c r="AQ441" s="39" t="str">
        <f>IFERROR(ödev!BB37*100/ödev!$I37,"")</f>
        <v/>
      </c>
      <c r="AR441" s="39" t="str">
        <f>IFERROR(ödev!BC37*100/ödev!$I37,"")</f>
        <v/>
      </c>
      <c r="AS441" s="39" t="str">
        <f>IFERROR(ödev!BD37*100/ödev!$I37,"")</f>
        <v/>
      </c>
      <c r="AT441" s="39" t="str">
        <f>IFERROR(ödev!BE37*100/ödev!$I37,"")</f>
        <v/>
      </c>
      <c r="AU441" s="39" t="str">
        <f>IFERROR(ödev!BF37*100/ödev!$I37,"")</f>
        <v/>
      </c>
      <c r="AV441" s="39" t="str">
        <f>IFERROR(ödev!BG37*100/ödev!$I37,"")</f>
        <v/>
      </c>
      <c r="AW441" s="39" t="str">
        <f>IFERROR(ödev!BH37*100/ödev!$I37,"")</f>
        <v/>
      </c>
      <c r="AX441" s="39" t="str">
        <f>IFERROR(ödev!BI37*100/ödev!$I37,"")</f>
        <v/>
      </c>
      <c r="AY441" s="39" t="str">
        <f>IFERROR(ödev!BJ37*100/ödev!$I37,"")</f>
        <v/>
      </c>
      <c r="AZ441" s="39" t="str">
        <f>IFERROR(ödev!BK37*100/ödev!$I37,"")</f>
        <v/>
      </c>
      <c r="BA441" s="39" t="str">
        <f>IFERROR(ödev!BL37*100/ödev!$I37,"")</f>
        <v/>
      </c>
      <c r="BB441" s="39" t="str">
        <f>IFERROR(ödev!BM37*100/ödev!$I37,"")</f>
        <v/>
      </c>
      <c r="BC441" s="39" t="str">
        <f>IFERROR(ödev!BN37*100/ödev!$I37,"")</f>
        <v/>
      </c>
      <c r="BD441" s="39" t="str">
        <f>IFERROR(ödev!BO37*100/ödev!$I37,"")</f>
        <v/>
      </c>
      <c r="BE441" s="39" t="str">
        <f>IFERROR(ödev!BP37*100/ödev!$I37,"")</f>
        <v/>
      </c>
      <c r="BF441" s="39" t="str">
        <f>IFERROR(ödev!BQ37*100/ödev!$I37,"")</f>
        <v/>
      </c>
      <c r="BG441" s="39" t="str">
        <f>IFERROR(ödev!BR37*100/ödev!$I37,"")</f>
        <v/>
      </c>
      <c r="BH441" s="39" t="str">
        <f>IFERROR(ödev!BS37*100/ödev!$I37,"")</f>
        <v/>
      </c>
      <c r="BI441" s="39" t="str">
        <f>IFERROR(ödev!BT37*100/ödev!$I37,"")</f>
        <v/>
      </c>
      <c r="BJ441" s="39" t="str">
        <f>IFERROR(ödev!BU37*100/ödev!$I37,"")</f>
        <v/>
      </c>
      <c r="BK441" s="39" t="str">
        <f>IFERROR(ödev!BV37*100/ödev!$I37,"")</f>
        <v/>
      </c>
      <c r="BL441" s="39" t="str">
        <f>IFERROR(ödev!BW37*100/ödev!$I37,"")</f>
        <v/>
      </c>
      <c r="BM441" s="39" t="str">
        <f>IFERROR(ödev!BX37*100/ödev!$I37,"")</f>
        <v/>
      </c>
      <c r="BN441" s="39" t="str">
        <f>IFERROR(ödev!BY37*100/ödev!$I37,"")</f>
        <v/>
      </c>
      <c r="BO441" s="39" t="str">
        <f>IFERROR(ödev!BZ37*100/ödev!$I37,"")</f>
        <v/>
      </c>
      <c r="BP441" s="39" t="str">
        <f>IFERROR(ödev!CA37*100/ödev!$I37,"")</f>
        <v/>
      </c>
      <c r="BQ441" s="39" t="str">
        <f>IFERROR(ödev!CB37*100/ödev!$I37,"")</f>
        <v/>
      </c>
      <c r="BR441" s="39" t="str">
        <f>IFERROR(ödev!CC37*100/ödev!$I37,"")</f>
        <v/>
      </c>
      <c r="BS441" s="39" t="str">
        <f>IFERROR(ödev!CD37*100/ödev!$I37,"")</f>
        <v/>
      </c>
      <c r="BT441" s="39" t="str">
        <f>IFERROR(ödev!CE37*100/ödev!$I37,"")</f>
        <v/>
      </c>
      <c r="BU441" s="39" t="str">
        <f>IFERROR(ödev!CF37*100/ödev!$I37,"")</f>
        <v/>
      </c>
      <c r="BV441" s="39" t="str">
        <f>IFERROR(ödev!CG37*100/ödev!$I37,"")</f>
        <v/>
      </c>
      <c r="BW441" s="39" t="str">
        <f>IFERROR(ödev!CH37*100/ödev!$I37,"")</f>
        <v/>
      </c>
      <c r="BX441" s="39" t="str">
        <f>IFERROR(ödev!CI37*100/ödev!$I37,"")</f>
        <v/>
      </c>
      <c r="BY441" s="39" t="str">
        <f>IFERROR(ödev!CJ37*100/ödev!$I37,"")</f>
        <v/>
      </c>
      <c r="BZ441" s="39" t="str">
        <f>IFERROR(ödev!CK37*100/ödev!$I37,"")</f>
        <v/>
      </c>
      <c r="CA441" s="39" t="str">
        <f>IFERROR(ödev!CL37*100/ödev!$I37,"")</f>
        <v/>
      </c>
      <c r="CB441" s="39" t="str">
        <f>IFERROR(ödev!CM37*100/ödev!$I37,"")</f>
        <v/>
      </c>
      <c r="CC441" s="39" t="str">
        <f>IFERROR(ödev!CN37*100/ödev!$I37,"")</f>
        <v/>
      </c>
      <c r="CD441" s="39" t="str">
        <f>IFERROR(ödev!CO37*100/ödev!$I37,"")</f>
        <v/>
      </c>
      <c r="CE441" s="39" t="str">
        <f>IFERROR(ödev!CP37*100/ödev!$I37,"")</f>
        <v/>
      </c>
      <c r="CF441" s="39" t="str">
        <f>IFERROR(ödev!CQ37*100/ödev!$I37,"")</f>
        <v/>
      </c>
      <c r="CG441" s="39" t="str">
        <f>IFERROR(ödev!CR37*100/ödev!$I37,"")</f>
        <v/>
      </c>
      <c r="CH441" s="39" t="str">
        <f>IFERROR(ödev!CS37*100/ödev!$I37,"")</f>
        <v/>
      </c>
      <c r="CI441" s="39" t="str">
        <f>IFERROR(ödev!CT37*100/ödev!$I37,"")</f>
        <v/>
      </c>
      <c r="CJ441" s="39" t="str">
        <f>IFERROR(ödev!CU37*100/ödev!$I37,"")</f>
        <v/>
      </c>
      <c r="CK441" s="39" t="str">
        <f>IFERROR(ödev!CV37*100/ödev!$I37,"")</f>
        <v/>
      </c>
      <c r="CL441" s="39" t="str">
        <f>IFERROR(ödev!CW37*100/ödev!$I37,"")</f>
        <v/>
      </c>
      <c r="CM441" s="39" t="str">
        <f>IFERROR(ödev!CX37*100/ödev!$I37,"")</f>
        <v/>
      </c>
      <c r="CN441" s="39" t="str">
        <f>IFERROR(ödev!CY37*100/ödev!$I37,"")</f>
        <v/>
      </c>
      <c r="CO441" s="39" t="str">
        <f>IFERROR(ödev!CZ37*100/ödev!$I37,"")</f>
        <v/>
      </c>
      <c r="CP441" s="39" t="str">
        <f>IFERROR(ödev!DA37*100/ödev!$I37,"")</f>
        <v/>
      </c>
      <c r="CQ441" s="39" t="str">
        <f>IFERROR(ödev!DB37*100/ödev!$I37,"")</f>
        <v/>
      </c>
      <c r="CR441" s="39" t="str">
        <f>IFERROR(ödev!DC37*100/ödev!$I37,"")</f>
        <v/>
      </c>
      <c r="CS441" s="39" t="str">
        <f>IFERROR(ödev!DD37*100/ödev!$I37,"")</f>
        <v/>
      </c>
      <c r="CT441" s="39" t="str">
        <f>IFERROR(ödev!DE37*100/ödev!$I37,"")</f>
        <v/>
      </c>
      <c r="CU441" s="39" t="str">
        <f>IFERROR(ödev!DF37*100/ödev!$I37,"")</f>
        <v/>
      </c>
      <c r="CV441" s="39" t="str">
        <f>IFERROR(ödev!DG37*100/ödev!$I37,"")</f>
        <v/>
      </c>
      <c r="CW441" s="36" t="str">
        <f>IFERROR(SUM(A441:CV441)/ödev!$DH$103,"")</f>
        <v/>
      </c>
      <c r="CX441" s="14" t="str">
        <f>IF(COUNTA(ödev!A37),ödev!A37,"")</f>
        <v/>
      </c>
      <c r="CY441" s="14" t="str">
        <f>IF(COUNTA(ödev!B37),ödev!B37,"")</f>
        <v/>
      </c>
      <c r="CZ441" s="14" t="str">
        <f>IF(COUNTA(ödev!C37),ödev!C37,"")</f>
        <v/>
      </c>
      <c r="DA441" s="14" t="str">
        <f>IF(COUNTA(ödev!D37),ödev!D37,"")</f>
        <v/>
      </c>
      <c r="DB441" s="14" t="str">
        <f>IF(COUNTA(ödev!E37),ödev!E37,"")</f>
        <v/>
      </c>
      <c r="DC441" s="14" t="str">
        <f>IF(COUNTA(ödev!F37),ödev!F37,"")</f>
        <v/>
      </c>
      <c r="DD441" s="14" t="str">
        <f>IF(COUNTA(ödev!G37),ödev!G37,"")</f>
        <v/>
      </c>
      <c r="DE441" s="14" t="str">
        <f>IF(COUNTA(ödev!H37),ödev!H37,"")</f>
        <v/>
      </c>
    </row>
    <row r="442" spans="1:109" x14ac:dyDescent="0.2">
      <c r="A442" s="39" t="str">
        <f>IFERROR(ödev!L38*100/ödev!$I38,"")</f>
        <v/>
      </c>
      <c r="B442" s="39" t="str">
        <f>IFERROR(ödev!M38*100/ödev!$I38,"")</f>
        <v/>
      </c>
      <c r="C442" s="39" t="str">
        <f>IFERROR(ödev!N38*100/ödev!$I38,"")</f>
        <v/>
      </c>
      <c r="D442" s="39" t="str">
        <f>IFERROR(ödev!O38*100/ödev!$I38,"")</f>
        <v/>
      </c>
      <c r="E442" s="39" t="str">
        <f>IFERROR(ödev!P38*100/ödev!$I38,"")</f>
        <v/>
      </c>
      <c r="F442" s="39" t="str">
        <f>IFERROR(ödev!Q38*100/ödev!$I38,"")</f>
        <v/>
      </c>
      <c r="G442" s="39" t="str">
        <f>IFERROR(ödev!R38*100/ödev!$I38,"")</f>
        <v/>
      </c>
      <c r="H442" s="39" t="str">
        <f>IFERROR(ödev!S38*100/ödev!$I38,"")</f>
        <v/>
      </c>
      <c r="I442" s="39" t="str">
        <f>IFERROR(ödev!T38*100/ödev!$I38,"")</f>
        <v/>
      </c>
      <c r="J442" s="39" t="str">
        <f>IFERROR(ödev!U38*100/ödev!$I38,"")</f>
        <v/>
      </c>
      <c r="K442" s="39" t="str">
        <f>IFERROR(ödev!V38*100/ödev!$I38,"")</f>
        <v/>
      </c>
      <c r="L442" s="39" t="str">
        <f>IFERROR(ödev!W38*100/ödev!$I38,"")</f>
        <v/>
      </c>
      <c r="M442" s="39" t="str">
        <f>IFERROR(ödev!X38*100/ödev!$I38,"")</f>
        <v/>
      </c>
      <c r="N442" s="39" t="str">
        <f>IFERROR(ödev!Y38*100/ödev!$I38,"")</f>
        <v/>
      </c>
      <c r="O442" s="39" t="str">
        <f>IFERROR(ödev!Z38*100/ödev!$I38,"")</f>
        <v/>
      </c>
      <c r="P442" s="39" t="str">
        <f>IFERROR(ödev!AA38*100/ödev!$I38,"")</f>
        <v/>
      </c>
      <c r="Q442" s="39" t="str">
        <f>IFERROR(ödev!AB38*100/ödev!$I38,"")</f>
        <v/>
      </c>
      <c r="R442" s="39" t="str">
        <f>IFERROR(ödev!AC38*100/ödev!$I38,"")</f>
        <v/>
      </c>
      <c r="S442" s="39" t="str">
        <f>IFERROR(ödev!AD38*100/ödev!$I38,"")</f>
        <v/>
      </c>
      <c r="T442" s="39" t="str">
        <f>IFERROR(ödev!AE38*100/ödev!$I38,"")</f>
        <v/>
      </c>
      <c r="U442" s="39" t="str">
        <f>IFERROR(ödev!AF38*100/ödev!$I38,"")</f>
        <v/>
      </c>
      <c r="V442" s="39" t="str">
        <f>IFERROR(ödev!AG38*100/ödev!$I38,"")</f>
        <v/>
      </c>
      <c r="W442" s="39" t="str">
        <f>IFERROR(ödev!AH38*100/ödev!$I38,"")</f>
        <v/>
      </c>
      <c r="X442" s="39" t="str">
        <f>IFERROR(ödev!AI38*100/ödev!$I38,"")</f>
        <v/>
      </c>
      <c r="Y442" s="39" t="str">
        <f>IFERROR(ödev!AJ38*100/ödev!$I38,"")</f>
        <v/>
      </c>
      <c r="Z442" s="39" t="str">
        <f>IFERROR(ödev!AK38*100/ödev!$I38,"")</f>
        <v/>
      </c>
      <c r="AA442" s="39" t="str">
        <f>IFERROR(ödev!AL38*100/ödev!$I38,"")</f>
        <v/>
      </c>
      <c r="AB442" s="39" t="str">
        <f>IFERROR(ödev!AM38*100/ödev!$I38,"")</f>
        <v/>
      </c>
      <c r="AC442" s="39" t="str">
        <f>IFERROR(ödev!AN38*100/ödev!$I38,"")</f>
        <v/>
      </c>
      <c r="AD442" s="39" t="str">
        <f>IFERROR(ödev!AO38*100/ödev!$I38,"")</f>
        <v/>
      </c>
      <c r="AE442" s="39" t="str">
        <f>IFERROR(ödev!AP38*100/ödev!$I38,"")</f>
        <v/>
      </c>
      <c r="AF442" s="39" t="str">
        <f>IFERROR(ödev!AQ38*100/ödev!$I38,"")</f>
        <v/>
      </c>
      <c r="AG442" s="39" t="str">
        <f>IFERROR(ödev!AR38*100/ödev!$I38,"")</f>
        <v/>
      </c>
      <c r="AH442" s="39" t="str">
        <f>IFERROR(ödev!AS38*100/ödev!$I38,"")</f>
        <v/>
      </c>
      <c r="AI442" s="39" t="str">
        <f>IFERROR(ödev!AT38*100/ödev!$I38,"")</f>
        <v/>
      </c>
      <c r="AJ442" s="39" t="str">
        <f>IFERROR(ödev!AU38*100/ödev!$I38,"")</f>
        <v/>
      </c>
      <c r="AK442" s="39" t="str">
        <f>IFERROR(ödev!AV38*100/ödev!$I38,"")</f>
        <v/>
      </c>
      <c r="AL442" s="39" t="str">
        <f>IFERROR(ödev!AW38*100/ödev!$I38,"")</f>
        <v/>
      </c>
      <c r="AM442" s="39" t="str">
        <f>IFERROR(ödev!AX38*100/ödev!$I38,"")</f>
        <v/>
      </c>
      <c r="AN442" s="39" t="str">
        <f>IFERROR(ödev!AY38*100/ödev!$I38,"")</f>
        <v/>
      </c>
      <c r="AO442" s="39" t="str">
        <f>IFERROR(ödev!AZ38*100/ödev!$I38,"")</f>
        <v/>
      </c>
      <c r="AP442" s="39" t="str">
        <f>IFERROR(ödev!BA38*100/ödev!$I38,"")</f>
        <v/>
      </c>
      <c r="AQ442" s="39" t="str">
        <f>IFERROR(ödev!BB38*100/ödev!$I38,"")</f>
        <v/>
      </c>
      <c r="AR442" s="39" t="str">
        <f>IFERROR(ödev!BC38*100/ödev!$I38,"")</f>
        <v/>
      </c>
      <c r="AS442" s="39" t="str">
        <f>IFERROR(ödev!BD38*100/ödev!$I38,"")</f>
        <v/>
      </c>
      <c r="AT442" s="39" t="str">
        <f>IFERROR(ödev!BE38*100/ödev!$I38,"")</f>
        <v/>
      </c>
      <c r="AU442" s="39" t="str">
        <f>IFERROR(ödev!BF38*100/ödev!$I38,"")</f>
        <v/>
      </c>
      <c r="AV442" s="39" t="str">
        <f>IFERROR(ödev!BG38*100/ödev!$I38,"")</f>
        <v/>
      </c>
      <c r="AW442" s="39" t="str">
        <f>IFERROR(ödev!BH38*100/ödev!$I38,"")</f>
        <v/>
      </c>
      <c r="AX442" s="39" t="str">
        <f>IFERROR(ödev!BI38*100/ödev!$I38,"")</f>
        <v/>
      </c>
      <c r="AY442" s="39" t="str">
        <f>IFERROR(ödev!BJ38*100/ödev!$I38,"")</f>
        <v/>
      </c>
      <c r="AZ442" s="39" t="str">
        <f>IFERROR(ödev!BK38*100/ödev!$I38,"")</f>
        <v/>
      </c>
      <c r="BA442" s="39" t="str">
        <f>IFERROR(ödev!BL38*100/ödev!$I38,"")</f>
        <v/>
      </c>
      <c r="BB442" s="39" t="str">
        <f>IFERROR(ödev!BM38*100/ödev!$I38,"")</f>
        <v/>
      </c>
      <c r="BC442" s="39" t="str">
        <f>IFERROR(ödev!BN38*100/ödev!$I38,"")</f>
        <v/>
      </c>
      <c r="BD442" s="39" t="str">
        <f>IFERROR(ödev!BO38*100/ödev!$I38,"")</f>
        <v/>
      </c>
      <c r="BE442" s="39" t="str">
        <f>IFERROR(ödev!BP38*100/ödev!$I38,"")</f>
        <v/>
      </c>
      <c r="BF442" s="39" t="str">
        <f>IFERROR(ödev!BQ38*100/ödev!$I38,"")</f>
        <v/>
      </c>
      <c r="BG442" s="39" t="str">
        <f>IFERROR(ödev!BR38*100/ödev!$I38,"")</f>
        <v/>
      </c>
      <c r="BH442" s="39" t="str">
        <f>IFERROR(ödev!BS38*100/ödev!$I38,"")</f>
        <v/>
      </c>
      <c r="BI442" s="39" t="str">
        <f>IFERROR(ödev!BT38*100/ödev!$I38,"")</f>
        <v/>
      </c>
      <c r="BJ442" s="39" t="str">
        <f>IFERROR(ödev!BU38*100/ödev!$I38,"")</f>
        <v/>
      </c>
      <c r="BK442" s="39" t="str">
        <f>IFERROR(ödev!BV38*100/ödev!$I38,"")</f>
        <v/>
      </c>
      <c r="BL442" s="39" t="str">
        <f>IFERROR(ödev!BW38*100/ödev!$I38,"")</f>
        <v/>
      </c>
      <c r="BM442" s="39" t="str">
        <f>IFERROR(ödev!BX38*100/ödev!$I38,"")</f>
        <v/>
      </c>
      <c r="BN442" s="39" t="str">
        <f>IFERROR(ödev!BY38*100/ödev!$I38,"")</f>
        <v/>
      </c>
      <c r="BO442" s="39" t="str">
        <f>IFERROR(ödev!BZ38*100/ödev!$I38,"")</f>
        <v/>
      </c>
      <c r="BP442" s="39" t="str">
        <f>IFERROR(ödev!CA38*100/ödev!$I38,"")</f>
        <v/>
      </c>
      <c r="BQ442" s="39" t="str">
        <f>IFERROR(ödev!CB38*100/ödev!$I38,"")</f>
        <v/>
      </c>
      <c r="BR442" s="39" t="str">
        <f>IFERROR(ödev!CC38*100/ödev!$I38,"")</f>
        <v/>
      </c>
      <c r="BS442" s="39" t="str">
        <f>IFERROR(ödev!CD38*100/ödev!$I38,"")</f>
        <v/>
      </c>
      <c r="BT442" s="39" t="str">
        <f>IFERROR(ödev!CE38*100/ödev!$I38,"")</f>
        <v/>
      </c>
      <c r="BU442" s="39" t="str">
        <f>IFERROR(ödev!CF38*100/ödev!$I38,"")</f>
        <v/>
      </c>
      <c r="BV442" s="39" t="str">
        <f>IFERROR(ödev!CG38*100/ödev!$I38,"")</f>
        <v/>
      </c>
      <c r="BW442" s="39" t="str">
        <f>IFERROR(ödev!CH38*100/ödev!$I38,"")</f>
        <v/>
      </c>
      <c r="BX442" s="39" t="str">
        <f>IFERROR(ödev!CI38*100/ödev!$I38,"")</f>
        <v/>
      </c>
      <c r="BY442" s="39" t="str">
        <f>IFERROR(ödev!CJ38*100/ödev!$I38,"")</f>
        <v/>
      </c>
      <c r="BZ442" s="39" t="str">
        <f>IFERROR(ödev!CK38*100/ödev!$I38,"")</f>
        <v/>
      </c>
      <c r="CA442" s="39" t="str">
        <f>IFERROR(ödev!CL38*100/ödev!$I38,"")</f>
        <v/>
      </c>
      <c r="CB442" s="39" t="str">
        <f>IFERROR(ödev!CM38*100/ödev!$I38,"")</f>
        <v/>
      </c>
      <c r="CC442" s="39" t="str">
        <f>IFERROR(ödev!CN38*100/ödev!$I38,"")</f>
        <v/>
      </c>
      <c r="CD442" s="39" t="str">
        <f>IFERROR(ödev!CO38*100/ödev!$I38,"")</f>
        <v/>
      </c>
      <c r="CE442" s="39" t="str">
        <f>IFERROR(ödev!CP38*100/ödev!$I38,"")</f>
        <v/>
      </c>
      <c r="CF442" s="39" t="str">
        <f>IFERROR(ödev!CQ38*100/ödev!$I38,"")</f>
        <v/>
      </c>
      <c r="CG442" s="39" t="str">
        <f>IFERROR(ödev!CR38*100/ödev!$I38,"")</f>
        <v/>
      </c>
      <c r="CH442" s="39" t="str">
        <f>IFERROR(ödev!CS38*100/ödev!$I38,"")</f>
        <v/>
      </c>
      <c r="CI442" s="39" t="str">
        <f>IFERROR(ödev!CT38*100/ödev!$I38,"")</f>
        <v/>
      </c>
      <c r="CJ442" s="39" t="str">
        <f>IFERROR(ödev!CU38*100/ödev!$I38,"")</f>
        <v/>
      </c>
      <c r="CK442" s="39" t="str">
        <f>IFERROR(ödev!CV38*100/ödev!$I38,"")</f>
        <v/>
      </c>
      <c r="CL442" s="39" t="str">
        <f>IFERROR(ödev!CW38*100/ödev!$I38,"")</f>
        <v/>
      </c>
      <c r="CM442" s="39" t="str">
        <f>IFERROR(ödev!CX38*100/ödev!$I38,"")</f>
        <v/>
      </c>
      <c r="CN442" s="39" t="str">
        <f>IFERROR(ödev!CY38*100/ödev!$I38,"")</f>
        <v/>
      </c>
      <c r="CO442" s="39" t="str">
        <f>IFERROR(ödev!CZ38*100/ödev!$I38,"")</f>
        <v/>
      </c>
      <c r="CP442" s="39" t="str">
        <f>IFERROR(ödev!DA38*100/ödev!$I38,"")</f>
        <v/>
      </c>
      <c r="CQ442" s="39" t="str">
        <f>IFERROR(ödev!DB38*100/ödev!$I38,"")</f>
        <v/>
      </c>
      <c r="CR442" s="39" t="str">
        <f>IFERROR(ödev!DC38*100/ödev!$I38,"")</f>
        <v/>
      </c>
      <c r="CS442" s="39" t="str">
        <f>IFERROR(ödev!DD38*100/ödev!$I38,"")</f>
        <v/>
      </c>
      <c r="CT442" s="39" t="str">
        <f>IFERROR(ödev!DE38*100/ödev!$I38,"")</f>
        <v/>
      </c>
      <c r="CU442" s="39" t="str">
        <f>IFERROR(ödev!DF38*100/ödev!$I38,"")</f>
        <v/>
      </c>
      <c r="CV442" s="39" t="str">
        <f>IFERROR(ödev!DG38*100/ödev!$I38,"")</f>
        <v/>
      </c>
      <c r="CW442" s="36" t="str">
        <f>IFERROR(SUM(A442:CV442)/ödev!$DH$103,"")</f>
        <v/>
      </c>
      <c r="CX442" s="14" t="str">
        <f>IF(COUNTA(ödev!A38),ödev!A38,"")</f>
        <v/>
      </c>
      <c r="CY442" s="14" t="str">
        <f>IF(COUNTA(ödev!B38),ödev!B38,"")</f>
        <v/>
      </c>
      <c r="CZ442" s="14" t="str">
        <f>IF(COUNTA(ödev!C38),ödev!C38,"")</f>
        <v/>
      </c>
      <c r="DA442" s="14" t="str">
        <f>IF(COUNTA(ödev!D38),ödev!D38,"")</f>
        <v/>
      </c>
      <c r="DB442" s="14" t="str">
        <f>IF(COUNTA(ödev!E38),ödev!E38,"")</f>
        <v/>
      </c>
      <c r="DC442" s="14" t="str">
        <f>IF(COUNTA(ödev!F38),ödev!F38,"")</f>
        <v/>
      </c>
      <c r="DD442" s="14" t="str">
        <f>IF(COUNTA(ödev!G38),ödev!G38,"")</f>
        <v/>
      </c>
      <c r="DE442" s="14" t="str">
        <f>IF(COUNTA(ödev!H38),ödev!H38,"")</f>
        <v/>
      </c>
    </row>
    <row r="443" spans="1:109" x14ac:dyDescent="0.2">
      <c r="A443" s="39" t="str">
        <f>IFERROR(ödev!L39*100/ödev!$I39,"")</f>
        <v/>
      </c>
      <c r="B443" s="39" t="str">
        <f>IFERROR(ödev!M39*100/ödev!$I39,"")</f>
        <v/>
      </c>
      <c r="C443" s="39" t="str">
        <f>IFERROR(ödev!N39*100/ödev!$I39,"")</f>
        <v/>
      </c>
      <c r="D443" s="39" t="str">
        <f>IFERROR(ödev!O39*100/ödev!$I39,"")</f>
        <v/>
      </c>
      <c r="E443" s="39" t="str">
        <f>IFERROR(ödev!P39*100/ödev!$I39,"")</f>
        <v/>
      </c>
      <c r="F443" s="39" t="str">
        <f>IFERROR(ödev!Q39*100/ödev!$I39,"")</f>
        <v/>
      </c>
      <c r="G443" s="39" t="str">
        <f>IFERROR(ödev!R39*100/ödev!$I39,"")</f>
        <v/>
      </c>
      <c r="H443" s="39" t="str">
        <f>IFERROR(ödev!S39*100/ödev!$I39,"")</f>
        <v/>
      </c>
      <c r="I443" s="39" t="str">
        <f>IFERROR(ödev!T39*100/ödev!$I39,"")</f>
        <v/>
      </c>
      <c r="J443" s="39" t="str">
        <f>IFERROR(ödev!U39*100/ödev!$I39,"")</f>
        <v/>
      </c>
      <c r="K443" s="39" t="str">
        <f>IFERROR(ödev!V39*100/ödev!$I39,"")</f>
        <v/>
      </c>
      <c r="L443" s="39" t="str">
        <f>IFERROR(ödev!W39*100/ödev!$I39,"")</f>
        <v/>
      </c>
      <c r="M443" s="39" t="str">
        <f>IFERROR(ödev!X39*100/ödev!$I39,"")</f>
        <v/>
      </c>
      <c r="N443" s="39" t="str">
        <f>IFERROR(ödev!Y39*100/ödev!$I39,"")</f>
        <v/>
      </c>
      <c r="O443" s="39" t="str">
        <f>IFERROR(ödev!Z39*100/ödev!$I39,"")</f>
        <v/>
      </c>
      <c r="P443" s="39" t="str">
        <f>IFERROR(ödev!AA39*100/ödev!$I39,"")</f>
        <v/>
      </c>
      <c r="Q443" s="39" t="str">
        <f>IFERROR(ödev!AB39*100/ödev!$I39,"")</f>
        <v/>
      </c>
      <c r="R443" s="39" t="str">
        <f>IFERROR(ödev!AC39*100/ödev!$I39,"")</f>
        <v/>
      </c>
      <c r="S443" s="39" t="str">
        <f>IFERROR(ödev!AD39*100/ödev!$I39,"")</f>
        <v/>
      </c>
      <c r="T443" s="39" t="str">
        <f>IFERROR(ödev!AE39*100/ödev!$I39,"")</f>
        <v/>
      </c>
      <c r="U443" s="39" t="str">
        <f>IFERROR(ödev!AF39*100/ödev!$I39,"")</f>
        <v/>
      </c>
      <c r="V443" s="39" t="str">
        <f>IFERROR(ödev!AG39*100/ödev!$I39,"")</f>
        <v/>
      </c>
      <c r="W443" s="39" t="str">
        <f>IFERROR(ödev!AH39*100/ödev!$I39,"")</f>
        <v/>
      </c>
      <c r="X443" s="39" t="str">
        <f>IFERROR(ödev!AI39*100/ödev!$I39,"")</f>
        <v/>
      </c>
      <c r="Y443" s="39" t="str">
        <f>IFERROR(ödev!AJ39*100/ödev!$I39,"")</f>
        <v/>
      </c>
      <c r="Z443" s="39" t="str">
        <f>IFERROR(ödev!AK39*100/ödev!$I39,"")</f>
        <v/>
      </c>
      <c r="AA443" s="39" t="str">
        <f>IFERROR(ödev!AL39*100/ödev!$I39,"")</f>
        <v/>
      </c>
      <c r="AB443" s="39" t="str">
        <f>IFERROR(ödev!AM39*100/ödev!$I39,"")</f>
        <v/>
      </c>
      <c r="AC443" s="39" t="str">
        <f>IFERROR(ödev!AN39*100/ödev!$I39,"")</f>
        <v/>
      </c>
      <c r="AD443" s="39" t="str">
        <f>IFERROR(ödev!AO39*100/ödev!$I39,"")</f>
        <v/>
      </c>
      <c r="AE443" s="39" t="str">
        <f>IFERROR(ödev!AP39*100/ödev!$I39,"")</f>
        <v/>
      </c>
      <c r="AF443" s="39" t="str">
        <f>IFERROR(ödev!AQ39*100/ödev!$I39,"")</f>
        <v/>
      </c>
      <c r="AG443" s="39" t="str">
        <f>IFERROR(ödev!AR39*100/ödev!$I39,"")</f>
        <v/>
      </c>
      <c r="AH443" s="39" t="str">
        <f>IFERROR(ödev!AS39*100/ödev!$I39,"")</f>
        <v/>
      </c>
      <c r="AI443" s="39" t="str">
        <f>IFERROR(ödev!AT39*100/ödev!$I39,"")</f>
        <v/>
      </c>
      <c r="AJ443" s="39" t="str">
        <f>IFERROR(ödev!AU39*100/ödev!$I39,"")</f>
        <v/>
      </c>
      <c r="AK443" s="39" t="str">
        <f>IFERROR(ödev!AV39*100/ödev!$I39,"")</f>
        <v/>
      </c>
      <c r="AL443" s="39" t="str">
        <f>IFERROR(ödev!AW39*100/ödev!$I39,"")</f>
        <v/>
      </c>
      <c r="AM443" s="39" t="str">
        <f>IFERROR(ödev!AX39*100/ödev!$I39,"")</f>
        <v/>
      </c>
      <c r="AN443" s="39" t="str">
        <f>IFERROR(ödev!AY39*100/ödev!$I39,"")</f>
        <v/>
      </c>
      <c r="AO443" s="39" t="str">
        <f>IFERROR(ödev!AZ39*100/ödev!$I39,"")</f>
        <v/>
      </c>
      <c r="AP443" s="39" t="str">
        <f>IFERROR(ödev!BA39*100/ödev!$I39,"")</f>
        <v/>
      </c>
      <c r="AQ443" s="39" t="str">
        <f>IFERROR(ödev!BB39*100/ödev!$I39,"")</f>
        <v/>
      </c>
      <c r="AR443" s="39" t="str">
        <f>IFERROR(ödev!BC39*100/ödev!$I39,"")</f>
        <v/>
      </c>
      <c r="AS443" s="39" t="str">
        <f>IFERROR(ödev!BD39*100/ödev!$I39,"")</f>
        <v/>
      </c>
      <c r="AT443" s="39" t="str">
        <f>IFERROR(ödev!BE39*100/ödev!$I39,"")</f>
        <v/>
      </c>
      <c r="AU443" s="39" t="str">
        <f>IFERROR(ödev!BF39*100/ödev!$I39,"")</f>
        <v/>
      </c>
      <c r="AV443" s="39" t="str">
        <f>IFERROR(ödev!BG39*100/ödev!$I39,"")</f>
        <v/>
      </c>
      <c r="AW443" s="39" t="str">
        <f>IFERROR(ödev!BH39*100/ödev!$I39,"")</f>
        <v/>
      </c>
      <c r="AX443" s="39" t="str">
        <f>IFERROR(ödev!BI39*100/ödev!$I39,"")</f>
        <v/>
      </c>
      <c r="AY443" s="39" t="str">
        <f>IFERROR(ödev!BJ39*100/ödev!$I39,"")</f>
        <v/>
      </c>
      <c r="AZ443" s="39" t="str">
        <f>IFERROR(ödev!BK39*100/ödev!$I39,"")</f>
        <v/>
      </c>
      <c r="BA443" s="39" t="str">
        <f>IFERROR(ödev!BL39*100/ödev!$I39,"")</f>
        <v/>
      </c>
      <c r="BB443" s="39" t="str">
        <f>IFERROR(ödev!BM39*100/ödev!$I39,"")</f>
        <v/>
      </c>
      <c r="BC443" s="39" t="str">
        <f>IFERROR(ödev!BN39*100/ödev!$I39,"")</f>
        <v/>
      </c>
      <c r="BD443" s="39" t="str">
        <f>IFERROR(ödev!BO39*100/ödev!$I39,"")</f>
        <v/>
      </c>
      <c r="BE443" s="39" t="str">
        <f>IFERROR(ödev!BP39*100/ödev!$I39,"")</f>
        <v/>
      </c>
      <c r="BF443" s="39" t="str">
        <f>IFERROR(ödev!BQ39*100/ödev!$I39,"")</f>
        <v/>
      </c>
      <c r="BG443" s="39" t="str">
        <f>IFERROR(ödev!BR39*100/ödev!$I39,"")</f>
        <v/>
      </c>
      <c r="BH443" s="39" t="str">
        <f>IFERROR(ödev!BS39*100/ödev!$I39,"")</f>
        <v/>
      </c>
      <c r="BI443" s="39" t="str">
        <f>IFERROR(ödev!BT39*100/ödev!$I39,"")</f>
        <v/>
      </c>
      <c r="BJ443" s="39" t="str">
        <f>IFERROR(ödev!BU39*100/ödev!$I39,"")</f>
        <v/>
      </c>
      <c r="BK443" s="39" t="str">
        <f>IFERROR(ödev!BV39*100/ödev!$I39,"")</f>
        <v/>
      </c>
      <c r="BL443" s="39" t="str">
        <f>IFERROR(ödev!BW39*100/ödev!$I39,"")</f>
        <v/>
      </c>
      <c r="BM443" s="39" t="str">
        <f>IFERROR(ödev!BX39*100/ödev!$I39,"")</f>
        <v/>
      </c>
      <c r="BN443" s="39" t="str">
        <f>IFERROR(ödev!BY39*100/ödev!$I39,"")</f>
        <v/>
      </c>
      <c r="BO443" s="39" t="str">
        <f>IFERROR(ödev!BZ39*100/ödev!$I39,"")</f>
        <v/>
      </c>
      <c r="BP443" s="39" t="str">
        <f>IFERROR(ödev!CA39*100/ödev!$I39,"")</f>
        <v/>
      </c>
      <c r="BQ443" s="39" t="str">
        <f>IFERROR(ödev!CB39*100/ödev!$I39,"")</f>
        <v/>
      </c>
      <c r="BR443" s="39" t="str">
        <f>IFERROR(ödev!CC39*100/ödev!$I39,"")</f>
        <v/>
      </c>
      <c r="BS443" s="39" t="str">
        <f>IFERROR(ödev!CD39*100/ödev!$I39,"")</f>
        <v/>
      </c>
      <c r="BT443" s="39" t="str">
        <f>IFERROR(ödev!CE39*100/ödev!$I39,"")</f>
        <v/>
      </c>
      <c r="BU443" s="39" t="str">
        <f>IFERROR(ödev!CF39*100/ödev!$I39,"")</f>
        <v/>
      </c>
      <c r="BV443" s="39" t="str">
        <f>IFERROR(ödev!CG39*100/ödev!$I39,"")</f>
        <v/>
      </c>
      <c r="BW443" s="39" t="str">
        <f>IFERROR(ödev!CH39*100/ödev!$I39,"")</f>
        <v/>
      </c>
      <c r="BX443" s="39" t="str">
        <f>IFERROR(ödev!CI39*100/ödev!$I39,"")</f>
        <v/>
      </c>
      <c r="BY443" s="39" t="str">
        <f>IFERROR(ödev!CJ39*100/ödev!$I39,"")</f>
        <v/>
      </c>
      <c r="BZ443" s="39" t="str">
        <f>IFERROR(ödev!CK39*100/ödev!$I39,"")</f>
        <v/>
      </c>
      <c r="CA443" s="39" t="str">
        <f>IFERROR(ödev!CL39*100/ödev!$I39,"")</f>
        <v/>
      </c>
      <c r="CB443" s="39" t="str">
        <f>IFERROR(ödev!CM39*100/ödev!$I39,"")</f>
        <v/>
      </c>
      <c r="CC443" s="39" t="str">
        <f>IFERROR(ödev!CN39*100/ödev!$I39,"")</f>
        <v/>
      </c>
      <c r="CD443" s="39" t="str">
        <f>IFERROR(ödev!CO39*100/ödev!$I39,"")</f>
        <v/>
      </c>
      <c r="CE443" s="39" t="str">
        <f>IFERROR(ödev!CP39*100/ödev!$I39,"")</f>
        <v/>
      </c>
      <c r="CF443" s="39" t="str">
        <f>IFERROR(ödev!CQ39*100/ödev!$I39,"")</f>
        <v/>
      </c>
      <c r="CG443" s="39" t="str">
        <f>IFERROR(ödev!CR39*100/ödev!$I39,"")</f>
        <v/>
      </c>
      <c r="CH443" s="39" t="str">
        <f>IFERROR(ödev!CS39*100/ödev!$I39,"")</f>
        <v/>
      </c>
      <c r="CI443" s="39" t="str">
        <f>IFERROR(ödev!CT39*100/ödev!$I39,"")</f>
        <v/>
      </c>
      <c r="CJ443" s="39" t="str">
        <f>IFERROR(ödev!CU39*100/ödev!$I39,"")</f>
        <v/>
      </c>
      <c r="CK443" s="39" t="str">
        <f>IFERROR(ödev!CV39*100/ödev!$I39,"")</f>
        <v/>
      </c>
      <c r="CL443" s="39" t="str">
        <f>IFERROR(ödev!CW39*100/ödev!$I39,"")</f>
        <v/>
      </c>
      <c r="CM443" s="39" t="str">
        <f>IFERROR(ödev!CX39*100/ödev!$I39,"")</f>
        <v/>
      </c>
      <c r="CN443" s="39" t="str">
        <f>IFERROR(ödev!CY39*100/ödev!$I39,"")</f>
        <v/>
      </c>
      <c r="CO443" s="39" t="str">
        <f>IFERROR(ödev!CZ39*100/ödev!$I39,"")</f>
        <v/>
      </c>
      <c r="CP443" s="39" t="str">
        <f>IFERROR(ödev!DA39*100/ödev!$I39,"")</f>
        <v/>
      </c>
      <c r="CQ443" s="39" t="str">
        <f>IFERROR(ödev!DB39*100/ödev!$I39,"")</f>
        <v/>
      </c>
      <c r="CR443" s="39" t="str">
        <f>IFERROR(ödev!DC39*100/ödev!$I39,"")</f>
        <v/>
      </c>
      <c r="CS443" s="39" t="str">
        <f>IFERROR(ödev!DD39*100/ödev!$I39,"")</f>
        <v/>
      </c>
      <c r="CT443" s="39" t="str">
        <f>IFERROR(ödev!DE39*100/ödev!$I39,"")</f>
        <v/>
      </c>
      <c r="CU443" s="39" t="str">
        <f>IFERROR(ödev!DF39*100/ödev!$I39,"")</f>
        <v/>
      </c>
      <c r="CV443" s="39" t="str">
        <f>IFERROR(ödev!DG39*100/ödev!$I39,"")</f>
        <v/>
      </c>
      <c r="CW443" s="36" t="str">
        <f>IFERROR(SUM(A443:CV443)/ödev!$DH$103,"")</f>
        <v/>
      </c>
      <c r="CX443" s="14" t="str">
        <f>IF(COUNTA(ödev!A39),ödev!A39,"")</f>
        <v/>
      </c>
      <c r="CY443" s="14" t="str">
        <f>IF(COUNTA(ödev!B39),ödev!B39,"")</f>
        <v/>
      </c>
      <c r="CZ443" s="14" t="str">
        <f>IF(COUNTA(ödev!C39),ödev!C39,"")</f>
        <v/>
      </c>
      <c r="DA443" s="14" t="str">
        <f>IF(COUNTA(ödev!D39),ödev!D39,"")</f>
        <v/>
      </c>
      <c r="DB443" s="14" t="str">
        <f>IF(COUNTA(ödev!E39),ödev!E39,"")</f>
        <v/>
      </c>
      <c r="DC443" s="14" t="str">
        <f>IF(COUNTA(ödev!F39),ödev!F39,"")</f>
        <v/>
      </c>
      <c r="DD443" s="14" t="str">
        <f>IF(COUNTA(ödev!G39),ödev!G39,"")</f>
        <v/>
      </c>
      <c r="DE443" s="14" t="str">
        <f>IF(COUNTA(ödev!H39),ödev!H39,"")</f>
        <v/>
      </c>
    </row>
    <row r="444" spans="1:109" x14ac:dyDescent="0.2">
      <c r="A444" s="39" t="str">
        <f>IFERROR(ödev!L40*100/ödev!$I40,"")</f>
        <v/>
      </c>
      <c r="B444" s="39" t="str">
        <f>IFERROR(ödev!M40*100/ödev!$I40,"")</f>
        <v/>
      </c>
      <c r="C444" s="39" t="str">
        <f>IFERROR(ödev!N40*100/ödev!$I40,"")</f>
        <v/>
      </c>
      <c r="D444" s="39" t="str">
        <f>IFERROR(ödev!O40*100/ödev!$I40,"")</f>
        <v/>
      </c>
      <c r="E444" s="39" t="str">
        <f>IFERROR(ödev!P40*100/ödev!$I40,"")</f>
        <v/>
      </c>
      <c r="F444" s="39" t="str">
        <f>IFERROR(ödev!Q40*100/ödev!$I40,"")</f>
        <v/>
      </c>
      <c r="G444" s="39" t="str">
        <f>IFERROR(ödev!R40*100/ödev!$I40,"")</f>
        <v/>
      </c>
      <c r="H444" s="39" t="str">
        <f>IFERROR(ödev!S40*100/ödev!$I40,"")</f>
        <v/>
      </c>
      <c r="I444" s="39" t="str">
        <f>IFERROR(ödev!T40*100/ödev!$I40,"")</f>
        <v/>
      </c>
      <c r="J444" s="39" t="str">
        <f>IFERROR(ödev!U40*100/ödev!$I40,"")</f>
        <v/>
      </c>
      <c r="K444" s="39" t="str">
        <f>IFERROR(ödev!V40*100/ödev!$I40,"")</f>
        <v/>
      </c>
      <c r="L444" s="39" t="str">
        <f>IFERROR(ödev!W40*100/ödev!$I40,"")</f>
        <v/>
      </c>
      <c r="M444" s="39" t="str">
        <f>IFERROR(ödev!X40*100/ödev!$I40,"")</f>
        <v/>
      </c>
      <c r="N444" s="39" t="str">
        <f>IFERROR(ödev!Y40*100/ödev!$I40,"")</f>
        <v/>
      </c>
      <c r="O444" s="39" t="str">
        <f>IFERROR(ödev!Z40*100/ödev!$I40,"")</f>
        <v/>
      </c>
      <c r="P444" s="39" t="str">
        <f>IFERROR(ödev!AA40*100/ödev!$I40,"")</f>
        <v/>
      </c>
      <c r="Q444" s="39" t="str">
        <f>IFERROR(ödev!AB40*100/ödev!$I40,"")</f>
        <v/>
      </c>
      <c r="R444" s="39" t="str">
        <f>IFERROR(ödev!AC40*100/ödev!$I40,"")</f>
        <v/>
      </c>
      <c r="S444" s="39" t="str">
        <f>IFERROR(ödev!AD40*100/ödev!$I40,"")</f>
        <v/>
      </c>
      <c r="T444" s="39" t="str">
        <f>IFERROR(ödev!AE40*100/ödev!$I40,"")</f>
        <v/>
      </c>
      <c r="U444" s="39" t="str">
        <f>IFERROR(ödev!AF40*100/ödev!$I40,"")</f>
        <v/>
      </c>
      <c r="V444" s="39" t="str">
        <f>IFERROR(ödev!AG40*100/ödev!$I40,"")</f>
        <v/>
      </c>
      <c r="W444" s="39" t="str">
        <f>IFERROR(ödev!AH40*100/ödev!$I40,"")</f>
        <v/>
      </c>
      <c r="X444" s="39" t="str">
        <f>IFERROR(ödev!AI40*100/ödev!$I40,"")</f>
        <v/>
      </c>
      <c r="Y444" s="39" t="str">
        <f>IFERROR(ödev!AJ40*100/ödev!$I40,"")</f>
        <v/>
      </c>
      <c r="Z444" s="39" t="str">
        <f>IFERROR(ödev!AK40*100/ödev!$I40,"")</f>
        <v/>
      </c>
      <c r="AA444" s="39" t="str">
        <f>IFERROR(ödev!AL40*100/ödev!$I40,"")</f>
        <v/>
      </c>
      <c r="AB444" s="39" t="str">
        <f>IFERROR(ödev!AM40*100/ödev!$I40,"")</f>
        <v/>
      </c>
      <c r="AC444" s="39" t="str">
        <f>IFERROR(ödev!AN40*100/ödev!$I40,"")</f>
        <v/>
      </c>
      <c r="AD444" s="39" t="str">
        <f>IFERROR(ödev!AO40*100/ödev!$I40,"")</f>
        <v/>
      </c>
      <c r="AE444" s="39" t="str">
        <f>IFERROR(ödev!AP40*100/ödev!$I40,"")</f>
        <v/>
      </c>
      <c r="AF444" s="39" t="str">
        <f>IFERROR(ödev!AQ40*100/ödev!$I40,"")</f>
        <v/>
      </c>
      <c r="AG444" s="39" t="str">
        <f>IFERROR(ödev!AR40*100/ödev!$I40,"")</f>
        <v/>
      </c>
      <c r="AH444" s="39" t="str">
        <f>IFERROR(ödev!AS40*100/ödev!$I40,"")</f>
        <v/>
      </c>
      <c r="AI444" s="39" t="str">
        <f>IFERROR(ödev!AT40*100/ödev!$I40,"")</f>
        <v/>
      </c>
      <c r="AJ444" s="39" t="str">
        <f>IFERROR(ödev!AU40*100/ödev!$I40,"")</f>
        <v/>
      </c>
      <c r="AK444" s="39" t="str">
        <f>IFERROR(ödev!AV40*100/ödev!$I40,"")</f>
        <v/>
      </c>
      <c r="AL444" s="39" t="str">
        <f>IFERROR(ödev!AW40*100/ödev!$I40,"")</f>
        <v/>
      </c>
      <c r="AM444" s="39" t="str">
        <f>IFERROR(ödev!AX40*100/ödev!$I40,"")</f>
        <v/>
      </c>
      <c r="AN444" s="39" t="str">
        <f>IFERROR(ödev!AY40*100/ödev!$I40,"")</f>
        <v/>
      </c>
      <c r="AO444" s="39" t="str">
        <f>IFERROR(ödev!AZ40*100/ödev!$I40,"")</f>
        <v/>
      </c>
      <c r="AP444" s="39" t="str">
        <f>IFERROR(ödev!BA40*100/ödev!$I40,"")</f>
        <v/>
      </c>
      <c r="AQ444" s="39" t="str">
        <f>IFERROR(ödev!BB40*100/ödev!$I40,"")</f>
        <v/>
      </c>
      <c r="AR444" s="39" t="str">
        <f>IFERROR(ödev!BC40*100/ödev!$I40,"")</f>
        <v/>
      </c>
      <c r="AS444" s="39" t="str">
        <f>IFERROR(ödev!BD40*100/ödev!$I40,"")</f>
        <v/>
      </c>
      <c r="AT444" s="39" t="str">
        <f>IFERROR(ödev!BE40*100/ödev!$I40,"")</f>
        <v/>
      </c>
      <c r="AU444" s="39" t="str">
        <f>IFERROR(ödev!BF40*100/ödev!$I40,"")</f>
        <v/>
      </c>
      <c r="AV444" s="39" t="str">
        <f>IFERROR(ödev!BG40*100/ödev!$I40,"")</f>
        <v/>
      </c>
      <c r="AW444" s="39" t="str">
        <f>IFERROR(ödev!BH40*100/ödev!$I40,"")</f>
        <v/>
      </c>
      <c r="AX444" s="39" t="str">
        <f>IFERROR(ödev!BI40*100/ödev!$I40,"")</f>
        <v/>
      </c>
      <c r="AY444" s="39" t="str">
        <f>IFERROR(ödev!BJ40*100/ödev!$I40,"")</f>
        <v/>
      </c>
      <c r="AZ444" s="39" t="str">
        <f>IFERROR(ödev!BK40*100/ödev!$I40,"")</f>
        <v/>
      </c>
      <c r="BA444" s="39" t="str">
        <f>IFERROR(ödev!BL40*100/ödev!$I40,"")</f>
        <v/>
      </c>
      <c r="BB444" s="39" t="str">
        <f>IFERROR(ödev!BM40*100/ödev!$I40,"")</f>
        <v/>
      </c>
      <c r="BC444" s="39" t="str">
        <f>IFERROR(ödev!BN40*100/ödev!$I40,"")</f>
        <v/>
      </c>
      <c r="BD444" s="39" t="str">
        <f>IFERROR(ödev!BO40*100/ödev!$I40,"")</f>
        <v/>
      </c>
      <c r="BE444" s="39" t="str">
        <f>IFERROR(ödev!BP40*100/ödev!$I40,"")</f>
        <v/>
      </c>
      <c r="BF444" s="39" t="str">
        <f>IFERROR(ödev!BQ40*100/ödev!$I40,"")</f>
        <v/>
      </c>
      <c r="BG444" s="39" t="str">
        <f>IFERROR(ödev!BR40*100/ödev!$I40,"")</f>
        <v/>
      </c>
      <c r="BH444" s="39" t="str">
        <f>IFERROR(ödev!BS40*100/ödev!$I40,"")</f>
        <v/>
      </c>
      <c r="BI444" s="39" t="str">
        <f>IFERROR(ödev!BT40*100/ödev!$I40,"")</f>
        <v/>
      </c>
      <c r="BJ444" s="39" t="str">
        <f>IFERROR(ödev!BU40*100/ödev!$I40,"")</f>
        <v/>
      </c>
      <c r="BK444" s="39" t="str">
        <f>IFERROR(ödev!BV40*100/ödev!$I40,"")</f>
        <v/>
      </c>
      <c r="BL444" s="39" t="str">
        <f>IFERROR(ödev!BW40*100/ödev!$I40,"")</f>
        <v/>
      </c>
      <c r="BM444" s="39" t="str">
        <f>IFERROR(ödev!BX40*100/ödev!$I40,"")</f>
        <v/>
      </c>
      <c r="BN444" s="39" t="str">
        <f>IFERROR(ödev!BY40*100/ödev!$I40,"")</f>
        <v/>
      </c>
      <c r="BO444" s="39" t="str">
        <f>IFERROR(ödev!BZ40*100/ödev!$I40,"")</f>
        <v/>
      </c>
      <c r="BP444" s="39" t="str">
        <f>IFERROR(ödev!CA40*100/ödev!$I40,"")</f>
        <v/>
      </c>
      <c r="BQ444" s="39" t="str">
        <f>IFERROR(ödev!CB40*100/ödev!$I40,"")</f>
        <v/>
      </c>
      <c r="BR444" s="39" t="str">
        <f>IFERROR(ödev!CC40*100/ödev!$I40,"")</f>
        <v/>
      </c>
      <c r="BS444" s="39" t="str">
        <f>IFERROR(ödev!CD40*100/ödev!$I40,"")</f>
        <v/>
      </c>
      <c r="BT444" s="39" t="str">
        <f>IFERROR(ödev!CE40*100/ödev!$I40,"")</f>
        <v/>
      </c>
      <c r="BU444" s="39" t="str">
        <f>IFERROR(ödev!CF40*100/ödev!$I40,"")</f>
        <v/>
      </c>
      <c r="BV444" s="39" t="str">
        <f>IFERROR(ödev!CG40*100/ödev!$I40,"")</f>
        <v/>
      </c>
      <c r="BW444" s="39" t="str">
        <f>IFERROR(ödev!CH40*100/ödev!$I40,"")</f>
        <v/>
      </c>
      <c r="BX444" s="39" t="str">
        <f>IFERROR(ödev!CI40*100/ödev!$I40,"")</f>
        <v/>
      </c>
      <c r="BY444" s="39" t="str">
        <f>IFERROR(ödev!CJ40*100/ödev!$I40,"")</f>
        <v/>
      </c>
      <c r="BZ444" s="39" t="str">
        <f>IFERROR(ödev!CK40*100/ödev!$I40,"")</f>
        <v/>
      </c>
      <c r="CA444" s="39" t="str">
        <f>IFERROR(ödev!CL40*100/ödev!$I40,"")</f>
        <v/>
      </c>
      <c r="CB444" s="39" t="str">
        <f>IFERROR(ödev!CM40*100/ödev!$I40,"")</f>
        <v/>
      </c>
      <c r="CC444" s="39" t="str">
        <f>IFERROR(ödev!CN40*100/ödev!$I40,"")</f>
        <v/>
      </c>
      <c r="CD444" s="39" t="str">
        <f>IFERROR(ödev!CO40*100/ödev!$I40,"")</f>
        <v/>
      </c>
      <c r="CE444" s="39" t="str">
        <f>IFERROR(ödev!CP40*100/ödev!$I40,"")</f>
        <v/>
      </c>
      <c r="CF444" s="39" t="str">
        <f>IFERROR(ödev!CQ40*100/ödev!$I40,"")</f>
        <v/>
      </c>
      <c r="CG444" s="39" t="str">
        <f>IFERROR(ödev!CR40*100/ödev!$I40,"")</f>
        <v/>
      </c>
      <c r="CH444" s="39" t="str">
        <f>IFERROR(ödev!CS40*100/ödev!$I40,"")</f>
        <v/>
      </c>
      <c r="CI444" s="39" t="str">
        <f>IFERROR(ödev!CT40*100/ödev!$I40,"")</f>
        <v/>
      </c>
      <c r="CJ444" s="39" t="str">
        <f>IFERROR(ödev!CU40*100/ödev!$I40,"")</f>
        <v/>
      </c>
      <c r="CK444" s="39" t="str">
        <f>IFERROR(ödev!CV40*100/ödev!$I40,"")</f>
        <v/>
      </c>
      <c r="CL444" s="39" t="str">
        <f>IFERROR(ödev!CW40*100/ödev!$I40,"")</f>
        <v/>
      </c>
      <c r="CM444" s="39" t="str">
        <f>IFERROR(ödev!CX40*100/ödev!$I40,"")</f>
        <v/>
      </c>
      <c r="CN444" s="39" t="str">
        <f>IFERROR(ödev!CY40*100/ödev!$I40,"")</f>
        <v/>
      </c>
      <c r="CO444" s="39" t="str">
        <f>IFERROR(ödev!CZ40*100/ödev!$I40,"")</f>
        <v/>
      </c>
      <c r="CP444" s="39" t="str">
        <f>IFERROR(ödev!DA40*100/ödev!$I40,"")</f>
        <v/>
      </c>
      <c r="CQ444" s="39" t="str">
        <f>IFERROR(ödev!DB40*100/ödev!$I40,"")</f>
        <v/>
      </c>
      <c r="CR444" s="39" t="str">
        <f>IFERROR(ödev!DC40*100/ödev!$I40,"")</f>
        <v/>
      </c>
      <c r="CS444" s="39" t="str">
        <f>IFERROR(ödev!DD40*100/ödev!$I40,"")</f>
        <v/>
      </c>
      <c r="CT444" s="39" t="str">
        <f>IFERROR(ödev!DE40*100/ödev!$I40,"")</f>
        <v/>
      </c>
      <c r="CU444" s="39" t="str">
        <f>IFERROR(ödev!DF40*100/ödev!$I40,"")</f>
        <v/>
      </c>
      <c r="CV444" s="39" t="str">
        <f>IFERROR(ödev!DG40*100/ödev!$I40,"")</f>
        <v/>
      </c>
      <c r="CW444" s="36" t="str">
        <f>IFERROR(SUM(A444:CV444)/ödev!$DH$103,"")</f>
        <v/>
      </c>
      <c r="CX444" s="14" t="str">
        <f>IF(COUNTA(ödev!A40),ödev!A40,"")</f>
        <v/>
      </c>
      <c r="CY444" s="14" t="str">
        <f>IF(COUNTA(ödev!B40),ödev!B40,"")</f>
        <v/>
      </c>
      <c r="CZ444" s="14" t="str">
        <f>IF(COUNTA(ödev!C40),ödev!C40,"")</f>
        <v/>
      </c>
      <c r="DA444" s="14" t="str">
        <f>IF(COUNTA(ödev!D40),ödev!D40,"")</f>
        <v/>
      </c>
      <c r="DB444" s="14" t="str">
        <f>IF(COUNTA(ödev!E40),ödev!E40,"")</f>
        <v/>
      </c>
      <c r="DC444" s="14" t="str">
        <f>IF(COUNTA(ödev!F40),ödev!F40,"")</f>
        <v/>
      </c>
      <c r="DD444" s="14" t="str">
        <f>IF(COUNTA(ödev!G40),ödev!G40,"")</f>
        <v/>
      </c>
      <c r="DE444" s="14" t="str">
        <f>IF(COUNTA(ödev!H40),ödev!H40,"")</f>
        <v/>
      </c>
    </row>
    <row r="445" spans="1:109" x14ac:dyDescent="0.2">
      <c r="A445" s="39" t="str">
        <f>IFERROR(ödev!L41*100/ödev!$I41,"")</f>
        <v/>
      </c>
      <c r="B445" s="39" t="str">
        <f>IFERROR(ödev!M41*100/ödev!$I41,"")</f>
        <v/>
      </c>
      <c r="C445" s="39" t="str">
        <f>IFERROR(ödev!N41*100/ödev!$I41,"")</f>
        <v/>
      </c>
      <c r="D445" s="39" t="str">
        <f>IFERROR(ödev!O41*100/ödev!$I41,"")</f>
        <v/>
      </c>
      <c r="E445" s="39" t="str">
        <f>IFERROR(ödev!P41*100/ödev!$I41,"")</f>
        <v/>
      </c>
      <c r="F445" s="39" t="str">
        <f>IFERROR(ödev!Q41*100/ödev!$I41,"")</f>
        <v/>
      </c>
      <c r="G445" s="39" t="str">
        <f>IFERROR(ödev!R41*100/ödev!$I41,"")</f>
        <v/>
      </c>
      <c r="H445" s="39" t="str">
        <f>IFERROR(ödev!S41*100/ödev!$I41,"")</f>
        <v/>
      </c>
      <c r="I445" s="39" t="str">
        <f>IFERROR(ödev!T41*100/ödev!$I41,"")</f>
        <v/>
      </c>
      <c r="J445" s="39" t="str">
        <f>IFERROR(ödev!U41*100/ödev!$I41,"")</f>
        <v/>
      </c>
      <c r="K445" s="39" t="str">
        <f>IFERROR(ödev!V41*100/ödev!$I41,"")</f>
        <v/>
      </c>
      <c r="L445" s="39" t="str">
        <f>IFERROR(ödev!W41*100/ödev!$I41,"")</f>
        <v/>
      </c>
      <c r="M445" s="39" t="str">
        <f>IFERROR(ödev!X41*100/ödev!$I41,"")</f>
        <v/>
      </c>
      <c r="N445" s="39" t="str">
        <f>IFERROR(ödev!Y41*100/ödev!$I41,"")</f>
        <v/>
      </c>
      <c r="O445" s="39" t="str">
        <f>IFERROR(ödev!Z41*100/ödev!$I41,"")</f>
        <v/>
      </c>
      <c r="P445" s="39" t="str">
        <f>IFERROR(ödev!AA41*100/ödev!$I41,"")</f>
        <v/>
      </c>
      <c r="Q445" s="39" t="str">
        <f>IFERROR(ödev!AB41*100/ödev!$I41,"")</f>
        <v/>
      </c>
      <c r="R445" s="39" t="str">
        <f>IFERROR(ödev!AC41*100/ödev!$I41,"")</f>
        <v/>
      </c>
      <c r="S445" s="39" t="str">
        <f>IFERROR(ödev!AD41*100/ödev!$I41,"")</f>
        <v/>
      </c>
      <c r="T445" s="39" t="str">
        <f>IFERROR(ödev!AE41*100/ödev!$I41,"")</f>
        <v/>
      </c>
      <c r="U445" s="39" t="str">
        <f>IFERROR(ödev!AF41*100/ödev!$I41,"")</f>
        <v/>
      </c>
      <c r="V445" s="39" t="str">
        <f>IFERROR(ödev!AG41*100/ödev!$I41,"")</f>
        <v/>
      </c>
      <c r="W445" s="39" t="str">
        <f>IFERROR(ödev!AH41*100/ödev!$I41,"")</f>
        <v/>
      </c>
      <c r="X445" s="39" t="str">
        <f>IFERROR(ödev!AI41*100/ödev!$I41,"")</f>
        <v/>
      </c>
      <c r="Y445" s="39" t="str">
        <f>IFERROR(ödev!AJ41*100/ödev!$I41,"")</f>
        <v/>
      </c>
      <c r="Z445" s="39" t="str">
        <f>IFERROR(ödev!AK41*100/ödev!$I41,"")</f>
        <v/>
      </c>
      <c r="AA445" s="39" t="str">
        <f>IFERROR(ödev!AL41*100/ödev!$I41,"")</f>
        <v/>
      </c>
      <c r="AB445" s="39" t="str">
        <f>IFERROR(ödev!AM41*100/ödev!$I41,"")</f>
        <v/>
      </c>
      <c r="AC445" s="39" t="str">
        <f>IFERROR(ödev!AN41*100/ödev!$I41,"")</f>
        <v/>
      </c>
      <c r="AD445" s="39" t="str">
        <f>IFERROR(ödev!AO41*100/ödev!$I41,"")</f>
        <v/>
      </c>
      <c r="AE445" s="39" t="str">
        <f>IFERROR(ödev!AP41*100/ödev!$I41,"")</f>
        <v/>
      </c>
      <c r="AF445" s="39" t="str">
        <f>IFERROR(ödev!AQ41*100/ödev!$I41,"")</f>
        <v/>
      </c>
      <c r="AG445" s="39" t="str">
        <f>IFERROR(ödev!AR41*100/ödev!$I41,"")</f>
        <v/>
      </c>
      <c r="AH445" s="39" t="str">
        <f>IFERROR(ödev!AS41*100/ödev!$I41,"")</f>
        <v/>
      </c>
      <c r="AI445" s="39" t="str">
        <f>IFERROR(ödev!AT41*100/ödev!$I41,"")</f>
        <v/>
      </c>
      <c r="AJ445" s="39" t="str">
        <f>IFERROR(ödev!AU41*100/ödev!$I41,"")</f>
        <v/>
      </c>
      <c r="AK445" s="39" t="str">
        <f>IFERROR(ödev!AV41*100/ödev!$I41,"")</f>
        <v/>
      </c>
      <c r="AL445" s="39" t="str">
        <f>IFERROR(ödev!AW41*100/ödev!$I41,"")</f>
        <v/>
      </c>
      <c r="AM445" s="39" t="str">
        <f>IFERROR(ödev!AX41*100/ödev!$I41,"")</f>
        <v/>
      </c>
      <c r="AN445" s="39" t="str">
        <f>IFERROR(ödev!AY41*100/ödev!$I41,"")</f>
        <v/>
      </c>
      <c r="AO445" s="39" t="str">
        <f>IFERROR(ödev!AZ41*100/ödev!$I41,"")</f>
        <v/>
      </c>
      <c r="AP445" s="39" t="str">
        <f>IFERROR(ödev!BA41*100/ödev!$I41,"")</f>
        <v/>
      </c>
      <c r="AQ445" s="39" t="str">
        <f>IFERROR(ödev!BB41*100/ödev!$I41,"")</f>
        <v/>
      </c>
      <c r="AR445" s="39" t="str">
        <f>IFERROR(ödev!BC41*100/ödev!$I41,"")</f>
        <v/>
      </c>
      <c r="AS445" s="39" t="str">
        <f>IFERROR(ödev!BD41*100/ödev!$I41,"")</f>
        <v/>
      </c>
      <c r="AT445" s="39" t="str">
        <f>IFERROR(ödev!BE41*100/ödev!$I41,"")</f>
        <v/>
      </c>
      <c r="AU445" s="39" t="str">
        <f>IFERROR(ödev!BF41*100/ödev!$I41,"")</f>
        <v/>
      </c>
      <c r="AV445" s="39" t="str">
        <f>IFERROR(ödev!BG41*100/ödev!$I41,"")</f>
        <v/>
      </c>
      <c r="AW445" s="39" t="str">
        <f>IFERROR(ödev!BH41*100/ödev!$I41,"")</f>
        <v/>
      </c>
      <c r="AX445" s="39" t="str">
        <f>IFERROR(ödev!BI41*100/ödev!$I41,"")</f>
        <v/>
      </c>
      <c r="AY445" s="39" t="str">
        <f>IFERROR(ödev!BJ41*100/ödev!$I41,"")</f>
        <v/>
      </c>
      <c r="AZ445" s="39" t="str">
        <f>IFERROR(ödev!BK41*100/ödev!$I41,"")</f>
        <v/>
      </c>
      <c r="BA445" s="39" t="str">
        <f>IFERROR(ödev!BL41*100/ödev!$I41,"")</f>
        <v/>
      </c>
      <c r="BB445" s="39" t="str">
        <f>IFERROR(ödev!BM41*100/ödev!$I41,"")</f>
        <v/>
      </c>
      <c r="BC445" s="39" t="str">
        <f>IFERROR(ödev!BN41*100/ödev!$I41,"")</f>
        <v/>
      </c>
      <c r="BD445" s="39" t="str">
        <f>IFERROR(ödev!BO41*100/ödev!$I41,"")</f>
        <v/>
      </c>
      <c r="BE445" s="39" t="str">
        <f>IFERROR(ödev!BP41*100/ödev!$I41,"")</f>
        <v/>
      </c>
      <c r="BF445" s="39" t="str">
        <f>IFERROR(ödev!BQ41*100/ödev!$I41,"")</f>
        <v/>
      </c>
      <c r="BG445" s="39" t="str">
        <f>IFERROR(ödev!BR41*100/ödev!$I41,"")</f>
        <v/>
      </c>
      <c r="BH445" s="39" t="str">
        <f>IFERROR(ödev!BS41*100/ödev!$I41,"")</f>
        <v/>
      </c>
      <c r="BI445" s="39" t="str">
        <f>IFERROR(ödev!BT41*100/ödev!$I41,"")</f>
        <v/>
      </c>
      <c r="BJ445" s="39" t="str">
        <f>IFERROR(ödev!BU41*100/ödev!$I41,"")</f>
        <v/>
      </c>
      <c r="BK445" s="39" t="str">
        <f>IFERROR(ödev!BV41*100/ödev!$I41,"")</f>
        <v/>
      </c>
      <c r="BL445" s="39" t="str">
        <f>IFERROR(ödev!BW41*100/ödev!$I41,"")</f>
        <v/>
      </c>
      <c r="BM445" s="39" t="str">
        <f>IFERROR(ödev!BX41*100/ödev!$I41,"")</f>
        <v/>
      </c>
      <c r="BN445" s="39" t="str">
        <f>IFERROR(ödev!BY41*100/ödev!$I41,"")</f>
        <v/>
      </c>
      <c r="BO445" s="39" t="str">
        <f>IFERROR(ödev!BZ41*100/ödev!$I41,"")</f>
        <v/>
      </c>
      <c r="BP445" s="39" t="str">
        <f>IFERROR(ödev!CA41*100/ödev!$I41,"")</f>
        <v/>
      </c>
      <c r="BQ445" s="39" t="str">
        <f>IFERROR(ödev!CB41*100/ödev!$I41,"")</f>
        <v/>
      </c>
      <c r="BR445" s="39" t="str">
        <f>IFERROR(ödev!CC41*100/ödev!$I41,"")</f>
        <v/>
      </c>
      <c r="BS445" s="39" t="str">
        <f>IFERROR(ödev!CD41*100/ödev!$I41,"")</f>
        <v/>
      </c>
      <c r="BT445" s="39" t="str">
        <f>IFERROR(ödev!CE41*100/ödev!$I41,"")</f>
        <v/>
      </c>
      <c r="BU445" s="39" t="str">
        <f>IFERROR(ödev!CF41*100/ödev!$I41,"")</f>
        <v/>
      </c>
      <c r="BV445" s="39" t="str">
        <f>IFERROR(ödev!CG41*100/ödev!$I41,"")</f>
        <v/>
      </c>
      <c r="BW445" s="39" t="str">
        <f>IFERROR(ödev!CH41*100/ödev!$I41,"")</f>
        <v/>
      </c>
      <c r="BX445" s="39" t="str">
        <f>IFERROR(ödev!CI41*100/ödev!$I41,"")</f>
        <v/>
      </c>
      <c r="BY445" s="39" t="str">
        <f>IFERROR(ödev!CJ41*100/ödev!$I41,"")</f>
        <v/>
      </c>
      <c r="BZ445" s="39" t="str">
        <f>IFERROR(ödev!CK41*100/ödev!$I41,"")</f>
        <v/>
      </c>
      <c r="CA445" s="39" t="str">
        <f>IFERROR(ödev!CL41*100/ödev!$I41,"")</f>
        <v/>
      </c>
      <c r="CB445" s="39" t="str">
        <f>IFERROR(ödev!CM41*100/ödev!$I41,"")</f>
        <v/>
      </c>
      <c r="CC445" s="39" t="str">
        <f>IFERROR(ödev!CN41*100/ödev!$I41,"")</f>
        <v/>
      </c>
      <c r="CD445" s="39" t="str">
        <f>IFERROR(ödev!CO41*100/ödev!$I41,"")</f>
        <v/>
      </c>
      <c r="CE445" s="39" t="str">
        <f>IFERROR(ödev!CP41*100/ödev!$I41,"")</f>
        <v/>
      </c>
      <c r="CF445" s="39" t="str">
        <f>IFERROR(ödev!CQ41*100/ödev!$I41,"")</f>
        <v/>
      </c>
      <c r="CG445" s="39" t="str">
        <f>IFERROR(ödev!CR41*100/ödev!$I41,"")</f>
        <v/>
      </c>
      <c r="CH445" s="39" t="str">
        <f>IFERROR(ödev!CS41*100/ödev!$I41,"")</f>
        <v/>
      </c>
      <c r="CI445" s="39" t="str">
        <f>IFERROR(ödev!CT41*100/ödev!$I41,"")</f>
        <v/>
      </c>
      <c r="CJ445" s="39" t="str">
        <f>IFERROR(ödev!CU41*100/ödev!$I41,"")</f>
        <v/>
      </c>
      <c r="CK445" s="39" t="str">
        <f>IFERROR(ödev!CV41*100/ödev!$I41,"")</f>
        <v/>
      </c>
      <c r="CL445" s="39" t="str">
        <f>IFERROR(ödev!CW41*100/ödev!$I41,"")</f>
        <v/>
      </c>
      <c r="CM445" s="39" t="str">
        <f>IFERROR(ödev!CX41*100/ödev!$I41,"")</f>
        <v/>
      </c>
      <c r="CN445" s="39" t="str">
        <f>IFERROR(ödev!CY41*100/ödev!$I41,"")</f>
        <v/>
      </c>
      <c r="CO445" s="39" t="str">
        <f>IFERROR(ödev!CZ41*100/ödev!$I41,"")</f>
        <v/>
      </c>
      <c r="CP445" s="39" t="str">
        <f>IFERROR(ödev!DA41*100/ödev!$I41,"")</f>
        <v/>
      </c>
      <c r="CQ445" s="39" t="str">
        <f>IFERROR(ödev!DB41*100/ödev!$I41,"")</f>
        <v/>
      </c>
      <c r="CR445" s="39" t="str">
        <f>IFERROR(ödev!DC41*100/ödev!$I41,"")</f>
        <v/>
      </c>
      <c r="CS445" s="39" t="str">
        <f>IFERROR(ödev!DD41*100/ödev!$I41,"")</f>
        <v/>
      </c>
      <c r="CT445" s="39" t="str">
        <f>IFERROR(ödev!DE41*100/ödev!$I41,"")</f>
        <v/>
      </c>
      <c r="CU445" s="39" t="str">
        <f>IFERROR(ödev!DF41*100/ödev!$I41,"")</f>
        <v/>
      </c>
      <c r="CV445" s="39" t="str">
        <f>IFERROR(ödev!DG41*100/ödev!$I41,"")</f>
        <v/>
      </c>
      <c r="CW445" s="36" t="str">
        <f>IFERROR(SUM(A445:CV445)/ödev!$DH$103,"")</f>
        <v/>
      </c>
      <c r="CX445" s="14" t="str">
        <f>IF(COUNTA(ödev!A41),ödev!A41,"")</f>
        <v/>
      </c>
      <c r="CY445" s="14" t="str">
        <f>IF(COUNTA(ödev!B41),ödev!B41,"")</f>
        <v/>
      </c>
      <c r="CZ445" s="14" t="str">
        <f>IF(COUNTA(ödev!C41),ödev!C41,"")</f>
        <v/>
      </c>
      <c r="DA445" s="14" t="str">
        <f>IF(COUNTA(ödev!D41),ödev!D41,"")</f>
        <v/>
      </c>
      <c r="DB445" s="14" t="str">
        <f>IF(COUNTA(ödev!E41),ödev!E41,"")</f>
        <v/>
      </c>
      <c r="DC445" s="14" t="str">
        <f>IF(COUNTA(ödev!F41),ödev!F41,"")</f>
        <v/>
      </c>
      <c r="DD445" s="14" t="str">
        <f>IF(COUNTA(ödev!G41),ödev!G41,"")</f>
        <v/>
      </c>
      <c r="DE445" s="14" t="str">
        <f>IF(COUNTA(ödev!H41),ödev!H41,"")</f>
        <v/>
      </c>
    </row>
    <row r="446" spans="1:109" x14ac:dyDescent="0.2">
      <c r="A446" s="39" t="str">
        <f>IFERROR(ödev!L42*100/ödev!$I42,"")</f>
        <v/>
      </c>
      <c r="B446" s="39" t="str">
        <f>IFERROR(ödev!M42*100/ödev!$I42,"")</f>
        <v/>
      </c>
      <c r="C446" s="39" t="str">
        <f>IFERROR(ödev!N42*100/ödev!$I42,"")</f>
        <v/>
      </c>
      <c r="D446" s="39" t="str">
        <f>IFERROR(ödev!O42*100/ödev!$I42,"")</f>
        <v/>
      </c>
      <c r="E446" s="39" t="str">
        <f>IFERROR(ödev!P42*100/ödev!$I42,"")</f>
        <v/>
      </c>
      <c r="F446" s="39" t="str">
        <f>IFERROR(ödev!Q42*100/ödev!$I42,"")</f>
        <v/>
      </c>
      <c r="G446" s="39" t="str">
        <f>IFERROR(ödev!R42*100/ödev!$I42,"")</f>
        <v/>
      </c>
      <c r="H446" s="39" t="str">
        <f>IFERROR(ödev!S42*100/ödev!$I42,"")</f>
        <v/>
      </c>
      <c r="I446" s="39" t="str">
        <f>IFERROR(ödev!T42*100/ödev!$I42,"")</f>
        <v/>
      </c>
      <c r="J446" s="39" t="str">
        <f>IFERROR(ödev!U42*100/ödev!$I42,"")</f>
        <v/>
      </c>
      <c r="K446" s="39" t="str">
        <f>IFERROR(ödev!V42*100/ödev!$I42,"")</f>
        <v/>
      </c>
      <c r="L446" s="39" t="str">
        <f>IFERROR(ödev!W42*100/ödev!$I42,"")</f>
        <v/>
      </c>
      <c r="M446" s="39" t="str">
        <f>IFERROR(ödev!X42*100/ödev!$I42,"")</f>
        <v/>
      </c>
      <c r="N446" s="39" t="str">
        <f>IFERROR(ödev!Y42*100/ödev!$I42,"")</f>
        <v/>
      </c>
      <c r="O446" s="39" t="str">
        <f>IFERROR(ödev!Z42*100/ödev!$I42,"")</f>
        <v/>
      </c>
      <c r="P446" s="39" t="str">
        <f>IFERROR(ödev!AA42*100/ödev!$I42,"")</f>
        <v/>
      </c>
      <c r="Q446" s="39" t="str">
        <f>IFERROR(ödev!AB42*100/ödev!$I42,"")</f>
        <v/>
      </c>
      <c r="R446" s="39" t="str">
        <f>IFERROR(ödev!AC42*100/ödev!$I42,"")</f>
        <v/>
      </c>
      <c r="S446" s="39" t="str">
        <f>IFERROR(ödev!AD42*100/ödev!$I42,"")</f>
        <v/>
      </c>
      <c r="T446" s="39" t="str">
        <f>IFERROR(ödev!AE42*100/ödev!$I42,"")</f>
        <v/>
      </c>
      <c r="U446" s="39" t="str">
        <f>IFERROR(ödev!AF42*100/ödev!$I42,"")</f>
        <v/>
      </c>
      <c r="V446" s="39" t="str">
        <f>IFERROR(ödev!AG42*100/ödev!$I42,"")</f>
        <v/>
      </c>
      <c r="W446" s="39" t="str">
        <f>IFERROR(ödev!AH42*100/ödev!$I42,"")</f>
        <v/>
      </c>
      <c r="X446" s="39" t="str">
        <f>IFERROR(ödev!AI42*100/ödev!$I42,"")</f>
        <v/>
      </c>
      <c r="Y446" s="39" t="str">
        <f>IFERROR(ödev!AJ42*100/ödev!$I42,"")</f>
        <v/>
      </c>
      <c r="Z446" s="39" t="str">
        <f>IFERROR(ödev!AK42*100/ödev!$I42,"")</f>
        <v/>
      </c>
      <c r="AA446" s="39" t="str">
        <f>IFERROR(ödev!AL42*100/ödev!$I42,"")</f>
        <v/>
      </c>
      <c r="AB446" s="39" t="str">
        <f>IFERROR(ödev!AM42*100/ödev!$I42,"")</f>
        <v/>
      </c>
      <c r="AC446" s="39" t="str">
        <f>IFERROR(ödev!AN42*100/ödev!$I42,"")</f>
        <v/>
      </c>
      <c r="AD446" s="39" t="str">
        <f>IFERROR(ödev!AO42*100/ödev!$I42,"")</f>
        <v/>
      </c>
      <c r="AE446" s="39" t="str">
        <f>IFERROR(ödev!AP42*100/ödev!$I42,"")</f>
        <v/>
      </c>
      <c r="AF446" s="39" t="str">
        <f>IFERROR(ödev!AQ42*100/ödev!$I42,"")</f>
        <v/>
      </c>
      <c r="AG446" s="39" t="str">
        <f>IFERROR(ödev!AR42*100/ödev!$I42,"")</f>
        <v/>
      </c>
      <c r="AH446" s="39" t="str">
        <f>IFERROR(ödev!AS42*100/ödev!$I42,"")</f>
        <v/>
      </c>
      <c r="AI446" s="39" t="str">
        <f>IFERROR(ödev!AT42*100/ödev!$I42,"")</f>
        <v/>
      </c>
      <c r="AJ446" s="39" t="str">
        <f>IFERROR(ödev!AU42*100/ödev!$I42,"")</f>
        <v/>
      </c>
      <c r="AK446" s="39" t="str">
        <f>IFERROR(ödev!AV42*100/ödev!$I42,"")</f>
        <v/>
      </c>
      <c r="AL446" s="39" t="str">
        <f>IFERROR(ödev!AW42*100/ödev!$I42,"")</f>
        <v/>
      </c>
      <c r="AM446" s="39" t="str">
        <f>IFERROR(ödev!AX42*100/ödev!$I42,"")</f>
        <v/>
      </c>
      <c r="AN446" s="39" t="str">
        <f>IFERROR(ödev!AY42*100/ödev!$I42,"")</f>
        <v/>
      </c>
      <c r="AO446" s="39" t="str">
        <f>IFERROR(ödev!AZ42*100/ödev!$I42,"")</f>
        <v/>
      </c>
      <c r="AP446" s="39" t="str">
        <f>IFERROR(ödev!BA42*100/ödev!$I42,"")</f>
        <v/>
      </c>
      <c r="AQ446" s="39" t="str">
        <f>IFERROR(ödev!BB42*100/ödev!$I42,"")</f>
        <v/>
      </c>
      <c r="AR446" s="39" t="str">
        <f>IFERROR(ödev!BC42*100/ödev!$I42,"")</f>
        <v/>
      </c>
      <c r="AS446" s="39" t="str">
        <f>IFERROR(ödev!BD42*100/ödev!$I42,"")</f>
        <v/>
      </c>
      <c r="AT446" s="39" t="str">
        <f>IFERROR(ödev!BE42*100/ödev!$I42,"")</f>
        <v/>
      </c>
      <c r="AU446" s="39" t="str">
        <f>IFERROR(ödev!BF42*100/ödev!$I42,"")</f>
        <v/>
      </c>
      <c r="AV446" s="39" t="str">
        <f>IFERROR(ödev!BG42*100/ödev!$I42,"")</f>
        <v/>
      </c>
      <c r="AW446" s="39" t="str">
        <f>IFERROR(ödev!BH42*100/ödev!$I42,"")</f>
        <v/>
      </c>
      <c r="AX446" s="39" t="str">
        <f>IFERROR(ödev!BI42*100/ödev!$I42,"")</f>
        <v/>
      </c>
      <c r="AY446" s="39" t="str">
        <f>IFERROR(ödev!BJ42*100/ödev!$I42,"")</f>
        <v/>
      </c>
      <c r="AZ446" s="39" t="str">
        <f>IFERROR(ödev!BK42*100/ödev!$I42,"")</f>
        <v/>
      </c>
      <c r="BA446" s="39" t="str">
        <f>IFERROR(ödev!BL42*100/ödev!$I42,"")</f>
        <v/>
      </c>
      <c r="BB446" s="39" t="str">
        <f>IFERROR(ödev!BM42*100/ödev!$I42,"")</f>
        <v/>
      </c>
      <c r="BC446" s="39" t="str">
        <f>IFERROR(ödev!BN42*100/ödev!$I42,"")</f>
        <v/>
      </c>
      <c r="BD446" s="39" t="str">
        <f>IFERROR(ödev!BO42*100/ödev!$I42,"")</f>
        <v/>
      </c>
      <c r="BE446" s="39" t="str">
        <f>IFERROR(ödev!BP42*100/ödev!$I42,"")</f>
        <v/>
      </c>
      <c r="BF446" s="39" t="str">
        <f>IFERROR(ödev!BQ42*100/ödev!$I42,"")</f>
        <v/>
      </c>
      <c r="BG446" s="39" t="str">
        <f>IFERROR(ödev!BR42*100/ödev!$I42,"")</f>
        <v/>
      </c>
      <c r="BH446" s="39" t="str">
        <f>IFERROR(ödev!BS42*100/ödev!$I42,"")</f>
        <v/>
      </c>
      <c r="BI446" s="39" t="str">
        <f>IFERROR(ödev!BT42*100/ödev!$I42,"")</f>
        <v/>
      </c>
      <c r="BJ446" s="39" t="str">
        <f>IFERROR(ödev!BU42*100/ödev!$I42,"")</f>
        <v/>
      </c>
      <c r="BK446" s="39" t="str">
        <f>IFERROR(ödev!BV42*100/ödev!$I42,"")</f>
        <v/>
      </c>
      <c r="BL446" s="39" t="str">
        <f>IFERROR(ödev!BW42*100/ödev!$I42,"")</f>
        <v/>
      </c>
      <c r="BM446" s="39" t="str">
        <f>IFERROR(ödev!BX42*100/ödev!$I42,"")</f>
        <v/>
      </c>
      <c r="BN446" s="39" t="str">
        <f>IFERROR(ödev!BY42*100/ödev!$I42,"")</f>
        <v/>
      </c>
      <c r="BO446" s="39" t="str">
        <f>IFERROR(ödev!BZ42*100/ödev!$I42,"")</f>
        <v/>
      </c>
      <c r="BP446" s="39" t="str">
        <f>IFERROR(ödev!CA42*100/ödev!$I42,"")</f>
        <v/>
      </c>
      <c r="BQ446" s="39" t="str">
        <f>IFERROR(ödev!CB42*100/ödev!$I42,"")</f>
        <v/>
      </c>
      <c r="BR446" s="39" t="str">
        <f>IFERROR(ödev!CC42*100/ödev!$I42,"")</f>
        <v/>
      </c>
      <c r="BS446" s="39" t="str">
        <f>IFERROR(ödev!CD42*100/ödev!$I42,"")</f>
        <v/>
      </c>
      <c r="BT446" s="39" t="str">
        <f>IFERROR(ödev!CE42*100/ödev!$I42,"")</f>
        <v/>
      </c>
      <c r="BU446" s="39" t="str">
        <f>IFERROR(ödev!CF42*100/ödev!$I42,"")</f>
        <v/>
      </c>
      <c r="BV446" s="39" t="str">
        <f>IFERROR(ödev!CG42*100/ödev!$I42,"")</f>
        <v/>
      </c>
      <c r="BW446" s="39" t="str">
        <f>IFERROR(ödev!CH42*100/ödev!$I42,"")</f>
        <v/>
      </c>
      <c r="BX446" s="39" t="str">
        <f>IFERROR(ödev!CI42*100/ödev!$I42,"")</f>
        <v/>
      </c>
      <c r="BY446" s="39" t="str">
        <f>IFERROR(ödev!CJ42*100/ödev!$I42,"")</f>
        <v/>
      </c>
      <c r="BZ446" s="39" t="str">
        <f>IFERROR(ödev!CK42*100/ödev!$I42,"")</f>
        <v/>
      </c>
      <c r="CA446" s="39" t="str">
        <f>IFERROR(ödev!CL42*100/ödev!$I42,"")</f>
        <v/>
      </c>
      <c r="CB446" s="39" t="str">
        <f>IFERROR(ödev!CM42*100/ödev!$I42,"")</f>
        <v/>
      </c>
      <c r="CC446" s="39" t="str">
        <f>IFERROR(ödev!CN42*100/ödev!$I42,"")</f>
        <v/>
      </c>
      <c r="CD446" s="39" t="str">
        <f>IFERROR(ödev!CO42*100/ödev!$I42,"")</f>
        <v/>
      </c>
      <c r="CE446" s="39" t="str">
        <f>IFERROR(ödev!CP42*100/ödev!$I42,"")</f>
        <v/>
      </c>
      <c r="CF446" s="39" t="str">
        <f>IFERROR(ödev!CQ42*100/ödev!$I42,"")</f>
        <v/>
      </c>
      <c r="CG446" s="39" t="str">
        <f>IFERROR(ödev!CR42*100/ödev!$I42,"")</f>
        <v/>
      </c>
      <c r="CH446" s="39" t="str">
        <f>IFERROR(ödev!CS42*100/ödev!$I42,"")</f>
        <v/>
      </c>
      <c r="CI446" s="39" t="str">
        <f>IFERROR(ödev!CT42*100/ödev!$I42,"")</f>
        <v/>
      </c>
      <c r="CJ446" s="39" t="str">
        <f>IFERROR(ödev!CU42*100/ödev!$I42,"")</f>
        <v/>
      </c>
      <c r="CK446" s="39" t="str">
        <f>IFERROR(ödev!CV42*100/ödev!$I42,"")</f>
        <v/>
      </c>
      <c r="CL446" s="39" t="str">
        <f>IFERROR(ödev!CW42*100/ödev!$I42,"")</f>
        <v/>
      </c>
      <c r="CM446" s="39" t="str">
        <f>IFERROR(ödev!CX42*100/ödev!$I42,"")</f>
        <v/>
      </c>
      <c r="CN446" s="39" t="str">
        <f>IFERROR(ödev!CY42*100/ödev!$I42,"")</f>
        <v/>
      </c>
      <c r="CO446" s="39" t="str">
        <f>IFERROR(ödev!CZ42*100/ödev!$I42,"")</f>
        <v/>
      </c>
      <c r="CP446" s="39" t="str">
        <f>IFERROR(ödev!DA42*100/ödev!$I42,"")</f>
        <v/>
      </c>
      <c r="CQ446" s="39" t="str">
        <f>IFERROR(ödev!DB42*100/ödev!$I42,"")</f>
        <v/>
      </c>
      <c r="CR446" s="39" t="str">
        <f>IFERROR(ödev!DC42*100/ödev!$I42,"")</f>
        <v/>
      </c>
      <c r="CS446" s="39" t="str">
        <f>IFERROR(ödev!DD42*100/ödev!$I42,"")</f>
        <v/>
      </c>
      <c r="CT446" s="39" t="str">
        <f>IFERROR(ödev!DE42*100/ödev!$I42,"")</f>
        <v/>
      </c>
      <c r="CU446" s="39" t="str">
        <f>IFERROR(ödev!DF42*100/ödev!$I42,"")</f>
        <v/>
      </c>
      <c r="CV446" s="39" t="str">
        <f>IFERROR(ödev!DG42*100/ödev!$I42,"")</f>
        <v/>
      </c>
      <c r="CW446" s="36" t="str">
        <f>IFERROR(SUM(A446:CV446)/ödev!$DH$103,"")</f>
        <v/>
      </c>
      <c r="CX446" s="14" t="str">
        <f>IF(COUNTA(ödev!A42),ödev!A42,"")</f>
        <v/>
      </c>
      <c r="CY446" s="14" t="str">
        <f>IF(COUNTA(ödev!B42),ödev!B42,"")</f>
        <v/>
      </c>
      <c r="CZ446" s="14" t="str">
        <f>IF(COUNTA(ödev!C42),ödev!C42,"")</f>
        <v/>
      </c>
      <c r="DA446" s="14" t="str">
        <f>IF(COUNTA(ödev!D42),ödev!D42,"")</f>
        <v/>
      </c>
      <c r="DB446" s="14" t="str">
        <f>IF(COUNTA(ödev!E42),ödev!E42,"")</f>
        <v/>
      </c>
      <c r="DC446" s="14" t="str">
        <f>IF(COUNTA(ödev!F42),ödev!F42,"")</f>
        <v/>
      </c>
      <c r="DD446" s="14" t="str">
        <f>IF(COUNTA(ödev!G42),ödev!G42,"")</f>
        <v/>
      </c>
      <c r="DE446" s="14" t="str">
        <f>IF(COUNTA(ödev!H42),ödev!H42,"")</f>
        <v/>
      </c>
    </row>
    <row r="447" spans="1:109" x14ac:dyDescent="0.2">
      <c r="A447" s="39" t="str">
        <f>IFERROR(ödev!L43*100/ödev!$I43,"")</f>
        <v/>
      </c>
      <c r="B447" s="39" t="str">
        <f>IFERROR(ödev!M43*100/ödev!$I43,"")</f>
        <v/>
      </c>
      <c r="C447" s="39" t="str">
        <f>IFERROR(ödev!N43*100/ödev!$I43,"")</f>
        <v/>
      </c>
      <c r="D447" s="39" t="str">
        <f>IFERROR(ödev!O43*100/ödev!$I43,"")</f>
        <v/>
      </c>
      <c r="E447" s="39" t="str">
        <f>IFERROR(ödev!P43*100/ödev!$I43,"")</f>
        <v/>
      </c>
      <c r="F447" s="39" t="str">
        <f>IFERROR(ödev!Q43*100/ödev!$I43,"")</f>
        <v/>
      </c>
      <c r="G447" s="39" t="str">
        <f>IFERROR(ödev!R43*100/ödev!$I43,"")</f>
        <v/>
      </c>
      <c r="H447" s="39" t="str">
        <f>IFERROR(ödev!S43*100/ödev!$I43,"")</f>
        <v/>
      </c>
      <c r="I447" s="39" t="str">
        <f>IFERROR(ödev!T43*100/ödev!$I43,"")</f>
        <v/>
      </c>
      <c r="J447" s="39" t="str">
        <f>IFERROR(ödev!U43*100/ödev!$I43,"")</f>
        <v/>
      </c>
      <c r="K447" s="39" t="str">
        <f>IFERROR(ödev!V43*100/ödev!$I43,"")</f>
        <v/>
      </c>
      <c r="L447" s="39" t="str">
        <f>IFERROR(ödev!W43*100/ödev!$I43,"")</f>
        <v/>
      </c>
      <c r="M447" s="39" t="str">
        <f>IFERROR(ödev!X43*100/ödev!$I43,"")</f>
        <v/>
      </c>
      <c r="N447" s="39" t="str">
        <f>IFERROR(ödev!Y43*100/ödev!$I43,"")</f>
        <v/>
      </c>
      <c r="O447" s="39" t="str">
        <f>IFERROR(ödev!Z43*100/ödev!$I43,"")</f>
        <v/>
      </c>
      <c r="P447" s="39" t="str">
        <f>IFERROR(ödev!AA43*100/ödev!$I43,"")</f>
        <v/>
      </c>
      <c r="Q447" s="39" t="str">
        <f>IFERROR(ödev!AB43*100/ödev!$I43,"")</f>
        <v/>
      </c>
      <c r="R447" s="39" t="str">
        <f>IFERROR(ödev!AC43*100/ödev!$I43,"")</f>
        <v/>
      </c>
      <c r="S447" s="39" t="str">
        <f>IFERROR(ödev!AD43*100/ödev!$I43,"")</f>
        <v/>
      </c>
      <c r="T447" s="39" t="str">
        <f>IFERROR(ödev!AE43*100/ödev!$I43,"")</f>
        <v/>
      </c>
      <c r="U447" s="39" t="str">
        <f>IFERROR(ödev!AF43*100/ödev!$I43,"")</f>
        <v/>
      </c>
      <c r="V447" s="39" t="str">
        <f>IFERROR(ödev!AG43*100/ödev!$I43,"")</f>
        <v/>
      </c>
      <c r="W447" s="39" t="str">
        <f>IFERROR(ödev!AH43*100/ödev!$I43,"")</f>
        <v/>
      </c>
      <c r="X447" s="39" t="str">
        <f>IFERROR(ödev!AI43*100/ödev!$I43,"")</f>
        <v/>
      </c>
      <c r="Y447" s="39" t="str">
        <f>IFERROR(ödev!AJ43*100/ödev!$I43,"")</f>
        <v/>
      </c>
      <c r="Z447" s="39" t="str">
        <f>IFERROR(ödev!AK43*100/ödev!$I43,"")</f>
        <v/>
      </c>
      <c r="AA447" s="39" t="str">
        <f>IFERROR(ödev!AL43*100/ödev!$I43,"")</f>
        <v/>
      </c>
      <c r="AB447" s="39" t="str">
        <f>IFERROR(ödev!AM43*100/ödev!$I43,"")</f>
        <v/>
      </c>
      <c r="AC447" s="39" t="str">
        <f>IFERROR(ödev!AN43*100/ödev!$I43,"")</f>
        <v/>
      </c>
      <c r="AD447" s="39" t="str">
        <f>IFERROR(ödev!AO43*100/ödev!$I43,"")</f>
        <v/>
      </c>
      <c r="AE447" s="39" t="str">
        <f>IFERROR(ödev!AP43*100/ödev!$I43,"")</f>
        <v/>
      </c>
      <c r="AF447" s="39" t="str">
        <f>IFERROR(ödev!AQ43*100/ödev!$I43,"")</f>
        <v/>
      </c>
      <c r="AG447" s="39" t="str">
        <f>IFERROR(ödev!AR43*100/ödev!$I43,"")</f>
        <v/>
      </c>
      <c r="AH447" s="39" t="str">
        <f>IFERROR(ödev!AS43*100/ödev!$I43,"")</f>
        <v/>
      </c>
      <c r="AI447" s="39" t="str">
        <f>IFERROR(ödev!AT43*100/ödev!$I43,"")</f>
        <v/>
      </c>
      <c r="AJ447" s="39" t="str">
        <f>IFERROR(ödev!AU43*100/ödev!$I43,"")</f>
        <v/>
      </c>
      <c r="AK447" s="39" t="str">
        <f>IFERROR(ödev!AV43*100/ödev!$I43,"")</f>
        <v/>
      </c>
      <c r="AL447" s="39" t="str">
        <f>IFERROR(ödev!AW43*100/ödev!$I43,"")</f>
        <v/>
      </c>
      <c r="AM447" s="39" t="str">
        <f>IFERROR(ödev!AX43*100/ödev!$I43,"")</f>
        <v/>
      </c>
      <c r="AN447" s="39" t="str">
        <f>IFERROR(ödev!AY43*100/ödev!$I43,"")</f>
        <v/>
      </c>
      <c r="AO447" s="39" t="str">
        <f>IFERROR(ödev!AZ43*100/ödev!$I43,"")</f>
        <v/>
      </c>
      <c r="AP447" s="39" t="str">
        <f>IFERROR(ödev!BA43*100/ödev!$I43,"")</f>
        <v/>
      </c>
      <c r="AQ447" s="39" t="str">
        <f>IFERROR(ödev!BB43*100/ödev!$I43,"")</f>
        <v/>
      </c>
      <c r="AR447" s="39" t="str">
        <f>IFERROR(ödev!BC43*100/ödev!$I43,"")</f>
        <v/>
      </c>
      <c r="AS447" s="39" t="str">
        <f>IFERROR(ödev!BD43*100/ödev!$I43,"")</f>
        <v/>
      </c>
      <c r="AT447" s="39" t="str">
        <f>IFERROR(ödev!BE43*100/ödev!$I43,"")</f>
        <v/>
      </c>
      <c r="AU447" s="39" t="str">
        <f>IFERROR(ödev!BF43*100/ödev!$I43,"")</f>
        <v/>
      </c>
      <c r="AV447" s="39" t="str">
        <f>IFERROR(ödev!BG43*100/ödev!$I43,"")</f>
        <v/>
      </c>
      <c r="AW447" s="39" t="str">
        <f>IFERROR(ödev!BH43*100/ödev!$I43,"")</f>
        <v/>
      </c>
      <c r="AX447" s="39" t="str">
        <f>IFERROR(ödev!BI43*100/ödev!$I43,"")</f>
        <v/>
      </c>
      <c r="AY447" s="39" t="str">
        <f>IFERROR(ödev!BJ43*100/ödev!$I43,"")</f>
        <v/>
      </c>
      <c r="AZ447" s="39" t="str">
        <f>IFERROR(ödev!BK43*100/ödev!$I43,"")</f>
        <v/>
      </c>
      <c r="BA447" s="39" t="str">
        <f>IFERROR(ödev!BL43*100/ödev!$I43,"")</f>
        <v/>
      </c>
      <c r="BB447" s="39" t="str">
        <f>IFERROR(ödev!BM43*100/ödev!$I43,"")</f>
        <v/>
      </c>
      <c r="BC447" s="39" t="str">
        <f>IFERROR(ödev!BN43*100/ödev!$I43,"")</f>
        <v/>
      </c>
      <c r="BD447" s="39" t="str">
        <f>IFERROR(ödev!BO43*100/ödev!$I43,"")</f>
        <v/>
      </c>
      <c r="BE447" s="39" t="str">
        <f>IFERROR(ödev!BP43*100/ödev!$I43,"")</f>
        <v/>
      </c>
      <c r="BF447" s="39" t="str">
        <f>IFERROR(ödev!BQ43*100/ödev!$I43,"")</f>
        <v/>
      </c>
      <c r="BG447" s="39" t="str">
        <f>IFERROR(ödev!BR43*100/ödev!$I43,"")</f>
        <v/>
      </c>
      <c r="BH447" s="39" t="str">
        <f>IFERROR(ödev!BS43*100/ödev!$I43,"")</f>
        <v/>
      </c>
      <c r="BI447" s="39" t="str">
        <f>IFERROR(ödev!BT43*100/ödev!$I43,"")</f>
        <v/>
      </c>
      <c r="BJ447" s="39" t="str">
        <f>IFERROR(ödev!BU43*100/ödev!$I43,"")</f>
        <v/>
      </c>
      <c r="BK447" s="39" t="str">
        <f>IFERROR(ödev!BV43*100/ödev!$I43,"")</f>
        <v/>
      </c>
      <c r="BL447" s="39" t="str">
        <f>IFERROR(ödev!BW43*100/ödev!$I43,"")</f>
        <v/>
      </c>
      <c r="BM447" s="39" t="str">
        <f>IFERROR(ödev!BX43*100/ödev!$I43,"")</f>
        <v/>
      </c>
      <c r="BN447" s="39" t="str">
        <f>IFERROR(ödev!BY43*100/ödev!$I43,"")</f>
        <v/>
      </c>
      <c r="BO447" s="39" t="str">
        <f>IFERROR(ödev!BZ43*100/ödev!$I43,"")</f>
        <v/>
      </c>
      <c r="BP447" s="39" t="str">
        <f>IFERROR(ödev!CA43*100/ödev!$I43,"")</f>
        <v/>
      </c>
      <c r="BQ447" s="39" t="str">
        <f>IFERROR(ödev!CB43*100/ödev!$I43,"")</f>
        <v/>
      </c>
      <c r="BR447" s="39" t="str">
        <f>IFERROR(ödev!CC43*100/ödev!$I43,"")</f>
        <v/>
      </c>
      <c r="BS447" s="39" t="str">
        <f>IFERROR(ödev!CD43*100/ödev!$I43,"")</f>
        <v/>
      </c>
      <c r="BT447" s="39" t="str">
        <f>IFERROR(ödev!CE43*100/ödev!$I43,"")</f>
        <v/>
      </c>
      <c r="BU447" s="39" t="str">
        <f>IFERROR(ödev!CF43*100/ödev!$I43,"")</f>
        <v/>
      </c>
      <c r="BV447" s="39" t="str">
        <f>IFERROR(ödev!CG43*100/ödev!$I43,"")</f>
        <v/>
      </c>
      <c r="BW447" s="39" t="str">
        <f>IFERROR(ödev!CH43*100/ödev!$I43,"")</f>
        <v/>
      </c>
      <c r="BX447" s="39" t="str">
        <f>IFERROR(ödev!CI43*100/ödev!$I43,"")</f>
        <v/>
      </c>
      <c r="BY447" s="39" t="str">
        <f>IFERROR(ödev!CJ43*100/ödev!$I43,"")</f>
        <v/>
      </c>
      <c r="BZ447" s="39" t="str">
        <f>IFERROR(ödev!CK43*100/ödev!$I43,"")</f>
        <v/>
      </c>
      <c r="CA447" s="39" t="str">
        <f>IFERROR(ödev!CL43*100/ödev!$I43,"")</f>
        <v/>
      </c>
      <c r="CB447" s="39" t="str">
        <f>IFERROR(ödev!CM43*100/ödev!$I43,"")</f>
        <v/>
      </c>
      <c r="CC447" s="39" t="str">
        <f>IFERROR(ödev!CN43*100/ödev!$I43,"")</f>
        <v/>
      </c>
      <c r="CD447" s="39" t="str">
        <f>IFERROR(ödev!CO43*100/ödev!$I43,"")</f>
        <v/>
      </c>
      <c r="CE447" s="39" t="str">
        <f>IFERROR(ödev!CP43*100/ödev!$I43,"")</f>
        <v/>
      </c>
      <c r="CF447" s="39" t="str">
        <f>IFERROR(ödev!CQ43*100/ödev!$I43,"")</f>
        <v/>
      </c>
      <c r="CG447" s="39" t="str">
        <f>IFERROR(ödev!CR43*100/ödev!$I43,"")</f>
        <v/>
      </c>
      <c r="CH447" s="39" t="str">
        <f>IFERROR(ödev!CS43*100/ödev!$I43,"")</f>
        <v/>
      </c>
      <c r="CI447" s="39" t="str">
        <f>IFERROR(ödev!CT43*100/ödev!$I43,"")</f>
        <v/>
      </c>
      <c r="CJ447" s="39" t="str">
        <f>IFERROR(ödev!CU43*100/ödev!$I43,"")</f>
        <v/>
      </c>
      <c r="CK447" s="39" t="str">
        <f>IFERROR(ödev!CV43*100/ödev!$I43,"")</f>
        <v/>
      </c>
      <c r="CL447" s="39" t="str">
        <f>IFERROR(ödev!CW43*100/ödev!$I43,"")</f>
        <v/>
      </c>
      <c r="CM447" s="39" t="str">
        <f>IFERROR(ödev!CX43*100/ödev!$I43,"")</f>
        <v/>
      </c>
      <c r="CN447" s="39" t="str">
        <f>IFERROR(ödev!CY43*100/ödev!$I43,"")</f>
        <v/>
      </c>
      <c r="CO447" s="39" t="str">
        <f>IFERROR(ödev!CZ43*100/ödev!$I43,"")</f>
        <v/>
      </c>
      <c r="CP447" s="39" t="str">
        <f>IFERROR(ödev!DA43*100/ödev!$I43,"")</f>
        <v/>
      </c>
      <c r="CQ447" s="39" t="str">
        <f>IFERROR(ödev!DB43*100/ödev!$I43,"")</f>
        <v/>
      </c>
      <c r="CR447" s="39" t="str">
        <f>IFERROR(ödev!DC43*100/ödev!$I43,"")</f>
        <v/>
      </c>
      <c r="CS447" s="39" t="str">
        <f>IFERROR(ödev!DD43*100/ödev!$I43,"")</f>
        <v/>
      </c>
      <c r="CT447" s="39" t="str">
        <f>IFERROR(ödev!DE43*100/ödev!$I43,"")</f>
        <v/>
      </c>
      <c r="CU447" s="39" t="str">
        <f>IFERROR(ödev!DF43*100/ödev!$I43,"")</f>
        <v/>
      </c>
      <c r="CV447" s="39" t="str">
        <f>IFERROR(ödev!DG43*100/ödev!$I43,"")</f>
        <v/>
      </c>
      <c r="CW447" s="36" t="str">
        <f>IFERROR(SUM(A447:CV447)/ödev!$DH$103,"")</f>
        <v/>
      </c>
      <c r="CX447" s="14" t="str">
        <f>IF(COUNTA(ödev!A43),ödev!A43,"")</f>
        <v/>
      </c>
      <c r="CY447" s="14" t="str">
        <f>IF(COUNTA(ödev!B43),ödev!B43,"")</f>
        <v/>
      </c>
      <c r="CZ447" s="14" t="str">
        <f>IF(COUNTA(ödev!C43),ödev!C43,"")</f>
        <v/>
      </c>
      <c r="DA447" s="14" t="str">
        <f>IF(COUNTA(ödev!D43),ödev!D43,"")</f>
        <v/>
      </c>
      <c r="DB447" s="14" t="str">
        <f>IF(COUNTA(ödev!E43),ödev!E43,"")</f>
        <v/>
      </c>
      <c r="DC447" s="14" t="str">
        <f>IF(COUNTA(ödev!F43),ödev!F43,"")</f>
        <v/>
      </c>
      <c r="DD447" s="14" t="str">
        <f>IF(COUNTA(ödev!G43),ödev!G43,"")</f>
        <v/>
      </c>
      <c r="DE447" s="14" t="str">
        <f>IF(COUNTA(ödev!H43),ödev!H43,"")</f>
        <v/>
      </c>
    </row>
    <row r="448" spans="1:109" x14ac:dyDescent="0.2">
      <c r="A448" s="39" t="str">
        <f>IFERROR(ödev!L44*100/ödev!$I44,"")</f>
        <v/>
      </c>
      <c r="B448" s="39" t="str">
        <f>IFERROR(ödev!M44*100/ödev!$I44,"")</f>
        <v/>
      </c>
      <c r="C448" s="39" t="str">
        <f>IFERROR(ödev!N44*100/ödev!$I44,"")</f>
        <v/>
      </c>
      <c r="D448" s="39" t="str">
        <f>IFERROR(ödev!O44*100/ödev!$I44,"")</f>
        <v/>
      </c>
      <c r="E448" s="39" t="str">
        <f>IFERROR(ödev!P44*100/ödev!$I44,"")</f>
        <v/>
      </c>
      <c r="F448" s="39" t="str">
        <f>IFERROR(ödev!Q44*100/ödev!$I44,"")</f>
        <v/>
      </c>
      <c r="G448" s="39" t="str">
        <f>IFERROR(ödev!R44*100/ödev!$I44,"")</f>
        <v/>
      </c>
      <c r="H448" s="39" t="str">
        <f>IFERROR(ödev!S44*100/ödev!$I44,"")</f>
        <v/>
      </c>
      <c r="I448" s="39" t="str">
        <f>IFERROR(ödev!T44*100/ödev!$I44,"")</f>
        <v/>
      </c>
      <c r="J448" s="39" t="str">
        <f>IFERROR(ödev!U44*100/ödev!$I44,"")</f>
        <v/>
      </c>
      <c r="K448" s="39" t="str">
        <f>IFERROR(ödev!V44*100/ödev!$I44,"")</f>
        <v/>
      </c>
      <c r="L448" s="39" t="str">
        <f>IFERROR(ödev!W44*100/ödev!$I44,"")</f>
        <v/>
      </c>
      <c r="M448" s="39" t="str">
        <f>IFERROR(ödev!X44*100/ödev!$I44,"")</f>
        <v/>
      </c>
      <c r="N448" s="39" t="str">
        <f>IFERROR(ödev!Y44*100/ödev!$I44,"")</f>
        <v/>
      </c>
      <c r="O448" s="39" t="str">
        <f>IFERROR(ödev!Z44*100/ödev!$I44,"")</f>
        <v/>
      </c>
      <c r="P448" s="39" t="str">
        <f>IFERROR(ödev!AA44*100/ödev!$I44,"")</f>
        <v/>
      </c>
      <c r="Q448" s="39" t="str">
        <f>IFERROR(ödev!AB44*100/ödev!$I44,"")</f>
        <v/>
      </c>
      <c r="R448" s="39" t="str">
        <f>IFERROR(ödev!AC44*100/ödev!$I44,"")</f>
        <v/>
      </c>
      <c r="S448" s="39" t="str">
        <f>IFERROR(ödev!AD44*100/ödev!$I44,"")</f>
        <v/>
      </c>
      <c r="T448" s="39" t="str">
        <f>IFERROR(ödev!AE44*100/ödev!$I44,"")</f>
        <v/>
      </c>
      <c r="U448" s="39" t="str">
        <f>IFERROR(ödev!AF44*100/ödev!$I44,"")</f>
        <v/>
      </c>
      <c r="V448" s="39" t="str">
        <f>IFERROR(ödev!AG44*100/ödev!$I44,"")</f>
        <v/>
      </c>
      <c r="W448" s="39" t="str">
        <f>IFERROR(ödev!AH44*100/ödev!$I44,"")</f>
        <v/>
      </c>
      <c r="X448" s="39" t="str">
        <f>IFERROR(ödev!AI44*100/ödev!$I44,"")</f>
        <v/>
      </c>
      <c r="Y448" s="39" t="str">
        <f>IFERROR(ödev!AJ44*100/ödev!$I44,"")</f>
        <v/>
      </c>
      <c r="Z448" s="39" t="str">
        <f>IFERROR(ödev!AK44*100/ödev!$I44,"")</f>
        <v/>
      </c>
      <c r="AA448" s="39" t="str">
        <f>IFERROR(ödev!AL44*100/ödev!$I44,"")</f>
        <v/>
      </c>
      <c r="AB448" s="39" t="str">
        <f>IFERROR(ödev!AM44*100/ödev!$I44,"")</f>
        <v/>
      </c>
      <c r="AC448" s="39" t="str">
        <f>IFERROR(ödev!AN44*100/ödev!$I44,"")</f>
        <v/>
      </c>
      <c r="AD448" s="39" t="str">
        <f>IFERROR(ödev!AO44*100/ödev!$I44,"")</f>
        <v/>
      </c>
      <c r="AE448" s="39" t="str">
        <f>IFERROR(ödev!AP44*100/ödev!$I44,"")</f>
        <v/>
      </c>
      <c r="AF448" s="39" t="str">
        <f>IFERROR(ödev!AQ44*100/ödev!$I44,"")</f>
        <v/>
      </c>
      <c r="AG448" s="39" t="str">
        <f>IFERROR(ödev!AR44*100/ödev!$I44,"")</f>
        <v/>
      </c>
      <c r="AH448" s="39" t="str">
        <f>IFERROR(ödev!AS44*100/ödev!$I44,"")</f>
        <v/>
      </c>
      <c r="AI448" s="39" t="str">
        <f>IFERROR(ödev!AT44*100/ödev!$I44,"")</f>
        <v/>
      </c>
      <c r="AJ448" s="39" t="str">
        <f>IFERROR(ödev!AU44*100/ödev!$I44,"")</f>
        <v/>
      </c>
      <c r="AK448" s="39" t="str">
        <f>IFERROR(ödev!AV44*100/ödev!$I44,"")</f>
        <v/>
      </c>
      <c r="AL448" s="39" t="str">
        <f>IFERROR(ödev!AW44*100/ödev!$I44,"")</f>
        <v/>
      </c>
      <c r="AM448" s="39" t="str">
        <f>IFERROR(ödev!AX44*100/ödev!$I44,"")</f>
        <v/>
      </c>
      <c r="AN448" s="39" t="str">
        <f>IFERROR(ödev!AY44*100/ödev!$I44,"")</f>
        <v/>
      </c>
      <c r="AO448" s="39" t="str">
        <f>IFERROR(ödev!AZ44*100/ödev!$I44,"")</f>
        <v/>
      </c>
      <c r="AP448" s="39" t="str">
        <f>IFERROR(ödev!BA44*100/ödev!$I44,"")</f>
        <v/>
      </c>
      <c r="AQ448" s="39" t="str">
        <f>IFERROR(ödev!BB44*100/ödev!$I44,"")</f>
        <v/>
      </c>
      <c r="AR448" s="39" t="str">
        <f>IFERROR(ödev!BC44*100/ödev!$I44,"")</f>
        <v/>
      </c>
      <c r="AS448" s="39" t="str">
        <f>IFERROR(ödev!BD44*100/ödev!$I44,"")</f>
        <v/>
      </c>
      <c r="AT448" s="39" t="str">
        <f>IFERROR(ödev!BE44*100/ödev!$I44,"")</f>
        <v/>
      </c>
      <c r="AU448" s="39" t="str">
        <f>IFERROR(ödev!BF44*100/ödev!$I44,"")</f>
        <v/>
      </c>
      <c r="AV448" s="39" t="str">
        <f>IFERROR(ödev!BG44*100/ödev!$I44,"")</f>
        <v/>
      </c>
      <c r="AW448" s="39" t="str">
        <f>IFERROR(ödev!BH44*100/ödev!$I44,"")</f>
        <v/>
      </c>
      <c r="AX448" s="39" t="str">
        <f>IFERROR(ödev!BI44*100/ödev!$I44,"")</f>
        <v/>
      </c>
      <c r="AY448" s="39" t="str">
        <f>IFERROR(ödev!BJ44*100/ödev!$I44,"")</f>
        <v/>
      </c>
      <c r="AZ448" s="39" t="str">
        <f>IFERROR(ödev!BK44*100/ödev!$I44,"")</f>
        <v/>
      </c>
      <c r="BA448" s="39" t="str">
        <f>IFERROR(ödev!BL44*100/ödev!$I44,"")</f>
        <v/>
      </c>
      <c r="BB448" s="39" t="str">
        <f>IFERROR(ödev!BM44*100/ödev!$I44,"")</f>
        <v/>
      </c>
      <c r="BC448" s="39" t="str">
        <f>IFERROR(ödev!BN44*100/ödev!$I44,"")</f>
        <v/>
      </c>
      <c r="BD448" s="39" t="str">
        <f>IFERROR(ödev!BO44*100/ödev!$I44,"")</f>
        <v/>
      </c>
      <c r="BE448" s="39" t="str">
        <f>IFERROR(ödev!BP44*100/ödev!$I44,"")</f>
        <v/>
      </c>
      <c r="BF448" s="39" t="str">
        <f>IFERROR(ödev!BQ44*100/ödev!$I44,"")</f>
        <v/>
      </c>
      <c r="BG448" s="39" t="str">
        <f>IFERROR(ödev!BR44*100/ödev!$I44,"")</f>
        <v/>
      </c>
      <c r="BH448" s="39" t="str">
        <f>IFERROR(ödev!BS44*100/ödev!$I44,"")</f>
        <v/>
      </c>
      <c r="BI448" s="39" t="str">
        <f>IFERROR(ödev!BT44*100/ödev!$I44,"")</f>
        <v/>
      </c>
      <c r="BJ448" s="39" t="str">
        <f>IFERROR(ödev!BU44*100/ödev!$I44,"")</f>
        <v/>
      </c>
      <c r="BK448" s="39" t="str">
        <f>IFERROR(ödev!BV44*100/ödev!$I44,"")</f>
        <v/>
      </c>
      <c r="BL448" s="39" t="str">
        <f>IFERROR(ödev!BW44*100/ödev!$I44,"")</f>
        <v/>
      </c>
      <c r="BM448" s="39" t="str">
        <f>IFERROR(ödev!BX44*100/ödev!$I44,"")</f>
        <v/>
      </c>
      <c r="BN448" s="39" t="str">
        <f>IFERROR(ödev!BY44*100/ödev!$I44,"")</f>
        <v/>
      </c>
      <c r="BO448" s="39" t="str">
        <f>IFERROR(ödev!BZ44*100/ödev!$I44,"")</f>
        <v/>
      </c>
      <c r="BP448" s="39" t="str">
        <f>IFERROR(ödev!CA44*100/ödev!$I44,"")</f>
        <v/>
      </c>
      <c r="BQ448" s="39" t="str">
        <f>IFERROR(ödev!CB44*100/ödev!$I44,"")</f>
        <v/>
      </c>
      <c r="BR448" s="39" t="str">
        <f>IFERROR(ödev!CC44*100/ödev!$I44,"")</f>
        <v/>
      </c>
      <c r="BS448" s="39" t="str">
        <f>IFERROR(ödev!CD44*100/ödev!$I44,"")</f>
        <v/>
      </c>
      <c r="BT448" s="39" t="str">
        <f>IFERROR(ödev!CE44*100/ödev!$I44,"")</f>
        <v/>
      </c>
      <c r="BU448" s="39" t="str">
        <f>IFERROR(ödev!CF44*100/ödev!$I44,"")</f>
        <v/>
      </c>
      <c r="BV448" s="39" t="str">
        <f>IFERROR(ödev!CG44*100/ödev!$I44,"")</f>
        <v/>
      </c>
      <c r="BW448" s="39" t="str">
        <f>IFERROR(ödev!CH44*100/ödev!$I44,"")</f>
        <v/>
      </c>
      <c r="BX448" s="39" t="str">
        <f>IFERROR(ödev!CI44*100/ödev!$I44,"")</f>
        <v/>
      </c>
      <c r="BY448" s="39" t="str">
        <f>IFERROR(ödev!CJ44*100/ödev!$I44,"")</f>
        <v/>
      </c>
      <c r="BZ448" s="39" t="str">
        <f>IFERROR(ödev!CK44*100/ödev!$I44,"")</f>
        <v/>
      </c>
      <c r="CA448" s="39" t="str">
        <f>IFERROR(ödev!CL44*100/ödev!$I44,"")</f>
        <v/>
      </c>
      <c r="CB448" s="39" t="str">
        <f>IFERROR(ödev!CM44*100/ödev!$I44,"")</f>
        <v/>
      </c>
      <c r="CC448" s="39" t="str">
        <f>IFERROR(ödev!CN44*100/ödev!$I44,"")</f>
        <v/>
      </c>
      <c r="CD448" s="39" t="str">
        <f>IFERROR(ödev!CO44*100/ödev!$I44,"")</f>
        <v/>
      </c>
      <c r="CE448" s="39" t="str">
        <f>IFERROR(ödev!CP44*100/ödev!$I44,"")</f>
        <v/>
      </c>
      <c r="CF448" s="39" t="str">
        <f>IFERROR(ödev!CQ44*100/ödev!$I44,"")</f>
        <v/>
      </c>
      <c r="CG448" s="39" t="str">
        <f>IFERROR(ödev!CR44*100/ödev!$I44,"")</f>
        <v/>
      </c>
      <c r="CH448" s="39" t="str">
        <f>IFERROR(ödev!CS44*100/ödev!$I44,"")</f>
        <v/>
      </c>
      <c r="CI448" s="39" t="str">
        <f>IFERROR(ödev!CT44*100/ödev!$I44,"")</f>
        <v/>
      </c>
      <c r="CJ448" s="39" t="str">
        <f>IFERROR(ödev!CU44*100/ödev!$I44,"")</f>
        <v/>
      </c>
      <c r="CK448" s="39" t="str">
        <f>IFERROR(ödev!CV44*100/ödev!$I44,"")</f>
        <v/>
      </c>
      <c r="CL448" s="39" t="str">
        <f>IFERROR(ödev!CW44*100/ödev!$I44,"")</f>
        <v/>
      </c>
      <c r="CM448" s="39" t="str">
        <f>IFERROR(ödev!CX44*100/ödev!$I44,"")</f>
        <v/>
      </c>
      <c r="CN448" s="39" t="str">
        <f>IFERROR(ödev!CY44*100/ödev!$I44,"")</f>
        <v/>
      </c>
      <c r="CO448" s="39" t="str">
        <f>IFERROR(ödev!CZ44*100/ödev!$I44,"")</f>
        <v/>
      </c>
      <c r="CP448" s="39" t="str">
        <f>IFERROR(ödev!DA44*100/ödev!$I44,"")</f>
        <v/>
      </c>
      <c r="CQ448" s="39" t="str">
        <f>IFERROR(ödev!DB44*100/ödev!$I44,"")</f>
        <v/>
      </c>
      <c r="CR448" s="39" t="str">
        <f>IFERROR(ödev!DC44*100/ödev!$I44,"")</f>
        <v/>
      </c>
      <c r="CS448" s="39" t="str">
        <f>IFERROR(ödev!DD44*100/ödev!$I44,"")</f>
        <v/>
      </c>
      <c r="CT448" s="39" t="str">
        <f>IFERROR(ödev!DE44*100/ödev!$I44,"")</f>
        <v/>
      </c>
      <c r="CU448" s="39" t="str">
        <f>IFERROR(ödev!DF44*100/ödev!$I44,"")</f>
        <v/>
      </c>
      <c r="CV448" s="39" t="str">
        <f>IFERROR(ödev!DG44*100/ödev!$I44,"")</f>
        <v/>
      </c>
      <c r="CW448" s="36" t="str">
        <f>IFERROR(SUM(A448:CV448)/ödev!$DH$103,"")</f>
        <v/>
      </c>
      <c r="CX448" s="14" t="str">
        <f>IF(COUNTA(ödev!A44),ödev!A44,"")</f>
        <v/>
      </c>
      <c r="CY448" s="14" t="str">
        <f>IF(COUNTA(ödev!B44),ödev!B44,"")</f>
        <v/>
      </c>
      <c r="CZ448" s="14" t="str">
        <f>IF(COUNTA(ödev!C44),ödev!C44,"")</f>
        <v/>
      </c>
      <c r="DA448" s="14" t="str">
        <f>IF(COUNTA(ödev!D44),ödev!D44,"")</f>
        <v/>
      </c>
      <c r="DB448" s="14" t="str">
        <f>IF(COUNTA(ödev!E44),ödev!E44,"")</f>
        <v/>
      </c>
      <c r="DC448" s="14" t="str">
        <f>IF(COUNTA(ödev!F44),ödev!F44,"")</f>
        <v/>
      </c>
      <c r="DD448" s="14" t="str">
        <f>IF(COUNTA(ödev!G44),ödev!G44,"")</f>
        <v/>
      </c>
      <c r="DE448" s="14" t="str">
        <f>IF(COUNTA(ödev!H44),ödev!H44,"")</f>
        <v/>
      </c>
    </row>
    <row r="449" spans="1:109" x14ac:dyDescent="0.2">
      <c r="A449" s="39" t="str">
        <f>IFERROR(ödev!L45*100/ödev!$I45,"")</f>
        <v/>
      </c>
      <c r="B449" s="39" t="str">
        <f>IFERROR(ödev!M45*100/ödev!$I45,"")</f>
        <v/>
      </c>
      <c r="C449" s="39" t="str">
        <f>IFERROR(ödev!N45*100/ödev!$I45,"")</f>
        <v/>
      </c>
      <c r="D449" s="39" t="str">
        <f>IFERROR(ödev!O45*100/ödev!$I45,"")</f>
        <v/>
      </c>
      <c r="E449" s="39" t="str">
        <f>IFERROR(ödev!P45*100/ödev!$I45,"")</f>
        <v/>
      </c>
      <c r="F449" s="39" t="str">
        <f>IFERROR(ödev!Q45*100/ödev!$I45,"")</f>
        <v/>
      </c>
      <c r="G449" s="39" t="str">
        <f>IFERROR(ödev!R45*100/ödev!$I45,"")</f>
        <v/>
      </c>
      <c r="H449" s="39" t="str">
        <f>IFERROR(ödev!S45*100/ödev!$I45,"")</f>
        <v/>
      </c>
      <c r="I449" s="39" t="str">
        <f>IFERROR(ödev!T45*100/ödev!$I45,"")</f>
        <v/>
      </c>
      <c r="J449" s="39" t="str">
        <f>IFERROR(ödev!U45*100/ödev!$I45,"")</f>
        <v/>
      </c>
      <c r="K449" s="39" t="str">
        <f>IFERROR(ödev!V45*100/ödev!$I45,"")</f>
        <v/>
      </c>
      <c r="L449" s="39" t="str">
        <f>IFERROR(ödev!W45*100/ödev!$I45,"")</f>
        <v/>
      </c>
      <c r="M449" s="39" t="str">
        <f>IFERROR(ödev!X45*100/ödev!$I45,"")</f>
        <v/>
      </c>
      <c r="N449" s="39" t="str">
        <f>IFERROR(ödev!Y45*100/ödev!$I45,"")</f>
        <v/>
      </c>
      <c r="O449" s="39" t="str">
        <f>IFERROR(ödev!Z45*100/ödev!$I45,"")</f>
        <v/>
      </c>
      <c r="P449" s="39" t="str">
        <f>IFERROR(ödev!AA45*100/ödev!$I45,"")</f>
        <v/>
      </c>
      <c r="Q449" s="39" t="str">
        <f>IFERROR(ödev!AB45*100/ödev!$I45,"")</f>
        <v/>
      </c>
      <c r="R449" s="39" t="str">
        <f>IFERROR(ödev!AC45*100/ödev!$I45,"")</f>
        <v/>
      </c>
      <c r="S449" s="39" t="str">
        <f>IFERROR(ödev!AD45*100/ödev!$I45,"")</f>
        <v/>
      </c>
      <c r="T449" s="39" t="str">
        <f>IFERROR(ödev!AE45*100/ödev!$I45,"")</f>
        <v/>
      </c>
      <c r="U449" s="39" t="str">
        <f>IFERROR(ödev!AF45*100/ödev!$I45,"")</f>
        <v/>
      </c>
      <c r="V449" s="39" t="str">
        <f>IFERROR(ödev!AG45*100/ödev!$I45,"")</f>
        <v/>
      </c>
      <c r="W449" s="39" t="str">
        <f>IFERROR(ödev!AH45*100/ödev!$I45,"")</f>
        <v/>
      </c>
      <c r="X449" s="39" t="str">
        <f>IFERROR(ödev!AI45*100/ödev!$I45,"")</f>
        <v/>
      </c>
      <c r="Y449" s="39" t="str">
        <f>IFERROR(ödev!AJ45*100/ödev!$I45,"")</f>
        <v/>
      </c>
      <c r="Z449" s="39" t="str">
        <f>IFERROR(ödev!AK45*100/ödev!$I45,"")</f>
        <v/>
      </c>
      <c r="AA449" s="39" t="str">
        <f>IFERROR(ödev!AL45*100/ödev!$I45,"")</f>
        <v/>
      </c>
      <c r="AB449" s="39" t="str">
        <f>IFERROR(ödev!AM45*100/ödev!$I45,"")</f>
        <v/>
      </c>
      <c r="AC449" s="39" t="str">
        <f>IFERROR(ödev!AN45*100/ödev!$I45,"")</f>
        <v/>
      </c>
      <c r="AD449" s="39" t="str">
        <f>IFERROR(ödev!AO45*100/ödev!$I45,"")</f>
        <v/>
      </c>
      <c r="AE449" s="39" t="str">
        <f>IFERROR(ödev!AP45*100/ödev!$I45,"")</f>
        <v/>
      </c>
      <c r="AF449" s="39" t="str">
        <f>IFERROR(ödev!AQ45*100/ödev!$I45,"")</f>
        <v/>
      </c>
      <c r="AG449" s="39" t="str">
        <f>IFERROR(ödev!AR45*100/ödev!$I45,"")</f>
        <v/>
      </c>
      <c r="AH449" s="39" t="str">
        <f>IFERROR(ödev!AS45*100/ödev!$I45,"")</f>
        <v/>
      </c>
      <c r="AI449" s="39" t="str">
        <f>IFERROR(ödev!AT45*100/ödev!$I45,"")</f>
        <v/>
      </c>
      <c r="AJ449" s="39" t="str">
        <f>IFERROR(ödev!AU45*100/ödev!$I45,"")</f>
        <v/>
      </c>
      <c r="AK449" s="39" t="str">
        <f>IFERROR(ödev!AV45*100/ödev!$I45,"")</f>
        <v/>
      </c>
      <c r="AL449" s="39" t="str">
        <f>IFERROR(ödev!AW45*100/ödev!$I45,"")</f>
        <v/>
      </c>
      <c r="AM449" s="39" t="str">
        <f>IFERROR(ödev!AX45*100/ödev!$I45,"")</f>
        <v/>
      </c>
      <c r="AN449" s="39" t="str">
        <f>IFERROR(ödev!AY45*100/ödev!$I45,"")</f>
        <v/>
      </c>
      <c r="AO449" s="39" t="str">
        <f>IFERROR(ödev!AZ45*100/ödev!$I45,"")</f>
        <v/>
      </c>
      <c r="AP449" s="39" t="str">
        <f>IFERROR(ödev!BA45*100/ödev!$I45,"")</f>
        <v/>
      </c>
      <c r="AQ449" s="39" t="str">
        <f>IFERROR(ödev!BB45*100/ödev!$I45,"")</f>
        <v/>
      </c>
      <c r="AR449" s="39" t="str">
        <f>IFERROR(ödev!BC45*100/ödev!$I45,"")</f>
        <v/>
      </c>
      <c r="AS449" s="39" t="str">
        <f>IFERROR(ödev!BD45*100/ödev!$I45,"")</f>
        <v/>
      </c>
      <c r="AT449" s="39" t="str">
        <f>IFERROR(ödev!BE45*100/ödev!$I45,"")</f>
        <v/>
      </c>
      <c r="AU449" s="39" t="str">
        <f>IFERROR(ödev!BF45*100/ödev!$I45,"")</f>
        <v/>
      </c>
      <c r="AV449" s="39" t="str">
        <f>IFERROR(ödev!BG45*100/ödev!$I45,"")</f>
        <v/>
      </c>
      <c r="AW449" s="39" t="str">
        <f>IFERROR(ödev!BH45*100/ödev!$I45,"")</f>
        <v/>
      </c>
      <c r="AX449" s="39" t="str">
        <f>IFERROR(ödev!BI45*100/ödev!$I45,"")</f>
        <v/>
      </c>
      <c r="AY449" s="39" t="str">
        <f>IFERROR(ödev!BJ45*100/ödev!$I45,"")</f>
        <v/>
      </c>
      <c r="AZ449" s="39" t="str">
        <f>IFERROR(ödev!BK45*100/ödev!$I45,"")</f>
        <v/>
      </c>
      <c r="BA449" s="39" t="str">
        <f>IFERROR(ödev!BL45*100/ödev!$I45,"")</f>
        <v/>
      </c>
      <c r="BB449" s="39" t="str">
        <f>IFERROR(ödev!BM45*100/ödev!$I45,"")</f>
        <v/>
      </c>
      <c r="BC449" s="39" t="str">
        <f>IFERROR(ödev!BN45*100/ödev!$I45,"")</f>
        <v/>
      </c>
      <c r="BD449" s="39" t="str">
        <f>IFERROR(ödev!BO45*100/ödev!$I45,"")</f>
        <v/>
      </c>
      <c r="BE449" s="39" t="str">
        <f>IFERROR(ödev!BP45*100/ödev!$I45,"")</f>
        <v/>
      </c>
      <c r="BF449" s="39" t="str">
        <f>IFERROR(ödev!BQ45*100/ödev!$I45,"")</f>
        <v/>
      </c>
      <c r="BG449" s="39" t="str">
        <f>IFERROR(ödev!BR45*100/ödev!$I45,"")</f>
        <v/>
      </c>
      <c r="BH449" s="39" t="str">
        <f>IFERROR(ödev!BS45*100/ödev!$I45,"")</f>
        <v/>
      </c>
      <c r="BI449" s="39" t="str">
        <f>IFERROR(ödev!BT45*100/ödev!$I45,"")</f>
        <v/>
      </c>
      <c r="BJ449" s="39" t="str">
        <f>IFERROR(ödev!BU45*100/ödev!$I45,"")</f>
        <v/>
      </c>
      <c r="BK449" s="39" t="str">
        <f>IFERROR(ödev!BV45*100/ödev!$I45,"")</f>
        <v/>
      </c>
      <c r="BL449" s="39" t="str">
        <f>IFERROR(ödev!BW45*100/ödev!$I45,"")</f>
        <v/>
      </c>
      <c r="BM449" s="39" t="str">
        <f>IFERROR(ödev!BX45*100/ödev!$I45,"")</f>
        <v/>
      </c>
      <c r="BN449" s="39" t="str">
        <f>IFERROR(ödev!BY45*100/ödev!$I45,"")</f>
        <v/>
      </c>
      <c r="BO449" s="39" t="str">
        <f>IFERROR(ödev!BZ45*100/ödev!$I45,"")</f>
        <v/>
      </c>
      <c r="BP449" s="39" t="str">
        <f>IFERROR(ödev!CA45*100/ödev!$I45,"")</f>
        <v/>
      </c>
      <c r="BQ449" s="39" t="str">
        <f>IFERROR(ödev!CB45*100/ödev!$I45,"")</f>
        <v/>
      </c>
      <c r="BR449" s="39" t="str">
        <f>IFERROR(ödev!CC45*100/ödev!$I45,"")</f>
        <v/>
      </c>
      <c r="BS449" s="39" t="str">
        <f>IFERROR(ödev!CD45*100/ödev!$I45,"")</f>
        <v/>
      </c>
      <c r="BT449" s="39" t="str">
        <f>IFERROR(ödev!CE45*100/ödev!$I45,"")</f>
        <v/>
      </c>
      <c r="BU449" s="39" t="str">
        <f>IFERROR(ödev!CF45*100/ödev!$I45,"")</f>
        <v/>
      </c>
      <c r="BV449" s="39" t="str">
        <f>IFERROR(ödev!CG45*100/ödev!$I45,"")</f>
        <v/>
      </c>
      <c r="BW449" s="39" t="str">
        <f>IFERROR(ödev!CH45*100/ödev!$I45,"")</f>
        <v/>
      </c>
      <c r="BX449" s="39" t="str">
        <f>IFERROR(ödev!CI45*100/ödev!$I45,"")</f>
        <v/>
      </c>
      <c r="BY449" s="39" t="str">
        <f>IFERROR(ödev!CJ45*100/ödev!$I45,"")</f>
        <v/>
      </c>
      <c r="BZ449" s="39" t="str">
        <f>IFERROR(ödev!CK45*100/ödev!$I45,"")</f>
        <v/>
      </c>
      <c r="CA449" s="39" t="str">
        <f>IFERROR(ödev!CL45*100/ödev!$I45,"")</f>
        <v/>
      </c>
      <c r="CB449" s="39" t="str">
        <f>IFERROR(ödev!CM45*100/ödev!$I45,"")</f>
        <v/>
      </c>
      <c r="CC449" s="39" t="str">
        <f>IFERROR(ödev!CN45*100/ödev!$I45,"")</f>
        <v/>
      </c>
      <c r="CD449" s="39" t="str">
        <f>IFERROR(ödev!CO45*100/ödev!$I45,"")</f>
        <v/>
      </c>
      <c r="CE449" s="39" t="str">
        <f>IFERROR(ödev!CP45*100/ödev!$I45,"")</f>
        <v/>
      </c>
      <c r="CF449" s="39" t="str">
        <f>IFERROR(ödev!CQ45*100/ödev!$I45,"")</f>
        <v/>
      </c>
      <c r="CG449" s="39" t="str">
        <f>IFERROR(ödev!CR45*100/ödev!$I45,"")</f>
        <v/>
      </c>
      <c r="CH449" s="39" t="str">
        <f>IFERROR(ödev!CS45*100/ödev!$I45,"")</f>
        <v/>
      </c>
      <c r="CI449" s="39" t="str">
        <f>IFERROR(ödev!CT45*100/ödev!$I45,"")</f>
        <v/>
      </c>
      <c r="CJ449" s="39" t="str">
        <f>IFERROR(ödev!CU45*100/ödev!$I45,"")</f>
        <v/>
      </c>
      <c r="CK449" s="39" t="str">
        <f>IFERROR(ödev!CV45*100/ödev!$I45,"")</f>
        <v/>
      </c>
      <c r="CL449" s="39" t="str">
        <f>IFERROR(ödev!CW45*100/ödev!$I45,"")</f>
        <v/>
      </c>
      <c r="CM449" s="39" t="str">
        <f>IFERROR(ödev!CX45*100/ödev!$I45,"")</f>
        <v/>
      </c>
      <c r="CN449" s="39" t="str">
        <f>IFERROR(ödev!CY45*100/ödev!$I45,"")</f>
        <v/>
      </c>
      <c r="CO449" s="39" t="str">
        <f>IFERROR(ödev!CZ45*100/ödev!$I45,"")</f>
        <v/>
      </c>
      <c r="CP449" s="39" t="str">
        <f>IFERROR(ödev!DA45*100/ödev!$I45,"")</f>
        <v/>
      </c>
      <c r="CQ449" s="39" t="str">
        <f>IFERROR(ödev!DB45*100/ödev!$I45,"")</f>
        <v/>
      </c>
      <c r="CR449" s="39" t="str">
        <f>IFERROR(ödev!DC45*100/ödev!$I45,"")</f>
        <v/>
      </c>
      <c r="CS449" s="39" t="str">
        <f>IFERROR(ödev!DD45*100/ödev!$I45,"")</f>
        <v/>
      </c>
      <c r="CT449" s="39" t="str">
        <f>IFERROR(ödev!DE45*100/ödev!$I45,"")</f>
        <v/>
      </c>
      <c r="CU449" s="39" t="str">
        <f>IFERROR(ödev!DF45*100/ödev!$I45,"")</f>
        <v/>
      </c>
      <c r="CV449" s="39" t="str">
        <f>IFERROR(ödev!DG45*100/ödev!$I45,"")</f>
        <v/>
      </c>
      <c r="CW449" s="36" t="str">
        <f>IFERROR(SUM(A449:CV449)/ödev!$DH$103,"")</f>
        <v/>
      </c>
      <c r="CX449" s="14" t="str">
        <f>IF(COUNTA(ödev!A45),ödev!A45,"")</f>
        <v/>
      </c>
      <c r="CY449" s="14" t="str">
        <f>IF(COUNTA(ödev!B45),ödev!B45,"")</f>
        <v/>
      </c>
      <c r="CZ449" s="14" t="str">
        <f>IF(COUNTA(ödev!C45),ödev!C45,"")</f>
        <v/>
      </c>
      <c r="DA449" s="14" t="str">
        <f>IF(COUNTA(ödev!D45),ödev!D45,"")</f>
        <v/>
      </c>
      <c r="DB449" s="14" t="str">
        <f>IF(COUNTA(ödev!E45),ödev!E45,"")</f>
        <v/>
      </c>
      <c r="DC449" s="14" t="str">
        <f>IF(COUNTA(ödev!F45),ödev!F45,"")</f>
        <v/>
      </c>
      <c r="DD449" s="14" t="str">
        <f>IF(COUNTA(ödev!G45),ödev!G45,"")</f>
        <v/>
      </c>
      <c r="DE449" s="14" t="str">
        <f>IF(COUNTA(ödev!H45),ödev!H45,"")</f>
        <v/>
      </c>
    </row>
    <row r="450" spans="1:109" x14ac:dyDescent="0.2">
      <c r="A450" s="39" t="str">
        <f>IFERROR(ödev!L46*100/ödev!$I46,"")</f>
        <v/>
      </c>
      <c r="B450" s="39" t="str">
        <f>IFERROR(ödev!M46*100/ödev!$I46,"")</f>
        <v/>
      </c>
      <c r="C450" s="39" t="str">
        <f>IFERROR(ödev!N46*100/ödev!$I46,"")</f>
        <v/>
      </c>
      <c r="D450" s="39" t="str">
        <f>IFERROR(ödev!O46*100/ödev!$I46,"")</f>
        <v/>
      </c>
      <c r="E450" s="39" t="str">
        <f>IFERROR(ödev!P46*100/ödev!$I46,"")</f>
        <v/>
      </c>
      <c r="F450" s="39" t="str">
        <f>IFERROR(ödev!Q46*100/ödev!$I46,"")</f>
        <v/>
      </c>
      <c r="G450" s="39" t="str">
        <f>IFERROR(ödev!R46*100/ödev!$I46,"")</f>
        <v/>
      </c>
      <c r="H450" s="39" t="str">
        <f>IFERROR(ödev!S46*100/ödev!$I46,"")</f>
        <v/>
      </c>
      <c r="I450" s="39" t="str">
        <f>IFERROR(ödev!T46*100/ödev!$I46,"")</f>
        <v/>
      </c>
      <c r="J450" s="39" t="str">
        <f>IFERROR(ödev!U46*100/ödev!$I46,"")</f>
        <v/>
      </c>
      <c r="K450" s="39" t="str">
        <f>IFERROR(ödev!V46*100/ödev!$I46,"")</f>
        <v/>
      </c>
      <c r="L450" s="39" t="str">
        <f>IFERROR(ödev!W46*100/ödev!$I46,"")</f>
        <v/>
      </c>
      <c r="M450" s="39" t="str">
        <f>IFERROR(ödev!X46*100/ödev!$I46,"")</f>
        <v/>
      </c>
      <c r="N450" s="39" t="str">
        <f>IFERROR(ödev!Y46*100/ödev!$I46,"")</f>
        <v/>
      </c>
      <c r="O450" s="39" t="str">
        <f>IFERROR(ödev!Z46*100/ödev!$I46,"")</f>
        <v/>
      </c>
      <c r="P450" s="39" t="str">
        <f>IFERROR(ödev!AA46*100/ödev!$I46,"")</f>
        <v/>
      </c>
      <c r="Q450" s="39" t="str">
        <f>IFERROR(ödev!AB46*100/ödev!$I46,"")</f>
        <v/>
      </c>
      <c r="R450" s="39" t="str">
        <f>IFERROR(ödev!AC46*100/ödev!$I46,"")</f>
        <v/>
      </c>
      <c r="S450" s="39" t="str">
        <f>IFERROR(ödev!AD46*100/ödev!$I46,"")</f>
        <v/>
      </c>
      <c r="T450" s="39" t="str">
        <f>IFERROR(ödev!AE46*100/ödev!$I46,"")</f>
        <v/>
      </c>
      <c r="U450" s="39" t="str">
        <f>IFERROR(ödev!AF46*100/ödev!$I46,"")</f>
        <v/>
      </c>
      <c r="V450" s="39" t="str">
        <f>IFERROR(ödev!AG46*100/ödev!$I46,"")</f>
        <v/>
      </c>
      <c r="W450" s="39" t="str">
        <f>IFERROR(ödev!AH46*100/ödev!$I46,"")</f>
        <v/>
      </c>
      <c r="X450" s="39" t="str">
        <f>IFERROR(ödev!AI46*100/ödev!$I46,"")</f>
        <v/>
      </c>
      <c r="Y450" s="39" t="str">
        <f>IFERROR(ödev!AJ46*100/ödev!$I46,"")</f>
        <v/>
      </c>
      <c r="Z450" s="39" t="str">
        <f>IFERROR(ödev!AK46*100/ödev!$I46,"")</f>
        <v/>
      </c>
      <c r="AA450" s="39" t="str">
        <f>IFERROR(ödev!AL46*100/ödev!$I46,"")</f>
        <v/>
      </c>
      <c r="AB450" s="39" t="str">
        <f>IFERROR(ödev!AM46*100/ödev!$I46,"")</f>
        <v/>
      </c>
      <c r="AC450" s="39" t="str">
        <f>IFERROR(ödev!AN46*100/ödev!$I46,"")</f>
        <v/>
      </c>
      <c r="AD450" s="39" t="str">
        <f>IFERROR(ödev!AO46*100/ödev!$I46,"")</f>
        <v/>
      </c>
      <c r="AE450" s="39" t="str">
        <f>IFERROR(ödev!AP46*100/ödev!$I46,"")</f>
        <v/>
      </c>
      <c r="AF450" s="39" t="str">
        <f>IFERROR(ödev!AQ46*100/ödev!$I46,"")</f>
        <v/>
      </c>
      <c r="AG450" s="39" t="str">
        <f>IFERROR(ödev!AR46*100/ödev!$I46,"")</f>
        <v/>
      </c>
      <c r="AH450" s="39" t="str">
        <f>IFERROR(ödev!AS46*100/ödev!$I46,"")</f>
        <v/>
      </c>
      <c r="AI450" s="39" t="str">
        <f>IFERROR(ödev!AT46*100/ödev!$I46,"")</f>
        <v/>
      </c>
      <c r="AJ450" s="39" t="str">
        <f>IFERROR(ödev!AU46*100/ödev!$I46,"")</f>
        <v/>
      </c>
      <c r="AK450" s="39" t="str">
        <f>IFERROR(ödev!AV46*100/ödev!$I46,"")</f>
        <v/>
      </c>
      <c r="AL450" s="39" t="str">
        <f>IFERROR(ödev!AW46*100/ödev!$I46,"")</f>
        <v/>
      </c>
      <c r="AM450" s="39" t="str">
        <f>IFERROR(ödev!AX46*100/ödev!$I46,"")</f>
        <v/>
      </c>
      <c r="AN450" s="39" t="str">
        <f>IFERROR(ödev!AY46*100/ödev!$I46,"")</f>
        <v/>
      </c>
      <c r="AO450" s="39" t="str">
        <f>IFERROR(ödev!AZ46*100/ödev!$I46,"")</f>
        <v/>
      </c>
      <c r="AP450" s="39" t="str">
        <f>IFERROR(ödev!BA46*100/ödev!$I46,"")</f>
        <v/>
      </c>
      <c r="AQ450" s="39" t="str">
        <f>IFERROR(ödev!BB46*100/ödev!$I46,"")</f>
        <v/>
      </c>
      <c r="AR450" s="39" t="str">
        <f>IFERROR(ödev!BC46*100/ödev!$I46,"")</f>
        <v/>
      </c>
      <c r="AS450" s="39" t="str">
        <f>IFERROR(ödev!BD46*100/ödev!$I46,"")</f>
        <v/>
      </c>
      <c r="AT450" s="39" t="str">
        <f>IFERROR(ödev!BE46*100/ödev!$I46,"")</f>
        <v/>
      </c>
      <c r="AU450" s="39" t="str">
        <f>IFERROR(ödev!BF46*100/ödev!$I46,"")</f>
        <v/>
      </c>
      <c r="AV450" s="39" t="str">
        <f>IFERROR(ödev!BG46*100/ödev!$I46,"")</f>
        <v/>
      </c>
      <c r="AW450" s="39" t="str">
        <f>IFERROR(ödev!BH46*100/ödev!$I46,"")</f>
        <v/>
      </c>
      <c r="AX450" s="39" t="str">
        <f>IFERROR(ödev!BI46*100/ödev!$I46,"")</f>
        <v/>
      </c>
      <c r="AY450" s="39" t="str">
        <f>IFERROR(ödev!BJ46*100/ödev!$I46,"")</f>
        <v/>
      </c>
      <c r="AZ450" s="39" t="str">
        <f>IFERROR(ödev!BK46*100/ödev!$I46,"")</f>
        <v/>
      </c>
      <c r="BA450" s="39" t="str">
        <f>IFERROR(ödev!BL46*100/ödev!$I46,"")</f>
        <v/>
      </c>
      <c r="BB450" s="39" t="str">
        <f>IFERROR(ödev!BM46*100/ödev!$I46,"")</f>
        <v/>
      </c>
      <c r="BC450" s="39" t="str">
        <f>IFERROR(ödev!BN46*100/ödev!$I46,"")</f>
        <v/>
      </c>
      <c r="BD450" s="39" t="str">
        <f>IFERROR(ödev!BO46*100/ödev!$I46,"")</f>
        <v/>
      </c>
      <c r="BE450" s="39" t="str">
        <f>IFERROR(ödev!BP46*100/ödev!$I46,"")</f>
        <v/>
      </c>
      <c r="BF450" s="39" t="str">
        <f>IFERROR(ödev!BQ46*100/ödev!$I46,"")</f>
        <v/>
      </c>
      <c r="BG450" s="39" t="str">
        <f>IFERROR(ödev!BR46*100/ödev!$I46,"")</f>
        <v/>
      </c>
      <c r="BH450" s="39" t="str">
        <f>IFERROR(ödev!BS46*100/ödev!$I46,"")</f>
        <v/>
      </c>
      <c r="BI450" s="39" t="str">
        <f>IFERROR(ödev!BT46*100/ödev!$I46,"")</f>
        <v/>
      </c>
      <c r="BJ450" s="39" t="str">
        <f>IFERROR(ödev!BU46*100/ödev!$I46,"")</f>
        <v/>
      </c>
      <c r="BK450" s="39" t="str">
        <f>IFERROR(ödev!BV46*100/ödev!$I46,"")</f>
        <v/>
      </c>
      <c r="BL450" s="39" t="str">
        <f>IFERROR(ödev!BW46*100/ödev!$I46,"")</f>
        <v/>
      </c>
      <c r="BM450" s="39" t="str">
        <f>IFERROR(ödev!BX46*100/ödev!$I46,"")</f>
        <v/>
      </c>
      <c r="BN450" s="39" t="str">
        <f>IFERROR(ödev!BY46*100/ödev!$I46,"")</f>
        <v/>
      </c>
      <c r="BO450" s="39" t="str">
        <f>IFERROR(ödev!BZ46*100/ödev!$I46,"")</f>
        <v/>
      </c>
      <c r="BP450" s="39" t="str">
        <f>IFERROR(ödev!CA46*100/ödev!$I46,"")</f>
        <v/>
      </c>
      <c r="BQ450" s="39" t="str">
        <f>IFERROR(ödev!CB46*100/ödev!$I46,"")</f>
        <v/>
      </c>
      <c r="BR450" s="39" t="str">
        <f>IFERROR(ödev!CC46*100/ödev!$I46,"")</f>
        <v/>
      </c>
      <c r="BS450" s="39" t="str">
        <f>IFERROR(ödev!CD46*100/ödev!$I46,"")</f>
        <v/>
      </c>
      <c r="BT450" s="39" t="str">
        <f>IFERROR(ödev!CE46*100/ödev!$I46,"")</f>
        <v/>
      </c>
      <c r="BU450" s="39" t="str">
        <f>IFERROR(ödev!CF46*100/ödev!$I46,"")</f>
        <v/>
      </c>
      <c r="BV450" s="39" t="str">
        <f>IFERROR(ödev!CG46*100/ödev!$I46,"")</f>
        <v/>
      </c>
      <c r="BW450" s="39" t="str">
        <f>IFERROR(ödev!CH46*100/ödev!$I46,"")</f>
        <v/>
      </c>
      <c r="BX450" s="39" t="str">
        <f>IFERROR(ödev!CI46*100/ödev!$I46,"")</f>
        <v/>
      </c>
      <c r="BY450" s="39" t="str">
        <f>IFERROR(ödev!CJ46*100/ödev!$I46,"")</f>
        <v/>
      </c>
      <c r="BZ450" s="39" t="str">
        <f>IFERROR(ödev!CK46*100/ödev!$I46,"")</f>
        <v/>
      </c>
      <c r="CA450" s="39" t="str">
        <f>IFERROR(ödev!CL46*100/ödev!$I46,"")</f>
        <v/>
      </c>
      <c r="CB450" s="39" t="str">
        <f>IFERROR(ödev!CM46*100/ödev!$I46,"")</f>
        <v/>
      </c>
      <c r="CC450" s="39" t="str">
        <f>IFERROR(ödev!CN46*100/ödev!$I46,"")</f>
        <v/>
      </c>
      <c r="CD450" s="39" t="str">
        <f>IFERROR(ödev!CO46*100/ödev!$I46,"")</f>
        <v/>
      </c>
      <c r="CE450" s="39" t="str">
        <f>IFERROR(ödev!CP46*100/ödev!$I46,"")</f>
        <v/>
      </c>
      <c r="CF450" s="39" t="str">
        <f>IFERROR(ödev!CQ46*100/ödev!$I46,"")</f>
        <v/>
      </c>
      <c r="CG450" s="39" t="str">
        <f>IFERROR(ödev!CR46*100/ödev!$I46,"")</f>
        <v/>
      </c>
      <c r="CH450" s="39" t="str">
        <f>IFERROR(ödev!CS46*100/ödev!$I46,"")</f>
        <v/>
      </c>
      <c r="CI450" s="39" t="str">
        <f>IFERROR(ödev!CT46*100/ödev!$I46,"")</f>
        <v/>
      </c>
      <c r="CJ450" s="39" t="str">
        <f>IFERROR(ödev!CU46*100/ödev!$I46,"")</f>
        <v/>
      </c>
      <c r="CK450" s="39" t="str">
        <f>IFERROR(ödev!CV46*100/ödev!$I46,"")</f>
        <v/>
      </c>
      <c r="CL450" s="39" t="str">
        <f>IFERROR(ödev!CW46*100/ödev!$I46,"")</f>
        <v/>
      </c>
      <c r="CM450" s="39" t="str">
        <f>IFERROR(ödev!CX46*100/ödev!$I46,"")</f>
        <v/>
      </c>
      <c r="CN450" s="39" t="str">
        <f>IFERROR(ödev!CY46*100/ödev!$I46,"")</f>
        <v/>
      </c>
      <c r="CO450" s="39" t="str">
        <f>IFERROR(ödev!CZ46*100/ödev!$I46,"")</f>
        <v/>
      </c>
      <c r="CP450" s="39" t="str">
        <f>IFERROR(ödev!DA46*100/ödev!$I46,"")</f>
        <v/>
      </c>
      <c r="CQ450" s="39" t="str">
        <f>IFERROR(ödev!DB46*100/ödev!$I46,"")</f>
        <v/>
      </c>
      <c r="CR450" s="39" t="str">
        <f>IFERROR(ödev!DC46*100/ödev!$I46,"")</f>
        <v/>
      </c>
      <c r="CS450" s="39" t="str">
        <f>IFERROR(ödev!DD46*100/ödev!$I46,"")</f>
        <v/>
      </c>
      <c r="CT450" s="39" t="str">
        <f>IFERROR(ödev!DE46*100/ödev!$I46,"")</f>
        <v/>
      </c>
      <c r="CU450" s="39" t="str">
        <f>IFERROR(ödev!DF46*100/ödev!$I46,"")</f>
        <v/>
      </c>
      <c r="CV450" s="39" t="str">
        <f>IFERROR(ödev!DG46*100/ödev!$I46,"")</f>
        <v/>
      </c>
      <c r="CW450" s="36" t="str">
        <f>IFERROR(SUM(A450:CV450)/ödev!$DH$103,"")</f>
        <v/>
      </c>
      <c r="CX450" s="14" t="str">
        <f>IF(COUNTA(ödev!A46),ödev!A46,"")</f>
        <v/>
      </c>
      <c r="CY450" s="14" t="str">
        <f>IF(COUNTA(ödev!B46),ödev!B46,"")</f>
        <v/>
      </c>
      <c r="CZ450" s="14" t="str">
        <f>IF(COUNTA(ödev!C46),ödev!C46,"")</f>
        <v/>
      </c>
      <c r="DA450" s="14" t="str">
        <f>IF(COUNTA(ödev!D46),ödev!D46,"")</f>
        <v/>
      </c>
      <c r="DB450" s="14" t="str">
        <f>IF(COUNTA(ödev!E46),ödev!E46,"")</f>
        <v/>
      </c>
      <c r="DC450" s="14" t="str">
        <f>IF(COUNTA(ödev!F46),ödev!F46,"")</f>
        <v/>
      </c>
      <c r="DD450" s="14" t="str">
        <f>IF(COUNTA(ödev!G46),ödev!G46,"")</f>
        <v/>
      </c>
      <c r="DE450" s="14" t="str">
        <f>IF(COUNTA(ödev!H46),ödev!H46,"")</f>
        <v/>
      </c>
    </row>
    <row r="451" spans="1:109" x14ac:dyDescent="0.2">
      <c r="A451" s="39" t="str">
        <f>IFERROR(ödev!L47*100/ödev!$I47,"")</f>
        <v/>
      </c>
      <c r="B451" s="39" t="str">
        <f>IFERROR(ödev!M47*100/ödev!$I47,"")</f>
        <v/>
      </c>
      <c r="C451" s="39" t="str">
        <f>IFERROR(ödev!N47*100/ödev!$I47,"")</f>
        <v/>
      </c>
      <c r="D451" s="39" t="str">
        <f>IFERROR(ödev!O47*100/ödev!$I47,"")</f>
        <v/>
      </c>
      <c r="E451" s="39" t="str">
        <f>IFERROR(ödev!P47*100/ödev!$I47,"")</f>
        <v/>
      </c>
      <c r="F451" s="39" t="str">
        <f>IFERROR(ödev!Q47*100/ödev!$I47,"")</f>
        <v/>
      </c>
      <c r="G451" s="39" t="str">
        <f>IFERROR(ödev!R47*100/ödev!$I47,"")</f>
        <v/>
      </c>
      <c r="H451" s="39" t="str">
        <f>IFERROR(ödev!S47*100/ödev!$I47,"")</f>
        <v/>
      </c>
      <c r="I451" s="39" t="str">
        <f>IFERROR(ödev!T47*100/ödev!$I47,"")</f>
        <v/>
      </c>
      <c r="J451" s="39" t="str">
        <f>IFERROR(ödev!U47*100/ödev!$I47,"")</f>
        <v/>
      </c>
      <c r="K451" s="39" t="str">
        <f>IFERROR(ödev!V47*100/ödev!$I47,"")</f>
        <v/>
      </c>
      <c r="L451" s="39" t="str">
        <f>IFERROR(ödev!W47*100/ödev!$I47,"")</f>
        <v/>
      </c>
      <c r="M451" s="39" t="str">
        <f>IFERROR(ödev!X47*100/ödev!$I47,"")</f>
        <v/>
      </c>
      <c r="N451" s="39" t="str">
        <f>IFERROR(ödev!Y47*100/ödev!$I47,"")</f>
        <v/>
      </c>
      <c r="O451" s="39" t="str">
        <f>IFERROR(ödev!Z47*100/ödev!$I47,"")</f>
        <v/>
      </c>
      <c r="P451" s="39" t="str">
        <f>IFERROR(ödev!AA47*100/ödev!$I47,"")</f>
        <v/>
      </c>
      <c r="Q451" s="39" t="str">
        <f>IFERROR(ödev!AB47*100/ödev!$I47,"")</f>
        <v/>
      </c>
      <c r="R451" s="39" t="str">
        <f>IFERROR(ödev!AC47*100/ödev!$I47,"")</f>
        <v/>
      </c>
      <c r="S451" s="39" t="str">
        <f>IFERROR(ödev!AD47*100/ödev!$I47,"")</f>
        <v/>
      </c>
      <c r="T451" s="39" t="str">
        <f>IFERROR(ödev!AE47*100/ödev!$I47,"")</f>
        <v/>
      </c>
      <c r="U451" s="39" t="str">
        <f>IFERROR(ödev!AF47*100/ödev!$I47,"")</f>
        <v/>
      </c>
      <c r="V451" s="39" t="str">
        <f>IFERROR(ödev!AG47*100/ödev!$I47,"")</f>
        <v/>
      </c>
      <c r="W451" s="39" t="str">
        <f>IFERROR(ödev!AH47*100/ödev!$I47,"")</f>
        <v/>
      </c>
      <c r="X451" s="39" t="str">
        <f>IFERROR(ödev!AI47*100/ödev!$I47,"")</f>
        <v/>
      </c>
      <c r="Y451" s="39" t="str">
        <f>IFERROR(ödev!AJ47*100/ödev!$I47,"")</f>
        <v/>
      </c>
      <c r="Z451" s="39" t="str">
        <f>IFERROR(ödev!AK47*100/ödev!$I47,"")</f>
        <v/>
      </c>
      <c r="AA451" s="39" t="str">
        <f>IFERROR(ödev!AL47*100/ödev!$I47,"")</f>
        <v/>
      </c>
      <c r="AB451" s="39" t="str">
        <f>IFERROR(ödev!AM47*100/ödev!$I47,"")</f>
        <v/>
      </c>
      <c r="AC451" s="39" t="str">
        <f>IFERROR(ödev!AN47*100/ödev!$I47,"")</f>
        <v/>
      </c>
      <c r="AD451" s="39" t="str">
        <f>IFERROR(ödev!AO47*100/ödev!$I47,"")</f>
        <v/>
      </c>
      <c r="AE451" s="39" t="str">
        <f>IFERROR(ödev!AP47*100/ödev!$I47,"")</f>
        <v/>
      </c>
      <c r="AF451" s="39" t="str">
        <f>IFERROR(ödev!AQ47*100/ödev!$I47,"")</f>
        <v/>
      </c>
      <c r="AG451" s="39" t="str">
        <f>IFERROR(ödev!AR47*100/ödev!$I47,"")</f>
        <v/>
      </c>
      <c r="AH451" s="39" t="str">
        <f>IFERROR(ödev!AS47*100/ödev!$I47,"")</f>
        <v/>
      </c>
      <c r="AI451" s="39" t="str">
        <f>IFERROR(ödev!AT47*100/ödev!$I47,"")</f>
        <v/>
      </c>
      <c r="AJ451" s="39" t="str">
        <f>IFERROR(ödev!AU47*100/ödev!$I47,"")</f>
        <v/>
      </c>
      <c r="AK451" s="39" t="str">
        <f>IFERROR(ödev!AV47*100/ödev!$I47,"")</f>
        <v/>
      </c>
      <c r="AL451" s="39" t="str">
        <f>IFERROR(ödev!AW47*100/ödev!$I47,"")</f>
        <v/>
      </c>
      <c r="AM451" s="39" t="str">
        <f>IFERROR(ödev!AX47*100/ödev!$I47,"")</f>
        <v/>
      </c>
      <c r="AN451" s="39" t="str">
        <f>IFERROR(ödev!AY47*100/ödev!$I47,"")</f>
        <v/>
      </c>
      <c r="AO451" s="39" t="str">
        <f>IFERROR(ödev!AZ47*100/ödev!$I47,"")</f>
        <v/>
      </c>
      <c r="AP451" s="39" t="str">
        <f>IFERROR(ödev!BA47*100/ödev!$I47,"")</f>
        <v/>
      </c>
      <c r="AQ451" s="39" t="str">
        <f>IFERROR(ödev!BB47*100/ödev!$I47,"")</f>
        <v/>
      </c>
      <c r="AR451" s="39" t="str">
        <f>IFERROR(ödev!BC47*100/ödev!$I47,"")</f>
        <v/>
      </c>
      <c r="AS451" s="39" t="str">
        <f>IFERROR(ödev!BD47*100/ödev!$I47,"")</f>
        <v/>
      </c>
      <c r="AT451" s="39" t="str">
        <f>IFERROR(ödev!BE47*100/ödev!$I47,"")</f>
        <v/>
      </c>
      <c r="AU451" s="39" t="str">
        <f>IFERROR(ödev!BF47*100/ödev!$I47,"")</f>
        <v/>
      </c>
      <c r="AV451" s="39" t="str">
        <f>IFERROR(ödev!BG47*100/ödev!$I47,"")</f>
        <v/>
      </c>
      <c r="AW451" s="39" t="str">
        <f>IFERROR(ödev!BH47*100/ödev!$I47,"")</f>
        <v/>
      </c>
      <c r="AX451" s="39" t="str">
        <f>IFERROR(ödev!BI47*100/ödev!$I47,"")</f>
        <v/>
      </c>
      <c r="AY451" s="39" t="str">
        <f>IFERROR(ödev!BJ47*100/ödev!$I47,"")</f>
        <v/>
      </c>
      <c r="AZ451" s="39" t="str">
        <f>IFERROR(ödev!BK47*100/ödev!$I47,"")</f>
        <v/>
      </c>
      <c r="BA451" s="39" t="str">
        <f>IFERROR(ödev!BL47*100/ödev!$I47,"")</f>
        <v/>
      </c>
      <c r="BB451" s="39" t="str">
        <f>IFERROR(ödev!BM47*100/ödev!$I47,"")</f>
        <v/>
      </c>
      <c r="BC451" s="39" t="str">
        <f>IFERROR(ödev!BN47*100/ödev!$I47,"")</f>
        <v/>
      </c>
      <c r="BD451" s="39" t="str">
        <f>IFERROR(ödev!BO47*100/ödev!$I47,"")</f>
        <v/>
      </c>
      <c r="BE451" s="39" t="str">
        <f>IFERROR(ödev!BP47*100/ödev!$I47,"")</f>
        <v/>
      </c>
      <c r="BF451" s="39" t="str">
        <f>IFERROR(ödev!BQ47*100/ödev!$I47,"")</f>
        <v/>
      </c>
      <c r="BG451" s="39" t="str">
        <f>IFERROR(ödev!BR47*100/ödev!$I47,"")</f>
        <v/>
      </c>
      <c r="BH451" s="39" t="str">
        <f>IFERROR(ödev!BS47*100/ödev!$I47,"")</f>
        <v/>
      </c>
      <c r="BI451" s="39" t="str">
        <f>IFERROR(ödev!BT47*100/ödev!$I47,"")</f>
        <v/>
      </c>
      <c r="BJ451" s="39" t="str">
        <f>IFERROR(ödev!BU47*100/ödev!$I47,"")</f>
        <v/>
      </c>
      <c r="BK451" s="39" t="str">
        <f>IFERROR(ödev!BV47*100/ödev!$I47,"")</f>
        <v/>
      </c>
      <c r="BL451" s="39" t="str">
        <f>IFERROR(ödev!BW47*100/ödev!$I47,"")</f>
        <v/>
      </c>
      <c r="BM451" s="39" t="str">
        <f>IFERROR(ödev!BX47*100/ödev!$I47,"")</f>
        <v/>
      </c>
      <c r="BN451" s="39" t="str">
        <f>IFERROR(ödev!BY47*100/ödev!$I47,"")</f>
        <v/>
      </c>
      <c r="BO451" s="39" t="str">
        <f>IFERROR(ödev!BZ47*100/ödev!$I47,"")</f>
        <v/>
      </c>
      <c r="BP451" s="39" t="str">
        <f>IFERROR(ödev!CA47*100/ödev!$I47,"")</f>
        <v/>
      </c>
      <c r="BQ451" s="39" t="str">
        <f>IFERROR(ödev!CB47*100/ödev!$I47,"")</f>
        <v/>
      </c>
      <c r="BR451" s="39" t="str">
        <f>IFERROR(ödev!CC47*100/ödev!$I47,"")</f>
        <v/>
      </c>
      <c r="BS451" s="39" t="str">
        <f>IFERROR(ödev!CD47*100/ödev!$I47,"")</f>
        <v/>
      </c>
      <c r="BT451" s="39" t="str">
        <f>IFERROR(ödev!CE47*100/ödev!$I47,"")</f>
        <v/>
      </c>
      <c r="BU451" s="39" t="str">
        <f>IFERROR(ödev!CF47*100/ödev!$I47,"")</f>
        <v/>
      </c>
      <c r="BV451" s="39" t="str">
        <f>IFERROR(ödev!CG47*100/ödev!$I47,"")</f>
        <v/>
      </c>
      <c r="BW451" s="39" t="str">
        <f>IFERROR(ödev!CH47*100/ödev!$I47,"")</f>
        <v/>
      </c>
      <c r="BX451" s="39" t="str">
        <f>IFERROR(ödev!CI47*100/ödev!$I47,"")</f>
        <v/>
      </c>
      <c r="BY451" s="39" t="str">
        <f>IFERROR(ödev!CJ47*100/ödev!$I47,"")</f>
        <v/>
      </c>
      <c r="BZ451" s="39" t="str">
        <f>IFERROR(ödev!CK47*100/ödev!$I47,"")</f>
        <v/>
      </c>
      <c r="CA451" s="39" t="str">
        <f>IFERROR(ödev!CL47*100/ödev!$I47,"")</f>
        <v/>
      </c>
      <c r="CB451" s="39" t="str">
        <f>IFERROR(ödev!CM47*100/ödev!$I47,"")</f>
        <v/>
      </c>
      <c r="CC451" s="39" t="str">
        <f>IFERROR(ödev!CN47*100/ödev!$I47,"")</f>
        <v/>
      </c>
      <c r="CD451" s="39" t="str">
        <f>IFERROR(ödev!CO47*100/ödev!$I47,"")</f>
        <v/>
      </c>
      <c r="CE451" s="39" t="str">
        <f>IFERROR(ödev!CP47*100/ödev!$I47,"")</f>
        <v/>
      </c>
      <c r="CF451" s="39" t="str">
        <f>IFERROR(ödev!CQ47*100/ödev!$I47,"")</f>
        <v/>
      </c>
      <c r="CG451" s="39" t="str">
        <f>IFERROR(ödev!CR47*100/ödev!$I47,"")</f>
        <v/>
      </c>
      <c r="CH451" s="39" t="str">
        <f>IFERROR(ödev!CS47*100/ödev!$I47,"")</f>
        <v/>
      </c>
      <c r="CI451" s="39" t="str">
        <f>IFERROR(ödev!CT47*100/ödev!$I47,"")</f>
        <v/>
      </c>
      <c r="CJ451" s="39" t="str">
        <f>IFERROR(ödev!CU47*100/ödev!$I47,"")</f>
        <v/>
      </c>
      <c r="CK451" s="39" t="str">
        <f>IFERROR(ödev!CV47*100/ödev!$I47,"")</f>
        <v/>
      </c>
      <c r="CL451" s="39" t="str">
        <f>IFERROR(ödev!CW47*100/ödev!$I47,"")</f>
        <v/>
      </c>
      <c r="CM451" s="39" t="str">
        <f>IFERROR(ödev!CX47*100/ödev!$I47,"")</f>
        <v/>
      </c>
      <c r="CN451" s="39" t="str">
        <f>IFERROR(ödev!CY47*100/ödev!$I47,"")</f>
        <v/>
      </c>
      <c r="CO451" s="39" t="str">
        <f>IFERROR(ödev!CZ47*100/ödev!$I47,"")</f>
        <v/>
      </c>
      <c r="CP451" s="39" t="str">
        <f>IFERROR(ödev!DA47*100/ödev!$I47,"")</f>
        <v/>
      </c>
      <c r="CQ451" s="39" t="str">
        <f>IFERROR(ödev!DB47*100/ödev!$I47,"")</f>
        <v/>
      </c>
      <c r="CR451" s="39" t="str">
        <f>IFERROR(ödev!DC47*100/ödev!$I47,"")</f>
        <v/>
      </c>
      <c r="CS451" s="39" t="str">
        <f>IFERROR(ödev!DD47*100/ödev!$I47,"")</f>
        <v/>
      </c>
      <c r="CT451" s="39" t="str">
        <f>IFERROR(ödev!DE47*100/ödev!$I47,"")</f>
        <v/>
      </c>
      <c r="CU451" s="39" t="str">
        <f>IFERROR(ödev!DF47*100/ödev!$I47,"")</f>
        <v/>
      </c>
      <c r="CV451" s="39" t="str">
        <f>IFERROR(ödev!DG47*100/ödev!$I47,"")</f>
        <v/>
      </c>
      <c r="CW451" s="36" t="str">
        <f>IFERROR(SUM(A451:CV451)/ödev!$DH$103,"")</f>
        <v/>
      </c>
      <c r="CX451" s="14" t="str">
        <f>IF(COUNTA(ödev!A47),ödev!A47,"")</f>
        <v/>
      </c>
      <c r="CY451" s="14" t="str">
        <f>IF(COUNTA(ödev!B47),ödev!B47,"")</f>
        <v/>
      </c>
      <c r="CZ451" s="14" t="str">
        <f>IF(COUNTA(ödev!C47),ödev!C47,"")</f>
        <v/>
      </c>
      <c r="DA451" s="14" t="str">
        <f>IF(COUNTA(ödev!D47),ödev!D47,"")</f>
        <v/>
      </c>
      <c r="DB451" s="14" t="str">
        <f>IF(COUNTA(ödev!E47),ödev!E47,"")</f>
        <v/>
      </c>
      <c r="DC451" s="14" t="str">
        <f>IF(COUNTA(ödev!F47),ödev!F47,"")</f>
        <v/>
      </c>
      <c r="DD451" s="14" t="str">
        <f>IF(COUNTA(ödev!G47),ödev!G47,"")</f>
        <v/>
      </c>
      <c r="DE451" s="14" t="str">
        <f>IF(COUNTA(ödev!H47),ödev!H47,"")</f>
        <v/>
      </c>
    </row>
    <row r="452" spans="1:109" x14ac:dyDescent="0.2">
      <c r="A452" s="39" t="str">
        <f>IFERROR(ödev!L48*100/ödev!$I48,"")</f>
        <v/>
      </c>
      <c r="B452" s="39" t="str">
        <f>IFERROR(ödev!M48*100/ödev!$I48,"")</f>
        <v/>
      </c>
      <c r="C452" s="39" t="str">
        <f>IFERROR(ödev!N48*100/ödev!$I48,"")</f>
        <v/>
      </c>
      <c r="D452" s="39" t="str">
        <f>IFERROR(ödev!O48*100/ödev!$I48,"")</f>
        <v/>
      </c>
      <c r="E452" s="39" t="str">
        <f>IFERROR(ödev!P48*100/ödev!$I48,"")</f>
        <v/>
      </c>
      <c r="F452" s="39" t="str">
        <f>IFERROR(ödev!Q48*100/ödev!$I48,"")</f>
        <v/>
      </c>
      <c r="G452" s="39" t="str">
        <f>IFERROR(ödev!R48*100/ödev!$I48,"")</f>
        <v/>
      </c>
      <c r="H452" s="39" t="str">
        <f>IFERROR(ödev!S48*100/ödev!$I48,"")</f>
        <v/>
      </c>
      <c r="I452" s="39" t="str">
        <f>IFERROR(ödev!T48*100/ödev!$I48,"")</f>
        <v/>
      </c>
      <c r="J452" s="39" t="str">
        <f>IFERROR(ödev!U48*100/ödev!$I48,"")</f>
        <v/>
      </c>
      <c r="K452" s="39" t="str">
        <f>IFERROR(ödev!V48*100/ödev!$I48,"")</f>
        <v/>
      </c>
      <c r="L452" s="39" t="str">
        <f>IFERROR(ödev!W48*100/ödev!$I48,"")</f>
        <v/>
      </c>
      <c r="M452" s="39" t="str">
        <f>IFERROR(ödev!X48*100/ödev!$I48,"")</f>
        <v/>
      </c>
      <c r="N452" s="39" t="str">
        <f>IFERROR(ödev!Y48*100/ödev!$I48,"")</f>
        <v/>
      </c>
      <c r="O452" s="39" t="str">
        <f>IFERROR(ödev!Z48*100/ödev!$I48,"")</f>
        <v/>
      </c>
      <c r="P452" s="39" t="str">
        <f>IFERROR(ödev!AA48*100/ödev!$I48,"")</f>
        <v/>
      </c>
      <c r="Q452" s="39" t="str">
        <f>IFERROR(ödev!AB48*100/ödev!$I48,"")</f>
        <v/>
      </c>
      <c r="R452" s="39" t="str">
        <f>IFERROR(ödev!AC48*100/ödev!$I48,"")</f>
        <v/>
      </c>
      <c r="S452" s="39" t="str">
        <f>IFERROR(ödev!AD48*100/ödev!$I48,"")</f>
        <v/>
      </c>
      <c r="T452" s="39" t="str">
        <f>IFERROR(ödev!AE48*100/ödev!$I48,"")</f>
        <v/>
      </c>
      <c r="U452" s="39" t="str">
        <f>IFERROR(ödev!AF48*100/ödev!$I48,"")</f>
        <v/>
      </c>
      <c r="V452" s="39" t="str">
        <f>IFERROR(ödev!AG48*100/ödev!$I48,"")</f>
        <v/>
      </c>
      <c r="W452" s="39" t="str">
        <f>IFERROR(ödev!AH48*100/ödev!$I48,"")</f>
        <v/>
      </c>
      <c r="X452" s="39" t="str">
        <f>IFERROR(ödev!AI48*100/ödev!$I48,"")</f>
        <v/>
      </c>
      <c r="Y452" s="39" t="str">
        <f>IFERROR(ödev!AJ48*100/ödev!$I48,"")</f>
        <v/>
      </c>
      <c r="Z452" s="39" t="str">
        <f>IFERROR(ödev!AK48*100/ödev!$I48,"")</f>
        <v/>
      </c>
      <c r="AA452" s="39" t="str">
        <f>IFERROR(ödev!AL48*100/ödev!$I48,"")</f>
        <v/>
      </c>
      <c r="AB452" s="39" t="str">
        <f>IFERROR(ödev!AM48*100/ödev!$I48,"")</f>
        <v/>
      </c>
      <c r="AC452" s="39" t="str">
        <f>IFERROR(ödev!AN48*100/ödev!$I48,"")</f>
        <v/>
      </c>
      <c r="AD452" s="39" t="str">
        <f>IFERROR(ödev!AO48*100/ödev!$I48,"")</f>
        <v/>
      </c>
      <c r="AE452" s="39" t="str">
        <f>IFERROR(ödev!AP48*100/ödev!$I48,"")</f>
        <v/>
      </c>
      <c r="AF452" s="39" t="str">
        <f>IFERROR(ödev!AQ48*100/ödev!$I48,"")</f>
        <v/>
      </c>
      <c r="AG452" s="39" t="str">
        <f>IFERROR(ödev!AR48*100/ödev!$I48,"")</f>
        <v/>
      </c>
      <c r="AH452" s="39" t="str">
        <f>IFERROR(ödev!AS48*100/ödev!$I48,"")</f>
        <v/>
      </c>
      <c r="AI452" s="39" t="str">
        <f>IFERROR(ödev!AT48*100/ödev!$I48,"")</f>
        <v/>
      </c>
      <c r="AJ452" s="39" t="str">
        <f>IFERROR(ödev!AU48*100/ödev!$I48,"")</f>
        <v/>
      </c>
      <c r="AK452" s="39" t="str">
        <f>IFERROR(ödev!AV48*100/ödev!$I48,"")</f>
        <v/>
      </c>
      <c r="AL452" s="39" t="str">
        <f>IFERROR(ödev!AW48*100/ödev!$I48,"")</f>
        <v/>
      </c>
      <c r="AM452" s="39" t="str">
        <f>IFERROR(ödev!AX48*100/ödev!$I48,"")</f>
        <v/>
      </c>
      <c r="AN452" s="39" t="str">
        <f>IFERROR(ödev!AY48*100/ödev!$I48,"")</f>
        <v/>
      </c>
      <c r="AO452" s="39" t="str">
        <f>IFERROR(ödev!AZ48*100/ödev!$I48,"")</f>
        <v/>
      </c>
      <c r="AP452" s="39" t="str">
        <f>IFERROR(ödev!BA48*100/ödev!$I48,"")</f>
        <v/>
      </c>
      <c r="AQ452" s="39" t="str">
        <f>IFERROR(ödev!BB48*100/ödev!$I48,"")</f>
        <v/>
      </c>
      <c r="AR452" s="39" t="str">
        <f>IFERROR(ödev!BC48*100/ödev!$I48,"")</f>
        <v/>
      </c>
      <c r="AS452" s="39" t="str">
        <f>IFERROR(ödev!BD48*100/ödev!$I48,"")</f>
        <v/>
      </c>
      <c r="AT452" s="39" t="str">
        <f>IFERROR(ödev!BE48*100/ödev!$I48,"")</f>
        <v/>
      </c>
      <c r="AU452" s="39" t="str">
        <f>IFERROR(ödev!BF48*100/ödev!$I48,"")</f>
        <v/>
      </c>
      <c r="AV452" s="39" t="str">
        <f>IFERROR(ödev!BG48*100/ödev!$I48,"")</f>
        <v/>
      </c>
      <c r="AW452" s="39" t="str">
        <f>IFERROR(ödev!BH48*100/ödev!$I48,"")</f>
        <v/>
      </c>
      <c r="AX452" s="39" t="str">
        <f>IFERROR(ödev!BI48*100/ödev!$I48,"")</f>
        <v/>
      </c>
      <c r="AY452" s="39" t="str">
        <f>IFERROR(ödev!BJ48*100/ödev!$I48,"")</f>
        <v/>
      </c>
      <c r="AZ452" s="39" t="str">
        <f>IFERROR(ödev!BK48*100/ödev!$I48,"")</f>
        <v/>
      </c>
      <c r="BA452" s="39" t="str">
        <f>IFERROR(ödev!BL48*100/ödev!$I48,"")</f>
        <v/>
      </c>
      <c r="BB452" s="39" t="str">
        <f>IFERROR(ödev!BM48*100/ödev!$I48,"")</f>
        <v/>
      </c>
      <c r="BC452" s="39" t="str">
        <f>IFERROR(ödev!BN48*100/ödev!$I48,"")</f>
        <v/>
      </c>
      <c r="BD452" s="39" t="str">
        <f>IFERROR(ödev!BO48*100/ödev!$I48,"")</f>
        <v/>
      </c>
      <c r="BE452" s="39" t="str">
        <f>IFERROR(ödev!BP48*100/ödev!$I48,"")</f>
        <v/>
      </c>
      <c r="BF452" s="39" t="str">
        <f>IFERROR(ödev!BQ48*100/ödev!$I48,"")</f>
        <v/>
      </c>
      <c r="BG452" s="39" t="str">
        <f>IFERROR(ödev!BR48*100/ödev!$I48,"")</f>
        <v/>
      </c>
      <c r="BH452" s="39" t="str">
        <f>IFERROR(ödev!BS48*100/ödev!$I48,"")</f>
        <v/>
      </c>
      <c r="BI452" s="39" t="str">
        <f>IFERROR(ödev!BT48*100/ödev!$I48,"")</f>
        <v/>
      </c>
      <c r="BJ452" s="39" t="str">
        <f>IFERROR(ödev!BU48*100/ödev!$I48,"")</f>
        <v/>
      </c>
      <c r="BK452" s="39" t="str">
        <f>IFERROR(ödev!BV48*100/ödev!$I48,"")</f>
        <v/>
      </c>
      <c r="BL452" s="39" t="str">
        <f>IFERROR(ödev!BW48*100/ödev!$I48,"")</f>
        <v/>
      </c>
      <c r="BM452" s="39" t="str">
        <f>IFERROR(ödev!BX48*100/ödev!$I48,"")</f>
        <v/>
      </c>
      <c r="BN452" s="39" t="str">
        <f>IFERROR(ödev!BY48*100/ödev!$I48,"")</f>
        <v/>
      </c>
      <c r="BO452" s="39" t="str">
        <f>IFERROR(ödev!BZ48*100/ödev!$I48,"")</f>
        <v/>
      </c>
      <c r="BP452" s="39" t="str">
        <f>IFERROR(ödev!CA48*100/ödev!$I48,"")</f>
        <v/>
      </c>
      <c r="BQ452" s="39" t="str">
        <f>IFERROR(ödev!CB48*100/ödev!$I48,"")</f>
        <v/>
      </c>
      <c r="BR452" s="39" t="str">
        <f>IFERROR(ödev!CC48*100/ödev!$I48,"")</f>
        <v/>
      </c>
      <c r="BS452" s="39" t="str">
        <f>IFERROR(ödev!CD48*100/ödev!$I48,"")</f>
        <v/>
      </c>
      <c r="BT452" s="39" t="str">
        <f>IFERROR(ödev!CE48*100/ödev!$I48,"")</f>
        <v/>
      </c>
      <c r="BU452" s="39" t="str">
        <f>IFERROR(ödev!CF48*100/ödev!$I48,"")</f>
        <v/>
      </c>
      <c r="BV452" s="39" t="str">
        <f>IFERROR(ödev!CG48*100/ödev!$I48,"")</f>
        <v/>
      </c>
      <c r="BW452" s="39" t="str">
        <f>IFERROR(ödev!CH48*100/ödev!$I48,"")</f>
        <v/>
      </c>
      <c r="BX452" s="39" t="str">
        <f>IFERROR(ödev!CI48*100/ödev!$I48,"")</f>
        <v/>
      </c>
      <c r="BY452" s="39" t="str">
        <f>IFERROR(ödev!CJ48*100/ödev!$I48,"")</f>
        <v/>
      </c>
      <c r="BZ452" s="39" t="str">
        <f>IFERROR(ödev!CK48*100/ödev!$I48,"")</f>
        <v/>
      </c>
      <c r="CA452" s="39" t="str">
        <f>IFERROR(ödev!CL48*100/ödev!$I48,"")</f>
        <v/>
      </c>
      <c r="CB452" s="39" t="str">
        <f>IFERROR(ödev!CM48*100/ödev!$I48,"")</f>
        <v/>
      </c>
      <c r="CC452" s="39" t="str">
        <f>IFERROR(ödev!CN48*100/ödev!$I48,"")</f>
        <v/>
      </c>
      <c r="CD452" s="39" t="str">
        <f>IFERROR(ödev!CO48*100/ödev!$I48,"")</f>
        <v/>
      </c>
      <c r="CE452" s="39" t="str">
        <f>IFERROR(ödev!CP48*100/ödev!$I48,"")</f>
        <v/>
      </c>
      <c r="CF452" s="39" t="str">
        <f>IFERROR(ödev!CQ48*100/ödev!$I48,"")</f>
        <v/>
      </c>
      <c r="CG452" s="39" t="str">
        <f>IFERROR(ödev!CR48*100/ödev!$I48,"")</f>
        <v/>
      </c>
      <c r="CH452" s="39" t="str">
        <f>IFERROR(ödev!CS48*100/ödev!$I48,"")</f>
        <v/>
      </c>
      <c r="CI452" s="39" t="str">
        <f>IFERROR(ödev!CT48*100/ödev!$I48,"")</f>
        <v/>
      </c>
      <c r="CJ452" s="39" t="str">
        <f>IFERROR(ödev!CU48*100/ödev!$I48,"")</f>
        <v/>
      </c>
      <c r="CK452" s="39" t="str">
        <f>IFERROR(ödev!CV48*100/ödev!$I48,"")</f>
        <v/>
      </c>
      <c r="CL452" s="39" t="str">
        <f>IFERROR(ödev!CW48*100/ödev!$I48,"")</f>
        <v/>
      </c>
      <c r="CM452" s="39" t="str">
        <f>IFERROR(ödev!CX48*100/ödev!$I48,"")</f>
        <v/>
      </c>
      <c r="CN452" s="39" t="str">
        <f>IFERROR(ödev!CY48*100/ödev!$I48,"")</f>
        <v/>
      </c>
      <c r="CO452" s="39" t="str">
        <f>IFERROR(ödev!CZ48*100/ödev!$I48,"")</f>
        <v/>
      </c>
      <c r="CP452" s="39" t="str">
        <f>IFERROR(ödev!DA48*100/ödev!$I48,"")</f>
        <v/>
      </c>
      <c r="CQ452" s="39" t="str">
        <f>IFERROR(ödev!DB48*100/ödev!$I48,"")</f>
        <v/>
      </c>
      <c r="CR452" s="39" t="str">
        <f>IFERROR(ödev!DC48*100/ödev!$I48,"")</f>
        <v/>
      </c>
      <c r="CS452" s="39" t="str">
        <f>IFERROR(ödev!DD48*100/ödev!$I48,"")</f>
        <v/>
      </c>
      <c r="CT452" s="39" t="str">
        <f>IFERROR(ödev!DE48*100/ödev!$I48,"")</f>
        <v/>
      </c>
      <c r="CU452" s="39" t="str">
        <f>IFERROR(ödev!DF48*100/ödev!$I48,"")</f>
        <v/>
      </c>
      <c r="CV452" s="39" t="str">
        <f>IFERROR(ödev!DG48*100/ödev!$I48,"")</f>
        <v/>
      </c>
      <c r="CW452" s="36" t="str">
        <f>IFERROR(SUM(A452:CV452)/ödev!$DH$103,"")</f>
        <v/>
      </c>
      <c r="CX452" s="14" t="str">
        <f>IF(COUNTA(ödev!A48),ödev!A48,"")</f>
        <v/>
      </c>
      <c r="CY452" s="14" t="str">
        <f>IF(COUNTA(ödev!B48),ödev!B48,"")</f>
        <v/>
      </c>
      <c r="CZ452" s="14" t="str">
        <f>IF(COUNTA(ödev!C48),ödev!C48,"")</f>
        <v/>
      </c>
      <c r="DA452" s="14" t="str">
        <f>IF(COUNTA(ödev!D48),ödev!D48,"")</f>
        <v/>
      </c>
      <c r="DB452" s="14" t="str">
        <f>IF(COUNTA(ödev!E48),ödev!E48,"")</f>
        <v/>
      </c>
      <c r="DC452" s="14" t="str">
        <f>IF(COUNTA(ödev!F48),ödev!F48,"")</f>
        <v/>
      </c>
      <c r="DD452" s="14" t="str">
        <f>IF(COUNTA(ödev!G48),ödev!G48,"")</f>
        <v/>
      </c>
      <c r="DE452" s="14" t="str">
        <f>IF(COUNTA(ödev!H48),ödev!H48,"")</f>
        <v/>
      </c>
    </row>
    <row r="453" spans="1:109" x14ac:dyDescent="0.2">
      <c r="A453" s="39" t="str">
        <f>IFERROR(ödev!L49*100/ödev!$I49,"")</f>
        <v/>
      </c>
      <c r="B453" s="39" t="str">
        <f>IFERROR(ödev!M49*100/ödev!$I49,"")</f>
        <v/>
      </c>
      <c r="C453" s="39" t="str">
        <f>IFERROR(ödev!N49*100/ödev!$I49,"")</f>
        <v/>
      </c>
      <c r="D453" s="39" t="str">
        <f>IFERROR(ödev!O49*100/ödev!$I49,"")</f>
        <v/>
      </c>
      <c r="E453" s="39" t="str">
        <f>IFERROR(ödev!P49*100/ödev!$I49,"")</f>
        <v/>
      </c>
      <c r="F453" s="39" t="str">
        <f>IFERROR(ödev!Q49*100/ödev!$I49,"")</f>
        <v/>
      </c>
      <c r="G453" s="39" t="str">
        <f>IFERROR(ödev!R49*100/ödev!$I49,"")</f>
        <v/>
      </c>
      <c r="H453" s="39" t="str">
        <f>IFERROR(ödev!S49*100/ödev!$I49,"")</f>
        <v/>
      </c>
      <c r="I453" s="39" t="str">
        <f>IFERROR(ödev!T49*100/ödev!$I49,"")</f>
        <v/>
      </c>
      <c r="J453" s="39" t="str">
        <f>IFERROR(ödev!U49*100/ödev!$I49,"")</f>
        <v/>
      </c>
      <c r="K453" s="39" t="str">
        <f>IFERROR(ödev!V49*100/ödev!$I49,"")</f>
        <v/>
      </c>
      <c r="L453" s="39" t="str">
        <f>IFERROR(ödev!W49*100/ödev!$I49,"")</f>
        <v/>
      </c>
      <c r="M453" s="39" t="str">
        <f>IFERROR(ödev!X49*100/ödev!$I49,"")</f>
        <v/>
      </c>
      <c r="N453" s="39" t="str">
        <f>IFERROR(ödev!Y49*100/ödev!$I49,"")</f>
        <v/>
      </c>
      <c r="O453" s="39" t="str">
        <f>IFERROR(ödev!Z49*100/ödev!$I49,"")</f>
        <v/>
      </c>
      <c r="P453" s="39" t="str">
        <f>IFERROR(ödev!AA49*100/ödev!$I49,"")</f>
        <v/>
      </c>
      <c r="Q453" s="39" t="str">
        <f>IFERROR(ödev!AB49*100/ödev!$I49,"")</f>
        <v/>
      </c>
      <c r="R453" s="39" t="str">
        <f>IFERROR(ödev!AC49*100/ödev!$I49,"")</f>
        <v/>
      </c>
      <c r="S453" s="39" t="str">
        <f>IFERROR(ödev!AD49*100/ödev!$I49,"")</f>
        <v/>
      </c>
      <c r="T453" s="39" t="str">
        <f>IFERROR(ödev!AE49*100/ödev!$I49,"")</f>
        <v/>
      </c>
      <c r="U453" s="39" t="str">
        <f>IFERROR(ödev!AF49*100/ödev!$I49,"")</f>
        <v/>
      </c>
      <c r="V453" s="39" t="str">
        <f>IFERROR(ödev!AG49*100/ödev!$I49,"")</f>
        <v/>
      </c>
      <c r="W453" s="39" t="str">
        <f>IFERROR(ödev!AH49*100/ödev!$I49,"")</f>
        <v/>
      </c>
      <c r="X453" s="39" t="str">
        <f>IFERROR(ödev!AI49*100/ödev!$I49,"")</f>
        <v/>
      </c>
      <c r="Y453" s="39" t="str">
        <f>IFERROR(ödev!AJ49*100/ödev!$I49,"")</f>
        <v/>
      </c>
      <c r="Z453" s="39" t="str">
        <f>IFERROR(ödev!AK49*100/ödev!$I49,"")</f>
        <v/>
      </c>
      <c r="AA453" s="39" t="str">
        <f>IFERROR(ödev!AL49*100/ödev!$I49,"")</f>
        <v/>
      </c>
      <c r="AB453" s="39" t="str">
        <f>IFERROR(ödev!AM49*100/ödev!$I49,"")</f>
        <v/>
      </c>
      <c r="AC453" s="39" t="str">
        <f>IFERROR(ödev!AN49*100/ödev!$I49,"")</f>
        <v/>
      </c>
      <c r="AD453" s="39" t="str">
        <f>IFERROR(ödev!AO49*100/ödev!$I49,"")</f>
        <v/>
      </c>
      <c r="AE453" s="39" t="str">
        <f>IFERROR(ödev!AP49*100/ödev!$I49,"")</f>
        <v/>
      </c>
      <c r="AF453" s="39" t="str">
        <f>IFERROR(ödev!AQ49*100/ödev!$I49,"")</f>
        <v/>
      </c>
      <c r="AG453" s="39" t="str">
        <f>IFERROR(ödev!AR49*100/ödev!$I49,"")</f>
        <v/>
      </c>
      <c r="AH453" s="39" t="str">
        <f>IFERROR(ödev!AS49*100/ödev!$I49,"")</f>
        <v/>
      </c>
      <c r="AI453" s="39" t="str">
        <f>IFERROR(ödev!AT49*100/ödev!$I49,"")</f>
        <v/>
      </c>
      <c r="AJ453" s="39" t="str">
        <f>IFERROR(ödev!AU49*100/ödev!$I49,"")</f>
        <v/>
      </c>
      <c r="AK453" s="39" t="str">
        <f>IFERROR(ödev!AV49*100/ödev!$I49,"")</f>
        <v/>
      </c>
      <c r="AL453" s="39" t="str">
        <f>IFERROR(ödev!AW49*100/ödev!$I49,"")</f>
        <v/>
      </c>
      <c r="AM453" s="39" t="str">
        <f>IFERROR(ödev!AX49*100/ödev!$I49,"")</f>
        <v/>
      </c>
      <c r="AN453" s="39" t="str">
        <f>IFERROR(ödev!AY49*100/ödev!$I49,"")</f>
        <v/>
      </c>
      <c r="AO453" s="39" t="str">
        <f>IFERROR(ödev!AZ49*100/ödev!$I49,"")</f>
        <v/>
      </c>
      <c r="AP453" s="39" t="str">
        <f>IFERROR(ödev!BA49*100/ödev!$I49,"")</f>
        <v/>
      </c>
      <c r="AQ453" s="39" t="str">
        <f>IFERROR(ödev!BB49*100/ödev!$I49,"")</f>
        <v/>
      </c>
      <c r="AR453" s="39" t="str">
        <f>IFERROR(ödev!BC49*100/ödev!$I49,"")</f>
        <v/>
      </c>
      <c r="AS453" s="39" t="str">
        <f>IFERROR(ödev!BD49*100/ödev!$I49,"")</f>
        <v/>
      </c>
      <c r="AT453" s="39" t="str">
        <f>IFERROR(ödev!BE49*100/ödev!$I49,"")</f>
        <v/>
      </c>
      <c r="AU453" s="39" t="str">
        <f>IFERROR(ödev!BF49*100/ödev!$I49,"")</f>
        <v/>
      </c>
      <c r="AV453" s="39" t="str">
        <f>IFERROR(ödev!BG49*100/ödev!$I49,"")</f>
        <v/>
      </c>
      <c r="AW453" s="39" t="str">
        <f>IFERROR(ödev!BH49*100/ödev!$I49,"")</f>
        <v/>
      </c>
      <c r="AX453" s="39" t="str">
        <f>IFERROR(ödev!BI49*100/ödev!$I49,"")</f>
        <v/>
      </c>
      <c r="AY453" s="39" t="str">
        <f>IFERROR(ödev!BJ49*100/ödev!$I49,"")</f>
        <v/>
      </c>
      <c r="AZ453" s="39" t="str">
        <f>IFERROR(ödev!BK49*100/ödev!$I49,"")</f>
        <v/>
      </c>
      <c r="BA453" s="39" t="str">
        <f>IFERROR(ödev!BL49*100/ödev!$I49,"")</f>
        <v/>
      </c>
      <c r="BB453" s="39" t="str">
        <f>IFERROR(ödev!BM49*100/ödev!$I49,"")</f>
        <v/>
      </c>
      <c r="BC453" s="39" t="str">
        <f>IFERROR(ödev!BN49*100/ödev!$I49,"")</f>
        <v/>
      </c>
      <c r="BD453" s="39" t="str">
        <f>IFERROR(ödev!BO49*100/ödev!$I49,"")</f>
        <v/>
      </c>
      <c r="BE453" s="39" t="str">
        <f>IFERROR(ödev!BP49*100/ödev!$I49,"")</f>
        <v/>
      </c>
      <c r="BF453" s="39" t="str">
        <f>IFERROR(ödev!BQ49*100/ödev!$I49,"")</f>
        <v/>
      </c>
      <c r="BG453" s="39" t="str">
        <f>IFERROR(ödev!BR49*100/ödev!$I49,"")</f>
        <v/>
      </c>
      <c r="BH453" s="39" t="str">
        <f>IFERROR(ödev!BS49*100/ödev!$I49,"")</f>
        <v/>
      </c>
      <c r="BI453" s="39" t="str">
        <f>IFERROR(ödev!BT49*100/ödev!$I49,"")</f>
        <v/>
      </c>
      <c r="BJ453" s="39" t="str">
        <f>IFERROR(ödev!BU49*100/ödev!$I49,"")</f>
        <v/>
      </c>
      <c r="BK453" s="39" t="str">
        <f>IFERROR(ödev!BV49*100/ödev!$I49,"")</f>
        <v/>
      </c>
      <c r="BL453" s="39" t="str">
        <f>IFERROR(ödev!BW49*100/ödev!$I49,"")</f>
        <v/>
      </c>
      <c r="BM453" s="39" t="str">
        <f>IFERROR(ödev!BX49*100/ödev!$I49,"")</f>
        <v/>
      </c>
      <c r="BN453" s="39" t="str">
        <f>IFERROR(ödev!BY49*100/ödev!$I49,"")</f>
        <v/>
      </c>
      <c r="BO453" s="39" t="str">
        <f>IFERROR(ödev!BZ49*100/ödev!$I49,"")</f>
        <v/>
      </c>
      <c r="BP453" s="39" t="str">
        <f>IFERROR(ödev!CA49*100/ödev!$I49,"")</f>
        <v/>
      </c>
      <c r="BQ453" s="39" t="str">
        <f>IFERROR(ödev!CB49*100/ödev!$I49,"")</f>
        <v/>
      </c>
      <c r="BR453" s="39" t="str">
        <f>IFERROR(ödev!CC49*100/ödev!$I49,"")</f>
        <v/>
      </c>
      <c r="BS453" s="39" t="str">
        <f>IFERROR(ödev!CD49*100/ödev!$I49,"")</f>
        <v/>
      </c>
      <c r="BT453" s="39" t="str">
        <f>IFERROR(ödev!CE49*100/ödev!$I49,"")</f>
        <v/>
      </c>
      <c r="BU453" s="39" t="str">
        <f>IFERROR(ödev!CF49*100/ödev!$I49,"")</f>
        <v/>
      </c>
      <c r="BV453" s="39" t="str">
        <f>IFERROR(ödev!CG49*100/ödev!$I49,"")</f>
        <v/>
      </c>
      <c r="BW453" s="39" t="str">
        <f>IFERROR(ödev!CH49*100/ödev!$I49,"")</f>
        <v/>
      </c>
      <c r="BX453" s="39" t="str">
        <f>IFERROR(ödev!CI49*100/ödev!$I49,"")</f>
        <v/>
      </c>
      <c r="BY453" s="39" t="str">
        <f>IFERROR(ödev!CJ49*100/ödev!$I49,"")</f>
        <v/>
      </c>
      <c r="BZ453" s="39" t="str">
        <f>IFERROR(ödev!CK49*100/ödev!$I49,"")</f>
        <v/>
      </c>
      <c r="CA453" s="39" t="str">
        <f>IFERROR(ödev!CL49*100/ödev!$I49,"")</f>
        <v/>
      </c>
      <c r="CB453" s="39" t="str">
        <f>IFERROR(ödev!CM49*100/ödev!$I49,"")</f>
        <v/>
      </c>
      <c r="CC453" s="39" t="str">
        <f>IFERROR(ödev!CN49*100/ödev!$I49,"")</f>
        <v/>
      </c>
      <c r="CD453" s="39" t="str">
        <f>IFERROR(ödev!CO49*100/ödev!$I49,"")</f>
        <v/>
      </c>
      <c r="CE453" s="39" t="str">
        <f>IFERROR(ödev!CP49*100/ödev!$I49,"")</f>
        <v/>
      </c>
      <c r="CF453" s="39" t="str">
        <f>IFERROR(ödev!CQ49*100/ödev!$I49,"")</f>
        <v/>
      </c>
      <c r="CG453" s="39" t="str">
        <f>IFERROR(ödev!CR49*100/ödev!$I49,"")</f>
        <v/>
      </c>
      <c r="CH453" s="39" t="str">
        <f>IFERROR(ödev!CS49*100/ödev!$I49,"")</f>
        <v/>
      </c>
      <c r="CI453" s="39" t="str">
        <f>IFERROR(ödev!CT49*100/ödev!$I49,"")</f>
        <v/>
      </c>
      <c r="CJ453" s="39" t="str">
        <f>IFERROR(ödev!CU49*100/ödev!$I49,"")</f>
        <v/>
      </c>
      <c r="CK453" s="39" t="str">
        <f>IFERROR(ödev!CV49*100/ödev!$I49,"")</f>
        <v/>
      </c>
      <c r="CL453" s="39" t="str">
        <f>IFERROR(ödev!CW49*100/ödev!$I49,"")</f>
        <v/>
      </c>
      <c r="CM453" s="39" t="str">
        <f>IFERROR(ödev!CX49*100/ödev!$I49,"")</f>
        <v/>
      </c>
      <c r="CN453" s="39" t="str">
        <f>IFERROR(ödev!CY49*100/ödev!$I49,"")</f>
        <v/>
      </c>
      <c r="CO453" s="39" t="str">
        <f>IFERROR(ödev!CZ49*100/ödev!$I49,"")</f>
        <v/>
      </c>
      <c r="CP453" s="39" t="str">
        <f>IFERROR(ödev!DA49*100/ödev!$I49,"")</f>
        <v/>
      </c>
      <c r="CQ453" s="39" t="str">
        <f>IFERROR(ödev!DB49*100/ödev!$I49,"")</f>
        <v/>
      </c>
      <c r="CR453" s="39" t="str">
        <f>IFERROR(ödev!DC49*100/ödev!$I49,"")</f>
        <v/>
      </c>
      <c r="CS453" s="39" t="str">
        <f>IFERROR(ödev!DD49*100/ödev!$I49,"")</f>
        <v/>
      </c>
      <c r="CT453" s="39" t="str">
        <f>IFERROR(ödev!DE49*100/ödev!$I49,"")</f>
        <v/>
      </c>
      <c r="CU453" s="39" t="str">
        <f>IFERROR(ödev!DF49*100/ödev!$I49,"")</f>
        <v/>
      </c>
      <c r="CV453" s="39" t="str">
        <f>IFERROR(ödev!DG49*100/ödev!$I49,"")</f>
        <v/>
      </c>
      <c r="CW453" s="36" t="str">
        <f>IFERROR(SUM(A453:CV453)/ödev!$DH$103,"")</f>
        <v/>
      </c>
      <c r="CX453" s="14" t="str">
        <f>IF(COUNTA(ödev!A49),ödev!A49,"")</f>
        <v/>
      </c>
      <c r="CY453" s="14" t="str">
        <f>IF(COUNTA(ödev!B49),ödev!B49,"")</f>
        <v/>
      </c>
      <c r="CZ453" s="14" t="str">
        <f>IF(COUNTA(ödev!C49),ödev!C49,"")</f>
        <v/>
      </c>
      <c r="DA453" s="14" t="str">
        <f>IF(COUNTA(ödev!D49),ödev!D49,"")</f>
        <v/>
      </c>
      <c r="DB453" s="14" t="str">
        <f>IF(COUNTA(ödev!E49),ödev!E49,"")</f>
        <v/>
      </c>
      <c r="DC453" s="14" t="str">
        <f>IF(COUNTA(ödev!F49),ödev!F49,"")</f>
        <v/>
      </c>
      <c r="DD453" s="14" t="str">
        <f>IF(COUNTA(ödev!G49),ödev!G49,"")</f>
        <v/>
      </c>
      <c r="DE453" s="14" t="str">
        <f>IF(COUNTA(ödev!H49),ödev!H49,"")</f>
        <v/>
      </c>
    </row>
    <row r="454" spans="1:109" x14ac:dyDescent="0.2">
      <c r="A454" s="39" t="str">
        <f>IFERROR(ödev!L50*100/ödev!$I50,"")</f>
        <v/>
      </c>
      <c r="B454" s="39" t="str">
        <f>IFERROR(ödev!M50*100/ödev!$I50,"")</f>
        <v/>
      </c>
      <c r="C454" s="39" t="str">
        <f>IFERROR(ödev!N50*100/ödev!$I50,"")</f>
        <v/>
      </c>
      <c r="D454" s="39" t="str">
        <f>IFERROR(ödev!O50*100/ödev!$I50,"")</f>
        <v/>
      </c>
      <c r="E454" s="39" t="str">
        <f>IFERROR(ödev!P50*100/ödev!$I50,"")</f>
        <v/>
      </c>
      <c r="F454" s="39" t="str">
        <f>IFERROR(ödev!Q50*100/ödev!$I50,"")</f>
        <v/>
      </c>
      <c r="G454" s="39" t="str">
        <f>IFERROR(ödev!R50*100/ödev!$I50,"")</f>
        <v/>
      </c>
      <c r="H454" s="39" t="str">
        <f>IFERROR(ödev!S50*100/ödev!$I50,"")</f>
        <v/>
      </c>
      <c r="I454" s="39" t="str">
        <f>IFERROR(ödev!T50*100/ödev!$I50,"")</f>
        <v/>
      </c>
      <c r="J454" s="39" t="str">
        <f>IFERROR(ödev!U50*100/ödev!$I50,"")</f>
        <v/>
      </c>
      <c r="K454" s="39" t="str">
        <f>IFERROR(ödev!V50*100/ödev!$I50,"")</f>
        <v/>
      </c>
      <c r="L454" s="39" t="str">
        <f>IFERROR(ödev!W50*100/ödev!$I50,"")</f>
        <v/>
      </c>
      <c r="M454" s="39" t="str">
        <f>IFERROR(ödev!X50*100/ödev!$I50,"")</f>
        <v/>
      </c>
      <c r="N454" s="39" t="str">
        <f>IFERROR(ödev!Y50*100/ödev!$I50,"")</f>
        <v/>
      </c>
      <c r="O454" s="39" t="str">
        <f>IFERROR(ödev!Z50*100/ödev!$I50,"")</f>
        <v/>
      </c>
      <c r="P454" s="39" t="str">
        <f>IFERROR(ödev!AA50*100/ödev!$I50,"")</f>
        <v/>
      </c>
      <c r="Q454" s="39" t="str">
        <f>IFERROR(ödev!AB50*100/ödev!$I50,"")</f>
        <v/>
      </c>
      <c r="R454" s="39" t="str">
        <f>IFERROR(ödev!AC50*100/ödev!$I50,"")</f>
        <v/>
      </c>
      <c r="S454" s="39" t="str">
        <f>IFERROR(ödev!AD50*100/ödev!$I50,"")</f>
        <v/>
      </c>
      <c r="T454" s="39" t="str">
        <f>IFERROR(ödev!AE50*100/ödev!$I50,"")</f>
        <v/>
      </c>
      <c r="U454" s="39" t="str">
        <f>IFERROR(ödev!AF50*100/ödev!$I50,"")</f>
        <v/>
      </c>
      <c r="V454" s="39" t="str">
        <f>IFERROR(ödev!AG50*100/ödev!$I50,"")</f>
        <v/>
      </c>
      <c r="W454" s="39" t="str">
        <f>IFERROR(ödev!AH50*100/ödev!$I50,"")</f>
        <v/>
      </c>
      <c r="X454" s="39" t="str">
        <f>IFERROR(ödev!AI50*100/ödev!$I50,"")</f>
        <v/>
      </c>
      <c r="Y454" s="39" t="str">
        <f>IFERROR(ödev!AJ50*100/ödev!$I50,"")</f>
        <v/>
      </c>
      <c r="Z454" s="39" t="str">
        <f>IFERROR(ödev!AK50*100/ödev!$I50,"")</f>
        <v/>
      </c>
      <c r="AA454" s="39" t="str">
        <f>IFERROR(ödev!AL50*100/ödev!$I50,"")</f>
        <v/>
      </c>
      <c r="AB454" s="39" t="str">
        <f>IFERROR(ödev!AM50*100/ödev!$I50,"")</f>
        <v/>
      </c>
      <c r="AC454" s="39" t="str">
        <f>IFERROR(ödev!AN50*100/ödev!$I50,"")</f>
        <v/>
      </c>
      <c r="AD454" s="39" t="str">
        <f>IFERROR(ödev!AO50*100/ödev!$I50,"")</f>
        <v/>
      </c>
      <c r="AE454" s="39" t="str">
        <f>IFERROR(ödev!AP50*100/ödev!$I50,"")</f>
        <v/>
      </c>
      <c r="AF454" s="39" t="str">
        <f>IFERROR(ödev!AQ50*100/ödev!$I50,"")</f>
        <v/>
      </c>
      <c r="AG454" s="39" t="str">
        <f>IFERROR(ödev!AR50*100/ödev!$I50,"")</f>
        <v/>
      </c>
      <c r="AH454" s="39" t="str">
        <f>IFERROR(ödev!AS50*100/ödev!$I50,"")</f>
        <v/>
      </c>
      <c r="AI454" s="39" t="str">
        <f>IFERROR(ödev!AT50*100/ödev!$I50,"")</f>
        <v/>
      </c>
      <c r="AJ454" s="39" t="str">
        <f>IFERROR(ödev!AU50*100/ödev!$I50,"")</f>
        <v/>
      </c>
      <c r="AK454" s="39" t="str">
        <f>IFERROR(ödev!AV50*100/ödev!$I50,"")</f>
        <v/>
      </c>
      <c r="AL454" s="39" t="str">
        <f>IFERROR(ödev!AW50*100/ödev!$I50,"")</f>
        <v/>
      </c>
      <c r="AM454" s="39" t="str">
        <f>IFERROR(ödev!AX50*100/ödev!$I50,"")</f>
        <v/>
      </c>
      <c r="AN454" s="39" t="str">
        <f>IFERROR(ödev!AY50*100/ödev!$I50,"")</f>
        <v/>
      </c>
      <c r="AO454" s="39" t="str">
        <f>IFERROR(ödev!AZ50*100/ödev!$I50,"")</f>
        <v/>
      </c>
      <c r="AP454" s="39" t="str">
        <f>IFERROR(ödev!BA50*100/ödev!$I50,"")</f>
        <v/>
      </c>
      <c r="AQ454" s="39" t="str">
        <f>IFERROR(ödev!BB50*100/ödev!$I50,"")</f>
        <v/>
      </c>
      <c r="AR454" s="39" t="str">
        <f>IFERROR(ödev!BC50*100/ödev!$I50,"")</f>
        <v/>
      </c>
      <c r="AS454" s="39" t="str">
        <f>IFERROR(ödev!BD50*100/ödev!$I50,"")</f>
        <v/>
      </c>
      <c r="AT454" s="39" t="str">
        <f>IFERROR(ödev!BE50*100/ödev!$I50,"")</f>
        <v/>
      </c>
      <c r="AU454" s="39" t="str">
        <f>IFERROR(ödev!BF50*100/ödev!$I50,"")</f>
        <v/>
      </c>
      <c r="AV454" s="39" t="str">
        <f>IFERROR(ödev!BG50*100/ödev!$I50,"")</f>
        <v/>
      </c>
      <c r="AW454" s="39" t="str">
        <f>IFERROR(ödev!BH50*100/ödev!$I50,"")</f>
        <v/>
      </c>
      <c r="AX454" s="39" t="str">
        <f>IFERROR(ödev!BI50*100/ödev!$I50,"")</f>
        <v/>
      </c>
      <c r="AY454" s="39" t="str">
        <f>IFERROR(ödev!BJ50*100/ödev!$I50,"")</f>
        <v/>
      </c>
      <c r="AZ454" s="39" t="str">
        <f>IFERROR(ödev!BK50*100/ödev!$I50,"")</f>
        <v/>
      </c>
      <c r="BA454" s="39" t="str">
        <f>IFERROR(ödev!BL50*100/ödev!$I50,"")</f>
        <v/>
      </c>
      <c r="BB454" s="39" t="str">
        <f>IFERROR(ödev!BM50*100/ödev!$I50,"")</f>
        <v/>
      </c>
      <c r="BC454" s="39" t="str">
        <f>IFERROR(ödev!BN50*100/ödev!$I50,"")</f>
        <v/>
      </c>
      <c r="BD454" s="39" t="str">
        <f>IFERROR(ödev!BO50*100/ödev!$I50,"")</f>
        <v/>
      </c>
      <c r="BE454" s="39" t="str">
        <f>IFERROR(ödev!BP50*100/ödev!$I50,"")</f>
        <v/>
      </c>
      <c r="BF454" s="39" t="str">
        <f>IFERROR(ödev!BQ50*100/ödev!$I50,"")</f>
        <v/>
      </c>
      <c r="BG454" s="39" t="str">
        <f>IFERROR(ödev!BR50*100/ödev!$I50,"")</f>
        <v/>
      </c>
      <c r="BH454" s="39" t="str">
        <f>IFERROR(ödev!BS50*100/ödev!$I50,"")</f>
        <v/>
      </c>
      <c r="BI454" s="39" t="str">
        <f>IFERROR(ödev!BT50*100/ödev!$I50,"")</f>
        <v/>
      </c>
      <c r="BJ454" s="39" t="str">
        <f>IFERROR(ödev!BU50*100/ödev!$I50,"")</f>
        <v/>
      </c>
      <c r="BK454" s="39" t="str">
        <f>IFERROR(ödev!BV50*100/ödev!$I50,"")</f>
        <v/>
      </c>
      <c r="BL454" s="39" t="str">
        <f>IFERROR(ödev!BW50*100/ödev!$I50,"")</f>
        <v/>
      </c>
      <c r="BM454" s="39" t="str">
        <f>IFERROR(ödev!BX50*100/ödev!$I50,"")</f>
        <v/>
      </c>
      <c r="BN454" s="39" t="str">
        <f>IFERROR(ödev!BY50*100/ödev!$I50,"")</f>
        <v/>
      </c>
      <c r="BO454" s="39" t="str">
        <f>IFERROR(ödev!BZ50*100/ödev!$I50,"")</f>
        <v/>
      </c>
      <c r="BP454" s="39" t="str">
        <f>IFERROR(ödev!CA50*100/ödev!$I50,"")</f>
        <v/>
      </c>
      <c r="BQ454" s="39" t="str">
        <f>IFERROR(ödev!CB50*100/ödev!$I50,"")</f>
        <v/>
      </c>
      <c r="BR454" s="39" t="str">
        <f>IFERROR(ödev!CC50*100/ödev!$I50,"")</f>
        <v/>
      </c>
      <c r="BS454" s="39" t="str">
        <f>IFERROR(ödev!CD50*100/ödev!$I50,"")</f>
        <v/>
      </c>
      <c r="BT454" s="39" t="str">
        <f>IFERROR(ödev!CE50*100/ödev!$I50,"")</f>
        <v/>
      </c>
      <c r="BU454" s="39" t="str">
        <f>IFERROR(ödev!CF50*100/ödev!$I50,"")</f>
        <v/>
      </c>
      <c r="BV454" s="39" t="str">
        <f>IFERROR(ödev!CG50*100/ödev!$I50,"")</f>
        <v/>
      </c>
      <c r="BW454" s="39" t="str">
        <f>IFERROR(ödev!CH50*100/ödev!$I50,"")</f>
        <v/>
      </c>
      <c r="BX454" s="39" t="str">
        <f>IFERROR(ödev!CI50*100/ödev!$I50,"")</f>
        <v/>
      </c>
      <c r="BY454" s="39" t="str">
        <f>IFERROR(ödev!CJ50*100/ödev!$I50,"")</f>
        <v/>
      </c>
      <c r="BZ454" s="39" t="str">
        <f>IFERROR(ödev!CK50*100/ödev!$I50,"")</f>
        <v/>
      </c>
      <c r="CA454" s="39" t="str">
        <f>IFERROR(ödev!CL50*100/ödev!$I50,"")</f>
        <v/>
      </c>
      <c r="CB454" s="39" t="str">
        <f>IFERROR(ödev!CM50*100/ödev!$I50,"")</f>
        <v/>
      </c>
      <c r="CC454" s="39" t="str">
        <f>IFERROR(ödev!CN50*100/ödev!$I50,"")</f>
        <v/>
      </c>
      <c r="CD454" s="39" t="str">
        <f>IFERROR(ödev!CO50*100/ödev!$I50,"")</f>
        <v/>
      </c>
      <c r="CE454" s="39" t="str">
        <f>IFERROR(ödev!CP50*100/ödev!$I50,"")</f>
        <v/>
      </c>
      <c r="CF454" s="39" t="str">
        <f>IFERROR(ödev!CQ50*100/ödev!$I50,"")</f>
        <v/>
      </c>
      <c r="CG454" s="39" t="str">
        <f>IFERROR(ödev!CR50*100/ödev!$I50,"")</f>
        <v/>
      </c>
      <c r="CH454" s="39" t="str">
        <f>IFERROR(ödev!CS50*100/ödev!$I50,"")</f>
        <v/>
      </c>
      <c r="CI454" s="39" t="str">
        <f>IFERROR(ödev!CT50*100/ödev!$I50,"")</f>
        <v/>
      </c>
      <c r="CJ454" s="39" t="str">
        <f>IFERROR(ödev!CU50*100/ödev!$I50,"")</f>
        <v/>
      </c>
      <c r="CK454" s="39" t="str">
        <f>IFERROR(ödev!CV50*100/ödev!$I50,"")</f>
        <v/>
      </c>
      <c r="CL454" s="39" t="str">
        <f>IFERROR(ödev!CW50*100/ödev!$I50,"")</f>
        <v/>
      </c>
      <c r="CM454" s="39" t="str">
        <f>IFERROR(ödev!CX50*100/ödev!$I50,"")</f>
        <v/>
      </c>
      <c r="CN454" s="39" t="str">
        <f>IFERROR(ödev!CY50*100/ödev!$I50,"")</f>
        <v/>
      </c>
      <c r="CO454" s="39" t="str">
        <f>IFERROR(ödev!CZ50*100/ödev!$I50,"")</f>
        <v/>
      </c>
      <c r="CP454" s="39" t="str">
        <f>IFERROR(ödev!DA50*100/ödev!$I50,"")</f>
        <v/>
      </c>
      <c r="CQ454" s="39" t="str">
        <f>IFERROR(ödev!DB50*100/ödev!$I50,"")</f>
        <v/>
      </c>
      <c r="CR454" s="39" t="str">
        <f>IFERROR(ödev!DC50*100/ödev!$I50,"")</f>
        <v/>
      </c>
      <c r="CS454" s="39" t="str">
        <f>IFERROR(ödev!DD50*100/ödev!$I50,"")</f>
        <v/>
      </c>
      <c r="CT454" s="39" t="str">
        <f>IFERROR(ödev!DE50*100/ödev!$I50,"")</f>
        <v/>
      </c>
      <c r="CU454" s="39" t="str">
        <f>IFERROR(ödev!DF50*100/ödev!$I50,"")</f>
        <v/>
      </c>
      <c r="CV454" s="39" t="str">
        <f>IFERROR(ödev!DG50*100/ödev!$I50,"")</f>
        <v/>
      </c>
      <c r="CW454" s="36" t="str">
        <f>IFERROR(SUM(A454:CV454)/ödev!$DH$103,"")</f>
        <v/>
      </c>
      <c r="CX454" s="14" t="str">
        <f>IF(COUNTA(ödev!A50),ödev!A50,"")</f>
        <v/>
      </c>
      <c r="CY454" s="14" t="str">
        <f>IF(COUNTA(ödev!B50),ödev!B50,"")</f>
        <v/>
      </c>
      <c r="CZ454" s="14" t="str">
        <f>IF(COUNTA(ödev!C50),ödev!C50,"")</f>
        <v/>
      </c>
      <c r="DA454" s="14" t="str">
        <f>IF(COUNTA(ödev!D50),ödev!D50,"")</f>
        <v/>
      </c>
      <c r="DB454" s="14" t="str">
        <f>IF(COUNTA(ödev!E50),ödev!E50,"")</f>
        <v/>
      </c>
      <c r="DC454" s="14" t="str">
        <f>IF(COUNTA(ödev!F50),ödev!F50,"")</f>
        <v/>
      </c>
      <c r="DD454" s="14" t="str">
        <f>IF(COUNTA(ödev!G50),ödev!G50,"")</f>
        <v/>
      </c>
      <c r="DE454" s="14" t="str">
        <f>IF(COUNTA(ödev!H50),ödev!H50,"")</f>
        <v/>
      </c>
    </row>
    <row r="455" spans="1:109" x14ac:dyDescent="0.2">
      <c r="A455" s="39" t="str">
        <f>IFERROR(ödev!L51*100/ödev!$I51,"")</f>
        <v/>
      </c>
      <c r="B455" s="39" t="str">
        <f>IFERROR(ödev!M51*100/ödev!$I51,"")</f>
        <v/>
      </c>
      <c r="C455" s="39" t="str">
        <f>IFERROR(ödev!N51*100/ödev!$I51,"")</f>
        <v/>
      </c>
      <c r="D455" s="39" t="str">
        <f>IFERROR(ödev!O51*100/ödev!$I51,"")</f>
        <v/>
      </c>
      <c r="E455" s="39" t="str">
        <f>IFERROR(ödev!P51*100/ödev!$I51,"")</f>
        <v/>
      </c>
      <c r="F455" s="39" t="str">
        <f>IFERROR(ödev!Q51*100/ödev!$I51,"")</f>
        <v/>
      </c>
      <c r="G455" s="39" t="str">
        <f>IFERROR(ödev!R51*100/ödev!$I51,"")</f>
        <v/>
      </c>
      <c r="H455" s="39" t="str">
        <f>IFERROR(ödev!S51*100/ödev!$I51,"")</f>
        <v/>
      </c>
      <c r="I455" s="39" t="str">
        <f>IFERROR(ödev!T51*100/ödev!$I51,"")</f>
        <v/>
      </c>
      <c r="J455" s="39" t="str">
        <f>IFERROR(ödev!U51*100/ödev!$I51,"")</f>
        <v/>
      </c>
      <c r="K455" s="39" t="str">
        <f>IFERROR(ödev!V51*100/ödev!$I51,"")</f>
        <v/>
      </c>
      <c r="L455" s="39" t="str">
        <f>IFERROR(ödev!W51*100/ödev!$I51,"")</f>
        <v/>
      </c>
      <c r="M455" s="39" t="str">
        <f>IFERROR(ödev!X51*100/ödev!$I51,"")</f>
        <v/>
      </c>
      <c r="N455" s="39" t="str">
        <f>IFERROR(ödev!Y51*100/ödev!$I51,"")</f>
        <v/>
      </c>
      <c r="O455" s="39" t="str">
        <f>IFERROR(ödev!Z51*100/ödev!$I51,"")</f>
        <v/>
      </c>
      <c r="P455" s="39" t="str">
        <f>IFERROR(ödev!AA51*100/ödev!$I51,"")</f>
        <v/>
      </c>
      <c r="Q455" s="39" t="str">
        <f>IFERROR(ödev!AB51*100/ödev!$I51,"")</f>
        <v/>
      </c>
      <c r="R455" s="39" t="str">
        <f>IFERROR(ödev!AC51*100/ödev!$I51,"")</f>
        <v/>
      </c>
      <c r="S455" s="39" t="str">
        <f>IFERROR(ödev!AD51*100/ödev!$I51,"")</f>
        <v/>
      </c>
      <c r="T455" s="39" t="str">
        <f>IFERROR(ödev!AE51*100/ödev!$I51,"")</f>
        <v/>
      </c>
      <c r="U455" s="39" t="str">
        <f>IFERROR(ödev!AF51*100/ödev!$I51,"")</f>
        <v/>
      </c>
      <c r="V455" s="39" t="str">
        <f>IFERROR(ödev!AG51*100/ödev!$I51,"")</f>
        <v/>
      </c>
      <c r="W455" s="39" t="str">
        <f>IFERROR(ödev!AH51*100/ödev!$I51,"")</f>
        <v/>
      </c>
      <c r="X455" s="39" t="str">
        <f>IFERROR(ödev!AI51*100/ödev!$I51,"")</f>
        <v/>
      </c>
      <c r="Y455" s="39" t="str">
        <f>IFERROR(ödev!AJ51*100/ödev!$I51,"")</f>
        <v/>
      </c>
      <c r="Z455" s="39" t="str">
        <f>IFERROR(ödev!AK51*100/ödev!$I51,"")</f>
        <v/>
      </c>
      <c r="AA455" s="39" t="str">
        <f>IFERROR(ödev!AL51*100/ödev!$I51,"")</f>
        <v/>
      </c>
      <c r="AB455" s="39" t="str">
        <f>IFERROR(ödev!AM51*100/ödev!$I51,"")</f>
        <v/>
      </c>
      <c r="AC455" s="39" t="str">
        <f>IFERROR(ödev!AN51*100/ödev!$I51,"")</f>
        <v/>
      </c>
      <c r="AD455" s="39" t="str">
        <f>IFERROR(ödev!AO51*100/ödev!$I51,"")</f>
        <v/>
      </c>
      <c r="AE455" s="39" t="str">
        <f>IFERROR(ödev!AP51*100/ödev!$I51,"")</f>
        <v/>
      </c>
      <c r="AF455" s="39" t="str">
        <f>IFERROR(ödev!AQ51*100/ödev!$I51,"")</f>
        <v/>
      </c>
      <c r="AG455" s="39" t="str">
        <f>IFERROR(ödev!AR51*100/ödev!$I51,"")</f>
        <v/>
      </c>
      <c r="AH455" s="39" t="str">
        <f>IFERROR(ödev!AS51*100/ödev!$I51,"")</f>
        <v/>
      </c>
      <c r="AI455" s="39" t="str">
        <f>IFERROR(ödev!AT51*100/ödev!$I51,"")</f>
        <v/>
      </c>
      <c r="AJ455" s="39" t="str">
        <f>IFERROR(ödev!AU51*100/ödev!$I51,"")</f>
        <v/>
      </c>
      <c r="AK455" s="39" t="str">
        <f>IFERROR(ödev!AV51*100/ödev!$I51,"")</f>
        <v/>
      </c>
      <c r="AL455" s="39" t="str">
        <f>IFERROR(ödev!AW51*100/ödev!$I51,"")</f>
        <v/>
      </c>
      <c r="AM455" s="39" t="str">
        <f>IFERROR(ödev!AX51*100/ödev!$I51,"")</f>
        <v/>
      </c>
      <c r="AN455" s="39" t="str">
        <f>IFERROR(ödev!AY51*100/ödev!$I51,"")</f>
        <v/>
      </c>
      <c r="AO455" s="39" t="str">
        <f>IFERROR(ödev!AZ51*100/ödev!$I51,"")</f>
        <v/>
      </c>
      <c r="AP455" s="39" t="str">
        <f>IFERROR(ödev!BA51*100/ödev!$I51,"")</f>
        <v/>
      </c>
      <c r="AQ455" s="39" t="str">
        <f>IFERROR(ödev!BB51*100/ödev!$I51,"")</f>
        <v/>
      </c>
      <c r="AR455" s="39" t="str">
        <f>IFERROR(ödev!BC51*100/ödev!$I51,"")</f>
        <v/>
      </c>
      <c r="AS455" s="39" t="str">
        <f>IFERROR(ödev!BD51*100/ödev!$I51,"")</f>
        <v/>
      </c>
      <c r="AT455" s="39" t="str">
        <f>IFERROR(ödev!BE51*100/ödev!$I51,"")</f>
        <v/>
      </c>
      <c r="AU455" s="39" t="str">
        <f>IFERROR(ödev!BF51*100/ödev!$I51,"")</f>
        <v/>
      </c>
      <c r="AV455" s="39" t="str">
        <f>IFERROR(ödev!BG51*100/ödev!$I51,"")</f>
        <v/>
      </c>
      <c r="AW455" s="39" t="str">
        <f>IFERROR(ödev!BH51*100/ödev!$I51,"")</f>
        <v/>
      </c>
      <c r="AX455" s="39" t="str">
        <f>IFERROR(ödev!BI51*100/ödev!$I51,"")</f>
        <v/>
      </c>
      <c r="AY455" s="39" t="str">
        <f>IFERROR(ödev!BJ51*100/ödev!$I51,"")</f>
        <v/>
      </c>
      <c r="AZ455" s="39" t="str">
        <f>IFERROR(ödev!BK51*100/ödev!$I51,"")</f>
        <v/>
      </c>
      <c r="BA455" s="39" t="str">
        <f>IFERROR(ödev!BL51*100/ödev!$I51,"")</f>
        <v/>
      </c>
      <c r="BB455" s="39" t="str">
        <f>IFERROR(ödev!BM51*100/ödev!$I51,"")</f>
        <v/>
      </c>
      <c r="BC455" s="39" t="str">
        <f>IFERROR(ödev!BN51*100/ödev!$I51,"")</f>
        <v/>
      </c>
      <c r="BD455" s="39" t="str">
        <f>IFERROR(ödev!BO51*100/ödev!$I51,"")</f>
        <v/>
      </c>
      <c r="BE455" s="39" t="str">
        <f>IFERROR(ödev!BP51*100/ödev!$I51,"")</f>
        <v/>
      </c>
      <c r="BF455" s="39" t="str">
        <f>IFERROR(ödev!BQ51*100/ödev!$I51,"")</f>
        <v/>
      </c>
      <c r="BG455" s="39" t="str">
        <f>IFERROR(ödev!BR51*100/ödev!$I51,"")</f>
        <v/>
      </c>
      <c r="BH455" s="39" t="str">
        <f>IFERROR(ödev!BS51*100/ödev!$I51,"")</f>
        <v/>
      </c>
      <c r="BI455" s="39" t="str">
        <f>IFERROR(ödev!BT51*100/ödev!$I51,"")</f>
        <v/>
      </c>
      <c r="BJ455" s="39" t="str">
        <f>IFERROR(ödev!BU51*100/ödev!$I51,"")</f>
        <v/>
      </c>
      <c r="BK455" s="39" t="str">
        <f>IFERROR(ödev!BV51*100/ödev!$I51,"")</f>
        <v/>
      </c>
      <c r="BL455" s="39" t="str">
        <f>IFERROR(ödev!BW51*100/ödev!$I51,"")</f>
        <v/>
      </c>
      <c r="BM455" s="39" t="str">
        <f>IFERROR(ödev!BX51*100/ödev!$I51,"")</f>
        <v/>
      </c>
      <c r="BN455" s="39" t="str">
        <f>IFERROR(ödev!BY51*100/ödev!$I51,"")</f>
        <v/>
      </c>
      <c r="BO455" s="39" t="str">
        <f>IFERROR(ödev!BZ51*100/ödev!$I51,"")</f>
        <v/>
      </c>
      <c r="BP455" s="39" t="str">
        <f>IFERROR(ödev!CA51*100/ödev!$I51,"")</f>
        <v/>
      </c>
      <c r="BQ455" s="39" t="str">
        <f>IFERROR(ödev!CB51*100/ödev!$I51,"")</f>
        <v/>
      </c>
      <c r="BR455" s="39" t="str">
        <f>IFERROR(ödev!CC51*100/ödev!$I51,"")</f>
        <v/>
      </c>
      <c r="BS455" s="39" t="str">
        <f>IFERROR(ödev!CD51*100/ödev!$I51,"")</f>
        <v/>
      </c>
      <c r="BT455" s="39" t="str">
        <f>IFERROR(ödev!CE51*100/ödev!$I51,"")</f>
        <v/>
      </c>
      <c r="BU455" s="39" t="str">
        <f>IFERROR(ödev!CF51*100/ödev!$I51,"")</f>
        <v/>
      </c>
      <c r="BV455" s="39" t="str">
        <f>IFERROR(ödev!CG51*100/ödev!$I51,"")</f>
        <v/>
      </c>
      <c r="BW455" s="39" t="str">
        <f>IFERROR(ödev!CH51*100/ödev!$I51,"")</f>
        <v/>
      </c>
      <c r="BX455" s="39" t="str">
        <f>IFERROR(ödev!CI51*100/ödev!$I51,"")</f>
        <v/>
      </c>
      <c r="BY455" s="39" t="str">
        <f>IFERROR(ödev!CJ51*100/ödev!$I51,"")</f>
        <v/>
      </c>
      <c r="BZ455" s="39" t="str">
        <f>IFERROR(ödev!CK51*100/ödev!$I51,"")</f>
        <v/>
      </c>
      <c r="CA455" s="39" t="str">
        <f>IFERROR(ödev!CL51*100/ödev!$I51,"")</f>
        <v/>
      </c>
      <c r="CB455" s="39" t="str">
        <f>IFERROR(ödev!CM51*100/ödev!$I51,"")</f>
        <v/>
      </c>
      <c r="CC455" s="39" t="str">
        <f>IFERROR(ödev!CN51*100/ödev!$I51,"")</f>
        <v/>
      </c>
      <c r="CD455" s="39" t="str">
        <f>IFERROR(ödev!CO51*100/ödev!$I51,"")</f>
        <v/>
      </c>
      <c r="CE455" s="39" t="str">
        <f>IFERROR(ödev!CP51*100/ödev!$I51,"")</f>
        <v/>
      </c>
      <c r="CF455" s="39" t="str">
        <f>IFERROR(ödev!CQ51*100/ödev!$I51,"")</f>
        <v/>
      </c>
      <c r="CG455" s="39" t="str">
        <f>IFERROR(ödev!CR51*100/ödev!$I51,"")</f>
        <v/>
      </c>
      <c r="CH455" s="39" t="str">
        <f>IFERROR(ödev!CS51*100/ödev!$I51,"")</f>
        <v/>
      </c>
      <c r="CI455" s="39" t="str">
        <f>IFERROR(ödev!CT51*100/ödev!$I51,"")</f>
        <v/>
      </c>
      <c r="CJ455" s="39" t="str">
        <f>IFERROR(ödev!CU51*100/ödev!$I51,"")</f>
        <v/>
      </c>
      <c r="CK455" s="39" t="str">
        <f>IFERROR(ödev!CV51*100/ödev!$I51,"")</f>
        <v/>
      </c>
      <c r="CL455" s="39" t="str">
        <f>IFERROR(ödev!CW51*100/ödev!$I51,"")</f>
        <v/>
      </c>
      <c r="CM455" s="39" t="str">
        <f>IFERROR(ödev!CX51*100/ödev!$I51,"")</f>
        <v/>
      </c>
      <c r="CN455" s="39" t="str">
        <f>IFERROR(ödev!CY51*100/ödev!$I51,"")</f>
        <v/>
      </c>
      <c r="CO455" s="39" t="str">
        <f>IFERROR(ödev!CZ51*100/ödev!$I51,"")</f>
        <v/>
      </c>
      <c r="CP455" s="39" t="str">
        <f>IFERROR(ödev!DA51*100/ödev!$I51,"")</f>
        <v/>
      </c>
      <c r="CQ455" s="39" t="str">
        <f>IFERROR(ödev!DB51*100/ödev!$I51,"")</f>
        <v/>
      </c>
      <c r="CR455" s="39" t="str">
        <f>IFERROR(ödev!DC51*100/ödev!$I51,"")</f>
        <v/>
      </c>
      <c r="CS455" s="39" t="str">
        <f>IFERROR(ödev!DD51*100/ödev!$I51,"")</f>
        <v/>
      </c>
      <c r="CT455" s="39" t="str">
        <f>IFERROR(ödev!DE51*100/ödev!$I51,"")</f>
        <v/>
      </c>
      <c r="CU455" s="39" t="str">
        <f>IFERROR(ödev!DF51*100/ödev!$I51,"")</f>
        <v/>
      </c>
      <c r="CV455" s="39" t="str">
        <f>IFERROR(ödev!DG51*100/ödev!$I51,"")</f>
        <v/>
      </c>
      <c r="CW455" s="36" t="str">
        <f>IFERROR(SUM(A455:CV455)/ödev!$DH$103,"")</f>
        <v/>
      </c>
      <c r="CX455" s="14" t="str">
        <f>IF(COUNTA(ödev!A51),ödev!A51,"")</f>
        <v/>
      </c>
      <c r="CY455" s="14" t="str">
        <f>IF(COUNTA(ödev!B51),ödev!B51,"")</f>
        <v/>
      </c>
      <c r="CZ455" s="14" t="str">
        <f>IF(COUNTA(ödev!C51),ödev!C51,"")</f>
        <v/>
      </c>
      <c r="DA455" s="14" t="str">
        <f>IF(COUNTA(ödev!D51),ödev!D51,"")</f>
        <v/>
      </c>
      <c r="DB455" s="14" t="str">
        <f>IF(COUNTA(ödev!E51),ödev!E51,"")</f>
        <v/>
      </c>
      <c r="DC455" s="14" t="str">
        <f>IF(COUNTA(ödev!F51),ödev!F51,"")</f>
        <v/>
      </c>
      <c r="DD455" s="14" t="str">
        <f>IF(COUNTA(ödev!G51),ödev!G51,"")</f>
        <v/>
      </c>
      <c r="DE455" s="14" t="str">
        <f>IF(COUNTA(ödev!H51),ödev!H51,"")</f>
        <v/>
      </c>
    </row>
    <row r="456" spans="1:109" x14ac:dyDescent="0.2">
      <c r="A456" s="39" t="str">
        <f>IFERROR(ödev!L52*100/ödev!$I52,"")</f>
        <v/>
      </c>
      <c r="B456" s="39" t="str">
        <f>IFERROR(ödev!M52*100/ödev!$I52,"")</f>
        <v/>
      </c>
      <c r="C456" s="39" t="str">
        <f>IFERROR(ödev!N52*100/ödev!$I52,"")</f>
        <v/>
      </c>
      <c r="D456" s="39" t="str">
        <f>IFERROR(ödev!O52*100/ödev!$I52,"")</f>
        <v/>
      </c>
      <c r="E456" s="39" t="str">
        <f>IFERROR(ödev!P52*100/ödev!$I52,"")</f>
        <v/>
      </c>
      <c r="F456" s="39" t="str">
        <f>IFERROR(ödev!Q52*100/ödev!$I52,"")</f>
        <v/>
      </c>
      <c r="G456" s="39" t="str">
        <f>IFERROR(ödev!R52*100/ödev!$I52,"")</f>
        <v/>
      </c>
      <c r="H456" s="39" t="str">
        <f>IFERROR(ödev!S52*100/ödev!$I52,"")</f>
        <v/>
      </c>
      <c r="I456" s="39" t="str">
        <f>IFERROR(ödev!T52*100/ödev!$I52,"")</f>
        <v/>
      </c>
      <c r="J456" s="39" t="str">
        <f>IFERROR(ödev!U52*100/ödev!$I52,"")</f>
        <v/>
      </c>
      <c r="K456" s="39" t="str">
        <f>IFERROR(ödev!V52*100/ödev!$I52,"")</f>
        <v/>
      </c>
      <c r="L456" s="39" t="str">
        <f>IFERROR(ödev!W52*100/ödev!$I52,"")</f>
        <v/>
      </c>
      <c r="M456" s="39" t="str">
        <f>IFERROR(ödev!X52*100/ödev!$I52,"")</f>
        <v/>
      </c>
      <c r="N456" s="39" t="str">
        <f>IFERROR(ödev!Y52*100/ödev!$I52,"")</f>
        <v/>
      </c>
      <c r="O456" s="39" t="str">
        <f>IFERROR(ödev!Z52*100/ödev!$I52,"")</f>
        <v/>
      </c>
      <c r="P456" s="39" t="str">
        <f>IFERROR(ödev!AA52*100/ödev!$I52,"")</f>
        <v/>
      </c>
      <c r="Q456" s="39" t="str">
        <f>IFERROR(ödev!AB52*100/ödev!$I52,"")</f>
        <v/>
      </c>
      <c r="R456" s="39" t="str">
        <f>IFERROR(ödev!AC52*100/ödev!$I52,"")</f>
        <v/>
      </c>
      <c r="S456" s="39" t="str">
        <f>IFERROR(ödev!AD52*100/ödev!$I52,"")</f>
        <v/>
      </c>
      <c r="T456" s="39" t="str">
        <f>IFERROR(ödev!AE52*100/ödev!$I52,"")</f>
        <v/>
      </c>
      <c r="U456" s="39" t="str">
        <f>IFERROR(ödev!AF52*100/ödev!$I52,"")</f>
        <v/>
      </c>
      <c r="V456" s="39" t="str">
        <f>IFERROR(ödev!AG52*100/ödev!$I52,"")</f>
        <v/>
      </c>
      <c r="W456" s="39" t="str">
        <f>IFERROR(ödev!AH52*100/ödev!$I52,"")</f>
        <v/>
      </c>
      <c r="X456" s="39" t="str">
        <f>IFERROR(ödev!AI52*100/ödev!$I52,"")</f>
        <v/>
      </c>
      <c r="Y456" s="39" t="str">
        <f>IFERROR(ödev!AJ52*100/ödev!$I52,"")</f>
        <v/>
      </c>
      <c r="Z456" s="39" t="str">
        <f>IFERROR(ödev!AK52*100/ödev!$I52,"")</f>
        <v/>
      </c>
      <c r="AA456" s="39" t="str">
        <f>IFERROR(ödev!AL52*100/ödev!$I52,"")</f>
        <v/>
      </c>
      <c r="AB456" s="39" t="str">
        <f>IFERROR(ödev!AM52*100/ödev!$I52,"")</f>
        <v/>
      </c>
      <c r="AC456" s="39" t="str">
        <f>IFERROR(ödev!AN52*100/ödev!$I52,"")</f>
        <v/>
      </c>
      <c r="AD456" s="39" t="str">
        <f>IFERROR(ödev!AO52*100/ödev!$I52,"")</f>
        <v/>
      </c>
      <c r="AE456" s="39" t="str">
        <f>IFERROR(ödev!AP52*100/ödev!$I52,"")</f>
        <v/>
      </c>
      <c r="AF456" s="39" t="str">
        <f>IFERROR(ödev!AQ52*100/ödev!$I52,"")</f>
        <v/>
      </c>
      <c r="AG456" s="39" t="str">
        <f>IFERROR(ödev!AR52*100/ödev!$I52,"")</f>
        <v/>
      </c>
      <c r="AH456" s="39" t="str">
        <f>IFERROR(ödev!AS52*100/ödev!$I52,"")</f>
        <v/>
      </c>
      <c r="AI456" s="39" t="str">
        <f>IFERROR(ödev!AT52*100/ödev!$I52,"")</f>
        <v/>
      </c>
      <c r="AJ456" s="39" t="str">
        <f>IFERROR(ödev!AU52*100/ödev!$I52,"")</f>
        <v/>
      </c>
      <c r="AK456" s="39" t="str">
        <f>IFERROR(ödev!AV52*100/ödev!$I52,"")</f>
        <v/>
      </c>
      <c r="AL456" s="39" t="str">
        <f>IFERROR(ödev!AW52*100/ödev!$I52,"")</f>
        <v/>
      </c>
      <c r="AM456" s="39" t="str">
        <f>IFERROR(ödev!AX52*100/ödev!$I52,"")</f>
        <v/>
      </c>
      <c r="AN456" s="39" t="str">
        <f>IFERROR(ödev!AY52*100/ödev!$I52,"")</f>
        <v/>
      </c>
      <c r="AO456" s="39" t="str">
        <f>IFERROR(ödev!AZ52*100/ödev!$I52,"")</f>
        <v/>
      </c>
      <c r="AP456" s="39" t="str">
        <f>IFERROR(ödev!BA52*100/ödev!$I52,"")</f>
        <v/>
      </c>
      <c r="AQ456" s="39" t="str">
        <f>IFERROR(ödev!BB52*100/ödev!$I52,"")</f>
        <v/>
      </c>
      <c r="AR456" s="39" t="str">
        <f>IFERROR(ödev!BC52*100/ödev!$I52,"")</f>
        <v/>
      </c>
      <c r="AS456" s="39" t="str">
        <f>IFERROR(ödev!BD52*100/ödev!$I52,"")</f>
        <v/>
      </c>
      <c r="AT456" s="39" t="str">
        <f>IFERROR(ödev!BE52*100/ödev!$I52,"")</f>
        <v/>
      </c>
      <c r="AU456" s="39" t="str">
        <f>IFERROR(ödev!BF52*100/ödev!$I52,"")</f>
        <v/>
      </c>
      <c r="AV456" s="39" t="str">
        <f>IFERROR(ödev!BG52*100/ödev!$I52,"")</f>
        <v/>
      </c>
      <c r="AW456" s="39" t="str">
        <f>IFERROR(ödev!BH52*100/ödev!$I52,"")</f>
        <v/>
      </c>
      <c r="AX456" s="39" t="str">
        <f>IFERROR(ödev!BI52*100/ödev!$I52,"")</f>
        <v/>
      </c>
      <c r="AY456" s="39" t="str">
        <f>IFERROR(ödev!BJ52*100/ödev!$I52,"")</f>
        <v/>
      </c>
      <c r="AZ456" s="39" t="str">
        <f>IFERROR(ödev!BK52*100/ödev!$I52,"")</f>
        <v/>
      </c>
      <c r="BA456" s="39" t="str">
        <f>IFERROR(ödev!BL52*100/ödev!$I52,"")</f>
        <v/>
      </c>
      <c r="BB456" s="39" t="str">
        <f>IFERROR(ödev!BM52*100/ödev!$I52,"")</f>
        <v/>
      </c>
      <c r="BC456" s="39" t="str">
        <f>IFERROR(ödev!BN52*100/ödev!$I52,"")</f>
        <v/>
      </c>
      <c r="BD456" s="39" t="str">
        <f>IFERROR(ödev!BO52*100/ödev!$I52,"")</f>
        <v/>
      </c>
      <c r="BE456" s="39" t="str">
        <f>IFERROR(ödev!BP52*100/ödev!$I52,"")</f>
        <v/>
      </c>
      <c r="BF456" s="39" t="str">
        <f>IFERROR(ödev!BQ52*100/ödev!$I52,"")</f>
        <v/>
      </c>
      <c r="BG456" s="39" t="str">
        <f>IFERROR(ödev!BR52*100/ödev!$I52,"")</f>
        <v/>
      </c>
      <c r="BH456" s="39" t="str">
        <f>IFERROR(ödev!BS52*100/ödev!$I52,"")</f>
        <v/>
      </c>
      <c r="BI456" s="39" t="str">
        <f>IFERROR(ödev!BT52*100/ödev!$I52,"")</f>
        <v/>
      </c>
      <c r="BJ456" s="39" t="str">
        <f>IFERROR(ödev!BU52*100/ödev!$I52,"")</f>
        <v/>
      </c>
      <c r="BK456" s="39" t="str">
        <f>IFERROR(ödev!BV52*100/ödev!$I52,"")</f>
        <v/>
      </c>
      <c r="BL456" s="39" t="str">
        <f>IFERROR(ödev!BW52*100/ödev!$I52,"")</f>
        <v/>
      </c>
      <c r="BM456" s="39" t="str">
        <f>IFERROR(ödev!BX52*100/ödev!$I52,"")</f>
        <v/>
      </c>
      <c r="BN456" s="39" t="str">
        <f>IFERROR(ödev!BY52*100/ödev!$I52,"")</f>
        <v/>
      </c>
      <c r="BO456" s="39" t="str">
        <f>IFERROR(ödev!BZ52*100/ödev!$I52,"")</f>
        <v/>
      </c>
      <c r="BP456" s="39" t="str">
        <f>IFERROR(ödev!CA52*100/ödev!$I52,"")</f>
        <v/>
      </c>
      <c r="BQ456" s="39" t="str">
        <f>IFERROR(ödev!CB52*100/ödev!$I52,"")</f>
        <v/>
      </c>
      <c r="BR456" s="39" t="str">
        <f>IFERROR(ödev!CC52*100/ödev!$I52,"")</f>
        <v/>
      </c>
      <c r="BS456" s="39" t="str">
        <f>IFERROR(ödev!CD52*100/ödev!$I52,"")</f>
        <v/>
      </c>
      <c r="BT456" s="39" t="str">
        <f>IFERROR(ödev!CE52*100/ödev!$I52,"")</f>
        <v/>
      </c>
      <c r="BU456" s="39" t="str">
        <f>IFERROR(ödev!CF52*100/ödev!$I52,"")</f>
        <v/>
      </c>
      <c r="BV456" s="39" t="str">
        <f>IFERROR(ödev!CG52*100/ödev!$I52,"")</f>
        <v/>
      </c>
      <c r="BW456" s="39" t="str">
        <f>IFERROR(ödev!CH52*100/ödev!$I52,"")</f>
        <v/>
      </c>
      <c r="BX456" s="39" t="str">
        <f>IFERROR(ödev!CI52*100/ödev!$I52,"")</f>
        <v/>
      </c>
      <c r="BY456" s="39" t="str">
        <f>IFERROR(ödev!CJ52*100/ödev!$I52,"")</f>
        <v/>
      </c>
      <c r="BZ456" s="39" t="str">
        <f>IFERROR(ödev!CK52*100/ödev!$I52,"")</f>
        <v/>
      </c>
      <c r="CA456" s="39" t="str">
        <f>IFERROR(ödev!CL52*100/ödev!$I52,"")</f>
        <v/>
      </c>
      <c r="CB456" s="39" t="str">
        <f>IFERROR(ödev!CM52*100/ödev!$I52,"")</f>
        <v/>
      </c>
      <c r="CC456" s="39" t="str">
        <f>IFERROR(ödev!CN52*100/ödev!$I52,"")</f>
        <v/>
      </c>
      <c r="CD456" s="39" t="str">
        <f>IFERROR(ödev!CO52*100/ödev!$I52,"")</f>
        <v/>
      </c>
      <c r="CE456" s="39" t="str">
        <f>IFERROR(ödev!CP52*100/ödev!$I52,"")</f>
        <v/>
      </c>
      <c r="CF456" s="39" t="str">
        <f>IFERROR(ödev!CQ52*100/ödev!$I52,"")</f>
        <v/>
      </c>
      <c r="CG456" s="39" t="str">
        <f>IFERROR(ödev!CR52*100/ödev!$I52,"")</f>
        <v/>
      </c>
      <c r="CH456" s="39" t="str">
        <f>IFERROR(ödev!CS52*100/ödev!$I52,"")</f>
        <v/>
      </c>
      <c r="CI456" s="39" t="str">
        <f>IFERROR(ödev!CT52*100/ödev!$I52,"")</f>
        <v/>
      </c>
      <c r="CJ456" s="39" t="str">
        <f>IFERROR(ödev!CU52*100/ödev!$I52,"")</f>
        <v/>
      </c>
      <c r="CK456" s="39" t="str">
        <f>IFERROR(ödev!CV52*100/ödev!$I52,"")</f>
        <v/>
      </c>
      <c r="CL456" s="39" t="str">
        <f>IFERROR(ödev!CW52*100/ödev!$I52,"")</f>
        <v/>
      </c>
      <c r="CM456" s="39" t="str">
        <f>IFERROR(ödev!CX52*100/ödev!$I52,"")</f>
        <v/>
      </c>
      <c r="CN456" s="39" t="str">
        <f>IFERROR(ödev!CY52*100/ödev!$I52,"")</f>
        <v/>
      </c>
      <c r="CO456" s="39" t="str">
        <f>IFERROR(ödev!CZ52*100/ödev!$I52,"")</f>
        <v/>
      </c>
      <c r="CP456" s="39" t="str">
        <f>IFERROR(ödev!DA52*100/ödev!$I52,"")</f>
        <v/>
      </c>
      <c r="CQ456" s="39" t="str">
        <f>IFERROR(ödev!DB52*100/ödev!$I52,"")</f>
        <v/>
      </c>
      <c r="CR456" s="39" t="str">
        <f>IFERROR(ödev!DC52*100/ödev!$I52,"")</f>
        <v/>
      </c>
      <c r="CS456" s="39" t="str">
        <f>IFERROR(ödev!DD52*100/ödev!$I52,"")</f>
        <v/>
      </c>
      <c r="CT456" s="39" t="str">
        <f>IFERROR(ödev!DE52*100/ödev!$I52,"")</f>
        <v/>
      </c>
      <c r="CU456" s="39" t="str">
        <f>IFERROR(ödev!DF52*100/ödev!$I52,"")</f>
        <v/>
      </c>
      <c r="CV456" s="39" t="str">
        <f>IFERROR(ödev!DG52*100/ödev!$I52,"")</f>
        <v/>
      </c>
      <c r="CW456" s="36" t="str">
        <f>IFERROR(SUM(A456:CV456)/ödev!$DH$103,"")</f>
        <v/>
      </c>
      <c r="CX456" s="14" t="str">
        <f>IF(COUNTA(ödev!A52),ödev!A52,"")</f>
        <v/>
      </c>
      <c r="CY456" s="14" t="str">
        <f>IF(COUNTA(ödev!B52),ödev!B52,"")</f>
        <v/>
      </c>
      <c r="CZ456" s="14" t="str">
        <f>IF(COUNTA(ödev!C52),ödev!C52,"")</f>
        <v/>
      </c>
      <c r="DA456" s="14" t="str">
        <f>IF(COUNTA(ödev!D52),ödev!D52,"")</f>
        <v/>
      </c>
      <c r="DB456" s="14" t="str">
        <f>IF(COUNTA(ödev!E52),ödev!E52,"")</f>
        <v/>
      </c>
      <c r="DC456" s="14" t="str">
        <f>IF(COUNTA(ödev!F52),ödev!F52,"")</f>
        <v/>
      </c>
      <c r="DD456" s="14" t="str">
        <f>IF(COUNTA(ödev!G52),ödev!G52,"")</f>
        <v/>
      </c>
      <c r="DE456" s="14" t="str">
        <f>IF(COUNTA(ödev!H52),ödev!H52,"")</f>
        <v/>
      </c>
    </row>
    <row r="457" spans="1:109" x14ac:dyDescent="0.2">
      <c r="A457" s="39" t="str">
        <f>IFERROR(ödev!L53*100/ödev!$I53,"")</f>
        <v/>
      </c>
      <c r="B457" s="39" t="str">
        <f>IFERROR(ödev!M53*100/ödev!$I53,"")</f>
        <v/>
      </c>
      <c r="C457" s="39" t="str">
        <f>IFERROR(ödev!N53*100/ödev!$I53,"")</f>
        <v/>
      </c>
      <c r="D457" s="39" t="str">
        <f>IFERROR(ödev!O53*100/ödev!$I53,"")</f>
        <v/>
      </c>
      <c r="E457" s="39" t="str">
        <f>IFERROR(ödev!P53*100/ödev!$I53,"")</f>
        <v/>
      </c>
      <c r="F457" s="39" t="str">
        <f>IFERROR(ödev!Q53*100/ödev!$I53,"")</f>
        <v/>
      </c>
      <c r="G457" s="39" t="str">
        <f>IFERROR(ödev!R53*100/ödev!$I53,"")</f>
        <v/>
      </c>
      <c r="H457" s="39" t="str">
        <f>IFERROR(ödev!S53*100/ödev!$I53,"")</f>
        <v/>
      </c>
      <c r="I457" s="39" t="str">
        <f>IFERROR(ödev!T53*100/ödev!$I53,"")</f>
        <v/>
      </c>
      <c r="J457" s="39" t="str">
        <f>IFERROR(ödev!U53*100/ödev!$I53,"")</f>
        <v/>
      </c>
      <c r="K457" s="39" t="str">
        <f>IFERROR(ödev!V53*100/ödev!$I53,"")</f>
        <v/>
      </c>
      <c r="L457" s="39" t="str">
        <f>IFERROR(ödev!W53*100/ödev!$I53,"")</f>
        <v/>
      </c>
      <c r="M457" s="39" t="str">
        <f>IFERROR(ödev!X53*100/ödev!$I53,"")</f>
        <v/>
      </c>
      <c r="N457" s="39" t="str">
        <f>IFERROR(ödev!Y53*100/ödev!$I53,"")</f>
        <v/>
      </c>
      <c r="O457" s="39" t="str">
        <f>IFERROR(ödev!Z53*100/ödev!$I53,"")</f>
        <v/>
      </c>
      <c r="P457" s="39" t="str">
        <f>IFERROR(ödev!AA53*100/ödev!$I53,"")</f>
        <v/>
      </c>
      <c r="Q457" s="39" t="str">
        <f>IFERROR(ödev!AB53*100/ödev!$I53,"")</f>
        <v/>
      </c>
      <c r="R457" s="39" t="str">
        <f>IFERROR(ödev!AC53*100/ödev!$I53,"")</f>
        <v/>
      </c>
      <c r="S457" s="39" t="str">
        <f>IFERROR(ödev!AD53*100/ödev!$I53,"")</f>
        <v/>
      </c>
      <c r="T457" s="39" t="str">
        <f>IFERROR(ödev!AE53*100/ödev!$I53,"")</f>
        <v/>
      </c>
      <c r="U457" s="39" t="str">
        <f>IFERROR(ödev!AF53*100/ödev!$I53,"")</f>
        <v/>
      </c>
      <c r="V457" s="39" t="str">
        <f>IFERROR(ödev!AG53*100/ödev!$I53,"")</f>
        <v/>
      </c>
      <c r="W457" s="39" t="str">
        <f>IFERROR(ödev!AH53*100/ödev!$I53,"")</f>
        <v/>
      </c>
      <c r="X457" s="39" t="str">
        <f>IFERROR(ödev!AI53*100/ödev!$I53,"")</f>
        <v/>
      </c>
      <c r="Y457" s="39" t="str">
        <f>IFERROR(ödev!AJ53*100/ödev!$I53,"")</f>
        <v/>
      </c>
      <c r="Z457" s="39" t="str">
        <f>IFERROR(ödev!AK53*100/ödev!$I53,"")</f>
        <v/>
      </c>
      <c r="AA457" s="39" t="str">
        <f>IFERROR(ödev!AL53*100/ödev!$I53,"")</f>
        <v/>
      </c>
      <c r="AB457" s="39" t="str">
        <f>IFERROR(ödev!AM53*100/ödev!$I53,"")</f>
        <v/>
      </c>
      <c r="AC457" s="39" t="str">
        <f>IFERROR(ödev!AN53*100/ödev!$I53,"")</f>
        <v/>
      </c>
      <c r="AD457" s="39" t="str">
        <f>IFERROR(ödev!AO53*100/ödev!$I53,"")</f>
        <v/>
      </c>
      <c r="AE457" s="39" t="str">
        <f>IFERROR(ödev!AP53*100/ödev!$I53,"")</f>
        <v/>
      </c>
      <c r="AF457" s="39" t="str">
        <f>IFERROR(ödev!AQ53*100/ödev!$I53,"")</f>
        <v/>
      </c>
      <c r="AG457" s="39" t="str">
        <f>IFERROR(ödev!AR53*100/ödev!$I53,"")</f>
        <v/>
      </c>
      <c r="AH457" s="39" t="str">
        <f>IFERROR(ödev!AS53*100/ödev!$I53,"")</f>
        <v/>
      </c>
      <c r="AI457" s="39" t="str">
        <f>IFERROR(ödev!AT53*100/ödev!$I53,"")</f>
        <v/>
      </c>
      <c r="AJ457" s="39" t="str">
        <f>IFERROR(ödev!AU53*100/ödev!$I53,"")</f>
        <v/>
      </c>
      <c r="AK457" s="39" t="str">
        <f>IFERROR(ödev!AV53*100/ödev!$I53,"")</f>
        <v/>
      </c>
      <c r="AL457" s="39" t="str">
        <f>IFERROR(ödev!AW53*100/ödev!$I53,"")</f>
        <v/>
      </c>
      <c r="AM457" s="39" t="str">
        <f>IFERROR(ödev!AX53*100/ödev!$I53,"")</f>
        <v/>
      </c>
      <c r="AN457" s="39" t="str">
        <f>IFERROR(ödev!AY53*100/ödev!$I53,"")</f>
        <v/>
      </c>
      <c r="AO457" s="39" t="str">
        <f>IFERROR(ödev!AZ53*100/ödev!$I53,"")</f>
        <v/>
      </c>
      <c r="AP457" s="39" t="str">
        <f>IFERROR(ödev!BA53*100/ödev!$I53,"")</f>
        <v/>
      </c>
      <c r="AQ457" s="39" t="str">
        <f>IFERROR(ödev!BB53*100/ödev!$I53,"")</f>
        <v/>
      </c>
      <c r="AR457" s="39" t="str">
        <f>IFERROR(ödev!BC53*100/ödev!$I53,"")</f>
        <v/>
      </c>
      <c r="AS457" s="39" t="str">
        <f>IFERROR(ödev!BD53*100/ödev!$I53,"")</f>
        <v/>
      </c>
      <c r="AT457" s="39" t="str">
        <f>IFERROR(ödev!BE53*100/ödev!$I53,"")</f>
        <v/>
      </c>
      <c r="AU457" s="39" t="str">
        <f>IFERROR(ödev!BF53*100/ödev!$I53,"")</f>
        <v/>
      </c>
      <c r="AV457" s="39" t="str">
        <f>IFERROR(ödev!BG53*100/ödev!$I53,"")</f>
        <v/>
      </c>
      <c r="AW457" s="39" t="str">
        <f>IFERROR(ödev!BH53*100/ödev!$I53,"")</f>
        <v/>
      </c>
      <c r="AX457" s="39" t="str">
        <f>IFERROR(ödev!BI53*100/ödev!$I53,"")</f>
        <v/>
      </c>
      <c r="AY457" s="39" t="str">
        <f>IFERROR(ödev!BJ53*100/ödev!$I53,"")</f>
        <v/>
      </c>
      <c r="AZ457" s="39" t="str">
        <f>IFERROR(ödev!BK53*100/ödev!$I53,"")</f>
        <v/>
      </c>
      <c r="BA457" s="39" t="str">
        <f>IFERROR(ödev!BL53*100/ödev!$I53,"")</f>
        <v/>
      </c>
      <c r="BB457" s="39" t="str">
        <f>IFERROR(ödev!BM53*100/ödev!$I53,"")</f>
        <v/>
      </c>
      <c r="BC457" s="39" t="str">
        <f>IFERROR(ödev!BN53*100/ödev!$I53,"")</f>
        <v/>
      </c>
      <c r="BD457" s="39" t="str">
        <f>IFERROR(ödev!BO53*100/ödev!$I53,"")</f>
        <v/>
      </c>
      <c r="BE457" s="39" t="str">
        <f>IFERROR(ödev!BP53*100/ödev!$I53,"")</f>
        <v/>
      </c>
      <c r="BF457" s="39" t="str">
        <f>IFERROR(ödev!BQ53*100/ödev!$I53,"")</f>
        <v/>
      </c>
      <c r="BG457" s="39" t="str">
        <f>IFERROR(ödev!BR53*100/ödev!$I53,"")</f>
        <v/>
      </c>
      <c r="BH457" s="39" t="str">
        <f>IFERROR(ödev!BS53*100/ödev!$I53,"")</f>
        <v/>
      </c>
      <c r="BI457" s="39" t="str">
        <f>IFERROR(ödev!BT53*100/ödev!$I53,"")</f>
        <v/>
      </c>
      <c r="BJ457" s="39" t="str">
        <f>IFERROR(ödev!BU53*100/ödev!$I53,"")</f>
        <v/>
      </c>
      <c r="BK457" s="39" t="str">
        <f>IFERROR(ödev!BV53*100/ödev!$I53,"")</f>
        <v/>
      </c>
      <c r="BL457" s="39" t="str">
        <f>IFERROR(ödev!BW53*100/ödev!$I53,"")</f>
        <v/>
      </c>
      <c r="BM457" s="39" t="str">
        <f>IFERROR(ödev!BX53*100/ödev!$I53,"")</f>
        <v/>
      </c>
      <c r="BN457" s="39" t="str">
        <f>IFERROR(ödev!BY53*100/ödev!$I53,"")</f>
        <v/>
      </c>
      <c r="BO457" s="39" t="str">
        <f>IFERROR(ödev!BZ53*100/ödev!$I53,"")</f>
        <v/>
      </c>
      <c r="BP457" s="39" t="str">
        <f>IFERROR(ödev!CA53*100/ödev!$I53,"")</f>
        <v/>
      </c>
      <c r="BQ457" s="39" t="str">
        <f>IFERROR(ödev!CB53*100/ödev!$I53,"")</f>
        <v/>
      </c>
      <c r="BR457" s="39" t="str">
        <f>IFERROR(ödev!CC53*100/ödev!$I53,"")</f>
        <v/>
      </c>
      <c r="BS457" s="39" t="str">
        <f>IFERROR(ödev!CD53*100/ödev!$I53,"")</f>
        <v/>
      </c>
      <c r="BT457" s="39" t="str">
        <f>IFERROR(ödev!CE53*100/ödev!$I53,"")</f>
        <v/>
      </c>
      <c r="BU457" s="39" t="str">
        <f>IFERROR(ödev!CF53*100/ödev!$I53,"")</f>
        <v/>
      </c>
      <c r="BV457" s="39" t="str">
        <f>IFERROR(ödev!CG53*100/ödev!$I53,"")</f>
        <v/>
      </c>
      <c r="BW457" s="39" t="str">
        <f>IFERROR(ödev!CH53*100/ödev!$I53,"")</f>
        <v/>
      </c>
      <c r="BX457" s="39" t="str">
        <f>IFERROR(ödev!CI53*100/ödev!$I53,"")</f>
        <v/>
      </c>
      <c r="BY457" s="39" t="str">
        <f>IFERROR(ödev!CJ53*100/ödev!$I53,"")</f>
        <v/>
      </c>
      <c r="BZ457" s="39" t="str">
        <f>IFERROR(ödev!CK53*100/ödev!$I53,"")</f>
        <v/>
      </c>
      <c r="CA457" s="39" t="str">
        <f>IFERROR(ödev!CL53*100/ödev!$I53,"")</f>
        <v/>
      </c>
      <c r="CB457" s="39" t="str">
        <f>IFERROR(ödev!CM53*100/ödev!$I53,"")</f>
        <v/>
      </c>
      <c r="CC457" s="39" t="str">
        <f>IFERROR(ödev!CN53*100/ödev!$I53,"")</f>
        <v/>
      </c>
      <c r="CD457" s="39" t="str">
        <f>IFERROR(ödev!CO53*100/ödev!$I53,"")</f>
        <v/>
      </c>
      <c r="CE457" s="39" t="str">
        <f>IFERROR(ödev!CP53*100/ödev!$I53,"")</f>
        <v/>
      </c>
      <c r="CF457" s="39" t="str">
        <f>IFERROR(ödev!CQ53*100/ödev!$I53,"")</f>
        <v/>
      </c>
      <c r="CG457" s="39" t="str">
        <f>IFERROR(ödev!CR53*100/ödev!$I53,"")</f>
        <v/>
      </c>
      <c r="CH457" s="39" t="str">
        <f>IFERROR(ödev!CS53*100/ödev!$I53,"")</f>
        <v/>
      </c>
      <c r="CI457" s="39" t="str">
        <f>IFERROR(ödev!CT53*100/ödev!$I53,"")</f>
        <v/>
      </c>
      <c r="CJ457" s="39" t="str">
        <f>IFERROR(ödev!CU53*100/ödev!$I53,"")</f>
        <v/>
      </c>
      <c r="CK457" s="39" t="str">
        <f>IFERROR(ödev!CV53*100/ödev!$I53,"")</f>
        <v/>
      </c>
      <c r="CL457" s="39" t="str">
        <f>IFERROR(ödev!CW53*100/ödev!$I53,"")</f>
        <v/>
      </c>
      <c r="CM457" s="39" t="str">
        <f>IFERROR(ödev!CX53*100/ödev!$I53,"")</f>
        <v/>
      </c>
      <c r="CN457" s="39" t="str">
        <f>IFERROR(ödev!CY53*100/ödev!$I53,"")</f>
        <v/>
      </c>
      <c r="CO457" s="39" t="str">
        <f>IFERROR(ödev!CZ53*100/ödev!$I53,"")</f>
        <v/>
      </c>
      <c r="CP457" s="39" t="str">
        <f>IFERROR(ödev!DA53*100/ödev!$I53,"")</f>
        <v/>
      </c>
      <c r="CQ457" s="39" t="str">
        <f>IFERROR(ödev!DB53*100/ödev!$I53,"")</f>
        <v/>
      </c>
      <c r="CR457" s="39" t="str">
        <f>IFERROR(ödev!DC53*100/ödev!$I53,"")</f>
        <v/>
      </c>
      <c r="CS457" s="39" t="str">
        <f>IFERROR(ödev!DD53*100/ödev!$I53,"")</f>
        <v/>
      </c>
      <c r="CT457" s="39" t="str">
        <f>IFERROR(ödev!DE53*100/ödev!$I53,"")</f>
        <v/>
      </c>
      <c r="CU457" s="39" t="str">
        <f>IFERROR(ödev!DF53*100/ödev!$I53,"")</f>
        <v/>
      </c>
      <c r="CV457" s="39" t="str">
        <f>IFERROR(ödev!DG53*100/ödev!$I53,"")</f>
        <v/>
      </c>
      <c r="CW457" s="36" t="str">
        <f>IFERROR(SUM(A457:CV457)/ödev!$DH$103,"")</f>
        <v/>
      </c>
      <c r="CX457" s="14" t="str">
        <f>IF(COUNTA(ödev!A53),ödev!A53,"")</f>
        <v/>
      </c>
      <c r="CY457" s="14" t="str">
        <f>IF(COUNTA(ödev!B53),ödev!B53,"")</f>
        <v/>
      </c>
      <c r="CZ457" s="14" t="str">
        <f>IF(COUNTA(ödev!C53),ödev!C53,"")</f>
        <v/>
      </c>
      <c r="DA457" s="14" t="str">
        <f>IF(COUNTA(ödev!D53),ödev!D53,"")</f>
        <v/>
      </c>
      <c r="DB457" s="14" t="str">
        <f>IF(COUNTA(ödev!E53),ödev!E53,"")</f>
        <v/>
      </c>
      <c r="DC457" s="14" t="str">
        <f>IF(COUNTA(ödev!F53),ödev!F53,"")</f>
        <v/>
      </c>
      <c r="DD457" s="14" t="str">
        <f>IF(COUNTA(ödev!G53),ödev!G53,"")</f>
        <v/>
      </c>
      <c r="DE457" s="14" t="str">
        <f>IF(COUNTA(ödev!H53),ödev!H53,"")</f>
        <v/>
      </c>
    </row>
    <row r="458" spans="1:109" x14ac:dyDescent="0.2">
      <c r="A458" s="39" t="str">
        <f>IFERROR(ödev!L54*100/ödev!$I54,"")</f>
        <v/>
      </c>
      <c r="B458" s="39" t="str">
        <f>IFERROR(ödev!M54*100/ödev!$I54,"")</f>
        <v/>
      </c>
      <c r="C458" s="39" t="str">
        <f>IFERROR(ödev!N54*100/ödev!$I54,"")</f>
        <v/>
      </c>
      <c r="D458" s="39" t="str">
        <f>IFERROR(ödev!O54*100/ödev!$I54,"")</f>
        <v/>
      </c>
      <c r="E458" s="39" t="str">
        <f>IFERROR(ödev!P54*100/ödev!$I54,"")</f>
        <v/>
      </c>
      <c r="F458" s="39" t="str">
        <f>IFERROR(ödev!Q54*100/ödev!$I54,"")</f>
        <v/>
      </c>
      <c r="G458" s="39" t="str">
        <f>IFERROR(ödev!R54*100/ödev!$I54,"")</f>
        <v/>
      </c>
      <c r="H458" s="39" t="str">
        <f>IFERROR(ödev!S54*100/ödev!$I54,"")</f>
        <v/>
      </c>
      <c r="I458" s="39" t="str">
        <f>IFERROR(ödev!T54*100/ödev!$I54,"")</f>
        <v/>
      </c>
      <c r="J458" s="39" t="str">
        <f>IFERROR(ödev!U54*100/ödev!$I54,"")</f>
        <v/>
      </c>
      <c r="K458" s="39" t="str">
        <f>IFERROR(ödev!V54*100/ödev!$I54,"")</f>
        <v/>
      </c>
      <c r="L458" s="39" t="str">
        <f>IFERROR(ödev!W54*100/ödev!$I54,"")</f>
        <v/>
      </c>
      <c r="M458" s="39" t="str">
        <f>IFERROR(ödev!X54*100/ödev!$I54,"")</f>
        <v/>
      </c>
      <c r="N458" s="39" t="str">
        <f>IFERROR(ödev!Y54*100/ödev!$I54,"")</f>
        <v/>
      </c>
      <c r="O458" s="39" t="str">
        <f>IFERROR(ödev!Z54*100/ödev!$I54,"")</f>
        <v/>
      </c>
      <c r="P458" s="39" t="str">
        <f>IFERROR(ödev!AA54*100/ödev!$I54,"")</f>
        <v/>
      </c>
      <c r="Q458" s="39" t="str">
        <f>IFERROR(ödev!AB54*100/ödev!$I54,"")</f>
        <v/>
      </c>
      <c r="R458" s="39" t="str">
        <f>IFERROR(ödev!AC54*100/ödev!$I54,"")</f>
        <v/>
      </c>
      <c r="S458" s="39" t="str">
        <f>IFERROR(ödev!AD54*100/ödev!$I54,"")</f>
        <v/>
      </c>
      <c r="T458" s="39" t="str">
        <f>IFERROR(ödev!AE54*100/ödev!$I54,"")</f>
        <v/>
      </c>
      <c r="U458" s="39" t="str">
        <f>IFERROR(ödev!AF54*100/ödev!$I54,"")</f>
        <v/>
      </c>
      <c r="V458" s="39" t="str">
        <f>IFERROR(ödev!AG54*100/ödev!$I54,"")</f>
        <v/>
      </c>
      <c r="W458" s="39" t="str">
        <f>IFERROR(ödev!AH54*100/ödev!$I54,"")</f>
        <v/>
      </c>
      <c r="X458" s="39" t="str">
        <f>IFERROR(ödev!AI54*100/ödev!$I54,"")</f>
        <v/>
      </c>
      <c r="Y458" s="39" t="str">
        <f>IFERROR(ödev!AJ54*100/ödev!$I54,"")</f>
        <v/>
      </c>
      <c r="Z458" s="39" t="str">
        <f>IFERROR(ödev!AK54*100/ödev!$I54,"")</f>
        <v/>
      </c>
      <c r="AA458" s="39" t="str">
        <f>IFERROR(ödev!AL54*100/ödev!$I54,"")</f>
        <v/>
      </c>
      <c r="AB458" s="39" t="str">
        <f>IFERROR(ödev!AM54*100/ödev!$I54,"")</f>
        <v/>
      </c>
      <c r="AC458" s="39" t="str">
        <f>IFERROR(ödev!AN54*100/ödev!$I54,"")</f>
        <v/>
      </c>
      <c r="AD458" s="39" t="str">
        <f>IFERROR(ödev!AO54*100/ödev!$I54,"")</f>
        <v/>
      </c>
      <c r="AE458" s="39" t="str">
        <f>IFERROR(ödev!AP54*100/ödev!$I54,"")</f>
        <v/>
      </c>
      <c r="AF458" s="39" t="str">
        <f>IFERROR(ödev!AQ54*100/ödev!$I54,"")</f>
        <v/>
      </c>
      <c r="AG458" s="39" t="str">
        <f>IFERROR(ödev!AR54*100/ödev!$I54,"")</f>
        <v/>
      </c>
      <c r="AH458" s="39" t="str">
        <f>IFERROR(ödev!AS54*100/ödev!$I54,"")</f>
        <v/>
      </c>
      <c r="AI458" s="39" t="str">
        <f>IFERROR(ödev!AT54*100/ödev!$I54,"")</f>
        <v/>
      </c>
      <c r="AJ458" s="39" t="str">
        <f>IFERROR(ödev!AU54*100/ödev!$I54,"")</f>
        <v/>
      </c>
      <c r="AK458" s="39" t="str">
        <f>IFERROR(ödev!AV54*100/ödev!$I54,"")</f>
        <v/>
      </c>
      <c r="AL458" s="39" t="str">
        <f>IFERROR(ödev!AW54*100/ödev!$I54,"")</f>
        <v/>
      </c>
      <c r="AM458" s="39" t="str">
        <f>IFERROR(ödev!AX54*100/ödev!$I54,"")</f>
        <v/>
      </c>
      <c r="AN458" s="39" t="str">
        <f>IFERROR(ödev!AY54*100/ödev!$I54,"")</f>
        <v/>
      </c>
      <c r="AO458" s="39" t="str">
        <f>IFERROR(ödev!AZ54*100/ödev!$I54,"")</f>
        <v/>
      </c>
      <c r="AP458" s="39" t="str">
        <f>IFERROR(ödev!BA54*100/ödev!$I54,"")</f>
        <v/>
      </c>
      <c r="AQ458" s="39" t="str">
        <f>IFERROR(ödev!BB54*100/ödev!$I54,"")</f>
        <v/>
      </c>
      <c r="AR458" s="39" t="str">
        <f>IFERROR(ödev!BC54*100/ödev!$I54,"")</f>
        <v/>
      </c>
      <c r="AS458" s="39" t="str">
        <f>IFERROR(ödev!BD54*100/ödev!$I54,"")</f>
        <v/>
      </c>
      <c r="AT458" s="39" t="str">
        <f>IFERROR(ödev!BE54*100/ödev!$I54,"")</f>
        <v/>
      </c>
      <c r="AU458" s="39" t="str">
        <f>IFERROR(ödev!BF54*100/ödev!$I54,"")</f>
        <v/>
      </c>
      <c r="AV458" s="39" t="str">
        <f>IFERROR(ödev!BG54*100/ödev!$I54,"")</f>
        <v/>
      </c>
      <c r="AW458" s="39" t="str">
        <f>IFERROR(ödev!BH54*100/ödev!$I54,"")</f>
        <v/>
      </c>
      <c r="AX458" s="39" t="str">
        <f>IFERROR(ödev!BI54*100/ödev!$I54,"")</f>
        <v/>
      </c>
      <c r="AY458" s="39" t="str">
        <f>IFERROR(ödev!BJ54*100/ödev!$I54,"")</f>
        <v/>
      </c>
      <c r="AZ458" s="39" t="str">
        <f>IFERROR(ödev!BK54*100/ödev!$I54,"")</f>
        <v/>
      </c>
      <c r="BA458" s="39" t="str">
        <f>IFERROR(ödev!BL54*100/ödev!$I54,"")</f>
        <v/>
      </c>
      <c r="BB458" s="39" t="str">
        <f>IFERROR(ödev!BM54*100/ödev!$I54,"")</f>
        <v/>
      </c>
      <c r="BC458" s="39" t="str">
        <f>IFERROR(ödev!BN54*100/ödev!$I54,"")</f>
        <v/>
      </c>
      <c r="BD458" s="39" t="str">
        <f>IFERROR(ödev!BO54*100/ödev!$I54,"")</f>
        <v/>
      </c>
      <c r="BE458" s="39" t="str">
        <f>IFERROR(ödev!BP54*100/ödev!$I54,"")</f>
        <v/>
      </c>
      <c r="BF458" s="39" t="str">
        <f>IFERROR(ödev!BQ54*100/ödev!$I54,"")</f>
        <v/>
      </c>
      <c r="BG458" s="39" t="str">
        <f>IFERROR(ödev!BR54*100/ödev!$I54,"")</f>
        <v/>
      </c>
      <c r="BH458" s="39" t="str">
        <f>IFERROR(ödev!BS54*100/ödev!$I54,"")</f>
        <v/>
      </c>
      <c r="BI458" s="39" t="str">
        <f>IFERROR(ödev!BT54*100/ödev!$I54,"")</f>
        <v/>
      </c>
      <c r="BJ458" s="39" t="str">
        <f>IFERROR(ödev!BU54*100/ödev!$I54,"")</f>
        <v/>
      </c>
      <c r="BK458" s="39" t="str">
        <f>IFERROR(ödev!BV54*100/ödev!$I54,"")</f>
        <v/>
      </c>
      <c r="BL458" s="39" t="str">
        <f>IFERROR(ödev!BW54*100/ödev!$I54,"")</f>
        <v/>
      </c>
      <c r="BM458" s="39" t="str">
        <f>IFERROR(ödev!BX54*100/ödev!$I54,"")</f>
        <v/>
      </c>
      <c r="BN458" s="39" t="str">
        <f>IFERROR(ödev!BY54*100/ödev!$I54,"")</f>
        <v/>
      </c>
      <c r="BO458" s="39" t="str">
        <f>IFERROR(ödev!BZ54*100/ödev!$I54,"")</f>
        <v/>
      </c>
      <c r="BP458" s="39" t="str">
        <f>IFERROR(ödev!CA54*100/ödev!$I54,"")</f>
        <v/>
      </c>
      <c r="BQ458" s="39" t="str">
        <f>IFERROR(ödev!CB54*100/ödev!$I54,"")</f>
        <v/>
      </c>
      <c r="BR458" s="39" t="str">
        <f>IFERROR(ödev!CC54*100/ödev!$I54,"")</f>
        <v/>
      </c>
      <c r="BS458" s="39" t="str">
        <f>IFERROR(ödev!CD54*100/ödev!$I54,"")</f>
        <v/>
      </c>
      <c r="BT458" s="39" t="str">
        <f>IFERROR(ödev!CE54*100/ödev!$I54,"")</f>
        <v/>
      </c>
      <c r="BU458" s="39" t="str">
        <f>IFERROR(ödev!CF54*100/ödev!$I54,"")</f>
        <v/>
      </c>
      <c r="BV458" s="39" t="str">
        <f>IFERROR(ödev!CG54*100/ödev!$I54,"")</f>
        <v/>
      </c>
      <c r="BW458" s="39" t="str">
        <f>IFERROR(ödev!CH54*100/ödev!$I54,"")</f>
        <v/>
      </c>
      <c r="BX458" s="39" t="str">
        <f>IFERROR(ödev!CI54*100/ödev!$I54,"")</f>
        <v/>
      </c>
      <c r="BY458" s="39" t="str">
        <f>IFERROR(ödev!CJ54*100/ödev!$I54,"")</f>
        <v/>
      </c>
      <c r="BZ458" s="39" t="str">
        <f>IFERROR(ödev!CK54*100/ödev!$I54,"")</f>
        <v/>
      </c>
      <c r="CA458" s="39" t="str">
        <f>IFERROR(ödev!CL54*100/ödev!$I54,"")</f>
        <v/>
      </c>
      <c r="CB458" s="39" t="str">
        <f>IFERROR(ödev!CM54*100/ödev!$I54,"")</f>
        <v/>
      </c>
      <c r="CC458" s="39" t="str">
        <f>IFERROR(ödev!CN54*100/ödev!$I54,"")</f>
        <v/>
      </c>
      <c r="CD458" s="39" t="str">
        <f>IFERROR(ödev!CO54*100/ödev!$I54,"")</f>
        <v/>
      </c>
      <c r="CE458" s="39" t="str">
        <f>IFERROR(ödev!CP54*100/ödev!$I54,"")</f>
        <v/>
      </c>
      <c r="CF458" s="39" t="str">
        <f>IFERROR(ödev!CQ54*100/ödev!$I54,"")</f>
        <v/>
      </c>
      <c r="CG458" s="39" t="str">
        <f>IFERROR(ödev!CR54*100/ödev!$I54,"")</f>
        <v/>
      </c>
      <c r="CH458" s="39" t="str">
        <f>IFERROR(ödev!CS54*100/ödev!$I54,"")</f>
        <v/>
      </c>
      <c r="CI458" s="39" t="str">
        <f>IFERROR(ödev!CT54*100/ödev!$I54,"")</f>
        <v/>
      </c>
      <c r="CJ458" s="39" t="str">
        <f>IFERROR(ödev!CU54*100/ödev!$I54,"")</f>
        <v/>
      </c>
      <c r="CK458" s="39" t="str">
        <f>IFERROR(ödev!CV54*100/ödev!$I54,"")</f>
        <v/>
      </c>
      <c r="CL458" s="39" t="str">
        <f>IFERROR(ödev!CW54*100/ödev!$I54,"")</f>
        <v/>
      </c>
      <c r="CM458" s="39" t="str">
        <f>IFERROR(ödev!CX54*100/ödev!$I54,"")</f>
        <v/>
      </c>
      <c r="CN458" s="39" t="str">
        <f>IFERROR(ödev!CY54*100/ödev!$I54,"")</f>
        <v/>
      </c>
      <c r="CO458" s="39" t="str">
        <f>IFERROR(ödev!CZ54*100/ödev!$I54,"")</f>
        <v/>
      </c>
      <c r="CP458" s="39" t="str">
        <f>IFERROR(ödev!DA54*100/ödev!$I54,"")</f>
        <v/>
      </c>
      <c r="CQ458" s="39" t="str">
        <f>IFERROR(ödev!DB54*100/ödev!$I54,"")</f>
        <v/>
      </c>
      <c r="CR458" s="39" t="str">
        <f>IFERROR(ödev!DC54*100/ödev!$I54,"")</f>
        <v/>
      </c>
      <c r="CS458" s="39" t="str">
        <f>IFERROR(ödev!DD54*100/ödev!$I54,"")</f>
        <v/>
      </c>
      <c r="CT458" s="39" t="str">
        <f>IFERROR(ödev!DE54*100/ödev!$I54,"")</f>
        <v/>
      </c>
      <c r="CU458" s="39" t="str">
        <f>IFERROR(ödev!DF54*100/ödev!$I54,"")</f>
        <v/>
      </c>
      <c r="CV458" s="39" t="str">
        <f>IFERROR(ödev!DG54*100/ödev!$I54,"")</f>
        <v/>
      </c>
      <c r="CW458" s="36" t="str">
        <f>IFERROR(SUM(A458:CV458)/ödev!$DH$103,"")</f>
        <v/>
      </c>
      <c r="CX458" s="14" t="str">
        <f>IF(COUNTA(ödev!A54),ödev!A54,"")</f>
        <v/>
      </c>
      <c r="CY458" s="14" t="str">
        <f>IF(COUNTA(ödev!B54),ödev!B54,"")</f>
        <v/>
      </c>
      <c r="CZ458" s="14" t="str">
        <f>IF(COUNTA(ödev!C54),ödev!C54,"")</f>
        <v/>
      </c>
      <c r="DA458" s="14" t="str">
        <f>IF(COUNTA(ödev!D54),ödev!D54,"")</f>
        <v/>
      </c>
      <c r="DB458" s="14" t="str">
        <f>IF(COUNTA(ödev!E54),ödev!E54,"")</f>
        <v/>
      </c>
      <c r="DC458" s="14" t="str">
        <f>IF(COUNTA(ödev!F54),ödev!F54,"")</f>
        <v/>
      </c>
      <c r="DD458" s="14" t="str">
        <f>IF(COUNTA(ödev!G54),ödev!G54,"")</f>
        <v/>
      </c>
      <c r="DE458" s="14" t="str">
        <f>IF(COUNTA(ödev!H54),ödev!H54,"")</f>
        <v/>
      </c>
    </row>
    <row r="459" spans="1:109" x14ac:dyDescent="0.2">
      <c r="A459" s="39" t="str">
        <f>IFERROR(ödev!L55*100/ödev!$I55,"")</f>
        <v/>
      </c>
      <c r="B459" s="39" t="str">
        <f>IFERROR(ödev!M55*100/ödev!$I55,"")</f>
        <v/>
      </c>
      <c r="C459" s="39" t="str">
        <f>IFERROR(ödev!N55*100/ödev!$I55,"")</f>
        <v/>
      </c>
      <c r="D459" s="39" t="str">
        <f>IFERROR(ödev!O55*100/ödev!$I55,"")</f>
        <v/>
      </c>
      <c r="E459" s="39" t="str">
        <f>IFERROR(ödev!P55*100/ödev!$I55,"")</f>
        <v/>
      </c>
      <c r="F459" s="39" t="str">
        <f>IFERROR(ödev!Q55*100/ödev!$I55,"")</f>
        <v/>
      </c>
      <c r="G459" s="39" t="str">
        <f>IFERROR(ödev!R55*100/ödev!$I55,"")</f>
        <v/>
      </c>
      <c r="H459" s="39" t="str">
        <f>IFERROR(ödev!S55*100/ödev!$I55,"")</f>
        <v/>
      </c>
      <c r="I459" s="39" t="str">
        <f>IFERROR(ödev!T55*100/ödev!$I55,"")</f>
        <v/>
      </c>
      <c r="J459" s="39" t="str">
        <f>IFERROR(ödev!U55*100/ödev!$I55,"")</f>
        <v/>
      </c>
      <c r="K459" s="39" t="str">
        <f>IFERROR(ödev!V55*100/ödev!$I55,"")</f>
        <v/>
      </c>
      <c r="L459" s="39" t="str">
        <f>IFERROR(ödev!W55*100/ödev!$I55,"")</f>
        <v/>
      </c>
      <c r="M459" s="39" t="str">
        <f>IFERROR(ödev!X55*100/ödev!$I55,"")</f>
        <v/>
      </c>
      <c r="N459" s="39" t="str">
        <f>IFERROR(ödev!Y55*100/ödev!$I55,"")</f>
        <v/>
      </c>
      <c r="O459" s="39" t="str">
        <f>IFERROR(ödev!Z55*100/ödev!$I55,"")</f>
        <v/>
      </c>
      <c r="P459" s="39" t="str">
        <f>IFERROR(ödev!AA55*100/ödev!$I55,"")</f>
        <v/>
      </c>
      <c r="Q459" s="39" t="str">
        <f>IFERROR(ödev!AB55*100/ödev!$I55,"")</f>
        <v/>
      </c>
      <c r="R459" s="39" t="str">
        <f>IFERROR(ödev!AC55*100/ödev!$I55,"")</f>
        <v/>
      </c>
      <c r="S459" s="39" t="str">
        <f>IFERROR(ödev!AD55*100/ödev!$I55,"")</f>
        <v/>
      </c>
      <c r="T459" s="39" t="str">
        <f>IFERROR(ödev!AE55*100/ödev!$I55,"")</f>
        <v/>
      </c>
      <c r="U459" s="39" t="str">
        <f>IFERROR(ödev!AF55*100/ödev!$I55,"")</f>
        <v/>
      </c>
      <c r="V459" s="39" t="str">
        <f>IFERROR(ödev!AG55*100/ödev!$I55,"")</f>
        <v/>
      </c>
      <c r="W459" s="39" t="str">
        <f>IFERROR(ödev!AH55*100/ödev!$I55,"")</f>
        <v/>
      </c>
      <c r="X459" s="39" t="str">
        <f>IFERROR(ödev!AI55*100/ödev!$I55,"")</f>
        <v/>
      </c>
      <c r="Y459" s="39" t="str">
        <f>IFERROR(ödev!AJ55*100/ödev!$I55,"")</f>
        <v/>
      </c>
      <c r="Z459" s="39" t="str">
        <f>IFERROR(ödev!AK55*100/ödev!$I55,"")</f>
        <v/>
      </c>
      <c r="AA459" s="39" t="str">
        <f>IFERROR(ödev!AL55*100/ödev!$I55,"")</f>
        <v/>
      </c>
      <c r="AB459" s="39" t="str">
        <f>IFERROR(ödev!AM55*100/ödev!$I55,"")</f>
        <v/>
      </c>
      <c r="AC459" s="39" t="str">
        <f>IFERROR(ödev!AN55*100/ödev!$I55,"")</f>
        <v/>
      </c>
      <c r="AD459" s="39" t="str">
        <f>IFERROR(ödev!AO55*100/ödev!$I55,"")</f>
        <v/>
      </c>
      <c r="AE459" s="39" t="str">
        <f>IFERROR(ödev!AP55*100/ödev!$I55,"")</f>
        <v/>
      </c>
      <c r="AF459" s="39" t="str">
        <f>IFERROR(ödev!AQ55*100/ödev!$I55,"")</f>
        <v/>
      </c>
      <c r="AG459" s="39" t="str">
        <f>IFERROR(ödev!AR55*100/ödev!$I55,"")</f>
        <v/>
      </c>
      <c r="AH459" s="39" t="str">
        <f>IFERROR(ödev!AS55*100/ödev!$I55,"")</f>
        <v/>
      </c>
      <c r="AI459" s="39" t="str">
        <f>IFERROR(ödev!AT55*100/ödev!$I55,"")</f>
        <v/>
      </c>
      <c r="AJ459" s="39" t="str">
        <f>IFERROR(ödev!AU55*100/ödev!$I55,"")</f>
        <v/>
      </c>
      <c r="AK459" s="39" t="str">
        <f>IFERROR(ödev!AV55*100/ödev!$I55,"")</f>
        <v/>
      </c>
      <c r="AL459" s="39" t="str">
        <f>IFERROR(ödev!AW55*100/ödev!$I55,"")</f>
        <v/>
      </c>
      <c r="AM459" s="39" t="str">
        <f>IFERROR(ödev!AX55*100/ödev!$I55,"")</f>
        <v/>
      </c>
      <c r="AN459" s="39" t="str">
        <f>IFERROR(ödev!AY55*100/ödev!$I55,"")</f>
        <v/>
      </c>
      <c r="AO459" s="39" t="str">
        <f>IFERROR(ödev!AZ55*100/ödev!$I55,"")</f>
        <v/>
      </c>
      <c r="AP459" s="39" t="str">
        <f>IFERROR(ödev!BA55*100/ödev!$I55,"")</f>
        <v/>
      </c>
      <c r="AQ459" s="39" t="str">
        <f>IFERROR(ödev!BB55*100/ödev!$I55,"")</f>
        <v/>
      </c>
      <c r="AR459" s="39" t="str">
        <f>IFERROR(ödev!BC55*100/ödev!$I55,"")</f>
        <v/>
      </c>
      <c r="AS459" s="39" t="str">
        <f>IFERROR(ödev!BD55*100/ödev!$I55,"")</f>
        <v/>
      </c>
      <c r="AT459" s="39" t="str">
        <f>IFERROR(ödev!BE55*100/ödev!$I55,"")</f>
        <v/>
      </c>
      <c r="AU459" s="39" t="str">
        <f>IFERROR(ödev!BF55*100/ödev!$I55,"")</f>
        <v/>
      </c>
      <c r="AV459" s="39" t="str">
        <f>IFERROR(ödev!BG55*100/ödev!$I55,"")</f>
        <v/>
      </c>
      <c r="AW459" s="39" t="str">
        <f>IFERROR(ödev!BH55*100/ödev!$I55,"")</f>
        <v/>
      </c>
      <c r="AX459" s="39" t="str">
        <f>IFERROR(ödev!BI55*100/ödev!$I55,"")</f>
        <v/>
      </c>
      <c r="AY459" s="39" t="str">
        <f>IFERROR(ödev!BJ55*100/ödev!$I55,"")</f>
        <v/>
      </c>
      <c r="AZ459" s="39" t="str">
        <f>IFERROR(ödev!BK55*100/ödev!$I55,"")</f>
        <v/>
      </c>
      <c r="BA459" s="39" t="str">
        <f>IFERROR(ödev!BL55*100/ödev!$I55,"")</f>
        <v/>
      </c>
      <c r="BB459" s="39" t="str">
        <f>IFERROR(ödev!BM55*100/ödev!$I55,"")</f>
        <v/>
      </c>
      <c r="BC459" s="39" t="str">
        <f>IFERROR(ödev!BN55*100/ödev!$I55,"")</f>
        <v/>
      </c>
      <c r="BD459" s="39" t="str">
        <f>IFERROR(ödev!BO55*100/ödev!$I55,"")</f>
        <v/>
      </c>
      <c r="BE459" s="39" t="str">
        <f>IFERROR(ödev!BP55*100/ödev!$I55,"")</f>
        <v/>
      </c>
      <c r="BF459" s="39" t="str">
        <f>IFERROR(ödev!BQ55*100/ödev!$I55,"")</f>
        <v/>
      </c>
      <c r="BG459" s="39" t="str">
        <f>IFERROR(ödev!BR55*100/ödev!$I55,"")</f>
        <v/>
      </c>
      <c r="BH459" s="39" t="str">
        <f>IFERROR(ödev!BS55*100/ödev!$I55,"")</f>
        <v/>
      </c>
      <c r="BI459" s="39" t="str">
        <f>IFERROR(ödev!BT55*100/ödev!$I55,"")</f>
        <v/>
      </c>
      <c r="BJ459" s="39" t="str">
        <f>IFERROR(ödev!BU55*100/ödev!$I55,"")</f>
        <v/>
      </c>
      <c r="BK459" s="39" t="str">
        <f>IFERROR(ödev!BV55*100/ödev!$I55,"")</f>
        <v/>
      </c>
      <c r="BL459" s="39" t="str">
        <f>IFERROR(ödev!BW55*100/ödev!$I55,"")</f>
        <v/>
      </c>
      <c r="BM459" s="39" t="str">
        <f>IFERROR(ödev!BX55*100/ödev!$I55,"")</f>
        <v/>
      </c>
      <c r="BN459" s="39" t="str">
        <f>IFERROR(ödev!BY55*100/ödev!$I55,"")</f>
        <v/>
      </c>
      <c r="BO459" s="39" t="str">
        <f>IFERROR(ödev!BZ55*100/ödev!$I55,"")</f>
        <v/>
      </c>
      <c r="BP459" s="39" t="str">
        <f>IFERROR(ödev!CA55*100/ödev!$I55,"")</f>
        <v/>
      </c>
      <c r="BQ459" s="39" t="str">
        <f>IFERROR(ödev!CB55*100/ödev!$I55,"")</f>
        <v/>
      </c>
      <c r="BR459" s="39" t="str">
        <f>IFERROR(ödev!CC55*100/ödev!$I55,"")</f>
        <v/>
      </c>
      <c r="BS459" s="39" t="str">
        <f>IFERROR(ödev!CD55*100/ödev!$I55,"")</f>
        <v/>
      </c>
      <c r="BT459" s="39" t="str">
        <f>IFERROR(ödev!CE55*100/ödev!$I55,"")</f>
        <v/>
      </c>
      <c r="BU459" s="39" t="str">
        <f>IFERROR(ödev!CF55*100/ödev!$I55,"")</f>
        <v/>
      </c>
      <c r="BV459" s="39" t="str">
        <f>IFERROR(ödev!CG55*100/ödev!$I55,"")</f>
        <v/>
      </c>
      <c r="BW459" s="39" t="str">
        <f>IFERROR(ödev!CH55*100/ödev!$I55,"")</f>
        <v/>
      </c>
      <c r="BX459" s="39" t="str">
        <f>IFERROR(ödev!CI55*100/ödev!$I55,"")</f>
        <v/>
      </c>
      <c r="BY459" s="39" t="str">
        <f>IFERROR(ödev!CJ55*100/ödev!$I55,"")</f>
        <v/>
      </c>
      <c r="BZ459" s="39" t="str">
        <f>IFERROR(ödev!CK55*100/ödev!$I55,"")</f>
        <v/>
      </c>
      <c r="CA459" s="39" t="str">
        <f>IFERROR(ödev!CL55*100/ödev!$I55,"")</f>
        <v/>
      </c>
      <c r="CB459" s="39" t="str">
        <f>IFERROR(ödev!CM55*100/ödev!$I55,"")</f>
        <v/>
      </c>
      <c r="CC459" s="39" t="str">
        <f>IFERROR(ödev!CN55*100/ödev!$I55,"")</f>
        <v/>
      </c>
      <c r="CD459" s="39" t="str">
        <f>IFERROR(ödev!CO55*100/ödev!$I55,"")</f>
        <v/>
      </c>
      <c r="CE459" s="39" t="str">
        <f>IFERROR(ödev!CP55*100/ödev!$I55,"")</f>
        <v/>
      </c>
      <c r="CF459" s="39" t="str">
        <f>IFERROR(ödev!CQ55*100/ödev!$I55,"")</f>
        <v/>
      </c>
      <c r="CG459" s="39" t="str">
        <f>IFERROR(ödev!CR55*100/ödev!$I55,"")</f>
        <v/>
      </c>
      <c r="CH459" s="39" t="str">
        <f>IFERROR(ödev!CS55*100/ödev!$I55,"")</f>
        <v/>
      </c>
      <c r="CI459" s="39" t="str">
        <f>IFERROR(ödev!CT55*100/ödev!$I55,"")</f>
        <v/>
      </c>
      <c r="CJ459" s="39" t="str">
        <f>IFERROR(ödev!CU55*100/ödev!$I55,"")</f>
        <v/>
      </c>
      <c r="CK459" s="39" t="str">
        <f>IFERROR(ödev!CV55*100/ödev!$I55,"")</f>
        <v/>
      </c>
      <c r="CL459" s="39" t="str">
        <f>IFERROR(ödev!CW55*100/ödev!$I55,"")</f>
        <v/>
      </c>
      <c r="CM459" s="39" t="str">
        <f>IFERROR(ödev!CX55*100/ödev!$I55,"")</f>
        <v/>
      </c>
      <c r="CN459" s="39" t="str">
        <f>IFERROR(ödev!CY55*100/ödev!$I55,"")</f>
        <v/>
      </c>
      <c r="CO459" s="39" t="str">
        <f>IFERROR(ödev!CZ55*100/ödev!$I55,"")</f>
        <v/>
      </c>
      <c r="CP459" s="39" t="str">
        <f>IFERROR(ödev!DA55*100/ödev!$I55,"")</f>
        <v/>
      </c>
      <c r="CQ459" s="39" t="str">
        <f>IFERROR(ödev!DB55*100/ödev!$I55,"")</f>
        <v/>
      </c>
      <c r="CR459" s="39" t="str">
        <f>IFERROR(ödev!DC55*100/ödev!$I55,"")</f>
        <v/>
      </c>
      <c r="CS459" s="39" t="str">
        <f>IFERROR(ödev!DD55*100/ödev!$I55,"")</f>
        <v/>
      </c>
      <c r="CT459" s="39" t="str">
        <f>IFERROR(ödev!DE55*100/ödev!$I55,"")</f>
        <v/>
      </c>
      <c r="CU459" s="39" t="str">
        <f>IFERROR(ödev!DF55*100/ödev!$I55,"")</f>
        <v/>
      </c>
      <c r="CV459" s="39" t="str">
        <f>IFERROR(ödev!DG55*100/ödev!$I55,"")</f>
        <v/>
      </c>
      <c r="CW459" s="36" t="str">
        <f>IFERROR(SUM(A459:CV459)/ödev!$DH$103,"")</f>
        <v/>
      </c>
      <c r="CX459" s="14" t="str">
        <f>IF(COUNTA(ödev!A55),ödev!A55,"")</f>
        <v/>
      </c>
      <c r="CY459" s="14" t="str">
        <f>IF(COUNTA(ödev!B55),ödev!B55,"")</f>
        <v/>
      </c>
      <c r="CZ459" s="14" t="str">
        <f>IF(COUNTA(ödev!C55),ödev!C55,"")</f>
        <v/>
      </c>
      <c r="DA459" s="14" t="str">
        <f>IF(COUNTA(ödev!D55),ödev!D55,"")</f>
        <v/>
      </c>
      <c r="DB459" s="14" t="str">
        <f>IF(COUNTA(ödev!E55),ödev!E55,"")</f>
        <v/>
      </c>
      <c r="DC459" s="14" t="str">
        <f>IF(COUNTA(ödev!F55),ödev!F55,"")</f>
        <v/>
      </c>
      <c r="DD459" s="14" t="str">
        <f>IF(COUNTA(ödev!G55),ödev!G55,"")</f>
        <v/>
      </c>
      <c r="DE459" s="14" t="str">
        <f>IF(COUNTA(ödev!H55),ödev!H55,"")</f>
        <v/>
      </c>
    </row>
    <row r="460" spans="1:109" x14ac:dyDescent="0.2">
      <c r="A460" s="39" t="str">
        <f>IFERROR(ödev!L56*100/ödev!$I56,"")</f>
        <v/>
      </c>
      <c r="B460" s="39" t="str">
        <f>IFERROR(ödev!M56*100/ödev!$I56,"")</f>
        <v/>
      </c>
      <c r="C460" s="39" t="str">
        <f>IFERROR(ödev!N56*100/ödev!$I56,"")</f>
        <v/>
      </c>
      <c r="D460" s="39" t="str">
        <f>IFERROR(ödev!O56*100/ödev!$I56,"")</f>
        <v/>
      </c>
      <c r="E460" s="39" t="str">
        <f>IFERROR(ödev!P56*100/ödev!$I56,"")</f>
        <v/>
      </c>
      <c r="F460" s="39" t="str">
        <f>IFERROR(ödev!Q56*100/ödev!$I56,"")</f>
        <v/>
      </c>
      <c r="G460" s="39" t="str">
        <f>IFERROR(ödev!R56*100/ödev!$I56,"")</f>
        <v/>
      </c>
      <c r="H460" s="39" t="str">
        <f>IFERROR(ödev!S56*100/ödev!$I56,"")</f>
        <v/>
      </c>
      <c r="I460" s="39" t="str">
        <f>IFERROR(ödev!T56*100/ödev!$I56,"")</f>
        <v/>
      </c>
      <c r="J460" s="39" t="str">
        <f>IFERROR(ödev!U56*100/ödev!$I56,"")</f>
        <v/>
      </c>
      <c r="K460" s="39" t="str">
        <f>IFERROR(ödev!V56*100/ödev!$I56,"")</f>
        <v/>
      </c>
      <c r="L460" s="39" t="str">
        <f>IFERROR(ödev!W56*100/ödev!$I56,"")</f>
        <v/>
      </c>
      <c r="M460" s="39" t="str">
        <f>IFERROR(ödev!X56*100/ödev!$I56,"")</f>
        <v/>
      </c>
      <c r="N460" s="39" t="str">
        <f>IFERROR(ödev!Y56*100/ödev!$I56,"")</f>
        <v/>
      </c>
      <c r="O460" s="39" t="str">
        <f>IFERROR(ödev!Z56*100/ödev!$I56,"")</f>
        <v/>
      </c>
      <c r="P460" s="39" t="str">
        <f>IFERROR(ödev!AA56*100/ödev!$I56,"")</f>
        <v/>
      </c>
      <c r="Q460" s="39" t="str">
        <f>IFERROR(ödev!AB56*100/ödev!$I56,"")</f>
        <v/>
      </c>
      <c r="R460" s="39" t="str">
        <f>IFERROR(ödev!AC56*100/ödev!$I56,"")</f>
        <v/>
      </c>
      <c r="S460" s="39" t="str">
        <f>IFERROR(ödev!AD56*100/ödev!$I56,"")</f>
        <v/>
      </c>
      <c r="T460" s="39" t="str">
        <f>IFERROR(ödev!AE56*100/ödev!$I56,"")</f>
        <v/>
      </c>
      <c r="U460" s="39" t="str">
        <f>IFERROR(ödev!AF56*100/ödev!$I56,"")</f>
        <v/>
      </c>
      <c r="V460" s="39" t="str">
        <f>IFERROR(ödev!AG56*100/ödev!$I56,"")</f>
        <v/>
      </c>
      <c r="W460" s="39" t="str">
        <f>IFERROR(ödev!AH56*100/ödev!$I56,"")</f>
        <v/>
      </c>
      <c r="X460" s="39" t="str">
        <f>IFERROR(ödev!AI56*100/ödev!$I56,"")</f>
        <v/>
      </c>
      <c r="Y460" s="39" t="str">
        <f>IFERROR(ödev!AJ56*100/ödev!$I56,"")</f>
        <v/>
      </c>
      <c r="Z460" s="39" t="str">
        <f>IFERROR(ödev!AK56*100/ödev!$I56,"")</f>
        <v/>
      </c>
      <c r="AA460" s="39" t="str">
        <f>IFERROR(ödev!AL56*100/ödev!$I56,"")</f>
        <v/>
      </c>
      <c r="AB460" s="39" t="str">
        <f>IFERROR(ödev!AM56*100/ödev!$I56,"")</f>
        <v/>
      </c>
      <c r="AC460" s="39" t="str">
        <f>IFERROR(ödev!AN56*100/ödev!$I56,"")</f>
        <v/>
      </c>
      <c r="AD460" s="39" t="str">
        <f>IFERROR(ödev!AO56*100/ödev!$I56,"")</f>
        <v/>
      </c>
      <c r="AE460" s="39" t="str">
        <f>IFERROR(ödev!AP56*100/ödev!$I56,"")</f>
        <v/>
      </c>
      <c r="AF460" s="39" t="str">
        <f>IFERROR(ödev!AQ56*100/ödev!$I56,"")</f>
        <v/>
      </c>
      <c r="AG460" s="39" t="str">
        <f>IFERROR(ödev!AR56*100/ödev!$I56,"")</f>
        <v/>
      </c>
      <c r="AH460" s="39" t="str">
        <f>IFERROR(ödev!AS56*100/ödev!$I56,"")</f>
        <v/>
      </c>
      <c r="AI460" s="39" t="str">
        <f>IFERROR(ödev!AT56*100/ödev!$I56,"")</f>
        <v/>
      </c>
      <c r="AJ460" s="39" t="str">
        <f>IFERROR(ödev!AU56*100/ödev!$I56,"")</f>
        <v/>
      </c>
      <c r="AK460" s="39" t="str">
        <f>IFERROR(ödev!AV56*100/ödev!$I56,"")</f>
        <v/>
      </c>
      <c r="AL460" s="39" t="str">
        <f>IFERROR(ödev!AW56*100/ödev!$I56,"")</f>
        <v/>
      </c>
      <c r="AM460" s="39" t="str">
        <f>IFERROR(ödev!AX56*100/ödev!$I56,"")</f>
        <v/>
      </c>
      <c r="AN460" s="39" t="str">
        <f>IFERROR(ödev!AY56*100/ödev!$I56,"")</f>
        <v/>
      </c>
      <c r="AO460" s="39" t="str">
        <f>IFERROR(ödev!AZ56*100/ödev!$I56,"")</f>
        <v/>
      </c>
      <c r="AP460" s="39" t="str">
        <f>IFERROR(ödev!BA56*100/ödev!$I56,"")</f>
        <v/>
      </c>
      <c r="AQ460" s="39" t="str">
        <f>IFERROR(ödev!BB56*100/ödev!$I56,"")</f>
        <v/>
      </c>
      <c r="AR460" s="39" t="str">
        <f>IFERROR(ödev!BC56*100/ödev!$I56,"")</f>
        <v/>
      </c>
      <c r="AS460" s="39" t="str">
        <f>IFERROR(ödev!BD56*100/ödev!$I56,"")</f>
        <v/>
      </c>
      <c r="AT460" s="39" t="str">
        <f>IFERROR(ödev!BE56*100/ödev!$I56,"")</f>
        <v/>
      </c>
      <c r="AU460" s="39" t="str">
        <f>IFERROR(ödev!BF56*100/ödev!$I56,"")</f>
        <v/>
      </c>
      <c r="AV460" s="39" t="str">
        <f>IFERROR(ödev!BG56*100/ödev!$I56,"")</f>
        <v/>
      </c>
      <c r="AW460" s="39" t="str">
        <f>IFERROR(ödev!BH56*100/ödev!$I56,"")</f>
        <v/>
      </c>
      <c r="AX460" s="39" t="str">
        <f>IFERROR(ödev!BI56*100/ödev!$I56,"")</f>
        <v/>
      </c>
      <c r="AY460" s="39" t="str">
        <f>IFERROR(ödev!BJ56*100/ödev!$I56,"")</f>
        <v/>
      </c>
      <c r="AZ460" s="39" t="str">
        <f>IFERROR(ödev!BK56*100/ödev!$I56,"")</f>
        <v/>
      </c>
      <c r="BA460" s="39" t="str">
        <f>IFERROR(ödev!BL56*100/ödev!$I56,"")</f>
        <v/>
      </c>
      <c r="BB460" s="39" t="str">
        <f>IFERROR(ödev!BM56*100/ödev!$I56,"")</f>
        <v/>
      </c>
      <c r="BC460" s="39" t="str">
        <f>IFERROR(ödev!BN56*100/ödev!$I56,"")</f>
        <v/>
      </c>
      <c r="BD460" s="39" t="str">
        <f>IFERROR(ödev!BO56*100/ödev!$I56,"")</f>
        <v/>
      </c>
      <c r="BE460" s="39" t="str">
        <f>IFERROR(ödev!BP56*100/ödev!$I56,"")</f>
        <v/>
      </c>
      <c r="BF460" s="39" t="str">
        <f>IFERROR(ödev!BQ56*100/ödev!$I56,"")</f>
        <v/>
      </c>
      <c r="BG460" s="39" t="str">
        <f>IFERROR(ödev!BR56*100/ödev!$I56,"")</f>
        <v/>
      </c>
      <c r="BH460" s="39" t="str">
        <f>IFERROR(ödev!BS56*100/ödev!$I56,"")</f>
        <v/>
      </c>
      <c r="BI460" s="39" t="str">
        <f>IFERROR(ödev!BT56*100/ödev!$I56,"")</f>
        <v/>
      </c>
      <c r="BJ460" s="39" t="str">
        <f>IFERROR(ödev!BU56*100/ödev!$I56,"")</f>
        <v/>
      </c>
      <c r="BK460" s="39" t="str">
        <f>IFERROR(ödev!BV56*100/ödev!$I56,"")</f>
        <v/>
      </c>
      <c r="BL460" s="39" t="str">
        <f>IFERROR(ödev!BW56*100/ödev!$I56,"")</f>
        <v/>
      </c>
      <c r="BM460" s="39" t="str">
        <f>IFERROR(ödev!BX56*100/ödev!$I56,"")</f>
        <v/>
      </c>
      <c r="BN460" s="39" t="str">
        <f>IFERROR(ödev!BY56*100/ödev!$I56,"")</f>
        <v/>
      </c>
      <c r="BO460" s="39" t="str">
        <f>IFERROR(ödev!BZ56*100/ödev!$I56,"")</f>
        <v/>
      </c>
      <c r="BP460" s="39" t="str">
        <f>IFERROR(ödev!CA56*100/ödev!$I56,"")</f>
        <v/>
      </c>
      <c r="BQ460" s="39" t="str">
        <f>IFERROR(ödev!CB56*100/ödev!$I56,"")</f>
        <v/>
      </c>
      <c r="BR460" s="39" t="str">
        <f>IFERROR(ödev!CC56*100/ödev!$I56,"")</f>
        <v/>
      </c>
      <c r="BS460" s="39" t="str">
        <f>IFERROR(ödev!CD56*100/ödev!$I56,"")</f>
        <v/>
      </c>
      <c r="BT460" s="39" t="str">
        <f>IFERROR(ödev!CE56*100/ödev!$I56,"")</f>
        <v/>
      </c>
      <c r="BU460" s="39" t="str">
        <f>IFERROR(ödev!CF56*100/ödev!$I56,"")</f>
        <v/>
      </c>
      <c r="BV460" s="39" t="str">
        <f>IFERROR(ödev!CG56*100/ödev!$I56,"")</f>
        <v/>
      </c>
      <c r="BW460" s="39" t="str">
        <f>IFERROR(ödev!CH56*100/ödev!$I56,"")</f>
        <v/>
      </c>
      <c r="BX460" s="39" t="str">
        <f>IFERROR(ödev!CI56*100/ödev!$I56,"")</f>
        <v/>
      </c>
      <c r="BY460" s="39" t="str">
        <f>IFERROR(ödev!CJ56*100/ödev!$I56,"")</f>
        <v/>
      </c>
      <c r="BZ460" s="39" t="str">
        <f>IFERROR(ödev!CK56*100/ödev!$I56,"")</f>
        <v/>
      </c>
      <c r="CA460" s="39" t="str">
        <f>IFERROR(ödev!CL56*100/ödev!$I56,"")</f>
        <v/>
      </c>
      <c r="CB460" s="39" t="str">
        <f>IFERROR(ödev!CM56*100/ödev!$I56,"")</f>
        <v/>
      </c>
      <c r="CC460" s="39" t="str">
        <f>IFERROR(ödev!CN56*100/ödev!$I56,"")</f>
        <v/>
      </c>
      <c r="CD460" s="39" t="str">
        <f>IFERROR(ödev!CO56*100/ödev!$I56,"")</f>
        <v/>
      </c>
      <c r="CE460" s="39" t="str">
        <f>IFERROR(ödev!CP56*100/ödev!$I56,"")</f>
        <v/>
      </c>
      <c r="CF460" s="39" t="str">
        <f>IFERROR(ödev!CQ56*100/ödev!$I56,"")</f>
        <v/>
      </c>
      <c r="CG460" s="39" t="str">
        <f>IFERROR(ödev!CR56*100/ödev!$I56,"")</f>
        <v/>
      </c>
      <c r="CH460" s="39" t="str">
        <f>IFERROR(ödev!CS56*100/ödev!$I56,"")</f>
        <v/>
      </c>
      <c r="CI460" s="39" t="str">
        <f>IFERROR(ödev!CT56*100/ödev!$I56,"")</f>
        <v/>
      </c>
      <c r="CJ460" s="39" t="str">
        <f>IFERROR(ödev!CU56*100/ödev!$I56,"")</f>
        <v/>
      </c>
      <c r="CK460" s="39" t="str">
        <f>IFERROR(ödev!CV56*100/ödev!$I56,"")</f>
        <v/>
      </c>
      <c r="CL460" s="39" t="str">
        <f>IFERROR(ödev!CW56*100/ödev!$I56,"")</f>
        <v/>
      </c>
      <c r="CM460" s="39" t="str">
        <f>IFERROR(ödev!CX56*100/ödev!$I56,"")</f>
        <v/>
      </c>
      <c r="CN460" s="39" t="str">
        <f>IFERROR(ödev!CY56*100/ödev!$I56,"")</f>
        <v/>
      </c>
      <c r="CO460" s="39" t="str">
        <f>IFERROR(ödev!CZ56*100/ödev!$I56,"")</f>
        <v/>
      </c>
      <c r="CP460" s="39" t="str">
        <f>IFERROR(ödev!DA56*100/ödev!$I56,"")</f>
        <v/>
      </c>
      <c r="CQ460" s="39" t="str">
        <f>IFERROR(ödev!DB56*100/ödev!$I56,"")</f>
        <v/>
      </c>
      <c r="CR460" s="39" t="str">
        <f>IFERROR(ödev!DC56*100/ödev!$I56,"")</f>
        <v/>
      </c>
      <c r="CS460" s="39" t="str">
        <f>IFERROR(ödev!DD56*100/ödev!$I56,"")</f>
        <v/>
      </c>
      <c r="CT460" s="39" t="str">
        <f>IFERROR(ödev!DE56*100/ödev!$I56,"")</f>
        <v/>
      </c>
      <c r="CU460" s="39" t="str">
        <f>IFERROR(ödev!DF56*100/ödev!$I56,"")</f>
        <v/>
      </c>
      <c r="CV460" s="39" t="str">
        <f>IFERROR(ödev!DG56*100/ödev!$I56,"")</f>
        <v/>
      </c>
      <c r="CW460" s="36" t="str">
        <f>IFERROR(SUM(A460:CV460)/ödev!$DH$103,"")</f>
        <v/>
      </c>
      <c r="CX460" s="14" t="str">
        <f>IF(COUNTA(ödev!A56),ödev!A56,"")</f>
        <v/>
      </c>
      <c r="CY460" s="14" t="str">
        <f>IF(COUNTA(ödev!B56),ödev!B56,"")</f>
        <v/>
      </c>
      <c r="CZ460" s="14" t="str">
        <f>IF(COUNTA(ödev!C56),ödev!C56,"")</f>
        <v/>
      </c>
      <c r="DA460" s="14" t="str">
        <f>IF(COUNTA(ödev!D56),ödev!D56,"")</f>
        <v/>
      </c>
      <c r="DB460" s="14" t="str">
        <f>IF(COUNTA(ödev!E56),ödev!E56,"")</f>
        <v/>
      </c>
      <c r="DC460" s="14" t="str">
        <f>IF(COUNTA(ödev!F56),ödev!F56,"")</f>
        <v/>
      </c>
      <c r="DD460" s="14" t="str">
        <f>IF(COUNTA(ödev!G56),ödev!G56,"")</f>
        <v/>
      </c>
      <c r="DE460" s="14" t="str">
        <f>IF(COUNTA(ödev!H56),ödev!H56,"")</f>
        <v/>
      </c>
    </row>
    <row r="461" spans="1:109" x14ac:dyDescent="0.2">
      <c r="A461" s="39" t="str">
        <f>IFERROR(ödev!L57*100/ödev!$I57,"")</f>
        <v/>
      </c>
      <c r="B461" s="39" t="str">
        <f>IFERROR(ödev!M57*100/ödev!$I57,"")</f>
        <v/>
      </c>
      <c r="C461" s="39" t="str">
        <f>IFERROR(ödev!N57*100/ödev!$I57,"")</f>
        <v/>
      </c>
      <c r="D461" s="39" t="str">
        <f>IFERROR(ödev!O57*100/ödev!$I57,"")</f>
        <v/>
      </c>
      <c r="E461" s="39" t="str">
        <f>IFERROR(ödev!P57*100/ödev!$I57,"")</f>
        <v/>
      </c>
      <c r="F461" s="39" t="str">
        <f>IFERROR(ödev!Q57*100/ödev!$I57,"")</f>
        <v/>
      </c>
      <c r="G461" s="39" t="str">
        <f>IFERROR(ödev!R57*100/ödev!$I57,"")</f>
        <v/>
      </c>
      <c r="H461" s="39" t="str">
        <f>IFERROR(ödev!S57*100/ödev!$I57,"")</f>
        <v/>
      </c>
      <c r="I461" s="39" t="str">
        <f>IFERROR(ödev!T57*100/ödev!$I57,"")</f>
        <v/>
      </c>
      <c r="J461" s="39" t="str">
        <f>IFERROR(ödev!U57*100/ödev!$I57,"")</f>
        <v/>
      </c>
      <c r="K461" s="39" t="str">
        <f>IFERROR(ödev!V57*100/ödev!$I57,"")</f>
        <v/>
      </c>
      <c r="L461" s="39" t="str">
        <f>IFERROR(ödev!W57*100/ödev!$I57,"")</f>
        <v/>
      </c>
      <c r="M461" s="39" t="str">
        <f>IFERROR(ödev!X57*100/ödev!$I57,"")</f>
        <v/>
      </c>
      <c r="N461" s="39" t="str">
        <f>IFERROR(ödev!Y57*100/ödev!$I57,"")</f>
        <v/>
      </c>
      <c r="O461" s="39" t="str">
        <f>IFERROR(ödev!Z57*100/ödev!$I57,"")</f>
        <v/>
      </c>
      <c r="P461" s="39" t="str">
        <f>IFERROR(ödev!AA57*100/ödev!$I57,"")</f>
        <v/>
      </c>
      <c r="Q461" s="39" t="str">
        <f>IFERROR(ödev!AB57*100/ödev!$I57,"")</f>
        <v/>
      </c>
      <c r="R461" s="39" t="str">
        <f>IFERROR(ödev!AC57*100/ödev!$I57,"")</f>
        <v/>
      </c>
      <c r="S461" s="39" t="str">
        <f>IFERROR(ödev!AD57*100/ödev!$I57,"")</f>
        <v/>
      </c>
      <c r="T461" s="39" t="str">
        <f>IFERROR(ödev!AE57*100/ödev!$I57,"")</f>
        <v/>
      </c>
      <c r="U461" s="39" t="str">
        <f>IFERROR(ödev!AF57*100/ödev!$I57,"")</f>
        <v/>
      </c>
      <c r="V461" s="39" t="str">
        <f>IFERROR(ödev!AG57*100/ödev!$I57,"")</f>
        <v/>
      </c>
      <c r="W461" s="39" t="str">
        <f>IFERROR(ödev!AH57*100/ödev!$I57,"")</f>
        <v/>
      </c>
      <c r="X461" s="39" t="str">
        <f>IFERROR(ödev!AI57*100/ödev!$I57,"")</f>
        <v/>
      </c>
      <c r="Y461" s="39" t="str">
        <f>IFERROR(ödev!AJ57*100/ödev!$I57,"")</f>
        <v/>
      </c>
      <c r="Z461" s="39" t="str">
        <f>IFERROR(ödev!AK57*100/ödev!$I57,"")</f>
        <v/>
      </c>
      <c r="AA461" s="39" t="str">
        <f>IFERROR(ödev!AL57*100/ödev!$I57,"")</f>
        <v/>
      </c>
      <c r="AB461" s="39" t="str">
        <f>IFERROR(ödev!AM57*100/ödev!$I57,"")</f>
        <v/>
      </c>
      <c r="AC461" s="39" t="str">
        <f>IFERROR(ödev!AN57*100/ödev!$I57,"")</f>
        <v/>
      </c>
      <c r="AD461" s="39" t="str">
        <f>IFERROR(ödev!AO57*100/ödev!$I57,"")</f>
        <v/>
      </c>
      <c r="AE461" s="39" t="str">
        <f>IFERROR(ödev!AP57*100/ödev!$I57,"")</f>
        <v/>
      </c>
      <c r="AF461" s="39" t="str">
        <f>IFERROR(ödev!AQ57*100/ödev!$I57,"")</f>
        <v/>
      </c>
      <c r="AG461" s="39" t="str">
        <f>IFERROR(ödev!AR57*100/ödev!$I57,"")</f>
        <v/>
      </c>
      <c r="AH461" s="39" t="str">
        <f>IFERROR(ödev!AS57*100/ödev!$I57,"")</f>
        <v/>
      </c>
      <c r="AI461" s="39" t="str">
        <f>IFERROR(ödev!AT57*100/ödev!$I57,"")</f>
        <v/>
      </c>
      <c r="AJ461" s="39" t="str">
        <f>IFERROR(ödev!AU57*100/ödev!$I57,"")</f>
        <v/>
      </c>
      <c r="AK461" s="39" t="str">
        <f>IFERROR(ödev!AV57*100/ödev!$I57,"")</f>
        <v/>
      </c>
      <c r="AL461" s="39" t="str">
        <f>IFERROR(ödev!AW57*100/ödev!$I57,"")</f>
        <v/>
      </c>
      <c r="AM461" s="39" t="str">
        <f>IFERROR(ödev!AX57*100/ödev!$I57,"")</f>
        <v/>
      </c>
      <c r="AN461" s="39" t="str">
        <f>IFERROR(ödev!AY57*100/ödev!$I57,"")</f>
        <v/>
      </c>
      <c r="AO461" s="39" t="str">
        <f>IFERROR(ödev!AZ57*100/ödev!$I57,"")</f>
        <v/>
      </c>
      <c r="AP461" s="39" t="str">
        <f>IFERROR(ödev!BA57*100/ödev!$I57,"")</f>
        <v/>
      </c>
      <c r="AQ461" s="39" t="str">
        <f>IFERROR(ödev!BB57*100/ödev!$I57,"")</f>
        <v/>
      </c>
      <c r="AR461" s="39" t="str">
        <f>IFERROR(ödev!BC57*100/ödev!$I57,"")</f>
        <v/>
      </c>
      <c r="AS461" s="39" t="str">
        <f>IFERROR(ödev!BD57*100/ödev!$I57,"")</f>
        <v/>
      </c>
      <c r="AT461" s="39" t="str">
        <f>IFERROR(ödev!BE57*100/ödev!$I57,"")</f>
        <v/>
      </c>
      <c r="AU461" s="39" t="str">
        <f>IFERROR(ödev!BF57*100/ödev!$I57,"")</f>
        <v/>
      </c>
      <c r="AV461" s="39" t="str">
        <f>IFERROR(ödev!BG57*100/ödev!$I57,"")</f>
        <v/>
      </c>
      <c r="AW461" s="39" t="str">
        <f>IFERROR(ödev!BH57*100/ödev!$I57,"")</f>
        <v/>
      </c>
      <c r="AX461" s="39" t="str">
        <f>IFERROR(ödev!BI57*100/ödev!$I57,"")</f>
        <v/>
      </c>
      <c r="AY461" s="39" t="str">
        <f>IFERROR(ödev!BJ57*100/ödev!$I57,"")</f>
        <v/>
      </c>
      <c r="AZ461" s="39" t="str">
        <f>IFERROR(ödev!BK57*100/ödev!$I57,"")</f>
        <v/>
      </c>
      <c r="BA461" s="39" t="str">
        <f>IFERROR(ödev!BL57*100/ödev!$I57,"")</f>
        <v/>
      </c>
      <c r="BB461" s="39" t="str">
        <f>IFERROR(ödev!BM57*100/ödev!$I57,"")</f>
        <v/>
      </c>
      <c r="BC461" s="39" t="str">
        <f>IFERROR(ödev!BN57*100/ödev!$I57,"")</f>
        <v/>
      </c>
      <c r="BD461" s="39" t="str">
        <f>IFERROR(ödev!BO57*100/ödev!$I57,"")</f>
        <v/>
      </c>
      <c r="BE461" s="39" t="str">
        <f>IFERROR(ödev!BP57*100/ödev!$I57,"")</f>
        <v/>
      </c>
      <c r="BF461" s="39" t="str">
        <f>IFERROR(ödev!BQ57*100/ödev!$I57,"")</f>
        <v/>
      </c>
      <c r="BG461" s="39" t="str">
        <f>IFERROR(ödev!BR57*100/ödev!$I57,"")</f>
        <v/>
      </c>
      <c r="BH461" s="39" t="str">
        <f>IFERROR(ödev!BS57*100/ödev!$I57,"")</f>
        <v/>
      </c>
      <c r="BI461" s="39" t="str">
        <f>IFERROR(ödev!BT57*100/ödev!$I57,"")</f>
        <v/>
      </c>
      <c r="BJ461" s="39" t="str">
        <f>IFERROR(ödev!BU57*100/ödev!$I57,"")</f>
        <v/>
      </c>
      <c r="BK461" s="39" t="str">
        <f>IFERROR(ödev!BV57*100/ödev!$I57,"")</f>
        <v/>
      </c>
      <c r="BL461" s="39" t="str">
        <f>IFERROR(ödev!BW57*100/ödev!$I57,"")</f>
        <v/>
      </c>
      <c r="BM461" s="39" t="str">
        <f>IFERROR(ödev!BX57*100/ödev!$I57,"")</f>
        <v/>
      </c>
      <c r="BN461" s="39" t="str">
        <f>IFERROR(ödev!BY57*100/ödev!$I57,"")</f>
        <v/>
      </c>
      <c r="BO461" s="39" t="str">
        <f>IFERROR(ödev!BZ57*100/ödev!$I57,"")</f>
        <v/>
      </c>
      <c r="BP461" s="39" t="str">
        <f>IFERROR(ödev!CA57*100/ödev!$I57,"")</f>
        <v/>
      </c>
      <c r="BQ461" s="39" t="str">
        <f>IFERROR(ödev!CB57*100/ödev!$I57,"")</f>
        <v/>
      </c>
      <c r="BR461" s="39" t="str">
        <f>IFERROR(ödev!CC57*100/ödev!$I57,"")</f>
        <v/>
      </c>
      <c r="BS461" s="39" t="str">
        <f>IFERROR(ödev!CD57*100/ödev!$I57,"")</f>
        <v/>
      </c>
      <c r="BT461" s="39" t="str">
        <f>IFERROR(ödev!CE57*100/ödev!$I57,"")</f>
        <v/>
      </c>
      <c r="BU461" s="39" t="str">
        <f>IFERROR(ödev!CF57*100/ödev!$I57,"")</f>
        <v/>
      </c>
      <c r="BV461" s="39" t="str">
        <f>IFERROR(ödev!CG57*100/ödev!$I57,"")</f>
        <v/>
      </c>
      <c r="BW461" s="39" t="str">
        <f>IFERROR(ödev!CH57*100/ödev!$I57,"")</f>
        <v/>
      </c>
      <c r="BX461" s="39" t="str">
        <f>IFERROR(ödev!CI57*100/ödev!$I57,"")</f>
        <v/>
      </c>
      <c r="BY461" s="39" t="str">
        <f>IFERROR(ödev!CJ57*100/ödev!$I57,"")</f>
        <v/>
      </c>
      <c r="BZ461" s="39" t="str">
        <f>IFERROR(ödev!CK57*100/ödev!$I57,"")</f>
        <v/>
      </c>
      <c r="CA461" s="39" t="str">
        <f>IFERROR(ödev!CL57*100/ödev!$I57,"")</f>
        <v/>
      </c>
      <c r="CB461" s="39" t="str">
        <f>IFERROR(ödev!CM57*100/ödev!$I57,"")</f>
        <v/>
      </c>
      <c r="CC461" s="39" t="str">
        <f>IFERROR(ödev!CN57*100/ödev!$I57,"")</f>
        <v/>
      </c>
      <c r="CD461" s="39" t="str">
        <f>IFERROR(ödev!CO57*100/ödev!$I57,"")</f>
        <v/>
      </c>
      <c r="CE461" s="39" t="str">
        <f>IFERROR(ödev!CP57*100/ödev!$I57,"")</f>
        <v/>
      </c>
      <c r="CF461" s="39" t="str">
        <f>IFERROR(ödev!CQ57*100/ödev!$I57,"")</f>
        <v/>
      </c>
      <c r="CG461" s="39" t="str">
        <f>IFERROR(ödev!CR57*100/ödev!$I57,"")</f>
        <v/>
      </c>
      <c r="CH461" s="39" t="str">
        <f>IFERROR(ödev!CS57*100/ödev!$I57,"")</f>
        <v/>
      </c>
      <c r="CI461" s="39" t="str">
        <f>IFERROR(ödev!CT57*100/ödev!$I57,"")</f>
        <v/>
      </c>
      <c r="CJ461" s="39" t="str">
        <f>IFERROR(ödev!CU57*100/ödev!$I57,"")</f>
        <v/>
      </c>
      <c r="CK461" s="39" t="str">
        <f>IFERROR(ödev!CV57*100/ödev!$I57,"")</f>
        <v/>
      </c>
      <c r="CL461" s="39" t="str">
        <f>IFERROR(ödev!CW57*100/ödev!$I57,"")</f>
        <v/>
      </c>
      <c r="CM461" s="39" t="str">
        <f>IFERROR(ödev!CX57*100/ödev!$I57,"")</f>
        <v/>
      </c>
      <c r="CN461" s="39" t="str">
        <f>IFERROR(ödev!CY57*100/ödev!$I57,"")</f>
        <v/>
      </c>
      <c r="CO461" s="39" t="str">
        <f>IFERROR(ödev!CZ57*100/ödev!$I57,"")</f>
        <v/>
      </c>
      <c r="CP461" s="39" t="str">
        <f>IFERROR(ödev!DA57*100/ödev!$I57,"")</f>
        <v/>
      </c>
      <c r="CQ461" s="39" t="str">
        <f>IFERROR(ödev!DB57*100/ödev!$I57,"")</f>
        <v/>
      </c>
      <c r="CR461" s="39" t="str">
        <f>IFERROR(ödev!DC57*100/ödev!$I57,"")</f>
        <v/>
      </c>
      <c r="CS461" s="39" t="str">
        <f>IFERROR(ödev!DD57*100/ödev!$I57,"")</f>
        <v/>
      </c>
      <c r="CT461" s="39" t="str">
        <f>IFERROR(ödev!DE57*100/ödev!$I57,"")</f>
        <v/>
      </c>
      <c r="CU461" s="39" t="str">
        <f>IFERROR(ödev!DF57*100/ödev!$I57,"")</f>
        <v/>
      </c>
      <c r="CV461" s="39" t="str">
        <f>IFERROR(ödev!DG57*100/ödev!$I57,"")</f>
        <v/>
      </c>
      <c r="CW461" s="36" t="str">
        <f>IFERROR(SUM(A461:CV461)/ödev!$DH$103,"")</f>
        <v/>
      </c>
      <c r="CX461" s="14" t="str">
        <f>IF(COUNTA(ödev!A57),ödev!A57,"")</f>
        <v/>
      </c>
      <c r="CY461" s="14" t="str">
        <f>IF(COUNTA(ödev!B57),ödev!B57,"")</f>
        <v/>
      </c>
      <c r="CZ461" s="14" t="str">
        <f>IF(COUNTA(ödev!C57),ödev!C57,"")</f>
        <v/>
      </c>
      <c r="DA461" s="14" t="str">
        <f>IF(COUNTA(ödev!D57),ödev!D57,"")</f>
        <v/>
      </c>
      <c r="DB461" s="14" t="str">
        <f>IF(COUNTA(ödev!E57),ödev!E57,"")</f>
        <v/>
      </c>
      <c r="DC461" s="14" t="str">
        <f>IF(COUNTA(ödev!F57),ödev!F57,"")</f>
        <v/>
      </c>
      <c r="DD461" s="14" t="str">
        <f>IF(COUNTA(ödev!G57),ödev!G57,"")</f>
        <v/>
      </c>
      <c r="DE461" s="14" t="str">
        <f>IF(COUNTA(ödev!H57),ödev!H57,"")</f>
        <v/>
      </c>
    </row>
    <row r="462" spans="1:109" x14ac:dyDescent="0.2">
      <c r="A462" s="39" t="str">
        <f>IFERROR(ödev!L58*100/ödev!$I58,"")</f>
        <v/>
      </c>
      <c r="B462" s="39" t="str">
        <f>IFERROR(ödev!M58*100/ödev!$I58,"")</f>
        <v/>
      </c>
      <c r="C462" s="39" t="str">
        <f>IFERROR(ödev!N58*100/ödev!$I58,"")</f>
        <v/>
      </c>
      <c r="D462" s="39" t="str">
        <f>IFERROR(ödev!O58*100/ödev!$I58,"")</f>
        <v/>
      </c>
      <c r="E462" s="39" t="str">
        <f>IFERROR(ödev!P58*100/ödev!$I58,"")</f>
        <v/>
      </c>
      <c r="F462" s="39" t="str">
        <f>IFERROR(ödev!Q58*100/ödev!$I58,"")</f>
        <v/>
      </c>
      <c r="G462" s="39" t="str">
        <f>IFERROR(ödev!R58*100/ödev!$I58,"")</f>
        <v/>
      </c>
      <c r="H462" s="39" t="str">
        <f>IFERROR(ödev!S58*100/ödev!$I58,"")</f>
        <v/>
      </c>
      <c r="I462" s="39" t="str">
        <f>IFERROR(ödev!T58*100/ödev!$I58,"")</f>
        <v/>
      </c>
      <c r="J462" s="39" t="str">
        <f>IFERROR(ödev!U58*100/ödev!$I58,"")</f>
        <v/>
      </c>
      <c r="K462" s="39" t="str">
        <f>IFERROR(ödev!V58*100/ödev!$I58,"")</f>
        <v/>
      </c>
      <c r="L462" s="39" t="str">
        <f>IFERROR(ödev!W58*100/ödev!$I58,"")</f>
        <v/>
      </c>
      <c r="M462" s="39" t="str">
        <f>IFERROR(ödev!X58*100/ödev!$I58,"")</f>
        <v/>
      </c>
      <c r="N462" s="39" t="str">
        <f>IFERROR(ödev!Y58*100/ödev!$I58,"")</f>
        <v/>
      </c>
      <c r="O462" s="39" t="str">
        <f>IFERROR(ödev!Z58*100/ödev!$I58,"")</f>
        <v/>
      </c>
      <c r="P462" s="39" t="str">
        <f>IFERROR(ödev!AA58*100/ödev!$I58,"")</f>
        <v/>
      </c>
      <c r="Q462" s="39" t="str">
        <f>IFERROR(ödev!AB58*100/ödev!$I58,"")</f>
        <v/>
      </c>
      <c r="R462" s="39" t="str">
        <f>IFERROR(ödev!AC58*100/ödev!$I58,"")</f>
        <v/>
      </c>
      <c r="S462" s="39" t="str">
        <f>IFERROR(ödev!AD58*100/ödev!$I58,"")</f>
        <v/>
      </c>
      <c r="T462" s="39" t="str">
        <f>IFERROR(ödev!AE58*100/ödev!$I58,"")</f>
        <v/>
      </c>
      <c r="U462" s="39" t="str">
        <f>IFERROR(ödev!AF58*100/ödev!$I58,"")</f>
        <v/>
      </c>
      <c r="V462" s="39" t="str">
        <f>IFERROR(ödev!AG58*100/ödev!$I58,"")</f>
        <v/>
      </c>
      <c r="W462" s="39" t="str">
        <f>IFERROR(ödev!AH58*100/ödev!$I58,"")</f>
        <v/>
      </c>
      <c r="X462" s="39" t="str">
        <f>IFERROR(ödev!AI58*100/ödev!$I58,"")</f>
        <v/>
      </c>
      <c r="Y462" s="39" t="str">
        <f>IFERROR(ödev!AJ58*100/ödev!$I58,"")</f>
        <v/>
      </c>
      <c r="Z462" s="39" t="str">
        <f>IFERROR(ödev!AK58*100/ödev!$I58,"")</f>
        <v/>
      </c>
      <c r="AA462" s="39" t="str">
        <f>IFERROR(ödev!AL58*100/ödev!$I58,"")</f>
        <v/>
      </c>
      <c r="AB462" s="39" t="str">
        <f>IFERROR(ödev!AM58*100/ödev!$I58,"")</f>
        <v/>
      </c>
      <c r="AC462" s="39" t="str">
        <f>IFERROR(ödev!AN58*100/ödev!$I58,"")</f>
        <v/>
      </c>
      <c r="AD462" s="39" t="str">
        <f>IFERROR(ödev!AO58*100/ödev!$I58,"")</f>
        <v/>
      </c>
      <c r="AE462" s="39" t="str">
        <f>IFERROR(ödev!AP58*100/ödev!$I58,"")</f>
        <v/>
      </c>
      <c r="AF462" s="39" t="str">
        <f>IFERROR(ödev!AQ58*100/ödev!$I58,"")</f>
        <v/>
      </c>
      <c r="AG462" s="39" t="str">
        <f>IFERROR(ödev!AR58*100/ödev!$I58,"")</f>
        <v/>
      </c>
      <c r="AH462" s="39" t="str">
        <f>IFERROR(ödev!AS58*100/ödev!$I58,"")</f>
        <v/>
      </c>
      <c r="AI462" s="39" t="str">
        <f>IFERROR(ödev!AT58*100/ödev!$I58,"")</f>
        <v/>
      </c>
      <c r="AJ462" s="39" t="str">
        <f>IFERROR(ödev!AU58*100/ödev!$I58,"")</f>
        <v/>
      </c>
      <c r="AK462" s="39" t="str">
        <f>IFERROR(ödev!AV58*100/ödev!$I58,"")</f>
        <v/>
      </c>
      <c r="AL462" s="39" t="str">
        <f>IFERROR(ödev!AW58*100/ödev!$I58,"")</f>
        <v/>
      </c>
      <c r="AM462" s="39" t="str">
        <f>IFERROR(ödev!AX58*100/ödev!$I58,"")</f>
        <v/>
      </c>
      <c r="AN462" s="39" t="str">
        <f>IFERROR(ödev!AY58*100/ödev!$I58,"")</f>
        <v/>
      </c>
      <c r="AO462" s="39" t="str">
        <f>IFERROR(ödev!AZ58*100/ödev!$I58,"")</f>
        <v/>
      </c>
      <c r="AP462" s="39" t="str">
        <f>IFERROR(ödev!BA58*100/ödev!$I58,"")</f>
        <v/>
      </c>
      <c r="AQ462" s="39" t="str">
        <f>IFERROR(ödev!BB58*100/ödev!$I58,"")</f>
        <v/>
      </c>
      <c r="AR462" s="39" t="str">
        <f>IFERROR(ödev!BC58*100/ödev!$I58,"")</f>
        <v/>
      </c>
      <c r="AS462" s="39" t="str">
        <f>IFERROR(ödev!BD58*100/ödev!$I58,"")</f>
        <v/>
      </c>
      <c r="AT462" s="39" t="str">
        <f>IFERROR(ödev!BE58*100/ödev!$I58,"")</f>
        <v/>
      </c>
      <c r="AU462" s="39" t="str">
        <f>IFERROR(ödev!BF58*100/ödev!$I58,"")</f>
        <v/>
      </c>
      <c r="AV462" s="39" t="str">
        <f>IFERROR(ödev!BG58*100/ödev!$I58,"")</f>
        <v/>
      </c>
      <c r="AW462" s="39" t="str">
        <f>IFERROR(ödev!BH58*100/ödev!$I58,"")</f>
        <v/>
      </c>
      <c r="AX462" s="39" t="str">
        <f>IFERROR(ödev!BI58*100/ödev!$I58,"")</f>
        <v/>
      </c>
      <c r="AY462" s="39" t="str">
        <f>IFERROR(ödev!BJ58*100/ödev!$I58,"")</f>
        <v/>
      </c>
      <c r="AZ462" s="39" t="str">
        <f>IFERROR(ödev!BK58*100/ödev!$I58,"")</f>
        <v/>
      </c>
      <c r="BA462" s="39" t="str">
        <f>IFERROR(ödev!BL58*100/ödev!$I58,"")</f>
        <v/>
      </c>
      <c r="BB462" s="39" t="str">
        <f>IFERROR(ödev!BM58*100/ödev!$I58,"")</f>
        <v/>
      </c>
      <c r="BC462" s="39" t="str">
        <f>IFERROR(ödev!BN58*100/ödev!$I58,"")</f>
        <v/>
      </c>
      <c r="BD462" s="39" t="str">
        <f>IFERROR(ödev!BO58*100/ödev!$I58,"")</f>
        <v/>
      </c>
      <c r="BE462" s="39" t="str">
        <f>IFERROR(ödev!BP58*100/ödev!$I58,"")</f>
        <v/>
      </c>
      <c r="BF462" s="39" t="str">
        <f>IFERROR(ödev!BQ58*100/ödev!$I58,"")</f>
        <v/>
      </c>
      <c r="BG462" s="39" t="str">
        <f>IFERROR(ödev!BR58*100/ödev!$I58,"")</f>
        <v/>
      </c>
      <c r="BH462" s="39" t="str">
        <f>IFERROR(ödev!BS58*100/ödev!$I58,"")</f>
        <v/>
      </c>
      <c r="BI462" s="39" t="str">
        <f>IFERROR(ödev!BT58*100/ödev!$I58,"")</f>
        <v/>
      </c>
      <c r="BJ462" s="39" t="str">
        <f>IFERROR(ödev!BU58*100/ödev!$I58,"")</f>
        <v/>
      </c>
      <c r="BK462" s="39" t="str">
        <f>IFERROR(ödev!BV58*100/ödev!$I58,"")</f>
        <v/>
      </c>
      <c r="BL462" s="39" t="str">
        <f>IFERROR(ödev!BW58*100/ödev!$I58,"")</f>
        <v/>
      </c>
      <c r="BM462" s="39" t="str">
        <f>IFERROR(ödev!BX58*100/ödev!$I58,"")</f>
        <v/>
      </c>
      <c r="BN462" s="39" t="str">
        <f>IFERROR(ödev!BY58*100/ödev!$I58,"")</f>
        <v/>
      </c>
      <c r="BO462" s="39" t="str">
        <f>IFERROR(ödev!BZ58*100/ödev!$I58,"")</f>
        <v/>
      </c>
      <c r="BP462" s="39" t="str">
        <f>IFERROR(ödev!CA58*100/ödev!$I58,"")</f>
        <v/>
      </c>
      <c r="BQ462" s="39" t="str">
        <f>IFERROR(ödev!CB58*100/ödev!$I58,"")</f>
        <v/>
      </c>
      <c r="BR462" s="39" t="str">
        <f>IFERROR(ödev!CC58*100/ödev!$I58,"")</f>
        <v/>
      </c>
      <c r="BS462" s="39" t="str">
        <f>IFERROR(ödev!CD58*100/ödev!$I58,"")</f>
        <v/>
      </c>
      <c r="BT462" s="39" t="str">
        <f>IFERROR(ödev!CE58*100/ödev!$I58,"")</f>
        <v/>
      </c>
      <c r="BU462" s="39" t="str">
        <f>IFERROR(ödev!CF58*100/ödev!$I58,"")</f>
        <v/>
      </c>
      <c r="BV462" s="39" t="str">
        <f>IFERROR(ödev!CG58*100/ödev!$I58,"")</f>
        <v/>
      </c>
      <c r="BW462" s="39" t="str">
        <f>IFERROR(ödev!CH58*100/ödev!$I58,"")</f>
        <v/>
      </c>
      <c r="BX462" s="39" t="str">
        <f>IFERROR(ödev!CI58*100/ödev!$I58,"")</f>
        <v/>
      </c>
      <c r="BY462" s="39" t="str">
        <f>IFERROR(ödev!CJ58*100/ödev!$I58,"")</f>
        <v/>
      </c>
      <c r="BZ462" s="39" t="str">
        <f>IFERROR(ödev!CK58*100/ödev!$I58,"")</f>
        <v/>
      </c>
      <c r="CA462" s="39" t="str">
        <f>IFERROR(ödev!CL58*100/ödev!$I58,"")</f>
        <v/>
      </c>
      <c r="CB462" s="39" t="str">
        <f>IFERROR(ödev!CM58*100/ödev!$I58,"")</f>
        <v/>
      </c>
      <c r="CC462" s="39" t="str">
        <f>IFERROR(ödev!CN58*100/ödev!$I58,"")</f>
        <v/>
      </c>
      <c r="CD462" s="39" t="str">
        <f>IFERROR(ödev!CO58*100/ödev!$I58,"")</f>
        <v/>
      </c>
      <c r="CE462" s="39" t="str">
        <f>IFERROR(ödev!CP58*100/ödev!$I58,"")</f>
        <v/>
      </c>
      <c r="CF462" s="39" t="str">
        <f>IFERROR(ödev!CQ58*100/ödev!$I58,"")</f>
        <v/>
      </c>
      <c r="CG462" s="39" t="str">
        <f>IFERROR(ödev!CR58*100/ödev!$I58,"")</f>
        <v/>
      </c>
      <c r="CH462" s="39" t="str">
        <f>IFERROR(ödev!CS58*100/ödev!$I58,"")</f>
        <v/>
      </c>
      <c r="CI462" s="39" t="str">
        <f>IFERROR(ödev!CT58*100/ödev!$I58,"")</f>
        <v/>
      </c>
      <c r="CJ462" s="39" t="str">
        <f>IFERROR(ödev!CU58*100/ödev!$I58,"")</f>
        <v/>
      </c>
      <c r="CK462" s="39" t="str">
        <f>IFERROR(ödev!CV58*100/ödev!$I58,"")</f>
        <v/>
      </c>
      <c r="CL462" s="39" t="str">
        <f>IFERROR(ödev!CW58*100/ödev!$I58,"")</f>
        <v/>
      </c>
      <c r="CM462" s="39" t="str">
        <f>IFERROR(ödev!CX58*100/ödev!$I58,"")</f>
        <v/>
      </c>
      <c r="CN462" s="39" t="str">
        <f>IFERROR(ödev!CY58*100/ödev!$I58,"")</f>
        <v/>
      </c>
      <c r="CO462" s="39" t="str">
        <f>IFERROR(ödev!CZ58*100/ödev!$I58,"")</f>
        <v/>
      </c>
      <c r="CP462" s="39" t="str">
        <f>IFERROR(ödev!DA58*100/ödev!$I58,"")</f>
        <v/>
      </c>
      <c r="CQ462" s="39" t="str">
        <f>IFERROR(ödev!DB58*100/ödev!$I58,"")</f>
        <v/>
      </c>
      <c r="CR462" s="39" t="str">
        <f>IFERROR(ödev!DC58*100/ödev!$I58,"")</f>
        <v/>
      </c>
      <c r="CS462" s="39" t="str">
        <f>IFERROR(ödev!DD58*100/ödev!$I58,"")</f>
        <v/>
      </c>
      <c r="CT462" s="39" t="str">
        <f>IFERROR(ödev!DE58*100/ödev!$I58,"")</f>
        <v/>
      </c>
      <c r="CU462" s="39" t="str">
        <f>IFERROR(ödev!DF58*100/ödev!$I58,"")</f>
        <v/>
      </c>
      <c r="CV462" s="39" t="str">
        <f>IFERROR(ödev!DG58*100/ödev!$I58,"")</f>
        <v/>
      </c>
      <c r="CW462" s="36" t="str">
        <f>IFERROR(SUM(A462:CV462)/ödev!$DH$103,"")</f>
        <v/>
      </c>
      <c r="CX462" s="14" t="str">
        <f>IF(COUNTA(ödev!A58),ödev!A58,"")</f>
        <v/>
      </c>
      <c r="CY462" s="14" t="str">
        <f>IF(COUNTA(ödev!B58),ödev!B58,"")</f>
        <v/>
      </c>
      <c r="CZ462" s="14" t="str">
        <f>IF(COUNTA(ödev!C58),ödev!C58,"")</f>
        <v/>
      </c>
      <c r="DA462" s="14" t="str">
        <f>IF(COUNTA(ödev!D58),ödev!D58,"")</f>
        <v/>
      </c>
      <c r="DB462" s="14" t="str">
        <f>IF(COUNTA(ödev!E58),ödev!E58,"")</f>
        <v/>
      </c>
      <c r="DC462" s="14" t="str">
        <f>IF(COUNTA(ödev!F58),ödev!F58,"")</f>
        <v/>
      </c>
      <c r="DD462" s="14" t="str">
        <f>IF(COUNTA(ödev!G58),ödev!G58,"")</f>
        <v/>
      </c>
      <c r="DE462" s="14" t="str">
        <f>IF(COUNTA(ödev!H58),ödev!H58,"")</f>
        <v/>
      </c>
    </row>
    <row r="463" spans="1:109" x14ac:dyDescent="0.2">
      <c r="A463" s="39" t="str">
        <f>IFERROR(ödev!L59*100/ödev!$I59,"")</f>
        <v/>
      </c>
      <c r="B463" s="39" t="str">
        <f>IFERROR(ödev!M59*100/ödev!$I59,"")</f>
        <v/>
      </c>
      <c r="C463" s="39" t="str">
        <f>IFERROR(ödev!N59*100/ödev!$I59,"")</f>
        <v/>
      </c>
      <c r="D463" s="39" t="str">
        <f>IFERROR(ödev!O59*100/ödev!$I59,"")</f>
        <v/>
      </c>
      <c r="E463" s="39" t="str">
        <f>IFERROR(ödev!P59*100/ödev!$I59,"")</f>
        <v/>
      </c>
      <c r="F463" s="39" t="str">
        <f>IFERROR(ödev!Q59*100/ödev!$I59,"")</f>
        <v/>
      </c>
      <c r="G463" s="39" t="str">
        <f>IFERROR(ödev!R59*100/ödev!$I59,"")</f>
        <v/>
      </c>
      <c r="H463" s="39" t="str">
        <f>IFERROR(ödev!S59*100/ödev!$I59,"")</f>
        <v/>
      </c>
      <c r="I463" s="39" t="str">
        <f>IFERROR(ödev!T59*100/ödev!$I59,"")</f>
        <v/>
      </c>
      <c r="J463" s="39" t="str">
        <f>IFERROR(ödev!U59*100/ödev!$I59,"")</f>
        <v/>
      </c>
      <c r="K463" s="39" t="str">
        <f>IFERROR(ödev!V59*100/ödev!$I59,"")</f>
        <v/>
      </c>
      <c r="L463" s="39" t="str">
        <f>IFERROR(ödev!W59*100/ödev!$I59,"")</f>
        <v/>
      </c>
      <c r="M463" s="39" t="str">
        <f>IFERROR(ödev!X59*100/ödev!$I59,"")</f>
        <v/>
      </c>
      <c r="N463" s="39" t="str">
        <f>IFERROR(ödev!Y59*100/ödev!$I59,"")</f>
        <v/>
      </c>
      <c r="O463" s="39" t="str">
        <f>IFERROR(ödev!Z59*100/ödev!$I59,"")</f>
        <v/>
      </c>
      <c r="P463" s="39" t="str">
        <f>IFERROR(ödev!AA59*100/ödev!$I59,"")</f>
        <v/>
      </c>
      <c r="Q463" s="39" t="str">
        <f>IFERROR(ödev!AB59*100/ödev!$I59,"")</f>
        <v/>
      </c>
      <c r="R463" s="39" t="str">
        <f>IFERROR(ödev!AC59*100/ödev!$I59,"")</f>
        <v/>
      </c>
      <c r="S463" s="39" t="str">
        <f>IFERROR(ödev!AD59*100/ödev!$I59,"")</f>
        <v/>
      </c>
      <c r="T463" s="39" t="str">
        <f>IFERROR(ödev!AE59*100/ödev!$I59,"")</f>
        <v/>
      </c>
      <c r="U463" s="39" t="str">
        <f>IFERROR(ödev!AF59*100/ödev!$I59,"")</f>
        <v/>
      </c>
      <c r="V463" s="39" t="str">
        <f>IFERROR(ödev!AG59*100/ödev!$I59,"")</f>
        <v/>
      </c>
      <c r="W463" s="39" t="str">
        <f>IFERROR(ödev!AH59*100/ödev!$I59,"")</f>
        <v/>
      </c>
      <c r="X463" s="39" t="str">
        <f>IFERROR(ödev!AI59*100/ödev!$I59,"")</f>
        <v/>
      </c>
      <c r="Y463" s="39" t="str">
        <f>IFERROR(ödev!AJ59*100/ödev!$I59,"")</f>
        <v/>
      </c>
      <c r="Z463" s="39" t="str">
        <f>IFERROR(ödev!AK59*100/ödev!$I59,"")</f>
        <v/>
      </c>
      <c r="AA463" s="39" t="str">
        <f>IFERROR(ödev!AL59*100/ödev!$I59,"")</f>
        <v/>
      </c>
      <c r="AB463" s="39" t="str">
        <f>IFERROR(ödev!AM59*100/ödev!$I59,"")</f>
        <v/>
      </c>
      <c r="AC463" s="39" t="str">
        <f>IFERROR(ödev!AN59*100/ödev!$I59,"")</f>
        <v/>
      </c>
      <c r="AD463" s="39" t="str">
        <f>IFERROR(ödev!AO59*100/ödev!$I59,"")</f>
        <v/>
      </c>
      <c r="AE463" s="39" t="str">
        <f>IFERROR(ödev!AP59*100/ödev!$I59,"")</f>
        <v/>
      </c>
      <c r="AF463" s="39" t="str">
        <f>IFERROR(ödev!AQ59*100/ödev!$I59,"")</f>
        <v/>
      </c>
      <c r="AG463" s="39" t="str">
        <f>IFERROR(ödev!AR59*100/ödev!$I59,"")</f>
        <v/>
      </c>
      <c r="AH463" s="39" t="str">
        <f>IFERROR(ödev!AS59*100/ödev!$I59,"")</f>
        <v/>
      </c>
      <c r="AI463" s="39" t="str">
        <f>IFERROR(ödev!AT59*100/ödev!$I59,"")</f>
        <v/>
      </c>
      <c r="AJ463" s="39" t="str">
        <f>IFERROR(ödev!AU59*100/ödev!$I59,"")</f>
        <v/>
      </c>
      <c r="AK463" s="39" t="str">
        <f>IFERROR(ödev!AV59*100/ödev!$I59,"")</f>
        <v/>
      </c>
      <c r="AL463" s="39" t="str">
        <f>IFERROR(ödev!AW59*100/ödev!$I59,"")</f>
        <v/>
      </c>
      <c r="AM463" s="39" t="str">
        <f>IFERROR(ödev!AX59*100/ödev!$I59,"")</f>
        <v/>
      </c>
      <c r="AN463" s="39" t="str">
        <f>IFERROR(ödev!AY59*100/ödev!$I59,"")</f>
        <v/>
      </c>
      <c r="AO463" s="39" t="str">
        <f>IFERROR(ödev!AZ59*100/ödev!$I59,"")</f>
        <v/>
      </c>
      <c r="AP463" s="39" t="str">
        <f>IFERROR(ödev!BA59*100/ödev!$I59,"")</f>
        <v/>
      </c>
      <c r="AQ463" s="39" t="str">
        <f>IFERROR(ödev!BB59*100/ödev!$I59,"")</f>
        <v/>
      </c>
      <c r="AR463" s="39" t="str">
        <f>IFERROR(ödev!BC59*100/ödev!$I59,"")</f>
        <v/>
      </c>
      <c r="AS463" s="39" t="str">
        <f>IFERROR(ödev!BD59*100/ödev!$I59,"")</f>
        <v/>
      </c>
      <c r="AT463" s="39" t="str">
        <f>IFERROR(ödev!BE59*100/ödev!$I59,"")</f>
        <v/>
      </c>
      <c r="AU463" s="39" t="str">
        <f>IFERROR(ödev!BF59*100/ödev!$I59,"")</f>
        <v/>
      </c>
      <c r="AV463" s="39" t="str">
        <f>IFERROR(ödev!BG59*100/ödev!$I59,"")</f>
        <v/>
      </c>
      <c r="AW463" s="39" t="str">
        <f>IFERROR(ödev!BH59*100/ödev!$I59,"")</f>
        <v/>
      </c>
      <c r="AX463" s="39" t="str">
        <f>IFERROR(ödev!BI59*100/ödev!$I59,"")</f>
        <v/>
      </c>
      <c r="AY463" s="39" t="str">
        <f>IFERROR(ödev!BJ59*100/ödev!$I59,"")</f>
        <v/>
      </c>
      <c r="AZ463" s="39" t="str">
        <f>IFERROR(ödev!BK59*100/ödev!$I59,"")</f>
        <v/>
      </c>
      <c r="BA463" s="39" t="str">
        <f>IFERROR(ödev!BL59*100/ödev!$I59,"")</f>
        <v/>
      </c>
      <c r="BB463" s="39" t="str">
        <f>IFERROR(ödev!BM59*100/ödev!$I59,"")</f>
        <v/>
      </c>
      <c r="BC463" s="39" t="str">
        <f>IFERROR(ödev!BN59*100/ödev!$I59,"")</f>
        <v/>
      </c>
      <c r="BD463" s="39" t="str">
        <f>IFERROR(ödev!BO59*100/ödev!$I59,"")</f>
        <v/>
      </c>
      <c r="BE463" s="39" t="str">
        <f>IFERROR(ödev!BP59*100/ödev!$I59,"")</f>
        <v/>
      </c>
      <c r="BF463" s="39" t="str">
        <f>IFERROR(ödev!BQ59*100/ödev!$I59,"")</f>
        <v/>
      </c>
      <c r="BG463" s="39" t="str">
        <f>IFERROR(ödev!BR59*100/ödev!$I59,"")</f>
        <v/>
      </c>
      <c r="BH463" s="39" t="str">
        <f>IFERROR(ödev!BS59*100/ödev!$I59,"")</f>
        <v/>
      </c>
      <c r="BI463" s="39" t="str">
        <f>IFERROR(ödev!BT59*100/ödev!$I59,"")</f>
        <v/>
      </c>
      <c r="BJ463" s="39" t="str">
        <f>IFERROR(ödev!BU59*100/ödev!$I59,"")</f>
        <v/>
      </c>
      <c r="BK463" s="39" t="str">
        <f>IFERROR(ödev!BV59*100/ödev!$I59,"")</f>
        <v/>
      </c>
      <c r="BL463" s="39" t="str">
        <f>IFERROR(ödev!BW59*100/ödev!$I59,"")</f>
        <v/>
      </c>
      <c r="BM463" s="39" t="str">
        <f>IFERROR(ödev!BX59*100/ödev!$I59,"")</f>
        <v/>
      </c>
      <c r="BN463" s="39" t="str">
        <f>IFERROR(ödev!BY59*100/ödev!$I59,"")</f>
        <v/>
      </c>
      <c r="BO463" s="39" t="str">
        <f>IFERROR(ödev!BZ59*100/ödev!$I59,"")</f>
        <v/>
      </c>
      <c r="BP463" s="39" t="str">
        <f>IFERROR(ödev!CA59*100/ödev!$I59,"")</f>
        <v/>
      </c>
      <c r="BQ463" s="39" t="str">
        <f>IFERROR(ödev!CB59*100/ödev!$I59,"")</f>
        <v/>
      </c>
      <c r="BR463" s="39" t="str">
        <f>IFERROR(ödev!CC59*100/ödev!$I59,"")</f>
        <v/>
      </c>
      <c r="BS463" s="39" t="str">
        <f>IFERROR(ödev!CD59*100/ödev!$I59,"")</f>
        <v/>
      </c>
      <c r="BT463" s="39" t="str">
        <f>IFERROR(ödev!CE59*100/ödev!$I59,"")</f>
        <v/>
      </c>
      <c r="BU463" s="39" t="str">
        <f>IFERROR(ödev!CF59*100/ödev!$I59,"")</f>
        <v/>
      </c>
      <c r="BV463" s="39" t="str">
        <f>IFERROR(ödev!CG59*100/ödev!$I59,"")</f>
        <v/>
      </c>
      <c r="BW463" s="39" t="str">
        <f>IFERROR(ödev!CH59*100/ödev!$I59,"")</f>
        <v/>
      </c>
      <c r="BX463" s="39" t="str">
        <f>IFERROR(ödev!CI59*100/ödev!$I59,"")</f>
        <v/>
      </c>
      <c r="BY463" s="39" t="str">
        <f>IFERROR(ödev!CJ59*100/ödev!$I59,"")</f>
        <v/>
      </c>
      <c r="BZ463" s="39" t="str">
        <f>IFERROR(ödev!CK59*100/ödev!$I59,"")</f>
        <v/>
      </c>
      <c r="CA463" s="39" t="str">
        <f>IFERROR(ödev!CL59*100/ödev!$I59,"")</f>
        <v/>
      </c>
      <c r="CB463" s="39" t="str">
        <f>IFERROR(ödev!CM59*100/ödev!$I59,"")</f>
        <v/>
      </c>
      <c r="CC463" s="39" t="str">
        <f>IFERROR(ödev!CN59*100/ödev!$I59,"")</f>
        <v/>
      </c>
      <c r="CD463" s="39" t="str">
        <f>IFERROR(ödev!CO59*100/ödev!$I59,"")</f>
        <v/>
      </c>
      <c r="CE463" s="39" t="str">
        <f>IFERROR(ödev!CP59*100/ödev!$I59,"")</f>
        <v/>
      </c>
      <c r="CF463" s="39" t="str">
        <f>IFERROR(ödev!CQ59*100/ödev!$I59,"")</f>
        <v/>
      </c>
      <c r="CG463" s="39" t="str">
        <f>IFERROR(ödev!CR59*100/ödev!$I59,"")</f>
        <v/>
      </c>
      <c r="CH463" s="39" t="str">
        <f>IFERROR(ödev!CS59*100/ödev!$I59,"")</f>
        <v/>
      </c>
      <c r="CI463" s="39" t="str">
        <f>IFERROR(ödev!CT59*100/ödev!$I59,"")</f>
        <v/>
      </c>
      <c r="CJ463" s="39" t="str">
        <f>IFERROR(ödev!CU59*100/ödev!$I59,"")</f>
        <v/>
      </c>
      <c r="CK463" s="39" t="str">
        <f>IFERROR(ödev!CV59*100/ödev!$I59,"")</f>
        <v/>
      </c>
      <c r="CL463" s="39" t="str">
        <f>IFERROR(ödev!CW59*100/ödev!$I59,"")</f>
        <v/>
      </c>
      <c r="CM463" s="39" t="str">
        <f>IFERROR(ödev!CX59*100/ödev!$I59,"")</f>
        <v/>
      </c>
      <c r="CN463" s="39" t="str">
        <f>IFERROR(ödev!CY59*100/ödev!$I59,"")</f>
        <v/>
      </c>
      <c r="CO463" s="39" t="str">
        <f>IFERROR(ödev!CZ59*100/ödev!$I59,"")</f>
        <v/>
      </c>
      <c r="CP463" s="39" t="str">
        <f>IFERROR(ödev!DA59*100/ödev!$I59,"")</f>
        <v/>
      </c>
      <c r="CQ463" s="39" t="str">
        <f>IFERROR(ödev!DB59*100/ödev!$I59,"")</f>
        <v/>
      </c>
      <c r="CR463" s="39" t="str">
        <f>IFERROR(ödev!DC59*100/ödev!$I59,"")</f>
        <v/>
      </c>
      <c r="CS463" s="39" t="str">
        <f>IFERROR(ödev!DD59*100/ödev!$I59,"")</f>
        <v/>
      </c>
      <c r="CT463" s="39" t="str">
        <f>IFERROR(ödev!DE59*100/ödev!$I59,"")</f>
        <v/>
      </c>
      <c r="CU463" s="39" t="str">
        <f>IFERROR(ödev!DF59*100/ödev!$I59,"")</f>
        <v/>
      </c>
      <c r="CV463" s="39" t="str">
        <f>IFERROR(ödev!DG59*100/ödev!$I59,"")</f>
        <v/>
      </c>
      <c r="CW463" s="36" t="str">
        <f>IFERROR(SUM(A463:CV463)/ödev!$DH$103,"")</f>
        <v/>
      </c>
      <c r="CX463" s="14" t="str">
        <f>IF(COUNTA(ödev!A59),ödev!A59,"")</f>
        <v/>
      </c>
      <c r="CY463" s="14" t="str">
        <f>IF(COUNTA(ödev!B59),ödev!B59,"")</f>
        <v/>
      </c>
      <c r="CZ463" s="14" t="str">
        <f>IF(COUNTA(ödev!C59),ödev!C59,"")</f>
        <v/>
      </c>
      <c r="DA463" s="14" t="str">
        <f>IF(COUNTA(ödev!D59),ödev!D59,"")</f>
        <v/>
      </c>
      <c r="DB463" s="14" t="str">
        <f>IF(COUNTA(ödev!E59),ödev!E59,"")</f>
        <v/>
      </c>
      <c r="DC463" s="14" t="str">
        <f>IF(COUNTA(ödev!F59),ödev!F59,"")</f>
        <v/>
      </c>
      <c r="DD463" s="14" t="str">
        <f>IF(COUNTA(ödev!G59),ödev!G59,"")</f>
        <v/>
      </c>
      <c r="DE463" s="14" t="str">
        <f>IF(COUNTA(ödev!H59),ödev!H59,"")</f>
        <v/>
      </c>
    </row>
    <row r="464" spans="1:109" x14ac:dyDescent="0.2">
      <c r="A464" s="39" t="str">
        <f>IFERROR(ödev!L60*100/ödev!$I60,"")</f>
        <v/>
      </c>
      <c r="B464" s="39" t="str">
        <f>IFERROR(ödev!M60*100/ödev!$I60,"")</f>
        <v/>
      </c>
      <c r="C464" s="39" t="str">
        <f>IFERROR(ödev!N60*100/ödev!$I60,"")</f>
        <v/>
      </c>
      <c r="D464" s="39" t="str">
        <f>IFERROR(ödev!O60*100/ödev!$I60,"")</f>
        <v/>
      </c>
      <c r="E464" s="39" t="str">
        <f>IFERROR(ödev!P60*100/ödev!$I60,"")</f>
        <v/>
      </c>
      <c r="F464" s="39" t="str">
        <f>IFERROR(ödev!Q60*100/ödev!$I60,"")</f>
        <v/>
      </c>
      <c r="G464" s="39" t="str">
        <f>IFERROR(ödev!R60*100/ödev!$I60,"")</f>
        <v/>
      </c>
      <c r="H464" s="39" t="str">
        <f>IFERROR(ödev!S60*100/ödev!$I60,"")</f>
        <v/>
      </c>
      <c r="I464" s="39" t="str">
        <f>IFERROR(ödev!T60*100/ödev!$I60,"")</f>
        <v/>
      </c>
      <c r="J464" s="39" t="str">
        <f>IFERROR(ödev!U60*100/ödev!$I60,"")</f>
        <v/>
      </c>
      <c r="K464" s="39" t="str">
        <f>IFERROR(ödev!V60*100/ödev!$I60,"")</f>
        <v/>
      </c>
      <c r="L464" s="39" t="str">
        <f>IFERROR(ödev!W60*100/ödev!$I60,"")</f>
        <v/>
      </c>
      <c r="M464" s="39" t="str">
        <f>IFERROR(ödev!X60*100/ödev!$I60,"")</f>
        <v/>
      </c>
      <c r="N464" s="39" t="str">
        <f>IFERROR(ödev!Y60*100/ödev!$I60,"")</f>
        <v/>
      </c>
      <c r="O464" s="39" t="str">
        <f>IFERROR(ödev!Z60*100/ödev!$I60,"")</f>
        <v/>
      </c>
      <c r="P464" s="39" t="str">
        <f>IFERROR(ödev!AA60*100/ödev!$I60,"")</f>
        <v/>
      </c>
      <c r="Q464" s="39" t="str">
        <f>IFERROR(ödev!AB60*100/ödev!$I60,"")</f>
        <v/>
      </c>
      <c r="R464" s="39" t="str">
        <f>IFERROR(ödev!AC60*100/ödev!$I60,"")</f>
        <v/>
      </c>
      <c r="S464" s="39" t="str">
        <f>IFERROR(ödev!AD60*100/ödev!$I60,"")</f>
        <v/>
      </c>
      <c r="T464" s="39" t="str">
        <f>IFERROR(ödev!AE60*100/ödev!$I60,"")</f>
        <v/>
      </c>
      <c r="U464" s="39" t="str">
        <f>IFERROR(ödev!AF60*100/ödev!$I60,"")</f>
        <v/>
      </c>
      <c r="V464" s="39" t="str">
        <f>IFERROR(ödev!AG60*100/ödev!$I60,"")</f>
        <v/>
      </c>
      <c r="W464" s="39" t="str">
        <f>IFERROR(ödev!AH60*100/ödev!$I60,"")</f>
        <v/>
      </c>
      <c r="X464" s="39" t="str">
        <f>IFERROR(ödev!AI60*100/ödev!$I60,"")</f>
        <v/>
      </c>
      <c r="Y464" s="39" t="str">
        <f>IFERROR(ödev!AJ60*100/ödev!$I60,"")</f>
        <v/>
      </c>
      <c r="Z464" s="39" t="str">
        <f>IFERROR(ödev!AK60*100/ödev!$I60,"")</f>
        <v/>
      </c>
      <c r="AA464" s="39" t="str">
        <f>IFERROR(ödev!AL60*100/ödev!$I60,"")</f>
        <v/>
      </c>
      <c r="AB464" s="39" t="str">
        <f>IFERROR(ödev!AM60*100/ödev!$I60,"")</f>
        <v/>
      </c>
      <c r="AC464" s="39" t="str">
        <f>IFERROR(ödev!AN60*100/ödev!$I60,"")</f>
        <v/>
      </c>
      <c r="AD464" s="39" t="str">
        <f>IFERROR(ödev!AO60*100/ödev!$I60,"")</f>
        <v/>
      </c>
      <c r="AE464" s="39" t="str">
        <f>IFERROR(ödev!AP60*100/ödev!$I60,"")</f>
        <v/>
      </c>
      <c r="AF464" s="39" t="str">
        <f>IFERROR(ödev!AQ60*100/ödev!$I60,"")</f>
        <v/>
      </c>
      <c r="AG464" s="39" t="str">
        <f>IFERROR(ödev!AR60*100/ödev!$I60,"")</f>
        <v/>
      </c>
      <c r="AH464" s="39" t="str">
        <f>IFERROR(ödev!AS60*100/ödev!$I60,"")</f>
        <v/>
      </c>
      <c r="AI464" s="39" t="str">
        <f>IFERROR(ödev!AT60*100/ödev!$I60,"")</f>
        <v/>
      </c>
      <c r="AJ464" s="39" t="str">
        <f>IFERROR(ödev!AU60*100/ödev!$I60,"")</f>
        <v/>
      </c>
      <c r="AK464" s="39" t="str">
        <f>IFERROR(ödev!AV60*100/ödev!$I60,"")</f>
        <v/>
      </c>
      <c r="AL464" s="39" t="str">
        <f>IFERROR(ödev!AW60*100/ödev!$I60,"")</f>
        <v/>
      </c>
      <c r="AM464" s="39" t="str">
        <f>IFERROR(ödev!AX60*100/ödev!$I60,"")</f>
        <v/>
      </c>
      <c r="AN464" s="39" t="str">
        <f>IFERROR(ödev!AY60*100/ödev!$I60,"")</f>
        <v/>
      </c>
      <c r="AO464" s="39" t="str">
        <f>IFERROR(ödev!AZ60*100/ödev!$I60,"")</f>
        <v/>
      </c>
      <c r="AP464" s="39" t="str">
        <f>IFERROR(ödev!BA60*100/ödev!$I60,"")</f>
        <v/>
      </c>
      <c r="AQ464" s="39" t="str">
        <f>IFERROR(ödev!BB60*100/ödev!$I60,"")</f>
        <v/>
      </c>
      <c r="AR464" s="39" t="str">
        <f>IFERROR(ödev!BC60*100/ödev!$I60,"")</f>
        <v/>
      </c>
      <c r="AS464" s="39" t="str">
        <f>IFERROR(ödev!BD60*100/ödev!$I60,"")</f>
        <v/>
      </c>
      <c r="AT464" s="39" t="str">
        <f>IFERROR(ödev!BE60*100/ödev!$I60,"")</f>
        <v/>
      </c>
      <c r="AU464" s="39" t="str">
        <f>IFERROR(ödev!BF60*100/ödev!$I60,"")</f>
        <v/>
      </c>
      <c r="AV464" s="39" t="str">
        <f>IFERROR(ödev!BG60*100/ödev!$I60,"")</f>
        <v/>
      </c>
      <c r="AW464" s="39" t="str">
        <f>IFERROR(ödev!BH60*100/ödev!$I60,"")</f>
        <v/>
      </c>
      <c r="AX464" s="39" t="str">
        <f>IFERROR(ödev!BI60*100/ödev!$I60,"")</f>
        <v/>
      </c>
      <c r="AY464" s="39" t="str">
        <f>IFERROR(ödev!BJ60*100/ödev!$I60,"")</f>
        <v/>
      </c>
      <c r="AZ464" s="39" t="str">
        <f>IFERROR(ödev!BK60*100/ödev!$I60,"")</f>
        <v/>
      </c>
      <c r="BA464" s="39" t="str">
        <f>IFERROR(ödev!BL60*100/ödev!$I60,"")</f>
        <v/>
      </c>
      <c r="BB464" s="39" t="str">
        <f>IFERROR(ödev!BM60*100/ödev!$I60,"")</f>
        <v/>
      </c>
      <c r="BC464" s="39" t="str">
        <f>IFERROR(ödev!BN60*100/ödev!$I60,"")</f>
        <v/>
      </c>
      <c r="BD464" s="39" t="str">
        <f>IFERROR(ödev!BO60*100/ödev!$I60,"")</f>
        <v/>
      </c>
      <c r="BE464" s="39" t="str">
        <f>IFERROR(ödev!BP60*100/ödev!$I60,"")</f>
        <v/>
      </c>
      <c r="BF464" s="39" t="str">
        <f>IFERROR(ödev!BQ60*100/ödev!$I60,"")</f>
        <v/>
      </c>
      <c r="BG464" s="39" t="str">
        <f>IFERROR(ödev!BR60*100/ödev!$I60,"")</f>
        <v/>
      </c>
      <c r="BH464" s="39" t="str">
        <f>IFERROR(ödev!BS60*100/ödev!$I60,"")</f>
        <v/>
      </c>
      <c r="BI464" s="39" t="str">
        <f>IFERROR(ödev!BT60*100/ödev!$I60,"")</f>
        <v/>
      </c>
      <c r="BJ464" s="39" t="str">
        <f>IFERROR(ödev!BU60*100/ödev!$I60,"")</f>
        <v/>
      </c>
      <c r="BK464" s="39" t="str">
        <f>IFERROR(ödev!BV60*100/ödev!$I60,"")</f>
        <v/>
      </c>
      <c r="BL464" s="39" t="str">
        <f>IFERROR(ödev!BW60*100/ödev!$I60,"")</f>
        <v/>
      </c>
      <c r="BM464" s="39" t="str">
        <f>IFERROR(ödev!BX60*100/ödev!$I60,"")</f>
        <v/>
      </c>
      <c r="BN464" s="39" t="str">
        <f>IFERROR(ödev!BY60*100/ödev!$I60,"")</f>
        <v/>
      </c>
      <c r="BO464" s="39" t="str">
        <f>IFERROR(ödev!BZ60*100/ödev!$I60,"")</f>
        <v/>
      </c>
      <c r="BP464" s="39" t="str">
        <f>IFERROR(ödev!CA60*100/ödev!$I60,"")</f>
        <v/>
      </c>
      <c r="BQ464" s="39" t="str">
        <f>IFERROR(ödev!CB60*100/ödev!$I60,"")</f>
        <v/>
      </c>
      <c r="BR464" s="39" t="str">
        <f>IFERROR(ödev!CC60*100/ödev!$I60,"")</f>
        <v/>
      </c>
      <c r="BS464" s="39" t="str">
        <f>IFERROR(ödev!CD60*100/ödev!$I60,"")</f>
        <v/>
      </c>
      <c r="BT464" s="39" t="str">
        <f>IFERROR(ödev!CE60*100/ödev!$I60,"")</f>
        <v/>
      </c>
      <c r="BU464" s="39" t="str">
        <f>IFERROR(ödev!CF60*100/ödev!$I60,"")</f>
        <v/>
      </c>
      <c r="BV464" s="39" t="str">
        <f>IFERROR(ödev!CG60*100/ödev!$I60,"")</f>
        <v/>
      </c>
      <c r="BW464" s="39" t="str">
        <f>IFERROR(ödev!CH60*100/ödev!$I60,"")</f>
        <v/>
      </c>
      <c r="BX464" s="39" t="str">
        <f>IFERROR(ödev!CI60*100/ödev!$I60,"")</f>
        <v/>
      </c>
      <c r="BY464" s="39" t="str">
        <f>IFERROR(ödev!CJ60*100/ödev!$I60,"")</f>
        <v/>
      </c>
      <c r="BZ464" s="39" t="str">
        <f>IFERROR(ödev!CK60*100/ödev!$I60,"")</f>
        <v/>
      </c>
      <c r="CA464" s="39" t="str">
        <f>IFERROR(ödev!CL60*100/ödev!$I60,"")</f>
        <v/>
      </c>
      <c r="CB464" s="39" t="str">
        <f>IFERROR(ödev!CM60*100/ödev!$I60,"")</f>
        <v/>
      </c>
      <c r="CC464" s="39" t="str">
        <f>IFERROR(ödev!CN60*100/ödev!$I60,"")</f>
        <v/>
      </c>
      <c r="CD464" s="39" t="str">
        <f>IFERROR(ödev!CO60*100/ödev!$I60,"")</f>
        <v/>
      </c>
      <c r="CE464" s="39" t="str">
        <f>IFERROR(ödev!CP60*100/ödev!$I60,"")</f>
        <v/>
      </c>
      <c r="CF464" s="39" t="str">
        <f>IFERROR(ödev!CQ60*100/ödev!$I60,"")</f>
        <v/>
      </c>
      <c r="CG464" s="39" t="str">
        <f>IFERROR(ödev!CR60*100/ödev!$I60,"")</f>
        <v/>
      </c>
      <c r="CH464" s="39" t="str">
        <f>IFERROR(ödev!CS60*100/ödev!$I60,"")</f>
        <v/>
      </c>
      <c r="CI464" s="39" t="str">
        <f>IFERROR(ödev!CT60*100/ödev!$I60,"")</f>
        <v/>
      </c>
      <c r="CJ464" s="39" t="str">
        <f>IFERROR(ödev!CU60*100/ödev!$I60,"")</f>
        <v/>
      </c>
      <c r="CK464" s="39" t="str">
        <f>IFERROR(ödev!CV60*100/ödev!$I60,"")</f>
        <v/>
      </c>
      <c r="CL464" s="39" t="str">
        <f>IFERROR(ödev!CW60*100/ödev!$I60,"")</f>
        <v/>
      </c>
      <c r="CM464" s="39" t="str">
        <f>IFERROR(ödev!CX60*100/ödev!$I60,"")</f>
        <v/>
      </c>
      <c r="CN464" s="39" t="str">
        <f>IFERROR(ödev!CY60*100/ödev!$I60,"")</f>
        <v/>
      </c>
      <c r="CO464" s="39" t="str">
        <f>IFERROR(ödev!CZ60*100/ödev!$I60,"")</f>
        <v/>
      </c>
      <c r="CP464" s="39" t="str">
        <f>IFERROR(ödev!DA60*100/ödev!$I60,"")</f>
        <v/>
      </c>
      <c r="CQ464" s="39" t="str">
        <f>IFERROR(ödev!DB60*100/ödev!$I60,"")</f>
        <v/>
      </c>
      <c r="CR464" s="39" t="str">
        <f>IFERROR(ödev!DC60*100/ödev!$I60,"")</f>
        <v/>
      </c>
      <c r="CS464" s="39" t="str">
        <f>IFERROR(ödev!DD60*100/ödev!$I60,"")</f>
        <v/>
      </c>
      <c r="CT464" s="39" t="str">
        <f>IFERROR(ödev!DE60*100/ödev!$I60,"")</f>
        <v/>
      </c>
      <c r="CU464" s="39" t="str">
        <f>IFERROR(ödev!DF60*100/ödev!$I60,"")</f>
        <v/>
      </c>
      <c r="CV464" s="39" t="str">
        <f>IFERROR(ödev!DG60*100/ödev!$I60,"")</f>
        <v/>
      </c>
      <c r="CW464" s="36" t="str">
        <f>IFERROR(SUM(A464:CV464)/ödev!$DH$103,"")</f>
        <v/>
      </c>
      <c r="CX464" s="14" t="str">
        <f>IF(COUNTA(ödev!A60),ödev!A60,"")</f>
        <v/>
      </c>
      <c r="CY464" s="14" t="str">
        <f>IF(COUNTA(ödev!B60),ödev!B60,"")</f>
        <v/>
      </c>
      <c r="CZ464" s="14" t="str">
        <f>IF(COUNTA(ödev!C60),ödev!C60,"")</f>
        <v/>
      </c>
      <c r="DA464" s="14" t="str">
        <f>IF(COUNTA(ödev!D60),ödev!D60,"")</f>
        <v/>
      </c>
      <c r="DB464" s="14" t="str">
        <f>IF(COUNTA(ödev!E60),ödev!E60,"")</f>
        <v/>
      </c>
      <c r="DC464" s="14" t="str">
        <f>IF(COUNTA(ödev!F60),ödev!F60,"")</f>
        <v/>
      </c>
      <c r="DD464" s="14" t="str">
        <f>IF(COUNTA(ödev!G60),ödev!G60,"")</f>
        <v/>
      </c>
      <c r="DE464" s="14" t="str">
        <f>IF(COUNTA(ödev!H60),ödev!H60,"")</f>
        <v/>
      </c>
    </row>
    <row r="465" spans="1:109" x14ac:dyDescent="0.2">
      <c r="A465" s="39" t="str">
        <f>IFERROR(ödev!L61*100/ödev!$I61,"")</f>
        <v/>
      </c>
      <c r="B465" s="39" t="str">
        <f>IFERROR(ödev!M61*100/ödev!$I61,"")</f>
        <v/>
      </c>
      <c r="C465" s="39" t="str">
        <f>IFERROR(ödev!N61*100/ödev!$I61,"")</f>
        <v/>
      </c>
      <c r="D465" s="39" t="str">
        <f>IFERROR(ödev!O61*100/ödev!$I61,"")</f>
        <v/>
      </c>
      <c r="E465" s="39" t="str">
        <f>IFERROR(ödev!P61*100/ödev!$I61,"")</f>
        <v/>
      </c>
      <c r="F465" s="39" t="str">
        <f>IFERROR(ödev!Q61*100/ödev!$I61,"")</f>
        <v/>
      </c>
      <c r="G465" s="39" t="str">
        <f>IFERROR(ödev!R61*100/ödev!$I61,"")</f>
        <v/>
      </c>
      <c r="H465" s="39" t="str">
        <f>IFERROR(ödev!S61*100/ödev!$I61,"")</f>
        <v/>
      </c>
      <c r="I465" s="39" t="str">
        <f>IFERROR(ödev!T61*100/ödev!$I61,"")</f>
        <v/>
      </c>
      <c r="J465" s="39" t="str">
        <f>IFERROR(ödev!U61*100/ödev!$I61,"")</f>
        <v/>
      </c>
      <c r="K465" s="39" t="str">
        <f>IFERROR(ödev!V61*100/ödev!$I61,"")</f>
        <v/>
      </c>
      <c r="L465" s="39" t="str">
        <f>IFERROR(ödev!W61*100/ödev!$I61,"")</f>
        <v/>
      </c>
      <c r="M465" s="39" t="str">
        <f>IFERROR(ödev!X61*100/ödev!$I61,"")</f>
        <v/>
      </c>
      <c r="N465" s="39" t="str">
        <f>IFERROR(ödev!Y61*100/ödev!$I61,"")</f>
        <v/>
      </c>
      <c r="O465" s="39" t="str">
        <f>IFERROR(ödev!Z61*100/ödev!$I61,"")</f>
        <v/>
      </c>
      <c r="P465" s="39" t="str">
        <f>IFERROR(ödev!AA61*100/ödev!$I61,"")</f>
        <v/>
      </c>
      <c r="Q465" s="39" t="str">
        <f>IFERROR(ödev!AB61*100/ödev!$I61,"")</f>
        <v/>
      </c>
      <c r="R465" s="39" t="str">
        <f>IFERROR(ödev!AC61*100/ödev!$I61,"")</f>
        <v/>
      </c>
      <c r="S465" s="39" t="str">
        <f>IFERROR(ödev!AD61*100/ödev!$I61,"")</f>
        <v/>
      </c>
      <c r="T465" s="39" t="str">
        <f>IFERROR(ödev!AE61*100/ödev!$I61,"")</f>
        <v/>
      </c>
      <c r="U465" s="39" t="str">
        <f>IFERROR(ödev!AF61*100/ödev!$I61,"")</f>
        <v/>
      </c>
      <c r="V465" s="39" t="str">
        <f>IFERROR(ödev!AG61*100/ödev!$I61,"")</f>
        <v/>
      </c>
      <c r="W465" s="39" t="str">
        <f>IFERROR(ödev!AH61*100/ödev!$I61,"")</f>
        <v/>
      </c>
      <c r="X465" s="39" t="str">
        <f>IFERROR(ödev!AI61*100/ödev!$I61,"")</f>
        <v/>
      </c>
      <c r="Y465" s="39" t="str">
        <f>IFERROR(ödev!AJ61*100/ödev!$I61,"")</f>
        <v/>
      </c>
      <c r="Z465" s="39" t="str">
        <f>IFERROR(ödev!AK61*100/ödev!$I61,"")</f>
        <v/>
      </c>
      <c r="AA465" s="39" t="str">
        <f>IFERROR(ödev!AL61*100/ödev!$I61,"")</f>
        <v/>
      </c>
      <c r="AB465" s="39" t="str">
        <f>IFERROR(ödev!AM61*100/ödev!$I61,"")</f>
        <v/>
      </c>
      <c r="AC465" s="39" t="str">
        <f>IFERROR(ödev!AN61*100/ödev!$I61,"")</f>
        <v/>
      </c>
      <c r="AD465" s="39" t="str">
        <f>IFERROR(ödev!AO61*100/ödev!$I61,"")</f>
        <v/>
      </c>
      <c r="AE465" s="39" t="str">
        <f>IFERROR(ödev!AP61*100/ödev!$I61,"")</f>
        <v/>
      </c>
      <c r="AF465" s="39" t="str">
        <f>IFERROR(ödev!AQ61*100/ödev!$I61,"")</f>
        <v/>
      </c>
      <c r="AG465" s="39" t="str">
        <f>IFERROR(ödev!AR61*100/ödev!$I61,"")</f>
        <v/>
      </c>
      <c r="AH465" s="39" t="str">
        <f>IFERROR(ödev!AS61*100/ödev!$I61,"")</f>
        <v/>
      </c>
      <c r="AI465" s="39" t="str">
        <f>IFERROR(ödev!AT61*100/ödev!$I61,"")</f>
        <v/>
      </c>
      <c r="AJ465" s="39" t="str">
        <f>IFERROR(ödev!AU61*100/ödev!$I61,"")</f>
        <v/>
      </c>
      <c r="AK465" s="39" t="str">
        <f>IFERROR(ödev!AV61*100/ödev!$I61,"")</f>
        <v/>
      </c>
      <c r="AL465" s="39" t="str">
        <f>IFERROR(ödev!AW61*100/ödev!$I61,"")</f>
        <v/>
      </c>
      <c r="AM465" s="39" t="str">
        <f>IFERROR(ödev!AX61*100/ödev!$I61,"")</f>
        <v/>
      </c>
      <c r="AN465" s="39" t="str">
        <f>IFERROR(ödev!AY61*100/ödev!$I61,"")</f>
        <v/>
      </c>
      <c r="AO465" s="39" t="str">
        <f>IFERROR(ödev!AZ61*100/ödev!$I61,"")</f>
        <v/>
      </c>
      <c r="AP465" s="39" t="str">
        <f>IFERROR(ödev!BA61*100/ödev!$I61,"")</f>
        <v/>
      </c>
      <c r="AQ465" s="39" t="str">
        <f>IFERROR(ödev!BB61*100/ödev!$I61,"")</f>
        <v/>
      </c>
      <c r="AR465" s="39" t="str">
        <f>IFERROR(ödev!BC61*100/ödev!$I61,"")</f>
        <v/>
      </c>
      <c r="AS465" s="39" t="str">
        <f>IFERROR(ödev!BD61*100/ödev!$I61,"")</f>
        <v/>
      </c>
      <c r="AT465" s="39" t="str">
        <f>IFERROR(ödev!BE61*100/ödev!$I61,"")</f>
        <v/>
      </c>
      <c r="AU465" s="39" t="str">
        <f>IFERROR(ödev!BF61*100/ödev!$I61,"")</f>
        <v/>
      </c>
      <c r="AV465" s="39" t="str">
        <f>IFERROR(ödev!BG61*100/ödev!$I61,"")</f>
        <v/>
      </c>
      <c r="AW465" s="39" t="str">
        <f>IFERROR(ödev!BH61*100/ödev!$I61,"")</f>
        <v/>
      </c>
      <c r="AX465" s="39" t="str">
        <f>IFERROR(ödev!BI61*100/ödev!$I61,"")</f>
        <v/>
      </c>
      <c r="AY465" s="39" t="str">
        <f>IFERROR(ödev!BJ61*100/ödev!$I61,"")</f>
        <v/>
      </c>
      <c r="AZ465" s="39" t="str">
        <f>IFERROR(ödev!BK61*100/ödev!$I61,"")</f>
        <v/>
      </c>
      <c r="BA465" s="39" t="str">
        <f>IFERROR(ödev!BL61*100/ödev!$I61,"")</f>
        <v/>
      </c>
      <c r="BB465" s="39" t="str">
        <f>IFERROR(ödev!BM61*100/ödev!$I61,"")</f>
        <v/>
      </c>
      <c r="BC465" s="39" t="str">
        <f>IFERROR(ödev!BN61*100/ödev!$I61,"")</f>
        <v/>
      </c>
      <c r="BD465" s="39" t="str">
        <f>IFERROR(ödev!BO61*100/ödev!$I61,"")</f>
        <v/>
      </c>
      <c r="BE465" s="39" t="str">
        <f>IFERROR(ödev!BP61*100/ödev!$I61,"")</f>
        <v/>
      </c>
      <c r="BF465" s="39" t="str">
        <f>IFERROR(ödev!BQ61*100/ödev!$I61,"")</f>
        <v/>
      </c>
      <c r="BG465" s="39" t="str">
        <f>IFERROR(ödev!BR61*100/ödev!$I61,"")</f>
        <v/>
      </c>
      <c r="BH465" s="39" t="str">
        <f>IFERROR(ödev!BS61*100/ödev!$I61,"")</f>
        <v/>
      </c>
      <c r="BI465" s="39" t="str">
        <f>IFERROR(ödev!BT61*100/ödev!$I61,"")</f>
        <v/>
      </c>
      <c r="BJ465" s="39" t="str">
        <f>IFERROR(ödev!BU61*100/ödev!$I61,"")</f>
        <v/>
      </c>
      <c r="BK465" s="39" t="str">
        <f>IFERROR(ödev!BV61*100/ödev!$I61,"")</f>
        <v/>
      </c>
      <c r="BL465" s="39" t="str">
        <f>IFERROR(ödev!BW61*100/ödev!$I61,"")</f>
        <v/>
      </c>
      <c r="BM465" s="39" t="str">
        <f>IFERROR(ödev!BX61*100/ödev!$I61,"")</f>
        <v/>
      </c>
      <c r="BN465" s="39" t="str">
        <f>IFERROR(ödev!BY61*100/ödev!$I61,"")</f>
        <v/>
      </c>
      <c r="BO465" s="39" t="str">
        <f>IFERROR(ödev!BZ61*100/ödev!$I61,"")</f>
        <v/>
      </c>
      <c r="BP465" s="39" t="str">
        <f>IFERROR(ödev!CA61*100/ödev!$I61,"")</f>
        <v/>
      </c>
      <c r="BQ465" s="39" t="str">
        <f>IFERROR(ödev!CB61*100/ödev!$I61,"")</f>
        <v/>
      </c>
      <c r="BR465" s="39" t="str">
        <f>IFERROR(ödev!CC61*100/ödev!$I61,"")</f>
        <v/>
      </c>
      <c r="BS465" s="39" t="str">
        <f>IFERROR(ödev!CD61*100/ödev!$I61,"")</f>
        <v/>
      </c>
      <c r="BT465" s="39" t="str">
        <f>IFERROR(ödev!CE61*100/ödev!$I61,"")</f>
        <v/>
      </c>
      <c r="BU465" s="39" t="str">
        <f>IFERROR(ödev!CF61*100/ödev!$I61,"")</f>
        <v/>
      </c>
      <c r="BV465" s="39" t="str">
        <f>IFERROR(ödev!CG61*100/ödev!$I61,"")</f>
        <v/>
      </c>
      <c r="BW465" s="39" t="str">
        <f>IFERROR(ödev!CH61*100/ödev!$I61,"")</f>
        <v/>
      </c>
      <c r="BX465" s="39" t="str">
        <f>IFERROR(ödev!CI61*100/ödev!$I61,"")</f>
        <v/>
      </c>
      <c r="BY465" s="39" t="str">
        <f>IFERROR(ödev!CJ61*100/ödev!$I61,"")</f>
        <v/>
      </c>
      <c r="BZ465" s="39" t="str">
        <f>IFERROR(ödev!CK61*100/ödev!$I61,"")</f>
        <v/>
      </c>
      <c r="CA465" s="39" t="str">
        <f>IFERROR(ödev!CL61*100/ödev!$I61,"")</f>
        <v/>
      </c>
      <c r="CB465" s="39" t="str">
        <f>IFERROR(ödev!CM61*100/ödev!$I61,"")</f>
        <v/>
      </c>
      <c r="CC465" s="39" t="str">
        <f>IFERROR(ödev!CN61*100/ödev!$I61,"")</f>
        <v/>
      </c>
      <c r="CD465" s="39" t="str">
        <f>IFERROR(ödev!CO61*100/ödev!$I61,"")</f>
        <v/>
      </c>
      <c r="CE465" s="39" t="str">
        <f>IFERROR(ödev!CP61*100/ödev!$I61,"")</f>
        <v/>
      </c>
      <c r="CF465" s="39" t="str">
        <f>IFERROR(ödev!CQ61*100/ödev!$I61,"")</f>
        <v/>
      </c>
      <c r="CG465" s="39" t="str">
        <f>IFERROR(ödev!CR61*100/ödev!$I61,"")</f>
        <v/>
      </c>
      <c r="CH465" s="39" t="str">
        <f>IFERROR(ödev!CS61*100/ödev!$I61,"")</f>
        <v/>
      </c>
      <c r="CI465" s="39" t="str">
        <f>IFERROR(ödev!CT61*100/ödev!$I61,"")</f>
        <v/>
      </c>
      <c r="CJ465" s="39" t="str">
        <f>IFERROR(ödev!CU61*100/ödev!$I61,"")</f>
        <v/>
      </c>
      <c r="CK465" s="39" t="str">
        <f>IFERROR(ödev!CV61*100/ödev!$I61,"")</f>
        <v/>
      </c>
      <c r="CL465" s="39" t="str">
        <f>IFERROR(ödev!CW61*100/ödev!$I61,"")</f>
        <v/>
      </c>
      <c r="CM465" s="39" t="str">
        <f>IFERROR(ödev!CX61*100/ödev!$I61,"")</f>
        <v/>
      </c>
      <c r="CN465" s="39" t="str">
        <f>IFERROR(ödev!CY61*100/ödev!$I61,"")</f>
        <v/>
      </c>
      <c r="CO465" s="39" t="str">
        <f>IFERROR(ödev!CZ61*100/ödev!$I61,"")</f>
        <v/>
      </c>
      <c r="CP465" s="39" t="str">
        <f>IFERROR(ödev!DA61*100/ödev!$I61,"")</f>
        <v/>
      </c>
      <c r="CQ465" s="39" t="str">
        <f>IFERROR(ödev!DB61*100/ödev!$I61,"")</f>
        <v/>
      </c>
      <c r="CR465" s="39" t="str">
        <f>IFERROR(ödev!DC61*100/ödev!$I61,"")</f>
        <v/>
      </c>
      <c r="CS465" s="39" t="str">
        <f>IFERROR(ödev!DD61*100/ödev!$I61,"")</f>
        <v/>
      </c>
      <c r="CT465" s="39" t="str">
        <f>IFERROR(ödev!DE61*100/ödev!$I61,"")</f>
        <v/>
      </c>
      <c r="CU465" s="39" t="str">
        <f>IFERROR(ödev!DF61*100/ödev!$I61,"")</f>
        <v/>
      </c>
      <c r="CV465" s="39" t="str">
        <f>IFERROR(ödev!DG61*100/ödev!$I61,"")</f>
        <v/>
      </c>
      <c r="CW465" s="36" t="str">
        <f>IFERROR(SUM(A465:CV465)/ödev!$DH$103,"")</f>
        <v/>
      </c>
      <c r="CX465" s="14" t="str">
        <f>IF(COUNTA(ödev!A61),ödev!A61,"")</f>
        <v/>
      </c>
      <c r="CY465" s="14" t="str">
        <f>IF(COUNTA(ödev!B61),ödev!B61,"")</f>
        <v/>
      </c>
      <c r="CZ465" s="14" t="str">
        <f>IF(COUNTA(ödev!C61),ödev!C61,"")</f>
        <v/>
      </c>
      <c r="DA465" s="14" t="str">
        <f>IF(COUNTA(ödev!D61),ödev!D61,"")</f>
        <v/>
      </c>
      <c r="DB465" s="14" t="str">
        <f>IF(COUNTA(ödev!E61),ödev!E61,"")</f>
        <v/>
      </c>
      <c r="DC465" s="14" t="str">
        <f>IF(COUNTA(ödev!F61),ödev!F61,"")</f>
        <v/>
      </c>
      <c r="DD465" s="14" t="str">
        <f>IF(COUNTA(ödev!G61),ödev!G61,"")</f>
        <v/>
      </c>
      <c r="DE465" s="14" t="str">
        <f>IF(COUNTA(ödev!H61),ödev!H61,"")</f>
        <v/>
      </c>
    </row>
    <row r="466" spans="1:109" x14ac:dyDescent="0.2">
      <c r="A466" s="39" t="str">
        <f>IFERROR(ödev!L62*100/ödev!$I62,"")</f>
        <v/>
      </c>
      <c r="B466" s="39" t="str">
        <f>IFERROR(ödev!M62*100/ödev!$I62,"")</f>
        <v/>
      </c>
      <c r="C466" s="39" t="str">
        <f>IFERROR(ödev!N62*100/ödev!$I62,"")</f>
        <v/>
      </c>
      <c r="D466" s="39" t="str">
        <f>IFERROR(ödev!O62*100/ödev!$I62,"")</f>
        <v/>
      </c>
      <c r="E466" s="39" t="str">
        <f>IFERROR(ödev!P62*100/ödev!$I62,"")</f>
        <v/>
      </c>
      <c r="F466" s="39" t="str">
        <f>IFERROR(ödev!Q62*100/ödev!$I62,"")</f>
        <v/>
      </c>
      <c r="G466" s="39" t="str">
        <f>IFERROR(ödev!R62*100/ödev!$I62,"")</f>
        <v/>
      </c>
      <c r="H466" s="39" t="str">
        <f>IFERROR(ödev!S62*100/ödev!$I62,"")</f>
        <v/>
      </c>
      <c r="I466" s="39" t="str">
        <f>IFERROR(ödev!T62*100/ödev!$I62,"")</f>
        <v/>
      </c>
      <c r="J466" s="39" t="str">
        <f>IFERROR(ödev!U62*100/ödev!$I62,"")</f>
        <v/>
      </c>
      <c r="K466" s="39" t="str">
        <f>IFERROR(ödev!V62*100/ödev!$I62,"")</f>
        <v/>
      </c>
      <c r="L466" s="39" t="str">
        <f>IFERROR(ödev!W62*100/ödev!$I62,"")</f>
        <v/>
      </c>
      <c r="M466" s="39" t="str">
        <f>IFERROR(ödev!X62*100/ödev!$I62,"")</f>
        <v/>
      </c>
      <c r="N466" s="39" t="str">
        <f>IFERROR(ödev!Y62*100/ödev!$I62,"")</f>
        <v/>
      </c>
      <c r="O466" s="39" t="str">
        <f>IFERROR(ödev!Z62*100/ödev!$I62,"")</f>
        <v/>
      </c>
      <c r="P466" s="39" t="str">
        <f>IFERROR(ödev!AA62*100/ödev!$I62,"")</f>
        <v/>
      </c>
      <c r="Q466" s="39" t="str">
        <f>IFERROR(ödev!AB62*100/ödev!$I62,"")</f>
        <v/>
      </c>
      <c r="R466" s="39" t="str">
        <f>IFERROR(ödev!AC62*100/ödev!$I62,"")</f>
        <v/>
      </c>
      <c r="S466" s="39" t="str">
        <f>IFERROR(ödev!AD62*100/ödev!$I62,"")</f>
        <v/>
      </c>
      <c r="T466" s="39" t="str">
        <f>IFERROR(ödev!AE62*100/ödev!$I62,"")</f>
        <v/>
      </c>
      <c r="U466" s="39" t="str">
        <f>IFERROR(ödev!AF62*100/ödev!$I62,"")</f>
        <v/>
      </c>
      <c r="V466" s="39" t="str">
        <f>IFERROR(ödev!AG62*100/ödev!$I62,"")</f>
        <v/>
      </c>
      <c r="W466" s="39" t="str">
        <f>IFERROR(ödev!AH62*100/ödev!$I62,"")</f>
        <v/>
      </c>
      <c r="X466" s="39" t="str">
        <f>IFERROR(ödev!AI62*100/ödev!$I62,"")</f>
        <v/>
      </c>
      <c r="Y466" s="39" t="str">
        <f>IFERROR(ödev!AJ62*100/ödev!$I62,"")</f>
        <v/>
      </c>
      <c r="Z466" s="39" t="str">
        <f>IFERROR(ödev!AK62*100/ödev!$I62,"")</f>
        <v/>
      </c>
      <c r="AA466" s="39" t="str">
        <f>IFERROR(ödev!AL62*100/ödev!$I62,"")</f>
        <v/>
      </c>
      <c r="AB466" s="39" t="str">
        <f>IFERROR(ödev!AM62*100/ödev!$I62,"")</f>
        <v/>
      </c>
      <c r="AC466" s="39" t="str">
        <f>IFERROR(ödev!AN62*100/ödev!$I62,"")</f>
        <v/>
      </c>
      <c r="AD466" s="39" t="str">
        <f>IFERROR(ödev!AO62*100/ödev!$I62,"")</f>
        <v/>
      </c>
      <c r="AE466" s="39" t="str">
        <f>IFERROR(ödev!AP62*100/ödev!$I62,"")</f>
        <v/>
      </c>
      <c r="AF466" s="39" t="str">
        <f>IFERROR(ödev!AQ62*100/ödev!$I62,"")</f>
        <v/>
      </c>
      <c r="AG466" s="39" t="str">
        <f>IFERROR(ödev!AR62*100/ödev!$I62,"")</f>
        <v/>
      </c>
      <c r="AH466" s="39" t="str">
        <f>IFERROR(ödev!AS62*100/ödev!$I62,"")</f>
        <v/>
      </c>
      <c r="AI466" s="39" t="str">
        <f>IFERROR(ödev!AT62*100/ödev!$I62,"")</f>
        <v/>
      </c>
      <c r="AJ466" s="39" t="str">
        <f>IFERROR(ödev!AU62*100/ödev!$I62,"")</f>
        <v/>
      </c>
      <c r="AK466" s="39" t="str">
        <f>IFERROR(ödev!AV62*100/ödev!$I62,"")</f>
        <v/>
      </c>
      <c r="AL466" s="39" t="str">
        <f>IFERROR(ödev!AW62*100/ödev!$I62,"")</f>
        <v/>
      </c>
      <c r="AM466" s="39" t="str">
        <f>IFERROR(ödev!AX62*100/ödev!$I62,"")</f>
        <v/>
      </c>
      <c r="AN466" s="39" t="str">
        <f>IFERROR(ödev!AY62*100/ödev!$I62,"")</f>
        <v/>
      </c>
      <c r="AO466" s="39" t="str">
        <f>IFERROR(ödev!AZ62*100/ödev!$I62,"")</f>
        <v/>
      </c>
      <c r="AP466" s="39" t="str">
        <f>IFERROR(ödev!BA62*100/ödev!$I62,"")</f>
        <v/>
      </c>
      <c r="AQ466" s="39" t="str">
        <f>IFERROR(ödev!BB62*100/ödev!$I62,"")</f>
        <v/>
      </c>
      <c r="AR466" s="39" t="str">
        <f>IFERROR(ödev!BC62*100/ödev!$I62,"")</f>
        <v/>
      </c>
      <c r="AS466" s="39" t="str">
        <f>IFERROR(ödev!BD62*100/ödev!$I62,"")</f>
        <v/>
      </c>
      <c r="AT466" s="39" t="str">
        <f>IFERROR(ödev!BE62*100/ödev!$I62,"")</f>
        <v/>
      </c>
      <c r="AU466" s="39" t="str">
        <f>IFERROR(ödev!BF62*100/ödev!$I62,"")</f>
        <v/>
      </c>
      <c r="AV466" s="39" t="str">
        <f>IFERROR(ödev!BG62*100/ödev!$I62,"")</f>
        <v/>
      </c>
      <c r="AW466" s="39" t="str">
        <f>IFERROR(ödev!BH62*100/ödev!$I62,"")</f>
        <v/>
      </c>
      <c r="AX466" s="39" t="str">
        <f>IFERROR(ödev!BI62*100/ödev!$I62,"")</f>
        <v/>
      </c>
      <c r="AY466" s="39" t="str">
        <f>IFERROR(ödev!BJ62*100/ödev!$I62,"")</f>
        <v/>
      </c>
      <c r="AZ466" s="39" t="str">
        <f>IFERROR(ödev!BK62*100/ödev!$I62,"")</f>
        <v/>
      </c>
      <c r="BA466" s="39" t="str">
        <f>IFERROR(ödev!BL62*100/ödev!$I62,"")</f>
        <v/>
      </c>
      <c r="BB466" s="39" t="str">
        <f>IFERROR(ödev!BM62*100/ödev!$I62,"")</f>
        <v/>
      </c>
      <c r="BC466" s="39" t="str">
        <f>IFERROR(ödev!BN62*100/ödev!$I62,"")</f>
        <v/>
      </c>
      <c r="BD466" s="39" t="str">
        <f>IFERROR(ödev!BO62*100/ödev!$I62,"")</f>
        <v/>
      </c>
      <c r="BE466" s="39" t="str">
        <f>IFERROR(ödev!BP62*100/ödev!$I62,"")</f>
        <v/>
      </c>
      <c r="BF466" s="39" t="str">
        <f>IFERROR(ödev!BQ62*100/ödev!$I62,"")</f>
        <v/>
      </c>
      <c r="BG466" s="39" t="str">
        <f>IFERROR(ödev!BR62*100/ödev!$I62,"")</f>
        <v/>
      </c>
      <c r="BH466" s="39" t="str">
        <f>IFERROR(ödev!BS62*100/ödev!$I62,"")</f>
        <v/>
      </c>
      <c r="BI466" s="39" t="str">
        <f>IFERROR(ödev!BT62*100/ödev!$I62,"")</f>
        <v/>
      </c>
      <c r="BJ466" s="39" t="str">
        <f>IFERROR(ödev!BU62*100/ödev!$I62,"")</f>
        <v/>
      </c>
      <c r="BK466" s="39" t="str">
        <f>IFERROR(ödev!BV62*100/ödev!$I62,"")</f>
        <v/>
      </c>
      <c r="BL466" s="39" t="str">
        <f>IFERROR(ödev!BW62*100/ödev!$I62,"")</f>
        <v/>
      </c>
      <c r="BM466" s="39" t="str">
        <f>IFERROR(ödev!BX62*100/ödev!$I62,"")</f>
        <v/>
      </c>
      <c r="BN466" s="39" t="str">
        <f>IFERROR(ödev!BY62*100/ödev!$I62,"")</f>
        <v/>
      </c>
      <c r="BO466" s="39" t="str">
        <f>IFERROR(ödev!BZ62*100/ödev!$I62,"")</f>
        <v/>
      </c>
      <c r="BP466" s="39" t="str">
        <f>IFERROR(ödev!CA62*100/ödev!$I62,"")</f>
        <v/>
      </c>
      <c r="BQ466" s="39" t="str">
        <f>IFERROR(ödev!CB62*100/ödev!$I62,"")</f>
        <v/>
      </c>
      <c r="BR466" s="39" t="str">
        <f>IFERROR(ödev!CC62*100/ödev!$I62,"")</f>
        <v/>
      </c>
      <c r="BS466" s="39" t="str">
        <f>IFERROR(ödev!CD62*100/ödev!$I62,"")</f>
        <v/>
      </c>
      <c r="BT466" s="39" t="str">
        <f>IFERROR(ödev!CE62*100/ödev!$I62,"")</f>
        <v/>
      </c>
      <c r="BU466" s="39" t="str">
        <f>IFERROR(ödev!CF62*100/ödev!$I62,"")</f>
        <v/>
      </c>
      <c r="BV466" s="39" t="str">
        <f>IFERROR(ödev!CG62*100/ödev!$I62,"")</f>
        <v/>
      </c>
      <c r="BW466" s="39" t="str">
        <f>IFERROR(ödev!CH62*100/ödev!$I62,"")</f>
        <v/>
      </c>
      <c r="BX466" s="39" t="str">
        <f>IFERROR(ödev!CI62*100/ödev!$I62,"")</f>
        <v/>
      </c>
      <c r="BY466" s="39" t="str">
        <f>IFERROR(ödev!CJ62*100/ödev!$I62,"")</f>
        <v/>
      </c>
      <c r="BZ466" s="39" t="str">
        <f>IFERROR(ödev!CK62*100/ödev!$I62,"")</f>
        <v/>
      </c>
      <c r="CA466" s="39" t="str">
        <f>IFERROR(ödev!CL62*100/ödev!$I62,"")</f>
        <v/>
      </c>
      <c r="CB466" s="39" t="str">
        <f>IFERROR(ödev!CM62*100/ödev!$I62,"")</f>
        <v/>
      </c>
      <c r="CC466" s="39" t="str">
        <f>IFERROR(ödev!CN62*100/ödev!$I62,"")</f>
        <v/>
      </c>
      <c r="CD466" s="39" t="str">
        <f>IFERROR(ödev!CO62*100/ödev!$I62,"")</f>
        <v/>
      </c>
      <c r="CE466" s="39" t="str">
        <f>IFERROR(ödev!CP62*100/ödev!$I62,"")</f>
        <v/>
      </c>
      <c r="CF466" s="39" t="str">
        <f>IFERROR(ödev!CQ62*100/ödev!$I62,"")</f>
        <v/>
      </c>
      <c r="CG466" s="39" t="str">
        <f>IFERROR(ödev!CR62*100/ödev!$I62,"")</f>
        <v/>
      </c>
      <c r="CH466" s="39" t="str">
        <f>IFERROR(ödev!CS62*100/ödev!$I62,"")</f>
        <v/>
      </c>
      <c r="CI466" s="39" t="str">
        <f>IFERROR(ödev!CT62*100/ödev!$I62,"")</f>
        <v/>
      </c>
      <c r="CJ466" s="39" t="str">
        <f>IFERROR(ödev!CU62*100/ödev!$I62,"")</f>
        <v/>
      </c>
      <c r="CK466" s="39" t="str">
        <f>IFERROR(ödev!CV62*100/ödev!$I62,"")</f>
        <v/>
      </c>
      <c r="CL466" s="39" t="str">
        <f>IFERROR(ödev!CW62*100/ödev!$I62,"")</f>
        <v/>
      </c>
      <c r="CM466" s="39" t="str">
        <f>IFERROR(ödev!CX62*100/ödev!$I62,"")</f>
        <v/>
      </c>
      <c r="CN466" s="39" t="str">
        <f>IFERROR(ödev!CY62*100/ödev!$I62,"")</f>
        <v/>
      </c>
      <c r="CO466" s="39" t="str">
        <f>IFERROR(ödev!CZ62*100/ödev!$I62,"")</f>
        <v/>
      </c>
      <c r="CP466" s="39" t="str">
        <f>IFERROR(ödev!DA62*100/ödev!$I62,"")</f>
        <v/>
      </c>
      <c r="CQ466" s="39" t="str">
        <f>IFERROR(ödev!DB62*100/ödev!$I62,"")</f>
        <v/>
      </c>
      <c r="CR466" s="39" t="str">
        <f>IFERROR(ödev!DC62*100/ödev!$I62,"")</f>
        <v/>
      </c>
      <c r="CS466" s="39" t="str">
        <f>IFERROR(ödev!DD62*100/ödev!$I62,"")</f>
        <v/>
      </c>
      <c r="CT466" s="39" t="str">
        <f>IFERROR(ödev!DE62*100/ödev!$I62,"")</f>
        <v/>
      </c>
      <c r="CU466" s="39" t="str">
        <f>IFERROR(ödev!DF62*100/ödev!$I62,"")</f>
        <v/>
      </c>
      <c r="CV466" s="39" t="str">
        <f>IFERROR(ödev!DG62*100/ödev!$I62,"")</f>
        <v/>
      </c>
      <c r="CW466" s="36" t="str">
        <f>IFERROR(SUM(A466:CV466)/ödev!$DH$103,"")</f>
        <v/>
      </c>
      <c r="CX466" s="14" t="str">
        <f>IF(COUNTA(ödev!A62),ödev!A62,"")</f>
        <v/>
      </c>
      <c r="CY466" s="14" t="str">
        <f>IF(COUNTA(ödev!B62),ödev!B62,"")</f>
        <v/>
      </c>
      <c r="CZ466" s="14" t="str">
        <f>IF(COUNTA(ödev!C62),ödev!C62,"")</f>
        <v/>
      </c>
      <c r="DA466" s="14" t="str">
        <f>IF(COUNTA(ödev!D62),ödev!D62,"")</f>
        <v/>
      </c>
      <c r="DB466" s="14" t="str">
        <f>IF(COUNTA(ödev!E62),ödev!E62,"")</f>
        <v/>
      </c>
      <c r="DC466" s="14" t="str">
        <f>IF(COUNTA(ödev!F62),ödev!F62,"")</f>
        <v/>
      </c>
      <c r="DD466" s="14" t="str">
        <f>IF(COUNTA(ödev!G62),ödev!G62,"")</f>
        <v/>
      </c>
      <c r="DE466" s="14" t="str">
        <f>IF(COUNTA(ödev!H62),ödev!H62,"")</f>
        <v/>
      </c>
    </row>
    <row r="467" spans="1:109" x14ac:dyDescent="0.2">
      <c r="A467" s="39" t="str">
        <f>IFERROR(ödev!L63*100/ödev!$I63,"")</f>
        <v/>
      </c>
      <c r="B467" s="39" t="str">
        <f>IFERROR(ödev!M63*100/ödev!$I63,"")</f>
        <v/>
      </c>
      <c r="C467" s="39" t="str">
        <f>IFERROR(ödev!N63*100/ödev!$I63,"")</f>
        <v/>
      </c>
      <c r="D467" s="39" t="str">
        <f>IFERROR(ödev!O63*100/ödev!$I63,"")</f>
        <v/>
      </c>
      <c r="E467" s="39" t="str">
        <f>IFERROR(ödev!P63*100/ödev!$I63,"")</f>
        <v/>
      </c>
      <c r="F467" s="39" t="str">
        <f>IFERROR(ödev!Q63*100/ödev!$I63,"")</f>
        <v/>
      </c>
      <c r="G467" s="39" t="str">
        <f>IFERROR(ödev!R63*100/ödev!$I63,"")</f>
        <v/>
      </c>
      <c r="H467" s="39" t="str">
        <f>IFERROR(ödev!S63*100/ödev!$I63,"")</f>
        <v/>
      </c>
      <c r="I467" s="39" t="str">
        <f>IFERROR(ödev!T63*100/ödev!$I63,"")</f>
        <v/>
      </c>
      <c r="J467" s="39" t="str">
        <f>IFERROR(ödev!U63*100/ödev!$I63,"")</f>
        <v/>
      </c>
      <c r="K467" s="39" t="str">
        <f>IFERROR(ödev!V63*100/ödev!$I63,"")</f>
        <v/>
      </c>
      <c r="L467" s="39" t="str">
        <f>IFERROR(ödev!W63*100/ödev!$I63,"")</f>
        <v/>
      </c>
      <c r="M467" s="39" t="str">
        <f>IFERROR(ödev!X63*100/ödev!$I63,"")</f>
        <v/>
      </c>
      <c r="N467" s="39" t="str">
        <f>IFERROR(ödev!Y63*100/ödev!$I63,"")</f>
        <v/>
      </c>
      <c r="O467" s="39" t="str">
        <f>IFERROR(ödev!Z63*100/ödev!$I63,"")</f>
        <v/>
      </c>
      <c r="P467" s="39" t="str">
        <f>IFERROR(ödev!AA63*100/ödev!$I63,"")</f>
        <v/>
      </c>
      <c r="Q467" s="39" t="str">
        <f>IFERROR(ödev!AB63*100/ödev!$I63,"")</f>
        <v/>
      </c>
      <c r="R467" s="39" t="str">
        <f>IFERROR(ödev!AC63*100/ödev!$I63,"")</f>
        <v/>
      </c>
      <c r="S467" s="39" t="str">
        <f>IFERROR(ödev!AD63*100/ödev!$I63,"")</f>
        <v/>
      </c>
      <c r="T467" s="39" t="str">
        <f>IFERROR(ödev!AE63*100/ödev!$I63,"")</f>
        <v/>
      </c>
      <c r="U467" s="39" t="str">
        <f>IFERROR(ödev!AF63*100/ödev!$I63,"")</f>
        <v/>
      </c>
      <c r="V467" s="39" t="str">
        <f>IFERROR(ödev!AG63*100/ödev!$I63,"")</f>
        <v/>
      </c>
      <c r="W467" s="39" t="str">
        <f>IFERROR(ödev!AH63*100/ödev!$I63,"")</f>
        <v/>
      </c>
      <c r="X467" s="39" t="str">
        <f>IFERROR(ödev!AI63*100/ödev!$I63,"")</f>
        <v/>
      </c>
      <c r="Y467" s="39" t="str">
        <f>IFERROR(ödev!AJ63*100/ödev!$I63,"")</f>
        <v/>
      </c>
      <c r="Z467" s="39" t="str">
        <f>IFERROR(ödev!AK63*100/ödev!$I63,"")</f>
        <v/>
      </c>
      <c r="AA467" s="39" t="str">
        <f>IFERROR(ödev!AL63*100/ödev!$I63,"")</f>
        <v/>
      </c>
      <c r="AB467" s="39" t="str">
        <f>IFERROR(ödev!AM63*100/ödev!$I63,"")</f>
        <v/>
      </c>
      <c r="AC467" s="39" t="str">
        <f>IFERROR(ödev!AN63*100/ödev!$I63,"")</f>
        <v/>
      </c>
      <c r="AD467" s="39" t="str">
        <f>IFERROR(ödev!AO63*100/ödev!$I63,"")</f>
        <v/>
      </c>
      <c r="AE467" s="39" t="str">
        <f>IFERROR(ödev!AP63*100/ödev!$I63,"")</f>
        <v/>
      </c>
      <c r="AF467" s="39" t="str">
        <f>IFERROR(ödev!AQ63*100/ödev!$I63,"")</f>
        <v/>
      </c>
      <c r="AG467" s="39" t="str">
        <f>IFERROR(ödev!AR63*100/ödev!$I63,"")</f>
        <v/>
      </c>
      <c r="AH467" s="39" t="str">
        <f>IFERROR(ödev!AS63*100/ödev!$I63,"")</f>
        <v/>
      </c>
      <c r="AI467" s="39" t="str">
        <f>IFERROR(ödev!AT63*100/ödev!$I63,"")</f>
        <v/>
      </c>
      <c r="AJ467" s="39" t="str">
        <f>IFERROR(ödev!AU63*100/ödev!$I63,"")</f>
        <v/>
      </c>
      <c r="AK467" s="39" t="str">
        <f>IFERROR(ödev!AV63*100/ödev!$I63,"")</f>
        <v/>
      </c>
      <c r="AL467" s="39" t="str">
        <f>IFERROR(ödev!AW63*100/ödev!$I63,"")</f>
        <v/>
      </c>
      <c r="AM467" s="39" t="str">
        <f>IFERROR(ödev!AX63*100/ödev!$I63,"")</f>
        <v/>
      </c>
      <c r="AN467" s="39" t="str">
        <f>IFERROR(ödev!AY63*100/ödev!$I63,"")</f>
        <v/>
      </c>
      <c r="AO467" s="39" t="str">
        <f>IFERROR(ödev!AZ63*100/ödev!$I63,"")</f>
        <v/>
      </c>
      <c r="AP467" s="39" t="str">
        <f>IFERROR(ödev!BA63*100/ödev!$I63,"")</f>
        <v/>
      </c>
      <c r="AQ467" s="39" t="str">
        <f>IFERROR(ödev!BB63*100/ödev!$I63,"")</f>
        <v/>
      </c>
      <c r="AR467" s="39" t="str">
        <f>IFERROR(ödev!BC63*100/ödev!$I63,"")</f>
        <v/>
      </c>
      <c r="AS467" s="39" t="str">
        <f>IFERROR(ödev!BD63*100/ödev!$I63,"")</f>
        <v/>
      </c>
      <c r="AT467" s="39" t="str">
        <f>IFERROR(ödev!BE63*100/ödev!$I63,"")</f>
        <v/>
      </c>
      <c r="AU467" s="39" t="str">
        <f>IFERROR(ödev!BF63*100/ödev!$I63,"")</f>
        <v/>
      </c>
      <c r="AV467" s="39" t="str">
        <f>IFERROR(ödev!BG63*100/ödev!$I63,"")</f>
        <v/>
      </c>
      <c r="AW467" s="39" t="str">
        <f>IFERROR(ödev!BH63*100/ödev!$I63,"")</f>
        <v/>
      </c>
      <c r="AX467" s="39" t="str">
        <f>IFERROR(ödev!BI63*100/ödev!$I63,"")</f>
        <v/>
      </c>
      <c r="AY467" s="39" t="str">
        <f>IFERROR(ödev!BJ63*100/ödev!$I63,"")</f>
        <v/>
      </c>
      <c r="AZ467" s="39" t="str">
        <f>IFERROR(ödev!BK63*100/ödev!$I63,"")</f>
        <v/>
      </c>
      <c r="BA467" s="39" t="str">
        <f>IFERROR(ödev!BL63*100/ödev!$I63,"")</f>
        <v/>
      </c>
      <c r="BB467" s="39" t="str">
        <f>IFERROR(ödev!BM63*100/ödev!$I63,"")</f>
        <v/>
      </c>
      <c r="BC467" s="39" t="str">
        <f>IFERROR(ödev!BN63*100/ödev!$I63,"")</f>
        <v/>
      </c>
      <c r="BD467" s="39" t="str">
        <f>IFERROR(ödev!BO63*100/ödev!$I63,"")</f>
        <v/>
      </c>
      <c r="BE467" s="39" t="str">
        <f>IFERROR(ödev!BP63*100/ödev!$I63,"")</f>
        <v/>
      </c>
      <c r="BF467" s="39" t="str">
        <f>IFERROR(ödev!BQ63*100/ödev!$I63,"")</f>
        <v/>
      </c>
      <c r="BG467" s="39" t="str">
        <f>IFERROR(ödev!BR63*100/ödev!$I63,"")</f>
        <v/>
      </c>
      <c r="BH467" s="39" t="str">
        <f>IFERROR(ödev!BS63*100/ödev!$I63,"")</f>
        <v/>
      </c>
      <c r="BI467" s="39" t="str">
        <f>IFERROR(ödev!BT63*100/ödev!$I63,"")</f>
        <v/>
      </c>
      <c r="BJ467" s="39" t="str">
        <f>IFERROR(ödev!BU63*100/ödev!$I63,"")</f>
        <v/>
      </c>
      <c r="BK467" s="39" t="str">
        <f>IFERROR(ödev!BV63*100/ödev!$I63,"")</f>
        <v/>
      </c>
      <c r="BL467" s="39" t="str">
        <f>IFERROR(ödev!BW63*100/ödev!$I63,"")</f>
        <v/>
      </c>
      <c r="BM467" s="39" t="str">
        <f>IFERROR(ödev!BX63*100/ödev!$I63,"")</f>
        <v/>
      </c>
      <c r="BN467" s="39" t="str">
        <f>IFERROR(ödev!BY63*100/ödev!$I63,"")</f>
        <v/>
      </c>
      <c r="BO467" s="39" t="str">
        <f>IFERROR(ödev!BZ63*100/ödev!$I63,"")</f>
        <v/>
      </c>
      <c r="BP467" s="39" t="str">
        <f>IFERROR(ödev!CA63*100/ödev!$I63,"")</f>
        <v/>
      </c>
      <c r="BQ467" s="39" t="str">
        <f>IFERROR(ödev!CB63*100/ödev!$I63,"")</f>
        <v/>
      </c>
      <c r="BR467" s="39" t="str">
        <f>IFERROR(ödev!CC63*100/ödev!$I63,"")</f>
        <v/>
      </c>
      <c r="BS467" s="39" t="str">
        <f>IFERROR(ödev!CD63*100/ödev!$I63,"")</f>
        <v/>
      </c>
      <c r="BT467" s="39" t="str">
        <f>IFERROR(ödev!CE63*100/ödev!$I63,"")</f>
        <v/>
      </c>
      <c r="BU467" s="39" t="str">
        <f>IFERROR(ödev!CF63*100/ödev!$I63,"")</f>
        <v/>
      </c>
      <c r="BV467" s="39" t="str">
        <f>IFERROR(ödev!CG63*100/ödev!$I63,"")</f>
        <v/>
      </c>
      <c r="BW467" s="39" t="str">
        <f>IFERROR(ödev!CH63*100/ödev!$I63,"")</f>
        <v/>
      </c>
      <c r="BX467" s="39" t="str">
        <f>IFERROR(ödev!CI63*100/ödev!$I63,"")</f>
        <v/>
      </c>
      <c r="BY467" s="39" t="str">
        <f>IFERROR(ödev!CJ63*100/ödev!$I63,"")</f>
        <v/>
      </c>
      <c r="BZ467" s="39" t="str">
        <f>IFERROR(ödev!CK63*100/ödev!$I63,"")</f>
        <v/>
      </c>
      <c r="CA467" s="39" t="str">
        <f>IFERROR(ödev!CL63*100/ödev!$I63,"")</f>
        <v/>
      </c>
      <c r="CB467" s="39" t="str">
        <f>IFERROR(ödev!CM63*100/ödev!$I63,"")</f>
        <v/>
      </c>
      <c r="CC467" s="39" t="str">
        <f>IFERROR(ödev!CN63*100/ödev!$I63,"")</f>
        <v/>
      </c>
      <c r="CD467" s="39" t="str">
        <f>IFERROR(ödev!CO63*100/ödev!$I63,"")</f>
        <v/>
      </c>
      <c r="CE467" s="39" t="str">
        <f>IFERROR(ödev!CP63*100/ödev!$I63,"")</f>
        <v/>
      </c>
      <c r="CF467" s="39" t="str">
        <f>IFERROR(ödev!CQ63*100/ödev!$I63,"")</f>
        <v/>
      </c>
      <c r="CG467" s="39" t="str">
        <f>IFERROR(ödev!CR63*100/ödev!$I63,"")</f>
        <v/>
      </c>
      <c r="CH467" s="39" t="str">
        <f>IFERROR(ödev!CS63*100/ödev!$I63,"")</f>
        <v/>
      </c>
      <c r="CI467" s="39" t="str">
        <f>IFERROR(ödev!CT63*100/ödev!$I63,"")</f>
        <v/>
      </c>
      <c r="CJ467" s="39" t="str">
        <f>IFERROR(ödev!CU63*100/ödev!$I63,"")</f>
        <v/>
      </c>
      <c r="CK467" s="39" t="str">
        <f>IFERROR(ödev!CV63*100/ödev!$I63,"")</f>
        <v/>
      </c>
      <c r="CL467" s="39" t="str">
        <f>IFERROR(ödev!CW63*100/ödev!$I63,"")</f>
        <v/>
      </c>
      <c r="CM467" s="39" t="str">
        <f>IFERROR(ödev!CX63*100/ödev!$I63,"")</f>
        <v/>
      </c>
      <c r="CN467" s="39" t="str">
        <f>IFERROR(ödev!CY63*100/ödev!$I63,"")</f>
        <v/>
      </c>
      <c r="CO467" s="39" t="str">
        <f>IFERROR(ödev!CZ63*100/ödev!$I63,"")</f>
        <v/>
      </c>
      <c r="CP467" s="39" t="str">
        <f>IFERROR(ödev!DA63*100/ödev!$I63,"")</f>
        <v/>
      </c>
      <c r="CQ467" s="39" t="str">
        <f>IFERROR(ödev!DB63*100/ödev!$I63,"")</f>
        <v/>
      </c>
      <c r="CR467" s="39" t="str">
        <f>IFERROR(ödev!DC63*100/ödev!$I63,"")</f>
        <v/>
      </c>
      <c r="CS467" s="39" t="str">
        <f>IFERROR(ödev!DD63*100/ödev!$I63,"")</f>
        <v/>
      </c>
      <c r="CT467" s="39" t="str">
        <f>IFERROR(ödev!DE63*100/ödev!$I63,"")</f>
        <v/>
      </c>
      <c r="CU467" s="39" t="str">
        <f>IFERROR(ödev!DF63*100/ödev!$I63,"")</f>
        <v/>
      </c>
      <c r="CV467" s="39" t="str">
        <f>IFERROR(ödev!DG63*100/ödev!$I63,"")</f>
        <v/>
      </c>
      <c r="CW467" s="36" t="str">
        <f>IFERROR(SUM(A467:CV467)/ödev!$DH$103,"")</f>
        <v/>
      </c>
      <c r="CX467" s="14" t="str">
        <f>IF(COUNTA(ödev!A63),ödev!A63,"")</f>
        <v/>
      </c>
      <c r="CY467" s="14" t="str">
        <f>IF(COUNTA(ödev!B63),ödev!B63,"")</f>
        <v/>
      </c>
      <c r="CZ467" s="14" t="str">
        <f>IF(COUNTA(ödev!C63),ödev!C63,"")</f>
        <v/>
      </c>
      <c r="DA467" s="14" t="str">
        <f>IF(COUNTA(ödev!D63),ödev!D63,"")</f>
        <v/>
      </c>
      <c r="DB467" s="14" t="str">
        <f>IF(COUNTA(ödev!E63),ödev!E63,"")</f>
        <v/>
      </c>
      <c r="DC467" s="14" t="str">
        <f>IF(COUNTA(ödev!F63),ödev!F63,"")</f>
        <v/>
      </c>
      <c r="DD467" s="14" t="str">
        <f>IF(COUNTA(ödev!G63),ödev!G63,"")</f>
        <v/>
      </c>
      <c r="DE467" s="14" t="str">
        <f>IF(COUNTA(ödev!H63),ödev!H63,"")</f>
        <v/>
      </c>
    </row>
    <row r="468" spans="1:109" x14ac:dyDescent="0.2">
      <c r="A468" s="39" t="str">
        <f>IFERROR(ödev!L64*100/ödev!$I64,"")</f>
        <v/>
      </c>
      <c r="B468" s="39" t="str">
        <f>IFERROR(ödev!M64*100/ödev!$I64,"")</f>
        <v/>
      </c>
      <c r="C468" s="39" t="str">
        <f>IFERROR(ödev!N64*100/ödev!$I64,"")</f>
        <v/>
      </c>
      <c r="D468" s="39" t="str">
        <f>IFERROR(ödev!O64*100/ödev!$I64,"")</f>
        <v/>
      </c>
      <c r="E468" s="39" t="str">
        <f>IFERROR(ödev!P64*100/ödev!$I64,"")</f>
        <v/>
      </c>
      <c r="F468" s="39" t="str">
        <f>IFERROR(ödev!Q64*100/ödev!$I64,"")</f>
        <v/>
      </c>
      <c r="G468" s="39" t="str">
        <f>IFERROR(ödev!R64*100/ödev!$I64,"")</f>
        <v/>
      </c>
      <c r="H468" s="39" t="str">
        <f>IFERROR(ödev!S64*100/ödev!$I64,"")</f>
        <v/>
      </c>
      <c r="I468" s="39" t="str">
        <f>IFERROR(ödev!T64*100/ödev!$I64,"")</f>
        <v/>
      </c>
      <c r="J468" s="39" t="str">
        <f>IFERROR(ödev!U64*100/ödev!$I64,"")</f>
        <v/>
      </c>
      <c r="K468" s="39" t="str">
        <f>IFERROR(ödev!V64*100/ödev!$I64,"")</f>
        <v/>
      </c>
      <c r="L468" s="39" t="str">
        <f>IFERROR(ödev!W64*100/ödev!$I64,"")</f>
        <v/>
      </c>
      <c r="M468" s="39" t="str">
        <f>IFERROR(ödev!X64*100/ödev!$I64,"")</f>
        <v/>
      </c>
      <c r="N468" s="39" t="str">
        <f>IFERROR(ödev!Y64*100/ödev!$I64,"")</f>
        <v/>
      </c>
      <c r="O468" s="39" t="str">
        <f>IFERROR(ödev!Z64*100/ödev!$I64,"")</f>
        <v/>
      </c>
      <c r="P468" s="39" t="str">
        <f>IFERROR(ödev!AA64*100/ödev!$I64,"")</f>
        <v/>
      </c>
      <c r="Q468" s="39" t="str">
        <f>IFERROR(ödev!AB64*100/ödev!$I64,"")</f>
        <v/>
      </c>
      <c r="R468" s="39" t="str">
        <f>IFERROR(ödev!AC64*100/ödev!$I64,"")</f>
        <v/>
      </c>
      <c r="S468" s="39" t="str">
        <f>IFERROR(ödev!AD64*100/ödev!$I64,"")</f>
        <v/>
      </c>
      <c r="T468" s="39" t="str">
        <f>IFERROR(ödev!AE64*100/ödev!$I64,"")</f>
        <v/>
      </c>
      <c r="U468" s="39" t="str">
        <f>IFERROR(ödev!AF64*100/ödev!$I64,"")</f>
        <v/>
      </c>
      <c r="V468" s="39" t="str">
        <f>IFERROR(ödev!AG64*100/ödev!$I64,"")</f>
        <v/>
      </c>
      <c r="W468" s="39" t="str">
        <f>IFERROR(ödev!AH64*100/ödev!$I64,"")</f>
        <v/>
      </c>
      <c r="X468" s="39" t="str">
        <f>IFERROR(ödev!AI64*100/ödev!$I64,"")</f>
        <v/>
      </c>
      <c r="Y468" s="39" t="str">
        <f>IFERROR(ödev!AJ64*100/ödev!$I64,"")</f>
        <v/>
      </c>
      <c r="Z468" s="39" t="str">
        <f>IFERROR(ödev!AK64*100/ödev!$I64,"")</f>
        <v/>
      </c>
      <c r="AA468" s="39" t="str">
        <f>IFERROR(ödev!AL64*100/ödev!$I64,"")</f>
        <v/>
      </c>
      <c r="AB468" s="39" t="str">
        <f>IFERROR(ödev!AM64*100/ödev!$I64,"")</f>
        <v/>
      </c>
      <c r="AC468" s="39" t="str">
        <f>IFERROR(ödev!AN64*100/ödev!$I64,"")</f>
        <v/>
      </c>
      <c r="AD468" s="39" t="str">
        <f>IFERROR(ödev!AO64*100/ödev!$I64,"")</f>
        <v/>
      </c>
      <c r="AE468" s="39" t="str">
        <f>IFERROR(ödev!AP64*100/ödev!$I64,"")</f>
        <v/>
      </c>
      <c r="AF468" s="39" t="str">
        <f>IFERROR(ödev!AQ64*100/ödev!$I64,"")</f>
        <v/>
      </c>
      <c r="AG468" s="39" t="str">
        <f>IFERROR(ödev!AR64*100/ödev!$I64,"")</f>
        <v/>
      </c>
      <c r="AH468" s="39" t="str">
        <f>IFERROR(ödev!AS64*100/ödev!$I64,"")</f>
        <v/>
      </c>
      <c r="AI468" s="39" t="str">
        <f>IFERROR(ödev!AT64*100/ödev!$I64,"")</f>
        <v/>
      </c>
      <c r="AJ468" s="39" t="str">
        <f>IFERROR(ödev!AU64*100/ödev!$I64,"")</f>
        <v/>
      </c>
      <c r="AK468" s="39" t="str">
        <f>IFERROR(ödev!AV64*100/ödev!$I64,"")</f>
        <v/>
      </c>
      <c r="AL468" s="39" t="str">
        <f>IFERROR(ödev!AW64*100/ödev!$I64,"")</f>
        <v/>
      </c>
      <c r="AM468" s="39" t="str">
        <f>IFERROR(ödev!AX64*100/ödev!$I64,"")</f>
        <v/>
      </c>
      <c r="AN468" s="39" t="str">
        <f>IFERROR(ödev!AY64*100/ödev!$I64,"")</f>
        <v/>
      </c>
      <c r="AO468" s="39" t="str">
        <f>IFERROR(ödev!AZ64*100/ödev!$I64,"")</f>
        <v/>
      </c>
      <c r="AP468" s="39" t="str">
        <f>IFERROR(ödev!BA64*100/ödev!$I64,"")</f>
        <v/>
      </c>
      <c r="AQ468" s="39" t="str">
        <f>IFERROR(ödev!BB64*100/ödev!$I64,"")</f>
        <v/>
      </c>
      <c r="AR468" s="39" t="str">
        <f>IFERROR(ödev!BC64*100/ödev!$I64,"")</f>
        <v/>
      </c>
      <c r="AS468" s="39" t="str">
        <f>IFERROR(ödev!BD64*100/ödev!$I64,"")</f>
        <v/>
      </c>
      <c r="AT468" s="39" t="str">
        <f>IFERROR(ödev!BE64*100/ödev!$I64,"")</f>
        <v/>
      </c>
      <c r="AU468" s="39" t="str">
        <f>IFERROR(ödev!BF64*100/ödev!$I64,"")</f>
        <v/>
      </c>
      <c r="AV468" s="39" t="str">
        <f>IFERROR(ödev!BG64*100/ödev!$I64,"")</f>
        <v/>
      </c>
      <c r="AW468" s="39" t="str">
        <f>IFERROR(ödev!BH64*100/ödev!$I64,"")</f>
        <v/>
      </c>
      <c r="AX468" s="39" t="str">
        <f>IFERROR(ödev!BI64*100/ödev!$I64,"")</f>
        <v/>
      </c>
      <c r="AY468" s="39" t="str">
        <f>IFERROR(ödev!BJ64*100/ödev!$I64,"")</f>
        <v/>
      </c>
      <c r="AZ468" s="39" t="str">
        <f>IFERROR(ödev!BK64*100/ödev!$I64,"")</f>
        <v/>
      </c>
      <c r="BA468" s="39" t="str">
        <f>IFERROR(ödev!BL64*100/ödev!$I64,"")</f>
        <v/>
      </c>
      <c r="BB468" s="39" t="str">
        <f>IFERROR(ödev!BM64*100/ödev!$I64,"")</f>
        <v/>
      </c>
      <c r="BC468" s="39" t="str">
        <f>IFERROR(ödev!BN64*100/ödev!$I64,"")</f>
        <v/>
      </c>
      <c r="BD468" s="39" t="str">
        <f>IFERROR(ödev!BO64*100/ödev!$I64,"")</f>
        <v/>
      </c>
      <c r="BE468" s="39" t="str">
        <f>IFERROR(ödev!BP64*100/ödev!$I64,"")</f>
        <v/>
      </c>
      <c r="BF468" s="39" t="str">
        <f>IFERROR(ödev!BQ64*100/ödev!$I64,"")</f>
        <v/>
      </c>
      <c r="BG468" s="39" t="str">
        <f>IFERROR(ödev!BR64*100/ödev!$I64,"")</f>
        <v/>
      </c>
      <c r="BH468" s="39" t="str">
        <f>IFERROR(ödev!BS64*100/ödev!$I64,"")</f>
        <v/>
      </c>
      <c r="BI468" s="39" t="str">
        <f>IFERROR(ödev!BT64*100/ödev!$I64,"")</f>
        <v/>
      </c>
      <c r="BJ468" s="39" t="str">
        <f>IFERROR(ödev!BU64*100/ödev!$I64,"")</f>
        <v/>
      </c>
      <c r="BK468" s="39" t="str">
        <f>IFERROR(ödev!BV64*100/ödev!$I64,"")</f>
        <v/>
      </c>
      <c r="BL468" s="39" t="str">
        <f>IFERROR(ödev!BW64*100/ödev!$I64,"")</f>
        <v/>
      </c>
      <c r="BM468" s="39" t="str">
        <f>IFERROR(ödev!BX64*100/ödev!$I64,"")</f>
        <v/>
      </c>
      <c r="BN468" s="39" t="str">
        <f>IFERROR(ödev!BY64*100/ödev!$I64,"")</f>
        <v/>
      </c>
      <c r="BO468" s="39" t="str">
        <f>IFERROR(ödev!BZ64*100/ödev!$I64,"")</f>
        <v/>
      </c>
      <c r="BP468" s="39" t="str">
        <f>IFERROR(ödev!CA64*100/ödev!$I64,"")</f>
        <v/>
      </c>
      <c r="BQ468" s="39" t="str">
        <f>IFERROR(ödev!CB64*100/ödev!$I64,"")</f>
        <v/>
      </c>
      <c r="BR468" s="39" t="str">
        <f>IFERROR(ödev!CC64*100/ödev!$I64,"")</f>
        <v/>
      </c>
      <c r="BS468" s="39" t="str">
        <f>IFERROR(ödev!CD64*100/ödev!$I64,"")</f>
        <v/>
      </c>
      <c r="BT468" s="39" t="str">
        <f>IFERROR(ödev!CE64*100/ödev!$I64,"")</f>
        <v/>
      </c>
      <c r="BU468" s="39" t="str">
        <f>IFERROR(ödev!CF64*100/ödev!$I64,"")</f>
        <v/>
      </c>
      <c r="BV468" s="39" t="str">
        <f>IFERROR(ödev!CG64*100/ödev!$I64,"")</f>
        <v/>
      </c>
      <c r="BW468" s="39" t="str">
        <f>IFERROR(ödev!CH64*100/ödev!$I64,"")</f>
        <v/>
      </c>
      <c r="BX468" s="39" t="str">
        <f>IFERROR(ödev!CI64*100/ödev!$I64,"")</f>
        <v/>
      </c>
      <c r="BY468" s="39" t="str">
        <f>IFERROR(ödev!CJ64*100/ödev!$I64,"")</f>
        <v/>
      </c>
      <c r="BZ468" s="39" t="str">
        <f>IFERROR(ödev!CK64*100/ödev!$I64,"")</f>
        <v/>
      </c>
      <c r="CA468" s="39" t="str">
        <f>IFERROR(ödev!CL64*100/ödev!$I64,"")</f>
        <v/>
      </c>
      <c r="CB468" s="39" t="str">
        <f>IFERROR(ödev!CM64*100/ödev!$I64,"")</f>
        <v/>
      </c>
      <c r="CC468" s="39" t="str">
        <f>IFERROR(ödev!CN64*100/ödev!$I64,"")</f>
        <v/>
      </c>
      <c r="CD468" s="39" t="str">
        <f>IFERROR(ödev!CO64*100/ödev!$I64,"")</f>
        <v/>
      </c>
      <c r="CE468" s="39" t="str">
        <f>IFERROR(ödev!CP64*100/ödev!$I64,"")</f>
        <v/>
      </c>
      <c r="CF468" s="39" t="str">
        <f>IFERROR(ödev!CQ64*100/ödev!$I64,"")</f>
        <v/>
      </c>
      <c r="CG468" s="39" t="str">
        <f>IFERROR(ödev!CR64*100/ödev!$I64,"")</f>
        <v/>
      </c>
      <c r="CH468" s="39" t="str">
        <f>IFERROR(ödev!CS64*100/ödev!$I64,"")</f>
        <v/>
      </c>
      <c r="CI468" s="39" t="str">
        <f>IFERROR(ödev!CT64*100/ödev!$I64,"")</f>
        <v/>
      </c>
      <c r="CJ468" s="39" t="str">
        <f>IFERROR(ödev!CU64*100/ödev!$I64,"")</f>
        <v/>
      </c>
      <c r="CK468" s="39" t="str">
        <f>IFERROR(ödev!CV64*100/ödev!$I64,"")</f>
        <v/>
      </c>
      <c r="CL468" s="39" t="str">
        <f>IFERROR(ödev!CW64*100/ödev!$I64,"")</f>
        <v/>
      </c>
      <c r="CM468" s="39" t="str">
        <f>IFERROR(ödev!CX64*100/ödev!$I64,"")</f>
        <v/>
      </c>
      <c r="CN468" s="39" t="str">
        <f>IFERROR(ödev!CY64*100/ödev!$I64,"")</f>
        <v/>
      </c>
      <c r="CO468" s="39" t="str">
        <f>IFERROR(ödev!CZ64*100/ödev!$I64,"")</f>
        <v/>
      </c>
      <c r="CP468" s="39" t="str">
        <f>IFERROR(ödev!DA64*100/ödev!$I64,"")</f>
        <v/>
      </c>
      <c r="CQ468" s="39" t="str">
        <f>IFERROR(ödev!DB64*100/ödev!$I64,"")</f>
        <v/>
      </c>
      <c r="CR468" s="39" t="str">
        <f>IFERROR(ödev!DC64*100/ödev!$I64,"")</f>
        <v/>
      </c>
      <c r="CS468" s="39" t="str">
        <f>IFERROR(ödev!DD64*100/ödev!$I64,"")</f>
        <v/>
      </c>
      <c r="CT468" s="39" t="str">
        <f>IFERROR(ödev!DE64*100/ödev!$I64,"")</f>
        <v/>
      </c>
      <c r="CU468" s="39" t="str">
        <f>IFERROR(ödev!DF64*100/ödev!$I64,"")</f>
        <v/>
      </c>
      <c r="CV468" s="39" t="str">
        <f>IFERROR(ödev!DG64*100/ödev!$I64,"")</f>
        <v/>
      </c>
      <c r="CW468" s="36" t="str">
        <f>IFERROR(SUM(A468:CV468)/ödev!$DH$103,"")</f>
        <v/>
      </c>
      <c r="CX468" s="14" t="str">
        <f>IF(COUNTA(ödev!A64),ödev!A64,"")</f>
        <v/>
      </c>
      <c r="CY468" s="14" t="str">
        <f>IF(COUNTA(ödev!B64),ödev!B64,"")</f>
        <v/>
      </c>
      <c r="CZ468" s="14" t="str">
        <f>IF(COUNTA(ödev!C64),ödev!C64,"")</f>
        <v/>
      </c>
      <c r="DA468" s="14" t="str">
        <f>IF(COUNTA(ödev!D64),ödev!D64,"")</f>
        <v/>
      </c>
      <c r="DB468" s="14" t="str">
        <f>IF(COUNTA(ödev!E64),ödev!E64,"")</f>
        <v/>
      </c>
      <c r="DC468" s="14" t="str">
        <f>IF(COUNTA(ödev!F64),ödev!F64,"")</f>
        <v/>
      </c>
      <c r="DD468" s="14" t="str">
        <f>IF(COUNTA(ödev!G64),ödev!G64,"")</f>
        <v/>
      </c>
      <c r="DE468" s="14" t="str">
        <f>IF(COUNTA(ödev!H64),ödev!H64,"")</f>
        <v/>
      </c>
    </row>
    <row r="469" spans="1:109" x14ac:dyDescent="0.2">
      <c r="A469" s="39" t="str">
        <f>IFERROR(ödev!L65*100/ödev!$I65,"")</f>
        <v/>
      </c>
      <c r="B469" s="39" t="str">
        <f>IFERROR(ödev!M65*100/ödev!$I65,"")</f>
        <v/>
      </c>
      <c r="C469" s="39" t="str">
        <f>IFERROR(ödev!N65*100/ödev!$I65,"")</f>
        <v/>
      </c>
      <c r="D469" s="39" t="str">
        <f>IFERROR(ödev!O65*100/ödev!$I65,"")</f>
        <v/>
      </c>
      <c r="E469" s="39" t="str">
        <f>IFERROR(ödev!P65*100/ödev!$I65,"")</f>
        <v/>
      </c>
      <c r="F469" s="39" t="str">
        <f>IFERROR(ödev!Q65*100/ödev!$I65,"")</f>
        <v/>
      </c>
      <c r="G469" s="39" t="str">
        <f>IFERROR(ödev!R65*100/ödev!$I65,"")</f>
        <v/>
      </c>
      <c r="H469" s="39" t="str">
        <f>IFERROR(ödev!S65*100/ödev!$I65,"")</f>
        <v/>
      </c>
      <c r="I469" s="39" t="str">
        <f>IFERROR(ödev!T65*100/ödev!$I65,"")</f>
        <v/>
      </c>
      <c r="J469" s="39" t="str">
        <f>IFERROR(ödev!U65*100/ödev!$I65,"")</f>
        <v/>
      </c>
      <c r="K469" s="39" t="str">
        <f>IFERROR(ödev!V65*100/ödev!$I65,"")</f>
        <v/>
      </c>
      <c r="L469" s="39" t="str">
        <f>IFERROR(ödev!W65*100/ödev!$I65,"")</f>
        <v/>
      </c>
      <c r="M469" s="39" t="str">
        <f>IFERROR(ödev!X65*100/ödev!$I65,"")</f>
        <v/>
      </c>
      <c r="N469" s="39" t="str">
        <f>IFERROR(ödev!Y65*100/ödev!$I65,"")</f>
        <v/>
      </c>
      <c r="O469" s="39" t="str">
        <f>IFERROR(ödev!Z65*100/ödev!$I65,"")</f>
        <v/>
      </c>
      <c r="P469" s="39" t="str">
        <f>IFERROR(ödev!AA65*100/ödev!$I65,"")</f>
        <v/>
      </c>
      <c r="Q469" s="39" t="str">
        <f>IFERROR(ödev!AB65*100/ödev!$I65,"")</f>
        <v/>
      </c>
      <c r="R469" s="39" t="str">
        <f>IFERROR(ödev!AC65*100/ödev!$I65,"")</f>
        <v/>
      </c>
      <c r="S469" s="39" t="str">
        <f>IFERROR(ödev!AD65*100/ödev!$I65,"")</f>
        <v/>
      </c>
      <c r="T469" s="39" t="str">
        <f>IFERROR(ödev!AE65*100/ödev!$I65,"")</f>
        <v/>
      </c>
      <c r="U469" s="39" t="str">
        <f>IFERROR(ödev!AF65*100/ödev!$I65,"")</f>
        <v/>
      </c>
      <c r="V469" s="39" t="str">
        <f>IFERROR(ödev!AG65*100/ödev!$I65,"")</f>
        <v/>
      </c>
      <c r="W469" s="39" t="str">
        <f>IFERROR(ödev!AH65*100/ödev!$I65,"")</f>
        <v/>
      </c>
      <c r="X469" s="39" t="str">
        <f>IFERROR(ödev!AI65*100/ödev!$I65,"")</f>
        <v/>
      </c>
      <c r="Y469" s="39" t="str">
        <f>IFERROR(ödev!AJ65*100/ödev!$I65,"")</f>
        <v/>
      </c>
      <c r="Z469" s="39" t="str">
        <f>IFERROR(ödev!AK65*100/ödev!$I65,"")</f>
        <v/>
      </c>
      <c r="AA469" s="39" t="str">
        <f>IFERROR(ödev!AL65*100/ödev!$I65,"")</f>
        <v/>
      </c>
      <c r="AB469" s="39" t="str">
        <f>IFERROR(ödev!AM65*100/ödev!$I65,"")</f>
        <v/>
      </c>
      <c r="AC469" s="39" t="str">
        <f>IFERROR(ödev!AN65*100/ödev!$I65,"")</f>
        <v/>
      </c>
      <c r="AD469" s="39" t="str">
        <f>IFERROR(ödev!AO65*100/ödev!$I65,"")</f>
        <v/>
      </c>
      <c r="AE469" s="39" t="str">
        <f>IFERROR(ödev!AP65*100/ödev!$I65,"")</f>
        <v/>
      </c>
      <c r="AF469" s="39" t="str">
        <f>IFERROR(ödev!AQ65*100/ödev!$I65,"")</f>
        <v/>
      </c>
      <c r="AG469" s="39" t="str">
        <f>IFERROR(ödev!AR65*100/ödev!$I65,"")</f>
        <v/>
      </c>
      <c r="AH469" s="39" t="str">
        <f>IFERROR(ödev!AS65*100/ödev!$I65,"")</f>
        <v/>
      </c>
      <c r="AI469" s="39" t="str">
        <f>IFERROR(ödev!AT65*100/ödev!$I65,"")</f>
        <v/>
      </c>
      <c r="AJ469" s="39" t="str">
        <f>IFERROR(ödev!AU65*100/ödev!$I65,"")</f>
        <v/>
      </c>
      <c r="AK469" s="39" t="str">
        <f>IFERROR(ödev!AV65*100/ödev!$I65,"")</f>
        <v/>
      </c>
      <c r="AL469" s="39" t="str">
        <f>IFERROR(ödev!AW65*100/ödev!$I65,"")</f>
        <v/>
      </c>
      <c r="AM469" s="39" t="str">
        <f>IFERROR(ödev!AX65*100/ödev!$I65,"")</f>
        <v/>
      </c>
      <c r="AN469" s="39" t="str">
        <f>IFERROR(ödev!AY65*100/ödev!$I65,"")</f>
        <v/>
      </c>
      <c r="AO469" s="39" t="str">
        <f>IFERROR(ödev!AZ65*100/ödev!$I65,"")</f>
        <v/>
      </c>
      <c r="AP469" s="39" t="str">
        <f>IFERROR(ödev!BA65*100/ödev!$I65,"")</f>
        <v/>
      </c>
      <c r="AQ469" s="39" t="str">
        <f>IFERROR(ödev!BB65*100/ödev!$I65,"")</f>
        <v/>
      </c>
      <c r="AR469" s="39" t="str">
        <f>IFERROR(ödev!BC65*100/ödev!$I65,"")</f>
        <v/>
      </c>
      <c r="AS469" s="39" t="str">
        <f>IFERROR(ödev!BD65*100/ödev!$I65,"")</f>
        <v/>
      </c>
      <c r="AT469" s="39" t="str">
        <f>IFERROR(ödev!BE65*100/ödev!$I65,"")</f>
        <v/>
      </c>
      <c r="AU469" s="39" t="str">
        <f>IFERROR(ödev!BF65*100/ödev!$I65,"")</f>
        <v/>
      </c>
      <c r="AV469" s="39" t="str">
        <f>IFERROR(ödev!BG65*100/ödev!$I65,"")</f>
        <v/>
      </c>
      <c r="AW469" s="39" t="str">
        <f>IFERROR(ödev!BH65*100/ödev!$I65,"")</f>
        <v/>
      </c>
      <c r="AX469" s="39" t="str">
        <f>IFERROR(ödev!BI65*100/ödev!$I65,"")</f>
        <v/>
      </c>
      <c r="AY469" s="39" t="str">
        <f>IFERROR(ödev!BJ65*100/ödev!$I65,"")</f>
        <v/>
      </c>
      <c r="AZ469" s="39" t="str">
        <f>IFERROR(ödev!BK65*100/ödev!$I65,"")</f>
        <v/>
      </c>
      <c r="BA469" s="39" t="str">
        <f>IFERROR(ödev!BL65*100/ödev!$I65,"")</f>
        <v/>
      </c>
      <c r="BB469" s="39" t="str">
        <f>IFERROR(ödev!BM65*100/ödev!$I65,"")</f>
        <v/>
      </c>
      <c r="BC469" s="39" t="str">
        <f>IFERROR(ödev!BN65*100/ödev!$I65,"")</f>
        <v/>
      </c>
      <c r="BD469" s="39" t="str">
        <f>IFERROR(ödev!BO65*100/ödev!$I65,"")</f>
        <v/>
      </c>
      <c r="BE469" s="39" t="str">
        <f>IFERROR(ödev!BP65*100/ödev!$I65,"")</f>
        <v/>
      </c>
      <c r="BF469" s="39" t="str">
        <f>IFERROR(ödev!BQ65*100/ödev!$I65,"")</f>
        <v/>
      </c>
      <c r="BG469" s="39" t="str">
        <f>IFERROR(ödev!BR65*100/ödev!$I65,"")</f>
        <v/>
      </c>
      <c r="BH469" s="39" t="str">
        <f>IFERROR(ödev!BS65*100/ödev!$I65,"")</f>
        <v/>
      </c>
      <c r="BI469" s="39" t="str">
        <f>IFERROR(ödev!BT65*100/ödev!$I65,"")</f>
        <v/>
      </c>
      <c r="BJ469" s="39" t="str">
        <f>IFERROR(ödev!BU65*100/ödev!$I65,"")</f>
        <v/>
      </c>
      <c r="BK469" s="39" t="str">
        <f>IFERROR(ödev!BV65*100/ödev!$I65,"")</f>
        <v/>
      </c>
      <c r="BL469" s="39" t="str">
        <f>IFERROR(ödev!BW65*100/ödev!$I65,"")</f>
        <v/>
      </c>
      <c r="BM469" s="39" t="str">
        <f>IFERROR(ödev!BX65*100/ödev!$I65,"")</f>
        <v/>
      </c>
      <c r="BN469" s="39" t="str">
        <f>IFERROR(ödev!BY65*100/ödev!$I65,"")</f>
        <v/>
      </c>
      <c r="BO469" s="39" t="str">
        <f>IFERROR(ödev!BZ65*100/ödev!$I65,"")</f>
        <v/>
      </c>
      <c r="BP469" s="39" t="str">
        <f>IFERROR(ödev!CA65*100/ödev!$I65,"")</f>
        <v/>
      </c>
      <c r="BQ469" s="39" t="str">
        <f>IFERROR(ödev!CB65*100/ödev!$I65,"")</f>
        <v/>
      </c>
      <c r="BR469" s="39" t="str">
        <f>IFERROR(ödev!CC65*100/ödev!$I65,"")</f>
        <v/>
      </c>
      <c r="BS469" s="39" t="str">
        <f>IFERROR(ödev!CD65*100/ödev!$I65,"")</f>
        <v/>
      </c>
      <c r="BT469" s="39" t="str">
        <f>IFERROR(ödev!CE65*100/ödev!$I65,"")</f>
        <v/>
      </c>
      <c r="BU469" s="39" t="str">
        <f>IFERROR(ödev!CF65*100/ödev!$I65,"")</f>
        <v/>
      </c>
      <c r="BV469" s="39" t="str">
        <f>IFERROR(ödev!CG65*100/ödev!$I65,"")</f>
        <v/>
      </c>
      <c r="BW469" s="39" t="str">
        <f>IFERROR(ödev!CH65*100/ödev!$I65,"")</f>
        <v/>
      </c>
      <c r="BX469" s="39" t="str">
        <f>IFERROR(ödev!CI65*100/ödev!$I65,"")</f>
        <v/>
      </c>
      <c r="BY469" s="39" t="str">
        <f>IFERROR(ödev!CJ65*100/ödev!$I65,"")</f>
        <v/>
      </c>
      <c r="BZ469" s="39" t="str">
        <f>IFERROR(ödev!CK65*100/ödev!$I65,"")</f>
        <v/>
      </c>
      <c r="CA469" s="39" t="str">
        <f>IFERROR(ödev!CL65*100/ödev!$I65,"")</f>
        <v/>
      </c>
      <c r="CB469" s="39" t="str">
        <f>IFERROR(ödev!CM65*100/ödev!$I65,"")</f>
        <v/>
      </c>
      <c r="CC469" s="39" t="str">
        <f>IFERROR(ödev!CN65*100/ödev!$I65,"")</f>
        <v/>
      </c>
      <c r="CD469" s="39" t="str">
        <f>IFERROR(ödev!CO65*100/ödev!$I65,"")</f>
        <v/>
      </c>
      <c r="CE469" s="39" t="str">
        <f>IFERROR(ödev!CP65*100/ödev!$I65,"")</f>
        <v/>
      </c>
      <c r="CF469" s="39" t="str">
        <f>IFERROR(ödev!CQ65*100/ödev!$I65,"")</f>
        <v/>
      </c>
      <c r="CG469" s="39" t="str">
        <f>IFERROR(ödev!CR65*100/ödev!$I65,"")</f>
        <v/>
      </c>
      <c r="CH469" s="39" t="str">
        <f>IFERROR(ödev!CS65*100/ödev!$I65,"")</f>
        <v/>
      </c>
      <c r="CI469" s="39" t="str">
        <f>IFERROR(ödev!CT65*100/ödev!$I65,"")</f>
        <v/>
      </c>
      <c r="CJ469" s="39" t="str">
        <f>IFERROR(ödev!CU65*100/ödev!$I65,"")</f>
        <v/>
      </c>
      <c r="CK469" s="39" t="str">
        <f>IFERROR(ödev!CV65*100/ödev!$I65,"")</f>
        <v/>
      </c>
      <c r="CL469" s="39" t="str">
        <f>IFERROR(ödev!CW65*100/ödev!$I65,"")</f>
        <v/>
      </c>
      <c r="CM469" s="39" t="str">
        <f>IFERROR(ödev!CX65*100/ödev!$I65,"")</f>
        <v/>
      </c>
      <c r="CN469" s="39" t="str">
        <f>IFERROR(ödev!CY65*100/ödev!$I65,"")</f>
        <v/>
      </c>
      <c r="CO469" s="39" t="str">
        <f>IFERROR(ödev!CZ65*100/ödev!$I65,"")</f>
        <v/>
      </c>
      <c r="CP469" s="39" t="str">
        <f>IFERROR(ödev!DA65*100/ödev!$I65,"")</f>
        <v/>
      </c>
      <c r="CQ469" s="39" t="str">
        <f>IFERROR(ödev!DB65*100/ödev!$I65,"")</f>
        <v/>
      </c>
      <c r="CR469" s="39" t="str">
        <f>IFERROR(ödev!DC65*100/ödev!$I65,"")</f>
        <v/>
      </c>
      <c r="CS469" s="39" t="str">
        <f>IFERROR(ödev!DD65*100/ödev!$I65,"")</f>
        <v/>
      </c>
      <c r="CT469" s="39" t="str">
        <f>IFERROR(ödev!DE65*100/ödev!$I65,"")</f>
        <v/>
      </c>
      <c r="CU469" s="39" t="str">
        <f>IFERROR(ödev!DF65*100/ödev!$I65,"")</f>
        <v/>
      </c>
      <c r="CV469" s="39" t="str">
        <f>IFERROR(ödev!DG65*100/ödev!$I65,"")</f>
        <v/>
      </c>
      <c r="CW469" s="36" t="str">
        <f>IFERROR(SUM(A469:CV469)/ödev!$DH$103,"")</f>
        <v/>
      </c>
      <c r="CX469" s="14" t="str">
        <f>IF(COUNTA(ödev!A65),ödev!A65,"")</f>
        <v/>
      </c>
      <c r="CY469" s="14" t="str">
        <f>IF(COUNTA(ödev!B65),ödev!B65,"")</f>
        <v/>
      </c>
      <c r="CZ469" s="14" t="str">
        <f>IF(COUNTA(ödev!C65),ödev!C65,"")</f>
        <v/>
      </c>
      <c r="DA469" s="14" t="str">
        <f>IF(COUNTA(ödev!D65),ödev!D65,"")</f>
        <v/>
      </c>
      <c r="DB469" s="14" t="str">
        <f>IF(COUNTA(ödev!E65),ödev!E65,"")</f>
        <v/>
      </c>
      <c r="DC469" s="14" t="str">
        <f>IF(COUNTA(ödev!F65),ödev!F65,"")</f>
        <v/>
      </c>
      <c r="DD469" s="14" t="str">
        <f>IF(COUNTA(ödev!G65),ödev!G65,"")</f>
        <v/>
      </c>
      <c r="DE469" s="14" t="str">
        <f>IF(COUNTA(ödev!H65),ödev!H65,"")</f>
        <v/>
      </c>
    </row>
    <row r="470" spans="1:109" x14ac:dyDescent="0.2">
      <c r="A470" s="39" t="str">
        <f>IFERROR(ödev!L66*100/ödev!$I66,"")</f>
        <v/>
      </c>
      <c r="B470" s="39" t="str">
        <f>IFERROR(ödev!M66*100/ödev!$I66,"")</f>
        <v/>
      </c>
      <c r="C470" s="39" t="str">
        <f>IFERROR(ödev!N66*100/ödev!$I66,"")</f>
        <v/>
      </c>
      <c r="D470" s="39" t="str">
        <f>IFERROR(ödev!O66*100/ödev!$I66,"")</f>
        <v/>
      </c>
      <c r="E470" s="39" t="str">
        <f>IFERROR(ödev!P66*100/ödev!$I66,"")</f>
        <v/>
      </c>
      <c r="F470" s="39" t="str">
        <f>IFERROR(ödev!Q66*100/ödev!$I66,"")</f>
        <v/>
      </c>
      <c r="G470" s="39" t="str">
        <f>IFERROR(ödev!R66*100/ödev!$I66,"")</f>
        <v/>
      </c>
      <c r="H470" s="39" t="str">
        <f>IFERROR(ödev!S66*100/ödev!$I66,"")</f>
        <v/>
      </c>
      <c r="I470" s="39" t="str">
        <f>IFERROR(ödev!T66*100/ödev!$I66,"")</f>
        <v/>
      </c>
      <c r="J470" s="39" t="str">
        <f>IFERROR(ödev!U66*100/ödev!$I66,"")</f>
        <v/>
      </c>
      <c r="K470" s="39" t="str">
        <f>IFERROR(ödev!V66*100/ödev!$I66,"")</f>
        <v/>
      </c>
      <c r="L470" s="39" t="str">
        <f>IFERROR(ödev!W66*100/ödev!$I66,"")</f>
        <v/>
      </c>
      <c r="M470" s="39" t="str">
        <f>IFERROR(ödev!X66*100/ödev!$I66,"")</f>
        <v/>
      </c>
      <c r="N470" s="39" t="str">
        <f>IFERROR(ödev!Y66*100/ödev!$I66,"")</f>
        <v/>
      </c>
      <c r="O470" s="39" t="str">
        <f>IFERROR(ödev!Z66*100/ödev!$I66,"")</f>
        <v/>
      </c>
      <c r="P470" s="39" t="str">
        <f>IFERROR(ödev!AA66*100/ödev!$I66,"")</f>
        <v/>
      </c>
      <c r="Q470" s="39" t="str">
        <f>IFERROR(ödev!AB66*100/ödev!$I66,"")</f>
        <v/>
      </c>
      <c r="R470" s="39" t="str">
        <f>IFERROR(ödev!AC66*100/ödev!$I66,"")</f>
        <v/>
      </c>
      <c r="S470" s="39" t="str">
        <f>IFERROR(ödev!AD66*100/ödev!$I66,"")</f>
        <v/>
      </c>
      <c r="T470" s="39" t="str">
        <f>IFERROR(ödev!AE66*100/ödev!$I66,"")</f>
        <v/>
      </c>
      <c r="U470" s="39" t="str">
        <f>IFERROR(ödev!AF66*100/ödev!$I66,"")</f>
        <v/>
      </c>
      <c r="V470" s="39" t="str">
        <f>IFERROR(ödev!AG66*100/ödev!$I66,"")</f>
        <v/>
      </c>
      <c r="W470" s="39" t="str">
        <f>IFERROR(ödev!AH66*100/ödev!$I66,"")</f>
        <v/>
      </c>
      <c r="X470" s="39" t="str">
        <f>IFERROR(ödev!AI66*100/ödev!$I66,"")</f>
        <v/>
      </c>
      <c r="Y470" s="39" t="str">
        <f>IFERROR(ödev!AJ66*100/ödev!$I66,"")</f>
        <v/>
      </c>
      <c r="Z470" s="39" t="str">
        <f>IFERROR(ödev!AK66*100/ödev!$I66,"")</f>
        <v/>
      </c>
      <c r="AA470" s="39" t="str">
        <f>IFERROR(ödev!AL66*100/ödev!$I66,"")</f>
        <v/>
      </c>
      <c r="AB470" s="39" t="str">
        <f>IFERROR(ödev!AM66*100/ödev!$I66,"")</f>
        <v/>
      </c>
      <c r="AC470" s="39" t="str">
        <f>IFERROR(ödev!AN66*100/ödev!$I66,"")</f>
        <v/>
      </c>
      <c r="AD470" s="39" t="str">
        <f>IFERROR(ödev!AO66*100/ödev!$I66,"")</f>
        <v/>
      </c>
      <c r="AE470" s="39" t="str">
        <f>IFERROR(ödev!AP66*100/ödev!$I66,"")</f>
        <v/>
      </c>
      <c r="AF470" s="39" t="str">
        <f>IFERROR(ödev!AQ66*100/ödev!$I66,"")</f>
        <v/>
      </c>
      <c r="AG470" s="39" t="str">
        <f>IFERROR(ödev!AR66*100/ödev!$I66,"")</f>
        <v/>
      </c>
      <c r="AH470" s="39" t="str">
        <f>IFERROR(ödev!AS66*100/ödev!$I66,"")</f>
        <v/>
      </c>
      <c r="AI470" s="39" t="str">
        <f>IFERROR(ödev!AT66*100/ödev!$I66,"")</f>
        <v/>
      </c>
      <c r="AJ470" s="39" t="str">
        <f>IFERROR(ödev!AU66*100/ödev!$I66,"")</f>
        <v/>
      </c>
      <c r="AK470" s="39" t="str">
        <f>IFERROR(ödev!AV66*100/ödev!$I66,"")</f>
        <v/>
      </c>
      <c r="AL470" s="39" t="str">
        <f>IFERROR(ödev!AW66*100/ödev!$I66,"")</f>
        <v/>
      </c>
      <c r="AM470" s="39" t="str">
        <f>IFERROR(ödev!AX66*100/ödev!$I66,"")</f>
        <v/>
      </c>
      <c r="AN470" s="39" t="str">
        <f>IFERROR(ödev!AY66*100/ödev!$I66,"")</f>
        <v/>
      </c>
      <c r="AO470" s="39" t="str">
        <f>IFERROR(ödev!AZ66*100/ödev!$I66,"")</f>
        <v/>
      </c>
      <c r="AP470" s="39" t="str">
        <f>IFERROR(ödev!BA66*100/ödev!$I66,"")</f>
        <v/>
      </c>
      <c r="AQ470" s="39" t="str">
        <f>IFERROR(ödev!BB66*100/ödev!$I66,"")</f>
        <v/>
      </c>
      <c r="AR470" s="39" t="str">
        <f>IFERROR(ödev!BC66*100/ödev!$I66,"")</f>
        <v/>
      </c>
      <c r="AS470" s="39" t="str">
        <f>IFERROR(ödev!BD66*100/ödev!$I66,"")</f>
        <v/>
      </c>
      <c r="AT470" s="39" t="str">
        <f>IFERROR(ödev!BE66*100/ödev!$I66,"")</f>
        <v/>
      </c>
      <c r="AU470" s="39" t="str">
        <f>IFERROR(ödev!BF66*100/ödev!$I66,"")</f>
        <v/>
      </c>
      <c r="AV470" s="39" t="str">
        <f>IFERROR(ödev!BG66*100/ödev!$I66,"")</f>
        <v/>
      </c>
      <c r="AW470" s="39" t="str">
        <f>IFERROR(ödev!BH66*100/ödev!$I66,"")</f>
        <v/>
      </c>
      <c r="AX470" s="39" t="str">
        <f>IFERROR(ödev!BI66*100/ödev!$I66,"")</f>
        <v/>
      </c>
      <c r="AY470" s="39" t="str">
        <f>IFERROR(ödev!BJ66*100/ödev!$I66,"")</f>
        <v/>
      </c>
      <c r="AZ470" s="39" t="str">
        <f>IFERROR(ödev!BK66*100/ödev!$I66,"")</f>
        <v/>
      </c>
      <c r="BA470" s="39" t="str">
        <f>IFERROR(ödev!BL66*100/ödev!$I66,"")</f>
        <v/>
      </c>
      <c r="BB470" s="39" t="str">
        <f>IFERROR(ödev!BM66*100/ödev!$I66,"")</f>
        <v/>
      </c>
      <c r="BC470" s="39" t="str">
        <f>IFERROR(ödev!BN66*100/ödev!$I66,"")</f>
        <v/>
      </c>
      <c r="BD470" s="39" t="str">
        <f>IFERROR(ödev!BO66*100/ödev!$I66,"")</f>
        <v/>
      </c>
      <c r="BE470" s="39" t="str">
        <f>IFERROR(ödev!BP66*100/ödev!$I66,"")</f>
        <v/>
      </c>
      <c r="BF470" s="39" t="str">
        <f>IFERROR(ödev!BQ66*100/ödev!$I66,"")</f>
        <v/>
      </c>
      <c r="BG470" s="39" t="str">
        <f>IFERROR(ödev!BR66*100/ödev!$I66,"")</f>
        <v/>
      </c>
      <c r="BH470" s="39" t="str">
        <f>IFERROR(ödev!BS66*100/ödev!$I66,"")</f>
        <v/>
      </c>
      <c r="BI470" s="39" t="str">
        <f>IFERROR(ödev!BT66*100/ödev!$I66,"")</f>
        <v/>
      </c>
      <c r="BJ470" s="39" t="str">
        <f>IFERROR(ödev!BU66*100/ödev!$I66,"")</f>
        <v/>
      </c>
      <c r="BK470" s="39" t="str">
        <f>IFERROR(ödev!BV66*100/ödev!$I66,"")</f>
        <v/>
      </c>
      <c r="BL470" s="39" t="str">
        <f>IFERROR(ödev!BW66*100/ödev!$I66,"")</f>
        <v/>
      </c>
      <c r="BM470" s="39" t="str">
        <f>IFERROR(ödev!BX66*100/ödev!$I66,"")</f>
        <v/>
      </c>
      <c r="BN470" s="39" t="str">
        <f>IFERROR(ödev!BY66*100/ödev!$I66,"")</f>
        <v/>
      </c>
      <c r="BO470" s="39" t="str">
        <f>IFERROR(ödev!BZ66*100/ödev!$I66,"")</f>
        <v/>
      </c>
      <c r="BP470" s="39" t="str">
        <f>IFERROR(ödev!CA66*100/ödev!$I66,"")</f>
        <v/>
      </c>
      <c r="BQ470" s="39" t="str">
        <f>IFERROR(ödev!CB66*100/ödev!$I66,"")</f>
        <v/>
      </c>
      <c r="BR470" s="39" t="str">
        <f>IFERROR(ödev!CC66*100/ödev!$I66,"")</f>
        <v/>
      </c>
      <c r="BS470" s="39" t="str">
        <f>IFERROR(ödev!CD66*100/ödev!$I66,"")</f>
        <v/>
      </c>
      <c r="BT470" s="39" t="str">
        <f>IFERROR(ödev!CE66*100/ödev!$I66,"")</f>
        <v/>
      </c>
      <c r="BU470" s="39" t="str">
        <f>IFERROR(ödev!CF66*100/ödev!$I66,"")</f>
        <v/>
      </c>
      <c r="BV470" s="39" t="str">
        <f>IFERROR(ödev!CG66*100/ödev!$I66,"")</f>
        <v/>
      </c>
      <c r="BW470" s="39" t="str">
        <f>IFERROR(ödev!CH66*100/ödev!$I66,"")</f>
        <v/>
      </c>
      <c r="BX470" s="39" t="str">
        <f>IFERROR(ödev!CI66*100/ödev!$I66,"")</f>
        <v/>
      </c>
      <c r="BY470" s="39" t="str">
        <f>IFERROR(ödev!CJ66*100/ödev!$I66,"")</f>
        <v/>
      </c>
      <c r="BZ470" s="39" t="str">
        <f>IFERROR(ödev!CK66*100/ödev!$I66,"")</f>
        <v/>
      </c>
      <c r="CA470" s="39" t="str">
        <f>IFERROR(ödev!CL66*100/ödev!$I66,"")</f>
        <v/>
      </c>
      <c r="CB470" s="39" t="str">
        <f>IFERROR(ödev!CM66*100/ödev!$I66,"")</f>
        <v/>
      </c>
      <c r="CC470" s="39" t="str">
        <f>IFERROR(ödev!CN66*100/ödev!$I66,"")</f>
        <v/>
      </c>
      <c r="CD470" s="39" t="str">
        <f>IFERROR(ödev!CO66*100/ödev!$I66,"")</f>
        <v/>
      </c>
      <c r="CE470" s="39" t="str">
        <f>IFERROR(ödev!CP66*100/ödev!$I66,"")</f>
        <v/>
      </c>
      <c r="CF470" s="39" t="str">
        <f>IFERROR(ödev!CQ66*100/ödev!$I66,"")</f>
        <v/>
      </c>
      <c r="CG470" s="39" t="str">
        <f>IFERROR(ödev!CR66*100/ödev!$I66,"")</f>
        <v/>
      </c>
      <c r="CH470" s="39" t="str">
        <f>IFERROR(ödev!CS66*100/ödev!$I66,"")</f>
        <v/>
      </c>
      <c r="CI470" s="39" t="str">
        <f>IFERROR(ödev!CT66*100/ödev!$I66,"")</f>
        <v/>
      </c>
      <c r="CJ470" s="39" t="str">
        <f>IFERROR(ödev!CU66*100/ödev!$I66,"")</f>
        <v/>
      </c>
      <c r="CK470" s="39" t="str">
        <f>IFERROR(ödev!CV66*100/ödev!$I66,"")</f>
        <v/>
      </c>
      <c r="CL470" s="39" t="str">
        <f>IFERROR(ödev!CW66*100/ödev!$I66,"")</f>
        <v/>
      </c>
      <c r="CM470" s="39" t="str">
        <f>IFERROR(ödev!CX66*100/ödev!$I66,"")</f>
        <v/>
      </c>
      <c r="CN470" s="39" t="str">
        <f>IFERROR(ödev!CY66*100/ödev!$I66,"")</f>
        <v/>
      </c>
      <c r="CO470" s="39" t="str">
        <f>IFERROR(ödev!CZ66*100/ödev!$I66,"")</f>
        <v/>
      </c>
      <c r="CP470" s="39" t="str">
        <f>IFERROR(ödev!DA66*100/ödev!$I66,"")</f>
        <v/>
      </c>
      <c r="CQ470" s="39" t="str">
        <f>IFERROR(ödev!DB66*100/ödev!$I66,"")</f>
        <v/>
      </c>
      <c r="CR470" s="39" t="str">
        <f>IFERROR(ödev!DC66*100/ödev!$I66,"")</f>
        <v/>
      </c>
      <c r="CS470" s="39" t="str">
        <f>IFERROR(ödev!DD66*100/ödev!$I66,"")</f>
        <v/>
      </c>
      <c r="CT470" s="39" t="str">
        <f>IFERROR(ödev!DE66*100/ödev!$I66,"")</f>
        <v/>
      </c>
      <c r="CU470" s="39" t="str">
        <f>IFERROR(ödev!DF66*100/ödev!$I66,"")</f>
        <v/>
      </c>
      <c r="CV470" s="39" t="str">
        <f>IFERROR(ödev!DG66*100/ödev!$I66,"")</f>
        <v/>
      </c>
      <c r="CW470" s="36" t="str">
        <f>IFERROR(SUM(A470:CV470)/ödev!$DH$103,"")</f>
        <v/>
      </c>
      <c r="CX470" s="14" t="str">
        <f>IF(COUNTA(ödev!A66),ödev!A66,"")</f>
        <v/>
      </c>
      <c r="CY470" s="14" t="str">
        <f>IF(COUNTA(ödev!B66),ödev!B66,"")</f>
        <v/>
      </c>
      <c r="CZ470" s="14" t="str">
        <f>IF(COUNTA(ödev!C66),ödev!C66,"")</f>
        <v/>
      </c>
      <c r="DA470" s="14" t="str">
        <f>IF(COUNTA(ödev!D66),ödev!D66,"")</f>
        <v/>
      </c>
      <c r="DB470" s="14" t="str">
        <f>IF(COUNTA(ödev!E66),ödev!E66,"")</f>
        <v/>
      </c>
      <c r="DC470" s="14" t="str">
        <f>IF(COUNTA(ödev!F66),ödev!F66,"")</f>
        <v/>
      </c>
      <c r="DD470" s="14" t="str">
        <f>IF(COUNTA(ödev!G66),ödev!G66,"")</f>
        <v/>
      </c>
      <c r="DE470" s="14" t="str">
        <f>IF(COUNTA(ödev!H66),ödev!H66,"")</f>
        <v/>
      </c>
    </row>
    <row r="471" spans="1:109" x14ac:dyDescent="0.2">
      <c r="A471" s="39" t="str">
        <f>IFERROR(ödev!L67*100/ödev!$I67,"")</f>
        <v/>
      </c>
      <c r="B471" s="39" t="str">
        <f>IFERROR(ödev!M67*100/ödev!$I67,"")</f>
        <v/>
      </c>
      <c r="C471" s="39" t="str">
        <f>IFERROR(ödev!N67*100/ödev!$I67,"")</f>
        <v/>
      </c>
      <c r="D471" s="39" t="str">
        <f>IFERROR(ödev!O67*100/ödev!$I67,"")</f>
        <v/>
      </c>
      <c r="E471" s="39" t="str">
        <f>IFERROR(ödev!P67*100/ödev!$I67,"")</f>
        <v/>
      </c>
      <c r="F471" s="39" t="str">
        <f>IFERROR(ödev!Q67*100/ödev!$I67,"")</f>
        <v/>
      </c>
      <c r="G471" s="39" t="str">
        <f>IFERROR(ödev!R67*100/ödev!$I67,"")</f>
        <v/>
      </c>
      <c r="H471" s="39" t="str">
        <f>IFERROR(ödev!S67*100/ödev!$I67,"")</f>
        <v/>
      </c>
      <c r="I471" s="39" t="str">
        <f>IFERROR(ödev!T67*100/ödev!$I67,"")</f>
        <v/>
      </c>
      <c r="J471" s="39" t="str">
        <f>IFERROR(ödev!U67*100/ödev!$I67,"")</f>
        <v/>
      </c>
      <c r="K471" s="39" t="str">
        <f>IFERROR(ödev!V67*100/ödev!$I67,"")</f>
        <v/>
      </c>
      <c r="L471" s="39" t="str">
        <f>IFERROR(ödev!W67*100/ödev!$I67,"")</f>
        <v/>
      </c>
      <c r="M471" s="39" t="str">
        <f>IFERROR(ödev!X67*100/ödev!$I67,"")</f>
        <v/>
      </c>
      <c r="N471" s="39" t="str">
        <f>IFERROR(ödev!Y67*100/ödev!$I67,"")</f>
        <v/>
      </c>
      <c r="O471" s="39" t="str">
        <f>IFERROR(ödev!Z67*100/ödev!$I67,"")</f>
        <v/>
      </c>
      <c r="P471" s="39" t="str">
        <f>IFERROR(ödev!AA67*100/ödev!$I67,"")</f>
        <v/>
      </c>
      <c r="Q471" s="39" t="str">
        <f>IFERROR(ödev!AB67*100/ödev!$I67,"")</f>
        <v/>
      </c>
      <c r="R471" s="39" t="str">
        <f>IFERROR(ödev!AC67*100/ödev!$I67,"")</f>
        <v/>
      </c>
      <c r="S471" s="39" t="str">
        <f>IFERROR(ödev!AD67*100/ödev!$I67,"")</f>
        <v/>
      </c>
      <c r="T471" s="39" t="str">
        <f>IFERROR(ödev!AE67*100/ödev!$I67,"")</f>
        <v/>
      </c>
      <c r="U471" s="39" t="str">
        <f>IFERROR(ödev!AF67*100/ödev!$I67,"")</f>
        <v/>
      </c>
      <c r="V471" s="39" t="str">
        <f>IFERROR(ödev!AG67*100/ödev!$I67,"")</f>
        <v/>
      </c>
      <c r="W471" s="39" t="str">
        <f>IFERROR(ödev!AH67*100/ödev!$I67,"")</f>
        <v/>
      </c>
      <c r="X471" s="39" t="str">
        <f>IFERROR(ödev!AI67*100/ödev!$I67,"")</f>
        <v/>
      </c>
      <c r="Y471" s="39" t="str">
        <f>IFERROR(ödev!AJ67*100/ödev!$I67,"")</f>
        <v/>
      </c>
      <c r="Z471" s="39" t="str">
        <f>IFERROR(ödev!AK67*100/ödev!$I67,"")</f>
        <v/>
      </c>
      <c r="AA471" s="39" t="str">
        <f>IFERROR(ödev!AL67*100/ödev!$I67,"")</f>
        <v/>
      </c>
      <c r="AB471" s="39" t="str">
        <f>IFERROR(ödev!AM67*100/ödev!$I67,"")</f>
        <v/>
      </c>
      <c r="AC471" s="39" t="str">
        <f>IFERROR(ödev!AN67*100/ödev!$I67,"")</f>
        <v/>
      </c>
      <c r="AD471" s="39" t="str">
        <f>IFERROR(ödev!AO67*100/ödev!$I67,"")</f>
        <v/>
      </c>
      <c r="AE471" s="39" t="str">
        <f>IFERROR(ödev!AP67*100/ödev!$I67,"")</f>
        <v/>
      </c>
      <c r="AF471" s="39" t="str">
        <f>IFERROR(ödev!AQ67*100/ödev!$I67,"")</f>
        <v/>
      </c>
      <c r="AG471" s="39" t="str">
        <f>IFERROR(ödev!AR67*100/ödev!$I67,"")</f>
        <v/>
      </c>
      <c r="AH471" s="39" t="str">
        <f>IFERROR(ödev!AS67*100/ödev!$I67,"")</f>
        <v/>
      </c>
      <c r="AI471" s="39" t="str">
        <f>IFERROR(ödev!AT67*100/ödev!$I67,"")</f>
        <v/>
      </c>
      <c r="AJ471" s="39" t="str">
        <f>IFERROR(ödev!AU67*100/ödev!$I67,"")</f>
        <v/>
      </c>
      <c r="AK471" s="39" t="str">
        <f>IFERROR(ödev!AV67*100/ödev!$I67,"")</f>
        <v/>
      </c>
      <c r="AL471" s="39" t="str">
        <f>IFERROR(ödev!AW67*100/ödev!$I67,"")</f>
        <v/>
      </c>
      <c r="AM471" s="39" t="str">
        <f>IFERROR(ödev!AX67*100/ödev!$I67,"")</f>
        <v/>
      </c>
      <c r="AN471" s="39" t="str">
        <f>IFERROR(ödev!AY67*100/ödev!$I67,"")</f>
        <v/>
      </c>
      <c r="AO471" s="39" t="str">
        <f>IFERROR(ödev!AZ67*100/ödev!$I67,"")</f>
        <v/>
      </c>
      <c r="AP471" s="39" t="str">
        <f>IFERROR(ödev!BA67*100/ödev!$I67,"")</f>
        <v/>
      </c>
      <c r="AQ471" s="39" t="str">
        <f>IFERROR(ödev!BB67*100/ödev!$I67,"")</f>
        <v/>
      </c>
      <c r="AR471" s="39" t="str">
        <f>IFERROR(ödev!BC67*100/ödev!$I67,"")</f>
        <v/>
      </c>
      <c r="AS471" s="39" t="str">
        <f>IFERROR(ödev!BD67*100/ödev!$I67,"")</f>
        <v/>
      </c>
      <c r="AT471" s="39" t="str">
        <f>IFERROR(ödev!BE67*100/ödev!$I67,"")</f>
        <v/>
      </c>
      <c r="AU471" s="39" t="str">
        <f>IFERROR(ödev!BF67*100/ödev!$I67,"")</f>
        <v/>
      </c>
      <c r="AV471" s="39" t="str">
        <f>IFERROR(ödev!BG67*100/ödev!$I67,"")</f>
        <v/>
      </c>
      <c r="AW471" s="39" t="str">
        <f>IFERROR(ödev!BH67*100/ödev!$I67,"")</f>
        <v/>
      </c>
      <c r="AX471" s="39" t="str">
        <f>IFERROR(ödev!BI67*100/ödev!$I67,"")</f>
        <v/>
      </c>
      <c r="AY471" s="39" t="str">
        <f>IFERROR(ödev!BJ67*100/ödev!$I67,"")</f>
        <v/>
      </c>
      <c r="AZ471" s="39" t="str">
        <f>IFERROR(ödev!BK67*100/ödev!$I67,"")</f>
        <v/>
      </c>
      <c r="BA471" s="39" t="str">
        <f>IFERROR(ödev!BL67*100/ödev!$I67,"")</f>
        <v/>
      </c>
      <c r="BB471" s="39" t="str">
        <f>IFERROR(ödev!BM67*100/ödev!$I67,"")</f>
        <v/>
      </c>
      <c r="BC471" s="39" t="str">
        <f>IFERROR(ödev!BN67*100/ödev!$I67,"")</f>
        <v/>
      </c>
      <c r="BD471" s="39" t="str">
        <f>IFERROR(ödev!BO67*100/ödev!$I67,"")</f>
        <v/>
      </c>
      <c r="BE471" s="39" t="str">
        <f>IFERROR(ödev!BP67*100/ödev!$I67,"")</f>
        <v/>
      </c>
      <c r="BF471" s="39" t="str">
        <f>IFERROR(ödev!BQ67*100/ödev!$I67,"")</f>
        <v/>
      </c>
      <c r="BG471" s="39" t="str">
        <f>IFERROR(ödev!BR67*100/ödev!$I67,"")</f>
        <v/>
      </c>
      <c r="BH471" s="39" t="str">
        <f>IFERROR(ödev!BS67*100/ödev!$I67,"")</f>
        <v/>
      </c>
      <c r="BI471" s="39" t="str">
        <f>IFERROR(ödev!BT67*100/ödev!$I67,"")</f>
        <v/>
      </c>
      <c r="BJ471" s="39" t="str">
        <f>IFERROR(ödev!BU67*100/ödev!$I67,"")</f>
        <v/>
      </c>
      <c r="BK471" s="39" t="str">
        <f>IFERROR(ödev!BV67*100/ödev!$I67,"")</f>
        <v/>
      </c>
      <c r="BL471" s="39" t="str">
        <f>IFERROR(ödev!BW67*100/ödev!$I67,"")</f>
        <v/>
      </c>
      <c r="BM471" s="39" t="str">
        <f>IFERROR(ödev!BX67*100/ödev!$I67,"")</f>
        <v/>
      </c>
      <c r="BN471" s="39" t="str">
        <f>IFERROR(ödev!BY67*100/ödev!$I67,"")</f>
        <v/>
      </c>
      <c r="BO471" s="39" t="str">
        <f>IFERROR(ödev!BZ67*100/ödev!$I67,"")</f>
        <v/>
      </c>
      <c r="BP471" s="39" t="str">
        <f>IFERROR(ödev!CA67*100/ödev!$I67,"")</f>
        <v/>
      </c>
      <c r="BQ471" s="39" t="str">
        <f>IFERROR(ödev!CB67*100/ödev!$I67,"")</f>
        <v/>
      </c>
      <c r="BR471" s="39" t="str">
        <f>IFERROR(ödev!CC67*100/ödev!$I67,"")</f>
        <v/>
      </c>
      <c r="BS471" s="39" t="str">
        <f>IFERROR(ödev!CD67*100/ödev!$I67,"")</f>
        <v/>
      </c>
      <c r="BT471" s="39" t="str">
        <f>IFERROR(ödev!CE67*100/ödev!$I67,"")</f>
        <v/>
      </c>
      <c r="BU471" s="39" t="str">
        <f>IFERROR(ödev!CF67*100/ödev!$I67,"")</f>
        <v/>
      </c>
      <c r="BV471" s="39" t="str">
        <f>IFERROR(ödev!CG67*100/ödev!$I67,"")</f>
        <v/>
      </c>
      <c r="BW471" s="39" t="str">
        <f>IFERROR(ödev!CH67*100/ödev!$I67,"")</f>
        <v/>
      </c>
      <c r="BX471" s="39" t="str">
        <f>IFERROR(ödev!CI67*100/ödev!$I67,"")</f>
        <v/>
      </c>
      <c r="BY471" s="39" t="str">
        <f>IFERROR(ödev!CJ67*100/ödev!$I67,"")</f>
        <v/>
      </c>
      <c r="BZ471" s="39" t="str">
        <f>IFERROR(ödev!CK67*100/ödev!$I67,"")</f>
        <v/>
      </c>
      <c r="CA471" s="39" t="str">
        <f>IFERROR(ödev!CL67*100/ödev!$I67,"")</f>
        <v/>
      </c>
      <c r="CB471" s="39" t="str">
        <f>IFERROR(ödev!CM67*100/ödev!$I67,"")</f>
        <v/>
      </c>
      <c r="CC471" s="39" t="str">
        <f>IFERROR(ödev!CN67*100/ödev!$I67,"")</f>
        <v/>
      </c>
      <c r="CD471" s="39" t="str">
        <f>IFERROR(ödev!CO67*100/ödev!$I67,"")</f>
        <v/>
      </c>
      <c r="CE471" s="39" t="str">
        <f>IFERROR(ödev!CP67*100/ödev!$I67,"")</f>
        <v/>
      </c>
      <c r="CF471" s="39" t="str">
        <f>IFERROR(ödev!CQ67*100/ödev!$I67,"")</f>
        <v/>
      </c>
      <c r="CG471" s="39" t="str">
        <f>IFERROR(ödev!CR67*100/ödev!$I67,"")</f>
        <v/>
      </c>
      <c r="CH471" s="39" t="str">
        <f>IFERROR(ödev!CS67*100/ödev!$I67,"")</f>
        <v/>
      </c>
      <c r="CI471" s="39" t="str">
        <f>IFERROR(ödev!CT67*100/ödev!$I67,"")</f>
        <v/>
      </c>
      <c r="CJ471" s="39" t="str">
        <f>IFERROR(ödev!CU67*100/ödev!$I67,"")</f>
        <v/>
      </c>
      <c r="CK471" s="39" t="str">
        <f>IFERROR(ödev!CV67*100/ödev!$I67,"")</f>
        <v/>
      </c>
      <c r="CL471" s="39" t="str">
        <f>IFERROR(ödev!CW67*100/ödev!$I67,"")</f>
        <v/>
      </c>
      <c r="CM471" s="39" t="str">
        <f>IFERROR(ödev!CX67*100/ödev!$I67,"")</f>
        <v/>
      </c>
      <c r="CN471" s="39" t="str">
        <f>IFERROR(ödev!CY67*100/ödev!$I67,"")</f>
        <v/>
      </c>
      <c r="CO471" s="39" t="str">
        <f>IFERROR(ödev!CZ67*100/ödev!$I67,"")</f>
        <v/>
      </c>
      <c r="CP471" s="39" t="str">
        <f>IFERROR(ödev!DA67*100/ödev!$I67,"")</f>
        <v/>
      </c>
      <c r="CQ471" s="39" t="str">
        <f>IFERROR(ödev!DB67*100/ödev!$I67,"")</f>
        <v/>
      </c>
      <c r="CR471" s="39" t="str">
        <f>IFERROR(ödev!DC67*100/ödev!$I67,"")</f>
        <v/>
      </c>
      <c r="CS471" s="39" t="str">
        <f>IFERROR(ödev!DD67*100/ödev!$I67,"")</f>
        <v/>
      </c>
      <c r="CT471" s="39" t="str">
        <f>IFERROR(ödev!DE67*100/ödev!$I67,"")</f>
        <v/>
      </c>
      <c r="CU471" s="39" t="str">
        <f>IFERROR(ödev!DF67*100/ödev!$I67,"")</f>
        <v/>
      </c>
      <c r="CV471" s="39" t="str">
        <f>IFERROR(ödev!DG67*100/ödev!$I67,"")</f>
        <v/>
      </c>
      <c r="CW471" s="36" t="str">
        <f>IFERROR(SUM(A471:CV471)/ödev!$DH$103,"")</f>
        <v/>
      </c>
      <c r="CX471" s="14" t="str">
        <f>IF(COUNTA(ödev!A67),ödev!A67,"")</f>
        <v/>
      </c>
      <c r="CY471" s="14" t="str">
        <f>IF(COUNTA(ödev!B67),ödev!B67,"")</f>
        <v/>
      </c>
      <c r="CZ471" s="14" t="str">
        <f>IF(COUNTA(ödev!C67),ödev!C67,"")</f>
        <v/>
      </c>
      <c r="DA471" s="14" t="str">
        <f>IF(COUNTA(ödev!D67),ödev!D67,"")</f>
        <v/>
      </c>
      <c r="DB471" s="14" t="str">
        <f>IF(COUNTA(ödev!E67),ödev!E67,"")</f>
        <v/>
      </c>
      <c r="DC471" s="14" t="str">
        <f>IF(COUNTA(ödev!F67),ödev!F67,"")</f>
        <v/>
      </c>
      <c r="DD471" s="14" t="str">
        <f>IF(COUNTA(ödev!G67),ödev!G67,"")</f>
        <v/>
      </c>
      <c r="DE471" s="14" t="str">
        <f>IF(COUNTA(ödev!H67),ödev!H67,"")</f>
        <v/>
      </c>
    </row>
    <row r="472" spans="1:109" x14ac:dyDescent="0.2">
      <c r="A472" s="39" t="str">
        <f>IFERROR(ödev!L68*100/ödev!$I68,"")</f>
        <v/>
      </c>
      <c r="B472" s="39" t="str">
        <f>IFERROR(ödev!M68*100/ödev!$I68,"")</f>
        <v/>
      </c>
      <c r="C472" s="39" t="str">
        <f>IFERROR(ödev!N68*100/ödev!$I68,"")</f>
        <v/>
      </c>
      <c r="D472" s="39" t="str">
        <f>IFERROR(ödev!O68*100/ödev!$I68,"")</f>
        <v/>
      </c>
      <c r="E472" s="39" t="str">
        <f>IFERROR(ödev!P68*100/ödev!$I68,"")</f>
        <v/>
      </c>
      <c r="F472" s="39" t="str">
        <f>IFERROR(ödev!Q68*100/ödev!$I68,"")</f>
        <v/>
      </c>
      <c r="G472" s="39" t="str">
        <f>IFERROR(ödev!R68*100/ödev!$I68,"")</f>
        <v/>
      </c>
      <c r="H472" s="39" t="str">
        <f>IFERROR(ödev!S68*100/ödev!$I68,"")</f>
        <v/>
      </c>
      <c r="I472" s="39" t="str">
        <f>IFERROR(ödev!T68*100/ödev!$I68,"")</f>
        <v/>
      </c>
      <c r="J472" s="39" t="str">
        <f>IFERROR(ödev!U68*100/ödev!$I68,"")</f>
        <v/>
      </c>
      <c r="K472" s="39" t="str">
        <f>IFERROR(ödev!V68*100/ödev!$I68,"")</f>
        <v/>
      </c>
      <c r="L472" s="39" t="str">
        <f>IFERROR(ödev!W68*100/ödev!$I68,"")</f>
        <v/>
      </c>
      <c r="M472" s="39" t="str">
        <f>IFERROR(ödev!X68*100/ödev!$I68,"")</f>
        <v/>
      </c>
      <c r="N472" s="39" t="str">
        <f>IFERROR(ödev!Y68*100/ödev!$I68,"")</f>
        <v/>
      </c>
      <c r="O472" s="39" t="str">
        <f>IFERROR(ödev!Z68*100/ödev!$I68,"")</f>
        <v/>
      </c>
      <c r="P472" s="39" t="str">
        <f>IFERROR(ödev!AA68*100/ödev!$I68,"")</f>
        <v/>
      </c>
      <c r="Q472" s="39" t="str">
        <f>IFERROR(ödev!AB68*100/ödev!$I68,"")</f>
        <v/>
      </c>
      <c r="R472" s="39" t="str">
        <f>IFERROR(ödev!AC68*100/ödev!$I68,"")</f>
        <v/>
      </c>
      <c r="S472" s="39" t="str">
        <f>IFERROR(ödev!AD68*100/ödev!$I68,"")</f>
        <v/>
      </c>
      <c r="T472" s="39" t="str">
        <f>IFERROR(ödev!AE68*100/ödev!$I68,"")</f>
        <v/>
      </c>
      <c r="U472" s="39" t="str">
        <f>IFERROR(ödev!AF68*100/ödev!$I68,"")</f>
        <v/>
      </c>
      <c r="V472" s="39" t="str">
        <f>IFERROR(ödev!AG68*100/ödev!$I68,"")</f>
        <v/>
      </c>
      <c r="W472" s="39" t="str">
        <f>IFERROR(ödev!AH68*100/ödev!$I68,"")</f>
        <v/>
      </c>
      <c r="X472" s="39" t="str">
        <f>IFERROR(ödev!AI68*100/ödev!$I68,"")</f>
        <v/>
      </c>
      <c r="Y472" s="39" t="str">
        <f>IFERROR(ödev!AJ68*100/ödev!$I68,"")</f>
        <v/>
      </c>
      <c r="Z472" s="39" t="str">
        <f>IFERROR(ödev!AK68*100/ödev!$I68,"")</f>
        <v/>
      </c>
      <c r="AA472" s="39" t="str">
        <f>IFERROR(ödev!AL68*100/ödev!$I68,"")</f>
        <v/>
      </c>
      <c r="AB472" s="39" t="str">
        <f>IFERROR(ödev!AM68*100/ödev!$I68,"")</f>
        <v/>
      </c>
      <c r="AC472" s="39" t="str">
        <f>IFERROR(ödev!AN68*100/ödev!$I68,"")</f>
        <v/>
      </c>
      <c r="AD472" s="39" t="str">
        <f>IFERROR(ödev!AO68*100/ödev!$I68,"")</f>
        <v/>
      </c>
      <c r="AE472" s="39" t="str">
        <f>IFERROR(ödev!AP68*100/ödev!$I68,"")</f>
        <v/>
      </c>
      <c r="AF472" s="39" t="str">
        <f>IFERROR(ödev!AQ68*100/ödev!$I68,"")</f>
        <v/>
      </c>
      <c r="AG472" s="39" t="str">
        <f>IFERROR(ödev!AR68*100/ödev!$I68,"")</f>
        <v/>
      </c>
      <c r="AH472" s="39" t="str">
        <f>IFERROR(ödev!AS68*100/ödev!$I68,"")</f>
        <v/>
      </c>
      <c r="AI472" s="39" t="str">
        <f>IFERROR(ödev!AT68*100/ödev!$I68,"")</f>
        <v/>
      </c>
      <c r="AJ472" s="39" t="str">
        <f>IFERROR(ödev!AU68*100/ödev!$I68,"")</f>
        <v/>
      </c>
      <c r="AK472" s="39" t="str">
        <f>IFERROR(ödev!AV68*100/ödev!$I68,"")</f>
        <v/>
      </c>
      <c r="AL472" s="39" t="str">
        <f>IFERROR(ödev!AW68*100/ödev!$I68,"")</f>
        <v/>
      </c>
      <c r="AM472" s="39" t="str">
        <f>IFERROR(ödev!AX68*100/ödev!$I68,"")</f>
        <v/>
      </c>
      <c r="AN472" s="39" t="str">
        <f>IFERROR(ödev!AY68*100/ödev!$I68,"")</f>
        <v/>
      </c>
      <c r="AO472" s="39" t="str">
        <f>IFERROR(ödev!AZ68*100/ödev!$I68,"")</f>
        <v/>
      </c>
      <c r="AP472" s="39" t="str">
        <f>IFERROR(ödev!BA68*100/ödev!$I68,"")</f>
        <v/>
      </c>
      <c r="AQ472" s="39" t="str">
        <f>IFERROR(ödev!BB68*100/ödev!$I68,"")</f>
        <v/>
      </c>
      <c r="AR472" s="39" t="str">
        <f>IFERROR(ödev!BC68*100/ödev!$I68,"")</f>
        <v/>
      </c>
      <c r="AS472" s="39" t="str">
        <f>IFERROR(ödev!BD68*100/ödev!$I68,"")</f>
        <v/>
      </c>
      <c r="AT472" s="39" t="str">
        <f>IFERROR(ödev!BE68*100/ödev!$I68,"")</f>
        <v/>
      </c>
      <c r="AU472" s="39" t="str">
        <f>IFERROR(ödev!BF68*100/ödev!$I68,"")</f>
        <v/>
      </c>
      <c r="AV472" s="39" t="str">
        <f>IFERROR(ödev!BG68*100/ödev!$I68,"")</f>
        <v/>
      </c>
      <c r="AW472" s="39" t="str">
        <f>IFERROR(ödev!BH68*100/ödev!$I68,"")</f>
        <v/>
      </c>
      <c r="AX472" s="39" t="str">
        <f>IFERROR(ödev!BI68*100/ödev!$I68,"")</f>
        <v/>
      </c>
      <c r="AY472" s="39" t="str">
        <f>IFERROR(ödev!BJ68*100/ödev!$I68,"")</f>
        <v/>
      </c>
      <c r="AZ472" s="39" t="str">
        <f>IFERROR(ödev!BK68*100/ödev!$I68,"")</f>
        <v/>
      </c>
      <c r="BA472" s="39" t="str">
        <f>IFERROR(ödev!BL68*100/ödev!$I68,"")</f>
        <v/>
      </c>
      <c r="BB472" s="39" t="str">
        <f>IFERROR(ödev!BM68*100/ödev!$I68,"")</f>
        <v/>
      </c>
      <c r="BC472" s="39" t="str">
        <f>IFERROR(ödev!BN68*100/ödev!$I68,"")</f>
        <v/>
      </c>
      <c r="BD472" s="39" t="str">
        <f>IFERROR(ödev!BO68*100/ödev!$I68,"")</f>
        <v/>
      </c>
      <c r="BE472" s="39" t="str">
        <f>IFERROR(ödev!BP68*100/ödev!$I68,"")</f>
        <v/>
      </c>
      <c r="BF472" s="39" t="str">
        <f>IFERROR(ödev!BQ68*100/ödev!$I68,"")</f>
        <v/>
      </c>
      <c r="BG472" s="39" t="str">
        <f>IFERROR(ödev!BR68*100/ödev!$I68,"")</f>
        <v/>
      </c>
      <c r="BH472" s="39" t="str">
        <f>IFERROR(ödev!BS68*100/ödev!$I68,"")</f>
        <v/>
      </c>
      <c r="BI472" s="39" t="str">
        <f>IFERROR(ödev!BT68*100/ödev!$I68,"")</f>
        <v/>
      </c>
      <c r="BJ472" s="39" t="str">
        <f>IFERROR(ödev!BU68*100/ödev!$I68,"")</f>
        <v/>
      </c>
      <c r="BK472" s="39" t="str">
        <f>IFERROR(ödev!BV68*100/ödev!$I68,"")</f>
        <v/>
      </c>
      <c r="BL472" s="39" t="str">
        <f>IFERROR(ödev!BW68*100/ödev!$I68,"")</f>
        <v/>
      </c>
      <c r="BM472" s="39" t="str">
        <f>IFERROR(ödev!BX68*100/ödev!$I68,"")</f>
        <v/>
      </c>
      <c r="BN472" s="39" t="str">
        <f>IFERROR(ödev!BY68*100/ödev!$I68,"")</f>
        <v/>
      </c>
      <c r="BO472" s="39" t="str">
        <f>IFERROR(ödev!BZ68*100/ödev!$I68,"")</f>
        <v/>
      </c>
      <c r="BP472" s="39" t="str">
        <f>IFERROR(ödev!CA68*100/ödev!$I68,"")</f>
        <v/>
      </c>
      <c r="BQ472" s="39" t="str">
        <f>IFERROR(ödev!CB68*100/ödev!$I68,"")</f>
        <v/>
      </c>
      <c r="BR472" s="39" t="str">
        <f>IFERROR(ödev!CC68*100/ödev!$I68,"")</f>
        <v/>
      </c>
      <c r="BS472" s="39" t="str">
        <f>IFERROR(ödev!CD68*100/ödev!$I68,"")</f>
        <v/>
      </c>
      <c r="BT472" s="39" t="str">
        <f>IFERROR(ödev!CE68*100/ödev!$I68,"")</f>
        <v/>
      </c>
      <c r="BU472" s="39" t="str">
        <f>IFERROR(ödev!CF68*100/ödev!$I68,"")</f>
        <v/>
      </c>
      <c r="BV472" s="39" t="str">
        <f>IFERROR(ödev!CG68*100/ödev!$I68,"")</f>
        <v/>
      </c>
      <c r="BW472" s="39" t="str">
        <f>IFERROR(ödev!CH68*100/ödev!$I68,"")</f>
        <v/>
      </c>
      <c r="BX472" s="39" t="str">
        <f>IFERROR(ödev!CI68*100/ödev!$I68,"")</f>
        <v/>
      </c>
      <c r="BY472" s="39" t="str">
        <f>IFERROR(ödev!CJ68*100/ödev!$I68,"")</f>
        <v/>
      </c>
      <c r="BZ472" s="39" t="str">
        <f>IFERROR(ödev!CK68*100/ödev!$I68,"")</f>
        <v/>
      </c>
      <c r="CA472" s="39" t="str">
        <f>IFERROR(ödev!CL68*100/ödev!$I68,"")</f>
        <v/>
      </c>
      <c r="CB472" s="39" t="str">
        <f>IFERROR(ödev!CM68*100/ödev!$I68,"")</f>
        <v/>
      </c>
      <c r="CC472" s="39" t="str">
        <f>IFERROR(ödev!CN68*100/ödev!$I68,"")</f>
        <v/>
      </c>
      <c r="CD472" s="39" t="str">
        <f>IFERROR(ödev!CO68*100/ödev!$I68,"")</f>
        <v/>
      </c>
      <c r="CE472" s="39" t="str">
        <f>IFERROR(ödev!CP68*100/ödev!$I68,"")</f>
        <v/>
      </c>
      <c r="CF472" s="39" t="str">
        <f>IFERROR(ödev!CQ68*100/ödev!$I68,"")</f>
        <v/>
      </c>
      <c r="CG472" s="39" t="str">
        <f>IFERROR(ödev!CR68*100/ödev!$I68,"")</f>
        <v/>
      </c>
      <c r="CH472" s="39" t="str">
        <f>IFERROR(ödev!CS68*100/ödev!$I68,"")</f>
        <v/>
      </c>
      <c r="CI472" s="39" t="str">
        <f>IFERROR(ödev!CT68*100/ödev!$I68,"")</f>
        <v/>
      </c>
      <c r="CJ472" s="39" t="str">
        <f>IFERROR(ödev!CU68*100/ödev!$I68,"")</f>
        <v/>
      </c>
      <c r="CK472" s="39" t="str">
        <f>IFERROR(ödev!CV68*100/ödev!$I68,"")</f>
        <v/>
      </c>
      <c r="CL472" s="39" t="str">
        <f>IFERROR(ödev!CW68*100/ödev!$I68,"")</f>
        <v/>
      </c>
      <c r="CM472" s="39" t="str">
        <f>IFERROR(ödev!CX68*100/ödev!$I68,"")</f>
        <v/>
      </c>
      <c r="CN472" s="39" t="str">
        <f>IFERROR(ödev!CY68*100/ödev!$I68,"")</f>
        <v/>
      </c>
      <c r="CO472" s="39" t="str">
        <f>IFERROR(ödev!CZ68*100/ödev!$I68,"")</f>
        <v/>
      </c>
      <c r="CP472" s="39" t="str">
        <f>IFERROR(ödev!DA68*100/ödev!$I68,"")</f>
        <v/>
      </c>
      <c r="CQ472" s="39" t="str">
        <f>IFERROR(ödev!DB68*100/ödev!$I68,"")</f>
        <v/>
      </c>
      <c r="CR472" s="39" t="str">
        <f>IFERROR(ödev!DC68*100/ödev!$I68,"")</f>
        <v/>
      </c>
      <c r="CS472" s="39" t="str">
        <f>IFERROR(ödev!DD68*100/ödev!$I68,"")</f>
        <v/>
      </c>
      <c r="CT472" s="39" t="str">
        <f>IFERROR(ödev!DE68*100/ödev!$I68,"")</f>
        <v/>
      </c>
      <c r="CU472" s="39" t="str">
        <f>IFERROR(ödev!DF68*100/ödev!$I68,"")</f>
        <v/>
      </c>
      <c r="CV472" s="39" t="str">
        <f>IFERROR(ödev!DG68*100/ödev!$I68,"")</f>
        <v/>
      </c>
      <c r="CW472" s="36" t="str">
        <f>IFERROR(SUM(A472:CV472)/ödev!$DH$103,"")</f>
        <v/>
      </c>
      <c r="CX472" s="14" t="str">
        <f>IF(COUNTA(ödev!A68),ödev!A68,"")</f>
        <v/>
      </c>
      <c r="CY472" s="14" t="str">
        <f>IF(COUNTA(ödev!B68),ödev!B68,"")</f>
        <v/>
      </c>
      <c r="CZ472" s="14" t="str">
        <f>IF(COUNTA(ödev!C68),ödev!C68,"")</f>
        <v/>
      </c>
      <c r="DA472" s="14" t="str">
        <f>IF(COUNTA(ödev!D68),ödev!D68,"")</f>
        <v/>
      </c>
      <c r="DB472" s="14" t="str">
        <f>IF(COUNTA(ödev!E68),ödev!E68,"")</f>
        <v/>
      </c>
      <c r="DC472" s="14" t="str">
        <f>IF(COUNTA(ödev!F68),ödev!F68,"")</f>
        <v/>
      </c>
      <c r="DD472" s="14" t="str">
        <f>IF(COUNTA(ödev!G68),ödev!G68,"")</f>
        <v/>
      </c>
      <c r="DE472" s="14" t="str">
        <f>IF(COUNTA(ödev!H68),ödev!H68,"")</f>
        <v/>
      </c>
    </row>
    <row r="473" spans="1:109" x14ac:dyDescent="0.2">
      <c r="A473" s="39" t="str">
        <f>IFERROR(ödev!L69*100/ödev!$I69,"")</f>
        <v/>
      </c>
      <c r="B473" s="39" t="str">
        <f>IFERROR(ödev!M69*100/ödev!$I69,"")</f>
        <v/>
      </c>
      <c r="C473" s="39" t="str">
        <f>IFERROR(ödev!N69*100/ödev!$I69,"")</f>
        <v/>
      </c>
      <c r="D473" s="39" t="str">
        <f>IFERROR(ödev!O69*100/ödev!$I69,"")</f>
        <v/>
      </c>
      <c r="E473" s="39" t="str">
        <f>IFERROR(ödev!P69*100/ödev!$I69,"")</f>
        <v/>
      </c>
      <c r="F473" s="39" t="str">
        <f>IFERROR(ödev!Q69*100/ödev!$I69,"")</f>
        <v/>
      </c>
      <c r="G473" s="39" t="str">
        <f>IFERROR(ödev!R69*100/ödev!$I69,"")</f>
        <v/>
      </c>
      <c r="H473" s="39" t="str">
        <f>IFERROR(ödev!S69*100/ödev!$I69,"")</f>
        <v/>
      </c>
      <c r="I473" s="39" t="str">
        <f>IFERROR(ödev!T69*100/ödev!$I69,"")</f>
        <v/>
      </c>
      <c r="J473" s="39" t="str">
        <f>IFERROR(ödev!U69*100/ödev!$I69,"")</f>
        <v/>
      </c>
      <c r="K473" s="39" t="str">
        <f>IFERROR(ödev!V69*100/ödev!$I69,"")</f>
        <v/>
      </c>
      <c r="L473" s="39" t="str">
        <f>IFERROR(ödev!W69*100/ödev!$I69,"")</f>
        <v/>
      </c>
      <c r="M473" s="39" t="str">
        <f>IFERROR(ödev!X69*100/ödev!$I69,"")</f>
        <v/>
      </c>
      <c r="N473" s="39" t="str">
        <f>IFERROR(ödev!Y69*100/ödev!$I69,"")</f>
        <v/>
      </c>
      <c r="O473" s="39" t="str">
        <f>IFERROR(ödev!Z69*100/ödev!$I69,"")</f>
        <v/>
      </c>
      <c r="P473" s="39" t="str">
        <f>IFERROR(ödev!AA69*100/ödev!$I69,"")</f>
        <v/>
      </c>
      <c r="Q473" s="39" t="str">
        <f>IFERROR(ödev!AB69*100/ödev!$I69,"")</f>
        <v/>
      </c>
      <c r="R473" s="39" t="str">
        <f>IFERROR(ödev!AC69*100/ödev!$I69,"")</f>
        <v/>
      </c>
      <c r="S473" s="39" t="str">
        <f>IFERROR(ödev!AD69*100/ödev!$I69,"")</f>
        <v/>
      </c>
      <c r="T473" s="39" t="str">
        <f>IFERROR(ödev!AE69*100/ödev!$I69,"")</f>
        <v/>
      </c>
      <c r="U473" s="39" t="str">
        <f>IFERROR(ödev!AF69*100/ödev!$I69,"")</f>
        <v/>
      </c>
      <c r="V473" s="39" t="str">
        <f>IFERROR(ödev!AG69*100/ödev!$I69,"")</f>
        <v/>
      </c>
      <c r="W473" s="39" t="str">
        <f>IFERROR(ödev!AH69*100/ödev!$I69,"")</f>
        <v/>
      </c>
      <c r="X473" s="39" t="str">
        <f>IFERROR(ödev!AI69*100/ödev!$I69,"")</f>
        <v/>
      </c>
      <c r="Y473" s="39" t="str">
        <f>IFERROR(ödev!AJ69*100/ödev!$I69,"")</f>
        <v/>
      </c>
      <c r="Z473" s="39" t="str">
        <f>IFERROR(ödev!AK69*100/ödev!$I69,"")</f>
        <v/>
      </c>
      <c r="AA473" s="39" t="str">
        <f>IFERROR(ödev!AL69*100/ödev!$I69,"")</f>
        <v/>
      </c>
      <c r="AB473" s="39" t="str">
        <f>IFERROR(ödev!AM69*100/ödev!$I69,"")</f>
        <v/>
      </c>
      <c r="AC473" s="39" t="str">
        <f>IFERROR(ödev!AN69*100/ödev!$I69,"")</f>
        <v/>
      </c>
      <c r="AD473" s="39" t="str">
        <f>IFERROR(ödev!AO69*100/ödev!$I69,"")</f>
        <v/>
      </c>
      <c r="AE473" s="39" t="str">
        <f>IFERROR(ödev!AP69*100/ödev!$I69,"")</f>
        <v/>
      </c>
      <c r="AF473" s="39" t="str">
        <f>IFERROR(ödev!AQ69*100/ödev!$I69,"")</f>
        <v/>
      </c>
      <c r="AG473" s="39" t="str">
        <f>IFERROR(ödev!AR69*100/ödev!$I69,"")</f>
        <v/>
      </c>
      <c r="AH473" s="39" t="str">
        <f>IFERROR(ödev!AS69*100/ödev!$I69,"")</f>
        <v/>
      </c>
      <c r="AI473" s="39" t="str">
        <f>IFERROR(ödev!AT69*100/ödev!$I69,"")</f>
        <v/>
      </c>
      <c r="AJ473" s="39" t="str">
        <f>IFERROR(ödev!AU69*100/ödev!$I69,"")</f>
        <v/>
      </c>
      <c r="AK473" s="39" t="str">
        <f>IFERROR(ödev!AV69*100/ödev!$I69,"")</f>
        <v/>
      </c>
      <c r="AL473" s="39" t="str">
        <f>IFERROR(ödev!AW69*100/ödev!$I69,"")</f>
        <v/>
      </c>
      <c r="AM473" s="39" t="str">
        <f>IFERROR(ödev!AX69*100/ödev!$I69,"")</f>
        <v/>
      </c>
      <c r="AN473" s="39" t="str">
        <f>IFERROR(ödev!AY69*100/ödev!$I69,"")</f>
        <v/>
      </c>
      <c r="AO473" s="39" t="str">
        <f>IFERROR(ödev!AZ69*100/ödev!$I69,"")</f>
        <v/>
      </c>
      <c r="AP473" s="39" t="str">
        <f>IFERROR(ödev!BA69*100/ödev!$I69,"")</f>
        <v/>
      </c>
      <c r="AQ473" s="39" t="str">
        <f>IFERROR(ödev!BB69*100/ödev!$I69,"")</f>
        <v/>
      </c>
      <c r="AR473" s="39" t="str">
        <f>IFERROR(ödev!BC69*100/ödev!$I69,"")</f>
        <v/>
      </c>
      <c r="AS473" s="39" t="str">
        <f>IFERROR(ödev!BD69*100/ödev!$I69,"")</f>
        <v/>
      </c>
      <c r="AT473" s="39" t="str">
        <f>IFERROR(ödev!BE69*100/ödev!$I69,"")</f>
        <v/>
      </c>
      <c r="AU473" s="39" t="str">
        <f>IFERROR(ödev!BF69*100/ödev!$I69,"")</f>
        <v/>
      </c>
      <c r="AV473" s="39" t="str">
        <f>IFERROR(ödev!BG69*100/ödev!$I69,"")</f>
        <v/>
      </c>
      <c r="AW473" s="39" t="str">
        <f>IFERROR(ödev!BH69*100/ödev!$I69,"")</f>
        <v/>
      </c>
      <c r="AX473" s="39" t="str">
        <f>IFERROR(ödev!BI69*100/ödev!$I69,"")</f>
        <v/>
      </c>
      <c r="AY473" s="39" t="str">
        <f>IFERROR(ödev!BJ69*100/ödev!$I69,"")</f>
        <v/>
      </c>
      <c r="AZ473" s="39" t="str">
        <f>IFERROR(ödev!BK69*100/ödev!$I69,"")</f>
        <v/>
      </c>
      <c r="BA473" s="39" t="str">
        <f>IFERROR(ödev!BL69*100/ödev!$I69,"")</f>
        <v/>
      </c>
      <c r="BB473" s="39" t="str">
        <f>IFERROR(ödev!BM69*100/ödev!$I69,"")</f>
        <v/>
      </c>
      <c r="BC473" s="39" t="str">
        <f>IFERROR(ödev!BN69*100/ödev!$I69,"")</f>
        <v/>
      </c>
      <c r="BD473" s="39" t="str">
        <f>IFERROR(ödev!BO69*100/ödev!$I69,"")</f>
        <v/>
      </c>
      <c r="BE473" s="39" t="str">
        <f>IFERROR(ödev!BP69*100/ödev!$I69,"")</f>
        <v/>
      </c>
      <c r="BF473" s="39" t="str">
        <f>IFERROR(ödev!BQ69*100/ödev!$I69,"")</f>
        <v/>
      </c>
      <c r="BG473" s="39" t="str">
        <f>IFERROR(ödev!BR69*100/ödev!$I69,"")</f>
        <v/>
      </c>
      <c r="BH473" s="39" t="str">
        <f>IFERROR(ödev!BS69*100/ödev!$I69,"")</f>
        <v/>
      </c>
      <c r="BI473" s="39" t="str">
        <f>IFERROR(ödev!BT69*100/ödev!$I69,"")</f>
        <v/>
      </c>
      <c r="BJ473" s="39" t="str">
        <f>IFERROR(ödev!BU69*100/ödev!$I69,"")</f>
        <v/>
      </c>
      <c r="BK473" s="39" t="str">
        <f>IFERROR(ödev!BV69*100/ödev!$I69,"")</f>
        <v/>
      </c>
      <c r="BL473" s="39" t="str">
        <f>IFERROR(ödev!BW69*100/ödev!$I69,"")</f>
        <v/>
      </c>
      <c r="BM473" s="39" t="str">
        <f>IFERROR(ödev!BX69*100/ödev!$I69,"")</f>
        <v/>
      </c>
      <c r="BN473" s="39" t="str">
        <f>IFERROR(ödev!BY69*100/ödev!$I69,"")</f>
        <v/>
      </c>
      <c r="BO473" s="39" t="str">
        <f>IFERROR(ödev!BZ69*100/ödev!$I69,"")</f>
        <v/>
      </c>
      <c r="BP473" s="39" t="str">
        <f>IFERROR(ödev!CA69*100/ödev!$I69,"")</f>
        <v/>
      </c>
      <c r="BQ473" s="39" t="str">
        <f>IFERROR(ödev!CB69*100/ödev!$I69,"")</f>
        <v/>
      </c>
      <c r="BR473" s="39" t="str">
        <f>IFERROR(ödev!CC69*100/ödev!$I69,"")</f>
        <v/>
      </c>
      <c r="BS473" s="39" t="str">
        <f>IFERROR(ödev!CD69*100/ödev!$I69,"")</f>
        <v/>
      </c>
      <c r="BT473" s="39" t="str">
        <f>IFERROR(ödev!CE69*100/ödev!$I69,"")</f>
        <v/>
      </c>
      <c r="BU473" s="39" t="str">
        <f>IFERROR(ödev!CF69*100/ödev!$I69,"")</f>
        <v/>
      </c>
      <c r="BV473" s="39" t="str">
        <f>IFERROR(ödev!CG69*100/ödev!$I69,"")</f>
        <v/>
      </c>
      <c r="BW473" s="39" t="str">
        <f>IFERROR(ödev!CH69*100/ödev!$I69,"")</f>
        <v/>
      </c>
      <c r="BX473" s="39" t="str">
        <f>IFERROR(ödev!CI69*100/ödev!$I69,"")</f>
        <v/>
      </c>
      <c r="BY473" s="39" t="str">
        <f>IFERROR(ödev!CJ69*100/ödev!$I69,"")</f>
        <v/>
      </c>
      <c r="BZ473" s="39" t="str">
        <f>IFERROR(ödev!CK69*100/ödev!$I69,"")</f>
        <v/>
      </c>
      <c r="CA473" s="39" t="str">
        <f>IFERROR(ödev!CL69*100/ödev!$I69,"")</f>
        <v/>
      </c>
      <c r="CB473" s="39" t="str">
        <f>IFERROR(ödev!CM69*100/ödev!$I69,"")</f>
        <v/>
      </c>
      <c r="CC473" s="39" t="str">
        <f>IFERROR(ödev!CN69*100/ödev!$I69,"")</f>
        <v/>
      </c>
      <c r="CD473" s="39" t="str">
        <f>IFERROR(ödev!CO69*100/ödev!$I69,"")</f>
        <v/>
      </c>
      <c r="CE473" s="39" t="str">
        <f>IFERROR(ödev!CP69*100/ödev!$I69,"")</f>
        <v/>
      </c>
      <c r="CF473" s="39" t="str">
        <f>IFERROR(ödev!CQ69*100/ödev!$I69,"")</f>
        <v/>
      </c>
      <c r="CG473" s="39" t="str">
        <f>IFERROR(ödev!CR69*100/ödev!$I69,"")</f>
        <v/>
      </c>
      <c r="CH473" s="39" t="str">
        <f>IFERROR(ödev!CS69*100/ödev!$I69,"")</f>
        <v/>
      </c>
      <c r="CI473" s="39" t="str">
        <f>IFERROR(ödev!CT69*100/ödev!$I69,"")</f>
        <v/>
      </c>
      <c r="CJ473" s="39" t="str">
        <f>IFERROR(ödev!CU69*100/ödev!$I69,"")</f>
        <v/>
      </c>
      <c r="CK473" s="39" t="str">
        <f>IFERROR(ödev!CV69*100/ödev!$I69,"")</f>
        <v/>
      </c>
      <c r="CL473" s="39" t="str">
        <f>IFERROR(ödev!CW69*100/ödev!$I69,"")</f>
        <v/>
      </c>
      <c r="CM473" s="39" t="str">
        <f>IFERROR(ödev!CX69*100/ödev!$I69,"")</f>
        <v/>
      </c>
      <c r="CN473" s="39" t="str">
        <f>IFERROR(ödev!CY69*100/ödev!$I69,"")</f>
        <v/>
      </c>
      <c r="CO473" s="39" t="str">
        <f>IFERROR(ödev!CZ69*100/ödev!$I69,"")</f>
        <v/>
      </c>
      <c r="CP473" s="39" t="str">
        <f>IFERROR(ödev!DA69*100/ödev!$I69,"")</f>
        <v/>
      </c>
      <c r="CQ473" s="39" t="str">
        <f>IFERROR(ödev!DB69*100/ödev!$I69,"")</f>
        <v/>
      </c>
      <c r="CR473" s="39" t="str">
        <f>IFERROR(ödev!DC69*100/ödev!$I69,"")</f>
        <v/>
      </c>
      <c r="CS473" s="39" t="str">
        <f>IFERROR(ödev!DD69*100/ödev!$I69,"")</f>
        <v/>
      </c>
      <c r="CT473" s="39" t="str">
        <f>IFERROR(ödev!DE69*100/ödev!$I69,"")</f>
        <v/>
      </c>
      <c r="CU473" s="39" t="str">
        <f>IFERROR(ödev!DF69*100/ödev!$I69,"")</f>
        <v/>
      </c>
      <c r="CV473" s="39" t="str">
        <f>IFERROR(ödev!DG69*100/ödev!$I69,"")</f>
        <v/>
      </c>
      <c r="CW473" s="36" t="str">
        <f>IFERROR(SUM(A473:CV473)/ödev!$DH$103,"")</f>
        <v/>
      </c>
      <c r="CX473" s="14" t="str">
        <f>IF(COUNTA(ödev!A69),ödev!A69,"")</f>
        <v/>
      </c>
      <c r="CY473" s="14" t="str">
        <f>IF(COUNTA(ödev!B69),ödev!B69,"")</f>
        <v/>
      </c>
      <c r="CZ473" s="14" t="str">
        <f>IF(COUNTA(ödev!C69),ödev!C69,"")</f>
        <v/>
      </c>
      <c r="DA473" s="14" t="str">
        <f>IF(COUNTA(ödev!D69),ödev!D69,"")</f>
        <v/>
      </c>
      <c r="DB473" s="14" t="str">
        <f>IF(COUNTA(ödev!E69),ödev!E69,"")</f>
        <v/>
      </c>
      <c r="DC473" s="14" t="str">
        <f>IF(COUNTA(ödev!F69),ödev!F69,"")</f>
        <v/>
      </c>
      <c r="DD473" s="14" t="str">
        <f>IF(COUNTA(ödev!G69),ödev!G69,"")</f>
        <v/>
      </c>
      <c r="DE473" s="14" t="str">
        <f>IF(COUNTA(ödev!H69),ödev!H69,"")</f>
        <v/>
      </c>
    </row>
    <row r="474" spans="1:109" x14ac:dyDescent="0.2">
      <c r="A474" s="39" t="str">
        <f>IFERROR(ödev!L70*100/ödev!$I70,"")</f>
        <v/>
      </c>
      <c r="B474" s="39" t="str">
        <f>IFERROR(ödev!M70*100/ödev!$I70,"")</f>
        <v/>
      </c>
      <c r="C474" s="39" t="str">
        <f>IFERROR(ödev!N70*100/ödev!$I70,"")</f>
        <v/>
      </c>
      <c r="D474" s="39" t="str">
        <f>IFERROR(ödev!O70*100/ödev!$I70,"")</f>
        <v/>
      </c>
      <c r="E474" s="39" t="str">
        <f>IFERROR(ödev!P70*100/ödev!$I70,"")</f>
        <v/>
      </c>
      <c r="F474" s="39" t="str">
        <f>IFERROR(ödev!Q70*100/ödev!$I70,"")</f>
        <v/>
      </c>
      <c r="G474" s="39" t="str">
        <f>IFERROR(ödev!R70*100/ödev!$I70,"")</f>
        <v/>
      </c>
      <c r="H474" s="39" t="str">
        <f>IFERROR(ödev!S70*100/ödev!$I70,"")</f>
        <v/>
      </c>
      <c r="I474" s="39" t="str">
        <f>IFERROR(ödev!T70*100/ödev!$I70,"")</f>
        <v/>
      </c>
      <c r="J474" s="39" t="str">
        <f>IFERROR(ödev!U70*100/ödev!$I70,"")</f>
        <v/>
      </c>
      <c r="K474" s="39" t="str">
        <f>IFERROR(ödev!V70*100/ödev!$I70,"")</f>
        <v/>
      </c>
      <c r="L474" s="39" t="str">
        <f>IFERROR(ödev!W70*100/ödev!$I70,"")</f>
        <v/>
      </c>
      <c r="M474" s="39" t="str">
        <f>IFERROR(ödev!X70*100/ödev!$I70,"")</f>
        <v/>
      </c>
      <c r="N474" s="39" t="str">
        <f>IFERROR(ödev!Y70*100/ödev!$I70,"")</f>
        <v/>
      </c>
      <c r="O474" s="39" t="str">
        <f>IFERROR(ödev!Z70*100/ödev!$I70,"")</f>
        <v/>
      </c>
      <c r="P474" s="39" t="str">
        <f>IFERROR(ödev!AA70*100/ödev!$I70,"")</f>
        <v/>
      </c>
      <c r="Q474" s="39" t="str">
        <f>IFERROR(ödev!AB70*100/ödev!$I70,"")</f>
        <v/>
      </c>
      <c r="R474" s="39" t="str">
        <f>IFERROR(ödev!AC70*100/ödev!$I70,"")</f>
        <v/>
      </c>
      <c r="S474" s="39" t="str">
        <f>IFERROR(ödev!AD70*100/ödev!$I70,"")</f>
        <v/>
      </c>
      <c r="T474" s="39" t="str">
        <f>IFERROR(ödev!AE70*100/ödev!$I70,"")</f>
        <v/>
      </c>
      <c r="U474" s="39" t="str">
        <f>IFERROR(ödev!AF70*100/ödev!$I70,"")</f>
        <v/>
      </c>
      <c r="V474" s="39" t="str">
        <f>IFERROR(ödev!AG70*100/ödev!$I70,"")</f>
        <v/>
      </c>
      <c r="W474" s="39" t="str">
        <f>IFERROR(ödev!AH70*100/ödev!$I70,"")</f>
        <v/>
      </c>
      <c r="X474" s="39" t="str">
        <f>IFERROR(ödev!AI70*100/ödev!$I70,"")</f>
        <v/>
      </c>
      <c r="Y474" s="39" t="str">
        <f>IFERROR(ödev!AJ70*100/ödev!$I70,"")</f>
        <v/>
      </c>
      <c r="Z474" s="39" t="str">
        <f>IFERROR(ödev!AK70*100/ödev!$I70,"")</f>
        <v/>
      </c>
      <c r="AA474" s="39" t="str">
        <f>IFERROR(ödev!AL70*100/ödev!$I70,"")</f>
        <v/>
      </c>
      <c r="AB474" s="39" t="str">
        <f>IFERROR(ödev!AM70*100/ödev!$I70,"")</f>
        <v/>
      </c>
      <c r="AC474" s="39" t="str">
        <f>IFERROR(ödev!AN70*100/ödev!$I70,"")</f>
        <v/>
      </c>
      <c r="AD474" s="39" t="str">
        <f>IFERROR(ödev!AO70*100/ödev!$I70,"")</f>
        <v/>
      </c>
      <c r="AE474" s="39" t="str">
        <f>IFERROR(ödev!AP70*100/ödev!$I70,"")</f>
        <v/>
      </c>
      <c r="AF474" s="39" t="str">
        <f>IFERROR(ödev!AQ70*100/ödev!$I70,"")</f>
        <v/>
      </c>
      <c r="AG474" s="39" t="str">
        <f>IFERROR(ödev!AR70*100/ödev!$I70,"")</f>
        <v/>
      </c>
      <c r="AH474" s="39" t="str">
        <f>IFERROR(ödev!AS70*100/ödev!$I70,"")</f>
        <v/>
      </c>
      <c r="AI474" s="39" t="str">
        <f>IFERROR(ödev!AT70*100/ödev!$I70,"")</f>
        <v/>
      </c>
      <c r="AJ474" s="39" t="str">
        <f>IFERROR(ödev!AU70*100/ödev!$I70,"")</f>
        <v/>
      </c>
      <c r="AK474" s="39" t="str">
        <f>IFERROR(ödev!AV70*100/ödev!$I70,"")</f>
        <v/>
      </c>
      <c r="AL474" s="39" t="str">
        <f>IFERROR(ödev!AW70*100/ödev!$I70,"")</f>
        <v/>
      </c>
      <c r="AM474" s="39" t="str">
        <f>IFERROR(ödev!AX70*100/ödev!$I70,"")</f>
        <v/>
      </c>
      <c r="AN474" s="39" t="str">
        <f>IFERROR(ödev!AY70*100/ödev!$I70,"")</f>
        <v/>
      </c>
      <c r="AO474" s="39" t="str">
        <f>IFERROR(ödev!AZ70*100/ödev!$I70,"")</f>
        <v/>
      </c>
      <c r="AP474" s="39" t="str">
        <f>IFERROR(ödev!BA70*100/ödev!$I70,"")</f>
        <v/>
      </c>
      <c r="AQ474" s="39" t="str">
        <f>IFERROR(ödev!BB70*100/ödev!$I70,"")</f>
        <v/>
      </c>
      <c r="AR474" s="39" t="str">
        <f>IFERROR(ödev!BC70*100/ödev!$I70,"")</f>
        <v/>
      </c>
      <c r="AS474" s="39" t="str">
        <f>IFERROR(ödev!BD70*100/ödev!$I70,"")</f>
        <v/>
      </c>
      <c r="AT474" s="39" t="str">
        <f>IFERROR(ödev!BE70*100/ödev!$I70,"")</f>
        <v/>
      </c>
      <c r="AU474" s="39" t="str">
        <f>IFERROR(ödev!BF70*100/ödev!$I70,"")</f>
        <v/>
      </c>
      <c r="AV474" s="39" t="str">
        <f>IFERROR(ödev!BG70*100/ödev!$I70,"")</f>
        <v/>
      </c>
      <c r="AW474" s="39" t="str">
        <f>IFERROR(ödev!BH70*100/ödev!$I70,"")</f>
        <v/>
      </c>
      <c r="AX474" s="39" t="str">
        <f>IFERROR(ödev!BI70*100/ödev!$I70,"")</f>
        <v/>
      </c>
      <c r="AY474" s="39" t="str">
        <f>IFERROR(ödev!BJ70*100/ödev!$I70,"")</f>
        <v/>
      </c>
      <c r="AZ474" s="39" t="str">
        <f>IFERROR(ödev!BK70*100/ödev!$I70,"")</f>
        <v/>
      </c>
      <c r="BA474" s="39" t="str">
        <f>IFERROR(ödev!BL70*100/ödev!$I70,"")</f>
        <v/>
      </c>
      <c r="BB474" s="39" t="str">
        <f>IFERROR(ödev!BM70*100/ödev!$I70,"")</f>
        <v/>
      </c>
      <c r="BC474" s="39" t="str">
        <f>IFERROR(ödev!BN70*100/ödev!$I70,"")</f>
        <v/>
      </c>
      <c r="BD474" s="39" t="str">
        <f>IFERROR(ödev!BO70*100/ödev!$I70,"")</f>
        <v/>
      </c>
      <c r="BE474" s="39" t="str">
        <f>IFERROR(ödev!BP70*100/ödev!$I70,"")</f>
        <v/>
      </c>
      <c r="BF474" s="39" t="str">
        <f>IFERROR(ödev!BQ70*100/ödev!$I70,"")</f>
        <v/>
      </c>
      <c r="BG474" s="39" t="str">
        <f>IFERROR(ödev!BR70*100/ödev!$I70,"")</f>
        <v/>
      </c>
      <c r="BH474" s="39" t="str">
        <f>IFERROR(ödev!BS70*100/ödev!$I70,"")</f>
        <v/>
      </c>
      <c r="BI474" s="39" t="str">
        <f>IFERROR(ödev!BT70*100/ödev!$I70,"")</f>
        <v/>
      </c>
      <c r="BJ474" s="39" t="str">
        <f>IFERROR(ödev!BU70*100/ödev!$I70,"")</f>
        <v/>
      </c>
      <c r="BK474" s="39" t="str">
        <f>IFERROR(ödev!BV70*100/ödev!$I70,"")</f>
        <v/>
      </c>
      <c r="BL474" s="39" t="str">
        <f>IFERROR(ödev!BW70*100/ödev!$I70,"")</f>
        <v/>
      </c>
      <c r="BM474" s="39" t="str">
        <f>IFERROR(ödev!BX70*100/ödev!$I70,"")</f>
        <v/>
      </c>
      <c r="BN474" s="39" t="str">
        <f>IFERROR(ödev!BY70*100/ödev!$I70,"")</f>
        <v/>
      </c>
      <c r="BO474" s="39" t="str">
        <f>IFERROR(ödev!BZ70*100/ödev!$I70,"")</f>
        <v/>
      </c>
      <c r="BP474" s="39" t="str">
        <f>IFERROR(ödev!CA70*100/ödev!$I70,"")</f>
        <v/>
      </c>
      <c r="BQ474" s="39" t="str">
        <f>IFERROR(ödev!CB70*100/ödev!$I70,"")</f>
        <v/>
      </c>
      <c r="BR474" s="39" t="str">
        <f>IFERROR(ödev!CC70*100/ödev!$I70,"")</f>
        <v/>
      </c>
      <c r="BS474" s="39" t="str">
        <f>IFERROR(ödev!CD70*100/ödev!$I70,"")</f>
        <v/>
      </c>
      <c r="BT474" s="39" t="str">
        <f>IFERROR(ödev!CE70*100/ödev!$I70,"")</f>
        <v/>
      </c>
      <c r="BU474" s="39" t="str">
        <f>IFERROR(ödev!CF70*100/ödev!$I70,"")</f>
        <v/>
      </c>
      <c r="BV474" s="39" t="str">
        <f>IFERROR(ödev!CG70*100/ödev!$I70,"")</f>
        <v/>
      </c>
      <c r="BW474" s="39" t="str">
        <f>IFERROR(ödev!CH70*100/ödev!$I70,"")</f>
        <v/>
      </c>
      <c r="BX474" s="39" t="str">
        <f>IFERROR(ödev!CI70*100/ödev!$I70,"")</f>
        <v/>
      </c>
      <c r="BY474" s="39" t="str">
        <f>IFERROR(ödev!CJ70*100/ödev!$I70,"")</f>
        <v/>
      </c>
      <c r="BZ474" s="39" t="str">
        <f>IFERROR(ödev!CK70*100/ödev!$I70,"")</f>
        <v/>
      </c>
      <c r="CA474" s="39" t="str">
        <f>IFERROR(ödev!CL70*100/ödev!$I70,"")</f>
        <v/>
      </c>
      <c r="CB474" s="39" t="str">
        <f>IFERROR(ödev!CM70*100/ödev!$I70,"")</f>
        <v/>
      </c>
      <c r="CC474" s="39" t="str">
        <f>IFERROR(ödev!CN70*100/ödev!$I70,"")</f>
        <v/>
      </c>
      <c r="CD474" s="39" t="str">
        <f>IFERROR(ödev!CO70*100/ödev!$I70,"")</f>
        <v/>
      </c>
      <c r="CE474" s="39" t="str">
        <f>IFERROR(ödev!CP70*100/ödev!$I70,"")</f>
        <v/>
      </c>
      <c r="CF474" s="39" t="str">
        <f>IFERROR(ödev!CQ70*100/ödev!$I70,"")</f>
        <v/>
      </c>
      <c r="CG474" s="39" t="str">
        <f>IFERROR(ödev!CR70*100/ödev!$I70,"")</f>
        <v/>
      </c>
      <c r="CH474" s="39" t="str">
        <f>IFERROR(ödev!CS70*100/ödev!$I70,"")</f>
        <v/>
      </c>
      <c r="CI474" s="39" t="str">
        <f>IFERROR(ödev!CT70*100/ödev!$I70,"")</f>
        <v/>
      </c>
      <c r="CJ474" s="39" t="str">
        <f>IFERROR(ödev!CU70*100/ödev!$I70,"")</f>
        <v/>
      </c>
      <c r="CK474" s="39" t="str">
        <f>IFERROR(ödev!CV70*100/ödev!$I70,"")</f>
        <v/>
      </c>
      <c r="CL474" s="39" t="str">
        <f>IFERROR(ödev!CW70*100/ödev!$I70,"")</f>
        <v/>
      </c>
      <c r="CM474" s="39" t="str">
        <f>IFERROR(ödev!CX70*100/ödev!$I70,"")</f>
        <v/>
      </c>
      <c r="CN474" s="39" t="str">
        <f>IFERROR(ödev!CY70*100/ödev!$I70,"")</f>
        <v/>
      </c>
      <c r="CO474" s="39" t="str">
        <f>IFERROR(ödev!CZ70*100/ödev!$I70,"")</f>
        <v/>
      </c>
      <c r="CP474" s="39" t="str">
        <f>IFERROR(ödev!DA70*100/ödev!$I70,"")</f>
        <v/>
      </c>
      <c r="CQ474" s="39" t="str">
        <f>IFERROR(ödev!DB70*100/ödev!$I70,"")</f>
        <v/>
      </c>
      <c r="CR474" s="39" t="str">
        <f>IFERROR(ödev!DC70*100/ödev!$I70,"")</f>
        <v/>
      </c>
      <c r="CS474" s="39" t="str">
        <f>IFERROR(ödev!DD70*100/ödev!$I70,"")</f>
        <v/>
      </c>
      <c r="CT474" s="39" t="str">
        <f>IFERROR(ödev!DE70*100/ödev!$I70,"")</f>
        <v/>
      </c>
      <c r="CU474" s="39" t="str">
        <f>IFERROR(ödev!DF70*100/ödev!$I70,"")</f>
        <v/>
      </c>
      <c r="CV474" s="39" t="str">
        <f>IFERROR(ödev!DG70*100/ödev!$I70,"")</f>
        <v/>
      </c>
      <c r="CW474" s="36" t="str">
        <f>IFERROR(SUM(A474:CV474)/ödev!$DH$103,"")</f>
        <v/>
      </c>
      <c r="CX474" s="14" t="str">
        <f>IF(COUNTA(ödev!A70),ödev!A70,"")</f>
        <v/>
      </c>
      <c r="CY474" s="14" t="str">
        <f>IF(COUNTA(ödev!B70),ödev!B70,"")</f>
        <v/>
      </c>
      <c r="CZ474" s="14" t="str">
        <f>IF(COUNTA(ödev!C70),ödev!C70,"")</f>
        <v/>
      </c>
      <c r="DA474" s="14" t="str">
        <f>IF(COUNTA(ödev!D70),ödev!D70,"")</f>
        <v/>
      </c>
      <c r="DB474" s="14" t="str">
        <f>IF(COUNTA(ödev!E70),ödev!E70,"")</f>
        <v/>
      </c>
      <c r="DC474" s="14" t="str">
        <f>IF(COUNTA(ödev!F70),ödev!F70,"")</f>
        <v/>
      </c>
      <c r="DD474" s="14" t="str">
        <f>IF(COUNTA(ödev!G70),ödev!G70,"")</f>
        <v/>
      </c>
      <c r="DE474" s="14" t="str">
        <f>IF(COUNTA(ödev!H70),ödev!H70,"")</f>
        <v/>
      </c>
    </row>
    <row r="475" spans="1:109" x14ac:dyDescent="0.2">
      <c r="A475" s="39" t="str">
        <f>IFERROR(ödev!L71*100/ödev!$I71,"")</f>
        <v/>
      </c>
      <c r="B475" s="39" t="str">
        <f>IFERROR(ödev!M71*100/ödev!$I71,"")</f>
        <v/>
      </c>
      <c r="C475" s="39" t="str">
        <f>IFERROR(ödev!N71*100/ödev!$I71,"")</f>
        <v/>
      </c>
      <c r="D475" s="39" t="str">
        <f>IFERROR(ödev!O71*100/ödev!$I71,"")</f>
        <v/>
      </c>
      <c r="E475" s="39" t="str">
        <f>IFERROR(ödev!P71*100/ödev!$I71,"")</f>
        <v/>
      </c>
      <c r="F475" s="39" t="str">
        <f>IFERROR(ödev!Q71*100/ödev!$I71,"")</f>
        <v/>
      </c>
      <c r="G475" s="39" t="str">
        <f>IFERROR(ödev!R71*100/ödev!$I71,"")</f>
        <v/>
      </c>
      <c r="H475" s="39" t="str">
        <f>IFERROR(ödev!S71*100/ödev!$I71,"")</f>
        <v/>
      </c>
      <c r="I475" s="39" t="str">
        <f>IFERROR(ödev!T71*100/ödev!$I71,"")</f>
        <v/>
      </c>
      <c r="J475" s="39" t="str">
        <f>IFERROR(ödev!U71*100/ödev!$I71,"")</f>
        <v/>
      </c>
      <c r="K475" s="39" t="str">
        <f>IFERROR(ödev!V71*100/ödev!$I71,"")</f>
        <v/>
      </c>
      <c r="L475" s="39" t="str">
        <f>IFERROR(ödev!W71*100/ödev!$I71,"")</f>
        <v/>
      </c>
      <c r="M475" s="39" t="str">
        <f>IFERROR(ödev!X71*100/ödev!$I71,"")</f>
        <v/>
      </c>
      <c r="N475" s="39" t="str">
        <f>IFERROR(ödev!Y71*100/ödev!$I71,"")</f>
        <v/>
      </c>
      <c r="O475" s="39" t="str">
        <f>IFERROR(ödev!Z71*100/ödev!$I71,"")</f>
        <v/>
      </c>
      <c r="P475" s="39" t="str">
        <f>IFERROR(ödev!AA71*100/ödev!$I71,"")</f>
        <v/>
      </c>
      <c r="Q475" s="39" t="str">
        <f>IFERROR(ödev!AB71*100/ödev!$I71,"")</f>
        <v/>
      </c>
      <c r="R475" s="39" t="str">
        <f>IFERROR(ödev!AC71*100/ödev!$I71,"")</f>
        <v/>
      </c>
      <c r="S475" s="39" t="str">
        <f>IFERROR(ödev!AD71*100/ödev!$I71,"")</f>
        <v/>
      </c>
      <c r="T475" s="39" t="str">
        <f>IFERROR(ödev!AE71*100/ödev!$I71,"")</f>
        <v/>
      </c>
      <c r="U475" s="39" t="str">
        <f>IFERROR(ödev!AF71*100/ödev!$I71,"")</f>
        <v/>
      </c>
      <c r="V475" s="39" t="str">
        <f>IFERROR(ödev!AG71*100/ödev!$I71,"")</f>
        <v/>
      </c>
      <c r="W475" s="39" t="str">
        <f>IFERROR(ödev!AH71*100/ödev!$I71,"")</f>
        <v/>
      </c>
      <c r="X475" s="39" t="str">
        <f>IFERROR(ödev!AI71*100/ödev!$I71,"")</f>
        <v/>
      </c>
      <c r="Y475" s="39" t="str">
        <f>IFERROR(ödev!AJ71*100/ödev!$I71,"")</f>
        <v/>
      </c>
      <c r="Z475" s="39" t="str">
        <f>IFERROR(ödev!AK71*100/ödev!$I71,"")</f>
        <v/>
      </c>
      <c r="AA475" s="39" t="str">
        <f>IFERROR(ödev!AL71*100/ödev!$I71,"")</f>
        <v/>
      </c>
      <c r="AB475" s="39" t="str">
        <f>IFERROR(ödev!AM71*100/ödev!$I71,"")</f>
        <v/>
      </c>
      <c r="AC475" s="39" t="str">
        <f>IFERROR(ödev!AN71*100/ödev!$I71,"")</f>
        <v/>
      </c>
      <c r="AD475" s="39" t="str">
        <f>IFERROR(ödev!AO71*100/ödev!$I71,"")</f>
        <v/>
      </c>
      <c r="AE475" s="39" t="str">
        <f>IFERROR(ödev!AP71*100/ödev!$I71,"")</f>
        <v/>
      </c>
      <c r="AF475" s="39" t="str">
        <f>IFERROR(ödev!AQ71*100/ödev!$I71,"")</f>
        <v/>
      </c>
      <c r="AG475" s="39" t="str">
        <f>IFERROR(ödev!AR71*100/ödev!$I71,"")</f>
        <v/>
      </c>
      <c r="AH475" s="39" t="str">
        <f>IFERROR(ödev!AS71*100/ödev!$I71,"")</f>
        <v/>
      </c>
      <c r="AI475" s="39" t="str">
        <f>IFERROR(ödev!AT71*100/ödev!$I71,"")</f>
        <v/>
      </c>
      <c r="AJ475" s="39" t="str">
        <f>IFERROR(ödev!AU71*100/ödev!$I71,"")</f>
        <v/>
      </c>
      <c r="AK475" s="39" t="str">
        <f>IFERROR(ödev!AV71*100/ödev!$I71,"")</f>
        <v/>
      </c>
      <c r="AL475" s="39" t="str">
        <f>IFERROR(ödev!AW71*100/ödev!$I71,"")</f>
        <v/>
      </c>
      <c r="AM475" s="39" t="str">
        <f>IFERROR(ödev!AX71*100/ödev!$I71,"")</f>
        <v/>
      </c>
      <c r="AN475" s="39" t="str">
        <f>IFERROR(ödev!AY71*100/ödev!$I71,"")</f>
        <v/>
      </c>
      <c r="AO475" s="39" t="str">
        <f>IFERROR(ödev!AZ71*100/ödev!$I71,"")</f>
        <v/>
      </c>
      <c r="AP475" s="39" t="str">
        <f>IFERROR(ödev!BA71*100/ödev!$I71,"")</f>
        <v/>
      </c>
      <c r="AQ475" s="39" t="str">
        <f>IFERROR(ödev!BB71*100/ödev!$I71,"")</f>
        <v/>
      </c>
      <c r="AR475" s="39" t="str">
        <f>IFERROR(ödev!BC71*100/ödev!$I71,"")</f>
        <v/>
      </c>
      <c r="AS475" s="39" t="str">
        <f>IFERROR(ödev!BD71*100/ödev!$I71,"")</f>
        <v/>
      </c>
      <c r="AT475" s="39" t="str">
        <f>IFERROR(ödev!BE71*100/ödev!$I71,"")</f>
        <v/>
      </c>
      <c r="AU475" s="39" t="str">
        <f>IFERROR(ödev!BF71*100/ödev!$I71,"")</f>
        <v/>
      </c>
      <c r="AV475" s="39" t="str">
        <f>IFERROR(ödev!BG71*100/ödev!$I71,"")</f>
        <v/>
      </c>
      <c r="AW475" s="39" t="str">
        <f>IFERROR(ödev!BH71*100/ödev!$I71,"")</f>
        <v/>
      </c>
      <c r="AX475" s="39" t="str">
        <f>IFERROR(ödev!BI71*100/ödev!$I71,"")</f>
        <v/>
      </c>
      <c r="AY475" s="39" t="str">
        <f>IFERROR(ödev!BJ71*100/ödev!$I71,"")</f>
        <v/>
      </c>
      <c r="AZ475" s="39" t="str">
        <f>IFERROR(ödev!BK71*100/ödev!$I71,"")</f>
        <v/>
      </c>
      <c r="BA475" s="39" t="str">
        <f>IFERROR(ödev!BL71*100/ödev!$I71,"")</f>
        <v/>
      </c>
      <c r="BB475" s="39" t="str">
        <f>IFERROR(ödev!BM71*100/ödev!$I71,"")</f>
        <v/>
      </c>
      <c r="BC475" s="39" t="str">
        <f>IFERROR(ödev!BN71*100/ödev!$I71,"")</f>
        <v/>
      </c>
      <c r="BD475" s="39" t="str">
        <f>IFERROR(ödev!BO71*100/ödev!$I71,"")</f>
        <v/>
      </c>
      <c r="BE475" s="39" t="str">
        <f>IFERROR(ödev!BP71*100/ödev!$I71,"")</f>
        <v/>
      </c>
      <c r="BF475" s="39" t="str">
        <f>IFERROR(ödev!BQ71*100/ödev!$I71,"")</f>
        <v/>
      </c>
      <c r="BG475" s="39" t="str">
        <f>IFERROR(ödev!BR71*100/ödev!$I71,"")</f>
        <v/>
      </c>
      <c r="BH475" s="39" t="str">
        <f>IFERROR(ödev!BS71*100/ödev!$I71,"")</f>
        <v/>
      </c>
      <c r="BI475" s="39" t="str">
        <f>IFERROR(ödev!BT71*100/ödev!$I71,"")</f>
        <v/>
      </c>
      <c r="BJ475" s="39" t="str">
        <f>IFERROR(ödev!BU71*100/ödev!$I71,"")</f>
        <v/>
      </c>
      <c r="BK475" s="39" t="str">
        <f>IFERROR(ödev!BV71*100/ödev!$I71,"")</f>
        <v/>
      </c>
      <c r="BL475" s="39" t="str">
        <f>IFERROR(ödev!BW71*100/ödev!$I71,"")</f>
        <v/>
      </c>
      <c r="BM475" s="39" t="str">
        <f>IFERROR(ödev!BX71*100/ödev!$I71,"")</f>
        <v/>
      </c>
      <c r="BN475" s="39" t="str">
        <f>IFERROR(ödev!BY71*100/ödev!$I71,"")</f>
        <v/>
      </c>
      <c r="BO475" s="39" t="str">
        <f>IFERROR(ödev!BZ71*100/ödev!$I71,"")</f>
        <v/>
      </c>
      <c r="BP475" s="39" t="str">
        <f>IFERROR(ödev!CA71*100/ödev!$I71,"")</f>
        <v/>
      </c>
      <c r="BQ475" s="39" t="str">
        <f>IFERROR(ödev!CB71*100/ödev!$I71,"")</f>
        <v/>
      </c>
      <c r="BR475" s="39" t="str">
        <f>IFERROR(ödev!CC71*100/ödev!$I71,"")</f>
        <v/>
      </c>
      <c r="BS475" s="39" t="str">
        <f>IFERROR(ödev!CD71*100/ödev!$I71,"")</f>
        <v/>
      </c>
      <c r="BT475" s="39" t="str">
        <f>IFERROR(ödev!CE71*100/ödev!$I71,"")</f>
        <v/>
      </c>
      <c r="BU475" s="39" t="str">
        <f>IFERROR(ödev!CF71*100/ödev!$I71,"")</f>
        <v/>
      </c>
      <c r="BV475" s="39" t="str">
        <f>IFERROR(ödev!CG71*100/ödev!$I71,"")</f>
        <v/>
      </c>
      <c r="BW475" s="39" t="str">
        <f>IFERROR(ödev!CH71*100/ödev!$I71,"")</f>
        <v/>
      </c>
      <c r="BX475" s="39" t="str">
        <f>IFERROR(ödev!CI71*100/ödev!$I71,"")</f>
        <v/>
      </c>
      <c r="BY475" s="39" t="str">
        <f>IFERROR(ödev!CJ71*100/ödev!$I71,"")</f>
        <v/>
      </c>
      <c r="BZ475" s="39" t="str">
        <f>IFERROR(ödev!CK71*100/ödev!$I71,"")</f>
        <v/>
      </c>
      <c r="CA475" s="39" t="str">
        <f>IFERROR(ödev!CL71*100/ödev!$I71,"")</f>
        <v/>
      </c>
      <c r="CB475" s="39" t="str">
        <f>IFERROR(ödev!CM71*100/ödev!$I71,"")</f>
        <v/>
      </c>
      <c r="CC475" s="39" t="str">
        <f>IFERROR(ödev!CN71*100/ödev!$I71,"")</f>
        <v/>
      </c>
      <c r="CD475" s="39" t="str">
        <f>IFERROR(ödev!CO71*100/ödev!$I71,"")</f>
        <v/>
      </c>
      <c r="CE475" s="39" t="str">
        <f>IFERROR(ödev!CP71*100/ödev!$I71,"")</f>
        <v/>
      </c>
      <c r="CF475" s="39" t="str">
        <f>IFERROR(ödev!CQ71*100/ödev!$I71,"")</f>
        <v/>
      </c>
      <c r="CG475" s="39" t="str">
        <f>IFERROR(ödev!CR71*100/ödev!$I71,"")</f>
        <v/>
      </c>
      <c r="CH475" s="39" t="str">
        <f>IFERROR(ödev!CS71*100/ödev!$I71,"")</f>
        <v/>
      </c>
      <c r="CI475" s="39" t="str">
        <f>IFERROR(ödev!CT71*100/ödev!$I71,"")</f>
        <v/>
      </c>
      <c r="CJ475" s="39" t="str">
        <f>IFERROR(ödev!CU71*100/ödev!$I71,"")</f>
        <v/>
      </c>
      <c r="CK475" s="39" t="str">
        <f>IFERROR(ödev!CV71*100/ödev!$I71,"")</f>
        <v/>
      </c>
      <c r="CL475" s="39" t="str">
        <f>IFERROR(ödev!CW71*100/ödev!$I71,"")</f>
        <v/>
      </c>
      <c r="CM475" s="39" t="str">
        <f>IFERROR(ödev!CX71*100/ödev!$I71,"")</f>
        <v/>
      </c>
      <c r="CN475" s="39" t="str">
        <f>IFERROR(ödev!CY71*100/ödev!$I71,"")</f>
        <v/>
      </c>
      <c r="CO475" s="39" t="str">
        <f>IFERROR(ödev!CZ71*100/ödev!$I71,"")</f>
        <v/>
      </c>
      <c r="CP475" s="39" t="str">
        <f>IFERROR(ödev!DA71*100/ödev!$I71,"")</f>
        <v/>
      </c>
      <c r="CQ475" s="39" t="str">
        <f>IFERROR(ödev!DB71*100/ödev!$I71,"")</f>
        <v/>
      </c>
      <c r="CR475" s="39" t="str">
        <f>IFERROR(ödev!DC71*100/ödev!$I71,"")</f>
        <v/>
      </c>
      <c r="CS475" s="39" t="str">
        <f>IFERROR(ödev!DD71*100/ödev!$I71,"")</f>
        <v/>
      </c>
      <c r="CT475" s="39" t="str">
        <f>IFERROR(ödev!DE71*100/ödev!$I71,"")</f>
        <v/>
      </c>
      <c r="CU475" s="39" t="str">
        <f>IFERROR(ödev!DF71*100/ödev!$I71,"")</f>
        <v/>
      </c>
      <c r="CV475" s="39" t="str">
        <f>IFERROR(ödev!DG71*100/ödev!$I71,"")</f>
        <v/>
      </c>
      <c r="CW475" s="36" t="str">
        <f>IFERROR(SUM(A475:CV475)/ödev!$DH$103,"")</f>
        <v/>
      </c>
      <c r="CX475" s="14" t="str">
        <f>IF(COUNTA(ödev!A71),ödev!A71,"")</f>
        <v/>
      </c>
      <c r="CY475" s="14" t="str">
        <f>IF(COUNTA(ödev!B71),ödev!B71,"")</f>
        <v/>
      </c>
      <c r="CZ475" s="14" t="str">
        <f>IF(COUNTA(ödev!C71),ödev!C71,"")</f>
        <v/>
      </c>
      <c r="DA475" s="14" t="str">
        <f>IF(COUNTA(ödev!D71),ödev!D71,"")</f>
        <v/>
      </c>
      <c r="DB475" s="14" t="str">
        <f>IF(COUNTA(ödev!E71),ödev!E71,"")</f>
        <v/>
      </c>
      <c r="DC475" s="14" t="str">
        <f>IF(COUNTA(ödev!F71),ödev!F71,"")</f>
        <v/>
      </c>
      <c r="DD475" s="14" t="str">
        <f>IF(COUNTA(ödev!G71),ödev!G71,"")</f>
        <v/>
      </c>
      <c r="DE475" s="14" t="str">
        <f>IF(COUNTA(ödev!H71),ödev!H71,"")</f>
        <v/>
      </c>
    </row>
    <row r="476" spans="1:109" x14ac:dyDescent="0.2">
      <c r="A476" s="39" t="str">
        <f>IFERROR(ödev!L72*100/ödev!$I72,"")</f>
        <v/>
      </c>
      <c r="B476" s="39" t="str">
        <f>IFERROR(ödev!M72*100/ödev!$I72,"")</f>
        <v/>
      </c>
      <c r="C476" s="39" t="str">
        <f>IFERROR(ödev!N72*100/ödev!$I72,"")</f>
        <v/>
      </c>
      <c r="D476" s="39" t="str">
        <f>IFERROR(ödev!O72*100/ödev!$I72,"")</f>
        <v/>
      </c>
      <c r="E476" s="39" t="str">
        <f>IFERROR(ödev!P72*100/ödev!$I72,"")</f>
        <v/>
      </c>
      <c r="F476" s="39" t="str">
        <f>IFERROR(ödev!Q72*100/ödev!$I72,"")</f>
        <v/>
      </c>
      <c r="G476" s="39" t="str">
        <f>IFERROR(ödev!R72*100/ödev!$I72,"")</f>
        <v/>
      </c>
      <c r="H476" s="39" t="str">
        <f>IFERROR(ödev!S72*100/ödev!$I72,"")</f>
        <v/>
      </c>
      <c r="I476" s="39" t="str">
        <f>IFERROR(ödev!T72*100/ödev!$I72,"")</f>
        <v/>
      </c>
      <c r="J476" s="39" t="str">
        <f>IFERROR(ödev!U72*100/ödev!$I72,"")</f>
        <v/>
      </c>
      <c r="K476" s="39" t="str">
        <f>IFERROR(ödev!V72*100/ödev!$I72,"")</f>
        <v/>
      </c>
      <c r="L476" s="39" t="str">
        <f>IFERROR(ödev!W72*100/ödev!$I72,"")</f>
        <v/>
      </c>
      <c r="M476" s="39" t="str">
        <f>IFERROR(ödev!X72*100/ödev!$I72,"")</f>
        <v/>
      </c>
      <c r="N476" s="39" t="str">
        <f>IFERROR(ödev!Y72*100/ödev!$I72,"")</f>
        <v/>
      </c>
      <c r="O476" s="39" t="str">
        <f>IFERROR(ödev!Z72*100/ödev!$I72,"")</f>
        <v/>
      </c>
      <c r="P476" s="39" t="str">
        <f>IFERROR(ödev!AA72*100/ödev!$I72,"")</f>
        <v/>
      </c>
      <c r="Q476" s="39" t="str">
        <f>IFERROR(ödev!AB72*100/ödev!$I72,"")</f>
        <v/>
      </c>
      <c r="R476" s="39" t="str">
        <f>IFERROR(ödev!AC72*100/ödev!$I72,"")</f>
        <v/>
      </c>
      <c r="S476" s="39" t="str">
        <f>IFERROR(ödev!AD72*100/ödev!$I72,"")</f>
        <v/>
      </c>
      <c r="T476" s="39" t="str">
        <f>IFERROR(ödev!AE72*100/ödev!$I72,"")</f>
        <v/>
      </c>
      <c r="U476" s="39" t="str">
        <f>IFERROR(ödev!AF72*100/ödev!$I72,"")</f>
        <v/>
      </c>
      <c r="V476" s="39" t="str">
        <f>IFERROR(ödev!AG72*100/ödev!$I72,"")</f>
        <v/>
      </c>
      <c r="W476" s="39" t="str">
        <f>IFERROR(ödev!AH72*100/ödev!$I72,"")</f>
        <v/>
      </c>
      <c r="X476" s="39" t="str">
        <f>IFERROR(ödev!AI72*100/ödev!$I72,"")</f>
        <v/>
      </c>
      <c r="Y476" s="39" t="str">
        <f>IFERROR(ödev!AJ72*100/ödev!$I72,"")</f>
        <v/>
      </c>
      <c r="Z476" s="39" t="str">
        <f>IFERROR(ödev!AK72*100/ödev!$I72,"")</f>
        <v/>
      </c>
      <c r="AA476" s="39" t="str">
        <f>IFERROR(ödev!AL72*100/ödev!$I72,"")</f>
        <v/>
      </c>
      <c r="AB476" s="39" t="str">
        <f>IFERROR(ödev!AM72*100/ödev!$I72,"")</f>
        <v/>
      </c>
      <c r="AC476" s="39" t="str">
        <f>IFERROR(ödev!AN72*100/ödev!$I72,"")</f>
        <v/>
      </c>
      <c r="AD476" s="39" t="str">
        <f>IFERROR(ödev!AO72*100/ödev!$I72,"")</f>
        <v/>
      </c>
      <c r="AE476" s="39" t="str">
        <f>IFERROR(ödev!AP72*100/ödev!$I72,"")</f>
        <v/>
      </c>
      <c r="AF476" s="39" t="str">
        <f>IFERROR(ödev!AQ72*100/ödev!$I72,"")</f>
        <v/>
      </c>
      <c r="AG476" s="39" t="str">
        <f>IFERROR(ödev!AR72*100/ödev!$I72,"")</f>
        <v/>
      </c>
      <c r="AH476" s="39" t="str">
        <f>IFERROR(ödev!AS72*100/ödev!$I72,"")</f>
        <v/>
      </c>
      <c r="AI476" s="39" t="str">
        <f>IFERROR(ödev!AT72*100/ödev!$I72,"")</f>
        <v/>
      </c>
      <c r="AJ476" s="39" t="str">
        <f>IFERROR(ödev!AU72*100/ödev!$I72,"")</f>
        <v/>
      </c>
      <c r="AK476" s="39" t="str">
        <f>IFERROR(ödev!AV72*100/ödev!$I72,"")</f>
        <v/>
      </c>
      <c r="AL476" s="39" t="str">
        <f>IFERROR(ödev!AW72*100/ödev!$I72,"")</f>
        <v/>
      </c>
      <c r="AM476" s="39" t="str">
        <f>IFERROR(ödev!AX72*100/ödev!$I72,"")</f>
        <v/>
      </c>
      <c r="AN476" s="39" t="str">
        <f>IFERROR(ödev!AY72*100/ödev!$I72,"")</f>
        <v/>
      </c>
      <c r="AO476" s="39" t="str">
        <f>IFERROR(ödev!AZ72*100/ödev!$I72,"")</f>
        <v/>
      </c>
      <c r="AP476" s="39" t="str">
        <f>IFERROR(ödev!BA72*100/ödev!$I72,"")</f>
        <v/>
      </c>
      <c r="AQ476" s="39" t="str">
        <f>IFERROR(ödev!BB72*100/ödev!$I72,"")</f>
        <v/>
      </c>
      <c r="AR476" s="39" t="str">
        <f>IFERROR(ödev!BC72*100/ödev!$I72,"")</f>
        <v/>
      </c>
      <c r="AS476" s="39" t="str">
        <f>IFERROR(ödev!BD72*100/ödev!$I72,"")</f>
        <v/>
      </c>
      <c r="AT476" s="39" t="str">
        <f>IFERROR(ödev!BE72*100/ödev!$I72,"")</f>
        <v/>
      </c>
      <c r="AU476" s="39" t="str">
        <f>IFERROR(ödev!BF72*100/ödev!$I72,"")</f>
        <v/>
      </c>
      <c r="AV476" s="39" t="str">
        <f>IFERROR(ödev!BG72*100/ödev!$I72,"")</f>
        <v/>
      </c>
      <c r="AW476" s="39" t="str">
        <f>IFERROR(ödev!BH72*100/ödev!$I72,"")</f>
        <v/>
      </c>
      <c r="AX476" s="39" t="str">
        <f>IFERROR(ödev!BI72*100/ödev!$I72,"")</f>
        <v/>
      </c>
      <c r="AY476" s="39" t="str">
        <f>IFERROR(ödev!BJ72*100/ödev!$I72,"")</f>
        <v/>
      </c>
      <c r="AZ476" s="39" t="str">
        <f>IFERROR(ödev!BK72*100/ödev!$I72,"")</f>
        <v/>
      </c>
      <c r="BA476" s="39" t="str">
        <f>IFERROR(ödev!BL72*100/ödev!$I72,"")</f>
        <v/>
      </c>
      <c r="BB476" s="39" t="str">
        <f>IFERROR(ödev!BM72*100/ödev!$I72,"")</f>
        <v/>
      </c>
      <c r="BC476" s="39" t="str">
        <f>IFERROR(ödev!BN72*100/ödev!$I72,"")</f>
        <v/>
      </c>
      <c r="BD476" s="39" t="str">
        <f>IFERROR(ödev!BO72*100/ödev!$I72,"")</f>
        <v/>
      </c>
      <c r="BE476" s="39" t="str">
        <f>IFERROR(ödev!BP72*100/ödev!$I72,"")</f>
        <v/>
      </c>
      <c r="BF476" s="39" t="str">
        <f>IFERROR(ödev!BQ72*100/ödev!$I72,"")</f>
        <v/>
      </c>
      <c r="BG476" s="39" t="str">
        <f>IFERROR(ödev!BR72*100/ödev!$I72,"")</f>
        <v/>
      </c>
      <c r="BH476" s="39" t="str">
        <f>IFERROR(ödev!BS72*100/ödev!$I72,"")</f>
        <v/>
      </c>
      <c r="BI476" s="39" t="str">
        <f>IFERROR(ödev!BT72*100/ödev!$I72,"")</f>
        <v/>
      </c>
      <c r="BJ476" s="39" t="str">
        <f>IFERROR(ödev!BU72*100/ödev!$I72,"")</f>
        <v/>
      </c>
      <c r="BK476" s="39" t="str">
        <f>IFERROR(ödev!BV72*100/ödev!$I72,"")</f>
        <v/>
      </c>
      <c r="BL476" s="39" t="str">
        <f>IFERROR(ödev!BW72*100/ödev!$I72,"")</f>
        <v/>
      </c>
      <c r="BM476" s="39" t="str">
        <f>IFERROR(ödev!BX72*100/ödev!$I72,"")</f>
        <v/>
      </c>
      <c r="BN476" s="39" t="str">
        <f>IFERROR(ödev!BY72*100/ödev!$I72,"")</f>
        <v/>
      </c>
      <c r="BO476" s="39" t="str">
        <f>IFERROR(ödev!BZ72*100/ödev!$I72,"")</f>
        <v/>
      </c>
      <c r="BP476" s="39" t="str">
        <f>IFERROR(ödev!CA72*100/ödev!$I72,"")</f>
        <v/>
      </c>
      <c r="BQ476" s="39" t="str">
        <f>IFERROR(ödev!CB72*100/ödev!$I72,"")</f>
        <v/>
      </c>
      <c r="BR476" s="39" t="str">
        <f>IFERROR(ödev!CC72*100/ödev!$I72,"")</f>
        <v/>
      </c>
      <c r="BS476" s="39" t="str">
        <f>IFERROR(ödev!CD72*100/ödev!$I72,"")</f>
        <v/>
      </c>
      <c r="BT476" s="39" t="str">
        <f>IFERROR(ödev!CE72*100/ödev!$I72,"")</f>
        <v/>
      </c>
      <c r="BU476" s="39" t="str">
        <f>IFERROR(ödev!CF72*100/ödev!$I72,"")</f>
        <v/>
      </c>
      <c r="BV476" s="39" t="str">
        <f>IFERROR(ödev!CG72*100/ödev!$I72,"")</f>
        <v/>
      </c>
      <c r="BW476" s="39" t="str">
        <f>IFERROR(ödev!CH72*100/ödev!$I72,"")</f>
        <v/>
      </c>
      <c r="BX476" s="39" t="str">
        <f>IFERROR(ödev!CI72*100/ödev!$I72,"")</f>
        <v/>
      </c>
      <c r="BY476" s="39" t="str">
        <f>IFERROR(ödev!CJ72*100/ödev!$I72,"")</f>
        <v/>
      </c>
      <c r="BZ476" s="39" t="str">
        <f>IFERROR(ödev!CK72*100/ödev!$I72,"")</f>
        <v/>
      </c>
      <c r="CA476" s="39" t="str">
        <f>IFERROR(ödev!CL72*100/ödev!$I72,"")</f>
        <v/>
      </c>
      <c r="CB476" s="39" t="str">
        <f>IFERROR(ödev!CM72*100/ödev!$I72,"")</f>
        <v/>
      </c>
      <c r="CC476" s="39" t="str">
        <f>IFERROR(ödev!CN72*100/ödev!$I72,"")</f>
        <v/>
      </c>
      <c r="CD476" s="39" t="str">
        <f>IFERROR(ödev!CO72*100/ödev!$I72,"")</f>
        <v/>
      </c>
      <c r="CE476" s="39" t="str">
        <f>IFERROR(ödev!CP72*100/ödev!$I72,"")</f>
        <v/>
      </c>
      <c r="CF476" s="39" t="str">
        <f>IFERROR(ödev!CQ72*100/ödev!$I72,"")</f>
        <v/>
      </c>
      <c r="CG476" s="39" t="str">
        <f>IFERROR(ödev!CR72*100/ödev!$I72,"")</f>
        <v/>
      </c>
      <c r="CH476" s="39" t="str">
        <f>IFERROR(ödev!CS72*100/ödev!$I72,"")</f>
        <v/>
      </c>
      <c r="CI476" s="39" t="str">
        <f>IFERROR(ödev!CT72*100/ödev!$I72,"")</f>
        <v/>
      </c>
      <c r="CJ476" s="39" t="str">
        <f>IFERROR(ödev!CU72*100/ödev!$I72,"")</f>
        <v/>
      </c>
      <c r="CK476" s="39" t="str">
        <f>IFERROR(ödev!CV72*100/ödev!$I72,"")</f>
        <v/>
      </c>
      <c r="CL476" s="39" t="str">
        <f>IFERROR(ödev!CW72*100/ödev!$I72,"")</f>
        <v/>
      </c>
      <c r="CM476" s="39" t="str">
        <f>IFERROR(ödev!CX72*100/ödev!$I72,"")</f>
        <v/>
      </c>
      <c r="CN476" s="39" t="str">
        <f>IFERROR(ödev!CY72*100/ödev!$I72,"")</f>
        <v/>
      </c>
      <c r="CO476" s="39" t="str">
        <f>IFERROR(ödev!CZ72*100/ödev!$I72,"")</f>
        <v/>
      </c>
      <c r="CP476" s="39" t="str">
        <f>IFERROR(ödev!DA72*100/ödev!$I72,"")</f>
        <v/>
      </c>
      <c r="CQ476" s="39" t="str">
        <f>IFERROR(ödev!DB72*100/ödev!$I72,"")</f>
        <v/>
      </c>
      <c r="CR476" s="39" t="str">
        <f>IFERROR(ödev!DC72*100/ödev!$I72,"")</f>
        <v/>
      </c>
      <c r="CS476" s="39" t="str">
        <f>IFERROR(ödev!DD72*100/ödev!$I72,"")</f>
        <v/>
      </c>
      <c r="CT476" s="39" t="str">
        <f>IFERROR(ödev!DE72*100/ödev!$I72,"")</f>
        <v/>
      </c>
      <c r="CU476" s="39" t="str">
        <f>IFERROR(ödev!DF72*100/ödev!$I72,"")</f>
        <v/>
      </c>
      <c r="CV476" s="39" t="str">
        <f>IFERROR(ödev!DG72*100/ödev!$I72,"")</f>
        <v/>
      </c>
      <c r="CW476" s="36" t="str">
        <f>IFERROR(SUM(A476:CV476)/ödev!$DH$103,"")</f>
        <v/>
      </c>
      <c r="CX476" s="14" t="str">
        <f>IF(COUNTA(ödev!A72),ödev!A72,"")</f>
        <v/>
      </c>
      <c r="CY476" s="14" t="str">
        <f>IF(COUNTA(ödev!B72),ödev!B72,"")</f>
        <v/>
      </c>
      <c r="CZ476" s="14" t="str">
        <f>IF(COUNTA(ödev!C72),ödev!C72,"")</f>
        <v/>
      </c>
      <c r="DA476" s="14" t="str">
        <f>IF(COUNTA(ödev!D72),ödev!D72,"")</f>
        <v/>
      </c>
      <c r="DB476" s="14" t="str">
        <f>IF(COUNTA(ödev!E72),ödev!E72,"")</f>
        <v/>
      </c>
      <c r="DC476" s="14" t="str">
        <f>IF(COUNTA(ödev!F72),ödev!F72,"")</f>
        <v/>
      </c>
      <c r="DD476" s="14" t="str">
        <f>IF(COUNTA(ödev!G72),ödev!G72,"")</f>
        <v/>
      </c>
      <c r="DE476" s="14" t="str">
        <f>IF(COUNTA(ödev!H72),ödev!H72,"")</f>
        <v/>
      </c>
    </row>
    <row r="477" spans="1:109" x14ac:dyDescent="0.2">
      <c r="A477" s="39" t="str">
        <f>IFERROR(ödev!L73*100/ödev!$I73,"")</f>
        <v/>
      </c>
      <c r="B477" s="39" t="str">
        <f>IFERROR(ödev!M73*100/ödev!$I73,"")</f>
        <v/>
      </c>
      <c r="C477" s="39" t="str">
        <f>IFERROR(ödev!N73*100/ödev!$I73,"")</f>
        <v/>
      </c>
      <c r="D477" s="39" t="str">
        <f>IFERROR(ödev!O73*100/ödev!$I73,"")</f>
        <v/>
      </c>
      <c r="E477" s="39" t="str">
        <f>IFERROR(ödev!P73*100/ödev!$I73,"")</f>
        <v/>
      </c>
      <c r="F477" s="39" t="str">
        <f>IFERROR(ödev!Q73*100/ödev!$I73,"")</f>
        <v/>
      </c>
      <c r="G477" s="39" t="str">
        <f>IFERROR(ödev!R73*100/ödev!$I73,"")</f>
        <v/>
      </c>
      <c r="H477" s="39" t="str">
        <f>IFERROR(ödev!S73*100/ödev!$I73,"")</f>
        <v/>
      </c>
      <c r="I477" s="39" t="str">
        <f>IFERROR(ödev!T73*100/ödev!$I73,"")</f>
        <v/>
      </c>
      <c r="J477" s="39" t="str">
        <f>IFERROR(ödev!U73*100/ödev!$I73,"")</f>
        <v/>
      </c>
      <c r="K477" s="39" t="str">
        <f>IFERROR(ödev!V73*100/ödev!$I73,"")</f>
        <v/>
      </c>
      <c r="L477" s="39" t="str">
        <f>IFERROR(ödev!W73*100/ödev!$I73,"")</f>
        <v/>
      </c>
      <c r="M477" s="39" t="str">
        <f>IFERROR(ödev!X73*100/ödev!$I73,"")</f>
        <v/>
      </c>
      <c r="N477" s="39" t="str">
        <f>IFERROR(ödev!Y73*100/ödev!$I73,"")</f>
        <v/>
      </c>
      <c r="O477" s="39" t="str">
        <f>IFERROR(ödev!Z73*100/ödev!$I73,"")</f>
        <v/>
      </c>
      <c r="P477" s="39" t="str">
        <f>IFERROR(ödev!AA73*100/ödev!$I73,"")</f>
        <v/>
      </c>
      <c r="Q477" s="39" t="str">
        <f>IFERROR(ödev!AB73*100/ödev!$I73,"")</f>
        <v/>
      </c>
      <c r="R477" s="39" t="str">
        <f>IFERROR(ödev!AC73*100/ödev!$I73,"")</f>
        <v/>
      </c>
      <c r="S477" s="39" t="str">
        <f>IFERROR(ödev!AD73*100/ödev!$I73,"")</f>
        <v/>
      </c>
      <c r="T477" s="39" t="str">
        <f>IFERROR(ödev!AE73*100/ödev!$I73,"")</f>
        <v/>
      </c>
      <c r="U477" s="39" t="str">
        <f>IFERROR(ödev!AF73*100/ödev!$I73,"")</f>
        <v/>
      </c>
      <c r="V477" s="39" t="str">
        <f>IFERROR(ödev!AG73*100/ödev!$I73,"")</f>
        <v/>
      </c>
      <c r="W477" s="39" t="str">
        <f>IFERROR(ödev!AH73*100/ödev!$I73,"")</f>
        <v/>
      </c>
      <c r="X477" s="39" t="str">
        <f>IFERROR(ödev!AI73*100/ödev!$I73,"")</f>
        <v/>
      </c>
      <c r="Y477" s="39" t="str">
        <f>IFERROR(ödev!AJ73*100/ödev!$I73,"")</f>
        <v/>
      </c>
      <c r="Z477" s="39" t="str">
        <f>IFERROR(ödev!AK73*100/ödev!$I73,"")</f>
        <v/>
      </c>
      <c r="AA477" s="39" t="str">
        <f>IFERROR(ödev!AL73*100/ödev!$I73,"")</f>
        <v/>
      </c>
      <c r="AB477" s="39" t="str">
        <f>IFERROR(ödev!AM73*100/ödev!$I73,"")</f>
        <v/>
      </c>
      <c r="AC477" s="39" t="str">
        <f>IFERROR(ödev!AN73*100/ödev!$I73,"")</f>
        <v/>
      </c>
      <c r="AD477" s="39" t="str">
        <f>IFERROR(ödev!AO73*100/ödev!$I73,"")</f>
        <v/>
      </c>
      <c r="AE477" s="39" t="str">
        <f>IFERROR(ödev!AP73*100/ödev!$I73,"")</f>
        <v/>
      </c>
      <c r="AF477" s="39" t="str">
        <f>IFERROR(ödev!AQ73*100/ödev!$I73,"")</f>
        <v/>
      </c>
      <c r="AG477" s="39" t="str">
        <f>IFERROR(ödev!AR73*100/ödev!$I73,"")</f>
        <v/>
      </c>
      <c r="AH477" s="39" t="str">
        <f>IFERROR(ödev!AS73*100/ödev!$I73,"")</f>
        <v/>
      </c>
      <c r="AI477" s="39" t="str">
        <f>IFERROR(ödev!AT73*100/ödev!$I73,"")</f>
        <v/>
      </c>
      <c r="AJ477" s="39" t="str">
        <f>IFERROR(ödev!AU73*100/ödev!$I73,"")</f>
        <v/>
      </c>
      <c r="AK477" s="39" t="str">
        <f>IFERROR(ödev!AV73*100/ödev!$I73,"")</f>
        <v/>
      </c>
      <c r="AL477" s="39" t="str">
        <f>IFERROR(ödev!AW73*100/ödev!$I73,"")</f>
        <v/>
      </c>
      <c r="AM477" s="39" t="str">
        <f>IFERROR(ödev!AX73*100/ödev!$I73,"")</f>
        <v/>
      </c>
      <c r="AN477" s="39" t="str">
        <f>IFERROR(ödev!AY73*100/ödev!$I73,"")</f>
        <v/>
      </c>
      <c r="AO477" s="39" t="str">
        <f>IFERROR(ödev!AZ73*100/ödev!$I73,"")</f>
        <v/>
      </c>
      <c r="AP477" s="39" t="str">
        <f>IFERROR(ödev!BA73*100/ödev!$I73,"")</f>
        <v/>
      </c>
      <c r="AQ477" s="39" t="str">
        <f>IFERROR(ödev!BB73*100/ödev!$I73,"")</f>
        <v/>
      </c>
      <c r="AR477" s="39" t="str">
        <f>IFERROR(ödev!BC73*100/ödev!$I73,"")</f>
        <v/>
      </c>
      <c r="AS477" s="39" t="str">
        <f>IFERROR(ödev!BD73*100/ödev!$I73,"")</f>
        <v/>
      </c>
      <c r="AT477" s="39" t="str">
        <f>IFERROR(ödev!BE73*100/ödev!$I73,"")</f>
        <v/>
      </c>
      <c r="AU477" s="39" t="str">
        <f>IFERROR(ödev!BF73*100/ödev!$I73,"")</f>
        <v/>
      </c>
      <c r="AV477" s="39" t="str">
        <f>IFERROR(ödev!BG73*100/ödev!$I73,"")</f>
        <v/>
      </c>
      <c r="AW477" s="39" t="str">
        <f>IFERROR(ödev!BH73*100/ödev!$I73,"")</f>
        <v/>
      </c>
      <c r="AX477" s="39" t="str">
        <f>IFERROR(ödev!BI73*100/ödev!$I73,"")</f>
        <v/>
      </c>
      <c r="AY477" s="39" t="str">
        <f>IFERROR(ödev!BJ73*100/ödev!$I73,"")</f>
        <v/>
      </c>
      <c r="AZ477" s="39" t="str">
        <f>IFERROR(ödev!BK73*100/ödev!$I73,"")</f>
        <v/>
      </c>
      <c r="BA477" s="39" t="str">
        <f>IFERROR(ödev!BL73*100/ödev!$I73,"")</f>
        <v/>
      </c>
      <c r="BB477" s="39" t="str">
        <f>IFERROR(ödev!BM73*100/ödev!$I73,"")</f>
        <v/>
      </c>
      <c r="BC477" s="39" t="str">
        <f>IFERROR(ödev!BN73*100/ödev!$I73,"")</f>
        <v/>
      </c>
      <c r="BD477" s="39" t="str">
        <f>IFERROR(ödev!BO73*100/ödev!$I73,"")</f>
        <v/>
      </c>
      <c r="BE477" s="39" t="str">
        <f>IFERROR(ödev!BP73*100/ödev!$I73,"")</f>
        <v/>
      </c>
      <c r="BF477" s="39" t="str">
        <f>IFERROR(ödev!BQ73*100/ödev!$I73,"")</f>
        <v/>
      </c>
      <c r="BG477" s="39" t="str">
        <f>IFERROR(ödev!BR73*100/ödev!$I73,"")</f>
        <v/>
      </c>
      <c r="BH477" s="39" t="str">
        <f>IFERROR(ödev!BS73*100/ödev!$I73,"")</f>
        <v/>
      </c>
      <c r="BI477" s="39" t="str">
        <f>IFERROR(ödev!BT73*100/ödev!$I73,"")</f>
        <v/>
      </c>
      <c r="BJ477" s="39" t="str">
        <f>IFERROR(ödev!BU73*100/ödev!$I73,"")</f>
        <v/>
      </c>
      <c r="BK477" s="39" t="str">
        <f>IFERROR(ödev!BV73*100/ödev!$I73,"")</f>
        <v/>
      </c>
      <c r="BL477" s="39" t="str">
        <f>IFERROR(ödev!BW73*100/ödev!$I73,"")</f>
        <v/>
      </c>
      <c r="BM477" s="39" t="str">
        <f>IFERROR(ödev!BX73*100/ödev!$I73,"")</f>
        <v/>
      </c>
      <c r="BN477" s="39" t="str">
        <f>IFERROR(ödev!BY73*100/ödev!$I73,"")</f>
        <v/>
      </c>
      <c r="BO477" s="39" t="str">
        <f>IFERROR(ödev!BZ73*100/ödev!$I73,"")</f>
        <v/>
      </c>
      <c r="BP477" s="39" t="str">
        <f>IFERROR(ödev!CA73*100/ödev!$I73,"")</f>
        <v/>
      </c>
      <c r="BQ477" s="39" t="str">
        <f>IFERROR(ödev!CB73*100/ödev!$I73,"")</f>
        <v/>
      </c>
      <c r="BR477" s="39" t="str">
        <f>IFERROR(ödev!CC73*100/ödev!$I73,"")</f>
        <v/>
      </c>
      <c r="BS477" s="39" t="str">
        <f>IFERROR(ödev!CD73*100/ödev!$I73,"")</f>
        <v/>
      </c>
      <c r="BT477" s="39" t="str">
        <f>IFERROR(ödev!CE73*100/ödev!$I73,"")</f>
        <v/>
      </c>
      <c r="BU477" s="39" t="str">
        <f>IFERROR(ödev!CF73*100/ödev!$I73,"")</f>
        <v/>
      </c>
      <c r="BV477" s="39" t="str">
        <f>IFERROR(ödev!CG73*100/ödev!$I73,"")</f>
        <v/>
      </c>
      <c r="BW477" s="39" t="str">
        <f>IFERROR(ödev!CH73*100/ödev!$I73,"")</f>
        <v/>
      </c>
      <c r="BX477" s="39" t="str">
        <f>IFERROR(ödev!CI73*100/ödev!$I73,"")</f>
        <v/>
      </c>
      <c r="BY477" s="39" t="str">
        <f>IFERROR(ödev!CJ73*100/ödev!$I73,"")</f>
        <v/>
      </c>
      <c r="BZ477" s="39" t="str">
        <f>IFERROR(ödev!CK73*100/ödev!$I73,"")</f>
        <v/>
      </c>
      <c r="CA477" s="39" t="str">
        <f>IFERROR(ödev!CL73*100/ödev!$I73,"")</f>
        <v/>
      </c>
      <c r="CB477" s="39" t="str">
        <f>IFERROR(ödev!CM73*100/ödev!$I73,"")</f>
        <v/>
      </c>
      <c r="CC477" s="39" t="str">
        <f>IFERROR(ödev!CN73*100/ödev!$I73,"")</f>
        <v/>
      </c>
      <c r="CD477" s="39" t="str">
        <f>IFERROR(ödev!CO73*100/ödev!$I73,"")</f>
        <v/>
      </c>
      <c r="CE477" s="39" t="str">
        <f>IFERROR(ödev!CP73*100/ödev!$I73,"")</f>
        <v/>
      </c>
      <c r="CF477" s="39" t="str">
        <f>IFERROR(ödev!CQ73*100/ödev!$I73,"")</f>
        <v/>
      </c>
      <c r="CG477" s="39" t="str">
        <f>IFERROR(ödev!CR73*100/ödev!$I73,"")</f>
        <v/>
      </c>
      <c r="CH477" s="39" t="str">
        <f>IFERROR(ödev!CS73*100/ödev!$I73,"")</f>
        <v/>
      </c>
      <c r="CI477" s="39" t="str">
        <f>IFERROR(ödev!CT73*100/ödev!$I73,"")</f>
        <v/>
      </c>
      <c r="CJ477" s="39" t="str">
        <f>IFERROR(ödev!CU73*100/ödev!$I73,"")</f>
        <v/>
      </c>
      <c r="CK477" s="39" t="str">
        <f>IFERROR(ödev!CV73*100/ödev!$I73,"")</f>
        <v/>
      </c>
      <c r="CL477" s="39" t="str">
        <f>IFERROR(ödev!CW73*100/ödev!$I73,"")</f>
        <v/>
      </c>
      <c r="CM477" s="39" t="str">
        <f>IFERROR(ödev!CX73*100/ödev!$I73,"")</f>
        <v/>
      </c>
      <c r="CN477" s="39" t="str">
        <f>IFERROR(ödev!CY73*100/ödev!$I73,"")</f>
        <v/>
      </c>
      <c r="CO477" s="39" t="str">
        <f>IFERROR(ödev!CZ73*100/ödev!$I73,"")</f>
        <v/>
      </c>
      <c r="CP477" s="39" t="str">
        <f>IFERROR(ödev!DA73*100/ödev!$I73,"")</f>
        <v/>
      </c>
      <c r="CQ477" s="39" t="str">
        <f>IFERROR(ödev!DB73*100/ödev!$I73,"")</f>
        <v/>
      </c>
      <c r="CR477" s="39" t="str">
        <f>IFERROR(ödev!DC73*100/ödev!$I73,"")</f>
        <v/>
      </c>
      <c r="CS477" s="39" t="str">
        <f>IFERROR(ödev!DD73*100/ödev!$I73,"")</f>
        <v/>
      </c>
      <c r="CT477" s="39" t="str">
        <f>IFERROR(ödev!DE73*100/ödev!$I73,"")</f>
        <v/>
      </c>
      <c r="CU477" s="39" t="str">
        <f>IFERROR(ödev!DF73*100/ödev!$I73,"")</f>
        <v/>
      </c>
      <c r="CV477" s="39" t="str">
        <f>IFERROR(ödev!DG73*100/ödev!$I73,"")</f>
        <v/>
      </c>
      <c r="CW477" s="36" t="str">
        <f>IFERROR(SUM(A477:CV477)/ödev!$DH$103,"")</f>
        <v/>
      </c>
      <c r="CX477" s="14" t="str">
        <f>IF(COUNTA(ödev!A73),ödev!A73,"")</f>
        <v/>
      </c>
      <c r="CY477" s="14" t="str">
        <f>IF(COUNTA(ödev!B73),ödev!B73,"")</f>
        <v/>
      </c>
      <c r="CZ477" s="14" t="str">
        <f>IF(COUNTA(ödev!C73),ödev!C73,"")</f>
        <v/>
      </c>
      <c r="DA477" s="14" t="str">
        <f>IF(COUNTA(ödev!D73),ödev!D73,"")</f>
        <v/>
      </c>
      <c r="DB477" s="14" t="str">
        <f>IF(COUNTA(ödev!E73),ödev!E73,"")</f>
        <v/>
      </c>
      <c r="DC477" s="14" t="str">
        <f>IF(COUNTA(ödev!F73),ödev!F73,"")</f>
        <v/>
      </c>
      <c r="DD477" s="14" t="str">
        <f>IF(COUNTA(ödev!G73),ödev!G73,"")</f>
        <v/>
      </c>
      <c r="DE477" s="14" t="str">
        <f>IF(COUNTA(ödev!H73),ödev!H73,"")</f>
        <v/>
      </c>
    </row>
    <row r="478" spans="1:109" x14ac:dyDescent="0.2">
      <c r="A478" s="39" t="str">
        <f>IFERROR(ödev!L74*100/ödev!$I74,"")</f>
        <v/>
      </c>
      <c r="B478" s="39" t="str">
        <f>IFERROR(ödev!M74*100/ödev!$I74,"")</f>
        <v/>
      </c>
      <c r="C478" s="39" t="str">
        <f>IFERROR(ödev!N74*100/ödev!$I74,"")</f>
        <v/>
      </c>
      <c r="D478" s="39" t="str">
        <f>IFERROR(ödev!O74*100/ödev!$I74,"")</f>
        <v/>
      </c>
      <c r="E478" s="39" t="str">
        <f>IFERROR(ödev!P74*100/ödev!$I74,"")</f>
        <v/>
      </c>
      <c r="F478" s="39" t="str">
        <f>IFERROR(ödev!Q74*100/ödev!$I74,"")</f>
        <v/>
      </c>
      <c r="G478" s="39" t="str">
        <f>IFERROR(ödev!R74*100/ödev!$I74,"")</f>
        <v/>
      </c>
      <c r="H478" s="39" t="str">
        <f>IFERROR(ödev!S74*100/ödev!$I74,"")</f>
        <v/>
      </c>
      <c r="I478" s="39" t="str">
        <f>IFERROR(ödev!T74*100/ödev!$I74,"")</f>
        <v/>
      </c>
      <c r="J478" s="39" t="str">
        <f>IFERROR(ödev!U74*100/ödev!$I74,"")</f>
        <v/>
      </c>
      <c r="K478" s="39" t="str">
        <f>IFERROR(ödev!V74*100/ödev!$I74,"")</f>
        <v/>
      </c>
      <c r="L478" s="39" t="str">
        <f>IFERROR(ödev!W74*100/ödev!$I74,"")</f>
        <v/>
      </c>
      <c r="M478" s="39" t="str">
        <f>IFERROR(ödev!X74*100/ödev!$I74,"")</f>
        <v/>
      </c>
      <c r="N478" s="39" t="str">
        <f>IFERROR(ödev!Y74*100/ödev!$I74,"")</f>
        <v/>
      </c>
      <c r="O478" s="39" t="str">
        <f>IFERROR(ödev!Z74*100/ödev!$I74,"")</f>
        <v/>
      </c>
      <c r="P478" s="39" t="str">
        <f>IFERROR(ödev!AA74*100/ödev!$I74,"")</f>
        <v/>
      </c>
      <c r="Q478" s="39" t="str">
        <f>IFERROR(ödev!AB74*100/ödev!$I74,"")</f>
        <v/>
      </c>
      <c r="R478" s="39" t="str">
        <f>IFERROR(ödev!AC74*100/ödev!$I74,"")</f>
        <v/>
      </c>
      <c r="S478" s="39" t="str">
        <f>IFERROR(ödev!AD74*100/ödev!$I74,"")</f>
        <v/>
      </c>
      <c r="T478" s="39" t="str">
        <f>IFERROR(ödev!AE74*100/ödev!$I74,"")</f>
        <v/>
      </c>
      <c r="U478" s="39" t="str">
        <f>IFERROR(ödev!AF74*100/ödev!$I74,"")</f>
        <v/>
      </c>
      <c r="V478" s="39" t="str">
        <f>IFERROR(ödev!AG74*100/ödev!$I74,"")</f>
        <v/>
      </c>
      <c r="W478" s="39" t="str">
        <f>IFERROR(ödev!AH74*100/ödev!$I74,"")</f>
        <v/>
      </c>
      <c r="X478" s="39" t="str">
        <f>IFERROR(ödev!AI74*100/ödev!$I74,"")</f>
        <v/>
      </c>
      <c r="Y478" s="39" t="str">
        <f>IFERROR(ödev!AJ74*100/ödev!$I74,"")</f>
        <v/>
      </c>
      <c r="Z478" s="39" t="str">
        <f>IFERROR(ödev!AK74*100/ödev!$I74,"")</f>
        <v/>
      </c>
      <c r="AA478" s="39" t="str">
        <f>IFERROR(ödev!AL74*100/ödev!$I74,"")</f>
        <v/>
      </c>
      <c r="AB478" s="39" t="str">
        <f>IFERROR(ödev!AM74*100/ödev!$I74,"")</f>
        <v/>
      </c>
      <c r="AC478" s="39" t="str">
        <f>IFERROR(ödev!AN74*100/ödev!$I74,"")</f>
        <v/>
      </c>
      <c r="AD478" s="39" t="str">
        <f>IFERROR(ödev!AO74*100/ödev!$I74,"")</f>
        <v/>
      </c>
      <c r="AE478" s="39" t="str">
        <f>IFERROR(ödev!AP74*100/ödev!$I74,"")</f>
        <v/>
      </c>
      <c r="AF478" s="39" t="str">
        <f>IFERROR(ödev!AQ74*100/ödev!$I74,"")</f>
        <v/>
      </c>
      <c r="AG478" s="39" t="str">
        <f>IFERROR(ödev!AR74*100/ödev!$I74,"")</f>
        <v/>
      </c>
      <c r="AH478" s="39" t="str">
        <f>IFERROR(ödev!AS74*100/ödev!$I74,"")</f>
        <v/>
      </c>
      <c r="AI478" s="39" t="str">
        <f>IFERROR(ödev!AT74*100/ödev!$I74,"")</f>
        <v/>
      </c>
      <c r="AJ478" s="39" t="str">
        <f>IFERROR(ödev!AU74*100/ödev!$I74,"")</f>
        <v/>
      </c>
      <c r="AK478" s="39" t="str">
        <f>IFERROR(ödev!AV74*100/ödev!$I74,"")</f>
        <v/>
      </c>
      <c r="AL478" s="39" t="str">
        <f>IFERROR(ödev!AW74*100/ödev!$I74,"")</f>
        <v/>
      </c>
      <c r="AM478" s="39" t="str">
        <f>IFERROR(ödev!AX74*100/ödev!$I74,"")</f>
        <v/>
      </c>
      <c r="AN478" s="39" t="str">
        <f>IFERROR(ödev!AY74*100/ödev!$I74,"")</f>
        <v/>
      </c>
      <c r="AO478" s="39" t="str">
        <f>IFERROR(ödev!AZ74*100/ödev!$I74,"")</f>
        <v/>
      </c>
      <c r="AP478" s="39" t="str">
        <f>IFERROR(ödev!BA74*100/ödev!$I74,"")</f>
        <v/>
      </c>
      <c r="AQ478" s="39" t="str">
        <f>IFERROR(ödev!BB74*100/ödev!$I74,"")</f>
        <v/>
      </c>
      <c r="AR478" s="39" t="str">
        <f>IFERROR(ödev!BC74*100/ödev!$I74,"")</f>
        <v/>
      </c>
      <c r="AS478" s="39" t="str">
        <f>IFERROR(ödev!BD74*100/ödev!$I74,"")</f>
        <v/>
      </c>
      <c r="AT478" s="39" t="str">
        <f>IFERROR(ödev!BE74*100/ödev!$I74,"")</f>
        <v/>
      </c>
      <c r="AU478" s="39" t="str">
        <f>IFERROR(ödev!BF74*100/ödev!$I74,"")</f>
        <v/>
      </c>
      <c r="AV478" s="39" t="str">
        <f>IFERROR(ödev!BG74*100/ödev!$I74,"")</f>
        <v/>
      </c>
      <c r="AW478" s="39" t="str">
        <f>IFERROR(ödev!BH74*100/ödev!$I74,"")</f>
        <v/>
      </c>
      <c r="AX478" s="39" t="str">
        <f>IFERROR(ödev!BI74*100/ödev!$I74,"")</f>
        <v/>
      </c>
      <c r="AY478" s="39" t="str">
        <f>IFERROR(ödev!BJ74*100/ödev!$I74,"")</f>
        <v/>
      </c>
      <c r="AZ478" s="39" t="str">
        <f>IFERROR(ödev!BK74*100/ödev!$I74,"")</f>
        <v/>
      </c>
      <c r="BA478" s="39" t="str">
        <f>IFERROR(ödev!BL74*100/ödev!$I74,"")</f>
        <v/>
      </c>
      <c r="BB478" s="39" t="str">
        <f>IFERROR(ödev!BM74*100/ödev!$I74,"")</f>
        <v/>
      </c>
      <c r="BC478" s="39" t="str">
        <f>IFERROR(ödev!BN74*100/ödev!$I74,"")</f>
        <v/>
      </c>
      <c r="BD478" s="39" t="str">
        <f>IFERROR(ödev!BO74*100/ödev!$I74,"")</f>
        <v/>
      </c>
      <c r="BE478" s="39" t="str">
        <f>IFERROR(ödev!BP74*100/ödev!$I74,"")</f>
        <v/>
      </c>
      <c r="BF478" s="39" t="str">
        <f>IFERROR(ödev!BQ74*100/ödev!$I74,"")</f>
        <v/>
      </c>
      <c r="BG478" s="39" t="str">
        <f>IFERROR(ödev!BR74*100/ödev!$I74,"")</f>
        <v/>
      </c>
      <c r="BH478" s="39" t="str">
        <f>IFERROR(ödev!BS74*100/ödev!$I74,"")</f>
        <v/>
      </c>
      <c r="BI478" s="39" t="str">
        <f>IFERROR(ödev!BT74*100/ödev!$I74,"")</f>
        <v/>
      </c>
      <c r="BJ478" s="39" t="str">
        <f>IFERROR(ödev!BU74*100/ödev!$I74,"")</f>
        <v/>
      </c>
      <c r="BK478" s="39" t="str">
        <f>IFERROR(ödev!BV74*100/ödev!$I74,"")</f>
        <v/>
      </c>
      <c r="BL478" s="39" t="str">
        <f>IFERROR(ödev!BW74*100/ödev!$I74,"")</f>
        <v/>
      </c>
      <c r="BM478" s="39" t="str">
        <f>IFERROR(ödev!BX74*100/ödev!$I74,"")</f>
        <v/>
      </c>
      <c r="BN478" s="39" t="str">
        <f>IFERROR(ödev!BY74*100/ödev!$I74,"")</f>
        <v/>
      </c>
      <c r="BO478" s="39" t="str">
        <f>IFERROR(ödev!BZ74*100/ödev!$I74,"")</f>
        <v/>
      </c>
      <c r="BP478" s="39" t="str">
        <f>IFERROR(ödev!CA74*100/ödev!$I74,"")</f>
        <v/>
      </c>
      <c r="BQ478" s="39" t="str">
        <f>IFERROR(ödev!CB74*100/ödev!$I74,"")</f>
        <v/>
      </c>
      <c r="BR478" s="39" t="str">
        <f>IFERROR(ödev!CC74*100/ödev!$I74,"")</f>
        <v/>
      </c>
      <c r="BS478" s="39" t="str">
        <f>IFERROR(ödev!CD74*100/ödev!$I74,"")</f>
        <v/>
      </c>
      <c r="BT478" s="39" t="str">
        <f>IFERROR(ödev!CE74*100/ödev!$I74,"")</f>
        <v/>
      </c>
      <c r="BU478" s="39" t="str">
        <f>IFERROR(ödev!CF74*100/ödev!$I74,"")</f>
        <v/>
      </c>
      <c r="BV478" s="39" t="str">
        <f>IFERROR(ödev!CG74*100/ödev!$I74,"")</f>
        <v/>
      </c>
      <c r="BW478" s="39" t="str">
        <f>IFERROR(ödev!CH74*100/ödev!$I74,"")</f>
        <v/>
      </c>
      <c r="BX478" s="39" t="str">
        <f>IFERROR(ödev!CI74*100/ödev!$I74,"")</f>
        <v/>
      </c>
      <c r="BY478" s="39" t="str">
        <f>IFERROR(ödev!CJ74*100/ödev!$I74,"")</f>
        <v/>
      </c>
      <c r="BZ478" s="39" t="str">
        <f>IFERROR(ödev!CK74*100/ödev!$I74,"")</f>
        <v/>
      </c>
      <c r="CA478" s="39" t="str">
        <f>IFERROR(ödev!CL74*100/ödev!$I74,"")</f>
        <v/>
      </c>
      <c r="CB478" s="39" t="str">
        <f>IFERROR(ödev!CM74*100/ödev!$I74,"")</f>
        <v/>
      </c>
      <c r="CC478" s="39" t="str">
        <f>IFERROR(ödev!CN74*100/ödev!$I74,"")</f>
        <v/>
      </c>
      <c r="CD478" s="39" t="str">
        <f>IFERROR(ödev!CO74*100/ödev!$I74,"")</f>
        <v/>
      </c>
      <c r="CE478" s="39" t="str">
        <f>IFERROR(ödev!CP74*100/ödev!$I74,"")</f>
        <v/>
      </c>
      <c r="CF478" s="39" t="str">
        <f>IFERROR(ödev!CQ74*100/ödev!$I74,"")</f>
        <v/>
      </c>
      <c r="CG478" s="39" t="str">
        <f>IFERROR(ödev!CR74*100/ödev!$I74,"")</f>
        <v/>
      </c>
      <c r="CH478" s="39" t="str">
        <f>IFERROR(ödev!CS74*100/ödev!$I74,"")</f>
        <v/>
      </c>
      <c r="CI478" s="39" t="str">
        <f>IFERROR(ödev!CT74*100/ödev!$I74,"")</f>
        <v/>
      </c>
      <c r="CJ478" s="39" t="str">
        <f>IFERROR(ödev!CU74*100/ödev!$I74,"")</f>
        <v/>
      </c>
      <c r="CK478" s="39" t="str">
        <f>IFERROR(ödev!CV74*100/ödev!$I74,"")</f>
        <v/>
      </c>
      <c r="CL478" s="39" t="str">
        <f>IFERROR(ödev!CW74*100/ödev!$I74,"")</f>
        <v/>
      </c>
      <c r="CM478" s="39" t="str">
        <f>IFERROR(ödev!CX74*100/ödev!$I74,"")</f>
        <v/>
      </c>
      <c r="CN478" s="39" t="str">
        <f>IFERROR(ödev!CY74*100/ödev!$I74,"")</f>
        <v/>
      </c>
      <c r="CO478" s="39" t="str">
        <f>IFERROR(ödev!CZ74*100/ödev!$I74,"")</f>
        <v/>
      </c>
      <c r="CP478" s="39" t="str">
        <f>IFERROR(ödev!DA74*100/ödev!$I74,"")</f>
        <v/>
      </c>
      <c r="CQ478" s="39" t="str">
        <f>IFERROR(ödev!DB74*100/ödev!$I74,"")</f>
        <v/>
      </c>
      <c r="CR478" s="39" t="str">
        <f>IFERROR(ödev!DC74*100/ödev!$I74,"")</f>
        <v/>
      </c>
      <c r="CS478" s="39" t="str">
        <f>IFERROR(ödev!DD74*100/ödev!$I74,"")</f>
        <v/>
      </c>
      <c r="CT478" s="39" t="str">
        <f>IFERROR(ödev!DE74*100/ödev!$I74,"")</f>
        <v/>
      </c>
      <c r="CU478" s="39" t="str">
        <f>IFERROR(ödev!DF74*100/ödev!$I74,"")</f>
        <v/>
      </c>
      <c r="CV478" s="39" t="str">
        <f>IFERROR(ödev!DG74*100/ödev!$I74,"")</f>
        <v/>
      </c>
      <c r="CW478" s="36" t="str">
        <f>IFERROR(SUM(A478:CV478)/ödev!$DH$103,"")</f>
        <v/>
      </c>
      <c r="CX478" s="14" t="str">
        <f>IF(COUNTA(ödev!A74),ödev!A74,"")</f>
        <v/>
      </c>
      <c r="CY478" s="14" t="str">
        <f>IF(COUNTA(ödev!B74),ödev!B74,"")</f>
        <v/>
      </c>
      <c r="CZ478" s="14" t="str">
        <f>IF(COUNTA(ödev!C74),ödev!C74,"")</f>
        <v/>
      </c>
      <c r="DA478" s="14" t="str">
        <f>IF(COUNTA(ödev!D74),ödev!D74,"")</f>
        <v/>
      </c>
      <c r="DB478" s="14" t="str">
        <f>IF(COUNTA(ödev!E74),ödev!E74,"")</f>
        <v/>
      </c>
      <c r="DC478" s="14" t="str">
        <f>IF(COUNTA(ödev!F74),ödev!F74,"")</f>
        <v/>
      </c>
      <c r="DD478" s="14" t="str">
        <f>IF(COUNTA(ödev!G74),ödev!G74,"")</f>
        <v/>
      </c>
      <c r="DE478" s="14" t="str">
        <f>IF(COUNTA(ödev!H74),ödev!H74,"")</f>
        <v/>
      </c>
    </row>
    <row r="479" spans="1:109" x14ac:dyDescent="0.2">
      <c r="A479" s="39" t="str">
        <f>IFERROR(ödev!L75*100/ödev!$I75,"")</f>
        <v/>
      </c>
      <c r="B479" s="39" t="str">
        <f>IFERROR(ödev!M75*100/ödev!$I75,"")</f>
        <v/>
      </c>
      <c r="C479" s="39" t="str">
        <f>IFERROR(ödev!N75*100/ödev!$I75,"")</f>
        <v/>
      </c>
      <c r="D479" s="39" t="str">
        <f>IFERROR(ödev!O75*100/ödev!$I75,"")</f>
        <v/>
      </c>
      <c r="E479" s="39" t="str">
        <f>IFERROR(ödev!P75*100/ödev!$I75,"")</f>
        <v/>
      </c>
      <c r="F479" s="39" t="str">
        <f>IFERROR(ödev!Q75*100/ödev!$I75,"")</f>
        <v/>
      </c>
      <c r="G479" s="39" t="str">
        <f>IFERROR(ödev!R75*100/ödev!$I75,"")</f>
        <v/>
      </c>
      <c r="H479" s="39" t="str">
        <f>IFERROR(ödev!S75*100/ödev!$I75,"")</f>
        <v/>
      </c>
      <c r="I479" s="39" t="str">
        <f>IFERROR(ödev!T75*100/ödev!$I75,"")</f>
        <v/>
      </c>
      <c r="J479" s="39" t="str">
        <f>IFERROR(ödev!U75*100/ödev!$I75,"")</f>
        <v/>
      </c>
      <c r="K479" s="39" t="str">
        <f>IFERROR(ödev!V75*100/ödev!$I75,"")</f>
        <v/>
      </c>
      <c r="L479" s="39" t="str">
        <f>IFERROR(ödev!W75*100/ödev!$I75,"")</f>
        <v/>
      </c>
      <c r="M479" s="39" t="str">
        <f>IFERROR(ödev!X75*100/ödev!$I75,"")</f>
        <v/>
      </c>
      <c r="N479" s="39" t="str">
        <f>IFERROR(ödev!Y75*100/ödev!$I75,"")</f>
        <v/>
      </c>
      <c r="O479" s="39" t="str">
        <f>IFERROR(ödev!Z75*100/ödev!$I75,"")</f>
        <v/>
      </c>
      <c r="P479" s="39" t="str">
        <f>IFERROR(ödev!AA75*100/ödev!$I75,"")</f>
        <v/>
      </c>
      <c r="Q479" s="39" t="str">
        <f>IFERROR(ödev!AB75*100/ödev!$I75,"")</f>
        <v/>
      </c>
      <c r="R479" s="39" t="str">
        <f>IFERROR(ödev!AC75*100/ödev!$I75,"")</f>
        <v/>
      </c>
      <c r="S479" s="39" t="str">
        <f>IFERROR(ödev!AD75*100/ödev!$I75,"")</f>
        <v/>
      </c>
      <c r="T479" s="39" t="str">
        <f>IFERROR(ödev!AE75*100/ödev!$I75,"")</f>
        <v/>
      </c>
      <c r="U479" s="39" t="str">
        <f>IFERROR(ödev!AF75*100/ödev!$I75,"")</f>
        <v/>
      </c>
      <c r="V479" s="39" t="str">
        <f>IFERROR(ödev!AG75*100/ödev!$I75,"")</f>
        <v/>
      </c>
      <c r="W479" s="39" t="str">
        <f>IFERROR(ödev!AH75*100/ödev!$I75,"")</f>
        <v/>
      </c>
      <c r="X479" s="39" t="str">
        <f>IFERROR(ödev!AI75*100/ödev!$I75,"")</f>
        <v/>
      </c>
      <c r="Y479" s="39" t="str">
        <f>IFERROR(ödev!AJ75*100/ödev!$I75,"")</f>
        <v/>
      </c>
      <c r="Z479" s="39" t="str">
        <f>IFERROR(ödev!AK75*100/ödev!$I75,"")</f>
        <v/>
      </c>
      <c r="AA479" s="39" t="str">
        <f>IFERROR(ödev!AL75*100/ödev!$I75,"")</f>
        <v/>
      </c>
      <c r="AB479" s="39" t="str">
        <f>IFERROR(ödev!AM75*100/ödev!$I75,"")</f>
        <v/>
      </c>
      <c r="AC479" s="39" t="str">
        <f>IFERROR(ödev!AN75*100/ödev!$I75,"")</f>
        <v/>
      </c>
      <c r="AD479" s="39" t="str">
        <f>IFERROR(ödev!AO75*100/ödev!$I75,"")</f>
        <v/>
      </c>
      <c r="AE479" s="39" t="str">
        <f>IFERROR(ödev!AP75*100/ödev!$I75,"")</f>
        <v/>
      </c>
      <c r="AF479" s="39" t="str">
        <f>IFERROR(ödev!AQ75*100/ödev!$I75,"")</f>
        <v/>
      </c>
      <c r="AG479" s="39" t="str">
        <f>IFERROR(ödev!AR75*100/ödev!$I75,"")</f>
        <v/>
      </c>
      <c r="AH479" s="39" t="str">
        <f>IFERROR(ödev!AS75*100/ödev!$I75,"")</f>
        <v/>
      </c>
      <c r="AI479" s="39" t="str">
        <f>IFERROR(ödev!AT75*100/ödev!$I75,"")</f>
        <v/>
      </c>
      <c r="AJ479" s="39" t="str">
        <f>IFERROR(ödev!AU75*100/ödev!$I75,"")</f>
        <v/>
      </c>
      <c r="AK479" s="39" t="str">
        <f>IFERROR(ödev!AV75*100/ödev!$I75,"")</f>
        <v/>
      </c>
      <c r="AL479" s="39" t="str">
        <f>IFERROR(ödev!AW75*100/ödev!$I75,"")</f>
        <v/>
      </c>
      <c r="AM479" s="39" t="str">
        <f>IFERROR(ödev!AX75*100/ödev!$I75,"")</f>
        <v/>
      </c>
      <c r="AN479" s="39" t="str">
        <f>IFERROR(ödev!AY75*100/ödev!$I75,"")</f>
        <v/>
      </c>
      <c r="AO479" s="39" t="str">
        <f>IFERROR(ödev!AZ75*100/ödev!$I75,"")</f>
        <v/>
      </c>
      <c r="AP479" s="39" t="str">
        <f>IFERROR(ödev!BA75*100/ödev!$I75,"")</f>
        <v/>
      </c>
      <c r="AQ479" s="39" t="str">
        <f>IFERROR(ödev!BB75*100/ödev!$I75,"")</f>
        <v/>
      </c>
      <c r="AR479" s="39" t="str">
        <f>IFERROR(ödev!BC75*100/ödev!$I75,"")</f>
        <v/>
      </c>
      <c r="AS479" s="39" t="str">
        <f>IFERROR(ödev!BD75*100/ödev!$I75,"")</f>
        <v/>
      </c>
      <c r="AT479" s="39" t="str">
        <f>IFERROR(ödev!BE75*100/ödev!$I75,"")</f>
        <v/>
      </c>
      <c r="AU479" s="39" t="str">
        <f>IFERROR(ödev!BF75*100/ödev!$I75,"")</f>
        <v/>
      </c>
      <c r="AV479" s="39" t="str">
        <f>IFERROR(ödev!BG75*100/ödev!$I75,"")</f>
        <v/>
      </c>
      <c r="AW479" s="39" t="str">
        <f>IFERROR(ödev!BH75*100/ödev!$I75,"")</f>
        <v/>
      </c>
      <c r="AX479" s="39" t="str">
        <f>IFERROR(ödev!BI75*100/ödev!$I75,"")</f>
        <v/>
      </c>
      <c r="AY479" s="39" t="str">
        <f>IFERROR(ödev!BJ75*100/ödev!$I75,"")</f>
        <v/>
      </c>
      <c r="AZ479" s="39" t="str">
        <f>IFERROR(ödev!BK75*100/ödev!$I75,"")</f>
        <v/>
      </c>
      <c r="BA479" s="39" t="str">
        <f>IFERROR(ödev!BL75*100/ödev!$I75,"")</f>
        <v/>
      </c>
      <c r="BB479" s="39" t="str">
        <f>IFERROR(ödev!BM75*100/ödev!$I75,"")</f>
        <v/>
      </c>
      <c r="BC479" s="39" t="str">
        <f>IFERROR(ödev!BN75*100/ödev!$I75,"")</f>
        <v/>
      </c>
      <c r="BD479" s="39" t="str">
        <f>IFERROR(ödev!BO75*100/ödev!$I75,"")</f>
        <v/>
      </c>
      <c r="BE479" s="39" t="str">
        <f>IFERROR(ödev!BP75*100/ödev!$I75,"")</f>
        <v/>
      </c>
      <c r="BF479" s="39" t="str">
        <f>IFERROR(ödev!BQ75*100/ödev!$I75,"")</f>
        <v/>
      </c>
      <c r="BG479" s="39" t="str">
        <f>IFERROR(ödev!BR75*100/ödev!$I75,"")</f>
        <v/>
      </c>
      <c r="BH479" s="39" t="str">
        <f>IFERROR(ödev!BS75*100/ödev!$I75,"")</f>
        <v/>
      </c>
      <c r="BI479" s="39" t="str">
        <f>IFERROR(ödev!BT75*100/ödev!$I75,"")</f>
        <v/>
      </c>
      <c r="BJ479" s="39" t="str">
        <f>IFERROR(ödev!BU75*100/ödev!$I75,"")</f>
        <v/>
      </c>
      <c r="BK479" s="39" t="str">
        <f>IFERROR(ödev!BV75*100/ödev!$I75,"")</f>
        <v/>
      </c>
      <c r="BL479" s="39" t="str">
        <f>IFERROR(ödev!BW75*100/ödev!$I75,"")</f>
        <v/>
      </c>
      <c r="BM479" s="39" t="str">
        <f>IFERROR(ödev!BX75*100/ödev!$I75,"")</f>
        <v/>
      </c>
      <c r="BN479" s="39" t="str">
        <f>IFERROR(ödev!BY75*100/ödev!$I75,"")</f>
        <v/>
      </c>
      <c r="BO479" s="39" t="str">
        <f>IFERROR(ödev!BZ75*100/ödev!$I75,"")</f>
        <v/>
      </c>
      <c r="BP479" s="39" t="str">
        <f>IFERROR(ödev!CA75*100/ödev!$I75,"")</f>
        <v/>
      </c>
      <c r="BQ479" s="39" t="str">
        <f>IFERROR(ödev!CB75*100/ödev!$I75,"")</f>
        <v/>
      </c>
      <c r="BR479" s="39" t="str">
        <f>IFERROR(ödev!CC75*100/ödev!$I75,"")</f>
        <v/>
      </c>
      <c r="BS479" s="39" t="str">
        <f>IFERROR(ödev!CD75*100/ödev!$I75,"")</f>
        <v/>
      </c>
      <c r="BT479" s="39" t="str">
        <f>IFERROR(ödev!CE75*100/ödev!$I75,"")</f>
        <v/>
      </c>
      <c r="BU479" s="39" t="str">
        <f>IFERROR(ödev!CF75*100/ödev!$I75,"")</f>
        <v/>
      </c>
      <c r="BV479" s="39" t="str">
        <f>IFERROR(ödev!CG75*100/ödev!$I75,"")</f>
        <v/>
      </c>
      <c r="BW479" s="39" t="str">
        <f>IFERROR(ödev!CH75*100/ödev!$I75,"")</f>
        <v/>
      </c>
      <c r="BX479" s="39" t="str">
        <f>IFERROR(ödev!CI75*100/ödev!$I75,"")</f>
        <v/>
      </c>
      <c r="BY479" s="39" t="str">
        <f>IFERROR(ödev!CJ75*100/ödev!$I75,"")</f>
        <v/>
      </c>
      <c r="BZ479" s="39" t="str">
        <f>IFERROR(ödev!CK75*100/ödev!$I75,"")</f>
        <v/>
      </c>
      <c r="CA479" s="39" t="str">
        <f>IFERROR(ödev!CL75*100/ödev!$I75,"")</f>
        <v/>
      </c>
      <c r="CB479" s="39" t="str">
        <f>IFERROR(ödev!CM75*100/ödev!$I75,"")</f>
        <v/>
      </c>
      <c r="CC479" s="39" t="str">
        <f>IFERROR(ödev!CN75*100/ödev!$I75,"")</f>
        <v/>
      </c>
      <c r="CD479" s="39" t="str">
        <f>IFERROR(ödev!CO75*100/ödev!$I75,"")</f>
        <v/>
      </c>
      <c r="CE479" s="39" t="str">
        <f>IFERROR(ödev!CP75*100/ödev!$I75,"")</f>
        <v/>
      </c>
      <c r="CF479" s="39" t="str">
        <f>IFERROR(ödev!CQ75*100/ödev!$I75,"")</f>
        <v/>
      </c>
      <c r="CG479" s="39" t="str">
        <f>IFERROR(ödev!CR75*100/ödev!$I75,"")</f>
        <v/>
      </c>
      <c r="CH479" s="39" t="str">
        <f>IFERROR(ödev!CS75*100/ödev!$I75,"")</f>
        <v/>
      </c>
      <c r="CI479" s="39" t="str">
        <f>IFERROR(ödev!CT75*100/ödev!$I75,"")</f>
        <v/>
      </c>
      <c r="CJ479" s="39" t="str">
        <f>IFERROR(ödev!CU75*100/ödev!$I75,"")</f>
        <v/>
      </c>
      <c r="CK479" s="39" t="str">
        <f>IFERROR(ödev!CV75*100/ödev!$I75,"")</f>
        <v/>
      </c>
      <c r="CL479" s="39" t="str">
        <f>IFERROR(ödev!CW75*100/ödev!$I75,"")</f>
        <v/>
      </c>
      <c r="CM479" s="39" t="str">
        <f>IFERROR(ödev!CX75*100/ödev!$I75,"")</f>
        <v/>
      </c>
      <c r="CN479" s="39" t="str">
        <f>IFERROR(ödev!CY75*100/ödev!$I75,"")</f>
        <v/>
      </c>
      <c r="CO479" s="39" t="str">
        <f>IFERROR(ödev!CZ75*100/ödev!$I75,"")</f>
        <v/>
      </c>
      <c r="CP479" s="39" t="str">
        <f>IFERROR(ödev!DA75*100/ödev!$I75,"")</f>
        <v/>
      </c>
      <c r="CQ479" s="39" t="str">
        <f>IFERROR(ödev!DB75*100/ödev!$I75,"")</f>
        <v/>
      </c>
      <c r="CR479" s="39" t="str">
        <f>IFERROR(ödev!DC75*100/ödev!$I75,"")</f>
        <v/>
      </c>
      <c r="CS479" s="39" t="str">
        <f>IFERROR(ödev!DD75*100/ödev!$I75,"")</f>
        <v/>
      </c>
      <c r="CT479" s="39" t="str">
        <f>IFERROR(ödev!DE75*100/ödev!$I75,"")</f>
        <v/>
      </c>
      <c r="CU479" s="39" t="str">
        <f>IFERROR(ödev!DF75*100/ödev!$I75,"")</f>
        <v/>
      </c>
      <c r="CV479" s="39" t="str">
        <f>IFERROR(ödev!DG75*100/ödev!$I75,"")</f>
        <v/>
      </c>
      <c r="CW479" s="36" t="str">
        <f>IFERROR(SUM(A479:CV479)/ödev!$DH$103,"")</f>
        <v/>
      </c>
      <c r="CX479" s="14" t="str">
        <f>IF(COUNTA(ödev!A75),ödev!A75,"")</f>
        <v/>
      </c>
      <c r="CY479" s="14" t="str">
        <f>IF(COUNTA(ödev!B75),ödev!B75,"")</f>
        <v/>
      </c>
      <c r="CZ479" s="14" t="str">
        <f>IF(COUNTA(ödev!C75),ödev!C75,"")</f>
        <v/>
      </c>
      <c r="DA479" s="14" t="str">
        <f>IF(COUNTA(ödev!D75),ödev!D75,"")</f>
        <v/>
      </c>
      <c r="DB479" s="14" t="str">
        <f>IF(COUNTA(ödev!E75),ödev!E75,"")</f>
        <v/>
      </c>
      <c r="DC479" s="14" t="str">
        <f>IF(COUNTA(ödev!F75),ödev!F75,"")</f>
        <v/>
      </c>
      <c r="DD479" s="14" t="str">
        <f>IF(COUNTA(ödev!G75),ödev!G75,"")</f>
        <v/>
      </c>
      <c r="DE479" s="14" t="str">
        <f>IF(COUNTA(ödev!H75),ödev!H75,"")</f>
        <v/>
      </c>
    </row>
    <row r="480" spans="1:109" x14ac:dyDescent="0.2">
      <c r="A480" s="39" t="str">
        <f>IFERROR(ödev!L76*100/ödev!$I76,"")</f>
        <v/>
      </c>
      <c r="B480" s="39" t="str">
        <f>IFERROR(ödev!M76*100/ödev!$I76,"")</f>
        <v/>
      </c>
      <c r="C480" s="39" t="str">
        <f>IFERROR(ödev!N76*100/ödev!$I76,"")</f>
        <v/>
      </c>
      <c r="D480" s="39" t="str">
        <f>IFERROR(ödev!O76*100/ödev!$I76,"")</f>
        <v/>
      </c>
      <c r="E480" s="39" t="str">
        <f>IFERROR(ödev!P76*100/ödev!$I76,"")</f>
        <v/>
      </c>
      <c r="F480" s="39" t="str">
        <f>IFERROR(ödev!Q76*100/ödev!$I76,"")</f>
        <v/>
      </c>
      <c r="G480" s="39" t="str">
        <f>IFERROR(ödev!R76*100/ödev!$I76,"")</f>
        <v/>
      </c>
      <c r="H480" s="39" t="str">
        <f>IFERROR(ödev!S76*100/ödev!$I76,"")</f>
        <v/>
      </c>
      <c r="I480" s="39" t="str">
        <f>IFERROR(ödev!T76*100/ödev!$I76,"")</f>
        <v/>
      </c>
      <c r="J480" s="39" t="str">
        <f>IFERROR(ödev!U76*100/ödev!$I76,"")</f>
        <v/>
      </c>
      <c r="K480" s="39" t="str">
        <f>IFERROR(ödev!V76*100/ödev!$I76,"")</f>
        <v/>
      </c>
      <c r="L480" s="39" t="str">
        <f>IFERROR(ödev!W76*100/ödev!$I76,"")</f>
        <v/>
      </c>
      <c r="M480" s="39" t="str">
        <f>IFERROR(ödev!X76*100/ödev!$I76,"")</f>
        <v/>
      </c>
      <c r="N480" s="39" t="str">
        <f>IFERROR(ödev!Y76*100/ödev!$I76,"")</f>
        <v/>
      </c>
      <c r="O480" s="39" t="str">
        <f>IFERROR(ödev!Z76*100/ödev!$I76,"")</f>
        <v/>
      </c>
      <c r="P480" s="39" t="str">
        <f>IFERROR(ödev!AA76*100/ödev!$I76,"")</f>
        <v/>
      </c>
      <c r="Q480" s="39" t="str">
        <f>IFERROR(ödev!AB76*100/ödev!$I76,"")</f>
        <v/>
      </c>
      <c r="R480" s="39" t="str">
        <f>IFERROR(ödev!AC76*100/ödev!$I76,"")</f>
        <v/>
      </c>
      <c r="S480" s="39" t="str">
        <f>IFERROR(ödev!AD76*100/ödev!$I76,"")</f>
        <v/>
      </c>
      <c r="T480" s="39" t="str">
        <f>IFERROR(ödev!AE76*100/ödev!$I76,"")</f>
        <v/>
      </c>
      <c r="U480" s="39" t="str">
        <f>IFERROR(ödev!AF76*100/ödev!$I76,"")</f>
        <v/>
      </c>
      <c r="V480" s="39" t="str">
        <f>IFERROR(ödev!AG76*100/ödev!$I76,"")</f>
        <v/>
      </c>
      <c r="W480" s="39" t="str">
        <f>IFERROR(ödev!AH76*100/ödev!$I76,"")</f>
        <v/>
      </c>
      <c r="X480" s="39" t="str">
        <f>IFERROR(ödev!AI76*100/ödev!$I76,"")</f>
        <v/>
      </c>
      <c r="Y480" s="39" t="str">
        <f>IFERROR(ödev!AJ76*100/ödev!$I76,"")</f>
        <v/>
      </c>
      <c r="Z480" s="39" t="str">
        <f>IFERROR(ödev!AK76*100/ödev!$I76,"")</f>
        <v/>
      </c>
      <c r="AA480" s="39" t="str">
        <f>IFERROR(ödev!AL76*100/ödev!$I76,"")</f>
        <v/>
      </c>
      <c r="AB480" s="39" t="str">
        <f>IFERROR(ödev!AM76*100/ödev!$I76,"")</f>
        <v/>
      </c>
      <c r="AC480" s="39" t="str">
        <f>IFERROR(ödev!AN76*100/ödev!$I76,"")</f>
        <v/>
      </c>
      <c r="AD480" s="39" t="str">
        <f>IFERROR(ödev!AO76*100/ödev!$I76,"")</f>
        <v/>
      </c>
      <c r="AE480" s="39" t="str">
        <f>IFERROR(ödev!AP76*100/ödev!$I76,"")</f>
        <v/>
      </c>
      <c r="AF480" s="39" t="str">
        <f>IFERROR(ödev!AQ76*100/ödev!$I76,"")</f>
        <v/>
      </c>
      <c r="AG480" s="39" t="str">
        <f>IFERROR(ödev!AR76*100/ödev!$I76,"")</f>
        <v/>
      </c>
      <c r="AH480" s="39" t="str">
        <f>IFERROR(ödev!AS76*100/ödev!$I76,"")</f>
        <v/>
      </c>
      <c r="AI480" s="39" t="str">
        <f>IFERROR(ödev!AT76*100/ödev!$I76,"")</f>
        <v/>
      </c>
      <c r="AJ480" s="39" t="str">
        <f>IFERROR(ödev!AU76*100/ödev!$I76,"")</f>
        <v/>
      </c>
      <c r="AK480" s="39" t="str">
        <f>IFERROR(ödev!AV76*100/ödev!$I76,"")</f>
        <v/>
      </c>
      <c r="AL480" s="39" t="str">
        <f>IFERROR(ödev!AW76*100/ödev!$I76,"")</f>
        <v/>
      </c>
      <c r="AM480" s="39" t="str">
        <f>IFERROR(ödev!AX76*100/ödev!$I76,"")</f>
        <v/>
      </c>
      <c r="AN480" s="39" t="str">
        <f>IFERROR(ödev!AY76*100/ödev!$I76,"")</f>
        <v/>
      </c>
      <c r="AO480" s="39" t="str">
        <f>IFERROR(ödev!AZ76*100/ödev!$I76,"")</f>
        <v/>
      </c>
      <c r="AP480" s="39" t="str">
        <f>IFERROR(ödev!BA76*100/ödev!$I76,"")</f>
        <v/>
      </c>
      <c r="AQ480" s="39" t="str">
        <f>IFERROR(ödev!BB76*100/ödev!$I76,"")</f>
        <v/>
      </c>
      <c r="AR480" s="39" t="str">
        <f>IFERROR(ödev!BC76*100/ödev!$I76,"")</f>
        <v/>
      </c>
      <c r="AS480" s="39" t="str">
        <f>IFERROR(ödev!BD76*100/ödev!$I76,"")</f>
        <v/>
      </c>
      <c r="AT480" s="39" t="str">
        <f>IFERROR(ödev!BE76*100/ödev!$I76,"")</f>
        <v/>
      </c>
      <c r="AU480" s="39" t="str">
        <f>IFERROR(ödev!BF76*100/ödev!$I76,"")</f>
        <v/>
      </c>
      <c r="AV480" s="39" t="str">
        <f>IFERROR(ödev!BG76*100/ödev!$I76,"")</f>
        <v/>
      </c>
      <c r="AW480" s="39" t="str">
        <f>IFERROR(ödev!BH76*100/ödev!$I76,"")</f>
        <v/>
      </c>
      <c r="AX480" s="39" t="str">
        <f>IFERROR(ödev!BI76*100/ödev!$I76,"")</f>
        <v/>
      </c>
      <c r="AY480" s="39" t="str">
        <f>IFERROR(ödev!BJ76*100/ödev!$I76,"")</f>
        <v/>
      </c>
      <c r="AZ480" s="39" t="str">
        <f>IFERROR(ödev!BK76*100/ödev!$I76,"")</f>
        <v/>
      </c>
      <c r="BA480" s="39" t="str">
        <f>IFERROR(ödev!BL76*100/ödev!$I76,"")</f>
        <v/>
      </c>
      <c r="BB480" s="39" t="str">
        <f>IFERROR(ödev!BM76*100/ödev!$I76,"")</f>
        <v/>
      </c>
      <c r="BC480" s="39" t="str">
        <f>IFERROR(ödev!BN76*100/ödev!$I76,"")</f>
        <v/>
      </c>
      <c r="BD480" s="39" t="str">
        <f>IFERROR(ödev!BO76*100/ödev!$I76,"")</f>
        <v/>
      </c>
      <c r="BE480" s="39" t="str">
        <f>IFERROR(ödev!BP76*100/ödev!$I76,"")</f>
        <v/>
      </c>
      <c r="BF480" s="39" t="str">
        <f>IFERROR(ödev!BQ76*100/ödev!$I76,"")</f>
        <v/>
      </c>
      <c r="BG480" s="39" t="str">
        <f>IFERROR(ödev!BR76*100/ödev!$I76,"")</f>
        <v/>
      </c>
      <c r="BH480" s="39" t="str">
        <f>IFERROR(ödev!BS76*100/ödev!$I76,"")</f>
        <v/>
      </c>
      <c r="BI480" s="39" t="str">
        <f>IFERROR(ödev!BT76*100/ödev!$I76,"")</f>
        <v/>
      </c>
      <c r="BJ480" s="39" t="str">
        <f>IFERROR(ödev!BU76*100/ödev!$I76,"")</f>
        <v/>
      </c>
      <c r="BK480" s="39" t="str">
        <f>IFERROR(ödev!BV76*100/ödev!$I76,"")</f>
        <v/>
      </c>
      <c r="BL480" s="39" t="str">
        <f>IFERROR(ödev!BW76*100/ödev!$I76,"")</f>
        <v/>
      </c>
      <c r="BM480" s="39" t="str">
        <f>IFERROR(ödev!BX76*100/ödev!$I76,"")</f>
        <v/>
      </c>
      <c r="BN480" s="39" t="str">
        <f>IFERROR(ödev!BY76*100/ödev!$I76,"")</f>
        <v/>
      </c>
      <c r="BO480" s="39" t="str">
        <f>IFERROR(ödev!BZ76*100/ödev!$I76,"")</f>
        <v/>
      </c>
      <c r="BP480" s="39" t="str">
        <f>IFERROR(ödev!CA76*100/ödev!$I76,"")</f>
        <v/>
      </c>
      <c r="BQ480" s="39" t="str">
        <f>IFERROR(ödev!CB76*100/ödev!$I76,"")</f>
        <v/>
      </c>
      <c r="BR480" s="39" t="str">
        <f>IFERROR(ödev!CC76*100/ödev!$I76,"")</f>
        <v/>
      </c>
      <c r="BS480" s="39" t="str">
        <f>IFERROR(ödev!CD76*100/ödev!$I76,"")</f>
        <v/>
      </c>
      <c r="BT480" s="39" t="str">
        <f>IFERROR(ödev!CE76*100/ödev!$I76,"")</f>
        <v/>
      </c>
      <c r="BU480" s="39" t="str">
        <f>IFERROR(ödev!CF76*100/ödev!$I76,"")</f>
        <v/>
      </c>
      <c r="BV480" s="39" t="str">
        <f>IFERROR(ödev!CG76*100/ödev!$I76,"")</f>
        <v/>
      </c>
      <c r="BW480" s="39" t="str">
        <f>IFERROR(ödev!CH76*100/ödev!$I76,"")</f>
        <v/>
      </c>
      <c r="BX480" s="39" t="str">
        <f>IFERROR(ödev!CI76*100/ödev!$I76,"")</f>
        <v/>
      </c>
      <c r="BY480" s="39" t="str">
        <f>IFERROR(ödev!CJ76*100/ödev!$I76,"")</f>
        <v/>
      </c>
      <c r="BZ480" s="39" t="str">
        <f>IFERROR(ödev!CK76*100/ödev!$I76,"")</f>
        <v/>
      </c>
      <c r="CA480" s="39" t="str">
        <f>IFERROR(ödev!CL76*100/ödev!$I76,"")</f>
        <v/>
      </c>
      <c r="CB480" s="39" t="str">
        <f>IFERROR(ödev!CM76*100/ödev!$I76,"")</f>
        <v/>
      </c>
      <c r="CC480" s="39" t="str">
        <f>IFERROR(ödev!CN76*100/ödev!$I76,"")</f>
        <v/>
      </c>
      <c r="CD480" s="39" t="str">
        <f>IFERROR(ödev!CO76*100/ödev!$I76,"")</f>
        <v/>
      </c>
      <c r="CE480" s="39" t="str">
        <f>IFERROR(ödev!CP76*100/ödev!$I76,"")</f>
        <v/>
      </c>
      <c r="CF480" s="39" t="str">
        <f>IFERROR(ödev!CQ76*100/ödev!$I76,"")</f>
        <v/>
      </c>
      <c r="CG480" s="39" t="str">
        <f>IFERROR(ödev!CR76*100/ödev!$I76,"")</f>
        <v/>
      </c>
      <c r="CH480" s="39" t="str">
        <f>IFERROR(ödev!CS76*100/ödev!$I76,"")</f>
        <v/>
      </c>
      <c r="CI480" s="39" t="str">
        <f>IFERROR(ödev!CT76*100/ödev!$I76,"")</f>
        <v/>
      </c>
      <c r="CJ480" s="39" t="str">
        <f>IFERROR(ödev!CU76*100/ödev!$I76,"")</f>
        <v/>
      </c>
      <c r="CK480" s="39" t="str">
        <f>IFERROR(ödev!CV76*100/ödev!$I76,"")</f>
        <v/>
      </c>
      <c r="CL480" s="39" t="str">
        <f>IFERROR(ödev!CW76*100/ödev!$I76,"")</f>
        <v/>
      </c>
      <c r="CM480" s="39" t="str">
        <f>IFERROR(ödev!CX76*100/ödev!$I76,"")</f>
        <v/>
      </c>
      <c r="CN480" s="39" t="str">
        <f>IFERROR(ödev!CY76*100/ödev!$I76,"")</f>
        <v/>
      </c>
      <c r="CO480" s="39" t="str">
        <f>IFERROR(ödev!CZ76*100/ödev!$I76,"")</f>
        <v/>
      </c>
      <c r="CP480" s="39" t="str">
        <f>IFERROR(ödev!DA76*100/ödev!$I76,"")</f>
        <v/>
      </c>
      <c r="CQ480" s="39" t="str">
        <f>IFERROR(ödev!DB76*100/ödev!$I76,"")</f>
        <v/>
      </c>
      <c r="CR480" s="39" t="str">
        <f>IFERROR(ödev!DC76*100/ödev!$I76,"")</f>
        <v/>
      </c>
      <c r="CS480" s="39" t="str">
        <f>IFERROR(ödev!DD76*100/ödev!$I76,"")</f>
        <v/>
      </c>
      <c r="CT480" s="39" t="str">
        <f>IFERROR(ödev!DE76*100/ödev!$I76,"")</f>
        <v/>
      </c>
      <c r="CU480" s="39" t="str">
        <f>IFERROR(ödev!DF76*100/ödev!$I76,"")</f>
        <v/>
      </c>
      <c r="CV480" s="39" t="str">
        <f>IFERROR(ödev!DG76*100/ödev!$I76,"")</f>
        <v/>
      </c>
      <c r="CW480" s="36" t="str">
        <f>IFERROR(SUM(A480:CV480)/ödev!$DH$103,"")</f>
        <v/>
      </c>
      <c r="CX480" s="14" t="str">
        <f>IF(COUNTA(ödev!A76),ödev!A76,"")</f>
        <v/>
      </c>
      <c r="CY480" s="14" t="str">
        <f>IF(COUNTA(ödev!B76),ödev!B76,"")</f>
        <v/>
      </c>
      <c r="CZ480" s="14" t="str">
        <f>IF(COUNTA(ödev!C76),ödev!C76,"")</f>
        <v/>
      </c>
      <c r="DA480" s="14" t="str">
        <f>IF(COUNTA(ödev!D76),ödev!D76,"")</f>
        <v/>
      </c>
      <c r="DB480" s="14" t="str">
        <f>IF(COUNTA(ödev!E76),ödev!E76,"")</f>
        <v/>
      </c>
      <c r="DC480" s="14" t="str">
        <f>IF(COUNTA(ödev!F76),ödev!F76,"")</f>
        <v/>
      </c>
      <c r="DD480" s="14" t="str">
        <f>IF(COUNTA(ödev!G76),ödev!G76,"")</f>
        <v/>
      </c>
      <c r="DE480" s="14" t="str">
        <f>IF(COUNTA(ödev!H76),ödev!H76,"")</f>
        <v/>
      </c>
    </row>
    <row r="481" spans="1:109" x14ac:dyDescent="0.2">
      <c r="A481" s="39" t="str">
        <f>IFERROR(ödev!L77*100/ödev!$I77,"")</f>
        <v/>
      </c>
      <c r="B481" s="39" t="str">
        <f>IFERROR(ödev!M77*100/ödev!$I77,"")</f>
        <v/>
      </c>
      <c r="C481" s="39" t="str">
        <f>IFERROR(ödev!N77*100/ödev!$I77,"")</f>
        <v/>
      </c>
      <c r="D481" s="39" t="str">
        <f>IFERROR(ödev!O77*100/ödev!$I77,"")</f>
        <v/>
      </c>
      <c r="E481" s="39" t="str">
        <f>IFERROR(ödev!P77*100/ödev!$I77,"")</f>
        <v/>
      </c>
      <c r="F481" s="39" t="str">
        <f>IFERROR(ödev!Q77*100/ödev!$I77,"")</f>
        <v/>
      </c>
      <c r="G481" s="39" t="str">
        <f>IFERROR(ödev!R77*100/ödev!$I77,"")</f>
        <v/>
      </c>
      <c r="H481" s="39" t="str">
        <f>IFERROR(ödev!S77*100/ödev!$I77,"")</f>
        <v/>
      </c>
      <c r="I481" s="39" t="str">
        <f>IFERROR(ödev!T77*100/ödev!$I77,"")</f>
        <v/>
      </c>
      <c r="J481" s="39" t="str">
        <f>IFERROR(ödev!U77*100/ödev!$I77,"")</f>
        <v/>
      </c>
      <c r="K481" s="39" t="str">
        <f>IFERROR(ödev!V77*100/ödev!$I77,"")</f>
        <v/>
      </c>
      <c r="L481" s="39" t="str">
        <f>IFERROR(ödev!W77*100/ödev!$I77,"")</f>
        <v/>
      </c>
      <c r="M481" s="39" t="str">
        <f>IFERROR(ödev!X77*100/ödev!$I77,"")</f>
        <v/>
      </c>
      <c r="N481" s="39" t="str">
        <f>IFERROR(ödev!Y77*100/ödev!$I77,"")</f>
        <v/>
      </c>
      <c r="O481" s="39" t="str">
        <f>IFERROR(ödev!Z77*100/ödev!$I77,"")</f>
        <v/>
      </c>
      <c r="P481" s="39" t="str">
        <f>IFERROR(ödev!AA77*100/ödev!$I77,"")</f>
        <v/>
      </c>
      <c r="Q481" s="39" t="str">
        <f>IFERROR(ödev!AB77*100/ödev!$I77,"")</f>
        <v/>
      </c>
      <c r="R481" s="39" t="str">
        <f>IFERROR(ödev!AC77*100/ödev!$I77,"")</f>
        <v/>
      </c>
      <c r="S481" s="39" t="str">
        <f>IFERROR(ödev!AD77*100/ödev!$I77,"")</f>
        <v/>
      </c>
      <c r="T481" s="39" t="str">
        <f>IFERROR(ödev!AE77*100/ödev!$I77,"")</f>
        <v/>
      </c>
      <c r="U481" s="39" t="str">
        <f>IFERROR(ödev!AF77*100/ödev!$I77,"")</f>
        <v/>
      </c>
      <c r="V481" s="39" t="str">
        <f>IFERROR(ödev!AG77*100/ödev!$I77,"")</f>
        <v/>
      </c>
      <c r="W481" s="39" t="str">
        <f>IFERROR(ödev!AH77*100/ödev!$I77,"")</f>
        <v/>
      </c>
      <c r="X481" s="39" t="str">
        <f>IFERROR(ödev!AI77*100/ödev!$I77,"")</f>
        <v/>
      </c>
      <c r="Y481" s="39" t="str">
        <f>IFERROR(ödev!AJ77*100/ödev!$I77,"")</f>
        <v/>
      </c>
      <c r="Z481" s="39" t="str">
        <f>IFERROR(ödev!AK77*100/ödev!$I77,"")</f>
        <v/>
      </c>
      <c r="AA481" s="39" t="str">
        <f>IFERROR(ödev!AL77*100/ödev!$I77,"")</f>
        <v/>
      </c>
      <c r="AB481" s="39" t="str">
        <f>IFERROR(ödev!AM77*100/ödev!$I77,"")</f>
        <v/>
      </c>
      <c r="AC481" s="39" t="str">
        <f>IFERROR(ödev!AN77*100/ödev!$I77,"")</f>
        <v/>
      </c>
      <c r="AD481" s="39" t="str">
        <f>IFERROR(ödev!AO77*100/ödev!$I77,"")</f>
        <v/>
      </c>
      <c r="AE481" s="39" t="str">
        <f>IFERROR(ödev!AP77*100/ödev!$I77,"")</f>
        <v/>
      </c>
      <c r="AF481" s="39" t="str">
        <f>IFERROR(ödev!AQ77*100/ödev!$I77,"")</f>
        <v/>
      </c>
      <c r="AG481" s="39" t="str">
        <f>IFERROR(ödev!AR77*100/ödev!$I77,"")</f>
        <v/>
      </c>
      <c r="AH481" s="39" t="str">
        <f>IFERROR(ödev!AS77*100/ödev!$I77,"")</f>
        <v/>
      </c>
      <c r="AI481" s="39" t="str">
        <f>IFERROR(ödev!AT77*100/ödev!$I77,"")</f>
        <v/>
      </c>
      <c r="AJ481" s="39" t="str">
        <f>IFERROR(ödev!AU77*100/ödev!$I77,"")</f>
        <v/>
      </c>
      <c r="AK481" s="39" t="str">
        <f>IFERROR(ödev!AV77*100/ödev!$I77,"")</f>
        <v/>
      </c>
      <c r="AL481" s="39" t="str">
        <f>IFERROR(ödev!AW77*100/ödev!$I77,"")</f>
        <v/>
      </c>
      <c r="AM481" s="39" t="str">
        <f>IFERROR(ödev!AX77*100/ödev!$I77,"")</f>
        <v/>
      </c>
      <c r="AN481" s="39" t="str">
        <f>IFERROR(ödev!AY77*100/ödev!$I77,"")</f>
        <v/>
      </c>
      <c r="AO481" s="39" t="str">
        <f>IFERROR(ödev!AZ77*100/ödev!$I77,"")</f>
        <v/>
      </c>
      <c r="AP481" s="39" t="str">
        <f>IFERROR(ödev!BA77*100/ödev!$I77,"")</f>
        <v/>
      </c>
      <c r="AQ481" s="39" t="str">
        <f>IFERROR(ödev!BB77*100/ödev!$I77,"")</f>
        <v/>
      </c>
      <c r="AR481" s="39" t="str">
        <f>IFERROR(ödev!BC77*100/ödev!$I77,"")</f>
        <v/>
      </c>
      <c r="AS481" s="39" t="str">
        <f>IFERROR(ödev!BD77*100/ödev!$I77,"")</f>
        <v/>
      </c>
      <c r="AT481" s="39" t="str">
        <f>IFERROR(ödev!BE77*100/ödev!$I77,"")</f>
        <v/>
      </c>
      <c r="AU481" s="39" t="str">
        <f>IFERROR(ödev!BF77*100/ödev!$I77,"")</f>
        <v/>
      </c>
      <c r="AV481" s="39" t="str">
        <f>IFERROR(ödev!BG77*100/ödev!$I77,"")</f>
        <v/>
      </c>
      <c r="AW481" s="39" t="str">
        <f>IFERROR(ödev!BH77*100/ödev!$I77,"")</f>
        <v/>
      </c>
      <c r="AX481" s="39" t="str">
        <f>IFERROR(ödev!BI77*100/ödev!$I77,"")</f>
        <v/>
      </c>
      <c r="AY481" s="39" t="str">
        <f>IFERROR(ödev!BJ77*100/ödev!$I77,"")</f>
        <v/>
      </c>
      <c r="AZ481" s="39" t="str">
        <f>IFERROR(ödev!BK77*100/ödev!$I77,"")</f>
        <v/>
      </c>
      <c r="BA481" s="39" t="str">
        <f>IFERROR(ödev!BL77*100/ödev!$I77,"")</f>
        <v/>
      </c>
      <c r="BB481" s="39" t="str">
        <f>IFERROR(ödev!BM77*100/ödev!$I77,"")</f>
        <v/>
      </c>
      <c r="BC481" s="39" t="str">
        <f>IFERROR(ödev!BN77*100/ödev!$I77,"")</f>
        <v/>
      </c>
      <c r="BD481" s="39" t="str">
        <f>IFERROR(ödev!BO77*100/ödev!$I77,"")</f>
        <v/>
      </c>
      <c r="BE481" s="39" t="str">
        <f>IFERROR(ödev!BP77*100/ödev!$I77,"")</f>
        <v/>
      </c>
      <c r="BF481" s="39" t="str">
        <f>IFERROR(ödev!BQ77*100/ödev!$I77,"")</f>
        <v/>
      </c>
      <c r="BG481" s="39" t="str">
        <f>IFERROR(ödev!BR77*100/ödev!$I77,"")</f>
        <v/>
      </c>
      <c r="BH481" s="39" t="str">
        <f>IFERROR(ödev!BS77*100/ödev!$I77,"")</f>
        <v/>
      </c>
      <c r="BI481" s="39" t="str">
        <f>IFERROR(ödev!BT77*100/ödev!$I77,"")</f>
        <v/>
      </c>
      <c r="BJ481" s="39" t="str">
        <f>IFERROR(ödev!BU77*100/ödev!$I77,"")</f>
        <v/>
      </c>
      <c r="BK481" s="39" t="str">
        <f>IFERROR(ödev!BV77*100/ödev!$I77,"")</f>
        <v/>
      </c>
      <c r="BL481" s="39" t="str">
        <f>IFERROR(ödev!BW77*100/ödev!$I77,"")</f>
        <v/>
      </c>
      <c r="BM481" s="39" t="str">
        <f>IFERROR(ödev!BX77*100/ödev!$I77,"")</f>
        <v/>
      </c>
      <c r="BN481" s="39" t="str">
        <f>IFERROR(ödev!BY77*100/ödev!$I77,"")</f>
        <v/>
      </c>
      <c r="BO481" s="39" t="str">
        <f>IFERROR(ödev!BZ77*100/ödev!$I77,"")</f>
        <v/>
      </c>
      <c r="BP481" s="39" t="str">
        <f>IFERROR(ödev!CA77*100/ödev!$I77,"")</f>
        <v/>
      </c>
      <c r="BQ481" s="39" t="str">
        <f>IFERROR(ödev!CB77*100/ödev!$I77,"")</f>
        <v/>
      </c>
      <c r="BR481" s="39" t="str">
        <f>IFERROR(ödev!CC77*100/ödev!$I77,"")</f>
        <v/>
      </c>
      <c r="BS481" s="39" t="str">
        <f>IFERROR(ödev!CD77*100/ödev!$I77,"")</f>
        <v/>
      </c>
      <c r="BT481" s="39" t="str">
        <f>IFERROR(ödev!CE77*100/ödev!$I77,"")</f>
        <v/>
      </c>
      <c r="BU481" s="39" t="str">
        <f>IFERROR(ödev!CF77*100/ödev!$I77,"")</f>
        <v/>
      </c>
      <c r="BV481" s="39" t="str">
        <f>IFERROR(ödev!CG77*100/ödev!$I77,"")</f>
        <v/>
      </c>
      <c r="BW481" s="39" t="str">
        <f>IFERROR(ödev!CH77*100/ödev!$I77,"")</f>
        <v/>
      </c>
      <c r="BX481" s="39" t="str">
        <f>IFERROR(ödev!CI77*100/ödev!$I77,"")</f>
        <v/>
      </c>
      <c r="BY481" s="39" t="str">
        <f>IFERROR(ödev!CJ77*100/ödev!$I77,"")</f>
        <v/>
      </c>
      <c r="BZ481" s="39" t="str">
        <f>IFERROR(ödev!CK77*100/ödev!$I77,"")</f>
        <v/>
      </c>
      <c r="CA481" s="39" t="str">
        <f>IFERROR(ödev!CL77*100/ödev!$I77,"")</f>
        <v/>
      </c>
      <c r="CB481" s="39" t="str">
        <f>IFERROR(ödev!CM77*100/ödev!$I77,"")</f>
        <v/>
      </c>
      <c r="CC481" s="39" t="str">
        <f>IFERROR(ödev!CN77*100/ödev!$I77,"")</f>
        <v/>
      </c>
      <c r="CD481" s="39" t="str">
        <f>IFERROR(ödev!CO77*100/ödev!$I77,"")</f>
        <v/>
      </c>
      <c r="CE481" s="39" t="str">
        <f>IFERROR(ödev!CP77*100/ödev!$I77,"")</f>
        <v/>
      </c>
      <c r="CF481" s="39" t="str">
        <f>IFERROR(ödev!CQ77*100/ödev!$I77,"")</f>
        <v/>
      </c>
      <c r="CG481" s="39" t="str">
        <f>IFERROR(ödev!CR77*100/ödev!$I77,"")</f>
        <v/>
      </c>
      <c r="CH481" s="39" t="str">
        <f>IFERROR(ödev!CS77*100/ödev!$I77,"")</f>
        <v/>
      </c>
      <c r="CI481" s="39" t="str">
        <f>IFERROR(ödev!CT77*100/ödev!$I77,"")</f>
        <v/>
      </c>
      <c r="CJ481" s="39" t="str">
        <f>IFERROR(ödev!CU77*100/ödev!$I77,"")</f>
        <v/>
      </c>
      <c r="CK481" s="39" t="str">
        <f>IFERROR(ödev!CV77*100/ödev!$I77,"")</f>
        <v/>
      </c>
      <c r="CL481" s="39" t="str">
        <f>IFERROR(ödev!CW77*100/ödev!$I77,"")</f>
        <v/>
      </c>
      <c r="CM481" s="39" t="str">
        <f>IFERROR(ödev!CX77*100/ödev!$I77,"")</f>
        <v/>
      </c>
      <c r="CN481" s="39" t="str">
        <f>IFERROR(ödev!CY77*100/ödev!$I77,"")</f>
        <v/>
      </c>
      <c r="CO481" s="39" t="str">
        <f>IFERROR(ödev!CZ77*100/ödev!$I77,"")</f>
        <v/>
      </c>
      <c r="CP481" s="39" t="str">
        <f>IFERROR(ödev!DA77*100/ödev!$I77,"")</f>
        <v/>
      </c>
      <c r="CQ481" s="39" t="str">
        <f>IFERROR(ödev!DB77*100/ödev!$I77,"")</f>
        <v/>
      </c>
      <c r="CR481" s="39" t="str">
        <f>IFERROR(ödev!DC77*100/ödev!$I77,"")</f>
        <v/>
      </c>
      <c r="CS481" s="39" t="str">
        <f>IFERROR(ödev!DD77*100/ödev!$I77,"")</f>
        <v/>
      </c>
      <c r="CT481" s="39" t="str">
        <f>IFERROR(ödev!DE77*100/ödev!$I77,"")</f>
        <v/>
      </c>
      <c r="CU481" s="39" t="str">
        <f>IFERROR(ödev!DF77*100/ödev!$I77,"")</f>
        <v/>
      </c>
      <c r="CV481" s="39" t="str">
        <f>IFERROR(ödev!DG77*100/ödev!$I77,"")</f>
        <v/>
      </c>
      <c r="CW481" s="36" t="str">
        <f>IFERROR(SUM(A481:CV481)/ödev!$DH$103,"")</f>
        <v/>
      </c>
      <c r="CX481" s="14" t="str">
        <f>IF(COUNTA(ödev!A77),ödev!A77,"")</f>
        <v/>
      </c>
      <c r="CY481" s="14" t="str">
        <f>IF(COUNTA(ödev!B77),ödev!B77,"")</f>
        <v/>
      </c>
      <c r="CZ481" s="14" t="str">
        <f>IF(COUNTA(ödev!C77),ödev!C77,"")</f>
        <v/>
      </c>
      <c r="DA481" s="14" t="str">
        <f>IF(COUNTA(ödev!D77),ödev!D77,"")</f>
        <v/>
      </c>
      <c r="DB481" s="14" t="str">
        <f>IF(COUNTA(ödev!E77),ödev!E77,"")</f>
        <v/>
      </c>
      <c r="DC481" s="14" t="str">
        <f>IF(COUNTA(ödev!F77),ödev!F77,"")</f>
        <v/>
      </c>
      <c r="DD481" s="14" t="str">
        <f>IF(COUNTA(ödev!G77),ödev!G77,"")</f>
        <v/>
      </c>
      <c r="DE481" s="14" t="str">
        <f>IF(COUNTA(ödev!H77),ödev!H77,"")</f>
        <v/>
      </c>
    </row>
    <row r="482" spans="1:109" x14ac:dyDescent="0.2">
      <c r="A482" s="39" t="str">
        <f>IFERROR(ödev!L78*100/ödev!$I78,"")</f>
        <v/>
      </c>
      <c r="B482" s="39" t="str">
        <f>IFERROR(ödev!M78*100/ödev!$I78,"")</f>
        <v/>
      </c>
      <c r="C482" s="39" t="str">
        <f>IFERROR(ödev!N78*100/ödev!$I78,"")</f>
        <v/>
      </c>
      <c r="D482" s="39" t="str">
        <f>IFERROR(ödev!O78*100/ödev!$I78,"")</f>
        <v/>
      </c>
      <c r="E482" s="39" t="str">
        <f>IFERROR(ödev!P78*100/ödev!$I78,"")</f>
        <v/>
      </c>
      <c r="F482" s="39" t="str">
        <f>IFERROR(ödev!Q78*100/ödev!$I78,"")</f>
        <v/>
      </c>
      <c r="G482" s="39" t="str">
        <f>IFERROR(ödev!R78*100/ödev!$I78,"")</f>
        <v/>
      </c>
      <c r="H482" s="39" t="str">
        <f>IFERROR(ödev!S78*100/ödev!$I78,"")</f>
        <v/>
      </c>
      <c r="I482" s="39" t="str">
        <f>IFERROR(ödev!T78*100/ödev!$I78,"")</f>
        <v/>
      </c>
      <c r="J482" s="39" t="str">
        <f>IFERROR(ödev!U78*100/ödev!$I78,"")</f>
        <v/>
      </c>
      <c r="K482" s="39" t="str">
        <f>IFERROR(ödev!V78*100/ödev!$I78,"")</f>
        <v/>
      </c>
      <c r="L482" s="39" t="str">
        <f>IFERROR(ödev!W78*100/ödev!$I78,"")</f>
        <v/>
      </c>
      <c r="M482" s="39" t="str">
        <f>IFERROR(ödev!X78*100/ödev!$I78,"")</f>
        <v/>
      </c>
      <c r="N482" s="39" t="str">
        <f>IFERROR(ödev!Y78*100/ödev!$I78,"")</f>
        <v/>
      </c>
      <c r="O482" s="39" t="str">
        <f>IFERROR(ödev!Z78*100/ödev!$I78,"")</f>
        <v/>
      </c>
      <c r="P482" s="39" t="str">
        <f>IFERROR(ödev!AA78*100/ödev!$I78,"")</f>
        <v/>
      </c>
      <c r="Q482" s="39" t="str">
        <f>IFERROR(ödev!AB78*100/ödev!$I78,"")</f>
        <v/>
      </c>
      <c r="R482" s="39" t="str">
        <f>IFERROR(ödev!AC78*100/ödev!$I78,"")</f>
        <v/>
      </c>
      <c r="S482" s="39" t="str">
        <f>IFERROR(ödev!AD78*100/ödev!$I78,"")</f>
        <v/>
      </c>
      <c r="T482" s="39" t="str">
        <f>IFERROR(ödev!AE78*100/ödev!$I78,"")</f>
        <v/>
      </c>
      <c r="U482" s="39" t="str">
        <f>IFERROR(ödev!AF78*100/ödev!$I78,"")</f>
        <v/>
      </c>
      <c r="V482" s="39" t="str">
        <f>IFERROR(ödev!AG78*100/ödev!$I78,"")</f>
        <v/>
      </c>
      <c r="W482" s="39" t="str">
        <f>IFERROR(ödev!AH78*100/ödev!$I78,"")</f>
        <v/>
      </c>
      <c r="X482" s="39" t="str">
        <f>IFERROR(ödev!AI78*100/ödev!$I78,"")</f>
        <v/>
      </c>
      <c r="Y482" s="39" t="str">
        <f>IFERROR(ödev!AJ78*100/ödev!$I78,"")</f>
        <v/>
      </c>
      <c r="Z482" s="39" t="str">
        <f>IFERROR(ödev!AK78*100/ödev!$I78,"")</f>
        <v/>
      </c>
      <c r="AA482" s="39" t="str">
        <f>IFERROR(ödev!AL78*100/ödev!$I78,"")</f>
        <v/>
      </c>
      <c r="AB482" s="39" t="str">
        <f>IFERROR(ödev!AM78*100/ödev!$I78,"")</f>
        <v/>
      </c>
      <c r="AC482" s="39" t="str">
        <f>IFERROR(ödev!AN78*100/ödev!$I78,"")</f>
        <v/>
      </c>
      <c r="AD482" s="39" t="str">
        <f>IFERROR(ödev!AO78*100/ödev!$I78,"")</f>
        <v/>
      </c>
      <c r="AE482" s="39" t="str">
        <f>IFERROR(ödev!AP78*100/ödev!$I78,"")</f>
        <v/>
      </c>
      <c r="AF482" s="39" t="str">
        <f>IFERROR(ödev!AQ78*100/ödev!$I78,"")</f>
        <v/>
      </c>
      <c r="AG482" s="39" t="str">
        <f>IFERROR(ödev!AR78*100/ödev!$I78,"")</f>
        <v/>
      </c>
      <c r="AH482" s="39" t="str">
        <f>IFERROR(ödev!AS78*100/ödev!$I78,"")</f>
        <v/>
      </c>
      <c r="AI482" s="39" t="str">
        <f>IFERROR(ödev!AT78*100/ödev!$I78,"")</f>
        <v/>
      </c>
      <c r="AJ482" s="39" t="str">
        <f>IFERROR(ödev!AU78*100/ödev!$I78,"")</f>
        <v/>
      </c>
      <c r="AK482" s="39" t="str">
        <f>IFERROR(ödev!AV78*100/ödev!$I78,"")</f>
        <v/>
      </c>
      <c r="AL482" s="39" t="str">
        <f>IFERROR(ödev!AW78*100/ödev!$I78,"")</f>
        <v/>
      </c>
      <c r="AM482" s="39" t="str">
        <f>IFERROR(ödev!AX78*100/ödev!$I78,"")</f>
        <v/>
      </c>
      <c r="AN482" s="39" t="str">
        <f>IFERROR(ödev!AY78*100/ödev!$I78,"")</f>
        <v/>
      </c>
      <c r="AO482" s="39" t="str">
        <f>IFERROR(ödev!AZ78*100/ödev!$I78,"")</f>
        <v/>
      </c>
      <c r="AP482" s="39" t="str">
        <f>IFERROR(ödev!BA78*100/ödev!$I78,"")</f>
        <v/>
      </c>
      <c r="AQ482" s="39" t="str">
        <f>IFERROR(ödev!BB78*100/ödev!$I78,"")</f>
        <v/>
      </c>
      <c r="AR482" s="39" t="str">
        <f>IFERROR(ödev!BC78*100/ödev!$I78,"")</f>
        <v/>
      </c>
      <c r="AS482" s="39" t="str">
        <f>IFERROR(ödev!BD78*100/ödev!$I78,"")</f>
        <v/>
      </c>
      <c r="AT482" s="39" t="str">
        <f>IFERROR(ödev!BE78*100/ödev!$I78,"")</f>
        <v/>
      </c>
      <c r="AU482" s="39" t="str">
        <f>IFERROR(ödev!BF78*100/ödev!$I78,"")</f>
        <v/>
      </c>
      <c r="AV482" s="39" t="str">
        <f>IFERROR(ödev!BG78*100/ödev!$I78,"")</f>
        <v/>
      </c>
      <c r="AW482" s="39" t="str">
        <f>IFERROR(ödev!BH78*100/ödev!$I78,"")</f>
        <v/>
      </c>
      <c r="AX482" s="39" t="str">
        <f>IFERROR(ödev!BI78*100/ödev!$I78,"")</f>
        <v/>
      </c>
      <c r="AY482" s="39" t="str">
        <f>IFERROR(ödev!BJ78*100/ödev!$I78,"")</f>
        <v/>
      </c>
      <c r="AZ482" s="39" t="str">
        <f>IFERROR(ödev!BK78*100/ödev!$I78,"")</f>
        <v/>
      </c>
      <c r="BA482" s="39" t="str">
        <f>IFERROR(ödev!BL78*100/ödev!$I78,"")</f>
        <v/>
      </c>
      <c r="BB482" s="39" t="str">
        <f>IFERROR(ödev!BM78*100/ödev!$I78,"")</f>
        <v/>
      </c>
      <c r="BC482" s="39" t="str">
        <f>IFERROR(ödev!BN78*100/ödev!$I78,"")</f>
        <v/>
      </c>
      <c r="BD482" s="39" t="str">
        <f>IFERROR(ödev!BO78*100/ödev!$I78,"")</f>
        <v/>
      </c>
      <c r="BE482" s="39" t="str">
        <f>IFERROR(ödev!BP78*100/ödev!$I78,"")</f>
        <v/>
      </c>
      <c r="BF482" s="39" t="str">
        <f>IFERROR(ödev!BQ78*100/ödev!$I78,"")</f>
        <v/>
      </c>
      <c r="BG482" s="39" t="str">
        <f>IFERROR(ödev!BR78*100/ödev!$I78,"")</f>
        <v/>
      </c>
      <c r="BH482" s="39" t="str">
        <f>IFERROR(ödev!BS78*100/ödev!$I78,"")</f>
        <v/>
      </c>
      <c r="BI482" s="39" t="str">
        <f>IFERROR(ödev!BT78*100/ödev!$I78,"")</f>
        <v/>
      </c>
      <c r="BJ482" s="39" t="str">
        <f>IFERROR(ödev!BU78*100/ödev!$I78,"")</f>
        <v/>
      </c>
      <c r="BK482" s="39" t="str">
        <f>IFERROR(ödev!BV78*100/ödev!$I78,"")</f>
        <v/>
      </c>
      <c r="BL482" s="39" t="str">
        <f>IFERROR(ödev!BW78*100/ödev!$I78,"")</f>
        <v/>
      </c>
      <c r="BM482" s="39" t="str">
        <f>IFERROR(ödev!BX78*100/ödev!$I78,"")</f>
        <v/>
      </c>
      <c r="BN482" s="39" t="str">
        <f>IFERROR(ödev!BY78*100/ödev!$I78,"")</f>
        <v/>
      </c>
      <c r="BO482" s="39" t="str">
        <f>IFERROR(ödev!BZ78*100/ödev!$I78,"")</f>
        <v/>
      </c>
      <c r="BP482" s="39" t="str">
        <f>IFERROR(ödev!CA78*100/ödev!$I78,"")</f>
        <v/>
      </c>
      <c r="BQ482" s="39" t="str">
        <f>IFERROR(ödev!CB78*100/ödev!$I78,"")</f>
        <v/>
      </c>
      <c r="BR482" s="39" t="str">
        <f>IFERROR(ödev!CC78*100/ödev!$I78,"")</f>
        <v/>
      </c>
      <c r="BS482" s="39" t="str">
        <f>IFERROR(ödev!CD78*100/ödev!$I78,"")</f>
        <v/>
      </c>
      <c r="BT482" s="39" t="str">
        <f>IFERROR(ödev!CE78*100/ödev!$I78,"")</f>
        <v/>
      </c>
      <c r="BU482" s="39" t="str">
        <f>IFERROR(ödev!CF78*100/ödev!$I78,"")</f>
        <v/>
      </c>
      <c r="BV482" s="39" t="str">
        <f>IFERROR(ödev!CG78*100/ödev!$I78,"")</f>
        <v/>
      </c>
      <c r="BW482" s="39" t="str">
        <f>IFERROR(ödev!CH78*100/ödev!$I78,"")</f>
        <v/>
      </c>
      <c r="BX482" s="39" t="str">
        <f>IFERROR(ödev!CI78*100/ödev!$I78,"")</f>
        <v/>
      </c>
      <c r="BY482" s="39" t="str">
        <f>IFERROR(ödev!CJ78*100/ödev!$I78,"")</f>
        <v/>
      </c>
      <c r="BZ482" s="39" t="str">
        <f>IFERROR(ödev!CK78*100/ödev!$I78,"")</f>
        <v/>
      </c>
      <c r="CA482" s="39" t="str">
        <f>IFERROR(ödev!CL78*100/ödev!$I78,"")</f>
        <v/>
      </c>
      <c r="CB482" s="39" t="str">
        <f>IFERROR(ödev!CM78*100/ödev!$I78,"")</f>
        <v/>
      </c>
      <c r="CC482" s="39" t="str">
        <f>IFERROR(ödev!CN78*100/ödev!$I78,"")</f>
        <v/>
      </c>
      <c r="CD482" s="39" t="str">
        <f>IFERROR(ödev!CO78*100/ödev!$I78,"")</f>
        <v/>
      </c>
      <c r="CE482" s="39" t="str">
        <f>IFERROR(ödev!CP78*100/ödev!$I78,"")</f>
        <v/>
      </c>
      <c r="CF482" s="39" t="str">
        <f>IFERROR(ödev!CQ78*100/ödev!$I78,"")</f>
        <v/>
      </c>
      <c r="CG482" s="39" t="str">
        <f>IFERROR(ödev!CR78*100/ödev!$I78,"")</f>
        <v/>
      </c>
      <c r="CH482" s="39" t="str">
        <f>IFERROR(ödev!CS78*100/ödev!$I78,"")</f>
        <v/>
      </c>
      <c r="CI482" s="39" t="str">
        <f>IFERROR(ödev!CT78*100/ödev!$I78,"")</f>
        <v/>
      </c>
      <c r="CJ482" s="39" t="str">
        <f>IFERROR(ödev!CU78*100/ödev!$I78,"")</f>
        <v/>
      </c>
      <c r="CK482" s="39" t="str">
        <f>IFERROR(ödev!CV78*100/ödev!$I78,"")</f>
        <v/>
      </c>
      <c r="CL482" s="39" t="str">
        <f>IFERROR(ödev!CW78*100/ödev!$I78,"")</f>
        <v/>
      </c>
      <c r="CM482" s="39" t="str">
        <f>IFERROR(ödev!CX78*100/ödev!$I78,"")</f>
        <v/>
      </c>
      <c r="CN482" s="39" t="str">
        <f>IFERROR(ödev!CY78*100/ödev!$I78,"")</f>
        <v/>
      </c>
      <c r="CO482" s="39" t="str">
        <f>IFERROR(ödev!CZ78*100/ödev!$I78,"")</f>
        <v/>
      </c>
      <c r="CP482" s="39" t="str">
        <f>IFERROR(ödev!DA78*100/ödev!$I78,"")</f>
        <v/>
      </c>
      <c r="CQ482" s="39" t="str">
        <f>IFERROR(ödev!DB78*100/ödev!$I78,"")</f>
        <v/>
      </c>
      <c r="CR482" s="39" t="str">
        <f>IFERROR(ödev!DC78*100/ödev!$I78,"")</f>
        <v/>
      </c>
      <c r="CS482" s="39" t="str">
        <f>IFERROR(ödev!DD78*100/ödev!$I78,"")</f>
        <v/>
      </c>
      <c r="CT482" s="39" t="str">
        <f>IFERROR(ödev!DE78*100/ödev!$I78,"")</f>
        <v/>
      </c>
      <c r="CU482" s="39" t="str">
        <f>IFERROR(ödev!DF78*100/ödev!$I78,"")</f>
        <v/>
      </c>
      <c r="CV482" s="39" t="str">
        <f>IFERROR(ödev!DG78*100/ödev!$I78,"")</f>
        <v/>
      </c>
      <c r="CW482" s="36" t="str">
        <f>IFERROR(SUM(A482:CV482)/ödev!$DH$103,"")</f>
        <v/>
      </c>
      <c r="CX482" s="14" t="str">
        <f>IF(COUNTA(ödev!A78),ödev!A78,"")</f>
        <v/>
      </c>
      <c r="CY482" s="14" t="str">
        <f>IF(COUNTA(ödev!B78),ödev!B78,"")</f>
        <v/>
      </c>
      <c r="CZ482" s="14" t="str">
        <f>IF(COUNTA(ödev!C78),ödev!C78,"")</f>
        <v/>
      </c>
      <c r="DA482" s="14" t="str">
        <f>IF(COUNTA(ödev!D78),ödev!D78,"")</f>
        <v/>
      </c>
      <c r="DB482" s="14" t="str">
        <f>IF(COUNTA(ödev!E78),ödev!E78,"")</f>
        <v/>
      </c>
      <c r="DC482" s="14" t="str">
        <f>IF(COUNTA(ödev!F78),ödev!F78,"")</f>
        <v/>
      </c>
      <c r="DD482" s="14" t="str">
        <f>IF(COUNTA(ödev!G78),ödev!G78,"")</f>
        <v/>
      </c>
      <c r="DE482" s="14" t="str">
        <f>IF(COUNTA(ödev!H78),ödev!H78,"")</f>
        <v/>
      </c>
    </row>
    <row r="483" spans="1:109" x14ac:dyDescent="0.2">
      <c r="A483" s="39" t="str">
        <f>IFERROR(ödev!L79*100/ödev!$I79,"")</f>
        <v/>
      </c>
      <c r="B483" s="39" t="str">
        <f>IFERROR(ödev!M79*100/ödev!$I79,"")</f>
        <v/>
      </c>
      <c r="C483" s="39" t="str">
        <f>IFERROR(ödev!N79*100/ödev!$I79,"")</f>
        <v/>
      </c>
      <c r="D483" s="39" t="str">
        <f>IFERROR(ödev!O79*100/ödev!$I79,"")</f>
        <v/>
      </c>
      <c r="E483" s="39" t="str">
        <f>IFERROR(ödev!P79*100/ödev!$I79,"")</f>
        <v/>
      </c>
      <c r="F483" s="39" t="str">
        <f>IFERROR(ödev!Q79*100/ödev!$I79,"")</f>
        <v/>
      </c>
      <c r="G483" s="39" t="str">
        <f>IFERROR(ödev!R79*100/ödev!$I79,"")</f>
        <v/>
      </c>
      <c r="H483" s="39" t="str">
        <f>IFERROR(ödev!S79*100/ödev!$I79,"")</f>
        <v/>
      </c>
      <c r="I483" s="39" t="str">
        <f>IFERROR(ödev!T79*100/ödev!$I79,"")</f>
        <v/>
      </c>
      <c r="J483" s="39" t="str">
        <f>IFERROR(ödev!U79*100/ödev!$I79,"")</f>
        <v/>
      </c>
      <c r="K483" s="39" t="str">
        <f>IFERROR(ödev!V79*100/ödev!$I79,"")</f>
        <v/>
      </c>
      <c r="L483" s="39" t="str">
        <f>IFERROR(ödev!W79*100/ödev!$I79,"")</f>
        <v/>
      </c>
      <c r="M483" s="39" t="str">
        <f>IFERROR(ödev!X79*100/ödev!$I79,"")</f>
        <v/>
      </c>
      <c r="N483" s="39" t="str">
        <f>IFERROR(ödev!Y79*100/ödev!$I79,"")</f>
        <v/>
      </c>
      <c r="O483" s="39" t="str">
        <f>IFERROR(ödev!Z79*100/ödev!$I79,"")</f>
        <v/>
      </c>
      <c r="P483" s="39" t="str">
        <f>IFERROR(ödev!AA79*100/ödev!$I79,"")</f>
        <v/>
      </c>
      <c r="Q483" s="39" t="str">
        <f>IFERROR(ödev!AB79*100/ödev!$I79,"")</f>
        <v/>
      </c>
      <c r="R483" s="39" t="str">
        <f>IFERROR(ödev!AC79*100/ödev!$I79,"")</f>
        <v/>
      </c>
      <c r="S483" s="39" t="str">
        <f>IFERROR(ödev!AD79*100/ödev!$I79,"")</f>
        <v/>
      </c>
      <c r="T483" s="39" t="str">
        <f>IFERROR(ödev!AE79*100/ödev!$I79,"")</f>
        <v/>
      </c>
      <c r="U483" s="39" t="str">
        <f>IFERROR(ödev!AF79*100/ödev!$I79,"")</f>
        <v/>
      </c>
      <c r="V483" s="39" t="str">
        <f>IFERROR(ödev!AG79*100/ödev!$I79,"")</f>
        <v/>
      </c>
      <c r="W483" s="39" t="str">
        <f>IFERROR(ödev!AH79*100/ödev!$I79,"")</f>
        <v/>
      </c>
      <c r="X483" s="39" t="str">
        <f>IFERROR(ödev!AI79*100/ödev!$I79,"")</f>
        <v/>
      </c>
      <c r="Y483" s="39" t="str">
        <f>IFERROR(ödev!AJ79*100/ödev!$I79,"")</f>
        <v/>
      </c>
      <c r="Z483" s="39" t="str">
        <f>IFERROR(ödev!AK79*100/ödev!$I79,"")</f>
        <v/>
      </c>
      <c r="AA483" s="39" t="str">
        <f>IFERROR(ödev!AL79*100/ödev!$I79,"")</f>
        <v/>
      </c>
      <c r="AB483" s="39" t="str">
        <f>IFERROR(ödev!AM79*100/ödev!$I79,"")</f>
        <v/>
      </c>
      <c r="AC483" s="39" t="str">
        <f>IFERROR(ödev!AN79*100/ödev!$I79,"")</f>
        <v/>
      </c>
      <c r="AD483" s="39" t="str">
        <f>IFERROR(ödev!AO79*100/ödev!$I79,"")</f>
        <v/>
      </c>
      <c r="AE483" s="39" t="str">
        <f>IFERROR(ödev!AP79*100/ödev!$I79,"")</f>
        <v/>
      </c>
      <c r="AF483" s="39" t="str">
        <f>IFERROR(ödev!AQ79*100/ödev!$I79,"")</f>
        <v/>
      </c>
      <c r="AG483" s="39" t="str">
        <f>IFERROR(ödev!AR79*100/ödev!$I79,"")</f>
        <v/>
      </c>
      <c r="AH483" s="39" t="str">
        <f>IFERROR(ödev!AS79*100/ödev!$I79,"")</f>
        <v/>
      </c>
      <c r="AI483" s="39" t="str">
        <f>IFERROR(ödev!AT79*100/ödev!$I79,"")</f>
        <v/>
      </c>
      <c r="AJ483" s="39" t="str">
        <f>IFERROR(ödev!AU79*100/ödev!$I79,"")</f>
        <v/>
      </c>
      <c r="AK483" s="39" t="str">
        <f>IFERROR(ödev!AV79*100/ödev!$I79,"")</f>
        <v/>
      </c>
      <c r="AL483" s="39" t="str">
        <f>IFERROR(ödev!AW79*100/ödev!$I79,"")</f>
        <v/>
      </c>
      <c r="AM483" s="39" t="str">
        <f>IFERROR(ödev!AX79*100/ödev!$I79,"")</f>
        <v/>
      </c>
      <c r="AN483" s="39" t="str">
        <f>IFERROR(ödev!AY79*100/ödev!$I79,"")</f>
        <v/>
      </c>
      <c r="AO483" s="39" t="str">
        <f>IFERROR(ödev!AZ79*100/ödev!$I79,"")</f>
        <v/>
      </c>
      <c r="AP483" s="39" t="str">
        <f>IFERROR(ödev!BA79*100/ödev!$I79,"")</f>
        <v/>
      </c>
      <c r="AQ483" s="39" t="str">
        <f>IFERROR(ödev!BB79*100/ödev!$I79,"")</f>
        <v/>
      </c>
      <c r="AR483" s="39" t="str">
        <f>IFERROR(ödev!BC79*100/ödev!$I79,"")</f>
        <v/>
      </c>
      <c r="AS483" s="39" t="str">
        <f>IFERROR(ödev!BD79*100/ödev!$I79,"")</f>
        <v/>
      </c>
      <c r="AT483" s="39" t="str">
        <f>IFERROR(ödev!BE79*100/ödev!$I79,"")</f>
        <v/>
      </c>
      <c r="AU483" s="39" t="str">
        <f>IFERROR(ödev!BF79*100/ödev!$I79,"")</f>
        <v/>
      </c>
      <c r="AV483" s="39" t="str">
        <f>IFERROR(ödev!BG79*100/ödev!$I79,"")</f>
        <v/>
      </c>
      <c r="AW483" s="39" t="str">
        <f>IFERROR(ödev!BH79*100/ödev!$I79,"")</f>
        <v/>
      </c>
      <c r="AX483" s="39" t="str">
        <f>IFERROR(ödev!BI79*100/ödev!$I79,"")</f>
        <v/>
      </c>
      <c r="AY483" s="39" t="str">
        <f>IFERROR(ödev!BJ79*100/ödev!$I79,"")</f>
        <v/>
      </c>
      <c r="AZ483" s="39" t="str">
        <f>IFERROR(ödev!BK79*100/ödev!$I79,"")</f>
        <v/>
      </c>
      <c r="BA483" s="39" t="str">
        <f>IFERROR(ödev!BL79*100/ödev!$I79,"")</f>
        <v/>
      </c>
      <c r="BB483" s="39" t="str">
        <f>IFERROR(ödev!BM79*100/ödev!$I79,"")</f>
        <v/>
      </c>
      <c r="BC483" s="39" t="str">
        <f>IFERROR(ödev!BN79*100/ödev!$I79,"")</f>
        <v/>
      </c>
      <c r="BD483" s="39" t="str">
        <f>IFERROR(ödev!BO79*100/ödev!$I79,"")</f>
        <v/>
      </c>
      <c r="BE483" s="39" t="str">
        <f>IFERROR(ödev!BP79*100/ödev!$I79,"")</f>
        <v/>
      </c>
      <c r="BF483" s="39" t="str">
        <f>IFERROR(ödev!BQ79*100/ödev!$I79,"")</f>
        <v/>
      </c>
      <c r="BG483" s="39" t="str">
        <f>IFERROR(ödev!BR79*100/ödev!$I79,"")</f>
        <v/>
      </c>
      <c r="BH483" s="39" t="str">
        <f>IFERROR(ödev!BS79*100/ödev!$I79,"")</f>
        <v/>
      </c>
      <c r="BI483" s="39" t="str">
        <f>IFERROR(ödev!BT79*100/ödev!$I79,"")</f>
        <v/>
      </c>
      <c r="BJ483" s="39" t="str">
        <f>IFERROR(ödev!BU79*100/ödev!$I79,"")</f>
        <v/>
      </c>
      <c r="BK483" s="39" t="str">
        <f>IFERROR(ödev!BV79*100/ödev!$I79,"")</f>
        <v/>
      </c>
      <c r="BL483" s="39" t="str">
        <f>IFERROR(ödev!BW79*100/ödev!$I79,"")</f>
        <v/>
      </c>
      <c r="BM483" s="39" t="str">
        <f>IFERROR(ödev!BX79*100/ödev!$I79,"")</f>
        <v/>
      </c>
      <c r="BN483" s="39" t="str">
        <f>IFERROR(ödev!BY79*100/ödev!$I79,"")</f>
        <v/>
      </c>
      <c r="BO483" s="39" t="str">
        <f>IFERROR(ödev!BZ79*100/ödev!$I79,"")</f>
        <v/>
      </c>
      <c r="BP483" s="39" t="str">
        <f>IFERROR(ödev!CA79*100/ödev!$I79,"")</f>
        <v/>
      </c>
      <c r="BQ483" s="39" t="str">
        <f>IFERROR(ödev!CB79*100/ödev!$I79,"")</f>
        <v/>
      </c>
      <c r="BR483" s="39" t="str">
        <f>IFERROR(ödev!CC79*100/ödev!$I79,"")</f>
        <v/>
      </c>
      <c r="BS483" s="39" t="str">
        <f>IFERROR(ödev!CD79*100/ödev!$I79,"")</f>
        <v/>
      </c>
      <c r="BT483" s="39" t="str">
        <f>IFERROR(ödev!CE79*100/ödev!$I79,"")</f>
        <v/>
      </c>
      <c r="BU483" s="39" t="str">
        <f>IFERROR(ödev!CF79*100/ödev!$I79,"")</f>
        <v/>
      </c>
      <c r="BV483" s="39" t="str">
        <f>IFERROR(ödev!CG79*100/ödev!$I79,"")</f>
        <v/>
      </c>
      <c r="BW483" s="39" t="str">
        <f>IFERROR(ödev!CH79*100/ödev!$I79,"")</f>
        <v/>
      </c>
      <c r="BX483" s="39" t="str">
        <f>IFERROR(ödev!CI79*100/ödev!$I79,"")</f>
        <v/>
      </c>
      <c r="BY483" s="39" t="str">
        <f>IFERROR(ödev!CJ79*100/ödev!$I79,"")</f>
        <v/>
      </c>
      <c r="BZ483" s="39" t="str">
        <f>IFERROR(ödev!CK79*100/ödev!$I79,"")</f>
        <v/>
      </c>
      <c r="CA483" s="39" t="str">
        <f>IFERROR(ödev!CL79*100/ödev!$I79,"")</f>
        <v/>
      </c>
      <c r="CB483" s="39" t="str">
        <f>IFERROR(ödev!CM79*100/ödev!$I79,"")</f>
        <v/>
      </c>
      <c r="CC483" s="39" t="str">
        <f>IFERROR(ödev!CN79*100/ödev!$I79,"")</f>
        <v/>
      </c>
      <c r="CD483" s="39" t="str">
        <f>IFERROR(ödev!CO79*100/ödev!$I79,"")</f>
        <v/>
      </c>
      <c r="CE483" s="39" t="str">
        <f>IFERROR(ödev!CP79*100/ödev!$I79,"")</f>
        <v/>
      </c>
      <c r="CF483" s="39" t="str">
        <f>IFERROR(ödev!CQ79*100/ödev!$I79,"")</f>
        <v/>
      </c>
      <c r="CG483" s="39" t="str">
        <f>IFERROR(ödev!CR79*100/ödev!$I79,"")</f>
        <v/>
      </c>
      <c r="CH483" s="39" t="str">
        <f>IFERROR(ödev!CS79*100/ödev!$I79,"")</f>
        <v/>
      </c>
      <c r="CI483" s="39" t="str">
        <f>IFERROR(ödev!CT79*100/ödev!$I79,"")</f>
        <v/>
      </c>
      <c r="CJ483" s="39" t="str">
        <f>IFERROR(ödev!CU79*100/ödev!$I79,"")</f>
        <v/>
      </c>
      <c r="CK483" s="39" t="str">
        <f>IFERROR(ödev!CV79*100/ödev!$I79,"")</f>
        <v/>
      </c>
      <c r="CL483" s="39" t="str">
        <f>IFERROR(ödev!CW79*100/ödev!$I79,"")</f>
        <v/>
      </c>
      <c r="CM483" s="39" t="str">
        <f>IFERROR(ödev!CX79*100/ödev!$I79,"")</f>
        <v/>
      </c>
      <c r="CN483" s="39" t="str">
        <f>IFERROR(ödev!CY79*100/ödev!$I79,"")</f>
        <v/>
      </c>
      <c r="CO483" s="39" t="str">
        <f>IFERROR(ödev!CZ79*100/ödev!$I79,"")</f>
        <v/>
      </c>
      <c r="CP483" s="39" t="str">
        <f>IFERROR(ödev!DA79*100/ödev!$I79,"")</f>
        <v/>
      </c>
      <c r="CQ483" s="39" t="str">
        <f>IFERROR(ödev!DB79*100/ödev!$I79,"")</f>
        <v/>
      </c>
      <c r="CR483" s="39" t="str">
        <f>IFERROR(ödev!DC79*100/ödev!$I79,"")</f>
        <v/>
      </c>
      <c r="CS483" s="39" t="str">
        <f>IFERROR(ödev!DD79*100/ödev!$I79,"")</f>
        <v/>
      </c>
      <c r="CT483" s="39" t="str">
        <f>IFERROR(ödev!DE79*100/ödev!$I79,"")</f>
        <v/>
      </c>
      <c r="CU483" s="39" t="str">
        <f>IFERROR(ödev!DF79*100/ödev!$I79,"")</f>
        <v/>
      </c>
      <c r="CV483" s="39" t="str">
        <f>IFERROR(ödev!DG79*100/ödev!$I79,"")</f>
        <v/>
      </c>
      <c r="CW483" s="36" t="str">
        <f>IFERROR(SUM(A483:CV483)/ödev!$DH$103,"")</f>
        <v/>
      </c>
      <c r="CX483" s="14" t="str">
        <f>IF(COUNTA(ödev!A79),ödev!A79,"")</f>
        <v/>
      </c>
      <c r="CY483" s="14" t="str">
        <f>IF(COUNTA(ödev!B79),ödev!B79,"")</f>
        <v/>
      </c>
      <c r="CZ483" s="14" t="str">
        <f>IF(COUNTA(ödev!C79),ödev!C79,"")</f>
        <v/>
      </c>
      <c r="DA483" s="14" t="str">
        <f>IF(COUNTA(ödev!D79),ödev!D79,"")</f>
        <v/>
      </c>
      <c r="DB483" s="14" t="str">
        <f>IF(COUNTA(ödev!E79),ödev!E79,"")</f>
        <v/>
      </c>
      <c r="DC483" s="14" t="str">
        <f>IF(COUNTA(ödev!F79),ödev!F79,"")</f>
        <v/>
      </c>
      <c r="DD483" s="14" t="str">
        <f>IF(COUNTA(ödev!G79),ödev!G79,"")</f>
        <v/>
      </c>
      <c r="DE483" s="14" t="str">
        <f>IF(COUNTA(ödev!H79),ödev!H79,"")</f>
        <v/>
      </c>
    </row>
    <row r="484" spans="1:109" x14ac:dyDescent="0.2">
      <c r="A484" s="39" t="str">
        <f>IFERROR(ödev!L80*100/ödev!$I80,"")</f>
        <v/>
      </c>
      <c r="B484" s="39" t="str">
        <f>IFERROR(ödev!M80*100/ödev!$I80,"")</f>
        <v/>
      </c>
      <c r="C484" s="39" t="str">
        <f>IFERROR(ödev!N80*100/ödev!$I80,"")</f>
        <v/>
      </c>
      <c r="D484" s="39" t="str">
        <f>IFERROR(ödev!O80*100/ödev!$I80,"")</f>
        <v/>
      </c>
      <c r="E484" s="39" t="str">
        <f>IFERROR(ödev!P80*100/ödev!$I80,"")</f>
        <v/>
      </c>
      <c r="F484" s="39" t="str">
        <f>IFERROR(ödev!Q80*100/ödev!$I80,"")</f>
        <v/>
      </c>
      <c r="G484" s="39" t="str">
        <f>IFERROR(ödev!R80*100/ödev!$I80,"")</f>
        <v/>
      </c>
      <c r="H484" s="39" t="str">
        <f>IFERROR(ödev!S80*100/ödev!$I80,"")</f>
        <v/>
      </c>
      <c r="I484" s="39" t="str">
        <f>IFERROR(ödev!T80*100/ödev!$I80,"")</f>
        <v/>
      </c>
      <c r="J484" s="39" t="str">
        <f>IFERROR(ödev!U80*100/ödev!$I80,"")</f>
        <v/>
      </c>
      <c r="K484" s="39" t="str">
        <f>IFERROR(ödev!V80*100/ödev!$I80,"")</f>
        <v/>
      </c>
      <c r="L484" s="39" t="str">
        <f>IFERROR(ödev!W80*100/ödev!$I80,"")</f>
        <v/>
      </c>
      <c r="M484" s="39" t="str">
        <f>IFERROR(ödev!X80*100/ödev!$I80,"")</f>
        <v/>
      </c>
      <c r="N484" s="39" t="str">
        <f>IFERROR(ödev!Y80*100/ödev!$I80,"")</f>
        <v/>
      </c>
      <c r="O484" s="39" t="str">
        <f>IFERROR(ödev!Z80*100/ödev!$I80,"")</f>
        <v/>
      </c>
      <c r="P484" s="39" t="str">
        <f>IFERROR(ödev!AA80*100/ödev!$I80,"")</f>
        <v/>
      </c>
      <c r="Q484" s="39" t="str">
        <f>IFERROR(ödev!AB80*100/ödev!$I80,"")</f>
        <v/>
      </c>
      <c r="R484" s="39" t="str">
        <f>IFERROR(ödev!AC80*100/ödev!$I80,"")</f>
        <v/>
      </c>
      <c r="S484" s="39" t="str">
        <f>IFERROR(ödev!AD80*100/ödev!$I80,"")</f>
        <v/>
      </c>
      <c r="T484" s="39" t="str">
        <f>IFERROR(ödev!AE80*100/ödev!$I80,"")</f>
        <v/>
      </c>
      <c r="U484" s="39" t="str">
        <f>IFERROR(ödev!AF80*100/ödev!$I80,"")</f>
        <v/>
      </c>
      <c r="V484" s="39" t="str">
        <f>IFERROR(ödev!AG80*100/ödev!$I80,"")</f>
        <v/>
      </c>
      <c r="W484" s="39" t="str">
        <f>IFERROR(ödev!AH80*100/ödev!$I80,"")</f>
        <v/>
      </c>
      <c r="X484" s="39" t="str">
        <f>IFERROR(ödev!AI80*100/ödev!$I80,"")</f>
        <v/>
      </c>
      <c r="Y484" s="39" t="str">
        <f>IFERROR(ödev!AJ80*100/ödev!$I80,"")</f>
        <v/>
      </c>
      <c r="Z484" s="39" t="str">
        <f>IFERROR(ödev!AK80*100/ödev!$I80,"")</f>
        <v/>
      </c>
      <c r="AA484" s="39" t="str">
        <f>IFERROR(ödev!AL80*100/ödev!$I80,"")</f>
        <v/>
      </c>
      <c r="AB484" s="39" t="str">
        <f>IFERROR(ödev!AM80*100/ödev!$I80,"")</f>
        <v/>
      </c>
      <c r="AC484" s="39" t="str">
        <f>IFERROR(ödev!AN80*100/ödev!$I80,"")</f>
        <v/>
      </c>
      <c r="AD484" s="39" t="str">
        <f>IFERROR(ödev!AO80*100/ödev!$I80,"")</f>
        <v/>
      </c>
      <c r="AE484" s="39" t="str">
        <f>IFERROR(ödev!AP80*100/ödev!$I80,"")</f>
        <v/>
      </c>
      <c r="AF484" s="39" t="str">
        <f>IFERROR(ödev!AQ80*100/ödev!$I80,"")</f>
        <v/>
      </c>
      <c r="AG484" s="39" t="str">
        <f>IFERROR(ödev!AR80*100/ödev!$I80,"")</f>
        <v/>
      </c>
      <c r="AH484" s="39" t="str">
        <f>IFERROR(ödev!AS80*100/ödev!$I80,"")</f>
        <v/>
      </c>
      <c r="AI484" s="39" t="str">
        <f>IFERROR(ödev!AT80*100/ödev!$I80,"")</f>
        <v/>
      </c>
      <c r="AJ484" s="39" t="str">
        <f>IFERROR(ödev!AU80*100/ödev!$I80,"")</f>
        <v/>
      </c>
      <c r="AK484" s="39" t="str">
        <f>IFERROR(ödev!AV80*100/ödev!$I80,"")</f>
        <v/>
      </c>
      <c r="AL484" s="39" t="str">
        <f>IFERROR(ödev!AW80*100/ödev!$I80,"")</f>
        <v/>
      </c>
      <c r="AM484" s="39" t="str">
        <f>IFERROR(ödev!AX80*100/ödev!$I80,"")</f>
        <v/>
      </c>
      <c r="AN484" s="39" t="str">
        <f>IFERROR(ödev!AY80*100/ödev!$I80,"")</f>
        <v/>
      </c>
      <c r="AO484" s="39" t="str">
        <f>IFERROR(ödev!AZ80*100/ödev!$I80,"")</f>
        <v/>
      </c>
      <c r="AP484" s="39" t="str">
        <f>IFERROR(ödev!BA80*100/ödev!$I80,"")</f>
        <v/>
      </c>
      <c r="AQ484" s="39" t="str">
        <f>IFERROR(ödev!BB80*100/ödev!$I80,"")</f>
        <v/>
      </c>
      <c r="AR484" s="39" t="str">
        <f>IFERROR(ödev!BC80*100/ödev!$I80,"")</f>
        <v/>
      </c>
      <c r="AS484" s="39" t="str">
        <f>IFERROR(ödev!BD80*100/ödev!$I80,"")</f>
        <v/>
      </c>
      <c r="AT484" s="39" t="str">
        <f>IFERROR(ödev!BE80*100/ödev!$I80,"")</f>
        <v/>
      </c>
      <c r="AU484" s="39" t="str">
        <f>IFERROR(ödev!BF80*100/ödev!$I80,"")</f>
        <v/>
      </c>
      <c r="AV484" s="39" t="str">
        <f>IFERROR(ödev!BG80*100/ödev!$I80,"")</f>
        <v/>
      </c>
      <c r="AW484" s="39" t="str">
        <f>IFERROR(ödev!BH80*100/ödev!$I80,"")</f>
        <v/>
      </c>
      <c r="AX484" s="39" t="str">
        <f>IFERROR(ödev!BI80*100/ödev!$I80,"")</f>
        <v/>
      </c>
      <c r="AY484" s="39" t="str">
        <f>IFERROR(ödev!BJ80*100/ödev!$I80,"")</f>
        <v/>
      </c>
      <c r="AZ484" s="39" t="str">
        <f>IFERROR(ödev!BK80*100/ödev!$I80,"")</f>
        <v/>
      </c>
      <c r="BA484" s="39" t="str">
        <f>IFERROR(ödev!BL80*100/ödev!$I80,"")</f>
        <v/>
      </c>
      <c r="BB484" s="39" t="str">
        <f>IFERROR(ödev!BM80*100/ödev!$I80,"")</f>
        <v/>
      </c>
      <c r="BC484" s="39" t="str">
        <f>IFERROR(ödev!BN80*100/ödev!$I80,"")</f>
        <v/>
      </c>
      <c r="BD484" s="39" t="str">
        <f>IFERROR(ödev!BO80*100/ödev!$I80,"")</f>
        <v/>
      </c>
      <c r="BE484" s="39" t="str">
        <f>IFERROR(ödev!BP80*100/ödev!$I80,"")</f>
        <v/>
      </c>
      <c r="BF484" s="39" t="str">
        <f>IFERROR(ödev!BQ80*100/ödev!$I80,"")</f>
        <v/>
      </c>
      <c r="BG484" s="39" t="str">
        <f>IFERROR(ödev!BR80*100/ödev!$I80,"")</f>
        <v/>
      </c>
      <c r="BH484" s="39" t="str">
        <f>IFERROR(ödev!BS80*100/ödev!$I80,"")</f>
        <v/>
      </c>
      <c r="BI484" s="39" t="str">
        <f>IFERROR(ödev!BT80*100/ödev!$I80,"")</f>
        <v/>
      </c>
      <c r="BJ484" s="39" t="str">
        <f>IFERROR(ödev!BU80*100/ödev!$I80,"")</f>
        <v/>
      </c>
      <c r="BK484" s="39" t="str">
        <f>IFERROR(ödev!BV80*100/ödev!$I80,"")</f>
        <v/>
      </c>
      <c r="BL484" s="39" t="str">
        <f>IFERROR(ödev!BW80*100/ödev!$I80,"")</f>
        <v/>
      </c>
      <c r="BM484" s="39" t="str">
        <f>IFERROR(ödev!BX80*100/ödev!$I80,"")</f>
        <v/>
      </c>
      <c r="BN484" s="39" t="str">
        <f>IFERROR(ödev!BY80*100/ödev!$I80,"")</f>
        <v/>
      </c>
      <c r="BO484" s="39" t="str">
        <f>IFERROR(ödev!BZ80*100/ödev!$I80,"")</f>
        <v/>
      </c>
      <c r="BP484" s="39" t="str">
        <f>IFERROR(ödev!CA80*100/ödev!$I80,"")</f>
        <v/>
      </c>
      <c r="BQ484" s="39" t="str">
        <f>IFERROR(ödev!CB80*100/ödev!$I80,"")</f>
        <v/>
      </c>
      <c r="BR484" s="39" t="str">
        <f>IFERROR(ödev!CC80*100/ödev!$I80,"")</f>
        <v/>
      </c>
      <c r="BS484" s="39" t="str">
        <f>IFERROR(ödev!CD80*100/ödev!$I80,"")</f>
        <v/>
      </c>
      <c r="BT484" s="39" t="str">
        <f>IFERROR(ödev!CE80*100/ödev!$I80,"")</f>
        <v/>
      </c>
      <c r="BU484" s="39" t="str">
        <f>IFERROR(ödev!CF80*100/ödev!$I80,"")</f>
        <v/>
      </c>
      <c r="BV484" s="39" t="str">
        <f>IFERROR(ödev!CG80*100/ödev!$I80,"")</f>
        <v/>
      </c>
      <c r="BW484" s="39" t="str">
        <f>IFERROR(ödev!CH80*100/ödev!$I80,"")</f>
        <v/>
      </c>
      <c r="BX484" s="39" t="str">
        <f>IFERROR(ödev!CI80*100/ödev!$I80,"")</f>
        <v/>
      </c>
      <c r="BY484" s="39" t="str">
        <f>IFERROR(ödev!CJ80*100/ödev!$I80,"")</f>
        <v/>
      </c>
      <c r="BZ484" s="39" t="str">
        <f>IFERROR(ödev!CK80*100/ödev!$I80,"")</f>
        <v/>
      </c>
      <c r="CA484" s="39" t="str">
        <f>IFERROR(ödev!CL80*100/ödev!$I80,"")</f>
        <v/>
      </c>
      <c r="CB484" s="39" t="str">
        <f>IFERROR(ödev!CM80*100/ödev!$I80,"")</f>
        <v/>
      </c>
      <c r="CC484" s="39" t="str">
        <f>IFERROR(ödev!CN80*100/ödev!$I80,"")</f>
        <v/>
      </c>
      <c r="CD484" s="39" t="str">
        <f>IFERROR(ödev!CO80*100/ödev!$I80,"")</f>
        <v/>
      </c>
      <c r="CE484" s="39" t="str">
        <f>IFERROR(ödev!CP80*100/ödev!$I80,"")</f>
        <v/>
      </c>
      <c r="CF484" s="39" t="str">
        <f>IFERROR(ödev!CQ80*100/ödev!$I80,"")</f>
        <v/>
      </c>
      <c r="CG484" s="39" t="str">
        <f>IFERROR(ödev!CR80*100/ödev!$I80,"")</f>
        <v/>
      </c>
      <c r="CH484" s="39" t="str">
        <f>IFERROR(ödev!CS80*100/ödev!$I80,"")</f>
        <v/>
      </c>
      <c r="CI484" s="39" t="str">
        <f>IFERROR(ödev!CT80*100/ödev!$I80,"")</f>
        <v/>
      </c>
      <c r="CJ484" s="39" t="str">
        <f>IFERROR(ödev!CU80*100/ödev!$I80,"")</f>
        <v/>
      </c>
      <c r="CK484" s="39" t="str">
        <f>IFERROR(ödev!CV80*100/ödev!$I80,"")</f>
        <v/>
      </c>
      <c r="CL484" s="39" t="str">
        <f>IFERROR(ödev!CW80*100/ödev!$I80,"")</f>
        <v/>
      </c>
      <c r="CM484" s="39" t="str">
        <f>IFERROR(ödev!CX80*100/ödev!$I80,"")</f>
        <v/>
      </c>
      <c r="CN484" s="39" t="str">
        <f>IFERROR(ödev!CY80*100/ödev!$I80,"")</f>
        <v/>
      </c>
      <c r="CO484" s="39" t="str">
        <f>IFERROR(ödev!CZ80*100/ödev!$I80,"")</f>
        <v/>
      </c>
      <c r="CP484" s="39" t="str">
        <f>IFERROR(ödev!DA80*100/ödev!$I80,"")</f>
        <v/>
      </c>
      <c r="CQ484" s="39" t="str">
        <f>IFERROR(ödev!DB80*100/ödev!$I80,"")</f>
        <v/>
      </c>
      <c r="CR484" s="39" t="str">
        <f>IFERROR(ödev!DC80*100/ödev!$I80,"")</f>
        <v/>
      </c>
      <c r="CS484" s="39" t="str">
        <f>IFERROR(ödev!DD80*100/ödev!$I80,"")</f>
        <v/>
      </c>
      <c r="CT484" s="39" t="str">
        <f>IFERROR(ödev!DE80*100/ödev!$I80,"")</f>
        <v/>
      </c>
      <c r="CU484" s="39" t="str">
        <f>IFERROR(ödev!DF80*100/ödev!$I80,"")</f>
        <v/>
      </c>
      <c r="CV484" s="39" t="str">
        <f>IFERROR(ödev!DG80*100/ödev!$I80,"")</f>
        <v/>
      </c>
      <c r="CW484" s="36" t="str">
        <f>IFERROR(SUM(A484:CV484)/ödev!$DH$103,"")</f>
        <v/>
      </c>
      <c r="CX484" s="14" t="str">
        <f>IF(COUNTA(ödev!A80),ödev!A80,"")</f>
        <v/>
      </c>
      <c r="CY484" s="14" t="str">
        <f>IF(COUNTA(ödev!B80),ödev!B80,"")</f>
        <v/>
      </c>
      <c r="CZ484" s="14" t="str">
        <f>IF(COUNTA(ödev!C80),ödev!C80,"")</f>
        <v/>
      </c>
      <c r="DA484" s="14" t="str">
        <f>IF(COUNTA(ödev!D80),ödev!D80,"")</f>
        <v/>
      </c>
      <c r="DB484" s="14" t="str">
        <f>IF(COUNTA(ödev!E80),ödev!E80,"")</f>
        <v/>
      </c>
      <c r="DC484" s="14" t="str">
        <f>IF(COUNTA(ödev!F80),ödev!F80,"")</f>
        <v/>
      </c>
      <c r="DD484" s="14" t="str">
        <f>IF(COUNTA(ödev!G80),ödev!G80,"")</f>
        <v/>
      </c>
      <c r="DE484" s="14" t="str">
        <f>IF(COUNTA(ödev!H80),ödev!H80,"")</f>
        <v/>
      </c>
    </row>
    <row r="485" spans="1:109" x14ac:dyDescent="0.2">
      <c r="A485" s="39" t="str">
        <f>IFERROR(ödev!L81*100/ödev!$I81,"")</f>
        <v/>
      </c>
      <c r="B485" s="39" t="str">
        <f>IFERROR(ödev!M81*100/ödev!$I81,"")</f>
        <v/>
      </c>
      <c r="C485" s="39" t="str">
        <f>IFERROR(ödev!N81*100/ödev!$I81,"")</f>
        <v/>
      </c>
      <c r="D485" s="39" t="str">
        <f>IFERROR(ödev!O81*100/ödev!$I81,"")</f>
        <v/>
      </c>
      <c r="E485" s="39" t="str">
        <f>IFERROR(ödev!P81*100/ödev!$I81,"")</f>
        <v/>
      </c>
      <c r="F485" s="39" t="str">
        <f>IFERROR(ödev!Q81*100/ödev!$I81,"")</f>
        <v/>
      </c>
      <c r="G485" s="39" t="str">
        <f>IFERROR(ödev!R81*100/ödev!$I81,"")</f>
        <v/>
      </c>
      <c r="H485" s="39" t="str">
        <f>IFERROR(ödev!S81*100/ödev!$I81,"")</f>
        <v/>
      </c>
      <c r="I485" s="39" t="str">
        <f>IFERROR(ödev!T81*100/ödev!$I81,"")</f>
        <v/>
      </c>
      <c r="J485" s="39" t="str">
        <f>IFERROR(ödev!U81*100/ödev!$I81,"")</f>
        <v/>
      </c>
      <c r="K485" s="39" t="str">
        <f>IFERROR(ödev!V81*100/ödev!$I81,"")</f>
        <v/>
      </c>
      <c r="L485" s="39" t="str">
        <f>IFERROR(ödev!W81*100/ödev!$I81,"")</f>
        <v/>
      </c>
      <c r="M485" s="39" t="str">
        <f>IFERROR(ödev!X81*100/ödev!$I81,"")</f>
        <v/>
      </c>
      <c r="N485" s="39" t="str">
        <f>IFERROR(ödev!Y81*100/ödev!$I81,"")</f>
        <v/>
      </c>
      <c r="O485" s="39" t="str">
        <f>IFERROR(ödev!Z81*100/ödev!$I81,"")</f>
        <v/>
      </c>
      <c r="P485" s="39" t="str">
        <f>IFERROR(ödev!AA81*100/ödev!$I81,"")</f>
        <v/>
      </c>
      <c r="Q485" s="39" t="str">
        <f>IFERROR(ödev!AB81*100/ödev!$I81,"")</f>
        <v/>
      </c>
      <c r="R485" s="39" t="str">
        <f>IFERROR(ödev!AC81*100/ödev!$I81,"")</f>
        <v/>
      </c>
      <c r="S485" s="39" t="str">
        <f>IFERROR(ödev!AD81*100/ödev!$I81,"")</f>
        <v/>
      </c>
      <c r="T485" s="39" t="str">
        <f>IFERROR(ödev!AE81*100/ödev!$I81,"")</f>
        <v/>
      </c>
      <c r="U485" s="39" t="str">
        <f>IFERROR(ödev!AF81*100/ödev!$I81,"")</f>
        <v/>
      </c>
      <c r="V485" s="39" t="str">
        <f>IFERROR(ödev!AG81*100/ödev!$I81,"")</f>
        <v/>
      </c>
      <c r="W485" s="39" t="str">
        <f>IFERROR(ödev!AH81*100/ödev!$I81,"")</f>
        <v/>
      </c>
      <c r="X485" s="39" t="str">
        <f>IFERROR(ödev!AI81*100/ödev!$I81,"")</f>
        <v/>
      </c>
      <c r="Y485" s="39" t="str">
        <f>IFERROR(ödev!AJ81*100/ödev!$I81,"")</f>
        <v/>
      </c>
      <c r="Z485" s="39" t="str">
        <f>IFERROR(ödev!AK81*100/ödev!$I81,"")</f>
        <v/>
      </c>
      <c r="AA485" s="39" t="str">
        <f>IFERROR(ödev!AL81*100/ödev!$I81,"")</f>
        <v/>
      </c>
      <c r="AB485" s="39" t="str">
        <f>IFERROR(ödev!AM81*100/ödev!$I81,"")</f>
        <v/>
      </c>
      <c r="AC485" s="39" t="str">
        <f>IFERROR(ödev!AN81*100/ödev!$I81,"")</f>
        <v/>
      </c>
      <c r="AD485" s="39" t="str">
        <f>IFERROR(ödev!AO81*100/ödev!$I81,"")</f>
        <v/>
      </c>
      <c r="AE485" s="39" t="str">
        <f>IFERROR(ödev!AP81*100/ödev!$I81,"")</f>
        <v/>
      </c>
      <c r="AF485" s="39" t="str">
        <f>IFERROR(ödev!AQ81*100/ödev!$I81,"")</f>
        <v/>
      </c>
      <c r="AG485" s="39" t="str">
        <f>IFERROR(ödev!AR81*100/ödev!$I81,"")</f>
        <v/>
      </c>
      <c r="AH485" s="39" t="str">
        <f>IFERROR(ödev!AS81*100/ödev!$I81,"")</f>
        <v/>
      </c>
      <c r="AI485" s="39" t="str">
        <f>IFERROR(ödev!AT81*100/ödev!$I81,"")</f>
        <v/>
      </c>
      <c r="AJ485" s="39" t="str">
        <f>IFERROR(ödev!AU81*100/ödev!$I81,"")</f>
        <v/>
      </c>
      <c r="AK485" s="39" t="str">
        <f>IFERROR(ödev!AV81*100/ödev!$I81,"")</f>
        <v/>
      </c>
      <c r="AL485" s="39" t="str">
        <f>IFERROR(ödev!AW81*100/ödev!$I81,"")</f>
        <v/>
      </c>
      <c r="AM485" s="39" t="str">
        <f>IFERROR(ödev!AX81*100/ödev!$I81,"")</f>
        <v/>
      </c>
      <c r="AN485" s="39" t="str">
        <f>IFERROR(ödev!AY81*100/ödev!$I81,"")</f>
        <v/>
      </c>
      <c r="AO485" s="39" t="str">
        <f>IFERROR(ödev!AZ81*100/ödev!$I81,"")</f>
        <v/>
      </c>
      <c r="AP485" s="39" t="str">
        <f>IFERROR(ödev!BA81*100/ödev!$I81,"")</f>
        <v/>
      </c>
      <c r="AQ485" s="39" t="str">
        <f>IFERROR(ödev!BB81*100/ödev!$I81,"")</f>
        <v/>
      </c>
      <c r="AR485" s="39" t="str">
        <f>IFERROR(ödev!BC81*100/ödev!$I81,"")</f>
        <v/>
      </c>
      <c r="AS485" s="39" t="str">
        <f>IFERROR(ödev!BD81*100/ödev!$I81,"")</f>
        <v/>
      </c>
      <c r="AT485" s="39" t="str">
        <f>IFERROR(ödev!BE81*100/ödev!$I81,"")</f>
        <v/>
      </c>
      <c r="AU485" s="39" t="str">
        <f>IFERROR(ödev!BF81*100/ödev!$I81,"")</f>
        <v/>
      </c>
      <c r="AV485" s="39" t="str">
        <f>IFERROR(ödev!BG81*100/ödev!$I81,"")</f>
        <v/>
      </c>
      <c r="AW485" s="39" t="str">
        <f>IFERROR(ödev!BH81*100/ödev!$I81,"")</f>
        <v/>
      </c>
      <c r="AX485" s="39" t="str">
        <f>IFERROR(ödev!BI81*100/ödev!$I81,"")</f>
        <v/>
      </c>
      <c r="AY485" s="39" t="str">
        <f>IFERROR(ödev!BJ81*100/ödev!$I81,"")</f>
        <v/>
      </c>
      <c r="AZ485" s="39" t="str">
        <f>IFERROR(ödev!BK81*100/ödev!$I81,"")</f>
        <v/>
      </c>
      <c r="BA485" s="39" t="str">
        <f>IFERROR(ödev!BL81*100/ödev!$I81,"")</f>
        <v/>
      </c>
      <c r="BB485" s="39" t="str">
        <f>IFERROR(ödev!BM81*100/ödev!$I81,"")</f>
        <v/>
      </c>
      <c r="BC485" s="39" t="str">
        <f>IFERROR(ödev!BN81*100/ödev!$I81,"")</f>
        <v/>
      </c>
      <c r="BD485" s="39" t="str">
        <f>IFERROR(ödev!BO81*100/ödev!$I81,"")</f>
        <v/>
      </c>
      <c r="BE485" s="39" t="str">
        <f>IFERROR(ödev!BP81*100/ödev!$I81,"")</f>
        <v/>
      </c>
      <c r="BF485" s="39" t="str">
        <f>IFERROR(ödev!BQ81*100/ödev!$I81,"")</f>
        <v/>
      </c>
      <c r="BG485" s="39" t="str">
        <f>IFERROR(ödev!BR81*100/ödev!$I81,"")</f>
        <v/>
      </c>
      <c r="BH485" s="39" t="str">
        <f>IFERROR(ödev!BS81*100/ödev!$I81,"")</f>
        <v/>
      </c>
      <c r="BI485" s="39" t="str">
        <f>IFERROR(ödev!BT81*100/ödev!$I81,"")</f>
        <v/>
      </c>
      <c r="BJ485" s="39" t="str">
        <f>IFERROR(ödev!BU81*100/ödev!$I81,"")</f>
        <v/>
      </c>
      <c r="BK485" s="39" t="str">
        <f>IFERROR(ödev!BV81*100/ödev!$I81,"")</f>
        <v/>
      </c>
      <c r="BL485" s="39" t="str">
        <f>IFERROR(ödev!BW81*100/ödev!$I81,"")</f>
        <v/>
      </c>
      <c r="BM485" s="39" t="str">
        <f>IFERROR(ödev!BX81*100/ödev!$I81,"")</f>
        <v/>
      </c>
      <c r="BN485" s="39" t="str">
        <f>IFERROR(ödev!BY81*100/ödev!$I81,"")</f>
        <v/>
      </c>
      <c r="BO485" s="39" t="str">
        <f>IFERROR(ödev!BZ81*100/ödev!$I81,"")</f>
        <v/>
      </c>
      <c r="BP485" s="39" t="str">
        <f>IFERROR(ödev!CA81*100/ödev!$I81,"")</f>
        <v/>
      </c>
      <c r="BQ485" s="39" t="str">
        <f>IFERROR(ödev!CB81*100/ödev!$I81,"")</f>
        <v/>
      </c>
      <c r="BR485" s="39" t="str">
        <f>IFERROR(ödev!CC81*100/ödev!$I81,"")</f>
        <v/>
      </c>
      <c r="BS485" s="39" t="str">
        <f>IFERROR(ödev!CD81*100/ödev!$I81,"")</f>
        <v/>
      </c>
      <c r="BT485" s="39" t="str">
        <f>IFERROR(ödev!CE81*100/ödev!$I81,"")</f>
        <v/>
      </c>
      <c r="BU485" s="39" t="str">
        <f>IFERROR(ödev!CF81*100/ödev!$I81,"")</f>
        <v/>
      </c>
      <c r="BV485" s="39" t="str">
        <f>IFERROR(ödev!CG81*100/ödev!$I81,"")</f>
        <v/>
      </c>
      <c r="BW485" s="39" t="str">
        <f>IFERROR(ödev!CH81*100/ödev!$I81,"")</f>
        <v/>
      </c>
      <c r="BX485" s="39" t="str">
        <f>IFERROR(ödev!CI81*100/ödev!$I81,"")</f>
        <v/>
      </c>
      <c r="BY485" s="39" t="str">
        <f>IFERROR(ödev!CJ81*100/ödev!$I81,"")</f>
        <v/>
      </c>
      <c r="BZ485" s="39" t="str">
        <f>IFERROR(ödev!CK81*100/ödev!$I81,"")</f>
        <v/>
      </c>
      <c r="CA485" s="39" t="str">
        <f>IFERROR(ödev!CL81*100/ödev!$I81,"")</f>
        <v/>
      </c>
      <c r="CB485" s="39" t="str">
        <f>IFERROR(ödev!CM81*100/ödev!$I81,"")</f>
        <v/>
      </c>
      <c r="CC485" s="39" t="str">
        <f>IFERROR(ödev!CN81*100/ödev!$I81,"")</f>
        <v/>
      </c>
      <c r="CD485" s="39" t="str">
        <f>IFERROR(ödev!CO81*100/ödev!$I81,"")</f>
        <v/>
      </c>
      <c r="CE485" s="39" t="str">
        <f>IFERROR(ödev!CP81*100/ödev!$I81,"")</f>
        <v/>
      </c>
      <c r="CF485" s="39" t="str">
        <f>IFERROR(ödev!CQ81*100/ödev!$I81,"")</f>
        <v/>
      </c>
      <c r="CG485" s="39" t="str">
        <f>IFERROR(ödev!CR81*100/ödev!$I81,"")</f>
        <v/>
      </c>
      <c r="CH485" s="39" t="str">
        <f>IFERROR(ödev!CS81*100/ödev!$I81,"")</f>
        <v/>
      </c>
      <c r="CI485" s="39" t="str">
        <f>IFERROR(ödev!CT81*100/ödev!$I81,"")</f>
        <v/>
      </c>
      <c r="CJ485" s="39" t="str">
        <f>IFERROR(ödev!CU81*100/ödev!$I81,"")</f>
        <v/>
      </c>
      <c r="CK485" s="39" t="str">
        <f>IFERROR(ödev!CV81*100/ödev!$I81,"")</f>
        <v/>
      </c>
      <c r="CL485" s="39" t="str">
        <f>IFERROR(ödev!CW81*100/ödev!$I81,"")</f>
        <v/>
      </c>
      <c r="CM485" s="39" t="str">
        <f>IFERROR(ödev!CX81*100/ödev!$I81,"")</f>
        <v/>
      </c>
      <c r="CN485" s="39" t="str">
        <f>IFERROR(ödev!CY81*100/ödev!$I81,"")</f>
        <v/>
      </c>
      <c r="CO485" s="39" t="str">
        <f>IFERROR(ödev!CZ81*100/ödev!$I81,"")</f>
        <v/>
      </c>
      <c r="CP485" s="39" t="str">
        <f>IFERROR(ödev!DA81*100/ödev!$I81,"")</f>
        <v/>
      </c>
      <c r="CQ485" s="39" t="str">
        <f>IFERROR(ödev!DB81*100/ödev!$I81,"")</f>
        <v/>
      </c>
      <c r="CR485" s="39" t="str">
        <f>IFERROR(ödev!DC81*100/ödev!$I81,"")</f>
        <v/>
      </c>
      <c r="CS485" s="39" t="str">
        <f>IFERROR(ödev!DD81*100/ödev!$I81,"")</f>
        <v/>
      </c>
      <c r="CT485" s="39" t="str">
        <f>IFERROR(ödev!DE81*100/ödev!$I81,"")</f>
        <v/>
      </c>
      <c r="CU485" s="39" t="str">
        <f>IFERROR(ödev!DF81*100/ödev!$I81,"")</f>
        <v/>
      </c>
      <c r="CV485" s="39" t="str">
        <f>IFERROR(ödev!DG81*100/ödev!$I81,"")</f>
        <v/>
      </c>
      <c r="CW485" s="36" t="str">
        <f>IFERROR(SUM(A485:CV485)/ödev!$DH$103,"")</f>
        <v/>
      </c>
      <c r="CX485" s="14" t="str">
        <f>IF(COUNTA(ödev!A81),ödev!A81,"")</f>
        <v/>
      </c>
      <c r="CY485" s="14" t="str">
        <f>IF(COUNTA(ödev!B81),ödev!B81,"")</f>
        <v/>
      </c>
      <c r="CZ485" s="14" t="str">
        <f>IF(COUNTA(ödev!C81),ödev!C81,"")</f>
        <v/>
      </c>
      <c r="DA485" s="14" t="str">
        <f>IF(COUNTA(ödev!D81),ödev!D81,"")</f>
        <v/>
      </c>
      <c r="DB485" s="14" t="str">
        <f>IF(COUNTA(ödev!E81),ödev!E81,"")</f>
        <v/>
      </c>
      <c r="DC485" s="14" t="str">
        <f>IF(COUNTA(ödev!F81),ödev!F81,"")</f>
        <v/>
      </c>
      <c r="DD485" s="14" t="str">
        <f>IF(COUNTA(ödev!G81),ödev!G81,"")</f>
        <v/>
      </c>
      <c r="DE485" s="14" t="str">
        <f>IF(COUNTA(ödev!H81),ödev!H81,"")</f>
        <v/>
      </c>
    </row>
    <row r="486" spans="1:109" x14ac:dyDescent="0.2">
      <c r="A486" s="39" t="str">
        <f>IFERROR(ödev!L82*100/ödev!$I82,"")</f>
        <v/>
      </c>
      <c r="B486" s="39" t="str">
        <f>IFERROR(ödev!M82*100/ödev!$I82,"")</f>
        <v/>
      </c>
      <c r="C486" s="39" t="str">
        <f>IFERROR(ödev!N82*100/ödev!$I82,"")</f>
        <v/>
      </c>
      <c r="D486" s="39" t="str">
        <f>IFERROR(ödev!O82*100/ödev!$I82,"")</f>
        <v/>
      </c>
      <c r="E486" s="39" t="str">
        <f>IFERROR(ödev!P82*100/ödev!$I82,"")</f>
        <v/>
      </c>
      <c r="F486" s="39" t="str">
        <f>IFERROR(ödev!Q82*100/ödev!$I82,"")</f>
        <v/>
      </c>
      <c r="G486" s="39" t="str">
        <f>IFERROR(ödev!R82*100/ödev!$I82,"")</f>
        <v/>
      </c>
      <c r="H486" s="39" t="str">
        <f>IFERROR(ödev!S82*100/ödev!$I82,"")</f>
        <v/>
      </c>
      <c r="I486" s="39" t="str">
        <f>IFERROR(ödev!T82*100/ödev!$I82,"")</f>
        <v/>
      </c>
      <c r="J486" s="39" t="str">
        <f>IFERROR(ödev!U82*100/ödev!$I82,"")</f>
        <v/>
      </c>
      <c r="K486" s="39" t="str">
        <f>IFERROR(ödev!V82*100/ödev!$I82,"")</f>
        <v/>
      </c>
      <c r="L486" s="39" t="str">
        <f>IFERROR(ödev!W82*100/ödev!$I82,"")</f>
        <v/>
      </c>
      <c r="M486" s="39" t="str">
        <f>IFERROR(ödev!X82*100/ödev!$I82,"")</f>
        <v/>
      </c>
      <c r="N486" s="39" t="str">
        <f>IFERROR(ödev!Y82*100/ödev!$I82,"")</f>
        <v/>
      </c>
      <c r="O486" s="39" t="str">
        <f>IFERROR(ödev!Z82*100/ödev!$I82,"")</f>
        <v/>
      </c>
      <c r="P486" s="39" t="str">
        <f>IFERROR(ödev!AA82*100/ödev!$I82,"")</f>
        <v/>
      </c>
      <c r="Q486" s="39" t="str">
        <f>IFERROR(ödev!AB82*100/ödev!$I82,"")</f>
        <v/>
      </c>
      <c r="R486" s="39" t="str">
        <f>IFERROR(ödev!AC82*100/ödev!$I82,"")</f>
        <v/>
      </c>
      <c r="S486" s="39" t="str">
        <f>IFERROR(ödev!AD82*100/ödev!$I82,"")</f>
        <v/>
      </c>
      <c r="T486" s="39" t="str">
        <f>IFERROR(ödev!AE82*100/ödev!$I82,"")</f>
        <v/>
      </c>
      <c r="U486" s="39" t="str">
        <f>IFERROR(ödev!AF82*100/ödev!$I82,"")</f>
        <v/>
      </c>
      <c r="V486" s="39" t="str">
        <f>IFERROR(ödev!AG82*100/ödev!$I82,"")</f>
        <v/>
      </c>
      <c r="W486" s="39" t="str">
        <f>IFERROR(ödev!AH82*100/ödev!$I82,"")</f>
        <v/>
      </c>
      <c r="X486" s="39" t="str">
        <f>IFERROR(ödev!AI82*100/ödev!$I82,"")</f>
        <v/>
      </c>
      <c r="Y486" s="39" t="str">
        <f>IFERROR(ödev!AJ82*100/ödev!$I82,"")</f>
        <v/>
      </c>
      <c r="Z486" s="39" t="str">
        <f>IFERROR(ödev!AK82*100/ödev!$I82,"")</f>
        <v/>
      </c>
      <c r="AA486" s="39" t="str">
        <f>IFERROR(ödev!AL82*100/ödev!$I82,"")</f>
        <v/>
      </c>
      <c r="AB486" s="39" t="str">
        <f>IFERROR(ödev!AM82*100/ödev!$I82,"")</f>
        <v/>
      </c>
      <c r="AC486" s="39" t="str">
        <f>IFERROR(ödev!AN82*100/ödev!$I82,"")</f>
        <v/>
      </c>
      <c r="AD486" s="39" t="str">
        <f>IFERROR(ödev!AO82*100/ödev!$I82,"")</f>
        <v/>
      </c>
      <c r="AE486" s="39" t="str">
        <f>IFERROR(ödev!AP82*100/ödev!$I82,"")</f>
        <v/>
      </c>
      <c r="AF486" s="39" t="str">
        <f>IFERROR(ödev!AQ82*100/ödev!$I82,"")</f>
        <v/>
      </c>
      <c r="AG486" s="39" t="str">
        <f>IFERROR(ödev!AR82*100/ödev!$I82,"")</f>
        <v/>
      </c>
      <c r="AH486" s="39" t="str">
        <f>IFERROR(ödev!AS82*100/ödev!$I82,"")</f>
        <v/>
      </c>
      <c r="AI486" s="39" t="str">
        <f>IFERROR(ödev!AT82*100/ödev!$I82,"")</f>
        <v/>
      </c>
      <c r="AJ486" s="39" t="str">
        <f>IFERROR(ödev!AU82*100/ödev!$I82,"")</f>
        <v/>
      </c>
      <c r="AK486" s="39" t="str">
        <f>IFERROR(ödev!AV82*100/ödev!$I82,"")</f>
        <v/>
      </c>
      <c r="AL486" s="39" t="str">
        <f>IFERROR(ödev!AW82*100/ödev!$I82,"")</f>
        <v/>
      </c>
      <c r="AM486" s="39" t="str">
        <f>IFERROR(ödev!AX82*100/ödev!$I82,"")</f>
        <v/>
      </c>
      <c r="AN486" s="39" t="str">
        <f>IFERROR(ödev!AY82*100/ödev!$I82,"")</f>
        <v/>
      </c>
      <c r="AO486" s="39" t="str">
        <f>IFERROR(ödev!AZ82*100/ödev!$I82,"")</f>
        <v/>
      </c>
      <c r="AP486" s="39" t="str">
        <f>IFERROR(ödev!BA82*100/ödev!$I82,"")</f>
        <v/>
      </c>
      <c r="AQ486" s="39" t="str">
        <f>IFERROR(ödev!BB82*100/ödev!$I82,"")</f>
        <v/>
      </c>
      <c r="AR486" s="39" t="str">
        <f>IFERROR(ödev!BC82*100/ödev!$I82,"")</f>
        <v/>
      </c>
      <c r="AS486" s="39" t="str">
        <f>IFERROR(ödev!BD82*100/ödev!$I82,"")</f>
        <v/>
      </c>
      <c r="AT486" s="39" t="str">
        <f>IFERROR(ödev!BE82*100/ödev!$I82,"")</f>
        <v/>
      </c>
      <c r="AU486" s="39" t="str">
        <f>IFERROR(ödev!BF82*100/ödev!$I82,"")</f>
        <v/>
      </c>
      <c r="AV486" s="39" t="str">
        <f>IFERROR(ödev!BG82*100/ödev!$I82,"")</f>
        <v/>
      </c>
      <c r="AW486" s="39" t="str">
        <f>IFERROR(ödev!BH82*100/ödev!$I82,"")</f>
        <v/>
      </c>
      <c r="AX486" s="39" t="str">
        <f>IFERROR(ödev!BI82*100/ödev!$I82,"")</f>
        <v/>
      </c>
      <c r="AY486" s="39" t="str">
        <f>IFERROR(ödev!BJ82*100/ödev!$I82,"")</f>
        <v/>
      </c>
      <c r="AZ486" s="39" t="str">
        <f>IFERROR(ödev!BK82*100/ödev!$I82,"")</f>
        <v/>
      </c>
      <c r="BA486" s="39" t="str">
        <f>IFERROR(ödev!BL82*100/ödev!$I82,"")</f>
        <v/>
      </c>
      <c r="BB486" s="39" t="str">
        <f>IFERROR(ödev!BM82*100/ödev!$I82,"")</f>
        <v/>
      </c>
      <c r="BC486" s="39" t="str">
        <f>IFERROR(ödev!BN82*100/ödev!$I82,"")</f>
        <v/>
      </c>
      <c r="BD486" s="39" t="str">
        <f>IFERROR(ödev!BO82*100/ödev!$I82,"")</f>
        <v/>
      </c>
      <c r="BE486" s="39" t="str">
        <f>IFERROR(ödev!BP82*100/ödev!$I82,"")</f>
        <v/>
      </c>
      <c r="BF486" s="39" t="str">
        <f>IFERROR(ödev!BQ82*100/ödev!$I82,"")</f>
        <v/>
      </c>
      <c r="BG486" s="39" t="str">
        <f>IFERROR(ödev!BR82*100/ödev!$I82,"")</f>
        <v/>
      </c>
      <c r="BH486" s="39" t="str">
        <f>IFERROR(ödev!BS82*100/ödev!$I82,"")</f>
        <v/>
      </c>
      <c r="BI486" s="39" t="str">
        <f>IFERROR(ödev!BT82*100/ödev!$I82,"")</f>
        <v/>
      </c>
      <c r="BJ486" s="39" t="str">
        <f>IFERROR(ödev!BU82*100/ödev!$I82,"")</f>
        <v/>
      </c>
      <c r="BK486" s="39" t="str">
        <f>IFERROR(ödev!BV82*100/ödev!$I82,"")</f>
        <v/>
      </c>
      <c r="BL486" s="39" t="str">
        <f>IFERROR(ödev!BW82*100/ödev!$I82,"")</f>
        <v/>
      </c>
      <c r="BM486" s="39" t="str">
        <f>IFERROR(ödev!BX82*100/ödev!$I82,"")</f>
        <v/>
      </c>
      <c r="BN486" s="39" t="str">
        <f>IFERROR(ödev!BY82*100/ödev!$I82,"")</f>
        <v/>
      </c>
      <c r="BO486" s="39" t="str">
        <f>IFERROR(ödev!BZ82*100/ödev!$I82,"")</f>
        <v/>
      </c>
      <c r="BP486" s="39" t="str">
        <f>IFERROR(ödev!CA82*100/ödev!$I82,"")</f>
        <v/>
      </c>
      <c r="BQ486" s="39" t="str">
        <f>IFERROR(ödev!CB82*100/ödev!$I82,"")</f>
        <v/>
      </c>
      <c r="BR486" s="39" t="str">
        <f>IFERROR(ödev!CC82*100/ödev!$I82,"")</f>
        <v/>
      </c>
      <c r="BS486" s="39" t="str">
        <f>IFERROR(ödev!CD82*100/ödev!$I82,"")</f>
        <v/>
      </c>
      <c r="BT486" s="39" t="str">
        <f>IFERROR(ödev!CE82*100/ödev!$I82,"")</f>
        <v/>
      </c>
      <c r="BU486" s="39" t="str">
        <f>IFERROR(ödev!CF82*100/ödev!$I82,"")</f>
        <v/>
      </c>
      <c r="BV486" s="39" t="str">
        <f>IFERROR(ödev!CG82*100/ödev!$I82,"")</f>
        <v/>
      </c>
      <c r="BW486" s="39" t="str">
        <f>IFERROR(ödev!CH82*100/ödev!$I82,"")</f>
        <v/>
      </c>
      <c r="BX486" s="39" t="str">
        <f>IFERROR(ödev!CI82*100/ödev!$I82,"")</f>
        <v/>
      </c>
      <c r="BY486" s="39" t="str">
        <f>IFERROR(ödev!CJ82*100/ödev!$I82,"")</f>
        <v/>
      </c>
      <c r="BZ486" s="39" t="str">
        <f>IFERROR(ödev!CK82*100/ödev!$I82,"")</f>
        <v/>
      </c>
      <c r="CA486" s="39" t="str">
        <f>IFERROR(ödev!CL82*100/ödev!$I82,"")</f>
        <v/>
      </c>
      <c r="CB486" s="39" t="str">
        <f>IFERROR(ödev!CM82*100/ödev!$I82,"")</f>
        <v/>
      </c>
      <c r="CC486" s="39" t="str">
        <f>IFERROR(ödev!CN82*100/ödev!$I82,"")</f>
        <v/>
      </c>
      <c r="CD486" s="39" t="str">
        <f>IFERROR(ödev!CO82*100/ödev!$I82,"")</f>
        <v/>
      </c>
      <c r="CE486" s="39" t="str">
        <f>IFERROR(ödev!CP82*100/ödev!$I82,"")</f>
        <v/>
      </c>
      <c r="CF486" s="39" t="str">
        <f>IFERROR(ödev!CQ82*100/ödev!$I82,"")</f>
        <v/>
      </c>
      <c r="CG486" s="39" t="str">
        <f>IFERROR(ödev!CR82*100/ödev!$I82,"")</f>
        <v/>
      </c>
      <c r="CH486" s="39" t="str">
        <f>IFERROR(ödev!CS82*100/ödev!$I82,"")</f>
        <v/>
      </c>
      <c r="CI486" s="39" t="str">
        <f>IFERROR(ödev!CT82*100/ödev!$I82,"")</f>
        <v/>
      </c>
      <c r="CJ486" s="39" t="str">
        <f>IFERROR(ödev!CU82*100/ödev!$I82,"")</f>
        <v/>
      </c>
      <c r="CK486" s="39" t="str">
        <f>IFERROR(ödev!CV82*100/ödev!$I82,"")</f>
        <v/>
      </c>
      <c r="CL486" s="39" t="str">
        <f>IFERROR(ödev!CW82*100/ödev!$I82,"")</f>
        <v/>
      </c>
      <c r="CM486" s="39" t="str">
        <f>IFERROR(ödev!CX82*100/ödev!$I82,"")</f>
        <v/>
      </c>
      <c r="CN486" s="39" t="str">
        <f>IFERROR(ödev!CY82*100/ödev!$I82,"")</f>
        <v/>
      </c>
      <c r="CO486" s="39" t="str">
        <f>IFERROR(ödev!CZ82*100/ödev!$I82,"")</f>
        <v/>
      </c>
      <c r="CP486" s="39" t="str">
        <f>IFERROR(ödev!DA82*100/ödev!$I82,"")</f>
        <v/>
      </c>
      <c r="CQ486" s="39" t="str">
        <f>IFERROR(ödev!DB82*100/ödev!$I82,"")</f>
        <v/>
      </c>
      <c r="CR486" s="39" t="str">
        <f>IFERROR(ödev!DC82*100/ödev!$I82,"")</f>
        <v/>
      </c>
      <c r="CS486" s="39" t="str">
        <f>IFERROR(ödev!DD82*100/ödev!$I82,"")</f>
        <v/>
      </c>
      <c r="CT486" s="39" t="str">
        <f>IFERROR(ödev!DE82*100/ödev!$I82,"")</f>
        <v/>
      </c>
      <c r="CU486" s="39" t="str">
        <f>IFERROR(ödev!DF82*100/ödev!$I82,"")</f>
        <v/>
      </c>
      <c r="CV486" s="39" t="str">
        <f>IFERROR(ödev!DG82*100/ödev!$I82,"")</f>
        <v/>
      </c>
      <c r="CW486" s="36" t="str">
        <f>IFERROR(SUM(A486:CV486)/ödev!$DH$103,"")</f>
        <v/>
      </c>
      <c r="CX486" s="14" t="str">
        <f>IF(COUNTA(ödev!A82),ödev!A82,"")</f>
        <v/>
      </c>
      <c r="CY486" s="14" t="str">
        <f>IF(COUNTA(ödev!B82),ödev!B82,"")</f>
        <v/>
      </c>
      <c r="CZ486" s="14" t="str">
        <f>IF(COUNTA(ödev!C82),ödev!C82,"")</f>
        <v/>
      </c>
      <c r="DA486" s="14" t="str">
        <f>IF(COUNTA(ödev!D82),ödev!D82,"")</f>
        <v/>
      </c>
      <c r="DB486" s="14" t="str">
        <f>IF(COUNTA(ödev!E82),ödev!E82,"")</f>
        <v/>
      </c>
      <c r="DC486" s="14" t="str">
        <f>IF(COUNTA(ödev!F82),ödev!F82,"")</f>
        <v/>
      </c>
      <c r="DD486" s="14" t="str">
        <f>IF(COUNTA(ödev!G82),ödev!G82,"")</f>
        <v/>
      </c>
      <c r="DE486" s="14" t="str">
        <f>IF(COUNTA(ödev!H82),ödev!H82,"")</f>
        <v/>
      </c>
    </row>
    <row r="487" spans="1:109" x14ac:dyDescent="0.2">
      <c r="A487" s="39" t="str">
        <f>IFERROR(ödev!L83*100/ödev!$I83,"")</f>
        <v/>
      </c>
      <c r="B487" s="39" t="str">
        <f>IFERROR(ödev!M83*100/ödev!$I83,"")</f>
        <v/>
      </c>
      <c r="C487" s="39" t="str">
        <f>IFERROR(ödev!N83*100/ödev!$I83,"")</f>
        <v/>
      </c>
      <c r="D487" s="39" t="str">
        <f>IFERROR(ödev!O83*100/ödev!$I83,"")</f>
        <v/>
      </c>
      <c r="E487" s="39" t="str">
        <f>IFERROR(ödev!P83*100/ödev!$I83,"")</f>
        <v/>
      </c>
      <c r="F487" s="39" t="str">
        <f>IFERROR(ödev!Q83*100/ödev!$I83,"")</f>
        <v/>
      </c>
      <c r="G487" s="39" t="str">
        <f>IFERROR(ödev!R83*100/ödev!$I83,"")</f>
        <v/>
      </c>
      <c r="H487" s="39" t="str">
        <f>IFERROR(ödev!S83*100/ödev!$I83,"")</f>
        <v/>
      </c>
      <c r="I487" s="39" t="str">
        <f>IFERROR(ödev!T83*100/ödev!$I83,"")</f>
        <v/>
      </c>
      <c r="J487" s="39" t="str">
        <f>IFERROR(ödev!U83*100/ödev!$I83,"")</f>
        <v/>
      </c>
      <c r="K487" s="39" t="str">
        <f>IFERROR(ödev!V83*100/ödev!$I83,"")</f>
        <v/>
      </c>
      <c r="L487" s="39" t="str">
        <f>IFERROR(ödev!W83*100/ödev!$I83,"")</f>
        <v/>
      </c>
      <c r="M487" s="39" t="str">
        <f>IFERROR(ödev!X83*100/ödev!$I83,"")</f>
        <v/>
      </c>
      <c r="N487" s="39" t="str">
        <f>IFERROR(ödev!Y83*100/ödev!$I83,"")</f>
        <v/>
      </c>
      <c r="O487" s="39" t="str">
        <f>IFERROR(ödev!Z83*100/ödev!$I83,"")</f>
        <v/>
      </c>
      <c r="P487" s="39" t="str">
        <f>IFERROR(ödev!AA83*100/ödev!$I83,"")</f>
        <v/>
      </c>
      <c r="Q487" s="39" t="str">
        <f>IFERROR(ödev!AB83*100/ödev!$I83,"")</f>
        <v/>
      </c>
      <c r="R487" s="39" t="str">
        <f>IFERROR(ödev!AC83*100/ödev!$I83,"")</f>
        <v/>
      </c>
      <c r="S487" s="39" t="str">
        <f>IFERROR(ödev!AD83*100/ödev!$I83,"")</f>
        <v/>
      </c>
      <c r="T487" s="39" t="str">
        <f>IFERROR(ödev!AE83*100/ödev!$I83,"")</f>
        <v/>
      </c>
      <c r="U487" s="39" t="str">
        <f>IFERROR(ödev!AF83*100/ödev!$I83,"")</f>
        <v/>
      </c>
      <c r="V487" s="39" t="str">
        <f>IFERROR(ödev!AG83*100/ödev!$I83,"")</f>
        <v/>
      </c>
      <c r="W487" s="39" t="str">
        <f>IFERROR(ödev!AH83*100/ödev!$I83,"")</f>
        <v/>
      </c>
      <c r="X487" s="39" t="str">
        <f>IFERROR(ödev!AI83*100/ödev!$I83,"")</f>
        <v/>
      </c>
      <c r="Y487" s="39" t="str">
        <f>IFERROR(ödev!AJ83*100/ödev!$I83,"")</f>
        <v/>
      </c>
      <c r="Z487" s="39" t="str">
        <f>IFERROR(ödev!AK83*100/ödev!$I83,"")</f>
        <v/>
      </c>
      <c r="AA487" s="39" t="str">
        <f>IFERROR(ödev!AL83*100/ödev!$I83,"")</f>
        <v/>
      </c>
      <c r="AB487" s="39" t="str">
        <f>IFERROR(ödev!AM83*100/ödev!$I83,"")</f>
        <v/>
      </c>
      <c r="AC487" s="39" t="str">
        <f>IFERROR(ödev!AN83*100/ödev!$I83,"")</f>
        <v/>
      </c>
      <c r="AD487" s="39" t="str">
        <f>IFERROR(ödev!AO83*100/ödev!$I83,"")</f>
        <v/>
      </c>
      <c r="AE487" s="39" t="str">
        <f>IFERROR(ödev!AP83*100/ödev!$I83,"")</f>
        <v/>
      </c>
      <c r="AF487" s="39" t="str">
        <f>IFERROR(ödev!AQ83*100/ödev!$I83,"")</f>
        <v/>
      </c>
      <c r="AG487" s="39" t="str">
        <f>IFERROR(ödev!AR83*100/ödev!$I83,"")</f>
        <v/>
      </c>
      <c r="AH487" s="39" t="str">
        <f>IFERROR(ödev!AS83*100/ödev!$I83,"")</f>
        <v/>
      </c>
      <c r="AI487" s="39" t="str">
        <f>IFERROR(ödev!AT83*100/ödev!$I83,"")</f>
        <v/>
      </c>
      <c r="AJ487" s="39" t="str">
        <f>IFERROR(ödev!AU83*100/ödev!$I83,"")</f>
        <v/>
      </c>
      <c r="AK487" s="39" t="str">
        <f>IFERROR(ödev!AV83*100/ödev!$I83,"")</f>
        <v/>
      </c>
      <c r="AL487" s="39" t="str">
        <f>IFERROR(ödev!AW83*100/ödev!$I83,"")</f>
        <v/>
      </c>
      <c r="AM487" s="39" t="str">
        <f>IFERROR(ödev!AX83*100/ödev!$I83,"")</f>
        <v/>
      </c>
      <c r="AN487" s="39" t="str">
        <f>IFERROR(ödev!AY83*100/ödev!$I83,"")</f>
        <v/>
      </c>
      <c r="AO487" s="39" t="str">
        <f>IFERROR(ödev!AZ83*100/ödev!$I83,"")</f>
        <v/>
      </c>
      <c r="AP487" s="39" t="str">
        <f>IFERROR(ödev!BA83*100/ödev!$I83,"")</f>
        <v/>
      </c>
      <c r="AQ487" s="39" t="str">
        <f>IFERROR(ödev!BB83*100/ödev!$I83,"")</f>
        <v/>
      </c>
      <c r="AR487" s="39" t="str">
        <f>IFERROR(ödev!BC83*100/ödev!$I83,"")</f>
        <v/>
      </c>
      <c r="AS487" s="39" t="str">
        <f>IFERROR(ödev!BD83*100/ödev!$I83,"")</f>
        <v/>
      </c>
      <c r="AT487" s="39" t="str">
        <f>IFERROR(ödev!BE83*100/ödev!$I83,"")</f>
        <v/>
      </c>
      <c r="AU487" s="39" t="str">
        <f>IFERROR(ödev!BF83*100/ödev!$I83,"")</f>
        <v/>
      </c>
      <c r="AV487" s="39" t="str">
        <f>IFERROR(ödev!BG83*100/ödev!$I83,"")</f>
        <v/>
      </c>
      <c r="AW487" s="39" t="str">
        <f>IFERROR(ödev!BH83*100/ödev!$I83,"")</f>
        <v/>
      </c>
      <c r="AX487" s="39" t="str">
        <f>IFERROR(ödev!BI83*100/ödev!$I83,"")</f>
        <v/>
      </c>
      <c r="AY487" s="39" t="str">
        <f>IFERROR(ödev!BJ83*100/ödev!$I83,"")</f>
        <v/>
      </c>
      <c r="AZ487" s="39" t="str">
        <f>IFERROR(ödev!BK83*100/ödev!$I83,"")</f>
        <v/>
      </c>
      <c r="BA487" s="39" t="str">
        <f>IFERROR(ödev!BL83*100/ödev!$I83,"")</f>
        <v/>
      </c>
      <c r="BB487" s="39" t="str">
        <f>IFERROR(ödev!BM83*100/ödev!$I83,"")</f>
        <v/>
      </c>
      <c r="BC487" s="39" t="str">
        <f>IFERROR(ödev!BN83*100/ödev!$I83,"")</f>
        <v/>
      </c>
      <c r="BD487" s="39" t="str">
        <f>IFERROR(ödev!BO83*100/ödev!$I83,"")</f>
        <v/>
      </c>
      <c r="BE487" s="39" t="str">
        <f>IFERROR(ödev!BP83*100/ödev!$I83,"")</f>
        <v/>
      </c>
      <c r="BF487" s="39" t="str">
        <f>IFERROR(ödev!BQ83*100/ödev!$I83,"")</f>
        <v/>
      </c>
      <c r="BG487" s="39" t="str">
        <f>IFERROR(ödev!BR83*100/ödev!$I83,"")</f>
        <v/>
      </c>
      <c r="BH487" s="39" t="str">
        <f>IFERROR(ödev!BS83*100/ödev!$I83,"")</f>
        <v/>
      </c>
      <c r="BI487" s="39" t="str">
        <f>IFERROR(ödev!BT83*100/ödev!$I83,"")</f>
        <v/>
      </c>
      <c r="BJ487" s="39" t="str">
        <f>IFERROR(ödev!BU83*100/ödev!$I83,"")</f>
        <v/>
      </c>
      <c r="BK487" s="39" t="str">
        <f>IFERROR(ödev!BV83*100/ödev!$I83,"")</f>
        <v/>
      </c>
      <c r="BL487" s="39" t="str">
        <f>IFERROR(ödev!BW83*100/ödev!$I83,"")</f>
        <v/>
      </c>
      <c r="BM487" s="39" t="str">
        <f>IFERROR(ödev!BX83*100/ödev!$I83,"")</f>
        <v/>
      </c>
      <c r="BN487" s="39" t="str">
        <f>IFERROR(ödev!BY83*100/ödev!$I83,"")</f>
        <v/>
      </c>
      <c r="BO487" s="39" t="str">
        <f>IFERROR(ödev!BZ83*100/ödev!$I83,"")</f>
        <v/>
      </c>
      <c r="BP487" s="39" t="str">
        <f>IFERROR(ödev!CA83*100/ödev!$I83,"")</f>
        <v/>
      </c>
      <c r="BQ487" s="39" t="str">
        <f>IFERROR(ödev!CB83*100/ödev!$I83,"")</f>
        <v/>
      </c>
      <c r="BR487" s="39" t="str">
        <f>IFERROR(ödev!CC83*100/ödev!$I83,"")</f>
        <v/>
      </c>
      <c r="BS487" s="39" t="str">
        <f>IFERROR(ödev!CD83*100/ödev!$I83,"")</f>
        <v/>
      </c>
      <c r="BT487" s="39" t="str">
        <f>IFERROR(ödev!CE83*100/ödev!$I83,"")</f>
        <v/>
      </c>
      <c r="BU487" s="39" t="str">
        <f>IFERROR(ödev!CF83*100/ödev!$I83,"")</f>
        <v/>
      </c>
      <c r="BV487" s="39" t="str">
        <f>IFERROR(ödev!CG83*100/ödev!$I83,"")</f>
        <v/>
      </c>
      <c r="BW487" s="39" t="str">
        <f>IFERROR(ödev!CH83*100/ödev!$I83,"")</f>
        <v/>
      </c>
      <c r="BX487" s="39" t="str">
        <f>IFERROR(ödev!CI83*100/ödev!$I83,"")</f>
        <v/>
      </c>
      <c r="BY487" s="39" t="str">
        <f>IFERROR(ödev!CJ83*100/ödev!$I83,"")</f>
        <v/>
      </c>
      <c r="BZ487" s="39" t="str">
        <f>IFERROR(ödev!CK83*100/ödev!$I83,"")</f>
        <v/>
      </c>
      <c r="CA487" s="39" t="str">
        <f>IFERROR(ödev!CL83*100/ödev!$I83,"")</f>
        <v/>
      </c>
      <c r="CB487" s="39" t="str">
        <f>IFERROR(ödev!CM83*100/ödev!$I83,"")</f>
        <v/>
      </c>
      <c r="CC487" s="39" t="str">
        <f>IFERROR(ödev!CN83*100/ödev!$I83,"")</f>
        <v/>
      </c>
      <c r="CD487" s="39" t="str">
        <f>IFERROR(ödev!CO83*100/ödev!$I83,"")</f>
        <v/>
      </c>
      <c r="CE487" s="39" t="str">
        <f>IFERROR(ödev!CP83*100/ödev!$I83,"")</f>
        <v/>
      </c>
      <c r="CF487" s="39" t="str">
        <f>IFERROR(ödev!CQ83*100/ödev!$I83,"")</f>
        <v/>
      </c>
      <c r="CG487" s="39" t="str">
        <f>IFERROR(ödev!CR83*100/ödev!$I83,"")</f>
        <v/>
      </c>
      <c r="CH487" s="39" t="str">
        <f>IFERROR(ödev!CS83*100/ödev!$I83,"")</f>
        <v/>
      </c>
      <c r="CI487" s="39" t="str">
        <f>IFERROR(ödev!CT83*100/ödev!$I83,"")</f>
        <v/>
      </c>
      <c r="CJ487" s="39" t="str">
        <f>IFERROR(ödev!CU83*100/ödev!$I83,"")</f>
        <v/>
      </c>
      <c r="CK487" s="39" t="str">
        <f>IFERROR(ödev!CV83*100/ödev!$I83,"")</f>
        <v/>
      </c>
      <c r="CL487" s="39" t="str">
        <f>IFERROR(ödev!CW83*100/ödev!$I83,"")</f>
        <v/>
      </c>
      <c r="CM487" s="39" t="str">
        <f>IFERROR(ödev!CX83*100/ödev!$I83,"")</f>
        <v/>
      </c>
      <c r="CN487" s="39" t="str">
        <f>IFERROR(ödev!CY83*100/ödev!$I83,"")</f>
        <v/>
      </c>
      <c r="CO487" s="39" t="str">
        <f>IFERROR(ödev!CZ83*100/ödev!$I83,"")</f>
        <v/>
      </c>
      <c r="CP487" s="39" t="str">
        <f>IFERROR(ödev!DA83*100/ödev!$I83,"")</f>
        <v/>
      </c>
      <c r="CQ487" s="39" t="str">
        <f>IFERROR(ödev!DB83*100/ödev!$I83,"")</f>
        <v/>
      </c>
      <c r="CR487" s="39" t="str">
        <f>IFERROR(ödev!DC83*100/ödev!$I83,"")</f>
        <v/>
      </c>
      <c r="CS487" s="39" t="str">
        <f>IFERROR(ödev!DD83*100/ödev!$I83,"")</f>
        <v/>
      </c>
      <c r="CT487" s="39" t="str">
        <f>IFERROR(ödev!DE83*100/ödev!$I83,"")</f>
        <v/>
      </c>
      <c r="CU487" s="39" t="str">
        <f>IFERROR(ödev!DF83*100/ödev!$I83,"")</f>
        <v/>
      </c>
      <c r="CV487" s="39" t="str">
        <f>IFERROR(ödev!DG83*100/ödev!$I83,"")</f>
        <v/>
      </c>
      <c r="CW487" s="36" t="str">
        <f>IFERROR(SUM(A487:CV487)/ödev!$DH$103,"")</f>
        <v/>
      </c>
      <c r="CX487" s="14" t="str">
        <f>IF(COUNTA(ödev!A83),ödev!A83,"")</f>
        <v/>
      </c>
      <c r="CY487" s="14" t="str">
        <f>IF(COUNTA(ödev!B83),ödev!B83,"")</f>
        <v/>
      </c>
      <c r="CZ487" s="14" t="str">
        <f>IF(COUNTA(ödev!C83),ödev!C83,"")</f>
        <v/>
      </c>
      <c r="DA487" s="14" t="str">
        <f>IF(COUNTA(ödev!D83),ödev!D83,"")</f>
        <v/>
      </c>
      <c r="DB487" s="14" t="str">
        <f>IF(COUNTA(ödev!E83),ödev!E83,"")</f>
        <v/>
      </c>
      <c r="DC487" s="14" t="str">
        <f>IF(COUNTA(ödev!F83),ödev!F83,"")</f>
        <v/>
      </c>
      <c r="DD487" s="14" t="str">
        <f>IF(COUNTA(ödev!G83),ödev!G83,"")</f>
        <v/>
      </c>
      <c r="DE487" s="14" t="str">
        <f>IF(COUNTA(ödev!H83),ödev!H83,"")</f>
        <v/>
      </c>
    </row>
    <row r="488" spans="1:109" x14ac:dyDescent="0.2">
      <c r="A488" s="39" t="str">
        <f>IFERROR(ödev!L84*100/ödev!$I84,"")</f>
        <v/>
      </c>
      <c r="B488" s="39" t="str">
        <f>IFERROR(ödev!M84*100/ödev!$I84,"")</f>
        <v/>
      </c>
      <c r="C488" s="39" t="str">
        <f>IFERROR(ödev!N84*100/ödev!$I84,"")</f>
        <v/>
      </c>
      <c r="D488" s="39" t="str">
        <f>IFERROR(ödev!O84*100/ödev!$I84,"")</f>
        <v/>
      </c>
      <c r="E488" s="39" t="str">
        <f>IFERROR(ödev!P84*100/ödev!$I84,"")</f>
        <v/>
      </c>
      <c r="F488" s="39" t="str">
        <f>IFERROR(ödev!Q84*100/ödev!$I84,"")</f>
        <v/>
      </c>
      <c r="G488" s="39" t="str">
        <f>IFERROR(ödev!R84*100/ödev!$I84,"")</f>
        <v/>
      </c>
      <c r="H488" s="39" t="str">
        <f>IFERROR(ödev!S84*100/ödev!$I84,"")</f>
        <v/>
      </c>
      <c r="I488" s="39" t="str">
        <f>IFERROR(ödev!T84*100/ödev!$I84,"")</f>
        <v/>
      </c>
      <c r="J488" s="39" t="str">
        <f>IFERROR(ödev!U84*100/ödev!$I84,"")</f>
        <v/>
      </c>
      <c r="K488" s="39" t="str">
        <f>IFERROR(ödev!V84*100/ödev!$I84,"")</f>
        <v/>
      </c>
      <c r="L488" s="39" t="str">
        <f>IFERROR(ödev!W84*100/ödev!$I84,"")</f>
        <v/>
      </c>
      <c r="M488" s="39" t="str">
        <f>IFERROR(ödev!X84*100/ödev!$I84,"")</f>
        <v/>
      </c>
      <c r="N488" s="39" t="str">
        <f>IFERROR(ödev!Y84*100/ödev!$I84,"")</f>
        <v/>
      </c>
      <c r="O488" s="39" t="str">
        <f>IFERROR(ödev!Z84*100/ödev!$I84,"")</f>
        <v/>
      </c>
      <c r="P488" s="39" t="str">
        <f>IFERROR(ödev!AA84*100/ödev!$I84,"")</f>
        <v/>
      </c>
      <c r="Q488" s="39" t="str">
        <f>IFERROR(ödev!AB84*100/ödev!$I84,"")</f>
        <v/>
      </c>
      <c r="R488" s="39" t="str">
        <f>IFERROR(ödev!AC84*100/ödev!$I84,"")</f>
        <v/>
      </c>
      <c r="S488" s="39" t="str">
        <f>IFERROR(ödev!AD84*100/ödev!$I84,"")</f>
        <v/>
      </c>
      <c r="T488" s="39" t="str">
        <f>IFERROR(ödev!AE84*100/ödev!$I84,"")</f>
        <v/>
      </c>
      <c r="U488" s="39" t="str">
        <f>IFERROR(ödev!AF84*100/ödev!$I84,"")</f>
        <v/>
      </c>
      <c r="V488" s="39" t="str">
        <f>IFERROR(ödev!AG84*100/ödev!$I84,"")</f>
        <v/>
      </c>
      <c r="W488" s="39" t="str">
        <f>IFERROR(ödev!AH84*100/ödev!$I84,"")</f>
        <v/>
      </c>
      <c r="X488" s="39" t="str">
        <f>IFERROR(ödev!AI84*100/ödev!$I84,"")</f>
        <v/>
      </c>
      <c r="Y488" s="39" t="str">
        <f>IFERROR(ödev!AJ84*100/ödev!$I84,"")</f>
        <v/>
      </c>
      <c r="Z488" s="39" t="str">
        <f>IFERROR(ödev!AK84*100/ödev!$I84,"")</f>
        <v/>
      </c>
      <c r="AA488" s="39" t="str">
        <f>IFERROR(ödev!AL84*100/ödev!$I84,"")</f>
        <v/>
      </c>
      <c r="AB488" s="39" t="str">
        <f>IFERROR(ödev!AM84*100/ödev!$I84,"")</f>
        <v/>
      </c>
      <c r="AC488" s="39" t="str">
        <f>IFERROR(ödev!AN84*100/ödev!$I84,"")</f>
        <v/>
      </c>
      <c r="AD488" s="39" t="str">
        <f>IFERROR(ödev!AO84*100/ödev!$I84,"")</f>
        <v/>
      </c>
      <c r="AE488" s="39" t="str">
        <f>IFERROR(ödev!AP84*100/ödev!$I84,"")</f>
        <v/>
      </c>
      <c r="AF488" s="39" t="str">
        <f>IFERROR(ödev!AQ84*100/ödev!$I84,"")</f>
        <v/>
      </c>
      <c r="AG488" s="39" t="str">
        <f>IFERROR(ödev!AR84*100/ödev!$I84,"")</f>
        <v/>
      </c>
      <c r="AH488" s="39" t="str">
        <f>IFERROR(ödev!AS84*100/ödev!$I84,"")</f>
        <v/>
      </c>
      <c r="AI488" s="39" t="str">
        <f>IFERROR(ödev!AT84*100/ödev!$I84,"")</f>
        <v/>
      </c>
      <c r="AJ488" s="39" t="str">
        <f>IFERROR(ödev!AU84*100/ödev!$I84,"")</f>
        <v/>
      </c>
      <c r="AK488" s="39" t="str">
        <f>IFERROR(ödev!AV84*100/ödev!$I84,"")</f>
        <v/>
      </c>
      <c r="AL488" s="39" t="str">
        <f>IFERROR(ödev!AW84*100/ödev!$I84,"")</f>
        <v/>
      </c>
      <c r="AM488" s="39" t="str">
        <f>IFERROR(ödev!AX84*100/ödev!$I84,"")</f>
        <v/>
      </c>
      <c r="AN488" s="39" t="str">
        <f>IFERROR(ödev!AY84*100/ödev!$I84,"")</f>
        <v/>
      </c>
      <c r="AO488" s="39" t="str">
        <f>IFERROR(ödev!AZ84*100/ödev!$I84,"")</f>
        <v/>
      </c>
      <c r="AP488" s="39" t="str">
        <f>IFERROR(ödev!BA84*100/ödev!$I84,"")</f>
        <v/>
      </c>
      <c r="AQ488" s="39" t="str">
        <f>IFERROR(ödev!BB84*100/ödev!$I84,"")</f>
        <v/>
      </c>
      <c r="AR488" s="39" t="str">
        <f>IFERROR(ödev!BC84*100/ödev!$I84,"")</f>
        <v/>
      </c>
      <c r="AS488" s="39" t="str">
        <f>IFERROR(ödev!BD84*100/ödev!$I84,"")</f>
        <v/>
      </c>
      <c r="AT488" s="39" t="str">
        <f>IFERROR(ödev!BE84*100/ödev!$I84,"")</f>
        <v/>
      </c>
      <c r="AU488" s="39" t="str">
        <f>IFERROR(ödev!BF84*100/ödev!$I84,"")</f>
        <v/>
      </c>
      <c r="AV488" s="39" t="str">
        <f>IFERROR(ödev!BG84*100/ödev!$I84,"")</f>
        <v/>
      </c>
      <c r="AW488" s="39" t="str">
        <f>IFERROR(ödev!BH84*100/ödev!$I84,"")</f>
        <v/>
      </c>
      <c r="AX488" s="39" t="str">
        <f>IFERROR(ödev!BI84*100/ödev!$I84,"")</f>
        <v/>
      </c>
      <c r="AY488" s="39" t="str">
        <f>IFERROR(ödev!BJ84*100/ödev!$I84,"")</f>
        <v/>
      </c>
      <c r="AZ488" s="39" t="str">
        <f>IFERROR(ödev!BK84*100/ödev!$I84,"")</f>
        <v/>
      </c>
      <c r="BA488" s="39" t="str">
        <f>IFERROR(ödev!BL84*100/ödev!$I84,"")</f>
        <v/>
      </c>
      <c r="BB488" s="39" t="str">
        <f>IFERROR(ödev!BM84*100/ödev!$I84,"")</f>
        <v/>
      </c>
      <c r="BC488" s="39" t="str">
        <f>IFERROR(ödev!BN84*100/ödev!$I84,"")</f>
        <v/>
      </c>
      <c r="BD488" s="39" t="str">
        <f>IFERROR(ödev!BO84*100/ödev!$I84,"")</f>
        <v/>
      </c>
      <c r="BE488" s="39" t="str">
        <f>IFERROR(ödev!BP84*100/ödev!$I84,"")</f>
        <v/>
      </c>
      <c r="BF488" s="39" t="str">
        <f>IFERROR(ödev!BQ84*100/ödev!$I84,"")</f>
        <v/>
      </c>
      <c r="BG488" s="39" t="str">
        <f>IFERROR(ödev!BR84*100/ödev!$I84,"")</f>
        <v/>
      </c>
      <c r="BH488" s="39" t="str">
        <f>IFERROR(ödev!BS84*100/ödev!$I84,"")</f>
        <v/>
      </c>
      <c r="BI488" s="39" t="str">
        <f>IFERROR(ödev!BT84*100/ödev!$I84,"")</f>
        <v/>
      </c>
      <c r="BJ488" s="39" t="str">
        <f>IFERROR(ödev!BU84*100/ödev!$I84,"")</f>
        <v/>
      </c>
      <c r="BK488" s="39" t="str">
        <f>IFERROR(ödev!BV84*100/ödev!$I84,"")</f>
        <v/>
      </c>
      <c r="BL488" s="39" t="str">
        <f>IFERROR(ödev!BW84*100/ödev!$I84,"")</f>
        <v/>
      </c>
      <c r="BM488" s="39" t="str">
        <f>IFERROR(ödev!BX84*100/ödev!$I84,"")</f>
        <v/>
      </c>
      <c r="BN488" s="39" t="str">
        <f>IFERROR(ödev!BY84*100/ödev!$I84,"")</f>
        <v/>
      </c>
      <c r="BO488" s="39" t="str">
        <f>IFERROR(ödev!BZ84*100/ödev!$I84,"")</f>
        <v/>
      </c>
      <c r="BP488" s="39" t="str">
        <f>IFERROR(ödev!CA84*100/ödev!$I84,"")</f>
        <v/>
      </c>
      <c r="BQ488" s="39" t="str">
        <f>IFERROR(ödev!CB84*100/ödev!$I84,"")</f>
        <v/>
      </c>
      <c r="BR488" s="39" t="str">
        <f>IFERROR(ödev!CC84*100/ödev!$I84,"")</f>
        <v/>
      </c>
      <c r="BS488" s="39" t="str">
        <f>IFERROR(ödev!CD84*100/ödev!$I84,"")</f>
        <v/>
      </c>
      <c r="BT488" s="39" t="str">
        <f>IFERROR(ödev!CE84*100/ödev!$I84,"")</f>
        <v/>
      </c>
      <c r="BU488" s="39" t="str">
        <f>IFERROR(ödev!CF84*100/ödev!$I84,"")</f>
        <v/>
      </c>
      <c r="BV488" s="39" t="str">
        <f>IFERROR(ödev!CG84*100/ödev!$I84,"")</f>
        <v/>
      </c>
      <c r="BW488" s="39" t="str">
        <f>IFERROR(ödev!CH84*100/ödev!$I84,"")</f>
        <v/>
      </c>
      <c r="BX488" s="39" t="str">
        <f>IFERROR(ödev!CI84*100/ödev!$I84,"")</f>
        <v/>
      </c>
      <c r="BY488" s="39" t="str">
        <f>IFERROR(ödev!CJ84*100/ödev!$I84,"")</f>
        <v/>
      </c>
      <c r="BZ488" s="39" t="str">
        <f>IFERROR(ödev!CK84*100/ödev!$I84,"")</f>
        <v/>
      </c>
      <c r="CA488" s="39" t="str">
        <f>IFERROR(ödev!CL84*100/ödev!$I84,"")</f>
        <v/>
      </c>
      <c r="CB488" s="39" t="str">
        <f>IFERROR(ödev!CM84*100/ödev!$I84,"")</f>
        <v/>
      </c>
      <c r="CC488" s="39" t="str">
        <f>IFERROR(ödev!CN84*100/ödev!$I84,"")</f>
        <v/>
      </c>
      <c r="CD488" s="39" t="str">
        <f>IFERROR(ödev!CO84*100/ödev!$I84,"")</f>
        <v/>
      </c>
      <c r="CE488" s="39" t="str">
        <f>IFERROR(ödev!CP84*100/ödev!$I84,"")</f>
        <v/>
      </c>
      <c r="CF488" s="39" t="str">
        <f>IFERROR(ödev!CQ84*100/ödev!$I84,"")</f>
        <v/>
      </c>
      <c r="CG488" s="39" t="str">
        <f>IFERROR(ödev!CR84*100/ödev!$I84,"")</f>
        <v/>
      </c>
      <c r="CH488" s="39" t="str">
        <f>IFERROR(ödev!CS84*100/ödev!$I84,"")</f>
        <v/>
      </c>
      <c r="CI488" s="39" t="str">
        <f>IFERROR(ödev!CT84*100/ödev!$I84,"")</f>
        <v/>
      </c>
      <c r="CJ488" s="39" t="str">
        <f>IFERROR(ödev!CU84*100/ödev!$I84,"")</f>
        <v/>
      </c>
      <c r="CK488" s="39" t="str">
        <f>IFERROR(ödev!CV84*100/ödev!$I84,"")</f>
        <v/>
      </c>
      <c r="CL488" s="39" t="str">
        <f>IFERROR(ödev!CW84*100/ödev!$I84,"")</f>
        <v/>
      </c>
      <c r="CM488" s="39" t="str">
        <f>IFERROR(ödev!CX84*100/ödev!$I84,"")</f>
        <v/>
      </c>
      <c r="CN488" s="39" t="str">
        <f>IFERROR(ödev!CY84*100/ödev!$I84,"")</f>
        <v/>
      </c>
      <c r="CO488" s="39" t="str">
        <f>IFERROR(ödev!CZ84*100/ödev!$I84,"")</f>
        <v/>
      </c>
      <c r="CP488" s="39" t="str">
        <f>IFERROR(ödev!DA84*100/ödev!$I84,"")</f>
        <v/>
      </c>
      <c r="CQ488" s="39" t="str">
        <f>IFERROR(ödev!DB84*100/ödev!$I84,"")</f>
        <v/>
      </c>
      <c r="CR488" s="39" t="str">
        <f>IFERROR(ödev!DC84*100/ödev!$I84,"")</f>
        <v/>
      </c>
      <c r="CS488" s="39" t="str">
        <f>IFERROR(ödev!DD84*100/ödev!$I84,"")</f>
        <v/>
      </c>
      <c r="CT488" s="39" t="str">
        <f>IFERROR(ödev!DE84*100/ödev!$I84,"")</f>
        <v/>
      </c>
      <c r="CU488" s="39" t="str">
        <f>IFERROR(ödev!DF84*100/ödev!$I84,"")</f>
        <v/>
      </c>
      <c r="CV488" s="39" t="str">
        <f>IFERROR(ödev!DG84*100/ödev!$I84,"")</f>
        <v/>
      </c>
      <c r="CW488" s="36" t="str">
        <f>IFERROR(SUM(A488:CV488)/ödev!$DH$103,"")</f>
        <v/>
      </c>
      <c r="CX488" s="14" t="str">
        <f>IF(COUNTA(ödev!A84),ödev!A84,"")</f>
        <v/>
      </c>
      <c r="CY488" s="14" t="str">
        <f>IF(COUNTA(ödev!B84),ödev!B84,"")</f>
        <v/>
      </c>
      <c r="CZ488" s="14" t="str">
        <f>IF(COUNTA(ödev!C84),ödev!C84,"")</f>
        <v/>
      </c>
      <c r="DA488" s="14" t="str">
        <f>IF(COUNTA(ödev!D84),ödev!D84,"")</f>
        <v/>
      </c>
      <c r="DB488" s="14" t="str">
        <f>IF(COUNTA(ödev!E84),ödev!E84,"")</f>
        <v/>
      </c>
      <c r="DC488" s="14" t="str">
        <f>IF(COUNTA(ödev!F84),ödev!F84,"")</f>
        <v/>
      </c>
      <c r="DD488" s="14" t="str">
        <f>IF(COUNTA(ödev!G84),ödev!G84,"")</f>
        <v/>
      </c>
      <c r="DE488" s="14" t="str">
        <f>IF(COUNTA(ödev!H84),ödev!H84,"")</f>
        <v/>
      </c>
    </row>
    <row r="489" spans="1:109" x14ac:dyDescent="0.2">
      <c r="A489" s="39" t="str">
        <f>IFERROR(ödev!L85*100/ödev!$I85,"")</f>
        <v/>
      </c>
      <c r="B489" s="39" t="str">
        <f>IFERROR(ödev!M85*100/ödev!$I85,"")</f>
        <v/>
      </c>
      <c r="C489" s="39" t="str">
        <f>IFERROR(ödev!N85*100/ödev!$I85,"")</f>
        <v/>
      </c>
      <c r="D489" s="39" t="str">
        <f>IFERROR(ödev!O85*100/ödev!$I85,"")</f>
        <v/>
      </c>
      <c r="E489" s="39" t="str">
        <f>IFERROR(ödev!P85*100/ödev!$I85,"")</f>
        <v/>
      </c>
      <c r="F489" s="39" t="str">
        <f>IFERROR(ödev!Q85*100/ödev!$I85,"")</f>
        <v/>
      </c>
      <c r="G489" s="39" t="str">
        <f>IFERROR(ödev!R85*100/ödev!$I85,"")</f>
        <v/>
      </c>
      <c r="H489" s="39" t="str">
        <f>IFERROR(ödev!S85*100/ödev!$I85,"")</f>
        <v/>
      </c>
      <c r="I489" s="39" t="str">
        <f>IFERROR(ödev!T85*100/ödev!$I85,"")</f>
        <v/>
      </c>
      <c r="J489" s="39" t="str">
        <f>IFERROR(ödev!U85*100/ödev!$I85,"")</f>
        <v/>
      </c>
      <c r="K489" s="39" t="str">
        <f>IFERROR(ödev!V85*100/ödev!$I85,"")</f>
        <v/>
      </c>
      <c r="L489" s="39" t="str">
        <f>IFERROR(ödev!W85*100/ödev!$I85,"")</f>
        <v/>
      </c>
      <c r="M489" s="39" t="str">
        <f>IFERROR(ödev!X85*100/ödev!$I85,"")</f>
        <v/>
      </c>
      <c r="N489" s="39" t="str">
        <f>IFERROR(ödev!Y85*100/ödev!$I85,"")</f>
        <v/>
      </c>
      <c r="O489" s="39" t="str">
        <f>IFERROR(ödev!Z85*100/ödev!$I85,"")</f>
        <v/>
      </c>
      <c r="P489" s="39" t="str">
        <f>IFERROR(ödev!AA85*100/ödev!$I85,"")</f>
        <v/>
      </c>
      <c r="Q489" s="39" t="str">
        <f>IFERROR(ödev!AB85*100/ödev!$I85,"")</f>
        <v/>
      </c>
      <c r="R489" s="39" t="str">
        <f>IFERROR(ödev!AC85*100/ödev!$I85,"")</f>
        <v/>
      </c>
      <c r="S489" s="39" t="str">
        <f>IFERROR(ödev!AD85*100/ödev!$I85,"")</f>
        <v/>
      </c>
      <c r="T489" s="39" t="str">
        <f>IFERROR(ödev!AE85*100/ödev!$I85,"")</f>
        <v/>
      </c>
      <c r="U489" s="39" t="str">
        <f>IFERROR(ödev!AF85*100/ödev!$I85,"")</f>
        <v/>
      </c>
      <c r="V489" s="39" t="str">
        <f>IFERROR(ödev!AG85*100/ödev!$I85,"")</f>
        <v/>
      </c>
      <c r="W489" s="39" t="str">
        <f>IFERROR(ödev!AH85*100/ödev!$I85,"")</f>
        <v/>
      </c>
      <c r="X489" s="39" t="str">
        <f>IFERROR(ödev!AI85*100/ödev!$I85,"")</f>
        <v/>
      </c>
      <c r="Y489" s="39" t="str">
        <f>IFERROR(ödev!AJ85*100/ödev!$I85,"")</f>
        <v/>
      </c>
      <c r="Z489" s="39" t="str">
        <f>IFERROR(ödev!AK85*100/ödev!$I85,"")</f>
        <v/>
      </c>
      <c r="AA489" s="39" t="str">
        <f>IFERROR(ödev!AL85*100/ödev!$I85,"")</f>
        <v/>
      </c>
      <c r="AB489" s="39" t="str">
        <f>IFERROR(ödev!AM85*100/ödev!$I85,"")</f>
        <v/>
      </c>
      <c r="AC489" s="39" t="str">
        <f>IFERROR(ödev!AN85*100/ödev!$I85,"")</f>
        <v/>
      </c>
      <c r="AD489" s="39" t="str">
        <f>IFERROR(ödev!AO85*100/ödev!$I85,"")</f>
        <v/>
      </c>
      <c r="AE489" s="39" t="str">
        <f>IFERROR(ödev!AP85*100/ödev!$I85,"")</f>
        <v/>
      </c>
      <c r="AF489" s="39" t="str">
        <f>IFERROR(ödev!AQ85*100/ödev!$I85,"")</f>
        <v/>
      </c>
      <c r="AG489" s="39" t="str">
        <f>IFERROR(ödev!AR85*100/ödev!$I85,"")</f>
        <v/>
      </c>
      <c r="AH489" s="39" t="str">
        <f>IFERROR(ödev!AS85*100/ödev!$I85,"")</f>
        <v/>
      </c>
      <c r="AI489" s="39" t="str">
        <f>IFERROR(ödev!AT85*100/ödev!$I85,"")</f>
        <v/>
      </c>
      <c r="AJ489" s="39" t="str">
        <f>IFERROR(ödev!AU85*100/ödev!$I85,"")</f>
        <v/>
      </c>
      <c r="AK489" s="39" t="str">
        <f>IFERROR(ödev!AV85*100/ödev!$I85,"")</f>
        <v/>
      </c>
      <c r="AL489" s="39" t="str">
        <f>IFERROR(ödev!AW85*100/ödev!$I85,"")</f>
        <v/>
      </c>
      <c r="AM489" s="39" t="str">
        <f>IFERROR(ödev!AX85*100/ödev!$I85,"")</f>
        <v/>
      </c>
      <c r="AN489" s="39" t="str">
        <f>IFERROR(ödev!AY85*100/ödev!$I85,"")</f>
        <v/>
      </c>
      <c r="AO489" s="39" t="str">
        <f>IFERROR(ödev!AZ85*100/ödev!$I85,"")</f>
        <v/>
      </c>
      <c r="AP489" s="39" t="str">
        <f>IFERROR(ödev!BA85*100/ödev!$I85,"")</f>
        <v/>
      </c>
      <c r="AQ489" s="39" t="str">
        <f>IFERROR(ödev!BB85*100/ödev!$I85,"")</f>
        <v/>
      </c>
      <c r="AR489" s="39" t="str">
        <f>IFERROR(ödev!BC85*100/ödev!$I85,"")</f>
        <v/>
      </c>
      <c r="AS489" s="39" t="str">
        <f>IFERROR(ödev!BD85*100/ödev!$I85,"")</f>
        <v/>
      </c>
      <c r="AT489" s="39" t="str">
        <f>IFERROR(ödev!BE85*100/ödev!$I85,"")</f>
        <v/>
      </c>
      <c r="AU489" s="39" t="str">
        <f>IFERROR(ödev!BF85*100/ödev!$I85,"")</f>
        <v/>
      </c>
      <c r="AV489" s="39" t="str">
        <f>IFERROR(ödev!BG85*100/ödev!$I85,"")</f>
        <v/>
      </c>
      <c r="AW489" s="39" t="str">
        <f>IFERROR(ödev!BH85*100/ödev!$I85,"")</f>
        <v/>
      </c>
      <c r="AX489" s="39" t="str">
        <f>IFERROR(ödev!BI85*100/ödev!$I85,"")</f>
        <v/>
      </c>
      <c r="AY489" s="39" t="str">
        <f>IFERROR(ödev!BJ85*100/ödev!$I85,"")</f>
        <v/>
      </c>
      <c r="AZ489" s="39" t="str">
        <f>IFERROR(ödev!BK85*100/ödev!$I85,"")</f>
        <v/>
      </c>
      <c r="BA489" s="39" t="str">
        <f>IFERROR(ödev!BL85*100/ödev!$I85,"")</f>
        <v/>
      </c>
      <c r="BB489" s="39" t="str">
        <f>IFERROR(ödev!BM85*100/ödev!$I85,"")</f>
        <v/>
      </c>
      <c r="BC489" s="39" t="str">
        <f>IFERROR(ödev!BN85*100/ödev!$I85,"")</f>
        <v/>
      </c>
      <c r="BD489" s="39" t="str">
        <f>IFERROR(ödev!BO85*100/ödev!$I85,"")</f>
        <v/>
      </c>
      <c r="BE489" s="39" t="str">
        <f>IFERROR(ödev!BP85*100/ödev!$I85,"")</f>
        <v/>
      </c>
      <c r="BF489" s="39" t="str">
        <f>IFERROR(ödev!BQ85*100/ödev!$I85,"")</f>
        <v/>
      </c>
      <c r="BG489" s="39" t="str">
        <f>IFERROR(ödev!BR85*100/ödev!$I85,"")</f>
        <v/>
      </c>
      <c r="BH489" s="39" t="str">
        <f>IFERROR(ödev!BS85*100/ödev!$I85,"")</f>
        <v/>
      </c>
      <c r="BI489" s="39" t="str">
        <f>IFERROR(ödev!BT85*100/ödev!$I85,"")</f>
        <v/>
      </c>
      <c r="BJ489" s="39" t="str">
        <f>IFERROR(ödev!BU85*100/ödev!$I85,"")</f>
        <v/>
      </c>
      <c r="BK489" s="39" t="str">
        <f>IFERROR(ödev!BV85*100/ödev!$I85,"")</f>
        <v/>
      </c>
      <c r="BL489" s="39" t="str">
        <f>IFERROR(ödev!BW85*100/ödev!$I85,"")</f>
        <v/>
      </c>
      <c r="BM489" s="39" t="str">
        <f>IFERROR(ödev!BX85*100/ödev!$I85,"")</f>
        <v/>
      </c>
      <c r="BN489" s="39" t="str">
        <f>IFERROR(ödev!BY85*100/ödev!$I85,"")</f>
        <v/>
      </c>
      <c r="BO489" s="39" t="str">
        <f>IFERROR(ödev!BZ85*100/ödev!$I85,"")</f>
        <v/>
      </c>
      <c r="BP489" s="39" t="str">
        <f>IFERROR(ödev!CA85*100/ödev!$I85,"")</f>
        <v/>
      </c>
      <c r="BQ489" s="39" t="str">
        <f>IFERROR(ödev!CB85*100/ödev!$I85,"")</f>
        <v/>
      </c>
      <c r="BR489" s="39" t="str">
        <f>IFERROR(ödev!CC85*100/ödev!$I85,"")</f>
        <v/>
      </c>
      <c r="BS489" s="39" t="str">
        <f>IFERROR(ödev!CD85*100/ödev!$I85,"")</f>
        <v/>
      </c>
      <c r="BT489" s="39" t="str">
        <f>IFERROR(ödev!CE85*100/ödev!$I85,"")</f>
        <v/>
      </c>
      <c r="BU489" s="39" t="str">
        <f>IFERROR(ödev!CF85*100/ödev!$I85,"")</f>
        <v/>
      </c>
      <c r="BV489" s="39" t="str">
        <f>IFERROR(ödev!CG85*100/ödev!$I85,"")</f>
        <v/>
      </c>
      <c r="BW489" s="39" t="str">
        <f>IFERROR(ödev!CH85*100/ödev!$I85,"")</f>
        <v/>
      </c>
      <c r="BX489" s="39" t="str">
        <f>IFERROR(ödev!CI85*100/ödev!$I85,"")</f>
        <v/>
      </c>
      <c r="BY489" s="39" t="str">
        <f>IFERROR(ödev!CJ85*100/ödev!$I85,"")</f>
        <v/>
      </c>
      <c r="BZ489" s="39" t="str">
        <f>IFERROR(ödev!CK85*100/ödev!$I85,"")</f>
        <v/>
      </c>
      <c r="CA489" s="39" t="str">
        <f>IFERROR(ödev!CL85*100/ödev!$I85,"")</f>
        <v/>
      </c>
      <c r="CB489" s="39" t="str">
        <f>IFERROR(ödev!CM85*100/ödev!$I85,"")</f>
        <v/>
      </c>
      <c r="CC489" s="39" t="str">
        <f>IFERROR(ödev!CN85*100/ödev!$I85,"")</f>
        <v/>
      </c>
      <c r="CD489" s="39" t="str">
        <f>IFERROR(ödev!CO85*100/ödev!$I85,"")</f>
        <v/>
      </c>
      <c r="CE489" s="39" t="str">
        <f>IFERROR(ödev!CP85*100/ödev!$I85,"")</f>
        <v/>
      </c>
      <c r="CF489" s="39" t="str">
        <f>IFERROR(ödev!CQ85*100/ödev!$I85,"")</f>
        <v/>
      </c>
      <c r="CG489" s="39" t="str">
        <f>IFERROR(ödev!CR85*100/ödev!$I85,"")</f>
        <v/>
      </c>
      <c r="CH489" s="39" t="str">
        <f>IFERROR(ödev!CS85*100/ödev!$I85,"")</f>
        <v/>
      </c>
      <c r="CI489" s="39" t="str">
        <f>IFERROR(ödev!CT85*100/ödev!$I85,"")</f>
        <v/>
      </c>
      <c r="CJ489" s="39" t="str">
        <f>IFERROR(ödev!CU85*100/ödev!$I85,"")</f>
        <v/>
      </c>
      <c r="CK489" s="39" t="str">
        <f>IFERROR(ödev!CV85*100/ödev!$I85,"")</f>
        <v/>
      </c>
      <c r="CL489" s="39" t="str">
        <f>IFERROR(ödev!CW85*100/ödev!$I85,"")</f>
        <v/>
      </c>
      <c r="CM489" s="39" t="str">
        <f>IFERROR(ödev!CX85*100/ödev!$I85,"")</f>
        <v/>
      </c>
      <c r="CN489" s="39" t="str">
        <f>IFERROR(ödev!CY85*100/ödev!$I85,"")</f>
        <v/>
      </c>
      <c r="CO489" s="39" t="str">
        <f>IFERROR(ödev!CZ85*100/ödev!$I85,"")</f>
        <v/>
      </c>
      <c r="CP489" s="39" t="str">
        <f>IFERROR(ödev!DA85*100/ödev!$I85,"")</f>
        <v/>
      </c>
      <c r="CQ489" s="39" t="str">
        <f>IFERROR(ödev!DB85*100/ödev!$I85,"")</f>
        <v/>
      </c>
      <c r="CR489" s="39" t="str">
        <f>IFERROR(ödev!DC85*100/ödev!$I85,"")</f>
        <v/>
      </c>
      <c r="CS489" s="39" t="str">
        <f>IFERROR(ödev!DD85*100/ödev!$I85,"")</f>
        <v/>
      </c>
      <c r="CT489" s="39" t="str">
        <f>IFERROR(ödev!DE85*100/ödev!$I85,"")</f>
        <v/>
      </c>
      <c r="CU489" s="39" t="str">
        <f>IFERROR(ödev!DF85*100/ödev!$I85,"")</f>
        <v/>
      </c>
      <c r="CV489" s="39" t="str">
        <f>IFERROR(ödev!DG85*100/ödev!$I85,"")</f>
        <v/>
      </c>
      <c r="CW489" s="36" t="str">
        <f>IFERROR(SUM(A489:CV489)/ödev!$DH$103,"")</f>
        <v/>
      </c>
      <c r="CX489" s="14" t="str">
        <f>IF(COUNTA(ödev!A85),ödev!A85,"")</f>
        <v/>
      </c>
      <c r="CY489" s="14" t="str">
        <f>IF(COUNTA(ödev!B85),ödev!B85,"")</f>
        <v/>
      </c>
      <c r="CZ489" s="14" t="str">
        <f>IF(COUNTA(ödev!C85),ödev!C85,"")</f>
        <v/>
      </c>
      <c r="DA489" s="14" t="str">
        <f>IF(COUNTA(ödev!D85),ödev!D85,"")</f>
        <v/>
      </c>
      <c r="DB489" s="14" t="str">
        <f>IF(COUNTA(ödev!E85),ödev!E85,"")</f>
        <v/>
      </c>
      <c r="DC489" s="14" t="str">
        <f>IF(COUNTA(ödev!F85),ödev!F85,"")</f>
        <v/>
      </c>
      <c r="DD489" s="14" t="str">
        <f>IF(COUNTA(ödev!G85),ödev!G85,"")</f>
        <v/>
      </c>
      <c r="DE489" s="14" t="str">
        <f>IF(COUNTA(ödev!H85),ödev!H85,"")</f>
        <v/>
      </c>
    </row>
    <row r="490" spans="1:109" x14ac:dyDescent="0.2">
      <c r="A490" s="39" t="str">
        <f>IFERROR(ödev!L86*100/ödev!$I86,"")</f>
        <v/>
      </c>
      <c r="B490" s="39" t="str">
        <f>IFERROR(ödev!M86*100/ödev!$I86,"")</f>
        <v/>
      </c>
      <c r="C490" s="39" t="str">
        <f>IFERROR(ödev!N86*100/ödev!$I86,"")</f>
        <v/>
      </c>
      <c r="D490" s="39" t="str">
        <f>IFERROR(ödev!O86*100/ödev!$I86,"")</f>
        <v/>
      </c>
      <c r="E490" s="39" t="str">
        <f>IFERROR(ödev!P86*100/ödev!$I86,"")</f>
        <v/>
      </c>
      <c r="F490" s="39" t="str">
        <f>IFERROR(ödev!Q86*100/ödev!$I86,"")</f>
        <v/>
      </c>
      <c r="G490" s="39" t="str">
        <f>IFERROR(ödev!R86*100/ödev!$I86,"")</f>
        <v/>
      </c>
      <c r="H490" s="39" t="str">
        <f>IFERROR(ödev!S86*100/ödev!$I86,"")</f>
        <v/>
      </c>
      <c r="I490" s="39" t="str">
        <f>IFERROR(ödev!T86*100/ödev!$I86,"")</f>
        <v/>
      </c>
      <c r="J490" s="39" t="str">
        <f>IFERROR(ödev!U86*100/ödev!$I86,"")</f>
        <v/>
      </c>
      <c r="K490" s="39" t="str">
        <f>IFERROR(ödev!V86*100/ödev!$I86,"")</f>
        <v/>
      </c>
      <c r="L490" s="39" t="str">
        <f>IFERROR(ödev!W86*100/ödev!$I86,"")</f>
        <v/>
      </c>
      <c r="M490" s="39" t="str">
        <f>IFERROR(ödev!X86*100/ödev!$I86,"")</f>
        <v/>
      </c>
      <c r="N490" s="39" t="str">
        <f>IFERROR(ödev!Y86*100/ödev!$I86,"")</f>
        <v/>
      </c>
      <c r="O490" s="39" t="str">
        <f>IFERROR(ödev!Z86*100/ödev!$I86,"")</f>
        <v/>
      </c>
      <c r="P490" s="39" t="str">
        <f>IFERROR(ödev!AA86*100/ödev!$I86,"")</f>
        <v/>
      </c>
      <c r="Q490" s="39" t="str">
        <f>IFERROR(ödev!AB86*100/ödev!$I86,"")</f>
        <v/>
      </c>
      <c r="R490" s="39" t="str">
        <f>IFERROR(ödev!AC86*100/ödev!$I86,"")</f>
        <v/>
      </c>
      <c r="S490" s="39" t="str">
        <f>IFERROR(ödev!AD86*100/ödev!$I86,"")</f>
        <v/>
      </c>
      <c r="T490" s="39" t="str">
        <f>IFERROR(ödev!AE86*100/ödev!$I86,"")</f>
        <v/>
      </c>
      <c r="U490" s="39" t="str">
        <f>IFERROR(ödev!AF86*100/ödev!$I86,"")</f>
        <v/>
      </c>
      <c r="V490" s="39" t="str">
        <f>IFERROR(ödev!AG86*100/ödev!$I86,"")</f>
        <v/>
      </c>
      <c r="W490" s="39" t="str">
        <f>IFERROR(ödev!AH86*100/ödev!$I86,"")</f>
        <v/>
      </c>
      <c r="X490" s="39" t="str">
        <f>IFERROR(ödev!AI86*100/ödev!$I86,"")</f>
        <v/>
      </c>
      <c r="Y490" s="39" t="str">
        <f>IFERROR(ödev!AJ86*100/ödev!$I86,"")</f>
        <v/>
      </c>
      <c r="Z490" s="39" t="str">
        <f>IFERROR(ödev!AK86*100/ödev!$I86,"")</f>
        <v/>
      </c>
      <c r="AA490" s="39" t="str">
        <f>IFERROR(ödev!AL86*100/ödev!$I86,"")</f>
        <v/>
      </c>
      <c r="AB490" s="39" t="str">
        <f>IFERROR(ödev!AM86*100/ödev!$I86,"")</f>
        <v/>
      </c>
      <c r="AC490" s="39" t="str">
        <f>IFERROR(ödev!AN86*100/ödev!$I86,"")</f>
        <v/>
      </c>
      <c r="AD490" s="39" t="str">
        <f>IFERROR(ödev!AO86*100/ödev!$I86,"")</f>
        <v/>
      </c>
      <c r="AE490" s="39" t="str">
        <f>IFERROR(ödev!AP86*100/ödev!$I86,"")</f>
        <v/>
      </c>
      <c r="AF490" s="39" t="str">
        <f>IFERROR(ödev!AQ86*100/ödev!$I86,"")</f>
        <v/>
      </c>
      <c r="AG490" s="39" t="str">
        <f>IFERROR(ödev!AR86*100/ödev!$I86,"")</f>
        <v/>
      </c>
      <c r="AH490" s="39" t="str">
        <f>IFERROR(ödev!AS86*100/ödev!$I86,"")</f>
        <v/>
      </c>
      <c r="AI490" s="39" t="str">
        <f>IFERROR(ödev!AT86*100/ödev!$I86,"")</f>
        <v/>
      </c>
      <c r="AJ490" s="39" t="str">
        <f>IFERROR(ödev!AU86*100/ödev!$I86,"")</f>
        <v/>
      </c>
      <c r="AK490" s="39" t="str">
        <f>IFERROR(ödev!AV86*100/ödev!$I86,"")</f>
        <v/>
      </c>
      <c r="AL490" s="39" t="str">
        <f>IFERROR(ödev!AW86*100/ödev!$I86,"")</f>
        <v/>
      </c>
      <c r="AM490" s="39" t="str">
        <f>IFERROR(ödev!AX86*100/ödev!$I86,"")</f>
        <v/>
      </c>
      <c r="AN490" s="39" t="str">
        <f>IFERROR(ödev!AY86*100/ödev!$I86,"")</f>
        <v/>
      </c>
      <c r="AO490" s="39" t="str">
        <f>IFERROR(ödev!AZ86*100/ödev!$I86,"")</f>
        <v/>
      </c>
      <c r="AP490" s="39" t="str">
        <f>IFERROR(ödev!BA86*100/ödev!$I86,"")</f>
        <v/>
      </c>
      <c r="AQ490" s="39" t="str">
        <f>IFERROR(ödev!BB86*100/ödev!$I86,"")</f>
        <v/>
      </c>
      <c r="AR490" s="39" t="str">
        <f>IFERROR(ödev!BC86*100/ödev!$I86,"")</f>
        <v/>
      </c>
      <c r="AS490" s="39" t="str">
        <f>IFERROR(ödev!BD86*100/ödev!$I86,"")</f>
        <v/>
      </c>
      <c r="AT490" s="39" t="str">
        <f>IFERROR(ödev!BE86*100/ödev!$I86,"")</f>
        <v/>
      </c>
      <c r="AU490" s="39" t="str">
        <f>IFERROR(ödev!BF86*100/ödev!$I86,"")</f>
        <v/>
      </c>
      <c r="AV490" s="39" t="str">
        <f>IFERROR(ödev!BG86*100/ödev!$I86,"")</f>
        <v/>
      </c>
      <c r="AW490" s="39" t="str">
        <f>IFERROR(ödev!BH86*100/ödev!$I86,"")</f>
        <v/>
      </c>
      <c r="AX490" s="39" t="str">
        <f>IFERROR(ödev!BI86*100/ödev!$I86,"")</f>
        <v/>
      </c>
      <c r="AY490" s="39" t="str">
        <f>IFERROR(ödev!BJ86*100/ödev!$I86,"")</f>
        <v/>
      </c>
      <c r="AZ490" s="39" t="str">
        <f>IFERROR(ödev!BK86*100/ödev!$I86,"")</f>
        <v/>
      </c>
      <c r="BA490" s="39" t="str">
        <f>IFERROR(ödev!BL86*100/ödev!$I86,"")</f>
        <v/>
      </c>
      <c r="BB490" s="39" t="str">
        <f>IFERROR(ödev!BM86*100/ödev!$I86,"")</f>
        <v/>
      </c>
      <c r="BC490" s="39" t="str">
        <f>IFERROR(ödev!BN86*100/ödev!$I86,"")</f>
        <v/>
      </c>
      <c r="BD490" s="39" t="str">
        <f>IFERROR(ödev!BO86*100/ödev!$I86,"")</f>
        <v/>
      </c>
      <c r="BE490" s="39" t="str">
        <f>IFERROR(ödev!BP86*100/ödev!$I86,"")</f>
        <v/>
      </c>
      <c r="BF490" s="39" t="str">
        <f>IFERROR(ödev!BQ86*100/ödev!$I86,"")</f>
        <v/>
      </c>
      <c r="BG490" s="39" t="str">
        <f>IFERROR(ödev!BR86*100/ödev!$I86,"")</f>
        <v/>
      </c>
      <c r="BH490" s="39" t="str">
        <f>IFERROR(ödev!BS86*100/ödev!$I86,"")</f>
        <v/>
      </c>
      <c r="BI490" s="39" t="str">
        <f>IFERROR(ödev!BT86*100/ödev!$I86,"")</f>
        <v/>
      </c>
      <c r="BJ490" s="39" t="str">
        <f>IFERROR(ödev!BU86*100/ödev!$I86,"")</f>
        <v/>
      </c>
      <c r="BK490" s="39" t="str">
        <f>IFERROR(ödev!BV86*100/ödev!$I86,"")</f>
        <v/>
      </c>
      <c r="BL490" s="39" t="str">
        <f>IFERROR(ödev!BW86*100/ödev!$I86,"")</f>
        <v/>
      </c>
      <c r="BM490" s="39" t="str">
        <f>IFERROR(ödev!BX86*100/ödev!$I86,"")</f>
        <v/>
      </c>
      <c r="BN490" s="39" t="str">
        <f>IFERROR(ödev!BY86*100/ödev!$I86,"")</f>
        <v/>
      </c>
      <c r="BO490" s="39" t="str">
        <f>IFERROR(ödev!BZ86*100/ödev!$I86,"")</f>
        <v/>
      </c>
      <c r="BP490" s="39" t="str">
        <f>IFERROR(ödev!CA86*100/ödev!$I86,"")</f>
        <v/>
      </c>
      <c r="BQ490" s="39" t="str">
        <f>IFERROR(ödev!CB86*100/ödev!$I86,"")</f>
        <v/>
      </c>
      <c r="BR490" s="39" t="str">
        <f>IFERROR(ödev!CC86*100/ödev!$I86,"")</f>
        <v/>
      </c>
      <c r="BS490" s="39" t="str">
        <f>IFERROR(ödev!CD86*100/ödev!$I86,"")</f>
        <v/>
      </c>
      <c r="BT490" s="39" t="str">
        <f>IFERROR(ödev!CE86*100/ödev!$I86,"")</f>
        <v/>
      </c>
      <c r="BU490" s="39" t="str">
        <f>IFERROR(ödev!CF86*100/ödev!$I86,"")</f>
        <v/>
      </c>
      <c r="BV490" s="39" t="str">
        <f>IFERROR(ödev!CG86*100/ödev!$I86,"")</f>
        <v/>
      </c>
      <c r="BW490" s="39" t="str">
        <f>IFERROR(ödev!CH86*100/ödev!$I86,"")</f>
        <v/>
      </c>
      <c r="BX490" s="39" t="str">
        <f>IFERROR(ödev!CI86*100/ödev!$I86,"")</f>
        <v/>
      </c>
      <c r="BY490" s="39" t="str">
        <f>IFERROR(ödev!CJ86*100/ödev!$I86,"")</f>
        <v/>
      </c>
      <c r="BZ490" s="39" t="str">
        <f>IFERROR(ödev!CK86*100/ödev!$I86,"")</f>
        <v/>
      </c>
      <c r="CA490" s="39" t="str">
        <f>IFERROR(ödev!CL86*100/ödev!$I86,"")</f>
        <v/>
      </c>
      <c r="CB490" s="39" t="str">
        <f>IFERROR(ödev!CM86*100/ödev!$I86,"")</f>
        <v/>
      </c>
      <c r="CC490" s="39" t="str">
        <f>IFERROR(ödev!CN86*100/ödev!$I86,"")</f>
        <v/>
      </c>
      <c r="CD490" s="39" t="str">
        <f>IFERROR(ödev!CO86*100/ödev!$I86,"")</f>
        <v/>
      </c>
      <c r="CE490" s="39" t="str">
        <f>IFERROR(ödev!CP86*100/ödev!$I86,"")</f>
        <v/>
      </c>
      <c r="CF490" s="39" t="str">
        <f>IFERROR(ödev!CQ86*100/ödev!$I86,"")</f>
        <v/>
      </c>
      <c r="CG490" s="39" t="str">
        <f>IFERROR(ödev!CR86*100/ödev!$I86,"")</f>
        <v/>
      </c>
      <c r="CH490" s="39" t="str">
        <f>IFERROR(ödev!CS86*100/ödev!$I86,"")</f>
        <v/>
      </c>
      <c r="CI490" s="39" t="str">
        <f>IFERROR(ödev!CT86*100/ödev!$I86,"")</f>
        <v/>
      </c>
      <c r="CJ490" s="39" t="str">
        <f>IFERROR(ödev!CU86*100/ödev!$I86,"")</f>
        <v/>
      </c>
      <c r="CK490" s="39" t="str">
        <f>IFERROR(ödev!CV86*100/ödev!$I86,"")</f>
        <v/>
      </c>
      <c r="CL490" s="39" t="str">
        <f>IFERROR(ödev!CW86*100/ödev!$I86,"")</f>
        <v/>
      </c>
      <c r="CM490" s="39" t="str">
        <f>IFERROR(ödev!CX86*100/ödev!$I86,"")</f>
        <v/>
      </c>
      <c r="CN490" s="39" t="str">
        <f>IFERROR(ödev!CY86*100/ödev!$I86,"")</f>
        <v/>
      </c>
      <c r="CO490" s="39" t="str">
        <f>IFERROR(ödev!CZ86*100/ödev!$I86,"")</f>
        <v/>
      </c>
      <c r="CP490" s="39" t="str">
        <f>IFERROR(ödev!DA86*100/ödev!$I86,"")</f>
        <v/>
      </c>
      <c r="CQ490" s="39" t="str">
        <f>IFERROR(ödev!DB86*100/ödev!$I86,"")</f>
        <v/>
      </c>
      <c r="CR490" s="39" t="str">
        <f>IFERROR(ödev!DC86*100/ödev!$I86,"")</f>
        <v/>
      </c>
      <c r="CS490" s="39" t="str">
        <f>IFERROR(ödev!DD86*100/ödev!$I86,"")</f>
        <v/>
      </c>
      <c r="CT490" s="39" t="str">
        <f>IFERROR(ödev!DE86*100/ödev!$I86,"")</f>
        <v/>
      </c>
      <c r="CU490" s="39" t="str">
        <f>IFERROR(ödev!DF86*100/ödev!$I86,"")</f>
        <v/>
      </c>
      <c r="CV490" s="39" t="str">
        <f>IFERROR(ödev!DG86*100/ödev!$I86,"")</f>
        <v/>
      </c>
      <c r="CW490" s="36" t="str">
        <f>IFERROR(SUM(A490:CV490)/ödev!$DH$103,"")</f>
        <v/>
      </c>
      <c r="CX490" s="14" t="str">
        <f>IF(COUNTA(ödev!A86),ödev!A86,"")</f>
        <v/>
      </c>
      <c r="CY490" s="14" t="str">
        <f>IF(COUNTA(ödev!B86),ödev!B86,"")</f>
        <v/>
      </c>
      <c r="CZ490" s="14" t="str">
        <f>IF(COUNTA(ödev!C86),ödev!C86,"")</f>
        <v/>
      </c>
      <c r="DA490" s="14" t="str">
        <f>IF(COUNTA(ödev!D86),ödev!D86,"")</f>
        <v/>
      </c>
      <c r="DB490" s="14" t="str">
        <f>IF(COUNTA(ödev!E86),ödev!E86,"")</f>
        <v/>
      </c>
      <c r="DC490" s="14" t="str">
        <f>IF(COUNTA(ödev!F86),ödev!F86,"")</f>
        <v/>
      </c>
      <c r="DD490" s="14" t="str">
        <f>IF(COUNTA(ödev!G86),ödev!G86,"")</f>
        <v/>
      </c>
      <c r="DE490" s="14" t="str">
        <f>IF(COUNTA(ödev!H86),ödev!H86,"")</f>
        <v/>
      </c>
    </row>
    <row r="491" spans="1:109" x14ac:dyDescent="0.2">
      <c r="A491" s="39" t="str">
        <f>IFERROR(ödev!L87*100/ödev!$I87,"")</f>
        <v/>
      </c>
      <c r="B491" s="39" t="str">
        <f>IFERROR(ödev!M87*100/ödev!$I87,"")</f>
        <v/>
      </c>
      <c r="C491" s="39" t="str">
        <f>IFERROR(ödev!N87*100/ödev!$I87,"")</f>
        <v/>
      </c>
      <c r="D491" s="39" t="str">
        <f>IFERROR(ödev!O87*100/ödev!$I87,"")</f>
        <v/>
      </c>
      <c r="E491" s="39" t="str">
        <f>IFERROR(ödev!P87*100/ödev!$I87,"")</f>
        <v/>
      </c>
      <c r="F491" s="39" t="str">
        <f>IFERROR(ödev!Q87*100/ödev!$I87,"")</f>
        <v/>
      </c>
      <c r="G491" s="39" t="str">
        <f>IFERROR(ödev!R87*100/ödev!$I87,"")</f>
        <v/>
      </c>
      <c r="H491" s="39" t="str">
        <f>IFERROR(ödev!S87*100/ödev!$I87,"")</f>
        <v/>
      </c>
      <c r="I491" s="39" t="str">
        <f>IFERROR(ödev!T87*100/ödev!$I87,"")</f>
        <v/>
      </c>
      <c r="J491" s="39" t="str">
        <f>IFERROR(ödev!U87*100/ödev!$I87,"")</f>
        <v/>
      </c>
      <c r="K491" s="39" t="str">
        <f>IFERROR(ödev!V87*100/ödev!$I87,"")</f>
        <v/>
      </c>
      <c r="L491" s="39" t="str">
        <f>IFERROR(ödev!W87*100/ödev!$I87,"")</f>
        <v/>
      </c>
      <c r="M491" s="39" t="str">
        <f>IFERROR(ödev!X87*100/ödev!$I87,"")</f>
        <v/>
      </c>
      <c r="N491" s="39" t="str">
        <f>IFERROR(ödev!Y87*100/ödev!$I87,"")</f>
        <v/>
      </c>
      <c r="O491" s="39" t="str">
        <f>IFERROR(ödev!Z87*100/ödev!$I87,"")</f>
        <v/>
      </c>
      <c r="P491" s="39" t="str">
        <f>IFERROR(ödev!AA87*100/ödev!$I87,"")</f>
        <v/>
      </c>
      <c r="Q491" s="39" t="str">
        <f>IFERROR(ödev!AB87*100/ödev!$I87,"")</f>
        <v/>
      </c>
      <c r="R491" s="39" t="str">
        <f>IFERROR(ödev!AC87*100/ödev!$I87,"")</f>
        <v/>
      </c>
      <c r="S491" s="39" t="str">
        <f>IFERROR(ödev!AD87*100/ödev!$I87,"")</f>
        <v/>
      </c>
      <c r="T491" s="39" t="str">
        <f>IFERROR(ödev!AE87*100/ödev!$I87,"")</f>
        <v/>
      </c>
      <c r="U491" s="39" t="str">
        <f>IFERROR(ödev!AF87*100/ödev!$I87,"")</f>
        <v/>
      </c>
      <c r="V491" s="39" t="str">
        <f>IFERROR(ödev!AG87*100/ödev!$I87,"")</f>
        <v/>
      </c>
      <c r="W491" s="39" t="str">
        <f>IFERROR(ödev!AH87*100/ödev!$I87,"")</f>
        <v/>
      </c>
      <c r="X491" s="39" t="str">
        <f>IFERROR(ödev!AI87*100/ödev!$I87,"")</f>
        <v/>
      </c>
      <c r="Y491" s="39" t="str">
        <f>IFERROR(ödev!AJ87*100/ödev!$I87,"")</f>
        <v/>
      </c>
      <c r="Z491" s="39" t="str">
        <f>IFERROR(ödev!AK87*100/ödev!$I87,"")</f>
        <v/>
      </c>
      <c r="AA491" s="39" t="str">
        <f>IFERROR(ödev!AL87*100/ödev!$I87,"")</f>
        <v/>
      </c>
      <c r="AB491" s="39" t="str">
        <f>IFERROR(ödev!AM87*100/ödev!$I87,"")</f>
        <v/>
      </c>
      <c r="AC491" s="39" t="str">
        <f>IFERROR(ödev!AN87*100/ödev!$I87,"")</f>
        <v/>
      </c>
      <c r="AD491" s="39" t="str">
        <f>IFERROR(ödev!AO87*100/ödev!$I87,"")</f>
        <v/>
      </c>
      <c r="AE491" s="39" t="str">
        <f>IFERROR(ödev!AP87*100/ödev!$I87,"")</f>
        <v/>
      </c>
      <c r="AF491" s="39" t="str">
        <f>IFERROR(ödev!AQ87*100/ödev!$I87,"")</f>
        <v/>
      </c>
      <c r="AG491" s="39" t="str">
        <f>IFERROR(ödev!AR87*100/ödev!$I87,"")</f>
        <v/>
      </c>
      <c r="AH491" s="39" t="str">
        <f>IFERROR(ödev!AS87*100/ödev!$I87,"")</f>
        <v/>
      </c>
      <c r="AI491" s="39" t="str">
        <f>IFERROR(ödev!AT87*100/ödev!$I87,"")</f>
        <v/>
      </c>
      <c r="AJ491" s="39" t="str">
        <f>IFERROR(ödev!AU87*100/ödev!$I87,"")</f>
        <v/>
      </c>
      <c r="AK491" s="39" t="str">
        <f>IFERROR(ödev!AV87*100/ödev!$I87,"")</f>
        <v/>
      </c>
      <c r="AL491" s="39" t="str">
        <f>IFERROR(ödev!AW87*100/ödev!$I87,"")</f>
        <v/>
      </c>
      <c r="AM491" s="39" t="str">
        <f>IFERROR(ödev!AX87*100/ödev!$I87,"")</f>
        <v/>
      </c>
      <c r="AN491" s="39" t="str">
        <f>IFERROR(ödev!AY87*100/ödev!$I87,"")</f>
        <v/>
      </c>
      <c r="AO491" s="39" t="str">
        <f>IFERROR(ödev!AZ87*100/ödev!$I87,"")</f>
        <v/>
      </c>
      <c r="AP491" s="39" t="str">
        <f>IFERROR(ödev!BA87*100/ödev!$I87,"")</f>
        <v/>
      </c>
      <c r="AQ491" s="39" t="str">
        <f>IFERROR(ödev!BB87*100/ödev!$I87,"")</f>
        <v/>
      </c>
      <c r="AR491" s="39" t="str">
        <f>IFERROR(ödev!BC87*100/ödev!$I87,"")</f>
        <v/>
      </c>
      <c r="AS491" s="39" t="str">
        <f>IFERROR(ödev!BD87*100/ödev!$I87,"")</f>
        <v/>
      </c>
      <c r="AT491" s="39" t="str">
        <f>IFERROR(ödev!BE87*100/ödev!$I87,"")</f>
        <v/>
      </c>
      <c r="AU491" s="39" t="str">
        <f>IFERROR(ödev!BF87*100/ödev!$I87,"")</f>
        <v/>
      </c>
      <c r="AV491" s="39" t="str">
        <f>IFERROR(ödev!BG87*100/ödev!$I87,"")</f>
        <v/>
      </c>
      <c r="AW491" s="39" t="str">
        <f>IFERROR(ödev!BH87*100/ödev!$I87,"")</f>
        <v/>
      </c>
      <c r="AX491" s="39" t="str">
        <f>IFERROR(ödev!BI87*100/ödev!$I87,"")</f>
        <v/>
      </c>
      <c r="AY491" s="39" t="str">
        <f>IFERROR(ödev!BJ87*100/ödev!$I87,"")</f>
        <v/>
      </c>
      <c r="AZ491" s="39" t="str">
        <f>IFERROR(ödev!BK87*100/ödev!$I87,"")</f>
        <v/>
      </c>
      <c r="BA491" s="39" t="str">
        <f>IFERROR(ödev!BL87*100/ödev!$I87,"")</f>
        <v/>
      </c>
      <c r="BB491" s="39" t="str">
        <f>IFERROR(ödev!BM87*100/ödev!$I87,"")</f>
        <v/>
      </c>
      <c r="BC491" s="39" t="str">
        <f>IFERROR(ödev!BN87*100/ödev!$I87,"")</f>
        <v/>
      </c>
      <c r="BD491" s="39" t="str">
        <f>IFERROR(ödev!BO87*100/ödev!$I87,"")</f>
        <v/>
      </c>
      <c r="BE491" s="39" t="str">
        <f>IFERROR(ödev!BP87*100/ödev!$I87,"")</f>
        <v/>
      </c>
      <c r="BF491" s="39" t="str">
        <f>IFERROR(ödev!BQ87*100/ödev!$I87,"")</f>
        <v/>
      </c>
      <c r="BG491" s="39" t="str">
        <f>IFERROR(ödev!BR87*100/ödev!$I87,"")</f>
        <v/>
      </c>
      <c r="BH491" s="39" t="str">
        <f>IFERROR(ödev!BS87*100/ödev!$I87,"")</f>
        <v/>
      </c>
      <c r="BI491" s="39" t="str">
        <f>IFERROR(ödev!BT87*100/ödev!$I87,"")</f>
        <v/>
      </c>
      <c r="BJ491" s="39" t="str">
        <f>IFERROR(ödev!BU87*100/ödev!$I87,"")</f>
        <v/>
      </c>
      <c r="BK491" s="39" t="str">
        <f>IFERROR(ödev!BV87*100/ödev!$I87,"")</f>
        <v/>
      </c>
      <c r="BL491" s="39" t="str">
        <f>IFERROR(ödev!BW87*100/ödev!$I87,"")</f>
        <v/>
      </c>
      <c r="BM491" s="39" t="str">
        <f>IFERROR(ödev!BX87*100/ödev!$I87,"")</f>
        <v/>
      </c>
      <c r="BN491" s="39" t="str">
        <f>IFERROR(ödev!BY87*100/ödev!$I87,"")</f>
        <v/>
      </c>
      <c r="BO491" s="39" t="str">
        <f>IFERROR(ödev!BZ87*100/ödev!$I87,"")</f>
        <v/>
      </c>
      <c r="BP491" s="39" t="str">
        <f>IFERROR(ödev!CA87*100/ödev!$I87,"")</f>
        <v/>
      </c>
      <c r="BQ491" s="39" t="str">
        <f>IFERROR(ödev!CB87*100/ödev!$I87,"")</f>
        <v/>
      </c>
      <c r="BR491" s="39" t="str">
        <f>IFERROR(ödev!CC87*100/ödev!$I87,"")</f>
        <v/>
      </c>
      <c r="BS491" s="39" t="str">
        <f>IFERROR(ödev!CD87*100/ödev!$I87,"")</f>
        <v/>
      </c>
      <c r="BT491" s="39" t="str">
        <f>IFERROR(ödev!CE87*100/ödev!$I87,"")</f>
        <v/>
      </c>
      <c r="BU491" s="39" t="str">
        <f>IFERROR(ödev!CF87*100/ödev!$I87,"")</f>
        <v/>
      </c>
      <c r="BV491" s="39" t="str">
        <f>IFERROR(ödev!CG87*100/ödev!$I87,"")</f>
        <v/>
      </c>
      <c r="BW491" s="39" t="str">
        <f>IFERROR(ödev!CH87*100/ödev!$I87,"")</f>
        <v/>
      </c>
      <c r="BX491" s="39" t="str">
        <f>IFERROR(ödev!CI87*100/ödev!$I87,"")</f>
        <v/>
      </c>
      <c r="BY491" s="39" t="str">
        <f>IFERROR(ödev!CJ87*100/ödev!$I87,"")</f>
        <v/>
      </c>
      <c r="BZ491" s="39" t="str">
        <f>IFERROR(ödev!CK87*100/ödev!$I87,"")</f>
        <v/>
      </c>
      <c r="CA491" s="39" t="str">
        <f>IFERROR(ödev!CL87*100/ödev!$I87,"")</f>
        <v/>
      </c>
      <c r="CB491" s="39" t="str">
        <f>IFERROR(ödev!CM87*100/ödev!$I87,"")</f>
        <v/>
      </c>
      <c r="CC491" s="39" t="str">
        <f>IFERROR(ödev!CN87*100/ödev!$I87,"")</f>
        <v/>
      </c>
      <c r="CD491" s="39" t="str">
        <f>IFERROR(ödev!CO87*100/ödev!$I87,"")</f>
        <v/>
      </c>
      <c r="CE491" s="39" t="str">
        <f>IFERROR(ödev!CP87*100/ödev!$I87,"")</f>
        <v/>
      </c>
      <c r="CF491" s="39" t="str">
        <f>IFERROR(ödev!CQ87*100/ödev!$I87,"")</f>
        <v/>
      </c>
      <c r="CG491" s="39" t="str">
        <f>IFERROR(ödev!CR87*100/ödev!$I87,"")</f>
        <v/>
      </c>
      <c r="CH491" s="39" t="str">
        <f>IFERROR(ödev!CS87*100/ödev!$I87,"")</f>
        <v/>
      </c>
      <c r="CI491" s="39" t="str">
        <f>IFERROR(ödev!CT87*100/ödev!$I87,"")</f>
        <v/>
      </c>
      <c r="CJ491" s="39" t="str">
        <f>IFERROR(ödev!CU87*100/ödev!$I87,"")</f>
        <v/>
      </c>
      <c r="CK491" s="39" t="str">
        <f>IFERROR(ödev!CV87*100/ödev!$I87,"")</f>
        <v/>
      </c>
      <c r="CL491" s="39" t="str">
        <f>IFERROR(ödev!CW87*100/ödev!$I87,"")</f>
        <v/>
      </c>
      <c r="CM491" s="39" t="str">
        <f>IFERROR(ödev!CX87*100/ödev!$I87,"")</f>
        <v/>
      </c>
      <c r="CN491" s="39" t="str">
        <f>IFERROR(ödev!CY87*100/ödev!$I87,"")</f>
        <v/>
      </c>
      <c r="CO491" s="39" t="str">
        <f>IFERROR(ödev!CZ87*100/ödev!$I87,"")</f>
        <v/>
      </c>
      <c r="CP491" s="39" t="str">
        <f>IFERROR(ödev!DA87*100/ödev!$I87,"")</f>
        <v/>
      </c>
      <c r="CQ491" s="39" t="str">
        <f>IFERROR(ödev!DB87*100/ödev!$I87,"")</f>
        <v/>
      </c>
      <c r="CR491" s="39" t="str">
        <f>IFERROR(ödev!DC87*100/ödev!$I87,"")</f>
        <v/>
      </c>
      <c r="CS491" s="39" t="str">
        <f>IFERROR(ödev!DD87*100/ödev!$I87,"")</f>
        <v/>
      </c>
      <c r="CT491" s="39" t="str">
        <f>IFERROR(ödev!DE87*100/ödev!$I87,"")</f>
        <v/>
      </c>
      <c r="CU491" s="39" t="str">
        <f>IFERROR(ödev!DF87*100/ödev!$I87,"")</f>
        <v/>
      </c>
      <c r="CV491" s="39" t="str">
        <f>IFERROR(ödev!DG87*100/ödev!$I87,"")</f>
        <v/>
      </c>
      <c r="CW491" s="36" t="str">
        <f>IFERROR(SUM(A491:CV491)/ödev!$DH$103,"")</f>
        <v/>
      </c>
      <c r="CX491" s="14" t="str">
        <f>IF(COUNTA(ödev!A87),ödev!A87,"")</f>
        <v/>
      </c>
      <c r="CY491" s="14" t="str">
        <f>IF(COUNTA(ödev!B87),ödev!B87,"")</f>
        <v/>
      </c>
      <c r="CZ491" s="14" t="str">
        <f>IF(COUNTA(ödev!C87),ödev!C87,"")</f>
        <v/>
      </c>
      <c r="DA491" s="14" t="str">
        <f>IF(COUNTA(ödev!D87),ödev!D87,"")</f>
        <v/>
      </c>
      <c r="DB491" s="14" t="str">
        <f>IF(COUNTA(ödev!E87),ödev!E87,"")</f>
        <v/>
      </c>
      <c r="DC491" s="14" t="str">
        <f>IF(COUNTA(ödev!F87),ödev!F87,"")</f>
        <v/>
      </c>
      <c r="DD491" s="14" t="str">
        <f>IF(COUNTA(ödev!G87),ödev!G87,"")</f>
        <v/>
      </c>
      <c r="DE491" s="14" t="str">
        <f>IF(COUNTA(ödev!H87),ödev!H87,"")</f>
        <v/>
      </c>
    </row>
    <row r="492" spans="1:109" x14ac:dyDescent="0.2">
      <c r="A492" s="39" t="str">
        <f>IFERROR(ödev!L88*100/ödev!$I88,"")</f>
        <v/>
      </c>
      <c r="B492" s="39" t="str">
        <f>IFERROR(ödev!M88*100/ödev!$I88,"")</f>
        <v/>
      </c>
      <c r="C492" s="39" t="str">
        <f>IFERROR(ödev!N88*100/ödev!$I88,"")</f>
        <v/>
      </c>
      <c r="D492" s="39" t="str">
        <f>IFERROR(ödev!O88*100/ödev!$I88,"")</f>
        <v/>
      </c>
      <c r="E492" s="39" t="str">
        <f>IFERROR(ödev!P88*100/ödev!$I88,"")</f>
        <v/>
      </c>
      <c r="F492" s="39" t="str">
        <f>IFERROR(ödev!Q88*100/ödev!$I88,"")</f>
        <v/>
      </c>
      <c r="G492" s="39" t="str">
        <f>IFERROR(ödev!R88*100/ödev!$I88,"")</f>
        <v/>
      </c>
      <c r="H492" s="39" t="str">
        <f>IFERROR(ödev!S88*100/ödev!$I88,"")</f>
        <v/>
      </c>
      <c r="I492" s="39" t="str">
        <f>IFERROR(ödev!T88*100/ödev!$I88,"")</f>
        <v/>
      </c>
      <c r="J492" s="39" t="str">
        <f>IFERROR(ödev!U88*100/ödev!$I88,"")</f>
        <v/>
      </c>
      <c r="K492" s="39" t="str">
        <f>IFERROR(ödev!V88*100/ödev!$I88,"")</f>
        <v/>
      </c>
      <c r="L492" s="39" t="str">
        <f>IFERROR(ödev!W88*100/ödev!$I88,"")</f>
        <v/>
      </c>
      <c r="M492" s="39" t="str">
        <f>IFERROR(ödev!X88*100/ödev!$I88,"")</f>
        <v/>
      </c>
      <c r="N492" s="39" t="str">
        <f>IFERROR(ödev!Y88*100/ödev!$I88,"")</f>
        <v/>
      </c>
      <c r="O492" s="39" t="str">
        <f>IFERROR(ödev!Z88*100/ödev!$I88,"")</f>
        <v/>
      </c>
      <c r="P492" s="39" t="str">
        <f>IFERROR(ödev!AA88*100/ödev!$I88,"")</f>
        <v/>
      </c>
      <c r="Q492" s="39" t="str">
        <f>IFERROR(ödev!AB88*100/ödev!$I88,"")</f>
        <v/>
      </c>
      <c r="R492" s="39" t="str">
        <f>IFERROR(ödev!AC88*100/ödev!$I88,"")</f>
        <v/>
      </c>
      <c r="S492" s="39" t="str">
        <f>IFERROR(ödev!AD88*100/ödev!$I88,"")</f>
        <v/>
      </c>
      <c r="T492" s="39" t="str">
        <f>IFERROR(ödev!AE88*100/ödev!$I88,"")</f>
        <v/>
      </c>
      <c r="U492" s="39" t="str">
        <f>IFERROR(ödev!AF88*100/ödev!$I88,"")</f>
        <v/>
      </c>
      <c r="V492" s="39" t="str">
        <f>IFERROR(ödev!AG88*100/ödev!$I88,"")</f>
        <v/>
      </c>
      <c r="W492" s="39" t="str">
        <f>IFERROR(ödev!AH88*100/ödev!$I88,"")</f>
        <v/>
      </c>
      <c r="X492" s="39" t="str">
        <f>IFERROR(ödev!AI88*100/ödev!$I88,"")</f>
        <v/>
      </c>
      <c r="Y492" s="39" t="str">
        <f>IFERROR(ödev!AJ88*100/ödev!$I88,"")</f>
        <v/>
      </c>
      <c r="Z492" s="39" t="str">
        <f>IFERROR(ödev!AK88*100/ödev!$I88,"")</f>
        <v/>
      </c>
      <c r="AA492" s="39" t="str">
        <f>IFERROR(ödev!AL88*100/ödev!$I88,"")</f>
        <v/>
      </c>
      <c r="AB492" s="39" t="str">
        <f>IFERROR(ödev!AM88*100/ödev!$I88,"")</f>
        <v/>
      </c>
      <c r="AC492" s="39" t="str">
        <f>IFERROR(ödev!AN88*100/ödev!$I88,"")</f>
        <v/>
      </c>
      <c r="AD492" s="39" t="str">
        <f>IFERROR(ödev!AO88*100/ödev!$I88,"")</f>
        <v/>
      </c>
      <c r="AE492" s="39" t="str">
        <f>IFERROR(ödev!AP88*100/ödev!$I88,"")</f>
        <v/>
      </c>
      <c r="AF492" s="39" t="str">
        <f>IFERROR(ödev!AQ88*100/ödev!$I88,"")</f>
        <v/>
      </c>
      <c r="AG492" s="39" t="str">
        <f>IFERROR(ödev!AR88*100/ödev!$I88,"")</f>
        <v/>
      </c>
      <c r="AH492" s="39" t="str">
        <f>IFERROR(ödev!AS88*100/ödev!$I88,"")</f>
        <v/>
      </c>
      <c r="AI492" s="39" t="str">
        <f>IFERROR(ödev!AT88*100/ödev!$I88,"")</f>
        <v/>
      </c>
      <c r="AJ492" s="39" t="str">
        <f>IFERROR(ödev!AU88*100/ödev!$I88,"")</f>
        <v/>
      </c>
      <c r="AK492" s="39" t="str">
        <f>IFERROR(ödev!AV88*100/ödev!$I88,"")</f>
        <v/>
      </c>
      <c r="AL492" s="39" t="str">
        <f>IFERROR(ödev!AW88*100/ödev!$I88,"")</f>
        <v/>
      </c>
      <c r="AM492" s="39" t="str">
        <f>IFERROR(ödev!AX88*100/ödev!$I88,"")</f>
        <v/>
      </c>
      <c r="AN492" s="39" t="str">
        <f>IFERROR(ödev!AY88*100/ödev!$I88,"")</f>
        <v/>
      </c>
      <c r="AO492" s="39" t="str">
        <f>IFERROR(ödev!AZ88*100/ödev!$I88,"")</f>
        <v/>
      </c>
      <c r="AP492" s="39" t="str">
        <f>IFERROR(ödev!BA88*100/ödev!$I88,"")</f>
        <v/>
      </c>
      <c r="AQ492" s="39" t="str">
        <f>IFERROR(ödev!BB88*100/ödev!$I88,"")</f>
        <v/>
      </c>
      <c r="AR492" s="39" t="str">
        <f>IFERROR(ödev!BC88*100/ödev!$I88,"")</f>
        <v/>
      </c>
      <c r="AS492" s="39" t="str">
        <f>IFERROR(ödev!BD88*100/ödev!$I88,"")</f>
        <v/>
      </c>
      <c r="AT492" s="39" t="str">
        <f>IFERROR(ödev!BE88*100/ödev!$I88,"")</f>
        <v/>
      </c>
      <c r="AU492" s="39" t="str">
        <f>IFERROR(ödev!BF88*100/ödev!$I88,"")</f>
        <v/>
      </c>
      <c r="AV492" s="39" t="str">
        <f>IFERROR(ödev!BG88*100/ödev!$I88,"")</f>
        <v/>
      </c>
      <c r="AW492" s="39" t="str">
        <f>IFERROR(ödev!BH88*100/ödev!$I88,"")</f>
        <v/>
      </c>
      <c r="AX492" s="39" t="str">
        <f>IFERROR(ödev!BI88*100/ödev!$I88,"")</f>
        <v/>
      </c>
      <c r="AY492" s="39" t="str">
        <f>IFERROR(ödev!BJ88*100/ödev!$I88,"")</f>
        <v/>
      </c>
      <c r="AZ492" s="39" t="str">
        <f>IFERROR(ödev!BK88*100/ödev!$I88,"")</f>
        <v/>
      </c>
      <c r="BA492" s="39" t="str">
        <f>IFERROR(ödev!BL88*100/ödev!$I88,"")</f>
        <v/>
      </c>
      <c r="BB492" s="39" t="str">
        <f>IFERROR(ödev!BM88*100/ödev!$I88,"")</f>
        <v/>
      </c>
      <c r="BC492" s="39" t="str">
        <f>IFERROR(ödev!BN88*100/ödev!$I88,"")</f>
        <v/>
      </c>
      <c r="BD492" s="39" t="str">
        <f>IFERROR(ödev!BO88*100/ödev!$I88,"")</f>
        <v/>
      </c>
      <c r="BE492" s="39" t="str">
        <f>IFERROR(ödev!BP88*100/ödev!$I88,"")</f>
        <v/>
      </c>
      <c r="BF492" s="39" t="str">
        <f>IFERROR(ödev!BQ88*100/ödev!$I88,"")</f>
        <v/>
      </c>
      <c r="BG492" s="39" t="str">
        <f>IFERROR(ödev!BR88*100/ödev!$I88,"")</f>
        <v/>
      </c>
      <c r="BH492" s="39" t="str">
        <f>IFERROR(ödev!BS88*100/ödev!$I88,"")</f>
        <v/>
      </c>
      <c r="BI492" s="39" t="str">
        <f>IFERROR(ödev!BT88*100/ödev!$I88,"")</f>
        <v/>
      </c>
      <c r="BJ492" s="39" t="str">
        <f>IFERROR(ödev!BU88*100/ödev!$I88,"")</f>
        <v/>
      </c>
      <c r="BK492" s="39" t="str">
        <f>IFERROR(ödev!BV88*100/ödev!$I88,"")</f>
        <v/>
      </c>
      <c r="BL492" s="39" t="str">
        <f>IFERROR(ödev!BW88*100/ödev!$I88,"")</f>
        <v/>
      </c>
      <c r="BM492" s="39" t="str">
        <f>IFERROR(ödev!BX88*100/ödev!$I88,"")</f>
        <v/>
      </c>
      <c r="BN492" s="39" t="str">
        <f>IFERROR(ödev!BY88*100/ödev!$I88,"")</f>
        <v/>
      </c>
      <c r="BO492" s="39" t="str">
        <f>IFERROR(ödev!BZ88*100/ödev!$I88,"")</f>
        <v/>
      </c>
      <c r="BP492" s="39" t="str">
        <f>IFERROR(ödev!CA88*100/ödev!$I88,"")</f>
        <v/>
      </c>
      <c r="BQ492" s="39" t="str">
        <f>IFERROR(ödev!CB88*100/ödev!$I88,"")</f>
        <v/>
      </c>
      <c r="BR492" s="39" t="str">
        <f>IFERROR(ödev!CC88*100/ödev!$I88,"")</f>
        <v/>
      </c>
      <c r="BS492" s="39" t="str">
        <f>IFERROR(ödev!CD88*100/ödev!$I88,"")</f>
        <v/>
      </c>
      <c r="BT492" s="39" t="str">
        <f>IFERROR(ödev!CE88*100/ödev!$I88,"")</f>
        <v/>
      </c>
      <c r="BU492" s="39" t="str">
        <f>IFERROR(ödev!CF88*100/ödev!$I88,"")</f>
        <v/>
      </c>
      <c r="BV492" s="39" t="str">
        <f>IFERROR(ödev!CG88*100/ödev!$I88,"")</f>
        <v/>
      </c>
      <c r="BW492" s="39" t="str">
        <f>IFERROR(ödev!CH88*100/ödev!$I88,"")</f>
        <v/>
      </c>
      <c r="BX492" s="39" t="str">
        <f>IFERROR(ödev!CI88*100/ödev!$I88,"")</f>
        <v/>
      </c>
      <c r="BY492" s="39" t="str">
        <f>IFERROR(ödev!CJ88*100/ödev!$I88,"")</f>
        <v/>
      </c>
      <c r="BZ492" s="39" t="str">
        <f>IFERROR(ödev!CK88*100/ödev!$I88,"")</f>
        <v/>
      </c>
      <c r="CA492" s="39" t="str">
        <f>IFERROR(ödev!CL88*100/ödev!$I88,"")</f>
        <v/>
      </c>
      <c r="CB492" s="39" t="str">
        <f>IFERROR(ödev!CM88*100/ödev!$I88,"")</f>
        <v/>
      </c>
      <c r="CC492" s="39" t="str">
        <f>IFERROR(ödev!CN88*100/ödev!$I88,"")</f>
        <v/>
      </c>
      <c r="CD492" s="39" t="str">
        <f>IFERROR(ödev!CO88*100/ödev!$I88,"")</f>
        <v/>
      </c>
      <c r="CE492" s="39" t="str">
        <f>IFERROR(ödev!CP88*100/ödev!$I88,"")</f>
        <v/>
      </c>
      <c r="CF492" s="39" t="str">
        <f>IFERROR(ödev!CQ88*100/ödev!$I88,"")</f>
        <v/>
      </c>
      <c r="CG492" s="39" t="str">
        <f>IFERROR(ödev!CR88*100/ödev!$I88,"")</f>
        <v/>
      </c>
      <c r="CH492" s="39" t="str">
        <f>IFERROR(ödev!CS88*100/ödev!$I88,"")</f>
        <v/>
      </c>
      <c r="CI492" s="39" t="str">
        <f>IFERROR(ödev!CT88*100/ödev!$I88,"")</f>
        <v/>
      </c>
      <c r="CJ492" s="39" t="str">
        <f>IFERROR(ödev!CU88*100/ödev!$I88,"")</f>
        <v/>
      </c>
      <c r="CK492" s="39" t="str">
        <f>IFERROR(ödev!CV88*100/ödev!$I88,"")</f>
        <v/>
      </c>
      <c r="CL492" s="39" t="str">
        <f>IFERROR(ödev!CW88*100/ödev!$I88,"")</f>
        <v/>
      </c>
      <c r="CM492" s="39" t="str">
        <f>IFERROR(ödev!CX88*100/ödev!$I88,"")</f>
        <v/>
      </c>
      <c r="CN492" s="39" t="str">
        <f>IFERROR(ödev!CY88*100/ödev!$I88,"")</f>
        <v/>
      </c>
      <c r="CO492" s="39" t="str">
        <f>IFERROR(ödev!CZ88*100/ödev!$I88,"")</f>
        <v/>
      </c>
      <c r="CP492" s="39" t="str">
        <f>IFERROR(ödev!DA88*100/ödev!$I88,"")</f>
        <v/>
      </c>
      <c r="CQ492" s="39" t="str">
        <f>IFERROR(ödev!DB88*100/ödev!$I88,"")</f>
        <v/>
      </c>
      <c r="CR492" s="39" t="str">
        <f>IFERROR(ödev!DC88*100/ödev!$I88,"")</f>
        <v/>
      </c>
      <c r="CS492" s="39" t="str">
        <f>IFERROR(ödev!DD88*100/ödev!$I88,"")</f>
        <v/>
      </c>
      <c r="CT492" s="39" t="str">
        <f>IFERROR(ödev!DE88*100/ödev!$I88,"")</f>
        <v/>
      </c>
      <c r="CU492" s="39" t="str">
        <f>IFERROR(ödev!DF88*100/ödev!$I88,"")</f>
        <v/>
      </c>
      <c r="CV492" s="39" t="str">
        <f>IFERROR(ödev!DG88*100/ödev!$I88,"")</f>
        <v/>
      </c>
      <c r="CW492" s="36" t="str">
        <f>IFERROR(SUM(A492:CV492)/ödev!$DH$103,"")</f>
        <v/>
      </c>
      <c r="CX492" s="14" t="str">
        <f>IF(COUNTA(ödev!A88),ödev!A88,"")</f>
        <v/>
      </c>
      <c r="CY492" s="14" t="str">
        <f>IF(COUNTA(ödev!B88),ödev!B88,"")</f>
        <v/>
      </c>
      <c r="CZ492" s="14" t="str">
        <f>IF(COUNTA(ödev!C88),ödev!C88,"")</f>
        <v/>
      </c>
      <c r="DA492" s="14" t="str">
        <f>IF(COUNTA(ödev!D88),ödev!D88,"")</f>
        <v/>
      </c>
      <c r="DB492" s="14" t="str">
        <f>IF(COUNTA(ödev!E88),ödev!E88,"")</f>
        <v/>
      </c>
      <c r="DC492" s="14" t="str">
        <f>IF(COUNTA(ödev!F88),ödev!F88,"")</f>
        <v/>
      </c>
      <c r="DD492" s="14" t="str">
        <f>IF(COUNTA(ödev!G88),ödev!G88,"")</f>
        <v/>
      </c>
      <c r="DE492" s="14" t="str">
        <f>IF(COUNTA(ödev!H88),ödev!H88,"")</f>
        <v/>
      </c>
    </row>
    <row r="493" spans="1:109" x14ac:dyDescent="0.2">
      <c r="A493" s="39" t="str">
        <f>IFERROR(ödev!L89*100/ödev!$I89,"")</f>
        <v/>
      </c>
      <c r="B493" s="39" t="str">
        <f>IFERROR(ödev!M89*100/ödev!$I89,"")</f>
        <v/>
      </c>
      <c r="C493" s="39" t="str">
        <f>IFERROR(ödev!N89*100/ödev!$I89,"")</f>
        <v/>
      </c>
      <c r="D493" s="39" t="str">
        <f>IFERROR(ödev!O89*100/ödev!$I89,"")</f>
        <v/>
      </c>
      <c r="E493" s="39" t="str">
        <f>IFERROR(ödev!P89*100/ödev!$I89,"")</f>
        <v/>
      </c>
      <c r="F493" s="39" t="str">
        <f>IFERROR(ödev!Q89*100/ödev!$I89,"")</f>
        <v/>
      </c>
      <c r="G493" s="39" t="str">
        <f>IFERROR(ödev!R89*100/ödev!$I89,"")</f>
        <v/>
      </c>
      <c r="H493" s="39" t="str">
        <f>IFERROR(ödev!S89*100/ödev!$I89,"")</f>
        <v/>
      </c>
      <c r="I493" s="39" t="str">
        <f>IFERROR(ödev!T89*100/ödev!$I89,"")</f>
        <v/>
      </c>
      <c r="J493" s="39" t="str">
        <f>IFERROR(ödev!U89*100/ödev!$I89,"")</f>
        <v/>
      </c>
      <c r="K493" s="39" t="str">
        <f>IFERROR(ödev!V89*100/ödev!$I89,"")</f>
        <v/>
      </c>
      <c r="L493" s="39" t="str">
        <f>IFERROR(ödev!W89*100/ödev!$I89,"")</f>
        <v/>
      </c>
      <c r="M493" s="39" t="str">
        <f>IFERROR(ödev!X89*100/ödev!$I89,"")</f>
        <v/>
      </c>
      <c r="N493" s="39" t="str">
        <f>IFERROR(ödev!Y89*100/ödev!$I89,"")</f>
        <v/>
      </c>
      <c r="O493" s="39" t="str">
        <f>IFERROR(ödev!Z89*100/ödev!$I89,"")</f>
        <v/>
      </c>
      <c r="P493" s="39" t="str">
        <f>IFERROR(ödev!AA89*100/ödev!$I89,"")</f>
        <v/>
      </c>
      <c r="Q493" s="39" t="str">
        <f>IFERROR(ödev!AB89*100/ödev!$I89,"")</f>
        <v/>
      </c>
      <c r="R493" s="39" t="str">
        <f>IFERROR(ödev!AC89*100/ödev!$I89,"")</f>
        <v/>
      </c>
      <c r="S493" s="39" t="str">
        <f>IFERROR(ödev!AD89*100/ödev!$I89,"")</f>
        <v/>
      </c>
      <c r="T493" s="39" t="str">
        <f>IFERROR(ödev!AE89*100/ödev!$I89,"")</f>
        <v/>
      </c>
      <c r="U493" s="39" t="str">
        <f>IFERROR(ödev!AF89*100/ödev!$I89,"")</f>
        <v/>
      </c>
      <c r="V493" s="39" t="str">
        <f>IFERROR(ödev!AG89*100/ödev!$I89,"")</f>
        <v/>
      </c>
      <c r="W493" s="39" t="str">
        <f>IFERROR(ödev!AH89*100/ödev!$I89,"")</f>
        <v/>
      </c>
      <c r="X493" s="39" t="str">
        <f>IFERROR(ödev!AI89*100/ödev!$I89,"")</f>
        <v/>
      </c>
      <c r="Y493" s="39" t="str">
        <f>IFERROR(ödev!AJ89*100/ödev!$I89,"")</f>
        <v/>
      </c>
      <c r="Z493" s="39" t="str">
        <f>IFERROR(ödev!AK89*100/ödev!$I89,"")</f>
        <v/>
      </c>
      <c r="AA493" s="39" t="str">
        <f>IFERROR(ödev!AL89*100/ödev!$I89,"")</f>
        <v/>
      </c>
      <c r="AB493" s="39" t="str">
        <f>IFERROR(ödev!AM89*100/ödev!$I89,"")</f>
        <v/>
      </c>
      <c r="AC493" s="39" t="str">
        <f>IFERROR(ödev!AN89*100/ödev!$I89,"")</f>
        <v/>
      </c>
      <c r="AD493" s="39" t="str">
        <f>IFERROR(ödev!AO89*100/ödev!$I89,"")</f>
        <v/>
      </c>
      <c r="AE493" s="39" t="str">
        <f>IFERROR(ödev!AP89*100/ödev!$I89,"")</f>
        <v/>
      </c>
      <c r="AF493" s="39" t="str">
        <f>IFERROR(ödev!AQ89*100/ödev!$I89,"")</f>
        <v/>
      </c>
      <c r="AG493" s="39" t="str">
        <f>IFERROR(ödev!AR89*100/ödev!$I89,"")</f>
        <v/>
      </c>
      <c r="AH493" s="39" t="str">
        <f>IFERROR(ödev!AS89*100/ödev!$I89,"")</f>
        <v/>
      </c>
      <c r="AI493" s="39" t="str">
        <f>IFERROR(ödev!AT89*100/ödev!$I89,"")</f>
        <v/>
      </c>
      <c r="AJ493" s="39" t="str">
        <f>IFERROR(ödev!AU89*100/ödev!$I89,"")</f>
        <v/>
      </c>
      <c r="AK493" s="39" t="str">
        <f>IFERROR(ödev!AV89*100/ödev!$I89,"")</f>
        <v/>
      </c>
      <c r="AL493" s="39" t="str">
        <f>IFERROR(ödev!AW89*100/ödev!$I89,"")</f>
        <v/>
      </c>
      <c r="AM493" s="39" t="str">
        <f>IFERROR(ödev!AX89*100/ödev!$I89,"")</f>
        <v/>
      </c>
      <c r="AN493" s="39" t="str">
        <f>IFERROR(ödev!AY89*100/ödev!$I89,"")</f>
        <v/>
      </c>
      <c r="AO493" s="39" t="str">
        <f>IFERROR(ödev!AZ89*100/ödev!$I89,"")</f>
        <v/>
      </c>
      <c r="AP493" s="39" t="str">
        <f>IFERROR(ödev!BA89*100/ödev!$I89,"")</f>
        <v/>
      </c>
      <c r="AQ493" s="39" t="str">
        <f>IFERROR(ödev!BB89*100/ödev!$I89,"")</f>
        <v/>
      </c>
      <c r="AR493" s="39" t="str">
        <f>IFERROR(ödev!BC89*100/ödev!$I89,"")</f>
        <v/>
      </c>
      <c r="AS493" s="39" t="str">
        <f>IFERROR(ödev!BD89*100/ödev!$I89,"")</f>
        <v/>
      </c>
      <c r="AT493" s="39" t="str">
        <f>IFERROR(ödev!BE89*100/ödev!$I89,"")</f>
        <v/>
      </c>
      <c r="AU493" s="39" t="str">
        <f>IFERROR(ödev!BF89*100/ödev!$I89,"")</f>
        <v/>
      </c>
      <c r="AV493" s="39" t="str">
        <f>IFERROR(ödev!BG89*100/ödev!$I89,"")</f>
        <v/>
      </c>
      <c r="AW493" s="39" t="str">
        <f>IFERROR(ödev!BH89*100/ödev!$I89,"")</f>
        <v/>
      </c>
      <c r="AX493" s="39" t="str">
        <f>IFERROR(ödev!BI89*100/ödev!$I89,"")</f>
        <v/>
      </c>
      <c r="AY493" s="39" t="str">
        <f>IFERROR(ödev!BJ89*100/ödev!$I89,"")</f>
        <v/>
      </c>
      <c r="AZ493" s="39" t="str">
        <f>IFERROR(ödev!BK89*100/ödev!$I89,"")</f>
        <v/>
      </c>
      <c r="BA493" s="39" t="str">
        <f>IFERROR(ödev!BL89*100/ödev!$I89,"")</f>
        <v/>
      </c>
      <c r="BB493" s="39" t="str">
        <f>IFERROR(ödev!BM89*100/ödev!$I89,"")</f>
        <v/>
      </c>
      <c r="BC493" s="39" t="str">
        <f>IFERROR(ödev!BN89*100/ödev!$I89,"")</f>
        <v/>
      </c>
      <c r="BD493" s="39" t="str">
        <f>IFERROR(ödev!BO89*100/ödev!$I89,"")</f>
        <v/>
      </c>
      <c r="BE493" s="39" t="str">
        <f>IFERROR(ödev!BP89*100/ödev!$I89,"")</f>
        <v/>
      </c>
      <c r="BF493" s="39" t="str">
        <f>IFERROR(ödev!BQ89*100/ödev!$I89,"")</f>
        <v/>
      </c>
      <c r="BG493" s="39" t="str">
        <f>IFERROR(ödev!BR89*100/ödev!$I89,"")</f>
        <v/>
      </c>
      <c r="BH493" s="39" t="str">
        <f>IFERROR(ödev!BS89*100/ödev!$I89,"")</f>
        <v/>
      </c>
      <c r="BI493" s="39" t="str">
        <f>IFERROR(ödev!BT89*100/ödev!$I89,"")</f>
        <v/>
      </c>
      <c r="BJ493" s="39" t="str">
        <f>IFERROR(ödev!BU89*100/ödev!$I89,"")</f>
        <v/>
      </c>
      <c r="BK493" s="39" t="str">
        <f>IFERROR(ödev!BV89*100/ödev!$I89,"")</f>
        <v/>
      </c>
      <c r="BL493" s="39" t="str">
        <f>IFERROR(ödev!BW89*100/ödev!$I89,"")</f>
        <v/>
      </c>
      <c r="BM493" s="39" t="str">
        <f>IFERROR(ödev!BX89*100/ödev!$I89,"")</f>
        <v/>
      </c>
      <c r="BN493" s="39" t="str">
        <f>IFERROR(ödev!BY89*100/ödev!$I89,"")</f>
        <v/>
      </c>
      <c r="BO493" s="39" t="str">
        <f>IFERROR(ödev!BZ89*100/ödev!$I89,"")</f>
        <v/>
      </c>
      <c r="BP493" s="39" t="str">
        <f>IFERROR(ödev!CA89*100/ödev!$I89,"")</f>
        <v/>
      </c>
      <c r="BQ493" s="39" t="str">
        <f>IFERROR(ödev!CB89*100/ödev!$I89,"")</f>
        <v/>
      </c>
      <c r="BR493" s="39" t="str">
        <f>IFERROR(ödev!CC89*100/ödev!$I89,"")</f>
        <v/>
      </c>
      <c r="BS493" s="39" t="str">
        <f>IFERROR(ödev!CD89*100/ödev!$I89,"")</f>
        <v/>
      </c>
      <c r="BT493" s="39" t="str">
        <f>IFERROR(ödev!CE89*100/ödev!$I89,"")</f>
        <v/>
      </c>
      <c r="BU493" s="39" t="str">
        <f>IFERROR(ödev!CF89*100/ödev!$I89,"")</f>
        <v/>
      </c>
      <c r="BV493" s="39" t="str">
        <f>IFERROR(ödev!CG89*100/ödev!$I89,"")</f>
        <v/>
      </c>
      <c r="BW493" s="39" t="str">
        <f>IFERROR(ödev!CH89*100/ödev!$I89,"")</f>
        <v/>
      </c>
      <c r="BX493" s="39" t="str">
        <f>IFERROR(ödev!CI89*100/ödev!$I89,"")</f>
        <v/>
      </c>
      <c r="BY493" s="39" t="str">
        <f>IFERROR(ödev!CJ89*100/ödev!$I89,"")</f>
        <v/>
      </c>
      <c r="BZ493" s="39" t="str">
        <f>IFERROR(ödev!CK89*100/ödev!$I89,"")</f>
        <v/>
      </c>
      <c r="CA493" s="39" t="str">
        <f>IFERROR(ödev!CL89*100/ödev!$I89,"")</f>
        <v/>
      </c>
      <c r="CB493" s="39" t="str">
        <f>IFERROR(ödev!CM89*100/ödev!$I89,"")</f>
        <v/>
      </c>
      <c r="CC493" s="39" t="str">
        <f>IFERROR(ödev!CN89*100/ödev!$I89,"")</f>
        <v/>
      </c>
      <c r="CD493" s="39" t="str">
        <f>IFERROR(ödev!CO89*100/ödev!$I89,"")</f>
        <v/>
      </c>
      <c r="CE493" s="39" t="str">
        <f>IFERROR(ödev!CP89*100/ödev!$I89,"")</f>
        <v/>
      </c>
      <c r="CF493" s="39" t="str">
        <f>IFERROR(ödev!CQ89*100/ödev!$I89,"")</f>
        <v/>
      </c>
      <c r="CG493" s="39" t="str">
        <f>IFERROR(ödev!CR89*100/ödev!$I89,"")</f>
        <v/>
      </c>
      <c r="CH493" s="39" t="str">
        <f>IFERROR(ödev!CS89*100/ödev!$I89,"")</f>
        <v/>
      </c>
      <c r="CI493" s="39" t="str">
        <f>IFERROR(ödev!CT89*100/ödev!$I89,"")</f>
        <v/>
      </c>
      <c r="CJ493" s="39" t="str">
        <f>IFERROR(ödev!CU89*100/ödev!$I89,"")</f>
        <v/>
      </c>
      <c r="CK493" s="39" t="str">
        <f>IFERROR(ödev!CV89*100/ödev!$I89,"")</f>
        <v/>
      </c>
      <c r="CL493" s="39" t="str">
        <f>IFERROR(ödev!CW89*100/ödev!$I89,"")</f>
        <v/>
      </c>
      <c r="CM493" s="39" t="str">
        <f>IFERROR(ödev!CX89*100/ödev!$I89,"")</f>
        <v/>
      </c>
      <c r="CN493" s="39" t="str">
        <f>IFERROR(ödev!CY89*100/ödev!$I89,"")</f>
        <v/>
      </c>
      <c r="CO493" s="39" t="str">
        <f>IFERROR(ödev!CZ89*100/ödev!$I89,"")</f>
        <v/>
      </c>
      <c r="CP493" s="39" t="str">
        <f>IFERROR(ödev!DA89*100/ödev!$I89,"")</f>
        <v/>
      </c>
      <c r="CQ493" s="39" t="str">
        <f>IFERROR(ödev!DB89*100/ödev!$I89,"")</f>
        <v/>
      </c>
      <c r="CR493" s="39" t="str">
        <f>IFERROR(ödev!DC89*100/ödev!$I89,"")</f>
        <v/>
      </c>
      <c r="CS493" s="39" t="str">
        <f>IFERROR(ödev!DD89*100/ödev!$I89,"")</f>
        <v/>
      </c>
      <c r="CT493" s="39" t="str">
        <f>IFERROR(ödev!DE89*100/ödev!$I89,"")</f>
        <v/>
      </c>
      <c r="CU493" s="39" t="str">
        <f>IFERROR(ödev!DF89*100/ödev!$I89,"")</f>
        <v/>
      </c>
      <c r="CV493" s="39" t="str">
        <f>IFERROR(ödev!DG89*100/ödev!$I89,"")</f>
        <v/>
      </c>
      <c r="CW493" s="36" t="str">
        <f>IFERROR(SUM(A493:CV493)/ödev!$DH$103,"")</f>
        <v/>
      </c>
      <c r="CX493" s="14" t="str">
        <f>IF(COUNTA(ödev!A89),ödev!A89,"")</f>
        <v/>
      </c>
      <c r="CY493" s="14" t="str">
        <f>IF(COUNTA(ödev!B89),ödev!B89,"")</f>
        <v/>
      </c>
      <c r="CZ493" s="14" t="str">
        <f>IF(COUNTA(ödev!C89),ödev!C89,"")</f>
        <v/>
      </c>
      <c r="DA493" s="14" t="str">
        <f>IF(COUNTA(ödev!D89),ödev!D89,"")</f>
        <v/>
      </c>
      <c r="DB493" s="14" t="str">
        <f>IF(COUNTA(ödev!E89),ödev!E89,"")</f>
        <v/>
      </c>
      <c r="DC493" s="14" t="str">
        <f>IF(COUNTA(ödev!F89),ödev!F89,"")</f>
        <v/>
      </c>
      <c r="DD493" s="14" t="str">
        <f>IF(COUNTA(ödev!G89),ödev!G89,"")</f>
        <v/>
      </c>
      <c r="DE493" s="14" t="str">
        <f>IF(COUNTA(ödev!H89),ödev!H89,"")</f>
        <v/>
      </c>
    </row>
    <row r="494" spans="1:109" x14ac:dyDescent="0.2">
      <c r="A494" s="39" t="str">
        <f>IFERROR(ödev!L90*100/ödev!$I90,"")</f>
        <v/>
      </c>
      <c r="B494" s="39" t="str">
        <f>IFERROR(ödev!M90*100/ödev!$I90,"")</f>
        <v/>
      </c>
      <c r="C494" s="39" t="str">
        <f>IFERROR(ödev!N90*100/ödev!$I90,"")</f>
        <v/>
      </c>
      <c r="D494" s="39" t="str">
        <f>IFERROR(ödev!O90*100/ödev!$I90,"")</f>
        <v/>
      </c>
      <c r="E494" s="39" t="str">
        <f>IFERROR(ödev!P90*100/ödev!$I90,"")</f>
        <v/>
      </c>
      <c r="F494" s="39" t="str">
        <f>IFERROR(ödev!Q90*100/ödev!$I90,"")</f>
        <v/>
      </c>
      <c r="G494" s="39" t="str">
        <f>IFERROR(ödev!R90*100/ödev!$I90,"")</f>
        <v/>
      </c>
      <c r="H494" s="39" t="str">
        <f>IFERROR(ödev!S90*100/ödev!$I90,"")</f>
        <v/>
      </c>
      <c r="I494" s="39" t="str">
        <f>IFERROR(ödev!T90*100/ödev!$I90,"")</f>
        <v/>
      </c>
      <c r="J494" s="39" t="str">
        <f>IFERROR(ödev!U90*100/ödev!$I90,"")</f>
        <v/>
      </c>
      <c r="K494" s="39" t="str">
        <f>IFERROR(ödev!V90*100/ödev!$I90,"")</f>
        <v/>
      </c>
      <c r="L494" s="39" t="str">
        <f>IFERROR(ödev!W90*100/ödev!$I90,"")</f>
        <v/>
      </c>
      <c r="M494" s="39" t="str">
        <f>IFERROR(ödev!X90*100/ödev!$I90,"")</f>
        <v/>
      </c>
      <c r="N494" s="39" t="str">
        <f>IFERROR(ödev!Y90*100/ödev!$I90,"")</f>
        <v/>
      </c>
      <c r="O494" s="39" t="str">
        <f>IFERROR(ödev!Z90*100/ödev!$I90,"")</f>
        <v/>
      </c>
      <c r="P494" s="39" t="str">
        <f>IFERROR(ödev!AA90*100/ödev!$I90,"")</f>
        <v/>
      </c>
      <c r="Q494" s="39" t="str">
        <f>IFERROR(ödev!AB90*100/ödev!$I90,"")</f>
        <v/>
      </c>
      <c r="R494" s="39" t="str">
        <f>IFERROR(ödev!AC90*100/ödev!$I90,"")</f>
        <v/>
      </c>
      <c r="S494" s="39" t="str">
        <f>IFERROR(ödev!AD90*100/ödev!$I90,"")</f>
        <v/>
      </c>
      <c r="T494" s="39" t="str">
        <f>IFERROR(ödev!AE90*100/ödev!$I90,"")</f>
        <v/>
      </c>
      <c r="U494" s="39" t="str">
        <f>IFERROR(ödev!AF90*100/ödev!$I90,"")</f>
        <v/>
      </c>
      <c r="V494" s="39" t="str">
        <f>IFERROR(ödev!AG90*100/ödev!$I90,"")</f>
        <v/>
      </c>
      <c r="W494" s="39" t="str">
        <f>IFERROR(ödev!AH90*100/ödev!$I90,"")</f>
        <v/>
      </c>
      <c r="X494" s="39" t="str">
        <f>IFERROR(ödev!AI90*100/ödev!$I90,"")</f>
        <v/>
      </c>
      <c r="Y494" s="39" t="str">
        <f>IFERROR(ödev!AJ90*100/ödev!$I90,"")</f>
        <v/>
      </c>
      <c r="Z494" s="39" t="str">
        <f>IFERROR(ödev!AK90*100/ödev!$I90,"")</f>
        <v/>
      </c>
      <c r="AA494" s="39" t="str">
        <f>IFERROR(ödev!AL90*100/ödev!$I90,"")</f>
        <v/>
      </c>
      <c r="AB494" s="39" t="str">
        <f>IFERROR(ödev!AM90*100/ödev!$I90,"")</f>
        <v/>
      </c>
      <c r="AC494" s="39" t="str">
        <f>IFERROR(ödev!AN90*100/ödev!$I90,"")</f>
        <v/>
      </c>
      <c r="AD494" s="39" t="str">
        <f>IFERROR(ödev!AO90*100/ödev!$I90,"")</f>
        <v/>
      </c>
      <c r="AE494" s="39" t="str">
        <f>IFERROR(ödev!AP90*100/ödev!$I90,"")</f>
        <v/>
      </c>
      <c r="AF494" s="39" t="str">
        <f>IFERROR(ödev!AQ90*100/ödev!$I90,"")</f>
        <v/>
      </c>
      <c r="AG494" s="39" t="str">
        <f>IFERROR(ödev!AR90*100/ödev!$I90,"")</f>
        <v/>
      </c>
      <c r="AH494" s="39" t="str">
        <f>IFERROR(ödev!AS90*100/ödev!$I90,"")</f>
        <v/>
      </c>
      <c r="AI494" s="39" t="str">
        <f>IFERROR(ödev!AT90*100/ödev!$I90,"")</f>
        <v/>
      </c>
      <c r="AJ494" s="39" t="str">
        <f>IFERROR(ödev!AU90*100/ödev!$I90,"")</f>
        <v/>
      </c>
      <c r="AK494" s="39" t="str">
        <f>IFERROR(ödev!AV90*100/ödev!$I90,"")</f>
        <v/>
      </c>
      <c r="AL494" s="39" t="str">
        <f>IFERROR(ödev!AW90*100/ödev!$I90,"")</f>
        <v/>
      </c>
      <c r="AM494" s="39" t="str">
        <f>IFERROR(ödev!AX90*100/ödev!$I90,"")</f>
        <v/>
      </c>
      <c r="AN494" s="39" t="str">
        <f>IFERROR(ödev!AY90*100/ödev!$I90,"")</f>
        <v/>
      </c>
      <c r="AO494" s="39" t="str">
        <f>IFERROR(ödev!AZ90*100/ödev!$I90,"")</f>
        <v/>
      </c>
      <c r="AP494" s="39" t="str">
        <f>IFERROR(ödev!BA90*100/ödev!$I90,"")</f>
        <v/>
      </c>
      <c r="AQ494" s="39" t="str">
        <f>IFERROR(ödev!BB90*100/ödev!$I90,"")</f>
        <v/>
      </c>
      <c r="AR494" s="39" t="str">
        <f>IFERROR(ödev!BC90*100/ödev!$I90,"")</f>
        <v/>
      </c>
      <c r="AS494" s="39" t="str">
        <f>IFERROR(ödev!BD90*100/ödev!$I90,"")</f>
        <v/>
      </c>
      <c r="AT494" s="39" t="str">
        <f>IFERROR(ödev!BE90*100/ödev!$I90,"")</f>
        <v/>
      </c>
      <c r="AU494" s="39" t="str">
        <f>IFERROR(ödev!BF90*100/ödev!$I90,"")</f>
        <v/>
      </c>
      <c r="AV494" s="39" t="str">
        <f>IFERROR(ödev!BG90*100/ödev!$I90,"")</f>
        <v/>
      </c>
      <c r="AW494" s="39" t="str">
        <f>IFERROR(ödev!BH90*100/ödev!$I90,"")</f>
        <v/>
      </c>
      <c r="AX494" s="39" t="str">
        <f>IFERROR(ödev!BI90*100/ödev!$I90,"")</f>
        <v/>
      </c>
      <c r="AY494" s="39" t="str">
        <f>IFERROR(ödev!BJ90*100/ödev!$I90,"")</f>
        <v/>
      </c>
      <c r="AZ494" s="39" t="str">
        <f>IFERROR(ödev!BK90*100/ödev!$I90,"")</f>
        <v/>
      </c>
      <c r="BA494" s="39" t="str">
        <f>IFERROR(ödev!BL90*100/ödev!$I90,"")</f>
        <v/>
      </c>
      <c r="BB494" s="39" t="str">
        <f>IFERROR(ödev!BM90*100/ödev!$I90,"")</f>
        <v/>
      </c>
      <c r="BC494" s="39" t="str">
        <f>IFERROR(ödev!BN90*100/ödev!$I90,"")</f>
        <v/>
      </c>
      <c r="BD494" s="39" t="str">
        <f>IFERROR(ödev!BO90*100/ödev!$I90,"")</f>
        <v/>
      </c>
      <c r="BE494" s="39" t="str">
        <f>IFERROR(ödev!BP90*100/ödev!$I90,"")</f>
        <v/>
      </c>
      <c r="BF494" s="39" t="str">
        <f>IFERROR(ödev!BQ90*100/ödev!$I90,"")</f>
        <v/>
      </c>
      <c r="BG494" s="39" t="str">
        <f>IFERROR(ödev!BR90*100/ödev!$I90,"")</f>
        <v/>
      </c>
      <c r="BH494" s="39" t="str">
        <f>IFERROR(ödev!BS90*100/ödev!$I90,"")</f>
        <v/>
      </c>
      <c r="BI494" s="39" t="str">
        <f>IFERROR(ödev!BT90*100/ödev!$I90,"")</f>
        <v/>
      </c>
      <c r="BJ494" s="39" t="str">
        <f>IFERROR(ödev!BU90*100/ödev!$I90,"")</f>
        <v/>
      </c>
      <c r="BK494" s="39" t="str">
        <f>IFERROR(ödev!BV90*100/ödev!$I90,"")</f>
        <v/>
      </c>
      <c r="BL494" s="39" t="str">
        <f>IFERROR(ödev!BW90*100/ödev!$I90,"")</f>
        <v/>
      </c>
      <c r="BM494" s="39" t="str">
        <f>IFERROR(ödev!BX90*100/ödev!$I90,"")</f>
        <v/>
      </c>
      <c r="BN494" s="39" t="str">
        <f>IFERROR(ödev!BY90*100/ödev!$I90,"")</f>
        <v/>
      </c>
      <c r="BO494" s="39" t="str">
        <f>IFERROR(ödev!BZ90*100/ödev!$I90,"")</f>
        <v/>
      </c>
      <c r="BP494" s="39" t="str">
        <f>IFERROR(ödev!CA90*100/ödev!$I90,"")</f>
        <v/>
      </c>
      <c r="BQ494" s="39" t="str">
        <f>IFERROR(ödev!CB90*100/ödev!$I90,"")</f>
        <v/>
      </c>
      <c r="BR494" s="39" t="str">
        <f>IFERROR(ödev!CC90*100/ödev!$I90,"")</f>
        <v/>
      </c>
      <c r="BS494" s="39" t="str">
        <f>IFERROR(ödev!CD90*100/ödev!$I90,"")</f>
        <v/>
      </c>
      <c r="BT494" s="39" t="str">
        <f>IFERROR(ödev!CE90*100/ödev!$I90,"")</f>
        <v/>
      </c>
      <c r="BU494" s="39" t="str">
        <f>IFERROR(ödev!CF90*100/ödev!$I90,"")</f>
        <v/>
      </c>
      <c r="BV494" s="39" t="str">
        <f>IFERROR(ödev!CG90*100/ödev!$I90,"")</f>
        <v/>
      </c>
      <c r="BW494" s="39" t="str">
        <f>IFERROR(ödev!CH90*100/ödev!$I90,"")</f>
        <v/>
      </c>
      <c r="BX494" s="39" t="str">
        <f>IFERROR(ödev!CI90*100/ödev!$I90,"")</f>
        <v/>
      </c>
      <c r="BY494" s="39" t="str">
        <f>IFERROR(ödev!CJ90*100/ödev!$I90,"")</f>
        <v/>
      </c>
      <c r="BZ494" s="39" t="str">
        <f>IFERROR(ödev!CK90*100/ödev!$I90,"")</f>
        <v/>
      </c>
      <c r="CA494" s="39" t="str">
        <f>IFERROR(ödev!CL90*100/ödev!$I90,"")</f>
        <v/>
      </c>
      <c r="CB494" s="39" t="str">
        <f>IFERROR(ödev!CM90*100/ödev!$I90,"")</f>
        <v/>
      </c>
      <c r="CC494" s="39" t="str">
        <f>IFERROR(ödev!CN90*100/ödev!$I90,"")</f>
        <v/>
      </c>
      <c r="CD494" s="39" t="str">
        <f>IFERROR(ödev!CO90*100/ödev!$I90,"")</f>
        <v/>
      </c>
      <c r="CE494" s="39" t="str">
        <f>IFERROR(ödev!CP90*100/ödev!$I90,"")</f>
        <v/>
      </c>
      <c r="CF494" s="39" t="str">
        <f>IFERROR(ödev!CQ90*100/ödev!$I90,"")</f>
        <v/>
      </c>
      <c r="CG494" s="39" t="str">
        <f>IFERROR(ödev!CR90*100/ödev!$I90,"")</f>
        <v/>
      </c>
      <c r="CH494" s="39" t="str">
        <f>IFERROR(ödev!CS90*100/ödev!$I90,"")</f>
        <v/>
      </c>
      <c r="CI494" s="39" t="str">
        <f>IFERROR(ödev!CT90*100/ödev!$I90,"")</f>
        <v/>
      </c>
      <c r="CJ494" s="39" t="str">
        <f>IFERROR(ödev!CU90*100/ödev!$I90,"")</f>
        <v/>
      </c>
      <c r="CK494" s="39" t="str">
        <f>IFERROR(ödev!CV90*100/ödev!$I90,"")</f>
        <v/>
      </c>
      <c r="CL494" s="39" t="str">
        <f>IFERROR(ödev!CW90*100/ödev!$I90,"")</f>
        <v/>
      </c>
      <c r="CM494" s="39" t="str">
        <f>IFERROR(ödev!CX90*100/ödev!$I90,"")</f>
        <v/>
      </c>
      <c r="CN494" s="39" t="str">
        <f>IFERROR(ödev!CY90*100/ödev!$I90,"")</f>
        <v/>
      </c>
      <c r="CO494" s="39" t="str">
        <f>IFERROR(ödev!CZ90*100/ödev!$I90,"")</f>
        <v/>
      </c>
      <c r="CP494" s="39" t="str">
        <f>IFERROR(ödev!DA90*100/ödev!$I90,"")</f>
        <v/>
      </c>
      <c r="CQ494" s="39" t="str">
        <f>IFERROR(ödev!DB90*100/ödev!$I90,"")</f>
        <v/>
      </c>
      <c r="CR494" s="39" t="str">
        <f>IFERROR(ödev!DC90*100/ödev!$I90,"")</f>
        <v/>
      </c>
      <c r="CS494" s="39" t="str">
        <f>IFERROR(ödev!DD90*100/ödev!$I90,"")</f>
        <v/>
      </c>
      <c r="CT494" s="39" t="str">
        <f>IFERROR(ödev!DE90*100/ödev!$I90,"")</f>
        <v/>
      </c>
      <c r="CU494" s="39" t="str">
        <f>IFERROR(ödev!DF90*100/ödev!$I90,"")</f>
        <v/>
      </c>
      <c r="CV494" s="39" t="str">
        <f>IFERROR(ödev!DG90*100/ödev!$I90,"")</f>
        <v/>
      </c>
      <c r="CW494" s="36" t="str">
        <f>IFERROR(SUM(A494:CV494)/ödev!$DH$103,"")</f>
        <v/>
      </c>
      <c r="CX494" s="14" t="str">
        <f>IF(COUNTA(ödev!A90),ödev!A90,"")</f>
        <v/>
      </c>
      <c r="CY494" s="14" t="str">
        <f>IF(COUNTA(ödev!B90),ödev!B90,"")</f>
        <v/>
      </c>
      <c r="CZ494" s="14" t="str">
        <f>IF(COUNTA(ödev!C90),ödev!C90,"")</f>
        <v/>
      </c>
      <c r="DA494" s="14" t="str">
        <f>IF(COUNTA(ödev!D90),ödev!D90,"")</f>
        <v/>
      </c>
      <c r="DB494" s="14" t="str">
        <f>IF(COUNTA(ödev!E90),ödev!E90,"")</f>
        <v/>
      </c>
      <c r="DC494" s="14" t="str">
        <f>IF(COUNTA(ödev!F90),ödev!F90,"")</f>
        <v/>
      </c>
      <c r="DD494" s="14" t="str">
        <f>IF(COUNTA(ödev!G90),ödev!G90,"")</f>
        <v/>
      </c>
      <c r="DE494" s="14" t="str">
        <f>IF(COUNTA(ödev!H90),ödev!H90,"")</f>
        <v/>
      </c>
    </row>
    <row r="495" spans="1:109" x14ac:dyDescent="0.2">
      <c r="A495" s="39" t="str">
        <f>IFERROR(ödev!L91*100/ödev!$I91,"")</f>
        <v/>
      </c>
      <c r="B495" s="39" t="str">
        <f>IFERROR(ödev!M91*100/ödev!$I91,"")</f>
        <v/>
      </c>
      <c r="C495" s="39" t="str">
        <f>IFERROR(ödev!N91*100/ödev!$I91,"")</f>
        <v/>
      </c>
      <c r="D495" s="39" t="str">
        <f>IFERROR(ödev!O91*100/ödev!$I91,"")</f>
        <v/>
      </c>
      <c r="E495" s="39" t="str">
        <f>IFERROR(ödev!P91*100/ödev!$I91,"")</f>
        <v/>
      </c>
      <c r="F495" s="39" t="str">
        <f>IFERROR(ödev!Q91*100/ödev!$I91,"")</f>
        <v/>
      </c>
      <c r="G495" s="39" t="str">
        <f>IFERROR(ödev!R91*100/ödev!$I91,"")</f>
        <v/>
      </c>
      <c r="H495" s="39" t="str">
        <f>IFERROR(ödev!S91*100/ödev!$I91,"")</f>
        <v/>
      </c>
      <c r="I495" s="39" t="str">
        <f>IFERROR(ödev!T91*100/ödev!$I91,"")</f>
        <v/>
      </c>
      <c r="J495" s="39" t="str">
        <f>IFERROR(ödev!U91*100/ödev!$I91,"")</f>
        <v/>
      </c>
      <c r="K495" s="39" t="str">
        <f>IFERROR(ödev!V91*100/ödev!$I91,"")</f>
        <v/>
      </c>
      <c r="L495" s="39" t="str">
        <f>IFERROR(ödev!W91*100/ödev!$I91,"")</f>
        <v/>
      </c>
      <c r="M495" s="39" t="str">
        <f>IFERROR(ödev!X91*100/ödev!$I91,"")</f>
        <v/>
      </c>
      <c r="N495" s="39" t="str">
        <f>IFERROR(ödev!Y91*100/ödev!$I91,"")</f>
        <v/>
      </c>
      <c r="O495" s="39" t="str">
        <f>IFERROR(ödev!Z91*100/ödev!$I91,"")</f>
        <v/>
      </c>
      <c r="P495" s="39" t="str">
        <f>IFERROR(ödev!AA91*100/ödev!$I91,"")</f>
        <v/>
      </c>
      <c r="Q495" s="39" t="str">
        <f>IFERROR(ödev!AB91*100/ödev!$I91,"")</f>
        <v/>
      </c>
      <c r="R495" s="39" t="str">
        <f>IFERROR(ödev!AC91*100/ödev!$I91,"")</f>
        <v/>
      </c>
      <c r="S495" s="39" t="str">
        <f>IFERROR(ödev!AD91*100/ödev!$I91,"")</f>
        <v/>
      </c>
      <c r="T495" s="39" t="str">
        <f>IFERROR(ödev!AE91*100/ödev!$I91,"")</f>
        <v/>
      </c>
      <c r="U495" s="39" t="str">
        <f>IFERROR(ödev!AF91*100/ödev!$I91,"")</f>
        <v/>
      </c>
      <c r="V495" s="39" t="str">
        <f>IFERROR(ödev!AG91*100/ödev!$I91,"")</f>
        <v/>
      </c>
      <c r="W495" s="39" t="str">
        <f>IFERROR(ödev!AH91*100/ödev!$I91,"")</f>
        <v/>
      </c>
      <c r="X495" s="39" t="str">
        <f>IFERROR(ödev!AI91*100/ödev!$I91,"")</f>
        <v/>
      </c>
      <c r="Y495" s="39" t="str">
        <f>IFERROR(ödev!AJ91*100/ödev!$I91,"")</f>
        <v/>
      </c>
      <c r="Z495" s="39" t="str">
        <f>IFERROR(ödev!AK91*100/ödev!$I91,"")</f>
        <v/>
      </c>
      <c r="AA495" s="39" t="str">
        <f>IFERROR(ödev!AL91*100/ödev!$I91,"")</f>
        <v/>
      </c>
      <c r="AB495" s="39" t="str">
        <f>IFERROR(ödev!AM91*100/ödev!$I91,"")</f>
        <v/>
      </c>
      <c r="AC495" s="39" t="str">
        <f>IFERROR(ödev!AN91*100/ödev!$I91,"")</f>
        <v/>
      </c>
      <c r="AD495" s="39" t="str">
        <f>IFERROR(ödev!AO91*100/ödev!$I91,"")</f>
        <v/>
      </c>
      <c r="AE495" s="39" t="str">
        <f>IFERROR(ödev!AP91*100/ödev!$I91,"")</f>
        <v/>
      </c>
      <c r="AF495" s="39" t="str">
        <f>IFERROR(ödev!AQ91*100/ödev!$I91,"")</f>
        <v/>
      </c>
      <c r="AG495" s="39" t="str">
        <f>IFERROR(ödev!AR91*100/ödev!$I91,"")</f>
        <v/>
      </c>
      <c r="AH495" s="39" t="str">
        <f>IFERROR(ödev!AS91*100/ödev!$I91,"")</f>
        <v/>
      </c>
      <c r="AI495" s="39" t="str">
        <f>IFERROR(ödev!AT91*100/ödev!$I91,"")</f>
        <v/>
      </c>
      <c r="AJ495" s="39" t="str">
        <f>IFERROR(ödev!AU91*100/ödev!$I91,"")</f>
        <v/>
      </c>
      <c r="AK495" s="39" t="str">
        <f>IFERROR(ödev!AV91*100/ödev!$I91,"")</f>
        <v/>
      </c>
      <c r="AL495" s="39" t="str">
        <f>IFERROR(ödev!AW91*100/ödev!$I91,"")</f>
        <v/>
      </c>
      <c r="AM495" s="39" t="str">
        <f>IFERROR(ödev!AX91*100/ödev!$I91,"")</f>
        <v/>
      </c>
      <c r="AN495" s="39" t="str">
        <f>IFERROR(ödev!AY91*100/ödev!$I91,"")</f>
        <v/>
      </c>
      <c r="AO495" s="39" t="str">
        <f>IFERROR(ödev!AZ91*100/ödev!$I91,"")</f>
        <v/>
      </c>
      <c r="AP495" s="39" t="str">
        <f>IFERROR(ödev!BA91*100/ödev!$I91,"")</f>
        <v/>
      </c>
      <c r="AQ495" s="39" t="str">
        <f>IFERROR(ödev!BB91*100/ödev!$I91,"")</f>
        <v/>
      </c>
      <c r="AR495" s="39" t="str">
        <f>IFERROR(ödev!BC91*100/ödev!$I91,"")</f>
        <v/>
      </c>
      <c r="AS495" s="39" t="str">
        <f>IFERROR(ödev!BD91*100/ödev!$I91,"")</f>
        <v/>
      </c>
      <c r="AT495" s="39" t="str">
        <f>IFERROR(ödev!BE91*100/ödev!$I91,"")</f>
        <v/>
      </c>
      <c r="AU495" s="39" t="str">
        <f>IFERROR(ödev!BF91*100/ödev!$I91,"")</f>
        <v/>
      </c>
      <c r="AV495" s="39" t="str">
        <f>IFERROR(ödev!BG91*100/ödev!$I91,"")</f>
        <v/>
      </c>
      <c r="AW495" s="39" t="str">
        <f>IFERROR(ödev!BH91*100/ödev!$I91,"")</f>
        <v/>
      </c>
      <c r="AX495" s="39" t="str">
        <f>IFERROR(ödev!BI91*100/ödev!$I91,"")</f>
        <v/>
      </c>
      <c r="AY495" s="39" t="str">
        <f>IFERROR(ödev!BJ91*100/ödev!$I91,"")</f>
        <v/>
      </c>
      <c r="AZ495" s="39" t="str">
        <f>IFERROR(ödev!BK91*100/ödev!$I91,"")</f>
        <v/>
      </c>
      <c r="BA495" s="39" t="str">
        <f>IFERROR(ödev!BL91*100/ödev!$I91,"")</f>
        <v/>
      </c>
      <c r="BB495" s="39" t="str">
        <f>IFERROR(ödev!BM91*100/ödev!$I91,"")</f>
        <v/>
      </c>
      <c r="BC495" s="39" t="str">
        <f>IFERROR(ödev!BN91*100/ödev!$I91,"")</f>
        <v/>
      </c>
      <c r="BD495" s="39" t="str">
        <f>IFERROR(ödev!BO91*100/ödev!$I91,"")</f>
        <v/>
      </c>
      <c r="BE495" s="39" t="str">
        <f>IFERROR(ödev!BP91*100/ödev!$I91,"")</f>
        <v/>
      </c>
      <c r="BF495" s="39" t="str">
        <f>IFERROR(ödev!BQ91*100/ödev!$I91,"")</f>
        <v/>
      </c>
      <c r="BG495" s="39" t="str">
        <f>IFERROR(ödev!BR91*100/ödev!$I91,"")</f>
        <v/>
      </c>
      <c r="BH495" s="39" t="str">
        <f>IFERROR(ödev!BS91*100/ödev!$I91,"")</f>
        <v/>
      </c>
      <c r="BI495" s="39" t="str">
        <f>IFERROR(ödev!BT91*100/ödev!$I91,"")</f>
        <v/>
      </c>
      <c r="BJ495" s="39" t="str">
        <f>IFERROR(ödev!BU91*100/ödev!$I91,"")</f>
        <v/>
      </c>
      <c r="BK495" s="39" t="str">
        <f>IFERROR(ödev!BV91*100/ödev!$I91,"")</f>
        <v/>
      </c>
      <c r="BL495" s="39" t="str">
        <f>IFERROR(ödev!BW91*100/ödev!$I91,"")</f>
        <v/>
      </c>
      <c r="BM495" s="39" t="str">
        <f>IFERROR(ödev!BX91*100/ödev!$I91,"")</f>
        <v/>
      </c>
      <c r="BN495" s="39" t="str">
        <f>IFERROR(ödev!BY91*100/ödev!$I91,"")</f>
        <v/>
      </c>
      <c r="BO495" s="39" t="str">
        <f>IFERROR(ödev!BZ91*100/ödev!$I91,"")</f>
        <v/>
      </c>
      <c r="BP495" s="39" t="str">
        <f>IFERROR(ödev!CA91*100/ödev!$I91,"")</f>
        <v/>
      </c>
      <c r="BQ495" s="39" t="str">
        <f>IFERROR(ödev!CB91*100/ödev!$I91,"")</f>
        <v/>
      </c>
      <c r="BR495" s="39" t="str">
        <f>IFERROR(ödev!CC91*100/ödev!$I91,"")</f>
        <v/>
      </c>
      <c r="BS495" s="39" t="str">
        <f>IFERROR(ödev!CD91*100/ödev!$I91,"")</f>
        <v/>
      </c>
      <c r="BT495" s="39" t="str">
        <f>IFERROR(ödev!CE91*100/ödev!$I91,"")</f>
        <v/>
      </c>
      <c r="BU495" s="39" t="str">
        <f>IFERROR(ödev!CF91*100/ödev!$I91,"")</f>
        <v/>
      </c>
      <c r="BV495" s="39" t="str">
        <f>IFERROR(ödev!CG91*100/ödev!$I91,"")</f>
        <v/>
      </c>
      <c r="BW495" s="39" t="str">
        <f>IFERROR(ödev!CH91*100/ödev!$I91,"")</f>
        <v/>
      </c>
      <c r="BX495" s="39" t="str">
        <f>IFERROR(ödev!CI91*100/ödev!$I91,"")</f>
        <v/>
      </c>
      <c r="BY495" s="39" t="str">
        <f>IFERROR(ödev!CJ91*100/ödev!$I91,"")</f>
        <v/>
      </c>
      <c r="BZ495" s="39" t="str">
        <f>IFERROR(ödev!CK91*100/ödev!$I91,"")</f>
        <v/>
      </c>
      <c r="CA495" s="39" t="str">
        <f>IFERROR(ödev!CL91*100/ödev!$I91,"")</f>
        <v/>
      </c>
      <c r="CB495" s="39" t="str">
        <f>IFERROR(ödev!CM91*100/ödev!$I91,"")</f>
        <v/>
      </c>
      <c r="CC495" s="39" t="str">
        <f>IFERROR(ödev!CN91*100/ödev!$I91,"")</f>
        <v/>
      </c>
      <c r="CD495" s="39" t="str">
        <f>IFERROR(ödev!CO91*100/ödev!$I91,"")</f>
        <v/>
      </c>
      <c r="CE495" s="39" t="str">
        <f>IFERROR(ödev!CP91*100/ödev!$I91,"")</f>
        <v/>
      </c>
      <c r="CF495" s="39" t="str">
        <f>IFERROR(ödev!CQ91*100/ödev!$I91,"")</f>
        <v/>
      </c>
      <c r="CG495" s="39" t="str">
        <f>IFERROR(ödev!CR91*100/ödev!$I91,"")</f>
        <v/>
      </c>
      <c r="CH495" s="39" t="str">
        <f>IFERROR(ödev!CS91*100/ödev!$I91,"")</f>
        <v/>
      </c>
      <c r="CI495" s="39" t="str">
        <f>IFERROR(ödev!CT91*100/ödev!$I91,"")</f>
        <v/>
      </c>
      <c r="CJ495" s="39" t="str">
        <f>IFERROR(ödev!CU91*100/ödev!$I91,"")</f>
        <v/>
      </c>
      <c r="CK495" s="39" t="str">
        <f>IFERROR(ödev!CV91*100/ödev!$I91,"")</f>
        <v/>
      </c>
      <c r="CL495" s="39" t="str">
        <f>IFERROR(ödev!CW91*100/ödev!$I91,"")</f>
        <v/>
      </c>
      <c r="CM495" s="39" t="str">
        <f>IFERROR(ödev!CX91*100/ödev!$I91,"")</f>
        <v/>
      </c>
      <c r="CN495" s="39" t="str">
        <f>IFERROR(ödev!CY91*100/ödev!$I91,"")</f>
        <v/>
      </c>
      <c r="CO495" s="39" t="str">
        <f>IFERROR(ödev!CZ91*100/ödev!$I91,"")</f>
        <v/>
      </c>
      <c r="CP495" s="39" t="str">
        <f>IFERROR(ödev!DA91*100/ödev!$I91,"")</f>
        <v/>
      </c>
      <c r="CQ495" s="39" t="str">
        <f>IFERROR(ödev!DB91*100/ödev!$I91,"")</f>
        <v/>
      </c>
      <c r="CR495" s="39" t="str">
        <f>IFERROR(ödev!DC91*100/ödev!$I91,"")</f>
        <v/>
      </c>
      <c r="CS495" s="39" t="str">
        <f>IFERROR(ödev!DD91*100/ödev!$I91,"")</f>
        <v/>
      </c>
      <c r="CT495" s="39" t="str">
        <f>IFERROR(ödev!DE91*100/ödev!$I91,"")</f>
        <v/>
      </c>
      <c r="CU495" s="39" t="str">
        <f>IFERROR(ödev!DF91*100/ödev!$I91,"")</f>
        <v/>
      </c>
      <c r="CV495" s="39" t="str">
        <f>IFERROR(ödev!DG91*100/ödev!$I91,"")</f>
        <v/>
      </c>
      <c r="CW495" s="36" t="str">
        <f>IFERROR(SUM(A495:CV495)/ödev!$DH$103,"")</f>
        <v/>
      </c>
      <c r="CX495" s="14" t="str">
        <f>IF(COUNTA(ödev!A91),ödev!A91,"")</f>
        <v/>
      </c>
      <c r="CY495" s="14" t="str">
        <f>IF(COUNTA(ödev!B91),ödev!B91,"")</f>
        <v/>
      </c>
      <c r="CZ495" s="14" t="str">
        <f>IF(COUNTA(ödev!C91),ödev!C91,"")</f>
        <v/>
      </c>
      <c r="DA495" s="14" t="str">
        <f>IF(COUNTA(ödev!D91),ödev!D91,"")</f>
        <v/>
      </c>
      <c r="DB495" s="14" t="str">
        <f>IF(COUNTA(ödev!E91),ödev!E91,"")</f>
        <v/>
      </c>
      <c r="DC495" s="14" t="str">
        <f>IF(COUNTA(ödev!F91),ödev!F91,"")</f>
        <v/>
      </c>
      <c r="DD495" s="14" t="str">
        <f>IF(COUNTA(ödev!G91),ödev!G91,"")</f>
        <v/>
      </c>
      <c r="DE495" s="14" t="str">
        <f>IF(COUNTA(ödev!H91),ödev!H91,"")</f>
        <v/>
      </c>
    </row>
    <row r="496" spans="1:109" x14ac:dyDescent="0.2">
      <c r="A496" s="39" t="str">
        <f>IFERROR(ödev!L92*100/ödev!$I92,"")</f>
        <v/>
      </c>
      <c r="B496" s="39" t="str">
        <f>IFERROR(ödev!M92*100/ödev!$I92,"")</f>
        <v/>
      </c>
      <c r="C496" s="39" t="str">
        <f>IFERROR(ödev!N92*100/ödev!$I92,"")</f>
        <v/>
      </c>
      <c r="D496" s="39" t="str">
        <f>IFERROR(ödev!O92*100/ödev!$I92,"")</f>
        <v/>
      </c>
      <c r="E496" s="39" t="str">
        <f>IFERROR(ödev!P92*100/ödev!$I92,"")</f>
        <v/>
      </c>
      <c r="F496" s="39" t="str">
        <f>IFERROR(ödev!Q92*100/ödev!$I92,"")</f>
        <v/>
      </c>
      <c r="G496" s="39" t="str">
        <f>IFERROR(ödev!R92*100/ödev!$I92,"")</f>
        <v/>
      </c>
      <c r="H496" s="39" t="str">
        <f>IFERROR(ödev!S92*100/ödev!$I92,"")</f>
        <v/>
      </c>
      <c r="I496" s="39" t="str">
        <f>IFERROR(ödev!T92*100/ödev!$I92,"")</f>
        <v/>
      </c>
      <c r="J496" s="39" t="str">
        <f>IFERROR(ödev!U92*100/ödev!$I92,"")</f>
        <v/>
      </c>
      <c r="K496" s="39" t="str">
        <f>IFERROR(ödev!V92*100/ödev!$I92,"")</f>
        <v/>
      </c>
      <c r="L496" s="39" t="str">
        <f>IFERROR(ödev!W92*100/ödev!$I92,"")</f>
        <v/>
      </c>
      <c r="M496" s="39" t="str">
        <f>IFERROR(ödev!X92*100/ödev!$I92,"")</f>
        <v/>
      </c>
      <c r="N496" s="39" t="str">
        <f>IFERROR(ödev!Y92*100/ödev!$I92,"")</f>
        <v/>
      </c>
      <c r="O496" s="39" t="str">
        <f>IFERROR(ödev!Z92*100/ödev!$I92,"")</f>
        <v/>
      </c>
      <c r="P496" s="39" t="str">
        <f>IFERROR(ödev!AA92*100/ödev!$I92,"")</f>
        <v/>
      </c>
      <c r="Q496" s="39" t="str">
        <f>IFERROR(ödev!AB92*100/ödev!$I92,"")</f>
        <v/>
      </c>
      <c r="R496" s="39" t="str">
        <f>IFERROR(ödev!AC92*100/ödev!$I92,"")</f>
        <v/>
      </c>
      <c r="S496" s="39" t="str">
        <f>IFERROR(ödev!AD92*100/ödev!$I92,"")</f>
        <v/>
      </c>
      <c r="T496" s="39" t="str">
        <f>IFERROR(ödev!AE92*100/ödev!$I92,"")</f>
        <v/>
      </c>
      <c r="U496" s="39" t="str">
        <f>IFERROR(ödev!AF92*100/ödev!$I92,"")</f>
        <v/>
      </c>
      <c r="V496" s="39" t="str">
        <f>IFERROR(ödev!AG92*100/ödev!$I92,"")</f>
        <v/>
      </c>
      <c r="W496" s="39" t="str">
        <f>IFERROR(ödev!AH92*100/ödev!$I92,"")</f>
        <v/>
      </c>
      <c r="X496" s="39" t="str">
        <f>IFERROR(ödev!AI92*100/ödev!$I92,"")</f>
        <v/>
      </c>
      <c r="Y496" s="39" t="str">
        <f>IFERROR(ödev!AJ92*100/ödev!$I92,"")</f>
        <v/>
      </c>
      <c r="Z496" s="39" t="str">
        <f>IFERROR(ödev!AK92*100/ödev!$I92,"")</f>
        <v/>
      </c>
      <c r="AA496" s="39" t="str">
        <f>IFERROR(ödev!AL92*100/ödev!$I92,"")</f>
        <v/>
      </c>
      <c r="AB496" s="39" t="str">
        <f>IFERROR(ödev!AM92*100/ödev!$I92,"")</f>
        <v/>
      </c>
      <c r="AC496" s="39" t="str">
        <f>IFERROR(ödev!AN92*100/ödev!$I92,"")</f>
        <v/>
      </c>
      <c r="AD496" s="39" t="str">
        <f>IFERROR(ödev!AO92*100/ödev!$I92,"")</f>
        <v/>
      </c>
      <c r="AE496" s="39" t="str">
        <f>IFERROR(ödev!AP92*100/ödev!$I92,"")</f>
        <v/>
      </c>
      <c r="AF496" s="39" t="str">
        <f>IFERROR(ödev!AQ92*100/ödev!$I92,"")</f>
        <v/>
      </c>
      <c r="AG496" s="39" t="str">
        <f>IFERROR(ödev!AR92*100/ödev!$I92,"")</f>
        <v/>
      </c>
      <c r="AH496" s="39" t="str">
        <f>IFERROR(ödev!AS92*100/ödev!$I92,"")</f>
        <v/>
      </c>
      <c r="AI496" s="39" t="str">
        <f>IFERROR(ödev!AT92*100/ödev!$I92,"")</f>
        <v/>
      </c>
      <c r="AJ496" s="39" t="str">
        <f>IFERROR(ödev!AU92*100/ödev!$I92,"")</f>
        <v/>
      </c>
      <c r="AK496" s="39" t="str">
        <f>IFERROR(ödev!AV92*100/ödev!$I92,"")</f>
        <v/>
      </c>
      <c r="AL496" s="39" t="str">
        <f>IFERROR(ödev!AW92*100/ödev!$I92,"")</f>
        <v/>
      </c>
      <c r="AM496" s="39" t="str">
        <f>IFERROR(ödev!AX92*100/ödev!$I92,"")</f>
        <v/>
      </c>
      <c r="AN496" s="39" t="str">
        <f>IFERROR(ödev!AY92*100/ödev!$I92,"")</f>
        <v/>
      </c>
      <c r="AO496" s="39" t="str">
        <f>IFERROR(ödev!AZ92*100/ödev!$I92,"")</f>
        <v/>
      </c>
      <c r="AP496" s="39" t="str">
        <f>IFERROR(ödev!BA92*100/ödev!$I92,"")</f>
        <v/>
      </c>
      <c r="AQ496" s="39" t="str">
        <f>IFERROR(ödev!BB92*100/ödev!$I92,"")</f>
        <v/>
      </c>
      <c r="AR496" s="39" t="str">
        <f>IFERROR(ödev!BC92*100/ödev!$I92,"")</f>
        <v/>
      </c>
      <c r="AS496" s="39" t="str">
        <f>IFERROR(ödev!BD92*100/ödev!$I92,"")</f>
        <v/>
      </c>
      <c r="AT496" s="39" t="str">
        <f>IFERROR(ödev!BE92*100/ödev!$I92,"")</f>
        <v/>
      </c>
      <c r="AU496" s="39" t="str">
        <f>IFERROR(ödev!BF92*100/ödev!$I92,"")</f>
        <v/>
      </c>
      <c r="AV496" s="39" t="str">
        <f>IFERROR(ödev!BG92*100/ödev!$I92,"")</f>
        <v/>
      </c>
      <c r="AW496" s="39" t="str">
        <f>IFERROR(ödev!BH92*100/ödev!$I92,"")</f>
        <v/>
      </c>
      <c r="AX496" s="39" t="str">
        <f>IFERROR(ödev!BI92*100/ödev!$I92,"")</f>
        <v/>
      </c>
      <c r="AY496" s="39" t="str">
        <f>IFERROR(ödev!BJ92*100/ödev!$I92,"")</f>
        <v/>
      </c>
      <c r="AZ496" s="39" t="str">
        <f>IFERROR(ödev!BK92*100/ödev!$I92,"")</f>
        <v/>
      </c>
      <c r="BA496" s="39" t="str">
        <f>IFERROR(ödev!BL92*100/ödev!$I92,"")</f>
        <v/>
      </c>
      <c r="BB496" s="39" t="str">
        <f>IFERROR(ödev!BM92*100/ödev!$I92,"")</f>
        <v/>
      </c>
      <c r="BC496" s="39" t="str">
        <f>IFERROR(ödev!BN92*100/ödev!$I92,"")</f>
        <v/>
      </c>
      <c r="BD496" s="39" t="str">
        <f>IFERROR(ödev!BO92*100/ödev!$I92,"")</f>
        <v/>
      </c>
      <c r="BE496" s="39" t="str">
        <f>IFERROR(ödev!BP92*100/ödev!$I92,"")</f>
        <v/>
      </c>
      <c r="BF496" s="39" t="str">
        <f>IFERROR(ödev!BQ92*100/ödev!$I92,"")</f>
        <v/>
      </c>
      <c r="BG496" s="39" t="str">
        <f>IFERROR(ödev!BR92*100/ödev!$I92,"")</f>
        <v/>
      </c>
      <c r="BH496" s="39" t="str">
        <f>IFERROR(ödev!BS92*100/ödev!$I92,"")</f>
        <v/>
      </c>
      <c r="BI496" s="39" t="str">
        <f>IFERROR(ödev!BT92*100/ödev!$I92,"")</f>
        <v/>
      </c>
      <c r="BJ496" s="39" t="str">
        <f>IFERROR(ödev!BU92*100/ödev!$I92,"")</f>
        <v/>
      </c>
      <c r="BK496" s="39" t="str">
        <f>IFERROR(ödev!BV92*100/ödev!$I92,"")</f>
        <v/>
      </c>
      <c r="BL496" s="39" t="str">
        <f>IFERROR(ödev!BW92*100/ödev!$I92,"")</f>
        <v/>
      </c>
      <c r="BM496" s="39" t="str">
        <f>IFERROR(ödev!BX92*100/ödev!$I92,"")</f>
        <v/>
      </c>
      <c r="BN496" s="39" t="str">
        <f>IFERROR(ödev!BY92*100/ödev!$I92,"")</f>
        <v/>
      </c>
      <c r="BO496" s="39" t="str">
        <f>IFERROR(ödev!BZ92*100/ödev!$I92,"")</f>
        <v/>
      </c>
      <c r="BP496" s="39" t="str">
        <f>IFERROR(ödev!CA92*100/ödev!$I92,"")</f>
        <v/>
      </c>
      <c r="BQ496" s="39" t="str">
        <f>IFERROR(ödev!CB92*100/ödev!$I92,"")</f>
        <v/>
      </c>
      <c r="BR496" s="39" t="str">
        <f>IFERROR(ödev!CC92*100/ödev!$I92,"")</f>
        <v/>
      </c>
      <c r="BS496" s="39" t="str">
        <f>IFERROR(ödev!CD92*100/ödev!$I92,"")</f>
        <v/>
      </c>
      <c r="BT496" s="39" t="str">
        <f>IFERROR(ödev!CE92*100/ödev!$I92,"")</f>
        <v/>
      </c>
      <c r="BU496" s="39" t="str">
        <f>IFERROR(ödev!CF92*100/ödev!$I92,"")</f>
        <v/>
      </c>
      <c r="BV496" s="39" t="str">
        <f>IFERROR(ödev!CG92*100/ödev!$I92,"")</f>
        <v/>
      </c>
      <c r="BW496" s="39" t="str">
        <f>IFERROR(ödev!CH92*100/ödev!$I92,"")</f>
        <v/>
      </c>
      <c r="BX496" s="39" t="str">
        <f>IFERROR(ödev!CI92*100/ödev!$I92,"")</f>
        <v/>
      </c>
      <c r="BY496" s="39" t="str">
        <f>IFERROR(ödev!CJ92*100/ödev!$I92,"")</f>
        <v/>
      </c>
      <c r="BZ496" s="39" t="str">
        <f>IFERROR(ödev!CK92*100/ödev!$I92,"")</f>
        <v/>
      </c>
      <c r="CA496" s="39" t="str">
        <f>IFERROR(ödev!CL92*100/ödev!$I92,"")</f>
        <v/>
      </c>
      <c r="CB496" s="39" t="str">
        <f>IFERROR(ödev!CM92*100/ödev!$I92,"")</f>
        <v/>
      </c>
      <c r="CC496" s="39" t="str">
        <f>IFERROR(ödev!CN92*100/ödev!$I92,"")</f>
        <v/>
      </c>
      <c r="CD496" s="39" t="str">
        <f>IFERROR(ödev!CO92*100/ödev!$I92,"")</f>
        <v/>
      </c>
      <c r="CE496" s="39" t="str">
        <f>IFERROR(ödev!CP92*100/ödev!$I92,"")</f>
        <v/>
      </c>
      <c r="CF496" s="39" t="str">
        <f>IFERROR(ödev!CQ92*100/ödev!$I92,"")</f>
        <v/>
      </c>
      <c r="CG496" s="39" t="str">
        <f>IFERROR(ödev!CR92*100/ödev!$I92,"")</f>
        <v/>
      </c>
      <c r="CH496" s="39" t="str">
        <f>IFERROR(ödev!CS92*100/ödev!$I92,"")</f>
        <v/>
      </c>
      <c r="CI496" s="39" t="str">
        <f>IFERROR(ödev!CT92*100/ödev!$I92,"")</f>
        <v/>
      </c>
      <c r="CJ496" s="39" t="str">
        <f>IFERROR(ödev!CU92*100/ödev!$I92,"")</f>
        <v/>
      </c>
      <c r="CK496" s="39" t="str">
        <f>IFERROR(ödev!CV92*100/ödev!$I92,"")</f>
        <v/>
      </c>
      <c r="CL496" s="39" t="str">
        <f>IFERROR(ödev!CW92*100/ödev!$I92,"")</f>
        <v/>
      </c>
      <c r="CM496" s="39" t="str">
        <f>IFERROR(ödev!CX92*100/ödev!$I92,"")</f>
        <v/>
      </c>
      <c r="CN496" s="39" t="str">
        <f>IFERROR(ödev!CY92*100/ödev!$I92,"")</f>
        <v/>
      </c>
      <c r="CO496" s="39" t="str">
        <f>IFERROR(ödev!CZ92*100/ödev!$I92,"")</f>
        <v/>
      </c>
      <c r="CP496" s="39" t="str">
        <f>IFERROR(ödev!DA92*100/ödev!$I92,"")</f>
        <v/>
      </c>
      <c r="CQ496" s="39" t="str">
        <f>IFERROR(ödev!DB92*100/ödev!$I92,"")</f>
        <v/>
      </c>
      <c r="CR496" s="39" t="str">
        <f>IFERROR(ödev!DC92*100/ödev!$I92,"")</f>
        <v/>
      </c>
      <c r="CS496" s="39" t="str">
        <f>IFERROR(ödev!DD92*100/ödev!$I92,"")</f>
        <v/>
      </c>
      <c r="CT496" s="39" t="str">
        <f>IFERROR(ödev!DE92*100/ödev!$I92,"")</f>
        <v/>
      </c>
      <c r="CU496" s="39" t="str">
        <f>IFERROR(ödev!DF92*100/ödev!$I92,"")</f>
        <v/>
      </c>
      <c r="CV496" s="39" t="str">
        <f>IFERROR(ödev!DG92*100/ödev!$I92,"")</f>
        <v/>
      </c>
      <c r="CW496" s="36" t="str">
        <f>IFERROR(SUM(A496:CV496)/ödev!$DH$103,"")</f>
        <v/>
      </c>
      <c r="CX496" s="14" t="str">
        <f>IF(COUNTA(ödev!A92),ödev!A92,"")</f>
        <v/>
      </c>
      <c r="CY496" s="14" t="str">
        <f>IF(COUNTA(ödev!B92),ödev!B92,"")</f>
        <v/>
      </c>
      <c r="CZ496" s="14" t="str">
        <f>IF(COUNTA(ödev!C92),ödev!C92,"")</f>
        <v/>
      </c>
      <c r="DA496" s="14" t="str">
        <f>IF(COUNTA(ödev!D92),ödev!D92,"")</f>
        <v/>
      </c>
      <c r="DB496" s="14" t="str">
        <f>IF(COUNTA(ödev!E92),ödev!E92,"")</f>
        <v/>
      </c>
      <c r="DC496" s="14" t="str">
        <f>IF(COUNTA(ödev!F92),ödev!F92,"")</f>
        <v/>
      </c>
      <c r="DD496" s="14" t="str">
        <f>IF(COUNTA(ödev!G92),ödev!G92,"")</f>
        <v/>
      </c>
      <c r="DE496" s="14" t="str">
        <f>IF(COUNTA(ödev!H92),ödev!H92,"")</f>
        <v/>
      </c>
    </row>
    <row r="497" spans="1:118" x14ac:dyDescent="0.2">
      <c r="A497" s="39" t="str">
        <f>IFERROR(ödev!L93*100/ödev!$I93,"")</f>
        <v/>
      </c>
      <c r="B497" s="39" t="str">
        <f>IFERROR(ödev!M93*100/ödev!$I93,"")</f>
        <v/>
      </c>
      <c r="C497" s="39" t="str">
        <f>IFERROR(ödev!N93*100/ödev!$I93,"")</f>
        <v/>
      </c>
      <c r="D497" s="39" t="str">
        <f>IFERROR(ödev!O93*100/ödev!$I93,"")</f>
        <v/>
      </c>
      <c r="E497" s="39" t="str">
        <f>IFERROR(ödev!P93*100/ödev!$I93,"")</f>
        <v/>
      </c>
      <c r="F497" s="39" t="str">
        <f>IFERROR(ödev!Q93*100/ödev!$I93,"")</f>
        <v/>
      </c>
      <c r="G497" s="39" t="str">
        <f>IFERROR(ödev!R93*100/ödev!$I93,"")</f>
        <v/>
      </c>
      <c r="H497" s="39" t="str">
        <f>IFERROR(ödev!S93*100/ödev!$I93,"")</f>
        <v/>
      </c>
      <c r="I497" s="39" t="str">
        <f>IFERROR(ödev!T93*100/ödev!$I93,"")</f>
        <v/>
      </c>
      <c r="J497" s="39" t="str">
        <f>IFERROR(ödev!U93*100/ödev!$I93,"")</f>
        <v/>
      </c>
      <c r="K497" s="39" t="str">
        <f>IFERROR(ödev!V93*100/ödev!$I93,"")</f>
        <v/>
      </c>
      <c r="L497" s="39" t="str">
        <f>IFERROR(ödev!W93*100/ödev!$I93,"")</f>
        <v/>
      </c>
      <c r="M497" s="39" t="str">
        <f>IFERROR(ödev!X93*100/ödev!$I93,"")</f>
        <v/>
      </c>
      <c r="N497" s="39" t="str">
        <f>IFERROR(ödev!Y93*100/ödev!$I93,"")</f>
        <v/>
      </c>
      <c r="O497" s="39" t="str">
        <f>IFERROR(ödev!Z93*100/ödev!$I93,"")</f>
        <v/>
      </c>
      <c r="P497" s="39" t="str">
        <f>IFERROR(ödev!AA93*100/ödev!$I93,"")</f>
        <v/>
      </c>
      <c r="Q497" s="39" t="str">
        <f>IFERROR(ödev!AB93*100/ödev!$I93,"")</f>
        <v/>
      </c>
      <c r="R497" s="39" t="str">
        <f>IFERROR(ödev!AC93*100/ödev!$I93,"")</f>
        <v/>
      </c>
      <c r="S497" s="39" t="str">
        <f>IFERROR(ödev!AD93*100/ödev!$I93,"")</f>
        <v/>
      </c>
      <c r="T497" s="39" t="str">
        <f>IFERROR(ödev!AE93*100/ödev!$I93,"")</f>
        <v/>
      </c>
      <c r="U497" s="39" t="str">
        <f>IFERROR(ödev!AF93*100/ödev!$I93,"")</f>
        <v/>
      </c>
      <c r="V497" s="39" t="str">
        <f>IFERROR(ödev!AG93*100/ödev!$I93,"")</f>
        <v/>
      </c>
      <c r="W497" s="39" t="str">
        <f>IFERROR(ödev!AH93*100/ödev!$I93,"")</f>
        <v/>
      </c>
      <c r="X497" s="39" t="str">
        <f>IFERROR(ödev!AI93*100/ödev!$I93,"")</f>
        <v/>
      </c>
      <c r="Y497" s="39" t="str">
        <f>IFERROR(ödev!AJ93*100/ödev!$I93,"")</f>
        <v/>
      </c>
      <c r="Z497" s="39" t="str">
        <f>IFERROR(ödev!AK93*100/ödev!$I93,"")</f>
        <v/>
      </c>
      <c r="AA497" s="39" t="str">
        <f>IFERROR(ödev!AL93*100/ödev!$I93,"")</f>
        <v/>
      </c>
      <c r="AB497" s="39" t="str">
        <f>IFERROR(ödev!AM93*100/ödev!$I93,"")</f>
        <v/>
      </c>
      <c r="AC497" s="39" t="str">
        <f>IFERROR(ödev!AN93*100/ödev!$I93,"")</f>
        <v/>
      </c>
      <c r="AD497" s="39" t="str">
        <f>IFERROR(ödev!AO93*100/ödev!$I93,"")</f>
        <v/>
      </c>
      <c r="AE497" s="39" t="str">
        <f>IFERROR(ödev!AP93*100/ödev!$I93,"")</f>
        <v/>
      </c>
      <c r="AF497" s="39" t="str">
        <f>IFERROR(ödev!AQ93*100/ödev!$I93,"")</f>
        <v/>
      </c>
      <c r="AG497" s="39" t="str">
        <f>IFERROR(ödev!AR93*100/ödev!$I93,"")</f>
        <v/>
      </c>
      <c r="AH497" s="39" t="str">
        <f>IFERROR(ödev!AS93*100/ödev!$I93,"")</f>
        <v/>
      </c>
      <c r="AI497" s="39" t="str">
        <f>IFERROR(ödev!AT93*100/ödev!$I93,"")</f>
        <v/>
      </c>
      <c r="AJ497" s="39" t="str">
        <f>IFERROR(ödev!AU93*100/ödev!$I93,"")</f>
        <v/>
      </c>
      <c r="AK497" s="39" t="str">
        <f>IFERROR(ödev!AV93*100/ödev!$I93,"")</f>
        <v/>
      </c>
      <c r="AL497" s="39" t="str">
        <f>IFERROR(ödev!AW93*100/ödev!$I93,"")</f>
        <v/>
      </c>
      <c r="AM497" s="39" t="str">
        <f>IFERROR(ödev!AX93*100/ödev!$I93,"")</f>
        <v/>
      </c>
      <c r="AN497" s="39" t="str">
        <f>IFERROR(ödev!AY93*100/ödev!$I93,"")</f>
        <v/>
      </c>
      <c r="AO497" s="39" t="str">
        <f>IFERROR(ödev!AZ93*100/ödev!$I93,"")</f>
        <v/>
      </c>
      <c r="AP497" s="39" t="str">
        <f>IFERROR(ödev!BA93*100/ödev!$I93,"")</f>
        <v/>
      </c>
      <c r="AQ497" s="39" t="str">
        <f>IFERROR(ödev!BB93*100/ödev!$I93,"")</f>
        <v/>
      </c>
      <c r="AR497" s="39" t="str">
        <f>IFERROR(ödev!BC93*100/ödev!$I93,"")</f>
        <v/>
      </c>
      <c r="AS497" s="39" t="str">
        <f>IFERROR(ödev!BD93*100/ödev!$I93,"")</f>
        <v/>
      </c>
      <c r="AT497" s="39" t="str">
        <f>IFERROR(ödev!BE93*100/ödev!$I93,"")</f>
        <v/>
      </c>
      <c r="AU497" s="39" t="str">
        <f>IFERROR(ödev!BF93*100/ödev!$I93,"")</f>
        <v/>
      </c>
      <c r="AV497" s="39" t="str">
        <f>IFERROR(ödev!BG93*100/ödev!$I93,"")</f>
        <v/>
      </c>
      <c r="AW497" s="39" t="str">
        <f>IFERROR(ödev!BH93*100/ödev!$I93,"")</f>
        <v/>
      </c>
      <c r="AX497" s="39" t="str">
        <f>IFERROR(ödev!BI93*100/ödev!$I93,"")</f>
        <v/>
      </c>
      <c r="AY497" s="39" t="str">
        <f>IFERROR(ödev!BJ93*100/ödev!$I93,"")</f>
        <v/>
      </c>
      <c r="AZ497" s="39" t="str">
        <f>IFERROR(ödev!BK93*100/ödev!$I93,"")</f>
        <v/>
      </c>
      <c r="BA497" s="39" t="str">
        <f>IFERROR(ödev!BL93*100/ödev!$I93,"")</f>
        <v/>
      </c>
      <c r="BB497" s="39" t="str">
        <f>IFERROR(ödev!BM93*100/ödev!$I93,"")</f>
        <v/>
      </c>
      <c r="BC497" s="39" t="str">
        <f>IFERROR(ödev!BN93*100/ödev!$I93,"")</f>
        <v/>
      </c>
      <c r="BD497" s="39" t="str">
        <f>IFERROR(ödev!BO93*100/ödev!$I93,"")</f>
        <v/>
      </c>
      <c r="BE497" s="39" t="str">
        <f>IFERROR(ödev!BP93*100/ödev!$I93,"")</f>
        <v/>
      </c>
      <c r="BF497" s="39" t="str">
        <f>IFERROR(ödev!BQ93*100/ödev!$I93,"")</f>
        <v/>
      </c>
      <c r="BG497" s="39" t="str">
        <f>IFERROR(ödev!BR93*100/ödev!$I93,"")</f>
        <v/>
      </c>
      <c r="BH497" s="39" t="str">
        <f>IFERROR(ödev!BS93*100/ödev!$I93,"")</f>
        <v/>
      </c>
      <c r="BI497" s="39" t="str">
        <f>IFERROR(ödev!BT93*100/ödev!$I93,"")</f>
        <v/>
      </c>
      <c r="BJ497" s="39" t="str">
        <f>IFERROR(ödev!BU93*100/ödev!$I93,"")</f>
        <v/>
      </c>
      <c r="BK497" s="39" t="str">
        <f>IFERROR(ödev!BV93*100/ödev!$I93,"")</f>
        <v/>
      </c>
      <c r="BL497" s="39" t="str">
        <f>IFERROR(ödev!BW93*100/ödev!$I93,"")</f>
        <v/>
      </c>
      <c r="BM497" s="39" t="str">
        <f>IFERROR(ödev!BX93*100/ödev!$I93,"")</f>
        <v/>
      </c>
      <c r="BN497" s="39" t="str">
        <f>IFERROR(ödev!BY93*100/ödev!$I93,"")</f>
        <v/>
      </c>
      <c r="BO497" s="39" t="str">
        <f>IFERROR(ödev!BZ93*100/ödev!$I93,"")</f>
        <v/>
      </c>
      <c r="BP497" s="39" t="str">
        <f>IFERROR(ödev!CA93*100/ödev!$I93,"")</f>
        <v/>
      </c>
      <c r="BQ497" s="39" t="str">
        <f>IFERROR(ödev!CB93*100/ödev!$I93,"")</f>
        <v/>
      </c>
      <c r="BR497" s="39" t="str">
        <f>IFERROR(ödev!CC93*100/ödev!$I93,"")</f>
        <v/>
      </c>
      <c r="BS497" s="39" t="str">
        <f>IFERROR(ödev!CD93*100/ödev!$I93,"")</f>
        <v/>
      </c>
      <c r="BT497" s="39" t="str">
        <f>IFERROR(ödev!CE93*100/ödev!$I93,"")</f>
        <v/>
      </c>
      <c r="BU497" s="39" t="str">
        <f>IFERROR(ödev!CF93*100/ödev!$I93,"")</f>
        <v/>
      </c>
      <c r="BV497" s="39" t="str">
        <f>IFERROR(ödev!CG93*100/ödev!$I93,"")</f>
        <v/>
      </c>
      <c r="BW497" s="39" t="str">
        <f>IFERROR(ödev!CH93*100/ödev!$I93,"")</f>
        <v/>
      </c>
      <c r="BX497" s="39" t="str">
        <f>IFERROR(ödev!CI93*100/ödev!$I93,"")</f>
        <v/>
      </c>
      <c r="BY497" s="39" t="str">
        <f>IFERROR(ödev!CJ93*100/ödev!$I93,"")</f>
        <v/>
      </c>
      <c r="BZ497" s="39" t="str">
        <f>IFERROR(ödev!CK93*100/ödev!$I93,"")</f>
        <v/>
      </c>
      <c r="CA497" s="39" t="str">
        <f>IFERROR(ödev!CL93*100/ödev!$I93,"")</f>
        <v/>
      </c>
      <c r="CB497" s="39" t="str">
        <f>IFERROR(ödev!CM93*100/ödev!$I93,"")</f>
        <v/>
      </c>
      <c r="CC497" s="39" t="str">
        <f>IFERROR(ödev!CN93*100/ödev!$I93,"")</f>
        <v/>
      </c>
      <c r="CD497" s="39" t="str">
        <f>IFERROR(ödev!CO93*100/ödev!$I93,"")</f>
        <v/>
      </c>
      <c r="CE497" s="39" t="str">
        <f>IFERROR(ödev!CP93*100/ödev!$I93,"")</f>
        <v/>
      </c>
      <c r="CF497" s="39" t="str">
        <f>IFERROR(ödev!CQ93*100/ödev!$I93,"")</f>
        <v/>
      </c>
      <c r="CG497" s="39" t="str">
        <f>IFERROR(ödev!CR93*100/ödev!$I93,"")</f>
        <v/>
      </c>
      <c r="CH497" s="39" t="str">
        <f>IFERROR(ödev!CS93*100/ödev!$I93,"")</f>
        <v/>
      </c>
      <c r="CI497" s="39" t="str">
        <f>IFERROR(ödev!CT93*100/ödev!$I93,"")</f>
        <v/>
      </c>
      <c r="CJ497" s="39" t="str">
        <f>IFERROR(ödev!CU93*100/ödev!$I93,"")</f>
        <v/>
      </c>
      <c r="CK497" s="39" t="str">
        <f>IFERROR(ödev!CV93*100/ödev!$I93,"")</f>
        <v/>
      </c>
      <c r="CL497" s="39" t="str">
        <f>IFERROR(ödev!CW93*100/ödev!$I93,"")</f>
        <v/>
      </c>
      <c r="CM497" s="39" t="str">
        <f>IFERROR(ödev!CX93*100/ödev!$I93,"")</f>
        <v/>
      </c>
      <c r="CN497" s="39" t="str">
        <f>IFERROR(ödev!CY93*100/ödev!$I93,"")</f>
        <v/>
      </c>
      <c r="CO497" s="39" t="str">
        <f>IFERROR(ödev!CZ93*100/ödev!$I93,"")</f>
        <v/>
      </c>
      <c r="CP497" s="39" t="str">
        <f>IFERROR(ödev!DA93*100/ödev!$I93,"")</f>
        <v/>
      </c>
      <c r="CQ497" s="39" t="str">
        <f>IFERROR(ödev!DB93*100/ödev!$I93,"")</f>
        <v/>
      </c>
      <c r="CR497" s="39" t="str">
        <f>IFERROR(ödev!DC93*100/ödev!$I93,"")</f>
        <v/>
      </c>
      <c r="CS497" s="39" t="str">
        <f>IFERROR(ödev!DD93*100/ödev!$I93,"")</f>
        <v/>
      </c>
      <c r="CT497" s="39" t="str">
        <f>IFERROR(ödev!DE93*100/ödev!$I93,"")</f>
        <v/>
      </c>
      <c r="CU497" s="39" t="str">
        <f>IFERROR(ödev!DF93*100/ödev!$I93,"")</f>
        <v/>
      </c>
      <c r="CV497" s="39" t="str">
        <f>IFERROR(ödev!DG93*100/ödev!$I93,"")</f>
        <v/>
      </c>
      <c r="CW497" s="36" t="str">
        <f>IFERROR(SUM(A497:CV497)/ödev!$DH$103,"")</f>
        <v/>
      </c>
      <c r="CX497" s="14" t="str">
        <f>IF(COUNTA(ödev!A93),ödev!A93,"")</f>
        <v/>
      </c>
      <c r="CY497" s="14" t="str">
        <f>IF(COUNTA(ödev!B93),ödev!B93,"")</f>
        <v/>
      </c>
      <c r="CZ497" s="14" t="str">
        <f>IF(COUNTA(ödev!C93),ödev!C93,"")</f>
        <v/>
      </c>
      <c r="DA497" s="14" t="str">
        <f>IF(COUNTA(ödev!D93),ödev!D93,"")</f>
        <v/>
      </c>
      <c r="DB497" s="14" t="str">
        <f>IF(COUNTA(ödev!E93),ödev!E93,"")</f>
        <v/>
      </c>
      <c r="DC497" s="14" t="str">
        <f>IF(COUNTA(ödev!F93),ödev!F93,"")</f>
        <v/>
      </c>
      <c r="DD497" s="14" t="str">
        <f>IF(COUNTA(ödev!G93),ödev!G93,"")</f>
        <v/>
      </c>
      <c r="DE497" s="14" t="str">
        <f>IF(COUNTA(ödev!H93),ödev!H93,"")</f>
        <v/>
      </c>
    </row>
    <row r="498" spans="1:118" x14ac:dyDescent="0.2">
      <c r="A498" s="39" t="str">
        <f>IFERROR(ödev!L94*100/ödev!$I94,"")</f>
        <v/>
      </c>
      <c r="B498" s="39" t="str">
        <f>IFERROR(ödev!M94*100/ödev!$I94,"")</f>
        <v/>
      </c>
      <c r="C498" s="39" t="str">
        <f>IFERROR(ödev!N94*100/ödev!$I94,"")</f>
        <v/>
      </c>
      <c r="D498" s="39" t="str">
        <f>IFERROR(ödev!O94*100/ödev!$I94,"")</f>
        <v/>
      </c>
      <c r="E498" s="39" t="str">
        <f>IFERROR(ödev!P94*100/ödev!$I94,"")</f>
        <v/>
      </c>
      <c r="F498" s="39" t="str">
        <f>IFERROR(ödev!Q94*100/ödev!$I94,"")</f>
        <v/>
      </c>
      <c r="G498" s="39" t="str">
        <f>IFERROR(ödev!R94*100/ödev!$I94,"")</f>
        <v/>
      </c>
      <c r="H498" s="39" t="str">
        <f>IFERROR(ödev!S94*100/ödev!$I94,"")</f>
        <v/>
      </c>
      <c r="I498" s="39" t="str">
        <f>IFERROR(ödev!T94*100/ödev!$I94,"")</f>
        <v/>
      </c>
      <c r="J498" s="39" t="str">
        <f>IFERROR(ödev!U94*100/ödev!$I94,"")</f>
        <v/>
      </c>
      <c r="K498" s="39" t="str">
        <f>IFERROR(ödev!V94*100/ödev!$I94,"")</f>
        <v/>
      </c>
      <c r="L498" s="39" t="str">
        <f>IFERROR(ödev!W94*100/ödev!$I94,"")</f>
        <v/>
      </c>
      <c r="M498" s="39" t="str">
        <f>IFERROR(ödev!X94*100/ödev!$I94,"")</f>
        <v/>
      </c>
      <c r="N498" s="39" t="str">
        <f>IFERROR(ödev!Y94*100/ödev!$I94,"")</f>
        <v/>
      </c>
      <c r="O498" s="39" t="str">
        <f>IFERROR(ödev!Z94*100/ödev!$I94,"")</f>
        <v/>
      </c>
      <c r="P498" s="39" t="str">
        <f>IFERROR(ödev!AA94*100/ödev!$I94,"")</f>
        <v/>
      </c>
      <c r="Q498" s="39" t="str">
        <f>IFERROR(ödev!AB94*100/ödev!$I94,"")</f>
        <v/>
      </c>
      <c r="R498" s="39" t="str">
        <f>IFERROR(ödev!AC94*100/ödev!$I94,"")</f>
        <v/>
      </c>
      <c r="S498" s="39" t="str">
        <f>IFERROR(ödev!AD94*100/ödev!$I94,"")</f>
        <v/>
      </c>
      <c r="T498" s="39" t="str">
        <f>IFERROR(ödev!AE94*100/ödev!$I94,"")</f>
        <v/>
      </c>
      <c r="U498" s="39" t="str">
        <f>IFERROR(ödev!AF94*100/ödev!$I94,"")</f>
        <v/>
      </c>
      <c r="V498" s="39" t="str">
        <f>IFERROR(ödev!AG94*100/ödev!$I94,"")</f>
        <v/>
      </c>
      <c r="W498" s="39" t="str">
        <f>IFERROR(ödev!AH94*100/ödev!$I94,"")</f>
        <v/>
      </c>
      <c r="X498" s="39" t="str">
        <f>IFERROR(ödev!AI94*100/ödev!$I94,"")</f>
        <v/>
      </c>
      <c r="Y498" s="39" t="str">
        <f>IFERROR(ödev!AJ94*100/ödev!$I94,"")</f>
        <v/>
      </c>
      <c r="Z498" s="39" t="str">
        <f>IFERROR(ödev!AK94*100/ödev!$I94,"")</f>
        <v/>
      </c>
      <c r="AA498" s="39" t="str">
        <f>IFERROR(ödev!AL94*100/ödev!$I94,"")</f>
        <v/>
      </c>
      <c r="AB498" s="39" t="str">
        <f>IFERROR(ödev!AM94*100/ödev!$I94,"")</f>
        <v/>
      </c>
      <c r="AC498" s="39" t="str">
        <f>IFERROR(ödev!AN94*100/ödev!$I94,"")</f>
        <v/>
      </c>
      <c r="AD498" s="39" t="str">
        <f>IFERROR(ödev!AO94*100/ödev!$I94,"")</f>
        <v/>
      </c>
      <c r="AE498" s="39" t="str">
        <f>IFERROR(ödev!AP94*100/ödev!$I94,"")</f>
        <v/>
      </c>
      <c r="AF498" s="39" t="str">
        <f>IFERROR(ödev!AQ94*100/ödev!$I94,"")</f>
        <v/>
      </c>
      <c r="AG498" s="39" t="str">
        <f>IFERROR(ödev!AR94*100/ödev!$I94,"")</f>
        <v/>
      </c>
      <c r="AH498" s="39" t="str">
        <f>IFERROR(ödev!AS94*100/ödev!$I94,"")</f>
        <v/>
      </c>
      <c r="AI498" s="39" t="str">
        <f>IFERROR(ödev!AT94*100/ödev!$I94,"")</f>
        <v/>
      </c>
      <c r="AJ498" s="39" t="str">
        <f>IFERROR(ödev!AU94*100/ödev!$I94,"")</f>
        <v/>
      </c>
      <c r="AK498" s="39" t="str">
        <f>IFERROR(ödev!AV94*100/ödev!$I94,"")</f>
        <v/>
      </c>
      <c r="AL498" s="39" t="str">
        <f>IFERROR(ödev!AW94*100/ödev!$I94,"")</f>
        <v/>
      </c>
      <c r="AM498" s="39" t="str">
        <f>IFERROR(ödev!AX94*100/ödev!$I94,"")</f>
        <v/>
      </c>
      <c r="AN498" s="39" t="str">
        <f>IFERROR(ödev!AY94*100/ödev!$I94,"")</f>
        <v/>
      </c>
      <c r="AO498" s="39" t="str">
        <f>IFERROR(ödev!AZ94*100/ödev!$I94,"")</f>
        <v/>
      </c>
      <c r="AP498" s="39" t="str">
        <f>IFERROR(ödev!BA94*100/ödev!$I94,"")</f>
        <v/>
      </c>
      <c r="AQ498" s="39" t="str">
        <f>IFERROR(ödev!BB94*100/ödev!$I94,"")</f>
        <v/>
      </c>
      <c r="AR498" s="39" t="str">
        <f>IFERROR(ödev!BC94*100/ödev!$I94,"")</f>
        <v/>
      </c>
      <c r="AS498" s="39" t="str">
        <f>IFERROR(ödev!BD94*100/ödev!$I94,"")</f>
        <v/>
      </c>
      <c r="AT498" s="39" t="str">
        <f>IFERROR(ödev!BE94*100/ödev!$I94,"")</f>
        <v/>
      </c>
      <c r="AU498" s="39" t="str">
        <f>IFERROR(ödev!BF94*100/ödev!$I94,"")</f>
        <v/>
      </c>
      <c r="AV498" s="39" t="str">
        <f>IFERROR(ödev!BG94*100/ödev!$I94,"")</f>
        <v/>
      </c>
      <c r="AW498" s="39" t="str">
        <f>IFERROR(ödev!BH94*100/ödev!$I94,"")</f>
        <v/>
      </c>
      <c r="AX498" s="39" t="str">
        <f>IFERROR(ödev!BI94*100/ödev!$I94,"")</f>
        <v/>
      </c>
      <c r="AY498" s="39" t="str">
        <f>IFERROR(ödev!BJ94*100/ödev!$I94,"")</f>
        <v/>
      </c>
      <c r="AZ498" s="39" t="str">
        <f>IFERROR(ödev!BK94*100/ödev!$I94,"")</f>
        <v/>
      </c>
      <c r="BA498" s="39" t="str">
        <f>IFERROR(ödev!BL94*100/ödev!$I94,"")</f>
        <v/>
      </c>
      <c r="BB498" s="39" t="str">
        <f>IFERROR(ödev!BM94*100/ödev!$I94,"")</f>
        <v/>
      </c>
      <c r="BC498" s="39" t="str">
        <f>IFERROR(ödev!BN94*100/ödev!$I94,"")</f>
        <v/>
      </c>
      <c r="BD498" s="39" t="str">
        <f>IFERROR(ödev!BO94*100/ödev!$I94,"")</f>
        <v/>
      </c>
      <c r="BE498" s="39" t="str">
        <f>IFERROR(ödev!BP94*100/ödev!$I94,"")</f>
        <v/>
      </c>
      <c r="BF498" s="39" t="str">
        <f>IFERROR(ödev!BQ94*100/ödev!$I94,"")</f>
        <v/>
      </c>
      <c r="BG498" s="39" t="str">
        <f>IFERROR(ödev!BR94*100/ödev!$I94,"")</f>
        <v/>
      </c>
      <c r="BH498" s="39" t="str">
        <f>IFERROR(ödev!BS94*100/ödev!$I94,"")</f>
        <v/>
      </c>
      <c r="BI498" s="39" t="str">
        <f>IFERROR(ödev!BT94*100/ödev!$I94,"")</f>
        <v/>
      </c>
      <c r="BJ498" s="39" t="str">
        <f>IFERROR(ödev!BU94*100/ödev!$I94,"")</f>
        <v/>
      </c>
      <c r="BK498" s="39" t="str">
        <f>IFERROR(ödev!BV94*100/ödev!$I94,"")</f>
        <v/>
      </c>
      <c r="BL498" s="39" t="str">
        <f>IFERROR(ödev!BW94*100/ödev!$I94,"")</f>
        <v/>
      </c>
      <c r="BM498" s="39" t="str">
        <f>IFERROR(ödev!BX94*100/ödev!$I94,"")</f>
        <v/>
      </c>
      <c r="BN498" s="39" t="str">
        <f>IFERROR(ödev!BY94*100/ödev!$I94,"")</f>
        <v/>
      </c>
      <c r="BO498" s="39" t="str">
        <f>IFERROR(ödev!BZ94*100/ödev!$I94,"")</f>
        <v/>
      </c>
      <c r="BP498" s="39" t="str">
        <f>IFERROR(ödev!CA94*100/ödev!$I94,"")</f>
        <v/>
      </c>
      <c r="BQ498" s="39" t="str">
        <f>IFERROR(ödev!CB94*100/ödev!$I94,"")</f>
        <v/>
      </c>
      <c r="BR498" s="39" t="str">
        <f>IFERROR(ödev!CC94*100/ödev!$I94,"")</f>
        <v/>
      </c>
      <c r="BS498" s="39" t="str">
        <f>IFERROR(ödev!CD94*100/ödev!$I94,"")</f>
        <v/>
      </c>
      <c r="BT498" s="39" t="str">
        <f>IFERROR(ödev!CE94*100/ödev!$I94,"")</f>
        <v/>
      </c>
      <c r="BU498" s="39" t="str">
        <f>IFERROR(ödev!CF94*100/ödev!$I94,"")</f>
        <v/>
      </c>
      <c r="BV498" s="39" t="str">
        <f>IFERROR(ödev!CG94*100/ödev!$I94,"")</f>
        <v/>
      </c>
      <c r="BW498" s="39" t="str">
        <f>IFERROR(ödev!CH94*100/ödev!$I94,"")</f>
        <v/>
      </c>
      <c r="BX498" s="39" t="str">
        <f>IFERROR(ödev!CI94*100/ödev!$I94,"")</f>
        <v/>
      </c>
      <c r="BY498" s="39" t="str">
        <f>IFERROR(ödev!CJ94*100/ödev!$I94,"")</f>
        <v/>
      </c>
      <c r="BZ498" s="39" t="str">
        <f>IFERROR(ödev!CK94*100/ödev!$I94,"")</f>
        <v/>
      </c>
      <c r="CA498" s="39" t="str">
        <f>IFERROR(ödev!CL94*100/ödev!$I94,"")</f>
        <v/>
      </c>
      <c r="CB498" s="39" t="str">
        <f>IFERROR(ödev!CM94*100/ödev!$I94,"")</f>
        <v/>
      </c>
      <c r="CC498" s="39" t="str">
        <f>IFERROR(ödev!CN94*100/ödev!$I94,"")</f>
        <v/>
      </c>
      <c r="CD498" s="39" t="str">
        <f>IFERROR(ödev!CO94*100/ödev!$I94,"")</f>
        <v/>
      </c>
      <c r="CE498" s="39" t="str">
        <f>IFERROR(ödev!CP94*100/ödev!$I94,"")</f>
        <v/>
      </c>
      <c r="CF498" s="39" t="str">
        <f>IFERROR(ödev!CQ94*100/ödev!$I94,"")</f>
        <v/>
      </c>
      <c r="CG498" s="39" t="str">
        <f>IFERROR(ödev!CR94*100/ödev!$I94,"")</f>
        <v/>
      </c>
      <c r="CH498" s="39" t="str">
        <f>IFERROR(ödev!CS94*100/ödev!$I94,"")</f>
        <v/>
      </c>
      <c r="CI498" s="39" t="str">
        <f>IFERROR(ödev!CT94*100/ödev!$I94,"")</f>
        <v/>
      </c>
      <c r="CJ498" s="39" t="str">
        <f>IFERROR(ödev!CU94*100/ödev!$I94,"")</f>
        <v/>
      </c>
      <c r="CK498" s="39" t="str">
        <f>IFERROR(ödev!CV94*100/ödev!$I94,"")</f>
        <v/>
      </c>
      <c r="CL498" s="39" t="str">
        <f>IFERROR(ödev!CW94*100/ödev!$I94,"")</f>
        <v/>
      </c>
      <c r="CM498" s="39" t="str">
        <f>IFERROR(ödev!CX94*100/ödev!$I94,"")</f>
        <v/>
      </c>
      <c r="CN498" s="39" t="str">
        <f>IFERROR(ödev!CY94*100/ödev!$I94,"")</f>
        <v/>
      </c>
      <c r="CO498" s="39" t="str">
        <f>IFERROR(ödev!CZ94*100/ödev!$I94,"")</f>
        <v/>
      </c>
      <c r="CP498" s="39" t="str">
        <f>IFERROR(ödev!DA94*100/ödev!$I94,"")</f>
        <v/>
      </c>
      <c r="CQ498" s="39" t="str">
        <f>IFERROR(ödev!DB94*100/ödev!$I94,"")</f>
        <v/>
      </c>
      <c r="CR498" s="39" t="str">
        <f>IFERROR(ödev!DC94*100/ödev!$I94,"")</f>
        <v/>
      </c>
      <c r="CS498" s="39" t="str">
        <f>IFERROR(ödev!DD94*100/ödev!$I94,"")</f>
        <v/>
      </c>
      <c r="CT498" s="39" t="str">
        <f>IFERROR(ödev!DE94*100/ödev!$I94,"")</f>
        <v/>
      </c>
      <c r="CU498" s="39" t="str">
        <f>IFERROR(ödev!DF94*100/ödev!$I94,"")</f>
        <v/>
      </c>
      <c r="CV498" s="39" t="str">
        <f>IFERROR(ödev!DG94*100/ödev!$I94,"")</f>
        <v/>
      </c>
      <c r="CW498" s="36" t="str">
        <f>IFERROR(SUM(A498:CV498)/ödev!$DH$103,"")</f>
        <v/>
      </c>
      <c r="CX498" s="14" t="str">
        <f>IF(COUNTA(ödev!A94),ödev!A94,"")</f>
        <v/>
      </c>
      <c r="CY498" s="14" t="str">
        <f>IF(COUNTA(ödev!B94),ödev!B94,"")</f>
        <v/>
      </c>
      <c r="CZ498" s="14" t="str">
        <f>IF(COUNTA(ödev!C94),ödev!C94,"")</f>
        <v/>
      </c>
      <c r="DA498" s="14" t="str">
        <f>IF(COUNTA(ödev!D94),ödev!D94,"")</f>
        <v/>
      </c>
      <c r="DB498" s="14" t="str">
        <f>IF(COUNTA(ödev!E94),ödev!E94,"")</f>
        <v/>
      </c>
      <c r="DC498" s="14" t="str">
        <f>IF(COUNTA(ödev!F94),ödev!F94,"")</f>
        <v/>
      </c>
      <c r="DD498" s="14" t="str">
        <f>IF(COUNTA(ödev!G94),ödev!G94,"")</f>
        <v/>
      </c>
      <c r="DE498" s="14" t="str">
        <f>IF(COUNTA(ödev!H94),ödev!H94,"")</f>
        <v/>
      </c>
    </row>
    <row r="499" spans="1:118" x14ac:dyDescent="0.2">
      <c r="A499" s="39" t="str">
        <f>IFERROR(ödev!L95*100/ödev!$I95,"")</f>
        <v/>
      </c>
      <c r="B499" s="39" t="str">
        <f>IFERROR(ödev!M95*100/ödev!$I95,"")</f>
        <v/>
      </c>
      <c r="C499" s="39" t="str">
        <f>IFERROR(ödev!N95*100/ödev!$I95,"")</f>
        <v/>
      </c>
      <c r="D499" s="39" t="str">
        <f>IFERROR(ödev!O95*100/ödev!$I95,"")</f>
        <v/>
      </c>
      <c r="E499" s="39" t="str">
        <f>IFERROR(ödev!P95*100/ödev!$I95,"")</f>
        <v/>
      </c>
      <c r="F499" s="39" t="str">
        <f>IFERROR(ödev!Q95*100/ödev!$I95,"")</f>
        <v/>
      </c>
      <c r="G499" s="39" t="str">
        <f>IFERROR(ödev!R95*100/ödev!$I95,"")</f>
        <v/>
      </c>
      <c r="H499" s="39" t="str">
        <f>IFERROR(ödev!S95*100/ödev!$I95,"")</f>
        <v/>
      </c>
      <c r="I499" s="39" t="str">
        <f>IFERROR(ödev!T95*100/ödev!$I95,"")</f>
        <v/>
      </c>
      <c r="J499" s="39" t="str">
        <f>IFERROR(ödev!U95*100/ödev!$I95,"")</f>
        <v/>
      </c>
      <c r="K499" s="39" t="str">
        <f>IFERROR(ödev!V95*100/ödev!$I95,"")</f>
        <v/>
      </c>
      <c r="L499" s="39" t="str">
        <f>IFERROR(ödev!W95*100/ödev!$I95,"")</f>
        <v/>
      </c>
      <c r="M499" s="39" t="str">
        <f>IFERROR(ödev!X95*100/ödev!$I95,"")</f>
        <v/>
      </c>
      <c r="N499" s="39" t="str">
        <f>IFERROR(ödev!Y95*100/ödev!$I95,"")</f>
        <v/>
      </c>
      <c r="O499" s="39" t="str">
        <f>IFERROR(ödev!Z95*100/ödev!$I95,"")</f>
        <v/>
      </c>
      <c r="P499" s="39" t="str">
        <f>IFERROR(ödev!AA95*100/ödev!$I95,"")</f>
        <v/>
      </c>
      <c r="Q499" s="39" t="str">
        <f>IFERROR(ödev!AB95*100/ödev!$I95,"")</f>
        <v/>
      </c>
      <c r="R499" s="39" t="str">
        <f>IFERROR(ödev!AC95*100/ödev!$I95,"")</f>
        <v/>
      </c>
      <c r="S499" s="39" t="str">
        <f>IFERROR(ödev!AD95*100/ödev!$I95,"")</f>
        <v/>
      </c>
      <c r="T499" s="39" t="str">
        <f>IFERROR(ödev!AE95*100/ödev!$I95,"")</f>
        <v/>
      </c>
      <c r="U499" s="39" t="str">
        <f>IFERROR(ödev!AF95*100/ödev!$I95,"")</f>
        <v/>
      </c>
      <c r="V499" s="39" t="str">
        <f>IFERROR(ödev!AG95*100/ödev!$I95,"")</f>
        <v/>
      </c>
      <c r="W499" s="39" t="str">
        <f>IFERROR(ödev!AH95*100/ödev!$I95,"")</f>
        <v/>
      </c>
      <c r="X499" s="39" t="str">
        <f>IFERROR(ödev!AI95*100/ödev!$I95,"")</f>
        <v/>
      </c>
      <c r="Y499" s="39" t="str">
        <f>IFERROR(ödev!AJ95*100/ödev!$I95,"")</f>
        <v/>
      </c>
      <c r="Z499" s="39" t="str">
        <f>IFERROR(ödev!AK95*100/ödev!$I95,"")</f>
        <v/>
      </c>
      <c r="AA499" s="39" t="str">
        <f>IFERROR(ödev!AL95*100/ödev!$I95,"")</f>
        <v/>
      </c>
      <c r="AB499" s="39" t="str">
        <f>IFERROR(ödev!AM95*100/ödev!$I95,"")</f>
        <v/>
      </c>
      <c r="AC499" s="39" t="str">
        <f>IFERROR(ödev!AN95*100/ödev!$I95,"")</f>
        <v/>
      </c>
      <c r="AD499" s="39" t="str">
        <f>IFERROR(ödev!AO95*100/ödev!$I95,"")</f>
        <v/>
      </c>
      <c r="AE499" s="39" t="str">
        <f>IFERROR(ödev!AP95*100/ödev!$I95,"")</f>
        <v/>
      </c>
      <c r="AF499" s="39" t="str">
        <f>IFERROR(ödev!AQ95*100/ödev!$I95,"")</f>
        <v/>
      </c>
      <c r="AG499" s="39" t="str">
        <f>IFERROR(ödev!AR95*100/ödev!$I95,"")</f>
        <v/>
      </c>
      <c r="AH499" s="39" t="str">
        <f>IFERROR(ödev!AS95*100/ödev!$I95,"")</f>
        <v/>
      </c>
      <c r="AI499" s="39" t="str">
        <f>IFERROR(ödev!AT95*100/ödev!$I95,"")</f>
        <v/>
      </c>
      <c r="AJ499" s="39" t="str">
        <f>IFERROR(ödev!AU95*100/ödev!$I95,"")</f>
        <v/>
      </c>
      <c r="AK499" s="39" t="str">
        <f>IFERROR(ödev!AV95*100/ödev!$I95,"")</f>
        <v/>
      </c>
      <c r="AL499" s="39" t="str">
        <f>IFERROR(ödev!AW95*100/ödev!$I95,"")</f>
        <v/>
      </c>
      <c r="AM499" s="39" t="str">
        <f>IFERROR(ödev!AX95*100/ödev!$I95,"")</f>
        <v/>
      </c>
      <c r="AN499" s="39" t="str">
        <f>IFERROR(ödev!AY95*100/ödev!$I95,"")</f>
        <v/>
      </c>
      <c r="AO499" s="39" t="str">
        <f>IFERROR(ödev!AZ95*100/ödev!$I95,"")</f>
        <v/>
      </c>
      <c r="AP499" s="39" t="str">
        <f>IFERROR(ödev!BA95*100/ödev!$I95,"")</f>
        <v/>
      </c>
      <c r="AQ499" s="39" t="str">
        <f>IFERROR(ödev!BB95*100/ödev!$I95,"")</f>
        <v/>
      </c>
      <c r="AR499" s="39" t="str">
        <f>IFERROR(ödev!BC95*100/ödev!$I95,"")</f>
        <v/>
      </c>
      <c r="AS499" s="39" t="str">
        <f>IFERROR(ödev!BD95*100/ödev!$I95,"")</f>
        <v/>
      </c>
      <c r="AT499" s="39" t="str">
        <f>IFERROR(ödev!BE95*100/ödev!$I95,"")</f>
        <v/>
      </c>
      <c r="AU499" s="39" t="str">
        <f>IFERROR(ödev!BF95*100/ödev!$I95,"")</f>
        <v/>
      </c>
      <c r="AV499" s="39" t="str">
        <f>IFERROR(ödev!BG95*100/ödev!$I95,"")</f>
        <v/>
      </c>
      <c r="AW499" s="39" t="str">
        <f>IFERROR(ödev!BH95*100/ödev!$I95,"")</f>
        <v/>
      </c>
      <c r="AX499" s="39" t="str">
        <f>IFERROR(ödev!BI95*100/ödev!$I95,"")</f>
        <v/>
      </c>
      <c r="AY499" s="39" t="str">
        <f>IFERROR(ödev!BJ95*100/ödev!$I95,"")</f>
        <v/>
      </c>
      <c r="AZ499" s="39" t="str">
        <f>IFERROR(ödev!BK95*100/ödev!$I95,"")</f>
        <v/>
      </c>
      <c r="BA499" s="39" t="str">
        <f>IFERROR(ödev!BL95*100/ödev!$I95,"")</f>
        <v/>
      </c>
      <c r="BB499" s="39" t="str">
        <f>IFERROR(ödev!BM95*100/ödev!$I95,"")</f>
        <v/>
      </c>
      <c r="BC499" s="39" t="str">
        <f>IFERROR(ödev!BN95*100/ödev!$I95,"")</f>
        <v/>
      </c>
      <c r="BD499" s="39" t="str">
        <f>IFERROR(ödev!BO95*100/ödev!$I95,"")</f>
        <v/>
      </c>
      <c r="BE499" s="39" t="str">
        <f>IFERROR(ödev!BP95*100/ödev!$I95,"")</f>
        <v/>
      </c>
      <c r="BF499" s="39" t="str">
        <f>IFERROR(ödev!BQ95*100/ödev!$I95,"")</f>
        <v/>
      </c>
      <c r="BG499" s="39" t="str">
        <f>IFERROR(ödev!BR95*100/ödev!$I95,"")</f>
        <v/>
      </c>
      <c r="BH499" s="39" t="str">
        <f>IFERROR(ödev!BS95*100/ödev!$I95,"")</f>
        <v/>
      </c>
      <c r="BI499" s="39" t="str">
        <f>IFERROR(ödev!BT95*100/ödev!$I95,"")</f>
        <v/>
      </c>
      <c r="BJ499" s="39" t="str">
        <f>IFERROR(ödev!BU95*100/ödev!$I95,"")</f>
        <v/>
      </c>
      <c r="BK499" s="39" t="str">
        <f>IFERROR(ödev!BV95*100/ödev!$I95,"")</f>
        <v/>
      </c>
      <c r="BL499" s="39" t="str">
        <f>IFERROR(ödev!BW95*100/ödev!$I95,"")</f>
        <v/>
      </c>
      <c r="BM499" s="39" t="str">
        <f>IFERROR(ödev!BX95*100/ödev!$I95,"")</f>
        <v/>
      </c>
      <c r="BN499" s="39" t="str">
        <f>IFERROR(ödev!BY95*100/ödev!$I95,"")</f>
        <v/>
      </c>
      <c r="BO499" s="39" t="str">
        <f>IFERROR(ödev!BZ95*100/ödev!$I95,"")</f>
        <v/>
      </c>
      <c r="BP499" s="39" t="str">
        <f>IFERROR(ödev!CA95*100/ödev!$I95,"")</f>
        <v/>
      </c>
      <c r="BQ499" s="39" t="str">
        <f>IFERROR(ödev!CB95*100/ödev!$I95,"")</f>
        <v/>
      </c>
      <c r="BR499" s="39" t="str">
        <f>IFERROR(ödev!CC95*100/ödev!$I95,"")</f>
        <v/>
      </c>
      <c r="BS499" s="39" t="str">
        <f>IFERROR(ödev!CD95*100/ödev!$I95,"")</f>
        <v/>
      </c>
      <c r="BT499" s="39" t="str">
        <f>IFERROR(ödev!CE95*100/ödev!$I95,"")</f>
        <v/>
      </c>
      <c r="BU499" s="39" t="str">
        <f>IFERROR(ödev!CF95*100/ödev!$I95,"")</f>
        <v/>
      </c>
      <c r="BV499" s="39" t="str">
        <f>IFERROR(ödev!CG95*100/ödev!$I95,"")</f>
        <v/>
      </c>
      <c r="BW499" s="39" t="str">
        <f>IFERROR(ödev!CH95*100/ödev!$I95,"")</f>
        <v/>
      </c>
      <c r="BX499" s="39" t="str">
        <f>IFERROR(ödev!CI95*100/ödev!$I95,"")</f>
        <v/>
      </c>
      <c r="BY499" s="39" t="str">
        <f>IFERROR(ödev!CJ95*100/ödev!$I95,"")</f>
        <v/>
      </c>
      <c r="BZ499" s="39" t="str">
        <f>IFERROR(ödev!CK95*100/ödev!$I95,"")</f>
        <v/>
      </c>
      <c r="CA499" s="39" t="str">
        <f>IFERROR(ödev!CL95*100/ödev!$I95,"")</f>
        <v/>
      </c>
      <c r="CB499" s="39" t="str">
        <f>IFERROR(ödev!CM95*100/ödev!$I95,"")</f>
        <v/>
      </c>
      <c r="CC499" s="39" t="str">
        <f>IFERROR(ödev!CN95*100/ödev!$I95,"")</f>
        <v/>
      </c>
      <c r="CD499" s="39" t="str">
        <f>IFERROR(ödev!CO95*100/ödev!$I95,"")</f>
        <v/>
      </c>
      <c r="CE499" s="39" t="str">
        <f>IFERROR(ödev!CP95*100/ödev!$I95,"")</f>
        <v/>
      </c>
      <c r="CF499" s="39" t="str">
        <f>IFERROR(ödev!CQ95*100/ödev!$I95,"")</f>
        <v/>
      </c>
      <c r="CG499" s="39" t="str">
        <f>IFERROR(ödev!CR95*100/ödev!$I95,"")</f>
        <v/>
      </c>
      <c r="CH499" s="39" t="str">
        <f>IFERROR(ödev!CS95*100/ödev!$I95,"")</f>
        <v/>
      </c>
      <c r="CI499" s="39" t="str">
        <f>IFERROR(ödev!CT95*100/ödev!$I95,"")</f>
        <v/>
      </c>
      <c r="CJ499" s="39" t="str">
        <f>IFERROR(ödev!CU95*100/ödev!$I95,"")</f>
        <v/>
      </c>
      <c r="CK499" s="39" t="str">
        <f>IFERROR(ödev!CV95*100/ödev!$I95,"")</f>
        <v/>
      </c>
      <c r="CL499" s="39" t="str">
        <f>IFERROR(ödev!CW95*100/ödev!$I95,"")</f>
        <v/>
      </c>
      <c r="CM499" s="39" t="str">
        <f>IFERROR(ödev!CX95*100/ödev!$I95,"")</f>
        <v/>
      </c>
      <c r="CN499" s="39" t="str">
        <f>IFERROR(ödev!CY95*100/ödev!$I95,"")</f>
        <v/>
      </c>
      <c r="CO499" s="39" t="str">
        <f>IFERROR(ödev!CZ95*100/ödev!$I95,"")</f>
        <v/>
      </c>
      <c r="CP499" s="39" t="str">
        <f>IFERROR(ödev!DA95*100/ödev!$I95,"")</f>
        <v/>
      </c>
      <c r="CQ499" s="39" t="str">
        <f>IFERROR(ödev!DB95*100/ödev!$I95,"")</f>
        <v/>
      </c>
      <c r="CR499" s="39" t="str">
        <f>IFERROR(ödev!DC95*100/ödev!$I95,"")</f>
        <v/>
      </c>
      <c r="CS499" s="39" t="str">
        <f>IFERROR(ödev!DD95*100/ödev!$I95,"")</f>
        <v/>
      </c>
      <c r="CT499" s="39" t="str">
        <f>IFERROR(ödev!DE95*100/ödev!$I95,"")</f>
        <v/>
      </c>
      <c r="CU499" s="39" t="str">
        <f>IFERROR(ödev!DF95*100/ödev!$I95,"")</f>
        <v/>
      </c>
      <c r="CV499" s="39" t="str">
        <f>IFERROR(ödev!DG95*100/ödev!$I95,"")</f>
        <v/>
      </c>
      <c r="CW499" s="36" t="str">
        <f>IFERROR(SUM(A499:CV499)/ödev!$DH$103,"")</f>
        <v/>
      </c>
      <c r="CX499" s="14" t="str">
        <f>IF(COUNTA(ödev!A95),ödev!A95,"")</f>
        <v/>
      </c>
      <c r="CY499" s="14" t="str">
        <f>IF(COUNTA(ödev!B95),ödev!B95,"")</f>
        <v/>
      </c>
      <c r="CZ499" s="14" t="str">
        <f>IF(COUNTA(ödev!C95),ödev!C95,"")</f>
        <v/>
      </c>
      <c r="DA499" s="14" t="str">
        <f>IF(COUNTA(ödev!D95),ödev!D95,"")</f>
        <v/>
      </c>
      <c r="DB499" s="14" t="str">
        <f>IF(COUNTA(ödev!E95),ödev!E95,"")</f>
        <v/>
      </c>
      <c r="DC499" s="14" t="str">
        <f>IF(COUNTA(ödev!F95),ödev!F95,"")</f>
        <v/>
      </c>
      <c r="DD499" s="14" t="str">
        <f>IF(COUNTA(ödev!G95),ödev!G95,"")</f>
        <v/>
      </c>
      <c r="DE499" s="14" t="str">
        <f>IF(COUNTA(ödev!H95),ödev!H95,"")</f>
        <v/>
      </c>
    </row>
    <row r="500" spans="1:118" x14ac:dyDescent="0.2">
      <c r="A500" s="39" t="str">
        <f>IFERROR(ödev!L96*100/ödev!$I96,"")</f>
        <v/>
      </c>
      <c r="B500" s="39" t="str">
        <f>IFERROR(ödev!M96*100/ödev!$I96,"")</f>
        <v/>
      </c>
      <c r="C500" s="39" t="str">
        <f>IFERROR(ödev!N96*100/ödev!$I96,"")</f>
        <v/>
      </c>
      <c r="D500" s="39" t="str">
        <f>IFERROR(ödev!O96*100/ödev!$I96,"")</f>
        <v/>
      </c>
      <c r="E500" s="39" t="str">
        <f>IFERROR(ödev!P96*100/ödev!$I96,"")</f>
        <v/>
      </c>
      <c r="F500" s="39" t="str">
        <f>IFERROR(ödev!Q96*100/ödev!$I96,"")</f>
        <v/>
      </c>
      <c r="G500" s="39" t="str">
        <f>IFERROR(ödev!R96*100/ödev!$I96,"")</f>
        <v/>
      </c>
      <c r="H500" s="39" t="str">
        <f>IFERROR(ödev!S96*100/ödev!$I96,"")</f>
        <v/>
      </c>
      <c r="I500" s="39" t="str">
        <f>IFERROR(ödev!T96*100/ödev!$I96,"")</f>
        <v/>
      </c>
      <c r="J500" s="39" t="str">
        <f>IFERROR(ödev!U96*100/ödev!$I96,"")</f>
        <v/>
      </c>
      <c r="K500" s="39" t="str">
        <f>IFERROR(ödev!V96*100/ödev!$I96,"")</f>
        <v/>
      </c>
      <c r="L500" s="39" t="str">
        <f>IFERROR(ödev!W96*100/ödev!$I96,"")</f>
        <v/>
      </c>
      <c r="M500" s="39" t="str">
        <f>IFERROR(ödev!X96*100/ödev!$I96,"")</f>
        <v/>
      </c>
      <c r="N500" s="39" t="str">
        <f>IFERROR(ödev!Y96*100/ödev!$I96,"")</f>
        <v/>
      </c>
      <c r="O500" s="39" t="str">
        <f>IFERROR(ödev!Z96*100/ödev!$I96,"")</f>
        <v/>
      </c>
      <c r="P500" s="39" t="str">
        <f>IFERROR(ödev!AA96*100/ödev!$I96,"")</f>
        <v/>
      </c>
      <c r="Q500" s="39" t="str">
        <f>IFERROR(ödev!AB96*100/ödev!$I96,"")</f>
        <v/>
      </c>
      <c r="R500" s="39" t="str">
        <f>IFERROR(ödev!AC96*100/ödev!$I96,"")</f>
        <v/>
      </c>
      <c r="S500" s="39" t="str">
        <f>IFERROR(ödev!AD96*100/ödev!$I96,"")</f>
        <v/>
      </c>
      <c r="T500" s="39" t="str">
        <f>IFERROR(ödev!AE96*100/ödev!$I96,"")</f>
        <v/>
      </c>
      <c r="U500" s="39" t="str">
        <f>IFERROR(ödev!AF96*100/ödev!$I96,"")</f>
        <v/>
      </c>
      <c r="V500" s="39" t="str">
        <f>IFERROR(ödev!AG96*100/ödev!$I96,"")</f>
        <v/>
      </c>
      <c r="W500" s="39" t="str">
        <f>IFERROR(ödev!AH96*100/ödev!$I96,"")</f>
        <v/>
      </c>
      <c r="X500" s="39" t="str">
        <f>IFERROR(ödev!AI96*100/ödev!$I96,"")</f>
        <v/>
      </c>
      <c r="Y500" s="39" t="str">
        <f>IFERROR(ödev!AJ96*100/ödev!$I96,"")</f>
        <v/>
      </c>
      <c r="Z500" s="39" t="str">
        <f>IFERROR(ödev!AK96*100/ödev!$I96,"")</f>
        <v/>
      </c>
      <c r="AA500" s="39" t="str">
        <f>IFERROR(ödev!AL96*100/ödev!$I96,"")</f>
        <v/>
      </c>
      <c r="AB500" s="39" t="str">
        <f>IFERROR(ödev!AM96*100/ödev!$I96,"")</f>
        <v/>
      </c>
      <c r="AC500" s="39" t="str">
        <f>IFERROR(ödev!AN96*100/ödev!$I96,"")</f>
        <v/>
      </c>
      <c r="AD500" s="39" t="str">
        <f>IFERROR(ödev!AO96*100/ödev!$I96,"")</f>
        <v/>
      </c>
      <c r="AE500" s="39" t="str">
        <f>IFERROR(ödev!AP96*100/ödev!$I96,"")</f>
        <v/>
      </c>
      <c r="AF500" s="39" t="str">
        <f>IFERROR(ödev!AQ96*100/ödev!$I96,"")</f>
        <v/>
      </c>
      <c r="AG500" s="39" t="str">
        <f>IFERROR(ödev!AR96*100/ödev!$I96,"")</f>
        <v/>
      </c>
      <c r="AH500" s="39" t="str">
        <f>IFERROR(ödev!AS96*100/ödev!$I96,"")</f>
        <v/>
      </c>
      <c r="AI500" s="39" t="str">
        <f>IFERROR(ödev!AT96*100/ödev!$I96,"")</f>
        <v/>
      </c>
      <c r="AJ500" s="39" t="str">
        <f>IFERROR(ödev!AU96*100/ödev!$I96,"")</f>
        <v/>
      </c>
      <c r="AK500" s="39" t="str">
        <f>IFERROR(ödev!AV96*100/ödev!$I96,"")</f>
        <v/>
      </c>
      <c r="AL500" s="39" t="str">
        <f>IFERROR(ödev!AW96*100/ödev!$I96,"")</f>
        <v/>
      </c>
      <c r="AM500" s="39" t="str">
        <f>IFERROR(ödev!AX96*100/ödev!$I96,"")</f>
        <v/>
      </c>
      <c r="AN500" s="39" t="str">
        <f>IFERROR(ödev!AY96*100/ödev!$I96,"")</f>
        <v/>
      </c>
      <c r="AO500" s="39" t="str">
        <f>IFERROR(ödev!AZ96*100/ödev!$I96,"")</f>
        <v/>
      </c>
      <c r="AP500" s="39" t="str">
        <f>IFERROR(ödev!BA96*100/ödev!$I96,"")</f>
        <v/>
      </c>
      <c r="AQ500" s="39" t="str">
        <f>IFERROR(ödev!BB96*100/ödev!$I96,"")</f>
        <v/>
      </c>
      <c r="AR500" s="39" t="str">
        <f>IFERROR(ödev!BC96*100/ödev!$I96,"")</f>
        <v/>
      </c>
      <c r="AS500" s="39" t="str">
        <f>IFERROR(ödev!BD96*100/ödev!$I96,"")</f>
        <v/>
      </c>
      <c r="AT500" s="39" t="str">
        <f>IFERROR(ödev!BE96*100/ödev!$I96,"")</f>
        <v/>
      </c>
      <c r="AU500" s="39" t="str">
        <f>IFERROR(ödev!BF96*100/ödev!$I96,"")</f>
        <v/>
      </c>
      <c r="AV500" s="39" t="str">
        <f>IFERROR(ödev!BG96*100/ödev!$I96,"")</f>
        <v/>
      </c>
      <c r="AW500" s="39" t="str">
        <f>IFERROR(ödev!BH96*100/ödev!$I96,"")</f>
        <v/>
      </c>
      <c r="AX500" s="39" t="str">
        <f>IFERROR(ödev!BI96*100/ödev!$I96,"")</f>
        <v/>
      </c>
      <c r="AY500" s="39" t="str">
        <f>IFERROR(ödev!BJ96*100/ödev!$I96,"")</f>
        <v/>
      </c>
      <c r="AZ500" s="39" t="str">
        <f>IFERROR(ödev!BK96*100/ödev!$I96,"")</f>
        <v/>
      </c>
      <c r="BA500" s="39" t="str">
        <f>IFERROR(ödev!BL96*100/ödev!$I96,"")</f>
        <v/>
      </c>
      <c r="BB500" s="39" t="str">
        <f>IFERROR(ödev!BM96*100/ödev!$I96,"")</f>
        <v/>
      </c>
      <c r="BC500" s="39" t="str">
        <f>IFERROR(ödev!BN96*100/ödev!$I96,"")</f>
        <v/>
      </c>
      <c r="BD500" s="39" t="str">
        <f>IFERROR(ödev!BO96*100/ödev!$I96,"")</f>
        <v/>
      </c>
      <c r="BE500" s="39" t="str">
        <f>IFERROR(ödev!BP96*100/ödev!$I96,"")</f>
        <v/>
      </c>
      <c r="BF500" s="39" t="str">
        <f>IFERROR(ödev!BQ96*100/ödev!$I96,"")</f>
        <v/>
      </c>
      <c r="BG500" s="39" t="str">
        <f>IFERROR(ödev!BR96*100/ödev!$I96,"")</f>
        <v/>
      </c>
      <c r="BH500" s="39" t="str">
        <f>IFERROR(ödev!BS96*100/ödev!$I96,"")</f>
        <v/>
      </c>
      <c r="BI500" s="39" t="str">
        <f>IFERROR(ödev!BT96*100/ödev!$I96,"")</f>
        <v/>
      </c>
      <c r="BJ500" s="39" t="str">
        <f>IFERROR(ödev!BU96*100/ödev!$I96,"")</f>
        <v/>
      </c>
      <c r="BK500" s="39" t="str">
        <f>IFERROR(ödev!BV96*100/ödev!$I96,"")</f>
        <v/>
      </c>
      <c r="BL500" s="39" t="str">
        <f>IFERROR(ödev!BW96*100/ödev!$I96,"")</f>
        <v/>
      </c>
      <c r="BM500" s="39" t="str">
        <f>IFERROR(ödev!BX96*100/ödev!$I96,"")</f>
        <v/>
      </c>
      <c r="BN500" s="39" t="str">
        <f>IFERROR(ödev!BY96*100/ödev!$I96,"")</f>
        <v/>
      </c>
      <c r="BO500" s="39" t="str">
        <f>IFERROR(ödev!BZ96*100/ödev!$I96,"")</f>
        <v/>
      </c>
      <c r="BP500" s="39" t="str">
        <f>IFERROR(ödev!CA96*100/ödev!$I96,"")</f>
        <v/>
      </c>
      <c r="BQ500" s="39" t="str">
        <f>IFERROR(ödev!CB96*100/ödev!$I96,"")</f>
        <v/>
      </c>
      <c r="BR500" s="39" t="str">
        <f>IFERROR(ödev!CC96*100/ödev!$I96,"")</f>
        <v/>
      </c>
      <c r="BS500" s="39" t="str">
        <f>IFERROR(ödev!CD96*100/ödev!$I96,"")</f>
        <v/>
      </c>
      <c r="BT500" s="39" t="str">
        <f>IFERROR(ödev!CE96*100/ödev!$I96,"")</f>
        <v/>
      </c>
      <c r="BU500" s="39" t="str">
        <f>IFERROR(ödev!CF96*100/ödev!$I96,"")</f>
        <v/>
      </c>
      <c r="BV500" s="39" t="str">
        <f>IFERROR(ödev!CG96*100/ödev!$I96,"")</f>
        <v/>
      </c>
      <c r="BW500" s="39" t="str">
        <f>IFERROR(ödev!CH96*100/ödev!$I96,"")</f>
        <v/>
      </c>
      <c r="BX500" s="39" t="str">
        <f>IFERROR(ödev!CI96*100/ödev!$I96,"")</f>
        <v/>
      </c>
      <c r="BY500" s="39" t="str">
        <f>IFERROR(ödev!CJ96*100/ödev!$I96,"")</f>
        <v/>
      </c>
      <c r="BZ500" s="39" t="str">
        <f>IFERROR(ödev!CK96*100/ödev!$I96,"")</f>
        <v/>
      </c>
      <c r="CA500" s="39" t="str">
        <f>IFERROR(ödev!CL96*100/ödev!$I96,"")</f>
        <v/>
      </c>
      <c r="CB500" s="39" t="str">
        <f>IFERROR(ödev!CM96*100/ödev!$I96,"")</f>
        <v/>
      </c>
      <c r="CC500" s="39" t="str">
        <f>IFERROR(ödev!CN96*100/ödev!$I96,"")</f>
        <v/>
      </c>
      <c r="CD500" s="39" t="str">
        <f>IFERROR(ödev!CO96*100/ödev!$I96,"")</f>
        <v/>
      </c>
      <c r="CE500" s="39" t="str">
        <f>IFERROR(ödev!CP96*100/ödev!$I96,"")</f>
        <v/>
      </c>
      <c r="CF500" s="39" t="str">
        <f>IFERROR(ödev!CQ96*100/ödev!$I96,"")</f>
        <v/>
      </c>
      <c r="CG500" s="39" t="str">
        <f>IFERROR(ödev!CR96*100/ödev!$I96,"")</f>
        <v/>
      </c>
      <c r="CH500" s="39" t="str">
        <f>IFERROR(ödev!CS96*100/ödev!$I96,"")</f>
        <v/>
      </c>
      <c r="CI500" s="39" t="str">
        <f>IFERROR(ödev!CT96*100/ödev!$I96,"")</f>
        <v/>
      </c>
      <c r="CJ500" s="39" t="str">
        <f>IFERROR(ödev!CU96*100/ödev!$I96,"")</f>
        <v/>
      </c>
      <c r="CK500" s="39" t="str">
        <f>IFERROR(ödev!CV96*100/ödev!$I96,"")</f>
        <v/>
      </c>
      <c r="CL500" s="39" t="str">
        <f>IFERROR(ödev!CW96*100/ödev!$I96,"")</f>
        <v/>
      </c>
      <c r="CM500" s="39" t="str">
        <f>IFERROR(ödev!CX96*100/ödev!$I96,"")</f>
        <v/>
      </c>
      <c r="CN500" s="39" t="str">
        <f>IFERROR(ödev!CY96*100/ödev!$I96,"")</f>
        <v/>
      </c>
      <c r="CO500" s="39" t="str">
        <f>IFERROR(ödev!CZ96*100/ödev!$I96,"")</f>
        <v/>
      </c>
      <c r="CP500" s="39" t="str">
        <f>IFERROR(ödev!DA96*100/ödev!$I96,"")</f>
        <v/>
      </c>
      <c r="CQ500" s="39" t="str">
        <f>IFERROR(ödev!DB96*100/ödev!$I96,"")</f>
        <v/>
      </c>
      <c r="CR500" s="39" t="str">
        <f>IFERROR(ödev!DC96*100/ödev!$I96,"")</f>
        <v/>
      </c>
      <c r="CS500" s="39" t="str">
        <f>IFERROR(ödev!DD96*100/ödev!$I96,"")</f>
        <v/>
      </c>
      <c r="CT500" s="39" t="str">
        <f>IFERROR(ödev!DE96*100/ödev!$I96,"")</f>
        <v/>
      </c>
      <c r="CU500" s="39" t="str">
        <f>IFERROR(ödev!DF96*100/ödev!$I96,"")</f>
        <v/>
      </c>
      <c r="CV500" s="39" t="str">
        <f>IFERROR(ödev!DG96*100/ödev!$I96,"")</f>
        <v/>
      </c>
      <c r="CW500" s="36" t="str">
        <f>IFERROR(SUM(A500:CV500)/ödev!$DH$103,"")</f>
        <v/>
      </c>
      <c r="CX500" s="14" t="str">
        <f>IF(COUNTA(ödev!A96),ödev!A96,"")</f>
        <v/>
      </c>
      <c r="CY500" s="14" t="str">
        <f>IF(COUNTA(ödev!B96),ödev!B96,"")</f>
        <v/>
      </c>
      <c r="CZ500" s="14" t="str">
        <f>IF(COUNTA(ödev!C96),ödev!C96,"")</f>
        <v/>
      </c>
      <c r="DA500" s="14" t="str">
        <f>IF(COUNTA(ödev!D96),ödev!D96,"")</f>
        <v/>
      </c>
      <c r="DB500" s="14" t="str">
        <f>IF(COUNTA(ödev!E96),ödev!E96,"")</f>
        <v/>
      </c>
      <c r="DC500" s="14" t="str">
        <f>IF(COUNTA(ödev!F96),ödev!F96,"")</f>
        <v/>
      </c>
      <c r="DD500" s="14" t="str">
        <f>IF(COUNTA(ödev!G96),ödev!G96,"")</f>
        <v/>
      </c>
      <c r="DE500" s="14" t="str">
        <f>IF(COUNTA(ödev!H96),ödev!H96,"")</f>
        <v/>
      </c>
    </row>
    <row r="501" spans="1:118" x14ac:dyDescent="0.2">
      <c r="A501" s="39" t="str">
        <f>IFERROR(ödev!L97*100/ödev!$I97,"")</f>
        <v/>
      </c>
      <c r="B501" s="39" t="str">
        <f>IFERROR(ödev!M97*100/ödev!$I97,"")</f>
        <v/>
      </c>
      <c r="C501" s="39" t="str">
        <f>IFERROR(ödev!N97*100/ödev!$I97,"")</f>
        <v/>
      </c>
      <c r="D501" s="39" t="str">
        <f>IFERROR(ödev!O97*100/ödev!$I97,"")</f>
        <v/>
      </c>
      <c r="E501" s="39" t="str">
        <f>IFERROR(ödev!P97*100/ödev!$I97,"")</f>
        <v/>
      </c>
      <c r="F501" s="39" t="str">
        <f>IFERROR(ödev!Q97*100/ödev!$I97,"")</f>
        <v/>
      </c>
      <c r="G501" s="39" t="str">
        <f>IFERROR(ödev!R97*100/ödev!$I97,"")</f>
        <v/>
      </c>
      <c r="H501" s="39" t="str">
        <f>IFERROR(ödev!S97*100/ödev!$I97,"")</f>
        <v/>
      </c>
      <c r="I501" s="39" t="str">
        <f>IFERROR(ödev!T97*100/ödev!$I97,"")</f>
        <v/>
      </c>
      <c r="J501" s="39" t="str">
        <f>IFERROR(ödev!U97*100/ödev!$I97,"")</f>
        <v/>
      </c>
      <c r="K501" s="39" t="str">
        <f>IFERROR(ödev!V97*100/ödev!$I97,"")</f>
        <v/>
      </c>
      <c r="L501" s="39" t="str">
        <f>IFERROR(ödev!W97*100/ödev!$I97,"")</f>
        <v/>
      </c>
      <c r="M501" s="39" t="str">
        <f>IFERROR(ödev!X97*100/ödev!$I97,"")</f>
        <v/>
      </c>
      <c r="N501" s="39" t="str">
        <f>IFERROR(ödev!Y97*100/ödev!$I97,"")</f>
        <v/>
      </c>
      <c r="O501" s="39" t="str">
        <f>IFERROR(ödev!Z97*100/ödev!$I97,"")</f>
        <v/>
      </c>
      <c r="P501" s="39" t="str">
        <f>IFERROR(ödev!AA97*100/ödev!$I97,"")</f>
        <v/>
      </c>
      <c r="Q501" s="39" t="str">
        <f>IFERROR(ödev!AB97*100/ödev!$I97,"")</f>
        <v/>
      </c>
      <c r="R501" s="39" t="str">
        <f>IFERROR(ödev!AC97*100/ödev!$I97,"")</f>
        <v/>
      </c>
      <c r="S501" s="39" t="str">
        <f>IFERROR(ödev!AD97*100/ödev!$I97,"")</f>
        <v/>
      </c>
      <c r="T501" s="39" t="str">
        <f>IFERROR(ödev!AE97*100/ödev!$I97,"")</f>
        <v/>
      </c>
      <c r="U501" s="39" t="str">
        <f>IFERROR(ödev!AF97*100/ödev!$I97,"")</f>
        <v/>
      </c>
      <c r="V501" s="39" t="str">
        <f>IFERROR(ödev!AG97*100/ödev!$I97,"")</f>
        <v/>
      </c>
      <c r="W501" s="39" t="str">
        <f>IFERROR(ödev!AH97*100/ödev!$I97,"")</f>
        <v/>
      </c>
      <c r="X501" s="39" t="str">
        <f>IFERROR(ödev!AI97*100/ödev!$I97,"")</f>
        <v/>
      </c>
      <c r="Y501" s="39" t="str">
        <f>IFERROR(ödev!AJ97*100/ödev!$I97,"")</f>
        <v/>
      </c>
      <c r="Z501" s="39" t="str">
        <f>IFERROR(ödev!AK97*100/ödev!$I97,"")</f>
        <v/>
      </c>
      <c r="AA501" s="39" t="str">
        <f>IFERROR(ödev!AL97*100/ödev!$I97,"")</f>
        <v/>
      </c>
      <c r="AB501" s="39" t="str">
        <f>IFERROR(ödev!AM97*100/ödev!$I97,"")</f>
        <v/>
      </c>
      <c r="AC501" s="39" t="str">
        <f>IFERROR(ödev!AN97*100/ödev!$I97,"")</f>
        <v/>
      </c>
      <c r="AD501" s="39" t="str">
        <f>IFERROR(ödev!AO97*100/ödev!$I97,"")</f>
        <v/>
      </c>
      <c r="AE501" s="39" t="str">
        <f>IFERROR(ödev!AP97*100/ödev!$I97,"")</f>
        <v/>
      </c>
      <c r="AF501" s="39" t="str">
        <f>IFERROR(ödev!AQ97*100/ödev!$I97,"")</f>
        <v/>
      </c>
      <c r="AG501" s="39" t="str">
        <f>IFERROR(ödev!AR97*100/ödev!$I97,"")</f>
        <v/>
      </c>
      <c r="AH501" s="39" t="str">
        <f>IFERROR(ödev!AS97*100/ödev!$I97,"")</f>
        <v/>
      </c>
      <c r="AI501" s="39" t="str">
        <f>IFERROR(ödev!AT97*100/ödev!$I97,"")</f>
        <v/>
      </c>
      <c r="AJ501" s="39" t="str">
        <f>IFERROR(ödev!AU97*100/ödev!$I97,"")</f>
        <v/>
      </c>
      <c r="AK501" s="39" t="str">
        <f>IFERROR(ödev!AV97*100/ödev!$I97,"")</f>
        <v/>
      </c>
      <c r="AL501" s="39" t="str">
        <f>IFERROR(ödev!AW97*100/ödev!$I97,"")</f>
        <v/>
      </c>
      <c r="AM501" s="39" t="str">
        <f>IFERROR(ödev!AX97*100/ödev!$I97,"")</f>
        <v/>
      </c>
      <c r="AN501" s="39" t="str">
        <f>IFERROR(ödev!AY97*100/ödev!$I97,"")</f>
        <v/>
      </c>
      <c r="AO501" s="39" t="str">
        <f>IFERROR(ödev!AZ97*100/ödev!$I97,"")</f>
        <v/>
      </c>
      <c r="AP501" s="39" t="str">
        <f>IFERROR(ödev!BA97*100/ödev!$I97,"")</f>
        <v/>
      </c>
      <c r="AQ501" s="39" t="str">
        <f>IFERROR(ödev!BB97*100/ödev!$I97,"")</f>
        <v/>
      </c>
      <c r="AR501" s="39" t="str">
        <f>IFERROR(ödev!BC97*100/ödev!$I97,"")</f>
        <v/>
      </c>
      <c r="AS501" s="39" t="str">
        <f>IFERROR(ödev!BD97*100/ödev!$I97,"")</f>
        <v/>
      </c>
      <c r="AT501" s="39" t="str">
        <f>IFERROR(ödev!BE97*100/ödev!$I97,"")</f>
        <v/>
      </c>
      <c r="AU501" s="39" t="str">
        <f>IFERROR(ödev!BF97*100/ödev!$I97,"")</f>
        <v/>
      </c>
      <c r="AV501" s="39" t="str">
        <f>IFERROR(ödev!BG97*100/ödev!$I97,"")</f>
        <v/>
      </c>
      <c r="AW501" s="39" t="str">
        <f>IFERROR(ödev!BH97*100/ödev!$I97,"")</f>
        <v/>
      </c>
      <c r="AX501" s="39" t="str">
        <f>IFERROR(ödev!BI97*100/ödev!$I97,"")</f>
        <v/>
      </c>
      <c r="AY501" s="39" t="str">
        <f>IFERROR(ödev!BJ97*100/ödev!$I97,"")</f>
        <v/>
      </c>
      <c r="AZ501" s="39" t="str">
        <f>IFERROR(ödev!BK97*100/ödev!$I97,"")</f>
        <v/>
      </c>
      <c r="BA501" s="39" t="str">
        <f>IFERROR(ödev!BL97*100/ödev!$I97,"")</f>
        <v/>
      </c>
      <c r="BB501" s="39" t="str">
        <f>IFERROR(ödev!BM97*100/ödev!$I97,"")</f>
        <v/>
      </c>
      <c r="BC501" s="39" t="str">
        <f>IFERROR(ödev!BN97*100/ödev!$I97,"")</f>
        <v/>
      </c>
      <c r="BD501" s="39" t="str">
        <f>IFERROR(ödev!BO97*100/ödev!$I97,"")</f>
        <v/>
      </c>
      <c r="BE501" s="39" t="str">
        <f>IFERROR(ödev!BP97*100/ödev!$I97,"")</f>
        <v/>
      </c>
      <c r="BF501" s="39" t="str">
        <f>IFERROR(ödev!BQ97*100/ödev!$I97,"")</f>
        <v/>
      </c>
      <c r="BG501" s="39" t="str">
        <f>IFERROR(ödev!BR97*100/ödev!$I97,"")</f>
        <v/>
      </c>
      <c r="BH501" s="39" t="str">
        <f>IFERROR(ödev!BS97*100/ödev!$I97,"")</f>
        <v/>
      </c>
      <c r="BI501" s="39" t="str">
        <f>IFERROR(ödev!BT97*100/ödev!$I97,"")</f>
        <v/>
      </c>
      <c r="BJ501" s="39" t="str">
        <f>IFERROR(ödev!BU97*100/ödev!$I97,"")</f>
        <v/>
      </c>
      <c r="BK501" s="39" t="str">
        <f>IFERROR(ödev!BV97*100/ödev!$I97,"")</f>
        <v/>
      </c>
      <c r="BL501" s="39" t="str">
        <f>IFERROR(ödev!BW97*100/ödev!$I97,"")</f>
        <v/>
      </c>
      <c r="BM501" s="39" t="str">
        <f>IFERROR(ödev!BX97*100/ödev!$I97,"")</f>
        <v/>
      </c>
      <c r="BN501" s="39" t="str">
        <f>IFERROR(ödev!BY97*100/ödev!$I97,"")</f>
        <v/>
      </c>
      <c r="BO501" s="39" t="str">
        <f>IFERROR(ödev!BZ97*100/ödev!$I97,"")</f>
        <v/>
      </c>
      <c r="BP501" s="39" t="str">
        <f>IFERROR(ödev!CA97*100/ödev!$I97,"")</f>
        <v/>
      </c>
      <c r="BQ501" s="39" t="str">
        <f>IFERROR(ödev!CB97*100/ödev!$I97,"")</f>
        <v/>
      </c>
      <c r="BR501" s="39" t="str">
        <f>IFERROR(ödev!CC97*100/ödev!$I97,"")</f>
        <v/>
      </c>
      <c r="BS501" s="39" t="str">
        <f>IFERROR(ödev!CD97*100/ödev!$I97,"")</f>
        <v/>
      </c>
      <c r="BT501" s="39" t="str">
        <f>IFERROR(ödev!CE97*100/ödev!$I97,"")</f>
        <v/>
      </c>
      <c r="BU501" s="39" t="str">
        <f>IFERROR(ödev!CF97*100/ödev!$I97,"")</f>
        <v/>
      </c>
      <c r="BV501" s="39" t="str">
        <f>IFERROR(ödev!CG97*100/ödev!$I97,"")</f>
        <v/>
      </c>
      <c r="BW501" s="39" t="str">
        <f>IFERROR(ödev!CH97*100/ödev!$I97,"")</f>
        <v/>
      </c>
      <c r="BX501" s="39" t="str">
        <f>IFERROR(ödev!CI97*100/ödev!$I97,"")</f>
        <v/>
      </c>
      <c r="BY501" s="39" t="str">
        <f>IFERROR(ödev!CJ97*100/ödev!$I97,"")</f>
        <v/>
      </c>
      <c r="BZ501" s="39" t="str">
        <f>IFERROR(ödev!CK97*100/ödev!$I97,"")</f>
        <v/>
      </c>
      <c r="CA501" s="39" t="str">
        <f>IFERROR(ödev!CL97*100/ödev!$I97,"")</f>
        <v/>
      </c>
      <c r="CB501" s="39" t="str">
        <f>IFERROR(ödev!CM97*100/ödev!$I97,"")</f>
        <v/>
      </c>
      <c r="CC501" s="39" t="str">
        <f>IFERROR(ödev!CN97*100/ödev!$I97,"")</f>
        <v/>
      </c>
      <c r="CD501" s="39" t="str">
        <f>IFERROR(ödev!CO97*100/ödev!$I97,"")</f>
        <v/>
      </c>
      <c r="CE501" s="39" t="str">
        <f>IFERROR(ödev!CP97*100/ödev!$I97,"")</f>
        <v/>
      </c>
      <c r="CF501" s="39" t="str">
        <f>IFERROR(ödev!CQ97*100/ödev!$I97,"")</f>
        <v/>
      </c>
      <c r="CG501" s="39" t="str">
        <f>IFERROR(ödev!CR97*100/ödev!$I97,"")</f>
        <v/>
      </c>
      <c r="CH501" s="39" t="str">
        <f>IFERROR(ödev!CS97*100/ödev!$I97,"")</f>
        <v/>
      </c>
      <c r="CI501" s="39" t="str">
        <f>IFERROR(ödev!CT97*100/ödev!$I97,"")</f>
        <v/>
      </c>
      <c r="CJ501" s="39" t="str">
        <f>IFERROR(ödev!CU97*100/ödev!$I97,"")</f>
        <v/>
      </c>
      <c r="CK501" s="39" t="str">
        <f>IFERROR(ödev!CV97*100/ödev!$I97,"")</f>
        <v/>
      </c>
      <c r="CL501" s="39" t="str">
        <f>IFERROR(ödev!CW97*100/ödev!$I97,"")</f>
        <v/>
      </c>
      <c r="CM501" s="39" t="str">
        <f>IFERROR(ödev!CX97*100/ödev!$I97,"")</f>
        <v/>
      </c>
      <c r="CN501" s="39" t="str">
        <f>IFERROR(ödev!CY97*100/ödev!$I97,"")</f>
        <v/>
      </c>
      <c r="CO501" s="39" t="str">
        <f>IFERROR(ödev!CZ97*100/ödev!$I97,"")</f>
        <v/>
      </c>
      <c r="CP501" s="39" t="str">
        <f>IFERROR(ödev!DA97*100/ödev!$I97,"")</f>
        <v/>
      </c>
      <c r="CQ501" s="39" t="str">
        <f>IFERROR(ödev!DB97*100/ödev!$I97,"")</f>
        <v/>
      </c>
      <c r="CR501" s="39" t="str">
        <f>IFERROR(ödev!DC97*100/ödev!$I97,"")</f>
        <v/>
      </c>
      <c r="CS501" s="39" t="str">
        <f>IFERROR(ödev!DD97*100/ödev!$I97,"")</f>
        <v/>
      </c>
      <c r="CT501" s="39" t="str">
        <f>IFERROR(ödev!DE97*100/ödev!$I97,"")</f>
        <v/>
      </c>
      <c r="CU501" s="39" t="str">
        <f>IFERROR(ödev!DF97*100/ödev!$I97,"")</f>
        <v/>
      </c>
      <c r="CV501" s="39" t="str">
        <f>IFERROR(ödev!DG97*100/ödev!$I97,"")</f>
        <v/>
      </c>
      <c r="CW501" s="36" t="str">
        <f>IFERROR(SUM(A501:CV501)/ödev!$DH$103,"")</f>
        <v/>
      </c>
      <c r="CX501" s="14" t="str">
        <f>IF(COUNTA(ödev!A97),ödev!A97,"")</f>
        <v/>
      </c>
      <c r="CY501" s="14" t="str">
        <f>IF(COUNTA(ödev!B97),ödev!B97,"")</f>
        <v/>
      </c>
      <c r="CZ501" s="14" t="str">
        <f>IF(COUNTA(ödev!C97),ödev!C97,"")</f>
        <v/>
      </c>
      <c r="DA501" s="14" t="str">
        <f>IF(COUNTA(ödev!D97),ödev!D97,"")</f>
        <v/>
      </c>
      <c r="DB501" s="14" t="str">
        <f>IF(COUNTA(ödev!E97),ödev!E97,"")</f>
        <v/>
      </c>
      <c r="DC501" s="14" t="str">
        <f>IF(COUNTA(ödev!F97),ödev!F97,"")</f>
        <v/>
      </c>
      <c r="DD501" s="14" t="str">
        <f>IF(COUNTA(ödev!G97),ödev!G97,"")</f>
        <v/>
      </c>
      <c r="DE501" s="14" t="str">
        <f>IF(COUNTA(ödev!H97),ödev!H97,"")</f>
        <v/>
      </c>
    </row>
    <row r="502" spans="1:118" x14ac:dyDescent="0.2">
      <c r="A502" s="39" t="str">
        <f>IFERROR(ödev!L98*100/ödev!$I98,"")</f>
        <v/>
      </c>
      <c r="B502" s="39" t="str">
        <f>IFERROR(ödev!M98*100/ödev!$I98,"")</f>
        <v/>
      </c>
      <c r="C502" s="39" t="str">
        <f>IFERROR(ödev!N98*100/ödev!$I98,"")</f>
        <v/>
      </c>
      <c r="D502" s="39" t="str">
        <f>IFERROR(ödev!O98*100/ödev!$I98,"")</f>
        <v/>
      </c>
      <c r="E502" s="39" t="str">
        <f>IFERROR(ödev!P98*100/ödev!$I98,"")</f>
        <v/>
      </c>
      <c r="F502" s="39" t="str">
        <f>IFERROR(ödev!Q98*100/ödev!$I98,"")</f>
        <v/>
      </c>
      <c r="G502" s="39" t="str">
        <f>IFERROR(ödev!R98*100/ödev!$I98,"")</f>
        <v/>
      </c>
      <c r="H502" s="39" t="str">
        <f>IFERROR(ödev!S98*100/ödev!$I98,"")</f>
        <v/>
      </c>
      <c r="I502" s="39" t="str">
        <f>IFERROR(ödev!T98*100/ödev!$I98,"")</f>
        <v/>
      </c>
      <c r="J502" s="39" t="str">
        <f>IFERROR(ödev!U98*100/ödev!$I98,"")</f>
        <v/>
      </c>
      <c r="K502" s="39" t="str">
        <f>IFERROR(ödev!V98*100/ödev!$I98,"")</f>
        <v/>
      </c>
      <c r="L502" s="39" t="str">
        <f>IFERROR(ödev!W98*100/ödev!$I98,"")</f>
        <v/>
      </c>
      <c r="M502" s="39" t="str">
        <f>IFERROR(ödev!X98*100/ödev!$I98,"")</f>
        <v/>
      </c>
      <c r="N502" s="39" t="str">
        <f>IFERROR(ödev!Y98*100/ödev!$I98,"")</f>
        <v/>
      </c>
      <c r="O502" s="39" t="str">
        <f>IFERROR(ödev!Z98*100/ödev!$I98,"")</f>
        <v/>
      </c>
      <c r="P502" s="39" t="str">
        <f>IFERROR(ödev!AA98*100/ödev!$I98,"")</f>
        <v/>
      </c>
      <c r="Q502" s="39" t="str">
        <f>IFERROR(ödev!AB98*100/ödev!$I98,"")</f>
        <v/>
      </c>
      <c r="R502" s="39" t="str">
        <f>IFERROR(ödev!AC98*100/ödev!$I98,"")</f>
        <v/>
      </c>
      <c r="S502" s="39" t="str">
        <f>IFERROR(ödev!AD98*100/ödev!$I98,"")</f>
        <v/>
      </c>
      <c r="T502" s="39" t="str">
        <f>IFERROR(ödev!AE98*100/ödev!$I98,"")</f>
        <v/>
      </c>
      <c r="U502" s="39" t="str">
        <f>IFERROR(ödev!AF98*100/ödev!$I98,"")</f>
        <v/>
      </c>
      <c r="V502" s="39" t="str">
        <f>IFERROR(ödev!AG98*100/ödev!$I98,"")</f>
        <v/>
      </c>
      <c r="W502" s="39" t="str">
        <f>IFERROR(ödev!AH98*100/ödev!$I98,"")</f>
        <v/>
      </c>
      <c r="X502" s="39" t="str">
        <f>IFERROR(ödev!AI98*100/ödev!$I98,"")</f>
        <v/>
      </c>
      <c r="Y502" s="39" t="str">
        <f>IFERROR(ödev!AJ98*100/ödev!$I98,"")</f>
        <v/>
      </c>
      <c r="Z502" s="39" t="str">
        <f>IFERROR(ödev!AK98*100/ödev!$I98,"")</f>
        <v/>
      </c>
      <c r="AA502" s="39" t="str">
        <f>IFERROR(ödev!AL98*100/ödev!$I98,"")</f>
        <v/>
      </c>
      <c r="AB502" s="39" t="str">
        <f>IFERROR(ödev!AM98*100/ödev!$I98,"")</f>
        <v/>
      </c>
      <c r="AC502" s="39" t="str">
        <f>IFERROR(ödev!AN98*100/ödev!$I98,"")</f>
        <v/>
      </c>
      <c r="AD502" s="39" t="str">
        <f>IFERROR(ödev!AO98*100/ödev!$I98,"")</f>
        <v/>
      </c>
      <c r="AE502" s="39" t="str">
        <f>IFERROR(ödev!AP98*100/ödev!$I98,"")</f>
        <v/>
      </c>
      <c r="AF502" s="39" t="str">
        <f>IFERROR(ödev!AQ98*100/ödev!$I98,"")</f>
        <v/>
      </c>
      <c r="AG502" s="39" t="str">
        <f>IFERROR(ödev!AR98*100/ödev!$I98,"")</f>
        <v/>
      </c>
      <c r="AH502" s="39" t="str">
        <f>IFERROR(ödev!AS98*100/ödev!$I98,"")</f>
        <v/>
      </c>
      <c r="AI502" s="39" t="str">
        <f>IFERROR(ödev!AT98*100/ödev!$I98,"")</f>
        <v/>
      </c>
      <c r="AJ502" s="39" t="str">
        <f>IFERROR(ödev!AU98*100/ödev!$I98,"")</f>
        <v/>
      </c>
      <c r="AK502" s="39" t="str">
        <f>IFERROR(ödev!AV98*100/ödev!$I98,"")</f>
        <v/>
      </c>
      <c r="AL502" s="39" t="str">
        <f>IFERROR(ödev!AW98*100/ödev!$I98,"")</f>
        <v/>
      </c>
      <c r="AM502" s="39" t="str">
        <f>IFERROR(ödev!AX98*100/ödev!$I98,"")</f>
        <v/>
      </c>
      <c r="AN502" s="39" t="str">
        <f>IFERROR(ödev!AY98*100/ödev!$I98,"")</f>
        <v/>
      </c>
      <c r="AO502" s="39" t="str">
        <f>IFERROR(ödev!AZ98*100/ödev!$I98,"")</f>
        <v/>
      </c>
      <c r="AP502" s="39" t="str">
        <f>IFERROR(ödev!BA98*100/ödev!$I98,"")</f>
        <v/>
      </c>
      <c r="AQ502" s="39" t="str">
        <f>IFERROR(ödev!BB98*100/ödev!$I98,"")</f>
        <v/>
      </c>
      <c r="AR502" s="39" t="str">
        <f>IFERROR(ödev!BC98*100/ödev!$I98,"")</f>
        <v/>
      </c>
      <c r="AS502" s="39" t="str">
        <f>IFERROR(ödev!BD98*100/ödev!$I98,"")</f>
        <v/>
      </c>
      <c r="AT502" s="39" t="str">
        <f>IFERROR(ödev!BE98*100/ödev!$I98,"")</f>
        <v/>
      </c>
      <c r="AU502" s="39" t="str">
        <f>IFERROR(ödev!BF98*100/ödev!$I98,"")</f>
        <v/>
      </c>
      <c r="AV502" s="39" t="str">
        <f>IFERROR(ödev!BG98*100/ödev!$I98,"")</f>
        <v/>
      </c>
      <c r="AW502" s="39" t="str">
        <f>IFERROR(ödev!BH98*100/ödev!$I98,"")</f>
        <v/>
      </c>
      <c r="AX502" s="39" t="str">
        <f>IFERROR(ödev!BI98*100/ödev!$I98,"")</f>
        <v/>
      </c>
      <c r="AY502" s="39" t="str">
        <f>IFERROR(ödev!BJ98*100/ödev!$I98,"")</f>
        <v/>
      </c>
      <c r="AZ502" s="39" t="str">
        <f>IFERROR(ödev!BK98*100/ödev!$I98,"")</f>
        <v/>
      </c>
      <c r="BA502" s="39" t="str">
        <f>IFERROR(ödev!BL98*100/ödev!$I98,"")</f>
        <v/>
      </c>
      <c r="BB502" s="39" t="str">
        <f>IFERROR(ödev!BM98*100/ödev!$I98,"")</f>
        <v/>
      </c>
      <c r="BC502" s="39" t="str">
        <f>IFERROR(ödev!BN98*100/ödev!$I98,"")</f>
        <v/>
      </c>
      <c r="BD502" s="39" t="str">
        <f>IFERROR(ödev!BO98*100/ödev!$I98,"")</f>
        <v/>
      </c>
      <c r="BE502" s="39" t="str">
        <f>IFERROR(ödev!BP98*100/ödev!$I98,"")</f>
        <v/>
      </c>
      <c r="BF502" s="39" t="str">
        <f>IFERROR(ödev!BQ98*100/ödev!$I98,"")</f>
        <v/>
      </c>
      <c r="BG502" s="39" t="str">
        <f>IFERROR(ödev!BR98*100/ödev!$I98,"")</f>
        <v/>
      </c>
      <c r="BH502" s="39" t="str">
        <f>IFERROR(ödev!BS98*100/ödev!$I98,"")</f>
        <v/>
      </c>
      <c r="BI502" s="39" t="str">
        <f>IFERROR(ödev!BT98*100/ödev!$I98,"")</f>
        <v/>
      </c>
      <c r="BJ502" s="39" t="str">
        <f>IFERROR(ödev!BU98*100/ödev!$I98,"")</f>
        <v/>
      </c>
      <c r="BK502" s="39" t="str">
        <f>IFERROR(ödev!BV98*100/ödev!$I98,"")</f>
        <v/>
      </c>
      <c r="BL502" s="39" t="str">
        <f>IFERROR(ödev!BW98*100/ödev!$I98,"")</f>
        <v/>
      </c>
      <c r="BM502" s="39" t="str">
        <f>IFERROR(ödev!BX98*100/ödev!$I98,"")</f>
        <v/>
      </c>
      <c r="BN502" s="39" t="str">
        <f>IFERROR(ödev!BY98*100/ödev!$I98,"")</f>
        <v/>
      </c>
      <c r="BO502" s="39" t="str">
        <f>IFERROR(ödev!BZ98*100/ödev!$I98,"")</f>
        <v/>
      </c>
      <c r="BP502" s="39" t="str">
        <f>IFERROR(ödev!CA98*100/ödev!$I98,"")</f>
        <v/>
      </c>
      <c r="BQ502" s="39" t="str">
        <f>IFERROR(ödev!CB98*100/ödev!$I98,"")</f>
        <v/>
      </c>
      <c r="BR502" s="39" t="str">
        <f>IFERROR(ödev!CC98*100/ödev!$I98,"")</f>
        <v/>
      </c>
      <c r="BS502" s="39" t="str">
        <f>IFERROR(ödev!CD98*100/ödev!$I98,"")</f>
        <v/>
      </c>
      <c r="BT502" s="39" t="str">
        <f>IFERROR(ödev!CE98*100/ödev!$I98,"")</f>
        <v/>
      </c>
      <c r="BU502" s="39" t="str">
        <f>IFERROR(ödev!CF98*100/ödev!$I98,"")</f>
        <v/>
      </c>
      <c r="BV502" s="39" t="str">
        <f>IFERROR(ödev!CG98*100/ödev!$I98,"")</f>
        <v/>
      </c>
      <c r="BW502" s="39" t="str">
        <f>IFERROR(ödev!CH98*100/ödev!$I98,"")</f>
        <v/>
      </c>
      <c r="BX502" s="39" t="str">
        <f>IFERROR(ödev!CI98*100/ödev!$I98,"")</f>
        <v/>
      </c>
      <c r="BY502" s="39" t="str">
        <f>IFERROR(ödev!CJ98*100/ödev!$I98,"")</f>
        <v/>
      </c>
      <c r="BZ502" s="39" t="str">
        <f>IFERROR(ödev!CK98*100/ödev!$I98,"")</f>
        <v/>
      </c>
      <c r="CA502" s="39" t="str">
        <f>IFERROR(ödev!CL98*100/ödev!$I98,"")</f>
        <v/>
      </c>
      <c r="CB502" s="39" t="str">
        <f>IFERROR(ödev!CM98*100/ödev!$I98,"")</f>
        <v/>
      </c>
      <c r="CC502" s="39" t="str">
        <f>IFERROR(ödev!CN98*100/ödev!$I98,"")</f>
        <v/>
      </c>
      <c r="CD502" s="39" t="str">
        <f>IFERROR(ödev!CO98*100/ödev!$I98,"")</f>
        <v/>
      </c>
      <c r="CE502" s="39" t="str">
        <f>IFERROR(ödev!CP98*100/ödev!$I98,"")</f>
        <v/>
      </c>
      <c r="CF502" s="39" t="str">
        <f>IFERROR(ödev!CQ98*100/ödev!$I98,"")</f>
        <v/>
      </c>
      <c r="CG502" s="39" t="str">
        <f>IFERROR(ödev!CR98*100/ödev!$I98,"")</f>
        <v/>
      </c>
      <c r="CH502" s="39" t="str">
        <f>IFERROR(ödev!CS98*100/ödev!$I98,"")</f>
        <v/>
      </c>
      <c r="CI502" s="39" t="str">
        <f>IFERROR(ödev!CT98*100/ödev!$I98,"")</f>
        <v/>
      </c>
      <c r="CJ502" s="39" t="str">
        <f>IFERROR(ödev!CU98*100/ödev!$I98,"")</f>
        <v/>
      </c>
      <c r="CK502" s="39" t="str">
        <f>IFERROR(ödev!CV98*100/ödev!$I98,"")</f>
        <v/>
      </c>
      <c r="CL502" s="39" t="str">
        <f>IFERROR(ödev!CW98*100/ödev!$I98,"")</f>
        <v/>
      </c>
      <c r="CM502" s="39" t="str">
        <f>IFERROR(ödev!CX98*100/ödev!$I98,"")</f>
        <v/>
      </c>
      <c r="CN502" s="39" t="str">
        <f>IFERROR(ödev!CY98*100/ödev!$I98,"")</f>
        <v/>
      </c>
      <c r="CO502" s="39" t="str">
        <f>IFERROR(ödev!CZ98*100/ödev!$I98,"")</f>
        <v/>
      </c>
      <c r="CP502" s="39" t="str">
        <f>IFERROR(ödev!DA98*100/ödev!$I98,"")</f>
        <v/>
      </c>
      <c r="CQ502" s="39" t="str">
        <f>IFERROR(ödev!DB98*100/ödev!$I98,"")</f>
        <v/>
      </c>
      <c r="CR502" s="39" t="str">
        <f>IFERROR(ödev!DC98*100/ödev!$I98,"")</f>
        <v/>
      </c>
      <c r="CS502" s="39" t="str">
        <f>IFERROR(ödev!DD98*100/ödev!$I98,"")</f>
        <v/>
      </c>
      <c r="CT502" s="39" t="str">
        <f>IFERROR(ödev!DE98*100/ödev!$I98,"")</f>
        <v/>
      </c>
      <c r="CU502" s="39" t="str">
        <f>IFERROR(ödev!DF98*100/ödev!$I98,"")</f>
        <v/>
      </c>
      <c r="CV502" s="39" t="str">
        <f>IFERROR(ödev!DG98*100/ödev!$I98,"")</f>
        <v/>
      </c>
      <c r="CW502" s="36" t="str">
        <f>IFERROR(SUM(A502:CV502)/ödev!$DH$103,"")</f>
        <v/>
      </c>
      <c r="CX502" s="14" t="str">
        <f>IF(COUNTA(ödev!A98),ödev!A98,"")</f>
        <v/>
      </c>
      <c r="CY502" s="14" t="str">
        <f>IF(COUNTA(ödev!B98),ödev!B98,"")</f>
        <v/>
      </c>
      <c r="CZ502" s="14" t="str">
        <f>IF(COUNTA(ödev!C98),ödev!C98,"")</f>
        <v/>
      </c>
      <c r="DA502" s="14" t="str">
        <f>IF(COUNTA(ödev!D98),ödev!D98,"")</f>
        <v/>
      </c>
      <c r="DB502" s="14" t="str">
        <f>IF(COUNTA(ödev!E98),ödev!E98,"")</f>
        <v/>
      </c>
      <c r="DC502" s="14" t="str">
        <f>IF(COUNTA(ödev!F98),ödev!F98,"")</f>
        <v/>
      </c>
      <c r="DD502" s="14" t="str">
        <f>IF(COUNTA(ödev!G98),ödev!G98,"")</f>
        <v/>
      </c>
      <c r="DE502" s="14" t="str">
        <f>IF(COUNTA(ödev!H98),ödev!H98,"")</f>
        <v/>
      </c>
    </row>
    <row r="503" spans="1:118" x14ac:dyDescent="0.2">
      <c r="A503" s="39" t="str">
        <f>IFERROR(ödev!L99*100/ödev!$I99,"")</f>
        <v/>
      </c>
      <c r="B503" s="39" t="str">
        <f>IFERROR(ödev!M99*100/ödev!$I99,"")</f>
        <v/>
      </c>
      <c r="C503" s="39" t="str">
        <f>IFERROR(ödev!N99*100/ödev!$I99,"")</f>
        <v/>
      </c>
      <c r="D503" s="39" t="str">
        <f>IFERROR(ödev!O99*100/ödev!$I99,"")</f>
        <v/>
      </c>
      <c r="E503" s="39" t="str">
        <f>IFERROR(ödev!P99*100/ödev!$I99,"")</f>
        <v/>
      </c>
      <c r="F503" s="39" t="str">
        <f>IFERROR(ödev!Q99*100/ödev!$I99,"")</f>
        <v/>
      </c>
      <c r="G503" s="39" t="str">
        <f>IFERROR(ödev!R99*100/ödev!$I99,"")</f>
        <v/>
      </c>
      <c r="H503" s="39" t="str">
        <f>IFERROR(ödev!S99*100/ödev!$I99,"")</f>
        <v/>
      </c>
      <c r="I503" s="39" t="str">
        <f>IFERROR(ödev!T99*100/ödev!$I99,"")</f>
        <v/>
      </c>
      <c r="J503" s="39" t="str">
        <f>IFERROR(ödev!U99*100/ödev!$I99,"")</f>
        <v/>
      </c>
      <c r="K503" s="39" t="str">
        <f>IFERROR(ödev!V99*100/ödev!$I99,"")</f>
        <v/>
      </c>
      <c r="L503" s="39" t="str">
        <f>IFERROR(ödev!W99*100/ödev!$I99,"")</f>
        <v/>
      </c>
      <c r="M503" s="39" t="str">
        <f>IFERROR(ödev!X99*100/ödev!$I99,"")</f>
        <v/>
      </c>
      <c r="N503" s="39" t="str">
        <f>IFERROR(ödev!Y99*100/ödev!$I99,"")</f>
        <v/>
      </c>
      <c r="O503" s="39" t="str">
        <f>IFERROR(ödev!Z99*100/ödev!$I99,"")</f>
        <v/>
      </c>
      <c r="P503" s="39" t="str">
        <f>IFERROR(ödev!AA99*100/ödev!$I99,"")</f>
        <v/>
      </c>
      <c r="Q503" s="39" t="str">
        <f>IFERROR(ödev!AB99*100/ödev!$I99,"")</f>
        <v/>
      </c>
      <c r="R503" s="39" t="str">
        <f>IFERROR(ödev!AC99*100/ödev!$I99,"")</f>
        <v/>
      </c>
      <c r="S503" s="39" t="str">
        <f>IFERROR(ödev!AD99*100/ödev!$I99,"")</f>
        <v/>
      </c>
      <c r="T503" s="39" t="str">
        <f>IFERROR(ödev!AE99*100/ödev!$I99,"")</f>
        <v/>
      </c>
      <c r="U503" s="39" t="str">
        <f>IFERROR(ödev!AF99*100/ödev!$I99,"")</f>
        <v/>
      </c>
      <c r="V503" s="39" t="str">
        <f>IFERROR(ödev!AG99*100/ödev!$I99,"")</f>
        <v/>
      </c>
      <c r="W503" s="39" t="str">
        <f>IFERROR(ödev!AH99*100/ödev!$I99,"")</f>
        <v/>
      </c>
      <c r="X503" s="39" t="str">
        <f>IFERROR(ödev!AI99*100/ödev!$I99,"")</f>
        <v/>
      </c>
      <c r="Y503" s="39" t="str">
        <f>IFERROR(ödev!AJ99*100/ödev!$I99,"")</f>
        <v/>
      </c>
      <c r="Z503" s="39" t="str">
        <f>IFERROR(ödev!AK99*100/ödev!$I99,"")</f>
        <v/>
      </c>
      <c r="AA503" s="39" t="str">
        <f>IFERROR(ödev!AL99*100/ödev!$I99,"")</f>
        <v/>
      </c>
      <c r="AB503" s="39" t="str">
        <f>IFERROR(ödev!AM99*100/ödev!$I99,"")</f>
        <v/>
      </c>
      <c r="AC503" s="39" t="str">
        <f>IFERROR(ödev!AN99*100/ödev!$I99,"")</f>
        <v/>
      </c>
      <c r="AD503" s="39" t="str">
        <f>IFERROR(ödev!AO99*100/ödev!$I99,"")</f>
        <v/>
      </c>
      <c r="AE503" s="39" t="str">
        <f>IFERROR(ödev!AP99*100/ödev!$I99,"")</f>
        <v/>
      </c>
      <c r="AF503" s="39" t="str">
        <f>IFERROR(ödev!AQ99*100/ödev!$I99,"")</f>
        <v/>
      </c>
      <c r="AG503" s="39" t="str">
        <f>IFERROR(ödev!AR99*100/ödev!$I99,"")</f>
        <v/>
      </c>
      <c r="AH503" s="39" t="str">
        <f>IFERROR(ödev!AS99*100/ödev!$I99,"")</f>
        <v/>
      </c>
      <c r="AI503" s="39" t="str">
        <f>IFERROR(ödev!AT99*100/ödev!$I99,"")</f>
        <v/>
      </c>
      <c r="AJ503" s="39" t="str">
        <f>IFERROR(ödev!AU99*100/ödev!$I99,"")</f>
        <v/>
      </c>
      <c r="AK503" s="39" t="str">
        <f>IFERROR(ödev!AV99*100/ödev!$I99,"")</f>
        <v/>
      </c>
      <c r="AL503" s="39" t="str">
        <f>IFERROR(ödev!AW99*100/ödev!$I99,"")</f>
        <v/>
      </c>
      <c r="AM503" s="39" t="str">
        <f>IFERROR(ödev!AX99*100/ödev!$I99,"")</f>
        <v/>
      </c>
      <c r="AN503" s="39" t="str">
        <f>IFERROR(ödev!AY99*100/ödev!$I99,"")</f>
        <v/>
      </c>
      <c r="AO503" s="39" t="str">
        <f>IFERROR(ödev!AZ99*100/ödev!$I99,"")</f>
        <v/>
      </c>
      <c r="AP503" s="39" t="str">
        <f>IFERROR(ödev!BA99*100/ödev!$I99,"")</f>
        <v/>
      </c>
      <c r="AQ503" s="39" t="str">
        <f>IFERROR(ödev!BB99*100/ödev!$I99,"")</f>
        <v/>
      </c>
      <c r="AR503" s="39" t="str">
        <f>IFERROR(ödev!BC99*100/ödev!$I99,"")</f>
        <v/>
      </c>
      <c r="AS503" s="39" t="str">
        <f>IFERROR(ödev!BD99*100/ödev!$I99,"")</f>
        <v/>
      </c>
      <c r="AT503" s="39" t="str">
        <f>IFERROR(ödev!BE99*100/ödev!$I99,"")</f>
        <v/>
      </c>
      <c r="AU503" s="39" t="str">
        <f>IFERROR(ödev!BF99*100/ödev!$I99,"")</f>
        <v/>
      </c>
      <c r="AV503" s="39" t="str">
        <f>IFERROR(ödev!BG99*100/ödev!$I99,"")</f>
        <v/>
      </c>
      <c r="AW503" s="39" t="str">
        <f>IFERROR(ödev!BH99*100/ödev!$I99,"")</f>
        <v/>
      </c>
      <c r="AX503" s="39" t="str">
        <f>IFERROR(ödev!BI99*100/ödev!$I99,"")</f>
        <v/>
      </c>
      <c r="AY503" s="39" t="str">
        <f>IFERROR(ödev!BJ99*100/ödev!$I99,"")</f>
        <v/>
      </c>
      <c r="AZ503" s="39" t="str">
        <f>IFERROR(ödev!BK99*100/ödev!$I99,"")</f>
        <v/>
      </c>
      <c r="BA503" s="39" t="str">
        <f>IFERROR(ödev!BL99*100/ödev!$I99,"")</f>
        <v/>
      </c>
      <c r="BB503" s="39" t="str">
        <f>IFERROR(ödev!BM99*100/ödev!$I99,"")</f>
        <v/>
      </c>
      <c r="BC503" s="39" t="str">
        <f>IFERROR(ödev!BN99*100/ödev!$I99,"")</f>
        <v/>
      </c>
      <c r="BD503" s="39" t="str">
        <f>IFERROR(ödev!BO99*100/ödev!$I99,"")</f>
        <v/>
      </c>
      <c r="BE503" s="39" t="str">
        <f>IFERROR(ödev!BP99*100/ödev!$I99,"")</f>
        <v/>
      </c>
      <c r="BF503" s="39" t="str">
        <f>IFERROR(ödev!BQ99*100/ödev!$I99,"")</f>
        <v/>
      </c>
      <c r="BG503" s="39" t="str">
        <f>IFERROR(ödev!BR99*100/ödev!$I99,"")</f>
        <v/>
      </c>
      <c r="BH503" s="39" t="str">
        <f>IFERROR(ödev!BS99*100/ödev!$I99,"")</f>
        <v/>
      </c>
      <c r="BI503" s="39" t="str">
        <f>IFERROR(ödev!BT99*100/ödev!$I99,"")</f>
        <v/>
      </c>
      <c r="BJ503" s="39" t="str">
        <f>IFERROR(ödev!BU99*100/ödev!$I99,"")</f>
        <v/>
      </c>
      <c r="BK503" s="39" t="str">
        <f>IFERROR(ödev!BV99*100/ödev!$I99,"")</f>
        <v/>
      </c>
      <c r="BL503" s="39" t="str">
        <f>IFERROR(ödev!BW99*100/ödev!$I99,"")</f>
        <v/>
      </c>
      <c r="BM503" s="39" t="str">
        <f>IFERROR(ödev!BX99*100/ödev!$I99,"")</f>
        <v/>
      </c>
      <c r="BN503" s="39" t="str">
        <f>IFERROR(ödev!BY99*100/ödev!$I99,"")</f>
        <v/>
      </c>
      <c r="BO503" s="39" t="str">
        <f>IFERROR(ödev!BZ99*100/ödev!$I99,"")</f>
        <v/>
      </c>
      <c r="BP503" s="39" t="str">
        <f>IFERROR(ödev!CA99*100/ödev!$I99,"")</f>
        <v/>
      </c>
      <c r="BQ503" s="39" t="str">
        <f>IFERROR(ödev!CB99*100/ödev!$I99,"")</f>
        <v/>
      </c>
      <c r="BR503" s="39" t="str">
        <f>IFERROR(ödev!CC99*100/ödev!$I99,"")</f>
        <v/>
      </c>
      <c r="BS503" s="39" t="str">
        <f>IFERROR(ödev!CD99*100/ödev!$I99,"")</f>
        <v/>
      </c>
      <c r="BT503" s="39" t="str">
        <f>IFERROR(ödev!CE99*100/ödev!$I99,"")</f>
        <v/>
      </c>
      <c r="BU503" s="39" t="str">
        <f>IFERROR(ödev!CF99*100/ödev!$I99,"")</f>
        <v/>
      </c>
      <c r="BV503" s="39" t="str">
        <f>IFERROR(ödev!CG99*100/ödev!$I99,"")</f>
        <v/>
      </c>
      <c r="BW503" s="39" t="str">
        <f>IFERROR(ödev!CH99*100/ödev!$I99,"")</f>
        <v/>
      </c>
      <c r="BX503" s="39" t="str">
        <f>IFERROR(ödev!CI99*100/ödev!$I99,"")</f>
        <v/>
      </c>
      <c r="BY503" s="39" t="str">
        <f>IFERROR(ödev!CJ99*100/ödev!$I99,"")</f>
        <v/>
      </c>
      <c r="BZ503" s="39" t="str">
        <f>IFERROR(ödev!CK99*100/ödev!$I99,"")</f>
        <v/>
      </c>
      <c r="CA503" s="39" t="str">
        <f>IFERROR(ödev!CL99*100/ödev!$I99,"")</f>
        <v/>
      </c>
      <c r="CB503" s="39" t="str">
        <f>IFERROR(ödev!CM99*100/ödev!$I99,"")</f>
        <v/>
      </c>
      <c r="CC503" s="39" t="str">
        <f>IFERROR(ödev!CN99*100/ödev!$I99,"")</f>
        <v/>
      </c>
      <c r="CD503" s="39" t="str">
        <f>IFERROR(ödev!CO99*100/ödev!$I99,"")</f>
        <v/>
      </c>
      <c r="CE503" s="39" t="str">
        <f>IFERROR(ödev!CP99*100/ödev!$I99,"")</f>
        <v/>
      </c>
      <c r="CF503" s="39" t="str">
        <f>IFERROR(ödev!CQ99*100/ödev!$I99,"")</f>
        <v/>
      </c>
      <c r="CG503" s="39" t="str">
        <f>IFERROR(ödev!CR99*100/ödev!$I99,"")</f>
        <v/>
      </c>
      <c r="CH503" s="39" t="str">
        <f>IFERROR(ödev!CS99*100/ödev!$I99,"")</f>
        <v/>
      </c>
      <c r="CI503" s="39" t="str">
        <f>IFERROR(ödev!CT99*100/ödev!$I99,"")</f>
        <v/>
      </c>
      <c r="CJ503" s="39" t="str">
        <f>IFERROR(ödev!CU99*100/ödev!$I99,"")</f>
        <v/>
      </c>
      <c r="CK503" s="39" t="str">
        <f>IFERROR(ödev!CV99*100/ödev!$I99,"")</f>
        <v/>
      </c>
      <c r="CL503" s="39" t="str">
        <f>IFERROR(ödev!CW99*100/ödev!$I99,"")</f>
        <v/>
      </c>
      <c r="CM503" s="39" t="str">
        <f>IFERROR(ödev!CX99*100/ödev!$I99,"")</f>
        <v/>
      </c>
      <c r="CN503" s="39" t="str">
        <f>IFERROR(ödev!CY99*100/ödev!$I99,"")</f>
        <v/>
      </c>
      <c r="CO503" s="39" t="str">
        <f>IFERROR(ödev!CZ99*100/ödev!$I99,"")</f>
        <v/>
      </c>
      <c r="CP503" s="39" t="str">
        <f>IFERROR(ödev!DA99*100/ödev!$I99,"")</f>
        <v/>
      </c>
      <c r="CQ503" s="39" t="str">
        <f>IFERROR(ödev!DB99*100/ödev!$I99,"")</f>
        <v/>
      </c>
      <c r="CR503" s="39" t="str">
        <f>IFERROR(ödev!DC99*100/ödev!$I99,"")</f>
        <v/>
      </c>
      <c r="CS503" s="39" t="str">
        <f>IFERROR(ödev!DD99*100/ödev!$I99,"")</f>
        <v/>
      </c>
      <c r="CT503" s="39" t="str">
        <f>IFERROR(ödev!DE99*100/ödev!$I99,"")</f>
        <v/>
      </c>
      <c r="CU503" s="39" t="str">
        <f>IFERROR(ödev!DF99*100/ödev!$I99,"")</f>
        <v/>
      </c>
      <c r="CV503" s="39" t="str">
        <f>IFERROR(ödev!DG99*100/ödev!$I99,"")</f>
        <v/>
      </c>
      <c r="CW503" s="36" t="str">
        <f>IFERROR(SUM(A503:CV503)/ödev!$DH$103,"")</f>
        <v/>
      </c>
      <c r="CX503" s="14" t="str">
        <f>IF(COUNTA(ödev!A99),ödev!A99,"")</f>
        <v/>
      </c>
      <c r="CY503" s="14" t="str">
        <f>IF(COUNTA(ödev!B99),ödev!B99,"")</f>
        <v/>
      </c>
      <c r="CZ503" s="14" t="str">
        <f>IF(COUNTA(ödev!C99),ödev!C99,"")</f>
        <v/>
      </c>
      <c r="DA503" s="14" t="str">
        <f>IF(COUNTA(ödev!D99),ödev!D99,"")</f>
        <v/>
      </c>
      <c r="DB503" s="14" t="str">
        <f>IF(COUNTA(ödev!E99),ödev!E99,"")</f>
        <v/>
      </c>
      <c r="DC503" s="14" t="str">
        <f>IF(COUNTA(ödev!F99),ödev!F99,"")</f>
        <v/>
      </c>
      <c r="DD503" s="14" t="str">
        <f>IF(COUNTA(ödev!G99),ödev!G99,"")</f>
        <v/>
      </c>
      <c r="DE503" s="14" t="str">
        <f>IF(COUNTA(ödev!H99),ödev!H99,"")</f>
        <v/>
      </c>
    </row>
    <row r="504" spans="1:118" x14ac:dyDescent="0.2">
      <c r="A504" s="39" t="str">
        <f>IFERROR(ödev!L100*100/ödev!$I100,"")</f>
        <v/>
      </c>
      <c r="B504" s="39" t="str">
        <f>IFERROR(ödev!M100*100/ödev!$I100,"")</f>
        <v/>
      </c>
      <c r="C504" s="39" t="str">
        <f>IFERROR(ödev!N100*100/ödev!$I100,"")</f>
        <v/>
      </c>
      <c r="D504" s="39" t="str">
        <f>IFERROR(ödev!O100*100/ödev!$I100,"")</f>
        <v/>
      </c>
      <c r="E504" s="39" t="str">
        <f>IFERROR(ödev!P100*100/ödev!$I100,"")</f>
        <v/>
      </c>
      <c r="F504" s="39" t="str">
        <f>IFERROR(ödev!Q100*100/ödev!$I100,"")</f>
        <v/>
      </c>
      <c r="G504" s="39" t="str">
        <f>IFERROR(ödev!R100*100/ödev!$I100,"")</f>
        <v/>
      </c>
      <c r="H504" s="39" t="str">
        <f>IFERROR(ödev!S100*100/ödev!$I100,"")</f>
        <v/>
      </c>
      <c r="I504" s="39" t="str">
        <f>IFERROR(ödev!T100*100/ödev!$I100,"")</f>
        <v/>
      </c>
      <c r="J504" s="39" t="str">
        <f>IFERROR(ödev!U100*100/ödev!$I100,"")</f>
        <v/>
      </c>
      <c r="K504" s="39" t="str">
        <f>IFERROR(ödev!V100*100/ödev!$I100,"")</f>
        <v/>
      </c>
      <c r="L504" s="39" t="str">
        <f>IFERROR(ödev!W100*100/ödev!$I100,"")</f>
        <v/>
      </c>
      <c r="M504" s="39" t="str">
        <f>IFERROR(ödev!X100*100/ödev!$I100,"")</f>
        <v/>
      </c>
      <c r="N504" s="39" t="str">
        <f>IFERROR(ödev!Y100*100/ödev!$I100,"")</f>
        <v/>
      </c>
      <c r="O504" s="39" t="str">
        <f>IFERROR(ödev!Z100*100/ödev!$I100,"")</f>
        <v/>
      </c>
      <c r="P504" s="39" t="str">
        <f>IFERROR(ödev!AA100*100/ödev!$I100,"")</f>
        <v/>
      </c>
      <c r="Q504" s="39" t="str">
        <f>IFERROR(ödev!AB100*100/ödev!$I100,"")</f>
        <v/>
      </c>
      <c r="R504" s="39" t="str">
        <f>IFERROR(ödev!AC100*100/ödev!$I100,"")</f>
        <v/>
      </c>
      <c r="S504" s="39" t="str">
        <f>IFERROR(ödev!AD100*100/ödev!$I100,"")</f>
        <v/>
      </c>
      <c r="T504" s="39" t="str">
        <f>IFERROR(ödev!AE100*100/ödev!$I100,"")</f>
        <v/>
      </c>
      <c r="U504" s="39" t="str">
        <f>IFERROR(ödev!AF100*100/ödev!$I100,"")</f>
        <v/>
      </c>
      <c r="V504" s="39" t="str">
        <f>IFERROR(ödev!AG100*100/ödev!$I100,"")</f>
        <v/>
      </c>
      <c r="W504" s="39" t="str">
        <f>IFERROR(ödev!AH100*100/ödev!$I100,"")</f>
        <v/>
      </c>
      <c r="X504" s="39" t="str">
        <f>IFERROR(ödev!AI100*100/ödev!$I100,"")</f>
        <v/>
      </c>
      <c r="Y504" s="39" t="str">
        <f>IFERROR(ödev!AJ100*100/ödev!$I100,"")</f>
        <v/>
      </c>
      <c r="Z504" s="39" t="str">
        <f>IFERROR(ödev!AK100*100/ödev!$I100,"")</f>
        <v/>
      </c>
      <c r="AA504" s="39" t="str">
        <f>IFERROR(ödev!AL100*100/ödev!$I100,"")</f>
        <v/>
      </c>
      <c r="AB504" s="39" t="str">
        <f>IFERROR(ödev!AM100*100/ödev!$I100,"")</f>
        <v/>
      </c>
      <c r="AC504" s="39" t="str">
        <f>IFERROR(ödev!AN100*100/ödev!$I100,"")</f>
        <v/>
      </c>
      <c r="AD504" s="39" t="str">
        <f>IFERROR(ödev!AO100*100/ödev!$I100,"")</f>
        <v/>
      </c>
      <c r="AE504" s="39" t="str">
        <f>IFERROR(ödev!AP100*100/ödev!$I100,"")</f>
        <v/>
      </c>
      <c r="AF504" s="39" t="str">
        <f>IFERROR(ödev!AQ100*100/ödev!$I100,"")</f>
        <v/>
      </c>
      <c r="AG504" s="39" t="str">
        <f>IFERROR(ödev!AR100*100/ödev!$I100,"")</f>
        <v/>
      </c>
      <c r="AH504" s="39" t="str">
        <f>IFERROR(ödev!AS100*100/ödev!$I100,"")</f>
        <v/>
      </c>
      <c r="AI504" s="39" t="str">
        <f>IFERROR(ödev!AT100*100/ödev!$I100,"")</f>
        <v/>
      </c>
      <c r="AJ504" s="39" t="str">
        <f>IFERROR(ödev!AU100*100/ödev!$I100,"")</f>
        <v/>
      </c>
      <c r="AK504" s="39" t="str">
        <f>IFERROR(ödev!AV100*100/ödev!$I100,"")</f>
        <v/>
      </c>
      <c r="AL504" s="39" t="str">
        <f>IFERROR(ödev!AW100*100/ödev!$I100,"")</f>
        <v/>
      </c>
      <c r="AM504" s="39" t="str">
        <f>IFERROR(ödev!AX100*100/ödev!$I100,"")</f>
        <v/>
      </c>
      <c r="AN504" s="39" t="str">
        <f>IFERROR(ödev!AY100*100/ödev!$I100,"")</f>
        <v/>
      </c>
      <c r="AO504" s="39" t="str">
        <f>IFERROR(ödev!AZ100*100/ödev!$I100,"")</f>
        <v/>
      </c>
      <c r="AP504" s="39" t="str">
        <f>IFERROR(ödev!BA100*100/ödev!$I100,"")</f>
        <v/>
      </c>
      <c r="AQ504" s="39" t="str">
        <f>IFERROR(ödev!BB100*100/ödev!$I100,"")</f>
        <v/>
      </c>
      <c r="AR504" s="39" t="str">
        <f>IFERROR(ödev!BC100*100/ödev!$I100,"")</f>
        <v/>
      </c>
      <c r="AS504" s="39" t="str">
        <f>IFERROR(ödev!BD100*100/ödev!$I100,"")</f>
        <v/>
      </c>
      <c r="AT504" s="39" t="str">
        <f>IFERROR(ödev!BE100*100/ödev!$I100,"")</f>
        <v/>
      </c>
      <c r="AU504" s="39" t="str">
        <f>IFERROR(ödev!BF100*100/ödev!$I100,"")</f>
        <v/>
      </c>
      <c r="AV504" s="39" t="str">
        <f>IFERROR(ödev!BG100*100/ödev!$I100,"")</f>
        <v/>
      </c>
      <c r="AW504" s="39" t="str">
        <f>IFERROR(ödev!BH100*100/ödev!$I100,"")</f>
        <v/>
      </c>
      <c r="AX504" s="39" t="str">
        <f>IFERROR(ödev!BI100*100/ödev!$I100,"")</f>
        <v/>
      </c>
      <c r="AY504" s="39" t="str">
        <f>IFERROR(ödev!BJ100*100/ödev!$I100,"")</f>
        <v/>
      </c>
      <c r="AZ504" s="39" t="str">
        <f>IFERROR(ödev!BK100*100/ödev!$I100,"")</f>
        <v/>
      </c>
      <c r="BA504" s="39" t="str">
        <f>IFERROR(ödev!BL100*100/ödev!$I100,"")</f>
        <v/>
      </c>
      <c r="BB504" s="39" t="str">
        <f>IFERROR(ödev!BM100*100/ödev!$I100,"")</f>
        <v/>
      </c>
      <c r="BC504" s="39" t="str">
        <f>IFERROR(ödev!BN100*100/ödev!$I100,"")</f>
        <v/>
      </c>
      <c r="BD504" s="39" t="str">
        <f>IFERROR(ödev!BO100*100/ödev!$I100,"")</f>
        <v/>
      </c>
      <c r="BE504" s="39" t="str">
        <f>IFERROR(ödev!BP100*100/ödev!$I100,"")</f>
        <v/>
      </c>
      <c r="BF504" s="39" t="str">
        <f>IFERROR(ödev!BQ100*100/ödev!$I100,"")</f>
        <v/>
      </c>
      <c r="BG504" s="39" t="str">
        <f>IFERROR(ödev!BR100*100/ödev!$I100,"")</f>
        <v/>
      </c>
      <c r="BH504" s="39" t="str">
        <f>IFERROR(ödev!BS100*100/ödev!$I100,"")</f>
        <v/>
      </c>
      <c r="BI504" s="39" t="str">
        <f>IFERROR(ödev!BT100*100/ödev!$I100,"")</f>
        <v/>
      </c>
      <c r="BJ504" s="39" t="str">
        <f>IFERROR(ödev!BU100*100/ödev!$I100,"")</f>
        <v/>
      </c>
      <c r="BK504" s="39" t="str">
        <f>IFERROR(ödev!BV100*100/ödev!$I100,"")</f>
        <v/>
      </c>
      <c r="BL504" s="39" t="str">
        <f>IFERROR(ödev!BW100*100/ödev!$I100,"")</f>
        <v/>
      </c>
      <c r="BM504" s="39" t="str">
        <f>IFERROR(ödev!BX100*100/ödev!$I100,"")</f>
        <v/>
      </c>
      <c r="BN504" s="39" t="str">
        <f>IFERROR(ödev!BY100*100/ödev!$I100,"")</f>
        <v/>
      </c>
      <c r="BO504" s="39" t="str">
        <f>IFERROR(ödev!BZ100*100/ödev!$I100,"")</f>
        <v/>
      </c>
      <c r="BP504" s="39" t="str">
        <f>IFERROR(ödev!CA100*100/ödev!$I100,"")</f>
        <v/>
      </c>
      <c r="BQ504" s="39" t="str">
        <f>IFERROR(ödev!CB100*100/ödev!$I100,"")</f>
        <v/>
      </c>
      <c r="BR504" s="39" t="str">
        <f>IFERROR(ödev!CC100*100/ödev!$I100,"")</f>
        <v/>
      </c>
      <c r="BS504" s="39" t="str">
        <f>IFERROR(ödev!CD100*100/ödev!$I100,"")</f>
        <v/>
      </c>
      <c r="BT504" s="39" t="str">
        <f>IFERROR(ödev!CE100*100/ödev!$I100,"")</f>
        <v/>
      </c>
      <c r="BU504" s="39" t="str">
        <f>IFERROR(ödev!CF100*100/ödev!$I100,"")</f>
        <v/>
      </c>
      <c r="BV504" s="39" t="str">
        <f>IFERROR(ödev!CG100*100/ödev!$I100,"")</f>
        <v/>
      </c>
      <c r="BW504" s="39" t="str">
        <f>IFERROR(ödev!CH100*100/ödev!$I100,"")</f>
        <v/>
      </c>
      <c r="BX504" s="39" t="str">
        <f>IFERROR(ödev!CI100*100/ödev!$I100,"")</f>
        <v/>
      </c>
      <c r="BY504" s="39" t="str">
        <f>IFERROR(ödev!CJ100*100/ödev!$I100,"")</f>
        <v/>
      </c>
      <c r="BZ504" s="39" t="str">
        <f>IFERROR(ödev!CK100*100/ödev!$I100,"")</f>
        <v/>
      </c>
      <c r="CA504" s="39" t="str">
        <f>IFERROR(ödev!CL100*100/ödev!$I100,"")</f>
        <v/>
      </c>
      <c r="CB504" s="39" t="str">
        <f>IFERROR(ödev!CM100*100/ödev!$I100,"")</f>
        <v/>
      </c>
      <c r="CC504" s="39" t="str">
        <f>IFERROR(ödev!CN100*100/ödev!$I100,"")</f>
        <v/>
      </c>
      <c r="CD504" s="39" t="str">
        <f>IFERROR(ödev!CO100*100/ödev!$I100,"")</f>
        <v/>
      </c>
      <c r="CE504" s="39" t="str">
        <f>IFERROR(ödev!CP100*100/ödev!$I100,"")</f>
        <v/>
      </c>
      <c r="CF504" s="39" t="str">
        <f>IFERROR(ödev!CQ100*100/ödev!$I100,"")</f>
        <v/>
      </c>
      <c r="CG504" s="39" t="str">
        <f>IFERROR(ödev!CR100*100/ödev!$I100,"")</f>
        <v/>
      </c>
      <c r="CH504" s="39" t="str">
        <f>IFERROR(ödev!CS100*100/ödev!$I100,"")</f>
        <v/>
      </c>
      <c r="CI504" s="39" t="str">
        <f>IFERROR(ödev!CT100*100/ödev!$I100,"")</f>
        <v/>
      </c>
      <c r="CJ504" s="39" t="str">
        <f>IFERROR(ödev!CU100*100/ödev!$I100,"")</f>
        <v/>
      </c>
      <c r="CK504" s="39" t="str">
        <f>IFERROR(ödev!CV100*100/ödev!$I100,"")</f>
        <v/>
      </c>
      <c r="CL504" s="39" t="str">
        <f>IFERROR(ödev!CW100*100/ödev!$I100,"")</f>
        <v/>
      </c>
      <c r="CM504" s="39" t="str">
        <f>IFERROR(ödev!CX100*100/ödev!$I100,"")</f>
        <v/>
      </c>
      <c r="CN504" s="39" t="str">
        <f>IFERROR(ödev!CY100*100/ödev!$I100,"")</f>
        <v/>
      </c>
      <c r="CO504" s="39" t="str">
        <f>IFERROR(ödev!CZ100*100/ödev!$I100,"")</f>
        <v/>
      </c>
      <c r="CP504" s="39" t="str">
        <f>IFERROR(ödev!DA100*100/ödev!$I100,"")</f>
        <v/>
      </c>
      <c r="CQ504" s="39" t="str">
        <f>IFERROR(ödev!DB100*100/ödev!$I100,"")</f>
        <v/>
      </c>
      <c r="CR504" s="39" t="str">
        <f>IFERROR(ödev!DC100*100/ödev!$I100,"")</f>
        <v/>
      </c>
      <c r="CS504" s="39" t="str">
        <f>IFERROR(ödev!DD100*100/ödev!$I100,"")</f>
        <v/>
      </c>
      <c r="CT504" s="39" t="str">
        <f>IFERROR(ödev!DE100*100/ödev!$I100,"")</f>
        <v/>
      </c>
      <c r="CU504" s="39" t="str">
        <f>IFERROR(ödev!DF100*100/ödev!$I100,"")</f>
        <v/>
      </c>
      <c r="CV504" s="39" t="str">
        <f>IFERROR(ödev!DG100*100/ödev!$I100,"")</f>
        <v/>
      </c>
      <c r="CW504" s="36" t="str">
        <f>IFERROR(SUM(A504:CV504)/ödev!$DH$103,"")</f>
        <v/>
      </c>
      <c r="CX504" s="14" t="str">
        <f>IF(COUNTA(ödev!A100),ödev!A100,"")</f>
        <v/>
      </c>
      <c r="CY504" s="14" t="str">
        <f>IF(COUNTA(ödev!B100),ödev!B100,"")</f>
        <v/>
      </c>
      <c r="CZ504" s="14" t="str">
        <f>IF(COUNTA(ödev!C100),ödev!C100,"")</f>
        <v/>
      </c>
      <c r="DA504" s="14" t="str">
        <f>IF(COUNTA(ödev!D100),ödev!D100,"")</f>
        <v/>
      </c>
      <c r="DB504" s="14" t="str">
        <f>IF(COUNTA(ödev!E100),ödev!E100,"")</f>
        <v/>
      </c>
      <c r="DC504" s="14" t="str">
        <f>IF(COUNTA(ödev!F100),ödev!F100,"")</f>
        <v/>
      </c>
      <c r="DD504" s="14" t="str">
        <f>IF(COUNTA(ödev!G100),ödev!G100,"")</f>
        <v/>
      </c>
      <c r="DE504" s="14" t="str">
        <f>IF(COUNTA(ödev!H100),ödev!H100,"")</f>
        <v/>
      </c>
    </row>
    <row r="505" spans="1:118" x14ac:dyDescent="0.2">
      <c r="A505" s="39" t="str">
        <f>IFERROR(ödev!L101*100/ödev!$I101,"")</f>
        <v/>
      </c>
      <c r="B505" s="39" t="str">
        <f>IFERROR(ödev!M101*100/ödev!$I101,"")</f>
        <v/>
      </c>
      <c r="C505" s="39" t="str">
        <f>IFERROR(ödev!N101*100/ödev!$I101,"")</f>
        <v/>
      </c>
      <c r="D505" s="39" t="str">
        <f>IFERROR(ödev!O101*100/ödev!$I101,"")</f>
        <v/>
      </c>
      <c r="E505" s="39" t="str">
        <f>IFERROR(ödev!P101*100/ödev!$I101,"")</f>
        <v/>
      </c>
      <c r="F505" s="39" t="str">
        <f>IFERROR(ödev!Q101*100/ödev!$I101,"")</f>
        <v/>
      </c>
      <c r="G505" s="39" t="str">
        <f>IFERROR(ödev!R101*100/ödev!$I101,"")</f>
        <v/>
      </c>
      <c r="H505" s="39" t="str">
        <f>IFERROR(ödev!S101*100/ödev!$I101,"")</f>
        <v/>
      </c>
      <c r="I505" s="39" t="str">
        <f>IFERROR(ödev!T101*100/ödev!$I101,"")</f>
        <v/>
      </c>
      <c r="J505" s="39" t="str">
        <f>IFERROR(ödev!U101*100/ödev!$I101,"")</f>
        <v/>
      </c>
      <c r="K505" s="39" t="str">
        <f>IFERROR(ödev!V101*100/ödev!$I101,"")</f>
        <v/>
      </c>
      <c r="L505" s="39" t="str">
        <f>IFERROR(ödev!W101*100/ödev!$I101,"")</f>
        <v/>
      </c>
      <c r="M505" s="39" t="str">
        <f>IFERROR(ödev!X101*100/ödev!$I101,"")</f>
        <v/>
      </c>
      <c r="N505" s="39" t="str">
        <f>IFERROR(ödev!Y101*100/ödev!$I101,"")</f>
        <v/>
      </c>
      <c r="O505" s="39" t="str">
        <f>IFERROR(ödev!Z101*100/ödev!$I101,"")</f>
        <v/>
      </c>
      <c r="P505" s="39" t="str">
        <f>IFERROR(ödev!AA101*100/ödev!$I101,"")</f>
        <v/>
      </c>
      <c r="Q505" s="39" t="str">
        <f>IFERROR(ödev!AB101*100/ödev!$I101,"")</f>
        <v/>
      </c>
      <c r="R505" s="39" t="str">
        <f>IFERROR(ödev!AC101*100/ödev!$I101,"")</f>
        <v/>
      </c>
      <c r="S505" s="39" t="str">
        <f>IFERROR(ödev!AD101*100/ödev!$I101,"")</f>
        <v/>
      </c>
      <c r="T505" s="39" t="str">
        <f>IFERROR(ödev!AE101*100/ödev!$I101,"")</f>
        <v/>
      </c>
      <c r="U505" s="39" t="str">
        <f>IFERROR(ödev!AF101*100/ödev!$I101,"")</f>
        <v/>
      </c>
      <c r="V505" s="39" t="str">
        <f>IFERROR(ödev!AG101*100/ödev!$I101,"")</f>
        <v/>
      </c>
      <c r="W505" s="39" t="str">
        <f>IFERROR(ödev!AH101*100/ödev!$I101,"")</f>
        <v/>
      </c>
      <c r="X505" s="39" t="str">
        <f>IFERROR(ödev!AI101*100/ödev!$I101,"")</f>
        <v/>
      </c>
      <c r="Y505" s="39" t="str">
        <f>IFERROR(ödev!AJ101*100/ödev!$I101,"")</f>
        <v/>
      </c>
      <c r="Z505" s="39" t="str">
        <f>IFERROR(ödev!AK101*100/ödev!$I101,"")</f>
        <v/>
      </c>
      <c r="AA505" s="39" t="str">
        <f>IFERROR(ödev!AL101*100/ödev!$I101,"")</f>
        <v/>
      </c>
      <c r="AB505" s="39" t="str">
        <f>IFERROR(ödev!AM101*100/ödev!$I101,"")</f>
        <v/>
      </c>
      <c r="AC505" s="39" t="str">
        <f>IFERROR(ödev!AN101*100/ödev!$I101,"")</f>
        <v/>
      </c>
      <c r="AD505" s="39" t="str">
        <f>IFERROR(ödev!AO101*100/ödev!$I101,"")</f>
        <v/>
      </c>
      <c r="AE505" s="39" t="str">
        <f>IFERROR(ödev!AP101*100/ödev!$I101,"")</f>
        <v/>
      </c>
      <c r="AF505" s="39" t="str">
        <f>IFERROR(ödev!AQ101*100/ödev!$I101,"")</f>
        <v/>
      </c>
      <c r="AG505" s="39" t="str">
        <f>IFERROR(ödev!AR101*100/ödev!$I101,"")</f>
        <v/>
      </c>
      <c r="AH505" s="39" t="str">
        <f>IFERROR(ödev!AS101*100/ödev!$I101,"")</f>
        <v/>
      </c>
      <c r="AI505" s="39" t="str">
        <f>IFERROR(ödev!AT101*100/ödev!$I101,"")</f>
        <v/>
      </c>
      <c r="AJ505" s="39" t="str">
        <f>IFERROR(ödev!AU101*100/ödev!$I101,"")</f>
        <v/>
      </c>
      <c r="AK505" s="39" t="str">
        <f>IFERROR(ödev!AV101*100/ödev!$I101,"")</f>
        <v/>
      </c>
      <c r="AL505" s="39" t="str">
        <f>IFERROR(ödev!AW101*100/ödev!$I101,"")</f>
        <v/>
      </c>
      <c r="AM505" s="39" t="str">
        <f>IFERROR(ödev!AX101*100/ödev!$I101,"")</f>
        <v/>
      </c>
      <c r="AN505" s="39" t="str">
        <f>IFERROR(ödev!AY101*100/ödev!$I101,"")</f>
        <v/>
      </c>
      <c r="AO505" s="39" t="str">
        <f>IFERROR(ödev!AZ101*100/ödev!$I101,"")</f>
        <v/>
      </c>
      <c r="AP505" s="39" t="str">
        <f>IFERROR(ödev!BA101*100/ödev!$I101,"")</f>
        <v/>
      </c>
      <c r="AQ505" s="39" t="str">
        <f>IFERROR(ödev!BB101*100/ödev!$I101,"")</f>
        <v/>
      </c>
      <c r="AR505" s="39" t="str">
        <f>IFERROR(ödev!BC101*100/ödev!$I101,"")</f>
        <v/>
      </c>
      <c r="AS505" s="39" t="str">
        <f>IFERROR(ödev!BD101*100/ödev!$I101,"")</f>
        <v/>
      </c>
      <c r="AT505" s="39" t="str">
        <f>IFERROR(ödev!BE101*100/ödev!$I101,"")</f>
        <v/>
      </c>
      <c r="AU505" s="39" t="str">
        <f>IFERROR(ödev!BF101*100/ödev!$I101,"")</f>
        <v/>
      </c>
      <c r="AV505" s="39" t="str">
        <f>IFERROR(ödev!BG101*100/ödev!$I101,"")</f>
        <v/>
      </c>
      <c r="AW505" s="39" t="str">
        <f>IFERROR(ödev!BH101*100/ödev!$I101,"")</f>
        <v/>
      </c>
      <c r="AX505" s="39" t="str">
        <f>IFERROR(ödev!BI101*100/ödev!$I101,"")</f>
        <v/>
      </c>
      <c r="AY505" s="39" t="str">
        <f>IFERROR(ödev!BJ101*100/ödev!$I101,"")</f>
        <v/>
      </c>
      <c r="AZ505" s="39" t="str">
        <f>IFERROR(ödev!BK101*100/ödev!$I101,"")</f>
        <v/>
      </c>
      <c r="BA505" s="39" t="str">
        <f>IFERROR(ödev!BL101*100/ödev!$I101,"")</f>
        <v/>
      </c>
      <c r="BB505" s="39" t="str">
        <f>IFERROR(ödev!BM101*100/ödev!$I101,"")</f>
        <v/>
      </c>
      <c r="BC505" s="39" t="str">
        <f>IFERROR(ödev!BN101*100/ödev!$I101,"")</f>
        <v/>
      </c>
      <c r="BD505" s="39" t="str">
        <f>IFERROR(ödev!BO101*100/ödev!$I101,"")</f>
        <v/>
      </c>
      <c r="BE505" s="39" t="str">
        <f>IFERROR(ödev!BP101*100/ödev!$I101,"")</f>
        <v/>
      </c>
      <c r="BF505" s="39" t="str">
        <f>IFERROR(ödev!BQ101*100/ödev!$I101,"")</f>
        <v/>
      </c>
      <c r="BG505" s="39" t="str">
        <f>IFERROR(ödev!BR101*100/ödev!$I101,"")</f>
        <v/>
      </c>
      <c r="BH505" s="39" t="str">
        <f>IFERROR(ödev!BS101*100/ödev!$I101,"")</f>
        <v/>
      </c>
      <c r="BI505" s="39" t="str">
        <f>IFERROR(ödev!BT101*100/ödev!$I101,"")</f>
        <v/>
      </c>
      <c r="BJ505" s="39" t="str">
        <f>IFERROR(ödev!BU101*100/ödev!$I101,"")</f>
        <v/>
      </c>
      <c r="BK505" s="39" t="str">
        <f>IFERROR(ödev!BV101*100/ödev!$I101,"")</f>
        <v/>
      </c>
      <c r="BL505" s="39" t="str">
        <f>IFERROR(ödev!BW101*100/ödev!$I101,"")</f>
        <v/>
      </c>
      <c r="BM505" s="39" t="str">
        <f>IFERROR(ödev!BX101*100/ödev!$I101,"")</f>
        <v/>
      </c>
      <c r="BN505" s="39" t="str">
        <f>IFERROR(ödev!BY101*100/ödev!$I101,"")</f>
        <v/>
      </c>
      <c r="BO505" s="39" t="str">
        <f>IFERROR(ödev!BZ101*100/ödev!$I101,"")</f>
        <v/>
      </c>
      <c r="BP505" s="39" t="str">
        <f>IFERROR(ödev!CA101*100/ödev!$I101,"")</f>
        <v/>
      </c>
      <c r="BQ505" s="39" t="str">
        <f>IFERROR(ödev!CB101*100/ödev!$I101,"")</f>
        <v/>
      </c>
      <c r="BR505" s="39" t="str">
        <f>IFERROR(ödev!CC101*100/ödev!$I101,"")</f>
        <v/>
      </c>
      <c r="BS505" s="39" t="str">
        <f>IFERROR(ödev!CD101*100/ödev!$I101,"")</f>
        <v/>
      </c>
      <c r="BT505" s="39" t="str">
        <f>IFERROR(ödev!CE101*100/ödev!$I101,"")</f>
        <v/>
      </c>
      <c r="BU505" s="39" t="str">
        <f>IFERROR(ödev!CF101*100/ödev!$I101,"")</f>
        <v/>
      </c>
      <c r="BV505" s="39" t="str">
        <f>IFERROR(ödev!CG101*100/ödev!$I101,"")</f>
        <v/>
      </c>
      <c r="BW505" s="39" t="str">
        <f>IFERROR(ödev!CH101*100/ödev!$I101,"")</f>
        <v/>
      </c>
      <c r="BX505" s="39" t="str">
        <f>IFERROR(ödev!CI101*100/ödev!$I101,"")</f>
        <v/>
      </c>
      <c r="BY505" s="39" t="str">
        <f>IFERROR(ödev!CJ101*100/ödev!$I101,"")</f>
        <v/>
      </c>
      <c r="BZ505" s="39" t="str">
        <f>IFERROR(ödev!CK101*100/ödev!$I101,"")</f>
        <v/>
      </c>
      <c r="CA505" s="39" t="str">
        <f>IFERROR(ödev!CL101*100/ödev!$I101,"")</f>
        <v/>
      </c>
      <c r="CB505" s="39" t="str">
        <f>IFERROR(ödev!CM101*100/ödev!$I101,"")</f>
        <v/>
      </c>
      <c r="CC505" s="39" t="str">
        <f>IFERROR(ödev!CN101*100/ödev!$I101,"")</f>
        <v/>
      </c>
      <c r="CD505" s="39" t="str">
        <f>IFERROR(ödev!CO101*100/ödev!$I101,"")</f>
        <v/>
      </c>
      <c r="CE505" s="39" t="str">
        <f>IFERROR(ödev!CP101*100/ödev!$I101,"")</f>
        <v/>
      </c>
      <c r="CF505" s="39" t="str">
        <f>IFERROR(ödev!CQ101*100/ödev!$I101,"")</f>
        <v/>
      </c>
      <c r="CG505" s="39" t="str">
        <f>IFERROR(ödev!CR101*100/ödev!$I101,"")</f>
        <v/>
      </c>
      <c r="CH505" s="39" t="str">
        <f>IFERROR(ödev!CS101*100/ödev!$I101,"")</f>
        <v/>
      </c>
      <c r="CI505" s="39" t="str">
        <f>IFERROR(ödev!CT101*100/ödev!$I101,"")</f>
        <v/>
      </c>
      <c r="CJ505" s="39" t="str">
        <f>IFERROR(ödev!CU101*100/ödev!$I101,"")</f>
        <v/>
      </c>
      <c r="CK505" s="39" t="str">
        <f>IFERROR(ödev!CV101*100/ödev!$I101,"")</f>
        <v/>
      </c>
      <c r="CL505" s="39" t="str">
        <f>IFERROR(ödev!CW101*100/ödev!$I101,"")</f>
        <v/>
      </c>
      <c r="CM505" s="39" t="str">
        <f>IFERROR(ödev!CX101*100/ödev!$I101,"")</f>
        <v/>
      </c>
      <c r="CN505" s="39" t="str">
        <f>IFERROR(ödev!CY101*100/ödev!$I101,"")</f>
        <v/>
      </c>
      <c r="CO505" s="39" t="str">
        <f>IFERROR(ödev!CZ101*100/ödev!$I101,"")</f>
        <v/>
      </c>
      <c r="CP505" s="39" t="str">
        <f>IFERROR(ödev!DA101*100/ödev!$I101,"")</f>
        <v/>
      </c>
      <c r="CQ505" s="39" t="str">
        <f>IFERROR(ödev!DB101*100/ödev!$I101,"")</f>
        <v/>
      </c>
      <c r="CR505" s="39" t="str">
        <f>IFERROR(ödev!DC101*100/ödev!$I101,"")</f>
        <v/>
      </c>
      <c r="CS505" s="39" t="str">
        <f>IFERROR(ödev!DD101*100/ödev!$I101,"")</f>
        <v/>
      </c>
      <c r="CT505" s="39" t="str">
        <f>IFERROR(ödev!DE101*100/ödev!$I101,"")</f>
        <v/>
      </c>
      <c r="CU505" s="39" t="str">
        <f>IFERROR(ödev!DF101*100/ödev!$I101,"")</f>
        <v/>
      </c>
      <c r="CV505" s="39" t="str">
        <f>IFERROR(ödev!DG101*100/ödev!$I101,"")</f>
        <v/>
      </c>
      <c r="CW505" s="36" t="str">
        <f>IFERROR(SUM(A505:CV505)/ödev!$DH$103,"")</f>
        <v/>
      </c>
      <c r="CX505" s="14" t="str">
        <f>IF(COUNTA(ödev!A101),ödev!A101,"")</f>
        <v/>
      </c>
      <c r="CY505" s="14" t="str">
        <f>IF(COUNTA(ödev!B101),ödev!B101,"")</f>
        <v/>
      </c>
      <c r="CZ505" s="14" t="str">
        <f>IF(COUNTA(ödev!C101),ödev!C101,"")</f>
        <v/>
      </c>
      <c r="DA505" s="14" t="str">
        <f>IF(COUNTA(ödev!D101),ödev!D101,"")</f>
        <v/>
      </c>
      <c r="DB505" s="14" t="str">
        <f>IF(COUNTA(ödev!E101),ödev!E101,"")</f>
        <v/>
      </c>
      <c r="DC505" s="14" t="str">
        <f>IF(COUNTA(ödev!F101),ödev!F101,"")</f>
        <v/>
      </c>
      <c r="DD505" s="14" t="str">
        <f>IF(COUNTA(ödev!G101),ödev!G101,"")</f>
        <v/>
      </c>
      <c r="DE505" s="14" t="str">
        <f>IF(COUNTA(ödev!H101),ödev!H101,"")</f>
        <v/>
      </c>
    </row>
    <row r="507" spans="1:118" x14ac:dyDescent="0.2">
      <c r="A507" s="39" t="str">
        <f>IFERROR(proje!L2*100/proje!$I2,"")</f>
        <v/>
      </c>
      <c r="B507" s="39" t="str">
        <f>IFERROR(proje!M2*100/proje!$I2,"")</f>
        <v/>
      </c>
      <c r="C507" s="39" t="str">
        <f>IFERROR(proje!N2*100/proje!$I2,"")</f>
        <v/>
      </c>
      <c r="D507" s="39" t="str">
        <f>IFERROR(proje!O2*100/proje!$I2,"")</f>
        <v/>
      </c>
      <c r="E507" s="39" t="str">
        <f>IFERROR(proje!P2*100/proje!$I2,"")</f>
        <v/>
      </c>
      <c r="F507" s="39" t="str">
        <f>IFERROR(proje!Q2*100/proje!$I2,"")</f>
        <v/>
      </c>
      <c r="G507" s="39" t="str">
        <f>IFERROR(proje!R2*100/proje!$I2,"")</f>
        <v/>
      </c>
      <c r="H507" s="39" t="str">
        <f>IFERROR(proje!S2*100/proje!$I2,"")</f>
        <v/>
      </c>
      <c r="I507" s="39" t="str">
        <f>IFERROR(proje!T2*100/proje!$I2,"")</f>
        <v/>
      </c>
      <c r="J507" s="39" t="str">
        <f>IFERROR(proje!U2*100/proje!$I2,"")</f>
        <v/>
      </c>
      <c r="K507" s="39" t="str">
        <f>IFERROR(proje!V2*100/proje!$I2,"")</f>
        <v/>
      </c>
      <c r="L507" s="39" t="str">
        <f>IFERROR(proje!W2*100/proje!$I2,"")</f>
        <v/>
      </c>
      <c r="M507" s="39" t="str">
        <f>IFERROR(proje!X2*100/proje!$I2,"")</f>
        <v/>
      </c>
      <c r="N507" s="39" t="str">
        <f>IFERROR(proje!Y2*100/proje!$I2,"")</f>
        <v/>
      </c>
      <c r="O507" s="39" t="str">
        <f>IFERROR(proje!Z2*100/proje!$I2,"")</f>
        <v/>
      </c>
      <c r="P507" s="39" t="str">
        <f>IFERROR(proje!AA2*100/proje!$I2,"")</f>
        <v/>
      </c>
      <c r="Q507" s="39" t="str">
        <f>IFERROR(proje!AB2*100/proje!$I2,"")</f>
        <v/>
      </c>
      <c r="R507" s="39" t="str">
        <f>IFERROR(proje!AC2*100/proje!$I2,"")</f>
        <v/>
      </c>
      <c r="S507" s="39" t="str">
        <f>IFERROR(proje!AD2*100/proje!$I2,"")</f>
        <v/>
      </c>
      <c r="T507" s="39" t="str">
        <f>IFERROR(proje!AE2*100/proje!$I2,"")</f>
        <v/>
      </c>
      <c r="U507" s="39" t="str">
        <f>IFERROR(proje!AF2*100/proje!$I2,"")</f>
        <v/>
      </c>
      <c r="V507" s="39" t="str">
        <f>IFERROR(proje!AG2*100/proje!$I2,"")</f>
        <v/>
      </c>
      <c r="W507" s="39" t="str">
        <f>IFERROR(proje!AH2*100/proje!$I2,"")</f>
        <v/>
      </c>
      <c r="X507" s="39" t="str">
        <f>IFERROR(proje!AI2*100/proje!$I2,"")</f>
        <v/>
      </c>
      <c r="Y507" s="39" t="str">
        <f>IFERROR(proje!AJ2*100/proje!$I2,"")</f>
        <v/>
      </c>
      <c r="Z507" s="39" t="str">
        <f>IFERROR(proje!AK2*100/proje!$I2,"")</f>
        <v/>
      </c>
      <c r="AA507" s="39" t="str">
        <f>IFERROR(proje!AL2*100/proje!$I2,"")</f>
        <v/>
      </c>
      <c r="AB507" s="39" t="str">
        <f>IFERROR(proje!AM2*100/proje!$I2,"")</f>
        <v/>
      </c>
      <c r="AC507" s="39" t="str">
        <f>IFERROR(proje!AN2*100/proje!$I2,"")</f>
        <v/>
      </c>
      <c r="AD507" s="39" t="str">
        <f>IFERROR(proje!AO2*100/proje!$I2,"")</f>
        <v/>
      </c>
      <c r="AE507" s="39" t="str">
        <f>IFERROR(proje!AP2*100/proje!$I2,"")</f>
        <v/>
      </c>
      <c r="AF507" s="39" t="str">
        <f>IFERROR(proje!AQ2*100/proje!$I2,"")</f>
        <v/>
      </c>
      <c r="AG507" s="39" t="str">
        <f>IFERROR(proje!AR2*100/proje!$I2,"")</f>
        <v/>
      </c>
      <c r="AH507" s="39" t="str">
        <f>IFERROR(proje!AS2*100/proje!$I2,"")</f>
        <v/>
      </c>
      <c r="AI507" s="39" t="str">
        <f>IFERROR(proje!AT2*100/proje!$I2,"")</f>
        <v/>
      </c>
      <c r="AJ507" s="39" t="str">
        <f>IFERROR(proje!AU2*100/proje!$I2,"")</f>
        <v/>
      </c>
      <c r="AK507" s="39" t="str">
        <f>IFERROR(proje!AV2*100/proje!$I2,"")</f>
        <v/>
      </c>
      <c r="AL507" s="39" t="str">
        <f>IFERROR(proje!AW2*100/proje!$I2,"")</f>
        <v/>
      </c>
      <c r="AM507" s="39" t="str">
        <f>IFERROR(proje!AX2*100/proje!$I2,"")</f>
        <v/>
      </c>
      <c r="AN507" s="39" t="str">
        <f>IFERROR(proje!AY2*100/proje!$I2,"")</f>
        <v/>
      </c>
      <c r="AO507" s="39" t="str">
        <f>IFERROR(proje!AZ2*100/proje!$I2,"")</f>
        <v/>
      </c>
      <c r="AP507" s="39" t="str">
        <f>IFERROR(proje!BA2*100/proje!$I2,"")</f>
        <v/>
      </c>
      <c r="AQ507" s="39" t="str">
        <f>IFERROR(proje!BB2*100/proje!$I2,"")</f>
        <v/>
      </c>
      <c r="AR507" s="39" t="str">
        <f>IFERROR(proje!BC2*100/proje!$I2,"")</f>
        <v/>
      </c>
      <c r="AS507" s="39" t="str">
        <f>IFERROR(proje!BD2*100/proje!$I2,"")</f>
        <v/>
      </c>
      <c r="AT507" s="39" t="str">
        <f>IFERROR(proje!BE2*100/proje!$I2,"")</f>
        <v/>
      </c>
      <c r="AU507" s="39" t="str">
        <f>IFERROR(proje!BF2*100/proje!$I2,"")</f>
        <v/>
      </c>
      <c r="AV507" s="39" t="str">
        <f>IFERROR(proje!BG2*100/proje!$I2,"")</f>
        <v/>
      </c>
      <c r="AW507" s="39" t="str">
        <f>IFERROR(proje!BH2*100/proje!$I2,"")</f>
        <v/>
      </c>
      <c r="AX507" s="39" t="str">
        <f>IFERROR(proje!BI2*100/proje!$I2,"")</f>
        <v/>
      </c>
      <c r="AY507" s="39" t="str">
        <f>IFERROR(proje!BJ2*100/proje!$I2,"")</f>
        <v/>
      </c>
      <c r="AZ507" s="39" t="str">
        <f>IFERROR(proje!BK2*100/proje!$I2,"")</f>
        <v/>
      </c>
      <c r="BA507" s="39" t="str">
        <f>IFERROR(proje!BL2*100/proje!$I2,"")</f>
        <v/>
      </c>
      <c r="BB507" s="39" t="str">
        <f>IFERROR(proje!BM2*100/proje!$I2,"")</f>
        <v/>
      </c>
      <c r="BC507" s="39" t="str">
        <f>IFERROR(proje!BN2*100/proje!$I2,"")</f>
        <v/>
      </c>
      <c r="BD507" s="39" t="str">
        <f>IFERROR(proje!BO2*100/proje!$I2,"")</f>
        <v/>
      </c>
      <c r="BE507" s="39" t="str">
        <f>IFERROR(proje!BP2*100/proje!$I2,"")</f>
        <v/>
      </c>
      <c r="BF507" s="39" t="str">
        <f>IFERROR(proje!BQ2*100/proje!$I2,"")</f>
        <v/>
      </c>
      <c r="BG507" s="39" t="str">
        <f>IFERROR(proje!BR2*100/proje!$I2,"")</f>
        <v/>
      </c>
      <c r="BH507" s="39" t="str">
        <f>IFERROR(proje!BS2*100/proje!$I2,"")</f>
        <v/>
      </c>
      <c r="BI507" s="39" t="str">
        <f>IFERROR(proje!BT2*100/proje!$I2,"")</f>
        <v/>
      </c>
      <c r="BJ507" s="39" t="str">
        <f>IFERROR(proje!BU2*100/proje!$I2,"")</f>
        <v/>
      </c>
      <c r="BK507" s="39" t="str">
        <f>IFERROR(proje!BV2*100/proje!$I2,"")</f>
        <v/>
      </c>
      <c r="BL507" s="39" t="str">
        <f>IFERROR(proje!BW2*100/proje!$I2,"")</f>
        <v/>
      </c>
      <c r="BM507" s="39" t="str">
        <f>IFERROR(proje!BX2*100/proje!$I2,"")</f>
        <v/>
      </c>
      <c r="BN507" s="39" t="str">
        <f>IFERROR(proje!BY2*100/proje!$I2,"")</f>
        <v/>
      </c>
      <c r="BO507" s="39" t="str">
        <f>IFERROR(proje!BZ2*100/proje!$I2,"")</f>
        <v/>
      </c>
      <c r="BP507" s="39" t="str">
        <f>IFERROR(proje!CA2*100/proje!$I2,"")</f>
        <v/>
      </c>
      <c r="BQ507" s="39" t="str">
        <f>IFERROR(proje!CB2*100/proje!$I2,"")</f>
        <v/>
      </c>
      <c r="BR507" s="39" t="str">
        <f>IFERROR(proje!CC2*100/proje!$I2,"")</f>
        <v/>
      </c>
      <c r="BS507" s="39" t="str">
        <f>IFERROR(proje!CD2*100/proje!$I2,"")</f>
        <v/>
      </c>
      <c r="BT507" s="39" t="str">
        <f>IFERROR(proje!CE2*100/proje!$I2,"")</f>
        <v/>
      </c>
      <c r="BU507" s="39" t="str">
        <f>IFERROR(proje!CF2*100/proje!$I2,"")</f>
        <v/>
      </c>
      <c r="BV507" s="39" t="str">
        <f>IFERROR(proje!CG2*100/proje!$I2,"")</f>
        <v/>
      </c>
      <c r="BW507" s="39" t="str">
        <f>IFERROR(proje!CH2*100/proje!$I2,"")</f>
        <v/>
      </c>
      <c r="BX507" s="39" t="str">
        <f>IFERROR(proje!CI2*100/proje!$I2,"")</f>
        <v/>
      </c>
      <c r="BY507" s="39" t="str">
        <f>IFERROR(proje!CJ2*100/proje!$I2,"")</f>
        <v/>
      </c>
      <c r="BZ507" s="39" t="str">
        <f>IFERROR(proje!CK2*100/proje!$I2,"")</f>
        <v/>
      </c>
      <c r="CA507" s="39" t="str">
        <f>IFERROR(proje!CL2*100/proje!$I2,"")</f>
        <v/>
      </c>
      <c r="CB507" s="39" t="str">
        <f>IFERROR(proje!CM2*100/proje!$I2,"")</f>
        <v/>
      </c>
      <c r="CC507" s="39" t="str">
        <f>IFERROR(proje!CN2*100/proje!$I2,"")</f>
        <v/>
      </c>
      <c r="CD507" s="39" t="str">
        <f>IFERROR(proje!CO2*100/proje!$I2,"")</f>
        <v/>
      </c>
      <c r="CE507" s="39" t="str">
        <f>IFERROR(proje!CP2*100/proje!$I2,"")</f>
        <v/>
      </c>
      <c r="CF507" s="39" t="str">
        <f>IFERROR(proje!CQ2*100/proje!$I2,"")</f>
        <v/>
      </c>
      <c r="CG507" s="39" t="str">
        <f>IFERROR(proje!CR2*100/proje!$I2,"")</f>
        <v/>
      </c>
      <c r="CH507" s="39" t="str">
        <f>IFERROR(proje!CS2*100/proje!$I2,"")</f>
        <v/>
      </c>
      <c r="CI507" s="39" t="str">
        <f>IFERROR(proje!CT2*100/proje!$I2,"")</f>
        <v/>
      </c>
      <c r="CJ507" s="39" t="str">
        <f>IFERROR(proje!CU2*100/proje!$I2,"")</f>
        <v/>
      </c>
      <c r="CK507" s="39" t="str">
        <f>IFERROR(proje!CV2*100/proje!$I2,"")</f>
        <v/>
      </c>
      <c r="CL507" s="39" t="str">
        <f>IFERROR(proje!CW2*100/proje!$I2,"")</f>
        <v/>
      </c>
      <c r="CM507" s="39" t="str">
        <f>IFERROR(proje!CX2*100/proje!$I2,"")</f>
        <v/>
      </c>
      <c r="CN507" s="39" t="str">
        <f>IFERROR(proje!CY2*100/proje!$I2,"")</f>
        <v/>
      </c>
      <c r="CO507" s="39" t="str">
        <f>IFERROR(proje!CZ2*100/proje!$I2,"")</f>
        <v/>
      </c>
      <c r="CP507" s="39" t="str">
        <f>IFERROR(proje!DA2*100/proje!$I2,"")</f>
        <v/>
      </c>
      <c r="CQ507" s="39" t="str">
        <f>IFERROR(proje!DB2*100/proje!$I2,"")</f>
        <v/>
      </c>
      <c r="CR507" s="39" t="str">
        <f>IFERROR(proje!DC2*100/proje!$I2,"")</f>
        <v/>
      </c>
      <c r="CS507" s="39" t="str">
        <f>IFERROR(proje!DD2*100/proje!$I2,"")</f>
        <v/>
      </c>
      <c r="CT507" s="39" t="str">
        <f>IFERROR(proje!DE2*100/proje!$I2,"")</f>
        <v/>
      </c>
      <c r="CU507" s="39" t="str">
        <f>IFERROR(proje!DF2*100/proje!$I2,"")</f>
        <v/>
      </c>
      <c r="CV507" s="39" t="str">
        <f>IFERROR(proje!DG2*100/proje!$I2,"")</f>
        <v/>
      </c>
      <c r="CW507" s="36" t="str">
        <f>IFERROR(SUM(A507:CV507)/proje!$DH$103,"")</f>
        <v/>
      </c>
      <c r="CX507" s="14" t="str">
        <f>IF(COUNTA(proje!A2),proje!A2,"")</f>
        <v/>
      </c>
      <c r="CY507" s="14" t="str">
        <f>IF(COUNTA(proje!B2),proje!B2,"")</f>
        <v/>
      </c>
      <c r="CZ507" s="14" t="str">
        <f>IF(COUNTA(proje!C2),proje!C2,"")</f>
        <v/>
      </c>
      <c r="DA507" s="14" t="str">
        <f>IF(COUNTA(proje!D2),proje!D2,"")</f>
        <v/>
      </c>
      <c r="DB507" s="14" t="str">
        <f>IF(COUNTA(proje!E2),proje!E2,"")</f>
        <v/>
      </c>
      <c r="DC507" s="14" t="str">
        <f>IF(COUNTA(proje!F2),proje!F2,"")</f>
        <v/>
      </c>
      <c r="DD507" s="14" t="str">
        <f>IF(COUNTA(proje!G2),proje!G2,"")</f>
        <v/>
      </c>
      <c r="DE507" s="14" t="str">
        <f>IF(COUNTA(proje!H2),proje!H2,"")</f>
        <v/>
      </c>
      <c r="DG507" s="35" t="str">
        <f>IFERROR(AVERAGEIFS($CW$507:$CW$606,$CX$507:$CX$606,1),"")</f>
        <v/>
      </c>
      <c r="DH507" s="35" t="str">
        <f>IFERROR(AVERAGEIFS($CW$507:$CW$606,$CY$507:$CY$606,2),"")</f>
        <v/>
      </c>
      <c r="DI507" s="35" t="str">
        <f>IFERROR(AVERAGEIFS($CW$507:$CW$606,$CZ$507:$CZ$606,3),"")</f>
        <v/>
      </c>
      <c r="DJ507" s="35" t="str">
        <f>IFERROR(AVERAGEIFS($CW$507:$CW$606,$DA$507:$DA$606,4),"")</f>
        <v/>
      </c>
      <c r="DK507" s="35" t="str">
        <f>IFERROR(AVERAGEIFS($CW$507:$CW$606,$DB$507:$DB$606,5),"")</f>
        <v/>
      </c>
      <c r="DL507" s="35" t="str">
        <f>IFERROR(AVERAGEIFS($CW$606:$CW$5076,$DC$507:$DC$606,6),"")</f>
        <v/>
      </c>
      <c r="DM507" s="35" t="str">
        <f>IFERROR(AVERAGEIFS($CW$507:$CW$606,$DD$507:$DD$606,7),"")</f>
        <v/>
      </c>
      <c r="DN507" s="35" t="str">
        <f>IFERROR(AVERAGEIFS($CW$507:$CW$606,$DE$507:$DE$606,8),"")</f>
        <v/>
      </c>
    </row>
    <row r="508" spans="1:118" x14ac:dyDescent="0.2">
      <c r="A508" s="39" t="str">
        <f>IFERROR(proje!L3*100/proje!$I3,"")</f>
        <v/>
      </c>
      <c r="B508" s="39" t="str">
        <f>IFERROR(proje!M3*100/proje!$I3,"")</f>
        <v/>
      </c>
      <c r="C508" s="39" t="str">
        <f>IFERROR(proje!N3*100/proje!$I3,"")</f>
        <v/>
      </c>
      <c r="D508" s="39" t="str">
        <f>IFERROR(proje!O3*100/proje!$I3,"")</f>
        <v/>
      </c>
      <c r="E508" s="39" t="str">
        <f>IFERROR(proje!P3*100/proje!$I3,"")</f>
        <v/>
      </c>
      <c r="F508" s="39" t="str">
        <f>IFERROR(proje!Q3*100/proje!$I3,"")</f>
        <v/>
      </c>
      <c r="G508" s="39" t="str">
        <f>IFERROR(proje!R3*100/proje!$I3,"")</f>
        <v/>
      </c>
      <c r="H508" s="39" t="str">
        <f>IFERROR(proje!S3*100/proje!$I3,"")</f>
        <v/>
      </c>
      <c r="I508" s="39" t="str">
        <f>IFERROR(proje!T3*100/proje!$I3,"")</f>
        <v/>
      </c>
      <c r="J508" s="39" t="str">
        <f>IFERROR(proje!U3*100/proje!$I3,"")</f>
        <v/>
      </c>
      <c r="K508" s="39" t="str">
        <f>IFERROR(proje!V3*100/proje!$I3,"")</f>
        <v/>
      </c>
      <c r="L508" s="39" t="str">
        <f>IFERROR(proje!W3*100/proje!$I3,"")</f>
        <v/>
      </c>
      <c r="M508" s="39" t="str">
        <f>IFERROR(proje!X3*100/proje!$I3,"")</f>
        <v/>
      </c>
      <c r="N508" s="39" t="str">
        <f>IFERROR(proje!Y3*100/proje!$I3,"")</f>
        <v/>
      </c>
      <c r="O508" s="39" t="str">
        <f>IFERROR(proje!Z3*100/proje!$I3,"")</f>
        <v/>
      </c>
      <c r="P508" s="39" t="str">
        <f>IFERROR(proje!AA3*100/proje!$I3,"")</f>
        <v/>
      </c>
      <c r="Q508" s="39" t="str">
        <f>IFERROR(proje!AB3*100/proje!$I3,"")</f>
        <v/>
      </c>
      <c r="R508" s="39" t="str">
        <f>IFERROR(proje!AC3*100/proje!$I3,"")</f>
        <v/>
      </c>
      <c r="S508" s="39" t="str">
        <f>IFERROR(proje!AD3*100/proje!$I3,"")</f>
        <v/>
      </c>
      <c r="T508" s="39" t="str">
        <f>IFERROR(proje!AE3*100/proje!$I3,"")</f>
        <v/>
      </c>
      <c r="U508" s="39" t="str">
        <f>IFERROR(proje!AF3*100/proje!$I3,"")</f>
        <v/>
      </c>
      <c r="V508" s="39" t="str">
        <f>IFERROR(proje!AG3*100/proje!$I3,"")</f>
        <v/>
      </c>
      <c r="W508" s="39" t="str">
        <f>IFERROR(proje!AH3*100/proje!$I3,"")</f>
        <v/>
      </c>
      <c r="X508" s="39" t="str">
        <f>IFERROR(proje!AI3*100/proje!$I3,"")</f>
        <v/>
      </c>
      <c r="Y508" s="39" t="str">
        <f>IFERROR(proje!AJ3*100/proje!$I3,"")</f>
        <v/>
      </c>
      <c r="Z508" s="39" t="str">
        <f>IFERROR(proje!AK3*100/proje!$I3,"")</f>
        <v/>
      </c>
      <c r="AA508" s="39" t="str">
        <f>IFERROR(proje!AL3*100/proje!$I3,"")</f>
        <v/>
      </c>
      <c r="AB508" s="39" t="str">
        <f>IFERROR(proje!AM3*100/proje!$I3,"")</f>
        <v/>
      </c>
      <c r="AC508" s="39" t="str">
        <f>IFERROR(proje!AN3*100/proje!$I3,"")</f>
        <v/>
      </c>
      <c r="AD508" s="39" t="str">
        <f>IFERROR(proje!AO3*100/proje!$I3,"")</f>
        <v/>
      </c>
      <c r="AE508" s="39" t="str">
        <f>IFERROR(proje!AP3*100/proje!$I3,"")</f>
        <v/>
      </c>
      <c r="AF508" s="39" t="str">
        <f>IFERROR(proje!AQ3*100/proje!$I3,"")</f>
        <v/>
      </c>
      <c r="AG508" s="39" t="str">
        <f>IFERROR(proje!AR3*100/proje!$I3,"")</f>
        <v/>
      </c>
      <c r="AH508" s="39" t="str">
        <f>IFERROR(proje!AS3*100/proje!$I3,"")</f>
        <v/>
      </c>
      <c r="AI508" s="39" t="str">
        <f>IFERROR(proje!AT3*100/proje!$I3,"")</f>
        <v/>
      </c>
      <c r="AJ508" s="39" t="str">
        <f>IFERROR(proje!AU3*100/proje!$I3,"")</f>
        <v/>
      </c>
      <c r="AK508" s="39" t="str">
        <f>IFERROR(proje!AV3*100/proje!$I3,"")</f>
        <v/>
      </c>
      <c r="AL508" s="39" t="str">
        <f>IFERROR(proje!AW3*100/proje!$I3,"")</f>
        <v/>
      </c>
      <c r="AM508" s="39" t="str">
        <f>IFERROR(proje!AX3*100/proje!$I3,"")</f>
        <v/>
      </c>
      <c r="AN508" s="39" t="str">
        <f>IFERROR(proje!AY3*100/proje!$I3,"")</f>
        <v/>
      </c>
      <c r="AO508" s="39" t="str">
        <f>IFERROR(proje!AZ3*100/proje!$I3,"")</f>
        <v/>
      </c>
      <c r="AP508" s="39" t="str">
        <f>IFERROR(proje!BA3*100/proje!$I3,"")</f>
        <v/>
      </c>
      <c r="AQ508" s="39" t="str">
        <f>IFERROR(proje!BB3*100/proje!$I3,"")</f>
        <v/>
      </c>
      <c r="AR508" s="39" t="str">
        <f>IFERROR(proje!BC3*100/proje!$I3,"")</f>
        <v/>
      </c>
      <c r="AS508" s="39" t="str">
        <f>IFERROR(proje!BD3*100/proje!$I3,"")</f>
        <v/>
      </c>
      <c r="AT508" s="39" t="str">
        <f>IFERROR(proje!BE3*100/proje!$I3,"")</f>
        <v/>
      </c>
      <c r="AU508" s="39" t="str">
        <f>IFERROR(proje!BF3*100/proje!$I3,"")</f>
        <v/>
      </c>
      <c r="AV508" s="39" t="str">
        <f>IFERROR(proje!BG3*100/proje!$I3,"")</f>
        <v/>
      </c>
      <c r="AW508" s="39" t="str">
        <f>IFERROR(proje!BH3*100/proje!$I3,"")</f>
        <v/>
      </c>
      <c r="AX508" s="39" t="str">
        <f>IFERROR(proje!BI3*100/proje!$I3,"")</f>
        <v/>
      </c>
      <c r="AY508" s="39" t="str">
        <f>IFERROR(proje!BJ3*100/proje!$I3,"")</f>
        <v/>
      </c>
      <c r="AZ508" s="39" t="str">
        <f>IFERROR(proje!BK3*100/proje!$I3,"")</f>
        <v/>
      </c>
      <c r="BA508" s="39" t="str">
        <f>IFERROR(proje!BL3*100/proje!$I3,"")</f>
        <v/>
      </c>
      <c r="BB508" s="39" t="str">
        <f>IFERROR(proje!BM3*100/proje!$I3,"")</f>
        <v/>
      </c>
      <c r="BC508" s="39" t="str">
        <f>IFERROR(proje!BN3*100/proje!$I3,"")</f>
        <v/>
      </c>
      <c r="BD508" s="39" t="str">
        <f>IFERROR(proje!BO3*100/proje!$I3,"")</f>
        <v/>
      </c>
      <c r="BE508" s="39" t="str">
        <f>IFERROR(proje!BP3*100/proje!$I3,"")</f>
        <v/>
      </c>
      <c r="BF508" s="39" t="str">
        <f>IFERROR(proje!BQ3*100/proje!$I3,"")</f>
        <v/>
      </c>
      <c r="BG508" s="39" t="str">
        <f>IFERROR(proje!BR3*100/proje!$I3,"")</f>
        <v/>
      </c>
      <c r="BH508" s="39" t="str">
        <f>IFERROR(proje!BS3*100/proje!$I3,"")</f>
        <v/>
      </c>
      <c r="BI508" s="39" t="str">
        <f>IFERROR(proje!BT3*100/proje!$I3,"")</f>
        <v/>
      </c>
      <c r="BJ508" s="39" t="str">
        <f>IFERROR(proje!BU3*100/proje!$I3,"")</f>
        <v/>
      </c>
      <c r="BK508" s="39" t="str">
        <f>IFERROR(proje!BV3*100/proje!$I3,"")</f>
        <v/>
      </c>
      <c r="BL508" s="39" t="str">
        <f>IFERROR(proje!BW3*100/proje!$I3,"")</f>
        <v/>
      </c>
      <c r="BM508" s="39" t="str">
        <f>IFERROR(proje!BX3*100/proje!$I3,"")</f>
        <v/>
      </c>
      <c r="BN508" s="39" t="str">
        <f>IFERROR(proje!BY3*100/proje!$I3,"")</f>
        <v/>
      </c>
      <c r="BO508" s="39" t="str">
        <f>IFERROR(proje!BZ3*100/proje!$I3,"")</f>
        <v/>
      </c>
      <c r="BP508" s="39" t="str">
        <f>IFERROR(proje!CA3*100/proje!$I3,"")</f>
        <v/>
      </c>
      <c r="BQ508" s="39" t="str">
        <f>IFERROR(proje!CB3*100/proje!$I3,"")</f>
        <v/>
      </c>
      <c r="BR508" s="39" t="str">
        <f>IFERROR(proje!CC3*100/proje!$I3,"")</f>
        <v/>
      </c>
      <c r="BS508" s="39" t="str">
        <f>IFERROR(proje!CD3*100/proje!$I3,"")</f>
        <v/>
      </c>
      <c r="BT508" s="39" t="str">
        <f>IFERROR(proje!CE3*100/proje!$I3,"")</f>
        <v/>
      </c>
      <c r="BU508" s="39" t="str">
        <f>IFERROR(proje!CF3*100/proje!$I3,"")</f>
        <v/>
      </c>
      <c r="BV508" s="39" t="str">
        <f>IFERROR(proje!CG3*100/proje!$I3,"")</f>
        <v/>
      </c>
      <c r="BW508" s="39" t="str">
        <f>IFERROR(proje!CH3*100/proje!$I3,"")</f>
        <v/>
      </c>
      <c r="BX508" s="39" t="str">
        <f>IFERROR(proje!CI3*100/proje!$I3,"")</f>
        <v/>
      </c>
      <c r="BY508" s="39" t="str">
        <f>IFERROR(proje!CJ3*100/proje!$I3,"")</f>
        <v/>
      </c>
      <c r="BZ508" s="39" t="str">
        <f>IFERROR(proje!CK3*100/proje!$I3,"")</f>
        <v/>
      </c>
      <c r="CA508" s="39" t="str">
        <f>IFERROR(proje!CL3*100/proje!$I3,"")</f>
        <v/>
      </c>
      <c r="CB508" s="39" t="str">
        <f>IFERROR(proje!CM3*100/proje!$I3,"")</f>
        <v/>
      </c>
      <c r="CC508" s="39" t="str">
        <f>IFERROR(proje!CN3*100/proje!$I3,"")</f>
        <v/>
      </c>
      <c r="CD508" s="39" t="str">
        <f>IFERROR(proje!CO3*100/proje!$I3,"")</f>
        <v/>
      </c>
      <c r="CE508" s="39" t="str">
        <f>IFERROR(proje!CP3*100/proje!$I3,"")</f>
        <v/>
      </c>
      <c r="CF508" s="39" t="str">
        <f>IFERROR(proje!CQ3*100/proje!$I3,"")</f>
        <v/>
      </c>
      <c r="CG508" s="39" t="str">
        <f>IFERROR(proje!CR3*100/proje!$I3,"")</f>
        <v/>
      </c>
      <c r="CH508" s="39" t="str">
        <f>IFERROR(proje!CS3*100/proje!$I3,"")</f>
        <v/>
      </c>
      <c r="CI508" s="39" t="str">
        <f>IFERROR(proje!CT3*100/proje!$I3,"")</f>
        <v/>
      </c>
      <c r="CJ508" s="39" t="str">
        <f>IFERROR(proje!CU3*100/proje!$I3,"")</f>
        <v/>
      </c>
      <c r="CK508" s="39" t="str">
        <f>IFERROR(proje!CV3*100/proje!$I3,"")</f>
        <v/>
      </c>
      <c r="CL508" s="39" t="str">
        <f>IFERROR(proje!CW3*100/proje!$I3,"")</f>
        <v/>
      </c>
      <c r="CM508" s="39" t="str">
        <f>IFERROR(proje!CX3*100/proje!$I3,"")</f>
        <v/>
      </c>
      <c r="CN508" s="39" t="str">
        <f>IFERROR(proje!CY3*100/proje!$I3,"")</f>
        <v/>
      </c>
      <c r="CO508" s="39" t="str">
        <f>IFERROR(proje!CZ3*100/proje!$I3,"")</f>
        <v/>
      </c>
      <c r="CP508" s="39" t="str">
        <f>IFERROR(proje!DA3*100/proje!$I3,"")</f>
        <v/>
      </c>
      <c r="CQ508" s="39" t="str">
        <f>IFERROR(proje!DB3*100/proje!$I3,"")</f>
        <v/>
      </c>
      <c r="CR508" s="39" t="str">
        <f>IFERROR(proje!DC3*100/proje!$I3,"")</f>
        <v/>
      </c>
      <c r="CS508" s="39" t="str">
        <f>IFERROR(proje!DD3*100/proje!$I3,"")</f>
        <v/>
      </c>
      <c r="CT508" s="39" t="str">
        <f>IFERROR(proje!DE3*100/proje!$I3,"")</f>
        <v/>
      </c>
      <c r="CU508" s="39" t="str">
        <f>IFERROR(proje!DF3*100/proje!$I3,"")</f>
        <v/>
      </c>
      <c r="CV508" s="39" t="str">
        <f>IFERROR(proje!DG3*100/proje!$I3,"")</f>
        <v/>
      </c>
      <c r="CW508" s="36" t="str">
        <f>IFERROR(SUM(A508:CV508)/proje!$DH$103,"")</f>
        <v/>
      </c>
      <c r="CX508" s="14" t="str">
        <f>IF(COUNTA(proje!A3),proje!A3,"")</f>
        <v/>
      </c>
      <c r="CY508" s="14" t="str">
        <f>IF(COUNTA(proje!B3),proje!B3,"")</f>
        <v/>
      </c>
      <c r="CZ508" s="14" t="str">
        <f>IF(COUNTA(proje!C3),proje!C3,"")</f>
        <v/>
      </c>
      <c r="DA508" s="14" t="str">
        <f>IF(COUNTA(proje!D3),proje!D3,"")</f>
        <v/>
      </c>
      <c r="DB508" s="14" t="str">
        <f>IF(COUNTA(proje!E3),proje!E3,"")</f>
        <v/>
      </c>
      <c r="DC508" s="14" t="str">
        <f>IF(COUNTA(proje!F3),proje!F3,"")</f>
        <v/>
      </c>
      <c r="DD508" s="14" t="str">
        <f>IF(COUNTA(proje!G3),proje!G3,"")</f>
        <v/>
      </c>
      <c r="DE508" s="14" t="str">
        <f>IF(COUNTA(proje!H3),proje!H3,"")</f>
        <v/>
      </c>
    </row>
    <row r="509" spans="1:118" x14ac:dyDescent="0.2">
      <c r="A509" s="39" t="str">
        <f>IFERROR(proje!L4*100/proje!$I4,"")</f>
        <v/>
      </c>
      <c r="B509" s="39" t="str">
        <f>IFERROR(proje!M4*100/proje!$I4,"")</f>
        <v/>
      </c>
      <c r="C509" s="39" t="str">
        <f>IFERROR(proje!N4*100/proje!$I4,"")</f>
        <v/>
      </c>
      <c r="D509" s="39" t="str">
        <f>IFERROR(proje!O4*100/proje!$I4,"")</f>
        <v/>
      </c>
      <c r="E509" s="39" t="str">
        <f>IFERROR(proje!P4*100/proje!$I4,"")</f>
        <v/>
      </c>
      <c r="F509" s="39" t="str">
        <f>IFERROR(proje!Q4*100/proje!$I4,"")</f>
        <v/>
      </c>
      <c r="G509" s="39" t="str">
        <f>IFERROR(proje!R4*100/proje!$I4,"")</f>
        <v/>
      </c>
      <c r="H509" s="39" t="str">
        <f>IFERROR(proje!S4*100/proje!$I4,"")</f>
        <v/>
      </c>
      <c r="I509" s="39" t="str">
        <f>IFERROR(proje!T4*100/proje!$I4,"")</f>
        <v/>
      </c>
      <c r="J509" s="39" t="str">
        <f>IFERROR(proje!U4*100/proje!$I4,"")</f>
        <v/>
      </c>
      <c r="K509" s="39" t="str">
        <f>IFERROR(proje!V4*100/proje!$I4,"")</f>
        <v/>
      </c>
      <c r="L509" s="39" t="str">
        <f>IFERROR(proje!W4*100/proje!$I4,"")</f>
        <v/>
      </c>
      <c r="M509" s="39" t="str">
        <f>IFERROR(proje!X4*100/proje!$I4,"")</f>
        <v/>
      </c>
      <c r="N509" s="39" t="str">
        <f>IFERROR(proje!Y4*100/proje!$I4,"")</f>
        <v/>
      </c>
      <c r="O509" s="39" t="str">
        <f>IFERROR(proje!Z4*100/proje!$I4,"")</f>
        <v/>
      </c>
      <c r="P509" s="39" t="str">
        <f>IFERROR(proje!AA4*100/proje!$I4,"")</f>
        <v/>
      </c>
      <c r="Q509" s="39" t="str">
        <f>IFERROR(proje!AB4*100/proje!$I4,"")</f>
        <v/>
      </c>
      <c r="R509" s="39" t="str">
        <f>IFERROR(proje!AC4*100/proje!$I4,"")</f>
        <v/>
      </c>
      <c r="S509" s="39" t="str">
        <f>IFERROR(proje!AD4*100/proje!$I4,"")</f>
        <v/>
      </c>
      <c r="T509" s="39" t="str">
        <f>IFERROR(proje!AE4*100/proje!$I4,"")</f>
        <v/>
      </c>
      <c r="U509" s="39" t="str">
        <f>IFERROR(proje!AF4*100/proje!$I4,"")</f>
        <v/>
      </c>
      <c r="V509" s="39" t="str">
        <f>IFERROR(proje!AG4*100/proje!$I4,"")</f>
        <v/>
      </c>
      <c r="W509" s="39" t="str">
        <f>IFERROR(proje!AH4*100/proje!$I4,"")</f>
        <v/>
      </c>
      <c r="X509" s="39" t="str">
        <f>IFERROR(proje!AI4*100/proje!$I4,"")</f>
        <v/>
      </c>
      <c r="Y509" s="39" t="str">
        <f>IFERROR(proje!AJ4*100/proje!$I4,"")</f>
        <v/>
      </c>
      <c r="Z509" s="39" t="str">
        <f>IFERROR(proje!AK4*100/proje!$I4,"")</f>
        <v/>
      </c>
      <c r="AA509" s="39" t="str">
        <f>IFERROR(proje!AL4*100/proje!$I4,"")</f>
        <v/>
      </c>
      <c r="AB509" s="39" t="str">
        <f>IFERROR(proje!AM4*100/proje!$I4,"")</f>
        <v/>
      </c>
      <c r="AC509" s="39" t="str">
        <f>IFERROR(proje!AN4*100/proje!$I4,"")</f>
        <v/>
      </c>
      <c r="AD509" s="39" t="str">
        <f>IFERROR(proje!AO4*100/proje!$I4,"")</f>
        <v/>
      </c>
      <c r="AE509" s="39" t="str">
        <f>IFERROR(proje!AP4*100/proje!$I4,"")</f>
        <v/>
      </c>
      <c r="AF509" s="39" t="str">
        <f>IFERROR(proje!AQ4*100/proje!$I4,"")</f>
        <v/>
      </c>
      <c r="AG509" s="39" t="str">
        <f>IFERROR(proje!AR4*100/proje!$I4,"")</f>
        <v/>
      </c>
      <c r="AH509" s="39" t="str">
        <f>IFERROR(proje!AS4*100/proje!$I4,"")</f>
        <v/>
      </c>
      <c r="AI509" s="39" t="str">
        <f>IFERROR(proje!AT4*100/proje!$I4,"")</f>
        <v/>
      </c>
      <c r="AJ509" s="39" t="str">
        <f>IFERROR(proje!AU4*100/proje!$I4,"")</f>
        <v/>
      </c>
      <c r="AK509" s="39" t="str">
        <f>IFERROR(proje!AV4*100/proje!$I4,"")</f>
        <v/>
      </c>
      <c r="AL509" s="39" t="str">
        <f>IFERROR(proje!AW4*100/proje!$I4,"")</f>
        <v/>
      </c>
      <c r="AM509" s="39" t="str">
        <f>IFERROR(proje!AX4*100/proje!$I4,"")</f>
        <v/>
      </c>
      <c r="AN509" s="39" t="str">
        <f>IFERROR(proje!AY4*100/proje!$I4,"")</f>
        <v/>
      </c>
      <c r="AO509" s="39" t="str">
        <f>IFERROR(proje!AZ4*100/proje!$I4,"")</f>
        <v/>
      </c>
      <c r="AP509" s="39" t="str">
        <f>IFERROR(proje!BA4*100/proje!$I4,"")</f>
        <v/>
      </c>
      <c r="AQ509" s="39" t="str">
        <f>IFERROR(proje!BB4*100/proje!$I4,"")</f>
        <v/>
      </c>
      <c r="AR509" s="39" t="str">
        <f>IFERROR(proje!BC4*100/proje!$I4,"")</f>
        <v/>
      </c>
      <c r="AS509" s="39" t="str">
        <f>IFERROR(proje!BD4*100/proje!$I4,"")</f>
        <v/>
      </c>
      <c r="AT509" s="39" t="str">
        <f>IFERROR(proje!BE4*100/proje!$I4,"")</f>
        <v/>
      </c>
      <c r="AU509" s="39" t="str">
        <f>IFERROR(proje!BF4*100/proje!$I4,"")</f>
        <v/>
      </c>
      <c r="AV509" s="39" t="str">
        <f>IFERROR(proje!BG4*100/proje!$I4,"")</f>
        <v/>
      </c>
      <c r="AW509" s="39" t="str">
        <f>IFERROR(proje!BH4*100/proje!$I4,"")</f>
        <v/>
      </c>
      <c r="AX509" s="39" t="str">
        <f>IFERROR(proje!BI4*100/proje!$I4,"")</f>
        <v/>
      </c>
      <c r="AY509" s="39" t="str">
        <f>IFERROR(proje!BJ4*100/proje!$I4,"")</f>
        <v/>
      </c>
      <c r="AZ509" s="39" t="str">
        <f>IFERROR(proje!BK4*100/proje!$I4,"")</f>
        <v/>
      </c>
      <c r="BA509" s="39" t="str">
        <f>IFERROR(proje!BL4*100/proje!$I4,"")</f>
        <v/>
      </c>
      <c r="BB509" s="39" t="str">
        <f>IFERROR(proje!BM4*100/proje!$I4,"")</f>
        <v/>
      </c>
      <c r="BC509" s="39" t="str">
        <f>IFERROR(proje!BN4*100/proje!$I4,"")</f>
        <v/>
      </c>
      <c r="BD509" s="39" t="str">
        <f>IFERROR(proje!BO4*100/proje!$I4,"")</f>
        <v/>
      </c>
      <c r="BE509" s="39" t="str">
        <f>IFERROR(proje!BP4*100/proje!$I4,"")</f>
        <v/>
      </c>
      <c r="BF509" s="39" t="str">
        <f>IFERROR(proje!BQ4*100/proje!$I4,"")</f>
        <v/>
      </c>
      <c r="BG509" s="39" t="str">
        <f>IFERROR(proje!BR4*100/proje!$I4,"")</f>
        <v/>
      </c>
      <c r="BH509" s="39" t="str">
        <f>IFERROR(proje!BS4*100/proje!$I4,"")</f>
        <v/>
      </c>
      <c r="BI509" s="39" t="str">
        <f>IFERROR(proje!BT4*100/proje!$I4,"")</f>
        <v/>
      </c>
      <c r="BJ509" s="39" t="str">
        <f>IFERROR(proje!BU4*100/proje!$I4,"")</f>
        <v/>
      </c>
      <c r="BK509" s="39" t="str">
        <f>IFERROR(proje!BV4*100/proje!$I4,"")</f>
        <v/>
      </c>
      <c r="BL509" s="39" t="str">
        <f>IFERROR(proje!BW4*100/proje!$I4,"")</f>
        <v/>
      </c>
      <c r="BM509" s="39" t="str">
        <f>IFERROR(proje!BX4*100/proje!$I4,"")</f>
        <v/>
      </c>
      <c r="BN509" s="39" t="str">
        <f>IFERROR(proje!BY4*100/proje!$I4,"")</f>
        <v/>
      </c>
      <c r="BO509" s="39" t="str">
        <f>IFERROR(proje!BZ4*100/proje!$I4,"")</f>
        <v/>
      </c>
      <c r="BP509" s="39" t="str">
        <f>IFERROR(proje!CA4*100/proje!$I4,"")</f>
        <v/>
      </c>
      <c r="BQ509" s="39" t="str">
        <f>IFERROR(proje!CB4*100/proje!$I4,"")</f>
        <v/>
      </c>
      <c r="BR509" s="39" t="str">
        <f>IFERROR(proje!CC4*100/proje!$I4,"")</f>
        <v/>
      </c>
      <c r="BS509" s="39" t="str">
        <f>IFERROR(proje!CD4*100/proje!$I4,"")</f>
        <v/>
      </c>
      <c r="BT509" s="39" t="str">
        <f>IFERROR(proje!CE4*100/proje!$I4,"")</f>
        <v/>
      </c>
      <c r="BU509" s="39" t="str">
        <f>IFERROR(proje!CF4*100/proje!$I4,"")</f>
        <v/>
      </c>
      <c r="BV509" s="39" t="str">
        <f>IFERROR(proje!CG4*100/proje!$I4,"")</f>
        <v/>
      </c>
      <c r="BW509" s="39" t="str">
        <f>IFERROR(proje!CH4*100/proje!$I4,"")</f>
        <v/>
      </c>
      <c r="BX509" s="39" t="str">
        <f>IFERROR(proje!CI4*100/proje!$I4,"")</f>
        <v/>
      </c>
      <c r="BY509" s="39" t="str">
        <f>IFERROR(proje!CJ4*100/proje!$I4,"")</f>
        <v/>
      </c>
      <c r="BZ509" s="39" t="str">
        <f>IFERROR(proje!CK4*100/proje!$I4,"")</f>
        <v/>
      </c>
      <c r="CA509" s="39" t="str">
        <f>IFERROR(proje!CL4*100/proje!$I4,"")</f>
        <v/>
      </c>
      <c r="CB509" s="39" t="str">
        <f>IFERROR(proje!CM4*100/proje!$I4,"")</f>
        <v/>
      </c>
      <c r="CC509" s="39" t="str">
        <f>IFERROR(proje!CN4*100/proje!$I4,"")</f>
        <v/>
      </c>
      <c r="CD509" s="39" t="str">
        <f>IFERROR(proje!CO4*100/proje!$I4,"")</f>
        <v/>
      </c>
      <c r="CE509" s="39" t="str">
        <f>IFERROR(proje!CP4*100/proje!$I4,"")</f>
        <v/>
      </c>
      <c r="CF509" s="39" t="str">
        <f>IFERROR(proje!CQ4*100/proje!$I4,"")</f>
        <v/>
      </c>
      <c r="CG509" s="39" t="str">
        <f>IFERROR(proje!CR4*100/proje!$I4,"")</f>
        <v/>
      </c>
      <c r="CH509" s="39" t="str">
        <f>IFERROR(proje!CS4*100/proje!$I4,"")</f>
        <v/>
      </c>
      <c r="CI509" s="39" t="str">
        <f>IFERROR(proje!CT4*100/proje!$I4,"")</f>
        <v/>
      </c>
      <c r="CJ509" s="39" t="str">
        <f>IFERROR(proje!CU4*100/proje!$I4,"")</f>
        <v/>
      </c>
      <c r="CK509" s="39" t="str">
        <f>IFERROR(proje!CV4*100/proje!$I4,"")</f>
        <v/>
      </c>
      <c r="CL509" s="39" t="str">
        <f>IFERROR(proje!CW4*100/proje!$I4,"")</f>
        <v/>
      </c>
      <c r="CM509" s="39" t="str">
        <f>IFERROR(proje!CX4*100/proje!$I4,"")</f>
        <v/>
      </c>
      <c r="CN509" s="39" t="str">
        <f>IFERROR(proje!CY4*100/proje!$I4,"")</f>
        <v/>
      </c>
      <c r="CO509" s="39" t="str">
        <f>IFERROR(proje!CZ4*100/proje!$I4,"")</f>
        <v/>
      </c>
      <c r="CP509" s="39" t="str">
        <f>IFERROR(proje!DA4*100/proje!$I4,"")</f>
        <v/>
      </c>
      <c r="CQ509" s="39" t="str">
        <f>IFERROR(proje!DB4*100/proje!$I4,"")</f>
        <v/>
      </c>
      <c r="CR509" s="39" t="str">
        <f>IFERROR(proje!DC4*100/proje!$I4,"")</f>
        <v/>
      </c>
      <c r="CS509" s="39" t="str">
        <f>IFERROR(proje!DD4*100/proje!$I4,"")</f>
        <v/>
      </c>
      <c r="CT509" s="39" t="str">
        <f>IFERROR(proje!DE4*100/proje!$I4,"")</f>
        <v/>
      </c>
      <c r="CU509" s="39" t="str">
        <f>IFERROR(proje!DF4*100/proje!$I4,"")</f>
        <v/>
      </c>
      <c r="CV509" s="39" t="str">
        <f>IFERROR(proje!DG4*100/proje!$I4,"")</f>
        <v/>
      </c>
      <c r="CW509" s="36" t="str">
        <f>IFERROR(SUM(A509:CV509)/proje!$DH$103,"")</f>
        <v/>
      </c>
      <c r="CX509" s="14" t="str">
        <f>IF(COUNTA(proje!A4),proje!A4,"")</f>
        <v/>
      </c>
      <c r="CY509" s="14" t="str">
        <f>IF(COUNTA(proje!B4),proje!B4,"")</f>
        <v/>
      </c>
      <c r="CZ509" s="14" t="str">
        <f>IF(COUNTA(proje!C4),proje!C4,"")</f>
        <v/>
      </c>
      <c r="DA509" s="14" t="str">
        <f>IF(COUNTA(proje!D4),proje!D4,"")</f>
        <v/>
      </c>
      <c r="DB509" s="14" t="str">
        <f>IF(COUNTA(proje!E4),proje!E4,"")</f>
        <v/>
      </c>
      <c r="DC509" s="14" t="str">
        <f>IF(COUNTA(proje!F4),proje!F4,"")</f>
        <v/>
      </c>
      <c r="DD509" s="14" t="str">
        <f>IF(COUNTA(proje!G4),proje!G4,"")</f>
        <v/>
      </c>
      <c r="DE509" s="14" t="str">
        <f>IF(COUNTA(proje!H4),proje!H4,"")</f>
        <v/>
      </c>
    </row>
    <row r="510" spans="1:118" x14ac:dyDescent="0.2">
      <c r="A510" s="39" t="str">
        <f>IFERROR(proje!L5*100/proje!$I5,"")</f>
        <v/>
      </c>
      <c r="B510" s="39" t="str">
        <f>IFERROR(proje!M5*100/proje!$I5,"")</f>
        <v/>
      </c>
      <c r="C510" s="39" t="str">
        <f>IFERROR(proje!N5*100/proje!$I5,"")</f>
        <v/>
      </c>
      <c r="D510" s="39" t="str">
        <f>IFERROR(proje!O5*100/proje!$I5,"")</f>
        <v/>
      </c>
      <c r="E510" s="39" t="str">
        <f>IFERROR(proje!P5*100/proje!$I5,"")</f>
        <v/>
      </c>
      <c r="F510" s="39" t="str">
        <f>IFERROR(proje!Q5*100/proje!$I5,"")</f>
        <v/>
      </c>
      <c r="G510" s="39" t="str">
        <f>IFERROR(proje!R5*100/proje!$I5,"")</f>
        <v/>
      </c>
      <c r="H510" s="39" t="str">
        <f>IFERROR(proje!S5*100/proje!$I5,"")</f>
        <v/>
      </c>
      <c r="I510" s="39" t="str">
        <f>IFERROR(proje!T5*100/proje!$I5,"")</f>
        <v/>
      </c>
      <c r="J510" s="39" t="str">
        <f>IFERROR(proje!U5*100/proje!$I5,"")</f>
        <v/>
      </c>
      <c r="K510" s="39" t="str">
        <f>IFERROR(proje!V5*100/proje!$I5,"")</f>
        <v/>
      </c>
      <c r="L510" s="39" t="str">
        <f>IFERROR(proje!W5*100/proje!$I5,"")</f>
        <v/>
      </c>
      <c r="M510" s="39" t="str">
        <f>IFERROR(proje!X5*100/proje!$I5,"")</f>
        <v/>
      </c>
      <c r="N510" s="39" t="str">
        <f>IFERROR(proje!Y5*100/proje!$I5,"")</f>
        <v/>
      </c>
      <c r="O510" s="39" t="str">
        <f>IFERROR(proje!Z5*100/proje!$I5,"")</f>
        <v/>
      </c>
      <c r="P510" s="39" t="str">
        <f>IFERROR(proje!AA5*100/proje!$I5,"")</f>
        <v/>
      </c>
      <c r="Q510" s="39" t="str">
        <f>IFERROR(proje!AB5*100/proje!$I5,"")</f>
        <v/>
      </c>
      <c r="R510" s="39" t="str">
        <f>IFERROR(proje!AC5*100/proje!$I5,"")</f>
        <v/>
      </c>
      <c r="S510" s="39" t="str">
        <f>IFERROR(proje!AD5*100/proje!$I5,"")</f>
        <v/>
      </c>
      <c r="T510" s="39" t="str">
        <f>IFERROR(proje!AE5*100/proje!$I5,"")</f>
        <v/>
      </c>
      <c r="U510" s="39" t="str">
        <f>IFERROR(proje!AF5*100/proje!$I5,"")</f>
        <v/>
      </c>
      <c r="V510" s="39" t="str">
        <f>IFERROR(proje!AG5*100/proje!$I5,"")</f>
        <v/>
      </c>
      <c r="W510" s="39" t="str">
        <f>IFERROR(proje!AH5*100/proje!$I5,"")</f>
        <v/>
      </c>
      <c r="X510" s="39" t="str">
        <f>IFERROR(proje!AI5*100/proje!$I5,"")</f>
        <v/>
      </c>
      <c r="Y510" s="39" t="str">
        <f>IFERROR(proje!AJ5*100/proje!$I5,"")</f>
        <v/>
      </c>
      <c r="Z510" s="39" t="str">
        <f>IFERROR(proje!AK5*100/proje!$I5,"")</f>
        <v/>
      </c>
      <c r="AA510" s="39" t="str">
        <f>IFERROR(proje!AL5*100/proje!$I5,"")</f>
        <v/>
      </c>
      <c r="AB510" s="39" t="str">
        <f>IFERROR(proje!AM5*100/proje!$I5,"")</f>
        <v/>
      </c>
      <c r="AC510" s="39" t="str">
        <f>IFERROR(proje!AN5*100/proje!$I5,"")</f>
        <v/>
      </c>
      <c r="AD510" s="39" t="str">
        <f>IFERROR(proje!AO5*100/proje!$I5,"")</f>
        <v/>
      </c>
      <c r="AE510" s="39" t="str">
        <f>IFERROR(proje!AP5*100/proje!$I5,"")</f>
        <v/>
      </c>
      <c r="AF510" s="39" t="str">
        <f>IFERROR(proje!AQ5*100/proje!$I5,"")</f>
        <v/>
      </c>
      <c r="AG510" s="39" t="str">
        <f>IFERROR(proje!AR5*100/proje!$I5,"")</f>
        <v/>
      </c>
      <c r="AH510" s="39" t="str">
        <f>IFERROR(proje!AS5*100/proje!$I5,"")</f>
        <v/>
      </c>
      <c r="AI510" s="39" t="str">
        <f>IFERROR(proje!AT5*100/proje!$I5,"")</f>
        <v/>
      </c>
      <c r="AJ510" s="39" t="str">
        <f>IFERROR(proje!AU5*100/proje!$I5,"")</f>
        <v/>
      </c>
      <c r="AK510" s="39" t="str">
        <f>IFERROR(proje!AV5*100/proje!$I5,"")</f>
        <v/>
      </c>
      <c r="AL510" s="39" t="str">
        <f>IFERROR(proje!AW5*100/proje!$I5,"")</f>
        <v/>
      </c>
      <c r="AM510" s="39" t="str">
        <f>IFERROR(proje!AX5*100/proje!$I5,"")</f>
        <v/>
      </c>
      <c r="AN510" s="39" t="str">
        <f>IFERROR(proje!AY5*100/proje!$I5,"")</f>
        <v/>
      </c>
      <c r="AO510" s="39" t="str">
        <f>IFERROR(proje!AZ5*100/proje!$I5,"")</f>
        <v/>
      </c>
      <c r="AP510" s="39" t="str">
        <f>IFERROR(proje!BA5*100/proje!$I5,"")</f>
        <v/>
      </c>
      <c r="AQ510" s="39" t="str">
        <f>IFERROR(proje!BB5*100/proje!$I5,"")</f>
        <v/>
      </c>
      <c r="AR510" s="39" t="str">
        <f>IFERROR(proje!BC5*100/proje!$I5,"")</f>
        <v/>
      </c>
      <c r="AS510" s="39" t="str">
        <f>IFERROR(proje!BD5*100/proje!$I5,"")</f>
        <v/>
      </c>
      <c r="AT510" s="39" t="str">
        <f>IFERROR(proje!BE5*100/proje!$I5,"")</f>
        <v/>
      </c>
      <c r="AU510" s="39" t="str">
        <f>IFERROR(proje!BF5*100/proje!$I5,"")</f>
        <v/>
      </c>
      <c r="AV510" s="39" t="str">
        <f>IFERROR(proje!BG5*100/proje!$I5,"")</f>
        <v/>
      </c>
      <c r="AW510" s="39" t="str">
        <f>IFERROR(proje!BH5*100/proje!$I5,"")</f>
        <v/>
      </c>
      <c r="AX510" s="39" t="str">
        <f>IFERROR(proje!BI5*100/proje!$I5,"")</f>
        <v/>
      </c>
      <c r="AY510" s="39" t="str">
        <f>IFERROR(proje!BJ5*100/proje!$I5,"")</f>
        <v/>
      </c>
      <c r="AZ510" s="39" t="str">
        <f>IFERROR(proje!BK5*100/proje!$I5,"")</f>
        <v/>
      </c>
      <c r="BA510" s="39" t="str">
        <f>IFERROR(proje!BL5*100/proje!$I5,"")</f>
        <v/>
      </c>
      <c r="BB510" s="39" t="str">
        <f>IFERROR(proje!BM5*100/proje!$I5,"")</f>
        <v/>
      </c>
      <c r="BC510" s="39" t="str">
        <f>IFERROR(proje!BN5*100/proje!$I5,"")</f>
        <v/>
      </c>
      <c r="BD510" s="39" t="str">
        <f>IFERROR(proje!BO5*100/proje!$I5,"")</f>
        <v/>
      </c>
      <c r="BE510" s="39" t="str">
        <f>IFERROR(proje!BP5*100/proje!$I5,"")</f>
        <v/>
      </c>
      <c r="BF510" s="39" t="str">
        <f>IFERROR(proje!BQ5*100/proje!$I5,"")</f>
        <v/>
      </c>
      <c r="BG510" s="39" t="str">
        <f>IFERROR(proje!BR5*100/proje!$I5,"")</f>
        <v/>
      </c>
      <c r="BH510" s="39" t="str">
        <f>IFERROR(proje!BS5*100/proje!$I5,"")</f>
        <v/>
      </c>
      <c r="BI510" s="39" t="str">
        <f>IFERROR(proje!BT5*100/proje!$I5,"")</f>
        <v/>
      </c>
      <c r="BJ510" s="39" t="str">
        <f>IFERROR(proje!BU5*100/proje!$I5,"")</f>
        <v/>
      </c>
      <c r="BK510" s="39" t="str">
        <f>IFERROR(proje!BV5*100/proje!$I5,"")</f>
        <v/>
      </c>
      <c r="BL510" s="39" t="str">
        <f>IFERROR(proje!BW5*100/proje!$I5,"")</f>
        <v/>
      </c>
      <c r="BM510" s="39" t="str">
        <f>IFERROR(proje!BX5*100/proje!$I5,"")</f>
        <v/>
      </c>
      <c r="BN510" s="39" t="str">
        <f>IFERROR(proje!BY5*100/proje!$I5,"")</f>
        <v/>
      </c>
      <c r="BO510" s="39" t="str">
        <f>IFERROR(proje!BZ5*100/proje!$I5,"")</f>
        <v/>
      </c>
      <c r="BP510" s="39" t="str">
        <f>IFERROR(proje!CA5*100/proje!$I5,"")</f>
        <v/>
      </c>
      <c r="BQ510" s="39" t="str">
        <f>IFERROR(proje!CB5*100/proje!$I5,"")</f>
        <v/>
      </c>
      <c r="BR510" s="39" t="str">
        <f>IFERROR(proje!CC5*100/proje!$I5,"")</f>
        <v/>
      </c>
      <c r="BS510" s="39" t="str">
        <f>IFERROR(proje!CD5*100/proje!$I5,"")</f>
        <v/>
      </c>
      <c r="BT510" s="39" t="str">
        <f>IFERROR(proje!CE5*100/proje!$I5,"")</f>
        <v/>
      </c>
      <c r="BU510" s="39" t="str">
        <f>IFERROR(proje!CF5*100/proje!$I5,"")</f>
        <v/>
      </c>
      <c r="BV510" s="39" t="str">
        <f>IFERROR(proje!CG5*100/proje!$I5,"")</f>
        <v/>
      </c>
      <c r="BW510" s="39" t="str">
        <f>IFERROR(proje!CH5*100/proje!$I5,"")</f>
        <v/>
      </c>
      <c r="BX510" s="39" t="str">
        <f>IFERROR(proje!CI5*100/proje!$I5,"")</f>
        <v/>
      </c>
      <c r="BY510" s="39" t="str">
        <f>IFERROR(proje!CJ5*100/proje!$I5,"")</f>
        <v/>
      </c>
      <c r="BZ510" s="39" t="str">
        <f>IFERROR(proje!CK5*100/proje!$I5,"")</f>
        <v/>
      </c>
      <c r="CA510" s="39" t="str">
        <f>IFERROR(proje!CL5*100/proje!$I5,"")</f>
        <v/>
      </c>
      <c r="CB510" s="39" t="str">
        <f>IFERROR(proje!CM5*100/proje!$I5,"")</f>
        <v/>
      </c>
      <c r="CC510" s="39" t="str">
        <f>IFERROR(proje!CN5*100/proje!$I5,"")</f>
        <v/>
      </c>
      <c r="CD510" s="39" t="str">
        <f>IFERROR(proje!CO5*100/proje!$I5,"")</f>
        <v/>
      </c>
      <c r="CE510" s="39" t="str">
        <f>IFERROR(proje!CP5*100/proje!$I5,"")</f>
        <v/>
      </c>
      <c r="CF510" s="39" t="str">
        <f>IFERROR(proje!CQ5*100/proje!$I5,"")</f>
        <v/>
      </c>
      <c r="CG510" s="39" t="str">
        <f>IFERROR(proje!CR5*100/proje!$I5,"")</f>
        <v/>
      </c>
      <c r="CH510" s="39" t="str">
        <f>IFERROR(proje!CS5*100/proje!$I5,"")</f>
        <v/>
      </c>
      <c r="CI510" s="39" t="str">
        <f>IFERROR(proje!CT5*100/proje!$I5,"")</f>
        <v/>
      </c>
      <c r="CJ510" s="39" t="str">
        <f>IFERROR(proje!CU5*100/proje!$I5,"")</f>
        <v/>
      </c>
      <c r="CK510" s="39" t="str">
        <f>IFERROR(proje!CV5*100/proje!$I5,"")</f>
        <v/>
      </c>
      <c r="CL510" s="39" t="str">
        <f>IFERROR(proje!CW5*100/proje!$I5,"")</f>
        <v/>
      </c>
      <c r="CM510" s="39" t="str">
        <f>IFERROR(proje!CX5*100/proje!$I5,"")</f>
        <v/>
      </c>
      <c r="CN510" s="39" t="str">
        <f>IFERROR(proje!CY5*100/proje!$I5,"")</f>
        <v/>
      </c>
      <c r="CO510" s="39" t="str">
        <f>IFERROR(proje!CZ5*100/proje!$I5,"")</f>
        <v/>
      </c>
      <c r="CP510" s="39" t="str">
        <f>IFERROR(proje!DA5*100/proje!$I5,"")</f>
        <v/>
      </c>
      <c r="CQ510" s="39" t="str">
        <f>IFERROR(proje!DB5*100/proje!$I5,"")</f>
        <v/>
      </c>
      <c r="CR510" s="39" t="str">
        <f>IFERROR(proje!DC5*100/proje!$I5,"")</f>
        <v/>
      </c>
      <c r="CS510" s="39" t="str">
        <f>IFERROR(proje!DD5*100/proje!$I5,"")</f>
        <v/>
      </c>
      <c r="CT510" s="39" t="str">
        <f>IFERROR(proje!DE5*100/proje!$I5,"")</f>
        <v/>
      </c>
      <c r="CU510" s="39" t="str">
        <f>IFERROR(proje!DF5*100/proje!$I5,"")</f>
        <v/>
      </c>
      <c r="CV510" s="39" t="str">
        <f>IFERROR(proje!DG5*100/proje!$I5,"")</f>
        <v/>
      </c>
      <c r="CW510" s="36" t="str">
        <f>IFERROR(SUM(A510:CV510)/proje!$DH$103,"")</f>
        <v/>
      </c>
      <c r="CX510" s="14" t="str">
        <f>IF(COUNTA(proje!A5),proje!A5,"")</f>
        <v/>
      </c>
      <c r="CY510" s="14" t="str">
        <f>IF(COUNTA(proje!B5),proje!B5,"")</f>
        <v/>
      </c>
      <c r="CZ510" s="14" t="str">
        <f>IF(COUNTA(proje!C5),proje!C5,"")</f>
        <v/>
      </c>
      <c r="DA510" s="14" t="str">
        <f>IF(COUNTA(proje!D5),proje!D5,"")</f>
        <v/>
      </c>
      <c r="DB510" s="14" t="str">
        <f>IF(COUNTA(proje!E5),proje!E5,"")</f>
        <v/>
      </c>
      <c r="DC510" s="14" t="str">
        <f>IF(COUNTA(proje!F5),proje!F5,"")</f>
        <v/>
      </c>
      <c r="DD510" s="14" t="str">
        <f>IF(COUNTA(proje!G5),proje!G5,"")</f>
        <v/>
      </c>
      <c r="DE510" s="14" t="str">
        <f>IF(COUNTA(proje!H5),proje!H5,"")</f>
        <v/>
      </c>
    </row>
    <row r="511" spans="1:118" x14ac:dyDescent="0.2">
      <c r="A511" s="39" t="str">
        <f>IFERROR(proje!L6*100/proje!$I6,"")</f>
        <v/>
      </c>
      <c r="B511" s="39" t="str">
        <f>IFERROR(proje!M6*100/proje!$I6,"")</f>
        <v/>
      </c>
      <c r="C511" s="39" t="str">
        <f>IFERROR(proje!N6*100/proje!$I6,"")</f>
        <v/>
      </c>
      <c r="D511" s="39" t="str">
        <f>IFERROR(proje!O6*100/proje!$I6,"")</f>
        <v/>
      </c>
      <c r="E511" s="39" t="str">
        <f>IFERROR(proje!P6*100/proje!$I6,"")</f>
        <v/>
      </c>
      <c r="F511" s="39" t="str">
        <f>IFERROR(proje!Q6*100/proje!$I6,"")</f>
        <v/>
      </c>
      <c r="G511" s="39" t="str">
        <f>IFERROR(proje!R6*100/proje!$I6,"")</f>
        <v/>
      </c>
      <c r="H511" s="39" t="str">
        <f>IFERROR(proje!S6*100/proje!$I6,"")</f>
        <v/>
      </c>
      <c r="I511" s="39" t="str">
        <f>IFERROR(proje!T6*100/proje!$I6,"")</f>
        <v/>
      </c>
      <c r="J511" s="39" t="str">
        <f>IFERROR(proje!U6*100/proje!$I6,"")</f>
        <v/>
      </c>
      <c r="K511" s="39" t="str">
        <f>IFERROR(proje!V6*100/proje!$I6,"")</f>
        <v/>
      </c>
      <c r="L511" s="39" t="str">
        <f>IFERROR(proje!W6*100/proje!$I6,"")</f>
        <v/>
      </c>
      <c r="M511" s="39" t="str">
        <f>IFERROR(proje!X6*100/proje!$I6,"")</f>
        <v/>
      </c>
      <c r="N511" s="39" t="str">
        <f>IFERROR(proje!Y6*100/proje!$I6,"")</f>
        <v/>
      </c>
      <c r="O511" s="39" t="str">
        <f>IFERROR(proje!Z6*100/proje!$I6,"")</f>
        <v/>
      </c>
      <c r="P511" s="39" t="str">
        <f>IFERROR(proje!AA6*100/proje!$I6,"")</f>
        <v/>
      </c>
      <c r="Q511" s="39" t="str">
        <f>IFERROR(proje!AB6*100/proje!$I6,"")</f>
        <v/>
      </c>
      <c r="R511" s="39" t="str">
        <f>IFERROR(proje!AC6*100/proje!$I6,"")</f>
        <v/>
      </c>
      <c r="S511" s="39" t="str">
        <f>IFERROR(proje!AD6*100/proje!$I6,"")</f>
        <v/>
      </c>
      <c r="T511" s="39" t="str">
        <f>IFERROR(proje!AE6*100/proje!$I6,"")</f>
        <v/>
      </c>
      <c r="U511" s="39" t="str">
        <f>IFERROR(proje!AF6*100/proje!$I6,"")</f>
        <v/>
      </c>
      <c r="V511" s="39" t="str">
        <f>IFERROR(proje!AG6*100/proje!$I6,"")</f>
        <v/>
      </c>
      <c r="W511" s="39" t="str">
        <f>IFERROR(proje!AH6*100/proje!$I6,"")</f>
        <v/>
      </c>
      <c r="X511" s="39" t="str">
        <f>IFERROR(proje!AI6*100/proje!$I6,"")</f>
        <v/>
      </c>
      <c r="Y511" s="39" t="str">
        <f>IFERROR(proje!AJ6*100/proje!$I6,"")</f>
        <v/>
      </c>
      <c r="Z511" s="39" t="str">
        <f>IFERROR(proje!AK6*100/proje!$I6,"")</f>
        <v/>
      </c>
      <c r="AA511" s="39" t="str">
        <f>IFERROR(proje!AL6*100/proje!$I6,"")</f>
        <v/>
      </c>
      <c r="AB511" s="39" t="str">
        <f>IFERROR(proje!AM6*100/proje!$I6,"")</f>
        <v/>
      </c>
      <c r="AC511" s="39" t="str">
        <f>IFERROR(proje!AN6*100/proje!$I6,"")</f>
        <v/>
      </c>
      <c r="AD511" s="39" t="str">
        <f>IFERROR(proje!AO6*100/proje!$I6,"")</f>
        <v/>
      </c>
      <c r="AE511" s="39" t="str">
        <f>IFERROR(proje!AP6*100/proje!$I6,"")</f>
        <v/>
      </c>
      <c r="AF511" s="39" t="str">
        <f>IFERROR(proje!AQ6*100/proje!$I6,"")</f>
        <v/>
      </c>
      <c r="AG511" s="39" t="str">
        <f>IFERROR(proje!AR6*100/proje!$I6,"")</f>
        <v/>
      </c>
      <c r="AH511" s="39" t="str">
        <f>IFERROR(proje!AS6*100/proje!$I6,"")</f>
        <v/>
      </c>
      <c r="AI511" s="39" t="str">
        <f>IFERROR(proje!AT6*100/proje!$I6,"")</f>
        <v/>
      </c>
      <c r="AJ511" s="39" t="str">
        <f>IFERROR(proje!AU6*100/proje!$I6,"")</f>
        <v/>
      </c>
      <c r="AK511" s="39" t="str">
        <f>IFERROR(proje!AV6*100/proje!$I6,"")</f>
        <v/>
      </c>
      <c r="AL511" s="39" t="str">
        <f>IFERROR(proje!AW6*100/proje!$I6,"")</f>
        <v/>
      </c>
      <c r="AM511" s="39" t="str">
        <f>IFERROR(proje!AX6*100/proje!$I6,"")</f>
        <v/>
      </c>
      <c r="AN511" s="39" t="str">
        <f>IFERROR(proje!AY6*100/proje!$I6,"")</f>
        <v/>
      </c>
      <c r="AO511" s="39" t="str">
        <f>IFERROR(proje!AZ6*100/proje!$I6,"")</f>
        <v/>
      </c>
      <c r="AP511" s="39" t="str">
        <f>IFERROR(proje!BA6*100/proje!$I6,"")</f>
        <v/>
      </c>
      <c r="AQ511" s="39" t="str">
        <f>IFERROR(proje!BB6*100/proje!$I6,"")</f>
        <v/>
      </c>
      <c r="AR511" s="39" t="str">
        <f>IFERROR(proje!BC6*100/proje!$I6,"")</f>
        <v/>
      </c>
      <c r="AS511" s="39" t="str">
        <f>IFERROR(proje!BD6*100/proje!$I6,"")</f>
        <v/>
      </c>
      <c r="AT511" s="39" t="str">
        <f>IFERROR(proje!BE6*100/proje!$I6,"")</f>
        <v/>
      </c>
      <c r="AU511" s="39" t="str">
        <f>IFERROR(proje!BF6*100/proje!$I6,"")</f>
        <v/>
      </c>
      <c r="AV511" s="39" t="str">
        <f>IFERROR(proje!BG6*100/proje!$I6,"")</f>
        <v/>
      </c>
      <c r="AW511" s="39" t="str">
        <f>IFERROR(proje!BH6*100/proje!$I6,"")</f>
        <v/>
      </c>
      <c r="AX511" s="39" t="str">
        <f>IFERROR(proje!BI6*100/proje!$I6,"")</f>
        <v/>
      </c>
      <c r="AY511" s="39" t="str">
        <f>IFERROR(proje!BJ6*100/proje!$I6,"")</f>
        <v/>
      </c>
      <c r="AZ511" s="39" t="str">
        <f>IFERROR(proje!BK6*100/proje!$I6,"")</f>
        <v/>
      </c>
      <c r="BA511" s="39" t="str">
        <f>IFERROR(proje!BL6*100/proje!$I6,"")</f>
        <v/>
      </c>
      <c r="BB511" s="39" t="str">
        <f>IFERROR(proje!BM6*100/proje!$I6,"")</f>
        <v/>
      </c>
      <c r="BC511" s="39" t="str">
        <f>IFERROR(proje!BN6*100/proje!$I6,"")</f>
        <v/>
      </c>
      <c r="BD511" s="39" t="str">
        <f>IFERROR(proje!BO6*100/proje!$I6,"")</f>
        <v/>
      </c>
      <c r="BE511" s="39" t="str">
        <f>IFERROR(proje!BP6*100/proje!$I6,"")</f>
        <v/>
      </c>
      <c r="BF511" s="39" t="str">
        <f>IFERROR(proje!BQ6*100/proje!$I6,"")</f>
        <v/>
      </c>
      <c r="BG511" s="39" t="str">
        <f>IFERROR(proje!BR6*100/proje!$I6,"")</f>
        <v/>
      </c>
      <c r="BH511" s="39" t="str">
        <f>IFERROR(proje!BS6*100/proje!$I6,"")</f>
        <v/>
      </c>
      <c r="BI511" s="39" t="str">
        <f>IFERROR(proje!BT6*100/proje!$I6,"")</f>
        <v/>
      </c>
      <c r="BJ511" s="39" t="str">
        <f>IFERROR(proje!BU6*100/proje!$I6,"")</f>
        <v/>
      </c>
      <c r="BK511" s="39" t="str">
        <f>IFERROR(proje!BV6*100/proje!$I6,"")</f>
        <v/>
      </c>
      <c r="BL511" s="39" t="str">
        <f>IFERROR(proje!BW6*100/proje!$I6,"")</f>
        <v/>
      </c>
      <c r="BM511" s="39" t="str">
        <f>IFERROR(proje!BX6*100/proje!$I6,"")</f>
        <v/>
      </c>
      <c r="BN511" s="39" t="str">
        <f>IFERROR(proje!BY6*100/proje!$I6,"")</f>
        <v/>
      </c>
      <c r="BO511" s="39" t="str">
        <f>IFERROR(proje!BZ6*100/proje!$I6,"")</f>
        <v/>
      </c>
      <c r="BP511" s="39" t="str">
        <f>IFERROR(proje!CA6*100/proje!$I6,"")</f>
        <v/>
      </c>
      <c r="BQ511" s="39" t="str">
        <f>IFERROR(proje!CB6*100/proje!$I6,"")</f>
        <v/>
      </c>
      <c r="BR511" s="39" t="str">
        <f>IFERROR(proje!CC6*100/proje!$I6,"")</f>
        <v/>
      </c>
      <c r="BS511" s="39" t="str">
        <f>IFERROR(proje!CD6*100/proje!$I6,"")</f>
        <v/>
      </c>
      <c r="BT511" s="39" t="str">
        <f>IFERROR(proje!CE6*100/proje!$I6,"")</f>
        <v/>
      </c>
      <c r="BU511" s="39" t="str">
        <f>IFERROR(proje!CF6*100/proje!$I6,"")</f>
        <v/>
      </c>
      <c r="BV511" s="39" t="str">
        <f>IFERROR(proje!CG6*100/proje!$I6,"")</f>
        <v/>
      </c>
      <c r="BW511" s="39" t="str">
        <f>IFERROR(proje!CH6*100/proje!$I6,"")</f>
        <v/>
      </c>
      <c r="BX511" s="39" t="str">
        <f>IFERROR(proje!CI6*100/proje!$I6,"")</f>
        <v/>
      </c>
      <c r="BY511" s="39" t="str">
        <f>IFERROR(proje!CJ6*100/proje!$I6,"")</f>
        <v/>
      </c>
      <c r="BZ511" s="39" t="str">
        <f>IFERROR(proje!CK6*100/proje!$I6,"")</f>
        <v/>
      </c>
      <c r="CA511" s="39" t="str">
        <f>IFERROR(proje!CL6*100/proje!$I6,"")</f>
        <v/>
      </c>
      <c r="CB511" s="39" t="str">
        <f>IFERROR(proje!CM6*100/proje!$I6,"")</f>
        <v/>
      </c>
      <c r="CC511" s="39" t="str">
        <f>IFERROR(proje!CN6*100/proje!$I6,"")</f>
        <v/>
      </c>
      <c r="CD511" s="39" t="str">
        <f>IFERROR(proje!CO6*100/proje!$I6,"")</f>
        <v/>
      </c>
      <c r="CE511" s="39" t="str">
        <f>IFERROR(proje!CP6*100/proje!$I6,"")</f>
        <v/>
      </c>
      <c r="CF511" s="39" t="str">
        <f>IFERROR(proje!CQ6*100/proje!$I6,"")</f>
        <v/>
      </c>
      <c r="CG511" s="39" t="str">
        <f>IFERROR(proje!CR6*100/proje!$I6,"")</f>
        <v/>
      </c>
      <c r="CH511" s="39" t="str">
        <f>IFERROR(proje!CS6*100/proje!$I6,"")</f>
        <v/>
      </c>
      <c r="CI511" s="39" t="str">
        <f>IFERROR(proje!CT6*100/proje!$I6,"")</f>
        <v/>
      </c>
      <c r="CJ511" s="39" t="str">
        <f>IFERROR(proje!CU6*100/proje!$I6,"")</f>
        <v/>
      </c>
      <c r="CK511" s="39" t="str">
        <f>IFERROR(proje!CV6*100/proje!$I6,"")</f>
        <v/>
      </c>
      <c r="CL511" s="39" t="str">
        <f>IFERROR(proje!CW6*100/proje!$I6,"")</f>
        <v/>
      </c>
      <c r="CM511" s="39" t="str">
        <f>IFERROR(proje!CX6*100/proje!$I6,"")</f>
        <v/>
      </c>
      <c r="CN511" s="39" t="str">
        <f>IFERROR(proje!CY6*100/proje!$I6,"")</f>
        <v/>
      </c>
      <c r="CO511" s="39" t="str">
        <f>IFERROR(proje!CZ6*100/proje!$I6,"")</f>
        <v/>
      </c>
      <c r="CP511" s="39" t="str">
        <f>IFERROR(proje!DA6*100/proje!$I6,"")</f>
        <v/>
      </c>
      <c r="CQ511" s="39" t="str">
        <f>IFERROR(proje!DB6*100/proje!$I6,"")</f>
        <v/>
      </c>
      <c r="CR511" s="39" t="str">
        <f>IFERROR(proje!DC6*100/proje!$I6,"")</f>
        <v/>
      </c>
      <c r="CS511" s="39" t="str">
        <f>IFERROR(proje!DD6*100/proje!$I6,"")</f>
        <v/>
      </c>
      <c r="CT511" s="39" t="str">
        <f>IFERROR(proje!DE6*100/proje!$I6,"")</f>
        <v/>
      </c>
      <c r="CU511" s="39" t="str">
        <f>IFERROR(proje!DF6*100/proje!$I6,"")</f>
        <v/>
      </c>
      <c r="CV511" s="39" t="str">
        <f>IFERROR(proje!DG6*100/proje!$I6,"")</f>
        <v/>
      </c>
      <c r="CW511" s="36" t="str">
        <f>IFERROR(SUM(A511:CV511)/proje!$DH$103,"")</f>
        <v/>
      </c>
      <c r="CX511" s="14" t="str">
        <f>IF(COUNTA(proje!A6),proje!A6,"")</f>
        <v/>
      </c>
      <c r="CY511" s="14" t="str">
        <f>IF(COUNTA(proje!B6),proje!B6,"")</f>
        <v/>
      </c>
      <c r="CZ511" s="14" t="str">
        <f>IF(COUNTA(proje!C6),proje!C6,"")</f>
        <v/>
      </c>
      <c r="DA511" s="14" t="str">
        <f>IF(COUNTA(proje!D6),proje!D6,"")</f>
        <v/>
      </c>
      <c r="DB511" s="14" t="str">
        <f>IF(COUNTA(proje!E6),proje!E6,"")</f>
        <v/>
      </c>
      <c r="DC511" s="14" t="str">
        <f>IF(COUNTA(proje!F6),proje!F6,"")</f>
        <v/>
      </c>
      <c r="DD511" s="14" t="str">
        <f>IF(COUNTA(proje!G6),proje!G6,"")</f>
        <v/>
      </c>
      <c r="DE511" s="14" t="str">
        <f>IF(COUNTA(proje!H6),proje!H6,"")</f>
        <v/>
      </c>
    </row>
    <row r="512" spans="1:118" x14ac:dyDescent="0.2">
      <c r="A512" s="39" t="str">
        <f>IFERROR(proje!L7*100/proje!$I7,"")</f>
        <v/>
      </c>
      <c r="B512" s="39" t="str">
        <f>IFERROR(proje!M7*100/proje!$I7,"")</f>
        <v/>
      </c>
      <c r="C512" s="39" t="str">
        <f>IFERROR(proje!N7*100/proje!$I7,"")</f>
        <v/>
      </c>
      <c r="D512" s="39" t="str">
        <f>IFERROR(proje!O7*100/proje!$I7,"")</f>
        <v/>
      </c>
      <c r="E512" s="39" t="str">
        <f>IFERROR(proje!P7*100/proje!$I7,"")</f>
        <v/>
      </c>
      <c r="F512" s="39" t="str">
        <f>IFERROR(proje!Q7*100/proje!$I7,"")</f>
        <v/>
      </c>
      <c r="G512" s="39" t="str">
        <f>IFERROR(proje!R7*100/proje!$I7,"")</f>
        <v/>
      </c>
      <c r="H512" s="39" t="str">
        <f>IFERROR(proje!S7*100/proje!$I7,"")</f>
        <v/>
      </c>
      <c r="I512" s="39" t="str">
        <f>IFERROR(proje!T7*100/proje!$I7,"")</f>
        <v/>
      </c>
      <c r="J512" s="39" t="str">
        <f>IFERROR(proje!U7*100/proje!$I7,"")</f>
        <v/>
      </c>
      <c r="K512" s="39" t="str">
        <f>IFERROR(proje!V7*100/proje!$I7,"")</f>
        <v/>
      </c>
      <c r="L512" s="39" t="str">
        <f>IFERROR(proje!W7*100/proje!$I7,"")</f>
        <v/>
      </c>
      <c r="M512" s="39" t="str">
        <f>IFERROR(proje!X7*100/proje!$I7,"")</f>
        <v/>
      </c>
      <c r="N512" s="39" t="str">
        <f>IFERROR(proje!Y7*100/proje!$I7,"")</f>
        <v/>
      </c>
      <c r="O512" s="39" t="str">
        <f>IFERROR(proje!Z7*100/proje!$I7,"")</f>
        <v/>
      </c>
      <c r="P512" s="39" t="str">
        <f>IFERROR(proje!AA7*100/proje!$I7,"")</f>
        <v/>
      </c>
      <c r="Q512" s="39" t="str">
        <f>IFERROR(proje!AB7*100/proje!$I7,"")</f>
        <v/>
      </c>
      <c r="R512" s="39" t="str">
        <f>IFERROR(proje!AC7*100/proje!$I7,"")</f>
        <v/>
      </c>
      <c r="S512" s="39" t="str">
        <f>IFERROR(proje!AD7*100/proje!$I7,"")</f>
        <v/>
      </c>
      <c r="T512" s="39" t="str">
        <f>IFERROR(proje!AE7*100/proje!$I7,"")</f>
        <v/>
      </c>
      <c r="U512" s="39" t="str">
        <f>IFERROR(proje!AF7*100/proje!$I7,"")</f>
        <v/>
      </c>
      <c r="V512" s="39" t="str">
        <f>IFERROR(proje!AG7*100/proje!$I7,"")</f>
        <v/>
      </c>
      <c r="W512" s="39" t="str">
        <f>IFERROR(proje!AH7*100/proje!$I7,"")</f>
        <v/>
      </c>
      <c r="X512" s="39" t="str">
        <f>IFERROR(proje!AI7*100/proje!$I7,"")</f>
        <v/>
      </c>
      <c r="Y512" s="39" t="str">
        <f>IFERROR(proje!AJ7*100/proje!$I7,"")</f>
        <v/>
      </c>
      <c r="Z512" s="39" t="str">
        <f>IFERROR(proje!AK7*100/proje!$I7,"")</f>
        <v/>
      </c>
      <c r="AA512" s="39" t="str">
        <f>IFERROR(proje!AL7*100/proje!$I7,"")</f>
        <v/>
      </c>
      <c r="AB512" s="39" t="str">
        <f>IFERROR(proje!AM7*100/proje!$I7,"")</f>
        <v/>
      </c>
      <c r="AC512" s="39" t="str">
        <f>IFERROR(proje!AN7*100/proje!$I7,"")</f>
        <v/>
      </c>
      <c r="AD512" s="39" t="str">
        <f>IFERROR(proje!AO7*100/proje!$I7,"")</f>
        <v/>
      </c>
      <c r="AE512" s="39" t="str">
        <f>IFERROR(proje!AP7*100/proje!$I7,"")</f>
        <v/>
      </c>
      <c r="AF512" s="39" t="str">
        <f>IFERROR(proje!AQ7*100/proje!$I7,"")</f>
        <v/>
      </c>
      <c r="AG512" s="39" t="str">
        <f>IFERROR(proje!AR7*100/proje!$I7,"")</f>
        <v/>
      </c>
      <c r="AH512" s="39" t="str">
        <f>IFERROR(proje!AS7*100/proje!$I7,"")</f>
        <v/>
      </c>
      <c r="AI512" s="39" t="str">
        <f>IFERROR(proje!AT7*100/proje!$I7,"")</f>
        <v/>
      </c>
      <c r="AJ512" s="39" t="str">
        <f>IFERROR(proje!AU7*100/proje!$I7,"")</f>
        <v/>
      </c>
      <c r="AK512" s="39" t="str">
        <f>IFERROR(proje!AV7*100/proje!$I7,"")</f>
        <v/>
      </c>
      <c r="AL512" s="39" t="str">
        <f>IFERROR(proje!AW7*100/proje!$I7,"")</f>
        <v/>
      </c>
      <c r="AM512" s="39" t="str">
        <f>IFERROR(proje!AX7*100/proje!$I7,"")</f>
        <v/>
      </c>
      <c r="AN512" s="39" t="str">
        <f>IFERROR(proje!AY7*100/proje!$I7,"")</f>
        <v/>
      </c>
      <c r="AO512" s="39" t="str">
        <f>IFERROR(proje!AZ7*100/proje!$I7,"")</f>
        <v/>
      </c>
      <c r="AP512" s="39" t="str">
        <f>IFERROR(proje!BA7*100/proje!$I7,"")</f>
        <v/>
      </c>
      <c r="AQ512" s="39" t="str">
        <f>IFERROR(proje!BB7*100/proje!$I7,"")</f>
        <v/>
      </c>
      <c r="AR512" s="39" t="str">
        <f>IFERROR(proje!BC7*100/proje!$I7,"")</f>
        <v/>
      </c>
      <c r="AS512" s="39" t="str">
        <f>IFERROR(proje!BD7*100/proje!$I7,"")</f>
        <v/>
      </c>
      <c r="AT512" s="39" t="str">
        <f>IFERROR(proje!BE7*100/proje!$I7,"")</f>
        <v/>
      </c>
      <c r="AU512" s="39" t="str">
        <f>IFERROR(proje!BF7*100/proje!$I7,"")</f>
        <v/>
      </c>
      <c r="AV512" s="39" t="str">
        <f>IFERROR(proje!BG7*100/proje!$I7,"")</f>
        <v/>
      </c>
      <c r="AW512" s="39" t="str">
        <f>IFERROR(proje!BH7*100/proje!$I7,"")</f>
        <v/>
      </c>
      <c r="AX512" s="39" t="str">
        <f>IFERROR(proje!BI7*100/proje!$I7,"")</f>
        <v/>
      </c>
      <c r="AY512" s="39" t="str">
        <f>IFERROR(proje!BJ7*100/proje!$I7,"")</f>
        <v/>
      </c>
      <c r="AZ512" s="39" t="str">
        <f>IFERROR(proje!BK7*100/proje!$I7,"")</f>
        <v/>
      </c>
      <c r="BA512" s="39" t="str">
        <f>IFERROR(proje!BL7*100/proje!$I7,"")</f>
        <v/>
      </c>
      <c r="BB512" s="39" t="str">
        <f>IFERROR(proje!BM7*100/proje!$I7,"")</f>
        <v/>
      </c>
      <c r="BC512" s="39" t="str">
        <f>IFERROR(proje!BN7*100/proje!$I7,"")</f>
        <v/>
      </c>
      <c r="BD512" s="39" t="str">
        <f>IFERROR(proje!BO7*100/proje!$I7,"")</f>
        <v/>
      </c>
      <c r="BE512" s="39" t="str">
        <f>IFERROR(proje!BP7*100/proje!$I7,"")</f>
        <v/>
      </c>
      <c r="BF512" s="39" t="str">
        <f>IFERROR(proje!BQ7*100/proje!$I7,"")</f>
        <v/>
      </c>
      <c r="BG512" s="39" t="str">
        <f>IFERROR(proje!BR7*100/proje!$I7,"")</f>
        <v/>
      </c>
      <c r="BH512" s="39" t="str">
        <f>IFERROR(proje!BS7*100/proje!$I7,"")</f>
        <v/>
      </c>
      <c r="BI512" s="39" t="str">
        <f>IFERROR(proje!BT7*100/proje!$I7,"")</f>
        <v/>
      </c>
      <c r="BJ512" s="39" t="str">
        <f>IFERROR(proje!BU7*100/proje!$I7,"")</f>
        <v/>
      </c>
      <c r="BK512" s="39" t="str">
        <f>IFERROR(proje!BV7*100/proje!$I7,"")</f>
        <v/>
      </c>
      <c r="BL512" s="39" t="str">
        <f>IFERROR(proje!BW7*100/proje!$I7,"")</f>
        <v/>
      </c>
      <c r="BM512" s="39" t="str">
        <f>IFERROR(proje!BX7*100/proje!$I7,"")</f>
        <v/>
      </c>
      <c r="BN512" s="39" t="str">
        <f>IFERROR(proje!BY7*100/proje!$I7,"")</f>
        <v/>
      </c>
      <c r="BO512" s="39" t="str">
        <f>IFERROR(proje!BZ7*100/proje!$I7,"")</f>
        <v/>
      </c>
      <c r="BP512" s="39" t="str">
        <f>IFERROR(proje!CA7*100/proje!$I7,"")</f>
        <v/>
      </c>
      <c r="BQ512" s="39" t="str">
        <f>IFERROR(proje!CB7*100/proje!$I7,"")</f>
        <v/>
      </c>
      <c r="BR512" s="39" t="str">
        <f>IFERROR(proje!CC7*100/proje!$I7,"")</f>
        <v/>
      </c>
      <c r="BS512" s="39" t="str">
        <f>IFERROR(proje!CD7*100/proje!$I7,"")</f>
        <v/>
      </c>
      <c r="BT512" s="39" t="str">
        <f>IFERROR(proje!CE7*100/proje!$I7,"")</f>
        <v/>
      </c>
      <c r="BU512" s="39" t="str">
        <f>IFERROR(proje!CF7*100/proje!$I7,"")</f>
        <v/>
      </c>
      <c r="BV512" s="39" t="str">
        <f>IFERROR(proje!CG7*100/proje!$I7,"")</f>
        <v/>
      </c>
      <c r="BW512" s="39" t="str">
        <f>IFERROR(proje!CH7*100/proje!$I7,"")</f>
        <v/>
      </c>
      <c r="BX512" s="39" t="str">
        <f>IFERROR(proje!CI7*100/proje!$I7,"")</f>
        <v/>
      </c>
      <c r="BY512" s="39" t="str">
        <f>IFERROR(proje!CJ7*100/proje!$I7,"")</f>
        <v/>
      </c>
      <c r="BZ512" s="39" t="str">
        <f>IFERROR(proje!CK7*100/proje!$I7,"")</f>
        <v/>
      </c>
      <c r="CA512" s="39" t="str">
        <f>IFERROR(proje!CL7*100/proje!$I7,"")</f>
        <v/>
      </c>
      <c r="CB512" s="39" t="str">
        <f>IFERROR(proje!CM7*100/proje!$I7,"")</f>
        <v/>
      </c>
      <c r="CC512" s="39" t="str">
        <f>IFERROR(proje!CN7*100/proje!$I7,"")</f>
        <v/>
      </c>
      <c r="CD512" s="39" t="str">
        <f>IFERROR(proje!CO7*100/proje!$I7,"")</f>
        <v/>
      </c>
      <c r="CE512" s="39" t="str">
        <f>IFERROR(proje!CP7*100/proje!$I7,"")</f>
        <v/>
      </c>
      <c r="CF512" s="39" t="str">
        <f>IFERROR(proje!CQ7*100/proje!$I7,"")</f>
        <v/>
      </c>
      <c r="CG512" s="39" t="str">
        <f>IFERROR(proje!CR7*100/proje!$I7,"")</f>
        <v/>
      </c>
      <c r="CH512" s="39" t="str">
        <f>IFERROR(proje!CS7*100/proje!$I7,"")</f>
        <v/>
      </c>
      <c r="CI512" s="39" t="str">
        <f>IFERROR(proje!CT7*100/proje!$I7,"")</f>
        <v/>
      </c>
      <c r="CJ512" s="39" t="str">
        <f>IFERROR(proje!CU7*100/proje!$I7,"")</f>
        <v/>
      </c>
      <c r="CK512" s="39" t="str">
        <f>IFERROR(proje!CV7*100/proje!$I7,"")</f>
        <v/>
      </c>
      <c r="CL512" s="39" t="str">
        <f>IFERROR(proje!CW7*100/proje!$I7,"")</f>
        <v/>
      </c>
      <c r="CM512" s="39" t="str">
        <f>IFERROR(proje!CX7*100/proje!$I7,"")</f>
        <v/>
      </c>
      <c r="CN512" s="39" t="str">
        <f>IFERROR(proje!CY7*100/proje!$I7,"")</f>
        <v/>
      </c>
      <c r="CO512" s="39" t="str">
        <f>IFERROR(proje!CZ7*100/proje!$I7,"")</f>
        <v/>
      </c>
      <c r="CP512" s="39" t="str">
        <f>IFERROR(proje!DA7*100/proje!$I7,"")</f>
        <v/>
      </c>
      <c r="CQ512" s="39" t="str">
        <f>IFERROR(proje!DB7*100/proje!$I7,"")</f>
        <v/>
      </c>
      <c r="CR512" s="39" t="str">
        <f>IFERROR(proje!DC7*100/proje!$I7,"")</f>
        <v/>
      </c>
      <c r="CS512" s="39" t="str">
        <f>IFERROR(proje!DD7*100/proje!$I7,"")</f>
        <v/>
      </c>
      <c r="CT512" s="39" t="str">
        <f>IFERROR(proje!DE7*100/proje!$I7,"")</f>
        <v/>
      </c>
      <c r="CU512" s="39" t="str">
        <f>IFERROR(proje!DF7*100/proje!$I7,"")</f>
        <v/>
      </c>
      <c r="CV512" s="39" t="str">
        <f>IFERROR(proje!DG7*100/proje!$I7,"")</f>
        <v/>
      </c>
      <c r="CW512" s="36" t="str">
        <f>IFERROR(SUM(A512:CV512)/proje!$DH$103,"")</f>
        <v/>
      </c>
      <c r="CX512" s="14" t="str">
        <f>IF(COUNTA(proje!A7),proje!A7,"")</f>
        <v/>
      </c>
      <c r="CY512" s="14" t="str">
        <f>IF(COUNTA(proje!B7),proje!B7,"")</f>
        <v/>
      </c>
      <c r="CZ512" s="14" t="str">
        <f>IF(COUNTA(proje!C7),proje!C7,"")</f>
        <v/>
      </c>
      <c r="DA512" s="14" t="str">
        <f>IF(COUNTA(proje!D7),proje!D7,"")</f>
        <v/>
      </c>
      <c r="DB512" s="14" t="str">
        <f>IF(COUNTA(proje!E7),proje!E7,"")</f>
        <v/>
      </c>
      <c r="DC512" s="14" t="str">
        <f>IF(COUNTA(proje!F7),proje!F7,"")</f>
        <v/>
      </c>
      <c r="DD512" s="14" t="str">
        <f>IF(COUNTA(proje!G7),proje!G7,"")</f>
        <v/>
      </c>
      <c r="DE512" s="14" t="str">
        <f>IF(COUNTA(proje!H7),proje!H7,"")</f>
        <v/>
      </c>
    </row>
    <row r="513" spans="1:109" x14ac:dyDescent="0.2">
      <c r="A513" s="39" t="str">
        <f>IFERROR(proje!L8*100/proje!$I8,"")</f>
        <v/>
      </c>
      <c r="B513" s="39" t="str">
        <f>IFERROR(proje!M8*100/proje!$I8,"")</f>
        <v/>
      </c>
      <c r="C513" s="39" t="str">
        <f>IFERROR(proje!N8*100/proje!$I8,"")</f>
        <v/>
      </c>
      <c r="D513" s="39" t="str">
        <f>IFERROR(proje!O8*100/proje!$I8,"")</f>
        <v/>
      </c>
      <c r="E513" s="39" t="str">
        <f>IFERROR(proje!P8*100/proje!$I8,"")</f>
        <v/>
      </c>
      <c r="F513" s="39" t="str">
        <f>IFERROR(proje!Q8*100/proje!$I8,"")</f>
        <v/>
      </c>
      <c r="G513" s="39" t="str">
        <f>IFERROR(proje!R8*100/proje!$I8,"")</f>
        <v/>
      </c>
      <c r="H513" s="39" t="str">
        <f>IFERROR(proje!S8*100/proje!$I8,"")</f>
        <v/>
      </c>
      <c r="I513" s="39" t="str">
        <f>IFERROR(proje!T8*100/proje!$I8,"")</f>
        <v/>
      </c>
      <c r="J513" s="39" t="str">
        <f>IFERROR(proje!U8*100/proje!$I8,"")</f>
        <v/>
      </c>
      <c r="K513" s="39" t="str">
        <f>IFERROR(proje!V8*100/proje!$I8,"")</f>
        <v/>
      </c>
      <c r="L513" s="39" t="str">
        <f>IFERROR(proje!W8*100/proje!$I8,"")</f>
        <v/>
      </c>
      <c r="M513" s="39" t="str">
        <f>IFERROR(proje!X8*100/proje!$I8,"")</f>
        <v/>
      </c>
      <c r="N513" s="39" t="str">
        <f>IFERROR(proje!Y8*100/proje!$I8,"")</f>
        <v/>
      </c>
      <c r="O513" s="39" t="str">
        <f>IFERROR(proje!Z8*100/proje!$I8,"")</f>
        <v/>
      </c>
      <c r="P513" s="39" t="str">
        <f>IFERROR(proje!AA8*100/proje!$I8,"")</f>
        <v/>
      </c>
      <c r="Q513" s="39" t="str">
        <f>IFERROR(proje!AB8*100/proje!$I8,"")</f>
        <v/>
      </c>
      <c r="R513" s="39" t="str">
        <f>IFERROR(proje!AC8*100/proje!$I8,"")</f>
        <v/>
      </c>
      <c r="S513" s="39" t="str">
        <f>IFERROR(proje!AD8*100/proje!$I8,"")</f>
        <v/>
      </c>
      <c r="T513" s="39" t="str">
        <f>IFERROR(proje!AE8*100/proje!$I8,"")</f>
        <v/>
      </c>
      <c r="U513" s="39" t="str">
        <f>IFERROR(proje!AF8*100/proje!$I8,"")</f>
        <v/>
      </c>
      <c r="V513" s="39" t="str">
        <f>IFERROR(proje!AG8*100/proje!$I8,"")</f>
        <v/>
      </c>
      <c r="W513" s="39" t="str">
        <f>IFERROR(proje!AH8*100/proje!$I8,"")</f>
        <v/>
      </c>
      <c r="X513" s="39" t="str">
        <f>IFERROR(proje!AI8*100/proje!$I8,"")</f>
        <v/>
      </c>
      <c r="Y513" s="39" t="str">
        <f>IFERROR(proje!AJ8*100/proje!$I8,"")</f>
        <v/>
      </c>
      <c r="Z513" s="39" t="str">
        <f>IFERROR(proje!AK8*100/proje!$I8,"")</f>
        <v/>
      </c>
      <c r="AA513" s="39" t="str">
        <f>IFERROR(proje!AL8*100/proje!$I8,"")</f>
        <v/>
      </c>
      <c r="AB513" s="39" t="str">
        <f>IFERROR(proje!AM8*100/proje!$I8,"")</f>
        <v/>
      </c>
      <c r="AC513" s="39" t="str">
        <f>IFERROR(proje!AN8*100/proje!$I8,"")</f>
        <v/>
      </c>
      <c r="AD513" s="39" t="str">
        <f>IFERROR(proje!AO8*100/proje!$I8,"")</f>
        <v/>
      </c>
      <c r="AE513" s="39" t="str">
        <f>IFERROR(proje!AP8*100/proje!$I8,"")</f>
        <v/>
      </c>
      <c r="AF513" s="39" t="str">
        <f>IFERROR(proje!AQ8*100/proje!$I8,"")</f>
        <v/>
      </c>
      <c r="AG513" s="39" t="str">
        <f>IFERROR(proje!AR8*100/proje!$I8,"")</f>
        <v/>
      </c>
      <c r="AH513" s="39" t="str">
        <f>IFERROR(proje!AS8*100/proje!$I8,"")</f>
        <v/>
      </c>
      <c r="AI513" s="39" t="str">
        <f>IFERROR(proje!AT8*100/proje!$I8,"")</f>
        <v/>
      </c>
      <c r="AJ513" s="39" t="str">
        <f>IFERROR(proje!AU8*100/proje!$I8,"")</f>
        <v/>
      </c>
      <c r="AK513" s="39" t="str">
        <f>IFERROR(proje!AV8*100/proje!$I8,"")</f>
        <v/>
      </c>
      <c r="AL513" s="39" t="str">
        <f>IFERROR(proje!AW8*100/proje!$I8,"")</f>
        <v/>
      </c>
      <c r="AM513" s="39" t="str">
        <f>IFERROR(proje!AX8*100/proje!$I8,"")</f>
        <v/>
      </c>
      <c r="AN513" s="39" t="str">
        <f>IFERROR(proje!AY8*100/proje!$I8,"")</f>
        <v/>
      </c>
      <c r="AO513" s="39" t="str">
        <f>IFERROR(proje!AZ8*100/proje!$I8,"")</f>
        <v/>
      </c>
      <c r="AP513" s="39" t="str">
        <f>IFERROR(proje!BA8*100/proje!$I8,"")</f>
        <v/>
      </c>
      <c r="AQ513" s="39" t="str">
        <f>IFERROR(proje!BB8*100/proje!$I8,"")</f>
        <v/>
      </c>
      <c r="AR513" s="39" t="str">
        <f>IFERROR(proje!BC8*100/proje!$I8,"")</f>
        <v/>
      </c>
      <c r="AS513" s="39" t="str">
        <f>IFERROR(proje!BD8*100/proje!$I8,"")</f>
        <v/>
      </c>
      <c r="AT513" s="39" t="str">
        <f>IFERROR(proje!BE8*100/proje!$I8,"")</f>
        <v/>
      </c>
      <c r="AU513" s="39" t="str">
        <f>IFERROR(proje!BF8*100/proje!$I8,"")</f>
        <v/>
      </c>
      <c r="AV513" s="39" t="str">
        <f>IFERROR(proje!BG8*100/proje!$I8,"")</f>
        <v/>
      </c>
      <c r="AW513" s="39" t="str">
        <f>IFERROR(proje!BH8*100/proje!$I8,"")</f>
        <v/>
      </c>
      <c r="AX513" s="39" t="str">
        <f>IFERROR(proje!BI8*100/proje!$I8,"")</f>
        <v/>
      </c>
      <c r="AY513" s="39" t="str">
        <f>IFERROR(proje!BJ8*100/proje!$I8,"")</f>
        <v/>
      </c>
      <c r="AZ513" s="39" t="str">
        <f>IFERROR(proje!BK8*100/proje!$I8,"")</f>
        <v/>
      </c>
      <c r="BA513" s="39" t="str">
        <f>IFERROR(proje!BL8*100/proje!$I8,"")</f>
        <v/>
      </c>
      <c r="BB513" s="39" t="str">
        <f>IFERROR(proje!BM8*100/proje!$I8,"")</f>
        <v/>
      </c>
      <c r="BC513" s="39" t="str">
        <f>IFERROR(proje!BN8*100/proje!$I8,"")</f>
        <v/>
      </c>
      <c r="BD513" s="39" t="str">
        <f>IFERROR(proje!BO8*100/proje!$I8,"")</f>
        <v/>
      </c>
      <c r="BE513" s="39" t="str">
        <f>IFERROR(proje!BP8*100/proje!$I8,"")</f>
        <v/>
      </c>
      <c r="BF513" s="39" t="str">
        <f>IFERROR(proje!BQ8*100/proje!$I8,"")</f>
        <v/>
      </c>
      <c r="BG513" s="39" t="str">
        <f>IFERROR(proje!BR8*100/proje!$I8,"")</f>
        <v/>
      </c>
      <c r="BH513" s="39" t="str">
        <f>IFERROR(proje!BS8*100/proje!$I8,"")</f>
        <v/>
      </c>
      <c r="BI513" s="39" t="str">
        <f>IFERROR(proje!BT8*100/proje!$I8,"")</f>
        <v/>
      </c>
      <c r="BJ513" s="39" t="str">
        <f>IFERROR(proje!BU8*100/proje!$I8,"")</f>
        <v/>
      </c>
      <c r="BK513" s="39" t="str">
        <f>IFERROR(proje!BV8*100/proje!$I8,"")</f>
        <v/>
      </c>
      <c r="BL513" s="39" t="str">
        <f>IFERROR(proje!BW8*100/proje!$I8,"")</f>
        <v/>
      </c>
      <c r="BM513" s="39" t="str">
        <f>IFERROR(proje!BX8*100/proje!$I8,"")</f>
        <v/>
      </c>
      <c r="BN513" s="39" t="str">
        <f>IFERROR(proje!BY8*100/proje!$I8,"")</f>
        <v/>
      </c>
      <c r="BO513" s="39" t="str">
        <f>IFERROR(proje!BZ8*100/proje!$I8,"")</f>
        <v/>
      </c>
      <c r="BP513" s="39" t="str">
        <f>IFERROR(proje!CA8*100/proje!$I8,"")</f>
        <v/>
      </c>
      <c r="BQ513" s="39" t="str">
        <f>IFERROR(proje!CB8*100/proje!$I8,"")</f>
        <v/>
      </c>
      <c r="BR513" s="39" t="str">
        <f>IFERROR(proje!CC8*100/proje!$I8,"")</f>
        <v/>
      </c>
      <c r="BS513" s="39" t="str">
        <f>IFERROR(proje!CD8*100/proje!$I8,"")</f>
        <v/>
      </c>
      <c r="BT513" s="39" t="str">
        <f>IFERROR(proje!CE8*100/proje!$I8,"")</f>
        <v/>
      </c>
      <c r="BU513" s="39" t="str">
        <f>IFERROR(proje!CF8*100/proje!$I8,"")</f>
        <v/>
      </c>
      <c r="BV513" s="39" t="str">
        <f>IFERROR(proje!CG8*100/proje!$I8,"")</f>
        <v/>
      </c>
      <c r="BW513" s="39" t="str">
        <f>IFERROR(proje!CH8*100/proje!$I8,"")</f>
        <v/>
      </c>
      <c r="BX513" s="39" t="str">
        <f>IFERROR(proje!CI8*100/proje!$I8,"")</f>
        <v/>
      </c>
      <c r="BY513" s="39" t="str">
        <f>IFERROR(proje!CJ8*100/proje!$I8,"")</f>
        <v/>
      </c>
      <c r="BZ513" s="39" t="str">
        <f>IFERROR(proje!CK8*100/proje!$I8,"")</f>
        <v/>
      </c>
      <c r="CA513" s="39" t="str">
        <f>IFERROR(proje!CL8*100/proje!$I8,"")</f>
        <v/>
      </c>
      <c r="CB513" s="39" t="str">
        <f>IFERROR(proje!CM8*100/proje!$I8,"")</f>
        <v/>
      </c>
      <c r="CC513" s="39" t="str">
        <f>IFERROR(proje!CN8*100/proje!$I8,"")</f>
        <v/>
      </c>
      <c r="CD513" s="39" t="str">
        <f>IFERROR(proje!CO8*100/proje!$I8,"")</f>
        <v/>
      </c>
      <c r="CE513" s="39" t="str">
        <f>IFERROR(proje!CP8*100/proje!$I8,"")</f>
        <v/>
      </c>
      <c r="CF513" s="39" t="str">
        <f>IFERROR(proje!CQ8*100/proje!$I8,"")</f>
        <v/>
      </c>
      <c r="CG513" s="39" t="str">
        <f>IFERROR(proje!CR8*100/proje!$I8,"")</f>
        <v/>
      </c>
      <c r="CH513" s="39" t="str">
        <f>IFERROR(proje!CS8*100/proje!$I8,"")</f>
        <v/>
      </c>
      <c r="CI513" s="39" t="str">
        <f>IFERROR(proje!CT8*100/proje!$I8,"")</f>
        <v/>
      </c>
      <c r="CJ513" s="39" t="str">
        <f>IFERROR(proje!CU8*100/proje!$I8,"")</f>
        <v/>
      </c>
      <c r="CK513" s="39" t="str">
        <f>IFERROR(proje!CV8*100/proje!$I8,"")</f>
        <v/>
      </c>
      <c r="CL513" s="39" t="str">
        <f>IFERROR(proje!CW8*100/proje!$I8,"")</f>
        <v/>
      </c>
      <c r="CM513" s="39" t="str">
        <f>IFERROR(proje!CX8*100/proje!$I8,"")</f>
        <v/>
      </c>
      <c r="CN513" s="39" t="str">
        <f>IFERROR(proje!CY8*100/proje!$I8,"")</f>
        <v/>
      </c>
      <c r="CO513" s="39" t="str">
        <f>IFERROR(proje!CZ8*100/proje!$I8,"")</f>
        <v/>
      </c>
      <c r="CP513" s="39" t="str">
        <f>IFERROR(proje!DA8*100/proje!$I8,"")</f>
        <v/>
      </c>
      <c r="CQ513" s="39" t="str">
        <f>IFERROR(proje!DB8*100/proje!$I8,"")</f>
        <v/>
      </c>
      <c r="CR513" s="39" t="str">
        <f>IFERROR(proje!DC8*100/proje!$I8,"")</f>
        <v/>
      </c>
      <c r="CS513" s="39" t="str">
        <f>IFERROR(proje!DD8*100/proje!$I8,"")</f>
        <v/>
      </c>
      <c r="CT513" s="39" t="str">
        <f>IFERROR(proje!DE8*100/proje!$I8,"")</f>
        <v/>
      </c>
      <c r="CU513" s="39" t="str">
        <f>IFERROR(proje!DF8*100/proje!$I8,"")</f>
        <v/>
      </c>
      <c r="CV513" s="39" t="str">
        <f>IFERROR(proje!DG8*100/proje!$I8,"")</f>
        <v/>
      </c>
      <c r="CW513" s="36" t="str">
        <f>IFERROR(SUM(A513:CV513)/proje!$DH$103,"")</f>
        <v/>
      </c>
      <c r="CX513" s="14" t="str">
        <f>IF(COUNTA(proje!A8),proje!A8,"")</f>
        <v/>
      </c>
      <c r="CY513" s="14" t="str">
        <f>IF(COUNTA(proje!B8),proje!B8,"")</f>
        <v/>
      </c>
      <c r="CZ513" s="14" t="str">
        <f>IF(COUNTA(proje!C8),proje!C8,"")</f>
        <v/>
      </c>
      <c r="DA513" s="14" t="str">
        <f>IF(COUNTA(proje!D8),proje!D8,"")</f>
        <v/>
      </c>
      <c r="DB513" s="14" t="str">
        <f>IF(COUNTA(proje!E8),proje!E8,"")</f>
        <v/>
      </c>
      <c r="DC513" s="14" t="str">
        <f>IF(COUNTA(proje!F8),proje!F8,"")</f>
        <v/>
      </c>
      <c r="DD513" s="14" t="str">
        <f>IF(COUNTA(proje!G8),proje!G8,"")</f>
        <v/>
      </c>
      <c r="DE513" s="14" t="str">
        <f>IF(COUNTA(proje!H8),proje!H8,"")</f>
        <v/>
      </c>
    </row>
    <row r="514" spans="1:109" x14ac:dyDescent="0.2">
      <c r="A514" s="39" t="str">
        <f>IFERROR(proje!L9*100/proje!$I9,"")</f>
        <v/>
      </c>
      <c r="B514" s="39" t="str">
        <f>IFERROR(proje!M9*100/proje!$I9,"")</f>
        <v/>
      </c>
      <c r="C514" s="39" t="str">
        <f>IFERROR(proje!N9*100/proje!$I9,"")</f>
        <v/>
      </c>
      <c r="D514" s="39" t="str">
        <f>IFERROR(proje!O9*100/proje!$I9,"")</f>
        <v/>
      </c>
      <c r="E514" s="39" t="str">
        <f>IFERROR(proje!P9*100/proje!$I9,"")</f>
        <v/>
      </c>
      <c r="F514" s="39" t="str">
        <f>IFERROR(proje!Q9*100/proje!$I9,"")</f>
        <v/>
      </c>
      <c r="G514" s="39" t="str">
        <f>IFERROR(proje!R9*100/proje!$I9,"")</f>
        <v/>
      </c>
      <c r="H514" s="39" t="str">
        <f>IFERROR(proje!S9*100/proje!$I9,"")</f>
        <v/>
      </c>
      <c r="I514" s="39" t="str">
        <f>IFERROR(proje!T9*100/proje!$I9,"")</f>
        <v/>
      </c>
      <c r="J514" s="39" t="str">
        <f>IFERROR(proje!U9*100/proje!$I9,"")</f>
        <v/>
      </c>
      <c r="K514" s="39" t="str">
        <f>IFERROR(proje!V9*100/proje!$I9,"")</f>
        <v/>
      </c>
      <c r="L514" s="39" t="str">
        <f>IFERROR(proje!W9*100/proje!$I9,"")</f>
        <v/>
      </c>
      <c r="M514" s="39" t="str">
        <f>IFERROR(proje!X9*100/proje!$I9,"")</f>
        <v/>
      </c>
      <c r="N514" s="39" t="str">
        <f>IFERROR(proje!Y9*100/proje!$I9,"")</f>
        <v/>
      </c>
      <c r="O514" s="39" t="str">
        <f>IFERROR(proje!Z9*100/proje!$I9,"")</f>
        <v/>
      </c>
      <c r="P514" s="39" t="str">
        <f>IFERROR(proje!AA9*100/proje!$I9,"")</f>
        <v/>
      </c>
      <c r="Q514" s="39" t="str">
        <f>IFERROR(proje!AB9*100/proje!$I9,"")</f>
        <v/>
      </c>
      <c r="R514" s="39" t="str">
        <f>IFERROR(proje!AC9*100/proje!$I9,"")</f>
        <v/>
      </c>
      <c r="S514" s="39" t="str">
        <f>IFERROR(proje!AD9*100/proje!$I9,"")</f>
        <v/>
      </c>
      <c r="T514" s="39" t="str">
        <f>IFERROR(proje!AE9*100/proje!$I9,"")</f>
        <v/>
      </c>
      <c r="U514" s="39" t="str">
        <f>IFERROR(proje!AF9*100/proje!$I9,"")</f>
        <v/>
      </c>
      <c r="V514" s="39" t="str">
        <f>IFERROR(proje!AG9*100/proje!$I9,"")</f>
        <v/>
      </c>
      <c r="W514" s="39" t="str">
        <f>IFERROR(proje!AH9*100/proje!$I9,"")</f>
        <v/>
      </c>
      <c r="X514" s="39" t="str">
        <f>IFERROR(proje!AI9*100/proje!$I9,"")</f>
        <v/>
      </c>
      <c r="Y514" s="39" t="str">
        <f>IFERROR(proje!AJ9*100/proje!$I9,"")</f>
        <v/>
      </c>
      <c r="Z514" s="39" t="str">
        <f>IFERROR(proje!AK9*100/proje!$I9,"")</f>
        <v/>
      </c>
      <c r="AA514" s="39" t="str">
        <f>IFERROR(proje!AL9*100/proje!$I9,"")</f>
        <v/>
      </c>
      <c r="AB514" s="39" t="str">
        <f>IFERROR(proje!AM9*100/proje!$I9,"")</f>
        <v/>
      </c>
      <c r="AC514" s="39" t="str">
        <f>IFERROR(proje!AN9*100/proje!$I9,"")</f>
        <v/>
      </c>
      <c r="AD514" s="39" t="str">
        <f>IFERROR(proje!AO9*100/proje!$I9,"")</f>
        <v/>
      </c>
      <c r="AE514" s="39" t="str">
        <f>IFERROR(proje!AP9*100/proje!$I9,"")</f>
        <v/>
      </c>
      <c r="AF514" s="39" t="str">
        <f>IFERROR(proje!AQ9*100/proje!$I9,"")</f>
        <v/>
      </c>
      <c r="AG514" s="39" t="str">
        <f>IFERROR(proje!AR9*100/proje!$I9,"")</f>
        <v/>
      </c>
      <c r="AH514" s="39" t="str">
        <f>IFERROR(proje!AS9*100/proje!$I9,"")</f>
        <v/>
      </c>
      <c r="AI514" s="39" t="str">
        <f>IFERROR(proje!AT9*100/proje!$I9,"")</f>
        <v/>
      </c>
      <c r="AJ514" s="39" t="str">
        <f>IFERROR(proje!AU9*100/proje!$I9,"")</f>
        <v/>
      </c>
      <c r="AK514" s="39" t="str">
        <f>IFERROR(proje!AV9*100/proje!$I9,"")</f>
        <v/>
      </c>
      <c r="AL514" s="39" t="str">
        <f>IFERROR(proje!AW9*100/proje!$I9,"")</f>
        <v/>
      </c>
      <c r="AM514" s="39" t="str">
        <f>IFERROR(proje!AX9*100/proje!$I9,"")</f>
        <v/>
      </c>
      <c r="AN514" s="39" t="str">
        <f>IFERROR(proje!AY9*100/proje!$I9,"")</f>
        <v/>
      </c>
      <c r="AO514" s="39" t="str">
        <f>IFERROR(proje!AZ9*100/proje!$I9,"")</f>
        <v/>
      </c>
      <c r="AP514" s="39" t="str">
        <f>IFERROR(proje!BA9*100/proje!$I9,"")</f>
        <v/>
      </c>
      <c r="AQ514" s="39" t="str">
        <f>IFERROR(proje!BB9*100/proje!$I9,"")</f>
        <v/>
      </c>
      <c r="AR514" s="39" t="str">
        <f>IFERROR(proje!BC9*100/proje!$I9,"")</f>
        <v/>
      </c>
      <c r="AS514" s="39" t="str">
        <f>IFERROR(proje!BD9*100/proje!$I9,"")</f>
        <v/>
      </c>
      <c r="AT514" s="39" t="str">
        <f>IFERROR(proje!BE9*100/proje!$I9,"")</f>
        <v/>
      </c>
      <c r="AU514" s="39" t="str">
        <f>IFERROR(proje!BF9*100/proje!$I9,"")</f>
        <v/>
      </c>
      <c r="AV514" s="39" t="str">
        <f>IFERROR(proje!BG9*100/proje!$I9,"")</f>
        <v/>
      </c>
      <c r="AW514" s="39" t="str">
        <f>IFERROR(proje!BH9*100/proje!$I9,"")</f>
        <v/>
      </c>
      <c r="AX514" s="39" t="str">
        <f>IFERROR(proje!BI9*100/proje!$I9,"")</f>
        <v/>
      </c>
      <c r="AY514" s="39" t="str">
        <f>IFERROR(proje!BJ9*100/proje!$I9,"")</f>
        <v/>
      </c>
      <c r="AZ514" s="39" t="str">
        <f>IFERROR(proje!BK9*100/proje!$I9,"")</f>
        <v/>
      </c>
      <c r="BA514" s="39" t="str">
        <f>IFERROR(proje!BL9*100/proje!$I9,"")</f>
        <v/>
      </c>
      <c r="BB514" s="39" t="str">
        <f>IFERROR(proje!BM9*100/proje!$I9,"")</f>
        <v/>
      </c>
      <c r="BC514" s="39" t="str">
        <f>IFERROR(proje!BN9*100/proje!$I9,"")</f>
        <v/>
      </c>
      <c r="BD514" s="39" t="str">
        <f>IFERROR(proje!BO9*100/proje!$I9,"")</f>
        <v/>
      </c>
      <c r="BE514" s="39" t="str">
        <f>IFERROR(proje!BP9*100/proje!$I9,"")</f>
        <v/>
      </c>
      <c r="BF514" s="39" t="str">
        <f>IFERROR(proje!BQ9*100/proje!$I9,"")</f>
        <v/>
      </c>
      <c r="BG514" s="39" t="str">
        <f>IFERROR(proje!BR9*100/proje!$I9,"")</f>
        <v/>
      </c>
      <c r="BH514" s="39" t="str">
        <f>IFERROR(proje!BS9*100/proje!$I9,"")</f>
        <v/>
      </c>
      <c r="BI514" s="39" t="str">
        <f>IFERROR(proje!BT9*100/proje!$I9,"")</f>
        <v/>
      </c>
      <c r="BJ514" s="39" t="str">
        <f>IFERROR(proje!BU9*100/proje!$I9,"")</f>
        <v/>
      </c>
      <c r="BK514" s="39" t="str">
        <f>IFERROR(proje!BV9*100/proje!$I9,"")</f>
        <v/>
      </c>
      <c r="BL514" s="39" t="str">
        <f>IFERROR(proje!BW9*100/proje!$I9,"")</f>
        <v/>
      </c>
      <c r="BM514" s="39" t="str">
        <f>IFERROR(proje!BX9*100/proje!$I9,"")</f>
        <v/>
      </c>
      <c r="BN514" s="39" t="str">
        <f>IFERROR(proje!BY9*100/proje!$I9,"")</f>
        <v/>
      </c>
      <c r="BO514" s="39" t="str">
        <f>IFERROR(proje!BZ9*100/proje!$I9,"")</f>
        <v/>
      </c>
      <c r="BP514" s="39" t="str">
        <f>IFERROR(proje!CA9*100/proje!$I9,"")</f>
        <v/>
      </c>
      <c r="BQ514" s="39" t="str">
        <f>IFERROR(proje!CB9*100/proje!$I9,"")</f>
        <v/>
      </c>
      <c r="BR514" s="39" t="str">
        <f>IFERROR(proje!CC9*100/proje!$I9,"")</f>
        <v/>
      </c>
      <c r="BS514" s="39" t="str">
        <f>IFERROR(proje!CD9*100/proje!$I9,"")</f>
        <v/>
      </c>
      <c r="BT514" s="39" t="str">
        <f>IFERROR(proje!CE9*100/proje!$I9,"")</f>
        <v/>
      </c>
      <c r="BU514" s="39" t="str">
        <f>IFERROR(proje!CF9*100/proje!$I9,"")</f>
        <v/>
      </c>
      <c r="BV514" s="39" t="str">
        <f>IFERROR(proje!CG9*100/proje!$I9,"")</f>
        <v/>
      </c>
      <c r="BW514" s="39" t="str">
        <f>IFERROR(proje!CH9*100/proje!$I9,"")</f>
        <v/>
      </c>
      <c r="BX514" s="39" t="str">
        <f>IFERROR(proje!CI9*100/proje!$I9,"")</f>
        <v/>
      </c>
      <c r="BY514" s="39" t="str">
        <f>IFERROR(proje!CJ9*100/proje!$I9,"")</f>
        <v/>
      </c>
      <c r="BZ514" s="39" t="str">
        <f>IFERROR(proje!CK9*100/proje!$I9,"")</f>
        <v/>
      </c>
      <c r="CA514" s="39" t="str">
        <f>IFERROR(proje!CL9*100/proje!$I9,"")</f>
        <v/>
      </c>
      <c r="CB514" s="39" t="str">
        <f>IFERROR(proje!CM9*100/proje!$I9,"")</f>
        <v/>
      </c>
      <c r="CC514" s="39" t="str">
        <f>IFERROR(proje!CN9*100/proje!$I9,"")</f>
        <v/>
      </c>
      <c r="CD514" s="39" t="str">
        <f>IFERROR(proje!CO9*100/proje!$I9,"")</f>
        <v/>
      </c>
      <c r="CE514" s="39" t="str">
        <f>IFERROR(proje!CP9*100/proje!$I9,"")</f>
        <v/>
      </c>
      <c r="CF514" s="39" t="str">
        <f>IFERROR(proje!CQ9*100/proje!$I9,"")</f>
        <v/>
      </c>
      <c r="CG514" s="39" t="str">
        <f>IFERROR(proje!CR9*100/proje!$I9,"")</f>
        <v/>
      </c>
      <c r="CH514" s="39" t="str">
        <f>IFERROR(proje!CS9*100/proje!$I9,"")</f>
        <v/>
      </c>
      <c r="CI514" s="39" t="str">
        <f>IFERROR(proje!CT9*100/proje!$I9,"")</f>
        <v/>
      </c>
      <c r="CJ514" s="39" t="str">
        <f>IFERROR(proje!CU9*100/proje!$I9,"")</f>
        <v/>
      </c>
      <c r="CK514" s="39" t="str">
        <f>IFERROR(proje!CV9*100/proje!$I9,"")</f>
        <v/>
      </c>
      <c r="CL514" s="39" t="str">
        <f>IFERROR(proje!CW9*100/proje!$I9,"")</f>
        <v/>
      </c>
      <c r="CM514" s="39" t="str">
        <f>IFERROR(proje!CX9*100/proje!$I9,"")</f>
        <v/>
      </c>
      <c r="CN514" s="39" t="str">
        <f>IFERROR(proje!CY9*100/proje!$I9,"")</f>
        <v/>
      </c>
      <c r="CO514" s="39" t="str">
        <f>IFERROR(proje!CZ9*100/proje!$I9,"")</f>
        <v/>
      </c>
      <c r="CP514" s="39" t="str">
        <f>IFERROR(proje!DA9*100/proje!$I9,"")</f>
        <v/>
      </c>
      <c r="CQ514" s="39" t="str">
        <f>IFERROR(proje!DB9*100/proje!$I9,"")</f>
        <v/>
      </c>
      <c r="CR514" s="39" t="str">
        <f>IFERROR(proje!DC9*100/proje!$I9,"")</f>
        <v/>
      </c>
      <c r="CS514" s="39" t="str">
        <f>IFERROR(proje!DD9*100/proje!$I9,"")</f>
        <v/>
      </c>
      <c r="CT514" s="39" t="str">
        <f>IFERROR(proje!DE9*100/proje!$I9,"")</f>
        <v/>
      </c>
      <c r="CU514" s="39" t="str">
        <f>IFERROR(proje!DF9*100/proje!$I9,"")</f>
        <v/>
      </c>
      <c r="CV514" s="39" t="str">
        <f>IFERROR(proje!DG9*100/proje!$I9,"")</f>
        <v/>
      </c>
      <c r="CW514" s="36" t="str">
        <f>IFERROR(SUM(A514:CV514)/proje!$DH$103,"")</f>
        <v/>
      </c>
      <c r="CX514" s="14" t="str">
        <f>IF(COUNTA(proje!A9),proje!A9,"")</f>
        <v/>
      </c>
      <c r="CY514" s="14" t="str">
        <f>IF(COUNTA(proje!B9),proje!B9,"")</f>
        <v/>
      </c>
      <c r="CZ514" s="14" t="str">
        <f>IF(COUNTA(proje!C9),proje!C9,"")</f>
        <v/>
      </c>
      <c r="DA514" s="14" t="str">
        <f>IF(COUNTA(proje!D9),proje!D9,"")</f>
        <v/>
      </c>
      <c r="DB514" s="14" t="str">
        <f>IF(COUNTA(proje!E9),proje!E9,"")</f>
        <v/>
      </c>
      <c r="DC514" s="14" t="str">
        <f>IF(COUNTA(proje!F9),proje!F9,"")</f>
        <v/>
      </c>
      <c r="DD514" s="14" t="str">
        <f>IF(COUNTA(proje!G9),proje!G9,"")</f>
        <v/>
      </c>
      <c r="DE514" s="14" t="str">
        <f>IF(COUNTA(proje!H9),proje!H9,"")</f>
        <v/>
      </c>
    </row>
    <row r="515" spans="1:109" x14ac:dyDescent="0.2">
      <c r="A515" s="39" t="str">
        <f>IFERROR(proje!L10*100/proje!$I10,"")</f>
        <v/>
      </c>
      <c r="B515" s="39" t="str">
        <f>IFERROR(proje!M10*100/proje!$I10,"")</f>
        <v/>
      </c>
      <c r="C515" s="39" t="str">
        <f>IFERROR(proje!N10*100/proje!$I10,"")</f>
        <v/>
      </c>
      <c r="D515" s="39" t="str">
        <f>IFERROR(proje!O10*100/proje!$I10,"")</f>
        <v/>
      </c>
      <c r="E515" s="39" t="str">
        <f>IFERROR(proje!P10*100/proje!$I10,"")</f>
        <v/>
      </c>
      <c r="F515" s="39" t="str">
        <f>IFERROR(proje!Q10*100/proje!$I10,"")</f>
        <v/>
      </c>
      <c r="G515" s="39" t="str">
        <f>IFERROR(proje!R10*100/proje!$I10,"")</f>
        <v/>
      </c>
      <c r="H515" s="39" t="str">
        <f>IFERROR(proje!S10*100/proje!$I10,"")</f>
        <v/>
      </c>
      <c r="I515" s="39" t="str">
        <f>IFERROR(proje!T10*100/proje!$I10,"")</f>
        <v/>
      </c>
      <c r="J515" s="39" t="str">
        <f>IFERROR(proje!U10*100/proje!$I10,"")</f>
        <v/>
      </c>
      <c r="K515" s="39" t="str">
        <f>IFERROR(proje!V10*100/proje!$I10,"")</f>
        <v/>
      </c>
      <c r="L515" s="39" t="str">
        <f>IFERROR(proje!W10*100/proje!$I10,"")</f>
        <v/>
      </c>
      <c r="M515" s="39" t="str">
        <f>IFERROR(proje!X10*100/proje!$I10,"")</f>
        <v/>
      </c>
      <c r="N515" s="39" t="str">
        <f>IFERROR(proje!Y10*100/proje!$I10,"")</f>
        <v/>
      </c>
      <c r="O515" s="39" t="str">
        <f>IFERROR(proje!Z10*100/proje!$I10,"")</f>
        <v/>
      </c>
      <c r="P515" s="39" t="str">
        <f>IFERROR(proje!AA10*100/proje!$I10,"")</f>
        <v/>
      </c>
      <c r="Q515" s="39" t="str">
        <f>IFERROR(proje!AB10*100/proje!$I10,"")</f>
        <v/>
      </c>
      <c r="R515" s="39" t="str">
        <f>IFERROR(proje!AC10*100/proje!$I10,"")</f>
        <v/>
      </c>
      <c r="S515" s="39" t="str">
        <f>IFERROR(proje!AD10*100/proje!$I10,"")</f>
        <v/>
      </c>
      <c r="T515" s="39" t="str">
        <f>IFERROR(proje!AE10*100/proje!$I10,"")</f>
        <v/>
      </c>
      <c r="U515" s="39" t="str">
        <f>IFERROR(proje!AF10*100/proje!$I10,"")</f>
        <v/>
      </c>
      <c r="V515" s="39" t="str">
        <f>IFERROR(proje!AG10*100/proje!$I10,"")</f>
        <v/>
      </c>
      <c r="W515" s="39" t="str">
        <f>IFERROR(proje!AH10*100/proje!$I10,"")</f>
        <v/>
      </c>
      <c r="X515" s="39" t="str">
        <f>IFERROR(proje!AI10*100/proje!$I10,"")</f>
        <v/>
      </c>
      <c r="Y515" s="39" t="str">
        <f>IFERROR(proje!AJ10*100/proje!$I10,"")</f>
        <v/>
      </c>
      <c r="Z515" s="39" t="str">
        <f>IFERROR(proje!AK10*100/proje!$I10,"")</f>
        <v/>
      </c>
      <c r="AA515" s="39" t="str">
        <f>IFERROR(proje!AL10*100/proje!$I10,"")</f>
        <v/>
      </c>
      <c r="AB515" s="39" t="str">
        <f>IFERROR(proje!AM10*100/proje!$I10,"")</f>
        <v/>
      </c>
      <c r="AC515" s="39" t="str">
        <f>IFERROR(proje!AN10*100/proje!$I10,"")</f>
        <v/>
      </c>
      <c r="AD515" s="39" t="str">
        <f>IFERROR(proje!AO10*100/proje!$I10,"")</f>
        <v/>
      </c>
      <c r="AE515" s="39" t="str">
        <f>IFERROR(proje!AP10*100/proje!$I10,"")</f>
        <v/>
      </c>
      <c r="AF515" s="39" t="str">
        <f>IFERROR(proje!AQ10*100/proje!$I10,"")</f>
        <v/>
      </c>
      <c r="AG515" s="39" t="str">
        <f>IFERROR(proje!AR10*100/proje!$I10,"")</f>
        <v/>
      </c>
      <c r="AH515" s="39" t="str">
        <f>IFERROR(proje!AS10*100/proje!$I10,"")</f>
        <v/>
      </c>
      <c r="AI515" s="39" t="str">
        <f>IFERROR(proje!AT10*100/proje!$I10,"")</f>
        <v/>
      </c>
      <c r="AJ515" s="39" t="str">
        <f>IFERROR(proje!AU10*100/proje!$I10,"")</f>
        <v/>
      </c>
      <c r="AK515" s="39" t="str">
        <f>IFERROR(proje!AV10*100/proje!$I10,"")</f>
        <v/>
      </c>
      <c r="AL515" s="39" t="str">
        <f>IFERROR(proje!AW10*100/proje!$I10,"")</f>
        <v/>
      </c>
      <c r="AM515" s="39" t="str">
        <f>IFERROR(proje!AX10*100/proje!$I10,"")</f>
        <v/>
      </c>
      <c r="AN515" s="39" t="str">
        <f>IFERROR(proje!AY10*100/proje!$I10,"")</f>
        <v/>
      </c>
      <c r="AO515" s="39" t="str">
        <f>IFERROR(proje!AZ10*100/proje!$I10,"")</f>
        <v/>
      </c>
      <c r="AP515" s="39" t="str">
        <f>IFERROR(proje!BA10*100/proje!$I10,"")</f>
        <v/>
      </c>
      <c r="AQ515" s="39" t="str">
        <f>IFERROR(proje!BB10*100/proje!$I10,"")</f>
        <v/>
      </c>
      <c r="AR515" s="39" t="str">
        <f>IFERROR(proje!BC10*100/proje!$I10,"")</f>
        <v/>
      </c>
      <c r="AS515" s="39" t="str">
        <f>IFERROR(proje!BD10*100/proje!$I10,"")</f>
        <v/>
      </c>
      <c r="AT515" s="39" t="str">
        <f>IFERROR(proje!BE10*100/proje!$I10,"")</f>
        <v/>
      </c>
      <c r="AU515" s="39" t="str">
        <f>IFERROR(proje!BF10*100/proje!$I10,"")</f>
        <v/>
      </c>
      <c r="AV515" s="39" t="str">
        <f>IFERROR(proje!BG10*100/proje!$I10,"")</f>
        <v/>
      </c>
      <c r="AW515" s="39" t="str">
        <f>IFERROR(proje!BH10*100/proje!$I10,"")</f>
        <v/>
      </c>
      <c r="AX515" s="39" t="str">
        <f>IFERROR(proje!BI10*100/proje!$I10,"")</f>
        <v/>
      </c>
      <c r="AY515" s="39" t="str">
        <f>IFERROR(proje!BJ10*100/proje!$I10,"")</f>
        <v/>
      </c>
      <c r="AZ515" s="39" t="str">
        <f>IFERROR(proje!BK10*100/proje!$I10,"")</f>
        <v/>
      </c>
      <c r="BA515" s="39" t="str">
        <f>IFERROR(proje!BL10*100/proje!$I10,"")</f>
        <v/>
      </c>
      <c r="BB515" s="39" t="str">
        <f>IFERROR(proje!BM10*100/proje!$I10,"")</f>
        <v/>
      </c>
      <c r="BC515" s="39" t="str">
        <f>IFERROR(proje!BN10*100/proje!$I10,"")</f>
        <v/>
      </c>
      <c r="BD515" s="39" t="str">
        <f>IFERROR(proje!BO10*100/proje!$I10,"")</f>
        <v/>
      </c>
      <c r="BE515" s="39" t="str">
        <f>IFERROR(proje!BP10*100/proje!$I10,"")</f>
        <v/>
      </c>
      <c r="BF515" s="39" t="str">
        <f>IFERROR(proje!BQ10*100/proje!$I10,"")</f>
        <v/>
      </c>
      <c r="BG515" s="39" t="str">
        <f>IFERROR(proje!BR10*100/proje!$I10,"")</f>
        <v/>
      </c>
      <c r="BH515" s="39" t="str">
        <f>IFERROR(proje!BS10*100/proje!$I10,"")</f>
        <v/>
      </c>
      <c r="BI515" s="39" t="str">
        <f>IFERROR(proje!BT10*100/proje!$I10,"")</f>
        <v/>
      </c>
      <c r="BJ515" s="39" t="str">
        <f>IFERROR(proje!BU10*100/proje!$I10,"")</f>
        <v/>
      </c>
      <c r="BK515" s="39" t="str">
        <f>IFERROR(proje!BV10*100/proje!$I10,"")</f>
        <v/>
      </c>
      <c r="BL515" s="39" t="str">
        <f>IFERROR(proje!BW10*100/proje!$I10,"")</f>
        <v/>
      </c>
      <c r="BM515" s="39" t="str">
        <f>IFERROR(proje!BX10*100/proje!$I10,"")</f>
        <v/>
      </c>
      <c r="BN515" s="39" t="str">
        <f>IFERROR(proje!BY10*100/proje!$I10,"")</f>
        <v/>
      </c>
      <c r="BO515" s="39" t="str">
        <f>IFERROR(proje!BZ10*100/proje!$I10,"")</f>
        <v/>
      </c>
      <c r="BP515" s="39" t="str">
        <f>IFERROR(proje!CA10*100/proje!$I10,"")</f>
        <v/>
      </c>
      <c r="BQ515" s="39" t="str">
        <f>IFERROR(proje!CB10*100/proje!$I10,"")</f>
        <v/>
      </c>
      <c r="BR515" s="39" t="str">
        <f>IFERROR(proje!CC10*100/proje!$I10,"")</f>
        <v/>
      </c>
      <c r="BS515" s="39" t="str">
        <f>IFERROR(proje!CD10*100/proje!$I10,"")</f>
        <v/>
      </c>
      <c r="BT515" s="39" t="str">
        <f>IFERROR(proje!CE10*100/proje!$I10,"")</f>
        <v/>
      </c>
      <c r="BU515" s="39" t="str">
        <f>IFERROR(proje!CF10*100/proje!$I10,"")</f>
        <v/>
      </c>
      <c r="BV515" s="39" t="str">
        <f>IFERROR(proje!CG10*100/proje!$I10,"")</f>
        <v/>
      </c>
      <c r="BW515" s="39" t="str">
        <f>IFERROR(proje!CH10*100/proje!$I10,"")</f>
        <v/>
      </c>
      <c r="BX515" s="39" t="str">
        <f>IFERROR(proje!CI10*100/proje!$I10,"")</f>
        <v/>
      </c>
      <c r="BY515" s="39" t="str">
        <f>IFERROR(proje!CJ10*100/proje!$I10,"")</f>
        <v/>
      </c>
      <c r="BZ515" s="39" t="str">
        <f>IFERROR(proje!CK10*100/proje!$I10,"")</f>
        <v/>
      </c>
      <c r="CA515" s="39" t="str">
        <f>IFERROR(proje!CL10*100/proje!$I10,"")</f>
        <v/>
      </c>
      <c r="CB515" s="39" t="str">
        <f>IFERROR(proje!CM10*100/proje!$I10,"")</f>
        <v/>
      </c>
      <c r="CC515" s="39" t="str">
        <f>IFERROR(proje!CN10*100/proje!$I10,"")</f>
        <v/>
      </c>
      <c r="CD515" s="39" t="str">
        <f>IFERROR(proje!CO10*100/proje!$I10,"")</f>
        <v/>
      </c>
      <c r="CE515" s="39" t="str">
        <f>IFERROR(proje!CP10*100/proje!$I10,"")</f>
        <v/>
      </c>
      <c r="CF515" s="39" t="str">
        <f>IFERROR(proje!CQ10*100/proje!$I10,"")</f>
        <v/>
      </c>
      <c r="CG515" s="39" t="str">
        <f>IFERROR(proje!CR10*100/proje!$I10,"")</f>
        <v/>
      </c>
      <c r="CH515" s="39" t="str">
        <f>IFERROR(proje!CS10*100/proje!$I10,"")</f>
        <v/>
      </c>
      <c r="CI515" s="39" t="str">
        <f>IFERROR(proje!CT10*100/proje!$I10,"")</f>
        <v/>
      </c>
      <c r="CJ515" s="39" t="str">
        <f>IFERROR(proje!CU10*100/proje!$I10,"")</f>
        <v/>
      </c>
      <c r="CK515" s="39" t="str">
        <f>IFERROR(proje!CV10*100/proje!$I10,"")</f>
        <v/>
      </c>
      <c r="CL515" s="39" t="str">
        <f>IFERROR(proje!CW10*100/proje!$I10,"")</f>
        <v/>
      </c>
      <c r="CM515" s="39" t="str">
        <f>IFERROR(proje!CX10*100/proje!$I10,"")</f>
        <v/>
      </c>
      <c r="CN515" s="39" t="str">
        <f>IFERROR(proje!CY10*100/proje!$I10,"")</f>
        <v/>
      </c>
      <c r="CO515" s="39" t="str">
        <f>IFERROR(proje!CZ10*100/proje!$I10,"")</f>
        <v/>
      </c>
      <c r="CP515" s="39" t="str">
        <f>IFERROR(proje!DA10*100/proje!$I10,"")</f>
        <v/>
      </c>
      <c r="CQ515" s="39" t="str">
        <f>IFERROR(proje!DB10*100/proje!$I10,"")</f>
        <v/>
      </c>
      <c r="CR515" s="39" t="str">
        <f>IFERROR(proje!DC10*100/proje!$I10,"")</f>
        <v/>
      </c>
      <c r="CS515" s="39" t="str">
        <f>IFERROR(proje!DD10*100/proje!$I10,"")</f>
        <v/>
      </c>
      <c r="CT515" s="39" t="str">
        <f>IFERROR(proje!DE10*100/proje!$I10,"")</f>
        <v/>
      </c>
      <c r="CU515" s="39" t="str">
        <f>IFERROR(proje!DF10*100/proje!$I10,"")</f>
        <v/>
      </c>
      <c r="CV515" s="39" t="str">
        <f>IFERROR(proje!DG10*100/proje!$I10,"")</f>
        <v/>
      </c>
      <c r="CW515" s="36" t="str">
        <f>IFERROR(SUM(A515:CV515)/proje!$DH$103,"")</f>
        <v/>
      </c>
      <c r="CX515" s="14" t="str">
        <f>IF(COUNTA(proje!A10),proje!A10,"")</f>
        <v/>
      </c>
      <c r="CY515" s="14" t="str">
        <f>IF(COUNTA(proje!B10),proje!B10,"")</f>
        <v/>
      </c>
      <c r="CZ515" s="14" t="str">
        <f>IF(COUNTA(proje!C10),proje!C10,"")</f>
        <v/>
      </c>
      <c r="DA515" s="14" t="str">
        <f>IF(COUNTA(proje!D10),proje!D10,"")</f>
        <v/>
      </c>
      <c r="DB515" s="14" t="str">
        <f>IF(COUNTA(proje!E10),proje!E10,"")</f>
        <v/>
      </c>
      <c r="DC515" s="14" t="str">
        <f>IF(COUNTA(proje!F10),proje!F10,"")</f>
        <v/>
      </c>
      <c r="DD515" s="14" t="str">
        <f>IF(COUNTA(proje!G10),proje!G10,"")</f>
        <v/>
      </c>
      <c r="DE515" s="14" t="str">
        <f>IF(COUNTA(proje!H10),proje!H10,"")</f>
        <v/>
      </c>
    </row>
    <row r="516" spans="1:109" x14ac:dyDescent="0.2">
      <c r="A516" s="39" t="str">
        <f>IFERROR(proje!L11*100/proje!$I11,"")</f>
        <v/>
      </c>
      <c r="B516" s="39" t="str">
        <f>IFERROR(proje!M11*100/proje!$I11,"")</f>
        <v/>
      </c>
      <c r="C516" s="39" t="str">
        <f>IFERROR(proje!N11*100/proje!$I11,"")</f>
        <v/>
      </c>
      <c r="D516" s="39" t="str">
        <f>IFERROR(proje!O11*100/proje!$I11,"")</f>
        <v/>
      </c>
      <c r="E516" s="39" t="str">
        <f>IFERROR(proje!P11*100/proje!$I11,"")</f>
        <v/>
      </c>
      <c r="F516" s="39" t="str">
        <f>IFERROR(proje!Q11*100/proje!$I11,"")</f>
        <v/>
      </c>
      <c r="G516" s="39" t="str">
        <f>IFERROR(proje!R11*100/proje!$I11,"")</f>
        <v/>
      </c>
      <c r="H516" s="39" t="str">
        <f>IFERROR(proje!S11*100/proje!$I11,"")</f>
        <v/>
      </c>
      <c r="I516" s="39" t="str">
        <f>IFERROR(proje!T11*100/proje!$I11,"")</f>
        <v/>
      </c>
      <c r="J516" s="39" t="str">
        <f>IFERROR(proje!U11*100/proje!$I11,"")</f>
        <v/>
      </c>
      <c r="K516" s="39" t="str">
        <f>IFERROR(proje!V11*100/proje!$I11,"")</f>
        <v/>
      </c>
      <c r="L516" s="39" t="str">
        <f>IFERROR(proje!W11*100/proje!$I11,"")</f>
        <v/>
      </c>
      <c r="M516" s="39" t="str">
        <f>IFERROR(proje!X11*100/proje!$I11,"")</f>
        <v/>
      </c>
      <c r="N516" s="39" t="str">
        <f>IFERROR(proje!Y11*100/proje!$I11,"")</f>
        <v/>
      </c>
      <c r="O516" s="39" t="str">
        <f>IFERROR(proje!Z11*100/proje!$I11,"")</f>
        <v/>
      </c>
      <c r="P516" s="39" t="str">
        <f>IFERROR(proje!AA11*100/proje!$I11,"")</f>
        <v/>
      </c>
      <c r="Q516" s="39" t="str">
        <f>IFERROR(proje!AB11*100/proje!$I11,"")</f>
        <v/>
      </c>
      <c r="R516" s="39" t="str">
        <f>IFERROR(proje!AC11*100/proje!$I11,"")</f>
        <v/>
      </c>
      <c r="S516" s="39" t="str">
        <f>IFERROR(proje!AD11*100/proje!$I11,"")</f>
        <v/>
      </c>
      <c r="T516" s="39" t="str">
        <f>IFERROR(proje!AE11*100/proje!$I11,"")</f>
        <v/>
      </c>
      <c r="U516" s="39" t="str">
        <f>IFERROR(proje!AF11*100/proje!$I11,"")</f>
        <v/>
      </c>
      <c r="V516" s="39" t="str">
        <f>IFERROR(proje!AG11*100/proje!$I11,"")</f>
        <v/>
      </c>
      <c r="W516" s="39" t="str">
        <f>IFERROR(proje!AH11*100/proje!$I11,"")</f>
        <v/>
      </c>
      <c r="X516" s="39" t="str">
        <f>IFERROR(proje!AI11*100/proje!$I11,"")</f>
        <v/>
      </c>
      <c r="Y516" s="39" t="str">
        <f>IFERROR(proje!AJ11*100/proje!$I11,"")</f>
        <v/>
      </c>
      <c r="Z516" s="39" t="str">
        <f>IFERROR(proje!AK11*100/proje!$I11,"")</f>
        <v/>
      </c>
      <c r="AA516" s="39" t="str">
        <f>IFERROR(proje!AL11*100/proje!$I11,"")</f>
        <v/>
      </c>
      <c r="AB516" s="39" t="str">
        <f>IFERROR(proje!AM11*100/proje!$I11,"")</f>
        <v/>
      </c>
      <c r="AC516" s="39" t="str">
        <f>IFERROR(proje!AN11*100/proje!$I11,"")</f>
        <v/>
      </c>
      <c r="AD516" s="39" t="str">
        <f>IFERROR(proje!AO11*100/proje!$I11,"")</f>
        <v/>
      </c>
      <c r="AE516" s="39" t="str">
        <f>IFERROR(proje!AP11*100/proje!$I11,"")</f>
        <v/>
      </c>
      <c r="AF516" s="39" t="str">
        <f>IFERROR(proje!AQ11*100/proje!$I11,"")</f>
        <v/>
      </c>
      <c r="AG516" s="39" t="str">
        <f>IFERROR(proje!AR11*100/proje!$I11,"")</f>
        <v/>
      </c>
      <c r="AH516" s="39" t="str">
        <f>IFERROR(proje!AS11*100/proje!$I11,"")</f>
        <v/>
      </c>
      <c r="AI516" s="39" t="str">
        <f>IFERROR(proje!AT11*100/proje!$I11,"")</f>
        <v/>
      </c>
      <c r="AJ516" s="39" t="str">
        <f>IFERROR(proje!AU11*100/proje!$I11,"")</f>
        <v/>
      </c>
      <c r="AK516" s="39" t="str">
        <f>IFERROR(proje!AV11*100/proje!$I11,"")</f>
        <v/>
      </c>
      <c r="AL516" s="39" t="str">
        <f>IFERROR(proje!AW11*100/proje!$I11,"")</f>
        <v/>
      </c>
      <c r="AM516" s="39" t="str">
        <f>IFERROR(proje!AX11*100/proje!$I11,"")</f>
        <v/>
      </c>
      <c r="AN516" s="39" t="str">
        <f>IFERROR(proje!AY11*100/proje!$I11,"")</f>
        <v/>
      </c>
      <c r="AO516" s="39" t="str">
        <f>IFERROR(proje!AZ11*100/proje!$I11,"")</f>
        <v/>
      </c>
      <c r="AP516" s="39" t="str">
        <f>IFERROR(proje!BA11*100/proje!$I11,"")</f>
        <v/>
      </c>
      <c r="AQ516" s="39" t="str">
        <f>IFERROR(proje!BB11*100/proje!$I11,"")</f>
        <v/>
      </c>
      <c r="AR516" s="39" t="str">
        <f>IFERROR(proje!BC11*100/proje!$I11,"")</f>
        <v/>
      </c>
      <c r="AS516" s="39" t="str">
        <f>IFERROR(proje!BD11*100/proje!$I11,"")</f>
        <v/>
      </c>
      <c r="AT516" s="39" t="str">
        <f>IFERROR(proje!BE11*100/proje!$I11,"")</f>
        <v/>
      </c>
      <c r="AU516" s="39" t="str">
        <f>IFERROR(proje!BF11*100/proje!$I11,"")</f>
        <v/>
      </c>
      <c r="AV516" s="39" t="str">
        <f>IFERROR(proje!BG11*100/proje!$I11,"")</f>
        <v/>
      </c>
      <c r="AW516" s="39" t="str">
        <f>IFERROR(proje!BH11*100/proje!$I11,"")</f>
        <v/>
      </c>
      <c r="AX516" s="39" t="str">
        <f>IFERROR(proje!BI11*100/proje!$I11,"")</f>
        <v/>
      </c>
      <c r="AY516" s="39" t="str">
        <f>IFERROR(proje!BJ11*100/proje!$I11,"")</f>
        <v/>
      </c>
      <c r="AZ516" s="39" t="str">
        <f>IFERROR(proje!BK11*100/proje!$I11,"")</f>
        <v/>
      </c>
      <c r="BA516" s="39" t="str">
        <f>IFERROR(proje!BL11*100/proje!$I11,"")</f>
        <v/>
      </c>
      <c r="BB516" s="39" t="str">
        <f>IFERROR(proje!BM11*100/proje!$I11,"")</f>
        <v/>
      </c>
      <c r="BC516" s="39" t="str">
        <f>IFERROR(proje!BN11*100/proje!$I11,"")</f>
        <v/>
      </c>
      <c r="BD516" s="39" t="str">
        <f>IFERROR(proje!BO11*100/proje!$I11,"")</f>
        <v/>
      </c>
      <c r="BE516" s="39" t="str">
        <f>IFERROR(proje!BP11*100/proje!$I11,"")</f>
        <v/>
      </c>
      <c r="BF516" s="39" t="str">
        <f>IFERROR(proje!BQ11*100/proje!$I11,"")</f>
        <v/>
      </c>
      <c r="BG516" s="39" t="str">
        <f>IFERROR(proje!BR11*100/proje!$I11,"")</f>
        <v/>
      </c>
      <c r="BH516" s="39" t="str">
        <f>IFERROR(proje!BS11*100/proje!$I11,"")</f>
        <v/>
      </c>
      <c r="BI516" s="39" t="str">
        <f>IFERROR(proje!BT11*100/proje!$I11,"")</f>
        <v/>
      </c>
      <c r="BJ516" s="39" t="str">
        <f>IFERROR(proje!BU11*100/proje!$I11,"")</f>
        <v/>
      </c>
      <c r="BK516" s="39" t="str">
        <f>IFERROR(proje!BV11*100/proje!$I11,"")</f>
        <v/>
      </c>
      <c r="BL516" s="39" t="str">
        <f>IFERROR(proje!BW11*100/proje!$I11,"")</f>
        <v/>
      </c>
      <c r="BM516" s="39" t="str">
        <f>IFERROR(proje!BX11*100/proje!$I11,"")</f>
        <v/>
      </c>
      <c r="BN516" s="39" t="str">
        <f>IFERROR(proje!BY11*100/proje!$I11,"")</f>
        <v/>
      </c>
      <c r="BO516" s="39" t="str">
        <f>IFERROR(proje!BZ11*100/proje!$I11,"")</f>
        <v/>
      </c>
      <c r="BP516" s="39" t="str">
        <f>IFERROR(proje!CA11*100/proje!$I11,"")</f>
        <v/>
      </c>
      <c r="BQ516" s="39" t="str">
        <f>IFERROR(proje!CB11*100/proje!$I11,"")</f>
        <v/>
      </c>
      <c r="BR516" s="39" t="str">
        <f>IFERROR(proje!CC11*100/proje!$I11,"")</f>
        <v/>
      </c>
      <c r="BS516" s="39" t="str">
        <f>IFERROR(proje!CD11*100/proje!$I11,"")</f>
        <v/>
      </c>
      <c r="BT516" s="39" t="str">
        <f>IFERROR(proje!CE11*100/proje!$I11,"")</f>
        <v/>
      </c>
      <c r="BU516" s="39" t="str">
        <f>IFERROR(proje!CF11*100/proje!$I11,"")</f>
        <v/>
      </c>
      <c r="BV516" s="39" t="str">
        <f>IFERROR(proje!CG11*100/proje!$I11,"")</f>
        <v/>
      </c>
      <c r="BW516" s="39" t="str">
        <f>IFERROR(proje!CH11*100/proje!$I11,"")</f>
        <v/>
      </c>
      <c r="BX516" s="39" t="str">
        <f>IFERROR(proje!CI11*100/proje!$I11,"")</f>
        <v/>
      </c>
      <c r="BY516" s="39" t="str">
        <f>IFERROR(proje!CJ11*100/proje!$I11,"")</f>
        <v/>
      </c>
      <c r="BZ516" s="39" t="str">
        <f>IFERROR(proje!CK11*100/proje!$I11,"")</f>
        <v/>
      </c>
      <c r="CA516" s="39" t="str">
        <f>IFERROR(proje!CL11*100/proje!$I11,"")</f>
        <v/>
      </c>
      <c r="CB516" s="39" t="str">
        <f>IFERROR(proje!CM11*100/proje!$I11,"")</f>
        <v/>
      </c>
      <c r="CC516" s="39" t="str">
        <f>IFERROR(proje!CN11*100/proje!$I11,"")</f>
        <v/>
      </c>
      <c r="CD516" s="39" t="str">
        <f>IFERROR(proje!CO11*100/proje!$I11,"")</f>
        <v/>
      </c>
      <c r="CE516" s="39" t="str">
        <f>IFERROR(proje!CP11*100/proje!$I11,"")</f>
        <v/>
      </c>
      <c r="CF516" s="39" t="str">
        <f>IFERROR(proje!CQ11*100/proje!$I11,"")</f>
        <v/>
      </c>
      <c r="CG516" s="39" t="str">
        <f>IFERROR(proje!CR11*100/proje!$I11,"")</f>
        <v/>
      </c>
      <c r="CH516" s="39" t="str">
        <f>IFERROR(proje!CS11*100/proje!$I11,"")</f>
        <v/>
      </c>
      <c r="CI516" s="39" t="str">
        <f>IFERROR(proje!CT11*100/proje!$I11,"")</f>
        <v/>
      </c>
      <c r="CJ516" s="39" t="str">
        <f>IFERROR(proje!CU11*100/proje!$I11,"")</f>
        <v/>
      </c>
      <c r="CK516" s="39" t="str">
        <f>IFERROR(proje!CV11*100/proje!$I11,"")</f>
        <v/>
      </c>
      <c r="CL516" s="39" t="str">
        <f>IFERROR(proje!CW11*100/proje!$I11,"")</f>
        <v/>
      </c>
      <c r="CM516" s="39" t="str">
        <f>IFERROR(proje!CX11*100/proje!$I11,"")</f>
        <v/>
      </c>
      <c r="CN516" s="39" t="str">
        <f>IFERROR(proje!CY11*100/proje!$I11,"")</f>
        <v/>
      </c>
      <c r="CO516" s="39" t="str">
        <f>IFERROR(proje!CZ11*100/proje!$I11,"")</f>
        <v/>
      </c>
      <c r="CP516" s="39" t="str">
        <f>IFERROR(proje!DA11*100/proje!$I11,"")</f>
        <v/>
      </c>
      <c r="CQ516" s="39" t="str">
        <f>IFERROR(proje!DB11*100/proje!$I11,"")</f>
        <v/>
      </c>
      <c r="CR516" s="39" t="str">
        <f>IFERROR(proje!DC11*100/proje!$I11,"")</f>
        <v/>
      </c>
      <c r="CS516" s="39" t="str">
        <f>IFERROR(proje!DD11*100/proje!$I11,"")</f>
        <v/>
      </c>
      <c r="CT516" s="39" t="str">
        <f>IFERROR(proje!DE11*100/proje!$I11,"")</f>
        <v/>
      </c>
      <c r="CU516" s="39" t="str">
        <f>IFERROR(proje!DF11*100/proje!$I11,"")</f>
        <v/>
      </c>
      <c r="CV516" s="39" t="str">
        <f>IFERROR(proje!DG11*100/proje!$I11,"")</f>
        <v/>
      </c>
      <c r="CW516" s="36" t="str">
        <f>IFERROR(SUM(A516:CV516)/proje!$DH$103,"")</f>
        <v/>
      </c>
      <c r="CX516" s="14" t="str">
        <f>IF(COUNTA(proje!A11),proje!A11,"")</f>
        <v/>
      </c>
      <c r="CY516" s="14" t="str">
        <f>IF(COUNTA(proje!B11),proje!B11,"")</f>
        <v/>
      </c>
      <c r="CZ516" s="14" t="str">
        <f>IF(COUNTA(proje!C11),proje!C11,"")</f>
        <v/>
      </c>
      <c r="DA516" s="14" t="str">
        <f>IF(COUNTA(proje!D11),proje!D11,"")</f>
        <v/>
      </c>
      <c r="DB516" s="14" t="str">
        <f>IF(COUNTA(proje!E11),proje!E11,"")</f>
        <v/>
      </c>
      <c r="DC516" s="14" t="str">
        <f>IF(COUNTA(proje!F11),proje!F11,"")</f>
        <v/>
      </c>
      <c r="DD516" s="14" t="str">
        <f>IF(COUNTA(proje!G11),proje!G11,"")</f>
        <v/>
      </c>
      <c r="DE516" s="14" t="str">
        <f>IF(COUNTA(proje!H11),proje!H11,"")</f>
        <v/>
      </c>
    </row>
    <row r="517" spans="1:109" x14ac:dyDescent="0.2">
      <c r="A517" s="39" t="str">
        <f>IFERROR(proje!L12*100/proje!$I12,"")</f>
        <v/>
      </c>
      <c r="B517" s="39" t="str">
        <f>IFERROR(proje!M12*100/proje!$I12,"")</f>
        <v/>
      </c>
      <c r="C517" s="39" t="str">
        <f>IFERROR(proje!N12*100/proje!$I12,"")</f>
        <v/>
      </c>
      <c r="D517" s="39" t="str">
        <f>IFERROR(proje!O12*100/proje!$I12,"")</f>
        <v/>
      </c>
      <c r="E517" s="39" t="str">
        <f>IFERROR(proje!P12*100/proje!$I12,"")</f>
        <v/>
      </c>
      <c r="F517" s="39" t="str">
        <f>IFERROR(proje!Q12*100/proje!$I12,"")</f>
        <v/>
      </c>
      <c r="G517" s="39" t="str">
        <f>IFERROR(proje!R12*100/proje!$I12,"")</f>
        <v/>
      </c>
      <c r="H517" s="39" t="str">
        <f>IFERROR(proje!S12*100/proje!$I12,"")</f>
        <v/>
      </c>
      <c r="I517" s="39" t="str">
        <f>IFERROR(proje!T12*100/proje!$I12,"")</f>
        <v/>
      </c>
      <c r="J517" s="39" t="str">
        <f>IFERROR(proje!U12*100/proje!$I12,"")</f>
        <v/>
      </c>
      <c r="K517" s="39" t="str">
        <f>IFERROR(proje!V12*100/proje!$I12,"")</f>
        <v/>
      </c>
      <c r="L517" s="39" t="str">
        <f>IFERROR(proje!W12*100/proje!$I12,"")</f>
        <v/>
      </c>
      <c r="M517" s="39" t="str">
        <f>IFERROR(proje!X12*100/proje!$I12,"")</f>
        <v/>
      </c>
      <c r="N517" s="39" t="str">
        <f>IFERROR(proje!Y12*100/proje!$I12,"")</f>
        <v/>
      </c>
      <c r="O517" s="39" t="str">
        <f>IFERROR(proje!Z12*100/proje!$I12,"")</f>
        <v/>
      </c>
      <c r="P517" s="39" t="str">
        <f>IFERROR(proje!AA12*100/proje!$I12,"")</f>
        <v/>
      </c>
      <c r="Q517" s="39" t="str">
        <f>IFERROR(proje!AB12*100/proje!$I12,"")</f>
        <v/>
      </c>
      <c r="R517" s="39" t="str">
        <f>IFERROR(proje!AC12*100/proje!$I12,"")</f>
        <v/>
      </c>
      <c r="S517" s="39" t="str">
        <f>IFERROR(proje!AD12*100/proje!$I12,"")</f>
        <v/>
      </c>
      <c r="T517" s="39" t="str">
        <f>IFERROR(proje!AE12*100/proje!$I12,"")</f>
        <v/>
      </c>
      <c r="U517" s="39" t="str">
        <f>IFERROR(proje!AF12*100/proje!$I12,"")</f>
        <v/>
      </c>
      <c r="V517" s="39" t="str">
        <f>IFERROR(proje!AG12*100/proje!$I12,"")</f>
        <v/>
      </c>
      <c r="W517" s="39" t="str">
        <f>IFERROR(proje!AH12*100/proje!$I12,"")</f>
        <v/>
      </c>
      <c r="X517" s="39" t="str">
        <f>IFERROR(proje!AI12*100/proje!$I12,"")</f>
        <v/>
      </c>
      <c r="Y517" s="39" t="str">
        <f>IFERROR(proje!AJ12*100/proje!$I12,"")</f>
        <v/>
      </c>
      <c r="Z517" s="39" t="str">
        <f>IFERROR(proje!AK12*100/proje!$I12,"")</f>
        <v/>
      </c>
      <c r="AA517" s="39" t="str">
        <f>IFERROR(proje!AL12*100/proje!$I12,"")</f>
        <v/>
      </c>
      <c r="AB517" s="39" t="str">
        <f>IFERROR(proje!AM12*100/proje!$I12,"")</f>
        <v/>
      </c>
      <c r="AC517" s="39" t="str">
        <f>IFERROR(proje!AN12*100/proje!$I12,"")</f>
        <v/>
      </c>
      <c r="AD517" s="39" t="str">
        <f>IFERROR(proje!AO12*100/proje!$I12,"")</f>
        <v/>
      </c>
      <c r="AE517" s="39" t="str">
        <f>IFERROR(proje!AP12*100/proje!$I12,"")</f>
        <v/>
      </c>
      <c r="AF517" s="39" t="str">
        <f>IFERROR(proje!AQ12*100/proje!$I12,"")</f>
        <v/>
      </c>
      <c r="AG517" s="39" t="str">
        <f>IFERROR(proje!AR12*100/proje!$I12,"")</f>
        <v/>
      </c>
      <c r="AH517" s="39" t="str">
        <f>IFERROR(proje!AS12*100/proje!$I12,"")</f>
        <v/>
      </c>
      <c r="AI517" s="39" t="str">
        <f>IFERROR(proje!AT12*100/proje!$I12,"")</f>
        <v/>
      </c>
      <c r="AJ517" s="39" t="str">
        <f>IFERROR(proje!AU12*100/proje!$I12,"")</f>
        <v/>
      </c>
      <c r="AK517" s="39" t="str">
        <f>IFERROR(proje!AV12*100/proje!$I12,"")</f>
        <v/>
      </c>
      <c r="AL517" s="39" t="str">
        <f>IFERROR(proje!AW12*100/proje!$I12,"")</f>
        <v/>
      </c>
      <c r="AM517" s="39" t="str">
        <f>IFERROR(proje!AX12*100/proje!$I12,"")</f>
        <v/>
      </c>
      <c r="AN517" s="39" t="str">
        <f>IFERROR(proje!AY12*100/proje!$I12,"")</f>
        <v/>
      </c>
      <c r="AO517" s="39" t="str">
        <f>IFERROR(proje!AZ12*100/proje!$I12,"")</f>
        <v/>
      </c>
      <c r="AP517" s="39" t="str">
        <f>IFERROR(proje!BA12*100/proje!$I12,"")</f>
        <v/>
      </c>
      <c r="AQ517" s="39" t="str">
        <f>IFERROR(proje!BB12*100/proje!$I12,"")</f>
        <v/>
      </c>
      <c r="AR517" s="39" t="str">
        <f>IFERROR(proje!BC12*100/proje!$I12,"")</f>
        <v/>
      </c>
      <c r="AS517" s="39" t="str">
        <f>IFERROR(proje!BD12*100/proje!$I12,"")</f>
        <v/>
      </c>
      <c r="AT517" s="39" t="str">
        <f>IFERROR(proje!BE12*100/proje!$I12,"")</f>
        <v/>
      </c>
      <c r="AU517" s="39" t="str">
        <f>IFERROR(proje!BF12*100/proje!$I12,"")</f>
        <v/>
      </c>
      <c r="AV517" s="39" t="str">
        <f>IFERROR(proje!BG12*100/proje!$I12,"")</f>
        <v/>
      </c>
      <c r="AW517" s="39" t="str">
        <f>IFERROR(proje!BH12*100/proje!$I12,"")</f>
        <v/>
      </c>
      <c r="AX517" s="39" t="str">
        <f>IFERROR(proje!BI12*100/proje!$I12,"")</f>
        <v/>
      </c>
      <c r="AY517" s="39" t="str">
        <f>IFERROR(proje!BJ12*100/proje!$I12,"")</f>
        <v/>
      </c>
      <c r="AZ517" s="39" t="str">
        <f>IFERROR(proje!BK12*100/proje!$I12,"")</f>
        <v/>
      </c>
      <c r="BA517" s="39" t="str">
        <f>IFERROR(proje!BL12*100/proje!$I12,"")</f>
        <v/>
      </c>
      <c r="BB517" s="39" t="str">
        <f>IFERROR(proje!BM12*100/proje!$I12,"")</f>
        <v/>
      </c>
      <c r="BC517" s="39" t="str">
        <f>IFERROR(proje!BN12*100/proje!$I12,"")</f>
        <v/>
      </c>
      <c r="BD517" s="39" t="str">
        <f>IFERROR(proje!BO12*100/proje!$I12,"")</f>
        <v/>
      </c>
      <c r="BE517" s="39" t="str">
        <f>IFERROR(proje!BP12*100/proje!$I12,"")</f>
        <v/>
      </c>
      <c r="BF517" s="39" t="str">
        <f>IFERROR(proje!BQ12*100/proje!$I12,"")</f>
        <v/>
      </c>
      <c r="BG517" s="39" t="str">
        <f>IFERROR(proje!BR12*100/proje!$I12,"")</f>
        <v/>
      </c>
      <c r="BH517" s="39" t="str">
        <f>IFERROR(proje!BS12*100/proje!$I12,"")</f>
        <v/>
      </c>
      <c r="BI517" s="39" t="str">
        <f>IFERROR(proje!BT12*100/proje!$I12,"")</f>
        <v/>
      </c>
      <c r="BJ517" s="39" t="str">
        <f>IFERROR(proje!BU12*100/proje!$I12,"")</f>
        <v/>
      </c>
      <c r="BK517" s="39" t="str">
        <f>IFERROR(proje!BV12*100/proje!$I12,"")</f>
        <v/>
      </c>
      <c r="BL517" s="39" t="str">
        <f>IFERROR(proje!BW12*100/proje!$I12,"")</f>
        <v/>
      </c>
      <c r="BM517" s="39" t="str">
        <f>IFERROR(proje!BX12*100/proje!$I12,"")</f>
        <v/>
      </c>
      <c r="BN517" s="39" t="str">
        <f>IFERROR(proje!BY12*100/proje!$I12,"")</f>
        <v/>
      </c>
      <c r="BO517" s="39" t="str">
        <f>IFERROR(proje!BZ12*100/proje!$I12,"")</f>
        <v/>
      </c>
      <c r="BP517" s="39" t="str">
        <f>IFERROR(proje!CA12*100/proje!$I12,"")</f>
        <v/>
      </c>
      <c r="BQ517" s="39" t="str">
        <f>IFERROR(proje!CB12*100/proje!$I12,"")</f>
        <v/>
      </c>
      <c r="BR517" s="39" t="str">
        <f>IFERROR(proje!CC12*100/proje!$I12,"")</f>
        <v/>
      </c>
      <c r="BS517" s="39" t="str">
        <f>IFERROR(proje!CD12*100/proje!$I12,"")</f>
        <v/>
      </c>
      <c r="BT517" s="39" t="str">
        <f>IFERROR(proje!CE12*100/proje!$I12,"")</f>
        <v/>
      </c>
      <c r="BU517" s="39" t="str">
        <f>IFERROR(proje!CF12*100/proje!$I12,"")</f>
        <v/>
      </c>
      <c r="BV517" s="39" t="str">
        <f>IFERROR(proje!CG12*100/proje!$I12,"")</f>
        <v/>
      </c>
      <c r="BW517" s="39" t="str">
        <f>IFERROR(proje!CH12*100/proje!$I12,"")</f>
        <v/>
      </c>
      <c r="BX517" s="39" t="str">
        <f>IFERROR(proje!CI12*100/proje!$I12,"")</f>
        <v/>
      </c>
      <c r="BY517" s="39" t="str">
        <f>IFERROR(proje!CJ12*100/proje!$I12,"")</f>
        <v/>
      </c>
      <c r="BZ517" s="39" t="str">
        <f>IFERROR(proje!CK12*100/proje!$I12,"")</f>
        <v/>
      </c>
      <c r="CA517" s="39" t="str">
        <f>IFERROR(proje!CL12*100/proje!$I12,"")</f>
        <v/>
      </c>
      <c r="CB517" s="39" t="str">
        <f>IFERROR(proje!CM12*100/proje!$I12,"")</f>
        <v/>
      </c>
      <c r="CC517" s="39" t="str">
        <f>IFERROR(proje!CN12*100/proje!$I12,"")</f>
        <v/>
      </c>
      <c r="CD517" s="39" t="str">
        <f>IFERROR(proje!CO12*100/proje!$I12,"")</f>
        <v/>
      </c>
      <c r="CE517" s="39" t="str">
        <f>IFERROR(proje!CP12*100/proje!$I12,"")</f>
        <v/>
      </c>
      <c r="CF517" s="39" t="str">
        <f>IFERROR(proje!CQ12*100/proje!$I12,"")</f>
        <v/>
      </c>
      <c r="CG517" s="39" t="str">
        <f>IFERROR(proje!CR12*100/proje!$I12,"")</f>
        <v/>
      </c>
      <c r="CH517" s="39" t="str">
        <f>IFERROR(proje!CS12*100/proje!$I12,"")</f>
        <v/>
      </c>
      <c r="CI517" s="39" t="str">
        <f>IFERROR(proje!CT12*100/proje!$I12,"")</f>
        <v/>
      </c>
      <c r="CJ517" s="39" t="str">
        <f>IFERROR(proje!CU12*100/proje!$I12,"")</f>
        <v/>
      </c>
      <c r="CK517" s="39" t="str">
        <f>IFERROR(proje!CV12*100/proje!$I12,"")</f>
        <v/>
      </c>
      <c r="CL517" s="39" t="str">
        <f>IFERROR(proje!CW12*100/proje!$I12,"")</f>
        <v/>
      </c>
      <c r="CM517" s="39" t="str">
        <f>IFERROR(proje!CX12*100/proje!$I12,"")</f>
        <v/>
      </c>
      <c r="CN517" s="39" t="str">
        <f>IFERROR(proje!CY12*100/proje!$I12,"")</f>
        <v/>
      </c>
      <c r="CO517" s="39" t="str">
        <f>IFERROR(proje!CZ12*100/proje!$I12,"")</f>
        <v/>
      </c>
      <c r="CP517" s="39" t="str">
        <f>IFERROR(proje!DA12*100/proje!$I12,"")</f>
        <v/>
      </c>
      <c r="CQ517" s="39" t="str">
        <f>IFERROR(proje!DB12*100/proje!$I12,"")</f>
        <v/>
      </c>
      <c r="CR517" s="39" t="str">
        <f>IFERROR(proje!DC12*100/proje!$I12,"")</f>
        <v/>
      </c>
      <c r="CS517" s="39" t="str">
        <f>IFERROR(proje!DD12*100/proje!$I12,"")</f>
        <v/>
      </c>
      <c r="CT517" s="39" t="str">
        <f>IFERROR(proje!DE12*100/proje!$I12,"")</f>
        <v/>
      </c>
      <c r="CU517" s="39" t="str">
        <f>IFERROR(proje!DF12*100/proje!$I12,"")</f>
        <v/>
      </c>
      <c r="CV517" s="39" t="str">
        <f>IFERROR(proje!DG12*100/proje!$I12,"")</f>
        <v/>
      </c>
      <c r="CW517" s="36" t="str">
        <f>IFERROR(SUM(A517:CV517)/proje!$DH$103,"")</f>
        <v/>
      </c>
      <c r="CX517" s="14" t="str">
        <f>IF(COUNTA(proje!A12),proje!A12,"")</f>
        <v/>
      </c>
      <c r="CY517" s="14" t="str">
        <f>IF(COUNTA(proje!B12),proje!B12,"")</f>
        <v/>
      </c>
      <c r="CZ517" s="14" t="str">
        <f>IF(COUNTA(proje!C12),proje!C12,"")</f>
        <v/>
      </c>
      <c r="DA517" s="14" t="str">
        <f>IF(COUNTA(proje!D12),proje!D12,"")</f>
        <v/>
      </c>
      <c r="DB517" s="14" t="str">
        <f>IF(COUNTA(proje!E12),proje!E12,"")</f>
        <v/>
      </c>
      <c r="DC517" s="14" t="str">
        <f>IF(COUNTA(proje!F12),proje!F12,"")</f>
        <v/>
      </c>
      <c r="DD517" s="14" t="str">
        <f>IF(COUNTA(proje!G12),proje!G12,"")</f>
        <v/>
      </c>
      <c r="DE517" s="14" t="str">
        <f>IF(COUNTA(proje!H12),proje!H12,"")</f>
        <v/>
      </c>
    </row>
    <row r="518" spans="1:109" x14ac:dyDescent="0.2">
      <c r="A518" s="39" t="str">
        <f>IFERROR(proje!L13*100/proje!$I13,"")</f>
        <v/>
      </c>
      <c r="B518" s="39" t="str">
        <f>IFERROR(proje!M13*100/proje!$I13,"")</f>
        <v/>
      </c>
      <c r="C518" s="39" t="str">
        <f>IFERROR(proje!N13*100/proje!$I13,"")</f>
        <v/>
      </c>
      <c r="D518" s="39" t="str">
        <f>IFERROR(proje!O13*100/proje!$I13,"")</f>
        <v/>
      </c>
      <c r="E518" s="39" t="str">
        <f>IFERROR(proje!P13*100/proje!$I13,"")</f>
        <v/>
      </c>
      <c r="F518" s="39" t="str">
        <f>IFERROR(proje!Q13*100/proje!$I13,"")</f>
        <v/>
      </c>
      <c r="G518" s="39" t="str">
        <f>IFERROR(proje!R13*100/proje!$I13,"")</f>
        <v/>
      </c>
      <c r="H518" s="39" t="str">
        <f>IFERROR(proje!S13*100/proje!$I13,"")</f>
        <v/>
      </c>
      <c r="I518" s="39" t="str">
        <f>IFERROR(proje!T13*100/proje!$I13,"")</f>
        <v/>
      </c>
      <c r="J518" s="39" t="str">
        <f>IFERROR(proje!U13*100/proje!$I13,"")</f>
        <v/>
      </c>
      <c r="K518" s="39" t="str">
        <f>IFERROR(proje!V13*100/proje!$I13,"")</f>
        <v/>
      </c>
      <c r="L518" s="39" t="str">
        <f>IFERROR(proje!W13*100/proje!$I13,"")</f>
        <v/>
      </c>
      <c r="M518" s="39" t="str">
        <f>IFERROR(proje!X13*100/proje!$I13,"")</f>
        <v/>
      </c>
      <c r="N518" s="39" t="str">
        <f>IFERROR(proje!Y13*100/proje!$I13,"")</f>
        <v/>
      </c>
      <c r="O518" s="39" t="str">
        <f>IFERROR(proje!Z13*100/proje!$I13,"")</f>
        <v/>
      </c>
      <c r="P518" s="39" t="str">
        <f>IFERROR(proje!AA13*100/proje!$I13,"")</f>
        <v/>
      </c>
      <c r="Q518" s="39" t="str">
        <f>IFERROR(proje!AB13*100/proje!$I13,"")</f>
        <v/>
      </c>
      <c r="R518" s="39" t="str">
        <f>IFERROR(proje!AC13*100/proje!$I13,"")</f>
        <v/>
      </c>
      <c r="S518" s="39" t="str">
        <f>IFERROR(proje!AD13*100/proje!$I13,"")</f>
        <v/>
      </c>
      <c r="T518" s="39" t="str">
        <f>IFERROR(proje!AE13*100/proje!$I13,"")</f>
        <v/>
      </c>
      <c r="U518" s="39" t="str">
        <f>IFERROR(proje!AF13*100/proje!$I13,"")</f>
        <v/>
      </c>
      <c r="V518" s="39" t="str">
        <f>IFERROR(proje!AG13*100/proje!$I13,"")</f>
        <v/>
      </c>
      <c r="W518" s="39" t="str">
        <f>IFERROR(proje!AH13*100/proje!$I13,"")</f>
        <v/>
      </c>
      <c r="X518" s="39" t="str">
        <f>IFERROR(proje!AI13*100/proje!$I13,"")</f>
        <v/>
      </c>
      <c r="Y518" s="39" t="str">
        <f>IFERROR(proje!AJ13*100/proje!$I13,"")</f>
        <v/>
      </c>
      <c r="Z518" s="39" t="str">
        <f>IFERROR(proje!AK13*100/proje!$I13,"")</f>
        <v/>
      </c>
      <c r="AA518" s="39" t="str">
        <f>IFERROR(proje!AL13*100/proje!$I13,"")</f>
        <v/>
      </c>
      <c r="AB518" s="39" t="str">
        <f>IFERROR(proje!AM13*100/proje!$I13,"")</f>
        <v/>
      </c>
      <c r="AC518" s="39" t="str">
        <f>IFERROR(proje!AN13*100/proje!$I13,"")</f>
        <v/>
      </c>
      <c r="AD518" s="39" t="str">
        <f>IFERROR(proje!AO13*100/proje!$I13,"")</f>
        <v/>
      </c>
      <c r="AE518" s="39" t="str">
        <f>IFERROR(proje!AP13*100/proje!$I13,"")</f>
        <v/>
      </c>
      <c r="AF518" s="39" t="str">
        <f>IFERROR(proje!AQ13*100/proje!$I13,"")</f>
        <v/>
      </c>
      <c r="AG518" s="39" t="str">
        <f>IFERROR(proje!AR13*100/proje!$I13,"")</f>
        <v/>
      </c>
      <c r="AH518" s="39" t="str">
        <f>IFERROR(proje!AS13*100/proje!$I13,"")</f>
        <v/>
      </c>
      <c r="AI518" s="39" t="str">
        <f>IFERROR(proje!AT13*100/proje!$I13,"")</f>
        <v/>
      </c>
      <c r="AJ518" s="39" t="str">
        <f>IFERROR(proje!AU13*100/proje!$I13,"")</f>
        <v/>
      </c>
      <c r="AK518" s="39" t="str">
        <f>IFERROR(proje!AV13*100/proje!$I13,"")</f>
        <v/>
      </c>
      <c r="AL518" s="39" t="str">
        <f>IFERROR(proje!AW13*100/proje!$I13,"")</f>
        <v/>
      </c>
      <c r="AM518" s="39" t="str">
        <f>IFERROR(proje!AX13*100/proje!$I13,"")</f>
        <v/>
      </c>
      <c r="AN518" s="39" t="str">
        <f>IFERROR(proje!AY13*100/proje!$I13,"")</f>
        <v/>
      </c>
      <c r="AO518" s="39" t="str">
        <f>IFERROR(proje!AZ13*100/proje!$I13,"")</f>
        <v/>
      </c>
      <c r="AP518" s="39" t="str">
        <f>IFERROR(proje!BA13*100/proje!$I13,"")</f>
        <v/>
      </c>
      <c r="AQ518" s="39" t="str">
        <f>IFERROR(proje!BB13*100/proje!$I13,"")</f>
        <v/>
      </c>
      <c r="AR518" s="39" t="str">
        <f>IFERROR(proje!BC13*100/proje!$I13,"")</f>
        <v/>
      </c>
      <c r="AS518" s="39" t="str">
        <f>IFERROR(proje!BD13*100/proje!$I13,"")</f>
        <v/>
      </c>
      <c r="AT518" s="39" t="str">
        <f>IFERROR(proje!BE13*100/proje!$I13,"")</f>
        <v/>
      </c>
      <c r="AU518" s="39" t="str">
        <f>IFERROR(proje!BF13*100/proje!$I13,"")</f>
        <v/>
      </c>
      <c r="AV518" s="39" t="str">
        <f>IFERROR(proje!BG13*100/proje!$I13,"")</f>
        <v/>
      </c>
      <c r="AW518" s="39" t="str">
        <f>IFERROR(proje!BH13*100/proje!$I13,"")</f>
        <v/>
      </c>
      <c r="AX518" s="39" t="str">
        <f>IFERROR(proje!BI13*100/proje!$I13,"")</f>
        <v/>
      </c>
      <c r="AY518" s="39" t="str">
        <f>IFERROR(proje!BJ13*100/proje!$I13,"")</f>
        <v/>
      </c>
      <c r="AZ518" s="39" t="str">
        <f>IFERROR(proje!BK13*100/proje!$I13,"")</f>
        <v/>
      </c>
      <c r="BA518" s="39" t="str">
        <f>IFERROR(proje!BL13*100/proje!$I13,"")</f>
        <v/>
      </c>
      <c r="BB518" s="39" t="str">
        <f>IFERROR(proje!BM13*100/proje!$I13,"")</f>
        <v/>
      </c>
      <c r="BC518" s="39" t="str">
        <f>IFERROR(proje!BN13*100/proje!$I13,"")</f>
        <v/>
      </c>
      <c r="BD518" s="39" t="str">
        <f>IFERROR(proje!BO13*100/proje!$I13,"")</f>
        <v/>
      </c>
      <c r="BE518" s="39" t="str">
        <f>IFERROR(proje!BP13*100/proje!$I13,"")</f>
        <v/>
      </c>
      <c r="BF518" s="39" t="str">
        <f>IFERROR(proje!BQ13*100/proje!$I13,"")</f>
        <v/>
      </c>
      <c r="BG518" s="39" t="str">
        <f>IFERROR(proje!BR13*100/proje!$I13,"")</f>
        <v/>
      </c>
      <c r="BH518" s="39" t="str">
        <f>IFERROR(proje!BS13*100/proje!$I13,"")</f>
        <v/>
      </c>
      <c r="BI518" s="39" t="str">
        <f>IFERROR(proje!BT13*100/proje!$I13,"")</f>
        <v/>
      </c>
      <c r="BJ518" s="39" t="str">
        <f>IFERROR(proje!BU13*100/proje!$I13,"")</f>
        <v/>
      </c>
      <c r="BK518" s="39" t="str">
        <f>IFERROR(proje!BV13*100/proje!$I13,"")</f>
        <v/>
      </c>
      <c r="BL518" s="39" t="str">
        <f>IFERROR(proje!BW13*100/proje!$I13,"")</f>
        <v/>
      </c>
      <c r="BM518" s="39" t="str">
        <f>IFERROR(proje!BX13*100/proje!$I13,"")</f>
        <v/>
      </c>
      <c r="BN518" s="39" t="str">
        <f>IFERROR(proje!BY13*100/proje!$I13,"")</f>
        <v/>
      </c>
      <c r="BO518" s="39" t="str">
        <f>IFERROR(proje!BZ13*100/proje!$I13,"")</f>
        <v/>
      </c>
      <c r="BP518" s="39" t="str">
        <f>IFERROR(proje!CA13*100/proje!$I13,"")</f>
        <v/>
      </c>
      <c r="BQ518" s="39" t="str">
        <f>IFERROR(proje!CB13*100/proje!$I13,"")</f>
        <v/>
      </c>
      <c r="BR518" s="39" t="str">
        <f>IFERROR(proje!CC13*100/proje!$I13,"")</f>
        <v/>
      </c>
      <c r="BS518" s="39" t="str">
        <f>IFERROR(proje!CD13*100/proje!$I13,"")</f>
        <v/>
      </c>
      <c r="BT518" s="39" t="str">
        <f>IFERROR(proje!CE13*100/proje!$I13,"")</f>
        <v/>
      </c>
      <c r="BU518" s="39" t="str">
        <f>IFERROR(proje!CF13*100/proje!$I13,"")</f>
        <v/>
      </c>
      <c r="BV518" s="39" t="str">
        <f>IFERROR(proje!CG13*100/proje!$I13,"")</f>
        <v/>
      </c>
      <c r="BW518" s="39" t="str">
        <f>IFERROR(proje!CH13*100/proje!$I13,"")</f>
        <v/>
      </c>
      <c r="BX518" s="39" t="str">
        <f>IFERROR(proje!CI13*100/proje!$I13,"")</f>
        <v/>
      </c>
      <c r="BY518" s="39" t="str">
        <f>IFERROR(proje!CJ13*100/proje!$I13,"")</f>
        <v/>
      </c>
      <c r="BZ518" s="39" t="str">
        <f>IFERROR(proje!CK13*100/proje!$I13,"")</f>
        <v/>
      </c>
      <c r="CA518" s="39" t="str">
        <f>IFERROR(proje!CL13*100/proje!$I13,"")</f>
        <v/>
      </c>
      <c r="CB518" s="39" t="str">
        <f>IFERROR(proje!CM13*100/proje!$I13,"")</f>
        <v/>
      </c>
      <c r="CC518" s="39" t="str">
        <f>IFERROR(proje!CN13*100/proje!$I13,"")</f>
        <v/>
      </c>
      <c r="CD518" s="39" t="str">
        <f>IFERROR(proje!CO13*100/proje!$I13,"")</f>
        <v/>
      </c>
      <c r="CE518" s="39" t="str">
        <f>IFERROR(proje!CP13*100/proje!$I13,"")</f>
        <v/>
      </c>
      <c r="CF518" s="39" t="str">
        <f>IFERROR(proje!CQ13*100/proje!$I13,"")</f>
        <v/>
      </c>
      <c r="CG518" s="39" t="str">
        <f>IFERROR(proje!CR13*100/proje!$I13,"")</f>
        <v/>
      </c>
      <c r="CH518" s="39" t="str">
        <f>IFERROR(proje!CS13*100/proje!$I13,"")</f>
        <v/>
      </c>
      <c r="CI518" s="39" t="str">
        <f>IFERROR(proje!CT13*100/proje!$I13,"")</f>
        <v/>
      </c>
      <c r="CJ518" s="39" t="str">
        <f>IFERROR(proje!CU13*100/proje!$I13,"")</f>
        <v/>
      </c>
      <c r="CK518" s="39" t="str">
        <f>IFERROR(proje!CV13*100/proje!$I13,"")</f>
        <v/>
      </c>
      <c r="CL518" s="39" t="str">
        <f>IFERROR(proje!CW13*100/proje!$I13,"")</f>
        <v/>
      </c>
      <c r="CM518" s="39" t="str">
        <f>IFERROR(proje!CX13*100/proje!$I13,"")</f>
        <v/>
      </c>
      <c r="CN518" s="39" t="str">
        <f>IFERROR(proje!CY13*100/proje!$I13,"")</f>
        <v/>
      </c>
      <c r="CO518" s="39" t="str">
        <f>IFERROR(proje!CZ13*100/proje!$I13,"")</f>
        <v/>
      </c>
      <c r="CP518" s="39" t="str">
        <f>IFERROR(proje!DA13*100/proje!$I13,"")</f>
        <v/>
      </c>
      <c r="CQ518" s="39" t="str">
        <f>IFERROR(proje!DB13*100/proje!$I13,"")</f>
        <v/>
      </c>
      <c r="CR518" s="39" t="str">
        <f>IFERROR(proje!DC13*100/proje!$I13,"")</f>
        <v/>
      </c>
      <c r="CS518" s="39" t="str">
        <f>IFERROR(proje!DD13*100/proje!$I13,"")</f>
        <v/>
      </c>
      <c r="CT518" s="39" t="str">
        <f>IFERROR(proje!DE13*100/proje!$I13,"")</f>
        <v/>
      </c>
      <c r="CU518" s="39" t="str">
        <f>IFERROR(proje!DF13*100/proje!$I13,"")</f>
        <v/>
      </c>
      <c r="CV518" s="39" t="str">
        <f>IFERROR(proje!DG13*100/proje!$I13,"")</f>
        <v/>
      </c>
      <c r="CW518" s="36" t="str">
        <f>IFERROR(SUM(A518:CV518)/proje!$DH$103,"")</f>
        <v/>
      </c>
      <c r="CX518" s="14" t="str">
        <f>IF(COUNTA(proje!A13),proje!A13,"")</f>
        <v/>
      </c>
      <c r="CY518" s="14" t="str">
        <f>IF(COUNTA(proje!B13),proje!B13,"")</f>
        <v/>
      </c>
      <c r="CZ518" s="14" t="str">
        <f>IF(COUNTA(proje!C13),proje!C13,"")</f>
        <v/>
      </c>
      <c r="DA518" s="14" t="str">
        <f>IF(COUNTA(proje!D13),proje!D13,"")</f>
        <v/>
      </c>
      <c r="DB518" s="14" t="str">
        <f>IF(COUNTA(proje!E13),proje!E13,"")</f>
        <v/>
      </c>
      <c r="DC518" s="14" t="str">
        <f>IF(COUNTA(proje!F13),proje!F13,"")</f>
        <v/>
      </c>
      <c r="DD518" s="14" t="str">
        <f>IF(COUNTA(proje!G13),proje!G13,"")</f>
        <v/>
      </c>
      <c r="DE518" s="14" t="str">
        <f>IF(COUNTA(proje!H13),proje!H13,"")</f>
        <v/>
      </c>
    </row>
    <row r="519" spans="1:109" x14ac:dyDescent="0.2">
      <c r="A519" s="39" t="str">
        <f>IFERROR(proje!L14*100/proje!$I14,"")</f>
        <v/>
      </c>
      <c r="B519" s="39" t="str">
        <f>IFERROR(proje!M14*100/proje!$I14,"")</f>
        <v/>
      </c>
      <c r="C519" s="39" t="str">
        <f>IFERROR(proje!N14*100/proje!$I14,"")</f>
        <v/>
      </c>
      <c r="D519" s="39" t="str">
        <f>IFERROR(proje!O14*100/proje!$I14,"")</f>
        <v/>
      </c>
      <c r="E519" s="39" t="str">
        <f>IFERROR(proje!P14*100/proje!$I14,"")</f>
        <v/>
      </c>
      <c r="F519" s="39" t="str">
        <f>IFERROR(proje!Q14*100/proje!$I14,"")</f>
        <v/>
      </c>
      <c r="G519" s="39" t="str">
        <f>IFERROR(proje!R14*100/proje!$I14,"")</f>
        <v/>
      </c>
      <c r="H519" s="39" t="str">
        <f>IFERROR(proje!S14*100/proje!$I14,"")</f>
        <v/>
      </c>
      <c r="I519" s="39" t="str">
        <f>IFERROR(proje!T14*100/proje!$I14,"")</f>
        <v/>
      </c>
      <c r="J519" s="39" t="str">
        <f>IFERROR(proje!U14*100/proje!$I14,"")</f>
        <v/>
      </c>
      <c r="K519" s="39" t="str">
        <f>IFERROR(proje!V14*100/proje!$I14,"")</f>
        <v/>
      </c>
      <c r="L519" s="39" t="str">
        <f>IFERROR(proje!W14*100/proje!$I14,"")</f>
        <v/>
      </c>
      <c r="M519" s="39" t="str">
        <f>IFERROR(proje!X14*100/proje!$I14,"")</f>
        <v/>
      </c>
      <c r="N519" s="39" t="str">
        <f>IFERROR(proje!Y14*100/proje!$I14,"")</f>
        <v/>
      </c>
      <c r="O519" s="39" t="str">
        <f>IFERROR(proje!Z14*100/proje!$I14,"")</f>
        <v/>
      </c>
      <c r="P519" s="39" t="str">
        <f>IFERROR(proje!AA14*100/proje!$I14,"")</f>
        <v/>
      </c>
      <c r="Q519" s="39" t="str">
        <f>IFERROR(proje!AB14*100/proje!$I14,"")</f>
        <v/>
      </c>
      <c r="R519" s="39" t="str">
        <f>IFERROR(proje!AC14*100/proje!$I14,"")</f>
        <v/>
      </c>
      <c r="S519" s="39" t="str">
        <f>IFERROR(proje!AD14*100/proje!$I14,"")</f>
        <v/>
      </c>
      <c r="T519" s="39" t="str">
        <f>IFERROR(proje!AE14*100/proje!$I14,"")</f>
        <v/>
      </c>
      <c r="U519" s="39" t="str">
        <f>IFERROR(proje!AF14*100/proje!$I14,"")</f>
        <v/>
      </c>
      <c r="V519" s="39" t="str">
        <f>IFERROR(proje!AG14*100/proje!$I14,"")</f>
        <v/>
      </c>
      <c r="W519" s="39" t="str">
        <f>IFERROR(proje!AH14*100/proje!$I14,"")</f>
        <v/>
      </c>
      <c r="X519" s="39" t="str">
        <f>IFERROR(proje!AI14*100/proje!$I14,"")</f>
        <v/>
      </c>
      <c r="Y519" s="39" t="str">
        <f>IFERROR(proje!AJ14*100/proje!$I14,"")</f>
        <v/>
      </c>
      <c r="Z519" s="39" t="str">
        <f>IFERROR(proje!AK14*100/proje!$I14,"")</f>
        <v/>
      </c>
      <c r="AA519" s="39" t="str">
        <f>IFERROR(proje!AL14*100/proje!$I14,"")</f>
        <v/>
      </c>
      <c r="AB519" s="39" t="str">
        <f>IFERROR(proje!AM14*100/proje!$I14,"")</f>
        <v/>
      </c>
      <c r="AC519" s="39" t="str">
        <f>IFERROR(proje!AN14*100/proje!$I14,"")</f>
        <v/>
      </c>
      <c r="AD519" s="39" t="str">
        <f>IFERROR(proje!AO14*100/proje!$I14,"")</f>
        <v/>
      </c>
      <c r="AE519" s="39" t="str">
        <f>IFERROR(proje!AP14*100/proje!$I14,"")</f>
        <v/>
      </c>
      <c r="AF519" s="39" t="str">
        <f>IFERROR(proje!AQ14*100/proje!$I14,"")</f>
        <v/>
      </c>
      <c r="AG519" s="39" t="str">
        <f>IFERROR(proje!AR14*100/proje!$I14,"")</f>
        <v/>
      </c>
      <c r="AH519" s="39" t="str">
        <f>IFERROR(proje!AS14*100/proje!$I14,"")</f>
        <v/>
      </c>
      <c r="AI519" s="39" t="str">
        <f>IFERROR(proje!AT14*100/proje!$I14,"")</f>
        <v/>
      </c>
      <c r="AJ519" s="39" t="str">
        <f>IFERROR(proje!AU14*100/proje!$I14,"")</f>
        <v/>
      </c>
      <c r="AK519" s="39" t="str">
        <f>IFERROR(proje!AV14*100/proje!$I14,"")</f>
        <v/>
      </c>
      <c r="AL519" s="39" t="str">
        <f>IFERROR(proje!AW14*100/proje!$I14,"")</f>
        <v/>
      </c>
      <c r="AM519" s="39" t="str">
        <f>IFERROR(proje!AX14*100/proje!$I14,"")</f>
        <v/>
      </c>
      <c r="AN519" s="39" t="str">
        <f>IFERROR(proje!AY14*100/proje!$I14,"")</f>
        <v/>
      </c>
      <c r="AO519" s="39" t="str">
        <f>IFERROR(proje!AZ14*100/proje!$I14,"")</f>
        <v/>
      </c>
      <c r="AP519" s="39" t="str">
        <f>IFERROR(proje!BA14*100/proje!$I14,"")</f>
        <v/>
      </c>
      <c r="AQ519" s="39" t="str">
        <f>IFERROR(proje!BB14*100/proje!$I14,"")</f>
        <v/>
      </c>
      <c r="AR519" s="39" t="str">
        <f>IFERROR(proje!BC14*100/proje!$I14,"")</f>
        <v/>
      </c>
      <c r="AS519" s="39" t="str">
        <f>IFERROR(proje!BD14*100/proje!$I14,"")</f>
        <v/>
      </c>
      <c r="AT519" s="39" t="str">
        <f>IFERROR(proje!BE14*100/proje!$I14,"")</f>
        <v/>
      </c>
      <c r="AU519" s="39" t="str">
        <f>IFERROR(proje!BF14*100/proje!$I14,"")</f>
        <v/>
      </c>
      <c r="AV519" s="39" t="str">
        <f>IFERROR(proje!BG14*100/proje!$I14,"")</f>
        <v/>
      </c>
      <c r="AW519" s="39" t="str">
        <f>IFERROR(proje!BH14*100/proje!$I14,"")</f>
        <v/>
      </c>
      <c r="AX519" s="39" t="str">
        <f>IFERROR(proje!BI14*100/proje!$I14,"")</f>
        <v/>
      </c>
      <c r="AY519" s="39" t="str">
        <f>IFERROR(proje!BJ14*100/proje!$I14,"")</f>
        <v/>
      </c>
      <c r="AZ519" s="39" t="str">
        <f>IFERROR(proje!BK14*100/proje!$I14,"")</f>
        <v/>
      </c>
      <c r="BA519" s="39" t="str">
        <f>IFERROR(proje!BL14*100/proje!$I14,"")</f>
        <v/>
      </c>
      <c r="BB519" s="39" t="str">
        <f>IFERROR(proje!BM14*100/proje!$I14,"")</f>
        <v/>
      </c>
      <c r="BC519" s="39" t="str">
        <f>IFERROR(proje!BN14*100/proje!$I14,"")</f>
        <v/>
      </c>
      <c r="BD519" s="39" t="str">
        <f>IFERROR(proje!BO14*100/proje!$I14,"")</f>
        <v/>
      </c>
      <c r="BE519" s="39" t="str">
        <f>IFERROR(proje!BP14*100/proje!$I14,"")</f>
        <v/>
      </c>
      <c r="BF519" s="39" t="str">
        <f>IFERROR(proje!BQ14*100/proje!$I14,"")</f>
        <v/>
      </c>
      <c r="BG519" s="39" t="str">
        <f>IFERROR(proje!BR14*100/proje!$I14,"")</f>
        <v/>
      </c>
      <c r="BH519" s="39" t="str">
        <f>IFERROR(proje!BS14*100/proje!$I14,"")</f>
        <v/>
      </c>
      <c r="BI519" s="39" t="str">
        <f>IFERROR(proje!BT14*100/proje!$I14,"")</f>
        <v/>
      </c>
      <c r="BJ519" s="39" t="str">
        <f>IFERROR(proje!BU14*100/proje!$I14,"")</f>
        <v/>
      </c>
      <c r="BK519" s="39" t="str">
        <f>IFERROR(proje!BV14*100/proje!$I14,"")</f>
        <v/>
      </c>
      <c r="BL519" s="39" t="str">
        <f>IFERROR(proje!BW14*100/proje!$I14,"")</f>
        <v/>
      </c>
      <c r="BM519" s="39" t="str">
        <f>IFERROR(proje!BX14*100/proje!$I14,"")</f>
        <v/>
      </c>
      <c r="BN519" s="39" t="str">
        <f>IFERROR(proje!BY14*100/proje!$I14,"")</f>
        <v/>
      </c>
      <c r="BO519" s="39" t="str">
        <f>IFERROR(proje!BZ14*100/proje!$I14,"")</f>
        <v/>
      </c>
      <c r="BP519" s="39" t="str">
        <f>IFERROR(proje!CA14*100/proje!$I14,"")</f>
        <v/>
      </c>
      <c r="BQ519" s="39" t="str">
        <f>IFERROR(proje!CB14*100/proje!$I14,"")</f>
        <v/>
      </c>
      <c r="BR519" s="39" t="str">
        <f>IFERROR(proje!CC14*100/proje!$I14,"")</f>
        <v/>
      </c>
      <c r="BS519" s="39" t="str">
        <f>IFERROR(proje!CD14*100/proje!$I14,"")</f>
        <v/>
      </c>
      <c r="BT519" s="39" t="str">
        <f>IFERROR(proje!CE14*100/proje!$I14,"")</f>
        <v/>
      </c>
      <c r="BU519" s="39" t="str">
        <f>IFERROR(proje!CF14*100/proje!$I14,"")</f>
        <v/>
      </c>
      <c r="BV519" s="39" t="str">
        <f>IFERROR(proje!CG14*100/proje!$I14,"")</f>
        <v/>
      </c>
      <c r="BW519" s="39" t="str">
        <f>IFERROR(proje!CH14*100/proje!$I14,"")</f>
        <v/>
      </c>
      <c r="BX519" s="39" t="str">
        <f>IFERROR(proje!CI14*100/proje!$I14,"")</f>
        <v/>
      </c>
      <c r="BY519" s="39" t="str">
        <f>IFERROR(proje!CJ14*100/proje!$I14,"")</f>
        <v/>
      </c>
      <c r="BZ519" s="39" t="str">
        <f>IFERROR(proje!CK14*100/proje!$I14,"")</f>
        <v/>
      </c>
      <c r="CA519" s="39" t="str">
        <f>IFERROR(proje!CL14*100/proje!$I14,"")</f>
        <v/>
      </c>
      <c r="CB519" s="39" t="str">
        <f>IFERROR(proje!CM14*100/proje!$I14,"")</f>
        <v/>
      </c>
      <c r="CC519" s="39" t="str">
        <f>IFERROR(proje!CN14*100/proje!$I14,"")</f>
        <v/>
      </c>
      <c r="CD519" s="39" t="str">
        <f>IFERROR(proje!CO14*100/proje!$I14,"")</f>
        <v/>
      </c>
      <c r="CE519" s="39" t="str">
        <f>IFERROR(proje!CP14*100/proje!$I14,"")</f>
        <v/>
      </c>
      <c r="CF519" s="39" t="str">
        <f>IFERROR(proje!CQ14*100/proje!$I14,"")</f>
        <v/>
      </c>
      <c r="CG519" s="39" t="str">
        <f>IFERROR(proje!CR14*100/proje!$I14,"")</f>
        <v/>
      </c>
      <c r="CH519" s="39" t="str">
        <f>IFERROR(proje!CS14*100/proje!$I14,"")</f>
        <v/>
      </c>
      <c r="CI519" s="39" t="str">
        <f>IFERROR(proje!CT14*100/proje!$I14,"")</f>
        <v/>
      </c>
      <c r="CJ519" s="39" t="str">
        <f>IFERROR(proje!CU14*100/proje!$I14,"")</f>
        <v/>
      </c>
      <c r="CK519" s="39" t="str">
        <f>IFERROR(proje!CV14*100/proje!$I14,"")</f>
        <v/>
      </c>
      <c r="CL519" s="39" t="str">
        <f>IFERROR(proje!CW14*100/proje!$I14,"")</f>
        <v/>
      </c>
      <c r="CM519" s="39" t="str">
        <f>IFERROR(proje!CX14*100/proje!$I14,"")</f>
        <v/>
      </c>
      <c r="CN519" s="39" t="str">
        <f>IFERROR(proje!CY14*100/proje!$I14,"")</f>
        <v/>
      </c>
      <c r="CO519" s="39" t="str">
        <f>IFERROR(proje!CZ14*100/proje!$I14,"")</f>
        <v/>
      </c>
      <c r="CP519" s="39" t="str">
        <f>IFERROR(proje!DA14*100/proje!$I14,"")</f>
        <v/>
      </c>
      <c r="CQ519" s="39" t="str">
        <f>IFERROR(proje!DB14*100/proje!$I14,"")</f>
        <v/>
      </c>
      <c r="CR519" s="39" t="str">
        <f>IFERROR(proje!DC14*100/proje!$I14,"")</f>
        <v/>
      </c>
      <c r="CS519" s="39" t="str">
        <f>IFERROR(proje!DD14*100/proje!$I14,"")</f>
        <v/>
      </c>
      <c r="CT519" s="39" t="str">
        <f>IFERROR(proje!DE14*100/proje!$I14,"")</f>
        <v/>
      </c>
      <c r="CU519" s="39" t="str">
        <f>IFERROR(proje!DF14*100/proje!$I14,"")</f>
        <v/>
      </c>
      <c r="CV519" s="39" t="str">
        <f>IFERROR(proje!DG14*100/proje!$I14,"")</f>
        <v/>
      </c>
      <c r="CW519" s="36" t="str">
        <f>IFERROR(SUM(A519:CV519)/proje!$DH$103,"")</f>
        <v/>
      </c>
      <c r="CX519" s="14" t="str">
        <f>IF(COUNTA(proje!A14),proje!A14,"")</f>
        <v/>
      </c>
      <c r="CY519" s="14" t="str">
        <f>IF(COUNTA(proje!B14),proje!B14,"")</f>
        <v/>
      </c>
      <c r="CZ519" s="14" t="str">
        <f>IF(COUNTA(proje!C14),proje!C14,"")</f>
        <v/>
      </c>
      <c r="DA519" s="14" t="str">
        <f>IF(COUNTA(proje!D14),proje!D14,"")</f>
        <v/>
      </c>
      <c r="DB519" s="14" t="str">
        <f>IF(COUNTA(proje!E14),proje!E14,"")</f>
        <v/>
      </c>
      <c r="DC519" s="14" t="str">
        <f>IF(COUNTA(proje!F14),proje!F14,"")</f>
        <v/>
      </c>
      <c r="DD519" s="14" t="str">
        <f>IF(COUNTA(proje!G14),proje!G14,"")</f>
        <v/>
      </c>
      <c r="DE519" s="14" t="str">
        <f>IF(COUNTA(proje!H14),proje!H14,"")</f>
        <v/>
      </c>
    </row>
    <row r="520" spans="1:109" x14ac:dyDescent="0.2">
      <c r="A520" s="39" t="str">
        <f>IFERROR(proje!L15*100/proje!$I15,"")</f>
        <v/>
      </c>
      <c r="B520" s="39" t="str">
        <f>IFERROR(proje!M15*100/proje!$I15,"")</f>
        <v/>
      </c>
      <c r="C520" s="39" t="str">
        <f>IFERROR(proje!N15*100/proje!$I15,"")</f>
        <v/>
      </c>
      <c r="D520" s="39" t="str">
        <f>IFERROR(proje!O15*100/proje!$I15,"")</f>
        <v/>
      </c>
      <c r="E520" s="39" t="str">
        <f>IFERROR(proje!P15*100/proje!$I15,"")</f>
        <v/>
      </c>
      <c r="F520" s="39" t="str">
        <f>IFERROR(proje!Q15*100/proje!$I15,"")</f>
        <v/>
      </c>
      <c r="G520" s="39" t="str">
        <f>IFERROR(proje!R15*100/proje!$I15,"")</f>
        <v/>
      </c>
      <c r="H520" s="39" t="str">
        <f>IFERROR(proje!S15*100/proje!$I15,"")</f>
        <v/>
      </c>
      <c r="I520" s="39" t="str">
        <f>IFERROR(proje!T15*100/proje!$I15,"")</f>
        <v/>
      </c>
      <c r="J520" s="39" t="str">
        <f>IFERROR(proje!U15*100/proje!$I15,"")</f>
        <v/>
      </c>
      <c r="K520" s="39" t="str">
        <f>IFERROR(proje!V15*100/proje!$I15,"")</f>
        <v/>
      </c>
      <c r="L520" s="39" t="str">
        <f>IFERROR(proje!W15*100/proje!$I15,"")</f>
        <v/>
      </c>
      <c r="M520" s="39" t="str">
        <f>IFERROR(proje!X15*100/proje!$I15,"")</f>
        <v/>
      </c>
      <c r="N520" s="39" t="str">
        <f>IFERROR(proje!Y15*100/proje!$I15,"")</f>
        <v/>
      </c>
      <c r="O520" s="39" t="str">
        <f>IFERROR(proje!Z15*100/proje!$I15,"")</f>
        <v/>
      </c>
      <c r="P520" s="39" t="str">
        <f>IFERROR(proje!AA15*100/proje!$I15,"")</f>
        <v/>
      </c>
      <c r="Q520" s="39" t="str">
        <f>IFERROR(proje!AB15*100/proje!$I15,"")</f>
        <v/>
      </c>
      <c r="R520" s="39" t="str">
        <f>IFERROR(proje!AC15*100/proje!$I15,"")</f>
        <v/>
      </c>
      <c r="S520" s="39" t="str">
        <f>IFERROR(proje!AD15*100/proje!$I15,"")</f>
        <v/>
      </c>
      <c r="T520" s="39" t="str">
        <f>IFERROR(proje!AE15*100/proje!$I15,"")</f>
        <v/>
      </c>
      <c r="U520" s="39" t="str">
        <f>IFERROR(proje!AF15*100/proje!$I15,"")</f>
        <v/>
      </c>
      <c r="V520" s="39" t="str">
        <f>IFERROR(proje!AG15*100/proje!$I15,"")</f>
        <v/>
      </c>
      <c r="W520" s="39" t="str">
        <f>IFERROR(proje!AH15*100/proje!$I15,"")</f>
        <v/>
      </c>
      <c r="X520" s="39" t="str">
        <f>IFERROR(proje!AI15*100/proje!$I15,"")</f>
        <v/>
      </c>
      <c r="Y520" s="39" t="str">
        <f>IFERROR(proje!AJ15*100/proje!$I15,"")</f>
        <v/>
      </c>
      <c r="Z520" s="39" t="str">
        <f>IFERROR(proje!AK15*100/proje!$I15,"")</f>
        <v/>
      </c>
      <c r="AA520" s="39" t="str">
        <f>IFERROR(proje!AL15*100/proje!$I15,"")</f>
        <v/>
      </c>
      <c r="AB520" s="39" t="str">
        <f>IFERROR(proje!AM15*100/proje!$I15,"")</f>
        <v/>
      </c>
      <c r="AC520" s="39" t="str">
        <f>IFERROR(proje!AN15*100/proje!$I15,"")</f>
        <v/>
      </c>
      <c r="AD520" s="39" t="str">
        <f>IFERROR(proje!AO15*100/proje!$I15,"")</f>
        <v/>
      </c>
      <c r="AE520" s="39" t="str">
        <f>IFERROR(proje!AP15*100/proje!$I15,"")</f>
        <v/>
      </c>
      <c r="AF520" s="39" t="str">
        <f>IFERROR(proje!AQ15*100/proje!$I15,"")</f>
        <v/>
      </c>
      <c r="AG520" s="39" t="str">
        <f>IFERROR(proje!AR15*100/proje!$I15,"")</f>
        <v/>
      </c>
      <c r="AH520" s="39" t="str">
        <f>IFERROR(proje!AS15*100/proje!$I15,"")</f>
        <v/>
      </c>
      <c r="AI520" s="39" t="str">
        <f>IFERROR(proje!AT15*100/proje!$I15,"")</f>
        <v/>
      </c>
      <c r="AJ520" s="39" t="str">
        <f>IFERROR(proje!AU15*100/proje!$I15,"")</f>
        <v/>
      </c>
      <c r="AK520" s="39" t="str">
        <f>IFERROR(proje!AV15*100/proje!$I15,"")</f>
        <v/>
      </c>
      <c r="AL520" s="39" t="str">
        <f>IFERROR(proje!AW15*100/proje!$I15,"")</f>
        <v/>
      </c>
      <c r="AM520" s="39" t="str">
        <f>IFERROR(proje!AX15*100/proje!$I15,"")</f>
        <v/>
      </c>
      <c r="AN520" s="39" t="str">
        <f>IFERROR(proje!AY15*100/proje!$I15,"")</f>
        <v/>
      </c>
      <c r="AO520" s="39" t="str">
        <f>IFERROR(proje!AZ15*100/proje!$I15,"")</f>
        <v/>
      </c>
      <c r="AP520" s="39" t="str">
        <f>IFERROR(proje!BA15*100/proje!$I15,"")</f>
        <v/>
      </c>
      <c r="AQ520" s="39" t="str">
        <f>IFERROR(proje!BB15*100/proje!$I15,"")</f>
        <v/>
      </c>
      <c r="AR520" s="39" t="str">
        <f>IFERROR(proje!BC15*100/proje!$I15,"")</f>
        <v/>
      </c>
      <c r="AS520" s="39" t="str">
        <f>IFERROR(proje!BD15*100/proje!$I15,"")</f>
        <v/>
      </c>
      <c r="AT520" s="39" t="str">
        <f>IFERROR(proje!BE15*100/proje!$I15,"")</f>
        <v/>
      </c>
      <c r="AU520" s="39" t="str">
        <f>IFERROR(proje!BF15*100/proje!$I15,"")</f>
        <v/>
      </c>
      <c r="AV520" s="39" t="str">
        <f>IFERROR(proje!BG15*100/proje!$I15,"")</f>
        <v/>
      </c>
      <c r="AW520" s="39" t="str">
        <f>IFERROR(proje!BH15*100/proje!$I15,"")</f>
        <v/>
      </c>
      <c r="AX520" s="39" t="str">
        <f>IFERROR(proje!BI15*100/proje!$I15,"")</f>
        <v/>
      </c>
      <c r="AY520" s="39" t="str">
        <f>IFERROR(proje!BJ15*100/proje!$I15,"")</f>
        <v/>
      </c>
      <c r="AZ520" s="39" t="str">
        <f>IFERROR(proje!BK15*100/proje!$I15,"")</f>
        <v/>
      </c>
      <c r="BA520" s="39" t="str">
        <f>IFERROR(proje!BL15*100/proje!$I15,"")</f>
        <v/>
      </c>
      <c r="BB520" s="39" t="str">
        <f>IFERROR(proje!BM15*100/proje!$I15,"")</f>
        <v/>
      </c>
      <c r="BC520" s="39" t="str">
        <f>IFERROR(proje!BN15*100/proje!$I15,"")</f>
        <v/>
      </c>
      <c r="BD520" s="39" t="str">
        <f>IFERROR(proje!BO15*100/proje!$I15,"")</f>
        <v/>
      </c>
      <c r="BE520" s="39" t="str">
        <f>IFERROR(proje!BP15*100/proje!$I15,"")</f>
        <v/>
      </c>
      <c r="BF520" s="39" t="str">
        <f>IFERROR(proje!BQ15*100/proje!$I15,"")</f>
        <v/>
      </c>
      <c r="BG520" s="39" t="str">
        <f>IFERROR(proje!BR15*100/proje!$I15,"")</f>
        <v/>
      </c>
      <c r="BH520" s="39" t="str">
        <f>IFERROR(proje!BS15*100/proje!$I15,"")</f>
        <v/>
      </c>
      <c r="BI520" s="39" t="str">
        <f>IFERROR(proje!BT15*100/proje!$I15,"")</f>
        <v/>
      </c>
      <c r="BJ520" s="39" t="str">
        <f>IFERROR(proje!BU15*100/proje!$I15,"")</f>
        <v/>
      </c>
      <c r="BK520" s="39" t="str">
        <f>IFERROR(proje!BV15*100/proje!$I15,"")</f>
        <v/>
      </c>
      <c r="BL520" s="39" t="str">
        <f>IFERROR(proje!BW15*100/proje!$I15,"")</f>
        <v/>
      </c>
      <c r="BM520" s="39" t="str">
        <f>IFERROR(proje!BX15*100/proje!$I15,"")</f>
        <v/>
      </c>
      <c r="BN520" s="39" t="str">
        <f>IFERROR(proje!BY15*100/proje!$I15,"")</f>
        <v/>
      </c>
      <c r="BO520" s="39" t="str">
        <f>IFERROR(proje!BZ15*100/proje!$I15,"")</f>
        <v/>
      </c>
      <c r="BP520" s="39" t="str">
        <f>IFERROR(proje!CA15*100/proje!$I15,"")</f>
        <v/>
      </c>
      <c r="BQ520" s="39" t="str">
        <f>IFERROR(proje!CB15*100/proje!$I15,"")</f>
        <v/>
      </c>
      <c r="BR520" s="39" t="str">
        <f>IFERROR(proje!CC15*100/proje!$I15,"")</f>
        <v/>
      </c>
      <c r="BS520" s="39" t="str">
        <f>IFERROR(proje!CD15*100/proje!$I15,"")</f>
        <v/>
      </c>
      <c r="BT520" s="39" t="str">
        <f>IFERROR(proje!CE15*100/proje!$I15,"")</f>
        <v/>
      </c>
      <c r="BU520" s="39" t="str">
        <f>IFERROR(proje!CF15*100/proje!$I15,"")</f>
        <v/>
      </c>
      <c r="BV520" s="39" t="str">
        <f>IFERROR(proje!CG15*100/proje!$I15,"")</f>
        <v/>
      </c>
      <c r="BW520" s="39" t="str">
        <f>IFERROR(proje!CH15*100/proje!$I15,"")</f>
        <v/>
      </c>
      <c r="BX520" s="39" t="str">
        <f>IFERROR(proje!CI15*100/proje!$I15,"")</f>
        <v/>
      </c>
      <c r="BY520" s="39" t="str">
        <f>IFERROR(proje!CJ15*100/proje!$I15,"")</f>
        <v/>
      </c>
      <c r="BZ520" s="39" t="str">
        <f>IFERROR(proje!CK15*100/proje!$I15,"")</f>
        <v/>
      </c>
      <c r="CA520" s="39" t="str">
        <f>IFERROR(proje!CL15*100/proje!$I15,"")</f>
        <v/>
      </c>
      <c r="CB520" s="39" t="str">
        <f>IFERROR(proje!CM15*100/proje!$I15,"")</f>
        <v/>
      </c>
      <c r="CC520" s="39" t="str">
        <f>IFERROR(proje!CN15*100/proje!$I15,"")</f>
        <v/>
      </c>
      <c r="CD520" s="39" t="str">
        <f>IFERROR(proje!CO15*100/proje!$I15,"")</f>
        <v/>
      </c>
      <c r="CE520" s="39" t="str">
        <f>IFERROR(proje!CP15*100/proje!$I15,"")</f>
        <v/>
      </c>
      <c r="CF520" s="39" t="str">
        <f>IFERROR(proje!CQ15*100/proje!$I15,"")</f>
        <v/>
      </c>
      <c r="CG520" s="39" t="str">
        <f>IFERROR(proje!CR15*100/proje!$I15,"")</f>
        <v/>
      </c>
      <c r="CH520" s="39" t="str">
        <f>IFERROR(proje!CS15*100/proje!$I15,"")</f>
        <v/>
      </c>
      <c r="CI520" s="39" t="str">
        <f>IFERROR(proje!CT15*100/proje!$I15,"")</f>
        <v/>
      </c>
      <c r="CJ520" s="39" t="str">
        <f>IFERROR(proje!CU15*100/proje!$I15,"")</f>
        <v/>
      </c>
      <c r="CK520" s="39" t="str">
        <f>IFERROR(proje!CV15*100/proje!$I15,"")</f>
        <v/>
      </c>
      <c r="CL520" s="39" t="str">
        <f>IFERROR(proje!CW15*100/proje!$I15,"")</f>
        <v/>
      </c>
      <c r="CM520" s="39" t="str">
        <f>IFERROR(proje!CX15*100/proje!$I15,"")</f>
        <v/>
      </c>
      <c r="CN520" s="39" t="str">
        <f>IFERROR(proje!CY15*100/proje!$I15,"")</f>
        <v/>
      </c>
      <c r="CO520" s="39" t="str">
        <f>IFERROR(proje!CZ15*100/proje!$I15,"")</f>
        <v/>
      </c>
      <c r="CP520" s="39" t="str">
        <f>IFERROR(proje!DA15*100/proje!$I15,"")</f>
        <v/>
      </c>
      <c r="CQ520" s="39" t="str">
        <f>IFERROR(proje!DB15*100/proje!$I15,"")</f>
        <v/>
      </c>
      <c r="CR520" s="39" t="str">
        <f>IFERROR(proje!DC15*100/proje!$I15,"")</f>
        <v/>
      </c>
      <c r="CS520" s="39" t="str">
        <f>IFERROR(proje!DD15*100/proje!$I15,"")</f>
        <v/>
      </c>
      <c r="CT520" s="39" t="str">
        <f>IFERROR(proje!DE15*100/proje!$I15,"")</f>
        <v/>
      </c>
      <c r="CU520" s="39" t="str">
        <f>IFERROR(proje!DF15*100/proje!$I15,"")</f>
        <v/>
      </c>
      <c r="CV520" s="39" t="str">
        <f>IFERROR(proje!DG15*100/proje!$I15,"")</f>
        <v/>
      </c>
      <c r="CW520" s="36" t="str">
        <f>IFERROR(SUM(A520:CV520)/proje!$DH$103,"")</f>
        <v/>
      </c>
      <c r="CX520" s="14" t="str">
        <f>IF(COUNTA(proje!A15),proje!A15,"")</f>
        <v/>
      </c>
      <c r="CY520" s="14" t="str">
        <f>IF(COUNTA(proje!B15),proje!B15,"")</f>
        <v/>
      </c>
      <c r="CZ520" s="14" t="str">
        <f>IF(COUNTA(proje!C15),proje!C15,"")</f>
        <v/>
      </c>
      <c r="DA520" s="14" t="str">
        <f>IF(COUNTA(proje!D15),proje!D15,"")</f>
        <v/>
      </c>
      <c r="DB520" s="14" t="str">
        <f>IF(COUNTA(proje!E15),proje!E15,"")</f>
        <v/>
      </c>
      <c r="DC520" s="14" t="str">
        <f>IF(COUNTA(proje!F15),proje!F15,"")</f>
        <v/>
      </c>
      <c r="DD520" s="14" t="str">
        <f>IF(COUNTA(proje!G15),proje!G15,"")</f>
        <v/>
      </c>
      <c r="DE520" s="14" t="str">
        <f>IF(COUNTA(proje!H15),proje!H15,"")</f>
        <v/>
      </c>
    </row>
    <row r="521" spans="1:109" x14ac:dyDescent="0.2">
      <c r="A521" s="39" t="str">
        <f>IFERROR(proje!L16*100/proje!$I16,"")</f>
        <v/>
      </c>
      <c r="B521" s="39" t="str">
        <f>IFERROR(proje!M16*100/proje!$I16,"")</f>
        <v/>
      </c>
      <c r="C521" s="39" t="str">
        <f>IFERROR(proje!N16*100/proje!$I16,"")</f>
        <v/>
      </c>
      <c r="D521" s="39" t="str">
        <f>IFERROR(proje!O16*100/proje!$I16,"")</f>
        <v/>
      </c>
      <c r="E521" s="39" t="str">
        <f>IFERROR(proje!P16*100/proje!$I16,"")</f>
        <v/>
      </c>
      <c r="F521" s="39" t="str">
        <f>IFERROR(proje!Q16*100/proje!$I16,"")</f>
        <v/>
      </c>
      <c r="G521" s="39" t="str">
        <f>IFERROR(proje!R16*100/proje!$I16,"")</f>
        <v/>
      </c>
      <c r="H521" s="39" t="str">
        <f>IFERROR(proje!S16*100/proje!$I16,"")</f>
        <v/>
      </c>
      <c r="I521" s="39" t="str">
        <f>IFERROR(proje!T16*100/proje!$I16,"")</f>
        <v/>
      </c>
      <c r="J521" s="39" t="str">
        <f>IFERROR(proje!U16*100/proje!$I16,"")</f>
        <v/>
      </c>
      <c r="K521" s="39" t="str">
        <f>IFERROR(proje!V16*100/proje!$I16,"")</f>
        <v/>
      </c>
      <c r="L521" s="39" t="str">
        <f>IFERROR(proje!W16*100/proje!$I16,"")</f>
        <v/>
      </c>
      <c r="M521" s="39" t="str">
        <f>IFERROR(proje!X16*100/proje!$I16,"")</f>
        <v/>
      </c>
      <c r="N521" s="39" t="str">
        <f>IFERROR(proje!Y16*100/proje!$I16,"")</f>
        <v/>
      </c>
      <c r="O521" s="39" t="str">
        <f>IFERROR(proje!Z16*100/proje!$I16,"")</f>
        <v/>
      </c>
      <c r="P521" s="39" t="str">
        <f>IFERROR(proje!AA16*100/proje!$I16,"")</f>
        <v/>
      </c>
      <c r="Q521" s="39" t="str">
        <f>IFERROR(proje!AB16*100/proje!$I16,"")</f>
        <v/>
      </c>
      <c r="R521" s="39" t="str">
        <f>IFERROR(proje!AC16*100/proje!$I16,"")</f>
        <v/>
      </c>
      <c r="S521" s="39" t="str">
        <f>IFERROR(proje!AD16*100/proje!$I16,"")</f>
        <v/>
      </c>
      <c r="T521" s="39" t="str">
        <f>IFERROR(proje!AE16*100/proje!$I16,"")</f>
        <v/>
      </c>
      <c r="U521" s="39" t="str">
        <f>IFERROR(proje!AF16*100/proje!$I16,"")</f>
        <v/>
      </c>
      <c r="V521" s="39" t="str">
        <f>IFERROR(proje!AG16*100/proje!$I16,"")</f>
        <v/>
      </c>
      <c r="W521" s="39" t="str">
        <f>IFERROR(proje!AH16*100/proje!$I16,"")</f>
        <v/>
      </c>
      <c r="X521" s="39" t="str">
        <f>IFERROR(proje!AI16*100/proje!$I16,"")</f>
        <v/>
      </c>
      <c r="Y521" s="39" t="str">
        <f>IFERROR(proje!AJ16*100/proje!$I16,"")</f>
        <v/>
      </c>
      <c r="Z521" s="39" t="str">
        <f>IFERROR(proje!AK16*100/proje!$I16,"")</f>
        <v/>
      </c>
      <c r="AA521" s="39" t="str">
        <f>IFERROR(proje!AL16*100/proje!$I16,"")</f>
        <v/>
      </c>
      <c r="AB521" s="39" t="str">
        <f>IFERROR(proje!AM16*100/proje!$I16,"")</f>
        <v/>
      </c>
      <c r="AC521" s="39" t="str">
        <f>IFERROR(proje!AN16*100/proje!$I16,"")</f>
        <v/>
      </c>
      <c r="AD521" s="39" t="str">
        <f>IFERROR(proje!AO16*100/proje!$I16,"")</f>
        <v/>
      </c>
      <c r="AE521" s="39" t="str">
        <f>IFERROR(proje!AP16*100/proje!$I16,"")</f>
        <v/>
      </c>
      <c r="AF521" s="39" t="str">
        <f>IFERROR(proje!AQ16*100/proje!$I16,"")</f>
        <v/>
      </c>
      <c r="AG521" s="39" t="str">
        <f>IFERROR(proje!AR16*100/proje!$I16,"")</f>
        <v/>
      </c>
      <c r="AH521" s="39" t="str">
        <f>IFERROR(proje!AS16*100/proje!$I16,"")</f>
        <v/>
      </c>
      <c r="AI521" s="39" t="str">
        <f>IFERROR(proje!AT16*100/proje!$I16,"")</f>
        <v/>
      </c>
      <c r="AJ521" s="39" t="str">
        <f>IFERROR(proje!AU16*100/proje!$I16,"")</f>
        <v/>
      </c>
      <c r="AK521" s="39" t="str">
        <f>IFERROR(proje!AV16*100/proje!$I16,"")</f>
        <v/>
      </c>
      <c r="AL521" s="39" t="str">
        <f>IFERROR(proje!AW16*100/proje!$I16,"")</f>
        <v/>
      </c>
      <c r="AM521" s="39" t="str">
        <f>IFERROR(proje!AX16*100/proje!$I16,"")</f>
        <v/>
      </c>
      <c r="AN521" s="39" t="str">
        <f>IFERROR(proje!AY16*100/proje!$I16,"")</f>
        <v/>
      </c>
      <c r="AO521" s="39" t="str">
        <f>IFERROR(proje!AZ16*100/proje!$I16,"")</f>
        <v/>
      </c>
      <c r="AP521" s="39" t="str">
        <f>IFERROR(proje!BA16*100/proje!$I16,"")</f>
        <v/>
      </c>
      <c r="AQ521" s="39" t="str">
        <f>IFERROR(proje!BB16*100/proje!$I16,"")</f>
        <v/>
      </c>
      <c r="AR521" s="39" t="str">
        <f>IFERROR(proje!BC16*100/proje!$I16,"")</f>
        <v/>
      </c>
      <c r="AS521" s="39" t="str">
        <f>IFERROR(proje!BD16*100/proje!$I16,"")</f>
        <v/>
      </c>
      <c r="AT521" s="39" t="str">
        <f>IFERROR(proje!BE16*100/proje!$I16,"")</f>
        <v/>
      </c>
      <c r="AU521" s="39" t="str">
        <f>IFERROR(proje!BF16*100/proje!$I16,"")</f>
        <v/>
      </c>
      <c r="AV521" s="39" t="str">
        <f>IFERROR(proje!BG16*100/proje!$I16,"")</f>
        <v/>
      </c>
      <c r="AW521" s="39" t="str">
        <f>IFERROR(proje!BH16*100/proje!$I16,"")</f>
        <v/>
      </c>
      <c r="AX521" s="39" t="str">
        <f>IFERROR(proje!BI16*100/proje!$I16,"")</f>
        <v/>
      </c>
      <c r="AY521" s="39" t="str">
        <f>IFERROR(proje!BJ16*100/proje!$I16,"")</f>
        <v/>
      </c>
      <c r="AZ521" s="39" t="str">
        <f>IFERROR(proje!BK16*100/proje!$I16,"")</f>
        <v/>
      </c>
      <c r="BA521" s="39" t="str">
        <f>IFERROR(proje!BL16*100/proje!$I16,"")</f>
        <v/>
      </c>
      <c r="BB521" s="39" t="str">
        <f>IFERROR(proje!BM16*100/proje!$I16,"")</f>
        <v/>
      </c>
      <c r="BC521" s="39" t="str">
        <f>IFERROR(proje!BN16*100/proje!$I16,"")</f>
        <v/>
      </c>
      <c r="BD521" s="39" t="str">
        <f>IFERROR(proje!BO16*100/proje!$I16,"")</f>
        <v/>
      </c>
      <c r="BE521" s="39" t="str">
        <f>IFERROR(proje!BP16*100/proje!$I16,"")</f>
        <v/>
      </c>
      <c r="BF521" s="39" t="str">
        <f>IFERROR(proje!BQ16*100/proje!$I16,"")</f>
        <v/>
      </c>
      <c r="BG521" s="39" t="str">
        <f>IFERROR(proje!BR16*100/proje!$I16,"")</f>
        <v/>
      </c>
      <c r="BH521" s="39" t="str">
        <f>IFERROR(proje!BS16*100/proje!$I16,"")</f>
        <v/>
      </c>
      <c r="BI521" s="39" t="str">
        <f>IFERROR(proje!BT16*100/proje!$I16,"")</f>
        <v/>
      </c>
      <c r="BJ521" s="39" t="str">
        <f>IFERROR(proje!BU16*100/proje!$I16,"")</f>
        <v/>
      </c>
      <c r="BK521" s="39" t="str">
        <f>IFERROR(proje!BV16*100/proje!$I16,"")</f>
        <v/>
      </c>
      <c r="BL521" s="39" t="str">
        <f>IFERROR(proje!BW16*100/proje!$I16,"")</f>
        <v/>
      </c>
      <c r="BM521" s="39" t="str">
        <f>IFERROR(proje!BX16*100/proje!$I16,"")</f>
        <v/>
      </c>
      <c r="BN521" s="39" t="str">
        <f>IFERROR(proje!BY16*100/proje!$I16,"")</f>
        <v/>
      </c>
      <c r="BO521" s="39" t="str">
        <f>IFERROR(proje!BZ16*100/proje!$I16,"")</f>
        <v/>
      </c>
      <c r="BP521" s="39" t="str">
        <f>IFERROR(proje!CA16*100/proje!$I16,"")</f>
        <v/>
      </c>
      <c r="BQ521" s="39" t="str">
        <f>IFERROR(proje!CB16*100/proje!$I16,"")</f>
        <v/>
      </c>
      <c r="BR521" s="39" t="str">
        <f>IFERROR(proje!CC16*100/proje!$I16,"")</f>
        <v/>
      </c>
      <c r="BS521" s="39" t="str">
        <f>IFERROR(proje!CD16*100/proje!$I16,"")</f>
        <v/>
      </c>
      <c r="BT521" s="39" t="str">
        <f>IFERROR(proje!CE16*100/proje!$I16,"")</f>
        <v/>
      </c>
      <c r="BU521" s="39" t="str">
        <f>IFERROR(proje!CF16*100/proje!$I16,"")</f>
        <v/>
      </c>
      <c r="BV521" s="39" t="str">
        <f>IFERROR(proje!CG16*100/proje!$I16,"")</f>
        <v/>
      </c>
      <c r="BW521" s="39" t="str">
        <f>IFERROR(proje!CH16*100/proje!$I16,"")</f>
        <v/>
      </c>
      <c r="BX521" s="39" t="str">
        <f>IFERROR(proje!CI16*100/proje!$I16,"")</f>
        <v/>
      </c>
      <c r="BY521" s="39" t="str">
        <f>IFERROR(proje!CJ16*100/proje!$I16,"")</f>
        <v/>
      </c>
      <c r="BZ521" s="39" t="str">
        <f>IFERROR(proje!CK16*100/proje!$I16,"")</f>
        <v/>
      </c>
      <c r="CA521" s="39" t="str">
        <f>IFERROR(proje!CL16*100/proje!$I16,"")</f>
        <v/>
      </c>
      <c r="CB521" s="39" t="str">
        <f>IFERROR(proje!CM16*100/proje!$I16,"")</f>
        <v/>
      </c>
      <c r="CC521" s="39" t="str">
        <f>IFERROR(proje!CN16*100/proje!$I16,"")</f>
        <v/>
      </c>
      <c r="CD521" s="39" t="str">
        <f>IFERROR(proje!CO16*100/proje!$I16,"")</f>
        <v/>
      </c>
      <c r="CE521" s="39" t="str">
        <f>IFERROR(proje!CP16*100/proje!$I16,"")</f>
        <v/>
      </c>
      <c r="CF521" s="39" t="str">
        <f>IFERROR(proje!CQ16*100/proje!$I16,"")</f>
        <v/>
      </c>
      <c r="CG521" s="39" t="str">
        <f>IFERROR(proje!CR16*100/proje!$I16,"")</f>
        <v/>
      </c>
      <c r="CH521" s="39" t="str">
        <f>IFERROR(proje!CS16*100/proje!$I16,"")</f>
        <v/>
      </c>
      <c r="CI521" s="39" t="str">
        <f>IFERROR(proje!CT16*100/proje!$I16,"")</f>
        <v/>
      </c>
      <c r="CJ521" s="39" t="str">
        <f>IFERROR(proje!CU16*100/proje!$I16,"")</f>
        <v/>
      </c>
      <c r="CK521" s="39" t="str">
        <f>IFERROR(proje!CV16*100/proje!$I16,"")</f>
        <v/>
      </c>
      <c r="CL521" s="39" t="str">
        <f>IFERROR(proje!CW16*100/proje!$I16,"")</f>
        <v/>
      </c>
      <c r="CM521" s="39" t="str">
        <f>IFERROR(proje!CX16*100/proje!$I16,"")</f>
        <v/>
      </c>
      <c r="CN521" s="39" t="str">
        <f>IFERROR(proje!CY16*100/proje!$I16,"")</f>
        <v/>
      </c>
      <c r="CO521" s="39" t="str">
        <f>IFERROR(proje!CZ16*100/proje!$I16,"")</f>
        <v/>
      </c>
      <c r="CP521" s="39" t="str">
        <f>IFERROR(proje!DA16*100/proje!$I16,"")</f>
        <v/>
      </c>
      <c r="CQ521" s="39" t="str">
        <f>IFERROR(proje!DB16*100/proje!$I16,"")</f>
        <v/>
      </c>
      <c r="CR521" s="39" t="str">
        <f>IFERROR(proje!DC16*100/proje!$I16,"")</f>
        <v/>
      </c>
      <c r="CS521" s="39" t="str">
        <f>IFERROR(proje!DD16*100/proje!$I16,"")</f>
        <v/>
      </c>
      <c r="CT521" s="39" t="str">
        <f>IFERROR(proje!DE16*100/proje!$I16,"")</f>
        <v/>
      </c>
      <c r="CU521" s="39" t="str">
        <f>IFERROR(proje!DF16*100/proje!$I16,"")</f>
        <v/>
      </c>
      <c r="CV521" s="39" t="str">
        <f>IFERROR(proje!DG16*100/proje!$I16,"")</f>
        <v/>
      </c>
      <c r="CW521" s="36" t="str">
        <f>IFERROR(SUM(A521:CV521)/proje!$DH$103,"")</f>
        <v/>
      </c>
      <c r="CX521" s="14" t="str">
        <f>IF(COUNTA(proje!A16),proje!A16,"")</f>
        <v/>
      </c>
      <c r="CY521" s="14" t="str">
        <f>IF(COUNTA(proje!B16),proje!B16,"")</f>
        <v/>
      </c>
      <c r="CZ521" s="14" t="str">
        <f>IF(COUNTA(proje!C16),proje!C16,"")</f>
        <v/>
      </c>
      <c r="DA521" s="14" t="str">
        <f>IF(COUNTA(proje!D16),proje!D16,"")</f>
        <v/>
      </c>
      <c r="DB521" s="14" t="str">
        <f>IF(COUNTA(proje!E16),proje!E16,"")</f>
        <v/>
      </c>
      <c r="DC521" s="14" t="str">
        <f>IF(COUNTA(proje!F16),proje!F16,"")</f>
        <v/>
      </c>
      <c r="DD521" s="14" t="str">
        <f>IF(COUNTA(proje!G16),proje!G16,"")</f>
        <v/>
      </c>
      <c r="DE521" s="14" t="str">
        <f>IF(COUNTA(proje!H16),proje!H16,"")</f>
        <v/>
      </c>
    </row>
    <row r="522" spans="1:109" x14ac:dyDescent="0.2">
      <c r="A522" s="39" t="str">
        <f>IFERROR(proje!L17*100/proje!$I17,"")</f>
        <v/>
      </c>
      <c r="B522" s="39" t="str">
        <f>IFERROR(proje!M17*100/proje!$I17,"")</f>
        <v/>
      </c>
      <c r="C522" s="39" t="str">
        <f>IFERROR(proje!N17*100/proje!$I17,"")</f>
        <v/>
      </c>
      <c r="D522" s="39" t="str">
        <f>IFERROR(proje!O17*100/proje!$I17,"")</f>
        <v/>
      </c>
      <c r="E522" s="39" t="str">
        <f>IFERROR(proje!P17*100/proje!$I17,"")</f>
        <v/>
      </c>
      <c r="F522" s="39" t="str">
        <f>IFERROR(proje!Q17*100/proje!$I17,"")</f>
        <v/>
      </c>
      <c r="G522" s="39" t="str">
        <f>IFERROR(proje!R17*100/proje!$I17,"")</f>
        <v/>
      </c>
      <c r="H522" s="39" t="str">
        <f>IFERROR(proje!S17*100/proje!$I17,"")</f>
        <v/>
      </c>
      <c r="I522" s="39" t="str">
        <f>IFERROR(proje!T17*100/proje!$I17,"")</f>
        <v/>
      </c>
      <c r="J522" s="39" t="str">
        <f>IFERROR(proje!U17*100/proje!$I17,"")</f>
        <v/>
      </c>
      <c r="K522" s="39" t="str">
        <f>IFERROR(proje!V17*100/proje!$I17,"")</f>
        <v/>
      </c>
      <c r="L522" s="39" t="str">
        <f>IFERROR(proje!W17*100/proje!$I17,"")</f>
        <v/>
      </c>
      <c r="M522" s="39" t="str">
        <f>IFERROR(proje!X17*100/proje!$I17,"")</f>
        <v/>
      </c>
      <c r="N522" s="39" t="str">
        <f>IFERROR(proje!Y17*100/proje!$I17,"")</f>
        <v/>
      </c>
      <c r="O522" s="39" t="str">
        <f>IFERROR(proje!Z17*100/proje!$I17,"")</f>
        <v/>
      </c>
      <c r="P522" s="39" t="str">
        <f>IFERROR(proje!AA17*100/proje!$I17,"")</f>
        <v/>
      </c>
      <c r="Q522" s="39" t="str">
        <f>IFERROR(proje!AB17*100/proje!$I17,"")</f>
        <v/>
      </c>
      <c r="R522" s="39" t="str">
        <f>IFERROR(proje!AC17*100/proje!$I17,"")</f>
        <v/>
      </c>
      <c r="S522" s="39" t="str">
        <f>IFERROR(proje!AD17*100/proje!$I17,"")</f>
        <v/>
      </c>
      <c r="T522" s="39" t="str">
        <f>IFERROR(proje!AE17*100/proje!$I17,"")</f>
        <v/>
      </c>
      <c r="U522" s="39" t="str">
        <f>IFERROR(proje!AF17*100/proje!$I17,"")</f>
        <v/>
      </c>
      <c r="V522" s="39" t="str">
        <f>IFERROR(proje!AG17*100/proje!$I17,"")</f>
        <v/>
      </c>
      <c r="W522" s="39" t="str">
        <f>IFERROR(proje!AH17*100/proje!$I17,"")</f>
        <v/>
      </c>
      <c r="X522" s="39" t="str">
        <f>IFERROR(proje!AI17*100/proje!$I17,"")</f>
        <v/>
      </c>
      <c r="Y522" s="39" t="str">
        <f>IFERROR(proje!AJ17*100/proje!$I17,"")</f>
        <v/>
      </c>
      <c r="Z522" s="39" t="str">
        <f>IFERROR(proje!AK17*100/proje!$I17,"")</f>
        <v/>
      </c>
      <c r="AA522" s="39" t="str">
        <f>IFERROR(proje!AL17*100/proje!$I17,"")</f>
        <v/>
      </c>
      <c r="AB522" s="39" t="str">
        <f>IFERROR(proje!AM17*100/proje!$I17,"")</f>
        <v/>
      </c>
      <c r="AC522" s="39" t="str">
        <f>IFERROR(proje!AN17*100/proje!$I17,"")</f>
        <v/>
      </c>
      <c r="AD522" s="39" t="str">
        <f>IFERROR(proje!AO17*100/proje!$I17,"")</f>
        <v/>
      </c>
      <c r="AE522" s="39" t="str">
        <f>IFERROR(proje!AP17*100/proje!$I17,"")</f>
        <v/>
      </c>
      <c r="AF522" s="39" t="str">
        <f>IFERROR(proje!AQ17*100/proje!$I17,"")</f>
        <v/>
      </c>
      <c r="AG522" s="39" t="str">
        <f>IFERROR(proje!AR17*100/proje!$I17,"")</f>
        <v/>
      </c>
      <c r="AH522" s="39" t="str">
        <f>IFERROR(proje!AS17*100/proje!$I17,"")</f>
        <v/>
      </c>
      <c r="AI522" s="39" t="str">
        <f>IFERROR(proje!AT17*100/proje!$I17,"")</f>
        <v/>
      </c>
      <c r="AJ522" s="39" t="str">
        <f>IFERROR(proje!AU17*100/proje!$I17,"")</f>
        <v/>
      </c>
      <c r="AK522" s="39" t="str">
        <f>IFERROR(proje!AV17*100/proje!$I17,"")</f>
        <v/>
      </c>
      <c r="AL522" s="39" t="str">
        <f>IFERROR(proje!AW17*100/proje!$I17,"")</f>
        <v/>
      </c>
      <c r="AM522" s="39" t="str">
        <f>IFERROR(proje!AX17*100/proje!$I17,"")</f>
        <v/>
      </c>
      <c r="AN522" s="39" t="str">
        <f>IFERROR(proje!AY17*100/proje!$I17,"")</f>
        <v/>
      </c>
      <c r="AO522" s="39" t="str">
        <f>IFERROR(proje!AZ17*100/proje!$I17,"")</f>
        <v/>
      </c>
      <c r="AP522" s="39" t="str">
        <f>IFERROR(proje!BA17*100/proje!$I17,"")</f>
        <v/>
      </c>
      <c r="AQ522" s="39" t="str">
        <f>IFERROR(proje!BB17*100/proje!$I17,"")</f>
        <v/>
      </c>
      <c r="AR522" s="39" t="str">
        <f>IFERROR(proje!BC17*100/proje!$I17,"")</f>
        <v/>
      </c>
      <c r="AS522" s="39" t="str">
        <f>IFERROR(proje!BD17*100/proje!$I17,"")</f>
        <v/>
      </c>
      <c r="AT522" s="39" t="str">
        <f>IFERROR(proje!BE17*100/proje!$I17,"")</f>
        <v/>
      </c>
      <c r="AU522" s="39" t="str">
        <f>IFERROR(proje!BF17*100/proje!$I17,"")</f>
        <v/>
      </c>
      <c r="AV522" s="39" t="str">
        <f>IFERROR(proje!BG17*100/proje!$I17,"")</f>
        <v/>
      </c>
      <c r="AW522" s="39" t="str">
        <f>IFERROR(proje!BH17*100/proje!$I17,"")</f>
        <v/>
      </c>
      <c r="AX522" s="39" t="str">
        <f>IFERROR(proje!BI17*100/proje!$I17,"")</f>
        <v/>
      </c>
      <c r="AY522" s="39" t="str">
        <f>IFERROR(proje!BJ17*100/proje!$I17,"")</f>
        <v/>
      </c>
      <c r="AZ522" s="39" t="str">
        <f>IFERROR(proje!BK17*100/proje!$I17,"")</f>
        <v/>
      </c>
      <c r="BA522" s="39" t="str">
        <f>IFERROR(proje!BL17*100/proje!$I17,"")</f>
        <v/>
      </c>
      <c r="BB522" s="39" t="str">
        <f>IFERROR(proje!BM17*100/proje!$I17,"")</f>
        <v/>
      </c>
      <c r="BC522" s="39" t="str">
        <f>IFERROR(proje!BN17*100/proje!$I17,"")</f>
        <v/>
      </c>
      <c r="BD522" s="39" t="str">
        <f>IFERROR(proje!BO17*100/proje!$I17,"")</f>
        <v/>
      </c>
      <c r="BE522" s="39" t="str">
        <f>IFERROR(proje!BP17*100/proje!$I17,"")</f>
        <v/>
      </c>
      <c r="BF522" s="39" t="str">
        <f>IFERROR(proje!BQ17*100/proje!$I17,"")</f>
        <v/>
      </c>
      <c r="BG522" s="39" t="str">
        <f>IFERROR(proje!BR17*100/proje!$I17,"")</f>
        <v/>
      </c>
      <c r="BH522" s="39" t="str">
        <f>IFERROR(proje!BS17*100/proje!$I17,"")</f>
        <v/>
      </c>
      <c r="BI522" s="39" t="str">
        <f>IFERROR(proje!BT17*100/proje!$I17,"")</f>
        <v/>
      </c>
      <c r="BJ522" s="39" t="str">
        <f>IFERROR(proje!BU17*100/proje!$I17,"")</f>
        <v/>
      </c>
      <c r="BK522" s="39" t="str">
        <f>IFERROR(proje!BV17*100/proje!$I17,"")</f>
        <v/>
      </c>
      <c r="BL522" s="39" t="str">
        <f>IFERROR(proje!BW17*100/proje!$I17,"")</f>
        <v/>
      </c>
      <c r="BM522" s="39" t="str">
        <f>IFERROR(proje!BX17*100/proje!$I17,"")</f>
        <v/>
      </c>
      <c r="BN522" s="39" t="str">
        <f>IFERROR(proje!BY17*100/proje!$I17,"")</f>
        <v/>
      </c>
      <c r="BO522" s="39" t="str">
        <f>IFERROR(proje!BZ17*100/proje!$I17,"")</f>
        <v/>
      </c>
      <c r="BP522" s="39" t="str">
        <f>IFERROR(proje!CA17*100/proje!$I17,"")</f>
        <v/>
      </c>
      <c r="BQ522" s="39" t="str">
        <f>IFERROR(proje!CB17*100/proje!$I17,"")</f>
        <v/>
      </c>
      <c r="BR522" s="39" t="str">
        <f>IFERROR(proje!CC17*100/proje!$I17,"")</f>
        <v/>
      </c>
      <c r="BS522" s="39" t="str">
        <f>IFERROR(proje!CD17*100/proje!$I17,"")</f>
        <v/>
      </c>
      <c r="BT522" s="39" t="str">
        <f>IFERROR(proje!CE17*100/proje!$I17,"")</f>
        <v/>
      </c>
      <c r="BU522" s="39" t="str">
        <f>IFERROR(proje!CF17*100/proje!$I17,"")</f>
        <v/>
      </c>
      <c r="BV522" s="39" t="str">
        <f>IFERROR(proje!CG17*100/proje!$I17,"")</f>
        <v/>
      </c>
      <c r="BW522" s="39" t="str">
        <f>IFERROR(proje!CH17*100/proje!$I17,"")</f>
        <v/>
      </c>
      <c r="BX522" s="39" t="str">
        <f>IFERROR(proje!CI17*100/proje!$I17,"")</f>
        <v/>
      </c>
      <c r="BY522" s="39" t="str">
        <f>IFERROR(proje!CJ17*100/proje!$I17,"")</f>
        <v/>
      </c>
      <c r="BZ522" s="39" t="str">
        <f>IFERROR(proje!CK17*100/proje!$I17,"")</f>
        <v/>
      </c>
      <c r="CA522" s="39" t="str">
        <f>IFERROR(proje!CL17*100/proje!$I17,"")</f>
        <v/>
      </c>
      <c r="CB522" s="39" t="str">
        <f>IFERROR(proje!CM17*100/proje!$I17,"")</f>
        <v/>
      </c>
      <c r="CC522" s="39" t="str">
        <f>IFERROR(proje!CN17*100/proje!$I17,"")</f>
        <v/>
      </c>
      <c r="CD522" s="39" t="str">
        <f>IFERROR(proje!CO17*100/proje!$I17,"")</f>
        <v/>
      </c>
      <c r="CE522" s="39" t="str">
        <f>IFERROR(proje!CP17*100/proje!$I17,"")</f>
        <v/>
      </c>
      <c r="CF522" s="39" t="str">
        <f>IFERROR(proje!CQ17*100/proje!$I17,"")</f>
        <v/>
      </c>
      <c r="CG522" s="39" t="str">
        <f>IFERROR(proje!CR17*100/proje!$I17,"")</f>
        <v/>
      </c>
      <c r="CH522" s="39" t="str">
        <f>IFERROR(proje!CS17*100/proje!$I17,"")</f>
        <v/>
      </c>
      <c r="CI522" s="39" t="str">
        <f>IFERROR(proje!CT17*100/proje!$I17,"")</f>
        <v/>
      </c>
      <c r="CJ522" s="39" t="str">
        <f>IFERROR(proje!CU17*100/proje!$I17,"")</f>
        <v/>
      </c>
      <c r="CK522" s="39" t="str">
        <f>IFERROR(proje!CV17*100/proje!$I17,"")</f>
        <v/>
      </c>
      <c r="CL522" s="39" t="str">
        <f>IFERROR(proje!CW17*100/proje!$I17,"")</f>
        <v/>
      </c>
      <c r="CM522" s="39" t="str">
        <f>IFERROR(proje!CX17*100/proje!$I17,"")</f>
        <v/>
      </c>
      <c r="CN522" s="39" t="str">
        <f>IFERROR(proje!CY17*100/proje!$I17,"")</f>
        <v/>
      </c>
      <c r="CO522" s="39" t="str">
        <f>IFERROR(proje!CZ17*100/proje!$I17,"")</f>
        <v/>
      </c>
      <c r="CP522" s="39" t="str">
        <f>IFERROR(proje!DA17*100/proje!$I17,"")</f>
        <v/>
      </c>
      <c r="CQ522" s="39" t="str">
        <f>IFERROR(proje!DB17*100/proje!$I17,"")</f>
        <v/>
      </c>
      <c r="CR522" s="39" t="str">
        <f>IFERROR(proje!DC17*100/proje!$I17,"")</f>
        <v/>
      </c>
      <c r="CS522" s="39" t="str">
        <f>IFERROR(proje!DD17*100/proje!$I17,"")</f>
        <v/>
      </c>
      <c r="CT522" s="39" t="str">
        <f>IFERROR(proje!DE17*100/proje!$I17,"")</f>
        <v/>
      </c>
      <c r="CU522" s="39" t="str">
        <f>IFERROR(proje!DF17*100/proje!$I17,"")</f>
        <v/>
      </c>
      <c r="CV522" s="39" t="str">
        <f>IFERROR(proje!DG17*100/proje!$I17,"")</f>
        <v/>
      </c>
      <c r="CW522" s="36" t="str">
        <f>IFERROR(SUM(A522:CV522)/proje!$DH$103,"")</f>
        <v/>
      </c>
      <c r="CX522" s="14" t="str">
        <f>IF(COUNTA(proje!A17),proje!A17,"")</f>
        <v/>
      </c>
      <c r="CY522" s="14" t="str">
        <f>IF(COUNTA(proje!B17),proje!B17,"")</f>
        <v/>
      </c>
      <c r="CZ522" s="14" t="str">
        <f>IF(COUNTA(proje!C17),proje!C17,"")</f>
        <v/>
      </c>
      <c r="DA522" s="14" t="str">
        <f>IF(COUNTA(proje!D17),proje!D17,"")</f>
        <v/>
      </c>
      <c r="DB522" s="14" t="str">
        <f>IF(COUNTA(proje!E17),proje!E17,"")</f>
        <v/>
      </c>
      <c r="DC522" s="14" t="str">
        <f>IF(COUNTA(proje!F17),proje!F17,"")</f>
        <v/>
      </c>
      <c r="DD522" s="14" t="str">
        <f>IF(COUNTA(proje!G17),proje!G17,"")</f>
        <v/>
      </c>
      <c r="DE522" s="14" t="str">
        <f>IF(COUNTA(proje!H17),proje!H17,"")</f>
        <v/>
      </c>
    </row>
    <row r="523" spans="1:109" x14ac:dyDescent="0.2">
      <c r="A523" s="39" t="str">
        <f>IFERROR(proje!L18*100/proje!$I18,"")</f>
        <v/>
      </c>
      <c r="B523" s="39" t="str">
        <f>IFERROR(proje!M18*100/proje!$I18,"")</f>
        <v/>
      </c>
      <c r="C523" s="39" t="str">
        <f>IFERROR(proje!N18*100/proje!$I18,"")</f>
        <v/>
      </c>
      <c r="D523" s="39" t="str">
        <f>IFERROR(proje!O18*100/proje!$I18,"")</f>
        <v/>
      </c>
      <c r="E523" s="39" t="str">
        <f>IFERROR(proje!P18*100/proje!$I18,"")</f>
        <v/>
      </c>
      <c r="F523" s="39" t="str">
        <f>IFERROR(proje!Q18*100/proje!$I18,"")</f>
        <v/>
      </c>
      <c r="G523" s="39" t="str">
        <f>IFERROR(proje!R18*100/proje!$I18,"")</f>
        <v/>
      </c>
      <c r="H523" s="39" t="str">
        <f>IFERROR(proje!S18*100/proje!$I18,"")</f>
        <v/>
      </c>
      <c r="I523" s="39" t="str">
        <f>IFERROR(proje!T18*100/proje!$I18,"")</f>
        <v/>
      </c>
      <c r="J523" s="39" t="str">
        <f>IFERROR(proje!U18*100/proje!$I18,"")</f>
        <v/>
      </c>
      <c r="K523" s="39" t="str">
        <f>IFERROR(proje!V18*100/proje!$I18,"")</f>
        <v/>
      </c>
      <c r="L523" s="39" t="str">
        <f>IFERROR(proje!W18*100/proje!$I18,"")</f>
        <v/>
      </c>
      <c r="M523" s="39" t="str">
        <f>IFERROR(proje!X18*100/proje!$I18,"")</f>
        <v/>
      </c>
      <c r="N523" s="39" t="str">
        <f>IFERROR(proje!Y18*100/proje!$I18,"")</f>
        <v/>
      </c>
      <c r="O523" s="39" t="str">
        <f>IFERROR(proje!Z18*100/proje!$I18,"")</f>
        <v/>
      </c>
      <c r="P523" s="39" t="str">
        <f>IFERROR(proje!AA18*100/proje!$I18,"")</f>
        <v/>
      </c>
      <c r="Q523" s="39" t="str">
        <f>IFERROR(proje!AB18*100/proje!$I18,"")</f>
        <v/>
      </c>
      <c r="R523" s="39" t="str">
        <f>IFERROR(proje!AC18*100/proje!$I18,"")</f>
        <v/>
      </c>
      <c r="S523" s="39" t="str">
        <f>IFERROR(proje!AD18*100/proje!$I18,"")</f>
        <v/>
      </c>
      <c r="T523" s="39" t="str">
        <f>IFERROR(proje!AE18*100/proje!$I18,"")</f>
        <v/>
      </c>
      <c r="U523" s="39" t="str">
        <f>IFERROR(proje!AF18*100/proje!$I18,"")</f>
        <v/>
      </c>
      <c r="V523" s="39" t="str">
        <f>IFERROR(proje!AG18*100/proje!$I18,"")</f>
        <v/>
      </c>
      <c r="W523" s="39" t="str">
        <f>IFERROR(proje!AH18*100/proje!$I18,"")</f>
        <v/>
      </c>
      <c r="X523" s="39" t="str">
        <f>IFERROR(proje!AI18*100/proje!$I18,"")</f>
        <v/>
      </c>
      <c r="Y523" s="39" t="str">
        <f>IFERROR(proje!AJ18*100/proje!$I18,"")</f>
        <v/>
      </c>
      <c r="Z523" s="39" t="str">
        <f>IFERROR(proje!AK18*100/proje!$I18,"")</f>
        <v/>
      </c>
      <c r="AA523" s="39" t="str">
        <f>IFERROR(proje!AL18*100/proje!$I18,"")</f>
        <v/>
      </c>
      <c r="AB523" s="39" t="str">
        <f>IFERROR(proje!AM18*100/proje!$I18,"")</f>
        <v/>
      </c>
      <c r="AC523" s="39" t="str">
        <f>IFERROR(proje!AN18*100/proje!$I18,"")</f>
        <v/>
      </c>
      <c r="AD523" s="39" t="str">
        <f>IFERROR(proje!AO18*100/proje!$I18,"")</f>
        <v/>
      </c>
      <c r="AE523" s="39" t="str">
        <f>IFERROR(proje!AP18*100/proje!$I18,"")</f>
        <v/>
      </c>
      <c r="AF523" s="39" t="str">
        <f>IFERROR(proje!AQ18*100/proje!$I18,"")</f>
        <v/>
      </c>
      <c r="AG523" s="39" t="str">
        <f>IFERROR(proje!AR18*100/proje!$I18,"")</f>
        <v/>
      </c>
      <c r="AH523" s="39" t="str">
        <f>IFERROR(proje!AS18*100/proje!$I18,"")</f>
        <v/>
      </c>
      <c r="AI523" s="39" t="str">
        <f>IFERROR(proje!AT18*100/proje!$I18,"")</f>
        <v/>
      </c>
      <c r="AJ523" s="39" t="str">
        <f>IFERROR(proje!AU18*100/proje!$I18,"")</f>
        <v/>
      </c>
      <c r="AK523" s="39" t="str">
        <f>IFERROR(proje!AV18*100/proje!$I18,"")</f>
        <v/>
      </c>
      <c r="AL523" s="39" t="str">
        <f>IFERROR(proje!AW18*100/proje!$I18,"")</f>
        <v/>
      </c>
      <c r="AM523" s="39" t="str">
        <f>IFERROR(proje!AX18*100/proje!$I18,"")</f>
        <v/>
      </c>
      <c r="AN523" s="39" t="str">
        <f>IFERROR(proje!AY18*100/proje!$I18,"")</f>
        <v/>
      </c>
      <c r="AO523" s="39" t="str">
        <f>IFERROR(proje!AZ18*100/proje!$I18,"")</f>
        <v/>
      </c>
      <c r="AP523" s="39" t="str">
        <f>IFERROR(proje!BA18*100/proje!$I18,"")</f>
        <v/>
      </c>
      <c r="AQ523" s="39" t="str">
        <f>IFERROR(proje!BB18*100/proje!$I18,"")</f>
        <v/>
      </c>
      <c r="AR523" s="39" t="str">
        <f>IFERROR(proje!BC18*100/proje!$I18,"")</f>
        <v/>
      </c>
      <c r="AS523" s="39" t="str">
        <f>IFERROR(proje!BD18*100/proje!$I18,"")</f>
        <v/>
      </c>
      <c r="AT523" s="39" t="str">
        <f>IFERROR(proje!BE18*100/proje!$I18,"")</f>
        <v/>
      </c>
      <c r="AU523" s="39" t="str">
        <f>IFERROR(proje!BF18*100/proje!$I18,"")</f>
        <v/>
      </c>
      <c r="AV523" s="39" t="str">
        <f>IFERROR(proje!BG18*100/proje!$I18,"")</f>
        <v/>
      </c>
      <c r="AW523" s="39" t="str">
        <f>IFERROR(proje!BH18*100/proje!$I18,"")</f>
        <v/>
      </c>
      <c r="AX523" s="39" t="str">
        <f>IFERROR(proje!BI18*100/proje!$I18,"")</f>
        <v/>
      </c>
      <c r="AY523" s="39" t="str">
        <f>IFERROR(proje!BJ18*100/proje!$I18,"")</f>
        <v/>
      </c>
      <c r="AZ523" s="39" t="str">
        <f>IFERROR(proje!BK18*100/proje!$I18,"")</f>
        <v/>
      </c>
      <c r="BA523" s="39" t="str">
        <f>IFERROR(proje!BL18*100/proje!$I18,"")</f>
        <v/>
      </c>
      <c r="BB523" s="39" t="str">
        <f>IFERROR(proje!BM18*100/proje!$I18,"")</f>
        <v/>
      </c>
      <c r="BC523" s="39" t="str">
        <f>IFERROR(proje!BN18*100/proje!$I18,"")</f>
        <v/>
      </c>
      <c r="BD523" s="39" t="str">
        <f>IFERROR(proje!BO18*100/proje!$I18,"")</f>
        <v/>
      </c>
      <c r="BE523" s="39" t="str">
        <f>IFERROR(proje!BP18*100/proje!$I18,"")</f>
        <v/>
      </c>
      <c r="BF523" s="39" t="str">
        <f>IFERROR(proje!BQ18*100/proje!$I18,"")</f>
        <v/>
      </c>
      <c r="BG523" s="39" t="str">
        <f>IFERROR(proje!BR18*100/proje!$I18,"")</f>
        <v/>
      </c>
      <c r="BH523" s="39" t="str">
        <f>IFERROR(proje!BS18*100/proje!$I18,"")</f>
        <v/>
      </c>
      <c r="BI523" s="39" t="str">
        <f>IFERROR(proje!BT18*100/proje!$I18,"")</f>
        <v/>
      </c>
      <c r="BJ523" s="39" t="str">
        <f>IFERROR(proje!BU18*100/proje!$I18,"")</f>
        <v/>
      </c>
      <c r="BK523" s="39" t="str">
        <f>IFERROR(proje!BV18*100/proje!$I18,"")</f>
        <v/>
      </c>
      <c r="BL523" s="39" t="str">
        <f>IFERROR(proje!BW18*100/proje!$I18,"")</f>
        <v/>
      </c>
      <c r="BM523" s="39" t="str">
        <f>IFERROR(proje!BX18*100/proje!$I18,"")</f>
        <v/>
      </c>
      <c r="BN523" s="39" t="str">
        <f>IFERROR(proje!BY18*100/proje!$I18,"")</f>
        <v/>
      </c>
      <c r="BO523" s="39" t="str">
        <f>IFERROR(proje!BZ18*100/proje!$I18,"")</f>
        <v/>
      </c>
      <c r="BP523" s="39" t="str">
        <f>IFERROR(proje!CA18*100/proje!$I18,"")</f>
        <v/>
      </c>
      <c r="BQ523" s="39" t="str">
        <f>IFERROR(proje!CB18*100/proje!$I18,"")</f>
        <v/>
      </c>
      <c r="BR523" s="39" t="str">
        <f>IFERROR(proje!CC18*100/proje!$I18,"")</f>
        <v/>
      </c>
      <c r="BS523" s="39" t="str">
        <f>IFERROR(proje!CD18*100/proje!$I18,"")</f>
        <v/>
      </c>
      <c r="BT523" s="39" t="str">
        <f>IFERROR(proje!CE18*100/proje!$I18,"")</f>
        <v/>
      </c>
      <c r="BU523" s="39" t="str">
        <f>IFERROR(proje!CF18*100/proje!$I18,"")</f>
        <v/>
      </c>
      <c r="BV523" s="39" t="str">
        <f>IFERROR(proje!CG18*100/proje!$I18,"")</f>
        <v/>
      </c>
      <c r="BW523" s="39" t="str">
        <f>IFERROR(proje!CH18*100/proje!$I18,"")</f>
        <v/>
      </c>
      <c r="BX523" s="39" t="str">
        <f>IFERROR(proje!CI18*100/proje!$I18,"")</f>
        <v/>
      </c>
      <c r="BY523" s="39" t="str">
        <f>IFERROR(proje!CJ18*100/proje!$I18,"")</f>
        <v/>
      </c>
      <c r="BZ523" s="39" t="str">
        <f>IFERROR(proje!CK18*100/proje!$I18,"")</f>
        <v/>
      </c>
      <c r="CA523" s="39" t="str">
        <f>IFERROR(proje!CL18*100/proje!$I18,"")</f>
        <v/>
      </c>
      <c r="CB523" s="39" t="str">
        <f>IFERROR(proje!CM18*100/proje!$I18,"")</f>
        <v/>
      </c>
      <c r="CC523" s="39" t="str">
        <f>IFERROR(proje!CN18*100/proje!$I18,"")</f>
        <v/>
      </c>
      <c r="CD523" s="39" t="str">
        <f>IFERROR(proje!CO18*100/proje!$I18,"")</f>
        <v/>
      </c>
      <c r="CE523" s="39" t="str">
        <f>IFERROR(proje!CP18*100/proje!$I18,"")</f>
        <v/>
      </c>
      <c r="CF523" s="39" t="str">
        <f>IFERROR(proje!CQ18*100/proje!$I18,"")</f>
        <v/>
      </c>
      <c r="CG523" s="39" t="str">
        <f>IFERROR(proje!CR18*100/proje!$I18,"")</f>
        <v/>
      </c>
      <c r="CH523" s="39" t="str">
        <f>IFERROR(proje!CS18*100/proje!$I18,"")</f>
        <v/>
      </c>
      <c r="CI523" s="39" t="str">
        <f>IFERROR(proje!CT18*100/proje!$I18,"")</f>
        <v/>
      </c>
      <c r="CJ523" s="39" t="str">
        <f>IFERROR(proje!CU18*100/proje!$I18,"")</f>
        <v/>
      </c>
      <c r="CK523" s="39" t="str">
        <f>IFERROR(proje!CV18*100/proje!$I18,"")</f>
        <v/>
      </c>
      <c r="CL523" s="39" t="str">
        <f>IFERROR(proje!CW18*100/proje!$I18,"")</f>
        <v/>
      </c>
      <c r="CM523" s="39" t="str">
        <f>IFERROR(proje!CX18*100/proje!$I18,"")</f>
        <v/>
      </c>
      <c r="CN523" s="39" t="str">
        <f>IFERROR(proje!CY18*100/proje!$I18,"")</f>
        <v/>
      </c>
      <c r="CO523" s="39" t="str">
        <f>IFERROR(proje!CZ18*100/proje!$I18,"")</f>
        <v/>
      </c>
      <c r="CP523" s="39" t="str">
        <f>IFERROR(proje!DA18*100/proje!$I18,"")</f>
        <v/>
      </c>
      <c r="CQ523" s="39" t="str">
        <f>IFERROR(proje!DB18*100/proje!$I18,"")</f>
        <v/>
      </c>
      <c r="CR523" s="39" t="str">
        <f>IFERROR(proje!DC18*100/proje!$I18,"")</f>
        <v/>
      </c>
      <c r="CS523" s="39" t="str">
        <f>IFERROR(proje!DD18*100/proje!$I18,"")</f>
        <v/>
      </c>
      <c r="CT523" s="39" t="str">
        <f>IFERROR(proje!DE18*100/proje!$I18,"")</f>
        <v/>
      </c>
      <c r="CU523" s="39" t="str">
        <f>IFERROR(proje!DF18*100/proje!$I18,"")</f>
        <v/>
      </c>
      <c r="CV523" s="39" t="str">
        <f>IFERROR(proje!DG18*100/proje!$I18,"")</f>
        <v/>
      </c>
      <c r="CW523" s="36" t="str">
        <f>IFERROR(SUM(A523:CV523)/proje!$DH$103,"")</f>
        <v/>
      </c>
      <c r="CX523" s="14" t="str">
        <f>IF(COUNTA(proje!A18),proje!A18,"")</f>
        <v/>
      </c>
      <c r="CY523" s="14" t="str">
        <f>IF(COUNTA(proje!B18),proje!B18,"")</f>
        <v/>
      </c>
      <c r="CZ523" s="14" t="str">
        <f>IF(COUNTA(proje!C18),proje!C18,"")</f>
        <v/>
      </c>
      <c r="DA523" s="14" t="str">
        <f>IF(COUNTA(proje!D18),proje!D18,"")</f>
        <v/>
      </c>
      <c r="DB523" s="14" t="str">
        <f>IF(COUNTA(proje!E18),proje!E18,"")</f>
        <v/>
      </c>
      <c r="DC523" s="14" t="str">
        <f>IF(COUNTA(proje!F18),proje!F18,"")</f>
        <v/>
      </c>
      <c r="DD523" s="14" t="str">
        <f>IF(COUNTA(proje!G18),proje!G18,"")</f>
        <v/>
      </c>
      <c r="DE523" s="14" t="str">
        <f>IF(COUNTA(proje!H18),proje!H18,"")</f>
        <v/>
      </c>
    </row>
    <row r="524" spans="1:109" x14ac:dyDescent="0.2">
      <c r="A524" s="39" t="str">
        <f>IFERROR(proje!L19*100/proje!$I19,"")</f>
        <v/>
      </c>
      <c r="B524" s="39" t="str">
        <f>IFERROR(proje!M19*100/proje!$I19,"")</f>
        <v/>
      </c>
      <c r="C524" s="39" t="str">
        <f>IFERROR(proje!N19*100/proje!$I19,"")</f>
        <v/>
      </c>
      <c r="D524" s="39" t="str">
        <f>IFERROR(proje!O19*100/proje!$I19,"")</f>
        <v/>
      </c>
      <c r="E524" s="39" t="str">
        <f>IFERROR(proje!P19*100/proje!$I19,"")</f>
        <v/>
      </c>
      <c r="F524" s="39" t="str">
        <f>IFERROR(proje!Q19*100/proje!$I19,"")</f>
        <v/>
      </c>
      <c r="G524" s="39" t="str">
        <f>IFERROR(proje!R19*100/proje!$I19,"")</f>
        <v/>
      </c>
      <c r="H524" s="39" t="str">
        <f>IFERROR(proje!S19*100/proje!$I19,"")</f>
        <v/>
      </c>
      <c r="I524" s="39" t="str">
        <f>IFERROR(proje!T19*100/proje!$I19,"")</f>
        <v/>
      </c>
      <c r="J524" s="39" t="str">
        <f>IFERROR(proje!U19*100/proje!$I19,"")</f>
        <v/>
      </c>
      <c r="K524" s="39" t="str">
        <f>IFERROR(proje!V19*100/proje!$I19,"")</f>
        <v/>
      </c>
      <c r="L524" s="39" t="str">
        <f>IFERROR(proje!W19*100/proje!$I19,"")</f>
        <v/>
      </c>
      <c r="M524" s="39" t="str">
        <f>IFERROR(proje!X19*100/proje!$I19,"")</f>
        <v/>
      </c>
      <c r="N524" s="39" t="str">
        <f>IFERROR(proje!Y19*100/proje!$I19,"")</f>
        <v/>
      </c>
      <c r="O524" s="39" t="str">
        <f>IFERROR(proje!Z19*100/proje!$I19,"")</f>
        <v/>
      </c>
      <c r="P524" s="39" t="str">
        <f>IFERROR(proje!AA19*100/proje!$I19,"")</f>
        <v/>
      </c>
      <c r="Q524" s="39" t="str">
        <f>IFERROR(proje!AB19*100/proje!$I19,"")</f>
        <v/>
      </c>
      <c r="R524" s="39" t="str">
        <f>IFERROR(proje!AC19*100/proje!$I19,"")</f>
        <v/>
      </c>
      <c r="S524" s="39" t="str">
        <f>IFERROR(proje!AD19*100/proje!$I19,"")</f>
        <v/>
      </c>
      <c r="T524" s="39" t="str">
        <f>IFERROR(proje!AE19*100/proje!$I19,"")</f>
        <v/>
      </c>
      <c r="U524" s="39" t="str">
        <f>IFERROR(proje!AF19*100/proje!$I19,"")</f>
        <v/>
      </c>
      <c r="V524" s="39" t="str">
        <f>IFERROR(proje!AG19*100/proje!$I19,"")</f>
        <v/>
      </c>
      <c r="W524" s="39" t="str">
        <f>IFERROR(proje!AH19*100/proje!$I19,"")</f>
        <v/>
      </c>
      <c r="X524" s="39" t="str">
        <f>IFERROR(proje!AI19*100/proje!$I19,"")</f>
        <v/>
      </c>
      <c r="Y524" s="39" t="str">
        <f>IFERROR(proje!AJ19*100/proje!$I19,"")</f>
        <v/>
      </c>
      <c r="Z524" s="39" t="str">
        <f>IFERROR(proje!AK19*100/proje!$I19,"")</f>
        <v/>
      </c>
      <c r="AA524" s="39" t="str">
        <f>IFERROR(proje!AL19*100/proje!$I19,"")</f>
        <v/>
      </c>
      <c r="AB524" s="39" t="str">
        <f>IFERROR(proje!AM19*100/proje!$I19,"")</f>
        <v/>
      </c>
      <c r="AC524" s="39" t="str">
        <f>IFERROR(proje!AN19*100/proje!$I19,"")</f>
        <v/>
      </c>
      <c r="AD524" s="39" t="str">
        <f>IFERROR(proje!AO19*100/proje!$I19,"")</f>
        <v/>
      </c>
      <c r="AE524" s="39" t="str">
        <f>IFERROR(proje!AP19*100/proje!$I19,"")</f>
        <v/>
      </c>
      <c r="AF524" s="39" t="str">
        <f>IFERROR(proje!AQ19*100/proje!$I19,"")</f>
        <v/>
      </c>
      <c r="AG524" s="39" t="str">
        <f>IFERROR(proje!AR19*100/proje!$I19,"")</f>
        <v/>
      </c>
      <c r="AH524" s="39" t="str">
        <f>IFERROR(proje!AS19*100/proje!$I19,"")</f>
        <v/>
      </c>
      <c r="AI524" s="39" t="str">
        <f>IFERROR(proje!AT19*100/proje!$I19,"")</f>
        <v/>
      </c>
      <c r="AJ524" s="39" t="str">
        <f>IFERROR(proje!AU19*100/proje!$I19,"")</f>
        <v/>
      </c>
      <c r="AK524" s="39" t="str">
        <f>IFERROR(proje!AV19*100/proje!$I19,"")</f>
        <v/>
      </c>
      <c r="AL524" s="39" t="str">
        <f>IFERROR(proje!AW19*100/proje!$I19,"")</f>
        <v/>
      </c>
      <c r="AM524" s="39" t="str">
        <f>IFERROR(proje!AX19*100/proje!$I19,"")</f>
        <v/>
      </c>
      <c r="AN524" s="39" t="str">
        <f>IFERROR(proje!AY19*100/proje!$I19,"")</f>
        <v/>
      </c>
      <c r="AO524" s="39" t="str">
        <f>IFERROR(proje!AZ19*100/proje!$I19,"")</f>
        <v/>
      </c>
      <c r="AP524" s="39" t="str">
        <f>IFERROR(proje!BA19*100/proje!$I19,"")</f>
        <v/>
      </c>
      <c r="AQ524" s="39" t="str">
        <f>IFERROR(proje!BB19*100/proje!$I19,"")</f>
        <v/>
      </c>
      <c r="AR524" s="39" t="str">
        <f>IFERROR(proje!BC19*100/proje!$I19,"")</f>
        <v/>
      </c>
      <c r="AS524" s="39" t="str">
        <f>IFERROR(proje!BD19*100/proje!$I19,"")</f>
        <v/>
      </c>
      <c r="AT524" s="39" t="str">
        <f>IFERROR(proje!BE19*100/proje!$I19,"")</f>
        <v/>
      </c>
      <c r="AU524" s="39" t="str">
        <f>IFERROR(proje!BF19*100/proje!$I19,"")</f>
        <v/>
      </c>
      <c r="AV524" s="39" t="str">
        <f>IFERROR(proje!BG19*100/proje!$I19,"")</f>
        <v/>
      </c>
      <c r="AW524" s="39" t="str">
        <f>IFERROR(proje!BH19*100/proje!$I19,"")</f>
        <v/>
      </c>
      <c r="AX524" s="39" t="str">
        <f>IFERROR(proje!BI19*100/proje!$I19,"")</f>
        <v/>
      </c>
      <c r="AY524" s="39" t="str">
        <f>IFERROR(proje!BJ19*100/proje!$I19,"")</f>
        <v/>
      </c>
      <c r="AZ524" s="39" t="str">
        <f>IFERROR(proje!BK19*100/proje!$I19,"")</f>
        <v/>
      </c>
      <c r="BA524" s="39" t="str">
        <f>IFERROR(proje!BL19*100/proje!$I19,"")</f>
        <v/>
      </c>
      <c r="BB524" s="39" t="str">
        <f>IFERROR(proje!BM19*100/proje!$I19,"")</f>
        <v/>
      </c>
      <c r="BC524" s="39" t="str">
        <f>IFERROR(proje!BN19*100/proje!$I19,"")</f>
        <v/>
      </c>
      <c r="BD524" s="39" t="str">
        <f>IFERROR(proje!BO19*100/proje!$I19,"")</f>
        <v/>
      </c>
      <c r="BE524" s="39" t="str">
        <f>IFERROR(proje!BP19*100/proje!$I19,"")</f>
        <v/>
      </c>
      <c r="BF524" s="39" t="str">
        <f>IFERROR(proje!BQ19*100/proje!$I19,"")</f>
        <v/>
      </c>
      <c r="BG524" s="39" t="str">
        <f>IFERROR(proje!BR19*100/proje!$I19,"")</f>
        <v/>
      </c>
      <c r="BH524" s="39" t="str">
        <f>IFERROR(proje!BS19*100/proje!$I19,"")</f>
        <v/>
      </c>
      <c r="BI524" s="39" t="str">
        <f>IFERROR(proje!BT19*100/proje!$I19,"")</f>
        <v/>
      </c>
      <c r="BJ524" s="39" t="str">
        <f>IFERROR(proje!BU19*100/proje!$I19,"")</f>
        <v/>
      </c>
      <c r="BK524" s="39" t="str">
        <f>IFERROR(proje!BV19*100/proje!$I19,"")</f>
        <v/>
      </c>
      <c r="BL524" s="39" t="str">
        <f>IFERROR(proje!BW19*100/proje!$I19,"")</f>
        <v/>
      </c>
      <c r="BM524" s="39" t="str">
        <f>IFERROR(proje!BX19*100/proje!$I19,"")</f>
        <v/>
      </c>
      <c r="BN524" s="39" t="str">
        <f>IFERROR(proje!BY19*100/proje!$I19,"")</f>
        <v/>
      </c>
      <c r="BO524" s="39" t="str">
        <f>IFERROR(proje!BZ19*100/proje!$I19,"")</f>
        <v/>
      </c>
      <c r="BP524" s="39" t="str">
        <f>IFERROR(proje!CA19*100/proje!$I19,"")</f>
        <v/>
      </c>
      <c r="BQ524" s="39" t="str">
        <f>IFERROR(proje!CB19*100/proje!$I19,"")</f>
        <v/>
      </c>
      <c r="BR524" s="39" t="str">
        <f>IFERROR(proje!CC19*100/proje!$I19,"")</f>
        <v/>
      </c>
      <c r="BS524" s="39" t="str">
        <f>IFERROR(proje!CD19*100/proje!$I19,"")</f>
        <v/>
      </c>
      <c r="BT524" s="39" t="str">
        <f>IFERROR(proje!CE19*100/proje!$I19,"")</f>
        <v/>
      </c>
      <c r="BU524" s="39" t="str">
        <f>IFERROR(proje!CF19*100/proje!$I19,"")</f>
        <v/>
      </c>
      <c r="BV524" s="39" t="str">
        <f>IFERROR(proje!CG19*100/proje!$I19,"")</f>
        <v/>
      </c>
      <c r="BW524" s="39" t="str">
        <f>IFERROR(proje!CH19*100/proje!$I19,"")</f>
        <v/>
      </c>
      <c r="BX524" s="39" t="str">
        <f>IFERROR(proje!CI19*100/proje!$I19,"")</f>
        <v/>
      </c>
      <c r="BY524" s="39" t="str">
        <f>IFERROR(proje!CJ19*100/proje!$I19,"")</f>
        <v/>
      </c>
      <c r="BZ524" s="39" t="str">
        <f>IFERROR(proje!CK19*100/proje!$I19,"")</f>
        <v/>
      </c>
      <c r="CA524" s="39" t="str">
        <f>IFERROR(proje!CL19*100/proje!$I19,"")</f>
        <v/>
      </c>
      <c r="CB524" s="39" t="str">
        <f>IFERROR(proje!CM19*100/proje!$I19,"")</f>
        <v/>
      </c>
      <c r="CC524" s="39" t="str">
        <f>IFERROR(proje!CN19*100/proje!$I19,"")</f>
        <v/>
      </c>
      <c r="CD524" s="39" t="str">
        <f>IFERROR(proje!CO19*100/proje!$I19,"")</f>
        <v/>
      </c>
      <c r="CE524" s="39" t="str">
        <f>IFERROR(proje!CP19*100/proje!$I19,"")</f>
        <v/>
      </c>
      <c r="CF524" s="39" t="str">
        <f>IFERROR(proje!CQ19*100/proje!$I19,"")</f>
        <v/>
      </c>
      <c r="CG524" s="39" t="str">
        <f>IFERROR(proje!CR19*100/proje!$I19,"")</f>
        <v/>
      </c>
      <c r="CH524" s="39" t="str">
        <f>IFERROR(proje!CS19*100/proje!$I19,"")</f>
        <v/>
      </c>
      <c r="CI524" s="39" t="str">
        <f>IFERROR(proje!CT19*100/proje!$I19,"")</f>
        <v/>
      </c>
      <c r="CJ524" s="39" t="str">
        <f>IFERROR(proje!CU19*100/proje!$I19,"")</f>
        <v/>
      </c>
      <c r="CK524" s="39" t="str">
        <f>IFERROR(proje!CV19*100/proje!$I19,"")</f>
        <v/>
      </c>
      <c r="CL524" s="39" t="str">
        <f>IFERROR(proje!CW19*100/proje!$I19,"")</f>
        <v/>
      </c>
      <c r="CM524" s="39" t="str">
        <f>IFERROR(proje!CX19*100/proje!$I19,"")</f>
        <v/>
      </c>
      <c r="CN524" s="39" t="str">
        <f>IFERROR(proje!CY19*100/proje!$I19,"")</f>
        <v/>
      </c>
      <c r="CO524" s="39" t="str">
        <f>IFERROR(proje!CZ19*100/proje!$I19,"")</f>
        <v/>
      </c>
      <c r="CP524" s="39" t="str">
        <f>IFERROR(proje!DA19*100/proje!$I19,"")</f>
        <v/>
      </c>
      <c r="CQ524" s="39" t="str">
        <f>IFERROR(proje!DB19*100/proje!$I19,"")</f>
        <v/>
      </c>
      <c r="CR524" s="39" t="str">
        <f>IFERROR(proje!DC19*100/proje!$I19,"")</f>
        <v/>
      </c>
      <c r="CS524" s="39" t="str">
        <f>IFERROR(proje!DD19*100/proje!$I19,"")</f>
        <v/>
      </c>
      <c r="CT524" s="39" t="str">
        <f>IFERROR(proje!DE19*100/proje!$I19,"")</f>
        <v/>
      </c>
      <c r="CU524" s="39" t="str">
        <f>IFERROR(proje!DF19*100/proje!$I19,"")</f>
        <v/>
      </c>
      <c r="CV524" s="39" t="str">
        <f>IFERROR(proje!DG19*100/proje!$I19,"")</f>
        <v/>
      </c>
      <c r="CW524" s="36" t="str">
        <f>IFERROR(SUM(A524:CV524)/proje!$DH$103,"")</f>
        <v/>
      </c>
      <c r="CX524" s="14" t="str">
        <f>IF(COUNTA(proje!A19),proje!A19,"")</f>
        <v/>
      </c>
      <c r="CY524" s="14" t="str">
        <f>IF(COUNTA(proje!B19),proje!B19,"")</f>
        <v/>
      </c>
      <c r="CZ524" s="14" t="str">
        <f>IF(COUNTA(proje!C19),proje!C19,"")</f>
        <v/>
      </c>
      <c r="DA524" s="14" t="str">
        <f>IF(COUNTA(proje!D19),proje!D19,"")</f>
        <v/>
      </c>
      <c r="DB524" s="14" t="str">
        <f>IF(COUNTA(proje!E19),proje!E19,"")</f>
        <v/>
      </c>
      <c r="DC524" s="14" t="str">
        <f>IF(COUNTA(proje!F19),proje!F19,"")</f>
        <v/>
      </c>
      <c r="DD524" s="14" t="str">
        <f>IF(COUNTA(proje!G19),proje!G19,"")</f>
        <v/>
      </c>
      <c r="DE524" s="14" t="str">
        <f>IF(COUNTA(proje!H19),proje!H19,"")</f>
        <v/>
      </c>
    </row>
    <row r="525" spans="1:109" x14ac:dyDescent="0.2">
      <c r="A525" s="39" t="str">
        <f>IFERROR(proje!L20*100/proje!$I20,"")</f>
        <v/>
      </c>
      <c r="B525" s="39" t="str">
        <f>IFERROR(proje!M20*100/proje!$I20,"")</f>
        <v/>
      </c>
      <c r="C525" s="39" t="str">
        <f>IFERROR(proje!N20*100/proje!$I20,"")</f>
        <v/>
      </c>
      <c r="D525" s="39" t="str">
        <f>IFERROR(proje!O20*100/proje!$I20,"")</f>
        <v/>
      </c>
      <c r="E525" s="39" t="str">
        <f>IFERROR(proje!P20*100/proje!$I20,"")</f>
        <v/>
      </c>
      <c r="F525" s="39" t="str">
        <f>IFERROR(proje!Q20*100/proje!$I20,"")</f>
        <v/>
      </c>
      <c r="G525" s="39" t="str">
        <f>IFERROR(proje!R20*100/proje!$I20,"")</f>
        <v/>
      </c>
      <c r="H525" s="39" t="str">
        <f>IFERROR(proje!S20*100/proje!$I20,"")</f>
        <v/>
      </c>
      <c r="I525" s="39" t="str">
        <f>IFERROR(proje!T20*100/proje!$I20,"")</f>
        <v/>
      </c>
      <c r="J525" s="39" t="str">
        <f>IFERROR(proje!U20*100/proje!$I20,"")</f>
        <v/>
      </c>
      <c r="K525" s="39" t="str">
        <f>IFERROR(proje!V20*100/proje!$I20,"")</f>
        <v/>
      </c>
      <c r="L525" s="39" t="str">
        <f>IFERROR(proje!W20*100/proje!$I20,"")</f>
        <v/>
      </c>
      <c r="M525" s="39" t="str">
        <f>IFERROR(proje!X20*100/proje!$I20,"")</f>
        <v/>
      </c>
      <c r="N525" s="39" t="str">
        <f>IFERROR(proje!Y20*100/proje!$I20,"")</f>
        <v/>
      </c>
      <c r="O525" s="39" t="str">
        <f>IFERROR(proje!Z20*100/proje!$I20,"")</f>
        <v/>
      </c>
      <c r="P525" s="39" t="str">
        <f>IFERROR(proje!AA20*100/proje!$I20,"")</f>
        <v/>
      </c>
      <c r="Q525" s="39" t="str">
        <f>IFERROR(proje!AB20*100/proje!$I20,"")</f>
        <v/>
      </c>
      <c r="R525" s="39" t="str">
        <f>IFERROR(proje!AC20*100/proje!$I20,"")</f>
        <v/>
      </c>
      <c r="S525" s="39" t="str">
        <f>IFERROR(proje!AD20*100/proje!$I20,"")</f>
        <v/>
      </c>
      <c r="T525" s="39" t="str">
        <f>IFERROR(proje!AE20*100/proje!$I20,"")</f>
        <v/>
      </c>
      <c r="U525" s="39" t="str">
        <f>IFERROR(proje!AF20*100/proje!$I20,"")</f>
        <v/>
      </c>
      <c r="V525" s="39" t="str">
        <f>IFERROR(proje!AG20*100/proje!$I20,"")</f>
        <v/>
      </c>
      <c r="W525" s="39" t="str">
        <f>IFERROR(proje!AH20*100/proje!$I20,"")</f>
        <v/>
      </c>
      <c r="X525" s="39" t="str">
        <f>IFERROR(proje!AI20*100/proje!$I20,"")</f>
        <v/>
      </c>
      <c r="Y525" s="39" t="str">
        <f>IFERROR(proje!AJ20*100/proje!$I20,"")</f>
        <v/>
      </c>
      <c r="Z525" s="39" t="str">
        <f>IFERROR(proje!AK20*100/proje!$I20,"")</f>
        <v/>
      </c>
      <c r="AA525" s="39" t="str">
        <f>IFERROR(proje!AL20*100/proje!$I20,"")</f>
        <v/>
      </c>
      <c r="AB525" s="39" t="str">
        <f>IFERROR(proje!AM20*100/proje!$I20,"")</f>
        <v/>
      </c>
      <c r="AC525" s="39" t="str">
        <f>IFERROR(proje!AN20*100/proje!$I20,"")</f>
        <v/>
      </c>
      <c r="AD525" s="39" t="str">
        <f>IFERROR(proje!AO20*100/proje!$I20,"")</f>
        <v/>
      </c>
      <c r="AE525" s="39" t="str">
        <f>IFERROR(proje!AP20*100/proje!$I20,"")</f>
        <v/>
      </c>
      <c r="AF525" s="39" t="str">
        <f>IFERROR(proje!AQ20*100/proje!$I20,"")</f>
        <v/>
      </c>
      <c r="AG525" s="39" t="str">
        <f>IFERROR(proje!AR20*100/proje!$I20,"")</f>
        <v/>
      </c>
      <c r="AH525" s="39" t="str">
        <f>IFERROR(proje!AS20*100/proje!$I20,"")</f>
        <v/>
      </c>
      <c r="AI525" s="39" t="str">
        <f>IFERROR(proje!AT20*100/proje!$I20,"")</f>
        <v/>
      </c>
      <c r="AJ525" s="39" t="str">
        <f>IFERROR(proje!AU20*100/proje!$I20,"")</f>
        <v/>
      </c>
      <c r="AK525" s="39" t="str">
        <f>IFERROR(proje!AV20*100/proje!$I20,"")</f>
        <v/>
      </c>
      <c r="AL525" s="39" t="str">
        <f>IFERROR(proje!AW20*100/proje!$I20,"")</f>
        <v/>
      </c>
      <c r="AM525" s="39" t="str">
        <f>IFERROR(proje!AX20*100/proje!$I20,"")</f>
        <v/>
      </c>
      <c r="AN525" s="39" t="str">
        <f>IFERROR(proje!AY20*100/proje!$I20,"")</f>
        <v/>
      </c>
      <c r="AO525" s="39" t="str">
        <f>IFERROR(proje!AZ20*100/proje!$I20,"")</f>
        <v/>
      </c>
      <c r="AP525" s="39" t="str">
        <f>IFERROR(proje!BA20*100/proje!$I20,"")</f>
        <v/>
      </c>
      <c r="AQ525" s="39" t="str">
        <f>IFERROR(proje!BB20*100/proje!$I20,"")</f>
        <v/>
      </c>
      <c r="AR525" s="39" t="str">
        <f>IFERROR(proje!BC20*100/proje!$I20,"")</f>
        <v/>
      </c>
      <c r="AS525" s="39" t="str">
        <f>IFERROR(proje!BD20*100/proje!$I20,"")</f>
        <v/>
      </c>
      <c r="AT525" s="39" t="str">
        <f>IFERROR(proje!BE20*100/proje!$I20,"")</f>
        <v/>
      </c>
      <c r="AU525" s="39" t="str">
        <f>IFERROR(proje!BF20*100/proje!$I20,"")</f>
        <v/>
      </c>
      <c r="AV525" s="39" t="str">
        <f>IFERROR(proje!BG20*100/proje!$I20,"")</f>
        <v/>
      </c>
      <c r="AW525" s="39" t="str">
        <f>IFERROR(proje!BH20*100/proje!$I20,"")</f>
        <v/>
      </c>
      <c r="AX525" s="39" t="str">
        <f>IFERROR(proje!BI20*100/proje!$I20,"")</f>
        <v/>
      </c>
      <c r="AY525" s="39" t="str">
        <f>IFERROR(proje!BJ20*100/proje!$I20,"")</f>
        <v/>
      </c>
      <c r="AZ525" s="39" t="str">
        <f>IFERROR(proje!BK20*100/proje!$I20,"")</f>
        <v/>
      </c>
      <c r="BA525" s="39" t="str">
        <f>IFERROR(proje!BL20*100/proje!$I20,"")</f>
        <v/>
      </c>
      <c r="BB525" s="39" t="str">
        <f>IFERROR(proje!BM20*100/proje!$I20,"")</f>
        <v/>
      </c>
      <c r="BC525" s="39" t="str">
        <f>IFERROR(proje!BN20*100/proje!$I20,"")</f>
        <v/>
      </c>
      <c r="BD525" s="39" t="str">
        <f>IFERROR(proje!BO20*100/proje!$I20,"")</f>
        <v/>
      </c>
      <c r="BE525" s="39" t="str">
        <f>IFERROR(proje!BP20*100/proje!$I20,"")</f>
        <v/>
      </c>
      <c r="BF525" s="39" t="str">
        <f>IFERROR(proje!BQ20*100/proje!$I20,"")</f>
        <v/>
      </c>
      <c r="BG525" s="39" t="str">
        <f>IFERROR(proje!BR20*100/proje!$I20,"")</f>
        <v/>
      </c>
      <c r="BH525" s="39" t="str">
        <f>IFERROR(proje!BS20*100/proje!$I20,"")</f>
        <v/>
      </c>
      <c r="BI525" s="39" t="str">
        <f>IFERROR(proje!BT20*100/proje!$I20,"")</f>
        <v/>
      </c>
      <c r="BJ525" s="39" t="str">
        <f>IFERROR(proje!BU20*100/proje!$I20,"")</f>
        <v/>
      </c>
      <c r="BK525" s="39" t="str">
        <f>IFERROR(proje!BV20*100/proje!$I20,"")</f>
        <v/>
      </c>
      <c r="BL525" s="39" t="str">
        <f>IFERROR(proje!BW20*100/proje!$I20,"")</f>
        <v/>
      </c>
      <c r="BM525" s="39" t="str">
        <f>IFERROR(proje!BX20*100/proje!$I20,"")</f>
        <v/>
      </c>
      <c r="BN525" s="39" t="str">
        <f>IFERROR(proje!BY20*100/proje!$I20,"")</f>
        <v/>
      </c>
      <c r="BO525" s="39" t="str">
        <f>IFERROR(proje!BZ20*100/proje!$I20,"")</f>
        <v/>
      </c>
      <c r="BP525" s="39" t="str">
        <f>IFERROR(proje!CA20*100/proje!$I20,"")</f>
        <v/>
      </c>
      <c r="BQ525" s="39" t="str">
        <f>IFERROR(proje!CB20*100/proje!$I20,"")</f>
        <v/>
      </c>
      <c r="BR525" s="39" t="str">
        <f>IFERROR(proje!CC20*100/proje!$I20,"")</f>
        <v/>
      </c>
      <c r="BS525" s="39" t="str">
        <f>IFERROR(proje!CD20*100/proje!$I20,"")</f>
        <v/>
      </c>
      <c r="BT525" s="39" t="str">
        <f>IFERROR(proje!CE20*100/proje!$I20,"")</f>
        <v/>
      </c>
      <c r="BU525" s="39" t="str">
        <f>IFERROR(proje!CF20*100/proje!$I20,"")</f>
        <v/>
      </c>
      <c r="BV525" s="39" t="str">
        <f>IFERROR(proje!CG20*100/proje!$I20,"")</f>
        <v/>
      </c>
      <c r="BW525" s="39" t="str">
        <f>IFERROR(proje!CH20*100/proje!$I20,"")</f>
        <v/>
      </c>
      <c r="BX525" s="39" t="str">
        <f>IFERROR(proje!CI20*100/proje!$I20,"")</f>
        <v/>
      </c>
      <c r="BY525" s="39" t="str">
        <f>IFERROR(proje!CJ20*100/proje!$I20,"")</f>
        <v/>
      </c>
      <c r="BZ525" s="39" t="str">
        <f>IFERROR(proje!CK20*100/proje!$I20,"")</f>
        <v/>
      </c>
      <c r="CA525" s="39" t="str">
        <f>IFERROR(proje!CL20*100/proje!$I20,"")</f>
        <v/>
      </c>
      <c r="CB525" s="39" t="str">
        <f>IFERROR(proje!CM20*100/proje!$I20,"")</f>
        <v/>
      </c>
      <c r="CC525" s="39" t="str">
        <f>IFERROR(proje!CN20*100/proje!$I20,"")</f>
        <v/>
      </c>
      <c r="CD525" s="39" t="str">
        <f>IFERROR(proje!CO20*100/proje!$I20,"")</f>
        <v/>
      </c>
      <c r="CE525" s="39" t="str">
        <f>IFERROR(proje!CP20*100/proje!$I20,"")</f>
        <v/>
      </c>
      <c r="CF525" s="39" t="str">
        <f>IFERROR(proje!CQ20*100/proje!$I20,"")</f>
        <v/>
      </c>
      <c r="CG525" s="39" t="str">
        <f>IFERROR(proje!CR20*100/proje!$I20,"")</f>
        <v/>
      </c>
      <c r="CH525" s="39" t="str">
        <f>IFERROR(proje!CS20*100/proje!$I20,"")</f>
        <v/>
      </c>
      <c r="CI525" s="39" t="str">
        <f>IFERROR(proje!CT20*100/proje!$I20,"")</f>
        <v/>
      </c>
      <c r="CJ525" s="39" t="str">
        <f>IFERROR(proje!CU20*100/proje!$I20,"")</f>
        <v/>
      </c>
      <c r="CK525" s="39" t="str">
        <f>IFERROR(proje!CV20*100/proje!$I20,"")</f>
        <v/>
      </c>
      <c r="CL525" s="39" t="str">
        <f>IFERROR(proje!CW20*100/proje!$I20,"")</f>
        <v/>
      </c>
      <c r="CM525" s="39" t="str">
        <f>IFERROR(proje!CX20*100/proje!$I20,"")</f>
        <v/>
      </c>
      <c r="CN525" s="39" t="str">
        <f>IFERROR(proje!CY20*100/proje!$I20,"")</f>
        <v/>
      </c>
      <c r="CO525" s="39" t="str">
        <f>IFERROR(proje!CZ20*100/proje!$I20,"")</f>
        <v/>
      </c>
      <c r="CP525" s="39" t="str">
        <f>IFERROR(proje!DA20*100/proje!$I20,"")</f>
        <v/>
      </c>
      <c r="CQ525" s="39" t="str">
        <f>IFERROR(proje!DB20*100/proje!$I20,"")</f>
        <v/>
      </c>
      <c r="CR525" s="39" t="str">
        <f>IFERROR(proje!DC20*100/proje!$I20,"")</f>
        <v/>
      </c>
      <c r="CS525" s="39" t="str">
        <f>IFERROR(proje!DD20*100/proje!$I20,"")</f>
        <v/>
      </c>
      <c r="CT525" s="39" t="str">
        <f>IFERROR(proje!DE20*100/proje!$I20,"")</f>
        <v/>
      </c>
      <c r="CU525" s="39" t="str">
        <f>IFERROR(proje!DF20*100/proje!$I20,"")</f>
        <v/>
      </c>
      <c r="CV525" s="39" t="str">
        <f>IFERROR(proje!DG20*100/proje!$I20,"")</f>
        <v/>
      </c>
      <c r="CW525" s="36" t="str">
        <f>IFERROR(SUM(A525:CV525)/proje!$DH$103,"")</f>
        <v/>
      </c>
      <c r="CX525" s="14" t="str">
        <f>IF(COUNTA(proje!A20),proje!A20,"")</f>
        <v/>
      </c>
      <c r="CY525" s="14" t="str">
        <f>IF(COUNTA(proje!B20),proje!B20,"")</f>
        <v/>
      </c>
      <c r="CZ525" s="14" t="str">
        <f>IF(COUNTA(proje!C20),proje!C20,"")</f>
        <v/>
      </c>
      <c r="DA525" s="14" t="str">
        <f>IF(COUNTA(proje!D20),proje!D20,"")</f>
        <v/>
      </c>
      <c r="DB525" s="14" t="str">
        <f>IF(COUNTA(proje!E20),proje!E20,"")</f>
        <v/>
      </c>
      <c r="DC525" s="14" t="str">
        <f>IF(COUNTA(proje!F20),proje!F20,"")</f>
        <v/>
      </c>
      <c r="DD525" s="14" t="str">
        <f>IF(COUNTA(proje!G20),proje!G20,"")</f>
        <v/>
      </c>
      <c r="DE525" s="14" t="str">
        <f>IF(COUNTA(proje!H20),proje!H20,"")</f>
        <v/>
      </c>
    </row>
    <row r="526" spans="1:109" x14ac:dyDescent="0.2">
      <c r="A526" s="39" t="str">
        <f>IFERROR(proje!L21*100/proje!$I21,"")</f>
        <v/>
      </c>
      <c r="B526" s="39" t="str">
        <f>IFERROR(proje!M21*100/proje!$I21,"")</f>
        <v/>
      </c>
      <c r="C526" s="39" t="str">
        <f>IFERROR(proje!N21*100/proje!$I21,"")</f>
        <v/>
      </c>
      <c r="D526" s="39" t="str">
        <f>IFERROR(proje!O21*100/proje!$I21,"")</f>
        <v/>
      </c>
      <c r="E526" s="39" t="str">
        <f>IFERROR(proje!P21*100/proje!$I21,"")</f>
        <v/>
      </c>
      <c r="F526" s="39" t="str">
        <f>IFERROR(proje!Q21*100/proje!$I21,"")</f>
        <v/>
      </c>
      <c r="G526" s="39" t="str">
        <f>IFERROR(proje!R21*100/proje!$I21,"")</f>
        <v/>
      </c>
      <c r="H526" s="39" t="str">
        <f>IFERROR(proje!S21*100/proje!$I21,"")</f>
        <v/>
      </c>
      <c r="I526" s="39" t="str">
        <f>IFERROR(proje!T21*100/proje!$I21,"")</f>
        <v/>
      </c>
      <c r="J526" s="39" t="str">
        <f>IFERROR(proje!U21*100/proje!$I21,"")</f>
        <v/>
      </c>
      <c r="K526" s="39" t="str">
        <f>IFERROR(proje!V21*100/proje!$I21,"")</f>
        <v/>
      </c>
      <c r="L526" s="39" t="str">
        <f>IFERROR(proje!W21*100/proje!$I21,"")</f>
        <v/>
      </c>
      <c r="M526" s="39" t="str">
        <f>IFERROR(proje!X21*100/proje!$I21,"")</f>
        <v/>
      </c>
      <c r="N526" s="39" t="str">
        <f>IFERROR(proje!Y21*100/proje!$I21,"")</f>
        <v/>
      </c>
      <c r="O526" s="39" t="str">
        <f>IFERROR(proje!Z21*100/proje!$I21,"")</f>
        <v/>
      </c>
      <c r="P526" s="39" t="str">
        <f>IFERROR(proje!AA21*100/proje!$I21,"")</f>
        <v/>
      </c>
      <c r="Q526" s="39" t="str">
        <f>IFERROR(proje!AB21*100/proje!$I21,"")</f>
        <v/>
      </c>
      <c r="R526" s="39" t="str">
        <f>IFERROR(proje!AC21*100/proje!$I21,"")</f>
        <v/>
      </c>
      <c r="S526" s="39" t="str">
        <f>IFERROR(proje!AD21*100/proje!$I21,"")</f>
        <v/>
      </c>
      <c r="T526" s="39" t="str">
        <f>IFERROR(proje!AE21*100/proje!$I21,"")</f>
        <v/>
      </c>
      <c r="U526" s="39" t="str">
        <f>IFERROR(proje!AF21*100/proje!$I21,"")</f>
        <v/>
      </c>
      <c r="V526" s="39" t="str">
        <f>IFERROR(proje!AG21*100/proje!$I21,"")</f>
        <v/>
      </c>
      <c r="W526" s="39" t="str">
        <f>IFERROR(proje!AH21*100/proje!$I21,"")</f>
        <v/>
      </c>
      <c r="X526" s="39" t="str">
        <f>IFERROR(proje!AI21*100/proje!$I21,"")</f>
        <v/>
      </c>
      <c r="Y526" s="39" t="str">
        <f>IFERROR(proje!AJ21*100/proje!$I21,"")</f>
        <v/>
      </c>
      <c r="Z526" s="39" t="str">
        <f>IFERROR(proje!AK21*100/proje!$I21,"")</f>
        <v/>
      </c>
      <c r="AA526" s="39" t="str">
        <f>IFERROR(proje!AL21*100/proje!$I21,"")</f>
        <v/>
      </c>
      <c r="AB526" s="39" t="str">
        <f>IFERROR(proje!AM21*100/proje!$I21,"")</f>
        <v/>
      </c>
      <c r="AC526" s="39" t="str">
        <f>IFERROR(proje!AN21*100/proje!$I21,"")</f>
        <v/>
      </c>
      <c r="AD526" s="39" t="str">
        <f>IFERROR(proje!AO21*100/proje!$I21,"")</f>
        <v/>
      </c>
      <c r="AE526" s="39" t="str">
        <f>IFERROR(proje!AP21*100/proje!$I21,"")</f>
        <v/>
      </c>
      <c r="AF526" s="39" t="str">
        <f>IFERROR(proje!AQ21*100/proje!$I21,"")</f>
        <v/>
      </c>
      <c r="AG526" s="39" t="str">
        <f>IFERROR(proje!AR21*100/proje!$I21,"")</f>
        <v/>
      </c>
      <c r="AH526" s="39" t="str">
        <f>IFERROR(proje!AS21*100/proje!$I21,"")</f>
        <v/>
      </c>
      <c r="AI526" s="39" t="str">
        <f>IFERROR(proje!AT21*100/proje!$I21,"")</f>
        <v/>
      </c>
      <c r="AJ526" s="39" t="str">
        <f>IFERROR(proje!AU21*100/proje!$I21,"")</f>
        <v/>
      </c>
      <c r="AK526" s="39" t="str">
        <f>IFERROR(proje!AV21*100/proje!$I21,"")</f>
        <v/>
      </c>
      <c r="AL526" s="39" t="str">
        <f>IFERROR(proje!AW21*100/proje!$I21,"")</f>
        <v/>
      </c>
      <c r="AM526" s="39" t="str">
        <f>IFERROR(proje!AX21*100/proje!$I21,"")</f>
        <v/>
      </c>
      <c r="AN526" s="39" t="str">
        <f>IFERROR(proje!AY21*100/proje!$I21,"")</f>
        <v/>
      </c>
      <c r="AO526" s="39" t="str">
        <f>IFERROR(proje!AZ21*100/proje!$I21,"")</f>
        <v/>
      </c>
      <c r="AP526" s="39" t="str">
        <f>IFERROR(proje!BA21*100/proje!$I21,"")</f>
        <v/>
      </c>
      <c r="AQ526" s="39" t="str">
        <f>IFERROR(proje!BB21*100/proje!$I21,"")</f>
        <v/>
      </c>
      <c r="AR526" s="39" t="str">
        <f>IFERROR(proje!BC21*100/proje!$I21,"")</f>
        <v/>
      </c>
      <c r="AS526" s="39" t="str">
        <f>IFERROR(proje!BD21*100/proje!$I21,"")</f>
        <v/>
      </c>
      <c r="AT526" s="39" t="str">
        <f>IFERROR(proje!BE21*100/proje!$I21,"")</f>
        <v/>
      </c>
      <c r="AU526" s="39" t="str">
        <f>IFERROR(proje!BF21*100/proje!$I21,"")</f>
        <v/>
      </c>
      <c r="AV526" s="39" t="str">
        <f>IFERROR(proje!BG21*100/proje!$I21,"")</f>
        <v/>
      </c>
      <c r="AW526" s="39" t="str">
        <f>IFERROR(proje!BH21*100/proje!$I21,"")</f>
        <v/>
      </c>
      <c r="AX526" s="39" t="str">
        <f>IFERROR(proje!BI21*100/proje!$I21,"")</f>
        <v/>
      </c>
      <c r="AY526" s="39" t="str">
        <f>IFERROR(proje!BJ21*100/proje!$I21,"")</f>
        <v/>
      </c>
      <c r="AZ526" s="39" t="str">
        <f>IFERROR(proje!BK21*100/proje!$I21,"")</f>
        <v/>
      </c>
      <c r="BA526" s="39" t="str">
        <f>IFERROR(proje!BL21*100/proje!$I21,"")</f>
        <v/>
      </c>
      <c r="BB526" s="39" t="str">
        <f>IFERROR(proje!BM21*100/proje!$I21,"")</f>
        <v/>
      </c>
      <c r="BC526" s="39" t="str">
        <f>IFERROR(proje!BN21*100/proje!$I21,"")</f>
        <v/>
      </c>
      <c r="BD526" s="39" t="str">
        <f>IFERROR(proje!BO21*100/proje!$I21,"")</f>
        <v/>
      </c>
      <c r="BE526" s="39" t="str">
        <f>IFERROR(proje!BP21*100/proje!$I21,"")</f>
        <v/>
      </c>
      <c r="BF526" s="39" t="str">
        <f>IFERROR(proje!BQ21*100/proje!$I21,"")</f>
        <v/>
      </c>
      <c r="BG526" s="39" t="str">
        <f>IFERROR(proje!BR21*100/proje!$I21,"")</f>
        <v/>
      </c>
      <c r="BH526" s="39" t="str">
        <f>IFERROR(proje!BS21*100/proje!$I21,"")</f>
        <v/>
      </c>
      <c r="BI526" s="39" t="str">
        <f>IFERROR(proje!BT21*100/proje!$I21,"")</f>
        <v/>
      </c>
      <c r="BJ526" s="39" t="str">
        <f>IFERROR(proje!BU21*100/proje!$I21,"")</f>
        <v/>
      </c>
      <c r="BK526" s="39" t="str">
        <f>IFERROR(proje!BV21*100/proje!$I21,"")</f>
        <v/>
      </c>
      <c r="BL526" s="39" t="str">
        <f>IFERROR(proje!BW21*100/proje!$I21,"")</f>
        <v/>
      </c>
      <c r="BM526" s="39" t="str">
        <f>IFERROR(proje!BX21*100/proje!$I21,"")</f>
        <v/>
      </c>
      <c r="BN526" s="39" t="str">
        <f>IFERROR(proje!BY21*100/proje!$I21,"")</f>
        <v/>
      </c>
      <c r="BO526" s="39" t="str">
        <f>IFERROR(proje!BZ21*100/proje!$I21,"")</f>
        <v/>
      </c>
      <c r="BP526" s="39" t="str">
        <f>IFERROR(proje!CA21*100/proje!$I21,"")</f>
        <v/>
      </c>
      <c r="BQ526" s="39" t="str">
        <f>IFERROR(proje!CB21*100/proje!$I21,"")</f>
        <v/>
      </c>
      <c r="BR526" s="39" t="str">
        <f>IFERROR(proje!CC21*100/proje!$I21,"")</f>
        <v/>
      </c>
      <c r="BS526" s="39" t="str">
        <f>IFERROR(proje!CD21*100/proje!$I21,"")</f>
        <v/>
      </c>
      <c r="BT526" s="39" t="str">
        <f>IFERROR(proje!CE21*100/proje!$I21,"")</f>
        <v/>
      </c>
      <c r="BU526" s="39" t="str">
        <f>IFERROR(proje!CF21*100/proje!$I21,"")</f>
        <v/>
      </c>
      <c r="BV526" s="39" t="str">
        <f>IFERROR(proje!CG21*100/proje!$I21,"")</f>
        <v/>
      </c>
      <c r="BW526" s="39" t="str">
        <f>IFERROR(proje!CH21*100/proje!$I21,"")</f>
        <v/>
      </c>
      <c r="BX526" s="39" t="str">
        <f>IFERROR(proje!CI21*100/proje!$I21,"")</f>
        <v/>
      </c>
      <c r="BY526" s="39" t="str">
        <f>IFERROR(proje!CJ21*100/proje!$I21,"")</f>
        <v/>
      </c>
      <c r="BZ526" s="39" t="str">
        <f>IFERROR(proje!CK21*100/proje!$I21,"")</f>
        <v/>
      </c>
      <c r="CA526" s="39" t="str">
        <f>IFERROR(proje!CL21*100/proje!$I21,"")</f>
        <v/>
      </c>
      <c r="CB526" s="39" t="str">
        <f>IFERROR(proje!CM21*100/proje!$I21,"")</f>
        <v/>
      </c>
      <c r="CC526" s="39" t="str">
        <f>IFERROR(proje!CN21*100/proje!$I21,"")</f>
        <v/>
      </c>
      <c r="CD526" s="39" t="str">
        <f>IFERROR(proje!CO21*100/proje!$I21,"")</f>
        <v/>
      </c>
      <c r="CE526" s="39" t="str">
        <f>IFERROR(proje!CP21*100/proje!$I21,"")</f>
        <v/>
      </c>
      <c r="CF526" s="39" t="str">
        <f>IFERROR(proje!CQ21*100/proje!$I21,"")</f>
        <v/>
      </c>
      <c r="CG526" s="39" t="str">
        <f>IFERROR(proje!CR21*100/proje!$I21,"")</f>
        <v/>
      </c>
      <c r="CH526" s="39" t="str">
        <f>IFERROR(proje!CS21*100/proje!$I21,"")</f>
        <v/>
      </c>
      <c r="CI526" s="39" t="str">
        <f>IFERROR(proje!CT21*100/proje!$I21,"")</f>
        <v/>
      </c>
      <c r="CJ526" s="39" t="str">
        <f>IFERROR(proje!CU21*100/proje!$I21,"")</f>
        <v/>
      </c>
      <c r="CK526" s="39" t="str">
        <f>IFERROR(proje!CV21*100/proje!$I21,"")</f>
        <v/>
      </c>
      <c r="CL526" s="39" t="str">
        <f>IFERROR(proje!CW21*100/proje!$I21,"")</f>
        <v/>
      </c>
      <c r="CM526" s="39" t="str">
        <f>IFERROR(proje!CX21*100/proje!$I21,"")</f>
        <v/>
      </c>
      <c r="CN526" s="39" t="str">
        <f>IFERROR(proje!CY21*100/proje!$I21,"")</f>
        <v/>
      </c>
      <c r="CO526" s="39" t="str">
        <f>IFERROR(proje!CZ21*100/proje!$I21,"")</f>
        <v/>
      </c>
      <c r="CP526" s="39" t="str">
        <f>IFERROR(proje!DA21*100/proje!$I21,"")</f>
        <v/>
      </c>
      <c r="CQ526" s="39" t="str">
        <f>IFERROR(proje!DB21*100/proje!$I21,"")</f>
        <v/>
      </c>
      <c r="CR526" s="39" t="str">
        <f>IFERROR(proje!DC21*100/proje!$I21,"")</f>
        <v/>
      </c>
      <c r="CS526" s="39" t="str">
        <f>IFERROR(proje!DD21*100/proje!$I21,"")</f>
        <v/>
      </c>
      <c r="CT526" s="39" t="str">
        <f>IFERROR(proje!DE21*100/proje!$I21,"")</f>
        <v/>
      </c>
      <c r="CU526" s="39" t="str">
        <f>IFERROR(proje!DF21*100/proje!$I21,"")</f>
        <v/>
      </c>
      <c r="CV526" s="39" t="str">
        <f>IFERROR(proje!DG21*100/proje!$I21,"")</f>
        <v/>
      </c>
      <c r="CW526" s="36" t="str">
        <f>IFERROR(SUM(A526:CV526)/proje!$DH$103,"")</f>
        <v/>
      </c>
      <c r="CX526" s="14" t="str">
        <f>IF(COUNTA(proje!A21),proje!A21,"")</f>
        <v/>
      </c>
      <c r="CY526" s="14" t="str">
        <f>IF(COUNTA(proje!B21),proje!B21,"")</f>
        <v/>
      </c>
      <c r="CZ526" s="14" t="str">
        <f>IF(COUNTA(proje!C21),proje!C21,"")</f>
        <v/>
      </c>
      <c r="DA526" s="14" t="str">
        <f>IF(COUNTA(proje!D21),proje!D21,"")</f>
        <v/>
      </c>
      <c r="DB526" s="14" t="str">
        <f>IF(COUNTA(proje!E21),proje!E21,"")</f>
        <v/>
      </c>
      <c r="DC526" s="14" t="str">
        <f>IF(COUNTA(proje!F21),proje!F21,"")</f>
        <v/>
      </c>
      <c r="DD526" s="14" t="str">
        <f>IF(COUNTA(proje!G21),proje!G21,"")</f>
        <v/>
      </c>
      <c r="DE526" s="14" t="str">
        <f>IF(COUNTA(proje!H21),proje!H21,"")</f>
        <v/>
      </c>
    </row>
    <row r="527" spans="1:109" x14ac:dyDescent="0.2">
      <c r="A527" s="39" t="str">
        <f>IFERROR(proje!L22*100/proje!$I22,"")</f>
        <v/>
      </c>
      <c r="B527" s="39" t="str">
        <f>IFERROR(proje!M22*100/proje!$I22,"")</f>
        <v/>
      </c>
      <c r="C527" s="39" t="str">
        <f>IFERROR(proje!N22*100/proje!$I22,"")</f>
        <v/>
      </c>
      <c r="D527" s="39" t="str">
        <f>IFERROR(proje!O22*100/proje!$I22,"")</f>
        <v/>
      </c>
      <c r="E527" s="39" t="str">
        <f>IFERROR(proje!P22*100/proje!$I22,"")</f>
        <v/>
      </c>
      <c r="F527" s="39" t="str">
        <f>IFERROR(proje!Q22*100/proje!$I22,"")</f>
        <v/>
      </c>
      <c r="G527" s="39" t="str">
        <f>IFERROR(proje!R22*100/proje!$I22,"")</f>
        <v/>
      </c>
      <c r="H527" s="39" t="str">
        <f>IFERROR(proje!S22*100/proje!$I22,"")</f>
        <v/>
      </c>
      <c r="I527" s="39" t="str">
        <f>IFERROR(proje!T22*100/proje!$I22,"")</f>
        <v/>
      </c>
      <c r="J527" s="39" t="str">
        <f>IFERROR(proje!U22*100/proje!$I22,"")</f>
        <v/>
      </c>
      <c r="K527" s="39" t="str">
        <f>IFERROR(proje!V22*100/proje!$I22,"")</f>
        <v/>
      </c>
      <c r="L527" s="39" t="str">
        <f>IFERROR(proje!W22*100/proje!$I22,"")</f>
        <v/>
      </c>
      <c r="M527" s="39" t="str">
        <f>IFERROR(proje!X22*100/proje!$I22,"")</f>
        <v/>
      </c>
      <c r="N527" s="39" t="str">
        <f>IFERROR(proje!Y22*100/proje!$I22,"")</f>
        <v/>
      </c>
      <c r="O527" s="39" t="str">
        <f>IFERROR(proje!Z22*100/proje!$I22,"")</f>
        <v/>
      </c>
      <c r="P527" s="39" t="str">
        <f>IFERROR(proje!AA22*100/proje!$I22,"")</f>
        <v/>
      </c>
      <c r="Q527" s="39" t="str">
        <f>IFERROR(proje!AB22*100/proje!$I22,"")</f>
        <v/>
      </c>
      <c r="R527" s="39" t="str">
        <f>IFERROR(proje!AC22*100/proje!$I22,"")</f>
        <v/>
      </c>
      <c r="S527" s="39" t="str">
        <f>IFERROR(proje!AD22*100/proje!$I22,"")</f>
        <v/>
      </c>
      <c r="T527" s="39" t="str">
        <f>IFERROR(proje!AE22*100/proje!$I22,"")</f>
        <v/>
      </c>
      <c r="U527" s="39" t="str">
        <f>IFERROR(proje!AF22*100/proje!$I22,"")</f>
        <v/>
      </c>
      <c r="V527" s="39" t="str">
        <f>IFERROR(proje!AG22*100/proje!$I22,"")</f>
        <v/>
      </c>
      <c r="W527" s="39" t="str">
        <f>IFERROR(proje!AH22*100/proje!$I22,"")</f>
        <v/>
      </c>
      <c r="X527" s="39" t="str">
        <f>IFERROR(proje!AI22*100/proje!$I22,"")</f>
        <v/>
      </c>
      <c r="Y527" s="39" t="str">
        <f>IFERROR(proje!AJ22*100/proje!$I22,"")</f>
        <v/>
      </c>
      <c r="Z527" s="39" t="str">
        <f>IFERROR(proje!AK22*100/proje!$I22,"")</f>
        <v/>
      </c>
      <c r="AA527" s="39" t="str">
        <f>IFERROR(proje!AL22*100/proje!$I22,"")</f>
        <v/>
      </c>
      <c r="AB527" s="39" t="str">
        <f>IFERROR(proje!AM22*100/proje!$I22,"")</f>
        <v/>
      </c>
      <c r="AC527" s="39" t="str">
        <f>IFERROR(proje!AN22*100/proje!$I22,"")</f>
        <v/>
      </c>
      <c r="AD527" s="39" t="str">
        <f>IFERROR(proje!AO22*100/proje!$I22,"")</f>
        <v/>
      </c>
      <c r="AE527" s="39" t="str">
        <f>IFERROR(proje!AP22*100/proje!$I22,"")</f>
        <v/>
      </c>
      <c r="AF527" s="39" t="str">
        <f>IFERROR(proje!AQ22*100/proje!$I22,"")</f>
        <v/>
      </c>
      <c r="AG527" s="39" t="str">
        <f>IFERROR(proje!AR22*100/proje!$I22,"")</f>
        <v/>
      </c>
      <c r="AH527" s="39" t="str">
        <f>IFERROR(proje!AS22*100/proje!$I22,"")</f>
        <v/>
      </c>
      <c r="AI527" s="39" t="str">
        <f>IFERROR(proje!AT22*100/proje!$I22,"")</f>
        <v/>
      </c>
      <c r="AJ527" s="39" t="str">
        <f>IFERROR(proje!AU22*100/proje!$I22,"")</f>
        <v/>
      </c>
      <c r="AK527" s="39" t="str">
        <f>IFERROR(proje!AV22*100/proje!$I22,"")</f>
        <v/>
      </c>
      <c r="AL527" s="39" t="str">
        <f>IFERROR(proje!AW22*100/proje!$I22,"")</f>
        <v/>
      </c>
      <c r="AM527" s="39" t="str">
        <f>IFERROR(proje!AX22*100/proje!$I22,"")</f>
        <v/>
      </c>
      <c r="AN527" s="39" t="str">
        <f>IFERROR(proje!AY22*100/proje!$I22,"")</f>
        <v/>
      </c>
      <c r="AO527" s="39" t="str">
        <f>IFERROR(proje!AZ22*100/proje!$I22,"")</f>
        <v/>
      </c>
      <c r="AP527" s="39" t="str">
        <f>IFERROR(proje!BA22*100/proje!$I22,"")</f>
        <v/>
      </c>
      <c r="AQ527" s="39" t="str">
        <f>IFERROR(proje!BB22*100/proje!$I22,"")</f>
        <v/>
      </c>
      <c r="AR527" s="39" t="str">
        <f>IFERROR(proje!BC22*100/proje!$I22,"")</f>
        <v/>
      </c>
      <c r="AS527" s="39" t="str">
        <f>IFERROR(proje!BD22*100/proje!$I22,"")</f>
        <v/>
      </c>
      <c r="AT527" s="39" t="str">
        <f>IFERROR(proje!BE22*100/proje!$I22,"")</f>
        <v/>
      </c>
      <c r="AU527" s="39" t="str">
        <f>IFERROR(proje!BF22*100/proje!$I22,"")</f>
        <v/>
      </c>
      <c r="AV527" s="39" t="str">
        <f>IFERROR(proje!BG22*100/proje!$I22,"")</f>
        <v/>
      </c>
      <c r="AW527" s="39" t="str">
        <f>IFERROR(proje!BH22*100/proje!$I22,"")</f>
        <v/>
      </c>
      <c r="AX527" s="39" t="str">
        <f>IFERROR(proje!BI22*100/proje!$I22,"")</f>
        <v/>
      </c>
      <c r="AY527" s="39" t="str">
        <f>IFERROR(proje!BJ22*100/proje!$I22,"")</f>
        <v/>
      </c>
      <c r="AZ527" s="39" t="str">
        <f>IFERROR(proje!BK22*100/proje!$I22,"")</f>
        <v/>
      </c>
      <c r="BA527" s="39" t="str">
        <f>IFERROR(proje!BL22*100/proje!$I22,"")</f>
        <v/>
      </c>
      <c r="BB527" s="39" t="str">
        <f>IFERROR(proje!BM22*100/proje!$I22,"")</f>
        <v/>
      </c>
      <c r="BC527" s="39" t="str">
        <f>IFERROR(proje!BN22*100/proje!$I22,"")</f>
        <v/>
      </c>
      <c r="BD527" s="39" t="str">
        <f>IFERROR(proje!BO22*100/proje!$I22,"")</f>
        <v/>
      </c>
      <c r="BE527" s="39" t="str">
        <f>IFERROR(proje!BP22*100/proje!$I22,"")</f>
        <v/>
      </c>
      <c r="BF527" s="39" t="str">
        <f>IFERROR(proje!BQ22*100/proje!$I22,"")</f>
        <v/>
      </c>
      <c r="BG527" s="39" t="str">
        <f>IFERROR(proje!BR22*100/proje!$I22,"")</f>
        <v/>
      </c>
      <c r="BH527" s="39" t="str">
        <f>IFERROR(proje!BS22*100/proje!$I22,"")</f>
        <v/>
      </c>
      <c r="BI527" s="39" t="str">
        <f>IFERROR(proje!BT22*100/proje!$I22,"")</f>
        <v/>
      </c>
      <c r="BJ527" s="39" t="str">
        <f>IFERROR(proje!BU22*100/proje!$I22,"")</f>
        <v/>
      </c>
      <c r="BK527" s="39" t="str">
        <f>IFERROR(proje!BV22*100/proje!$I22,"")</f>
        <v/>
      </c>
      <c r="BL527" s="39" t="str">
        <f>IFERROR(proje!BW22*100/proje!$I22,"")</f>
        <v/>
      </c>
      <c r="BM527" s="39" t="str">
        <f>IFERROR(proje!BX22*100/proje!$I22,"")</f>
        <v/>
      </c>
      <c r="BN527" s="39" t="str">
        <f>IFERROR(proje!BY22*100/proje!$I22,"")</f>
        <v/>
      </c>
      <c r="BO527" s="39" t="str">
        <f>IFERROR(proje!BZ22*100/proje!$I22,"")</f>
        <v/>
      </c>
      <c r="BP527" s="39" t="str">
        <f>IFERROR(proje!CA22*100/proje!$I22,"")</f>
        <v/>
      </c>
      <c r="BQ527" s="39" t="str">
        <f>IFERROR(proje!CB22*100/proje!$I22,"")</f>
        <v/>
      </c>
      <c r="BR527" s="39" t="str">
        <f>IFERROR(proje!CC22*100/proje!$I22,"")</f>
        <v/>
      </c>
      <c r="BS527" s="39" t="str">
        <f>IFERROR(proje!CD22*100/proje!$I22,"")</f>
        <v/>
      </c>
      <c r="BT527" s="39" t="str">
        <f>IFERROR(proje!CE22*100/proje!$I22,"")</f>
        <v/>
      </c>
      <c r="BU527" s="39" t="str">
        <f>IFERROR(proje!CF22*100/proje!$I22,"")</f>
        <v/>
      </c>
      <c r="BV527" s="39" t="str">
        <f>IFERROR(proje!CG22*100/proje!$I22,"")</f>
        <v/>
      </c>
      <c r="BW527" s="39" t="str">
        <f>IFERROR(proje!CH22*100/proje!$I22,"")</f>
        <v/>
      </c>
      <c r="BX527" s="39" t="str">
        <f>IFERROR(proje!CI22*100/proje!$I22,"")</f>
        <v/>
      </c>
      <c r="BY527" s="39" t="str">
        <f>IFERROR(proje!CJ22*100/proje!$I22,"")</f>
        <v/>
      </c>
      <c r="BZ527" s="39" t="str">
        <f>IFERROR(proje!CK22*100/proje!$I22,"")</f>
        <v/>
      </c>
      <c r="CA527" s="39" t="str">
        <f>IFERROR(proje!CL22*100/proje!$I22,"")</f>
        <v/>
      </c>
      <c r="CB527" s="39" t="str">
        <f>IFERROR(proje!CM22*100/proje!$I22,"")</f>
        <v/>
      </c>
      <c r="CC527" s="39" t="str">
        <f>IFERROR(proje!CN22*100/proje!$I22,"")</f>
        <v/>
      </c>
      <c r="CD527" s="39" t="str">
        <f>IFERROR(proje!CO22*100/proje!$I22,"")</f>
        <v/>
      </c>
      <c r="CE527" s="39" t="str">
        <f>IFERROR(proje!CP22*100/proje!$I22,"")</f>
        <v/>
      </c>
      <c r="CF527" s="39" t="str">
        <f>IFERROR(proje!CQ22*100/proje!$I22,"")</f>
        <v/>
      </c>
      <c r="CG527" s="39" t="str">
        <f>IFERROR(proje!CR22*100/proje!$I22,"")</f>
        <v/>
      </c>
      <c r="CH527" s="39" t="str">
        <f>IFERROR(proje!CS22*100/proje!$I22,"")</f>
        <v/>
      </c>
      <c r="CI527" s="39" t="str">
        <f>IFERROR(proje!CT22*100/proje!$I22,"")</f>
        <v/>
      </c>
      <c r="CJ527" s="39" t="str">
        <f>IFERROR(proje!CU22*100/proje!$I22,"")</f>
        <v/>
      </c>
      <c r="CK527" s="39" t="str">
        <f>IFERROR(proje!CV22*100/proje!$I22,"")</f>
        <v/>
      </c>
      <c r="CL527" s="39" t="str">
        <f>IFERROR(proje!CW22*100/proje!$I22,"")</f>
        <v/>
      </c>
      <c r="CM527" s="39" t="str">
        <f>IFERROR(proje!CX22*100/proje!$I22,"")</f>
        <v/>
      </c>
      <c r="CN527" s="39" t="str">
        <f>IFERROR(proje!CY22*100/proje!$I22,"")</f>
        <v/>
      </c>
      <c r="CO527" s="39" t="str">
        <f>IFERROR(proje!CZ22*100/proje!$I22,"")</f>
        <v/>
      </c>
      <c r="CP527" s="39" t="str">
        <f>IFERROR(proje!DA22*100/proje!$I22,"")</f>
        <v/>
      </c>
      <c r="CQ527" s="39" t="str">
        <f>IFERROR(proje!DB22*100/proje!$I22,"")</f>
        <v/>
      </c>
      <c r="CR527" s="39" t="str">
        <f>IFERROR(proje!DC22*100/proje!$I22,"")</f>
        <v/>
      </c>
      <c r="CS527" s="39" t="str">
        <f>IFERROR(proje!DD22*100/proje!$I22,"")</f>
        <v/>
      </c>
      <c r="CT527" s="39" t="str">
        <f>IFERROR(proje!DE22*100/proje!$I22,"")</f>
        <v/>
      </c>
      <c r="CU527" s="39" t="str">
        <f>IFERROR(proje!DF22*100/proje!$I22,"")</f>
        <v/>
      </c>
      <c r="CV527" s="39" t="str">
        <f>IFERROR(proje!DG22*100/proje!$I22,"")</f>
        <v/>
      </c>
      <c r="CW527" s="36" t="str">
        <f>IFERROR(SUM(A527:CV527)/proje!$DH$103,"")</f>
        <v/>
      </c>
      <c r="CX527" s="14" t="str">
        <f>IF(COUNTA(proje!A22),proje!A22,"")</f>
        <v/>
      </c>
      <c r="CY527" s="14" t="str">
        <f>IF(COUNTA(proje!B22),proje!B22,"")</f>
        <v/>
      </c>
      <c r="CZ527" s="14" t="str">
        <f>IF(COUNTA(proje!C22),proje!C22,"")</f>
        <v/>
      </c>
      <c r="DA527" s="14" t="str">
        <f>IF(COUNTA(proje!D22),proje!D22,"")</f>
        <v/>
      </c>
      <c r="DB527" s="14" t="str">
        <f>IF(COUNTA(proje!E22),proje!E22,"")</f>
        <v/>
      </c>
      <c r="DC527" s="14" t="str">
        <f>IF(COUNTA(proje!F22),proje!F22,"")</f>
        <v/>
      </c>
      <c r="DD527" s="14" t="str">
        <f>IF(COUNTA(proje!G22),proje!G22,"")</f>
        <v/>
      </c>
      <c r="DE527" s="14" t="str">
        <f>IF(COUNTA(proje!H22),proje!H22,"")</f>
        <v/>
      </c>
    </row>
    <row r="528" spans="1:109" x14ac:dyDescent="0.2">
      <c r="A528" s="39" t="str">
        <f>IFERROR(proje!L23*100/proje!$I23,"")</f>
        <v/>
      </c>
      <c r="B528" s="39" t="str">
        <f>IFERROR(proje!M23*100/proje!$I23,"")</f>
        <v/>
      </c>
      <c r="C528" s="39" t="str">
        <f>IFERROR(proje!N23*100/proje!$I23,"")</f>
        <v/>
      </c>
      <c r="D528" s="39" t="str">
        <f>IFERROR(proje!O23*100/proje!$I23,"")</f>
        <v/>
      </c>
      <c r="E528" s="39" t="str">
        <f>IFERROR(proje!P23*100/proje!$I23,"")</f>
        <v/>
      </c>
      <c r="F528" s="39" t="str">
        <f>IFERROR(proje!Q23*100/proje!$I23,"")</f>
        <v/>
      </c>
      <c r="G528" s="39" t="str">
        <f>IFERROR(proje!R23*100/proje!$I23,"")</f>
        <v/>
      </c>
      <c r="H528" s="39" t="str">
        <f>IFERROR(proje!S23*100/proje!$I23,"")</f>
        <v/>
      </c>
      <c r="I528" s="39" t="str">
        <f>IFERROR(proje!T23*100/proje!$I23,"")</f>
        <v/>
      </c>
      <c r="J528" s="39" t="str">
        <f>IFERROR(proje!U23*100/proje!$I23,"")</f>
        <v/>
      </c>
      <c r="K528" s="39" t="str">
        <f>IFERROR(proje!V23*100/proje!$I23,"")</f>
        <v/>
      </c>
      <c r="L528" s="39" t="str">
        <f>IFERROR(proje!W23*100/proje!$I23,"")</f>
        <v/>
      </c>
      <c r="M528" s="39" t="str">
        <f>IFERROR(proje!X23*100/proje!$I23,"")</f>
        <v/>
      </c>
      <c r="N528" s="39" t="str">
        <f>IFERROR(proje!Y23*100/proje!$I23,"")</f>
        <v/>
      </c>
      <c r="O528" s="39" t="str">
        <f>IFERROR(proje!Z23*100/proje!$I23,"")</f>
        <v/>
      </c>
      <c r="P528" s="39" t="str">
        <f>IFERROR(proje!AA23*100/proje!$I23,"")</f>
        <v/>
      </c>
      <c r="Q528" s="39" t="str">
        <f>IFERROR(proje!AB23*100/proje!$I23,"")</f>
        <v/>
      </c>
      <c r="R528" s="39" t="str">
        <f>IFERROR(proje!AC23*100/proje!$I23,"")</f>
        <v/>
      </c>
      <c r="S528" s="39" t="str">
        <f>IFERROR(proje!AD23*100/proje!$I23,"")</f>
        <v/>
      </c>
      <c r="T528" s="39" t="str">
        <f>IFERROR(proje!AE23*100/proje!$I23,"")</f>
        <v/>
      </c>
      <c r="U528" s="39" t="str">
        <f>IFERROR(proje!AF23*100/proje!$I23,"")</f>
        <v/>
      </c>
      <c r="V528" s="39" t="str">
        <f>IFERROR(proje!AG23*100/proje!$I23,"")</f>
        <v/>
      </c>
      <c r="W528" s="39" t="str">
        <f>IFERROR(proje!AH23*100/proje!$I23,"")</f>
        <v/>
      </c>
      <c r="X528" s="39" t="str">
        <f>IFERROR(proje!AI23*100/proje!$I23,"")</f>
        <v/>
      </c>
      <c r="Y528" s="39" t="str">
        <f>IFERROR(proje!AJ23*100/proje!$I23,"")</f>
        <v/>
      </c>
      <c r="Z528" s="39" t="str">
        <f>IFERROR(proje!AK23*100/proje!$I23,"")</f>
        <v/>
      </c>
      <c r="AA528" s="39" t="str">
        <f>IFERROR(proje!AL23*100/proje!$I23,"")</f>
        <v/>
      </c>
      <c r="AB528" s="39" t="str">
        <f>IFERROR(proje!AM23*100/proje!$I23,"")</f>
        <v/>
      </c>
      <c r="AC528" s="39" t="str">
        <f>IFERROR(proje!AN23*100/proje!$I23,"")</f>
        <v/>
      </c>
      <c r="AD528" s="39" t="str">
        <f>IFERROR(proje!AO23*100/proje!$I23,"")</f>
        <v/>
      </c>
      <c r="AE528" s="39" t="str">
        <f>IFERROR(proje!AP23*100/proje!$I23,"")</f>
        <v/>
      </c>
      <c r="AF528" s="39" t="str">
        <f>IFERROR(proje!AQ23*100/proje!$I23,"")</f>
        <v/>
      </c>
      <c r="AG528" s="39" t="str">
        <f>IFERROR(proje!AR23*100/proje!$I23,"")</f>
        <v/>
      </c>
      <c r="AH528" s="39" t="str">
        <f>IFERROR(proje!AS23*100/proje!$I23,"")</f>
        <v/>
      </c>
      <c r="AI528" s="39" t="str">
        <f>IFERROR(proje!AT23*100/proje!$I23,"")</f>
        <v/>
      </c>
      <c r="AJ528" s="39" t="str">
        <f>IFERROR(proje!AU23*100/proje!$I23,"")</f>
        <v/>
      </c>
      <c r="AK528" s="39" t="str">
        <f>IFERROR(proje!AV23*100/proje!$I23,"")</f>
        <v/>
      </c>
      <c r="AL528" s="39" t="str">
        <f>IFERROR(proje!AW23*100/proje!$I23,"")</f>
        <v/>
      </c>
      <c r="AM528" s="39" t="str">
        <f>IFERROR(proje!AX23*100/proje!$I23,"")</f>
        <v/>
      </c>
      <c r="AN528" s="39" t="str">
        <f>IFERROR(proje!AY23*100/proje!$I23,"")</f>
        <v/>
      </c>
      <c r="AO528" s="39" t="str">
        <f>IFERROR(proje!AZ23*100/proje!$I23,"")</f>
        <v/>
      </c>
      <c r="AP528" s="39" t="str">
        <f>IFERROR(proje!BA23*100/proje!$I23,"")</f>
        <v/>
      </c>
      <c r="AQ528" s="39" t="str">
        <f>IFERROR(proje!BB23*100/proje!$I23,"")</f>
        <v/>
      </c>
      <c r="AR528" s="39" t="str">
        <f>IFERROR(proje!BC23*100/proje!$I23,"")</f>
        <v/>
      </c>
      <c r="AS528" s="39" t="str">
        <f>IFERROR(proje!BD23*100/proje!$I23,"")</f>
        <v/>
      </c>
      <c r="AT528" s="39" t="str">
        <f>IFERROR(proje!BE23*100/proje!$I23,"")</f>
        <v/>
      </c>
      <c r="AU528" s="39" t="str">
        <f>IFERROR(proje!BF23*100/proje!$I23,"")</f>
        <v/>
      </c>
      <c r="AV528" s="39" t="str">
        <f>IFERROR(proje!BG23*100/proje!$I23,"")</f>
        <v/>
      </c>
      <c r="AW528" s="39" t="str">
        <f>IFERROR(proje!BH23*100/proje!$I23,"")</f>
        <v/>
      </c>
      <c r="AX528" s="39" t="str">
        <f>IFERROR(proje!BI23*100/proje!$I23,"")</f>
        <v/>
      </c>
      <c r="AY528" s="39" t="str">
        <f>IFERROR(proje!BJ23*100/proje!$I23,"")</f>
        <v/>
      </c>
      <c r="AZ528" s="39" t="str">
        <f>IFERROR(proje!BK23*100/proje!$I23,"")</f>
        <v/>
      </c>
      <c r="BA528" s="39" t="str">
        <f>IFERROR(proje!BL23*100/proje!$I23,"")</f>
        <v/>
      </c>
      <c r="BB528" s="39" t="str">
        <f>IFERROR(proje!BM23*100/proje!$I23,"")</f>
        <v/>
      </c>
      <c r="BC528" s="39" t="str">
        <f>IFERROR(proje!BN23*100/proje!$I23,"")</f>
        <v/>
      </c>
      <c r="BD528" s="39" t="str">
        <f>IFERROR(proje!BO23*100/proje!$I23,"")</f>
        <v/>
      </c>
      <c r="BE528" s="39" t="str">
        <f>IFERROR(proje!BP23*100/proje!$I23,"")</f>
        <v/>
      </c>
      <c r="BF528" s="39" t="str">
        <f>IFERROR(proje!BQ23*100/proje!$I23,"")</f>
        <v/>
      </c>
      <c r="BG528" s="39" t="str">
        <f>IFERROR(proje!BR23*100/proje!$I23,"")</f>
        <v/>
      </c>
      <c r="BH528" s="39" t="str">
        <f>IFERROR(proje!BS23*100/proje!$I23,"")</f>
        <v/>
      </c>
      <c r="BI528" s="39" t="str">
        <f>IFERROR(proje!BT23*100/proje!$I23,"")</f>
        <v/>
      </c>
      <c r="BJ528" s="39" t="str">
        <f>IFERROR(proje!BU23*100/proje!$I23,"")</f>
        <v/>
      </c>
      <c r="BK528" s="39" t="str">
        <f>IFERROR(proje!BV23*100/proje!$I23,"")</f>
        <v/>
      </c>
      <c r="BL528" s="39" t="str">
        <f>IFERROR(proje!BW23*100/proje!$I23,"")</f>
        <v/>
      </c>
      <c r="BM528" s="39" t="str">
        <f>IFERROR(proje!BX23*100/proje!$I23,"")</f>
        <v/>
      </c>
      <c r="BN528" s="39" t="str">
        <f>IFERROR(proje!BY23*100/proje!$I23,"")</f>
        <v/>
      </c>
      <c r="BO528" s="39" t="str">
        <f>IFERROR(proje!BZ23*100/proje!$I23,"")</f>
        <v/>
      </c>
      <c r="BP528" s="39" t="str">
        <f>IFERROR(proje!CA23*100/proje!$I23,"")</f>
        <v/>
      </c>
      <c r="BQ528" s="39" t="str">
        <f>IFERROR(proje!CB23*100/proje!$I23,"")</f>
        <v/>
      </c>
      <c r="BR528" s="39" t="str">
        <f>IFERROR(proje!CC23*100/proje!$I23,"")</f>
        <v/>
      </c>
      <c r="BS528" s="39" t="str">
        <f>IFERROR(proje!CD23*100/proje!$I23,"")</f>
        <v/>
      </c>
      <c r="BT528" s="39" t="str">
        <f>IFERROR(proje!CE23*100/proje!$I23,"")</f>
        <v/>
      </c>
      <c r="BU528" s="39" t="str">
        <f>IFERROR(proje!CF23*100/proje!$I23,"")</f>
        <v/>
      </c>
      <c r="BV528" s="39" t="str">
        <f>IFERROR(proje!CG23*100/proje!$I23,"")</f>
        <v/>
      </c>
      <c r="BW528" s="39" t="str">
        <f>IFERROR(proje!CH23*100/proje!$I23,"")</f>
        <v/>
      </c>
      <c r="BX528" s="39" t="str">
        <f>IFERROR(proje!CI23*100/proje!$I23,"")</f>
        <v/>
      </c>
      <c r="BY528" s="39" t="str">
        <f>IFERROR(proje!CJ23*100/proje!$I23,"")</f>
        <v/>
      </c>
      <c r="BZ528" s="39" t="str">
        <f>IFERROR(proje!CK23*100/proje!$I23,"")</f>
        <v/>
      </c>
      <c r="CA528" s="39" t="str">
        <f>IFERROR(proje!CL23*100/proje!$I23,"")</f>
        <v/>
      </c>
      <c r="CB528" s="39" t="str">
        <f>IFERROR(proje!CM23*100/proje!$I23,"")</f>
        <v/>
      </c>
      <c r="CC528" s="39" t="str">
        <f>IFERROR(proje!CN23*100/proje!$I23,"")</f>
        <v/>
      </c>
      <c r="CD528" s="39" t="str">
        <f>IFERROR(proje!CO23*100/proje!$I23,"")</f>
        <v/>
      </c>
      <c r="CE528" s="39" t="str">
        <f>IFERROR(proje!CP23*100/proje!$I23,"")</f>
        <v/>
      </c>
      <c r="CF528" s="39" t="str">
        <f>IFERROR(proje!CQ23*100/proje!$I23,"")</f>
        <v/>
      </c>
      <c r="CG528" s="39" t="str">
        <f>IFERROR(proje!CR23*100/proje!$I23,"")</f>
        <v/>
      </c>
      <c r="CH528" s="39" t="str">
        <f>IFERROR(proje!CS23*100/proje!$I23,"")</f>
        <v/>
      </c>
      <c r="CI528" s="39" t="str">
        <f>IFERROR(proje!CT23*100/proje!$I23,"")</f>
        <v/>
      </c>
      <c r="CJ528" s="39" t="str">
        <f>IFERROR(proje!CU23*100/proje!$I23,"")</f>
        <v/>
      </c>
      <c r="CK528" s="39" t="str">
        <f>IFERROR(proje!CV23*100/proje!$I23,"")</f>
        <v/>
      </c>
      <c r="CL528" s="39" t="str">
        <f>IFERROR(proje!CW23*100/proje!$I23,"")</f>
        <v/>
      </c>
      <c r="CM528" s="39" t="str">
        <f>IFERROR(proje!CX23*100/proje!$I23,"")</f>
        <v/>
      </c>
      <c r="CN528" s="39" t="str">
        <f>IFERROR(proje!CY23*100/proje!$I23,"")</f>
        <v/>
      </c>
      <c r="CO528" s="39" t="str">
        <f>IFERROR(proje!CZ23*100/proje!$I23,"")</f>
        <v/>
      </c>
      <c r="CP528" s="39" t="str">
        <f>IFERROR(proje!DA23*100/proje!$I23,"")</f>
        <v/>
      </c>
      <c r="CQ528" s="39" t="str">
        <f>IFERROR(proje!DB23*100/proje!$I23,"")</f>
        <v/>
      </c>
      <c r="CR528" s="39" t="str">
        <f>IFERROR(proje!DC23*100/proje!$I23,"")</f>
        <v/>
      </c>
      <c r="CS528" s="39" t="str">
        <f>IFERROR(proje!DD23*100/proje!$I23,"")</f>
        <v/>
      </c>
      <c r="CT528" s="39" t="str">
        <f>IFERROR(proje!DE23*100/proje!$I23,"")</f>
        <v/>
      </c>
      <c r="CU528" s="39" t="str">
        <f>IFERROR(proje!DF23*100/proje!$I23,"")</f>
        <v/>
      </c>
      <c r="CV528" s="39" t="str">
        <f>IFERROR(proje!DG23*100/proje!$I23,"")</f>
        <v/>
      </c>
      <c r="CW528" s="36" t="str">
        <f>IFERROR(SUM(A528:CV528)/proje!$DH$103,"")</f>
        <v/>
      </c>
      <c r="CX528" s="14" t="str">
        <f>IF(COUNTA(proje!A23),proje!A23,"")</f>
        <v/>
      </c>
      <c r="CY528" s="14" t="str">
        <f>IF(COUNTA(proje!B23),proje!B23,"")</f>
        <v/>
      </c>
      <c r="CZ528" s="14" t="str">
        <f>IF(COUNTA(proje!C23),proje!C23,"")</f>
        <v/>
      </c>
      <c r="DA528" s="14" t="str">
        <f>IF(COUNTA(proje!D23),proje!D23,"")</f>
        <v/>
      </c>
      <c r="DB528" s="14" t="str">
        <f>IF(COUNTA(proje!E23),proje!E23,"")</f>
        <v/>
      </c>
      <c r="DC528" s="14" t="str">
        <f>IF(COUNTA(proje!F23),proje!F23,"")</f>
        <v/>
      </c>
      <c r="DD528" s="14" t="str">
        <f>IF(COUNTA(proje!G23),proje!G23,"")</f>
        <v/>
      </c>
      <c r="DE528" s="14" t="str">
        <f>IF(COUNTA(proje!H23),proje!H23,"")</f>
        <v/>
      </c>
    </row>
    <row r="529" spans="1:109" x14ac:dyDescent="0.2">
      <c r="A529" s="39" t="str">
        <f>IFERROR(proje!L24*100/proje!$I24,"")</f>
        <v/>
      </c>
      <c r="B529" s="39" t="str">
        <f>IFERROR(proje!M24*100/proje!$I24,"")</f>
        <v/>
      </c>
      <c r="C529" s="39" t="str">
        <f>IFERROR(proje!N24*100/proje!$I24,"")</f>
        <v/>
      </c>
      <c r="D529" s="39" t="str">
        <f>IFERROR(proje!O24*100/proje!$I24,"")</f>
        <v/>
      </c>
      <c r="E529" s="39" t="str">
        <f>IFERROR(proje!P24*100/proje!$I24,"")</f>
        <v/>
      </c>
      <c r="F529" s="39" t="str">
        <f>IFERROR(proje!Q24*100/proje!$I24,"")</f>
        <v/>
      </c>
      <c r="G529" s="39" t="str">
        <f>IFERROR(proje!R24*100/proje!$I24,"")</f>
        <v/>
      </c>
      <c r="H529" s="39" t="str">
        <f>IFERROR(proje!S24*100/proje!$I24,"")</f>
        <v/>
      </c>
      <c r="I529" s="39" t="str">
        <f>IFERROR(proje!T24*100/proje!$I24,"")</f>
        <v/>
      </c>
      <c r="J529" s="39" t="str">
        <f>IFERROR(proje!U24*100/proje!$I24,"")</f>
        <v/>
      </c>
      <c r="K529" s="39" t="str">
        <f>IFERROR(proje!V24*100/proje!$I24,"")</f>
        <v/>
      </c>
      <c r="L529" s="39" t="str">
        <f>IFERROR(proje!W24*100/proje!$I24,"")</f>
        <v/>
      </c>
      <c r="M529" s="39" t="str">
        <f>IFERROR(proje!X24*100/proje!$I24,"")</f>
        <v/>
      </c>
      <c r="N529" s="39" t="str">
        <f>IFERROR(proje!Y24*100/proje!$I24,"")</f>
        <v/>
      </c>
      <c r="O529" s="39" t="str">
        <f>IFERROR(proje!Z24*100/proje!$I24,"")</f>
        <v/>
      </c>
      <c r="P529" s="39" t="str">
        <f>IFERROR(proje!AA24*100/proje!$I24,"")</f>
        <v/>
      </c>
      <c r="Q529" s="39" t="str">
        <f>IFERROR(proje!AB24*100/proje!$I24,"")</f>
        <v/>
      </c>
      <c r="R529" s="39" t="str">
        <f>IFERROR(proje!AC24*100/proje!$I24,"")</f>
        <v/>
      </c>
      <c r="S529" s="39" t="str">
        <f>IFERROR(proje!AD24*100/proje!$I24,"")</f>
        <v/>
      </c>
      <c r="T529" s="39" t="str">
        <f>IFERROR(proje!AE24*100/proje!$I24,"")</f>
        <v/>
      </c>
      <c r="U529" s="39" t="str">
        <f>IFERROR(proje!AF24*100/proje!$I24,"")</f>
        <v/>
      </c>
      <c r="V529" s="39" t="str">
        <f>IFERROR(proje!AG24*100/proje!$I24,"")</f>
        <v/>
      </c>
      <c r="W529" s="39" t="str">
        <f>IFERROR(proje!AH24*100/proje!$I24,"")</f>
        <v/>
      </c>
      <c r="X529" s="39" t="str">
        <f>IFERROR(proje!AI24*100/proje!$I24,"")</f>
        <v/>
      </c>
      <c r="Y529" s="39" t="str">
        <f>IFERROR(proje!AJ24*100/proje!$I24,"")</f>
        <v/>
      </c>
      <c r="Z529" s="39" t="str">
        <f>IFERROR(proje!AK24*100/proje!$I24,"")</f>
        <v/>
      </c>
      <c r="AA529" s="39" t="str">
        <f>IFERROR(proje!AL24*100/proje!$I24,"")</f>
        <v/>
      </c>
      <c r="AB529" s="39" t="str">
        <f>IFERROR(proje!AM24*100/proje!$I24,"")</f>
        <v/>
      </c>
      <c r="AC529" s="39" t="str">
        <f>IFERROR(proje!AN24*100/proje!$I24,"")</f>
        <v/>
      </c>
      <c r="AD529" s="39" t="str">
        <f>IFERROR(proje!AO24*100/proje!$I24,"")</f>
        <v/>
      </c>
      <c r="AE529" s="39" t="str">
        <f>IFERROR(proje!AP24*100/proje!$I24,"")</f>
        <v/>
      </c>
      <c r="AF529" s="39" t="str">
        <f>IFERROR(proje!AQ24*100/proje!$I24,"")</f>
        <v/>
      </c>
      <c r="AG529" s="39" t="str">
        <f>IFERROR(proje!AR24*100/proje!$I24,"")</f>
        <v/>
      </c>
      <c r="AH529" s="39" t="str">
        <f>IFERROR(proje!AS24*100/proje!$I24,"")</f>
        <v/>
      </c>
      <c r="AI529" s="39" t="str">
        <f>IFERROR(proje!AT24*100/proje!$I24,"")</f>
        <v/>
      </c>
      <c r="AJ529" s="39" t="str">
        <f>IFERROR(proje!AU24*100/proje!$I24,"")</f>
        <v/>
      </c>
      <c r="AK529" s="39" t="str">
        <f>IFERROR(proje!AV24*100/proje!$I24,"")</f>
        <v/>
      </c>
      <c r="AL529" s="39" t="str">
        <f>IFERROR(proje!AW24*100/proje!$I24,"")</f>
        <v/>
      </c>
      <c r="AM529" s="39" t="str">
        <f>IFERROR(proje!AX24*100/proje!$I24,"")</f>
        <v/>
      </c>
      <c r="AN529" s="39" t="str">
        <f>IFERROR(proje!AY24*100/proje!$I24,"")</f>
        <v/>
      </c>
      <c r="AO529" s="39" t="str">
        <f>IFERROR(proje!AZ24*100/proje!$I24,"")</f>
        <v/>
      </c>
      <c r="AP529" s="39" t="str">
        <f>IFERROR(proje!BA24*100/proje!$I24,"")</f>
        <v/>
      </c>
      <c r="AQ529" s="39" t="str">
        <f>IFERROR(proje!BB24*100/proje!$I24,"")</f>
        <v/>
      </c>
      <c r="AR529" s="39" t="str">
        <f>IFERROR(proje!BC24*100/proje!$I24,"")</f>
        <v/>
      </c>
      <c r="AS529" s="39" t="str">
        <f>IFERROR(proje!BD24*100/proje!$I24,"")</f>
        <v/>
      </c>
      <c r="AT529" s="39" t="str">
        <f>IFERROR(proje!BE24*100/proje!$I24,"")</f>
        <v/>
      </c>
      <c r="AU529" s="39" t="str">
        <f>IFERROR(proje!BF24*100/proje!$I24,"")</f>
        <v/>
      </c>
      <c r="AV529" s="39" t="str">
        <f>IFERROR(proje!BG24*100/proje!$I24,"")</f>
        <v/>
      </c>
      <c r="AW529" s="39" t="str">
        <f>IFERROR(proje!BH24*100/proje!$I24,"")</f>
        <v/>
      </c>
      <c r="AX529" s="39" t="str">
        <f>IFERROR(proje!BI24*100/proje!$I24,"")</f>
        <v/>
      </c>
      <c r="AY529" s="39" t="str">
        <f>IFERROR(proje!BJ24*100/proje!$I24,"")</f>
        <v/>
      </c>
      <c r="AZ529" s="39" t="str">
        <f>IFERROR(proje!BK24*100/proje!$I24,"")</f>
        <v/>
      </c>
      <c r="BA529" s="39" t="str">
        <f>IFERROR(proje!BL24*100/proje!$I24,"")</f>
        <v/>
      </c>
      <c r="BB529" s="39" t="str">
        <f>IFERROR(proje!BM24*100/proje!$I24,"")</f>
        <v/>
      </c>
      <c r="BC529" s="39" t="str">
        <f>IFERROR(proje!BN24*100/proje!$I24,"")</f>
        <v/>
      </c>
      <c r="BD529" s="39" t="str">
        <f>IFERROR(proje!BO24*100/proje!$I24,"")</f>
        <v/>
      </c>
      <c r="BE529" s="39" t="str">
        <f>IFERROR(proje!BP24*100/proje!$I24,"")</f>
        <v/>
      </c>
      <c r="BF529" s="39" t="str">
        <f>IFERROR(proje!BQ24*100/proje!$I24,"")</f>
        <v/>
      </c>
      <c r="BG529" s="39" t="str">
        <f>IFERROR(proje!BR24*100/proje!$I24,"")</f>
        <v/>
      </c>
      <c r="BH529" s="39" t="str">
        <f>IFERROR(proje!BS24*100/proje!$I24,"")</f>
        <v/>
      </c>
      <c r="BI529" s="39" t="str">
        <f>IFERROR(proje!BT24*100/proje!$I24,"")</f>
        <v/>
      </c>
      <c r="BJ529" s="39" t="str">
        <f>IFERROR(proje!BU24*100/proje!$I24,"")</f>
        <v/>
      </c>
      <c r="BK529" s="39" t="str">
        <f>IFERROR(proje!BV24*100/proje!$I24,"")</f>
        <v/>
      </c>
      <c r="BL529" s="39" t="str">
        <f>IFERROR(proje!BW24*100/proje!$I24,"")</f>
        <v/>
      </c>
      <c r="BM529" s="39" t="str">
        <f>IFERROR(proje!BX24*100/proje!$I24,"")</f>
        <v/>
      </c>
      <c r="BN529" s="39" t="str">
        <f>IFERROR(proje!BY24*100/proje!$I24,"")</f>
        <v/>
      </c>
      <c r="BO529" s="39" t="str">
        <f>IFERROR(proje!BZ24*100/proje!$I24,"")</f>
        <v/>
      </c>
      <c r="BP529" s="39" t="str">
        <f>IFERROR(proje!CA24*100/proje!$I24,"")</f>
        <v/>
      </c>
      <c r="BQ529" s="39" t="str">
        <f>IFERROR(proje!CB24*100/proje!$I24,"")</f>
        <v/>
      </c>
      <c r="BR529" s="39" t="str">
        <f>IFERROR(proje!CC24*100/proje!$I24,"")</f>
        <v/>
      </c>
      <c r="BS529" s="39" t="str">
        <f>IFERROR(proje!CD24*100/proje!$I24,"")</f>
        <v/>
      </c>
      <c r="BT529" s="39" t="str">
        <f>IFERROR(proje!CE24*100/proje!$I24,"")</f>
        <v/>
      </c>
      <c r="BU529" s="39" t="str">
        <f>IFERROR(proje!CF24*100/proje!$I24,"")</f>
        <v/>
      </c>
      <c r="BV529" s="39" t="str">
        <f>IFERROR(proje!CG24*100/proje!$I24,"")</f>
        <v/>
      </c>
      <c r="BW529" s="39" t="str">
        <f>IFERROR(proje!CH24*100/proje!$I24,"")</f>
        <v/>
      </c>
      <c r="BX529" s="39" t="str">
        <f>IFERROR(proje!CI24*100/proje!$I24,"")</f>
        <v/>
      </c>
      <c r="BY529" s="39" t="str">
        <f>IFERROR(proje!CJ24*100/proje!$I24,"")</f>
        <v/>
      </c>
      <c r="BZ529" s="39" t="str">
        <f>IFERROR(proje!CK24*100/proje!$I24,"")</f>
        <v/>
      </c>
      <c r="CA529" s="39" t="str">
        <f>IFERROR(proje!CL24*100/proje!$I24,"")</f>
        <v/>
      </c>
      <c r="CB529" s="39" t="str">
        <f>IFERROR(proje!CM24*100/proje!$I24,"")</f>
        <v/>
      </c>
      <c r="CC529" s="39" t="str">
        <f>IFERROR(proje!CN24*100/proje!$I24,"")</f>
        <v/>
      </c>
      <c r="CD529" s="39" t="str">
        <f>IFERROR(proje!CO24*100/proje!$I24,"")</f>
        <v/>
      </c>
      <c r="CE529" s="39" t="str">
        <f>IFERROR(proje!CP24*100/proje!$I24,"")</f>
        <v/>
      </c>
      <c r="CF529" s="39" t="str">
        <f>IFERROR(proje!CQ24*100/proje!$I24,"")</f>
        <v/>
      </c>
      <c r="CG529" s="39" t="str">
        <f>IFERROR(proje!CR24*100/proje!$I24,"")</f>
        <v/>
      </c>
      <c r="CH529" s="39" t="str">
        <f>IFERROR(proje!CS24*100/proje!$I24,"")</f>
        <v/>
      </c>
      <c r="CI529" s="39" t="str">
        <f>IFERROR(proje!CT24*100/proje!$I24,"")</f>
        <v/>
      </c>
      <c r="CJ529" s="39" t="str">
        <f>IFERROR(proje!CU24*100/proje!$I24,"")</f>
        <v/>
      </c>
      <c r="CK529" s="39" t="str">
        <f>IFERROR(proje!CV24*100/proje!$I24,"")</f>
        <v/>
      </c>
      <c r="CL529" s="39" t="str">
        <f>IFERROR(proje!CW24*100/proje!$I24,"")</f>
        <v/>
      </c>
      <c r="CM529" s="39" t="str">
        <f>IFERROR(proje!CX24*100/proje!$I24,"")</f>
        <v/>
      </c>
      <c r="CN529" s="39" t="str">
        <f>IFERROR(proje!CY24*100/proje!$I24,"")</f>
        <v/>
      </c>
      <c r="CO529" s="39" t="str">
        <f>IFERROR(proje!CZ24*100/proje!$I24,"")</f>
        <v/>
      </c>
      <c r="CP529" s="39" t="str">
        <f>IFERROR(proje!DA24*100/proje!$I24,"")</f>
        <v/>
      </c>
      <c r="CQ529" s="39" t="str">
        <f>IFERROR(proje!DB24*100/proje!$I24,"")</f>
        <v/>
      </c>
      <c r="CR529" s="39" t="str">
        <f>IFERROR(proje!DC24*100/proje!$I24,"")</f>
        <v/>
      </c>
      <c r="CS529" s="39" t="str">
        <f>IFERROR(proje!DD24*100/proje!$I24,"")</f>
        <v/>
      </c>
      <c r="CT529" s="39" t="str">
        <f>IFERROR(proje!DE24*100/proje!$I24,"")</f>
        <v/>
      </c>
      <c r="CU529" s="39" t="str">
        <f>IFERROR(proje!DF24*100/proje!$I24,"")</f>
        <v/>
      </c>
      <c r="CV529" s="39" t="str">
        <f>IFERROR(proje!DG24*100/proje!$I24,"")</f>
        <v/>
      </c>
      <c r="CW529" s="36" t="str">
        <f>IFERROR(SUM(A529:CV529)/proje!$DH$103,"")</f>
        <v/>
      </c>
      <c r="CX529" s="14" t="str">
        <f>IF(COUNTA(proje!A24),proje!A24,"")</f>
        <v/>
      </c>
      <c r="CY529" s="14" t="str">
        <f>IF(COUNTA(proje!B24),proje!B24,"")</f>
        <v/>
      </c>
      <c r="CZ529" s="14" t="str">
        <f>IF(COUNTA(proje!C24),proje!C24,"")</f>
        <v/>
      </c>
      <c r="DA529" s="14" t="str">
        <f>IF(COUNTA(proje!D24),proje!D24,"")</f>
        <v/>
      </c>
      <c r="DB529" s="14" t="str">
        <f>IF(COUNTA(proje!E24),proje!E24,"")</f>
        <v/>
      </c>
      <c r="DC529" s="14" t="str">
        <f>IF(COUNTA(proje!F24),proje!F24,"")</f>
        <v/>
      </c>
      <c r="DD529" s="14" t="str">
        <f>IF(COUNTA(proje!G24),proje!G24,"")</f>
        <v/>
      </c>
      <c r="DE529" s="14" t="str">
        <f>IF(COUNTA(proje!H24),proje!H24,"")</f>
        <v/>
      </c>
    </row>
    <row r="530" spans="1:109" x14ac:dyDescent="0.2">
      <c r="A530" s="39" t="str">
        <f>IFERROR(proje!L25*100/proje!$I25,"")</f>
        <v/>
      </c>
      <c r="B530" s="39" t="str">
        <f>IFERROR(proje!M25*100/proje!$I25,"")</f>
        <v/>
      </c>
      <c r="C530" s="39" t="str">
        <f>IFERROR(proje!N25*100/proje!$I25,"")</f>
        <v/>
      </c>
      <c r="D530" s="39" t="str">
        <f>IFERROR(proje!O25*100/proje!$I25,"")</f>
        <v/>
      </c>
      <c r="E530" s="39" t="str">
        <f>IFERROR(proje!P25*100/proje!$I25,"")</f>
        <v/>
      </c>
      <c r="F530" s="39" t="str">
        <f>IFERROR(proje!Q25*100/proje!$I25,"")</f>
        <v/>
      </c>
      <c r="G530" s="39" t="str">
        <f>IFERROR(proje!R25*100/proje!$I25,"")</f>
        <v/>
      </c>
      <c r="H530" s="39" t="str">
        <f>IFERROR(proje!S25*100/proje!$I25,"")</f>
        <v/>
      </c>
      <c r="I530" s="39" t="str">
        <f>IFERROR(proje!T25*100/proje!$I25,"")</f>
        <v/>
      </c>
      <c r="J530" s="39" t="str">
        <f>IFERROR(proje!U25*100/proje!$I25,"")</f>
        <v/>
      </c>
      <c r="K530" s="39" t="str">
        <f>IFERROR(proje!V25*100/proje!$I25,"")</f>
        <v/>
      </c>
      <c r="L530" s="39" t="str">
        <f>IFERROR(proje!W25*100/proje!$I25,"")</f>
        <v/>
      </c>
      <c r="M530" s="39" t="str">
        <f>IFERROR(proje!X25*100/proje!$I25,"")</f>
        <v/>
      </c>
      <c r="N530" s="39" t="str">
        <f>IFERROR(proje!Y25*100/proje!$I25,"")</f>
        <v/>
      </c>
      <c r="O530" s="39" t="str">
        <f>IFERROR(proje!Z25*100/proje!$I25,"")</f>
        <v/>
      </c>
      <c r="P530" s="39" t="str">
        <f>IFERROR(proje!AA25*100/proje!$I25,"")</f>
        <v/>
      </c>
      <c r="Q530" s="39" t="str">
        <f>IFERROR(proje!AB25*100/proje!$I25,"")</f>
        <v/>
      </c>
      <c r="R530" s="39" t="str">
        <f>IFERROR(proje!AC25*100/proje!$I25,"")</f>
        <v/>
      </c>
      <c r="S530" s="39" t="str">
        <f>IFERROR(proje!AD25*100/proje!$I25,"")</f>
        <v/>
      </c>
      <c r="T530" s="39" t="str">
        <f>IFERROR(proje!AE25*100/proje!$I25,"")</f>
        <v/>
      </c>
      <c r="U530" s="39" t="str">
        <f>IFERROR(proje!AF25*100/proje!$I25,"")</f>
        <v/>
      </c>
      <c r="V530" s="39" t="str">
        <f>IFERROR(proje!AG25*100/proje!$I25,"")</f>
        <v/>
      </c>
      <c r="W530" s="39" t="str">
        <f>IFERROR(proje!AH25*100/proje!$I25,"")</f>
        <v/>
      </c>
      <c r="X530" s="39" t="str">
        <f>IFERROR(proje!AI25*100/proje!$I25,"")</f>
        <v/>
      </c>
      <c r="Y530" s="39" t="str">
        <f>IFERROR(proje!AJ25*100/proje!$I25,"")</f>
        <v/>
      </c>
      <c r="Z530" s="39" t="str">
        <f>IFERROR(proje!AK25*100/proje!$I25,"")</f>
        <v/>
      </c>
      <c r="AA530" s="39" t="str">
        <f>IFERROR(proje!AL25*100/proje!$I25,"")</f>
        <v/>
      </c>
      <c r="AB530" s="39" t="str">
        <f>IFERROR(proje!AM25*100/proje!$I25,"")</f>
        <v/>
      </c>
      <c r="AC530" s="39" t="str">
        <f>IFERROR(proje!AN25*100/proje!$I25,"")</f>
        <v/>
      </c>
      <c r="AD530" s="39" t="str">
        <f>IFERROR(proje!AO25*100/proje!$I25,"")</f>
        <v/>
      </c>
      <c r="AE530" s="39" t="str">
        <f>IFERROR(proje!AP25*100/proje!$I25,"")</f>
        <v/>
      </c>
      <c r="AF530" s="39" t="str">
        <f>IFERROR(proje!AQ25*100/proje!$I25,"")</f>
        <v/>
      </c>
      <c r="AG530" s="39" t="str">
        <f>IFERROR(proje!AR25*100/proje!$I25,"")</f>
        <v/>
      </c>
      <c r="AH530" s="39" t="str">
        <f>IFERROR(proje!AS25*100/proje!$I25,"")</f>
        <v/>
      </c>
      <c r="AI530" s="39" t="str">
        <f>IFERROR(proje!AT25*100/proje!$I25,"")</f>
        <v/>
      </c>
      <c r="AJ530" s="39" t="str">
        <f>IFERROR(proje!AU25*100/proje!$I25,"")</f>
        <v/>
      </c>
      <c r="AK530" s="39" t="str">
        <f>IFERROR(proje!AV25*100/proje!$I25,"")</f>
        <v/>
      </c>
      <c r="AL530" s="39" t="str">
        <f>IFERROR(proje!AW25*100/proje!$I25,"")</f>
        <v/>
      </c>
      <c r="AM530" s="39" t="str">
        <f>IFERROR(proje!AX25*100/proje!$I25,"")</f>
        <v/>
      </c>
      <c r="AN530" s="39" t="str">
        <f>IFERROR(proje!AY25*100/proje!$I25,"")</f>
        <v/>
      </c>
      <c r="AO530" s="39" t="str">
        <f>IFERROR(proje!AZ25*100/proje!$I25,"")</f>
        <v/>
      </c>
      <c r="AP530" s="39" t="str">
        <f>IFERROR(proje!BA25*100/proje!$I25,"")</f>
        <v/>
      </c>
      <c r="AQ530" s="39" t="str">
        <f>IFERROR(proje!BB25*100/proje!$I25,"")</f>
        <v/>
      </c>
      <c r="AR530" s="39" t="str">
        <f>IFERROR(proje!BC25*100/proje!$I25,"")</f>
        <v/>
      </c>
      <c r="AS530" s="39" t="str">
        <f>IFERROR(proje!BD25*100/proje!$I25,"")</f>
        <v/>
      </c>
      <c r="AT530" s="39" t="str">
        <f>IFERROR(proje!BE25*100/proje!$I25,"")</f>
        <v/>
      </c>
      <c r="AU530" s="39" t="str">
        <f>IFERROR(proje!BF25*100/proje!$I25,"")</f>
        <v/>
      </c>
      <c r="AV530" s="39" t="str">
        <f>IFERROR(proje!BG25*100/proje!$I25,"")</f>
        <v/>
      </c>
      <c r="AW530" s="39" t="str">
        <f>IFERROR(proje!BH25*100/proje!$I25,"")</f>
        <v/>
      </c>
      <c r="AX530" s="39" t="str">
        <f>IFERROR(proje!BI25*100/proje!$I25,"")</f>
        <v/>
      </c>
      <c r="AY530" s="39" t="str">
        <f>IFERROR(proje!BJ25*100/proje!$I25,"")</f>
        <v/>
      </c>
      <c r="AZ530" s="39" t="str">
        <f>IFERROR(proje!BK25*100/proje!$I25,"")</f>
        <v/>
      </c>
      <c r="BA530" s="39" t="str">
        <f>IFERROR(proje!BL25*100/proje!$I25,"")</f>
        <v/>
      </c>
      <c r="BB530" s="39" t="str">
        <f>IFERROR(proje!BM25*100/proje!$I25,"")</f>
        <v/>
      </c>
      <c r="BC530" s="39" t="str">
        <f>IFERROR(proje!BN25*100/proje!$I25,"")</f>
        <v/>
      </c>
      <c r="BD530" s="39" t="str">
        <f>IFERROR(proje!BO25*100/proje!$I25,"")</f>
        <v/>
      </c>
      <c r="BE530" s="39" t="str">
        <f>IFERROR(proje!BP25*100/proje!$I25,"")</f>
        <v/>
      </c>
      <c r="BF530" s="39" t="str">
        <f>IFERROR(proje!BQ25*100/proje!$I25,"")</f>
        <v/>
      </c>
      <c r="BG530" s="39" t="str">
        <f>IFERROR(proje!BR25*100/proje!$I25,"")</f>
        <v/>
      </c>
      <c r="BH530" s="39" t="str">
        <f>IFERROR(proje!BS25*100/proje!$I25,"")</f>
        <v/>
      </c>
      <c r="BI530" s="39" t="str">
        <f>IFERROR(proje!BT25*100/proje!$I25,"")</f>
        <v/>
      </c>
      <c r="BJ530" s="39" t="str">
        <f>IFERROR(proje!BU25*100/proje!$I25,"")</f>
        <v/>
      </c>
      <c r="BK530" s="39" t="str">
        <f>IFERROR(proje!BV25*100/proje!$I25,"")</f>
        <v/>
      </c>
      <c r="BL530" s="39" t="str">
        <f>IFERROR(proje!BW25*100/proje!$I25,"")</f>
        <v/>
      </c>
      <c r="BM530" s="39" t="str">
        <f>IFERROR(proje!BX25*100/proje!$I25,"")</f>
        <v/>
      </c>
      <c r="BN530" s="39" t="str">
        <f>IFERROR(proje!BY25*100/proje!$I25,"")</f>
        <v/>
      </c>
      <c r="BO530" s="39" t="str">
        <f>IFERROR(proje!BZ25*100/proje!$I25,"")</f>
        <v/>
      </c>
      <c r="BP530" s="39" t="str">
        <f>IFERROR(proje!CA25*100/proje!$I25,"")</f>
        <v/>
      </c>
      <c r="BQ530" s="39" t="str">
        <f>IFERROR(proje!CB25*100/proje!$I25,"")</f>
        <v/>
      </c>
      <c r="BR530" s="39" t="str">
        <f>IFERROR(proje!CC25*100/proje!$I25,"")</f>
        <v/>
      </c>
      <c r="BS530" s="39" t="str">
        <f>IFERROR(proje!CD25*100/proje!$I25,"")</f>
        <v/>
      </c>
      <c r="BT530" s="39" t="str">
        <f>IFERROR(proje!CE25*100/proje!$I25,"")</f>
        <v/>
      </c>
      <c r="BU530" s="39" t="str">
        <f>IFERROR(proje!CF25*100/proje!$I25,"")</f>
        <v/>
      </c>
      <c r="BV530" s="39" t="str">
        <f>IFERROR(proje!CG25*100/proje!$I25,"")</f>
        <v/>
      </c>
      <c r="BW530" s="39" t="str">
        <f>IFERROR(proje!CH25*100/proje!$I25,"")</f>
        <v/>
      </c>
      <c r="BX530" s="39" t="str">
        <f>IFERROR(proje!CI25*100/proje!$I25,"")</f>
        <v/>
      </c>
      <c r="BY530" s="39" t="str">
        <f>IFERROR(proje!CJ25*100/proje!$I25,"")</f>
        <v/>
      </c>
      <c r="BZ530" s="39" t="str">
        <f>IFERROR(proje!CK25*100/proje!$I25,"")</f>
        <v/>
      </c>
      <c r="CA530" s="39" t="str">
        <f>IFERROR(proje!CL25*100/proje!$I25,"")</f>
        <v/>
      </c>
      <c r="CB530" s="39" t="str">
        <f>IFERROR(proje!CM25*100/proje!$I25,"")</f>
        <v/>
      </c>
      <c r="CC530" s="39" t="str">
        <f>IFERROR(proje!CN25*100/proje!$I25,"")</f>
        <v/>
      </c>
      <c r="CD530" s="39" t="str">
        <f>IFERROR(proje!CO25*100/proje!$I25,"")</f>
        <v/>
      </c>
      <c r="CE530" s="39" t="str">
        <f>IFERROR(proje!CP25*100/proje!$I25,"")</f>
        <v/>
      </c>
      <c r="CF530" s="39" t="str">
        <f>IFERROR(proje!CQ25*100/proje!$I25,"")</f>
        <v/>
      </c>
      <c r="CG530" s="39" t="str">
        <f>IFERROR(proje!CR25*100/proje!$I25,"")</f>
        <v/>
      </c>
      <c r="CH530" s="39" t="str">
        <f>IFERROR(proje!CS25*100/proje!$I25,"")</f>
        <v/>
      </c>
      <c r="CI530" s="39" t="str">
        <f>IFERROR(proje!CT25*100/proje!$I25,"")</f>
        <v/>
      </c>
      <c r="CJ530" s="39" t="str">
        <f>IFERROR(proje!CU25*100/proje!$I25,"")</f>
        <v/>
      </c>
      <c r="CK530" s="39" t="str">
        <f>IFERROR(proje!CV25*100/proje!$I25,"")</f>
        <v/>
      </c>
      <c r="CL530" s="39" t="str">
        <f>IFERROR(proje!CW25*100/proje!$I25,"")</f>
        <v/>
      </c>
      <c r="CM530" s="39" t="str">
        <f>IFERROR(proje!CX25*100/proje!$I25,"")</f>
        <v/>
      </c>
      <c r="CN530" s="39" t="str">
        <f>IFERROR(proje!CY25*100/proje!$I25,"")</f>
        <v/>
      </c>
      <c r="CO530" s="39" t="str">
        <f>IFERROR(proje!CZ25*100/proje!$I25,"")</f>
        <v/>
      </c>
      <c r="CP530" s="39" t="str">
        <f>IFERROR(proje!DA25*100/proje!$I25,"")</f>
        <v/>
      </c>
      <c r="CQ530" s="39" t="str">
        <f>IFERROR(proje!DB25*100/proje!$I25,"")</f>
        <v/>
      </c>
      <c r="CR530" s="39" t="str">
        <f>IFERROR(proje!DC25*100/proje!$I25,"")</f>
        <v/>
      </c>
      <c r="CS530" s="39" t="str">
        <f>IFERROR(proje!DD25*100/proje!$I25,"")</f>
        <v/>
      </c>
      <c r="CT530" s="39" t="str">
        <f>IFERROR(proje!DE25*100/proje!$I25,"")</f>
        <v/>
      </c>
      <c r="CU530" s="39" t="str">
        <f>IFERROR(proje!DF25*100/proje!$I25,"")</f>
        <v/>
      </c>
      <c r="CV530" s="39" t="str">
        <f>IFERROR(proje!DG25*100/proje!$I25,"")</f>
        <v/>
      </c>
      <c r="CW530" s="36" t="str">
        <f>IFERROR(SUM(A530:CV530)/proje!$DH$103,"")</f>
        <v/>
      </c>
      <c r="CX530" s="14" t="str">
        <f>IF(COUNTA(proje!A25),proje!A25,"")</f>
        <v/>
      </c>
      <c r="CY530" s="14" t="str">
        <f>IF(COUNTA(proje!B25),proje!B25,"")</f>
        <v/>
      </c>
      <c r="CZ530" s="14" t="str">
        <f>IF(COUNTA(proje!C25),proje!C25,"")</f>
        <v/>
      </c>
      <c r="DA530" s="14" t="str">
        <f>IF(COUNTA(proje!D25),proje!D25,"")</f>
        <v/>
      </c>
      <c r="DB530" s="14" t="str">
        <f>IF(COUNTA(proje!E25),proje!E25,"")</f>
        <v/>
      </c>
      <c r="DC530" s="14" t="str">
        <f>IF(COUNTA(proje!F25),proje!F25,"")</f>
        <v/>
      </c>
      <c r="DD530" s="14" t="str">
        <f>IF(COUNTA(proje!G25),proje!G25,"")</f>
        <v/>
      </c>
      <c r="DE530" s="14" t="str">
        <f>IF(COUNTA(proje!H25),proje!H25,"")</f>
        <v/>
      </c>
    </row>
    <row r="531" spans="1:109" x14ac:dyDescent="0.2">
      <c r="A531" s="39" t="str">
        <f>IFERROR(proje!L26*100/proje!$I26,"")</f>
        <v/>
      </c>
      <c r="B531" s="39" t="str">
        <f>IFERROR(proje!M26*100/proje!$I26,"")</f>
        <v/>
      </c>
      <c r="C531" s="39" t="str">
        <f>IFERROR(proje!N26*100/proje!$I26,"")</f>
        <v/>
      </c>
      <c r="D531" s="39" t="str">
        <f>IFERROR(proje!O26*100/proje!$I26,"")</f>
        <v/>
      </c>
      <c r="E531" s="39" t="str">
        <f>IFERROR(proje!P26*100/proje!$I26,"")</f>
        <v/>
      </c>
      <c r="F531" s="39" t="str">
        <f>IFERROR(proje!Q26*100/proje!$I26,"")</f>
        <v/>
      </c>
      <c r="G531" s="39" t="str">
        <f>IFERROR(proje!R26*100/proje!$I26,"")</f>
        <v/>
      </c>
      <c r="H531" s="39" t="str">
        <f>IFERROR(proje!S26*100/proje!$I26,"")</f>
        <v/>
      </c>
      <c r="I531" s="39" t="str">
        <f>IFERROR(proje!T26*100/proje!$I26,"")</f>
        <v/>
      </c>
      <c r="J531" s="39" t="str">
        <f>IFERROR(proje!U26*100/proje!$I26,"")</f>
        <v/>
      </c>
      <c r="K531" s="39" t="str">
        <f>IFERROR(proje!V26*100/proje!$I26,"")</f>
        <v/>
      </c>
      <c r="L531" s="39" t="str">
        <f>IFERROR(proje!W26*100/proje!$I26,"")</f>
        <v/>
      </c>
      <c r="M531" s="39" t="str">
        <f>IFERROR(proje!X26*100/proje!$I26,"")</f>
        <v/>
      </c>
      <c r="N531" s="39" t="str">
        <f>IFERROR(proje!Y26*100/proje!$I26,"")</f>
        <v/>
      </c>
      <c r="O531" s="39" t="str">
        <f>IFERROR(proje!Z26*100/proje!$I26,"")</f>
        <v/>
      </c>
      <c r="P531" s="39" t="str">
        <f>IFERROR(proje!AA26*100/proje!$I26,"")</f>
        <v/>
      </c>
      <c r="Q531" s="39" t="str">
        <f>IFERROR(proje!AB26*100/proje!$I26,"")</f>
        <v/>
      </c>
      <c r="R531" s="39" t="str">
        <f>IFERROR(proje!AC26*100/proje!$I26,"")</f>
        <v/>
      </c>
      <c r="S531" s="39" t="str">
        <f>IFERROR(proje!AD26*100/proje!$I26,"")</f>
        <v/>
      </c>
      <c r="T531" s="39" t="str">
        <f>IFERROR(proje!AE26*100/proje!$I26,"")</f>
        <v/>
      </c>
      <c r="U531" s="39" t="str">
        <f>IFERROR(proje!AF26*100/proje!$I26,"")</f>
        <v/>
      </c>
      <c r="V531" s="39" t="str">
        <f>IFERROR(proje!AG26*100/proje!$I26,"")</f>
        <v/>
      </c>
      <c r="W531" s="39" t="str">
        <f>IFERROR(proje!AH26*100/proje!$I26,"")</f>
        <v/>
      </c>
      <c r="X531" s="39" t="str">
        <f>IFERROR(proje!AI26*100/proje!$I26,"")</f>
        <v/>
      </c>
      <c r="Y531" s="39" t="str">
        <f>IFERROR(proje!AJ26*100/proje!$I26,"")</f>
        <v/>
      </c>
      <c r="Z531" s="39" t="str">
        <f>IFERROR(proje!AK26*100/proje!$I26,"")</f>
        <v/>
      </c>
      <c r="AA531" s="39" t="str">
        <f>IFERROR(proje!AL26*100/proje!$I26,"")</f>
        <v/>
      </c>
      <c r="AB531" s="39" t="str">
        <f>IFERROR(proje!AM26*100/proje!$I26,"")</f>
        <v/>
      </c>
      <c r="AC531" s="39" t="str">
        <f>IFERROR(proje!AN26*100/proje!$I26,"")</f>
        <v/>
      </c>
      <c r="AD531" s="39" t="str">
        <f>IFERROR(proje!AO26*100/proje!$I26,"")</f>
        <v/>
      </c>
      <c r="AE531" s="39" t="str">
        <f>IFERROR(proje!AP26*100/proje!$I26,"")</f>
        <v/>
      </c>
      <c r="AF531" s="39" t="str">
        <f>IFERROR(proje!AQ26*100/proje!$I26,"")</f>
        <v/>
      </c>
      <c r="AG531" s="39" t="str">
        <f>IFERROR(proje!AR26*100/proje!$I26,"")</f>
        <v/>
      </c>
      <c r="AH531" s="39" t="str">
        <f>IFERROR(proje!AS26*100/proje!$I26,"")</f>
        <v/>
      </c>
      <c r="AI531" s="39" t="str">
        <f>IFERROR(proje!AT26*100/proje!$I26,"")</f>
        <v/>
      </c>
      <c r="AJ531" s="39" t="str">
        <f>IFERROR(proje!AU26*100/proje!$I26,"")</f>
        <v/>
      </c>
      <c r="AK531" s="39" t="str">
        <f>IFERROR(proje!AV26*100/proje!$I26,"")</f>
        <v/>
      </c>
      <c r="AL531" s="39" t="str">
        <f>IFERROR(proje!AW26*100/proje!$I26,"")</f>
        <v/>
      </c>
      <c r="AM531" s="39" t="str">
        <f>IFERROR(proje!AX26*100/proje!$I26,"")</f>
        <v/>
      </c>
      <c r="AN531" s="39" t="str">
        <f>IFERROR(proje!AY26*100/proje!$I26,"")</f>
        <v/>
      </c>
      <c r="AO531" s="39" t="str">
        <f>IFERROR(proje!AZ26*100/proje!$I26,"")</f>
        <v/>
      </c>
      <c r="AP531" s="39" t="str">
        <f>IFERROR(proje!BA26*100/proje!$I26,"")</f>
        <v/>
      </c>
      <c r="AQ531" s="39" t="str">
        <f>IFERROR(proje!BB26*100/proje!$I26,"")</f>
        <v/>
      </c>
      <c r="AR531" s="39" t="str">
        <f>IFERROR(proje!BC26*100/proje!$I26,"")</f>
        <v/>
      </c>
      <c r="AS531" s="39" t="str">
        <f>IFERROR(proje!BD26*100/proje!$I26,"")</f>
        <v/>
      </c>
      <c r="AT531" s="39" t="str">
        <f>IFERROR(proje!BE26*100/proje!$I26,"")</f>
        <v/>
      </c>
      <c r="AU531" s="39" t="str">
        <f>IFERROR(proje!BF26*100/proje!$I26,"")</f>
        <v/>
      </c>
      <c r="AV531" s="39" t="str">
        <f>IFERROR(proje!BG26*100/proje!$I26,"")</f>
        <v/>
      </c>
      <c r="AW531" s="39" t="str">
        <f>IFERROR(proje!BH26*100/proje!$I26,"")</f>
        <v/>
      </c>
      <c r="AX531" s="39" t="str">
        <f>IFERROR(proje!BI26*100/proje!$I26,"")</f>
        <v/>
      </c>
      <c r="AY531" s="39" t="str">
        <f>IFERROR(proje!BJ26*100/proje!$I26,"")</f>
        <v/>
      </c>
      <c r="AZ531" s="39" t="str">
        <f>IFERROR(proje!BK26*100/proje!$I26,"")</f>
        <v/>
      </c>
      <c r="BA531" s="39" t="str">
        <f>IFERROR(proje!BL26*100/proje!$I26,"")</f>
        <v/>
      </c>
      <c r="BB531" s="39" t="str">
        <f>IFERROR(proje!BM26*100/proje!$I26,"")</f>
        <v/>
      </c>
      <c r="BC531" s="39" t="str">
        <f>IFERROR(proje!BN26*100/proje!$I26,"")</f>
        <v/>
      </c>
      <c r="BD531" s="39" t="str">
        <f>IFERROR(proje!BO26*100/proje!$I26,"")</f>
        <v/>
      </c>
      <c r="BE531" s="39" t="str">
        <f>IFERROR(proje!BP26*100/proje!$I26,"")</f>
        <v/>
      </c>
      <c r="BF531" s="39" t="str">
        <f>IFERROR(proje!BQ26*100/proje!$I26,"")</f>
        <v/>
      </c>
      <c r="BG531" s="39" t="str">
        <f>IFERROR(proje!BR26*100/proje!$I26,"")</f>
        <v/>
      </c>
      <c r="BH531" s="39" t="str">
        <f>IFERROR(proje!BS26*100/proje!$I26,"")</f>
        <v/>
      </c>
      <c r="BI531" s="39" t="str">
        <f>IFERROR(proje!BT26*100/proje!$I26,"")</f>
        <v/>
      </c>
      <c r="BJ531" s="39" t="str">
        <f>IFERROR(proje!BU26*100/proje!$I26,"")</f>
        <v/>
      </c>
      <c r="BK531" s="39" t="str">
        <f>IFERROR(proje!BV26*100/proje!$I26,"")</f>
        <v/>
      </c>
      <c r="BL531" s="39" t="str">
        <f>IFERROR(proje!BW26*100/proje!$I26,"")</f>
        <v/>
      </c>
      <c r="BM531" s="39" t="str">
        <f>IFERROR(proje!BX26*100/proje!$I26,"")</f>
        <v/>
      </c>
      <c r="BN531" s="39" t="str">
        <f>IFERROR(proje!BY26*100/proje!$I26,"")</f>
        <v/>
      </c>
      <c r="BO531" s="39" t="str">
        <f>IFERROR(proje!BZ26*100/proje!$I26,"")</f>
        <v/>
      </c>
      <c r="BP531" s="39" t="str">
        <f>IFERROR(proje!CA26*100/proje!$I26,"")</f>
        <v/>
      </c>
      <c r="BQ531" s="39" t="str">
        <f>IFERROR(proje!CB26*100/proje!$I26,"")</f>
        <v/>
      </c>
      <c r="BR531" s="39" t="str">
        <f>IFERROR(proje!CC26*100/proje!$I26,"")</f>
        <v/>
      </c>
      <c r="BS531" s="39" t="str">
        <f>IFERROR(proje!CD26*100/proje!$I26,"")</f>
        <v/>
      </c>
      <c r="BT531" s="39" t="str">
        <f>IFERROR(proje!CE26*100/proje!$I26,"")</f>
        <v/>
      </c>
      <c r="BU531" s="39" t="str">
        <f>IFERROR(proje!CF26*100/proje!$I26,"")</f>
        <v/>
      </c>
      <c r="BV531" s="39" t="str">
        <f>IFERROR(proje!CG26*100/proje!$I26,"")</f>
        <v/>
      </c>
      <c r="BW531" s="39" t="str">
        <f>IFERROR(proje!CH26*100/proje!$I26,"")</f>
        <v/>
      </c>
      <c r="BX531" s="39" t="str">
        <f>IFERROR(proje!CI26*100/proje!$I26,"")</f>
        <v/>
      </c>
      <c r="BY531" s="39" t="str">
        <f>IFERROR(proje!CJ26*100/proje!$I26,"")</f>
        <v/>
      </c>
      <c r="BZ531" s="39" t="str">
        <f>IFERROR(proje!CK26*100/proje!$I26,"")</f>
        <v/>
      </c>
      <c r="CA531" s="39" t="str">
        <f>IFERROR(proje!CL26*100/proje!$I26,"")</f>
        <v/>
      </c>
      <c r="CB531" s="39" t="str">
        <f>IFERROR(proje!CM26*100/proje!$I26,"")</f>
        <v/>
      </c>
      <c r="CC531" s="39" t="str">
        <f>IFERROR(proje!CN26*100/proje!$I26,"")</f>
        <v/>
      </c>
      <c r="CD531" s="39" t="str">
        <f>IFERROR(proje!CO26*100/proje!$I26,"")</f>
        <v/>
      </c>
      <c r="CE531" s="39" t="str">
        <f>IFERROR(proje!CP26*100/proje!$I26,"")</f>
        <v/>
      </c>
      <c r="CF531" s="39" t="str">
        <f>IFERROR(proje!CQ26*100/proje!$I26,"")</f>
        <v/>
      </c>
      <c r="CG531" s="39" t="str">
        <f>IFERROR(proje!CR26*100/proje!$I26,"")</f>
        <v/>
      </c>
      <c r="CH531" s="39" t="str">
        <f>IFERROR(proje!CS26*100/proje!$I26,"")</f>
        <v/>
      </c>
      <c r="CI531" s="39" t="str">
        <f>IFERROR(proje!CT26*100/proje!$I26,"")</f>
        <v/>
      </c>
      <c r="CJ531" s="39" t="str">
        <f>IFERROR(proje!CU26*100/proje!$I26,"")</f>
        <v/>
      </c>
      <c r="CK531" s="39" t="str">
        <f>IFERROR(proje!CV26*100/proje!$I26,"")</f>
        <v/>
      </c>
      <c r="CL531" s="39" t="str">
        <f>IFERROR(proje!CW26*100/proje!$I26,"")</f>
        <v/>
      </c>
      <c r="CM531" s="39" t="str">
        <f>IFERROR(proje!CX26*100/proje!$I26,"")</f>
        <v/>
      </c>
      <c r="CN531" s="39" t="str">
        <f>IFERROR(proje!CY26*100/proje!$I26,"")</f>
        <v/>
      </c>
      <c r="CO531" s="39" t="str">
        <f>IFERROR(proje!CZ26*100/proje!$I26,"")</f>
        <v/>
      </c>
      <c r="CP531" s="39" t="str">
        <f>IFERROR(proje!DA26*100/proje!$I26,"")</f>
        <v/>
      </c>
      <c r="CQ531" s="39" t="str">
        <f>IFERROR(proje!DB26*100/proje!$I26,"")</f>
        <v/>
      </c>
      <c r="CR531" s="39" t="str">
        <f>IFERROR(proje!DC26*100/proje!$I26,"")</f>
        <v/>
      </c>
      <c r="CS531" s="39" t="str">
        <f>IFERROR(proje!DD26*100/proje!$I26,"")</f>
        <v/>
      </c>
      <c r="CT531" s="39" t="str">
        <f>IFERROR(proje!DE26*100/proje!$I26,"")</f>
        <v/>
      </c>
      <c r="CU531" s="39" t="str">
        <f>IFERROR(proje!DF26*100/proje!$I26,"")</f>
        <v/>
      </c>
      <c r="CV531" s="39" t="str">
        <f>IFERROR(proje!DG26*100/proje!$I26,"")</f>
        <v/>
      </c>
      <c r="CW531" s="36" t="str">
        <f>IFERROR(SUM(A531:CV531)/proje!$DH$103,"")</f>
        <v/>
      </c>
      <c r="CX531" s="14" t="str">
        <f>IF(COUNTA(proje!A26),proje!A26,"")</f>
        <v/>
      </c>
      <c r="CY531" s="14" t="str">
        <f>IF(COUNTA(proje!B26),proje!B26,"")</f>
        <v/>
      </c>
      <c r="CZ531" s="14" t="str">
        <f>IF(COUNTA(proje!C26),proje!C26,"")</f>
        <v/>
      </c>
      <c r="DA531" s="14" t="str">
        <f>IF(COUNTA(proje!D26),proje!D26,"")</f>
        <v/>
      </c>
      <c r="DB531" s="14" t="str">
        <f>IF(COUNTA(proje!E26),proje!E26,"")</f>
        <v/>
      </c>
      <c r="DC531" s="14" t="str">
        <f>IF(COUNTA(proje!F26),proje!F26,"")</f>
        <v/>
      </c>
      <c r="DD531" s="14" t="str">
        <f>IF(COUNTA(proje!G26),proje!G26,"")</f>
        <v/>
      </c>
      <c r="DE531" s="14" t="str">
        <f>IF(COUNTA(proje!H26),proje!H26,"")</f>
        <v/>
      </c>
    </row>
    <row r="532" spans="1:109" x14ac:dyDescent="0.2">
      <c r="A532" s="39" t="str">
        <f>IFERROR(proje!L27*100/proje!$I27,"")</f>
        <v/>
      </c>
      <c r="B532" s="39" t="str">
        <f>IFERROR(proje!M27*100/proje!$I27,"")</f>
        <v/>
      </c>
      <c r="C532" s="39" t="str">
        <f>IFERROR(proje!N27*100/proje!$I27,"")</f>
        <v/>
      </c>
      <c r="D532" s="39" t="str">
        <f>IFERROR(proje!O27*100/proje!$I27,"")</f>
        <v/>
      </c>
      <c r="E532" s="39" t="str">
        <f>IFERROR(proje!P27*100/proje!$I27,"")</f>
        <v/>
      </c>
      <c r="F532" s="39" t="str">
        <f>IFERROR(proje!Q27*100/proje!$I27,"")</f>
        <v/>
      </c>
      <c r="G532" s="39" t="str">
        <f>IFERROR(proje!R27*100/proje!$I27,"")</f>
        <v/>
      </c>
      <c r="H532" s="39" t="str">
        <f>IFERROR(proje!S27*100/proje!$I27,"")</f>
        <v/>
      </c>
      <c r="I532" s="39" t="str">
        <f>IFERROR(proje!T27*100/proje!$I27,"")</f>
        <v/>
      </c>
      <c r="J532" s="39" t="str">
        <f>IFERROR(proje!U27*100/proje!$I27,"")</f>
        <v/>
      </c>
      <c r="K532" s="39" t="str">
        <f>IFERROR(proje!V27*100/proje!$I27,"")</f>
        <v/>
      </c>
      <c r="L532" s="39" t="str">
        <f>IFERROR(proje!W27*100/proje!$I27,"")</f>
        <v/>
      </c>
      <c r="M532" s="39" t="str">
        <f>IFERROR(proje!X27*100/proje!$I27,"")</f>
        <v/>
      </c>
      <c r="N532" s="39" t="str">
        <f>IFERROR(proje!Y27*100/proje!$I27,"")</f>
        <v/>
      </c>
      <c r="O532" s="39" t="str">
        <f>IFERROR(proje!Z27*100/proje!$I27,"")</f>
        <v/>
      </c>
      <c r="P532" s="39" t="str">
        <f>IFERROR(proje!AA27*100/proje!$I27,"")</f>
        <v/>
      </c>
      <c r="Q532" s="39" t="str">
        <f>IFERROR(proje!AB27*100/proje!$I27,"")</f>
        <v/>
      </c>
      <c r="R532" s="39" t="str">
        <f>IFERROR(proje!AC27*100/proje!$I27,"")</f>
        <v/>
      </c>
      <c r="S532" s="39" t="str">
        <f>IFERROR(proje!AD27*100/proje!$I27,"")</f>
        <v/>
      </c>
      <c r="T532" s="39" t="str">
        <f>IFERROR(proje!AE27*100/proje!$I27,"")</f>
        <v/>
      </c>
      <c r="U532" s="39" t="str">
        <f>IFERROR(proje!AF27*100/proje!$I27,"")</f>
        <v/>
      </c>
      <c r="V532" s="39" t="str">
        <f>IFERROR(proje!AG27*100/proje!$I27,"")</f>
        <v/>
      </c>
      <c r="W532" s="39" t="str">
        <f>IFERROR(proje!AH27*100/proje!$I27,"")</f>
        <v/>
      </c>
      <c r="X532" s="39" t="str">
        <f>IFERROR(proje!AI27*100/proje!$I27,"")</f>
        <v/>
      </c>
      <c r="Y532" s="39" t="str">
        <f>IFERROR(proje!AJ27*100/proje!$I27,"")</f>
        <v/>
      </c>
      <c r="Z532" s="39" t="str">
        <f>IFERROR(proje!AK27*100/proje!$I27,"")</f>
        <v/>
      </c>
      <c r="AA532" s="39" t="str">
        <f>IFERROR(proje!AL27*100/proje!$I27,"")</f>
        <v/>
      </c>
      <c r="AB532" s="39" t="str">
        <f>IFERROR(proje!AM27*100/proje!$I27,"")</f>
        <v/>
      </c>
      <c r="AC532" s="39" t="str">
        <f>IFERROR(proje!AN27*100/proje!$I27,"")</f>
        <v/>
      </c>
      <c r="AD532" s="39" t="str">
        <f>IFERROR(proje!AO27*100/proje!$I27,"")</f>
        <v/>
      </c>
      <c r="AE532" s="39" t="str">
        <f>IFERROR(proje!AP27*100/proje!$I27,"")</f>
        <v/>
      </c>
      <c r="AF532" s="39" t="str">
        <f>IFERROR(proje!AQ27*100/proje!$I27,"")</f>
        <v/>
      </c>
      <c r="AG532" s="39" t="str">
        <f>IFERROR(proje!AR27*100/proje!$I27,"")</f>
        <v/>
      </c>
      <c r="AH532" s="39" t="str">
        <f>IFERROR(proje!AS27*100/proje!$I27,"")</f>
        <v/>
      </c>
      <c r="AI532" s="39" t="str">
        <f>IFERROR(proje!AT27*100/proje!$I27,"")</f>
        <v/>
      </c>
      <c r="AJ532" s="39" t="str">
        <f>IFERROR(proje!AU27*100/proje!$I27,"")</f>
        <v/>
      </c>
      <c r="AK532" s="39" t="str">
        <f>IFERROR(proje!AV27*100/proje!$I27,"")</f>
        <v/>
      </c>
      <c r="AL532" s="39" t="str">
        <f>IFERROR(proje!AW27*100/proje!$I27,"")</f>
        <v/>
      </c>
      <c r="AM532" s="39" t="str">
        <f>IFERROR(proje!AX27*100/proje!$I27,"")</f>
        <v/>
      </c>
      <c r="AN532" s="39" t="str">
        <f>IFERROR(proje!AY27*100/proje!$I27,"")</f>
        <v/>
      </c>
      <c r="AO532" s="39" t="str">
        <f>IFERROR(proje!AZ27*100/proje!$I27,"")</f>
        <v/>
      </c>
      <c r="AP532" s="39" t="str">
        <f>IFERROR(proje!BA27*100/proje!$I27,"")</f>
        <v/>
      </c>
      <c r="AQ532" s="39" t="str">
        <f>IFERROR(proje!BB27*100/proje!$I27,"")</f>
        <v/>
      </c>
      <c r="AR532" s="39" t="str">
        <f>IFERROR(proje!BC27*100/proje!$I27,"")</f>
        <v/>
      </c>
      <c r="AS532" s="39" t="str">
        <f>IFERROR(proje!BD27*100/proje!$I27,"")</f>
        <v/>
      </c>
      <c r="AT532" s="39" t="str">
        <f>IFERROR(proje!BE27*100/proje!$I27,"")</f>
        <v/>
      </c>
      <c r="AU532" s="39" t="str">
        <f>IFERROR(proje!BF27*100/proje!$I27,"")</f>
        <v/>
      </c>
      <c r="AV532" s="39" t="str">
        <f>IFERROR(proje!BG27*100/proje!$I27,"")</f>
        <v/>
      </c>
      <c r="AW532" s="39" t="str">
        <f>IFERROR(proje!BH27*100/proje!$I27,"")</f>
        <v/>
      </c>
      <c r="AX532" s="39" t="str">
        <f>IFERROR(proje!BI27*100/proje!$I27,"")</f>
        <v/>
      </c>
      <c r="AY532" s="39" t="str">
        <f>IFERROR(proje!BJ27*100/proje!$I27,"")</f>
        <v/>
      </c>
      <c r="AZ532" s="39" t="str">
        <f>IFERROR(proje!BK27*100/proje!$I27,"")</f>
        <v/>
      </c>
      <c r="BA532" s="39" t="str">
        <f>IFERROR(proje!BL27*100/proje!$I27,"")</f>
        <v/>
      </c>
      <c r="BB532" s="39" t="str">
        <f>IFERROR(proje!BM27*100/proje!$I27,"")</f>
        <v/>
      </c>
      <c r="BC532" s="39" t="str">
        <f>IFERROR(proje!BN27*100/proje!$I27,"")</f>
        <v/>
      </c>
      <c r="BD532" s="39" t="str">
        <f>IFERROR(proje!BO27*100/proje!$I27,"")</f>
        <v/>
      </c>
      <c r="BE532" s="39" t="str">
        <f>IFERROR(proje!BP27*100/proje!$I27,"")</f>
        <v/>
      </c>
      <c r="BF532" s="39" t="str">
        <f>IFERROR(proje!BQ27*100/proje!$I27,"")</f>
        <v/>
      </c>
      <c r="BG532" s="39" t="str">
        <f>IFERROR(proje!BR27*100/proje!$I27,"")</f>
        <v/>
      </c>
      <c r="BH532" s="39" t="str">
        <f>IFERROR(proje!BS27*100/proje!$I27,"")</f>
        <v/>
      </c>
      <c r="BI532" s="39" t="str">
        <f>IFERROR(proje!BT27*100/proje!$I27,"")</f>
        <v/>
      </c>
      <c r="BJ532" s="39" t="str">
        <f>IFERROR(proje!BU27*100/proje!$I27,"")</f>
        <v/>
      </c>
      <c r="BK532" s="39" t="str">
        <f>IFERROR(proje!BV27*100/proje!$I27,"")</f>
        <v/>
      </c>
      <c r="BL532" s="39" t="str">
        <f>IFERROR(proje!BW27*100/proje!$I27,"")</f>
        <v/>
      </c>
      <c r="BM532" s="39" t="str">
        <f>IFERROR(proje!BX27*100/proje!$I27,"")</f>
        <v/>
      </c>
      <c r="BN532" s="39" t="str">
        <f>IFERROR(proje!BY27*100/proje!$I27,"")</f>
        <v/>
      </c>
      <c r="BO532" s="39" t="str">
        <f>IFERROR(proje!BZ27*100/proje!$I27,"")</f>
        <v/>
      </c>
      <c r="BP532" s="39" t="str">
        <f>IFERROR(proje!CA27*100/proje!$I27,"")</f>
        <v/>
      </c>
      <c r="BQ532" s="39" t="str">
        <f>IFERROR(proje!CB27*100/proje!$I27,"")</f>
        <v/>
      </c>
      <c r="BR532" s="39" t="str">
        <f>IFERROR(proje!CC27*100/proje!$I27,"")</f>
        <v/>
      </c>
      <c r="BS532" s="39" t="str">
        <f>IFERROR(proje!CD27*100/proje!$I27,"")</f>
        <v/>
      </c>
      <c r="BT532" s="39" t="str">
        <f>IFERROR(proje!CE27*100/proje!$I27,"")</f>
        <v/>
      </c>
      <c r="BU532" s="39" t="str">
        <f>IFERROR(proje!CF27*100/proje!$I27,"")</f>
        <v/>
      </c>
      <c r="BV532" s="39" t="str">
        <f>IFERROR(proje!CG27*100/proje!$I27,"")</f>
        <v/>
      </c>
      <c r="BW532" s="39" t="str">
        <f>IFERROR(proje!CH27*100/proje!$I27,"")</f>
        <v/>
      </c>
      <c r="BX532" s="39" t="str">
        <f>IFERROR(proje!CI27*100/proje!$I27,"")</f>
        <v/>
      </c>
      <c r="BY532" s="39" t="str">
        <f>IFERROR(proje!CJ27*100/proje!$I27,"")</f>
        <v/>
      </c>
      <c r="BZ532" s="39" t="str">
        <f>IFERROR(proje!CK27*100/proje!$I27,"")</f>
        <v/>
      </c>
      <c r="CA532" s="39" t="str">
        <f>IFERROR(proje!CL27*100/proje!$I27,"")</f>
        <v/>
      </c>
      <c r="CB532" s="39" t="str">
        <f>IFERROR(proje!CM27*100/proje!$I27,"")</f>
        <v/>
      </c>
      <c r="CC532" s="39" t="str">
        <f>IFERROR(proje!CN27*100/proje!$I27,"")</f>
        <v/>
      </c>
      <c r="CD532" s="39" t="str">
        <f>IFERROR(proje!CO27*100/proje!$I27,"")</f>
        <v/>
      </c>
      <c r="CE532" s="39" t="str">
        <f>IFERROR(proje!CP27*100/proje!$I27,"")</f>
        <v/>
      </c>
      <c r="CF532" s="39" t="str">
        <f>IFERROR(proje!CQ27*100/proje!$I27,"")</f>
        <v/>
      </c>
      <c r="CG532" s="39" t="str">
        <f>IFERROR(proje!CR27*100/proje!$I27,"")</f>
        <v/>
      </c>
      <c r="CH532" s="39" t="str">
        <f>IFERROR(proje!CS27*100/proje!$I27,"")</f>
        <v/>
      </c>
      <c r="CI532" s="39" t="str">
        <f>IFERROR(proje!CT27*100/proje!$I27,"")</f>
        <v/>
      </c>
      <c r="CJ532" s="39" t="str">
        <f>IFERROR(proje!CU27*100/proje!$I27,"")</f>
        <v/>
      </c>
      <c r="CK532" s="39" t="str">
        <f>IFERROR(proje!CV27*100/proje!$I27,"")</f>
        <v/>
      </c>
      <c r="CL532" s="39" t="str">
        <f>IFERROR(proje!CW27*100/proje!$I27,"")</f>
        <v/>
      </c>
      <c r="CM532" s="39" t="str">
        <f>IFERROR(proje!CX27*100/proje!$I27,"")</f>
        <v/>
      </c>
      <c r="CN532" s="39" t="str">
        <f>IFERROR(proje!CY27*100/proje!$I27,"")</f>
        <v/>
      </c>
      <c r="CO532" s="39" t="str">
        <f>IFERROR(proje!CZ27*100/proje!$I27,"")</f>
        <v/>
      </c>
      <c r="CP532" s="39" t="str">
        <f>IFERROR(proje!DA27*100/proje!$I27,"")</f>
        <v/>
      </c>
      <c r="CQ532" s="39" t="str">
        <f>IFERROR(proje!DB27*100/proje!$I27,"")</f>
        <v/>
      </c>
      <c r="CR532" s="39" t="str">
        <f>IFERROR(proje!DC27*100/proje!$I27,"")</f>
        <v/>
      </c>
      <c r="CS532" s="39" t="str">
        <f>IFERROR(proje!DD27*100/proje!$I27,"")</f>
        <v/>
      </c>
      <c r="CT532" s="39" t="str">
        <f>IFERROR(proje!DE27*100/proje!$I27,"")</f>
        <v/>
      </c>
      <c r="CU532" s="39" t="str">
        <f>IFERROR(proje!DF27*100/proje!$I27,"")</f>
        <v/>
      </c>
      <c r="CV532" s="39" t="str">
        <f>IFERROR(proje!DG27*100/proje!$I27,"")</f>
        <v/>
      </c>
      <c r="CW532" s="36" t="str">
        <f>IFERROR(SUM(A532:CV532)/proje!$DH$103,"")</f>
        <v/>
      </c>
      <c r="CX532" s="14" t="str">
        <f>IF(COUNTA(proje!A27),proje!A27,"")</f>
        <v/>
      </c>
      <c r="CY532" s="14" t="str">
        <f>IF(COUNTA(proje!B27),proje!B27,"")</f>
        <v/>
      </c>
      <c r="CZ532" s="14" t="str">
        <f>IF(COUNTA(proje!C27),proje!C27,"")</f>
        <v/>
      </c>
      <c r="DA532" s="14" t="str">
        <f>IF(COUNTA(proje!D27),proje!D27,"")</f>
        <v/>
      </c>
      <c r="DB532" s="14" t="str">
        <f>IF(COUNTA(proje!E27),proje!E27,"")</f>
        <v/>
      </c>
      <c r="DC532" s="14" t="str">
        <f>IF(COUNTA(proje!F27),proje!F27,"")</f>
        <v/>
      </c>
      <c r="DD532" s="14" t="str">
        <f>IF(COUNTA(proje!G27),proje!G27,"")</f>
        <v/>
      </c>
      <c r="DE532" s="14" t="str">
        <f>IF(COUNTA(proje!H27),proje!H27,"")</f>
        <v/>
      </c>
    </row>
    <row r="533" spans="1:109" x14ac:dyDescent="0.2">
      <c r="A533" s="39" t="str">
        <f>IFERROR(proje!L28*100/proje!$I28,"")</f>
        <v/>
      </c>
      <c r="B533" s="39" t="str">
        <f>IFERROR(proje!M28*100/proje!$I28,"")</f>
        <v/>
      </c>
      <c r="C533" s="39" t="str">
        <f>IFERROR(proje!N28*100/proje!$I28,"")</f>
        <v/>
      </c>
      <c r="D533" s="39" t="str">
        <f>IFERROR(proje!O28*100/proje!$I28,"")</f>
        <v/>
      </c>
      <c r="E533" s="39" t="str">
        <f>IFERROR(proje!P28*100/proje!$I28,"")</f>
        <v/>
      </c>
      <c r="F533" s="39" t="str">
        <f>IFERROR(proje!Q28*100/proje!$I28,"")</f>
        <v/>
      </c>
      <c r="G533" s="39" t="str">
        <f>IFERROR(proje!R28*100/proje!$I28,"")</f>
        <v/>
      </c>
      <c r="H533" s="39" t="str">
        <f>IFERROR(proje!S28*100/proje!$I28,"")</f>
        <v/>
      </c>
      <c r="I533" s="39" t="str">
        <f>IFERROR(proje!T28*100/proje!$I28,"")</f>
        <v/>
      </c>
      <c r="J533" s="39" t="str">
        <f>IFERROR(proje!U28*100/proje!$I28,"")</f>
        <v/>
      </c>
      <c r="K533" s="39" t="str">
        <f>IFERROR(proje!V28*100/proje!$I28,"")</f>
        <v/>
      </c>
      <c r="L533" s="39" t="str">
        <f>IFERROR(proje!W28*100/proje!$I28,"")</f>
        <v/>
      </c>
      <c r="M533" s="39" t="str">
        <f>IFERROR(proje!X28*100/proje!$I28,"")</f>
        <v/>
      </c>
      <c r="N533" s="39" t="str">
        <f>IFERROR(proje!Y28*100/proje!$I28,"")</f>
        <v/>
      </c>
      <c r="O533" s="39" t="str">
        <f>IFERROR(proje!Z28*100/proje!$I28,"")</f>
        <v/>
      </c>
      <c r="P533" s="39" t="str">
        <f>IFERROR(proje!AA28*100/proje!$I28,"")</f>
        <v/>
      </c>
      <c r="Q533" s="39" t="str">
        <f>IFERROR(proje!AB28*100/proje!$I28,"")</f>
        <v/>
      </c>
      <c r="R533" s="39" t="str">
        <f>IFERROR(proje!AC28*100/proje!$I28,"")</f>
        <v/>
      </c>
      <c r="S533" s="39" t="str">
        <f>IFERROR(proje!AD28*100/proje!$I28,"")</f>
        <v/>
      </c>
      <c r="T533" s="39" t="str">
        <f>IFERROR(proje!AE28*100/proje!$I28,"")</f>
        <v/>
      </c>
      <c r="U533" s="39" t="str">
        <f>IFERROR(proje!AF28*100/proje!$I28,"")</f>
        <v/>
      </c>
      <c r="V533" s="39" t="str">
        <f>IFERROR(proje!AG28*100/proje!$I28,"")</f>
        <v/>
      </c>
      <c r="W533" s="39" t="str">
        <f>IFERROR(proje!AH28*100/proje!$I28,"")</f>
        <v/>
      </c>
      <c r="X533" s="39" t="str">
        <f>IFERROR(proje!AI28*100/proje!$I28,"")</f>
        <v/>
      </c>
      <c r="Y533" s="39" t="str">
        <f>IFERROR(proje!AJ28*100/proje!$I28,"")</f>
        <v/>
      </c>
      <c r="Z533" s="39" t="str">
        <f>IFERROR(proje!AK28*100/proje!$I28,"")</f>
        <v/>
      </c>
      <c r="AA533" s="39" t="str">
        <f>IFERROR(proje!AL28*100/proje!$I28,"")</f>
        <v/>
      </c>
      <c r="AB533" s="39" t="str">
        <f>IFERROR(proje!AM28*100/proje!$I28,"")</f>
        <v/>
      </c>
      <c r="AC533" s="39" t="str">
        <f>IFERROR(proje!AN28*100/proje!$I28,"")</f>
        <v/>
      </c>
      <c r="AD533" s="39" t="str">
        <f>IFERROR(proje!AO28*100/proje!$I28,"")</f>
        <v/>
      </c>
      <c r="AE533" s="39" t="str">
        <f>IFERROR(proje!AP28*100/proje!$I28,"")</f>
        <v/>
      </c>
      <c r="AF533" s="39" t="str">
        <f>IFERROR(proje!AQ28*100/proje!$I28,"")</f>
        <v/>
      </c>
      <c r="AG533" s="39" t="str">
        <f>IFERROR(proje!AR28*100/proje!$I28,"")</f>
        <v/>
      </c>
      <c r="AH533" s="39" t="str">
        <f>IFERROR(proje!AS28*100/proje!$I28,"")</f>
        <v/>
      </c>
      <c r="AI533" s="39" t="str">
        <f>IFERROR(proje!AT28*100/proje!$I28,"")</f>
        <v/>
      </c>
      <c r="AJ533" s="39" t="str">
        <f>IFERROR(proje!AU28*100/proje!$I28,"")</f>
        <v/>
      </c>
      <c r="AK533" s="39" t="str">
        <f>IFERROR(proje!AV28*100/proje!$I28,"")</f>
        <v/>
      </c>
      <c r="AL533" s="39" t="str">
        <f>IFERROR(proje!AW28*100/proje!$I28,"")</f>
        <v/>
      </c>
      <c r="AM533" s="39" t="str">
        <f>IFERROR(proje!AX28*100/proje!$I28,"")</f>
        <v/>
      </c>
      <c r="AN533" s="39" t="str">
        <f>IFERROR(proje!AY28*100/proje!$I28,"")</f>
        <v/>
      </c>
      <c r="AO533" s="39" t="str">
        <f>IFERROR(proje!AZ28*100/proje!$I28,"")</f>
        <v/>
      </c>
      <c r="AP533" s="39" t="str">
        <f>IFERROR(proje!BA28*100/proje!$I28,"")</f>
        <v/>
      </c>
      <c r="AQ533" s="39" t="str">
        <f>IFERROR(proje!BB28*100/proje!$I28,"")</f>
        <v/>
      </c>
      <c r="AR533" s="39" t="str">
        <f>IFERROR(proje!BC28*100/proje!$I28,"")</f>
        <v/>
      </c>
      <c r="AS533" s="39" t="str">
        <f>IFERROR(proje!BD28*100/proje!$I28,"")</f>
        <v/>
      </c>
      <c r="AT533" s="39" t="str">
        <f>IFERROR(proje!BE28*100/proje!$I28,"")</f>
        <v/>
      </c>
      <c r="AU533" s="39" t="str">
        <f>IFERROR(proje!BF28*100/proje!$I28,"")</f>
        <v/>
      </c>
      <c r="AV533" s="39" t="str">
        <f>IFERROR(proje!BG28*100/proje!$I28,"")</f>
        <v/>
      </c>
      <c r="AW533" s="39" t="str">
        <f>IFERROR(proje!BH28*100/proje!$I28,"")</f>
        <v/>
      </c>
      <c r="AX533" s="39" t="str">
        <f>IFERROR(proje!BI28*100/proje!$I28,"")</f>
        <v/>
      </c>
      <c r="AY533" s="39" t="str">
        <f>IFERROR(proje!BJ28*100/proje!$I28,"")</f>
        <v/>
      </c>
      <c r="AZ533" s="39" t="str">
        <f>IFERROR(proje!BK28*100/proje!$I28,"")</f>
        <v/>
      </c>
      <c r="BA533" s="39" t="str">
        <f>IFERROR(proje!BL28*100/proje!$I28,"")</f>
        <v/>
      </c>
      <c r="BB533" s="39" t="str">
        <f>IFERROR(proje!BM28*100/proje!$I28,"")</f>
        <v/>
      </c>
      <c r="BC533" s="39" t="str">
        <f>IFERROR(proje!BN28*100/proje!$I28,"")</f>
        <v/>
      </c>
      <c r="BD533" s="39" t="str">
        <f>IFERROR(proje!BO28*100/proje!$I28,"")</f>
        <v/>
      </c>
      <c r="BE533" s="39" t="str">
        <f>IFERROR(proje!BP28*100/proje!$I28,"")</f>
        <v/>
      </c>
      <c r="BF533" s="39" t="str">
        <f>IFERROR(proje!BQ28*100/proje!$I28,"")</f>
        <v/>
      </c>
      <c r="BG533" s="39" t="str">
        <f>IFERROR(proje!BR28*100/proje!$I28,"")</f>
        <v/>
      </c>
      <c r="BH533" s="39" t="str">
        <f>IFERROR(proje!BS28*100/proje!$I28,"")</f>
        <v/>
      </c>
      <c r="BI533" s="39" t="str">
        <f>IFERROR(proje!BT28*100/proje!$I28,"")</f>
        <v/>
      </c>
      <c r="BJ533" s="39" t="str">
        <f>IFERROR(proje!BU28*100/proje!$I28,"")</f>
        <v/>
      </c>
      <c r="BK533" s="39" t="str">
        <f>IFERROR(proje!BV28*100/proje!$I28,"")</f>
        <v/>
      </c>
      <c r="BL533" s="39" t="str">
        <f>IFERROR(proje!BW28*100/proje!$I28,"")</f>
        <v/>
      </c>
      <c r="BM533" s="39" t="str">
        <f>IFERROR(proje!BX28*100/proje!$I28,"")</f>
        <v/>
      </c>
      <c r="BN533" s="39" t="str">
        <f>IFERROR(proje!BY28*100/proje!$I28,"")</f>
        <v/>
      </c>
      <c r="BO533" s="39" t="str">
        <f>IFERROR(proje!BZ28*100/proje!$I28,"")</f>
        <v/>
      </c>
      <c r="BP533" s="39" t="str">
        <f>IFERROR(proje!CA28*100/proje!$I28,"")</f>
        <v/>
      </c>
      <c r="BQ533" s="39" t="str">
        <f>IFERROR(proje!CB28*100/proje!$I28,"")</f>
        <v/>
      </c>
      <c r="BR533" s="39" t="str">
        <f>IFERROR(proje!CC28*100/proje!$I28,"")</f>
        <v/>
      </c>
      <c r="BS533" s="39" t="str">
        <f>IFERROR(proje!CD28*100/proje!$I28,"")</f>
        <v/>
      </c>
      <c r="BT533" s="39" t="str">
        <f>IFERROR(proje!CE28*100/proje!$I28,"")</f>
        <v/>
      </c>
      <c r="BU533" s="39" t="str">
        <f>IFERROR(proje!CF28*100/proje!$I28,"")</f>
        <v/>
      </c>
      <c r="BV533" s="39" t="str">
        <f>IFERROR(proje!CG28*100/proje!$I28,"")</f>
        <v/>
      </c>
      <c r="BW533" s="39" t="str">
        <f>IFERROR(proje!CH28*100/proje!$I28,"")</f>
        <v/>
      </c>
      <c r="BX533" s="39" t="str">
        <f>IFERROR(proje!CI28*100/proje!$I28,"")</f>
        <v/>
      </c>
      <c r="BY533" s="39" t="str">
        <f>IFERROR(proje!CJ28*100/proje!$I28,"")</f>
        <v/>
      </c>
      <c r="BZ533" s="39" t="str">
        <f>IFERROR(proje!CK28*100/proje!$I28,"")</f>
        <v/>
      </c>
      <c r="CA533" s="39" t="str">
        <f>IFERROR(proje!CL28*100/proje!$I28,"")</f>
        <v/>
      </c>
      <c r="CB533" s="39" t="str">
        <f>IFERROR(proje!CM28*100/proje!$I28,"")</f>
        <v/>
      </c>
      <c r="CC533" s="39" t="str">
        <f>IFERROR(proje!CN28*100/proje!$I28,"")</f>
        <v/>
      </c>
      <c r="CD533" s="39" t="str">
        <f>IFERROR(proje!CO28*100/proje!$I28,"")</f>
        <v/>
      </c>
      <c r="CE533" s="39" t="str">
        <f>IFERROR(proje!CP28*100/proje!$I28,"")</f>
        <v/>
      </c>
      <c r="CF533" s="39" t="str">
        <f>IFERROR(proje!CQ28*100/proje!$I28,"")</f>
        <v/>
      </c>
      <c r="CG533" s="39" t="str">
        <f>IFERROR(proje!CR28*100/proje!$I28,"")</f>
        <v/>
      </c>
      <c r="CH533" s="39" t="str">
        <f>IFERROR(proje!CS28*100/proje!$I28,"")</f>
        <v/>
      </c>
      <c r="CI533" s="39" t="str">
        <f>IFERROR(proje!CT28*100/proje!$I28,"")</f>
        <v/>
      </c>
      <c r="CJ533" s="39" t="str">
        <f>IFERROR(proje!CU28*100/proje!$I28,"")</f>
        <v/>
      </c>
      <c r="CK533" s="39" t="str">
        <f>IFERROR(proje!CV28*100/proje!$I28,"")</f>
        <v/>
      </c>
      <c r="CL533" s="39" t="str">
        <f>IFERROR(proje!CW28*100/proje!$I28,"")</f>
        <v/>
      </c>
      <c r="CM533" s="39" t="str">
        <f>IFERROR(proje!CX28*100/proje!$I28,"")</f>
        <v/>
      </c>
      <c r="CN533" s="39" t="str">
        <f>IFERROR(proje!CY28*100/proje!$I28,"")</f>
        <v/>
      </c>
      <c r="CO533" s="39" t="str">
        <f>IFERROR(proje!CZ28*100/proje!$I28,"")</f>
        <v/>
      </c>
      <c r="CP533" s="39" t="str">
        <f>IFERROR(proje!DA28*100/proje!$I28,"")</f>
        <v/>
      </c>
      <c r="CQ533" s="39" t="str">
        <f>IFERROR(proje!DB28*100/proje!$I28,"")</f>
        <v/>
      </c>
      <c r="CR533" s="39" t="str">
        <f>IFERROR(proje!DC28*100/proje!$I28,"")</f>
        <v/>
      </c>
      <c r="CS533" s="39" t="str">
        <f>IFERROR(proje!DD28*100/proje!$I28,"")</f>
        <v/>
      </c>
      <c r="CT533" s="39" t="str">
        <f>IFERROR(proje!DE28*100/proje!$I28,"")</f>
        <v/>
      </c>
      <c r="CU533" s="39" t="str">
        <f>IFERROR(proje!DF28*100/proje!$I28,"")</f>
        <v/>
      </c>
      <c r="CV533" s="39" t="str">
        <f>IFERROR(proje!DG28*100/proje!$I28,"")</f>
        <v/>
      </c>
      <c r="CW533" s="36" t="str">
        <f>IFERROR(SUM(A533:CV533)/proje!$DH$103,"")</f>
        <v/>
      </c>
      <c r="CX533" s="14" t="str">
        <f>IF(COUNTA(proje!A28),proje!A28,"")</f>
        <v/>
      </c>
      <c r="CY533" s="14" t="str">
        <f>IF(COUNTA(proje!B28),proje!B28,"")</f>
        <v/>
      </c>
      <c r="CZ533" s="14" t="str">
        <f>IF(COUNTA(proje!C28),proje!C28,"")</f>
        <v/>
      </c>
      <c r="DA533" s="14" t="str">
        <f>IF(COUNTA(proje!D28),proje!D28,"")</f>
        <v/>
      </c>
      <c r="DB533" s="14" t="str">
        <f>IF(COUNTA(proje!E28),proje!E28,"")</f>
        <v/>
      </c>
      <c r="DC533" s="14" t="str">
        <f>IF(COUNTA(proje!F28),proje!F28,"")</f>
        <v/>
      </c>
      <c r="DD533" s="14" t="str">
        <f>IF(COUNTA(proje!G28),proje!G28,"")</f>
        <v/>
      </c>
      <c r="DE533" s="14" t="str">
        <f>IF(COUNTA(proje!H28),proje!H28,"")</f>
        <v/>
      </c>
    </row>
    <row r="534" spans="1:109" x14ac:dyDescent="0.2">
      <c r="A534" s="39" t="str">
        <f>IFERROR(proje!L29*100/proje!$I29,"")</f>
        <v/>
      </c>
      <c r="B534" s="39" t="str">
        <f>IFERROR(proje!M29*100/proje!$I29,"")</f>
        <v/>
      </c>
      <c r="C534" s="39" t="str">
        <f>IFERROR(proje!N29*100/proje!$I29,"")</f>
        <v/>
      </c>
      <c r="D534" s="39" t="str">
        <f>IFERROR(proje!O29*100/proje!$I29,"")</f>
        <v/>
      </c>
      <c r="E534" s="39" t="str">
        <f>IFERROR(proje!P29*100/proje!$I29,"")</f>
        <v/>
      </c>
      <c r="F534" s="39" t="str">
        <f>IFERROR(proje!Q29*100/proje!$I29,"")</f>
        <v/>
      </c>
      <c r="G534" s="39" t="str">
        <f>IFERROR(proje!R29*100/proje!$I29,"")</f>
        <v/>
      </c>
      <c r="H534" s="39" t="str">
        <f>IFERROR(proje!S29*100/proje!$I29,"")</f>
        <v/>
      </c>
      <c r="I534" s="39" t="str">
        <f>IFERROR(proje!T29*100/proje!$I29,"")</f>
        <v/>
      </c>
      <c r="J534" s="39" t="str">
        <f>IFERROR(proje!U29*100/proje!$I29,"")</f>
        <v/>
      </c>
      <c r="K534" s="39" t="str">
        <f>IFERROR(proje!V29*100/proje!$I29,"")</f>
        <v/>
      </c>
      <c r="L534" s="39" t="str">
        <f>IFERROR(proje!W29*100/proje!$I29,"")</f>
        <v/>
      </c>
      <c r="M534" s="39" t="str">
        <f>IFERROR(proje!X29*100/proje!$I29,"")</f>
        <v/>
      </c>
      <c r="N534" s="39" t="str">
        <f>IFERROR(proje!Y29*100/proje!$I29,"")</f>
        <v/>
      </c>
      <c r="O534" s="39" t="str">
        <f>IFERROR(proje!Z29*100/proje!$I29,"")</f>
        <v/>
      </c>
      <c r="P534" s="39" t="str">
        <f>IFERROR(proje!AA29*100/proje!$I29,"")</f>
        <v/>
      </c>
      <c r="Q534" s="39" t="str">
        <f>IFERROR(proje!AB29*100/proje!$I29,"")</f>
        <v/>
      </c>
      <c r="R534" s="39" t="str">
        <f>IFERROR(proje!AC29*100/proje!$I29,"")</f>
        <v/>
      </c>
      <c r="S534" s="39" t="str">
        <f>IFERROR(proje!AD29*100/proje!$I29,"")</f>
        <v/>
      </c>
      <c r="T534" s="39" t="str">
        <f>IFERROR(proje!AE29*100/proje!$I29,"")</f>
        <v/>
      </c>
      <c r="U534" s="39" t="str">
        <f>IFERROR(proje!AF29*100/proje!$I29,"")</f>
        <v/>
      </c>
      <c r="V534" s="39" t="str">
        <f>IFERROR(proje!AG29*100/proje!$I29,"")</f>
        <v/>
      </c>
      <c r="W534" s="39" t="str">
        <f>IFERROR(proje!AH29*100/proje!$I29,"")</f>
        <v/>
      </c>
      <c r="X534" s="39" t="str">
        <f>IFERROR(proje!AI29*100/proje!$I29,"")</f>
        <v/>
      </c>
      <c r="Y534" s="39" t="str">
        <f>IFERROR(proje!AJ29*100/proje!$I29,"")</f>
        <v/>
      </c>
      <c r="Z534" s="39" t="str">
        <f>IFERROR(proje!AK29*100/proje!$I29,"")</f>
        <v/>
      </c>
      <c r="AA534" s="39" t="str">
        <f>IFERROR(proje!AL29*100/proje!$I29,"")</f>
        <v/>
      </c>
      <c r="AB534" s="39" t="str">
        <f>IFERROR(proje!AM29*100/proje!$I29,"")</f>
        <v/>
      </c>
      <c r="AC534" s="39" t="str">
        <f>IFERROR(proje!AN29*100/proje!$I29,"")</f>
        <v/>
      </c>
      <c r="AD534" s="39" t="str">
        <f>IFERROR(proje!AO29*100/proje!$I29,"")</f>
        <v/>
      </c>
      <c r="AE534" s="39" t="str">
        <f>IFERROR(proje!AP29*100/proje!$I29,"")</f>
        <v/>
      </c>
      <c r="AF534" s="39" t="str">
        <f>IFERROR(proje!AQ29*100/proje!$I29,"")</f>
        <v/>
      </c>
      <c r="AG534" s="39" t="str">
        <f>IFERROR(proje!AR29*100/proje!$I29,"")</f>
        <v/>
      </c>
      <c r="AH534" s="39" t="str">
        <f>IFERROR(proje!AS29*100/proje!$I29,"")</f>
        <v/>
      </c>
      <c r="AI534" s="39" t="str">
        <f>IFERROR(proje!AT29*100/proje!$I29,"")</f>
        <v/>
      </c>
      <c r="AJ534" s="39" t="str">
        <f>IFERROR(proje!AU29*100/proje!$I29,"")</f>
        <v/>
      </c>
      <c r="AK534" s="39" t="str">
        <f>IFERROR(proje!AV29*100/proje!$I29,"")</f>
        <v/>
      </c>
      <c r="AL534" s="39" t="str">
        <f>IFERROR(proje!AW29*100/proje!$I29,"")</f>
        <v/>
      </c>
      <c r="AM534" s="39" t="str">
        <f>IFERROR(proje!AX29*100/proje!$I29,"")</f>
        <v/>
      </c>
      <c r="AN534" s="39" t="str">
        <f>IFERROR(proje!AY29*100/proje!$I29,"")</f>
        <v/>
      </c>
      <c r="AO534" s="39" t="str">
        <f>IFERROR(proje!AZ29*100/proje!$I29,"")</f>
        <v/>
      </c>
      <c r="AP534" s="39" t="str">
        <f>IFERROR(proje!BA29*100/proje!$I29,"")</f>
        <v/>
      </c>
      <c r="AQ534" s="39" t="str">
        <f>IFERROR(proje!BB29*100/proje!$I29,"")</f>
        <v/>
      </c>
      <c r="AR534" s="39" t="str">
        <f>IFERROR(proje!BC29*100/proje!$I29,"")</f>
        <v/>
      </c>
      <c r="AS534" s="39" t="str">
        <f>IFERROR(proje!BD29*100/proje!$I29,"")</f>
        <v/>
      </c>
      <c r="AT534" s="39" t="str">
        <f>IFERROR(proje!BE29*100/proje!$I29,"")</f>
        <v/>
      </c>
      <c r="AU534" s="39" t="str">
        <f>IFERROR(proje!BF29*100/proje!$I29,"")</f>
        <v/>
      </c>
      <c r="AV534" s="39" t="str">
        <f>IFERROR(proje!BG29*100/proje!$I29,"")</f>
        <v/>
      </c>
      <c r="AW534" s="39" t="str">
        <f>IFERROR(proje!BH29*100/proje!$I29,"")</f>
        <v/>
      </c>
      <c r="AX534" s="39" t="str">
        <f>IFERROR(proje!BI29*100/proje!$I29,"")</f>
        <v/>
      </c>
      <c r="AY534" s="39" t="str">
        <f>IFERROR(proje!BJ29*100/proje!$I29,"")</f>
        <v/>
      </c>
      <c r="AZ534" s="39" t="str">
        <f>IFERROR(proje!BK29*100/proje!$I29,"")</f>
        <v/>
      </c>
      <c r="BA534" s="39" t="str">
        <f>IFERROR(proje!BL29*100/proje!$I29,"")</f>
        <v/>
      </c>
      <c r="BB534" s="39" t="str">
        <f>IFERROR(proje!BM29*100/proje!$I29,"")</f>
        <v/>
      </c>
      <c r="BC534" s="39" t="str">
        <f>IFERROR(proje!BN29*100/proje!$I29,"")</f>
        <v/>
      </c>
      <c r="BD534" s="39" t="str">
        <f>IFERROR(proje!BO29*100/proje!$I29,"")</f>
        <v/>
      </c>
      <c r="BE534" s="39" t="str">
        <f>IFERROR(proje!BP29*100/proje!$I29,"")</f>
        <v/>
      </c>
      <c r="BF534" s="39" t="str">
        <f>IFERROR(proje!BQ29*100/proje!$I29,"")</f>
        <v/>
      </c>
      <c r="BG534" s="39" t="str">
        <f>IFERROR(proje!BR29*100/proje!$I29,"")</f>
        <v/>
      </c>
      <c r="BH534" s="39" t="str">
        <f>IFERROR(proje!BS29*100/proje!$I29,"")</f>
        <v/>
      </c>
      <c r="BI534" s="39" t="str">
        <f>IFERROR(proje!BT29*100/proje!$I29,"")</f>
        <v/>
      </c>
      <c r="BJ534" s="39" t="str">
        <f>IFERROR(proje!BU29*100/proje!$I29,"")</f>
        <v/>
      </c>
      <c r="BK534" s="39" t="str">
        <f>IFERROR(proje!BV29*100/proje!$I29,"")</f>
        <v/>
      </c>
      <c r="BL534" s="39" t="str">
        <f>IFERROR(proje!BW29*100/proje!$I29,"")</f>
        <v/>
      </c>
      <c r="BM534" s="39" t="str">
        <f>IFERROR(proje!BX29*100/proje!$I29,"")</f>
        <v/>
      </c>
      <c r="BN534" s="39" t="str">
        <f>IFERROR(proje!BY29*100/proje!$I29,"")</f>
        <v/>
      </c>
      <c r="BO534" s="39" t="str">
        <f>IFERROR(proje!BZ29*100/proje!$I29,"")</f>
        <v/>
      </c>
      <c r="BP534" s="39" t="str">
        <f>IFERROR(proje!CA29*100/proje!$I29,"")</f>
        <v/>
      </c>
      <c r="BQ534" s="39" t="str">
        <f>IFERROR(proje!CB29*100/proje!$I29,"")</f>
        <v/>
      </c>
      <c r="BR534" s="39" t="str">
        <f>IFERROR(proje!CC29*100/proje!$I29,"")</f>
        <v/>
      </c>
      <c r="BS534" s="39" t="str">
        <f>IFERROR(proje!CD29*100/proje!$I29,"")</f>
        <v/>
      </c>
      <c r="BT534" s="39" t="str">
        <f>IFERROR(proje!CE29*100/proje!$I29,"")</f>
        <v/>
      </c>
      <c r="BU534" s="39" t="str">
        <f>IFERROR(proje!CF29*100/proje!$I29,"")</f>
        <v/>
      </c>
      <c r="BV534" s="39" t="str">
        <f>IFERROR(proje!CG29*100/proje!$I29,"")</f>
        <v/>
      </c>
      <c r="BW534" s="39" t="str">
        <f>IFERROR(proje!CH29*100/proje!$I29,"")</f>
        <v/>
      </c>
      <c r="BX534" s="39" t="str">
        <f>IFERROR(proje!CI29*100/proje!$I29,"")</f>
        <v/>
      </c>
      <c r="BY534" s="39" t="str">
        <f>IFERROR(proje!CJ29*100/proje!$I29,"")</f>
        <v/>
      </c>
      <c r="BZ534" s="39" t="str">
        <f>IFERROR(proje!CK29*100/proje!$I29,"")</f>
        <v/>
      </c>
      <c r="CA534" s="39" t="str">
        <f>IFERROR(proje!CL29*100/proje!$I29,"")</f>
        <v/>
      </c>
      <c r="CB534" s="39" t="str">
        <f>IFERROR(proje!CM29*100/proje!$I29,"")</f>
        <v/>
      </c>
      <c r="CC534" s="39" t="str">
        <f>IFERROR(proje!CN29*100/proje!$I29,"")</f>
        <v/>
      </c>
      <c r="CD534" s="39" t="str">
        <f>IFERROR(proje!CO29*100/proje!$I29,"")</f>
        <v/>
      </c>
      <c r="CE534" s="39" t="str">
        <f>IFERROR(proje!CP29*100/proje!$I29,"")</f>
        <v/>
      </c>
      <c r="CF534" s="39" t="str">
        <f>IFERROR(proje!CQ29*100/proje!$I29,"")</f>
        <v/>
      </c>
      <c r="CG534" s="39" t="str">
        <f>IFERROR(proje!CR29*100/proje!$I29,"")</f>
        <v/>
      </c>
      <c r="CH534" s="39" t="str">
        <f>IFERROR(proje!CS29*100/proje!$I29,"")</f>
        <v/>
      </c>
      <c r="CI534" s="39" t="str">
        <f>IFERROR(proje!CT29*100/proje!$I29,"")</f>
        <v/>
      </c>
      <c r="CJ534" s="39" t="str">
        <f>IFERROR(proje!CU29*100/proje!$I29,"")</f>
        <v/>
      </c>
      <c r="CK534" s="39" t="str">
        <f>IFERROR(proje!CV29*100/proje!$I29,"")</f>
        <v/>
      </c>
      <c r="CL534" s="39" t="str">
        <f>IFERROR(proje!CW29*100/proje!$I29,"")</f>
        <v/>
      </c>
      <c r="CM534" s="39" t="str">
        <f>IFERROR(proje!CX29*100/proje!$I29,"")</f>
        <v/>
      </c>
      <c r="CN534" s="39" t="str">
        <f>IFERROR(proje!CY29*100/proje!$I29,"")</f>
        <v/>
      </c>
      <c r="CO534" s="39" t="str">
        <f>IFERROR(proje!CZ29*100/proje!$I29,"")</f>
        <v/>
      </c>
      <c r="CP534" s="39" t="str">
        <f>IFERROR(proje!DA29*100/proje!$I29,"")</f>
        <v/>
      </c>
      <c r="CQ534" s="39" t="str">
        <f>IFERROR(proje!DB29*100/proje!$I29,"")</f>
        <v/>
      </c>
      <c r="CR534" s="39" t="str">
        <f>IFERROR(proje!DC29*100/proje!$I29,"")</f>
        <v/>
      </c>
      <c r="CS534" s="39" t="str">
        <f>IFERROR(proje!DD29*100/proje!$I29,"")</f>
        <v/>
      </c>
      <c r="CT534" s="39" t="str">
        <f>IFERROR(proje!DE29*100/proje!$I29,"")</f>
        <v/>
      </c>
      <c r="CU534" s="39" t="str">
        <f>IFERROR(proje!DF29*100/proje!$I29,"")</f>
        <v/>
      </c>
      <c r="CV534" s="39" t="str">
        <f>IFERROR(proje!DG29*100/proje!$I29,"")</f>
        <v/>
      </c>
      <c r="CW534" s="36" t="str">
        <f>IFERROR(SUM(A534:CV534)/proje!$DH$103,"")</f>
        <v/>
      </c>
      <c r="CX534" s="14" t="str">
        <f>IF(COUNTA(proje!A29),proje!A29,"")</f>
        <v/>
      </c>
      <c r="CY534" s="14" t="str">
        <f>IF(COUNTA(proje!B29),proje!B29,"")</f>
        <v/>
      </c>
      <c r="CZ534" s="14" t="str">
        <f>IF(COUNTA(proje!C29),proje!C29,"")</f>
        <v/>
      </c>
      <c r="DA534" s="14" t="str">
        <f>IF(COUNTA(proje!D29),proje!D29,"")</f>
        <v/>
      </c>
      <c r="DB534" s="14" t="str">
        <f>IF(COUNTA(proje!E29),proje!E29,"")</f>
        <v/>
      </c>
      <c r="DC534" s="14" t="str">
        <f>IF(COUNTA(proje!F29),proje!F29,"")</f>
        <v/>
      </c>
      <c r="DD534" s="14" t="str">
        <f>IF(COUNTA(proje!G29),proje!G29,"")</f>
        <v/>
      </c>
      <c r="DE534" s="14" t="str">
        <f>IF(COUNTA(proje!H29),proje!H29,"")</f>
        <v/>
      </c>
    </row>
    <row r="535" spans="1:109" x14ac:dyDescent="0.2">
      <c r="A535" s="39" t="str">
        <f>IFERROR(proje!L30*100/proje!$I30,"")</f>
        <v/>
      </c>
      <c r="B535" s="39" t="str">
        <f>IFERROR(proje!M30*100/proje!$I30,"")</f>
        <v/>
      </c>
      <c r="C535" s="39" t="str">
        <f>IFERROR(proje!N30*100/proje!$I30,"")</f>
        <v/>
      </c>
      <c r="D535" s="39" t="str">
        <f>IFERROR(proje!O30*100/proje!$I30,"")</f>
        <v/>
      </c>
      <c r="E535" s="39" t="str">
        <f>IFERROR(proje!P30*100/proje!$I30,"")</f>
        <v/>
      </c>
      <c r="F535" s="39" t="str">
        <f>IFERROR(proje!Q30*100/proje!$I30,"")</f>
        <v/>
      </c>
      <c r="G535" s="39" t="str">
        <f>IFERROR(proje!R30*100/proje!$I30,"")</f>
        <v/>
      </c>
      <c r="H535" s="39" t="str">
        <f>IFERROR(proje!S30*100/proje!$I30,"")</f>
        <v/>
      </c>
      <c r="I535" s="39" t="str">
        <f>IFERROR(proje!T30*100/proje!$I30,"")</f>
        <v/>
      </c>
      <c r="J535" s="39" t="str">
        <f>IFERROR(proje!U30*100/proje!$I30,"")</f>
        <v/>
      </c>
      <c r="K535" s="39" t="str">
        <f>IFERROR(proje!V30*100/proje!$I30,"")</f>
        <v/>
      </c>
      <c r="L535" s="39" t="str">
        <f>IFERROR(proje!W30*100/proje!$I30,"")</f>
        <v/>
      </c>
      <c r="M535" s="39" t="str">
        <f>IFERROR(proje!X30*100/proje!$I30,"")</f>
        <v/>
      </c>
      <c r="N535" s="39" t="str">
        <f>IFERROR(proje!Y30*100/proje!$I30,"")</f>
        <v/>
      </c>
      <c r="O535" s="39" t="str">
        <f>IFERROR(proje!Z30*100/proje!$I30,"")</f>
        <v/>
      </c>
      <c r="P535" s="39" t="str">
        <f>IFERROR(proje!AA30*100/proje!$I30,"")</f>
        <v/>
      </c>
      <c r="Q535" s="39" t="str">
        <f>IFERROR(proje!AB30*100/proje!$I30,"")</f>
        <v/>
      </c>
      <c r="R535" s="39" t="str">
        <f>IFERROR(proje!AC30*100/proje!$I30,"")</f>
        <v/>
      </c>
      <c r="S535" s="39" t="str">
        <f>IFERROR(proje!AD30*100/proje!$I30,"")</f>
        <v/>
      </c>
      <c r="T535" s="39" t="str">
        <f>IFERROR(proje!AE30*100/proje!$I30,"")</f>
        <v/>
      </c>
      <c r="U535" s="39" t="str">
        <f>IFERROR(proje!AF30*100/proje!$I30,"")</f>
        <v/>
      </c>
      <c r="V535" s="39" t="str">
        <f>IFERROR(proje!AG30*100/proje!$I30,"")</f>
        <v/>
      </c>
      <c r="W535" s="39" t="str">
        <f>IFERROR(proje!AH30*100/proje!$I30,"")</f>
        <v/>
      </c>
      <c r="X535" s="39" t="str">
        <f>IFERROR(proje!AI30*100/proje!$I30,"")</f>
        <v/>
      </c>
      <c r="Y535" s="39" t="str">
        <f>IFERROR(proje!AJ30*100/proje!$I30,"")</f>
        <v/>
      </c>
      <c r="Z535" s="39" t="str">
        <f>IFERROR(proje!AK30*100/proje!$I30,"")</f>
        <v/>
      </c>
      <c r="AA535" s="39" t="str">
        <f>IFERROR(proje!AL30*100/proje!$I30,"")</f>
        <v/>
      </c>
      <c r="AB535" s="39" t="str">
        <f>IFERROR(proje!AM30*100/proje!$I30,"")</f>
        <v/>
      </c>
      <c r="AC535" s="39" t="str">
        <f>IFERROR(proje!AN30*100/proje!$I30,"")</f>
        <v/>
      </c>
      <c r="AD535" s="39" t="str">
        <f>IFERROR(proje!AO30*100/proje!$I30,"")</f>
        <v/>
      </c>
      <c r="AE535" s="39" t="str">
        <f>IFERROR(proje!AP30*100/proje!$I30,"")</f>
        <v/>
      </c>
      <c r="AF535" s="39" t="str">
        <f>IFERROR(proje!AQ30*100/proje!$I30,"")</f>
        <v/>
      </c>
      <c r="AG535" s="39" t="str">
        <f>IFERROR(proje!AR30*100/proje!$I30,"")</f>
        <v/>
      </c>
      <c r="AH535" s="39" t="str">
        <f>IFERROR(proje!AS30*100/proje!$I30,"")</f>
        <v/>
      </c>
      <c r="AI535" s="39" t="str">
        <f>IFERROR(proje!AT30*100/proje!$I30,"")</f>
        <v/>
      </c>
      <c r="AJ535" s="39" t="str">
        <f>IFERROR(proje!AU30*100/proje!$I30,"")</f>
        <v/>
      </c>
      <c r="AK535" s="39" t="str">
        <f>IFERROR(proje!AV30*100/proje!$I30,"")</f>
        <v/>
      </c>
      <c r="AL535" s="39" t="str">
        <f>IFERROR(proje!AW30*100/proje!$I30,"")</f>
        <v/>
      </c>
      <c r="AM535" s="39" t="str">
        <f>IFERROR(proje!AX30*100/proje!$I30,"")</f>
        <v/>
      </c>
      <c r="AN535" s="39" t="str">
        <f>IFERROR(proje!AY30*100/proje!$I30,"")</f>
        <v/>
      </c>
      <c r="AO535" s="39" t="str">
        <f>IFERROR(proje!AZ30*100/proje!$I30,"")</f>
        <v/>
      </c>
      <c r="AP535" s="39" t="str">
        <f>IFERROR(proje!BA30*100/proje!$I30,"")</f>
        <v/>
      </c>
      <c r="AQ535" s="39" t="str">
        <f>IFERROR(proje!BB30*100/proje!$I30,"")</f>
        <v/>
      </c>
      <c r="AR535" s="39" t="str">
        <f>IFERROR(proje!BC30*100/proje!$I30,"")</f>
        <v/>
      </c>
      <c r="AS535" s="39" t="str">
        <f>IFERROR(proje!BD30*100/proje!$I30,"")</f>
        <v/>
      </c>
      <c r="AT535" s="39" t="str">
        <f>IFERROR(proje!BE30*100/proje!$I30,"")</f>
        <v/>
      </c>
      <c r="AU535" s="39" t="str">
        <f>IFERROR(proje!BF30*100/proje!$I30,"")</f>
        <v/>
      </c>
      <c r="AV535" s="39" t="str">
        <f>IFERROR(proje!BG30*100/proje!$I30,"")</f>
        <v/>
      </c>
      <c r="AW535" s="39" t="str">
        <f>IFERROR(proje!BH30*100/proje!$I30,"")</f>
        <v/>
      </c>
      <c r="AX535" s="39" t="str">
        <f>IFERROR(proje!BI30*100/proje!$I30,"")</f>
        <v/>
      </c>
      <c r="AY535" s="39" t="str">
        <f>IFERROR(proje!BJ30*100/proje!$I30,"")</f>
        <v/>
      </c>
      <c r="AZ535" s="39" t="str">
        <f>IFERROR(proje!BK30*100/proje!$I30,"")</f>
        <v/>
      </c>
      <c r="BA535" s="39" t="str">
        <f>IFERROR(proje!BL30*100/proje!$I30,"")</f>
        <v/>
      </c>
      <c r="BB535" s="39" t="str">
        <f>IFERROR(proje!BM30*100/proje!$I30,"")</f>
        <v/>
      </c>
      <c r="BC535" s="39" t="str">
        <f>IFERROR(proje!BN30*100/proje!$I30,"")</f>
        <v/>
      </c>
      <c r="BD535" s="39" t="str">
        <f>IFERROR(proje!BO30*100/proje!$I30,"")</f>
        <v/>
      </c>
      <c r="BE535" s="39" t="str">
        <f>IFERROR(proje!BP30*100/proje!$I30,"")</f>
        <v/>
      </c>
      <c r="BF535" s="39" t="str">
        <f>IFERROR(proje!BQ30*100/proje!$I30,"")</f>
        <v/>
      </c>
      <c r="BG535" s="39" t="str">
        <f>IFERROR(proje!BR30*100/proje!$I30,"")</f>
        <v/>
      </c>
      <c r="BH535" s="39" t="str">
        <f>IFERROR(proje!BS30*100/proje!$I30,"")</f>
        <v/>
      </c>
      <c r="BI535" s="39" t="str">
        <f>IFERROR(proje!BT30*100/proje!$I30,"")</f>
        <v/>
      </c>
      <c r="BJ535" s="39" t="str">
        <f>IFERROR(proje!BU30*100/proje!$I30,"")</f>
        <v/>
      </c>
      <c r="BK535" s="39" t="str">
        <f>IFERROR(proje!BV30*100/proje!$I30,"")</f>
        <v/>
      </c>
      <c r="BL535" s="39" t="str">
        <f>IFERROR(proje!BW30*100/proje!$I30,"")</f>
        <v/>
      </c>
      <c r="BM535" s="39" t="str">
        <f>IFERROR(proje!BX30*100/proje!$I30,"")</f>
        <v/>
      </c>
      <c r="BN535" s="39" t="str">
        <f>IFERROR(proje!BY30*100/proje!$I30,"")</f>
        <v/>
      </c>
      <c r="BO535" s="39" t="str">
        <f>IFERROR(proje!BZ30*100/proje!$I30,"")</f>
        <v/>
      </c>
      <c r="BP535" s="39" t="str">
        <f>IFERROR(proje!CA30*100/proje!$I30,"")</f>
        <v/>
      </c>
      <c r="BQ535" s="39" t="str">
        <f>IFERROR(proje!CB30*100/proje!$I30,"")</f>
        <v/>
      </c>
      <c r="BR535" s="39" t="str">
        <f>IFERROR(proje!CC30*100/proje!$I30,"")</f>
        <v/>
      </c>
      <c r="BS535" s="39" t="str">
        <f>IFERROR(proje!CD30*100/proje!$I30,"")</f>
        <v/>
      </c>
      <c r="BT535" s="39" t="str">
        <f>IFERROR(proje!CE30*100/proje!$I30,"")</f>
        <v/>
      </c>
      <c r="BU535" s="39" t="str">
        <f>IFERROR(proje!CF30*100/proje!$I30,"")</f>
        <v/>
      </c>
      <c r="BV535" s="39" t="str">
        <f>IFERROR(proje!CG30*100/proje!$I30,"")</f>
        <v/>
      </c>
      <c r="BW535" s="39" t="str">
        <f>IFERROR(proje!CH30*100/proje!$I30,"")</f>
        <v/>
      </c>
      <c r="BX535" s="39" t="str">
        <f>IFERROR(proje!CI30*100/proje!$I30,"")</f>
        <v/>
      </c>
      <c r="BY535" s="39" t="str">
        <f>IFERROR(proje!CJ30*100/proje!$I30,"")</f>
        <v/>
      </c>
      <c r="BZ535" s="39" t="str">
        <f>IFERROR(proje!CK30*100/proje!$I30,"")</f>
        <v/>
      </c>
      <c r="CA535" s="39" t="str">
        <f>IFERROR(proje!CL30*100/proje!$I30,"")</f>
        <v/>
      </c>
      <c r="CB535" s="39" t="str">
        <f>IFERROR(proje!CM30*100/proje!$I30,"")</f>
        <v/>
      </c>
      <c r="CC535" s="39" t="str">
        <f>IFERROR(proje!CN30*100/proje!$I30,"")</f>
        <v/>
      </c>
      <c r="CD535" s="39" t="str">
        <f>IFERROR(proje!CO30*100/proje!$I30,"")</f>
        <v/>
      </c>
      <c r="CE535" s="39" t="str">
        <f>IFERROR(proje!CP30*100/proje!$I30,"")</f>
        <v/>
      </c>
      <c r="CF535" s="39" t="str">
        <f>IFERROR(proje!CQ30*100/proje!$I30,"")</f>
        <v/>
      </c>
      <c r="CG535" s="39" t="str">
        <f>IFERROR(proje!CR30*100/proje!$I30,"")</f>
        <v/>
      </c>
      <c r="CH535" s="39" t="str">
        <f>IFERROR(proje!CS30*100/proje!$I30,"")</f>
        <v/>
      </c>
      <c r="CI535" s="39" t="str">
        <f>IFERROR(proje!CT30*100/proje!$I30,"")</f>
        <v/>
      </c>
      <c r="CJ535" s="39" t="str">
        <f>IFERROR(proje!CU30*100/proje!$I30,"")</f>
        <v/>
      </c>
      <c r="CK535" s="39" t="str">
        <f>IFERROR(proje!CV30*100/proje!$I30,"")</f>
        <v/>
      </c>
      <c r="CL535" s="39" t="str">
        <f>IFERROR(proje!CW30*100/proje!$I30,"")</f>
        <v/>
      </c>
      <c r="CM535" s="39" t="str">
        <f>IFERROR(proje!CX30*100/proje!$I30,"")</f>
        <v/>
      </c>
      <c r="CN535" s="39" t="str">
        <f>IFERROR(proje!CY30*100/proje!$I30,"")</f>
        <v/>
      </c>
      <c r="CO535" s="39" t="str">
        <f>IFERROR(proje!CZ30*100/proje!$I30,"")</f>
        <v/>
      </c>
      <c r="CP535" s="39" t="str">
        <f>IFERROR(proje!DA30*100/proje!$I30,"")</f>
        <v/>
      </c>
      <c r="CQ535" s="39" t="str">
        <f>IFERROR(proje!DB30*100/proje!$I30,"")</f>
        <v/>
      </c>
      <c r="CR535" s="39" t="str">
        <f>IFERROR(proje!DC30*100/proje!$I30,"")</f>
        <v/>
      </c>
      <c r="CS535" s="39" t="str">
        <f>IFERROR(proje!DD30*100/proje!$I30,"")</f>
        <v/>
      </c>
      <c r="CT535" s="39" t="str">
        <f>IFERROR(proje!DE30*100/proje!$I30,"")</f>
        <v/>
      </c>
      <c r="CU535" s="39" t="str">
        <f>IFERROR(proje!DF30*100/proje!$I30,"")</f>
        <v/>
      </c>
      <c r="CV535" s="39" t="str">
        <f>IFERROR(proje!DG30*100/proje!$I30,"")</f>
        <v/>
      </c>
      <c r="CW535" s="36" t="str">
        <f>IFERROR(SUM(A535:CV535)/proje!$DH$103,"")</f>
        <v/>
      </c>
      <c r="CX535" s="14" t="str">
        <f>IF(COUNTA(proje!A30),proje!A30,"")</f>
        <v/>
      </c>
      <c r="CY535" s="14" t="str">
        <f>IF(COUNTA(proje!B30),proje!B30,"")</f>
        <v/>
      </c>
      <c r="CZ535" s="14" t="str">
        <f>IF(COUNTA(proje!C30),proje!C30,"")</f>
        <v/>
      </c>
      <c r="DA535" s="14" t="str">
        <f>IF(COUNTA(proje!D30),proje!D30,"")</f>
        <v/>
      </c>
      <c r="DB535" s="14" t="str">
        <f>IF(COUNTA(proje!E30),proje!E30,"")</f>
        <v/>
      </c>
      <c r="DC535" s="14" t="str">
        <f>IF(COUNTA(proje!F30),proje!F30,"")</f>
        <v/>
      </c>
      <c r="DD535" s="14" t="str">
        <f>IF(COUNTA(proje!G30),proje!G30,"")</f>
        <v/>
      </c>
      <c r="DE535" s="14" t="str">
        <f>IF(COUNTA(proje!H30),proje!H30,"")</f>
        <v/>
      </c>
    </row>
    <row r="536" spans="1:109" x14ac:dyDescent="0.2">
      <c r="A536" s="39" t="str">
        <f>IFERROR(proje!L31*100/proje!$I31,"")</f>
        <v/>
      </c>
      <c r="B536" s="39" t="str">
        <f>IFERROR(proje!M31*100/proje!$I31,"")</f>
        <v/>
      </c>
      <c r="C536" s="39" t="str">
        <f>IFERROR(proje!N31*100/proje!$I31,"")</f>
        <v/>
      </c>
      <c r="D536" s="39" t="str">
        <f>IFERROR(proje!O31*100/proje!$I31,"")</f>
        <v/>
      </c>
      <c r="E536" s="39" t="str">
        <f>IFERROR(proje!P31*100/proje!$I31,"")</f>
        <v/>
      </c>
      <c r="F536" s="39" t="str">
        <f>IFERROR(proje!Q31*100/proje!$I31,"")</f>
        <v/>
      </c>
      <c r="G536" s="39" t="str">
        <f>IFERROR(proje!R31*100/proje!$I31,"")</f>
        <v/>
      </c>
      <c r="H536" s="39" t="str">
        <f>IFERROR(proje!S31*100/proje!$I31,"")</f>
        <v/>
      </c>
      <c r="I536" s="39" t="str">
        <f>IFERROR(proje!T31*100/proje!$I31,"")</f>
        <v/>
      </c>
      <c r="J536" s="39" t="str">
        <f>IFERROR(proje!U31*100/proje!$I31,"")</f>
        <v/>
      </c>
      <c r="K536" s="39" t="str">
        <f>IFERROR(proje!V31*100/proje!$I31,"")</f>
        <v/>
      </c>
      <c r="L536" s="39" t="str">
        <f>IFERROR(proje!W31*100/proje!$I31,"")</f>
        <v/>
      </c>
      <c r="M536" s="39" t="str">
        <f>IFERROR(proje!X31*100/proje!$I31,"")</f>
        <v/>
      </c>
      <c r="N536" s="39" t="str">
        <f>IFERROR(proje!Y31*100/proje!$I31,"")</f>
        <v/>
      </c>
      <c r="O536" s="39" t="str">
        <f>IFERROR(proje!Z31*100/proje!$I31,"")</f>
        <v/>
      </c>
      <c r="P536" s="39" t="str">
        <f>IFERROR(proje!AA31*100/proje!$I31,"")</f>
        <v/>
      </c>
      <c r="Q536" s="39" t="str">
        <f>IFERROR(proje!AB31*100/proje!$I31,"")</f>
        <v/>
      </c>
      <c r="R536" s="39" t="str">
        <f>IFERROR(proje!AC31*100/proje!$I31,"")</f>
        <v/>
      </c>
      <c r="S536" s="39" t="str">
        <f>IFERROR(proje!AD31*100/proje!$I31,"")</f>
        <v/>
      </c>
      <c r="T536" s="39" t="str">
        <f>IFERROR(proje!AE31*100/proje!$I31,"")</f>
        <v/>
      </c>
      <c r="U536" s="39" t="str">
        <f>IFERROR(proje!AF31*100/proje!$I31,"")</f>
        <v/>
      </c>
      <c r="V536" s="39" t="str">
        <f>IFERROR(proje!AG31*100/proje!$I31,"")</f>
        <v/>
      </c>
      <c r="W536" s="39" t="str">
        <f>IFERROR(proje!AH31*100/proje!$I31,"")</f>
        <v/>
      </c>
      <c r="X536" s="39" t="str">
        <f>IFERROR(proje!AI31*100/proje!$I31,"")</f>
        <v/>
      </c>
      <c r="Y536" s="39" t="str">
        <f>IFERROR(proje!AJ31*100/proje!$I31,"")</f>
        <v/>
      </c>
      <c r="Z536" s="39" t="str">
        <f>IFERROR(proje!AK31*100/proje!$I31,"")</f>
        <v/>
      </c>
      <c r="AA536" s="39" t="str">
        <f>IFERROR(proje!AL31*100/proje!$I31,"")</f>
        <v/>
      </c>
      <c r="AB536" s="39" t="str">
        <f>IFERROR(proje!AM31*100/proje!$I31,"")</f>
        <v/>
      </c>
      <c r="AC536" s="39" t="str">
        <f>IFERROR(proje!AN31*100/proje!$I31,"")</f>
        <v/>
      </c>
      <c r="AD536" s="39" t="str">
        <f>IFERROR(proje!AO31*100/proje!$I31,"")</f>
        <v/>
      </c>
      <c r="AE536" s="39" t="str">
        <f>IFERROR(proje!AP31*100/proje!$I31,"")</f>
        <v/>
      </c>
      <c r="AF536" s="39" t="str">
        <f>IFERROR(proje!AQ31*100/proje!$I31,"")</f>
        <v/>
      </c>
      <c r="AG536" s="39" t="str">
        <f>IFERROR(proje!AR31*100/proje!$I31,"")</f>
        <v/>
      </c>
      <c r="AH536" s="39" t="str">
        <f>IFERROR(proje!AS31*100/proje!$I31,"")</f>
        <v/>
      </c>
      <c r="AI536" s="39" t="str">
        <f>IFERROR(proje!AT31*100/proje!$I31,"")</f>
        <v/>
      </c>
      <c r="AJ536" s="39" t="str">
        <f>IFERROR(proje!AU31*100/proje!$I31,"")</f>
        <v/>
      </c>
      <c r="AK536" s="39" t="str">
        <f>IFERROR(proje!AV31*100/proje!$I31,"")</f>
        <v/>
      </c>
      <c r="AL536" s="39" t="str">
        <f>IFERROR(proje!AW31*100/proje!$I31,"")</f>
        <v/>
      </c>
      <c r="AM536" s="39" t="str">
        <f>IFERROR(proje!AX31*100/proje!$I31,"")</f>
        <v/>
      </c>
      <c r="AN536" s="39" t="str">
        <f>IFERROR(proje!AY31*100/proje!$I31,"")</f>
        <v/>
      </c>
      <c r="AO536" s="39" t="str">
        <f>IFERROR(proje!AZ31*100/proje!$I31,"")</f>
        <v/>
      </c>
      <c r="AP536" s="39" t="str">
        <f>IFERROR(proje!BA31*100/proje!$I31,"")</f>
        <v/>
      </c>
      <c r="AQ536" s="39" t="str">
        <f>IFERROR(proje!BB31*100/proje!$I31,"")</f>
        <v/>
      </c>
      <c r="AR536" s="39" t="str">
        <f>IFERROR(proje!BC31*100/proje!$I31,"")</f>
        <v/>
      </c>
      <c r="AS536" s="39" t="str">
        <f>IFERROR(proje!BD31*100/proje!$I31,"")</f>
        <v/>
      </c>
      <c r="AT536" s="39" t="str">
        <f>IFERROR(proje!BE31*100/proje!$I31,"")</f>
        <v/>
      </c>
      <c r="AU536" s="39" t="str">
        <f>IFERROR(proje!BF31*100/proje!$I31,"")</f>
        <v/>
      </c>
      <c r="AV536" s="39" t="str">
        <f>IFERROR(proje!BG31*100/proje!$I31,"")</f>
        <v/>
      </c>
      <c r="AW536" s="39" t="str">
        <f>IFERROR(proje!BH31*100/proje!$I31,"")</f>
        <v/>
      </c>
      <c r="AX536" s="39" t="str">
        <f>IFERROR(proje!BI31*100/proje!$I31,"")</f>
        <v/>
      </c>
      <c r="AY536" s="39" t="str">
        <f>IFERROR(proje!BJ31*100/proje!$I31,"")</f>
        <v/>
      </c>
      <c r="AZ536" s="39" t="str">
        <f>IFERROR(proje!BK31*100/proje!$I31,"")</f>
        <v/>
      </c>
      <c r="BA536" s="39" t="str">
        <f>IFERROR(proje!BL31*100/proje!$I31,"")</f>
        <v/>
      </c>
      <c r="BB536" s="39" t="str">
        <f>IFERROR(proje!BM31*100/proje!$I31,"")</f>
        <v/>
      </c>
      <c r="BC536" s="39" t="str">
        <f>IFERROR(proje!BN31*100/proje!$I31,"")</f>
        <v/>
      </c>
      <c r="BD536" s="39" t="str">
        <f>IFERROR(proje!BO31*100/proje!$I31,"")</f>
        <v/>
      </c>
      <c r="BE536" s="39" t="str">
        <f>IFERROR(proje!BP31*100/proje!$I31,"")</f>
        <v/>
      </c>
      <c r="BF536" s="39" t="str">
        <f>IFERROR(proje!BQ31*100/proje!$I31,"")</f>
        <v/>
      </c>
      <c r="BG536" s="39" t="str">
        <f>IFERROR(proje!BR31*100/proje!$I31,"")</f>
        <v/>
      </c>
      <c r="BH536" s="39" t="str">
        <f>IFERROR(proje!BS31*100/proje!$I31,"")</f>
        <v/>
      </c>
      <c r="BI536" s="39" t="str">
        <f>IFERROR(proje!BT31*100/proje!$I31,"")</f>
        <v/>
      </c>
      <c r="BJ536" s="39" t="str">
        <f>IFERROR(proje!BU31*100/proje!$I31,"")</f>
        <v/>
      </c>
      <c r="BK536" s="39" t="str">
        <f>IFERROR(proje!BV31*100/proje!$I31,"")</f>
        <v/>
      </c>
      <c r="BL536" s="39" t="str">
        <f>IFERROR(proje!BW31*100/proje!$I31,"")</f>
        <v/>
      </c>
      <c r="BM536" s="39" t="str">
        <f>IFERROR(proje!BX31*100/proje!$I31,"")</f>
        <v/>
      </c>
      <c r="BN536" s="39" t="str">
        <f>IFERROR(proje!BY31*100/proje!$I31,"")</f>
        <v/>
      </c>
      <c r="BO536" s="39" t="str">
        <f>IFERROR(proje!BZ31*100/proje!$I31,"")</f>
        <v/>
      </c>
      <c r="BP536" s="39" t="str">
        <f>IFERROR(proje!CA31*100/proje!$I31,"")</f>
        <v/>
      </c>
      <c r="BQ536" s="39" t="str">
        <f>IFERROR(proje!CB31*100/proje!$I31,"")</f>
        <v/>
      </c>
      <c r="BR536" s="39" t="str">
        <f>IFERROR(proje!CC31*100/proje!$I31,"")</f>
        <v/>
      </c>
      <c r="BS536" s="39" t="str">
        <f>IFERROR(proje!CD31*100/proje!$I31,"")</f>
        <v/>
      </c>
      <c r="BT536" s="39" t="str">
        <f>IFERROR(proje!CE31*100/proje!$I31,"")</f>
        <v/>
      </c>
      <c r="BU536" s="39" t="str">
        <f>IFERROR(proje!CF31*100/proje!$I31,"")</f>
        <v/>
      </c>
      <c r="BV536" s="39" t="str">
        <f>IFERROR(proje!CG31*100/proje!$I31,"")</f>
        <v/>
      </c>
      <c r="BW536" s="39" t="str">
        <f>IFERROR(proje!CH31*100/proje!$I31,"")</f>
        <v/>
      </c>
      <c r="BX536" s="39" t="str">
        <f>IFERROR(proje!CI31*100/proje!$I31,"")</f>
        <v/>
      </c>
      <c r="BY536" s="39" t="str">
        <f>IFERROR(proje!CJ31*100/proje!$I31,"")</f>
        <v/>
      </c>
      <c r="BZ536" s="39" t="str">
        <f>IFERROR(proje!CK31*100/proje!$I31,"")</f>
        <v/>
      </c>
      <c r="CA536" s="39" t="str">
        <f>IFERROR(proje!CL31*100/proje!$I31,"")</f>
        <v/>
      </c>
      <c r="CB536" s="39" t="str">
        <f>IFERROR(proje!CM31*100/proje!$I31,"")</f>
        <v/>
      </c>
      <c r="CC536" s="39" t="str">
        <f>IFERROR(proje!CN31*100/proje!$I31,"")</f>
        <v/>
      </c>
      <c r="CD536" s="39" t="str">
        <f>IFERROR(proje!CO31*100/proje!$I31,"")</f>
        <v/>
      </c>
      <c r="CE536" s="39" t="str">
        <f>IFERROR(proje!CP31*100/proje!$I31,"")</f>
        <v/>
      </c>
      <c r="CF536" s="39" t="str">
        <f>IFERROR(proje!CQ31*100/proje!$I31,"")</f>
        <v/>
      </c>
      <c r="CG536" s="39" t="str">
        <f>IFERROR(proje!CR31*100/proje!$I31,"")</f>
        <v/>
      </c>
      <c r="CH536" s="39" t="str">
        <f>IFERROR(proje!CS31*100/proje!$I31,"")</f>
        <v/>
      </c>
      <c r="CI536" s="39" t="str">
        <f>IFERROR(proje!CT31*100/proje!$I31,"")</f>
        <v/>
      </c>
      <c r="CJ536" s="39" t="str">
        <f>IFERROR(proje!CU31*100/proje!$I31,"")</f>
        <v/>
      </c>
      <c r="CK536" s="39" t="str">
        <f>IFERROR(proje!CV31*100/proje!$I31,"")</f>
        <v/>
      </c>
      <c r="CL536" s="39" t="str">
        <f>IFERROR(proje!CW31*100/proje!$I31,"")</f>
        <v/>
      </c>
      <c r="CM536" s="39" t="str">
        <f>IFERROR(proje!CX31*100/proje!$I31,"")</f>
        <v/>
      </c>
      <c r="CN536" s="39" t="str">
        <f>IFERROR(proje!CY31*100/proje!$I31,"")</f>
        <v/>
      </c>
      <c r="CO536" s="39" t="str">
        <f>IFERROR(proje!CZ31*100/proje!$I31,"")</f>
        <v/>
      </c>
      <c r="CP536" s="39" t="str">
        <f>IFERROR(proje!DA31*100/proje!$I31,"")</f>
        <v/>
      </c>
      <c r="CQ536" s="39" t="str">
        <f>IFERROR(proje!DB31*100/proje!$I31,"")</f>
        <v/>
      </c>
      <c r="CR536" s="39" t="str">
        <f>IFERROR(proje!DC31*100/proje!$I31,"")</f>
        <v/>
      </c>
      <c r="CS536" s="39" t="str">
        <f>IFERROR(proje!DD31*100/proje!$I31,"")</f>
        <v/>
      </c>
      <c r="CT536" s="39" t="str">
        <f>IFERROR(proje!DE31*100/proje!$I31,"")</f>
        <v/>
      </c>
      <c r="CU536" s="39" t="str">
        <f>IFERROR(proje!DF31*100/proje!$I31,"")</f>
        <v/>
      </c>
      <c r="CV536" s="39" t="str">
        <f>IFERROR(proje!DG31*100/proje!$I31,"")</f>
        <v/>
      </c>
      <c r="CW536" s="36" t="str">
        <f>IFERROR(SUM(A536:CV536)/proje!$DH$103,"")</f>
        <v/>
      </c>
      <c r="CX536" s="14" t="str">
        <f>IF(COUNTA(proje!A31),proje!A31,"")</f>
        <v/>
      </c>
      <c r="CY536" s="14" t="str">
        <f>IF(COUNTA(proje!B31),proje!B31,"")</f>
        <v/>
      </c>
      <c r="CZ536" s="14" t="str">
        <f>IF(COUNTA(proje!C31),proje!C31,"")</f>
        <v/>
      </c>
      <c r="DA536" s="14" t="str">
        <f>IF(COUNTA(proje!D31),proje!D31,"")</f>
        <v/>
      </c>
      <c r="DB536" s="14" t="str">
        <f>IF(COUNTA(proje!E31),proje!E31,"")</f>
        <v/>
      </c>
      <c r="DC536" s="14" t="str">
        <f>IF(COUNTA(proje!F31),proje!F31,"")</f>
        <v/>
      </c>
      <c r="DD536" s="14" t="str">
        <f>IF(COUNTA(proje!G31),proje!G31,"")</f>
        <v/>
      </c>
      <c r="DE536" s="14" t="str">
        <f>IF(COUNTA(proje!H31),proje!H31,"")</f>
        <v/>
      </c>
    </row>
    <row r="537" spans="1:109" x14ac:dyDescent="0.2">
      <c r="A537" s="39" t="str">
        <f>IFERROR(proje!L32*100/proje!$I32,"")</f>
        <v/>
      </c>
      <c r="B537" s="39" t="str">
        <f>IFERROR(proje!M32*100/proje!$I32,"")</f>
        <v/>
      </c>
      <c r="C537" s="39" t="str">
        <f>IFERROR(proje!N32*100/proje!$I32,"")</f>
        <v/>
      </c>
      <c r="D537" s="39" t="str">
        <f>IFERROR(proje!O32*100/proje!$I32,"")</f>
        <v/>
      </c>
      <c r="E537" s="39" t="str">
        <f>IFERROR(proje!P32*100/proje!$I32,"")</f>
        <v/>
      </c>
      <c r="F537" s="39" t="str">
        <f>IFERROR(proje!Q32*100/proje!$I32,"")</f>
        <v/>
      </c>
      <c r="G537" s="39" t="str">
        <f>IFERROR(proje!R32*100/proje!$I32,"")</f>
        <v/>
      </c>
      <c r="H537" s="39" t="str">
        <f>IFERROR(proje!S32*100/proje!$I32,"")</f>
        <v/>
      </c>
      <c r="I537" s="39" t="str">
        <f>IFERROR(proje!T32*100/proje!$I32,"")</f>
        <v/>
      </c>
      <c r="J537" s="39" t="str">
        <f>IFERROR(proje!U32*100/proje!$I32,"")</f>
        <v/>
      </c>
      <c r="K537" s="39" t="str">
        <f>IFERROR(proje!V32*100/proje!$I32,"")</f>
        <v/>
      </c>
      <c r="L537" s="39" t="str">
        <f>IFERROR(proje!W32*100/proje!$I32,"")</f>
        <v/>
      </c>
      <c r="M537" s="39" t="str">
        <f>IFERROR(proje!X32*100/proje!$I32,"")</f>
        <v/>
      </c>
      <c r="N537" s="39" t="str">
        <f>IFERROR(proje!Y32*100/proje!$I32,"")</f>
        <v/>
      </c>
      <c r="O537" s="39" t="str">
        <f>IFERROR(proje!Z32*100/proje!$I32,"")</f>
        <v/>
      </c>
      <c r="P537" s="39" t="str">
        <f>IFERROR(proje!AA32*100/proje!$I32,"")</f>
        <v/>
      </c>
      <c r="Q537" s="39" t="str">
        <f>IFERROR(proje!AB32*100/proje!$I32,"")</f>
        <v/>
      </c>
      <c r="R537" s="39" t="str">
        <f>IFERROR(proje!AC32*100/proje!$I32,"")</f>
        <v/>
      </c>
      <c r="S537" s="39" t="str">
        <f>IFERROR(proje!AD32*100/proje!$I32,"")</f>
        <v/>
      </c>
      <c r="T537" s="39" t="str">
        <f>IFERROR(proje!AE32*100/proje!$I32,"")</f>
        <v/>
      </c>
      <c r="U537" s="39" t="str">
        <f>IFERROR(proje!AF32*100/proje!$I32,"")</f>
        <v/>
      </c>
      <c r="V537" s="39" t="str">
        <f>IFERROR(proje!AG32*100/proje!$I32,"")</f>
        <v/>
      </c>
      <c r="W537" s="39" t="str">
        <f>IFERROR(proje!AH32*100/proje!$I32,"")</f>
        <v/>
      </c>
      <c r="X537" s="39" t="str">
        <f>IFERROR(proje!AI32*100/proje!$I32,"")</f>
        <v/>
      </c>
      <c r="Y537" s="39" t="str">
        <f>IFERROR(proje!AJ32*100/proje!$I32,"")</f>
        <v/>
      </c>
      <c r="Z537" s="39" t="str">
        <f>IFERROR(proje!AK32*100/proje!$I32,"")</f>
        <v/>
      </c>
      <c r="AA537" s="39" t="str">
        <f>IFERROR(proje!AL32*100/proje!$I32,"")</f>
        <v/>
      </c>
      <c r="AB537" s="39" t="str">
        <f>IFERROR(proje!AM32*100/proje!$I32,"")</f>
        <v/>
      </c>
      <c r="AC537" s="39" t="str">
        <f>IFERROR(proje!AN32*100/proje!$I32,"")</f>
        <v/>
      </c>
      <c r="AD537" s="39" t="str">
        <f>IFERROR(proje!AO32*100/proje!$I32,"")</f>
        <v/>
      </c>
      <c r="AE537" s="39" t="str">
        <f>IFERROR(proje!AP32*100/proje!$I32,"")</f>
        <v/>
      </c>
      <c r="AF537" s="39" t="str">
        <f>IFERROR(proje!AQ32*100/proje!$I32,"")</f>
        <v/>
      </c>
      <c r="AG537" s="39" t="str">
        <f>IFERROR(proje!AR32*100/proje!$I32,"")</f>
        <v/>
      </c>
      <c r="AH537" s="39" t="str">
        <f>IFERROR(proje!AS32*100/proje!$I32,"")</f>
        <v/>
      </c>
      <c r="AI537" s="39" t="str">
        <f>IFERROR(proje!AT32*100/proje!$I32,"")</f>
        <v/>
      </c>
      <c r="AJ537" s="39" t="str">
        <f>IFERROR(proje!AU32*100/proje!$I32,"")</f>
        <v/>
      </c>
      <c r="AK537" s="39" t="str">
        <f>IFERROR(proje!AV32*100/proje!$I32,"")</f>
        <v/>
      </c>
      <c r="AL537" s="39" t="str">
        <f>IFERROR(proje!AW32*100/proje!$I32,"")</f>
        <v/>
      </c>
      <c r="AM537" s="39" t="str">
        <f>IFERROR(proje!AX32*100/proje!$I32,"")</f>
        <v/>
      </c>
      <c r="AN537" s="39" t="str">
        <f>IFERROR(proje!AY32*100/proje!$I32,"")</f>
        <v/>
      </c>
      <c r="AO537" s="39" t="str">
        <f>IFERROR(proje!AZ32*100/proje!$I32,"")</f>
        <v/>
      </c>
      <c r="AP537" s="39" t="str">
        <f>IFERROR(proje!BA32*100/proje!$I32,"")</f>
        <v/>
      </c>
      <c r="AQ537" s="39" t="str">
        <f>IFERROR(proje!BB32*100/proje!$I32,"")</f>
        <v/>
      </c>
      <c r="AR537" s="39" t="str">
        <f>IFERROR(proje!BC32*100/proje!$I32,"")</f>
        <v/>
      </c>
      <c r="AS537" s="39" t="str">
        <f>IFERROR(proje!BD32*100/proje!$I32,"")</f>
        <v/>
      </c>
      <c r="AT537" s="39" t="str">
        <f>IFERROR(proje!BE32*100/proje!$I32,"")</f>
        <v/>
      </c>
      <c r="AU537" s="39" t="str">
        <f>IFERROR(proje!BF32*100/proje!$I32,"")</f>
        <v/>
      </c>
      <c r="AV537" s="39" t="str">
        <f>IFERROR(proje!BG32*100/proje!$I32,"")</f>
        <v/>
      </c>
      <c r="AW537" s="39" t="str">
        <f>IFERROR(proje!BH32*100/proje!$I32,"")</f>
        <v/>
      </c>
      <c r="AX537" s="39" t="str">
        <f>IFERROR(proje!BI32*100/proje!$I32,"")</f>
        <v/>
      </c>
      <c r="AY537" s="39" t="str">
        <f>IFERROR(proje!BJ32*100/proje!$I32,"")</f>
        <v/>
      </c>
      <c r="AZ537" s="39" t="str">
        <f>IFERROR(proje!BK32*100/proje!$I32,"")</f>
        <v/>
      </c>
      <c r="BA537" s="39" t="str">
        <f>IFERROR(proje!BL32*100/proje!$I32,"")</f>
        <v/>
      </c>
      <c r="BB537" s="39" t="str">
        <f>IFERROR(proje!BM32*100/proje!$I32,"")</f>
        <v/>
      </c>
      <c r="BC537" s="39" t="str">
        <f>IFERROR(proje!BN32*100/proje!$I32,"")</f>
        <v/>
      </c>
      <c r="BD537" s="39" t="str">
        <f>IFERROR(proje!BO32*100/proje!$I32,"")</f>
        <v/>
      </c>
      <c r="BE537" s="39" t="str">
        <f>IFERROR(proje!BP32*100/proje!$I32,"")</f>
        <v/>
      </c>
      <c r="BF537" s="39" t="str">
        <f>IFERROR(proje!BQ32*100/proje!$I32,"")</f>
        <v/>
      </c>
      <c r="BG537" s="39" t="str">
        <f>IFERROR(proje!BR32*100/proje!$I32,"")</f>
        <v/>
      </c>
      <c r="BH537" s="39" t="str">
        <f>IFERROR(proje!BS32*100/proje!$I32,"")</f>
        <v/>
      </c>
      <c r="BI537" s="39" t="str">
        <f>IFERROR(proje!BT32*100/proje!$I32,"")</f>
        <v/>
      </c>
      <c r="BJ537" s="39" t="str">
        <f>IFERROR(proje!BU32*100/proje!$I32,"")</f>
        <v/>
      </c>
      <c r="BK537" s="39" t="str">
        <f>IFERROR(proje!BV32*100/proje!$I32,"")</f>
        <v/>
      </c>
      <c r="BL537" s="39" t="str">
        <f>IFERROR(proje!BW32*100/proje!$I32,"")</f>
        <v/>
      </c>
      <c r="BM537" s="39" t="str">
        <f>IFERROR(proje!BX32*100/proje!$I32,"")</f>
        <v/>
      </c>
      <c r="BN537" s="39" t="str">
        <f>IFERROR(proje!BY32*100/proje!$I32,"")</f>
        <v/>
      </c>
      <c r="BO537" s="39" t="str">
        <f>IFERROR(proje!BZ32*100/proje!$I32,"")</f>
        <v/>
      </c>
      <c r="BP537" s="39" t="str">
        <f>IFERROR(proje!CA32*100/proje!$I32,"")</f>
        <v/>
      </c>
      <c r="BQ537" s="39" t="str">
        <f>IFERROR(proje!CB32*100/proje!$I32,"")</f>
        <v/>
      </c>
      <c r="BR537" s="39" t="str">
        <f>IFERROR(proje!CC32*100/proje!$I32,"")</f>
        <v/>
      </c>
      <c r="BS537" s="39" t="str">
        <f>IFERROR(proje!CD32*100/proje!$I32,"")</f>
        <v/>
      </c>
      <c r="BT537" s="39" t="str">
        <f>IFERROR(proje!CE32*100/proje!$I32,"")</f>
        <v/>
      </c>
      <c r="BU537" s="39" t="str">
        <f>IFERROR(proje!CF32*100/proje!$I32,"")</f>
        <v/>
      </c>
      <c r="BV537" s="39" t="str">
        <f>IFERROR(proje!CG32*100/proje!$I32,"")</f>
        <v/>
      </c>
      <c r="BW537" s="39" t="str">
        <f>IFERROR(proje!CH32*100/proje!$I32,"")</f>
        <v/>
      </c>
      <c r="BX537" s="39" t="str">
        <f>IFERROR(proje!CI32*100/proje!$I32,"")</f>
        <v/>
      </c>
      <c r="BY537" s="39" t="str">
        <f>IFERROR(proje!CJ32*100/proje!$I32,"")</f>
        <v/>
      </c>
      <c r="BZ537" s="39" t="str">
        <f>IFERROR(proje!CK32*100/proje!$I32,"")</f>
        <v/>
      </c>
      <c r="CA537" s="39" t="str">
        <f>IFERROR(proje!CL32*100/proje!$I32,"")</f>
        <v/>
      </c>
      <c r="CB537" s="39" t="str">
        <f>IFERROR(proje!CM32*100/proje!$I32,"")</f>
        <v/>
      </c>
      <c r="CC537" s="39" t="str">
        <f>IFERROR(proje!CN32*100/proje!$I32,"")</f>
        <v/>
      </c>
      <c r="CD537" s="39" t="str">
        <f>IFERROR(proje!CO32*100/proje!$I32,"")</f>
        <v/>
      </c>
      <c r="CE537" s="39" t="str">
        <f>IFERROR(proje!CP32*100/proje!$I32,"")</f>
        <v/>
      </c>
      <c r="CF537" s="39" t="str">
        <f>IFERROR(proje!CQ32*100/proje!$I32,"")</f>
        <v/>
      </c>
      <c r="CG537" s="39" t="str">
        <f>IFERROR(proje!CR32*100/proje!$I32,"")</f>
        <v/>
      </c>
      <c r="CH537" s="39" t="str">
        <f>IFERROR(proje!CS32*100/proje!$I32,"")</f>
        <v/>
      </c>
      <c r="CI537" s="39" t="str">
        <f>IFERROR(proje!CT32*100/proje!$I32,"")</f>
        <v/>
      </c>
      <c r="CJ537" s="39" t="str">
        <f>IFERROR(proje!CU32*100/proje!$I32,"")</f>
        <v/>
      </c>
      <c r="CK537" s="39" t="str">
        <f>IFERROR(proje!CV32*100/proje!$I32,"")</f>
        <v/>
      </c>
      <c r="CL537" s="39" t="str">
        <f>IFERROR(proje!CW32*100/proje!$I32,"")</f>
        <v/>
      </c>
      <c r="CM537" s="39" t="str">
        <f>IFERROR(proje!CX32*100/proje!$I32,"")</f>
        <v/>
      </c>
      <c r="CN537" s="39" t="str">
        <f>IFERROR(proje!CY32*100/proje!$I32,"")</f>
        <v/>
      </c>
      <c r="CO537" s="39" t="str">
        <f>IFERROR(proje!CZ32*100/proje!$I32,"")</f>
        <v/>
      </c>
      <c r="CP537" s="39" t="str">
        <f>IFERROR(proje!DA32*100/proje!$I32,"")</f>
        <v/>
      </c>
      <c r="CQ537" s="39" t="str">
        <f>IFERROR(proje!DB32*100/proje!$I32,"")</f>
        <v/>
      </c>
      <c r="CR537" s="39" t="str">
        <f>IFERROR(proje!DC32*100/proje!$I32,"")</f>
        <v/>
      </c>
      <c r="CS537" s="39" t="str">
        <f>IFERROR(proje!DD32*100/proje!$I32,"")</f>
        <v/>
      </c>
      <c r="CT537" s="39" t="str">
        <f>IFERROR(proje!DE32*100/proje!$I32,"")</f>
        <v/>
      </c>
      <c r="CU537" s="39" t="str">
        <f>IFERROR(proje!DF32*100/proje!$I32,"")</f>
        <v/>
      </c>
      <c r="CV537" s="39" t="str">
        <f>IFERROR(proje!DG32*100/proje!$I32,"")</f>
        <v/>
      </c>
      <c r="CW537" s="36" t="str">
        <f>IFERROR(SUM(A537:CV537)/proje!$DH$103,"")</f>
        <v/>
      </c>
      <c r="CX537" s="14" t="str">
        <f>IF(COUNTA(proje!A32),proje!A32,"")</f>
        <v/>
      </c>
      <c r="CY537" s="14" t="str">
        <f>IF(COUNTA(proje!B32),proje!B32,"")</f>
        <v/>
      </c>
      <c r="CZ537" s="14" t="str">
        <f>IF(COUNTA(proje!C32),proje!C32,"")</f>
        <v/>
      </c>
      <c r="DA537" s="14" t="str">
        <f>IF(COUNTA(proje!D32),proje!D32,"")</f>
        <v/>
      </c>
      <c r="DB537" s="14" t="str">
        <f>IF(COUNTA(proje!E32),proje!E32,"")</f>
        <v/>
      </c>
      <c r="DC537" s="14" t="str">
        <f>IF(COUNTA(proje!F32),proje!F32,"")</f>
        <v/>
      </c>
      <c r="DD537" s="14" t="str">
        <f>IF(COUNTA(proje!G32),proje!G32,"")</f>
        <v/>
      </c>
      <c r="DE537" s="14" t="str">
        <f>IF(COUNTA(proje!H32),proje!H32,"")</f>
        <v/>
      </c>
    </row>
    <row r="538" spans="1:109" x14ac:dyDescent="0.2">
      <c r="A538" s="39" t="str">
        <f>IFERROR(proje!L33*100/proje!$I33,"")</f>
        <v/>
      </c>
      <c r="B538" s="39" t="str">
        <f>IFERROR(proje!M33*100/proje!$I33,"")</f>
        <v/>
      </c>
      <c r="C538" s="39" t="str">
        <f>IFERROR(proje!N33*100/proje!$I33,"")</f>
        <v/>
      </c>
      <c r="D538" s="39" t="str">
        <f>IFERROR(proje!O33*100/proje!$I33,"")</f>
        <v/>
      </c>
      <c r="E538" s="39" t="str">
        <f>IFERROR(proje!P33*100/proje!$I33,"")</f>
        <v/>
      </c>
      <c r="F538" s="39" t="str">
        <f>IFERROR(proje!Q33*100/proje!$I33,"")</f>
        <v/>
      </c>
      <c r="G538" s="39" t="str">
        <f>IFERROR(proje!R33*100/proje!$I33,"")</f>
        <v/>
      </c>
      <c r="H538" s="39" t="str">
        <f>IFERROR(proje!S33*100/proje!$I33,"")</f>
        <v/>
      </c>
      <c r="I538" s="39" t="str">
        <f>IFERROR(proje!T33*100/proje!$I33,"")</f>
        <v/>
      </c>
      <c r="J538" s="39" t="str">
        <f>IFERROR(proje!U33*100/proje!$I33,"")</f>
        <v/>
      </c>
      <c r="K538" s="39" t="str">
        <f>IFERROR(proje!V33*100/proje!$I33,"")</f>
        <v/>
      </c>
      <c r="L538" s="39" t="str">
        <f>IFERROR(proje!W33*100/proje!$I33,"")</f>
        <v/>
      </c>
      <c r="M538" s="39" t="str">
        <f>IFERROR(proje!X33*100/proje!$I33,"")</f>
        <v/>
      </c>
      <c r="N538" s="39" t="str">
        <f>IFERROR(proje!Y33*100/proje!$I33,"")</f>
        <v/>
      </c>
      <c r="O538" s="39" t="str">
        <f>IFERROR(proje!Z33*100/proje!$I33,"")</f>
        <v/>
      </c>
      <c r="P538" s="39" t="str">
        <f>IFERROR(proje!AA33*100/proje!$I33,"")</f>
        <v/>
      </c>
      <c r="Q538" s="39" t="str">
        <f>IFERROR(proje!AB33*100/proje!$I33,"")</f>
        <v/>
      </c>
      <c r="R538" s="39" t="str">
        <f>IFERROR(proje!AC33*100/proje!$I33,"")</f>
        <v/>
      </c>
      <c r="S538" s="39" t="str">
        <f>IFERROR(proje!AD33*100/proje!$I33,"")</f>
        <v/>
      </c>
      <c r="T538" s="39" t="str">
        <f>IFERROR(proje!AE33*100/proje!$I33,"")</f>
        <v/>
      </c>
      <c r="U538" s="39" t="str">
        <f>IFERROR(proje!AF33*100/proje!$I33,"")</f>
        <v/>
      </c>
      <c r="V538" s="39" t="str">
        <f>IFERROR(proje!AG33*100/proje!$I33,"")</f>
        <v/>
      </c>
      <c r="W538" s="39" t="str">
        <f>IFERROR(proje!AH33*100/proje!$I33,"")</f>
        <v/>
      </c>
      <c r="X538" s="39" t="str">
        <f>IFERROR(proje!AI33*100/proje!$I33,"")</f>
        <v/>
      </c>
      <c r="Y538" s="39" t="str">
        <f>IFERROR(proje!AJ33*100/proje!$I33,"")</f>
        <v/>
      </c>
      <c r="Z538" s="39" t="str">
        <f>IFERROR(proje!AK33*100/proje!$I33,"")</f>
        <v/>
      </c>
      <c r="AA538" s="39" t="str">
        <f>IFERROR(proje!AL33*100/proje!$I33,"")</f>
        <v/>
      </c>
      <c r="AB538" s="39" t="str">
        <f>IFERROR(proje!AM33*100/proje!$I33,"")</f>
        <v/>
      </c>
      <c r="AC538" s="39" t="str">
        <f>IFERROR(proje!AN33*100/proje!$I33,"")</f>
        <v/>
      </c>
      <c r="AD538" s="39" t="str">
        <f>IFERROR(proje!AO33*100/proje!$I33,"")</f>
        <v/>
      </c>
      <c r="AE538" s="39" t="str">
        <f>IFERROR(proje!AP33*100/proje!$I33,"")</f>
        <v/>
      </c>
      <c r="AF538" s="39" t="str">
        <f>IFERROR(proje!AQ33*100/proje!$I33,"")</f>
        <v/>
      </c>
      <c r="AG538" s="39" t="str">
        <f>IFERROR(proje!AR33*100/proje!$I33,"")</f>
        <v/>
      </c>
      <c r="AH538" s="39" t="str">
        <f>IFERROR(proje!AS33*100/proje!$I33,"")</f>
        <v/>
      </c>
      <c r="AI538" s="39" t="str">
        <f>IFERROR(proje!AT33*100/proje!$I33,"")</f>
        <v/>
      </c>
      <c r="AJ538" s="39" t="str">
        <f>IFERROR(proje!AU33*100/proje!$I33,"")</f>
        <v/>
      </c>
      <c r="AK538" s="39" t="str">
        <f>IFERROR(proje!AV33*100/proje!$I33,"")</f>
        <v/>
      </c>
      <c r="AL538" s="39" t="str">
        <f>IFERROR(proje!AW33*100/proje!$I33,"")</f>
        <v/>
      </c>
      <c r="AM538" s="39" t="str">
        <f>IFERROR(proje!AX33*100/proje!$I33,"")</f>
        <v/>
      </c>
      <c r="AN538" s="39" t="str">
        <f>IFERROR(proje!AY33*100/proje!$I33,"")</f>
        <v/>
      </c>
      <c r="AO538" s="39" t="str">
        <f>IFERROR(proje!AZ33*100/proje!$I33,"")</f>
        <v/>
      </c>
      <c r="AP538" s="39" t="str">
        <f>IFERROR(proje!BA33*100/proje!$I33,"")</f>
        <v/>
      </c>
      <c r="AQ538" s="39" t="str">
        <f>IFERROR(proje!BB33*100/proje!$I33,"")</f>
        <v/>
      </c>
      <c r="AR538" s="39" t="str">
        <f>IFERROR(proje!BC33*100/proje!$I33,"")</f>
        <v/>
      </c>
      <c r="AS538" s="39" t="str">
        <f>IFERROR(proje!BD33*100/proje!$I33,"")</f>
        <v/>
      </c>
      <c r="AT538" s="39" t="str">
        <f>IFERROR(proje!BE33*100/proje!$I33,"")</f>
        <v/>
      </c>
      <c r="AU538" s="39" t="str">
        <f>IFERROR(proje!BF33*100/proje!$I33,"")</f>
        <v/>
      </c>
      <c r="AV538" s="39" t="str">
        <f>IFERROR(proje!BG33*100/proje!$I33,"")</f>
        <v/>
      </c>
      <c r="AW538" s="39" t="str">
        <f>IFERROR(proje!BH33*100/proje!$I33,"")</f>
        <v/>
      </c>
      <c r="AX538" s="39" t="str">
        <f>IFERROR(proje!BI33*100/proje!$I33,"")</f>
        <v/>
      </c>
      <c r="AY538" s="39" t="str">
        <f>IFERROR(proje!BJ33*100/proje!$I33,"")</f>
        <v/>
      </c>
      <c r="AZ538" s="39" t="str">
        <f>IFERROR(proje!BK33*100/proje!$I33,"")</f>
        <v/>
      </c>
      <c r="BA538" s="39" t="str">
        <f>IFERROR(proje!BL33*100/proje!$I33,"")</f>
        <v/>
      </c>
      <c r="BB538" s="39" t="str">
        <f>IFERROR(proje!BM33*100/proje!$I33,"")</f>
        <v/>
      </c>
      <c r="BC538" s="39" t="str">
        <f>IFERROR(proje!BN33*100/proje!$I33,"")</f>
        <v/>
      </c>
      <c r="BD538" s="39" t="str">
        <f>IFERROR(proje!BO33*100/proje!$I33,"")</f>
        <v/>
      </c>
      <c r="BE538" s="39" t="str">
        <f>IFERROR(proje!BP33*100/proje!$I33,"")</f>
        <v/>
      </c>
      <c r="BF538" s="39" t="str">
        <f>IFERROR(proje!BQ33*100/proje!$I33,"")</f>
        <v/>
      </c>
      <c r="BG538" s="39" t="str">
        <f>IFERROR(proje!BR33*100/proje!$I33,"")</f>
        <v/>
      </c>
      <c r="BH538" s="39" t="str">
        <f>IFERROR(proje!BS33*100/proje!$I33,"")</f>
        <v/>
      </c>
      <c r="BI538" s="39" t="str">
        <f>IFERROR(proje!BT33*100/proje!$I33,"")</f>
        <v/>
      </c>
      <c r="BJ538" s="39" t="str">
        <f>IFERROR(proje!BU33*100/proje!$I33,"")</f>
        <v/>
      </c>
      <c r="BK538" s="39" t="str">
        <f>IFERROR(proje!BV33*100/proje!$I33,"")</f>
        <v/>
      </c>
      <c r="BL538" s="39" t="str">
        <f>IFERROR(proje!BW33*100/proje!$I33,"")</f>
        <v/>
      </c>
      <c r="BM538" s="39" t="str">
        <f>IFERROR(proje!BX33*100/proje!$I33,"")</f>
        <v/>
      </c>
      <c r="BN538" s="39" t="str">
        <f>IFERROR(proje!BY33*100/proje!$I33,"")</f>
        <v/>
      </c>
      <c r="BO538" s="39" t="str">
        <f>IFERROR(proje!BZ33*100/proje!$I33,"")</f>
        <v/>
      </c>
      <c r="BP538" s="39" t="str">
        <f>IFERROR(proje!CA33*100/proje!$I33,"")</f>
        <v/>
      </c>
      <c r="BQ538" s="39" t="str">
        <f>IFERROR(proje!CB33*100/proje!$I33,"")</f>
        <v/>
      </c>
      <c r="BR538" s="39" t="str">
        <f>IFERROR(proje!CC33*100/proje!$I33,"")</f>
        <v/>
      </c>
      <c r="BS538" s="39" t="str">
        <f>IFERROR(proje!CD33*100/proje!$I33,"")</f>
        <v/>
      </c>
      <c r="BT538" s="39" t="str">
        <f>IFERROR(proje!CE33*100/proje!$I33,"")</f>
        <v/>
      </c>
      <c r="BU538" s="39" t="str">
        <f>IFERROR(proje!CF33*100/proje!$I33,"")</f>
        <v/>
      </c>
      <c r="BV538" s="39" t="str">
        <f>IFERROR(proje!CG33*100/proje!$I33,"")</f>
        <v/>
      </c>
      <c r="BW538" s="39" t="str">
        <f>IFERROR(proje!CH33*100/proje!$I33,"")</f>
        <v/>
      </c>
      <c r="BX538" s="39" t="str">
        <f>IFERROR(proje!CI33*100/proje!$I33,"")</f>
        <v/>
      </c>
      <c r="BY538" s="39" t="str">
        <f>IFERROR(proje!CJ33*100/proje!$I33,"")</f>
        <v/>
      </c>
      <c r="BZ538" s="39" t="str">
        <f>IFERROR(proje!CK33*100/proje!$I33,"")</f>
        <v/>
      </c>
      <c r="CA538" s="39" t="str">
        <f>IFERROR(proje!CL33*100/proje!$I33,"")</f>
        <v/>
      </c>
      <c r="CB538" s="39" t="str">
        <f>IFERROR(proje!CM33*100/proje!$I33,"")</f>
        <v/>
      </c>
      <c r="CC538" s="39" t="str">
        <f>IFERROR(proje!CN33*100/proje!$I33,"")</f>
        <v/>
      </c>
      <c r="CD538" s="39" t="str">
        <f>IFERROR(proje!CO33*100/proje!$I33,"")</f>
        <v/>
      </c>
      <c r="CE538" s="39" t="str">
        <f>IFERROR(proje!CP33*100/proje!$I33,"")</f>
        <v/>
      </c>
      <c r="CF538" s="39" t="str">
        <f>IFERROR(proje!CQ33*100/proje!$I33,"")</f>
        <v/>
      </c>
      <c r="CG538" s="39" t="str">
        <f>IFERROR(proje!CR33*100/proje!$I33,"")</f>
        <v/>
      </c>
      <c r="CH538" s="39" t="str">
        <f>IFERROR(proje!CS33*100/proje!$I33,"")</f>
        <v/>
      </c>
      <c r="CI538" s="39" t="str">
        <f>IFERROR(proje!CT33*100/proje!$I33,"")</f>
        <v/>
      </c>
      <c r="CJ538" s="39" t="str">
        <f>IFERROR(proje!CU33*100/proje!$I33,"")</f>
        <v/>
      </c>
      <c r="CK538" s="39" t="str">
        <f>IFERROR(proje!CV33*100/proje!$I33,"")</f>
        <v/>
      </c>
      <c r="CL538" s="39" t="str">
        <f>IFERROR(proje!CW33*100/proje!$I33,"")</f>
        <v/>
      </c>
      <c r="CM538" s="39" t="str">
        <f>IFERROR(proje!CX33*100/proje!$I33,"")</f>
        <v/>
      </c>
      <c r="CN538" s="39" t="str">
        <f>IFERROR(proje!CY33*100/proje!$I33,"")</f>
        <v/>
      </c>
      <c r="CO538" s="39" t="str">
        <f>IFERROR(proje!CZ33*100/proje!$I33,"")</f>
        <v/>
      </c>
      <c r="CP538" s="39" t="str">
        <f>IFERROR(proje!DA33*100/proje!$I33,"")</f>
        <v/>
      </c>
      <c r="CQ538" s="39" t="str">
        <f>IFERROR(proje!DB33*100/proje!$I33,"")</f>
        <v/>
      </c>
      <c r="CR538" s="39" t="str">
        <f>IFERROR(proje!DC33*100/proje!$I33,"")</f>
        <v/>
      </c>
      <c r="CS538" s="39" t="str">
        <f>IFERROR(proje!DD33*100/proje!$I33,"")</f>
        <v/>
      </c>
      <c r="CT538" s="39" t="str">
        <f>IFERROR(proje!DE33*100/proje!$I33,"")</f>
        <v/>
      </c>
      <c r="CU538" s="39" t="str">
        <f>IFERROR(proje!DF33*100/proje!$I33,"")</f>
        <v/>
      </c>
      <c r="CV538" s="39" t="str">
        <f>IFERROR(proje!DG33*100/proje!$I33,"")</f>
        <v/>
      </c>
      <c r="CW538" s="36" t="str">
        <f>IFERROR(SUM(A538:CV538)/proje!$DH$103,"")</f>
        <v/>
      </c>
      <c r="CX538" s="14" t="str">
        <f>IF(COUNTA(proje!A33),proje!A33,"")</f>
        <v/>
      </c>
      <c r="CY538" s="14" t="str">
        <f>IF(COUNTA(proje!B33),proje!B33,"")</f>
        <v/>
      </c>
      <c r="CZ538" s="14" t="str">
        <f>IF(COUNTA(proje!C33),proje!C33,"")</f>
        <v/>
      </c>
      <c r="DA538" s="14" t="str">
        <f>IF(COUNTA(proje!D33),proje!D33,"")</f>
        <v/>
      </c>
      <c r="DB538" s="14" t="str">
        <f>IF(COUNTA(proje!E33),proje!E33,"")</f>
        <v/>
      </c>
      <c r="DC538" s="14" t="str">
        <f>IF(COUNTA(proje!F33),proje!F33,"")</f>
        <v/>
      </c>
      <c r="DD538" s="14" t="str">
        <f>IF(COUNTA(proje!G33),proje!G33,"")</f>
        <v/>
      </c>
      <c r="DE538" s="14" t="str">
        <f>IF(COUNTA(proje!H33),proje!H33,"")</f>
        <v/>
      </c>
    </row>
    <row r="539" spans="1:109" x14ac:dyDescent="0.2">
      <c r="A539" s="39" t="str">
        <f>IFERROR(proje!L34*100/proje!$I34,"")</f>
        <v/>
      </c>
      <c r="B539" s="39" t="str">
        <f>IFERROR(proje!M34*100/proje!$I34,"")</f>
        <v/>
      </c>
      <c r="C539" s="39" t="str">
        <f>IFERROR(proje!N34*100/proje!$I34,"")</f>
        <v/>
      </c>
      <c r="D539" s="39" t="str">
        <f>IFERROR(proje!O34*100/proje!$I34,"")</f>
        <v/>
      </c>
      <c r="E539" s="39" t="str">
        <f>IFERROR(proje!P34*100/proje!$I34,"")</f>
        <v/>
      </c>
      <c r="F539" s="39" t="str">
        <f>IFERROR(proje!Q34*100/proje!$I34,"")</f>
        <v/>
      </c>
      <c r="G539" s="39" t="str">
        <f>IFERROR(proje!R34*100/proje!$I34,"")</f>
        <v/>
      </c>
      <c r="H539" s="39" t="str">
        <f>IFERROR(proje!S34*100/proje!$I34,"")</f>
        <v/>
      </c>
      <c r="I539" s="39" t="str">
        <f>IFERROR(proje!T34*100/proje!$I34,"")</f>
        <v/>
      </c>
      <c r="J539" s="39" t="str">
        <f>IFERROR(proje!U34*100/proje!$I34,"")</f>
        <v/>
      </c>
      <c r="K539" s="39" t="str">
        <f>IFERROR(proje!V34*100/proje!$I34,"")</f>
        <v/>
      </c>
      <c r="L539" s="39" t="str">
        <f>IFERROR(proje!W34*100/proje!$I34,"")</f>
        <v/>
      </c>
      <c r="M539" s="39" t="str">
        <f>IFERROR(proje!X34*100/proje!$I34,"")</f>
        <v/>
      </c>
      <c r="N539" s="39" t="str">
        <f>IFERROR(proje!Y34*100/proje!$I34,"")</f>
        <v/>
      </c>
      <c r="O539" s="39" t="str">
        <f>IFERROR(proje!Z34*100/proje!$I34,"")</f>
        <v/>
      </c>
      <c r="P539" s="39" t="str">
        <f>IFERROR(proje!AA34*100/proje!$I34,"")</f>
        <v/>
      </c>
      <c r="Q539" s="39" t="str">
        <f>IFERROR(proje!AB34*100/proje!$I34,"")</f>
        <v/>
      </c>
      <c r="R539" s="39" t="str">
        <f>IFERROR(proje!AC34*100/proje!$I34,"")</f>
        <v/>
      </c>
      <c r="S539" s="39" t="str">
        <f>IFERROR(proje!AD34*100/proje!$I34,"")</f>
        <v/>
      </c>
      <c r="T539" s="39" t="str">
        <f>IFERROR(proje!AE34*100/proje!$I34,"")</f>
        <v/>
      </c>
      <c r="U539" s="39" t="str">
        <f>IFERROR(proje!AF34*100/proje!$I34,"")</f>
        <v/>
      </c>
      <c r="V539" s="39" t="str">
        <f>IFERROR(proje!AG34*100/proje!$I34,"")</f>
        <v/>
      </c>
      <c r="W539" s="39" t="str">
        <f>IFERROR(proje!AH34*100/proje!$I34,"")</f>
        <v/>
      </c>
      <c r="X539" s="39" t="str">
        <f>IFERROR(proje!AI34*100/proje!$I34,"")</f>
        <v/>
      </c>
      <c r="Y539" s="39" t="str">
        <f>IFERROR(proje!AJ34*100/proje!$I34,"")</f>
        <v/>
      </c>
      <c r="Z539" s="39" t="str">
        <f>IFERROR(proje!AK34*100/proje!$I34,"")</f>
        <v/>
      </c>
      <c r="AA539" s="39" t="str">
        <f>IFERROR(proje!AL34*100/proje!$I34,"")</f>
        <v/>
      </c>
      <c r="AB539" s="39" t="str">
        <f>IFERROR(proje!AM34*100/proje!$I34,"")</f>
        <v/>
      </c>
      <c r="AC539" s="39" t="str">
        <f>IFERROR(proje!AN34*100/proje!$I34,"")</f>
        <v/>
      </c>
      <c r="AD539" s="39" t="str">
        <f>IFERROR(proje!AO34*100/proje!$I34,"")</f>
        <v/>
      </c>
      <c r="AE539" s="39" t="str">
        <f>IFERROR(proje!AP34*100/proje!$I34,"")</f>
        <v/>
      </c>
      <c r="AF539" s="39" t="str">
        <f>IFERROR(proje!AQ34*100/proje!$I34,"")</f>
        <v/>
      </c>
      <c r="AG539" s="39" t="str">
        <f>IFERROR(proje!AR34*100/proje!$I34,"")</f>
        <v/>
      </c>
      <c r="AH539" s="39" t="str">
        <f>IFERROR(proje!AS34*100/proje!$I34,"")</f>
        <v/>
      </c>
      <c r="AI539" s="39" t="str">
        <f>IFERROR(proje!AT34*100/proje!$I34,"")</f>
        <v/>
      </c>
      <c r="AJ539" s="39" t="str">
        <f>IFERROR(proje!AU34*100/proje!$I34,"")</f>
        <v/>
      </c>
      <c r="AK539" s="39" t="str">
        <f>IFERROR(proje!AV34*100/proje!$I34,"")</f>
        <v/>
      </c>
      <c r="AL539" s="39" t="str">
        <f>IFERROR(proje!AW34*100/proje!$I34,"")</f>
        <v/>
      </c>
      <c r="AM539" s="39" t="str">
        <f>IFERROR(proje!AX34*100/proje!$I34,"")</f>
        <v/>
      </c>
      <c r="AN539" s="39" t="str">
        <f>IFERROR(proje!AY34*100/proje!$I34,"")</f>
        <v/>
      </c>
      <c r="AO539" s="39" t="str">
        <f>IFERROR(proje!AZ34*100/proje!$I34,"")</f>
        <v/>
      </c>
      <c r="AP539" s="39" t="str">
        <f>IFERROR(proje!BA34*100/proje!$I34,"")</f>
        <v/>
      </c>
      <c r="AQ539" s="39" t="str">
        <f>IFERROR(proje!BB34*100/proje!$I34,"")</f>
        <v/>
      </c>
      <c r="AR539" s="39" t="str">
        <f>IFERROR(proje!BC34*100/proje!$I34,"")</f>
        <v/>
      </c>
      <c r="AS539" s="39" t="str">
        <f>IFERROR(proje!BD34*100/proje!$I34,"")</f>
        <v/>
      </c>
      <c r="AT539" s="39" t="str">
        <f>IFERROR(proje!BE34*100/proje!$I34,"")</f>
        <v/>
      </c>
      <c r="AU539" s="39" t="str">
        <f>IFERROR(proje!BF34*100/proje!$I34,"")</f>
        <v/>
      </c>
      <c r="AV539" s="39" t="str">
        <f>IFERROR(proje!BG34*100/proje!$I34,"")</f>
        <v/>
      </c>
      <c r="AW539" s="39" t="str">
        <f>IFERROR(proje!BH34*100/proje!$I34,"")</f>
        <v/>
      </c>
      <c r="AX539" s="39" t="str">
        <f>IFERROR(proje!BI34*100/proje!$I34,"")</f>
        <v/>
      </c>
      <c r="AY539" s="39" t="str">
        <f>IFERROR(proje!BJ34*100/proje!$I34,"")</f>
        <v/>
      </c>
      <c r="AZ539" s="39" t="str">
        <f>IFERROR(proje!BK34*100/proje!$I34,"")</f>
        <v/>
      </c>
      <c r="BA539" s="39" t="str">
        <f>IFERROR(proje!BL34*100/proje!$I34,"")</f>
        <v/>
      </c>
      <c r="BB539" s="39" t="str">
        <f>IFERROR(proje!BM34*100/proje!$I34,"")</f>
        <v/>
      </c>
      <c r="BC539" s="39" t="str">
        <f>IFERROR(proje!BN34*100/proje!$I34,"")</f>
        <v/>
      </c>
      <c r="BD539" s="39" t="str">
        <f>IFERROR(proje!BO34*100/proje!$I34,"")</f>
        <v/>
      </c>
      <c r="BE539" s="39" t="str">
        <f>IFERROR(proje!BP34*100/proje!$I34,"")</f>
        <v/>
      </c>
      <c r="BF539" s="39" t="str">
        <f>IFERROR(proje!BQ34*100/proje!$I34,"")</f>
        <v/>
      </c>
      <c r="BG539" s="39" t="str">
        <f>IFERROR(proje!BR34*100/proje!$I34,"")</f>
        <v/>
      </c>
      <c r="BH539" s="39" t="str">
        <f>IFERROR(proje!BS34*100/proje!$I34,"")</f>
        <v/>
      </c>
      <c r="BI539" s="39" t="str">
        <f>IFERROR(proje!BT34*100/proje!$I34,"")</f>
        <v/>
      </c>
      <c r="BJ539" s="39" t="str">
        <f>IFERROR(proje!BU34*100/proje!$I34,"")</f>
        <v/>
      </c>
      <c r="BK539" s="39" t="str">
        <f>IFERROR(proje!BV34*100/proje!$I34,"")</f>
        <v/>
      </c>
      <c r="BL539" s="39" t="str">
        <f>IFERROR(proje!BW34*100/proje!$I34,"")</f>
        <v/>
      </c>
      <c r="BM539" s="39" t="str">
        <f>IFERROR(proje!BX34*100/proje!$I34,"")</f>
        <v/>
      </c>
      <c r="BN539" s="39" t="str">
        <f>IFERROR(proje!BY34*100/proje!$I34,"")</f>
        <v/>
      </c>
      <c r="BO539" s="39" t="str">
        <f>IFERROR(proje!BZ34*100/proje!$I34,"")</f>
        <v/>
      </c>
      <c r="BP539" s="39" t="str">
        <f>IFERROR(proje!CA34*100/proje!$I34,"")</f>
        <v/>
      </c>
      <c r="BQ539" s="39" t="str">
        <f>IFERROR(proje!CB34*100/proje!$I34,"")</f>
        <v/>
      </c>
      <c r="BR539" s="39" t="str">
        <f>IFERROR(proje!CC34*100/proje!$I34,"")</f>
        <v/>
      </c>
      <c r="BS539" s="39" t="str">
        <f>IFERROR(proje!CD34*100/proje!$I34,"")</f>
        <v/>
      </c>
      <c r="BT539" s="39" t="str">
        <f>IFERROR(proje!CE34*100/proje!$I34,"")</f>
        <v/>
      </c>
      <c r="BU539" s="39" t="str">
        <f>IFERROR(proje!CF34*100/proje!$I34,"")</f>
        <v/>
      </c>
      <c r="BV539" s="39" t="str">
        <f>IFERROR(proje!CG34*100/proje!$I34,"")</f>
        <v/>
      </c>
      <c r="BW539" s="39" t="str">
        <f>IFERROR(proje!CH34*100/proje!$I34,"")</f>
        <v/>
      </c>
      <c r="BX539" s="39" t="str">
        <f>IFERROR(proje!CI34*100/proje!$I34,"")</f>
        <v/>
      </c>
      <c r="BY539" s="39" t="str">
        <f>IFERROR(proje!CJ34*100/proje!$I34,"")</f>
        <v/>
      </c>
      <c r="BZ539" s="39" t="str">
        <f>IFERROR(proje!CK34*100/proje!$I34,"")</f>
        <v/>
      </c>
      <c r="CA539" s="39" t="str">
        <f>IFERROR(proje!CL34*100/proje!$I34,"")</f>
        <v/>
      </c>
      <c r="CB539" s="39" t="str">
        <f>IFERROR(proje!CM34*100/proje!$I34,"")</f>
        <v/>
      </c>
      <c r="CC539" s="39" t="str">
        <f>IFERROR(proje!CN34*100/proje!$I34,"")</f>
        <v/>
      </c>
      <c r="CD539" s="39" t="str">
        <f>IFERROR(proje!CO34*100/proje!$I34,"")</f>
        <v/>
      </c>
      <c r="CE539" s="39" t="str">
        <f>IFERROR(proje!CP34*100/proje!$I34,"")</f>
        <v/>
      </c>
      <c r="CF539" s="39" t="str">
        <f>IFERROR(proje!CQ34*100/proje!$I34,"")</f>
        <v/>
      </c>
      <c r="CG539" s="39" t="str">
        <f>IFERROR(proje!CR34*100/proje!$I34,"")</f>
        <v/>
      </c>
      <c r="CH539" s="39" t="str">
        <f>IFERROR(proje!CS34*100/proje!$I34,"")</f>
        <v/>
      </c>
      <c r="CI539" s="39" t="str">
        <f>IFERROR(proje!CT34*100/proje!$I34,"")</f>
        <v/>
      </c>
      <c r="CJ539" s="39" t="str">
        <f>IFERROR(proje!CU34*100/proje!$I34,"")</f>
        <v/>
      </c>
      <c r="CK539" s="39" t="str">
        <f>IFERROR(proje!CV34*100/proje!$I34,"")</f>
        <v/>
      </c>
      <c r="CL539" s="39" t="str">
        <f>IFERROR(proje!CW34*100/proje!$I34,"")</f>
        <v/>
      </c>
      <c r="CM539" s="39" t="str">
        <f>IFERROR(proje!CX34*100/proje!$I34,"")</f>
        <v/>
      </c>
      <c r="CN539" s="39" t="str">
        <f>IFERROR(proje!CY34*100/proje!$I34,"")</f>
        <v/>
      </c>
      <c r="CO539" s="39" t="str">
        <f>IFERROR(proje!CZ34*100/proje!$I34,"")</f>
        <v/>
      </c>
      <c r="CP539" s="39" t="str">
        <f>IFERROR(proje!DA34*100/proje!$I34,"")</f>
        <v/>
      </c>
      <c r="CQ539" s="39" t="str">
        <f>IFERROR(proje!DB34*100/proje!$I34,"")</f>
        <v/>
      </c>
      <c r="CR539" s="39" t="str">
        <f>IFERROR(proje!DC34*100/proje!$I34,"")</f>
        <v/>
      </c>
      <c r="CS539" s="39" t="str">
        <f>IFERROR(proje!DD34*100/proje!$I34,"")</f>
        <v/>
      </c>
      <c r="CT539" s="39" t="str">
        <f>IFERROR(proje!DE34*100/proje!$I34,"")</f>
        <v/>
      </c>
      <c r="CU539" s="39" t="str">
        <f>IFERROR(proje!DF34*100/proje!$I34,"")</f>
        <v/>
      </c>
      <c r="CV539" s="39" t="str">
        <f>IFERROR(proje!DG34*100/proje!$I34,"")</f>
        <v/>
      </c>
      <c r="CW539" s="36" t="str">
        <f>IFERROR(SUM(A539:CV539)/proje!$DH$103,"")</f>
        <v/>
      </c>
      <c r="CX539" s="14" t="str">
        <f>IF(COUNTA(proje!A34),proje!A34,"")</f>
        <v/>
      </c>
      <c r="CY539" s="14" t="str">
        <f>IF(COUNTA(proje!B34),proje!B34,"")</f>
        <v/>
      </c>
      <c r="CZ539" s="14" t="str">
        <f>IF(COUNTA(proje!C34),proje!C34,"")</f>
        <v/>
      </c>
      <c r="DA539" s="14" t="str">
        <f>IF(COUNTA(proje!D34),proje!D34,"")</f>
        <v/>
      </c>
      <c r="DB539" s="14" t="str">
        <f>IF(COUNTA(proje!E34),proje!E34,"")</f>
        <v/>
      </c>
      <c r="DC539" s="14" t="str">
        <f>IF(COUNTA(proje!F34),proje!F34,"")</f>
        <v/>
      </c>
      <c r="DD539" s="14" t="str">
        <f>IF(COUNTA(proje!G34),proje!G34,"")</f>
        <v/>
      </c>
      <c r="DE539" s="14" t="str">
        <f>IF(COUNTA(proje!H34),proje!H34,"")</f>
        <v/>
      </c>
    </row>
    <row r="540" spans="1:109" x14ac:dyDescent="0.2">
      <c r="A540" s="39" t="str">
        <f>IFERROR(proje!L35*100/proje!$I35,"")</f>
        <v/>
      </c>
      <c r="B540" s="39" t="str">
        <f>IFERROR(proje!M35*100/proje!$I35,"")</f>
        <v/>
      </c>
      <c r="C540" s="39" t="str">
        <f>IFERROR(proje!N35*100/proje!$I35,"")</f>
        <v/>
      </c>
      <c r="D540" s="39" t="str">
        <f>IFERROR(proje!O35*100/proje!$I35,"")</f>
        <v/>
      </c>
      <c r="E540" s="39" t="str">
        <f>IFERROR(proje!P35*100/proje!$I35,"")</f>
        <v/>
      </c>
      <c r="F540" s="39" t="str">
        <f>IFERROR(proje!Q35*100/proje!$I35,"")</f>
        <v/>
      </c>
      <c r="G540" s="39" t="str">
        <f>IFERROR(proje!R35*100/proje!$I35,"")</f>
        <v/>
      </c>
      <c r="H540" s="39" t="str">
        <f>IFERROR(proje!S35*100/proje!$I35,"")</f>
        <v/>
      </c>
      <c r="I540" s="39" t="str">
        <f>IFERROR(proje!T35*100/proje!$I35,"")</f>
        <v/>
      </c>
      <c r="J540" s="39" t="str">
        <f>IFERROR(proje!U35*100/proje!$I35,"")</f>
        <v/>
      </c>
      <c r="K540" s="39" t="str">
        <f>IFERROR(proje!V35*100/proje!$I35,"")</f>
        <v/>
      </c>
      <c r="L540" s="39" t="str">
        <f>IFERROR(proje!W35*100/proje!$I35,"")</f>
        <v/>
      </c>
      <c r="M540" s="39" t="str">
        <f>IFERROR(proje!X35*100/proje!$I35,"")</f>
        <v/>
      </c>
      <c r="N540" s="39" t="str">
        <f>IFERROR(proje!Y35*100/proje!$I35,"")</f>
        <v/>
      </c>
      <c r="O540" s="39" t="str">
        <f>IFERROR(proje!Z35*100/proje!$I35,"")</f>
        <v/>
      </c>
      <c r="P540" s="39" t="str">
        <f>IFERROR(proje!AA35*100/proje!$I35,"")</f>
        <v/>
      </c>
      <c r="Q540" s="39" t="str">
        <f>IFERROR(proje!AB35*100/proje!$I35,"")</f>
        <v/>
      </c>
      <c r="R540" s="39" t="str">
        <f>IFERROR(proje!AC35*100/proje!$I35,"")</f>
        <v/>
      </c>
      <c r="S540" s="39" t="str">
        <f>IFERROR(proje!AD35*100/proje!$I35,"")</f>
        <v/>
      </c>
      <c r="T540" s="39" t="str">
        <f>IFERROR(proje!AE35*100/proje!$I35,"")</f>
        <v/>
      </c>
      <c r="U540" s="39" t="str">
        <f>IFERROR(proje!AF35*100/proje!$I35,"")</f>
        <v/>
      </c>
      <c r="V540" s="39" t="str">
        <f>IFERROR(proje!AG35*100/proje!$I35,"")</f>
        <v/>
      </c>
      <c r="W540" s="39" t="str">
        <f>IFERROR(proje!AH35*100/proje!$I35,"")</f>
        <v/>
      </c>
      <c r="X540" s="39" t="str">
        <f>IFERROR(proje!AI35*100/proje!$I35,"")</f>
        <v/>
      </c>
      <c r="Y540" s="39" t="str">
        <f>IFERROR(proje!AJ35*100/proje!$I35,"")</f>
        <v/>
      </c>
      <c r="Z540" s="39" t="str">
        <f>IFERROR(proje!AK35*100/proje!$I35,"")</f>
        <v/>
      </c>
      <c r="AA540" s="39" t="str">
        <f>IFERROR(proje!AL35*100/proje!$I35,"")</f>
        <v/>
      </c>
      <c r="AB540" s="39" t="str">
        <f>IFERROR(proje!AM35*100/proje!$I35,"")</f>
        <v/>
      </c>
      <c r="AC540" s="39" t="str">
        <f>IFERROR(proje!AN35*100/proje!$I35,"")</f>
        <v/>
      </c>
      <c r="AD540" s="39" t="str">
        <f>IFERROR(proje!AO35*100/proje!$I35,"")</f>
        <v/>
      </c>
      <c r="AE540" s="39" t="str">
        <f>IFERROR(proje!AP35*100/proje!$I35,"")</f>
        <v/>
      </c>
      <c r="AF540" s="39" t="str">
        <f>IFERROR(proje!AQ35*100/proje!$I35,"")</f>
        <v/>
      </c>
      <c r="AG540" s="39" t="str">
        <f>IFERROR(proje!AR35*100/proje!$I35,"")</f>
        <v/>
      </c>
      <c r="AH540" s="39" t="str">
        <f>IFERROR(proje!AS35*100/proje!$I35,"")</f>
        <v/>
      </c>
      <c r="AI540" s="39" t="str">
        <f>IFERROR(proje!AT35*100/proje!$I35,"")</f>
        <v/>
      </c>
      <c r="AJ540" s="39" t="str">
        <f>IFERROR(proje!AU35*100/proje!$I35,"")</f>
        <v/>
      </c>
      <c r="AK540" s="39" t="str">
        <f>IFERROR(proje!AV35*100/proje!$I35,"")</f>
        <v/>
      </c>
      <c r="AL540" s="39" t="str">
        <f>IFERROR(proje!AW35*100/proje!$I35,"")</f>
        <v/>
      </c>
      <c r="AM540" s="39" t="str">
        <f>IFERROR(proje!AX35*100/proje!$I35,"")</f>
        <v/>
      </c>
      <c r="AN540" s="39" t="str">
        <f>IFERROR(proje!AY35*100/proje!$I35,"")</f>
        <v/>
      </c>
      <c r="AO540" s="39" t="str">
        <f>IFERROR(proje!AZ35*100/proje!$I35,"")</f>
        <v/>
      </c>
      <c r="AP540" s="39" t="str">
        <f>IFERROR(proje!BA35*100/proje!$I35,"")</f>
        <v/>
      </c>
      <c r="AQ540" s="39" t="str">
        <f>IFERROR(proje!BB35*100/proje!$I35,"")</f>
        <v/>
      </c>
      <c r="AR540" s="39" t="str">
        <f>IFERROR(proje!BC35*100/proje!$I35,"")</f>
        <v/>
      </c>
      <c r="AS540" s="39" t="str">
        <f>IFERROR(proje!BD35*100/proje!$I35,"")</f>
        <v/>
      </c>
      <c r="AT540" s="39" t="str">
        <f>IFERROR(proje!BE35*100/proje!$I35,"")</f>
        <v/>
      </c>
      <c r="AU540" s="39" t="str">
        <f>IFERROR(proje!BF35*100/proje!$I35,"")</f>
        <v/>
      </c>
      <c r="AV540" s="39" t="str">
        <f>IFERROR(proje!BG35*100/proje!$I35,"")</f>
        <v/>
      </c>
      <c r="AW540" s="39" t="str">
        <f>IFERROR(proje!BH35*100/proje!$I35,"")</f>
        <v/>
      </c>
      <c r="AX540" s="39" t="str">
        <f>IFERROR(proje!BI35*100/proje!$I35,"")</f>
        <v/>
      </c>
      <c r="AY540" s="39" t="str">
        <f>IFERROR(proje!BJ35*100/proje!$I35,"")</f>
        <v/>
      </c>
      <c r="AZ540" s="39" t="str">
        <f>IFERROR(proje!BK35*100/proje!$I35,"")</f>
        <v/>
      </c>
      <c r="BA540" s="39" t="str">
        <f>IFERROR(proje!BL35*100/proje!$I35,"")</f>
        <v/>
      </c>
      <c r="BB540" s="39" t="str">
        <f>IFERROR(proje!BM35*100/proje!$I35,"")</f>
        <v/>
      </c>
      <c r="BC540" s="39" t="str">
        <f>IFERROR(proje!BN35*100/proje!$I35,"")</f>
        <v/>
      </c>
      <c r="BD540" s="39" t="str">
        <f>IFERROR(proje!BO35*100/proje!$I35,"")</f>
        <v/>
      </c>
      <c r="BE540" s="39" t="str">
        <f>IFERROR(proje!BP35*100/proje!$I35,"")</f>
        <v/>
      </c>
      <c r="BF540" s="39" t="str">
        <f>IFERROR(proje!BQ35*100/proje!$I35,"")</f>
        <v/>
      </c>
      <c r="BG540" s="39" t="str">
        <f>IFERROR(proje!BR35*100/proje!$I35,"")</f>
        <v/>
      </c>
      <c r="BH540" s="39" t="str">
        <f>IFERROR(proje!BS35*100/proje!$I35,"")</f>
        <v/>
      </c>
      <c r="BI540" s="39" t="str">
        <f>IFERROR(proje!BT35*100/proje!$I35,"")</f>
        <v/>
      </c>
      <c r="BJ540" s="39" t="str">
        <f>IFERROR(proje!BU35*100/proje!$I35,"")</f>
        <v/>
      </c>
      <c r="BK540" s="39" t="str">
        <f>IFERROR(proje!BV35*100/proje!$I35,"")</f>
        <v/>
      </c>
      <c r="BL540" s="39" t="str">
        <f>IFERROR(proje!BW35*100/proje!$I35,"")</f>
        <v/>
      </c>
      <c r="BM540" s="39" t="str">
        <f>IFERROR(proje!BX35*100/proje!$I35,"")</f>
        <v/>
      </c>
      <c r="BN540" s="39" t="str">
        <f>IFERROR(proje!BY35*100/proje!$I35,"")</f>
        <v/>
      </c>
      <c r="BO540" s="39" t="str">
        <f>IFERROR(proje!BZ35*100/proje!$I35,"")</f>
        <v/>
      </c>
      <c r="BP540" s="39" t="str">
        <f>IFERROR(proje!CA35*100/proje!$I35,"")</f>
        <v/>
      </c>
      <c r="BQ540" s="39" t="str">
        <f>IFERROR(proje!CB35*100/proje!$I35,"")</f>
        <v/>
      </c>
      <c r="BR540" s="39" t="str">
        <f>IFERROR(proje!CC35*100/proje!$I35,"")</f>
        <v/>
      </c>
      <c r="BS540" s="39" t="str">
        <f>IFERROR(proje!CD35*100/proje!$I35,"")</f>
        <v/>
      </c>
      <c r="BT540" s="39" t="str">
        <f>IFERROR(proje!CE35*100/proje!$I35,"")</f>
        <v/>
      </c>
      <c r="BU540" s="39" t="str">
        <f>IFERROR(proje!CF35*100/proje!$I35,"")</f>
        <v/>
      </c>
      <c r="BV540" s="39" t="str">
        <f>IFERROR(proje!CG35*100/proje!$I35,"")</f>
        <v/>
      </c>
      <c r="BW540" s="39" t="str">
        <f>IFERROR(proje!CH35*100/proje!$I35,"")</f>
        <v/>
      </c>
      <c r="BX540" s="39" t="str">
        <f>IFERROR(proje!CI35*100/proje!$I35,"")</f>
        <v/>
      </c>
      <c r="BY540" s="39" t="str">
        <f>IFERROR(proje!CJ35*100/proje!$I35,"")</f>
        <v/>
      </c>
      <c r="BZ540" s="39" t="str">
        <f>IFERROR(proje!CK35*100/proje!$I35,"")</f>
        <v/>
      </c>
      <c r="CA540" s="39" t="str">
        <f>IFERROR(proje!CL35*100/proje!$I35,"")</f>
        <v/>
      </c>
      <c r="CB540" s="39" t="str">
        <f>IFERROR(proje!CM35*100/proje!$I35,"")</f>
        <v/>
      </c>
      <c r="CC540" s="39" t="str">
        <f>IFERROR(proje!CN35*100/proje!$I35,"")</f>
        <v/>
      </c>
      <c r="CD540" s="39" t="str">
        <f>IFERROR(proje!CO35*100/proje!$I35,"")</f>
        <v/>
      </c>
      <c r="CE540" s="39" t="str">
        <f>IFERROR(proje!CP35*100/proje!$I35,"")</f>
        <v/>
      </c>
      <c r="CF540" s="39" t="str">
        <f>IFERROR(proje!CQ35*100/proje!$I35,"")</f>
        <v/>
      </c>
      <c r="CG540" s="39" t="str">
        <f>IFERROR(proje!CR35*100/proje!$I35,"")</f>
        <v/>
      </c>
      <c r="CH540" s="39" t="str">
        <f>IFERROR(proje!CS35*100/proje!$I35,"")</f>
        <v/>
      </c>
      <c r="CI540" s="39" t="str">
        <f>IFERROR(proje!CT35*100/proje!$I35,"")</f>
        <v/>
      </c>
      <c r="CJ540" s="39" t="str">
        <f>IFERROR(proje!CU35*100/proje!$I35,"")</f>
        <v/>
      </c>
      <c r="CK540" s="39" t="str">
        <f>IFERROR(proje!CV35*100/proje!$I35,"")</f>
        <v/>
      </c>
      <c r="CL540" s="39" t="str">
        <f>IFERROR(proje!CW35*100/proje!$I35,"")</f>
        <v/>
      </c>
      <c r="CM540" s="39" t="str">
        <f>IFERROR(proje!CX35*100/proje!$I35,"")</f>
        <v/>
      </c>
      <c r="CN540" s="39" t="str">
        <f>IFERROR(proje!CY35*100/proje!$I35,"")</f>
        <v/>
      </c>
      <c r="CO540" s="39" t="str">
        <f>IFERROR(proje!CZ35*100/proje!$I35,"")</f>
        <v/>
      </c>
      <c r="CP540" s="39" t="str">
        <f>IFERROR(proje!DA35*100/proje!$I35,"")</f>
        <v/>
      </c>
      <c r="CQ540" s="39" t="str">
        <f>IFERROR(proje!DB35*100/proje!$I35,"")</f>
        <v/>
      </c>
      <c r="CR540" s="39" t="str">
        <f>IFERROR(proje!DC35*100/proje!$I35,"")</f>
        <v/>
      </c>
      <c r="CS540" s="39" t="str">
        <f>IFERROR(proje!DD35*100/proje!$I35,"")</f>
        <v/>
      </c>
      <c r="CT540" s="39" t="str">
        <f>IFERROR(proje!DE35*100/proje!$I35,"")</f>
        <v/>
      </c>
      <c r="CU540" s="39" t="str">
        <f>IFERROR(proje!DF35*100/proje!$I35,"")</f>
        <v/>
      </c>
      <c r="CV540" s="39" t="str">
        <f>IFERROR(proje!DG35*100/proje!$I35,"")</f>
        <v/>
      </c>
      <c r="CW540" s="36" t="str">
        <f>IFERROR(SUM(A540:CV540)/proje!$DH$103,"")</f>
        <v/>
      </c>
      <c r="CX540" s="14" t="str">
        <f>IF(COUNTA(proje!A35),proje!A35,"")</f>
        <v/>
      </c>
      <c r="CY540" s="14" t="str">
        <f>IF(COUNTA(proje!B35),proje!B35,"")</f>
        <v/>
      </c>
      <c r="CZ540" s="14" t="str">
        <f>IF(COUNTA(proje!C35),proje!C35,"")</f>
        <v/>
      </c>
      <c r="DA540" s="14" t="str">
        <f>IF(COUNTA(proje!D35),proje!D35,"")</f>
        <v/>
      </c>
      <c r="DB540" s="14" t="str">
        <f>IF(COUNTA(proje!E35),proje!E35,"")</f>
        <v/>
      </c>
      <c r="DC540" s="14" t="str">
        <f>IF(COUNTA(proje!F35),proje!F35,"")</f>
        <v/>
      </c>
      <c r="DD540" s="14" t="str">
        <f>IF(COUNTA(proje!G35),proje!G35,"")</f>
        <v/>
      </c>
      <c r="DE540" s="14" t="str">
        <f>IF(COUNTA(proje!H35),proje!H35,"")</f>
        <v/>
      </c>
    </row>
    <row r="541" spans="1:109" x14ac:dyDescent="0.2">
      <c r="A541" s="39" t="str">
        <f>IFERROR(proje!L36*100/proje!$I36,"")</f>
        <v/>
      </c>
      <c r="B541" s="39" t="str">
        <f>IFERROR(proje!M36*100/proje!$I36,"")</f>
        <v/>
      </c>
      <c r="C541" s="39" t="str">
        <f>IFERROR(proje!N36*100/proje!$I36,"")</f>
        <v/>
      </c>
      <c r="D541" s="39" t="str">
        <f>IFERROR(proje!O36*100/proje!$I36,"")</f>
        <v/>
      </c>
      <c r="E541" s="39" t="str">
        <f>IFERROR(proje!P36*100/proje!$I36,"")</f>
        <v/>
      </c>
      <c r="F541" s="39" t="str">
        <f>IFERROR(proje!Q36*100/proje!$I36,"")</f>
        <v/>
      </c>
      <c r="G541" s="39" t="str">
        <f>IFERROR(proje!R36*100/proje!$I36,"")</f>
        <v/>
      </c>
      <c r="H541" s="39" t="str">
        <f>IFERROR(proje!S36*100/proje!$I36,"")</f>
        <v/>
      </c>
      <c r="I541" s="39" t="str">
        <f>IFERROR(proje!T36*100/proje!$I36,"")</f>
        <v/>
      </c>
      <c r="J541" s="39" t="str">
        <f>IFERROR(proje!U36*100/proje!$I36,"")</f>
        <v/>
      </c>
      <c r="K541" s="39" t="str">
        <f>IFERROR(proje!V36*100/proje!$I36,"")</f>
        <v/>
      </c>
      <c r="L541" s="39" t="str">
        <f>IFERROR(proje!W36*100/proje!$I36,"")</f>
        <v/>
      </c>
      <c r="M541" s="39" t="str">
        <f>IFERROR(proje!X36*100/proje!$I36,"")</f>
        <v/>
      </c>
      <c r="N541" s="39" t="str">
        <f>IFERROR(proje!Y36*100/proje!$I36,"")</f>
        <v/>
      </c>
      <c r="O541" s="39" t="str">
        <f>IFERROR(proje!Z36*100/proje!$I36,"")</f>
        <v/>
      </c>
      <c r="P541" s="39" t="str">
        <f>IFERROR(proje!AA36*100/proje!$I36,"")</f>
        <v/>
      </c>
      <c r="Q541" s="39" t="str">
        <f>IFERROR(proje!AB36*100/proje!$I36,"")</f>
        <v/>
      </c>
      <c r="R541" s="39" t="str">
        <f>IFERROR(proje!AC36*100/proje!$I36,"")</f>
        <v/>
      </c>
      <c r="S541" s="39" t="str">
        <f>IFERROR(proje!AD36*100/proje!$I36,"")</f>
        <v/>
      </c>
      <c r="T541" s="39" t="str">
        <f>IFERROR(proje!AE36*100/proje!$I36,"")</f>
        <v/>
      </c>
      <c r="U541" s="39" t="str">
        <f>IFERROR(proje!AF36*100/proje!$I36,"")</f>
        <v/>
      </c>
      <c r="V541" s="39" t="str">
        <f>IFERROR(proje!AG36*100/proje!$I36,"")</f>
        <v/>
      </c>
      <c r="W541" s="39" t="str">
        <f>IFERROR(proje!AH36*100/proje!$I36,"")</f>
        <v/>
      </c>
      <c r="X541" s="39" t="str">
        <f>IFERROR(proje!AI36*100/proje!$I36,"")</f>
        <v/>
      </c>
      <c r="Y541" s="39" t="str">
        <f>IFERROR(proje!AJ36*100/proje!$I36,"")</f>
        <v/>
      </c>
      <c r="Z541" s="39" t="str">
        <f>IFERROR(proje!AK36*100/proje!$I36,"")</f>
        <v/>
      </c>
      <c r="AA541" s="39" t="str">
        <f>IFERROR(proje!AL36*100/proje!$I36,"")</f>
        <v/>
      </c>
      <c r="AB541" s="39" t="str">
        <f>IFERROR(proje!AM36*100/proje!$I36,"")</f>
        <v/>
      </c>
      <c r="AC541" s="39" t="str">
        <f>IFERROR(proje!AN36*100/proje!$I36,"")</f>
        <v/>
      </c>
      <c r="AD541" s="39" t="str">
        <f>IFERROR(proje!AO36*100/proje!$I36,"")</f>
        <v/>
      </c>
      <c r="AE541" s="39" t="str">
        <f>IFERROR(proje!AP36*100/proje!$I36,"")</f>
        <v/>
      </c>
      <c r="AF541" s="39" t="str">
        <f>IFERROR(proje!AQ36*100/proje!$I36,"")</f>
        <v/>
      </c>
      <c r="AG541" s="39" t="str">
        <f>IFERROR(proje!AR36*100/proje!$I36,"")</f>
        <v/>
      </c>
      <c r="AH541" s="39" t="str">
        <f>IFERROR(proje!AS36*100/proje!$I36,"")</f>
        <v/>
      </c>
      <c r="AI541" s="39" t="str">
        <f>IFERROR(proje!AT36*100/proje!$I36,"")</f>
        <v/>
      </c>
      <c r="AJ541" s="39" t="str">
        <f>IFERROR(proje!AU36*100/proje!$I36,"")</f>
        <v/>
      </c>
      <c r="AK541" s="39" t="str">
        <f>IFERROR(proje!AV36*100/proje!$I36,"")</f>
        <v/>
      </c>
      <c r="AL541" s="39" t="str">
        <f>IFERROR(proje!AW36*100/proje!$I36,"")</f>
        <v/>
      </c>
      <c r="AM541" s="39" t="str">
        <f>IFERROR(proje!AX36*100/proje!$I36,"")</f>
        <v/>
      </c>
      <c r="AN541" s="39" t="str">
        <f>IFERROR(proje!AY36*100/proje!$I36,"")</f>
        <v/>
      </c>
      <c r="AO541" s="39" t="str">
        <f>IFERROR(proje!AZ36*100/proje!$I36,"")</f>
        <v/>
      </c>
      <c r="AP541" s="39" t="str">
        <f>IFERROR(proje!BA36*100/proje!$I36,"")</f>
        <v/>
      </c>
      <c r="AQ541" s="39" t="str">
        <f>IFERROR(proje!BB36*100/proje!$I36,"")</f>
        <v/>
      </c>
      <c r="AR541" s="39" t="str">
        <f>IFERROR(proje!BC36*100/proje!$I36,"")</f>
        <v/>
      </c>
      <c r="AS541" s="39" t="str">
        <f>IFERROR(proje!BD36*100/proje!$I36,"")</f>
        <v/>
      </c>
      <c r="AT541" s="39" t="str">
        <f>IFERROR(proje!BE36*100/proje!$I36,"")</f>
        <v/>
      </c>
      <c r="AU541" s="39" t="str">
        <f>IFERROR(proje!BF36*100/proje!$I36,"")</f>
        <v/>
      </c>
      <c r="AV541" s="39" t="str">
        <f>IFERROR(proje!BG36*100/proje!$I36,"")</f>
        <v/>
      </c>
      <c r="AW541" s="39" t="str">
        <f>IFERROR(proje!BH36*100/proje!$I36,"")</f>
        <v/>
      </c>
      <c r="AX541" s="39" t="str">
        <f>IFERROR(proje!BI36*100/proje!$I36,"")</f>
        <v/>
      </c>
      <c r="AY541" s="39" t="str">
        <f>IFERROR(proje!BJ36*100/proje!$I36,"")</f>
        <v/>
      </c>
      <c r="AZ541" s="39" t="str">
        <f>IFERROR(proje!BK36*100/proje!$I36,"")</f>
        <v/>
      </c>
      <c r="BA541" s="39" t="str">
        <f>IFERROR(proje!BL36*100/proje!$I36,"")</f>
        <v/>
      </c>
      <c r="BB541" s="39" t="str">
        <f>IFERROR(proje!BM36*100/proje!$I36,"")</f>
        <v/>
      </c>
      <c r="BC541" s="39" t="str">
        <f>IFERROR(proje!BN36*100/proje!$I36,"")</f>
        <v/>
      </c>
      <c r="BD541" s="39" t="str">
        <f>IFERROR(proje!BO36*100/proje!$I36,"")</f>
        <v/>
      </c>
      <c r="BE541" s="39" t="str">
        <f>IFERROR(proje!BP36*100/proje!$I36,"")</f>
        <v/>
      </c>
      <c r="BF541" s="39" t="str">
        <f>IFERROR(proje!BQ36*100/proje!$I36,"")</f>
        <v/>
      </c>
      <c r="BG541" s="39" t="str">
        <f>IFERROR(proje!BR36*100/proje!$I36,"")</f>
        <v/>
      </c>
      <c r="BH541" s="39" t="str">
        <f>IFERROR(proje!BS36*100/proje!$I36,"")</f>
        <v/>
      </c>
      <c r="BI541" s="39" t="str">
        <f>IFERROR(proje!BT36*100/proje!$I36,"")</f>
        <v/>
      </c>
      <c r="BJ541" s="39" t="str">
        <f>IFERROR(proje!BU36*100/proje!$I36,"")</f>
        <v/>
      </c>
      <c r="BK541" s="39" t="str">
        <f>IFERROR(proje!BV36*100/proje!$I36,"")</f>
        <v/>
      </c>
      <c r="BL541" s="39" t="str">
        <f>IFERROR(proje!BW36*100/proje!$I36,"")</f>
        <v/>
      </c>
      <c r="BM541" s="39" t="str">
        <f>IFERROR(proje!BX36*100/proje!$I36,"")</f>
        <v/>
      </c>
      <c r="BN541" s="39" t="str">
        <f>IFERROR(proje!BY36*100/proje!$I36,"")</f>
        <v/>
      </c>
      <c r="BO541" s="39" t="str">
        <f>IFERROR(proje!BZ36*100/proje!$I36,"")</f>
        <v/>
      </c>
      <c r="BP541" s="39" t="str">
        <f>IFERROR(proje!CA36*100/proje!$I36,"")</f>
        <v/>
      </c>
      <c r="BQ541" s="39" t="str">
        <f>IFERROR(proje!CB36*100/proje!$I36,"")</f>
        <v/>
      </c>
      <c r="BR541" s="39" t="str">
        <f>IFERROR(proje!CC36*100/proje!$I36,"")</f>
        <v/>
      </c>
      <c r="BS541" s="39" t="str">
        <f>IFERROR(proje!CD36*100/proje!$I36,"")</f>
        <v/>
      </c>
      <c r="BT541" s="39" t="str">
        <f>IFERROR(proje!CE36*100/proje!$I36,"")</f>
        <v/>
      </c>
      <c r="BU541" s="39" t="str">
        <f>IFERROR(proje!CF36*100/proje!$I36,"")</f>
        <v/>
      </c>
      <c r="BV541" s="39" t="str">
        <f>IFERROR(proje!CG36*100/proje!$I36,"")</f>
        <v/>
      </c>
      <c r="BW541" s="39" t="str">
        <f>IFERROR(proje!CH36*100/proje!$I36,"")</f>
        <v/>
      </c>
      <c r="BX541" s="39" t="str">
        <f>IFERROR(proje!CI36*100/proje!$I36,"")</f>
        <v/>
      </c>
      <c r="BY541" s="39" t="str">
        <f>IFERROR(proje!CJ36*100/proje!$I36,"")</f>
        <v/>
      </c>
      <c r="BZ541" s="39" t="str">
        <f>IFERROR(proje!CK36*100/proje!$I36,"")</f>
        <v/>
      </c>
      <c r="CA541" s="39" t="str">
        <f>IFERROR(proje!CL36*100/proje!$I36,"")</f>
        <v/>
      </c>
      <c r="CB541" s="39" t="str">
        <f>IFERROR(proje!CM36*100/proje!$I36,"")</f>
        <v/>
      </c>
      <c r="CC541" s="39" t="str">
        <f>IFERROR(proje!CN36*100/proje!$I36,"")</f>
        <v/>
      </c>
      <c r="CD541" s="39" t="str">
        <f>IFERROR(proje!CO36*100/proje!$I36,"")</f>
        <v/>
      </c>
      <c r="CE541" s="39" t="str">
        <f>IFERROR(proje!CP36*100/proje!$I36,"")</f>
        <v/>
      </c>
      <c r="CF541" s="39" t="str">
        <f>IFERROR(proje!CQ36*100/proje!$I36,"")</f>
        <v/>
      </c>
      <c r="CG541" s="39" t="str">
        <f>IFERROR(proje!CR36*100/proje!$I36,"")</f>
        <v/>
      </c>
      <c r="CH541" s="39" t="str">
        <f>IFERROR(proje!CS36*100/proje!$I36,"")</f>
        <v/>
      </c>
      <c r="CI541" s="39" t="str">
        <f>IFERROR(proje!CT36*100/proje!$I36,"")</f>
        <v/>
      </c>
      <c r="CJ541" s="39" t="str">
        <f>IFERROR(proje!CU36*100/proje!$I36,"")</f>
        <v/>
      </c>
      <c r="CK541" s="39" t="str">
        <f>IFERROR(proje!CV36*100/proje!$I36,"")</f>
        <v/>
      </c>
      <c r="CL541" s="39" t="str">
        <f>IFERROR(proje!CW36*100/proje!$I36,"")</f>
        <v/>
      </c>
      <c r="CM541" s="39" t="str">
        <f>IFERROR(proje!CX36*100/proje!$I36,"")</f>
        <v/>
      </c>
      <c r="CN541" s="39" t="str">
        <f>IFERROR(proje!CY36*100/proje!$I36,"")</f>
        <v/>
      </c>
      <c r="CO541" s="39" t="str">
        <f>IFERROR(proje!CZ36*100/proje!$I36,"")</f>
        <v/>
      </c>
      <c r="CP541" s="39" t="str">
        <f>IFERROR(proje!DA36*100/proje!$I36,"")</f>
        <v/>
      </c>
      <c r="CQ541" s="39" t="str">
        <f>IFERROR(proje!DB36*100/proje!$I36,"")</f>
        <v/>
      </c>
      <c r="CR541" s="39" t="str">
        <f>IFERROR(proje!DC36*100/proje!$I36,"")</f>
        <v/>
      </c>
      <c r="CS541" s="39" t="str">
        <f>IFERROR(proje!DD36*100/proje!$I36,"")</f>
        <v/>
      </c>
      <c r="CT541" s="39" t="str">
        <f>IFERROR(proje!DE36*100/proje!$I36,"")</f>
        <v/>
      </c>
      <c r="CU541" s="39" t="str">
        <f>IFERROR(proje!DF36*100/proje!$I36,"")</f>
        <v/>
      </c>
      <c r="CV541" s="39" t="str">
        <f>IFERROR(proje!DG36*100/proje!$I36,"")</f>
        <v/>
      </c>
      <c r="CW541" s="36" t="str">
        <f>IFERROR(SUM(A541:CV541)/proje!$DH$103,"")</f>
        <v/>
      </c>
      <c r="CX541" s="14" t="str">
        <f>IF(COUNTA(proje!A36),proje!A36,"")</f>
        <v/>
      </c>
      <c r="CY541" s="14" t="str">
        <f>IF(COUNTA(proje!B36),proje!B36,"")</f>
        <v/>
      </c>
      <c r="CZ541" s="14" t="str">
        <f>IF(COUNTA(proje!C36),proje!C36,"")</f>
        <v/>
      </c>
      <c r="DA541" s="14" t="str">
        <f>IF(COUNTA(proje!D36),proje!D36,"")</f>
        <v/>
      </c>
      <c r="DB541" s="14" t="str">
        <f>IF(COUNTA(proje!E36),proje!E36,"")</f>
        <v/>
      </c>
      <c r="DC541" s="14" t="str">
        <f>IF(COUNTA(proje!F36),proje!F36,"")</f>
        <v/>
      </c>
      <c r="DD541" s="14" t="str">
        <f>IF(COUNTA(proje!G36),proje!G36,"")</f>
        <v/>
      </c>
      <c r="DE541" s="14" t="str">
        <f>IF(COUNTA(proje!H36),proje!H36,"")</f>
        <v/>
      </c>
    </row>
    <row r="542" spans="1:109" x14ac:dyDescent="0.2">
      <c r="A542" s="39" t="str">
        <f>IFERROR(proje!L37*100/proje!$I37,"")</f>
        <v/>
      </c>
      <c r="B542" s="39" t="str">
        <f>IFERROR(proje!M37*100/proje!$I37,"")</f>
        <v/>
      </c>
      <c r="C542" s="39" t="str">
        <f>IFERROR(proje!N37*100/proje!$I37,"")</f>
        <v/>
      </c>
      <c r="D542" s="39" t="str">
        <f>IFERROR(proje!O37*100/proje!$I37,"")</f>
        <v/>
      </c>
      <c r="E542" s="39" t="str">
        <f>IFERROR(proje!P37*100/proje!$I37,"")</f>
        <v/>
      </c>
      <c r="F542" s="39" t="str">
        <f>IFERROR(proje!Q37*100/proje!$I37,"")</f>
        <v/>
      </c>
      <c r="G542" s="39" t="str">
        <f>IFERROR(proje!R37*100/proje!$I37,"")</f>
        <v/>
      </c>
      <c r="H542" s="39" t="str">
        <f>IFERROR(proje!S37*100/proje!$I37,"")</f>
        <v/>
      </c>
      <c r="I542" s="39" t="str">
        <f>IFERROR(proje!T37*100/proje!$I37,"")</f>
        <v/>
      </c>
      <c r="J542" s="39" t="str">
        <f>IFERROR(proje!U37*100/proje!$I37,"")</f>
        <v/>
      </c>
      <c r="K542" s="39" t="str">
        <f>IFERROR(proje!V37*100/proje!$I37,"")</f>
        <v/>
      </c>
      <c r="L542" s="39" t="str">
        <f>IFERROR(proje!W37*100/proje!$I37,"")</f>
        <v/>
      </c>
      <c r="M542" s="39" t="str">
        <f>IFERROR(proje!X37*100/proje!$I37,"")</f>
        <v/>
      </c>
      <c r="N542" s="39" t="str">
        <f>IFERROR(proje!Y37*100/proje!$I37,"")</f>
        <v/>
      </c>
      <c r="O542" s="39" t="str">
        <f>IFERROR(proje!Z37*100/proje!$I37,"")</f>
        <v/>
      </c>
      <c r="P542" s="39" t="str">
        <f>IFERROR(proje!AA37*100/proje!$I37,"")</f>
        <v/>
      </c>
      <c r="Q542" s="39" t="str">
        <f>IFERROR(proje!AB37*100/proje!$I37,"")</f>
        <v/>
      </c>
      <c r="R542" s="39" t="str">
        <f>IFERROR(proje!AC37*100/proje!$I37,"")</f>
        <v/>
      </c>
      <c r="S542" s="39" t="str">
        <f>IFERROR(proje!AD37*100/proje!$I37,"")</f>
        <v/>
      </c>
      <c r="T542" s="39" t="str">
        <f>IFERROR(proje!AE37*100/proje!$I37,"")</f>
        <v/>
      </c>
      <c r="U542" s="39" t="str">
        <f>IFERROR(proje!AF37*100/proje!$I37,"")</f>
        <v/>
      </c>
      <c r="V542" s="39" t="str">
        <f>IFERROR(proje!AG37*100/proje!$I37,"")</f>
        <v/>
      </c>
      <c r="W542" s="39" t="str">
        <f>IFERROR(proje!AH37*100/proje!$I37,"")</f>
        <v/>
      </c>
      <c r="X542" s="39" t="str">
        <f>IFERROR(proje!AI37*100/proje!$I37,"")</f>
        <v/>
      </c>
      <c r="Y542" s="39" t="str">
        <f>IFERROR(proje!AJ37*100/proje!$I37,"")</f>
        <v/>
      </c>
      <c r="Z542" s="39" t="str">
        <f>IFERROR(proje!AK37*100/proje!$I37,"")</f>
        <v/>
      </c>
      <c r="AA542" s="39" t="str">
        <f>IFERROR(proje!AL37*100/proje!$I37,"")</f>
        <v/>
      </c>
      <c r="AB542" s="39" t="str">
        <f>IFERROR(proje!AM37*100/proje!$I37,"")</f>
        <v/>
      </c>
      <c r="AC542" s="39" t="str">
        <f>IFERROR(proje!AN37*100/proje!$I37,"")</f>
        <v/>
      </c>
      <c r="AD542" s="39" t="str">
        <f>IFERROR(proje!AO37*100/proje!$I37,"")</f>
        <v/>
      </c>
      <c r="AE542" s="39" t="str">
        <f>IFERROR(proje!AP37*100/proje!$I37,"")</f>
        <v/>
      </c>
      <c r="AF542" s="39" t="str">
        <f>IFERROR(proje!AQ37*100/proje!$I37,"")</f>
        <v/>
      </c>
      <c r="AG542" s="39" t="str">
        <f>IFERROR(proje!AR37*100/proje!$I37,"")</f>
        <v/>
      </c>
      <c r="AH542" s="39" t="str">
        <f>IFERROR(proje!AS37*100/proje!$I37,"")</f>
        <v/>
      </c>
      <c r="AI542" s="39" t="str">
        <f>IFERROR(proje!AT37*100/proje!$I37,"")</f>
        <v/>
      </c>
      <c r="AJ542" s="39" t="str">
        <f>IFERROR(proje!AU37*100/proje!$I37,"")</f>
        <v/>
      </c>
      <c r="AK542" s="39" t="str">
        <f>IFERROR(proje!AV37*100/proje!$I37,"")</f>
        <v/>
      </c>
      <c r="AL542" s="39" t="str">
        <f>IFERROR(proje!AW37*100/proje!$I37,"")</f>
        <v/>
      </c>
      <c r="AM542" s="39" t="str">
        <f>IFERROR(proje!AX37*100/proje!$I37,"")</f>
        <v/>
      </c>
      <c r="AN542" s="39" t="str">
        <f>IFERROR(proje!AY37*100/proje!$I37,"")</f>
        <v/>
      </c>
      <c r="AO542" s="39" t="str">
        <f>IFERROR(proje!AZ37*100/proje!$I37,"")</f>
        <v/>
      </c>
      <c r="AP542" s="39" t="str">
        <f>IFERROR(proje!BA37*100/proje!$I37,"")</f>
        <v/>
      </c>
      <c r="AQ542" s="39" t="str">
        <f>IFERROR(proje!BB37*100/proje!$I37,"")</f>
        <v/>
      </c>
      <c r="AR542" s="39" t="str">
        <f>IFERROR(proje!BC37*100/proje!$I37,"")</f>
        <v/>
      </c>
      <c r="AS542" s="39" t="str">
        <f>IFERROR(proje!BD37*100/proje!$I37,"")</f>
        <v/>
      </c>
      <c r="AT542" s="39" t="str">
        <f>IFERROR(proje!BE37*100/proje!$I37,"")</f>
        <v/>
      </c>
      <c r="AU542" s="39" t="str">
        <f>IFERROR(proje!BF37*100/proje!$I37,"")</f>
        <v/>
      </c>
      <c r="AV542" s="39" t="str">
        <f>IFERROR(proje!BG37*100/proje!$I37,"")</f>
        <v/>
      </c>
      <c r="AW542" s="39" t="str">
        <f>IFERROR(proje!BH37*100/proje!$I37,"")</f>
        <v/>
      </c>
      <c r="AX542" s="39" t="str">
        <f>IFERROR(proje!BI37*100/proje!$I37,"")</f>
        <v/>
      </c>
      <c r="AY542" s="39" t="str">
        <f>IFERROR(proje!BJ37*100/proje!$I37,"")</f>
        <v/>
      </c>
      <c r="AZ542" s="39" t="str">
        <f>IFERROR(proje!BK37*100/proje!$I37,"")</f>
        <v/>
      </c>
      <c r="BA542" s="39" t="str">
        <f>IFERROR(proje!BL37*100/proje!$I37,"")</f>
        <v/>
      </c>
      <c r="BB542" s="39" t="str">
        <f>IFERROR(proje!BM37*100/proje!$I37,"")</f>
        <v/>
      </c>
      <c r="BC542" s="39" t="str">
        <f>IFERROR(proje!BN37*100/proje!$I37,"")</f>
        <v/>
      </c>
      <c r="BD542" s="39" t="str">
        <f>IFERROR(proje!BO37*100/proje!$I37,"")</f>
        <v/>
      </c>
      <c r="BE542" s="39" t="str">
        <f>IFERROR(proje!BP37*100/proje!$I37,"")</f>
        <v/>
      </c>
      <c r="BF542" s="39" t="str">
        <f>IFERROR(proje!BQ37*100/proje!$I37,"")</f>
        <v/>
      </c>
      <c r="BG542" s="39" t="str">
        <f>IFERROR(proje!BR37*100/proje!$I37,"")</f>
        <v/>
      </c>
      <c r="BH542" s="39" t="str">
        <f>IFERROR(proje!BS37*100/proje!$I37,"")</f>
        <v/>
      </c>
      <c r="BI542" s="39" t="str">
        <f>IFERROR(proje!BT37*100/proje!$I37,"")</f>
        <v/>
      </c>
      <c r="BJ542" s="39" t="str">
        <f>IFERROR(proje!BU37*100/proje!$I37,"")</f>
        <v/>
      </c>
      <c r="BK542" s="39" t="str">
        <f>IFERROR(proje!BV37*100/proje!$I37,"")</f>
        <v/>
      </c>
      <c r="BL542" s="39" t="str">
        <f>IFERROR(proje!BW37*100/proje!$I37,"")</f>
        <v/>
      </c>
      <c r="BM542" s="39" t="str">
        <f>IFERROR(proje!BX37*100/proje!$I37,"")</f>
        <v/>
      </c>
      <c r="BN542" s="39" t="str">
        <f>IFERROR(proje!BY37*100/proje!$I37,"")</f>
        <v/>
      </c>
      <c r="BO542" s="39" t="str">
        <f>IFERROR(proje!BZ37*100/proje!$I37,"")</f>
        <v/>
      </c>
      <c r="BP542" s="39" t="str">
        <f>IFERROR(proje!CA37*100/proje!$I37,"")</f>
        <v/>
      </c>
      <c r="BQ542" s="39" t="str">
        <f>IFERROR(proje!CB37*100/proje!$I37,"")</f>
        <v/>
      </c>
      <c r="BR542" s="39" t="str">
        <f>IFERROR(proje!CC37*100/proje!$I37,"")</f>
        <v/>
      </c>
      <c r="BS542" s="39" t="str">
        <f>IFERROR(proje!CD37*100/proje!$I37,"")</f>
        <v/>
      </c>
      <c r="BT542" s="39" t="str">
        <f>IFERROR(proje!CE37*100/proje!$I37,"")</f>
        <v/>
      </c>
      <c r="BU542" s="39" t="str">
        <f>IFERROR(proje!CF37*100/proje!$I37,"")</f>
        <v/>
      </c>
      <c r="BV542" s="39" t="str">
        <f>IFERROR(proje!CG37*100/proje!$I37,"")</f>
        <v/>
      </c>
      <c r="BW542" s="39" t="str">
        <f>IFERROR(proje!CH37*100/proje!$I37,"")</f>
        <v/>
      </c>
      <c r="BX542" s="39" t="str">
        <f>IFERROR(proje!CI37*100/proje!$I37,"")</f>
        <v/>
      </c>
      <c r="BY542" s="39" t="str">
        <f>IFERROR(proje!CJ37*100/proje!$I37,"")</f>
        <v/>
      </c>
      <c r="BZ542" s="39" t="str">
        <f>IFERROR(proje!CK37*100/proje!$I37,"")</f>
        <v/>
      </c>
      <c r="CA542" s="39" t="str">
        <f>IFERROR(proje!CL37*100/proje!$I37,"")</f>
        <v/>
      </c>
      <c r="CB542" s="39" t="str">
        <f>IFERROR(proje!CM37*100/proje!$I37,"")</f>
        <v/>
      </c>
      <c r="CC542" s="39" t="str">
        <f>IFERROR(proje!CN37*100/proje!$I37,"")</f>
        <v/>
      </c>
      <c r="CD542" s="39" t="str">
        <f>IFERROR(proje!CO37*100/proje!$I37,"")</f>
        <v/>
      </c>
      <c r="CE542" s="39" t="str">
        <f>IFERROR(proje!CP37*100/proje!$I37,"")</f>
        <v/>
      </c>
      <c r="CF542" s="39" t="str">
        <f>IFERROR(proje!CQ37*100/proje!$I37,"")</f>
        <v/>
      </c>
      <c r="CG542" s="39" t="str">
        <f>IFERROR(proje!CR37*100/proje!$I37,"")</f>
        <v/>
      </c>
      <c r="CH542" s="39" t="str">
        <f>IFERROR(proje!CS37*100/proje!$I37,"")</f>
        <v/>
      </c>
      <c r="CI542" s="39" t="str">
        <f>IFERROR(proje!CT37*100/proje!$I37,"")</f>
        <v/>
      </c>
      <c r="CJ542" s="39" t="str">
        <f>IFERROR(proje!CU37*100/proje!$I37,"")</f>
        <v/>
      </c>
      <c r="CK542" s="39" t="str">
        <f>IFERROR(proje!CV37*100/proje!$I37,"")</f>
        <v/>
      </c>
      <c r="CL542" s="39" t="str">
        <f>IFERROR(proje!CW37*100/proje!$I37,"")</f>
        <v/>
      </c>
      <c r="CM542" s="39" t="str">
        <f>IFERROR(proje!CX37*100/proje!$I37,"")</f>
        <v/>
      </c>
      <c r="CN542" s="39" t="str">
        <f>IFERROR(proje!CY37*100/proje!$I37,"")</f>
        <v/>
      </c>
      <c r="CO542" s="39" t="str">
        <f>IFERROR(proje!CZ37*100/proje!$I37,"")</f>
        <v/>
      </c>
      <c r="CP542" s="39" t="str">
        <f>IFERROR(proje!DA37*100/proje!$I37,"")</f>
        <v/>
      </c>
      <c r="CQ542" s="39" t="str">
        <f>IFERROR(proje!DB37*100/proje!$I37,"")</f>
        <v/>
      </c>
      <c r="CR542" s="39" t="str">
        <f>IFERROR(proje!DC37*100/proje!$I37,"")</f>
        <v/>
      </c>
      <c r="CS542" s="39" t="str">
        <f>IFERROR(proje!DD37*100/proje!$I37,"")</f>
        <v/>
      </c>
      <c r="CT542" s="39" t="str">
        <f>IFERROR(proje!DE37*100/proje!$I37,"")</f>
        <v/>
      </c>
      <c r="CU542" s="39" t="str">
        <f>IFERROR(proje!DF37*100/proje!$I37,"")</f>
        <v/>
      </c>
      <c r="CV542" s="39" t="str">
        <f>IFERROR(proje!DG37*100/proje!$I37,"")</f>
        <v/>
      </c>
      <c r="CW542" s="36" t="str">
        <f>IFERROR(SUM(A542:CV542)/proje!$DH$103,"")</f>
        <v/>
      </c>
      <c r="CX542" s="14" t="str">
        <f>IF(COUNTA(proje!A37),proje!A37,"")</f>
        <v/>
      </c>
      <c r="CY542" s="14" t="str">
        <f>IF(COUNTA(proje!B37),proje!B37,"")</f>
        <v/>
      </c>
      <c r="CZ542" s="14" t="str">
        <f>IF(COUNTA(proje!C37),proje!C37,"")</f>
        <v/>
      </c>
      <c r="DA542" s="14" t="str">
        <f>IF(COUNTA(proje!D37),proje!D37,"")</f>
        <v/>
      </c>
      <c r="DB542" s="14" t="str">
        <f>IF(COUNTA(proje!E37),proje!E37,"")</f>
        <v/>
      </c>
      <c r="DC542" s="14" t="str">
        <f>IF(COUNTA(proje!F37),proje!F37,"")</f>
        <v/>
      </c>
      <c r="DD542" s="14" t="str">
        <f>IF(COUNTA(proje!G37),proje!G37,"")</f>
        <v/>
      </c>
      <c r="DE542" s="14" t="str">
        <f>IF(COUNTA(proje!H37),proje!H37,"")</f>
        <v/>
      </c>
    </row>
    <row r="543" spans="1:109" x14ac:dyDescent="0.2">
      <c r="A543" s="39" t="str">
        <f>IFERROR(proje!L38*100/proje!$I38,"")</f>
        <v/>
      </c>
      <c r="B543" s="39" t="str">
        <f>IFERROR(proje!M38*100/proje!$I38,"")</f>
        <v/>
      </c>
      <c r="C543" s="39" t="str">
        <f>IFERROR(proje!N38*100/proje!$I38,"")</f>
        <v/>
      </c>
      <c r="D543" s="39" t="str">
        <f>IFERROR(proje!O38*100/proje!$I38,"")</f>
        <v/>
      </c>
      <c r="E543" s="39" t="str">
        <f>IFERROR(proje!P38*100/proje!$I38,"")</f>
        <v/>
      </c>
      <c r="F543" s="39" t="str">
        <f>IFERROR(proje!Q38*100/proje!$I38,"")</f>
        <v/>
      </c>
      <c r="G543" s="39" t="str">
        <f>IFERROR(proje!R38*100/proje!$I38,"")</f>
        <v/>
      </c>
      <c r="H543" s="39" t="str">
        <f>IFERROR(proje!S38*100/proje!$I38,"")</f>
        <v/>
      </c>
      <c r="I543" s="39" t="str">
        <f>IFERROR(proje!T38*100/proje!$I38,"")</f>
        <v/>
      </c>
      <c r="J543" s="39" t="str">
        <f>IFERROR(proje!U38*100/proje!$I38,"")</f>
        <v/>
      </c>
      <c r="K543" s="39" t="str">
        <f>IFERROR(proje!V38*100/proje!$I38,"")</f>
        <v/>
      </c>
      <c r="L543" s="39" t="str">
        <f>IFERROR(proje!W38*100/proje!$I38,"")</f>
        <v/>
      </c>
      <c r="M543" s="39" t="str">
        <f>IFERROR(proje!X38*100/proje!$I38,"")</f>
        <v/>
      </c>
      <c r="N543" s="39" t="str">
        <f>IFERROR(proje!Y38*100/proje!$I38,"")</f>
        <v/>
      </c>
      <c r="O543" s="39" t="str">
        <f>IFERROR(proje!Z38*100/proje!$I38,"")</f>
        <v/>
      </c>
      <c r="P543" s="39" t="str">
        <f>IFERROR(proje!AA38*100/proje!$I38,"")</f>
        <v/>
      </c>
      <c r="Q543" s="39" t="str">
        <f>IFERROR(proje!AB38*100/proje!$I38,"")</f>
        <v/>
      </c>
      <c r="R543" s="39" t="str">
        <f>IFERROR(proje!AC38*100/proje!$I38,"")</f>
        <v/>
      </c>
      <c r="S543" s="39" t="str">
        <f>IFERROR(proje!AD38*100/proje!$I38,"")</f>
        <v/>
      </c>
      <c r="T543" s="39" t="str">
        <f>IFERROR(proje!AE38*100/proje!$I38,"")</f>
        <v/>
      </c>
      <c r="U543" s="39" t="str">
        <f>IFERROR(proje!AF38*100/proje!$I38,"")</f>
        <v/>
      </c>
      <c r="V543" s="39" t="str">
        <f>IFERROR(proje!AG38*100/proje!$I38,"")</f>
        <v/>
      </c>
      <c r="W543" s="39" t="str">
        <f>IFERROR(proje!AH38*100/proje!$I38,"")</f>
        <v/>
      </c>
      <c r="X543" s="39" t="str">
        <f>IFERROR(proje!AI38*100/proje!$I38,"")</f>
        <v/>
      </c>
      <c r="Y543" s="39" t="str">
        <f>IFERROR(proje!AJ38*100/proje!$I38,"")</f>
        <v/>
      </c>
      <c r="Z543" s="39" t="str">
        <f>IFERROR(proje!AK38*100/proje!$I38,"")</f>
        <v/>
      </c>
      <c r="AA543" s="39" t="str">
        <f>IFERROR(proje!AL38*100/proje!$I38,"")</f>
        <v/>
      </c>
      <c r="AB543" s="39" t="str">
        <f>IFERROR(proje!AM38*100/proje!$I38,"")</f>
        <v/>
      </c>
      <c r="AC543" s="39" t="str">
        <f>IFERROR(proje!AN38*100/proje!$I38,"")</f>
        <v/>
      </c>
      <c r="AD543" s="39" t="str">
        <f>IFERROR(proje!AO38*100/proje!$I38,"")</f>
        <v/>
      </c>
      <c r="AE543" s="39" t="str">
        <f>IFERROR(proje!AP38*100/proje!$I38,"")</f>
        <v/>
      </c>
      <c r="AF543" s="39" t="str">
        <f>IFERROR(proje!AQ38*100/proje!$I38,"")</f>
        <v/>
      </c>
      <c r="AG543" s="39" t="str">
        <f>IFERROR(proje!AR38*100/proje!$I38,"")</f>
        <v/>
      </c>
      <c r="AH543" s="39" t="str">
        <f>IFERROR(proje!AS38*100/proje!$I38,"")</f>
        <v/>
      </c>
      <c r="AI543" s="39" t="str">
        <f>IFERROR(proje!AT38*100/proje!$I38,"")</f>
        <v/>
      </c>
      <c r="AJ543" s="39" t="str">
        <f>IFERROR(proje!AU38*100/proje!$I38,"")</f>
        <v/>
      </c>
      <c r="AK543" s="39" t="str">
        <f>IFERROR(proje!AV38*100/proje!$I38,"")</f>
        <v/>
      </c>
      <c r="AL543" s="39" t="str">
        <f>IFERROR(proje!AW38*100/proje!$I38,"")</f>
        <v/>
      </c>
      <c r="AM543" s="39" t="str">
        <f>IFERROR(proje!AX38*100/proje!$I38,"")</f>
        <v/>
      </c>
      <c r="AN543" s="39" t="str">
        <f>IFERROR(proje!AY38*100/proje!$I38,"")</f>
        <v/>
      </c>
      <c r="AO543" s="39" t="str">
        <f>IFERROR(proje!AZ38*100/proje!$I38,"")</f>
        <v/>
      </c>
      <c r="AP543" s="39" t="str">
        <f>IFERROR(proje!BA38*100/proje!$I38,"")</f>
        <v/>
      </c>
      <c r="AQ543" s="39" t="str">
        <f>IFERROR(proje!BB38*100/proje!$I38,"")</f>
        <v/>
      </c>
      <c r="AR543" s="39" t="str">
        <f>IFERROR(proje!BC38*100/proje!$I38,"")</f>
        <v/>
      </c>
      <c r="AS543" s="39" t="str">
        <f>IFERROR(proje!BD38*100/proje!$I38,"")</f>
        <v/>
      </c>
      <c r="AT543" s="39" t="str">
        <f>IFERROR(proje!BE38*100/proje!$I38,"")</f>
        <v/>
      </c>
      <c r="AU543" s="39" t="str">
        <f>IFERROR(proje!BF38*100/proje!$I38,"")</f>
        <v/>
      </c>
      <c r="AV543" s="39" t="str">
        <f>IFERROR(proje!BG38*100/proje!$I38,"")</f>
        <v/>
      </c>
      <c r="AW543" s="39" t="str">
        <f>IFERROR(proje!BH38*100/proje!$I38,"")</f>
        <v/>
      </c>
      <c r="AX543" s="39" t="str">
        <f>IFERROR(proje!BI38*100/proje!$I38,"")</f>
        <v/>
      </c>
      <c r="AY543" s="39" t="str">
        <f>IFERROR(proje!BJ38*100/proje!$I38,"")</f>
        <v/>
      </c>
      <c r="AZ543" s="39" t="str">
        <f>IFERROR(proje!BK38*100/proje!$I38,"")</f>
        <v/>
      </c>
      <c r="BA543" s="39" t="str">
        <f>IFERROR(proje!BL38*100/proje!$I38,"")</f>
        <v/>
      </c>
      <c r="BB543" s="39" t="str">
        <f>IFERROR(proje!BM38*100/proje!$I38,"")</f>
        <v/>
      </c>
      <c r="BC543" s="39" t="str">
        <f>IFERROR(proje!BN38*100/proje!$I38,"")</f>
        <v/>
      </c>
      <c r="BD543" s="39" t="str">
        <f>IFERROR(proje!BO38*100/proje!$I38,"")</f>
        <v/>
      </c>
      <c r="BE543" s="39" t="str">
        <f>IFERROR(proje!BP38*100/proje!$I38,"")</f>
        <v/>
      </c>
      <c r="BF543" s="39" t="str">
        <f>IFERROR(proje!BQ38*100/proje!$I38,"")</f>
        <v/>
      </c>
      <c r="BG543" s="39" t="str">
        <f>IFERROR(proje!BR38*100/proje!$I38,"")</f>
        <v/>
      </c>
      <c r="BH543" s="39" t="str">
        <f>IFERROR(proje!BS38*100/proje!$I38,"")</f>
        <v/>
      </c>
      <c r="BI543" s="39" t="str">
        <f>IFERROR(proje!BT38*100/proje!$I38,"")</f>
        <v/>
      </c>
      <c r="BJ543" s="39" t="str">
        <f>IFERROR(proje!BU38*100/proje!$I38,"")</f>
        <v/>
      </c>
      <c r="BK543" s="39" t="str">
        <f>IFERROR(proje!BV38*100/proje!$I38,"")</f>
        <v/>
      </c>
      <c r="BL543" s="39" t="str">
        <f>IFERROR(proje!BW38*100/proje!$I38,"")</f>
        <v/>
      </c>
      <c r="BM543" s="39" t="str">
        <f>IFERROR(proje!BX38*100/proje!$I38,"")</f>
        <v/>
      </c>
      <c r="BN543" s="39" t="str">
        <f>IFERROR(proje!BY38*100/proje!$I38,"")</f>
        <v/>
      </c>
      <c r="BO543" s="39" t="str">
        <f>IFERROR(proje!BZ38*100/proje!$I38,"")</f>
        <v/>
      </c>
      <c r="BP543" s="39" t="str">
        <f>IFERROR(proje!CA38*100/proje!$I38,"")</f>
        <v/>
      </c>
      <c r="BQ543" s="39" t="str">
        <f>IFERROR(proje!CB38*100/proje!$I38,"")</f>
        <v/>
      </c>
      <c r="BR543" s="39" t="str">
        <f>IFERROR(proje!CC38*100/proje!$I38,"")</f>
        <v/>
      </c>
      <c r="BS543" s="39" t="str">
        <f>IFERROR(proje!CD38*100/proje!$I38,"")</f>
        <v/>
      </c>
      <c r="BT543" s="39" t="str">
        <f>IFERROR(proje!CE38*100/proje!$I38,"")</f>
        <v/>
      </c>
      <c r="BU543" s="39" t="str">
        <f>IFERROR(proje!CF38*100/proje!$I38,"")</f>
        <v/>
      </c>
      <c r="BV543" s="39" t="str">
        <f>IFERROR(proje!CG38*100/proje!$I38,"")</f>
        <v/>
      </c>
      <c r="BW543" s="39" t="str">
        <f>IFERROR(proje!CH38*100/proje!$I38,"")</f>
        <v/>
      </c>
      <c r="BX543" s="39" t="str">
        <f>IFERROR(proje!CI38*100/proje!$I38,"")</f>
        <v/>
      </c>
      <c r="BY543" s="39" t="str">
        <f>IFERROR(proje!CJ38*100/proje!$I38,"")</f>
        <v/>
      </c>
      <c r="BZ543" s="39" t="str">
        <f>IFERROR(proje!CK38*100/proje!$I38,"")</f>
        <v/>
      </c>
      <c r="CA543" s="39" t="str">
        <f>IFERROR(proje!CL38*100/proje!$I38,"")</f>
        <v/>
      </c>
      <c r="CB543" s="39" t="str">
        <f>IFERROR(proje!CM38*100/proje!$I38,"")</f>
        <v/>
      </c>
      <c r="CC543" s="39" t="str">
        <f>IFERROR(proje!CN38*100/proje!$I38,"")</f>
        <v/>
      </c>
      <c r="CD543" s="39" t="str">
        <f>IFERROR(proje!CO38*100/proje!$I38,"")</f>
        <v/>
      </c>
      <c r="CE543" s="39" t="str">
        <f>IFERROR(proje!CP38*100/proje!$I38,"")</f>
        <v/>
      </c>
      <c r="CF543" s="39" t="str">
        <f>IFERROR(proje!CQ38*100/proje!$I38,"")</f>
        <v/>
      </c>
      <c r="CG543" s="39" t="str">
        <f>IFERROR(proje!CR38*100/proje!$I38,"")</f>
        <v/>
      </c>
      <c r="CH543" s="39" t="str">
        <f>IFERROR(proje!CS38*100/proje!$I38,"")</f>
        <v/>
      </c>
      <c r="CI543" s="39" t="str">
        <f>IFERROR(proje!CT38*100/proje!$I38,"")</f>
        <v/>
      </c>
      <c r="CJ543" s="39" t="str">
        <f>IFERROR(proje!CU38*100/proje!$I38,"")</f>
        <v/>
      </c>
      <c r="CK543" s="39" t="str">
        <f>IFERROR(proje!CV38*100/proje!$I38,"")</f>
        <v/>
      </c>
      <c r="CL543" s="39" t="str">
        <f>IFERROR(proje!CW38*100/proje!$I38,"")</f>
        <v/>
      </c>
      <c r="CM543" s="39" t="str">
        <f>IFERROR(proje!CX38*100/proje!$I38,"")</f>
        <v/>
      </c>
      <c r="CN543" s="39" t="str">
        <f>IFERROR(proje!CY38*100/proje!$I38,"")</f>
        <v/>
      </c>
      <c r="CO543" s="39" t="str">
        <f>IFERROR(proje!CZ38*100/proje!$I38,"")</f>
        <v/>
      </c>
      <c r="CP543" s="39" t="str">
        <f>IFERROR(proje!DA38*100/proje!$I38,"")</f>
        <v/>
      </c>
      <c r="CQ543" s="39" t="str">
        <f>IFERROR(proje!DB38*100/proje!$I38,"")</f>
        <v/>
      </c>
      <c r="CR543" s="39" t="str">
        <f>IFERROR(proje!DC38*100/proje!$I38,"")</f>
        <v/>
      </c>
      <c r="CS543" s="39" t="str">
        <f>IFERROR(proje!DD38*100/proje!$I38,"")</f>
        <v/>
      </c>
      <c r="CT543" s="39" t="str">
        <f>IFERROR(proje!DE38*100/proje!$I38,"")</f>
        <v/>
      </c>
      <c r="CU543" s="39" t="str">
        <f>IFERROR(proje!DF38*100/proje!$I38,"")</f>
        <v/>
      </c>
      <c r="CV543" s="39" t="str">
        <f>IFERROR(proje!DG38*100/proje!$I38,"")</f>
        <v/>
      </c>
      <c r="CW543" s="36" t="str">
        <f>IFERROR(SUM(A543:CV543)/proje!$DH$103,"")</f>
        <v/>
      </c>
      <c r="CX543" s="14" t="str">
        <f>IF(COUNTA(proje!A38),proje!A38,"")</f>
        <v/>
      </c>
      <c r="CY543" s="14" t="str">
        <f>IF(COUNTA(proje!B38),proje!B38,"")</f>
        <v/>
      </c>
      <c r="CZ543" s="14" t="str">
        <f>IF(COUNTA(proje!C38),proje!C38,"")</f>
        <v/>
      </c>
      <c r="DA543" s="14" t="str">
        <f>IF(COUNTA(proje!D38),proje!D38,"")</f>
        <v/>
      </c>
      <c r="DB543" s="14" t="str">
        <f>IF(COUNTA(proje!E38),proje!E38,"")</f>
        <v/>
      </c>
      <c r="DC543" s="14" t="str">
        <f>IF(COUNTA(proje!F38),proje!F38,"")</f>
        <v/>
      </c>
      <c r="DD543" s="14" t="str">
        <f>IF(COUNTA(proje!G38),proje!G38,"")</f>
        <v/>
      </c>
      <c r="DE543" s="14" t="str">
        <f>IF(COUNTA(proje!H38),proje!H38,"")</f>
        <v/>
      </c>
    </row>
    <row r="544" spans="1:109" x14ac:dyDescent="0.2">
      <c r="A544" s="39" t="str">
        <f>IFERROR(proje!L39*100/proje!$I39,"")</f>
        <v/>
      </c>
      <c r="B544" s="39" t="str">
        <f>IFERROR(proje!M39*100/proje!$I39,"")</f>
        <v/>
      </c>
      <c r="C544" s="39" t="str">
        <f>IFERROR(proje!N39*100/proje!$I39,"")</f>
        <v/>
      </c>
      <c r="D544" s="39" t="str">
        <f>IFERROR(proje!O39*100/proje!$I39,"")</f>
        <v/>
      </c>
      <c r="E544" s="39" t="str">
        <f>IFERROR(proje!P39*100/proje!$I39,"")</f>
        <v/>
      </c>
      <c r="F544" s="39" t="str">
        <f>IFERROR(proje!Q39*100/proje!$I39,"")</f>
        <v/>
      </c>
      <c r="G544" s="39" t="str">
        <f>IFERROR(proje!R39*100/proje!$I39,"")</f>
        <v/>
      </c>
      <c r="H544" s="39" t="str">
        <f>IFERROR(proje!S39*100/proje!$I39,"")</f>
        <v/>
      </c>
      <c r="I544" s="39" t="str">
        <f>IFERROR(proje!T39*100/proje!$I39,"")</f>
        <v/>
      </c>
      <c r="J544" s="39" t="str">
        <f>IFERROR(proje!U39*100/proje!$I39,"")</f>
        <v/>
      </c>
      <c r="K544" s="39" t="str">
        <f>IFERROR(proje!V39*100/proje!$I39,"")</f>
        <v/>
      </c>
      <c r="L544" s="39" t="str">
        <f>IFERROR(proje!W39*100/proje!$I39,"")</f>
        <v/>
      </c>
      <c r="M544" s="39" t="str">
        <f>IFERROR(proje!X39*100/proje!$I39,"")</f>
        <v/>
      </c>
      <c r="N544" s="39" t="str">
        <f>IFERROR(proje!Y39*100/proje!$I39,"")</f>
        <v/>
      </c>
      <c r="O544" s="39" t="str">
        <f>IFERROR(proje!Z39*100/proje!$I39,"")</f>
        <v/>
      </c>
      <c r="P544" s="39" t="str">
        <f>IFERROR(proje!AA39*100/proje!$I39,"")</f>
        <v/>
      </c>
      <c r="Q544" s="39" t="str">
        <f>IFERROR(proje!AB39*100/proje!$I39,"")</f>
        <v/>
      </c>
      <c r="R544" s="39" t="str">
        <f>IFERROR(proje!AC39*100/proje!$I39,"")</f>
        <v/>
      </c>
      <c r="S544" s="39" t="str">
        <f>IFERROR(proje!AD39*100/proje!$I39,"")</f>
        <v/>
      </c>
      <c r="T544" s="39" t="str">
        <f>IFERROR(proje!AE39*100/proje!$I39,"")</f>
        <v/>
      </c>
      <c r="U544" s="39" t="str">
        <f>IFERROR(proje!AF39*100/proje!$I39,"")</f>
        <v/>
      </c>
      <c r="V544" s="39" t="str">
        <f>IFERROR(proje!AG39*100/proje!$I39,"")</f>
        <v/>
      </c>
      <c r="W544" s="39" t="str">
        <f>IFERROR(proje!AH39*100/proje!$I39,"")</f>
        <v/>
      </c>
      <c r="X544" s="39" t="str">
        <f>IFERROR(proje!AI39*100/proje!$I39,"")</f>
        <v/>
      </c>
      <c r="Y544" s="39" t="str">
        <f>IFERROR(proje!AJ39*100/proje!$I39,"")</f>
        <v/>
      </c>
      <c r="Z544" s="39" t="str">
        <f>IFERROR(proje!AK39*100/proje!$I39,"")</f>
        <v/>
      </c>
      <c r="AA544" s="39" t="str">
        <f>IFERROR(proje!AL39*100/proje!$I39,"")</f>
        <v/>
      </c>
      <c r="AB544" s="39" t="str">
        <f>IFERROR(proje!AM39*100/proje!$I39,"")</f>
        <v/>
      </c>
      <c r="AC544" s="39" t="str">
        <f>IFERROR(proje!AN39*100/proje!$I39,"")</f>
        <v/>
      </c>
      <c r="AD544" s="39" t="str">
        <f>IFERROR(proje!AO39*100/proje!$I39,"")</f>
        <v/>
      </c>
      <c r="AE544" s="39" t="str">
        <f>IFERROR(proje!AP39*100/proje!$I39,"")</f>
        <v/>
      </c>
      <c r="AF544" s="39" t="str">
        <f>IFERROR(proje!AQ39*100/proje!$I39,"")</f>
        <v/>
      </c>
      <c r="AG544" s="39" t="str">
        <f>IFERROR(proje!AR39*100/proje!$I39,"")</f>
        <v/>
      </c>
      <c r="AH544" s="39" t="str">
        <f>IFERROR(proje!AS39*100/proje!$I39,"")</f>
        <v/>
      </c>
      <c r="AI544" s="39" t="str">
        <f>IFERROR(proje!AT39*100/proje!$I39,"")</f>
        <v/>
      </c>
      <c r="AJ544" s="39" t="str">
        <f>IFERROR(proje!AU39*100/proje!$I39,"")</f>
        <v/>
      </c>
      <c r="AK544" s="39" t="str">
        <f>IFERROR(proje!AV39*100/proje!$I39,"")</f>
        <v/>
      </c>
      <c r="AL544" s="39" t="str">
        <f>IFERROR(proje!AW39*100/proje!$I39,"")</f>
        <v/>
      </c>
      <c r="AM544" s="39" t="str">
        <f>IFERROR(proje!AX39*100/proje!$I39,"")</f>
        <v/>
      </c>
      <c r="AN544" s="39" t="str">
        <f>IFERROR(proje!AY39*100/proje!$I39,"")</f>
        <v/>
      </c>
      <c r="AO544" s="39" t="str">
        <f>IFERROR(proje!AZ39*100/proje!$I39,"")</f>
        <v/>
      </c>
      <c r="AP544" s="39" t="str">
        <f>IFERROR(proje!BA39*100/proje!$I39,"")</f>
        <v/>
      </c>
      <c r="AQ544" s="39" t="str">
        <f>IFERROR(proje!BB39*100/proje!$I39,"")</f>
        <v/>
      </c>
      <c r="AR544" s="39" t="str">
        <f>IFERROR(proje!BC39*100/proje!$I39,"")</f>
        <v/>
      </c>
      <c r="AS544" s="39" t="str">
        <f>IFERROR(proje!BD39*100/proje!$I39,"")</f>
        <v/>
      </c>
      <c r="AT544" s="39" t="str">
        <f>IFERROR(proje!BE39*100/proje!$I39,"")</f>
        <v/>
      </c>
      <c r="AU544" s="39" t="str">
        <f>IFERROR(proje!BF39*100/proje!$I39,"")</f>
        <v/>
      </c>
      <c r="AV544" s="39" t="str">
        <f>IFERROR(proje!BG39*100/proje!$I39,"")</f>
        <v/>
      </c>
      <c r="AW544" s="39" t="str">
        <f>IFERROR(proje!BH39*100/proje!$I39,"")</f>
        <v/>
      </c>
      <c r="AX544" s="39" t="str">
        <f>IFERROR(proje!BI39*100/proje!$I39,"")</f>
        <v/>
      </c>
      <c r="AY544" s="39" t="str">
        <f>IFERROR(proje!BJ39*100/proje!$I39,"")</f>
        <v/>
      </c>
      <c r="AZ544" s="39" t="str">
        <f>IFERROR(proje!BK39*100/proje!$I39,"")</f>
        <v/>
      </c>
      <c r="BA544" s="39" t="str">
        <f>IFERROR(proje!BL39*100/proje!$I39,"")</f>
        <v/>
      </c>
      <c r="BB544" s="39" t="str">
        <f>IFERROR(proje!BM39*100/proje!$I39,"")</f>
        <v/>
      </c>
      <c r="BC544" s="39" t="str">
        <f>IFERROR(proje!BN39*100/proje!$I39,"")</f>
        <v/>
      </c>
      <c r="BD544" s="39" t="str">
        <f>IFERROR(proje!BO39*100/proje!$I39,"")</f>
        <v/>
      </c>
      <c r="BE544" s="39" t="str">
        <f>IFERROR(proje!BP39*100/proje!$I39,"")</f>
        <v/>
      </c>
      <c r="BF544" s="39" t="str">
        <f>IFERROR(proje!BQ39*100/proje!$I39,"")</f>
        <v/>
      </c>
      <c r="BG544" s="39" t="str">
        <f>IFERROR(proje!BR39*100/proje!$I39,"")</f>
        <v/>
      </c>
      <c r="BH544" s="39" t="str">
        <f>IFERROR(proje!BS39*100/proje!$I39,"")</f>
        <v/>
      </c>
      <c r="BI544" s="39" t="str">
        <f>IFERROR(proje!BT39*100/proje!$I39,"")</f>
        <v/>
      </c>
      <c r="BJ544" s="39" t="str">
        <f>IFERROR(proje!BU39*100/proje!$I39,"")</f>
        <v/>
      </c>
      <c r="BK544" s="39" t="str">
        <f>IFERROR(proje!BV39*100/proje!$I39,"")</f>
        <v/>
      </c>
      <c r="BL544" s="39" t="str">
        <f>IFERROR(proje!BW39*100/proje!$I39,"")</f>
        <v/>
      </c>
      <c r="BM544" s="39" t="str">
        <f>IFERROR(proje!BX39*100/proje!$I39,"")</f>
        <v/>
      </c>
      <c r="BN544" s="39" t="str">
        <f>IFERROR(proje!BY39*100/proje!$I39,"")</f>
        <v/>
      </c>
      <c r="BO544" s="39" t="str">
        <f>IFERROR(proje!BZ39*100/proje!$I39,"")</f>
        <v/>
      </c>
      <c r="BP544" s="39" t="str">
        <f>IFERROR(proje!CA39*100/proje!$I39,"")</f>
        <v/>
      </c>
      <c r="BQ544" s="39" t="str">
        <f>IFERROR(proje!CB39*100/proje!$I39,"")</f>
        <v/>
      </c>
      <c r="BR544" s="39" t="str">
        <f>IFERROR(proje!CC39*100/proje!$I39,"")</f>
        <v/>
      </c>
      <c r="BS544" s="39" t="str">
        <f>IFERROR(proje!CD39*100/proje!$I39,"")</f>
        <v/>
      </c>
      <c r="BT544" s="39" t="str">
        <f>IFERROR(proje!CE39*100/proje!$I39,"")</f>
        <v/>
      </c>
      <c r="BU544" s="39" t="str">
        <f>IFERROR(proje!CF39*100/proje!$I39,"")</f>
        <v/>
      </c>
      <c r="BV544" s="39" t="str">
        <f>IFERROR(proje!CG39*100/proje!$I39,"")</f>
        <v/>
      </c>
      <c r="BW544" s="39" t="str">
        <f>IFERROR(proje!CH39*100/proje!$I39,"")</f>
        <v/>
      </c>
      <c r="BX544" s="39" t="str">
        <f>IFERROR(proje!CI39*100/proje!$I39,"")</f>
        <v/>
      </c>
      <c r="BY544" s="39" t="str">
        <f>IFERROR(proje!CJ39*100/proje!$I39,"")</f>
        <v/>
      </c>
      <c r="BZ544" s="39" t="str">
        <f>IFERROR(proje!CK39*100/proje!$I39,"")</f>
        <v/>
      </c>
      <c r="CA544" s="39" t="str">
        <f>IFERROR(proje!CL39*100/proje!$I39,"")</f>
        <v/>
      </c>
      <c r="CB544" s="39" t="str">
        <f>IFERROR(proje!CM39*100/proje!$I39,"")</f>
        <v/>
      </c>
      <c r="CC544" s="39" t="str">
        <f>IFERROR(proje!CN39*100/proje!$I39,"")</f>
        <v/>
      </c>
      <c r="CD544" s="39" t="str">
        <f>IFERROR(proje!CO39*100/proje!$I39,"")</f>
        <v/>
      </c>
      <c r="CE544" s="39" t="str">
        <f>IFERROR(proje!CP39*100/proje!$I39,"")</f>
        <v/>
      </c>
      <c r="CF544" s="39" t="str">
        <f>IFERROR(proje!CQ39*100/proje!$I39,"")</f>
        <v/>
      </c>
      <c r="CG544" s="39" t="str">
        <f>IFERROR(proje!CR39*100/proje!$I39,"")</f>
        <v/>
      </c>
      <c r="CH544" s="39" t="str">
        <f>IFERROR(proje!CS39*100/proje!$I39,"")</f>
        <v/>
      </c>
      <c r="CI544" s="39" t="str">
        <f>IFERROR(proje!CT39*100/proje!$I39,"")</f>
        <v/>
      </c>
      <c r="CJ544" s="39" t="str">
        <f>IFERROR(proje!CU39*100/proje!$I39,"")</f>
        <v/>
      </c>
      <c r="CK544" s="39" t="str">
        <f>IFERROR(proje!CV39*100/proje!$I39,"")</f>
        <v/>
      </c>
      <c r="CL544" s="39" t="str">
        <f>IFERROR(proje!CW39*100/proje!$I39,"")</f>
        <v/>
      </c>
      <c r="CM544" s="39" t="str">
        <f>IFERROR(proje!CX39*100/proje!$I39,"")</f>
        <v/>
      </c>
      <c r="CN544" s="39" t="str">
        <f>IFERROR(proje!CY39*100/proje!$I39,"")</f>
        <v/>
      </c>
      <c r="CO544" s="39" t="str">
        <f>IFERROR(proje!CZ39*100/proje!$I39,"")</f>
        <v/>
      </c>
      <c r="CP544" s="39" t="str">
        <f>IFERROR(proje!DA39*100/proje!$I39,"")</f>
        <v/>
      </c>
      <c r="CQ544" s="39" t="str">
        <f>IFERROR(proje!DB39*100/proje!$I39,"")</f>
        <v/>
      </c>
      <c r="CR544" s="39" t="str">
        <f>IFERROR(proje!DC39*100/proje!$I39,"")</f>
        <v/>
      </c>
      <c r="CS544" s="39" t="str">
        <f>IFERROR(proje!DD39*100/proje!$I39,"")</f>
        <v/>
      </c>
      <c r="CT544" s="39" t="str">
        <f>IFERROR(proje!DE39*100/proje!$I39,"")</f>
        <v/>
      </c>
      <c r="CU544" s="39" t="str">
        <f>IFERROR(proje!DF39*100/proje!$I39,"")</f>
        <v/>
      </c>
      <c r="CV544" s="39" t="str">
        <f>IFERROR(proje!DG39*100/proje!$I39,"")</f>
        <v/>
      </c>
      <c r="CW544" s="36" t="str">
        <f>IFERROR(SUM(A544:CV544)/proje!$DH$103,"")</f>
        <v/>
      </c>
      <c r="CX544" s="14" t="str">
        <f>IF(COUNTA(proje!A39),proje!A39,"")</f>
        <v/>
      </c>
      <c r="CY544" s="14" t="str">
        <f>IF(COUNTA(proje!B39),proje!B39,"")</f>
        <v/>
      </c>
      <c r="CZ544" s="14" t="str">
        <f>IF(COUNTA(proje!C39),proje!C39,"")</f>
        <v/>
      </c>
      <c r="DA544" s="14" t="str">
        <f>IF(COUNTA(proje!D39),proje!D39,"")</f>
        <v/>
      </c>
      <c r="DB544" s="14" t="str">
        <f>IF(COUNTA(proje!E39),proje!E39,"")</f>
        <v/>
      </c>
      <c r="DC544" s="14" t="str">
        <f>IF(COUNTA(proje!F39),proje!F39,"")</f>
        <v/>
      </c>
      <c r="DD544" s="14" t="str">
        <f>IF(COUNTA(proje!G39),proje!G39,"")</f>
        <v/>
      </c>
      <c r="DE544" s="14" t="str">
        <f>IF(COUNTA(proje!H39),proje!H39,"")</f>
        <v/>
      </c>
    </row>
    <row r="545" spans="1:109" x14ac:dyDescent="0.2">
      <c r="A545" s="39" t="str">
        <f>IFERROR(proje!L40*100/proje!$I40,"")</f>
        <v/>
      </c>
      <c r="B545" s="39" t="str">
        <f>IFERROR(proje!M40*100/proje!$I40,"")</f>
        <v/>
      </c>
      <c r="C545" s="39" t="str">
        <f>IFERROR(proje!N40*100/proje!$I40,"")</f>
        <v/>
      </c>
      <c r="D545" s="39" t="str">
        <f>IFERROR(proje!O40*100/proje!$I40,"")</f>
        <v/>
      </c>
      <c r="E545" s="39" t="str">
        <f>IFERROR(proje!P40*100/proje!$I40,"")</f>
        <v/>
      </c>
      <c r="F545" s="39" t="str">
        <f>IFERROR(proje!Q40*100/proje!$I40,"")</f>
        <v/>
      </c>
      <c r="G545" s="39" t="str">
        <f>IFERROR(proje!R40*100/proje!$I40,"")</f>
        <v/>
      </c>
      <c r="H545" s="39" t="str">
        <f>IFERROR(proje!S40*100/proje!$I40,"")</f>
        <v/>
      </c>
      <c r="I545" s="39" t="str">
        <f>IFERROR(proje!T40*100/proje!$I40,"")</f>
        <v/>
      </c>
      <c r="J545" s="39" t="str">
        <f>IFERROR(proje!U40*100/proje!$I40,"")</f>
        <v/>
      </c>
      <c r="K545" s="39" t="str">
        <f>IFERROR(proje!V40*100/proje!$I40,"")</f>
        <v/>
      </c>
      <c r="L545" s="39" t="str">
        <f>IFERROR(proje!W40*100/proje!$I40,"")</f>
        <v/>
      </c>
      <c r="M545" s="39" t="str">
        <f>IFERROR(proje!X40*100/proje!$I40,"")</f>
        <v/>
      </c>
      <c r="N545" s="39" t="str">
        <f>IFERROR(proje!Y40*100/proje!$I40,"")</f>
        <v/>
      </c>
      <c r="O545" s="39" t="str">
        <f>IFERROR(proje!Z40*100/proje!$I40,"")</f>
        <v/>
      </c>
      <c r="P545" s="39" t="str">
        <f>IFERROR(proje!AA40*100/proje!$I40,"")</f>
        <v/>
      </c>
      <c r="Q545" s="39" t="str">
        <f>IFERROR(proje!AB40*100/proje!$I40,"")</f>
        <v/>
      </c>
      <c r="R545" s="39" t="str">
        <f>IFERROR(proje!AC40*100/proje!$I40,"")</f>
        <v/>
      </c>
      <c r="S545" s="39" t="str">
        <f>IFERROR(proje!AD40*100/proje!$I40,"")</f>
        <v/>
      </c>
      <c r="T545" s="39" t="str">
        <f>IFERROR(proje!AE40*100/proje!$I40,"")</f>
        <v/>
      </c>
      <c r="U545" s="39" t="str">
        <f>IFERROR(proje!AF40*100/proje!$I40,"")</f>
        <v/>
      </c>
      <c r="V545" s="39" t="str">
        <f>IFERROR(proje!AG40*100/proje!$I40,"")</f>
        <v/>
      </c>
      <c r="W545" s="39" t="str">
        <f>IFERROR(proje!AH40*100/proje!$I40,"")</f>
        <v/>
      </c>
      <c r="X545" s="39" t="str">
        <f>IFERROR(proje!AI40*100/proje!$I40,"")</f>
        <v/>
      </c>
      <c r="Y545" s="39" t="str">
        <f>IFERROR(proje!AJ40*100/proje!$I40,"")</f>
        <v/>
      </c>
      <c r="Z545" s="39" t="str">
        <f>IFERROR(proje!AK40*100/proje!$I40,"")</f>
        <v/>
      </c>
      <c r="AA545" s="39" t="str">
        <f>IFERROR(proje!AL40*100/proje!$I40,"")</f>
        <v/>
      </c>
      <c r="AB545" s="39" t="str">
        <f>IFERROR(proje!AM40*100/proje!$I40,"")</f>
        <v/>
      </c>
      <c r="AC545" s="39" t="str">
        <f>IFERROR(proje!AN40*100/proje!$I40,"")</f>
        <v/>
      </c>
      <c r="AD545" s="39" t="str">
        <f>IFERROR(proje!AO40*100/proje!$I40,"")</f>
        <v/>
      </c>
      <c r="AE545" s="39" t="str">
        <f>IFERROR(proje!AP40*100/proje!$I40,"")</f>
        <v/>
      </c>
      <c r="AF545" s="39" t="str">
        <f>IFERROR(proje!AQ40*100/proje!$I40,"")</f>
        <v/>
      </c>
      <c r="AG545" s="39" t="str">
        <f>IFERROR(proje!AR40*100/proje!$I40,"")</f>
        <v/>
      </c>
      <c r="AH545" s="39" t="str">
        <f>IFERROR(proje!AS40*100/proje!$I40,"")</f>
        <v/>
      </c>
      <c r="AI545" s="39" t="str">
        <f>IFERROR(proje!AT40*100/proje!$I40,"")</f>
        <v/>
      </c>
      <c r="AJ545" s="39" t="str">
        <f>IFERROR(proje!AU40*100/proje!$I40,"")</f>
        <v/>
      </c>
      <c r="AK545" s="39" t="str">
        <f>IFERROR(proje!AV40*100/proje!$I40,"")</f>
        <v/>
      </c>
      <c r="AL545" s="39" t="str">
        <f>IFERROR(proje!AW40*100/proje!$I40,"")</f>
        <v/>
      </c>
      <c r="AM545" s="39" t="str">
        <f>IFERROR(proje!AX40*100/proje!$I40,"")</f>
        <v/>
      </c>
      <c r="AN545" s="39" t="str">
        <f>IFERROR(proje!AY40*100/proje!$I40,"")</f>
        <v/>
      </c>
      <c r="AO545" s="39" t="str">
        <f>IFERROR(proje!AZ40*100/proje!$I40,"")</f>
        <v/>
      </c>
      <c r="AP545" s="39" t="str">
        <f>IFERROR(proje!BA40*100/proje!$I40,"")</f>
        <v/>
      </c>
      <c r="AQ545" s="39" t="str">
        <f>IFERROR(proje!BB40*100/proje!$I40,"")</f>
        <v/>
      </c>
      <c r="AR545" s="39" t="str">
        <f>IFERROR(proje!BC40*100/proje!$I40,"")</f>
        <v/>
      </c>
      <c r="AS545" s="39" t="str">
        <f>IFERROR(proje!BD40*100/proje!$I40,"")</f>
        <v/>
      </c>
      <c r="AT545" s="39" t="str">
        <f>IFERROR(proje!BE40*100/proje!$I40,"")</f>
        <v/>
      </c>
      <c r="AU545" s="39" t="str">
        <f>IFERROR(proje!BF40*100/proje!$I40,"")</f>
        <v/>
      </c>
      <c r="AV545" s="39" t="str">
        <f>IFERROR(proje!BG40*100/proje!$I40,"")</f>
        <v/>
      </c>
      <c r="AW545" s="39" t="str">
        <f>IFERROR(proje!BH40*100/proje!$I40,"")</f>
        <v/>
      </c>
      <c r="AX545" s="39" t="str">
        <f>IFERROR(proje!BI40*100/proje!$I40,"")</f>
        <v/>
      </c>
      <c r="AY545" s="39" t="str">
        <f>IFERROR(proje!BJ40*100/proje!$I40,"")</f>
        <v/>
      </c>
      <c r="AZ545" s="39" t="str">
        <f>IFERROR(proje!BK40*100/proje!$I40,"")</f>
        <v/>
      </c>
      <c r="BA545" s="39" t="str">
        <f>IFERROR(proje!BL40*100/proje!$I40,"")</f>
        <v/>
      </c>
      <c r="BB545" s="39" t="str">
        <f>IFERROR(proje!BM40*100/proje!$I40,"")</f>
        <v/>
      </c>
      <c r="BC545" s="39" t="str">
        <f>IFERROR(proje!BN40*100/proje!$I40,"")</f>
        <v/>
      </c>
      <c r="BD545" s="39" t="str">
        <f>IFERROR(proje!BO40*100/proje!$I40,"")</f>
        <v/>
      </c>
      <c r="BE545" s="39" t="str">
        <f>IFERROR(proje!BP40*100/proje!$I40,"")</f>
        <v/>
      </c>
      <c r="BF545" s="39" t="str">
        <f>IFERROR(proje!BQ40*100/proje!$I40,"")</f>
        <v/>
      </c>
      <c r="BG545" s="39" t="str">
        <f>IFERROR(proje!BR40*100/proje!$I40,"")</f>
        <v/>
      </c>
      <c r="BH545" s="39" t="str">
        <f>IFERROR(proje!BS40*100/proje!$I40,"")</f>
        <v/>
      </c>
      <c r="BI545" s="39" t="str">
        <f>IFERROR(proje!BT40*100/proje!$I40,"")</f>
        <v/>
      </c>
      <c r="BJ545" s="39" t="str">
        <f>IFERROR(proje!BU40*100/proje!$I40,"")</f>
        <v/>
      </c>
      <c r="BK545" s="39" t="str">
        <f>IFERROR(proje!BV40*100/proje!$I40,"")</f>
        <v/>
      </c>
      <c r="BL545" s="39" t="str">
        <f>IFERROR(proje!BW40*100/proje!$I40,"")</f>
        <v/>
      </c>
      <c r="BM545" s="39" t="str">
        <f>IFERROR(proje!BX40*100/proje!$I40,"")</f>
        <v/>
      </c>
      <c r="BN545" s="39" t="str">
        <f>IFERROR(proje!BY40*100/proje!$I40,"")</f>
        <v/>
      </c>
      <c r="BO545" s="39" t="str">
        <f>IFERROR(proje!BZ40*100/proje!$I40,"")</f>
        <v/>
      </c>
      <c r="BP545" s="39" t="str">
        <f>IFERROR(proje!CA40*100/proje!$I40,"")</f>
        <v/>
      </c>
      <c r="BQ545" s="39" t="str">
        <f>IFERROR(proje!CB40*100/proje!$I40,"")</f>
        <v/>
      </c>
      <c r="BR545" s="39" t="str">
        <f>IFERROR(proje!CC40*100/proje!$I40,"")</f>
        <v/>
      </c>
      <c r="BS545" s="39" t="str">
        <f>IFERROR(proje!CD40*100/proje!$I40,"")</f>
        <v/>
      </c>
      <c r="BT545" s="39" t="str">
        <f>IFERROR(proje!CE40*100/proje!$I40,"")</f>
        <v/>
      </c>
      <c r="BU545" s="39" t="str">
        <f>IFERROR(proje!CF40*100/proje!$I40,"")</f>
        <v/>
      </c>
      <c r="BV545" s="39" t="str">
        <f>IFERROR(proje!CG40*100/proje!$I40,"")</f>
        <v/>
      </c>
      <c r="BW545" s="39" t="str">
        <f>IFERROR(proje!CH40*100/proje!$I40,"")</f>
        <v/>
      </c>
      <c r="BX545" s="39" t="str">
        <f>IFERROR(proje!CI40*100/proje!$I40,"")</f>
        <v/>
      </c>
      <c r="BY545" s="39" t="str">
        <f>IFERROR(proje!CJ40*100/proje!$I40,"")</f>
        <v/>
      </c>
      <c r="BZ545" s="39" t="str">
        <f>IFERROR(proje!CK40*100/proje!$I40,"")</f>
        <v/>
      </c>
      <c r="CA545" s="39" t="str">
        <f>IFERROR(proje!CL40*100/proje!$I40,"")</f>
        <v/>
      </c>
      <c r="CB545" s="39" t="str">
        <f>IFERROR(proje!CM40*100/proje!$I40,"")</f>
        <v/>
      </c>
      <c r="CC545" s="39" t="str">
        <f>IFERROR(proje!CN40*100/proje!$I40,"")</f>
        <v/>
      </c>
      <c r="CD545" s="39" t="str">
        <f>IFERROR(proje!CO40*100/proje!$I40,"")</f>
        <v/>
      </c>
      <c r="CE545" s="39" t="str">
        <f>IFERROR(proje!CP40*100/proje!$I40,"")</f>
        <v/>
      </c>
      <c r="CF545" s="39" t="str">
        <f>IFERROR(proje!CQ40*100/proje!$I40,"")</f>
        <v/>
      </c>
      <c r="CG545" s="39" t="str">
        <f>IFERROR(proje!CR40*100/proje!$I40,"")</f>
        <v/>
      </c>
      <c r="CH545" s="39" t="str">
        <f>IFERROR(proje!CS40*100/proje!$I40,"")</f>
        <v/>
      </c>
      <c r="CI545" s="39" t="str">
        <f>IFERROR(proje!CT40*100/proje!$I40,"")</f>
        <v/>
      </c>
      <c r="CJ545" s="39" t="str">
        <f>IFERROR(proje!CU40*100/proje!$I40,"")</f>
        <v/>
      </c>
      <c r="CK545" s="39" t="str">
        <f>IFERROR(proje!CV40*100/proje!$I40,"")</f>
        <v/>
      </c>
      <c r="CL545" s="39" t="str">
        <f>IFERROR(proje!CW40*100/proje!$I40,"")</f>
        <v/>
      </c>
      <c r="CM545" s="39" t="str">
        <f>IFERROR(proje!CX40*100/proje!$I40,"")</f>
        <v/>
      </c>
      <c r="CN545" s="39" t="str">
        <f>IFERROR(proje!CY40*100/proje!$I40,"")</f>
        <v/>
      </c>
      <c r="CO545" s="39" t="str">
        <f>IFERROR(proje!CZ40*100/proje!$I40,"")</f>
        <v/>
      </c>
      <c r="CP545" s="39" t="str">
        <f>IFERROR(proje!DA40*100/proje!$I40,"")</f>
        <v/>
      </c>
      <c r="CQ545" s="39" t="str">
        <f>IFERROR(proje!DB40*100/proje!$I40,"")</f>
        <v/>
      </c>
      <c r="CR545" s="39" t="str">
        <f>IFERROR(proje!DC40*100/proje!$I40,"")</f>
        <v/>
      </c>
      <c r="CS545" s="39" t="str">
        <f>IFERROR(proje!DD40*100/proje!$I40,"")</f>
        <v/>
      </c>
      <c r="CT545" s="39" t="str">
        <f>IFERROR(proje!DE40*100/proje!$I40,"")</f>
        <v/>
      </c>
      <c r="CU545" s="39" t="str">
        <f>IFERROR(proje!DF40*100/proje!$I40,"")</f>
        <v/>
      </c>
      <c r="CV545" s="39" t="str">
        <f>IFERROR(proje!DG40*100/proje!$I40,"")</f>
        <v/>
      </c>
      <c r="CW545" s="36" t="str">
        <f>IFERROR(SUM(A545:CV545)/proje!$DH$103,"")</f>
        <v/>
      </c>
      <c r="CX545" s="14" t="str">
        <f>IF(COUNTA(proje!A40),proje!A40,"")</f>
        <v/>
      </c>
      <c r="CY545" s="14" t="str">
        <f>IF(COUNTA(proje!B40),proje!B40,"")</f>
        <v/>
      </c>
      <c r="CZ545" s="14" t="str">
        <f>IF(COUNTA(proje!C40),proje!C40,"")</f>
        <v/>
      </c>
      <c r="DA545" s="14" t="str">
        <f>IF(COUNTA(proje!D40),proje!D40,"")</f>
        <v/>
      </c>
      <c r="DB545" s="14" t="str">
        <f>IF(COUNTA(proje!E40),proje!E40,"")</f>
        <v/>
      </c>
      <c r="DC545" s="14" t="str">
        <f>IF(COUNTA(proje!F40),proje!F40,"")</f>
        <v/>
      </c>
      <c r="DD545" s="14" t="str">
        <f>IF(COUNTA(proje!G40),proje!G40,"")</f>
        <v/>
      </c>
      <c r="DE545" s="14" t="str">
        <f>IF(COUNTA(proje!H40),proje!H40,"")</f>
        <v/>
      </c>
    </row>
    <row r="546" spans="1:109" x14ac:dyDescent="0.2">
      <c r="A546" s="39" t="str">
        <f>IFERROR(proje!L41*100/proje!$I41,"")</f>
        <v/>
      </c>
      <c r="B546" s="39" t="str">
        <f>IFERROR(proje!M41*100/proje!$I41,"")</f>
        <v/>
      </c>
      <c r="C546" s="39" t="str">
        <f>IFERROR(proje!N41*100/proje!$I41,"")</f>
        <v/>
      </c>
      <c r="D546" s="39" t="str">
        <f>IFERROR(proje!O41*100/proje!$I41,"")</f>
        <v/>
      </c>
      <c r="E546" s="39" t="str">
        <f>IFERROR(proje!P41*100/proje!$I41,"")</f>
        <v/>
      </c>
      <c r="F546" s="39" t="str">
        <f>IFERROR(proje!Q41*100/proje!$I41,"")</f>
        <v/>
      </c>
      <c r="G546" s="39" t="str">
        <f>IFERROR(proje!R41*100/proje!$I41,"")</f>
        <v/>
      </c>
      <c r="H546" s="39" t="str">
        <f>IFERROR(proje!S41*100/proje!$I41,"")</f>
        <v/>
      </c>
      <c r="I546" s="39" t="str">
        <f>IFERROR(proje!T41*100/proje!$I41,"")</f>
        <v/>
      </c>
      <c r="J546" s="39" t="str">
        <f>IFERROR(proje!U41*100/proje!$I41,"")</f>
        <v/>
      </c>
      <c r="K546" s="39" t="str">
        <f>IFERROR(proje!V41*100/proje!$I41,"")</f>
        <v/>
      </c>
      <c r="L546" s="39" t="str">
        <f>IFERROR(proje!W41*100/proje!$I41,"")</f>
        <v/>
      </c>
      <c r="M546" s="39" t="str">
        <f>IFERROR(proje!X41*100/proje!$I41,"")</f>
        <v/>
      </c>
      <c r="N546" s="39" t="str">
        <f>IFERROR(proje!Y41*100/proje!$I41,"")</f>
        <v/>
      </c>
      <c r="O546" s="39" t="str">
        <f>IFERROR(proje!Z41*100/proje!$I41,"")</f>
        <v/>
      </c>
      <c r="P546" s="39" t="str">
        <f>IFERROR(proje!AA41*100/proje!$I41,"")</f>
        <v/>
      </c>
      <c r="Q546" s="39" t="str">
        <f>IFERROR(proje!AB41*100/proje!$I41,"")</f>
        <v/>
      </c>
      <c r="R546" s="39" t="str">
        <f>IFERROR(proje!AC41*100/proje!$I41,"")</f>
        <v/>
      </c>
      <c r="S546" s="39" t="str">
        <f>IFERROR(proje!AD41*100/proje!$I41,"")</f>
        <v/>
      </c>
      <c r="T546" s="39" t="str">
        <f>IFERROR(proje!AE41*100/proje!$I41,"")</f>
        <v/>
      </c>
      <c r="U546" s="39" t="str">
        <f>IFERROR(proje!AF41*100/proje!$I41,"")</f>
        <v/>
      </c>
      <c r="V546" s="39" t="str">
        <f>IFERROR(proje!AG41*100/proje!$I41,"")</f>
        <v/>
      </c>
      <c r="W546" s="39" t="str">
        <f>IFERROR(proje!AH41*100/proje!$I41,"")</f>
        <v/>
      </c>
      <c r="X546" s="39" t="str">
        <f>IFERROR(proje!AI41*100/proje!$I41,"")</f>
        <v/>
      </c>
      <c r="Y546" s="39" t="str">
        <f>IFERROR(proje!AJ41*100/proje!$I41,"")</f>
        <v/>
      </c>
      <c r="Z546" s="39" t="str">
        <f>IFERROR(proje!AK41*100/proje!$I41,"")</f>
        <v/>
      </c>
      <c r="AA546" s="39" t="str">
        <f>IFERROR(proje!AL41*100/proje!$I41,"")</f>
        <v/>
      </c>
      <c r="AB546" s="39" t="str">
        <f>IFERROR(proje!AM41*100/proje!$I41,"")</f>
        <v/>
      </c>
      <c r="AC546" s="39" t="str">
        <f>IFERROR(proje!AN41*100/proje!$I41,"")</f>
        <v/>
      </c>
      <c r="AD546" s="39" t="str">
        <f>IFERROR(proje!AO41*100/proje!$I41,"")</f>
        <v/>
      </c>
      <c r="AE546" s="39" t="str">
        <f>IFERROR(proje!AP41*100/proje!$I41,"")</f>
        <v/>
      </c>
      <c r="AF546" s="39" t="str">
        <f>IFERROR(proje!AQ41*100/proje!$I41,"")</f>
        <v/>
      </c>
      <c r="AG546" s="39" t="str">
        <f>IFERROR(proje!AR41*100/proje!$I41,"")</f>
        <v/>
      </c>
      <c r="AH546" s="39" t="str">
        <f>IFERROR(proje!AS41*100/proje!$I41,"")</f>
        <v/>
      </c>
      <c r="AI546" s="39" t="str">
        <f>IFERROR(proje!AT41*100/proje!$I41,"")</f>
        <v/>
      </c>
      <c r="AJ546" s="39" t="str">
        <f>IFERROR(proje!AU41*100/proje!$I41,"")</f>
        <v/>
      </c>
      <c r="AK546" s="39" t="str">
        <f>IFERROR(proje!AV41*100/proje!$I41,"")</f>
        <v/>
      </c>
      <c r="AL546" s="39" t="str">
        <f>IFERROR(proje!AW41*100/proje!$I41,"")</f>
        <v/>
      </c>
      <c r="AM546" s="39" t="str">
        <f>IFERROR(proje!AX41*100/proje!$I41,"")</f>
        <v/>
      </c>
      <c r="AN546" s="39" t="str">
        <f>IFERROR(proje!AY41*100/proje!$I41,"")</f>
        <v/>
      </c>
      <c r="AO546" s="39" t="str">
        <f>IFERROR(proje!AZ41*100/proje!$I41,"")</f>
        <v/>
      </c>
      <c r="AP546" s="39" t="str">
        <f>IFERROR(proje!BA41*100/proje!$I41,"")</f>
        <v/>
      </c>
      <c r="AQ546" s="39" t="str">
        <f>IFERROR(proje!BB41*100/proje!$I41,"")</f>
        <v/>
      </c>
      <c r="AR546" s="39" t="str">
        <f>IFERROR(proje!BC41*100/proje!$I41,"")</f>
        <v/>
      </c>
      <c r="AS546" s="39" t="str">
        <f>IFERROR(proje!BD41*100/proje!$I41,"")</f>
        <v/>
      </c>
      <c r="AT546" s="39" t="str">
        <f>IFERROR(proje!BE41*100/proje!$I41,"")</f>
        <v/>
      </c>
      <c r="AU546" s="39" t="str">
        <f>IFERROR(proje!BF41*100/proje!$I41,"")</f>
        <v/>
      </c>
      <c r="AV546" s="39" t="str">
        <f>IFERROR(proje!BG41*100/proje!$I41,"")</f>
        <v/>
      </c>
      <c r="AW546" s="39" t="str">
        <f>IFERROR(proje!BH41*100/proje!$I41,"")</f>
        <v/>
      </c>
      <c r="AX546" s="39" t="str">
        <f>IFERROR(proje!BI41*100/proje!$I41,"")</f>
        <v/>
      </c>
      <c r="AY546" s="39" t="str">
        <f>IFERROR(proje!BJ41*100/proje!$I41,"")</f>
        <v/>
      </c>
      <c r="AZ546" s="39" t="str">
        <f>IFERROR(proje!BK41*100/proje!$I41,"")</f>
        <v/>
      </c>
      <c r="BA546" s="39" t="str">
        <f>IFERROR(proje!BL41*100/proje!$I41,"")</f>
        <v/>
      </c>
      <c r="BB546" s="39" t="str">
        <f>IFERROR(proje!BM41*100/proje!$I41,"")</f>
        <v/>
      </c>
      <c r="BC546" s="39" t="str">
        <f>IFERROR(proje!BN41*100/proje!$I41,"")</f>
        <v/>
      </c>
      <c r="BD546" s="39" t="str">
        <f>IFERROR(proje!BO41*100/proje!$I41,"")</f>
        <v/>
      </c>
      <c r="BE546" s="39" t="str">
        <f>IFERROR(proje!BP41*100/proje!$I41,"")</f>
        <v/>
      </c>
      <c r="BF546" s="39" t="str">
        <f>IFERROR(proje!BQ41*100/proje!$I41,"")</f>
        <v/>
      </c>
      <c r="BG546" s="39" t="str">
        <f>IFERROR(proje!BR41*100/proje!$I41,"")</f>
        <v/>
      </c>
      <c r="BH546" s="39" t="str">
        <f>IFERROR(proje!BS41*100/proje!$I41,"")</f>
        <v/>
      </c>
      <c r="BI546" s="39" t="str">
        <f>IFERROR(proje!BT41*100/proje!$I41,"")</f>
        <v/>
      </c>
      <c r="BJ546" s="39" t="str">
        <f>IFERROR(proje!BU41*100/proje!$I41,"")</f>
        <v/>
      </c>
      <c r="BK546" s="39" t="str">
        <f>IFERROR(proje!BV41*100/proje!$I41,"")</f>
        <v/>
      </c>
      <c r="BL546" s="39" t="str">
        <f>IFERROR(proje!BW41*100/proje!$I41,"")</f>
        <v/>
      </c>
      <c r="BM546" s="39" t="str">
        <f>IFERROR(proje!BX41*100/proje!$I41,"")</f>
        <v/>
      </c>
      <c r="BN546" s="39" t="str">
        <f>IFERROR(proje!BY41*100/proje!$I41,"")</f>
        <v/>
      </c>
      <c r="BO546" s="39" t="str">
        <f>IFERROR(proje!BZ41*100/proje!$I41,"")</f>
        <v/>
      </c>
      <c r="BP546" s="39" t="str">
        <f>IFERROR(proje!CA41*100/proje!$I41,"")</f>
        <v/>
      </c>
      <c r="BQ546" s="39" t="str">
        <f>IFERROR(proje!CB41*100/proje!$I41,"")</f>
        <v/>
      </c>
      <c r="BR546" s="39" t="str">
        <f>IFERROR(proje!CC41*100/proje!$I41,"")</f>
        <v/>
      </c>
      <c r="BS546" s="39" t="str">
        <f>IFERROR(proje!CD41*100/proje!$I41,"")</f>
        <v/>
      </c>
      <c r="BT546" s="39" t="str">
        <f>IFERROR(proje!CE41*100/proje!$I41,"")</f>
        <v/>
      </c>
      <c r="BU546" s="39" t="str">
        <f>IFERROR(proje!CF41*100/proje!$I41,"")</f>
        <v/>
      </c>
      <c r="BV546" s="39" t="str">
        <f>IFERROR(proje!CG41*100/proje!$I41,"")</f>
        <v/>
      </c>
      <c r="BW546" s="39" t="str">
        <f>IFERROR(proje!CH41*100/proje!$I41,"")</f>
        <v/>
      </c>
      <c r="BX546" s="39" t="str">
        <f>IFERROR(proje!CI41*100/proje!$I41,"")</f>
        <v/>
      </c>
      <c r="BY546" s="39" t="str">
        <f>IFERROR(proje!CJ41*100/proje!$I41,"")</f>
        <v/>
      </c>
      <c r="BZ546" s="39" t="str">
        <f>IFERROR(proje!CK41*100/proje!$I41,"")</f>
        <v/>
      </c>
      <c r="CA546" s="39" t="str">
        <f>IFERROR(proje!CL41*100/proje!$I41,"")</f>
        <v/>
      </c>
      <c r="CB546" s="39" t="str">
        <f>IFERROR(proje!CM41*100/proje!$I41,"")</f>
        <v/>
      </c>
      <c r="CC546" s="39" t="str">
        <f>IFERROR(proje!CN41*100/proje!$I41,"")</f>
        <v/>
      </c>
      <c r="CD546" s="39" t="str">
        <f>IFERROR(proje!CO41*100/proje!$I41,"")</f>
        <v/>
      </c>
      <c r="CE546" s="39" t="str">
        <f>IFERROR(proje!CP41*100/proje!$I41,"")</f>
        <v/>
      </c>
      <c r="CF546" s="39" t="str">
        <f>IFERROR(proje!CQ41*100/proje!$I41,"")</f>
        <v/>
      </c>
      <c r="CG546" s="39" t="str">
        <f>IFERROR(proje!CR41*100/proje!$I41,"")</f>
        <v/>
      </c>
      <c r="CH546" s="39" t="str">
        <f>IFERROR(proje!CS41*100/proje!$I41,"")</f>
        <v/>
      </c>
      <c r="CI546" s="39" t="str">
        <f>IFERROR(proje!CT41*100/proje!$I41,"")</f>
        <v/>
      </c>
      <c r="CJ546" s="39" t="str">
        <f>IFERROR(proje!CU41*100/proje!$I41,"")</f>
        <v/>
      </c>
      <c r="CK546" s="39" t="str">
        <f>IFERROR(proje!CV41*100/proje!$I41,"")</f>
        <v/>
      </c>
      <c r="CL546" s="39" t="str">
        <f>IFERROR(proje!CW41*100/proje!$I41,"")</f>
        <v/>
      </c>
      <c r="CM546" s="39" t="str">
        <f>IFERROR(proje!CX41*100/proje!$I41,"")</f>
        <v/>
      </c>
      <c r="CN546" s="39" t="str">
        <f>IFERROR(proje!CY41*100/proje!$I41,"")</f>
        <v/>
      </c>
      <c r="CO546" s="39" t="str">
        <f>IFERROR(proje!CZ41*100/proje!$I41,"")</f>
        <v/>
      </c>
      <c r="CP546" s="39" t="str">
        <f>IFERROR(proje!DA41*100/proje!$I41,"")</f>
        <v/>
      </c>
      <c r="CQ546" s="39" t="str">
        <f>IFERROR(proje!DB41*100/proje!$I41,"")</f>
        <v/>
      </c>
      <c r="CR546" s="39" t="str">
        <f>IFERROR(proje!DC41*100/proje!$I41,"")</f>
        <v/>
      </c>
      <c r="CS546" s="39" t="str">
        <f>IFERROR(proje!DD41*100/proje!$I41,"")</f>
        <v/>
      </c>
      <c r="CT546" s="39" t="str">
        <f>IFERROR(proje!DE41*100/proje!$I41,"")</f>
        <v/>
      </c>
      <c r="CU546" s="39" t="str">
        <f>IFERROR(proje!DF41*100/proje!$I41,"")</f>
        <v/>
      </c>
      <c r="CV546" s="39" t="str">
        <f>IFERROR(proje!DG41*100/proje!$I41,"")</f>
        <v/>
      </c>
      <c r="CW546" s="36" t="str">
        <f>IFERROR(SUM(A546:CV546)/proje!$DH$103,"")</f>
        <v/>
      </c>
      <c r="CX546" s="14" t="str">
        <f>IF(COUNTA(proje!A41),proje!A41,"")</f>
        <v/>
      </c>
      <c r="CY546" s="14" t="str">
        <f>IF(COUNTA(proje!B41),proje!B41,"")</f>
        <v/>
      </c>
      <c r="CZ546" s="14" t="str">
        <f>IF(COUNTA(proje!C41),proje!C41,"")</f>
        <v/>
      </c>
      <c r="DA546" s="14" t="str">
        <f>IF(COUNTA(proje!D41),proje!D41,"")</f>
        <v/>
      </c>
      <c r="DB546" s="14" t="str">
        <f>IF(COUNTA(proje!E41),proje!E41,"")</f>
        <v/>
      </c>
      <c r="DC546" s="14" t="str">
        <f>IF(COUNTA(proje!F41),proje!F41,"")</f>
        <v/>
      </c>
      <c r="DD546" s="14" t="str">
        <f>IF(COUNTA(proje!G41),proje!G41,"")</f>
        <v/>
      </c>
      <c r="DE546" s="14" t="str">
        <f>IF(COUNTA(proje!H41),proje!H41,"")</f>
        <v/>
      </c>
    </row>
    <row r="547" spans="1:109" x14ac:dyDescent="0.2">
      <c r="A547" s="39" t="str">
        <f>IFERROR(proje!L42*100/proje!$I42,"")</f>
        <v/>
      </c>
      <c r="B547" s="39" t="str">
        <f>IFERROR(proje!M42*100/proje!$I42,"")</f>
        <v/>
      </c>
      <c r="C547" s="39" t="str">
        <f>IFERROR(proje!N42*100/proje!$I42,"")</f>
        <v/>
      </c>
      <c r="D547" s="39" t="str">
        <f>IFERROR(proje!O42*100/proje!$I42,"")</f>
        <v/>
      </c>
      <c r="E547" s="39" t="str">
        <f>IFERROR(proje!P42*100/proje!$I42,"")</f>
        <v/>
      </c>
      <c r="F547" s="39" t="str">
        <f>IFERROR(proje!Q42*100/proje!$I42,"")</f>
        <v/>
      </c>
      <c r="G547" s="39" t="str">
        <f>IFERROR(proje!R42*100/proje!$I42,"")</f>
        <v/>
      </c>
      <c r="H547" s="39" t="str">
        <f>IFERROR(proje!S42*100/proje!$I42,"")</f>
        <v/>
      </c>
      <c r="I547" s="39" t="str">
        <f>IFERROR(proje!T42*100/proje!$I42,"")</f>
        <v/>
      </c>
      <c r="J547" s="39" t="str">
        <f>IFERROR(proje!U42*100/proje!$I42,"")</f>
        <v/>
      </c>
      <c r="K547" s="39" t="str">
        <f>IFERROR(proje!V42*100/proje!$I42,"")</f>
        <v/>
      </c>
      <c r="L547" s="39" t="str">
        <f>IFERROR(proje!W42*100/proje!$I42,"")</f>
        <v/>
      </c>
      <c r="M547" s="39" t="str">
        <f>IFERROR(proje!X42*100/proje!$I42,"")</f>
        <v/>
      </c>
      <c r="N547" s="39" t="str">
        <f>IFERROR(proje!Y42*100/proje!$I42,"")</f>
        <v/>
      </c>
      <c r="O547" s="39" t="str">
        <f>IFERROR(proje!Z42*100/proje!$I42,"")</f>
        <v/>
      </c>
      <c r="P547" s="39" t="str">
        <f>IFERROR(proje!AA42*100/proje!$I42,"")</f>
        <v/>
      </c>
      <c r="Q547" s="39" t="str">
        <f>IFERROR(proje!AB42*100/proje!$I42,"")</f>
        <v/>
      </c>
      <c r="R547" s="39" t="str">
        <f>IFERROR(proje!AC42*100/proje!$I42,"")</f>
        <v/>
      </c>
      <c r="S547" s="39" t="str">
        <f>IFERROR(proje!AD42*100/proje!$I42,"")</f>
        <v/>
      </c>
      <c r="T547" s="39" t="str">
        <f>IFERROR(proje!AE42*100/proje!$I42,"")</f>
        <v/>
      </c>
      <c r="U547" s="39" t="str">
        <f>IFERROR(proje!AF42*100/proje!$I42,"")</f>
        <v/>
      </c>
      <c r="V547" s="39" t="str">
        <f>IFERROR(proje!AG42*100/proje!$I42,"")</f>
        <v/>
      </c>
      <c r="W547" s="39" t="str">
        <f>IFERROR(proje!AH42*100/proje!$I42,"")</f>
        <v/>
      </c>
      <c r="X547" s="39" t="str">
        <f>IFERROR(proje!AI42*100/proje!$I42,"")</f>
        <v/>
      </c>
      <c r="Y547" s="39" t="str">
        <f>IFERROR(proje!AJ42*100/proje!$I42,"")</f>
        <v/>
      </c>
      <c r="Z547" s="39" t="str">
        <f>IFERROR(proje!AK42*100/proje!$I42,"")</f>
        <v/>
      </c>
      <c r="AA547" s="39" t="str">
        <f>IFERROR(proje!AL42*100/proje!$I42,"")</f>
        <v/>
      </c>
      <c r="AB547" s="39" t="str">
        <f>IFERROR(proje!AM42*100/proje!$I42,"")</f>
        <v/>
      </c>
      <c r="AC547" s="39" t="str">
        <f>IFERROR(proje!AN42*100/proje!$I42,"")</f>
        <v/>
      </c>
      <c r="AD547" s="39" t="str">
        <f>IFERROR(proje!AO42*100/proje!$I42,"")</f>
        <v/>
      </c>
      <c r="AE547" s="39" t="str">
        <f>IFERROR(proje!AP42*100/proje!$I42,"")</f>
        <v/>
      </c>
      <c r="AF547" s="39" t="str">
        <f>IFERROR(proje!AQ42*100/proje!$I42,"")</f>
        <v/>
      </c>
      <c r="AG547" s="39" t="str">
        <f>IFERROR(proje!AR42*100/proje!$I42,"")</f>
        <v/>
      </c>
      <c r="AH547" s="39" t="str">
        <f>IFERROR(proje!AS42*100/proje!$I42,"")</f>
        <v/>
      </c>
      <c r="AI547" s="39" t="str">
        <f>IFERROR(proje!AT42*100/proje!$I42,"")</f>
        <v/>
      </c>
      <c r="AJ547" s="39" t="str">
        <f>IFERROR(proje!AU42*100/proje!$I42,"")</f>
        <v/>
      </c>
      <c r="AK547" s="39" t="str">
        <f>IFERROR(proje!AV42*100/proje!$I42,"")</f>
        <v/>
      </c>
      <c r="AL547" s="39" t="str">
        <f>IFERROR(proje!AW42*100/proje!$I42,"")</f>
        <v/>
      </c>
      <c r="AM547" s="39" t="str">
        <f>IFERROR(proje!AX42*100/proje!$I42,"")</f>
        <v/>
      </c>
      <c r="AN547" s="39" t="str">
        <f>IFERROR(proje!AY42*100/proje!$I42,"")</f>
        <v/>
      </c>
      <c r="AO547" s="39" t="str">
        <f>IFERROR(proje!AZ42*100/proje!$I42,"")</f>
        <v/>
      </c>
      <c r="AP547" s="39" t="str">
        <f>IFERROR(proje!BA42*100/proje!$I42,"")</f>
        <v/>
      </c>
      <c r="AQ547" s="39" t="str">
        <f>IFERROR(proje!BB42*100/proje!$I42,"")</f>
        <v/>
      </c>
      <c r="AR547" s="39" t="str">
        <f>IFERROR(proje!BC42*100/proje!$I42,"")</f>
        <v/>
      </c>
      <c r="AS547" s="39" t="str">
        <f>IFERROR(proje!BD42*100/proje!$I42,"")</f>
        <v/>
      </c>
      <c r="AT547" s="39" t="str">
        <f>IFERROR(proje!BE42*100/proje!$I42,"")</f>
        <v/>
      </c>
      <c r="AU547" s="39" t="str">
        <f>IFERROR(proje!BF42*100/proje!$I42,"")</f>
        <v/>
      </c>
      <c r="AV547" s="39" t="str">
        <f>IFERROR(proje!BG42*100/proje!$I42,"")</f>
        <v/>
      </c>
      <c r="AW547" s="39" t="str">
        <f>IFERROR(proje!BH42*100/proje!$I42,"")</f>
        <v/>
      </c>
      <c r="AX547" s="39" t="str">
        <f>IFERROR(proje!BI42*100/proje!$I42,"")</f>
        <v/>
      </c>
      <c r="AY547" s="39" t="str">
        <f>IFERROR(proje!BJ42*100/proje!$I42,"")</f>
        <v/>
      </c>
      <c r="AZ547" s="39" t="str">
        <f>IFERROR(proje!BK42*100/proje!$I42,"")</f>
        <v/>
      </c>
      <c r="BA547" s="39" t="str">
        <f>IFERROR(proje!BL42*100/proje!$I42,"")</f>
        <v/>
      </c>
      <c r="BB547" s="39" t="str">
        <f>IFERROR(proje!BM42*100/proje!$I42,"")</f>
        <v/>
      </c>
      <c r="BC547" s="39" t="str">
        <f>IFERROR(proje!BN42*100/proje!$I42,"")</f>
        <v/>
      </c>
      <c r="BD547" s="39" t="str">
        <f>IFERROR(proje!BO42*100/proje!$I42,"")</f>
        <v/>
      </c>
      <c r="BE547" s="39" t="str">
        <f>IFERROR(proje!BP42*100/proje!$I42,"")</f>
        <v/>
      </c>
      <c r="BF547" s="39" t="str">
        <f>IFERROR(proje!BQ42*100/proje!$I42,"")</f>
        <v/>
      </c>
      <c r="BG547" s="39" t="str">
        <f>IFERROR(proje!BR42*100/proje!$I42,"")</f>
        <v/>
      </c>
      <c r="BH547" s="39" t="str">
        <f>IFERROR(proje!BS42*100/proje!$I42,"")</f>
        <v/>
      </c>
      <c r="BI547" s="39" t="str">
        <f>IFERROR(proje!BT42*100/proje!$I42,"")</f>
        <v/>
      </c>
      <c r="BJ547" s="39" t="str">
        <f>IFERROR(proje!BU42*100/proje!$I42,"")</f>
        <v/>
      </c>
      <c r="BK547" s="39" t="str">
        <f>IFERROR(proje!BV42*100/proje!$I42,"")</f>
        <v/>
      </c>
      <c r="BL547" s="39" t="str">
        <f>IFERROR(proje!BW42*100/proje!$I42,"")</f>
        <v/>
      </c>
      <c r="BM547" s="39" t="str">
        <f>IFERROR(proje!BX42*100/proje!$I42,"")</f>
        <v/>
      </c>
      <c r="BN547" s="39" t="str">
        <f>IFERROR(proje!BY42*100/proje!$I42,"")</f>
        <v/>
      </c>
      <c r="BO547" s="39" t="str">
        <f>IFERROR(proje!BZ42*100/proje!$I42,"")</f>
        <v/>
      </c>
      <c r="BP547" s="39" t="str">
        <f>IFERROR(proje!CA42*100/proje!$I42,"")</f>
        <v/>
      </c>
      <c r="BQ547" s="39" t="str">
        <f>IFERROR(proje!CB42*100/proje!$I42,"")</f>
        <v/>
      </c>
      <c r="BR547" s="39" t="str">
        <f>IFERROR(proje!CC42*100/proje!$I42,"")</f>
        <v/>
      </c>
      <c r="BS547" s="39" t="str">
        <f>IFERROR(proje!CD42*100/proje!$I42,"")</f>
        <v/>
      </c>
      <c r="BT547" s="39" t="str">
        <f>IFERROR(proje!CE42*100/proje!$I42,"")</f>
        <v/>
      </c>
      <c r="BU547" s="39" t="str">
        <f>IFERROR(proje!CF42*100/proje!$I42,"")</f>
        <v/>
      </c>
      <c r="BV547" s="39" t="str">
        <f>IFERROR(proje!CG42*100/proje!$I42,"")</f>
        <v/>
      </c>
      <c r="BW547" s="39" t="str">
        <f>IFERROR(proje!CH42*100/proje!$I42,"")</f>
        <v/>
      </c>
      <c r="BX547" s="39" t="str">
        <f>IFERROR(proje!CI42*100/proje!$I42,"")</f>
        <v/>
      </c>
      <c r="BY547" s="39" t="str">
        <f>IFERROR(proje!CJ42*100/proje!$I42,"")</f>
        <v/>
      </c>
      <c r="BZ547" s="39" t="str">
        <f>IFERROR(proje!CK42*100/proje!$I42,"")</f>
        <v/>
      </c>
      <c r="CA547" s="39" t="str">
        <f>IFERROR(proje!CL42*100/proje!$I42,"")</f>
        <v/>
      </c>
      <c r="CB547" s="39" t="str">
        <f>IFERROR(proje!CM42*100/proje!$I42,"")</f>
        <v/>
      </c>
      <c r="CC547" s="39" t="str">
        <f>IFERROR(proje!CN42*100/proje!$I42,"")</f>
        <v/>
      </c>
      <c r="CD547" s="39" t="str">
        <f>IFERROR(proje!CO42*100/proje!$I42,"")</f>
        <v/>
      </c>
      <c r="CE547" s="39" t="str">
        <f>IFERROR(proje!CP42*100/proje!$I42,"")</f>
        <v/>
      </c>
      <c r="CF547" s="39" t="str">
        <f>IFERROR(proje!CQ42*100/proje!$I42,"")</f>
        <v/>
      </c>
      <c r="CG547" s="39" t="str">
        <f>IFERROR(proje!CR42*100/proje!$I42,"")</f>
        <v/>
      </c>
      <c r="CH547" s="39" t="str">
        <f>IFERROR(proje!CS42*100/proje!$I42,"")</f>
        <v/>
      </c>
      <c r="CI547" s="39" t="str">
        <f>IFERROR(proje!CT42*100/proje!$I42,"")</f>
        <v/>
      </c>
      <c r="CJ547" s="39" t="str">
        <f>IFERROR(proje!CU42*100/proje!$I42,"")</f>
        <v/>
      </c>
      <c r="CK547" s="39" t="str">
        <f>IFERROR(proje!CV42*100/proje!$I42,"")</f>
        <v/>
      </c>
      <c r="CL547" s="39" t="str">
        <f>IFERROR(proje!CW42*100/proje!$I42,"")</f>
        <v/>
      </c>
      <c r="CM547" s="39" t="str">
        <f>IFERROR(proje!CX42*100/proje!$I42,"")</f>
        <v/>
      </c>
      <c r="CN547" s="39" t="str">
        <f>IFERROR(proje!CY42*100/proje!$I42,"")</f>
        <v/>
      </c>
      <c r="CO547" s="39" t="str">
        <f>IFERROR(proje!CZ42*100/proje!$I42,"")</f>
        <v/>
      </c>
      <c r="CP547" s="39" t="str">
        <f>IFERROR(proje!DA42*100/proje!$I42,"")</f>
        <v/>
      </c>
      <c r="CQ547" s="39" t="str">
        <f>IFERROR(proje!DB42*100/proje!$I42,"")</f>
        <v/>
      </c>
      <c r="CR547" s="39" t="str">
        <f>IFERROR(proje!DC42*100/proje!$I42,"")</f>
        <v/>
      </c>
      <c r="CS547" s="39" t="str">
        <f>IFERROR(proje!DD42*100/proje!$I42,"")</f>
        <v/>
      </c>
      <c r="CT547" s="39" t="str">
        <f>IFERROR(proje!DE42*100/proje!$I42,"")</f>
        <v/>
      </c>
      <c r="CU547" s="39" t="str">
        <f>IFERROR(proje!DF42*100/proje!$I42,"")</f>
        <v/>
      </c>
      <c r="CV547" s="39" t="str">
        <f>IFERROR(proje!DG42*100/proje!$I42,"")</f>
        <v/>
      </c>
      <c r="CW547" s="36" t="str">
        <f>IFERROR(SUM(A547:CV547)/proje!$DH$103,"")</f>
        <v/>
      </c>
      <c r="CX547" s="14" t="str">
        <f>IF(COUNTA(proje!A42),proje!A42,"")</f>
        <v/>
      </c>
      <c r="CY547" s="14" t="str">
        <f>IF(COUNTA(proje!B42),proje!B42,"")</f>
        <v/>
      </c>
      <c r="CZ547" s="14" t="str">
        <f>IF(COUNTA(proje!C42),proje!C42,"")</f>
        <v/>
      </c>
      <c r="DA547" s="14" t="str">
        <f>IF(COUNTA(proje!D42),proje!D42,"")</f>
        <v/>
      </c>
      <c r="DB547" s="14" t="str">
        <f>IF(COUNTA(proje!E42),proje!E42,"")</f>
        <v/>
      </c>
      <c r="DC547" s="14" t="str">
        <f>IF(COUNTA(proje!F42),proje!F42,"")</f>
        <v/>
      </c>
      <c r="DD547" s="14" t="str">
        <f>IF(COUNTA(proje!G42),proje!G42,"")</f>
        <v/>
      </c>
      <c r="DE547" s="14" t="str">
        <f>IF(COUNTA(proje!H42),proje!H42,"")</f>
        <v/>
      </c>
    </row>
    <row r="548" spans="1:109" x14ac:dyDescent="0.2">
      <c r="A548" s="39" t="str">
        <f>IFERROR(proje!L43*100/proje!$I43,"")</f>
        <v/>
      </c>
      <c r="B548" s="39" t="str">
        <f>IFERROR(proje!M43*100/proje!$I43,"")</f>
        <v/>
      </c>
      <c r="C548" s="39" t="str">
        <f>IFERROR(proje!N43*100/proje!$I43,"")</f>
        <v/>
      </c>
      <c r="D548" s="39" t="str">
        <f>IFERROR(proje!O43*100/proje!$I43,"")</f>
        <v/>
      </c>
      <c r="E548" s="39" t="str">
        <f>IFERROR(proje!P43*100/proje!$I43,"")</f>
        <v/>
      </c>
      <c r="F548" s="39" t="str">
        <f>IFERROR(proje!Q43*100/proje!$I43,"")</f>
        <v/>
      </c>
      <c r="G548" s="39" t="str">
        <f>IFERROR(proje!R43*100/proje!$I43,"")</f>
        <v/>
      </c>
      <c r="H548" s="39" t="str">
        <f>IFERROR(proje!S43*100/proje!$I43,"")</f>
        <v/>
      </c>
      <c r="I548" s="39" t="str">
        <f>IFERROR(proje!T43*100/proje!$I43,"")</f>
        <v/>
      </c>
      <c r="J548" s="39" t="str">
        <f>IFERROR(proje!U43*100/proje!$I43,"")</f>
        <v/>
      </c>
      <c r="K548" s="39" t="str">
        <f>IFERROR(proje!V43*100/proje!$I43,"")</f>
        <v/>
      </c>
      <c r="L548" s="39" t="str">
        <f>IFERROR(proje!W43*100/proje!$I43,"")</f>
        <v/>
      </c>
      <c r="M548" s="39" t="str">
        <f>IFERROR(proje!X43*100/proje!$I43,"")</f>
        <v/>
      </c>
      <c r="N548" s="39" t="str">
        <f>IFERROR(proje!Y43*100/proje!$I43,"")</f>
        <v/>
      </c>
      <c r="O548" s="39" t="str">
        <f>IFERROR(proje!Z43*100/proje!$I43,"")</f>
        <v/>
      </c>
      <c r="P548" s="39" t="str">
        <f>IFERROR(proje!AA43*100/proje!$I43,"")</f>
        <v/>
      </c>
      <c r="Q548" s="39" t="str">
        <f>IFERROR(proje!AB43*100/proje!$I43,"")</f>
        <v/>
      </c>
      <c r="R548" s="39" t="str">
        <f>IFERROR(proje!AC43*100/proje!$I43,"")</f>
        <v/>
      </c>
      <c r="S548" s="39" t="str">
        <f>IFERROR(proje!AD43*100/proje!$I43,"")</f>
        <v/>
      </c>
      <c r="T548" s="39" t="str">
        <f>IFERROR(proje!AE43*100/proje!$I43,"")</f>
        <v/>
      </c>
      <c r="U548" s="39" t="str">
        <f>IFERROR(proje!AF43*100/proje!$I43,"")</f>
        <v/>
      </c>
      <c r="V548" s="39" t="str">
        <f>IFERROR(proje!AG43*100/proje!$I43,"")</f>
        <v/>
      </c>
      <c r="W548" s="39" t="str">
        <f>IFERROR(proje!AH43*100/proje!$I43,"")</f>
        <v/>
      </c>
      <c r="X548" s="39" t="str">
        <f>IFERROR(proje!AI43*100/proje!$I43,"")</f>
        <v/>
      </c>
      <c r="Y548" s="39" t="str">
        <f>IFERROR(proje!AJ43*100/proje!$I43,"")</f>
        <v/>
      </c>
      <c r="Z548" s="39" t="str">
        <f>IFERROR(proje!AK43*100/proje!$I43,"")</f>
        <v/>
      </c>
      <c r="AA548" s="39" t="str">
        <f>IFERROR(proje!AL43*100/proje!$I43,"")</f>
        <v/>
      </c>
      <c r="AB548" s="39" t="str">
        <f>IFERROR(proje!AM43*100/proje!$I43,"")</f>
        <v/>
      </c>
      <c r="AC548" s="39" t="str">
        <f>IFERROR(proje!AN43*100/proje!$I43,"")</f>
        <v/>
      </c>
      <c r="AD548" s="39" t="str">
        <f>IFERROR(proje!AO43*100/proje!$I43,"")</f>
        <v/>
      </c>
      <c r="AE548" s="39" t="str">
        <f>IFERROR(proje!AP43*100/proje!$I43,"")</f>
        <v/>
      </c>
      <c r="AF548" s="39" t="str">
        <f>IFERROR(proje!AQ43*100/proje!$I43,"")</f>
        <v/>
      </c>
      <c r="AG548" s="39" t="str">
        <f>IFERROR(proje!AR43*100/proje!$I43,"")</f>
        <v/>
      </c>
      <c r="AH548" s="39" t="str">
        <f>IFERROR(proje!AS43*100/proje!$I43,"")</f>
        <v/>
      </c>
      <c r="AI548" s="39" t="str">
        <f>IFERROR(proje!AT43*100/proje!$I43,"")</f>
        <v/>
      </c>
      <c r="AJ548" s="39" t="str">
        <f>IFERROR(proje!AU43*100/proje!$I43,"")</f>
        <v/>
      </c>
      <c r="AK548" s="39" t="str">
        <f>IFERROR(proje!AV43*100/proje!$I43,"")</f>
        <v/>
      </c>
      <c r="AL548" s="39" t="str">
        <f>IFERROR(proje!AW43*100/proje!$I43,"")</f>
        <v/>
      </c>
      <c r="AM548" s="39" t="str">
        <f>IFERROR(proje!AX43*100/proje!$I43,"")</f>
        <v/>
      </c>
      <c r="AN548" s="39" t="str">
        <f>IFERROR(proje!AY43*100/proje!$I43,"")</f>
        <v/>
      </c>
      <c r="AO548" s="39" t="str">
        <f>IFERROR(proje!AZ43*100/proje!$I43,"")</f>
        <v/>
      </c>
      <c r="AP548" s="39" t="str">
        <f>IFERROR(proje!BA43*100/proje!$I43,"")</f>
        <v/>
      </c>
      <c r="AQ548" s="39" t="str">
        <f>IFERROR(proje!BB43*100/proje!$I43,"")</f>
        <v/>
      </c>
      <c r="AR548" s="39" t="str">
        <f>IFERROR(proje!BC43*100/proje!$I43,"")</f>
        <v/>
      </c>
      <c r="AS548" s="39" t="str">
        <f>IFERROR(proje!BD43*100/proje!$I43,"")</f>
        <v/>
      </c>
      <c r="AT548" s="39" t="str">
        <f>IFERROR(proje!BE43*100/proje!$I43,"")</f>
        <v/>
      </c>
      <c r="AU548" s="39" t="str">
        <f>IFERROR(proje!BF43*100/proje!$I43,"")</f>
        <v/>
      </c>
      <c r="AV548" s="39" t="str">
        <f>IFERROR(proje!BG43*100/proje!$I43,"")</f>
        <v/>
      </c>
      <c r="AW548" s="39" t="str">
        <f>IFERROR(proje!BH43*100/proje!$I43,"")</f>
        <v/>
      </c>
      <c r="AX548" s="39" t="str">
        <f>IFERROR(proje!BI43*100/proje!$I43,"")</f>
        <v/>
      </c>
      <c r="AY548" s="39" t="str">
        <f>IFERROR(proje!BJ43*100/proje!$I43,"")</f>
        <v/>
      </c>
      <c r="AZ548" s="39" t="str">
        <f>IFERROR(proje!BK43*100/proje!$I43,"")</f>
        <v/>
      </c>
      <c r="BA548" s="39" t="str">
        <f>IFERROR(proje!BL43*100/proje!$I43,"")</f>
        <v/>
      </c>
      <c r="BB548" s="39" t="str">
        <f>IFERROR(proje!BM43*100/proje!$I43,"")</f>
        <v/>
      </c>
      <c r="BC548" s="39" t="str">
        <f>IFERROR(proje!BN43*100/proje!$I43,"")</f>
        <v/>
      </c>
      <c r="BD548" s="39" t="str">
        <f>IFERROR(proje!BO43*100/proje!$I43,"")</f>
        <v/>
      </c>
      <c r="BE548" s="39" t="str">
        <f>IFERROR(proje!BP43*100/proje!$I43,"")</f>
        <v/>
      </c>
      <c r="BF548" s="39" t="str">
        <f>IFERROR(proje!BQ43*100/proje!$I43,"")</f>
        <v/>
      </c>
      <c r="BG548" s="39" t="str">
        <f>IFERROR(proje!BR43*100/proje!$I43,"")</f>
        <v/>
      </c>
      <c r="BH548" s="39" t="str">
        <f>IFERROR(proje!BS43*100/proje!$I43,"")</f>
        <v/>
      </c>
      <c r="BI548" s="39" t="str">
        <f>IFERROR(proje!BT43*100/proje!$I43,"")</f>
        <v/>
      </c>
      <c r="BJ548" s="39" t="str">
        <f>IFERROR(proje!BU43*100/proje!$I43,"")</f>
        <v/>
      </c>
      <c r="BK548" s="39" t="str">
        <f>IFERROR(proje!BV43*100/proje!$I43,"")</f>
        <v/>
      </c>
      <c r="BL548" s="39" t="str">
        <f>IFERROR(proje!BW43*100/proje!$I43,"")</f>
        <v/>
      </c>
      <c r="BM548" s="39" t="str">
        <f>IFERROR(proje!BX43*100/proje!$I43,"")</f>
        <v/>
      </c>
      <c r="BN548" s="39" t="str">
        <f>IFERROR(proje!BY43*100/proje!$I43,"")</f>
        <v/>
      </c>
      <c r="BO548" s="39" t="str">
        <f>IFERROR(proje!BZ43*100/proje!$I43,"")</f>
        <v/>
      </c>
      <c r="BP548" s="39" t="str">
        <f>IFERROR(proje!CA43*100/proje!$I43,"")</f>
        <v/>
      </c>
      <c r="BQ548" s="39" t="str">
        <f>IFERROR(proje!CB43*100/proje!$I43,"")</f>
        <v/>
      </c>
      <c r="BR548" s="39" t="str">
        <f>IFERROR(proje!CC43*100/proje!$I43,"")</f>
        <v/>
      </c>
      <c r="BS548" s="39" t="str">
        <f>IFERROR(proje!CD43*100/proje!$I43,"")</f>
        <v/>
      </c>
      <c r="BT548" s="39" t="str">
        <f>IFERROR(proje!CE43*100/proje!$I43,"")</f>
        <v/>
      </c>
      <c r="BU548" s="39" t="str">
        <f>IFERROR(proje!CF43*100/proje!$I43,"")</f>
        <v/>
      </c>
      <c r="BV548" s="39" t="str">
        <f>IFERROR(proje!CG43*100/proje!$I43,"")</f>
        <v/>
      </c>
      <c r="BW548" s="39" t="str">
        <f>IFERROR(proje!CH43*100/proje!$I43,"")</f>
        <v/>
      </c>
      <c r="BX548" s="39" t="str">
        <f>IFERROR(proje!CI43*100/proje!$I43,"")</f>
        <v/>
      </c>
      <c r="BY548" s="39" t="str">
        <f>IFERROR(proje!CJ43*100/proje!$I43,"")</f>
        <v/>
      </c>
      <c r="BZ548" s="39" t="str">
        <f>IFERROR(proje!CK43*100/proje!$I43,"")</f>
        <v/>
      </c>
      <c r="CA548" s="39" t="str">
        <f>IFERROR(proje!CL43*100/proje!$I43,"")</f>
        <v/>
      </c>
      <c r="CB548" s="39" t="str">
        <f>IFERROR(proje!CM43*100/proje!$I43,"")</f>
        <v/>
      </c>
      <c r="CC548" s="39" t="str">
        <f>IFERROR(proje!CN43*100/proje!$I43,"")</f>
        <v/>
      </c>
      <c r="CD548" s="39" t="str">
        <f>IFERROR(proje!CO43*100/proje!$I43,"")</f>
        <v/>
      </c>
      <c r="CE548" s="39" t="str">
        <f>IFERROR(proje!CP43*100/proje!$I43,"")</f>
        <v/>
      </c>
      <c r="CF548" s="39" t="str">
        <f>IFERROR(proje!CQ43*100/proje!$I43,"")</f>
        <v/>
      </c>
      <c r="CG548" s="39" t="str">
        <f>IFERROR(proje!CR43*100/proje!$I43,"")</f>
        <v/>
      </c>
      <c r="CH548" s="39" t="str">
        <f>IFERROR(proje!CS43*100/proje!$I43,"")</f>
        <v/>
      </c>
      <c r="CI548" s="39" t="str">
        <f>IFERROR(proje!CT43*100/proje!$I43,"")</f>
        <v/>
      </c>
      <c r="CJ548" s="39" t="str">
        <f>IFERROR(proje!CU43*100/proje!$I43,"")</f>
        <v/>
      </c>
      <c r="CK548" s="39" t="str">
        <f>IFERROR(proje!CV43*100/proje!$I43,"")</f>
        <v/>
      </c>
      <c r="CL548" s="39" t="str">
        <f>IFERROR(proje!CW43*100/proje!$I43,"")</f>
        <v/>
      </c>
      <c r="CM548" s="39" t="str">
        <f>IFERROR(proje!CX43*100/proje!$I43,"")</f>
        <v/>
      </c>
      <c r="CN548" s="39" t="str">
        <f>IFERROR(proje!CY43*100/proje!$I43,"")</f>
        <v/>
      </c>
      <c r="CO548" s="39" t="str">
        <f>IFERROR(proje!CZ43*100/proje!$I43,"")</f>
        <v/>
      </c>
      <c r="CP548" s="39" t="str">
        <f>IFERROR(proje!DA43*100/proje!$I43,"")</f>
        <v/>
      </c>
      <c r="CQ548" s="39" t="str">
        <f>IFERROR(proje!DB43*100/proje!$I43,"")</f>
        <v/>
      </c>
      <c r="CR548" s="39" t="str">
        <f>IFERROR(proje!DC43*100/proje!$I43,"")</f>
        <v/>
      </c>
      <c r="CS548" s="39" t="str">
        <f>IFERROR(proje!DD43*100/proje!$I43,"")</f>
        <v/>
      </c>
      <c r="CT548" s="39" t="str">
        <f>IFERROR(proje!DE43*100/proje!$I43,"")</f>
        <v/>
      </c>
      <c r="CU548" s="39" t="str">
        <f>IFERROR(proje!DF43*100/proje!$I43,"")</f>
        <v/>
      </c>
      <c r="CV548" s="39" t="str">
        <f>IFERROR(proje!DG43*100/proje!$I43,"")</f>
        <v/>
      </c>
      <c r="CW548" s="36" t="str">
        <f>IFERROR(SUM(A548:CV548)/proje!$DH$103,"")</f>
        <v/>
      </c>
      <c r="CX548" s="14" t="str">
        <f>IF(COUNTA(proje!A43),proje!A43,"")</f>
        <v/>
      </c>
      <c r="CY548" s="14" t="str">
        <f>IF(COUNTA(proje!B43),proje!B43,"")</f>
        <v/>
      </c>
      <c r="CZ548" s="14" t="str">
        <f>IF(COUNTA(proje!C43),proje!C43,"")</f>
        <v/>
      </c>
      <c r="DA548" s="14" t="str">
        <f>IF(COUNTA(proje!D43),proje!D43,"")</f>
        <v/>
      </c>
      <c r="DB548" s="14" t="str">
        <f>IF(COUNTA(proje!E43),proje!E43,"")</f>
        <v/>
      </c>
      <c r="DC548" s="14" t="str">
        <f>IF(COUNTA(proje!F43),proje!F43,"")</f>
        <v/>
      </c>
      <c r="DD548" s="14" t="str">
        <f>IF(COUNTA(proje!G43),proje!G43,"")</f>
        <v/>
      </c>
      <c r="DE548" s="14" t="str">
        <f>IF(COUNTA(proje!H43),proje!H43,"")</f>
        <v/>
      </c>
    </row>
    <row r="549" spans="1:109" x14ac:dyDescent="0.2">
      <c r="A549" s="39" t="str">
        <f>IFERROR(proje!L44*100/proje!$I44,"")</f>
        <v/>
      </c>
      <c r="B549" s="39" t="str">
        <f>IFERROR(proje!M44*100/proje!$I44,"")</f>
        <v/>
      </c>
      <c r="C549" s="39" t="str">
        <f>IFERROR(proje!N44*100/proje!$I44,"")</f>
        <v/>
      </c>
      <c r="D549" s="39" t="str">
        <f>IFERROR(proje!O44*100/proje!$I44,"")</f>
        <v/>
      </c>
      <c r="E549" s="39" t="str">
        <f>IFERROR(proje!P44*100/proje!$I44,"")</f>
        <v/>
      </c>
      <c r="F549" s="39" t="str">
        <f>IFERROR(proje!Q44*100/proje!$I44,"")</f>
        <v/>
      </c>
      <c r="G549" s="39" t="str">
        <f>IFERROR(proje!R44*100/proje!$I44,"")</f>
        <v/>
      </c>
      <c r="H549" s="39" t="str">
        <f>IFERROR(proje!S44*100/proje!$I44,"")</f>
        <v/>
      </c>
      <c r="I549" s="39" t="str">
        <f>IFERROR(proje!T44*100/proje!$I44,"")</f>
        <v/>
      </c>
      <c r="J549" s="39" t="str">
        <f>IFERROR(proje!U44*100/proje!$I44,"")</f>
        <v/>
      </c>
      <c r="K549" s="39" t="str">
        <f>IFERROR(proje!V44*100/proje!$I44,"")</f>
        <v/>
      </c>
      <c r="L549" s="39" t="str">
        <f>IFERROR(proje!W44*100/proje!$I44,"")</f>
        <v/>
      </c>
      <c r="M549" s="39" t="str">
        <f>IFERROR(proje!X44*100/proje!$I44,"")</f>
        <v/>
      </c>
      <c r="N549" s="39" t="str">
        <f>IFERROR(proje!Y44*100/proje!$I44,"")</f>
        <v/>
      </c>
      <c r="O549" s="39" t="str">
        <f>IFERROR(proje!Z44*100/proje!$I44,"")</f>
        <v/>
      </c>
      <c r="P549" s="39" t="str">
        <f>IFERROR(proje!AA44*100/proje!$I44,"")</f>
        <v/>
      </c>
      <c r="Q549" s="39" t="str">
        <f>IFERROR(proje!AB44*100/proje!$I44,"")</f>
        <v/>
      </c>
      <c r="R549" s="39" t="str">
        <f>IFERROR(proje!AC44*100/proje!$I44,"")</f>
        <v/>
      </c>
      <c r="S549" s="39" t="str">
        <f>IFERROR(proje!AD44*100/proje!$I44,"")</f>
        <v/>
      </c>
      <c r="T549" s="39" t="str">
        <f>IFERROR(proje!AE44*100/proje!$I44,"")</f>
        <v/>
      </c>
      <c r="U549" s="39" t="str">
        <f>IFERROR(proje!AF44*100/proje!$I44,"")</f>
        <v/>
      </c>
      <c r="V549" s="39" t="str">
        <f>IFERROR(proje!AG44*100/proje!$I44,"")</f>
        <v/>
      </c>
      <c r="W549" s="39" t="str">
        <f>IFERROR(proje!AH44*100/proje!$I44,"")</f>
        <v/>
      </c>
      <c r="X549" s="39" t="str">
        <f>IFERROR(proje!AI44*100/proje!$I44,"")</f>
        <v/>
      </c>
      <c r="Y549" s="39" t="str">
        <f>IFERROR(proje!AJ44*100/proje!$I44,"")</f>
        <v/>
      </c>
      <c r="Z549" s="39" t="str">
        <f>IFERROR(proje!AK44*100/proje!$I44,"")</f>
        <v/>
      </c>
      <c r="AA549" s="39" t="str">
        <f>IFERROR(proje!AL44*100/proje!$I44,"")</f>
        <v/>
      </c>
      <c r="AB549" s="39" t="str">
        <f>IFERROR(proje!AM44*100/proje!$I44,"")</f>
        <v/>
      </c>
      <c r="AC549" s="39" t="str">
        <f>IFERROR(proje!AN44*100/proje!$I44,"")</f>
        <v/>
      </c>
      <c r="AD549" s="39" t="str">
        <f>IFERROR(proje!AO44*100/proje!$I44,"")</f>
        <v/>
      </c>
      <c r="AE549" s="39" t="str">
        <f>IFERROR(proje!AP44*100/proje!$I44,"")</f>
        <v/>
      </c>
      <c r="AF549" s="39" t="str">
        <f>IFERROR(proje!AQ44*100/proje!$I44,"")</f>
        <v/>
      </c>
      <c r="AG549" s="39" t="str">
        <f>IFERROR(proje!AR44*100/proje!$I44,"")</f>
        <v/>
      </c>
      <c r="AH549" s="39" t="str">
        <f>IFERROR(proje!AS44*100/proje!$I44,"")</f>
        <v/>
      </c>
      <c r="AI549" s="39" t="str">
        <f>IFERROR(proje!AT44*100/proje!$I44,"")</f>
        <v/>
      </c>
      <c r="AJ549" s="39" t="str">
        <f>IFERROR(proje!AU44*100/proje!$I44,"")</f>
        <v/>
      </c>
      <c r="AK549" s="39" t="str">
        <f>IFERROR(proje!AV44*100/proje!$I44,"")</f>
        <v/>
      </c>
      <c r="AL549" s="39" t="str">
        <f>IFERROR(proje!AW44*100/proje!$I44,"")</f>
        <v/>
      </c>
      <c r="AM549" s="39" t="str">
        <f>IFERROR(proje!AX44*100/proje!$I44,"")</f>
        <v/>
      </c>
      <c r="AN549" s="39" t="str">
        <f>IFERROR(proje!AY44*100/proje!$I44,"")</f>
        <v/>
      </c>
      <c r="AO549" s="39" t="str">
        <f>IFERROR(proje!AZ44*100/proje!$I44,"")</f>
        <v/>
      </c>
      <c r="AP549" s="39" t="str">
        <f>IFERROR(proje!BA44*100/proje!$I44,"")</f>
        <v/>
      </c>
      <c r="AQ549" s="39" t="str">
        <f>IFERROR(proje!BB44*100/proje!$I44,"")</f>
        <v/>
      </c>
      <c r="AR549" s="39" t="str">
        <f>IFERROR(proje!BC44*100/proje!$I44,"")</f>
        <v/>
      </c>
      <c r="AS549" s="39" t="str">
        <f>IFERROR(proje!BD44*100/proje!$I44,"")</f>
        <v/>
      </c>
      <c r="AT549" s="39" t="str">
        <f>IFERROR(proje!BE44*100/proje!$I44,"")</f>
        <v/>
      </c>
      <c r="AU549" s="39" t="str">
        <f>IFERROR(proje!BF44*100/proje!$I44,"")</f>
        <v/>
      </c>
      <c r="AV549" s="39" t="str">
        <f>IFERROR(proje!BG44*100/proje!$I44,"")</f>
        <v/>
      </c>
      <c r="AW549" s="39" t="str">
        <f>IFERROR(proje!BH44*100/proje!$I44,"")</f>
        <v/>
      </c>
      <c r="AX549" s="39" t="str">
        <f>IFERROR(proje!BI44*100/proje!$I44,"")</f>
        <v/>
      </c>
      <c r="AY549" s="39" t="str">
        <f>IFERROR(proje!BJ44*100/proje!$I44,"")</f>
        <v/>
      </c>
      <c r="AZ549" s="39" t="str">
        <f>IFERROR(proje!BK44*100/proje!$I44,"")</f>
        <v/>
      </c>
      <c r="BA549" s="39" t="str">
        <f>IFERROR(proje!BL44*100/proje!$I44,"")</f>
        <v/>
      </c>
      <c r="BB549" s="39" t="str">
        <f>IFERROR(proje!BM44*100/proje!$I44,"")</f>
        <v/>
      </c>
      <c r="BC549" s="39" t="str">
        <f>IFERROR(proje!BN44*100/proje!$I44,"")</f>
        <v/>
      </c>
      <c r="BD549" s="39" t="str">
        <f>IFERROR(proje!BO44*100/proje!$I44,"")</f>
        <v/>
      </c>
      <c r="BE549" s="39" t="str">
        <f>IFERROR(proje!BP44*100/proje!$I44,"")</f>
        <v/>
      </c>
      <c r="BF549" s="39" t="str">
        <f>IFERROR(proje!BQ44*100/proje!$I44,"")</f>
        <v/>
      </c>
      <c r="BG549" s="39" t="str">
        <f>IFERROR(proje!BR44*100/proje!$I44,"")</f>
        <v/>
      </c>
      <c r="BH549" s="39" t="str">
        <f>IFERROR(proje!BS44*100/proje!$I44,"")</f>
        <v/>
      </c>
      <c r="BI549" s="39" t="str">
        <f>IFERROR(proje!BT44*100/proje!$I44,"")</f>
        <v/>
      </c>
      <c r="BJ549" s="39" t="str">
        <f>IFERROR(proje!BU44*100/proje!$I44,"")</f>
        <v/>
      </c>
      <c r="BK549" s="39" t="str">
        <f>IFERROR(proje!BV44*100/proje!$I44,"")</f>
        <v/>
      </c>
      <c r="BL549" s="39" t="str">
        <f>IFERROR(proje!BW44*100/proje!$I44,"")</f>
        <v/>
      </c>
      <c r="BM549" s="39" t="str">
        <f>IFERROR(proje!BX44*100/proje!$I44,"")</f>
        <v/>
      </c>
      <c r="BN549" s="39" t="str">
        <f>IFERROR(proje!BY44*100/proje!$I44,"")</f>
        <v/>
      </c>
      <c r="BO549" s="39" t="str">
        <f>IFERROR(proje!BZ44*100/proje!$I44,"")</f>
        <v/>
      </c>
      <c r="BP549" s="39" t="str">
        <f>IFERROR(proje!CA44*100/proje!$I44,"")</f>
        <v/>
      </c>
      <c r="BQ549" s="39" t="str">
        <f>IFERROR(proje!CB44*100/proje!$I44,"")</f>
        <v/>
      </c>
      <c r="BR549" s="39" t="str">
        <f>IFERROR(proje!CC44*100/proje!$I44,"")</f>
        <v/>
      </c>
      <c r="BS549" s="39" t="str">
        <f>IFERROR(proje!CD44*100/proje!$I44,"")</f>
        <v/>
      </c>
      <c r="BT549" s="39" t="str">
        <f>IFERROR(proje!CE44*100/proje!$I44,"")</f>
        <v/>
      </c>
      <c r="BU549" s="39" t="str">
        <f>IFERROR(proje!CF44*100/proje!$I44,"")</f>
        <v/>
      </c>
      <c r="BV549" s="39" t="str">
        <f>IFERROR(proje!CG44*100/proje!$I44,"")</f>
        <v/>
      </c>
      <c r="BW549" s="39" t="str">
        <f>IFERROR(proje!CH44*100/proje!$I44,"")</f>
        <v/>
      </c>
      <c r="BX549" s="39" t="str">
        <f>IFERROR(proje!CI44*100/proje!$I44,"")</f>
        <v/>
      </c>
      <c r="BY549" s="39" t="str">
        <f>IFERROR(proje!CJ44*100/proje!$I44,"")</f>
        <v/>
      </c>
      <c r="BZ549" s="39" t="str">
        <f>IFERROR(proje!CK44*100/proje!$I44,"")</f>
        <v/>
      </c>
      <c r="CA549" s="39" t="str">
        <f>IFERROR(proje!CL44*100/proje!$I44,"")</f>
        <v/>
      </c>
      <c r="CB549" s="39" t="str">
        <f>IFERROR(proje!CM44*100/proje!$I44,"")</f>
        <v/>
      </c>
      <c r="CC549" s="39" t="str">
        <f>IFERROR(proje!CN44*100/proje!$I44,"")</f>
        <v/>
      </c>
      <c r="CD549" s="39" t="str">
        <f>IFERROR(proje!CO44*100/proje!$I44,"")</f>
        <v/>
      </c>
      <c r="CE549" s="39" t="str">
        <f>IFERROR(proje!CP44*100/proje!$I44,"")</f>
        <v/>
      </c>
      <c r="CF549" s="39" t="str">
        <f>IFERROR(proje!CQ44*100/proje!$I44,"")</f>
        <v/>
      </c>
      <c r="CG549" s="39" t="str">
        <f>IFERROR(proje!CR44*100/proje!$I44,"")</f>
        <v/>
      </c>
      <c r="CH549" s="39" t="str">
        <f>IFERROR(proje!CS44*100/proje!$I44,"")</f>
        <v/>
      </c>
      <c r="CI549" s="39" t="str">
        <f>IFERROR(proje!CT44*100/proje!$I44,"")</f>
        <v/>
      </c>
      <c r="CJ549" s="39" t="str">
        <f>IFERROR(proje!CU44*100/proje!$I44,"")</f>
        <v/>
      </c>
      <c r="CK549" s="39" t="str">
        <f>IFERROR(proje!CV44*100/proje!$I44,"")</f>
        <v/>
      </c>
      <c r="CL549" s="39" t="str">
        <f>IFERROR(proje!CW44*100/proje!$I44,"")</f>
        <v/>
      </c>
      <c r="CM549" s="39" t="str">
        <f>IFERROR(proje!CX44*100/proje!$I44,"")</f>
        <v/>
      </c>
      <c r="CN549" s="39" t="str">
        <f>IFERROR(proje!CY44*100/proje!$I44,"")</f>
        <v/>
      </c>
      <c r="CO549" s="39" t="str">
        <f>IFERROR(proje!CZ44*100/proje!$I44,"")</f>
        <v/>
      </c>
      <c r="CP549" s="39" t="str">
        <f>IFERROR(proje!DA44*100/proje!$I44,"")</f>
        <v/>
      </c>
      <c r="CQ549" s="39" t="str">
        <f>IFERROR(proje!DB44*100/proje!$I44,"")</f>
        <v/>
      </c>
      <c r="CR549" s="39" t="str">
        <f>IFERROR(proje!DC44*100/proje!$I44,"")</f>
        <v/>
      </c>
      <c r="CS549" s="39" t="str">
        <f>IFERROR(proje!DD44*100/proje!$I44,"")</f>
        <v/>
      </c>
      <c r="CT549" s="39" t="str">
        <f>IFERROR(proje!DE44*100/proje!$I44,"")</f>
        <v/>
      </c>
      <c r="CU549" s="39" t="str">
        <f>IFERROR(proje!DF44*100/proje!$I44,"")</f>
        <v/>
      </c>
      <c r="CV549" s="39" t="str">
        <f>IFERROR(proje!DG44*100/proje!$I44,"")</f>
        <v/>
      </c>
      <c r="CW549" s="36" t="str">
        <f>IFERROR(SUM(A549:CV549)/proje!$DH$103,"")</f>
        <v/>
      </c>
      <c r="CX549" s="14" t="str">
        <f>IF(COUNTA(proje!A44),proje!A44,"")</f>
        <v/>
      </c>
      <c r="CY549" s="14" t="str">
        <f>IF(COUNTA(proje!B44),proje!B44,"")</f>
        <v/>
      </c>
      <c r="CZ549" s="14" t="str">
        <f>IF(COUNTA(proje!C44),proje!C44,"")</f>
        <v/>
      </c>
      <c r="DA549" s="14" t="str">
        <f>IF(COUNTA(proje!D44),proje!D44,"")</f>
        <v/>
      </c>
      <c r="DB549" s="14" t="str">
        <f>IF(COUNTA(proje!E44),proje!E44,"")</f>
        <v/>
      </c>
      <c r="DC549" s="14" t="str">
        <f>IF(COUNTA(proje!F44),proje!F44,"")</f>
        <v/>
      </c>
      <c r="DD549" s="14" t="str">
        <f>IF(COUNTA(proje!G44),proje!G44,"")</f>
        <v/>
      </c>
      <c r="DE549" s="14" t="str">
        <f>IF(COUNTA(proje!H44),proje!H44,"")</f>
        <v/>
      </c>
    </row>
    <row r="550" spans="1:109" x14ac:dyDescent="0.2">
      <c r="A550" s="39" t="str">
        <f>IFERROR(proje!L45*100/proje!$I45,"")</f>
        <v/>
      </c>
      <c r="B550" s="39" t="str">
        <f>IFERROR(proje!M45*100/proje!$I45,"")</f>
        <v/>
      </c>
      <c r="C550" s="39" t="str">
        <f>IFERROR(proje!N45*100/proje!$I45,"")</f>
        <v/>
      </c>
      <c r="D550" s="39" t="str">
        <f>IFERROR(proje!O45*100/proje!$I45,"")</f>
        <v/>
      </c>
      <c r="E550" s="39" t="str">
        <f>IFERROR(proje!P45*100/proje!$I45,"")</f>
        <v/>
      </c>
      <c r="F550" s="39" t="str">
        <f>IFERROR(proje!Q45*100/proje!$I45,"")</f>
        <v/>
      </c>
      <c r="G550" s="39" t="str">
        <f>IFERROR(proje!R45*100/proje!$I45,"")</f>
        <v/>
      </c>
      <c r="H550" s="39" t="str">
        <f>IFERROR(proje!S45*100/proje!$I45,"")</f>
        <v/>
      </c>
      <c r="I550" s="39" t="str">
        <f>IFERROR(proje!T45*100/proje!$I45,"")</f>
        <v/>
      </c>
      <c r="J550" s="39" t="str">
        <f>IFERROR(proje!U45*100/proje!$I45,"")</f>
        <v/>
      </c>
      <c r="K550" s="39" t="str">
        <f>IFERROR(proje!V45*100/proje!$I45,"")</f>
        <v/>
      </c>
      <c r="L550" s="39" t="str">
        <f>IFERROR(proje!W45*100/proje!$I45,"")</f>
        <v/>
      </c>
      <c r="M550" s="39" t="str">
        <f>IFERROR(proje!X45*100/proje!$I45,"")</f>
        <v/>
      </c>
      <c r="N550" s="39" t="str">
        <f>IFERROR(proje!Y45*100/proje!$I45,"")</f>
        <v/>
      </c>
      <c r="O550" s="39" t="str">
        <f>IFERROR(proje!Z45*100/proje!$I45,"")</f>
        <v/>
      </c>
      <c r="P550" s="39" t="str">
        <f>IFERROR(proje!AA45*100/proje!$I45,"")</f>
        <v/>
      </c>
      <c r="Q550" s="39" t="str">
        <f>IFERROR(proje!AB45*100/proje!$I45,"")</f>
        <v/>
      </c>
      <c r="R550" s="39" t="str">
        <f>IFERROR(proje!AC45*100/proje!$I45,"")</f>
        <v/>
      </c>
      <c r="S550" s="39" t="str">
        <f>IFERROR(proje!AD45*100/proje!$I45,"")</f>
        <v/>
      </c>
      <c r="T550" s="39" t="str">
        <f>IFERROR(proje!AE45*100/proje!$I45,"")</f>
        <v/>
      </c>
      <c r="U550" s="39" t="str">
        <f>IFERROR(proje!AF45*100/proje!$I45,"")</f>
        <v/>
      </c>
      <c r="V550" s="39" t="str">
        <f>IFERROR(proje!AG45*100/proje!$I45,"")</f>
        <v/>
      </c>
      <c r="W550" s="39" t="str">
        <f>IFERROR(proje!AH45*100/proje!$I45,"")</f>
        <v/>
      </c>
      <c r="X550" s="39" t="str">
        <f>IFERROR(proje!AI45*100/proje!$I45,"")</f>
        <v/>
      </c>
      <c r="Y550" s="39" t="str">
        <f>IFERROR(proje!AJ45*100/proje!$I45,"")</f>
        <v/>
      </c>
      <c r="Z550" s="39" t="str">
        <f>IFERROR(proje!AK45*100/proje!$I45,"")</f>
        <v/>
      </c>
      <c r="AA550" s="39" t="str">
        <f>IFERROR(proje!AL45*100/proje!$I45,"")</f>
        <v/>
      </c>
      <c r="AB550" s="39" t="str">
        <f>IFERROR(proje!AM45*100/proje!$I45,"")</f>
        <v/>
      </c>
      <c r="AC550" s="39" t="str">
        <f>IFERROR(proje!AN45*100/proje!$I45,"")</f>
        <v/>
      </c>
      <c r="AD550" s="39" t="str">
        <f>IFERROR(proje!AO45*100/proje!$I45,"")</f>
        <v/>
      </c>
      <c r="AE550" s="39" t="str">
        <f>IFERROR(proje!AP45*100/proje!$I45,"")</f>
        <v/>
      </c>
      <c r="AF550" s="39" t="str">
        <f>IFERROR(proje!AQ45*100/proje!$I45,"")</f>
        <v/>
      </c>
      <c r="AG550" s="39" t="str">
        <f>IFERROR(proje!AR45*100/proje!$I45,"")</f>
        <v/>
      </c>
      <c r="AH550" s="39" t="str">
        <f>IFERROR(proje!AS45*100/proje!$I45,"")</f>
        <v/>
      </c>
      <c r="AI550" s="39" t="str">
        <f>IFERROR(proje!AT45*100/proje!$I45,"")</f>
        <v/>
      </c>
      <c r="AJ550" s="39" t="str">
        <f>IFERROR(proje!AU45*100/proje!$I45,"")</f>
        <v/>
      </c>
      <c r="AK550" s="39" t="str">
        <f>IFERROR(proje!AV45*100/proje!$I45,"")</f>
        <v/>
      </c>
      <c r="AL550" s="39" t="str">
        <f>IFERROR(proje!AW45*100/proje!$I45,"")</f>
        <v/>
      </c>
      <c r="AM550" s="39" t="str">
        <f>IFERROR(proje!AX45*100/proje!$I45,"")</f>
        <v/>
      </c>
      <c r="AN550" s="39" t="str">
        <f>IFERROR(proje!AY45*100/proje!$I45,"")</f>
        <v/>
      </c>
      <c r="AO550" s="39" t="str">
        <f>IFERROR(proje!AZ45*100/proje!$I45,"")</f>
        <v/>
      </c>
      <c r="AP550" s="39" t="str">
        <f>IFERROR(proje!BA45*100/proje!$I45,"")</f>
        <v/>
      </c>
      <c r="AQ550" s="39" t="str">
        <f>IFERROR(proje!BB45*100/proje!$I45,"")</f>
        <v/>
      </c>
      <c r="AR550" s="39" t="str">
        <f>IFERROR(proje!BC45*100/proje!$I45,"")</f>
        <v/>
      </c>
      <c r="AS550" s="39" t="str">
        <f>IFERROR(proje!BD45*100/proje!$I45,"")</f>
        <v/>
      </c>
      <c r="AT550" s="39" t="str">
        <f>IFERROR(proje!BE45*100/proje!$I45,"")</f>
        <v/>
      </c>
      <c r="AU550" s="39" t="str">
        <f>IFERROR(proje!BF45*100/proje!$I45,"")</f>
        <v/>
      </c>
      <c r="AV550" s="39" t="str">
        <f>IFERROR(proje!BG45*100/proje!$I45,"")</f>
        <v/>
      </c>
      <c r="AW550" s="39" t="str">
        <f>IFERROR(proje!BH45*100/proje!$I45,"")</f>
        <v/>
      </c>
      <c r="AX550" s="39" t="str">
        <f>IFERROR(proje!BI45*100/proje!$I45,"")</f>
        <v/>
      </c>
      <c r="AY550" s="39" t="str">
        <f>IFERROR(proje!BJ45*100/proje!$I45,"")</f>
        <v/>
      </c>
      <c r="AZ550" s="39" t="str">
        <f>IFERROR(proje!BK45*100/proje!$I45,"")</f>
        <v/>
      </c>
      <c r="BA550" s="39" t="str">
        <f>IFERROR(proje!BL45*100/proje!$I45,"")</f>
        <v/>
      </c>
      <c r="BB550" s="39" t="str">
        <f>IFERROR(proje!BM45*100/proje!$I45,"")</f>
        <v/>
      </c>
      <c r="BC550" s="39" t="str">
        <f>IFERROR(proje!BN45*100/proje!$I45,"")</f>
        <v/>
      </c>
      <c r="BD550" s="39" t="str">
        <f>IFERROR(proje!BO45*100/proje!$I45,"")</f>
        <v/>
      </c>
      <c r="BE550" s="39" t="str">
        <f>IFERROR(proje!BP45*100/proje!$I45,"")</f>
        <v/>
      </c>
      <c r="BF550" s="39" t="str">
        <f>IFERROR(proje!BQ45*100/proje!$I45,"")</f>
        <v/>
      </c>
      <c r="BG550" s="39" t="str">
        <f>IFERROR(proje!BR45*100/proje!$I45,"")</f>
        <v/>
      </c>
      <c r="BH550" s="39" t="str">
        <f>IFERROR(proje!BS45*100/proje!$I45,"")</f>
        <v/>
      </c>
      <c r="BI550" s="39" t="str">
        <f>IFERROR(proje!BT45*100/proje!$I45,"")</f>
        <v/>
      </c>
      <c r="BJ550" s="39" t="str">
        <f>IFERROR(proje!BU45*100/proje!$I45,"")</f>
        <v/>
      </c>
      <c r="BK550" s="39" t="str">
        <f>IFERROR(proje!BV45*100/proje!$I45,"")</f>
        <v/>
      </c>
      <c r="BL550" s="39" t="str">
        <f>IFERROR(proje!BW45*100/proje!$I45,"")</f>
        <v/>
      </c>
      <c r="BM550" s="39" t="str">
        <f>IFERROR(proje!BX45*100/proje!$I45,"")</f>
        <v/>
      </c>
      <c r="BN550" s="39" t="str">
        <f>IFERROR(proje!BY45*100/proje!$I45,"")</f>
        <v/>
      </c>
      <c r="BO550" s="39" t="str">
        <f>IFERROR(proje!BZ45*100/proje!$I45,"")</f>
        <v/>
      </c>
      <c r="BP550" s="39" t="str">
        <f>IFERROR(proje!CA45*100/proje!$I45,"")</f>
        <v/>
      </c>
      <c r="BQ550" s="39" t="str">
        <f>IFERROR(proje!CB45*100/proje!$I45,"")</f>
        <v/>
      </c>
      <c r="BR550" s="39" t="str">
        <f>IFERROR(proje!CC45*100/proje!$I45,"")</f>
        <v/>
      </c>
      <c r="BS550" s="39" t="str">
        <f>IFERROR(proje!CD45*100/proje!$I45,"")</f>
        <v/>
      </c>
      <c r="BT550" s="39" t="str">
        <f>IFERROR(proje!CE45*100/proje!$I45,"")</f>
        <v/>
      </c>
      <c r="BU550" s="39" t="str">
        <f>IFERROR(proje!CF45*100/proje!$I45,"")</f>
        <v/>
      </c>
      <c r="BV550" s="39" t="str">
        <f>IFERROR(proje!CG45*100/proje!$I45,"")</f>
        <v/>
      </c>
      <c r="BW550" s="39" t="str">
        <f>IFERROR(proje!CH45*100/proje!$I45,"")</f>
        <v/>
      </c>
      <c r="BX550" s="39" t="str">
        <f>IFERROR(proje!CI45*100/proje!$I45,"")</f>
        <v/>
      </c>
      <c r="BY550" s="39" t="str">
        <f>IFERROR(proje!CJ45*100/proje!$I45,"")</f>
        <v/>
      </c>
      <c r="BZ550" s="39" t="str">
        <f>IFERROR(proje!CK45*100/proje!$I45,"")</f>
        <v/>
      </c>
      <c r="CA550" s="39" t="str">
        <f>IFERROR(proje!CL45*100/proje!$I45,"")</f>
        <v/>
      </c>
      <c r="CB550" s="39" t="str">
        <f>IFERROR(proje!CM45*100/proje!$I45,"")</f>
        <v/>
      </c>
      <c r="CC550" s="39" t="str">
        <f>IFERROR(proje!CN45*100/proje!$I45,"")</f>
        <v/>
      </c>
      <c r="CD550" s="39" t="str">
        <f>IFERROR(proje!CO45*100/proje!$I45,"")</f>
        <v/>
      </c>
      <c r="CE550" s="39" t="str">
        <f>IFERROR(proje!CP45*100/proje!$I45,"")</f>
        <v/>
      </c>
      <c r="CF550" s="39" t="str">
        <f>IFERROR(proje!CQ45*100/proje!$I45,"")</f>
        <v/>
      </c>
      <c r="CG550" s="39" t="str">
        <f>IFERROR(proje!CR45*100/proje!$I45,"")</f>
        <v/>
      </c>
      <c r="CH550" s="39" t="str">
        <f>IFERROR(proje!CS45*100/proje!$I45,"")</f>
        <v/>
      </c>
      <c r="CI550" s="39" t="str">
        <f>IFERROR(proje!CT45*100/proje!$I45,"")</f>
        <v/>
      </c>
      <c r="CJ550" s="39" t="str">
        <f>IFERROR(proje!CU45*100/proje!$I45,"")</f>
        <v/>
      </c>
      <c r="CK550" s="39" t="str">
        <f>IFERROR(proje!CV45*100/proje!$I45,"")</f>
        <v/>
      </c>
      <c r="CL550" s="39" t="str">
        <f>IFERROR(proje!CW45*100/proje!$I45,"")</f>
        <v/>
      </c>
      <c r="CM550" s="39" t="str">
        <f>IFERROR(proje!CX45*100/proje!$I45,"")</f>
        <v/>
      </c>
      <c r="CN550" s="39" t="str">
        <f>IFERROR(proje!CY45*100/proje!$I45,"")</f>
        <v/>
      </c>
      <c r="CO550" s="39" t="str">
        <f>IFERROR(proje!CZ45*100/proje!$I45,"")</f>
        <v/>
      </c>
      <c r="CP550" s="39" t="str">
        <f>IFERROR(proje!DA45*100/proje!$I45,"")</f>
        <v/>
      </c>
      <c r="CQ550" s="39" t="str">
        <f>IFERROR(proje!DB45*100/proje!$I45,"")</f>
        <v/>
      </c>
      <c r="CR550" s="39" t="str">
        <f>IFERROR(proje!DC45*100/proje!$I45,"")</f>
        <v/>
      </c>
      <c r="CS550" s="39" t="str">
        <f>IFERROR(proje!DD45*100/proje!$I45,"")</f>
        <v/>
      </c>
      <c r="CT550" s="39" t="str">
        <f>IFERROR(proje!DE45*100/proje!$I45,"")</f>
        <v/>
      </c>
      <c r="CU550" s="39" t="str">
        <f>IFERROR(proje!DF45*100/proje!$I45,"")</f>
        <v/>
      </c>
      <c r="CV550" s="39" t="str">
        <f>IFERROR(proje!DG45*100/proje!$I45,"")</f>
        <v/>
      </c>
      <c r="CW550" s="36" t="str">
        <f>IFERROR(SUM(A550:CV550)/proje!$DH$103,"")</f>
        <v/>
      </c>
      <c r="CX550" s="14" t="str">
        <f>IF(COUNTA(proje!A45),proje!A45,"")</f>
        <v/>
      </c>
      <c r="CY550" s="14" t="str">
        <f>IF(COUNTA(proje!B45),proje!B45,"")</f>
        <v/>
      </c>
      <c r="CZ550" s="14" t="str">
        <f>IF(COUNTA(proje!C45),proje!C45,"")</f>
        <v/>
      </c>
      <c r="DA550" s="14" t="str">
        <f>IF(COUNTA(proje!D45),proje!D45,"")</f>
        <v/>
      </c>
      <c r="DB550" s="14" t="str">
        <f>IF(COUNTA(proje!E45),proje!E45,"")</f>
        <v/>
      </c>
      <c r="DC550" s="14" t="str">
        <f>IF(COUNTA(proje!F45),proje!F45,"")</f>
        <v/>
      </c>
      <c r="DD550" s="14" t="str">
        <f>IF(COUNTA(proje!G45),proje!G45,"")</f>
        <v/>
      </c>
      <c r="DE550" s="14" t="str">
        <f>IF(COUNTA(proje!H45),proje!H45,"")</f>
        <v/>
      </c>
    </row>
    <row r="551" spans="1:109" x14ac:dyDescent="0.2">
      <c r="A551" s="39" t="str">
        <f>IFERROR(proje!L46*100/proje!$I46,"")</f>
        <v/>
      </c>
      <c r="B551" s="39" t="str">
        <f>IFERROR(proje!M46*100/proje!$I46,"")</f>
        <v/>
      </c>
      <c r="C551" s="39" t="str">
        <f>IFERROR(proje!N46*100/proje!$I46,"")</f>
        <v/>
      </c>
      <c r="D551" s="39" t="str">
        <f>IFERROR(proje!O46*100/proje!$I46,"")</f>
        <v/>
      </c>
      <c r="E551" s="39" t="str">
        <f>IFERROR(proje!P46*100/proje!$I46,"")</f>
        <v/>
      </c>
      <c r="F551" s="39" t="str">
        <f>IFERROR(proje!Q46*100/proje!$I46,"")</f>
        <v/>
      </c>
      <c r="G551" s="39" t="str">
        <f>IFERROR(proje!R46*100/proje!$I46,"")</f>
        <v/>
      </c>
      <c r="H551" s="39" t="str">
        <f>IFERROR(proje!S46*100/proje!$I46,"")</f>
        <v/>
      </c>
      <c r="I551" s="39" t="str">
        <f>IFERROR(proje!T46*100/proje!$I46,"")</f>
        <v/>
      </c>
      <c r="J551" s="39" t="str">
        <f>IFERROR(proje!U46*100/proje!$I46,"")</f>
        <v/>
      </c>
      <c r="K551" s="39" t="str">
        <f>IFERROR(proje!V46*100/proje!$I46,"")</f>
        <v/>
      </c>
      <c r="L551" s="39" t="str">
        <f>IFERROR(proje!W46*100/proje!$I46,"")</f>
        <v/>
      </c>
      <c r="M551" s="39" t="str">
        <f>IFERROR(proje!X46*100/proje!$I46,"")</f>
        <v/>
      </c>
      <c r="N551" s="39" t="str">
        <f>IFERROR(proje!Y46*100/proje!$I46,"")</f>
        <v/>
      </c>
      <c r="O551" s="39" t="str">
        <f>IFERROR(proje!Z46*100/proje!$I46,"")</f>
        <v/>
      </c>
      <c r="P551" s="39" t="str">
        <f>IFERROR(proje!AA46*100/proje!$I46,"")</f>
        <v/>
      </c>
      <c r="Q551" s="39" t="str">
        <f>IFERROR(proje!AB46*100/proje!$I46,"")</f>
        <v/>
      </c>
      <c r="R551" s="39" t="str">
        <f>IFERROR(proje!AC46*100/proje!$I46,"")</f>
        <v/>
      </c>
      <c r="S551" s="39" t="str">
        <f>IFERROR(proje!AD46*100/proje!$I46,"")</f>
        <v/>
      </c>
      <c r="T551" s="39" t="str">
        <f>IFERROR(proje!AE46*100/proje!$I46,"")</f>
        <v/>
      </c>
      <c r="U551" s="39" t="str">
        <f>IFERROR(proje!AF46*100/proje!$I46,"")</f>
        <v/>
      </c>
      <c r="V551" s="39" t="str">
        <f>IFERROR(proje!AG46*100/proje!$I46,"")</f>
        <v/>
      </c>
      <c r="W551" s="39" t="str">
        <f>IFERROR(proje!AH46*100/proje!$I46,"")</f>
        <v/>
      </c>
      <c r="X551" s="39" t="str">
        <f>IFERROR(proje!AI46*100/proje!$I46,"")</f>
        <v/>
      </c>
      <c r="Y551" s="39" t="str">
        <f>IFERROR(proje!AJ46*100/proje!$I46,"")</f>
        <v/>
      </c>
      <c r="Z551" s="39" t="str">
        <f>IFERROR(proje!AK46*100/proje!$I46,"")</f>
        <v/>
      </c>
      <c r="AA551" s="39" t="str">
        <f>IFERROR(proje!AL46*100/proje!$I46,"")</f>
        <v/>
      </c>
      <c r="AB551" s="39" t="str">
        <f>IFERROR(proje!AM46*100/proje!$I46,"")</f>
        <v/>
      </c>
      <c r="AC551" s="39" t="str">
        <f>IFERROR(proje!AN46*100/proje!$I46,"")</f>
        <v/>
      </c>
      <c r="AD551" s="39" t="str">
        <f>IFERROR(proje!AO46*100/proje!$I46,"")</f>
        <v/>
      </c>
      <c r="AE551" s="39" t="str">
        <f>IFERROR(proje!AP46*100/proje!$I46,"")</f>
        <v/>
      </c>
      <c r="AF551" s="39" t="str">
        <f>IFERROR(proje!AQ46*100/proje!$I46,"")</f>
        <v/>
      </c>
      <c r="AG551" s="39" t="str">
        <f>IFERROR(proje!AR46*100/proje!$I46,"")</f>
        <v/>
      </c>
      <c r="AH551" s="39" t="str">
        <f>IFERROR(proje!AS46*100/proje!$I46,"")</f>
        <v/>
      </c>
      <c r="AI551" s="39" t="str">
        <f>IFERROR(proje!AT46*100/proje!$I46,"")</f>
        <v/>
      </c>
      <c r="AJ551" s="39" t="str">
        <f>IFERROR(proje!AU46*100/proje!$I46,"")</f>
        <v/>
      </c>
      <c r="AK551" s="39" t="str">
        <f>IFERROR(proje!AV46*100/proje!$I46,"")</f>
        <v/>
      </c>
      <c r="AL551" s="39" t="str">
        <f>IFERROR(proje!AW46*100/proje!$I46,"")</f>
        <v/>
      </c>
      <c r="AM551" s="39" t="str">
        <f>IFERROR(proje!AX46*100/proje!$I46,"")</f>
        <v/>
      </c>
      <c r="AN551" s="39" t="str">
        <f>IFERROR(proje!AY46*100/proje!$I46,"")</f>
        <v/>
      </c>
      <c r="AO551" s="39" t="str">
        <f>IFERROR(proje!AZ46*100/proje!$I46,"")</f>
        <v/>
      </c>
      <c r="AP551" s="39" t="str">
        <f>IFERROR(proje!BA46*100/proje!$I46,"")</f>
        <v/>
      </c>
      <c r="AQ551" s="39" t="str">
        <f>IFERROR(proje!BB46*100/proje!$I46,"")</f>
        <v/>
      </c>
      <c r="AR551" s="39" t="str">
        <f>IFERROR(proje!BC46*100/proje!$I46,"")</f>
        <v/>
      </c>
      <c r="AS551" s="39" t="str">
        <f>IFERROR(proje!BD46*100/proje!$I46,"")</f>
        <v/>
      </c>
      <c r="AT551" s="39" t="str">
        <f>IFERROR(proje!BE46*100/proje!$I46,"")</f>
        <v/>
      </c>
      <c r="AU551" s="39" t="str">
        <f>IFERROR(proje!BF46*100/proje!$I46,"")</f>
        <v/>
      </c>
      <c r="AV551" s="39" t="str">
        <f>IFERROR(proje!BG46*100/proje!$I46,"")</f>
        <v/>
      </c>
      <c r="AW551" s="39" t="str">
        <f>IFERROR(proje!BH46*100/proje!$I46,"")</f>
        <v/>
      </c>
      <c r="AX551" s="39" t="str">
        <f>IFERROR(proje!BI46*100/proje!$I46,"")</f>
        <v/>
      </c>
      <c r="AY551" s="39" t="str">
        <f>IFERROR(proje!BJ46*100/proje!$I46,"")</f>
        <v/>
      </c>
      <c r="AZ551" s="39" t="str">
        <f>IFERROR(proje!BK46*100/proje!$I46,"")</f>
        <v/>
      </c>
      <c r="BA551" s="39" t="str">
        <f>IFERROR(proje!BL46*100/proje!$I46,"")</f>
        <v/>
      </c>
      <c r="BB551" s="39" t="str">
        <f>IFERROR(proje!BM46*100/proje!$I46,"")</f>
        <v/>
      </c>
      <c r="BC551" s="39" t="str">
        <f>IFERROR(proje!BN46*100/proje!$I46,"")</f>
        <v/>
      </c>
      <c r="BD551" s="39" t="str">
        <f>IFERROR(proje!BO46*100/proje!$I46,"")</f>
        <v/>
      </c>
      <c r="BE551" s="39" t="str">
        <f>IFERROR(proje!BP46*100/proje!$I46,"")</f>
        <v/>
      </c>
      <c r="BF551" s="39" t="str">
        <f>IFERROR(proje!BQ46*100/proje!$I46,"")</f>
        <v/>
      </c>
      <c r="BG551" s="39" t="str">
        <f>IFERROR(proje!BR46*100/proje!$I46,"")</f>
        <v/>
      </c>
      <c r="BH551" s="39" t="str">
        <f>IFERROR(proje!BS46*100/proje!$I46,"")</f>
        <v/>
      </c>
      <c r="BI551" s="39" t="str">
        <f>IFERROR(proje!BT46*100/proje!$I46,"")</f>
        <v/>
      </c>
      <c r="BJ551" s="39" t="str">
        <f>IFERROR(proje!BU46*100/proje!$I46,"")</f>
        <v/>
      </c>
      <c r="BK551" s="39" t="str">
        <f>IFERROR(proje!BV46*100/proje!$I46,"")</f>
        <v/>
      </c>
      <c r="BL551" s="39" t="str">
        <f>IFERROR(proje!BW46*100/proje!$I46,"")</f>
        <v/>
      </c>
      <c r="BM551" s="39" t="str">
        <f>IFERROR(proje!BX46*100/proje!$I46,"")</f>
        <v/>
      </c>
      <c r="BN551" s="39" t="str">
        <f>IFERROR(proje!BY46*100/proje!$I46,"")</f>
        <v/>
      </c>
      <c r="BO551" s="39" t="str">
        <f>IFERROR(proje!BZ46*100/proje!$I46,"")</f>
        <v/>
      </c>
      <c r="BP551" s="39" t="str">
        <f>IFERROR(proje!CA46*100/proje!$I46,"")</f>
        <v/>
      </c>
      <c r="BQ551" s="39" t="str">
        <f>IFERROR(proje!CB46*100/proje!$I46,"")</f>
        <v/>
      </c>
      <c r="BR551" s="39" t="str">
        <f>IFERROR(proje!CC46*100/proje!$I46,"")</f>
        <v/>
      </c>
      <c r="BS551" s="39" t="str">
        <f>IFERROR(proje!CD46*100/proje!$I46,"")</f>
        <v/>
      </c>
      <c r="BT551" s="39" t="str">
        <f>IFERROR(proje!CE46*100/proje!$I46,"")</f>
        <v/>
      </c>
      <c r="BU551" s="39" t="str">
        <f>IFERROR(proje!CF46*100/proje!$I46,"")</f>
        <v/>
      </c>
      <c r="BV551" s="39" t="str">
        <f>IFERROR(proje!CG46*100/proje!$I46,"")</f>
        <v/>
      </c>
      <c r="BW551" s="39" t="str">
        <f>IFERROR(proje!CH46*100/proje!$I46,"")</f>
        <v/>
      </c>
      <c r="BX551" s="39" t="str">
        <f>IFERROR(proje!CI46*100/proje!$I46,"")</f>
        <v/>
      </c>
      <c r="BY551" s="39" t="str">
        <f>IFERROR(proje!CJ46*100/proje!$I46,"")</f>
        <v/>
      </c>
      <c r="BZ551" s="39" t="str">
        <f>IFERROR(proje!CK46*100/proje!$I46,"")</f>
        <v/>
      </c>
      <c r="CA551" s="39" t="str">
        <f>IFERROR(proje!CL46*100/proje!$I46,"")</f>
        <v/>
      </c>
      <c r="CB551" s="39" t="str">
        <f>IFERROR(proje!CM46*100/proje!$I46,"")</f>
        <v/>
      </c>
      <c r="CC551" s="39" t="str">
        <f>IFERROR(proje!CN46*100/proje!$I46,"")</f>
        <v/>
      </c>
      <c r="CD551" s="39" t="str">
        <f>IFERROR(proje!CO46*100/proje!$I46,"")</f>
        <v/>
      </c>
      <c r="CE551" s="39" t="str">
        <f>IFERROR(proje!CP46*100/proje!$I46,"")</f>
        <v/>
      </c>
      <c r="CF551" s="39" t="str">
        <f>IFERROR(proje!CQ46*100/proje!$I46,"")</f>
        <v/>
      </c>
      <c r="CG551" s="39" t="str">
        <f>IFERROR(proje!CR46*100/proje!$I46,"")</f>
        <v/>
      </c>
      <c r="CH551" s="39" t="str">
        <f>IFERROR(proje!CS46*100/proje!$I46,"")</f>
        <v/>
      </c>
      <c r="CI551" s="39" t="str">
        <f>IFERROR(proje!CT46*100/proje!$I46,"")</f>
        <v/>
      </c>
      <c r="CJ551" s="39" t="str">
        <f>IFERROR(proje!CU46*100/proje!$I46,"")</f>
        <v/>
      </c>
      <c r="CK551" s="39" t="str">
        <f>IFERROR(proje!CV46*100/proje!$I46,"")</f>
        <v/>
      </c>
      <c r="CL551" s="39" t="str">
        <f>IFERROR(proje!CW46*100/proje!$I46,"")</f>
        <v/>
      </c>
      <c r="CM551" s="39" t="str">
        <f>IFERROR(proje!CX46*100/proje!$I46,"")</f>
        <v/>
      </c>
      <c r="CN551" s="39" t="str">
        <f>IFERROR(proje!CY46*100/proje!$I46,"")</f>
        <v/>
      </c>
      <c r="CO551" s="39" t="str">
        <f>IFERROR(proje!CZ46*100/proje!$I46,"")</f>
        <v/>
      </c>
      <c r="CP551" s="39" t="str">
        <f>IFERROR(proje!DA46*100/proje!$I46,"")</f>
        <v/>
      </c>
      <c r="CQ551" s="39" t="str">
        <f>IFERROR(proje!DB46*100/proje!$I46,"")</f>
        <v/>
      </c>
      <c r="CR551" s="39" t="str">
        <f>IFERROR(proje!DC46*100/proje!$I46,"")</f>
        <v/>
      </c>
      <c r="CS551" s="39" t="str">
        <f>IFERROR(proje!DD46*100/proje!$I46,"")</f>
        <v/>
      </c>
      <c r="CT551" s="39" t="str">
        <f>IFERROR(proje!DE46*100/proje!$I46,"")</f>
        <v/>
      </c>
      <c r="CU551" s="39" t="str">
        <f>IFERROR(proje!DF46*100/proje!$I46,"")</f>
        <v/>
      </c>
      <c r="CV551" s="39" t="str">
        <f>IFERROR(proje!DG46*100/proje!$I46,"")</f>
        <v/>
      </c>
      <c r="CW551" s="36" t="str">
        <f>IFERROR(SUM(A551:CV551)/proje!$DH$103,"")</f>
        <v/>
      </c>
      <c r="CX551" s="14" t="str">
        <f>IF(COUNTA(proje!A46),proje!A46,"")</f>
        <v/>
      </c>
      <c r="CY551" s="14" t="str">
        <f>IF(COUNTA(proje!B46),proje!B46,"")</f>
        <v/>
      </c>
      <c r="CZ551" s="14" t="str">
        <f>IF(COUNTA(proje!C46),proje!C46,"")</f>
        <v/>
      </c>
      <c r="DA551" s="14" t="str">
        <f>IF(COUNTA(proje!D46),proje!D46,"")</f>
        <v/>
      </c>
      <c r="DB551" s="14" t="str">
        <f>IF(COUNTA(proje!E46),proje!E46,"")</f>
        <v/>
      </c>
      <c r="DC551" s="14" t="str">
        <f>IF(COUNTA(proje!F46),proje!F46,"")</f>
        <v/>
      </c>
      <c r="DD551" s="14" t="str">
        <f>IF(COUNTA(proje!G46),proje!G46,"")</f>
        <v/>
      </c>
      <c r="DE551" s="14" t="str">
        <f>IF(COUNTA(proje!H46),proje!H46,"")</f>
        <v/>
      </c>
    </row>
    <row r="552" spans="1:109" x14ac:dyDescent="0.2">
      <c r="A552" s="39" t="str">
        <f>IFERROR(proje!L47*100/proje!$I47,"")</f>
        <v/>
      </c>
      <c r="B552" s="39" t="str">
        <f>IFERROR(proje!M47*100/proje!$I47,"")</f>
        <v/>
      </c>
      <c r="C552" s="39" t="str">
        <f>IFERROR(proje!N47*100/proje!$I47,"")</f>
        <v/>
      </c>
      <c r="D552" s="39" t="str">
        <f>IFERROR(proje!O47*100/proje!$I47,"")</f>
        <v/>
      </c>
      <c r="E552" s="39" t="str">
        <f>IFERROR(proje!P47*100/proje!$I47,"")</f>
        <v/>
      </c>
      <c r="F552" s="39" t="str">
        <f>IFERROR(proje!Q47*100/proje!$I47,"")</f>
        <v/>
      </c>
      <c r="G552" s="39" t="str">
        <f>IFERROR(proje!R47*100/proje!$I47,"")</f>
        <v/>
      </c>
      <c r="H552" s="39" t="str">
        <f>IFERROR(proje!S47*100/proje!$I47,"")</f>
        <v/>
      </c>
      <c r="I552" s="39" t="str">
        <f>IFERROR(proje!T47*100/proje!$I47,"")</f>
        <v/>
      </c>
      <c r="J552" s="39" t="str">
        <f>IFERROR(proje!U47*100/proje!$I47,"")</f>
        <v/>
      </c>
      <c r="K552" s="39" t="str">
        <f>IFERROR(proje!V47*100/proje!$I47,"")</f>
        <v/>
      </c>
      <c r="L552" s="39" t="str">
        <f>IFERROR(proje!W47*100/proje!$I47,"")</f>
        <v/>
      </c>
      <c r="M552" s="39" t="str">
        <f>IFERROR(proje!X47*100/proje!$I47,"")</f>
        <v/>
      </c>
      <c r="N552" s="39" t="str">
        <f>IFERROR(proje!Y47*100/proje!$I47,"")</f>
        <v/>
      </c>
      <c r="O552" s="39" t="str">
        <f>IFERROR(proje!Z47*100/proje!$I47,"")</f>
        <v/>
      </c>
      <c r="P552" s="39" t="str">
        <f>IFERROR(proje!AA47*100/proje!$I47,"")</f>
        <v/>
      </c>
      <c r="Q552" s="39" t="str">
        <f>IFERROR(proje!AB47*100/proje!$I47,"")</f>
        <v/>
      </c>
      <c r="R552" s="39" t="str">
        <f>IFERROR(proje!AC47*100/proje!$I47,"")</f>
        <v/>
      </c>
      <c r="S552" s="39" t="str">
        <f>IFERROR(proje!AD47*100/proje!$I47,"")</f>
        <v/>
      </c>
      <c r="T552" s="39" t="str">
        <f>IFERROR(proje!AE47*100/proje!$I47,"")</f>
        <v/>
      </c>
      <c r="U552" s="39" t="str">
        <f>IFERROR(proje!AF47*100/proje!$I47,"")</f>
        <v/>
      </c>
      <c r="V552" s="39" t="str">
        <f>IFERROR(proje!AG47*100/proje!$I47,"")</f>
        <v/>
      </c>
      <c r="W552" s="39" t="str">
        <f>IFERROR(proje!AH47*100/proje!$I47,"")</f>
        <v/>
      </c>
      <c r="X552" s="39" t="str">
        <f>IFERROR(proje!AI47*100/proje!$I47,"")</f>
        <v/>
      </c>
      <c r="Y552" s="39" t="str">
        <f>IFERROR(proje!AJ47*100/proje!$I47,"")</f>
        <v/>
      </c>
      <c r="Z552" s="39" t="str">
        <f>IFERROR(proje!AK47*100/proje!$I47,"")</f>
        <v/>
      </c>
      <c r="AA552" s="39" t="str">
        <f>IFERROR(proje!AL47*100/proje!$I47,"")</f>
        <v/>
      </c>
      <c r="AB552" s="39" t="str">
        <f>IFERROR(proje!AM47*100/proje!$I47,"")</f>
        <v/>
      </c>
      <c r="AC552" s="39" t="str">
        <f>IFERROR(proje!AN47*100/proje!$I47,"")</f>
        <v/>
      </c>
      <c r="AD552" s="39" t="str">
        <f>IFERROR(proje!AO47*100/proje!$I47,"")</f>
        <v/>
      </c>
      <c r="AE552" s="39" t="str">
        <f>IFERROR(proje!AP47*100/proje!$I47,"")</f>
        <v/>
      </c>
      <c r="AF552" s="39" t="str">
        <f>IFERROR(proje!AQ47*100/proje!$I47,"")</f>
        <v/>
      </c>
      <c r="AG552" s="39" t="str">
        <f>IFERROR(proje!AR47*100/proje!$I47,"")</f>
        <v/>
      </c>
      <c r="AH552" s="39" t="str">
        <f>IFERROR(proje!AS47*100/proje!$I47,"")</f>
        <v/>
      </c>
      <c r="AI552" s="39" t="str">
        <f>IFERROR(proje!AT47*100/proje!$I47,"")</f>
        <v/>
      </c>
      <c r="AJ552" s="39" t="str">
        <f>IFERROR(proje!AU47*100/proje!$I47,"")</f>
        <v/>
      </c>
      <c r="AK552" s="39" t="str">
        <f>IFERROR(proje!AV47*100/proje!$I47,"")</f>
        <v/>
      </c>
      <c r="AL552" s="39" t="str">
        <f>IFERROR(proje!AW47*100/proje!$I47,"")</f>
        <v/>
      </c>
      <c r="AM552" s="39" t="str">
        <f>IFERROR(proje!AX47*100/proje!$I47,"")</f>
        <v/>
      </c>
      <c r="AN552" s="39" t="str">
        <f>IFERROR(proje!AY47*100/proje!$I47,"")</f>
        <v/>
      </c>
      <c r="AO552" s="39" t="str">
        <f>IFERROR(proje!AZ47*100/proje!$I47,"")</f>
        <v/>
      </c>
      <c r="AP552" s="39" t="str">
        <f>IFERROR(proje!BA47*100/proje!$I47,"")</f>
        <v/>
      </c>
      <c r="AQ552" s="39" t="str">
        <f>IFERROR(proje!BB47*100/proje!$I47,"")</f>
        <v/>
      </c>
      <c r="AR552" s="39" t="str">
        <f>IFERROR(proje!BC47*100/proje!$I47,"")</f>
        <v/>
      </c>
      <c r="AS552" s="39" t="str">
        <f>IFERROR(proje!BD47*100/proje!$I47,"")</f>
        <v/>
      </c>
      <c r="AT552" s="39" t="str">
        <f>IFERROR(proje!BE47*100/proje!$I47,"")</f>
        <v/>
      </c>
      <c r="AU552" s="39" t="str">
        <f>IFERROR(proje!BF47*100/proje!$I47,"")</f>
        <v/>
      </c>
      <c r="AV552" s="39" t="str">
        <f>IFERROR(proje!BG47*100/proje!$I47,"")</f>
        <v/>
      </c>
      <c r="AW552" s="39" t="str">
        <f>IFERROR(proje!BH47*100/proje!$I47,"")</f>
        <v/>
      </c>
      <c r="AX552" s="39" t="str">
        <f>IFERROR(proje!BI47*100/proje!$I47,"")</f>
        <v/>
      </c>
      <c r="AY552" s="39" t="str">
        <f>IFERROR(proje!BJ47*100/proje!$I47,"")</f>
        <v/>
      </c>
      <c r="AZ552" s="39" t="str">
        <f>IFERROR(proje!BK47*100/proje!$I47,"")</f>
        <v/>
      </c>
      <c r="BA552" s="39" t="str">
        <f>IFERROR(proje!BL47*100/proje!$I47,"")</f>
        <v/>
      </c>
      <c r="BB552" s="39" t="str">
        <f>IFERROR(proje!BM47*100/proje!$I47,"")</f>
        <v/>
      </c>
      <c r="BC552" s="39" t="str">
        <f>IFERROR(proje!BN47*100/proje!$I47,"")</f>
        <v/>
      </c>
      <c r="BD552" s="39" t="str">
        <f>IFERROR(proje!BO47*100/proje!$I47,"")</f>
        <v/>
      </c>
      <c r="BE552" s="39" t="str">
        <f>IFERROR(proje!BP47*100/proje!$I47,"")</f>
        <v/>
      </c>
      <c r="BF552" s="39" t="str">
        <f>IFERROR(proje!BQ47*100/proje!$I47,"")</f>
        <v/>
      </c>
      <c r="BG552" s="39" t="str">
        <f>IFERROR(proje!BR47*100/proje!$I47,"")</f>
        <v/>
      </c>
      <c r="BH552" s="39" t="str">
        <f>IFERROR(proje!BS47*100/proje!$I47,"")</f>
        <v/>
      </c>
      <c r="BI552" s="39" t="str">
        <f>IFERROR(proje!BT47*100/proje!$I47,"")</f>
        <v/>
      </c>
      <c r="BJ552" s="39" t="str">
        <f>IFERROR(proje!BU47*100/proje!$I47,"")</f>
        <v/>
      </c>
      <c r="BK552" s="39" t="str">
        <f>IFERROR(proje!BV47*100/proje!$I47,"")</f>
        <v/>
      </c>
      <c r="BL552" s="39" t="str">
        <f>IFERROR(proje!BW47*100/proje!$I47,"")</f>
        <v/>
      </c>
      <c r="BM552" s="39" t="str">
        <f>IFERROR(proje!BX47*100/proje!$I47,"")</f>
        <v/>
      </c>
      <c r="BN552" s="39" t="str">
        <f>IFERROR(proje!BY47*100/proje!$I47,"")</f>
        <v/>
      </c>
      <c r="BO552" s="39" t="str">
        <f>IFERROR(proje!BZ47*100/proje!$I47,"")</f>
        <v/>
      </c>
      <c r="BP552" s="39" t="str">
        <f>IFERROR(proje!CA47*100/proje!$I47,"")</f>
        <v/>
      </c>
      <c r="BQ552" s="39" t="str">
        <f>IFERROR(proje!CB47*100/proje!$I47,"")</f>
        <v/>
      </c>
      <c r="BR552" s="39" t="str">
        <f>IFERROR(proje!CC47*100/proje!$I47,"")</f>
        <v/>
      </c>
      <c r="BS552" s="39" t="str">
        <f>IFERROR(proje!CD47*100/proje!$I47,"")</f>
        <v/>
      </c>
      <c r="BT552" s="39" t="str">
        <f>IFERROR(proje!CE47*100/proje!$I47,"")</f>
        <v/>
      </c>
      <c r="BU552" s="39" t="str">
        <f>IFERROR(proje!CF47*100/proje!$I47,"")</f>
        <v/>
      </c>
      <c r="BV552" s="39" t="str">
        <f>IFERROR(proje!CG47*100/proje!$I47,"")</f>
        <v/>
      </c>
      <c r="BW552" s="39" t="str">
        <f>IFERROR(proje!CH47*100/proje!$I47,"")</f>
        <v/>
      </c>
      <c r="BX552" s="39" t="str">
        <f>IFERROR(proje!CI47*100/proje!$I47,"")</f>
        <v/>
      </c>
      <c r="BY552" s="39" t="str">
        <f>IFERROR(proje!CJ47*100/proje!$I47,"")</f>
        <v/>
      </c>
      <c r="BZ552" s="39" t="str">
        <f>IFERROR(proje!CK47*100/proje!$I47,"")</f>
        <v/>
      </c>
      <c r="CA552" s="39" t="str">
        <f>IFERROR(proje!CL47*100/proje!$I47,"")</f>
        <v/>
      </c>
      <c r="CB552" s="39" t="str">
        <f>IFERROR(proje!CM47*100/proje!$I47,"")</f>
        <v/>
      </c>
      <c r="CC552" s="39" t="str">
        <f>IFERROR(proje!CN47*100/proje!$I47,"")</f>
        <v/>
      </c>
      <c r="CD552" s="39" t="str">
        <f>IFERROR(proje!CO47*100/proje!$I47,"")</f>
        <v/>
      </c>
      <c r="CE552" s="39" t="str">
        <f>IFERROR(proje!CP47*100/proje!$I47,"")</f>
        <v/>
      </c>
      <c r="CF552" s="39" t="str">
        <f>IFERROR(proje!CQ47*100/proje!$I47,"")</f>
        <v/>
      </c>
      <c r="CG552" s="39" t="str">
        <f>IFERROR(proje!CR47*100/proje!$I47,"")</f>
        <v/>
      </c>
      <c r="CH552" s="39" t="str">
        <f>IFERROR(proje!CS47*100/proje!$I47,"")</f>
        <v/>
      </c>
      <c r="CI552" s="39" t="str">
        <f>IFERROR(proje!CT47*100/proje!$I47,"")</f>
        <v/>
      </c>
      <c r="CJ552" s="39" t="str">
        <f>IFERROR(proje!CU47*100/proje!$I47,"")</f>
        <v/>
      </c>
      <c r="CK552" s="39" t="str">
        <f>IFERROR(proje!CV47*100/proje!$I47,"")</f>
        <v/>
      </c>
      <c r="CL552" s="39" t="str">
        <f>IFERROR(proje!CW47*100/proje!$I47,"")</f>
        <v/>
      </c>
      <c r="CM552" s="39" t="str">
        <f>IFERROR(proje!CX47*100/proje!$I47,"")</f>
        <v/>
      </c>
      <c r="CN552" s="39" t="str">
        <f>IFERROR(proje!CY47*100/proje!$I47,"")</f>
        <v/>
      </c>
      <c r="CO552" s="39" t="str">
        <f>IFERROR(proje!CZ47*100/proje!$I47,"")</f>
        <v/>
      </c>
      <c r="CP552" s="39" t="str">
        <f>IFERROR(proje!DA47*100/proje!$I47,"")</f>
        <v/>
      </c>
      <c r="CQ552" s="39" t="str">
        <f>IFERROR(proje!DB47*100/proje!$I47,"")</f>
        <v/>
      </c>
      <c r="CR552" s="39" t="str">
        <f>IFERROR(proje!DC47*100/proje!$I47,"")</f>
        <v/>
      </c>
      <c r="CS552" s="39" t="str">
        <f>IFERROR(proje!DD47*100/proje!$I47,"")</f>
        <v/>
      </c>
      <c r="CT552" s="39" t="str">
        <f>IFERROR(proje!DE47*100/proje!$I47,"")</f>
        <v/>
      </c>
      <c r="CU552" s="39" t="str">
        <f>IFERROR(proje!DF47*100/proje!$I47,"")</f>
        <v/>
      </c>
      <c r="CV552" s="39" t="str">
        <f>IFERROR(proje!DG47*100/proje!$I47,"")</f>
        <v/>
      </c>
      <c r="CW552" s="36" t="str">
        <f>IFERROR(SUM(A552:CV552)/proje!$DH$103,"")</f>
        <v/>
      </c>
      <c r="CX552" s="14" t="str">
        <f>IF(COUNTA(proje!A47),proje!A47,"")</f>
        <v/>
      </c>
      <c r="CY552" s="14" t="str">
        <f>IF(COUNTA(proje!B47),proje!B47,"")</f>
        <v/>
      </c>
      <c r="CZ552" s="14" t="str">
        <f>IF(COUNTA(proje!C47),proje!C47,"")</f>
        <v/>
      </c>
      <c r="DA552" s="14" t="str">
        <f>IF(COUNTA(proje!D47),proje!D47,"")</f>
        <v/>
      </c>
      <c r="DB552" s="14" t="str">
        <f>IF(COUNTA(proje!E47),proje!E47,"")</f>
        <v/>
      </c>
      <c r="DC552" s="14" t="str">
        <f>IF(COUNTA(proje!F47),proje!F47,"")</f>
        <v/>
      </c>
      <c r="DD552" s="14" t="str">
        <f>IF(COUNTA(proje!G47),proje!G47,"")</f>
        <v/>
      </c>
      <c r="DE552" s="14" t="str">
        <f>IF(COUNTA(proje!H47),proje!H47,"")</f>
        <v/>
      </c>
    </row>
    <row r="553" spans="1:109" x14ac:dyDescent="0.2">
      <c r="A553" s="39" t="str">
        <f>IFERROR(proje!L48*100/proje!$I48,"")</f>
        <v/>
      </c>
      <c r="B553" s="39" t="str">
        <f>IFERROR(proje!M48*100/proje!$I48,"")</f>
        <v/>
      </c>
      <c r="C553" s="39" t="str">
        <f>IFERROR(proje!N48*100/proje!$I48,"")</f>
        <v/>
      </c>
      <c r="D553" s="39" t="str">
        <f>IFERROR(proje!O48*100/proje!$I48,"")</f>
        <v/>
      </c>
      <c r="E553" s="39" t="str">
        <f>IFERROR(proje!P48*100/proje!$I48,"")</f>
        <v/>
      </c>
      <c r="F553" s="39" t="str">
        <f>IFERROR(proje!Q48*100/proje!$I48,"")</f>
        <v/>
      </c>
      <c r="G553" s="39" t="str">
        <f>IFERROR(proje!R48*100/proje!$I48,"")</f>
        <v/>
      </c>
      <c r="H553" s="39" t="str">
        <f>IFERROR(proje!S48*100/proje!$I48,"")</f>
        <v/>
      </c>
      <c r="I553" s="39" t="str">
        <f>IFERROR(proje!T48*100/proje!$I48,"")</f>
        <v/>
      </c>
      <c r="J553" s="39" t="str">
        <f>IFERROR(proje!U48*100/proje!$I48,"")</f>
        <v/>
      </c>
      <c r="K553" s="39" t="str">
        <f>IFERROR(proje!V48*100/proje!$I48,"")</f>
        <v/>
      </c>
      <c r="L553" s="39" t="str">
        <f>IFERROR(proje!W48*100/proje!$I48,"")</f>
        <v/>
      </c>
      <c r="M553" s="39" t="str">
        <f>IFERROR(proje!X48*100/proje!$I48,"")</f>
        <v/>
      </c>
      <c r="N553" s="39" t="str">
        <f>IFERROR(proje!Y48*100/proje!$I48,"")</f>
        <v/>
      </c>
      <c r="O553" s="39" t="str">
        <f>IFERROR(proje!Z48*100/proje!$I48,"")</f>
        <v/>
      </c>
      <c r="P553" s="39" t="str">
        <f>IFERROR(proje!AA48*100/proje!$I48,"")</f>
        <v/>
      </c>
      <c r="Q553" s="39" t="str">
        <f>IFERROR(proje!AB48*100/proje!$I48,"")</f>
        <v/>
      </c>
      <c r="R553" s="39" t="str">
        <f>IFERROR(proje!AC48*100/proje!$I48,"")</f>
        <v/>
      </c>
      <c r="S553" s="39" t="str">
        <f>IFERROR(proje!AD48*100/proje!$I48,"")</f>
        <v/>
      </c>
      <c r="T553" s="39" t="str">
        <f>IFERROR(proje!AE48*100/proje!$I48,"")</f>
        <v/>
      </c>
      <c r="U553" s="39" t="str">
        <f>IFERROR(proje!AF48*100/proje!$I48,"")</f>
        <v/>
      </c>
      <c r="V553" s="39" t="str">
        <f>IFERROR(proje!AG48*100/proje!$I48,"")</f>
        <v/>
      </c>
      <c r="W553" s="39" t="str">
        <f>IFERROR(proje!AH48*100/proje!$I48,"")</f>
        <v/>
      </c>
      <c r="X553" s="39" t="str">
        <f>IFERROR(proje!AI48*100/proje!$I48,"")</f>
        <v/>
      </c>
      <c r="Y553" s="39" t="str">
        <f>IFERROR(proje!AJ48*100/proje!$I48,"")</f>
        <v/>
      </c>
      <c r="Z553" s="39" t="str">
        <f>IFERROR(proje!AK48*100/proje!$I48,"")</f>
        <v/>
      </c>
      <c r="AA553" s="39" t="str">
        <f>IFERROR(proje!AL48*100/proje!$I48,"")</f>
        <v/>
      </c>
      <c r="AB553" s="39" t="str">
        <f>IFERROR(proje!AM48*100/proje!$I48,"")</f>
        <v/>
      </c>
      <c r="AC553" s="39" t="str">
        <f>IFERROR(proje!AN48*100/proje!$I48,"")</f>
        <v/>
      </c>
      <c r="AD553" s="39" t="str">
        <f>IFERROR(proje!AO48*100/proje!$I48,"")</f>
        <v/>
      </c>
      <c r="AE553" s="39" t="str">
        <f>IFERROR(proje!AP48*100/proje!$I48,"")</f>
        <v/>
      </c>
      <c r="AF553" s="39" t="str">
        <f>IFERROR(proje!AQ48*100/proje!$I48,"")</f>
        <v/>
      </c>
      <c r="AG553" s="39" t="str">
        <f>IFERROR(proje!AR48*100/proje!$I48,"")</f>
        <v/>
      </c>
      <c r="AH553" s="39" t="str">
        <f>IFERROR(proje!AS48*100/proje!$I48,"")</f>
        <v/>
      </c>
      <c r="AI553" s="39" t="str">
        <f>IFERROR(proje!AT48*100/proje!$I48,"")</f>
        <v/>
      </c>
      <c r="AJ553" s="39" t="str">
        <f>IFERROR(proje!AU48*100/proje!$I48,"")</f>
        <v/>
      </c>
      <c r="AK553" s="39" t="str">
        <f>IFERROR(proje!AV48*100/proje!$I48,"")</f>
        <v/>
      </c>
      <c r="AL553" s="39" t="str">
        <f>IFERROR(proje!AW48*100/proje!$I48,"")</f>
        <v/>
      </c>
      <c r="AM553" s="39" t="str">
        <f>IFERROR(proje!AX48*100/proje!$I48,"")</f>
        <v/>
      </c>
      <c r="AN553" s="39" t="str">
        <f>IFERROR(proje!AY48*100/proje!$I48,"")</f>
        <v/>
      </c>
      <c r="AO553" s="39" t="str">
        <f>IFERROR(proje!AZ48*100/proje!$I48,"")</f>
        <v/>
      </c>
      <c r="AP553" s="39" t="str">
        <f>IFERROR(proje!BA48*100/proje!$I48,"")</f>
        <v/>
      </c>
      <c r="AQ553" s="39" t="str">
        <f>IFERROR(proje!BB48*100/proje!$I48,"")</f>
        <v/>
      </c>
      <c r="AR553" s="39" t="str">
        <f>IFERROR(proje!BC48*100/proje!$I48,"")</f>
        <v/>
      </c>
      <c r="AS553" s="39" t="str">
        <f>IFERROR(proje!BD48*100/proje!$I48,"")</f>
        <v/>
      </c>
      <c r="AT553" s="39" t="str">
        <f>IFERROR(proje!BE48*100/proje!$I48,"")</f>
        <v/>
      </c>
      <c r="AU553" s="39" t="str">
        <f>IFERROR(proje!BF48*100/proje!$I48,"")</f>
        <v/>
      </c>
      <c r="AV553" s="39" t="str">
        <f>IFERROR(proje!BG48*100/proje!$I48,"")</f>
        <v/>
      </c>
      <c r="AW553" s="39" t="str">
        <f>IFERROR(proje!BH48*100/proje!$I48,"")</f>
        <v/>
      </c>
      <c r="AX553" s="39" t="str">
        <f>IFERROR(proje!BI48*100/proje!$I48,"")</f>
        <v/>
      </c>
      <c r="AY553" s="39" t="str">
        <f>IFERROR(proje!BJ48*100/proje!$I48,"")</f>
        <v/>
      </c>
      <c r="AZ553" s="39" t="str">
        <f>IFERROR(proje!BK48*100/proje!$I48,"")</f>
        <v/>
      </c>
      <c r="BA553" s="39" t="str">
        <f>IFERROR(proje!BL48*100/proje!$I48,"")</f>
        <v/>
      </c>
      <c r="BB553" s="39" t="str">
        <f>IFERROR(proje!BM48*100/proje!$I48,"")</f>
        <v/>
      </c>
      <c r="BC553" s="39" t="str">
        <f>IFERROR(proje!BN48*100/proje!$I48,"")</f>
        <v/>
      </c>
      <c r="BD553" s="39" t="str">
        <f>IFERROR(proje!BO48*100/proje!$I48,"")</f>
        <v/>
      </c>
      <c r="BE553" s="39" t="str">
        <f>IFERROR(proje!BP48*100/proje!$I48,"")</f>
        <v/>
      </c>
      <c r="BF553" s="39" t="str">
        <f>IFERROR(proje!BQ48*100/proje!$I48,"")</f>
        <v/>
      </c>
      <c r="BG553" s="39" t="str">
        <f>IFERROR(proje!BR48*100/proje!$I48,"")</f>
        <v/>
      </c>
      <c r="BH553" s="39" t="str">
        <f>IFERROR(proje!BS48*100/proje!$I48,"")</f>
        <v/>
      </c>
      <c r="BI553" s="39" t="str">
        <f>IFERROR(proje!BT48*100/proje!$I48,"")</f>
        <v/>
      </c>
      <c r="BJ553" s="39" t="str">
        <f>IFERROR(proje!BU48*100/proje!$I48,"")</f>
        <v/>
      </c>
      <c r="BK553" s="39" t="str">
        <f>IFERROR(proje!BV48*100/proje!$I48,"")</f>
        <v/>
      </c>
      <c r="BL553" s="39" t="str">
        <f>IFERROR(proje!BW48*100/proje!$I48,"")</f>
        <v/>
      </c>
      <c r="BM553" s="39" t="str">
        <f>IFERROR(proje!BX48*100/proje!$I48,"")</f>
        <v/>
      </c>
      <c r="BN553" s="39" t="str">
        <f>IFERROR(proje!BY48*100/proje!$I48,"")</f>
        <v/>
      </c>
      <c r="BO553" s="39" t="str">
        <f>IFERROR(proje!BZ48*100/proje!$I48,"")</f>
        <v/>
      </c>
      <c r="BP553" s="39" t="str">
        <f>IFERROR(proje!CA48*100/proje!$I48,"")</f>
        <v/>
      </c>
      <c r="BQ553" s="39" t="str">
        <f>IFERROR(proje!CB48*100/proje!$I48,"")</f>
        <v/>
      </c>
      <c r="BR553" s="39" t="str">
        <f>IFERROR(proje!CC48*100/proje!$I48,"")</f>
        <v/>
      </c>
      <c r="BS553" s="39" t="str">
        <f>IFERROR(proje!CD48*100/proje!$I48,"")</f>
        <v/>
      </c>
      <c r="BT553" s="39" t="str">
        <f>IFERROR(proje!CE48*100/proje!$I48,"")</f>
        <v/>
      </c>
      <c r="BU553" s="39" t="str">
        <f>IFERROR(proje!CF48*100/proje!$I48,"")</f>
        <v/>
      </c>
      <c r="BV553" s="39" t="str">
        <f>IFERROR(proje!CG48*100/proje!$I48,"")</f>
        <v/>
      </c>
      <c r="BW553" s="39" t="str">
        <f>IFERROR(proje!CH48*100/proje!$I48,"")</f>
        <v/>
      </c>
      <c r="BX553" s="39" t="str">
        <f>IFERROR(proje!CI48*100/proje!$I48,"")</f>
        <v/>
      </c>
      <c r="BY553" s="39" t="str">
        <f>IFERROR(proje!CJ48*100/proje!$I48,"")</f>
        <v/>
      </c>
      <c r="BZ553" s="39" t="str">
        <f>IFERROR(proje!CK48*100/proje!$I48,"")</f>
        <v/>
      </c>
      <c r="CA553" s="39" t="str">
        <f>IFERROR(proje!CL48*100/proje!$I48,"")</f>
        <v/>
      </c>
      <c r="CB553" s="39" t="str">
        <f>IFERROR(proje!CM48*100/proje!$I48,"")</f>
        <v/>
      </c>
      <c r="CC553" s="39" t="str">
        <f>IFERROR(proje!CN48*100/proje!$I48,"")</f>
        <v/>
      </c>
      <c r="CD553" s="39" t="str">
        <f>IFERROR(proje!CO48*100/proje!$I48,"")</f>
        <v/>
      </c>
      <c r="CE553" s="39" t="str">
        <f>IFERROR(proje!CP48*100/proje!$I48,"")</f>
        <v/>
      </c>
      <c r="CF553" s="39" t="str">
        <f>IFERROR(proje!CQ48*100/proje!$I48,"")</f>
        <v/>
      </c>
      <c r="CG553" s="39" t="str">
        <f>IFERROR(proje!CR48*100/proje!$I48,"")</f>
        <v/>
      </c>
      <c r="CH553" s="39" t="str">
        <f>IFERROR(proje!CS48*100/proje!$I48,"")</f>
        <v/>
      </c>
      <c r="CI553" s="39" t="str">
        <f>IFERROR(proje!CT48*100/proje!$I48,"")</f>
        <v/>
      </c>
      <c r="CJ553" s="39" t="str">
        <f>IFERROR(proje!CU48*100/proje!$I48,"")</f>
        <v/>
      </c>
      <c r="CK553" s="39" t="str">
        <f>IFERROR(proje!CV48*100/proje!$I48,"")</f>
        <v/>
      </c>
      <c r="CL553" s="39" t="str">
        <f>IFERROR(proje!CW48*100/proje!$I48,"")</f>
        <v/>
      </c>
      <c r="CM553" s="39" t="str">
        <f>IFERROR(proje!CX48*100/proje!$I48,"")</f>
        <v/>
      </c>
      <c r="CN553" s="39" t="str">
        <f>IFERROR(proje!CY48*100/proje!$I48,"")</f>
        <v/>
      </c>
      <c r="CO553" s="39" t="str">
        <f>IFERROR(proje!CZ48*100/proje!$I48,"")</f>
        <v/>
      </c>
      <c r="CP553" s="39" t="str">
        <f>IFERROR(proje!DA48*100/proje!$I48,"")</f>
        <v/>
      </c>
      <c r="CQ553" s="39" t="str">
        <f>IFERROR(proje!DB48*100/proje!$I48,"")</f>
        <v/>
      </c>
      <c r="CR553" s="39" t="str">
        <f>IFERROR(proje!DC48*100/proje!$I48,"")</f>
        <v/>
      </c>
      <c r="CS553" s="39" t="str">
        <f>IFERROR(proje!DD48*100/proje!$I48,"")</f>
        <v/>
      </c>
      <c r="CT553" s="39" t="str">
        <f>IFERROR(proje!DE48*100/proje!$I48,"")</f>
        <v/>
      </c>
      <c r="CU553" s="39" t="str">
        <f>IFERROR(proje!DF48*100/proje!$I48,"")</f>
        <v/>
      </c>
      <c r="CV553" s="39" t="str">
        <f>IFERROR(proje!DG48*100/proje!$I48,"")</f>
        <v/>
      </c>
      <c r="CW553" s="36" t="str">
        <f>IFERROR(SUM(A553:CV553)/proje!$DH$103,"")</f>
        <v/>
      </c>
      <c r="CX553" s="14" t="str">
        <f>IF(COUNTA(proje!A48),proje!A48,"")</f>
        <v/>
      </c>
      <c r="CY553" s="14" t="str">
        <f>IF(COUNTA(proje!B48),proje!B48,"")</f>
        <v/>
      </c>
      <c r="CZ553" s="14" t="str">
        <f>IF(COUNTA(proje!C48),proje!C48,"")</f>
        <v/>
      </c>
      <c r="DA553" s="14" t="str">
        <f>IF(COUNTA(proje!D48),proje!D48,"")</f>
        <v/>
      </c>
      <c r="DB553" s="14" t="str">
        <f>IF(COUNTA(proje!E48),proje!E48,"")</f>
        <v/>
      </c>
      <c r="DC553" s="14" t="str">
        <f>IF(COUNTA(proje!F48),proje!F48,"")</f>
        <v/>
      </c>
      <c r="DD553" s="14" t="str">
        <f>IF(COUNTA(proje!G48),proje!G48,"")</f>
        <v/>
      </c>
      <c r="DE553" s="14" t="str">
        <f>IF(COUNTA(proje!H48),proje!H48,"")</f>
        <v/>
      </c>
    </row>
    <row r="554" spans="1:109" x14ac:dyDescent="0.2">
      <c r="A554" s="39" t="str">
        <f>IFERROR(proje!L49*100/proje!$I49,"")</f>
        <v/>
      </c>
      <c r="B554" s="39" t="str">
        <f>IFERROR(proje!M49*100/proje!$I49,"")</f>
        <v/>
      </c>
      <c r="C554" s="39" t="str">
        <f>IFERROR(proje!N49*100/proje!$I49,"")</f>
        <v/>
      </c>
      <c r="D554" s="39" t="str">
        <f>IFERROR(proje!O49*100/proje!$I49,"")</f>
        <v/>
      </c>
      <c r="E554" s="39" t="str">
        <f>IFERROR(proje!P49*100/proje!$I49,"")</f>
        <v/>
      </c>
      <c r="F554" s="39" t="str">
        <f>IFERROR(proje!Q49*100/proje!$I49,"")</f>
        <v/>
      </c>
      <c r="G554" s="39" t="str">
        <f>IFERROR(proje!R49*100/proje!$I49,"")</f>
        <v/>
      </c>
      <c r="H554" s="39" t="str">
        <f>IFERROR(proje!S49*100/proje!$I49,"")</f>
        <v/>
      </c>
      <c r="I554" s="39" t="str">
        <f>IFERROR(proje!T49*100/proje!$I49,"")</f>
        <v/>
      </c>
      <c r="J554" s="39" t="str">
        <f>IFERROR(proje!U49*100/proje!$I49,"")</f>
        <v/>
      </c>
      <c r="K554" s="39" t="str">
        <f>IFERROR(proje!V49*100/proje!$I49,"")</f>
        <v/>
      </c>
      <c r="L554" s="39" t="str">
        <f>IFERROR(proje!W49*100/proje!$I49,"")</f>
        <v/>
      </c>
      <c r="M554" s="39" t="str">
        <f>IFERROR(proje!X49*100/proje!$I49,"")</f>
        <v/>
      </c>
      <c r="N554" s="39" t="str">
        <f>IFERROR(proje!Y49*100/proje!$I49,"")</f>
        <v/>
      </c>
      <c r="O554" s="39" t="str">
        <f>IFERROR(proje!Z49*100/proje!$I49,"")</f>
        <v/>
      </c>
      <c r="P554" s="39" t="str">
        <f>IFERROR(proje!AA49*100/proje!$I49,"")</f>
        <v/>
      </c>
      <c r="Q554" s="39" t="str">
        <f>IFERROR(proje!AB49*100/proje!$I49,"")</f>
        <v/>
      </c>
      <c r="R554" s="39" t="str">
        <f>IFERROR(proje!AC49*100/proje!$I49,"")</f>
        <v/>
      </c>
      <c r="S554" s="39" t="str">
        <f>IFERROR(proje!AD49*100/proje!$I49,"")</f>
        <v/>
      </c>
      <c r="T554" s="39" t="str">
        <f>IFERROR(proje!AE49*100/proje!$I49,"")</f>
        <v/>
      </c>
      <c r="U554" s="39" t="str">
        <f>IFERROR(proje!AF49*100/proje!$I49,"")</f>
        <v/>
      </c>
      <c r="V554" s="39" t="str">
        <f>IFERROR(proje!AG49*100/proje!$I49,"")</f>
        <v/>
      </c>
      <c r="W554" s="39" t="str">
        <f>IFERROR(proje!AH49*100/proje!$I49,"")</f>
        <v/>
      </c>
      <c r="X554" s="39" t="str">
        <f>IFERROR(proje!AI49*100/proje!$I49,"")</f>
        <v/>
      </c>
      <c r="Y554" s="39" t="str">
        <f>IFERROR(proje!AJ49*100/proje!$I49,"")</f>
        <v/>
      </c>
      <c r="Z554" s="39" t="str">
        <f>IFERROR(proje!AK49*100/proje!$I49,"")</f>
        <v/>
      </c>
      <c r="AA554" s="39" t="str">
        <f>IFERROR(proje!AL49*100/proje!$I49,"")</f>
        <v/>
      </c>
      <c r="AB554" s="39" t="str">
        <f>IFERROR(proje!AM49*100/proje!$I49,"")</f>
        <v/>
      </c>
      <c r="AC554" s="39" t="str">
        <f>IFERROR(proje!AN49*100/proje!$I49,"")</f>
        <v/>
      </c>
      <c r="AD554" s="39" t="str">
        <f>IFERROR(proje!AO49*100/proje!$I49,"")</f>
        <v/>
      </c>
      <c r="AE554" s="39" t="str">
        <f>IFERROR(proje!AP49*100/proje!$I49,"")</f>
        <v/>
      </c>
      <c r="AF554" s="39" t="str">
        <f>IFERROR(proje!AQ49*100/proje!$I49,"")</f>
        <v/>
      </c>
      <c r="AG554" s="39" t="str">
        <f>IFERROR(proje!AR49*100/proje!$I49,"")</f>
        <v/>
      </c>
      <c r="AH554" s="39" t="str">
        <f>IFERROR(proje!AS49*100/proje!$I49,"")</f>
        <v/>
      </c>
      <c r="AI554" s="39" t="str">
        <f>IFERROR(proje!AT49*100/proje!$I49,"")</f>
        <v/>
      </c>
      <c r="AJ554" s="39" t="str">
        <f>IFERROR(proje!AU49*100/proje!$I49,"")</f>
        <v/>
      </c>
      <c r="AK554" s="39" t="str">
        <f>IFERROR(proje!AV49*100/proje!$I49,"")</f>
        <v/>
      </c>
      <c r="AL554" s="39" t="str">
        <f>IFERROR(proje!AW49*100/proje!$I49,"")</f>
        <v/>
      </c>
      <c r="AM554" s="39" t="str">
        <f>IFERROR(proje!AX49*100/proje!$I49,"")</f>
        <v/>
      </c>
      <c r="AN554" s="39" t="str">
        <f>IFERROR(proje!AY49*100/proje!$I49,"")</f>
        <v/>
      </c>
      <c r="AO554" s="39" t="str">
        <f>IFERROR(proje!AZ49*100/proje!$I49,"")</f>
        <v/>
      </c>
      <c r="AP554" s="39" t="str">
        <f>IFERROR(proje!BA49*100/proje!$I49,"")</f>
        <v/>
      </c>
      <c r="AQ554" s="39" t="str">
        <f>IFERROR(proje!BB49*100/proje!$I49,"")</f>
        <v/>
      </c>
      <c r="AR554" s="39" t="str">
        <f>IFERROR(proje!BC49*100/proje!$I49,"")</f>
        <v/>
      </c>
      <c r="AS554" s="39" t="str">
        <f>IFERROR(proje!BD49*100/proje!$I49,"")</f>
        <v/>
      </c>
      <c r="AT554" s="39" t="str">
        <f>IFERROR(proje!BE49*100/proje!$I49,"")</f>
        <v/>
      </c>
      <c r="AU554" s="39" t="str">
        <f>IFERROR(proje!BF49*100/proje!$I49,"")</f>
        <v/>
      </c>
      <c r="AV554" s="39" t="str">
        <f>IFERROR(proje!BG49*100/proje!$I49,"")</f>
        <v/>
      </c>
      <c r="AW554" s="39" t="str">
        <f>IFERROR(proje!BH49*100/proje!$I49,"")</f>
        <v/>
      </c>
      <c r="AX554" s="39" t="str">
        <f>IFERROR(proje!BI49*100/proje!$I49,"")</f>
        <v/>
      </c>
      <c r="AY554" s="39" t="str">
        <f>IFERROR(proje!BJ49*100/proje!$I49,"")</f>
        <v/>
      </c>
      <c r="AZ554" s="39" t="str">
        <f>IFERROR(proje!BK49*100/proje!$I49,"")</f>
        <v/>
      </c>
      <c r="BA554" s="39" t="str">
        <f>IFERROR(proje!BL49*100/proje!$I49,"")</f>
        <v/>
      </c>
      <c r="BB554" s="39" t="str">
        <f>IFERROR(proje!BM49*100/proje!$I49,"")</f>
        <v/>
      </c>
      <c r="BC554" s="39" t="str">
        <f>IFERROR(proje!BN49*100/proje!$I49,"")</f>
        <v/>
      </c>
      <c r="BD554" s="39" t="str">
        <f>IFERROR(proje!BO49*100/proje!$I49,"")</f>
        <v/>
      </c>
      <c r="BE554" s="39" t="str">
        <f>IFERROR(proje!BP49*100/proje!$I49,"")</f>
        <v/>
      </c>
      <c r="BF554" s="39" t="str">
        <f>IFERROR(proje!BQ49*100/proje!$I49,"")</f>
        <v/>
      </c>
      <c r="BG554" s="39" t="str">
        <f>IFERROR(proje!BR49*100/proje!$I49,"")</f>
        <v/>
      </c>
      <c r="BH554" s="39" t="str">
        <f>IFERROR(proje!BS49*100/proje!$I49,"")</f>
        <v/>
      </c>
      <c r="BI554" s="39" t="str">
        <f>IFERROR(proje!BT49*100/proje!$I49,"")</f>
        <v/>
      </c>
      <c r="BJ554" s="39" t="str">
        <f>IFERROR(proje!BU49*100/proje!$I49,"")</f>
        <v/>
      </c>
      <c r="BK554" s="39" t="str">
        <f>IFERROR(proje!BV49*100/proje!$I49,"")</f>
        <v/>
      </c>
      <c r="BL554" s="39" t="str">
        <f>IFERROR(proje!BW49*100/proje!$I49,"")</f>
        <v/>
      </c>
      <c r="BM554" s="39" t="str">
        <f>IFERROR(proje!BX49*100/proje!$I49,"")</f>
        <v/>
      </c>
      <c r="BN554" s="39" t="str">
        <f>IFERROR(proje!BY49*100/proje!$I49,"")</f>
        <v/>
      </c>
      <c r="BO554" s="39" t="str">
        <f>IFERROR(proje!BZ49*100/proje!$I49,"")</f>
        <v/>
      </c>
      <c r="BP554" s="39" t="str">
        <f>IFERROR(proje!CA49*100/proje!$I49,"")</f>
        <v/>
      </c>
      <c r="BQ554" s="39" t="str">
        <f>IFERROR(proje!CB49*100/proje!$I49,"")</f>
        <v/>
      </c>
      <c r="BR554" s="39" t="str">
        <f>IFERROR(proje!CC49*100/proje!$I49,"")</f>
        <v/>
      </c>
      <c r="BS554" s="39" t="str">
        <f>IFERROR(proje!CD49*100/proje!$I49,"")</f>
        <v/>
      </c>
      <c r="BT554" s="39" t="str">
        <f>IFERROR(proje!CE49*100/proje!$I49,"")</f>
        <v/>
      </c>
      <c r="BU554" s="39" t="str">
        <f>IFERROR(proje!CF49*100/proje!$I49,"")</f>
        <v/>
      </c>
      <c r="BV554" s="39" t="str">
        <f>IFERROR(proje!CG49*100/proje!$I49,"")</f>
        <v/>
      </c>
      <c r="BW554" s="39" t="str">
        <f>IFERROR(proje!CH49*100/proje!$I49,"")</f>
        <v/>
      </c>
      <c r="BX554" s="39" t="str">
        <f>IFERROR(proje!CI49*100/proje!$I49,"")</f>
        <v/>
      </c>
      <c r="BY554" s="39" t="str">
        <f>IFERROR(proje!CJ49*100/proje!$I49,"")</f>
        <v/>
      </c>
      <c r="BZ554" s="39" t="str">
        <f>IFERROR(proje!CK49*100/proje!$I49,"")</f>
        <v/>
      </c>
      <c r="CA554" s="39" t="str">
        <f>IFERROR(proje!CL49*100/proje!$I49,"")</f>
        <v/>
      </c>
      <c r="CB554" s="39" t="str">
        <f>IFERROR(proje!CM49*100/proje!$I49,"")</f>
        <v/>
      </c>
      <c r="CC554" s="39" t="str">
        <f>IFERROR(proje!CN49*100/proje!$I49,"")</f>
        <v/>
      </c>
      <c r="CD554" s="39" t="str">
        <f>IFERROR(proje!CO49*100/proje!$I49,"")</f>
        <v/>
      </c>
      <c r="CE554" s="39" t="str">
        <f>IFERROR(proje!CP49*100/proje!$I49,"")</f>
        <v/>
      </c>
      <c r="CF554" s="39" t="str">
        <f>IFERROR(proje!CQ49*100/proje!$I49,"")</f>
        <v/>
      </c>
      <c r="CG554" s="39" t="str">
        <f>IFERROR(proje!CR49*100/proje!$I49,"")</f>
        <v/>
      </c>
      <c r="CH554" s="39" t="str">
        <f>IFERROR(proje!CS49*100/proje!$I49,"")</f>
        <v/>
      </c>
      <c r="CI554" s="39" t="str">
        <f>IFERROR(proje!CT49*100/proje!$I49,"")</f>
        <v/>
      </c>
      <c r="CJ554" s="39" t="str">
        <f>IFERROR(proje!CU49*100/proje!$I49,"")</f>
        <v/>
      </c>
      <c r="CK554" s="39" t="str">
        <f>IFERROR(proje!CV49*100/proje!$I49,"")</f>
        <v/>
      </c>
      <c r="CL554" s="39" t="str">
        <f>IFERROR(proje!CW49*100/proje!$I49,"")</f>
        <v/>
      </c>
      <c r="CM554" s="39" t="str">
        <f>IFERROR(proje!CX49*100/proje!$I49,"")</f>
        <v/>
      </c>
      <c r="CN554" s="39" t="str">
        <f>IFERROR(proje!CY49*100/proje!$I49,"")</f>
        <v/>
      </c>
      <c r="CO554" s="39" t="str">
        <f>IFERROR(proje!CZ49*100/proje!$I49,"")</f>
        <v/>
      </c>
      <c r="CP554" s="39" t="str">
        <f>IFERROR(proje!DA49*100/proje!$I49,"")</f>
        <v/>
      </c>
      <c r="CQ554" s="39" t="str">
        <f>IFERROR(proje!DB49*100/proje!$I49,"")</f>
        <v/>
      </c>
      <c r="CR554" s="39" t="str">
        <f>IFERROR(proje!DC49*100/proje!$I49,"")</f>
        <v/>
      </c>
      <c r="CS554" s="39" t="str">
        <f>IFERROR(proje!DD49*100/proje!$I49,"")</f>
        <v/>
      </c>
      <c r="CT554" s="39" t="str">
        <f>IFERROR(proje!DE49*100/proje!$I49,"")</f>
        <v/>
      </c>
      <c r="CU554" s="39" t="str">
        <f>IFERROR(proje!DF49*100/proje!$I49,"")</f>
        <v/>
      </c>
      <c r="CV554" s="39" t="str">
        <f>IFERROR(proje!DG49*100/proje!$I49,"")</f>
        <v/>
      </c>
      <c r="CW554" s="36" t="str">
        <f>IFERROR(SUM(A554:CV554)/proje!$DH$103,"")</f>
        <v/>
      </c>
      <c r="CX554" s="14" t="str">
        <f>IF(COUNTA(proje!A49),proje!A49,"")</f>
        <v/>
      </c>
      <c r="CY554" s="14" t="str">
        <f>IF(COUNTA(proje!B49),proje!B49,"")</f>
        <v/>
      </c>
      <c r="CZ554" s="14" t="str">
        <f>IF(COUNTA(proje!C49),proje!C49,"")</f>
        <v/>
      </c>
      <c r="DA554" s="14" t="str">
        <f>IF(COUNTA(proje!D49),proje!D49,"")</f>
        <v/>
      </c>
      <c r="DB554" s="14" t="str">
        <f>IF(COUNTA(proje!E49),proje!E49,"")</f>
        <v/>
      </c>
      <c r="DC554" s="14" t="str">
        <f>IF(COUNTA(proje!F49),proje!F49,"")</f>
        <v/>
      </c>
      <c r="DD554" s="14" t="str">
        <f>IF(COUNTA(proje!G49),proje!G49,"")</f>
        <v/>
      </c>
      <c r="DE554" s="14" t="str">
        <f>IF(COUNTA(proje!H49),proje!H49,"")</f>
        <v/>
      </c>
    </row>
    <row r="555" spans="1:109" x14ac:dyDescent="0.2">
      <c r="A555" s="39" t="str">
        <f>IFERROR(proje!L50*100/proje!$I50,"")</f>
        <v/>
      </c>
      <c r="B555" s="39" t="str">
        <f>IFERROR(proje!M50*100/proje!$I50,"")</f>
        <v/>
      </c>
      <c r="C555" s="39" t="str">
        <f>IFERROR(proje!N50*100/proje!$I50,"")</f>
        <v/>
      </c>
      <c r="D555" s="39" t="str">
        <f>IFERROR(proje!O50*100/proje!$I50,"")</f>
        <v/>
      </c>
      <c r="E555" s="39" t="str">
        <f>IFERROR(proje!P50*100/proje!$I50,"")</f>
        <v/>
      </c>
      <c r="F555" s="39" t="str">
        <f>IFERROR(proje!Q50*100/proje!$I50,"")</f>
        <v/>
      </c>
      <c r="G555" s="39" t="str">
        <f>IFERROR(proje!R50*100/proje!$I50,"")</f>
        <v/>
      </c>
      <c r="H555" s="39" t="str">
        <f>IFERROR(proje!S50*100/proje!$I50,"")</f>
        <v/>
      </c>
      <c r="I555" s="39" t="str">
        <f>IFERROR(proje!T50*100/proje!$I50,"")</f>
        <v/>
      </c>
      <c r="J555" s="39" t="str">
        <f>IFERROR(proje!U50*100/proje!$I50,"")</f>
        <v/>
      </c>
      <c r="K555" s="39" t="str">
        <f>IFERROR(proje!V50*100/proje!$I50,"")</f>
        <v/>
      </c>
      <c r="L555" s="39" t="str">
        <f>IFERROR(proje!W50*100/proje!$I50,"")</f>
        <v/>
      </c>
      <c r="M555" s="39" t="str">
        <f>IFERROR(proje!X50*100/proje!$I50,"")</f>
        <v/>
      </c>
      <c r="N555" s="39" t="str">
        <f>IFERROR(proje!Y50*100/proje!$I50,"")</f>
        <v/>
      </c>
      <c r="O555" s="39" t="str">
        <f>IFERROR(proje!Z50*100/proje!$I50,"")</f>
        <v/>
      </c>
      <c r="P555" s="39" t="str">
        <f>IFERROR(proje!AA50*100/proje!$I50,"")</f>
        <v/>
      </c>
      <c r="Q555" s="39" t="str">
        <f>IFERROR(proje!AB50*100/proje!$I50,"")</f>
        <v/>
      </c>
      <c r="R555" s="39" t="str">
        <f>IFERROR(proje!AC50*100/proje!$I50,"")</f>
        <v/>
      </c>
      <c r="S555" s="39" t="str">
        <f>IFERROR(proje!AD50*100/proje!$I50,"")</f>
        <v/>
      </c>
      <c r="T555" s="39" t="str">
        <f>IFERROR(proje!AE50*100/proje!$I50,"")</f>
        <v/>
      </c>
      <c r="U555" s="39" t="str">
        <f>IFERROR(proje!AF50*100/proje!$I50,"")</f>
        <v/>
      </c>
      <c r="V555" s="39" t="str">
        <f>IFERROR(proje!AG50*100/proje!$I50,"")</f>
        <v/>
      </c>
      <c r="W555" s="39" t="str">
        <f>IFERROR(proje!AH50*100/proje!$I50,"")</f>
        <v/>
      </c>
      <c r="X555" s="39" t="str">
        <f>IFERROR(proje!AI50*100/proje!$I50,"")</f>
        <v/>
      </c>
      <c r="Y555" s="39" t="str">
        <f>IFERROR(proje!AJ50*100/proje!$I50,"")</f>
        <v/>
      </c>
      <c r="Z555" s="39" t="str">
        <f>IFERROR(proje!AK50*100/proje!$I50,"")</f>
        <v/>
      </c>
      <c r="AA555" s="39" t="str">
        <f>IFERROR(proje!AL50*100/proje!$I50,"")</f>
        <v/>
      </c>
      <c r="AB555" s="39" t="str">
        <f>IFERROR(proje!AM50*100/proje!$I50,"")</f>
        <v/>
      </c>
      <c r="AC555" s="39" t="str">
        <f>IFERROR(proje!AN50*100/proje!$I50,"")</f>
        <v/>
      </c>
      <c r="AD555" s="39" t="str">
        <f>IFERROR(proje!AO50*100/proje!$I50,"")</f>
        <v/>
      </c>
      <c r="AE555" s="39" t="str">
        <f>IFERROR(proje!AP50*100/proje!$I50,"")</f>
        <v/>
      </c>
      <c r="AF555" s="39" t="str">
        <f>IFERROR(proje!AQ50*100/proje!$I50,"")</f>
        <v/>
      </c>
      <c r="AG555" s="39" t="str">
        <f>IFERROR(proje!AR50*100/proje!$I50,"")</f>
        <v/>
      </c>
      <c r="AH555" s="39" t="str">
        <f>IFERROR(proje!AS50*100/proje!$I50,"")</f>
        <v/>
      </c>
      <c r="AI555" s="39" t="str">
        <f>IFERROR(proje!AT50*100/proje!$I50,"")</f>
        <v/>
      </c>
      <c r="AJ555" s="39" t="str">
        <f>IFERROR(proje!AU50*100/proje!$I50,"")</f>
        <v/>
      </c>
      <c r="AK555" s="39" t="str">
        <f>IFERROR(proje!AV50*100/proje!$I50,"")</f>
        <v/>
      </c>
      <c r="AL555" s="39" t="str">
        <f>IFERROR(proje!AW50*100/proje!$I50,"")</f>
        <v/>
      </c>
      <c r="AM555" s="39" t="str">
        <f>IFERROR(proje!AX50*100/proje!$I50,"")</f>
        <v/>
      </c>
      <c r="AN555" s="39" t="str">
        <f>IFERROR(proje!AY50*100/proje!$I50,"")</f>
        <v/>
      </c>
      <c r="AO555" s="39" t="str">
        <f>IFERROR(proje!AZ50*100/proje!$I50,"")</f>
        <v/>
      </c>
      <c r="AP555" s="39" t="str">
        <f>IFERROR(proje!BA50*100/proje!$I50,"")</f>
        <v/>
      </c>
      <c r="AQ555" s="39" t="str">
        <f>IFERROR(proje!BB50*100/proje!$I50,"")</f>
        <v/>
      </c>
      <c r="AR555" s="39" t="str">
        <f>IFERROR(proje!BC50*100/proje!$I50,"")</f>
        <v/>
      </c>
      <c r="AS555" s="39" t="str">
        <f>IFERROR(proje!BD50*100/proje!$I50,"")</f>
        <v/>
      </c>
      <c r="AT555" s="39" t="str">
        <f>IFERROR(proje!BE50*100/proje!$I50,"")</f>
        <v/>
      </c>
      <c r="AU555" s="39" t="str">
        <f>IFERROR(proje!BF50*100/proje!$I50,"")</f>
        <v/>
      </c>
      <c r="AV555" s="39" t="str">
        <f>IFERROR(proje!BG50*100/proje!$I50,"")</f>
        <v/>
      </c>
      <c r="AW555" s="39" t="str">
        <f>IFERROR(proje!BH50*100/proje!$I50,"")</f>
        <v/>
      </c>
      <c r="AX555" s="39" t="str">
        <f>IFERROR(proje!BI50*100/proje!$I50,"")</f>
        <v/>
      </c>
      <c r="AY555" s="39" t="str">
        <f>IFERROR(proje!BJ50*100/proje!$I50,"")</f>
        <v/>
      </c>
      <c r="AZ555" s="39" t="str">
        <f>IFERROR(proje!BK50*100/proje!$I50,"")</f>
        <v/>
      </c>
      <c r="BA555" s="39" t="str">
        <f>IFERROR(proje!BL50*100/proje!$I50,"")</f>
        <v/>
      </c>
      <c r="BB555" s="39" t="str">
        <f>IFERROR(proje!BM50*100/proje!$I50,"")</f>
        <v/>
      </c>
      <c r="BC555" s="39" t="str">
        <f>IFERROR(proje!BN50*100/proje!$I50,"")</f>
        <v/>
      </c>
      <c r="BD555" s="39" t="str">
        <f>IFERROR(proje!BO50*100/proje!$I50,"")</f>
        <v/>
      </c>
      <c r="BE555" s="39" t="str">
        <f>IFERROR(proje!BP50*100/proje!$I50,"")</f>
        <v/>
      </c>
      <c r="BF555" s="39" t="str">
        <f>IFERROR(proje!BQ50*100/proje!$I50,"")</f>
        <v/>
      </c>
      <c r="BG555" s="39" t="str">
        <f>IFERROR(proje!BR50*100/proje!$I50,"")</f>
        <v/>
      </c>
      <c r="BH555" s="39" t="str">
        <f>IFERROR(proje!BS50*100/proje!$I50,"")</f>
        <v/>
      </c>
      <c r="BI555" s="39" t="str">
        <f>IFERROR(proje!BT50*100/proje!$I50,"")</f>
        <v/>
      </c>
      <c r="BJ555" s="39" t="str">
        <f>IFERROR(proje!BU50*100/proje!$I50,"")</f>
        <v/>
      </c>
      <c r="BK555" s="39" t="str">
        <f>IFERROR(proje!BV50*100/proje!$I50,"")</f>
        <v/>
      </c>
      <c r="BL555" s="39" t="str">
        <f>IFERROR(proje!BW50*100/proje!$I50,"")</f>
        <v/>
      </c>
      <c r="BM555" s="39" t="str">
        <f>IFERROR(proje!BX50*100/proje!$I50,"")</f>
        <v/>
      </c>
      <c r="BN555" s="39" t="str">
        <f>IFERROR(proje!BY50*100/proje!$I50,"")</f>
        <v/>
      </c>
      <c r="BO555" s="39" t="str">
        <f>IFERROR(proje!BZ50*100/proje!$I50,"")</f>
        <v/>
      </c>
      <c r="BP555" s="39" t="str">
        <f>IFERROR(proje!CA50*100/proje!$I50,"")</f>
        <v/>
      </c>
      <c r="BQ555" s="39" t="str">
        <f>IFERROR(proje!CB50*100/proje!$I50,"")</f>
        <v/>
      </c>
      <c r="BR555" s="39" t="str">
        <f>IFERROR(proje!CC50*100/proje!$I50,"")</f>
        <v/>
      </c>
      <c r="BS555" s="39" t="str">
        <f>IFERROR(proje!CD50*100/proje!$I50,"")</f>
        <v/>
      </c>
      <c r="BT555" s="39" t="str">
        <f>IFERROR(proje!CE50*100/proje!$I50,"")</f>
        <v/>
      </c>
      <c r="BU555" s="39" t="str">
        <f>IFERROR(proje!CF50*100/proje!$I50,"")</f>
        <v/>
      </c>
      <c r="BV555" s="39" t="str">
        <f>IFERROR(proje!CG50*100/proje!$I50,"")</f>
        <v/>
      </c>
      <c r="BW555" s="39" t="str">
        <f>IFERROR(proje!CH50*100/proje!$I50,"")</f>
        <v/>
      </c>
      <c r="BX555" s="39" t="str">
        <f>IFERROR(proje!CI50*100/proje!$I50,"")</f>
        <v/>
      </c>
      <c r="BY555" s="39" t="str">
        <f>IFERROR(proje!CJ50*100/proje!$I50,"")</f>
        <v/>
      </c>
      <c r="BZ555" s="39" t="str">
        <f>IFERROR(proje!CK50*100/proje!$I50,"")</f>
        <v/>
      </c>
      <c r="CA555" s="39" t="str">
        <f>IFERROR(proje!CL50*100/proje!$I50,"")</f>
        <v/>
      </c>
      <c r="CB555" s="39" t="str">
        <f>IFERROR(proje!CM50*100/proje!$I50,"")</f>
        <v/>
      </c>
      <c r="CC555" s="39" t="str">
        <f>IFERROR(proje!CN50*100/proje!$I50,"")</f>
        <v/>
      </c>
      <c r="CD555" s="39" t="str">
        <f>IFERROR(proje!CO50*100/proje!$I50,"")</f>
        <v/>
      </c>
      <c r="CE555" s="39" t="str">
        <f>IFERROR(proje!CP50*100/proje!$I50,"")</f>
        <v/>
      </c>
      <c r="CF555" s="39" t="str">
        <f>IFERROR(proje!CQ50*100/proje!$I50,"")</f>
        <v/>
      </c>
      <c r="CG555" s="39" t="str">
        <f>IFERROR(proje!CR50*100/proje!$I50,"")</f>
        <v/>
      </c>
      <c r="CH555" s="39" t="str">
        <f>IFERROR(proje!CS50*100/proje!$I50,"")</f>
        <v/>
      </c>
      <c r="CI555" s="39" t="str">
        <f>IFERROR(proje!CT50*100/proje!$I50,"")</f>
        <v/>
      </c>
      <c r="CJ555" s="39" t="str">
        <f>IFERROR(proje!CU50*100/proje!$I50,"")</f>
        <v/>
      </c>
      <c r="CK555" s="39" t="str">
        <f>IFERROR(proje!CV50*100/proje!$I50,"")</f>
        <v/>
      </c>
      <c r="CL555" s="39" t="str">
        <f>IFERROR(proje!CW50*100/proje!$I50,"")</f>
        <v/>
      </c>
      <c r="CM555" s="39" t="str">
        <f>IFERROR(proje!CX50*100/proje!$I50,"")</f>
        <v/>
      </c>
      <c r="CN555" s="39" t="str">
        <f>IFERROR(proje!CY50*100/proje!$I50,"")</f>
        <v/>
      </c>
      <c r="CO555" s="39" t="str">
        <f>IFERROR(proje!CZ50*100/proje!$I50,"")</f>
        <v/>
      </c>
      <c r="CP555" s="39" t="str">
        <f>IFERROR(proje!DA50*100/proje!$I50,"")</f>
        <v/>
      </c>
      <c r="CQ555" s="39" t="str">
        <f>IFERROR(proje!DB50*100/proje!$I50,"")</f>
        <v/>
      </c>
      <c r="CR555" s="39" t="str">
        <f>IFERROR(proje!DC50*100/proje!$I50,"")</f>
        <v/>
      </c>
      <c r="CS555" s="39" t="str">
        <f>IFERROR(proje!DD50*100/proje!$I50,"")</f>
        <v/>
      </c>
      <c r="CT555" s="39" t="str">
        <f>IFERROR(proje!DE50*100/proje!$I50,"")</f>
        <v/>
      </c>
      <c r="CU555" s="39" t="str">
        <f>IFERROR(proje!DF50*100/proje!$I50,"")</f>
        <v/>
      </c>
      <c r="CV555" s="39" t="str">
        <f>IFERROR(proje!DG50*100/proje!$I50,"")</f>
        <v/>
      </c>
      <c r="CW555" s="36" t="str">
        <f>IFERROR(SUM(A555:CV555)/proje!$DH$103,"")</f>
        <v/>
      </c>
      <c r="CX555" s="14" t="str">
        <f>IF(COUNTA(proje!A50),proje!A50,"")</f>
        <v/>
      </c>
      <c r="CY555" s="14" t="str">
        <f>IF(COUNTA(proje!B50),proje!B50,"")</f>
        <v/>
      </c>
      <c r="CZ555" s="14" t="str">
        <f>IF(COUNTA(proje!C50),proje!C50,"")</f>
        <v/>
      </c>
      <c r="DA555" s="14" t="str">
        <f>IF(COUNTA(proje!D50),proje!D50,"")</f>
        <v/>
      </c>
      <c r="DB555" s="14" t="str">
        <f>IF(COUNTA(proje!E50),proje!E50,"")</f>
        <v/>
      </c>
      <c r="DC555" s="14" t="str">
        <f>IF(COUNTA(proje!F50),proje!F50,"")</f>
        <v/>
      </c>
      <c r="DD555" s="14" t="str">
        <f>IF(COUNTA(proje!G50),proje!G50,"")</f>
        <v/>
      </c>
      <c r="DE555" s="14" t="str">
        <f>IF(COUNTA(proje!H50),proje!H50,"")</f>
        <v/>
      </c>
    </row>
    <row r="556" spans="1:109" x14ac:dyDescent="0.2">
      <c r="A556" s="39" t="str">
        <f>IFERROR(proje!L51*100/proje!$I51,"")</f>
        <v/>
      </c>
      <c r="B556" s="39" t="str">
        <f>IFERROR(proje!M51*100/proje!$I51,"")</f>
        <v/>
      </c>
      <c r="C556" s="39" t="str">
        <f>IFERROR(proje!N51*100/proje!$I51,"")</f>
        <v/>
      </c>
      <c r="D556" s="39" t="str">
        <f>IFERROR(proje!O51*100/proje!$I51,"")</f>
        <v/>
      </c>
      <c r="E556" s="39" t="str">
        <f>IFERROR(proje!P51*100/proje!$I51,"")</f>
        <v/>
      </c>
      <c r="F556" s="39" t="str">
        <f>IFERROR(proje!Q51*100/proje!$I51,"")</f>
        <v/>
      </c>
      <c r="G556" s="39" t="str">
        <f>IFERROR(proje!R51*100/proje!$I51,"")</f>
        <v/>
      </c>
      <c r="H556" s="39" t="str">
        <f>IFERROR(proje!S51*100/proje!$I51,"")</f>
        <v/>
      </c>
      <c r="I556" s="39" t="str">
        <f>IFERROR(proje!T51*100/proje!$I51,"")</f>
        <v/>
      </c>
      <c r="J556" s="39" t="str">
        <f>IFERROR(proje!U51*100/proje!$I51,"")</f>
        <v/>
      </c>
      <c r="K556" s="39" t="str">
        <f>IFERROR(proje!V51*100/proje!$I51,"")</f>
        <v/>
      </c>
      <c r="L556" s="39" t="str">
        <f>IFERROR(proje!W51*100/proje!$I51,"")</f>
        <v/>
      </c>
      <c r="M556" s="39" t="str">
        <f>IFERROR(proje!X51*100/proje!$I51,"")</f>
        <v/>
      </c>
      <c r="N556" s="39" t="str">
        <f>IFERROR(proje!Y51*100/proje!$I51,"")</f>
        <v/>
      </c>
      <c r="O556" s="39" t="str">
        <f>IFERROR(proje!Z51*100/proje!$I51,"")</f>
        <v/>
      </c>
      <c r="P556" s="39" t="str">
        <f>IFERROR(proje!AA51*100/proje!$I51,"")</f>
        <v/>
      </c>
      <c r="Q556" s="39" t="str">
        <f>IFERROR(proje!AB51*100/proje!$I51,"")</f>
        <v/>
      </c>
      <c r="R556" s="39" t="str">
        <f>IFERROR(proje!AC51*100/proje!$I51,"")</f>
        <v/>
      </c>
      <c r="S556" s="39" t="str">
        <f>IFERROR(proje!AD51*100/proje!$I51,"")</f>
        <v/>
      </c>
      <c r="T556" s="39" t="str">
        <f>IFERROR(proje!AE51*100/proje!$I51,"")</f>
        <v/>
      </c>
      <c r="U556" s="39" t="str">
        <f>IFERROR(proje!AF51*100/proje!$I51,"")</f>
        <v/>
      </c>
      <c r="V556" s="39" t="str">
        <f>IFERROR(proje!AG51*100/proje!$I51,"")</f>
        <v/>
      </c>
      <c r="W556" s="39" t="str">
        <f>IFERROR(proje!AH51*100/proje!$I51,"")</f>
        <v/>
      </c>
      <c r="X556" s="39" t="str">
        <f>IFERROR(proje!AI51*100/proje!$I51,"")</f>
        <v/>
      </c>
      <c r="Y556" s="39" t="str">
        <f>IFERROR(proje!AJ51*100/proje!$I51,"")</f>
        <v/>
      </c>
      <c r="Z556" s="39" t="str">
        <f>IFERROR(proje!AK51*100/proje!$I51,"")</f>
        <v/>
      </c>
      <c r="AA556" s="39" t="str">
        <f>IFERROR(proje!AL51*100/proje!$I51,"")</f>
        <v/>
      </c>
      <c r="AB556" s="39" t="str">
        <f>IFERROR(proje!AM51*100/proje!$I51,"")</f>
        <v/>
      </c>
      <c r="AC556" s="39" t="str">
        <f>IFERROR(proje!AN51*100/proje!$I51,"")</f>
        <v/>
      </c>
      <c r="AD556" s="39" t="str">
        <f>IFERROR(proje!AO51*100/proje!$I51,"")</f>
        <v/>
      </c>
      <c r="AE556" s="39" t="str">
        <f>IFERROR(proje!AP51*100/proje!$I51,"")</f>
        <v/>
      </c>
      <c r="AF556" s="39" t="str">
        <f>IFERROR(proje!AQ51*100/proje!$I51,"")</f>
        <v/>
      </c>
      <c r="AG556" s="39" t="str">
        <f>IFERROR(proje!AR51*100/proje!$I51,"")</f>
        <v/>
      </c>
      <c r="AH556" s="39" t="str">
        <f>IFERROR(proje!AS51*100/proje!$I51,"")</f>
        <v/>
      </c>
      <c r="AI556" s="39" t="str">
        <f>IFERROR(proje!AT51*100/proje!$I51,"")</f>
        <v/>
      </c>
      <c r="AJ556" s="39" t="str">
        <f>IFERROR(proje!AU51*100/proje!$I51,"")</f>
        <v/>
      </c>
      <c r="AK556" s="39" t="str">
        <f>IFERROR(proje!AV51*100/proje!$I51,"")</f>
        <v/>
      </c>
      <c r="AL556" s="39" t="str">
        <f>IFERROR(proje!AW51*100/proje!$I51,"")</f>
        <v/>
      </c>
      <c r="AM556" s="39" t="str">
        <f>IFERROR(proje!AX51*100/proje!$I51,"")</f>
        <v/>
      </c>
      <c r="AN556" s="39" t="str">
        <f>IFERROR(proje!AY51*100/proje!$I51,"")</f>
        <v/>
      </c>
      <c r="AO556" s="39" t="str">
        <f>IFERROR(proje!AZ51*100/proje!$I51,"")</f>
        <v/>
      </c>
      <c r="AP556" s="39" t="str">
        <f>IFERROR(proje!BA51*100/proje!$I51,"")</f>
        <v/>
      </c>
      <c r="AQ556" s="39" t="str">
        <f>IFERROR(proje!BB51*100/proje!$I51,"")</f>
        <v/>
      </c>
      <c r="AR556" s="39" t="str">
        <f>IFERROR(proje!BC51*100/proje!$I51,"")</f>
        <v/>
      </c>
      <c r="AS556" s="39" t="str">
        <f>IFERROR(proje!BD51*100/proje!$I51,"")</f>
        <v/>
      </c>
      <c r="AT556" s="39" t="str">
        <f>IFERROR(proje!BE51*100/proje!$I51,"")</f>
        <v/>
      </c>
      <c r="AU556" s="39" t="str">
        <f>IFERROR(proje!BF51*100/proje!$I51,"")</f>
        <v/>
      </c>
      <c r="AV556" s="39" t="str">
        <f>IFERROR(proje!BG51*100/proje!$I51,"")</f>
        <v/>
      </c>
      <c r="AW556" s="39" t="str">
        <f>IFERROR(proje!BH51*100/proje!$I51,"")</f>
        <v/>
      </c>
      <c r="AX556" s="39" t="str">
        <f>IFERROR(proje!BI51*100/proje!$I51,"")</f>
        <v/>
      </c>
      <c r="AY556" s="39" t="str">
        <f>IFERROR(proje!BJ51*100/proje!$I51,"")</f>
        <v/>
      </c>
      <c r="AZ556" s="39" t="str">
        <f>IFERROR(proje!BK51*100/proje!$I51,"")</f>
        <v/>
      </c>
      <c r="BA556" s="39" t="str">
        <f>IFERROR(proje!BL51*100/proje!$I51,"")</f>
        <v/>
      </c>
      <c r="BB556" s="39" t="str">
        <f>IFERROR(proje!BM51*100/proje!$I51,"")</f>
        <v/>
      </c>
      <c r="BC556" s="39" t="str">
        <f>IFERROR(proje!BN51*100/proje!$I51,"")</f>
        <v/>
      </c>
      <c r="BD556" s="39" t="str">
        <f>IFERROR(proje!BO51*100/proje!$I51,"")</f>
        <v/>
      </c>
      <c r="BE556" s="39" t="str">
        <f>IFERROR(proje!BP51*100/proje!$I51,"")</f>
        <v/>
      </c>
      <c r="BF556" s="39" t="str">
        <f>IFERROR(proje!BQ51*100/proje!$I51,"")</f>
        <v/>
      </c>
      <c r="BG556" s="39" t="str">
        <f>IFERROR(proje!BR51*100/proje!$I51,"")</f>
        <v/>
      </c>
      <c r="BH556" s="39" t="str">
        <f>IFERROR(proje!BS51*100/proje!$I51,"")</f>
        <v/>
      </c>
      <c r="BI556" s="39" t="str">
        <f>IFERROR(proje!BT51*100/proje!$I51,"")</f>
        <v/>
      </c>
      <c r="BJ556" s="39" t="str">
        <f>IFERROR(proje!BU51*100/proje!$I51,"")</f>
        <v/>
      </c>
      <c r="BK556" s="39" t="str">
        <f>IFERROR(proje!BV51*100/proje!$I51,"")</f>
        <v/>
      </c>
      <c r="BL556" s="39" t="str">
        <f>IFERROR(proje!BW51*100/proje!$I51,"")</f>
        <v/>
      </c>
      <c r="BM556" s="39" t="str">
        <f>IFERROR(proje!BX51*100/proje!$I51,"")</f>
        <v/>
      </c>
      <c r="BN556" s="39" t="str">
        <f>IFERROR(proje!BY51*100/proje!$I51,"")</f>
        <v/>
      </c>
      <c r="BO556" s="39" t="str">
        <f>IFERROR(proje!BZ51*100/proje!$I51,"")</f>
        <v/>
      </c>
      <c r="BP556" s="39" t="str">
        <f>IFERROR(proje!CA51*100/proje!$I51,"")</f>
        <v/>
      </c>
      <c r="BQ556" s="39" t="str">
        <f>IFERROR(proje!CB51*100/proje!$I51,"")</f>
        <v/>
      </c>
      <c r="BR556" s="39" t="str">
        <f>IFERROR(proje!CC51*100/proje!$I51,"")</f>
        <v/>
      </c>
      <c r="BS556" s="39" t="str">
        <f>IFERROR(proje!CD51*100/proje!$I51,"")</f>
        <v/>
      </c>
      <c r="BT556" s="39" t="str">
        <f>IFERROR(proje!CE51*100/proje!$I51,"")</f>
        <v/>
      </c>
      <c r="BU556" s="39" t="str">
        <f>IFERROR(proje!CF51*100/proje!$I51,"")</f>
        <v/>
      </c>
      <c r="BV556" s="39" t="str">
        <f>IFERROR(proje!CG51*100/proje!$I51,"")</f>
        <v/>
      </c>
      <c r="BW556" s="39" t="str">
        <f>IFERROR(proje!CH51*100/proje!$I51,"")</f>
        <v/>
      </c>
      <c r="BX556" s="39" t="str">
        <f>IFERROR(proje!CI51*100/proje!$I51,"")</f>
        <v/>
      </c>
      <c r="BY556" s="39" t="str">
        <f>IFERROR(proje!CJ51*100/proje!$I51,"")</f>
        <v/>
      </c>
      <c r="BZ556" s="39" t="str">
        <f>IFERROR(proje!CK51*100/proje!$I51,"")</f>
        <v/>
      </c>
      <c r="CA556" s="39" t="str">
        <f>IFERROR(proje!CL51*100/proje!$I51,"")</f>
        <v/>
      </c>
      <c r="CB556" s="39" t="str">
        <f>IFERROR(proje!CM51*100/proje!$I51,"")</f>
        <v/>
      </c>
      <c r="CC556" s="39" t="str">
        <f>IFERROR(proje!CN51*100/proje!$I51,"")</f>
        <v/>
      </c>
      <c r="CD556" s="39" t="str">
        <f>IFERROR(proje!CO51*100/proje!$I51,"")</f>
        <v/>
      </c>
      <c r="CE556" s="39" t="str">
        <f>IFERROR(proje!CP51*100/proje!$I51,"")</f>
        <v/>
      </c>
      <c r="CF556" s="39" t="str">
        <f>IFERROR(proje!CQ51*100/proje!$I51,"")</f>
        <v/>
      </c>
      <c r="CG556" s="39" t="str">
        <f>IFERROR(proje!CR51*100/proje!$I51,"")</f>
        <v/>
      </c>
      <c r="CH556" s="39" t="str">
        <f>IFERROR(proje!CS51*100/proje!$I51,"")</f>
        <v/>
      </c>
      <c r="CI556" s="39" t="str">
        <f>IFERROR(proje!CT51*100/proje!$I51,"")</f>
        <v/>
      </c>
      <c r="CJ556" s="39" t="str">
        <f>IFERROR(proje!CU51*100/proje!$I51,"")</f>
        <v/>
      </c>
      <c r="CK556" s="39" t="str">
        <f>IFERROR(proje!CV51*100/proje!$I51,"")</f>
        <v/>
      </c>
      <c r="CL556" s="39" t="str">
        <f>IFERROR(proje!CW51*100/proje!$I51,"")</f>
        <v/>
      </c>
      <c r="CM556" s="39" t="str">
        <f>IFERROR(proje!CX51*100/proje!$I51,"")</f>
        <v/>
      </c>
      <c r="CN556" s="39" t="str">
        <f>IFERROR(proje!CY51*100/proje!$I51,"")</f>
        <v/>
      </c>
      <c r="CO556" s="39" t="str">
        <f>IFERROR(proje!CZ51*100/proje!$I51,"")</f>
        <v/>
      </c>
      <c r="CP556" s="39" t="str">
        <f>IFERROR(proje!DA51*100/proje!$I51,"")</f>
        <v/>
      </c>
      <c r="CQ556" s="39" t="str">
        <f>IFERROR(proje!DB51*100/proje!$I51,"")</f>
        <v/>
      </c>
      <c r="CR556" s="39" t="str">
        <f>IFERROR(proje!DC51*100/proje!$I51,"")</f>
        <v/>
      </c>
      <c r="CS556" s="39" t="str">
        <f>IFERROR(proje!DD51*100/proje!$I51,"")</f>
        <v/>
      </c>
      <c r="CT556" s="39" t="str">
        <f>IFERROR(proje!DE51*100/proje!$I51,"")</f>
        <v/>
      </c>
      <c r="CU556" s="39" t="str">
        <f>IFERROR(proje!DF51*100/proje!$I51,"")</f>
        <v/>
      </c>
      <c r="CV556" s="39" t="str">
        <f>IFERROR(proje!DG51*100/proje!$I51,"")</f>
        <v/>
      </c>
      <c r="CW556" s="36" t="str">
        <f>IFERROR(SUM(A556:CV556)/proje!$DH$103,"")</f>
        <v/>
      </c>
      <c r="CX556" s="14" t="str">
        <f>IF(COUNTA(proje!A51),proje!A51,"")</f>
        <v/>
      </c>
      <c r="CY556" s="14" t="str">
        <f>IF(COUNTA(proje!B51),proje!B51,"")</f>
        <v/>
      </c>
      <c r="CZ556" s="14" t="str">
        <f>IF(COUNTA(proje!C51),proje!C51,"")</f>
        <v/>
      </c>
      <c r="DA556" s="14" t="str">
        <f>IF(COUNTA(proje!D51),proje!D51,"")</f>
        <v/>
      </c>
      <c r="DB556" s="14" t="str">
        <f>IF(COUNTA(proje!E51),proje!E51,"")</f>
        <v/>
      </c>
      <c r="DC556" s="14" t="str">
        <f>IF(COUNTA(proje!F51),proje!F51,"")</f>
        <v/>
      </c>
      <c r="DD556" s="14" t="str">
        <f>IF(COUNTA(proje!G51),proje!G51,"")</f>
        <v/>
      </c>
      <c r="DE556" s="14" t="str">
        <f>IF(COUNTA(proje!H51),proje!H51,"")</f>
        <v/>
      </c>
    </row>
    <row r="557" spans="1:109" x14ac:dyDescent="0.2">
      <c r="A557" s="39" t="str">
        <f>IFERROR(proje!L52*100/proje!$I52,"")</f>
        <v/>
      </c>
      <c r="B557" s="39" t="str">
        <f>IFERROR(proje!M52*100/proje!$I52,"")</f>
        <v/>
      </c>
      <c r="C557" s="39" t="str">
        <f>IFERROR(proje!N52*100/proje!$I52,"")</f>
        <v/>
      </c>
      <c r="D557" s="39" t="str">
        <f>IFERROR(proje!O52*100/proje!$I52,"")</f>
        <v/>
      </c>
      <c r="E557" s="39" t="str">
        <f>IFERROR(proje!P52*100/proje!$I52,"")</f>
        <v/>
      </c>
      <c r="F557" s="39" t="str">
        <f>IFERROR(proje!Q52*100/proje!$I52,"")</f>
        <v/>
      </c>
      <c r="G557" s="39" t="str">
        <f>IFERROR(proje!R52*100/proje!$I52,"")</f>
        <v/>
      </c>
      <c r="H557" s="39" t="str">
        <f>IFERROR(proje!S52*100/proje!$I52,"")</f>
        <v/>
      </c>
      <c r="I557" s="39" t="str">
        <f>IFERROR(proje!T52*100/proje!$I52,"")</f>
        <v/>
      </c>
      <c r="J557" s="39" t="str">
        <f>IFERROR(proje!U52*100/proje!$I52,"")</f>
        <v/>
      </c>
      <c r="K557" s="39" t="str">
        <f>IFERROR(proje!V52*100/proje!$I52,"")</f>
        <v/>
      </c>
      <c r="L557" s="39" t="str">
        <f>IFERROR(proje!W52*100/proje!$I52,"")</f>
        <v/>
      </c>
      <c r="M557" s="39" t="str">
        <f>IFERROR(proje!X52*100/proje!$I52,"")</f>
        <v/>
      </c>
      <c r="N557" s="39" t="str">
        <f>IFERROR(proje!Y52*100/proje!$I52,"")</f>
        <v/>
      </c>
      <c r="O557" s="39" t="str">
        <f>IFERROR(proje!Z52*100/proje!$I52,"")</f>
        <v/>
      </c>
      <c r="P557" s="39" t="str">
        <f>IFERROR(proje!AA52*100/proje!$I52,"")</f>
        <v/>
      </c>
      <c r="Q557" s="39" t="str">
        <f>IFERROR(proje!AB52*100/proje!$I52,"")</f>
        <v/>
      </c>
      <c r="R557" s="39" t="str">
        <f>IFERROR(proje!AC52*100/proje!$I52,"")</f>
        <v/>
      </c>
      <c r="S557" s="39" t="str">
        <f>IFERROR(proje!AD52*100/proje!$I52,"")</f>
        <v/>
      </c>
      <c r="T557" s="39" t="str">
        <f>IFERROR(proje!AE52*100/proje!$I52,"")</f>
        <v/>
      </c>
      <c r="U557" s="39" t="str">
        <f>IFERROR(proje!AF52*100/proje!$I52,"")</f>
        <v/>
      </c>
      <c r="V557" s="39" t="str">
        <f>IFERROR(proje!AG52*100/proje!$I52,"")</f>
        <v/>
      </c>
      <c r="W557" s="39" t="str">
        <f>IFERROR(proje!AH52*100/proje!$I52,"")</f>
        <v/>
      </c>
      <c r="X557" s="39" t="str">
        <f>IFERROR(proje!AI52*100/proje!$I52,"")</f>
        <v/>
      </c>
      <c r="Y557" s="39" t="str">
        <f>IFERROR(proje!AJ52*100/proje!$I52,"")</f>
        <v/>
      </c>
      <c r="Z557" s="39" t="str">
        <f>IFERROR(proje!AK52*100/proje!$I52,"")</f>
        <v/>
      </c>
      <c r="AA557" s="39" t="str">
        <f>IFERROR(proje!AL52*100/proje!$I52,"")</f>
        <v/>
      </c>
      <c r="AB557" s="39" t="str">
        <f>IFERROR(proje!AM52*100/proje!$I52,"")</f>
        <v/>
      </c>
      <c r="AC557" s="39" t="str">
        <f>IFERROR(proje!AN52*100/proje!$I52,"")</f>
        <v/>
      </c>
      <c r="AD557" s="39" t="str">
        <f>IFERROR(proje!AO52*100/proje!$I52,"")</f>
        <v/>
      </c>
      <c r="AE557" s="39" t="str">
        <f>IFERROR(proje!AP52*100/proje!$I52,"")</f>
        <v/>
      </c>
      <c r="AF557" s="39" t="str">
        <f>IFERROR(proje!AQ52*100/proje!$I52,"")</f>
        <v/>
      </c>
      <c r="AG557" s="39" t="str">
        <f>IFERROR(proje!AR52*100/proje!$I52,"")</f>
        <v/>
      </c>
      <c r="AH557" s="39" t="str">
        <f>IFERROR(proje!AS52*100/proje!$I52,"")</f>
        <v/>
      </c>
      <c r="AI557" s="39" t="str">
        <f>IFERROR(proje!AT52*100/proje!$I52,"")</f>
        <v/>
      </c>
      <c r="AJ557" s="39" t="str">
        <f>IFERROR(proje!AU52*100/proje!$I52,"")</f>
        <v/>
      </c>
      <c r="AK557" s="39" t="str">
        <f>IFERROR(proje!AV52*100/proje!$I52,"")</f>
        <v/>
      </c>
      <c r="AL557" s="39" t="str">
        <f>IFERROR(proje!AW52*100/proje!$I52,"")</f>
        <v/>
      </c>
      <c r="AM557" s="39" t="str">
        <f>IFERROR(proje!AX52*100/proje!$I52,"")</f>
        <v/>
      </c>
      <c r="AN557" s="39" t="str">
        <f>IFERROR(proje!AY52*100/proje!$I52,"")</f>
        <v/>
      </c>
      <c r="AO557" s="39" t="str">
        <f>IFERROR(proje!AZ52*100/proje!$I52,"")</f>
        <v/>
      </c>
      <c r="AP557" s="39" t="str">
        <f>IFERROR(proje!BA52*100/proje!$I52,"")</f>
        <v/>
      </c>
      <c r="AQ557" s="39" t="str">
        <f>IFERROR(proje!BB52*100/proje!$I52,"")</f>
        <v/>
      </c>
      <c r="AR557" s="39" t="str">
        <f>IFERROR(proje!BC52*100/proje!$I52,"")</f>
        <v/>
      </c>
      <c r="AS557" s="39" t="str">
        <f>IFERROR(proje!BD52*100/proje!$I52,"")</f>
        <v/>
      </c>
      <c r="AT557" s="39" t="str">
        <f>IFERROR(proje!BE52*100/proje!$I52,"")</f>
        <v/>
      </c>
      <c r="AU557" s="39" t="str">
        <f>IFERROR(proje!BF52*100/proje!$I52,"")</f>
        <v/>
      </c>
      <c r="AV557" s="39" t="str">
        <f>IFERROR(proje!BG52*100/proje!$I52,"")</f>
        <v/>
      </c>
      <c r="AW557" s="39" t="str">
        <f>IFERROR(proje!BH52*100/proje!$I52,"")</f>
        <v/>
      </c>
      <c r="AX557" s="39" t="str">
        <f>IFERROR(proje!BI52*100/proje!$I52,"")</f>
        <v/>
      </c>
      <c r="AY557" s="39" t="str">
        <f>IFERROR(proje!BJ52*100/proje!$I52,"")</f>
        <v/>
      </c>
      <c r="AZ557" s="39" t="str">
        <f>IFERROR(proje!BK52*100/proje!$I52,"")</f>
        <v/>
      </c>
      <c r="BA557" s="39" t="str">
        <f>IFERROR(proje!BL52*100/proje!$I52,"")</f>
        <v/>
      </c>
      <c r="BB557" s="39" t="str">
        <f>IFERROR(proje!BM52*100/proje!$I52,"")</f>
        <v/>
      </c>
      <c r="BC557" s="39" t="str">
        <f>IFERROR(proje!BN52*100/proje!$I52,"")</f>
        <v/>
      </c>
      <c r="BD557" s="39" t="str">
        <f>IFERROR(proje!BO52*100/proje!$I52,"")</f>
        <v/>
      </c>
      <c r="BE557" s="39" t="str">
        <f>IFERROR(proje!BP52*100/proje!$I52,"")</f>
        <v/>
      </c>
      <c r="BF557" s="39" t="str">
        <f>IFERROR(proje!BQ52*100/proje!$I52,"")</f>
        <v/>
      </c>
      <c r="BG557" s="39" t="str">
        <f>IFERROR(proje!BR52*100/proje!$I52,"")</f>
        <v/>
      </c>
      <c r="BH557" s="39" t="str">
        <f>IFERROR(proje!BS52*100/proje!$I52,"")</f>
        <v/>
      </c>
      <c r="BI557" s="39" t="str">
        <f>IFERROR(proje!BT52*100/proje!$I52,"")</f>
        <v/>
      </c>
      <c r="BJ557" s="39" t="str">
        <f>IFERROR(proje!BU52*100/proje!$I52,"")</f>
        <v/>
      </c>
      <c r="BK557" s="39" t="str">
        <f>IFERROR(proje!BV52*100/proje!$I52,"")</f>
        <v/>
      </c>
      <c r="BL557" s="39" t="str">
        <f>IFERROR(proje!BW52*100/proje!$I52,"")</f>
        <v/>
      </c>
      <c r="BM557" s="39" t="str">
        <f>IFERROR(proje!BX52*100/proje!$I52,"")</f>
        <v/>
      </c>
      <c r="BN557" s="39" t="str">
        <f>IFERROR(proje!BY52*100/proje!$I52,"")</f>
        <v/>
      </c>
      <c r="BO557" s="39" t="str">
        <f>IFERROR(proje!BZ52*100/proje!$I52,"")</f>
        <v/>
      </c>
      <c r="BP557" s="39" t="str">
        <f>IFERROR(proje!CA52*100/proje!$I52,"")</f>
        <v/>
      </c>
      <c r="BQ557" s="39" t="str">
        <f>IFERROR(proje!CB52*100/proje!$I52,"")</f>
        <v/>
      </c>
      <c r="BR557" s="39" t="str">
        <f>IFERROR(proje!CC52*100/proje!$I52,"")</f>
        <v/>
      </c>
      <c r="BS557" s="39" t="str">
        <f>IFERROR(proje!CD52*100/proje!$I52,"")</f>
        <v/>
      </c>
      <c r="BT557" s="39" t="str">
        <f>IFERROR(proje!CE52*100/proje!$I52,"")</f>
        <v/>
      </c>
      <c r="BU557" s="39" t="str">
        <f>IFERROR(proje!CF52*100/proje!$I52,"")</f>
        <v/>
      </c>
      <c r="BV557" s="39" t="str">
        <f>IFERROR(proje!CG52*100/proje!$I52,"")</f>
        <v/>
      </c>
      <c r="BW557" s="39" t="str">
        <f>IFERROR(proje!CH52*100/proje!$I52,"")</f>
        <v/>
      </c>
      <c r="BX557" s="39" t="str">
        <f>IFERROR(proje!CI52*100/proje!$I52,"")</f>
        <v/>
      </c>
      <c r="BY557" s="39" t="str">
        <f>IFERROR(proje!CJ52*100/proje!$I52,"")</f>
        <v/>
      </c>
      <c r="BZ557" s="39" t="str">
        <f>IFERROR(proje!CK52*100/proje!$I52,"")</f>
        <v/>
      </c>
      <c r="CA557" s="39" t="str">
        <f>IFERROR(proje!CL52*100/proje!$I52,"")</f>
        <v/>
      </c>
      <c r="CB557" s="39" t="str">
        <f>IFERROR(proje!CM52*100/proje!$I52,"")</f>
        <v/>
      </c>
      <c r="CC557" s="39" t="str">
        <f>IFERROR(proje!CN52*100/proje!$I52,"")</f>
        <v/>
      </c>
      <c r="CD557" s="39" t="str">
        <f>IFERROR(proje!CO52*100/proje!$I52,"")</f>
        <v/>
      </c>
      <c r="CE557" s="39" t="str">
        <f>IFERROR(proje!CP52*100/proje!$I52,"")</f>
        <v/>
      </c>
      <c r="CF557" s="39" t="str">
        <f>IFERROR(proje!CQ52*100/proje!$I52,"")</f>
        <v/>
      </c>
      <c r="CG557" s="39" t="str">
        <f>IFERROR(proje!CR52*100/proje!$I52,"")</f>
        <v/>
      </c>
      <c r="CH557" s="39" t="str">
        <f>IFERROR(proje!CS52*100/proje!$I52,"")</f>
        <v/>
      </c>
      <c r="CI557" s="39" t="str">
        <f>IFERROR(proje!CT52*100/proje!$I52,"")</f>
        <v/>
      </c>
      <c r="CJ557" s="39" t="str">
        <f>IFERROR(proje!CU52*100/proje!$I52,"")</f>
        <v/>
      </c>
      <c r="CK557" s="39" t="str">
        <f>IFERROR(proje!CV52*100/proje!$I52,"")</f>
        <v/>
      </c>
      <c r="CL557" s="39" t="str">
        <f>IFERROR(proje!CW52*100/proje!$I52,"")</f>
        <v/>
      </c>
      <c r="CM557" s="39" t="str">
        <f>IFERROR(proje!CX52*100/proje!$I52,"")</f>
        <v/>
      </c>
      <c r="CN557" s="39" t="str">
        <f>IFERROR(proje!CY52*100/proje!$I52,"")</f>
        <v/>
      </c>
      <c r="CO557" s="39" t="str">
        <f>IFERROR(proje!CZ52*100/proje!$I52,"")</f>
        <v/>
      </c>
      <c r="CP557" s="39" t="str">
        <f>IFERROR(proje!DA52*100/proje!$I52,"")</f>
        <v/>
      </c>
      <c r="CQ557" s="39" t="str">
        <f>IFERROR(proje!DB52*100/proje!$I52,"")</f>
        <v/>
      </c>
      <c r="CR557" s="39" t="str">
        <f>IFERROR(proje!DC52*100/proje!$I52,"")</f>
        <v/>
      </c>
      <c r="CS557" s="39" t="str">
        <f>IFERROR(proje!DD52*100/proje!$I52,"")</f>
        <v/>
      </c>
      <c r="CT557" s="39" t="str">
        <f>IFERROR(proje!DE52*100/proje!$I52,"")</f>
        <v/>
      </c>
      <c r="CU557" s="39" t="str">
        <f>IFERROR(proje!DF52*100/proje!$I52,"")</f>
        <v/>
      </c>
      <c r="CV557" s="39" t="str">
        <f>IFERROR(proje!DG52*100/proje!$I52,"")</f>
        <v/>
      </c>
      <c r="CW557" s="36" t="str">
        <f>IFERROR(SUM(A557:CV557)/proje!$DH$103,"")</f>
        <v/>
      </c>
      <c r="CX557" s="14" t="str">
        <f>IF(COUNTA(proje!A52),proje!A52,"")</f>
        <v/>
      </c>
      <c r="CY557" s="14" t="str">
        <f>IF(COUNTA(proje!B52),proje!B52,"")</f>
        <v/>
      </c>
      <c r="CZ557" s="14" t="str">
        <f>IF(COUNTA(proje!C52),proje!C52,"")</f>
        <v/>
      </c>
      <c r="DA557" s="14" t="str">
        <f>IF(COUNTA(proje!D52),proje!D52,"")</f>
        <v/>
      </c>
      <c r="DB557" s="14" t="str">
        <f>IF(COUNTA(proje!E52),proje!E52,"")</f>
        <v/>
      </c>
      <c r="DC557" s="14" t="str">
        <f>IF(COUNTA(proje!F52),proje!F52,"")</f>
        <v/>
      </c>
      <c r="DD557" s="14" t="str">
        <f>IF(COUNTA(proje!G52),proje!G52,"")</f>
        <v/>
      </c>
      <c r="DE557" s="14" t="str">
        <f>IF(COUNTA(proje!H52),proje!H52,"")</f>
        <v/>
      </c>
    </row>
    <row r="558" spans="1:109" x14ac:dyDescent="0.2">
      <c r="A558" s="39" t="str">
        <f>IFERROR(proje!L53*100/proje!$I53,"")</f>
        <v/>
      </c>
      <c r="B558" s="39" t="str">
        <f>IFERROR(proje!M53*100/proje!$I53,"")</f>
        <v/>
      </c>
      <c r="C558" s="39" t="str">
        <f>IFERROR(proje!N53*100/proje!$I53,"")</f>
        <v/>
      </c>
      <c r="D558" s="39" t="str">
        <f>IFERROR(proje!O53*100/proje!$I53,"")</f>
        <v/>
      </c>
      <c r="E558" s="39" t="str">
        <f>IFERROR(proje!P53*100/proje!$I53,"")</f>
        <v/>
      </c>
      <c r="F558" s="39" t="str">
        <f>IFERROR(proje!Q53*100/proje!$I53,"")</f>
        <v/>
      </c>
      <c r="G558" s="39" t="str">
        <f>IFERROR(proje!R53*100/proje!$I53,"")</f>
        <v/>
      </c>
      <c r="H558" s="39" t="str">
        <f>IFERROR(proje!S53*100/proje!$I53,"")</f>
        <v/>
      </c>
      <c r="I558" s="39" t="str">
        <f>IFERROR(proje!T53*100/proje!$I53,"")</f>
        <v/>
      </c>
      <c r="J558" s="39" t="str">
        <f>IFERROR(proje!U53*100/proje!$I53,"")</f>
        <v/>
      </c>
      <c r="K558" s="39" t="str">
        <f>IFERROR(proje!V53*100/proje!$I53,"")</f>
        <v/>
      </c>
      <c r="L558" s="39" t="str">
        <f>IFERROR(proje!W53*100/proje!$I53,"")</f>
        <v/>
      </c>
      <c r="M558" s="39" t="str">
        <f>IFERROR(proje!X53*100/proje!$I53,"")</f>
        <v/>
      </c>
      <c r="N558" s="39" t="str">
        <f>IFERROR(proje!Y53*100/proje!$I53,"")</f>
        <v/>
      </c>
      <c r="O558" s="39" t="str">
        <f>IFERROR(proje!Z53*100/proje!$I53,"")</f>
        <v/>
      </c>
      <c r="P558" s="39" t="str">
        <f>IFERROR(proje!AA53*100/proje!$I53,"")</f>
        <v/>
      </c>
      <c r="Q558" s="39" t="str">
        <f>IFERROR(proje!AB53*100/proje!$I53,"")</f>
        <v/>
      </c>
      <c r="R558" s="39" t="str">
        <f>IFERROR(proje!AC53*100/proje!$I53,"")</f>
        <v/>
      </c>
      <c r="S558" s="39" t="str">
        <f>IFERROR(proje!AD53*100/proje!$I53,"")</f>
        <v/>
      </c>
      <c r="T558" s="39" t="str">
        <f>IFERROR(proje!AE53*100/proje!$I53,"")</f>
        <v/>
      </c>
      <c r="U558" s="39" t="str">
        <f>IFERROR(proje!AF53*100/proje!$I53,"")</f>
        <v/>
      </c>
      <c r="V558" s="39" t="str">
        <f>IFERROR(proje!AG53*100/proje!$I53,"")</f>
        <v/>
      </c>
      <c r="W558" s="39" t="str">
        <f>IFERROR(proje!AH53*100/proje!$I53,"")</f>
        <v/>
      </c>
      <c r="X558" s="39" t="str">
        <f>IFERROR(proje!AI53*100/proje!$I53,"")</f>
        <v/>
      </c>
      <c r="Y558" s="39" t="str">
        <f>IFERROR(proje!AJ53*100/proje!$I53,"")</f>
        <v/>
      </c>
      <c r="Z558" s="39" t="str">
        <f>IFERROR(proje!AK53*100/proje!$I53,"")</f>
        <v/>
      </c>
      <c r="AA558" s="39" t="str">
        <f>IFERROR(proje!AL53*100/proje!$I53,"")</f>
        <v/>
      </c>
      <c r="AB558" s="39" t="str">
        <f>IFERROR(proje!AM53*100/proje!$I53,"")</f>
        <v/>
      </c>
      <c r="AC558" s="39" t="str">
        <f>IFERROR(proje!AN53*100/proje!$I53,"")</f>
        <v/>
      </c>
      <c r="AD558" s="39" t="str">
        <f>IFERROR(proje!AO53*100/proje!$I53,"")</f>
        <v/>
      </c>
      <c r="AE558" s="39" t="str">
        <f>IFERROR(proje!AP53*100/proje!$I53,"")</f>
        <v/>
      </c>
      <c r="AF558" s="39" t="str">
        <f>IFERROR(proje!AQ53*100/proje!$I53,"")</f>
        <v/>
      </c>
      <c r="AG558" s="39" t="str">
        <f>IFERROR(proje!AR53*100/proje!$I53,"")</f>
        <v/>
      </c>
      <c r="AH558" s="39" t="str">
        <f>IFERROR(proje!AS53*100/proje!$I53,"")</f>
        <v/>
      </c>
      <c r="AI558" s="39" t="str">
        <f>IFERROR(proje!AT53*100/proje!$I53,"")</f>
        <v/>
      </c>
      <c r="AJ558" s="39" t="str">
        <f>IFERROR(proje!AU53*100/proje!$I53,"")</f>
        <v/>
      </c>
      <c r="AK558" s="39" t="str">
        <f>IFERROR(proje!AV53*100/proje!$I53,"")</f>
        <v/>
      </c>
      <c r="AL558" s="39" t="str">
        <f>IFERROR(proje!AW53*100/proje!$I53,"")</f>
        <v/>
      </c>
      <c r="AM558" s="39" t="str">
        <f>IFERROR(proje!AX53*100/proje!$I53,"")</f>
        <v/>
      </c>
      <c r="AN558" s="39" t="str">
        <f>IFERROR(proje!AY53*100/proje!$I53,"")</f>
        <v/>
      </c>
      <c r="AO558" s="39" t="str">
        <f>IFERROR(proje!AZ53*100/proje!$I53,"")</f>
        <v/>
      </c>
      <c r="AP558" s="39" t="str">
        <f>IFERROR(proje!BA53*100/proje!$I53,"")</f>
        <v/>
      </c>
      <c r="AQ558" s="39" t="str">
        <f>IFERROR(proje!BB53*100/proje!$I53,"")</f>
        <v/>
      </c>
      <c r="AR558" s="39" t="str">
        <f>IFERROR(proje!BC53*100/proje!$I53,"")</f>
        <v/>
      </c>
      <c r="AS558" s="39" t="str">
        <f>IFERROR(proje!BD53*100/proje!$I53,"")</f>
        <v/>
      </c>
      <c r="AT558" s="39" t="str">
        <f>IFERROR(proje!BE53*100/proje!$I53,"")</f>
        <v/>
      </c>
      <c r="AU558" s="39" t="str">
        <f>IFERROR(proje!BF53*100/proje!$I53,"")</f>
        <v/>
      </c>
      <c r="AV558" s="39" t="str">
        <f>IFERROR(proje!BG53*100/proje!$I53,"")</f>
        <v/>
      </c>
      <c r="AW558" s="39" t="str">
        <f>IFERROR(proje!BH53*100/proje!$I53,"")</f>
        <v/>
      </c>
      <c r="AX558" s="39" t="str">
        <f>IFERROR(proje!BI53*100/proje!$I53,"")</f>
        <v/>
      </c>
      <c r="AY558" s="39" t="str">
        <f>IFERROR(proje!BJ53*100/proje!$I53,"")</f>
        <v/>
      </c>
      <c r="AZ558" s="39" t="str">
        <f>IFERROR(proje!BK53*100/proje!$I53,"")</f>
        <v/>
      </c>
      <c r="BA558" s="39" t="str">
        <f>IFERROR(proje!BL53*100/proje!$I53,"")</f>
        <v/>
      </c>
      <c r="BB558" s="39" t="str">
        <f>IFERROR(proje!BM53*100/proje!$I53,"")</f>
        <v/>
      </c>
      <c r="BC558" s="39" t="str">
        <f>IFERROR(proje!BN53*100/proje!$I53,"")</f>
        <v/>
      </c>
      <c r="BD558" s="39" t="str">
        <f>IFERROR(proje!BO53*100/proje!$I53,"")</f>
        <v/>
      </c>
      <c r="BE558" s="39" t="str">
        <f>IFERROR(proje!BP53*100/proje!$I53,"")</f>
        <v/>
      </c>
      <c r="BF558" s="39" t="str">
        <f>IFERROR(proje!BQ53*100/proje!$I53,"")</f>
        <v/>
      </c>
      <c r="BG558" s="39" t="str">
        <f>IFERROR(proje!BR53*100/proje!$I53,"")</f>
        <v/>
      </c>
      <c r="BH558" s="39" t="str">
        <f>IFERROR(proje!BS53*100/proje!$I53,"")</f>
        <v/>
      </c>
      <c r="BI558" s="39" t="str">
        <f>IFERROR(proje!BT53*100/proje!$I53,"")</f>
        <v/>
      </c>
      <c r="BJ558" s="39" t="str">
        <f>IFERROR(proje!BU53*100/proje!$I53,"")</f>
        <v/>
      </c>
      <c r="BK558" s="39" t="str">
        <f>IFERROR(proje!BV53*100/proje!$I53,"")</f>
        <v/>
      </c>
      <c r="BL558" s="39" t="str">
        <f>IFERROR(proje!BW53*100/proje!$I53,"")</f>
        <v/>
      </c>
      <c r="BM558" s="39" t="str">
        <f>IFERROR(proje!BX53*100/proje!$I53,"")</f>
        <v/>
      </c>
      <c r="BN558" s="39" t="str">
        <f>IFERROR(proje!BY53*100/proje!$I53,"")</f>
        <v/>
      </c>
      <c r="BO558" s="39" t="str">
        <f>IFERROR(proje!BZ53*100/proje!$I53,"")</f>
        <v/>
      </c>
      <c r="BP558" s="39" t="str">
        <f>IFERROR(proje!CA53*100/proje!$I53,"")</f>
        <v/>
      </c>
      <c r="BQ558" s="39" t="str">
        <f>IFERROR(proje!CB53*100/proje!$I53,"")</f>
        <v/>
      </c>
      <c r="BR558" s="39" t="str">
        <f>IFERROR(proje!CC53*100/proje!$I53,"")</f>
        <v/>
      </c>
      <c r="BS558" s="39" t="str">
        <f>IFERROR(proje!CD53*100/proje!$I53,"")</f>
        <v/>
      </c>
      <c r="BT558" s="39" t="str">
        <f>IFERROR(proje!CE53*100/proje!$I53,"")</f>
        <v/>
      </c>
      <c r="BU558" s="39" t="str">
        <f>IFERROR(proje!CF53*100/proje!$I53,"")</f>
        <v/>
      </c>
      <c r="BV558" s="39" t="str">
        <f>IFERROR(proje!CG53*100/proje!$I53,"")</f>
        <v/>
      </c>
      <c r="BW558" s="39" t="str">
        <f>IFERROR(proje!CH53*100/proje!$I53,"")</f>
        <v/>
      </c>
      <c r="BX558" s="39" t="str">
        <f>IFERROR(proje!CI53*100/proje!$I53,"")</f>
        <v/>
      </c>
      <c r="BY558" s="39" t="str">
        <f>IFERROR(proje!CJ53*100/proje!$I53,"")</f>
        <v/>
      </c>
      <c r="BZ558" s="39" t="str">
        <f>IFERROR(proje!CK53*100/proje!$I53,"")</f>
        <v/>
      </c>
      <c r="CA558" s="39" t="str">
        <f>IFERROR(proje!CL53*100/proje!$I53,"")</f>
        <v/>
      </c>
      <c r="CB558" s="39" t="str">
        <f>IFERROR(proje!CM53*100/proje!$I53,"")</f>
        <v/>
      </c>
      <c r="CC558" s="39" t="str">
        <f>IFERROR(proje!CN53*100/proje!$I53,"")</f>
        <v/>
      </c>
      <c r="CD558" s="39" t="str">
        <f>IFERROR(proje!CO53*100/proje!$I53,"")</f>
        <v/>
      </c>
      <c r="CE558" s="39" t="str">
        <f>IFERROR(proje!CP53*100/proje!$I53,"")</f>
        <v/>
      </c>
      <c r="CF558" s="39" t="str">
        <f>IFERROR(proje!CQ53*100/proje!$I53,"")</f>
        <v/>
      </c>
      <c r="CG558" s="39" t="str">
        <f>IFERROR(proje!CR53*100/proje!$I53,"")</f>
        <v/>
      </c>
      <c r="CH558" s="39" t="str">
        <f>IFERROR(proje!CS53*100/proje!$I53,"")</f>
        <v/>
      </c>
      <c r="CI558" s="39" t="str">
        <f>IFERROR(proje!CT53*100/proje!$I53,"")</f>
        <v/>
      </c>
      <c r="CJ558" s="39" t="str">
        <f>IFERROR(proje!CU53*100/proje!$I53,"")</f>
        <v/>
      </c>
      <c r="CK558" s="39" t="str">
        <f>IFERROR(proje!CV53*100/proje!$I53,"")</f>
        <v/>
      </c>
      <c r="CL558" s="39" t="str">
        <f>IFERROR(proje!CW53*100/proje!$I53,"")</f>
        <v/>
      </c>
      <c r="CM558" s="39" t="str">
        <f>IFERROR(proje!CX53*100/proje!$I53,"")</f>
        <v/>
      </c>
      <c r="CN558" s="39" t="str">
        <f>IFERROR(proje!CY53*100/proje!$I53,"")</f>
        <v/>
      </c>
      <c r="CO558" s="39" t="str">
        <f>IFERROR(proje!CZ53*100/proje!$I53,"")</f>
        <v/>
      </c>
      <c r="CP558" s="39" t="str">
        <f>IFERROR(proje!DA53*100/proje!$I53,"")</f>
        <v/>
      </c>
      <c r="CQ558" s="39" t="str">
        <f>IFERROR(proje!DB53*100/proje!$I53,"")</f>
        <v/>
      </c>
      <c r="CR558" s="39" t="str">
        <f>IFERROR(proje!DC53*100/proje!$I53,"")</f>
        <v/>
      </c>
      <c r="CS558" s="39" t="str">
        <f>IFERROR(proje!DD53*100/proje!$I53,"")</f>
        <v/>
      </c>
      <c r="CT558" s="39" t="str">
        <f>IFERROR(proje!DE53*100/proje!$I53,"")</f>
        <v/>
      </c>
      <c r="CU558" s="39" t="str">
        <f>IFERROR(proje!DF53*100/proje!$I53,"")</f>
        <v/>
      </c>
      <c r="CV558" s="39" t="str">
        <f>IFERROR(proje!DG53*100/proje!$I53,"")</f>
        <v/>
      </c>
      <c r="CW558" s="36" t="str">
        <f>IFERROR(SUM(A558:CV558)/proje!$DH$103,"")</f>
        <v/>
      </c>
      <c r="CX558" s="14" t="str">
        <f>IF(COUNTA(proje!A53),proje!A53,"")</f>
        <v/>
      </c>
      <c r="CY558" s="14" t="str">
        <f>IF(COUNTA(proje!B53),proje!B53,"")</f>
        <v/>
      </c>
      <c r="CZ558" s="14" t="str">
        <f>IF(COUNTA(proje!C53),proje!C53,"")</f>
        <v/>
      </c>
      <c r="DA558" s="14" t="str">
        <f>IF(COUNTA(proje!D53),proje!D53,"")</f>
        <v/>
      </c>
      <c r="DB558" s="14" t="str">
        <f>IF(COUNTA(proje!E53),proje!E53,"")</f>
        <v/>
      </c>
      <c r="DC558" s="14" t="str">
        <f>IF(COUNTA(proje!F53),proje!F53,"")</f>
        <v/>
      </c>
      <c r="DD558" s="14" t="str">
        <f>IF(COUNTA(proje!G53),proje!G53,"")</f>
        <v/>
      </c>
      <c r="DE558" s="14" t="str">
        <f>IF(COUNTA(proje!H53),proje!H53,"")</f>
        <v/>
      </c>
    </row>
    <row r="559" spans="1:109" x14ac:dyDescent="0.2">
      <c r="A559" s="39" t="str">
        <f>IFERROR(proje!L54*100/proje!$I54,"")</f>
        <v/>
      </c>
      <c r="B559" s="39" t="str">
        <f>IFERROR(proje!M54*100/proje!$I54,"")</f>
        <v/>
      </c>
      <c r="C559" s="39" t="str">
        <f>IFERROR(proje!N54*100/proje!$I54,"")</f>
        <v/>
      </c>
      <c r="D559" s="39" t="str">
        <f>IFERROR(proje!O54*100/proje!$I54,"")</f>
        <v/>
      </c>
      <c r="E559" s="39" t="str">
        <f>IFERROR(proje!P54*100/proje!$I54,"")</f>
        <v/>
      </c>
      <c r="F559" s="39" t="str">
        <f>IFERROR(proje!Q54*100/proje!$I54,"")</f>
        <v/>
      </c>
      <c r="G559" s="39" t="str">
        <f>IFERROR(proje!R54*100/proje!$I54,"")</f>
        <v/>
      </c>
      <c r="H559" s="39" t="str">
        <f>IFERROR(proje!S54*100/proje!$I54,"")</f>
        <v/>
      </c>
      <c r="I559" s="39" t="str">
        <f>IFERROR(proje!T54*100/proje!$I54,"")</f>
        <v/>
      </c>
      <c r="J559" s="39" t="str">
        <f>IFERROR(proje!U54*100/proje!$I54,"")</f>
        <v/>
      </c>
      <c r="K559" s="39" t="str">
        <f>IFERROR(proje!V54*100/proje!$I54,"")</f>
        <v/>
      </c>
      <c r="L559" s="39" t="str">
        <f>IFERROR(proje!W54*100/proje!$I54,"")</f>
        <v/>
      </c>
      <c r="M559" s="39" t="str">
        <f>IFERROR(proje!X54*100/proje!$I54,"")</f>
        <v/>
      </c>
      <c r="N559" s="39" t="str">
        <f>IFERROR(proje!Y54*100/proje!$I54,"")</f>
        <v/>
      </c>
      <c r="O559" s="39" t="str">
        <f>IFERROR(proje!Z54*100/proje!$I54,"")</f>
        <v/>
      </c>
      <c r="P559" s="39" t="str">
        <f>IFERROR(proje!AA54*100/proje!$I54,"")</f>
        <v/>
      </c>
      <c r="Q559" s="39" t="str">
        <f>IFERROR(proje!AB54*100/proje!$I54,"")</f>
        <v/>
      </c>
      <c r="R559" s="39" t="str">
        <f>IFERROR(proje!AC54*100/proje!$I54,"")</f>
        <v/>
      </c>
      <c r="S559" s="39" t="str">
        <f>IFERROR(proje!AD54*100/proje!$I54,"")</f>
        <v/>
      </c>
      <c r="T559" s="39" t="str">
        <f>IFERROR(proje!AE54*100/proje!$I54,"")</f>
        <v/>
      </c>
      <c r="U559" s="39" t="str">
        <f>IFERROR(proje!AF54*100/proje!$I54,"")</f>
        <v/>
      </c>
      <c r="V559" s="39" t="str">
        <f>IFERROR(proje!AG54*100/proje!$I54,"")</f>
        <v/>
      </c>
      <c r="W559" s="39" t="str">
        <f>IFERROR(proje!AH54*100/proje!$I54,"")</f>
        <v/>
      </c>
      <c r="X559" s="39" t="str">
        <f>IFERROR(proje!AI54*100/proje!$I54,"")</f>
        <v/>
      </c>
      <c r="Y559" s="39" t="str">
        <f>IFERROR(proje!AJ54*100/proje!$I54,"")</f>
        <v/>
      </c>
      <c r="Z559" s="39" t="str">
        <f>IFERROR(proje!AK54*100/proje!$I54,"")</f>
        <v/>
      </c>
      <c r="AA559" s="39" t="str">
        <f>IFERROR(proje!AL54*100/proje!$I54,"")</f>
        <v/>
      </c>
      <c r="AB559" s="39" t="str">
        <f>IFERROR(proje!AM54*100/proje!$I54,"")</f>
        <v/>
      </c>
      <c r="AC559" s="39" t="str">
        <f>IFERROR(proje!AN54*100/proje!$I54,"")</f>
        <v/>
      </c>
      <c r="AD559" s="39" t="str">
        <f>IFERROR(proje!AO54*100/proje!$I54,"")</f>
        <v/>
      </c>
      <c r="AE559" s="39" t="str">
        <f>IFERROR(proje!AP54*100/proje!$I54,"")</f>
        <v/>
      </c>
      <c r="AF559" s="39" t="str">
        <f>IFERROR(proje!AQ54*100/proje!$I54,"")</f>
        <v/>
      </c>
      <c r="AG559" s="39" t="str">
        <f>IFERROR(proje!AR54*100/proje!$I54,"")</f>
        <v/>
      </c>
      <c r="AH559" s="39" t="str">
        <f>IFERROR(proje!AS54*100/proje!$I54,"")</f>
        <v/>
      </c>
      <c r="AI559" s="39" t="str">
        <f>IFERROR(proje!AT54*100/proje!$I54,"")</f>
        <v/>
      </c>
      <c r="AJ559" s="39" t="str">
        <f>IFERROR(proje!AU54*100/proje!$I54,"")</f>
        <v/>
      </c>
      <c r="AK559" s="39" t="str">
        <f>IFERROR(proje!AV54*100/proje!$I54,"")</f>
        <v/>
      </c>
      <c r="AL559" s="39" t="str">
        <f>IFERROR(proje!AW54*100/proje!$I54,"")</f>
        <v/>
      </c>
      <c r="AM559" s="39" t="str">
        <f>IFERROR(proje!AX54*100/proje!$I54,"")</f>
        <v/>
      </c>
      <c r="AN559" s="39" t="str">
        <f>IFERROR(proje!AY54*100/proje!$I54,"")</f>
        <v/>
      </c>
      <c r="AO559" s="39" t="str">
        <f>IFERROR(proje!AZ54*100/proje!$I54,"")</f>
        <v/>
      </c>
      <c r="AP559" s="39" t="str">
        <f>IFERROR(proje!BA54*100/proje!$I54,"")</f>
        <v/>
      </c>
      <c r="AQ559" s="39" t="str">
        <f>IFERROR(proje!BB54*100/proje!$I54,"")</f>
        <v/>
      </c>
      <c r="AR559" s="39" t="str">
        <f>IFERROR(proje!BC54*100/proje!$I54,"")</f>
        <v/>
      </c>
      <c r="AS559" s="39" t="str">
        <f>IFERROR(proje!BD54*100/proje!$I54,"")</f>
        <v/>
      </c>
      <c r="AT559" s="39" t="str">
        <f>IFERROR(proje!BE54*100/proje!$I54,"")</f>
        <v/>
      </c>
      <c r="AU559" s="39" t="str">
        <f>IFERROR(proje!BF54*100/proje!$I54,"")</f>
        <v/>
      </c>
      <c r="AV559" s="39" t="str">
        <f>IFERROR(proje!BG54*100/proje!$I54,"")</f>
        <v/>
      </c>
      <c r="AW559" s="39" t="str">
        <f>IFERROR(proje!BH54*100/proje!$I54,"")</f>
        <v/>
      </c>
      <c r="AX559" s="39" t="str">
        <f>IFERROR(proje!BI54*100/proje!$I54,"")</f>
        <v/>
      </c>
      <c r="AY559" s="39" t="str">
        <f>IFERROR(proje!BJ54*100/proje!$I54,"")</f>
        <v/>
      </c>
      <c r="AZ559" s="39" t="str">
        <f>IFERROR(proje!BK54*100/proje!$I54,"")</f>
        <v/>
      </c>
      <c r="BA559" s="39" t="str">
        <f>IFERROR(proje!BL54*100/proje!$I54,"")</f>
        <v/>
      </c>
      <c r="BB559" s="39" t="str">
        <f>IFERROR(proje!BM54*100/proje!$I54,"")</f>
        <v/>
      </c>
      <c r="BC559" s="39" t="str">
        <f>IFERROR(proje!BN54*100/proje!$I54,"")</f>
        <v/>
      </c>
      <c r="BD559" s="39" t="str">
        <f>IFERROR(proje!BO54*100/proje!$I54,"")</f>
        <v/>
      </c>
      <c r="BE559" s="39" t="str">
        <f>IFERROR(proje!BP54*100/proje!$I54,"")</f>
        <v/>
      </c>
      <c r="BF559" s="39" t="str">
        <f>IFERROR(proje!BQ54*100/proje!$I54,"")</f>
        <v/>
      </c>
      <c r="BG559" s="39" t="str">
        <f>IFERROR(proje!BR54*100/proje!$I54,"")</f>
        <v/>
      </c>
      <c r="BH559" s="39" t="str">
        <f>IFERROR(proje!BS54*100/proje!$I54,"")</f>
        <v/>
      </c>
      <c r="BI559" s="39" t="str">
        <f>IFERROR(proje!BT54*100/proje!$I54,"")</f>
        <v/>
      </c>
      <c r="BJ559" s="39" t="str">
        <f>IFERROR(proje!BU54*100/proje!$I54,"")</f>
        <v/>
      </c>
      <c r="BK559" s="39" t="str">
        <f>IFERROR(proje!BV54*100/proje!$I54,"")</f>
        <v/>
      </c>
      <c r="BL559" s="39" t="str">
        <f>IFERROR(proje!BW54*100/proje!$I54,"")</f>
        <v/>
      </c>
      <c r="BM559" s="39" t="str">
        <f>IFERROR(proje!BX54*100/proje!$I54,"")</f>
        <v/>
      </c>
      <c r="BN559" s="39" t="str">
        <f>IFERROR(proje!BY54*100/proje!$I54,"")</f>
        <v/>
      </c>
      <c r="BO559" s="39" t="str">
        <f>IFERROR(proje!BZ54*100/proje!$I54,"")</f>
        <v/>
      </c>
      <c r="BP559" s="39" t="str">
        <f>IFERROR(proje!CA54*100/proje!$I54,"")</f>
        <v/>
      </c>
      <c r="BQ559" s="39" t="str">
        <f>IFERROR(proje!CB54*100/proje!$I54,"")</f>
        <v/>
      </c>
      <c r="BR559" s="39" t="str">
        <f>IFERROR(proje!CC54*100/proje!$I54,"")</f>
        <v/>
      </c>
      <c r="BS559" s="39" t="str">
        <f>IFERROR(proje!CD54*100/proje!$I54,"")</f>
        <v/>
      </c>
      <c r="BT559" s="39" t="str">
        <f>IFERROR(proje!CE54*100/proje!$I54,"")</f>
        <v/>
      </c>
      <c r="BU559" s="39" t="str">
        <f>IFERROR(proje!CF54*100/proje!$I54,"")</f>
        <v/>
      </c>
      <c r="BV559" s="39" t="str">
        <f>IFERROR(proje!CG54*100/proje!$I54,"")</f>
        <v/>
      </c>
      <c r="BW559" s="39" t="str">
        <f>IFERROR(proje!CH54*100/proje!$I54,"")</f>
        <v/>
      </c>
      <c r="BX559" s="39" t="str">
        <f>IFERROR(proje!CI54*100/proje!$I54,"")</f>
        <v/>
      </c>
      <c r="BY559" s="39" t="str">
        <f>IFERROR(proje!CJ54*100/proje!$I54,"")</f>
        <v/>
      </c>
      <c r="BZ559" s="39" t="str">
        <f>IFERROR(proje!CK54*100/proje!$I54,"")</f>
        <v/>
      </c>
      <c r="CA559" s="39" t="str">
        <f>IFERROR(proje!CL54*100/proje!$I54,"")</f>
        <v/>
      </c>
      <c r="CB559" s="39" t="str">
        <f>IFERROR(proje!CM54*100/proje!$I54,"")</f>
        <v/>
      </c>
      <c r="CC559" s="39" t="str">
        <f>IFERROR(proje!CN54*100/proje!$I54,"")</f>
        <v/>
      </c>
      <c r="CD559" s="39" t="str">
        <f>IFERROR(proje!CO54*100/proje!$I54,"")</f>
        <v/>
      </c>
      <c r="CE559" s="39" t="str">
        <f>IFERROR(proje!CP54*100/proje!$I54,"")</f>
        <v/>
      </c>
      <c r="CF559" s="39" t="str">
        <f>IFERROR(proje!CQ54*100/proje!$I54,"")</f>
        <v/>
      </c>
      <c r="CG559" s="39" t="str">
        <f>IFERROR(proje!CR54*100/proje!$I54,"")</f>
        <v/>
      </c>
      <c r="CH559" s="39" t="str">
        <f>IFERROR(proje!CS54*100/proje!$I54,"")</f>
        <v/>
      </c>
      <c r="CI559" s="39" t="str">
        <f>IFERROR(proje!CT54*100/proje!$I54,"")</f>
        <v/>
      </c>
      <c r="CJ559" s="39" t="str">
        <f>IFERROR(proje!CU54*100/proje!$I54,"")</f>
        <v/>
      </c>
      <c r="CK559" s="39" t="str">
        <f>IFERROR(proje!CV54*100/proje!$I54,"")</f>
        <v/>
      </c>
      <c r="CL559" s="39" t="str">
        <f>IFERROR(proje!CW54*100/proje!$I54,"")</f>
        <v/>
      </c>
      <c r="CM559" s="39" t="str">
        <f>IFERROR(proje!CX54*100/proje!$I54,"")</f>
        <v/>
      </c>
      <c r="CN559" s="39" t="str">
        <f>IFERROR(proje!CY54*100/proje!$I54,"")</f>
        <v/>
      </c>
      <c r="CO559" s="39" t="str">
        <f>IFERROR(proje!CZ54*100/proje!$I54,"")</f>
        <v/>
      </c>
      <c r="CP559" s="39" t="str">
        <f>IFERROR(proje!DA54*100/proje!$I54,"")</f>
        <v/>
      </c>
      <c r="CQ559" s="39" t="str">
        <f>IFERROR(proje!DB54*100/proje!$I54,"")</f>
        <v/>
      </c>
      <c r="CR559" s="39" t="str">
        <f>IFERROR(proje!DC54*100/proje!$I54,"")</f>
        <v/>
      </c>
      <c r="CS559" s="39" t="str">
        <f>IFERROR(proje!DD54*100/proje!$I54,"")</f>
        <v/>
      </c>
      <c r="CT559" s="39" t="str">
        <f>IFERROR(proje!DE54*100/proje!$I54,"")</f>
        <v/>
      </c>
      <c r="CU559" s="39" t="str">
        <f>IFERROR(proje!DF54*100/proje!$I54,"")</f>
        <v/>
      </c>
      <c r="CV559" s="39" t="str">
        <f>IFERROR(proje!DG54*100/proje!$I54,"")</f>
        <v/>
      </c>
      <c r="CW559" s="36" t="str">
        <f>IFERROR(SUM(A559:CV559)/proje!$DH$103,"")</f>
        <v/>
      </c>
      <c r="CX559" s="14" t="str">
        <f>IF(COUNTA(proje!A54),proje!A54,"")</f>
        <v/>
      </c>
      <c r="CY559" s="14" t="str">
        <f>IF(COUNTA(proje!B54),proje!B54,"")</f>
        <v/>
      </c>
      <c r="CZ559" s="14" t="str">
        <f>IF(COUNTA(proje!C54),proje!C54,"")</f>
        <v/>
      </c>
      <c r="DA559" s="14" t="str">
        <f>IF(COUNTA(proje!D54),proje!D54,"")</f>
        <v/>
      </c>
      <c r="DB559" s="14" t="str">
        <f>IF(COUNTA(proje!E54),proje!E54,"")</f>
        <v/>
      </c>
      <c r="DC559" s="14" t="str">
        <f>IF(COUNTA(proje!F54),proje!F54,"")</f>
        <v/>
      </c>
      <c r="DD559" s="14" t="str">
        <f>IF(COUNTA(proje!G54),proje!G54,"")</f>
        <v/>
      </c>
      <c r="DE559" s="14" t="str">
        <f>IF(COUNTA(proje!H54),proje!H54,"")</f>
        <v/>
      </c>
    </row>
    <row r="560" spans="1:109" x14ac:dyDescent="0.2">
      <c r="A560" s="39" t="str">
        <f>IFERROR(proje!L55*100/proje!$I55,"")</f>
        <v/>
      </c>
      <c r="B560" s="39" t="str">
        <f>IFERROR(proje!M55*100/proje!$I55,"")</f>
        <v/>
      </c>
      <c r="C560" s="39" t="str">
        <f>IFERROR(proje!N55*100/proje!$I55,"")</f>
        <v/>
      </c>
      <c r="D560" s="39" t="str">
        <f>IFERROR(proje!O55*100/proje!$I55,"")</f>
        <v/>
      </c>
      <c r="E560" s="39" t="str">
        <f>IFERROR(proje!P55*100/proje!$I55,"")</f>
        <v/>
      </c>
      <c r="F560" s="39" t="str">
        <f>IFERROR(proje!Q55*100/proje!$I55,"")</f>
        <v/>
      </c>
      <c r="G560" s="39" t="str">
        <f>IFERROR(proje!R55*100/proje!$I55,"")</f>
        <v/>
      </c>
      <c r="H560" s="39" t="str">
        <f>IFERROR(proje!S55*100/proje!$I55,"")</f>
        <v/>
      </c>
      <c r="I560" s="39" t="str">
        <f>IFERROR(proje!T55*100/proje!$I55,"")</f>
        <v/>
      </c>
      <c r="J560" s="39" t="str">
        <f>IFERROR(proje!U55*100/proje!$I55,"")</f>
        <v/>
      </c>
      <c r="K560" s="39" t="str">
        <f>IFERROR(proje!V55*100/proje!$I55,"")</f>
        <v/>
      </c>
      <c r="L560" s="39" t="str">
        <f>IFERROR(proje!W55*100/proje!$I55,"")</f>
        <v/>
      </c>
      <c r="M560" s="39" t="str">
        <f>IFERROR(proje!X55*100/proje!$I55,"")</f>
        <v/>
      </c>
      <c r="N560" s="39" t="str">
        <f>IFERROR(proje!Y55*100/proje!$I55,"")</f>
        <v/>
      </c>
      <c r="O560" s="39" t="str">
        <f>IFERROR(proje!Z55*100/proje!$I55,"")</f>
        <v/>
      </c>
      <c r="P560" s="39" t="str">
        <f>IFERROR(proje!AA55*100/proje!$I55,"")</f>
        <v/>
      </c>
      <c r="Q560" s="39" t="str">
        <f>IFERROR(proje!AB55*100/proje!$I55,"")</f>
        <v/>
      </c>
      <c r="R560" s="39" t="str">
        <f>IFERROR(proje!AC55*100/proje!$I55,"")</f>
        <v/>
      </c>
      <c r="S560" s="39" t="str">
        <f>IFERROR(proje!AD55*100/proje!$I55,"")</f>
        <v/>
      </c>
      <c r="T560" s="39" t="str">
        <f>IFERROR(proje!AE55*100/proje!$I55,"")</f>
        <v/>
      </c>
      <c r="U560" s="39" t="str">
        <f>IFERROR(proje!AF55*100/proje!$I55,"")</f>
        <v/>
      </c>
      <c r="V560" s="39" t="str">
        <f>IFERROR(proje!AG55*100/proje!$I55,"")</f>
        <v/>
      </c>
      <c r="W560" s="39" t="str">
        <f>IFERROR(proje!AH55*100/proje!$I55,"")</f>
        <v/>
      </c>
      <c r="X560" s="39" t="str">
        <f>IFERROR(proje!AI55*100/proje!$I55,"")</f>
        <v/>
      </c>
      <c r="Y560" s="39" t="str">
        <f>IFERROR(proje!AJ55*100/proje!$I55,"")</f>
        <v/>
      </c>
      <c r="Z560" s="39" t="str">
        <f>IFERROR(proje!AK55*100/proje!$I55,"")</f>
        <v/>
      </c>
      <c r="AA560" s="39" t="str">
        <f>IFERROR(proje!AL55*100/proje!$I55,"")</f>
        <v/>
      </c>
      <c r="AB560" s="39" t="str">
        <f>IFERROR(proje!AM55*100/proje!$I55,"")</f>
        <v/>
      </c>
      <c r="AC560" s="39" t="str">
        <f>IFERROR(proje!AN55*100/proje!$I55,"")</f>
        <v/>
      </c>
      <c r="AD560" s="39" t="str">
        <f>IFERROR(proje!AO55*100/proje!$I55,"")</f>
        <v/>
      </c>
      <c r="AE560" s="39" t="str">
        <f>IFERROR(proje!AP55*100/proje!$I55,"")</f>
        <v/>
      </c>
      <c r="AF560" s="39" t="str">
        <f>IFERROR(proje!AQ55*100/proje!$I55,"")</f>
        <v/>
      </c>
      <c r="AG560" s="39" t="str">
        <f>IFERROR(proje!AR55*100/proje!$I55,"")</f>
        <v/>
      </c>
      <c r="AH560" s="39" t="str">
        <f>IFERROR(proje!AS55*100/proje!$I55,"")</f>
        <v/>
      </c>
      <c r="AI560" s="39" t="str">
        <f>IFERROR(proje!AT55*100/proje!$I55,"")</f>
        <v/>
      </c>
      <c r="AJ560" s="39" t="str">
        <f>IFERROR(proje!AU55*100/proje!$I55,"")</f>
        <v/>
      </c>
      <c r="AK560" s="39" t="str">
        <f>IFERROR(proje!AV55*100/proje!$I55,"")</f>
        <v/>
      </c>
      <c r="AL560" s="39" t="str">
        <f>IFERROR(proje!AW55*100/proje!$I55,"")</f>
        <v/>
      </c>
      <c r="AM560" s="39" t="str">
        <f>IFERROR(proje!AX55*100/proje!$I55,"")</f>
        <v/>
      </c>
      <c r="AN560" s="39" t="str">
        <f>IFERROR(proje!AY55*100/proje!$I55,"")</f>
        <v/>
      </c>
      <c r="AO560" s="39" t="str">
        <f>IFERROR(proje!AZ55*100/proje!$I55,"")</f>
        <v/>
      </c>
      <c r="AP560" s="39" t="str">
        <f>IFERROR(proje!BA55*100/proje!$I55,"")</f>
        <v/>
      </c>
      <c r="AQ560" s="39" t="str">
        <f>IFERROR(proje!BB55*100/proje!$I55,"")</f>
        <v/>
      </c>
      <c r="AR560" s="39" t="str">
        <f>IFERROR(proje!BC55*100/proje!$I55,"")</f>
        <v/>
      </c>
      <c r="AS560" s="39" t="str">
        <f>IFERROR(proje!BD55*100/proje!$I55,"")</f>
        <v/>
      </c>
      <c r="AT560" s="39" t="str">
        <f>IFERROR(proje!BE55*100/proje!$I55,"")</f>
        <v/>
      </c>
      <c r="AU560" s="39" t="str">
        <f>IFERROR(proje!BF55*100/proje!$I55,"")</f>
        <v/>
      </c>
      <c r="AV560" s="39" t="str">
        <f>IFERROR(proje!BG55*100/proje!$I55,"")</f>
        <v/>
      </c>
      <c r="AW560" s="39" t="str">
        <f>IFERROR(proje!BH55*100/proje!$I55,"")</f>
        <v/>
      </c>
      <c r="AX560" s="39" t="str">
        <f>IFERROR(proje!BI55*100/proje!$I55,"")</f>
        <v/>
      </c>
      <c r="AY560" s="39" t="str">
        <f>IFERROR(proje!BJ55*100/proje!$I55,"")</f>
        <v/>
      </c>
      <c r="AZ560" s="39" t="str">
        <f>IFERROR(proje!BK55*100/proje!$I55,"")</f>
        <v/>
      </c>
      <c r="BA560" s="39" t="str">
        <f>IFERROR(proje!BL55*100/proje!$I55,"")</f>
        <v/>
      </c>
      <c r="BB560" s="39" t="str">
        <f>IFERROR(proje!BM55*100/proje!$I55,"")</f>
        <v/>
      </c>
      <c r="BC560" s="39" t="str">
        <f>IFERROR(proje!BN55*100/proje!$I55,"")</f>
        <v/>
      </c>
      <c r="BD560" s="39" t="str">
        <f>IFERROR(proje!BO55*100/proje!$I55,"")</f>
        <v/>
      </c>
      <c r="BE560" s="39" t="str">
        <f>IFERROR(proje!BP55*100/proje!$I55,"")</f>
        <v/>
      </c>
      <c r="BF560" s="39" t="str">
        <f>IFERROR(proje!BQ55*100/proje!$I55,"")</f>
        <v/>
      </c>
      <c r="BG560" s="39" t="str">
        <f>IFERROR(proje!BR55*100/proje!$I55,"")</f>
        <v/>
      </c>
      <c r="BH560" s="39" t="str">
        <f>IFERROR(proje!BS55*100/proje!$I55,"")</f>
        <v/>
      </c>
      <c r="BI560" s="39" t="str">
        <f>IFERROR(proje!BT55*100/proje!$I55,"")</f>
        <v/>
      </c>
      <c r="BJ560" s="39" t="str">
        <f>IFERROR(proje!BU55*100/proje!$I55,"")</f>
        <v/>
      </c>
      <c r="BK560" s="39" t="str">
        <f>IFERROR(proje!BV55*100/proje!$I55,"")</f>
        <v/>
      </c>
      <c r="BL560" s="39" t="str">
        <f>IFERROR(proje!BW55*100/proje!$I55,"")</f>
        <v/>
      </c>
      <c r="BM560" s="39" t="str">
        <f>IFERROR(proje!BX55*100/proje!$I55,"")</f>
        <v/>
      </c>
      <c r="BN560" s="39" t="str">
        <f>IFERROR(proje!BY55*100/proje!$I55,"")</f>
        <v/>
      </c>
      <c r="BO560" s="39" t="str">
        <f>IFERROR(proje!BZ55*100/proje!$I55,"")</f>
        <v/>
      </c>
      <c r="BP560" s="39" t="str">
        <f>IFERROR(proje!CA55*100/proje!$I55,"")</f>
        <v/>
      </c>
      <c r="BQ560" s="39" t="str">
        <f>IFERROR(proje!CB55*100/proje!$I55,"")</f>
        <v/>
      </c>
      <c r="BR560" s="39" t="str">
        <f>IFERROR(proje!CC55*100/proje!$I55,"")</f>
        <v/>
      </c>
      <c r="BS560" s="39" t="str">
        <f>IFERROR(proje!CD55*100/proje!$I55,"")</f>
        <v/>
      </c>
      <c r="BT560" s="39" t="str">
        <f>IFERROR(proje!CE55*100/proje!$I55,"")</f>
        <v/>
      </c>
      <c r="BU560" s="39" t="str">
        <f>IFERROR(proje!CF55*100/proje!$I55,"")</f>
        <v/>
      </c>
      <c r="BV560" s="39" t="str">
        <f>IFERROR(proje!CG55*100/proje!$I55,"")</f>
        <v/>
      </c>
      <c r="BW560" s="39" t="str">
        <f>IFERROR(proje!CH55*100/proje!$I55,"")</f>
        <v/>
      </c>
      <c r="BX560" s="39" t="str">
        <f>IFERROR(proje!CI55*100/proje!$I55,"")</f>
        <v/>
      </c>
      <c r="BY560" s="39" t="str">
        <f>IFERROR(proje!CJ55*100/proje!$I55,"")</f>
        <v/>
      </c>
      <c r="BZ560" s="39" t="str">
        <f>IFERROR(proje!CK55*100/proje!$I55,"")</f>
        <v/>
      </c>
      <c r="CA560" s="39" t="str">
        <f>IFERROR(proje!CL55*100/proje!$I55,"")</f>
        <v/>
      </c>
      <c r="CB560" s="39" t="str">
        <f>IFERROR(proje!CM55*100/proje!$I55,"")</f>
        <v/>
      </c>
      <c r="CC560" s="39" t="str">
        <f>IFERROR(proje!CN55*100/proje!$I55,"")</f>
        <v/>
      </c>
      <c r="CD560" s="39" t="str">
        <f>IFERROR(proje!CO55*100/proje!$I55,"")</f>
        <v/>
      </c>
      <c r="CE560" s="39" t="str">
        <f>IFERROR(proje!CP55*100/proje!$I55,"")</f>
        <v/>
      </c>
      <c r="CF560" s="39" t="str">
        <f>IFERROR(proje!CQ55*100/proje!$I55,"")</f>
        <v/>
      </c>
      <c r="CG560" s="39" t="str">
        <f>IFERROR(proje!CR55*100/proje!$I55,"")</f>
        <v/>
      </c>
      <c r="CH560" s="39" t="str">
        <f>IFERROR(proje!CS55*100/proje!$I55,"")</f>
        <v/>
      </c>
      <c r="CI560" s="39" t="str">
        <f>IFERROR(proje!CT55*100/proje!$I55,"")</f>
        <v/>
      </c>
      <c r="CJ560" s="39" t="str">
        <f>IFERROR(proje!CU55*100/proje!$I55,"")</f>
        <v/>
      </c>
      <c r="CK560" s="39" t="str">
        <f>IFERROR(proje!CV55*100/proje!$I55,"")</f>
        <v/>
      </c>
      <c r="CL560" s="39" t="str">
        <f>IFERROR(proje!CW55*100/proje!$I55,"")</f>
        <v/>
      </c>
      <c r="CM560" s="39" t="str">
        <f>IFERROR(proje!CX55*100/proje!$I55,"")</f>
        <v/>
      </c>
      <c r="CN560" s="39" t="str">
        <f>IFERROR(proje!CY55*100/proje!$I55,"")</f>
        <v/>
      </c>
      <c r="CO560" s="39" t="str">
        <f>IFERROR(proje!CZ55*100/proje!$I55,"")</f>
        <v/>
      </c>
      <c r="CP560" s="39" t="str">
        <f>IFERROR(proje!DA55*100/proje!$I55,"")</f>
        <v/>
      </c>
      <c r="CQ560" s="39" t="str">
        <f>IFERROR(proje!DB55*100/proje!$I55,"")</f>
        <v/>
      </c>
      <c r="CR560" s="39" t="str">
        <f>IFERROR(proje!DC55*100/proje!$I55,"")</f>
        <v/>
      </c>
      <c r="CS560" s="39" t="str">
        <f>IFERROR(proje!DD55*100/proje!$I55,"")</f>
        <v/>
      </c>
      <c r="CT560" s="39" t="str">
        <f>IFERROR(proje!DE55*100/proje!$I55,"")</f>
        <v/>
      </c>
      <c r="CU560" s="39" t="str">
        <f>IFERROR(proje!DF55*100/proje!$I55,"")</f>
        <v/>
      </c>
      <c r="CV560" s="39" t="str">
        <f>IFERROR(proje!DG55*100/proje!$I55,"")</f>
        <v/>
      </c>
      <c r="CW560" s="36" t="str">
        <f>IFERROR(SUM(A560:CV560)/proje!$DH$103,"")</f>
        <v/>
      </c>
      <c r="CX560" s="14" t="str">
        <f>IF(COUNTA(proje!A55),proje!A55,"")</f>
        <v/>
      </c>
      <c r="CY560" s="14" t="str">
        <f>IF(COUNTA(proje!B55),proje!B55,"")</f>
        <v/>
      </c>
      <c r="CZ560" s="14" t="str">
        <f>IF(COUNTA(proje!C55),proje!C55,"")</f>
        <v/>
      </c>
      <c r="DA560" s="14" t="str">
        <f>IF(COUNTA(proje!D55),proje!D55,"")</f>
        <v/>
      </c>
      <c r="DB560" s="14" t="str">
        <f>IF(COUNTA(proje!E55),proje!E55,"")</f>
        <v/>
      </c>
      <c r="DC560" s="14" t="str">
        <f>IF(COUNTA(proje!F55),proje!F55,"")</f>
        <v/>
      </c>
      <c r="DD560" s="14" t="str">
        <f>IF(COUNTA(proje!G55),proje!G55,"")</f>
        <v/>
      </c>
      <c r="DE560" s="14" t="str">
        <f>IF(COUNTA(proje!H55),proje!H55,"")</f>
        <v/>
      </c>
    </row>
    <row r="561" spans="1:109" x14ac:dyDescent="0.2">
      <c r="A561" s="39" t="str">
        <f>IFERROR(proje!L56*100/proje!$I56,"")</f>
        <v/>
      </c>
      <c r="B561" s="39" t="str">
        <f>IFERROR(proje!M56*100/proje!$I56,"")</f>
        <v/>
      </c>
      <c r="C561" s="39" t="str">
        <f>IFERROR(proje!N56*100/proje!$I56,"")</f>
        <v/>
      </c>
      <c r="D561" s="39" t="str">
        <f>IFERROR(proje!O56*100/proje!$I56,"")</f>
        <v/>
      </c>
      <c r="E561" s="39" t="str">
        <f>IFERROR(proje!P56*100/proje!$I56,"")</f>
        <v/>
      </c>
      <c r="F561" s="39" t="str">
        <f>IFERROR(proje!Q56*100/proje!$I56,"")</f>
        <v/>
      </c>
      <c r="G561" s="39" t="str">
        <f>IFERROR(proje!R56*100/proje!$I56,"")</f>
        <v/>
      </c>
      <c r="H561" s="39" t="str">
        <f>IFERROR(proje!S56*100/proje!$I56,"")</f>
        <v/>
      </c>
      <c r="I561" s="39" t="str">
        <f>IFERROR(proje!T56*100/proje!$I56,"")</f>
        <v/>
      </c>
      <c r="J561" s="39" t="str">
        <f>IFERROR(proje!U56*100/proje!$I56,"")</f>
        <v/>
      </c>
      <c r="K561" s="39" t="str">
        <f>IFERROR(proje!V56*100/proje!$I56,"")</f>
        <v/>
      </c>
      <c r="L561" s="39" t="str">
        <f>IFERROR(proje!W56*100/proje!$I56,"")</f>
        <v/>
      </c>
      <c r="M561" s="39" t="str">
        <f>IFERROR(proje!X56*100/proje!$I56,"")</f>
        <v/>
      </c>
      <c r="N561" s="39" t="str">
        <f>IFERROR(proje!Y56*100/proje!$I56,"")</f>
        <v/>
      </c>
      <c r="O561" s="39" t="str">
        <f>IFERROR(proje!Z56*100/proje!$I56,"")</f>
        <v/>
      </c>
      <c r="P561" s="39" t="str">
        <f>IFERROR(proje!AA56*100/proje!$I56,"")</f>
        <v/>
      </c>
      <c r="Q561" s="39" t="str">
        <f>IFERROR(proje!AB56*100/proje!$I56,"")</f>
        <v/>
      </c>
      <c r="R561" s="39" t="str">
        <f>IFERROR(proje!AC56*100/proje!$I56,"")</f>
        <v/>
      </c>
      <c r="S561" s="39" t="str">
        <f>IFERROR(proje!AD56*100/proje!$I56,"")</f>
        <v/>
      </c>
      <c r="T561" s="39" t="str">
        <f>IFERROR(proje!AE56*100/proje!$I56,"")</f>
        <v/>
      </c>
      <c r="U561" s="39" t="str">
        <f>IFERROR(proje!AF56*100/proje!$I56,"")</f>
        <v/>
      </c>
      <c r="V561" s="39" t="str">
        <f>IFERROR(proje!AG56*100/proje!$I56,"")</f>
        <v/>
      </c>
      <c r="W561" s="39" t="str">
        <f>IFERROR(proje!AH56*100/proje!$I56,"")</f>
        <v/>
      </c>
      <c r="X561" s="39" t="str">
        <f>IFERROR(proje!AI56*100/proje!$I56,"")</f>
        <v/>
      </c>
      <c r="Y561" s="39" t="str">
        <f>IFERROR(proje!AJ56*100/proje!$I56,"")</f>
        <v/>
      </c>
      <c r="Z561" s="39" t="str">
        <f>IFERROR(proje!AK56*100/proje!$I56,"")</f>
        <v/>
      </c>
      <c r="AA561" s="39" t="str">
        <f>IFERROR(proje!AL56*100/proje!$I56,"")</f>
        <v/>
      </c>
      <c r="AB561" s="39" t="str">
        <f>IFERROR(proje!AM56*100/proje!$I56,"")</f>
        <v/>
      </c>
      <c r="AC561" s="39" t="str">
        <f>IFERROR(proje!AN56*100/proje!$I56,"")</f>
        <v/>
      </c>
      <c r="AD561" s="39" t="str">
        <f>IFERROR(proje!AO56*100/proje!$I56,"")</f>
        <v/>
      </c>
      <c r="AE561" s="39" t="str">
        <f>IFERROR(proje!AP56*100/proje!$I56,"")</f>
        <v/>
      </c>
      <c r="AF561" s="39" t="str">
        <f>IFERROR(proje!AQ56*100/proje!$I56,"")</f>
        <v/>
      </c>
      <c r="AG561" s="39" t="str">
        <f>IFERROR(proje!AR56*100/proje!$I56,"")</f>
        <v/>
      </c>
      <c r="AH561" s="39" t="str">
        <f>IFERROR(proje!AS56*100/proje!$I56,"")</f>
        <v/>
      </c>
      <c r="AI561" s="39" t="str">
        <f>IFERROR(proje!AT56*100/proje!$I56,"")</f>
        <v/>
      </c>
      <c r="AJ561" s="39" t="str">
        <f>IFERROR(proje!AU56*100/proje!$I56,"")</f>
        <v/>
      </c>
      <c r="AK561" s="39" t="str">
        <f>IFERROR(proje!AV56*100/proje!$I56,"")</f>
        <v/>
      </c>
      <c r="AL561" s="39" t="str">
        <f>IFERROR(proje!AW56*100/proje!$I56,"")</f>
        <v/>
      </c>
      <c r="AM561" s="39" t="str">
        <f>IFERROR(proje!AX56*100/proje!$I56,"")</f>
        <v/>
      </c>
      <c r="AN561" s="39" t="str">
        <f>IFERROR(proje!AY56*100/proje!$I56,"")</f>
        <v/>
      </c>
      <c r="AO561" s="39" t="str">
        <f>IFERROR(proje!AZ56*100/proje!$I56,"")</f>
        <v/>
      </c>
      <c r="AP561" s="39" t="str">
        <f>IFERROR(proje!BA56*100/proje!$I56,"")</f>
        <v/>
      </c>
      <c r="AQ561" s="39" t="str">
        <f>IFERROR(proje!BB56*100/proje!$I56,"")</f>
        <v/>
      </c>
      <c r="AR561" s="39" t="str">
        <f>IFERROR(proje!BC56*100/proje!$I56,"")</f>
        <v/>
      </c>
      <c r="AS561" s="39" t="str">
        <f>IFERROR(proje!BD56*100/proje!$I56,"")</f>
        <v/>
      </c>
      <c r="AT561" s="39" t="str">
        <f>IFERROR(proje!BE56*100/proje!$I56,"")</f>
        <v/>
      </c>
      <c r="AU561" s="39" t="str">
        <f>IFERROR(proje!BF56*100/proje!$I56,"")</f>
        <v/>
      </c>
      <c r="AV561" s="39" t="str">
        <f>IFERROR(proje!BG56*100/proje!$I56,"")</f>
        <v/>
      </c>
      <c r="AW561" s="39" t="str">
        <f>IFERROR(proje!BH56*100/proje!$I56,"")</f>
        <v/>
      </c>
      <c r="AX561" s="39" t="str">
        <f>IFERROR(proje!BI56*100/proje!$I56,"")</f>
        <v/>
      </c>
      <c r="AY561" s="39" t="str">
        <f>IFERROR(proje!BJ56*100/proje!$I56,"")</f>
        <v/>
      </c>
      <c r="AZ561" s="39" t="str">
        <f>IFERROR(proje!BK56*100/proje!$I56,"")</f>
        <v/>
      </c>
      <c r="BA561" s="39" t="str">
        <f>IFERROR(proje!BL56*100/proje!$I56,"")</f>
        <v/>
      </c>
      <c r="BB561" s="39" t="str">
        <f>IFERROR(proje!BM56*100/proje!$I56,"")</f>
        <v/>
      </c>
      <c r="BC561" s="39" t="str">
        <f>IFERROR(proje!BN56*100/proje!$I56,"")</f>
        <v/>
      </c>
      <c r="BD561" s="39" t="str">
        <f>IFERROR(proje!BO56*100/proje!$I56,"")</f>
        <v/>
      </c>
      <c r="BE561" s="39" t="str">
        <f>IFERROR(proje!BP56*100/proje!$I56,"")</f>
        <v/>
      </c>
      <c r="BF561" s="39" t="str">
        <f>IFERROR(proje!BQ56*100/proje!$I56,"")</f>
        <v/>
      </c>
      <c r="BG561" s="39" t="str">
        <f>IFERROR(proje!BR56*100/proje!$I56,"")</f>
        <v/>
      </c>
      <c r="BH561" s="39" t="str">
        <f>IFERROR(proje!BS56*100/proje!$I56,"")</f>
        <v/>
      </c>
      <c r="BI561" s="39" t="str">
        <f>IFERROR(proje!BT56*100/proje!$I56,"")</f>
        <v/>
      </c>
      <c r="BJ561" s="39" t="str">
        <f>IFERROR(proje!BU56*100/proje!$I56,"")</f>
        <v/>
      </c>
      <c r="BK561" s="39" t="str">
        <f>IFERROR(proje!BV56*100/proje!$I56,"")</f>
        <v/>
      </c>
      <c r="BL561" s="39" t="str">
        <f>IFERROR(proje!BW56*100/proje!$I56,"")</f>
        <v/>
      </c>
      <c r="BM561" s="39" t="str">
        <f>IFERROR(proje!BX56*100/proje!$I56,"")</f>
        <v/>
      </c>
      <c r="BN561" s="39" t="str">
        <f>IFERROR(proje!BY56*100/proje!$I56,"")</f>
        <v/>
      </c>
      <c r="BO561" s="39" t="str">
        <f>IFERROR(proje!BZ56*100/proje!$I56,"")</f>
        <v/>
      </c>
      <c r="BP561" s="39" t="str">
        <f>IFERROR(proje!CA56*100/proje!$I56,"")</f>
        <v/>
      </c>
      <c r="BQ561" s="39" t="str">
        <f>IFERROR(proje!CB56*100/proje!$I56,"")</f>
        <v/>
      </c>
      <c r="BR561" s="39" t="str">
        <f>IFERROR(proje!CC56*100/proje!$I56,"")</f>
        <v/>
      </c>
      <c r="BS561" s="39" t="str">
        <f>IFERROR(proje!CD56*100/proje!$I56,"")</f>
        <v/>
      </c>
      <c r="BT561" s="39" t="str">
        <f>IFERROR(proje!CE56*100/proje!$I56,"")</f>
        <v/>
      </c>
      <c r="BU561" s="39" t="str">
        <f>IFERROR(proje!CF56*100/proje!$I56,"")</f>
        <v/>
      </c>
      <c r="BV561" s="39" t="str">
        <f>IFERROR(proje!CG56*100/proje!$I56,"")</f>
        <v/>
      </c>
      <c r="BW561" s="39" t="str">
        <f>IFERROR(proje!CH56*100/proje!$I56,"")</f>
        <v/>
      </c>
      <c r="BX561" s="39" t="str">
        <f>IFERROR(proje!CI56*100/proje!$I56,"")</f>
        <v/>
      </c>
      <c r="BY561" s="39" t="str">
        <f>IFERROR(proje!CJ56*100/proje!$I56,"")</f>
        <v/>
      </c>
      <c r="BZ561" s="39" t="str">
        <f>IFERROR(proje!CK56*100/proje!$I56,"")</f>
        <v/>
      </c>
      <c r="CA561" s="39" t="str">
        <f>IFERROR(proje!CL56*100/proje!$I56,"")</f>
        <v/>
      </c>
      <c r="CB561" s="39" t="str">
        <f>IFERROR(proje!CM56*100/proje!$I56,"")</f>
        <v/>
      </c>
      <c r="CC561" s="39" t="str">
        <f>IFERROR(proje!CN56*100/proje!$I56,"")</f>
        <v/>
      </c>
      <c r="CD561" s="39" t="str">
        <f>IFERROR(proje!CO56*100/proje!$I56,"")</f>
        <v/>
      </c>
      <c r="CE561" s="39" t="str">
        <f>IFERROR(proje!CP56*100/proje!$I56,"")</f>
        <v/>
      </c>
      <c r="CF561" s="39" t="str">
        <f>IFERROR(proje!CQ56*100/proje!$I56,"")</f>
        <v/>
      </c>
      <c r="CG561" s="39" t="str">
        <f>IFERROR(proje!CR56*100/proje!$I56,"")</f>
        <v/>
      </c>
      <c r="CH561" s="39" t="str">
        <f>IFERROR(proje!CS56*100/proje!$I56,"")</f>
        <v/>
      </c>
      <c r="CI561" s="39" t="str">
        <f>IFERROR(proje!CT56*100/proje!$I56,"")</f>
        <v/>
      </c>
      <c r="CJ561" s="39" t="str">
        <f>IFERROR(proje!CU56*100/proje!$I56,"")</f>
        <v/>
      </c>
      <c r="CK561" s="39" t="str">
        <f>IFERROR(proje!CV56*100/proje!$I56,"")</f>
        <v/>
      </c>
      <c r="CL561" s="39" t="str">
        <f>IFERROR(proje!CW56*100/proje!$I56,"")</f>
        <v/>
      </c>
      <c r="CM561" s="39" t="str">
        <f>IFERROR(proje!CX56*100/proje!$I56,"")</f>
        <v/>
      </c>
      <c r="CN561" s="39" t="str">
        <f>IFERROR(proje!CY56*100/proje!$I56,"")</f>
        <v/>
      </c>
      <c r="CO561" s="39" t="str">
        <f>IFERROR(proje!CZ56*100/proje!$I56,"")</f>
        <v/>
      </c>
      <c r="CP561" s="39" t="str">
        <f>IFERROR(proje!DA56*100/proje!$I56,"")</f>
        <v/>
      </c>
      <c r="CQ561" s="39" t="str">
        <f>IFERROR(proje!DB56*100/proje!$I56,"")</f>
        <v/>
      </c>
      <c r="CR561" s="39" t="str">
        <f>IFERROR(proje!DC56*100/proje!$I56,"")</f>
        <v/>
      </c>
      <c r="CS561" s="39" t="str">
        <f>IFERROR(proje!DD56*100/proje!$I56,"")</f>
        <v/>
      </c>
      <c r="CT561" s="39" t="str">
        <f>IFERROR(proje!DE56*100/proje!$I56,"")</f>
        <v/>
      </c>
      <c r="CU561" s="39" t="str">
        <f>IFERROR(proje!DF56*100/proje!$I56,"")</f>
        <v/>
      </c>
      <c r="CV561" s="39" t="str">
        <f>IFERROR(proje!DG56*100/proje!$I56,"")</f>
        <v/>
      </c>
      <c r="CW561" s="36" t="str">
        <f>IFERROR(SUM(A561:CV561)/proje!$DH$103,"")</f>
        <v/>
      </c>
      <c r="CX561" s="14" t="str">
        <f>IF(COUNTA(proje!A56),proje!A56,"")</f>
        <v/>
      </c>
      <c r="CY561" s="14" t="str">
        <f>IF(COUNTA(proje!B56),proje!B56,"")</f>
        <v/>
      </c>
      <c r="CZ561" s="14" t="str">
        <f>IF(COUNTA(proje!C56),proje!C56,"")</f>
        <v/>
      </c>
      <c r="DA561" s="14" t="str">
        <f>IF(COUNTA(proje!D56),proje!D56,"")</f>
        <v/>
      </c>
      <c r="DB561" s="14" t="str">
        <f>IF(COUNTA(proje!E56),proje!E56,"")</f>
        <v/>
      </c>
      <c r="DC561" s="14" t="str">
        <f>IF(COUNTA(proje!F56),proje!F56,"")</f>
        <v/>
      </c>
      <c r="DD561" s="14" t="str">
        <f>IF(COUNTA(proje!G56),proje!G56,"")</f>
        <v/>
      </c>
      <c r="DE561" s="14" t="str">
        <f>IF(COUNTA(proje!H56),proje!H56,"")</f>
        <v/>
      </c>
    </row>
    <row r="562" spans="1:109" x14ac:dyDescent="0.2">
      <c r="A562" s="39" t="str">
        <f>IFERROR(proje!L57*100/proje!$I57,"")</f>
        <v/>
      </c>
      <c r="B562" s="39" t="str">
        <f>IFERROR(proje!M57*100/proje!$I57,"")</f>
        <v/>
      </c>
      <c r="C562" s="39" t="str">
        <f>IFERROR(proje!N57*100/proje!$I57,"")</f>
        <v/>
      </c>
      <c r="D562" s="39" t="str">
        <f>IFERROR(proje!O57*100/proje!$I57,"")</f>
        <v/>
      </c>
      <c r="E562" s="39" t="str">
        <f>IFERROR(proje!P57*100/proje!$I57,"")</f>
        <v/>
      </c>
      <c r="F562" s="39" t="str">
        <f>IFERROR(proje!Q57*100/proje!$I57,"")</f>
        <v/>
      </c>
      <c r="G562" s="39" t="str">
        <f>IFERROR(proje!R57*100/proje!$I57,"")</f>
        <v/>
      </c>
      <c r="H562" s="39" t="str">
        <f>IFERROR(proje!S57*100/proje!$I57,"")</f>
        <v/>
      </c>
      <c r="I562" s="39" t="str">
        <f>IFERROR(proje!T57*100/proje!$I57,"")</f>
        <v/>
      </c>
      <c r="J562" s="39" t="str">
        <f>IFERROR(proje!U57*100/proje!$I57,"")</f>
        <v/>
      </c>
      <c r="K562" s="39" t="str">
        <f>IFERROR(proje!V57*100/proje!$I57,"")</f>
        <v/>
      </c>
      <c r="L562" s="39" t="str">
        <f>IFERROR(proje!W57*100/proje!$I57,"")</f>
        <v/>
      </c>
      <c r="M562" s="39" t="str">
        <f>IFERROR(proje!X57*100/proje!$I57,"")</f>
        <v/>
      </c>
      <c r="N562" s="39" t="str">
        <f>IFERROR(proje!Y57*100/proje!$I57,"")</f>
        <v/>
      </c>
      <c r="O562" s="39" t="str">
        <f>IFERROR(proje!Z57*100/proje!$I57,"")</f>
        <v/>
      </c>
      <c r="P562" s="39" t="str">
        <f>IFERROR(proje!AA57*100/proje!$I57,"")</f>
        <v/>
      </c>
      <c r="Q562" s="39" t="str">
        <f>IFERROR(proje!AB57*100/proje!$I57,"")</f>
        <v/>
      </c>
      <c r="R562" s="39" t="str">
        <f>IFERROR(proje!AC57*100/proje!$I57,"")</f>
        <v/>
      </c>
      <c r="S562" s="39" t="str">
        <f>IFERROR(proje!AD57*100/proje!$I57,"")</f>
        <v/>
      </c>
      <c r="T562" s="39" t="str">
        <f>IFERROR(proje!AE57*100/proje!$I57,"")</f>
        <v/>
      </c>
      <c r="U562" s="39" t="str">
        <f>IFERROR(proje!AF57*100/proje!$I57,"")</f>
        <v/>
      </c>
      <c r="V562" s="39" t="str">
        <f>IFERROR(proje!AG57*100/proje!$I57,"")</f>
        <v/>
      </c>
      <c r="W562" s="39" t="str">
        <f>IFERROR(proje!AH57*100/proje!$I57,"")</f>
        <v/>
      </c>
      <c r="X562" s="39" t="str">
        <f>IFERROR(proje!AI57*100/proje!$I57,"")</f>
        <v/>
      </c>
      <c r="Y562" s="39" t="str">
        <f>IFERROR(proje!AJ57*100/proje!$I57,"")</f>
        <v/>
      </c>
      <c r="Z562" s="39" t="str">
        <f>IFERROR(proje!AK57*100/proje!$I57,"")</f>
        <v/>
      </c>
      <c r="AA562" s="39" t="str">
        <f>IFERROR(proje!AL57*100/proje!$I57,"")</f>
        <v/>
      </c>
      <c r="AB562" s="39" t="str">
        <f>IFERROR(proje!AM57*100/proje!$I57,"")</f>
        <v/>
      </c>
      <c r="AC562" s="39" t="str">
        <f>IFERROR(proje!AN57*100/proje!$I57,"")</f>
        <v/>
      </c>
      <c r="AD562" s="39" t="str">
        <f>IFERROR(proje!AO57*100/proje!$I57,"")</f>
        <v/>
      </c>
      <c r="AE562" s="39" t="str">
        <f>IFERROR(proje!AP57*100/proje!$I57,"")</f>
        <v/>
      </c>
      <c r="AF562" s="39" t="str">
        <f>IFERROR(proje!AQ57*100/proje!$I57,"")</f>
        <v/>
      </c>
      <c r="AG562" s="39" t="str">
        <f>IFERROR(proje!AR57*100/proje!$I57,"")</f>
        <v/>
      </c>
      <c r="AH562" s="39" t="str">
        <f>IFERROR(proje!AS57*100/proje!$I57,"")</f>
        <v/>
      </c>
      <c r="AI562" s="39" t="str">
        <f>IFERROR(proje!AT57*100/proje!$I57,"")</f>
        <v/>
      </c>
      <c r="AJ562" s="39" t="str">
        <f>IFERROR(proje!AU57*100/proje!$I57,"")</f>
        <v/>
      </c>
      <c r="AK562" s="39" t="str">
        <f>IFERROR(proje!AV57*100/proje!$I57,"")</f>
        <v/>
      </c>
      <c r="AL562" s="39" t="str">
        <f>IFERROR(proje!AW57*100/proje!$I57,"")</f>
        <v/>
      </c>
      <c r="AM562" s="39" t="str">
        <f>IFERROR(proje!AX57*100/proje!$I57,"")</f>
        <v/>
      </c>
      <c r="AN562" s="39" t="str">
        <f>IFERROR(proje!AY57*100/proje!$I57,"")</f>
        <v/>
      </c>
      <c r="AO562" s="39" t="str">
        <f>IFERROR(proje!AZ57*100/proje!$I57,"")</f>
        <v/>
      </c>
      <c r="AP562" s="39" t="str">
        <f>IFERROR(proje!BA57*100/proje!$I57,"")</f>
        <v/>
      </c>
      <c r="AQ562" s="39" t="str">
        <f>IFERROR(proje!BB57*100/proje!$I57,"")</f>
        <v/>
      </c>
      <c r="AR562" s="39" t="str">
        <f>IFERROR(proje!BC57*100/proje!$I57,"")</f>
        <v/>
      </c>
      <c r="AS562" s="39" t="str">
        <f>IFERROR(proje!BD57*100/proje!$I57,"")</f>
        <v/>
      </c>
      <c r="AT562" s="39" t="str">
        <f>IFERROR(proje!BE57*100/proje!$I57,"")</f>
        <v/>
      </c>
      <c r="AU562" s="39" t="str">
        <f>IFERROR(proje!BF57*100/proje!$I57,"")</f>
        <v/>
      </c>
      <c r="AV562" s="39" t="str">
        <f>IFERROR(proje!BG57*100/proje!$I57,"")</f>
        <v/>
      </c>
      <c r="AW562" s="39" t="str">
        <f>IFERROR(proje!BH57*100/proje!$I57,"")</f>
        <v/>
      </c>
      <c r="AX562" s="39" t="str">
        <f>IFERROR(proje!BI57*100/proje!$I57,"")</f>
        <v/>
      </c>
      <c r="AY562" s="39" t="str">
        <f>IFERROR(proje!BJ57*100/proje!$I57,"")</f>
        <v/>
      </c>
      <c r="AZ562" s="39" t="str">
        <f>IFERROR(proje!BK57*100/proje!$I57,"")</f>
        <v/>
      </c>
      <c r="BA562" s="39" t="str">
        <f>IFERROR(proje!BL57*100/proje!$I57,"")</f>
        <v/>
      </c>
      <c r="BB562" s="39" t="str">
        <f>IFERROR(proje!BM57*100/proje!$I57,"")</f>
        <v/>
      </c>
      <c r="BC562" s="39" t="str">
        <f>IFERROR(proje!BN57*100/proje!$I57,"")</f>
        <v/>
      </c>
      <c r="BD562" s="39" t="str">
        <f>IFERROR(proje!BO57*100/proje!$I57,"")</f>
        <v/>
      </c>
      <c r="BE562" s="39" t="str">
        <f>IFERROR(proje!BP57*100/proje!$I57,"")</f>
        <v/>
      </c>
      <c r="BF562" s="39" t="str">
        <f>IFERROR(proje!BQ57*100/proje!$I57,"")</f>
        <v/>
      </c>
      <c r="BG562" s="39" t="str">
        <f>IFERROR(proje!BR57*100/proje!$I57,"")</f>
        <v/>
      </c>
      <c r="BH562" s="39" t="str">
        <f>IFERROR(proje!BS57*100/proje!$I57,"")</f>
        <v/>
      </c>
      <c r="BI562" s="39" t="str">
        <f>IFERROR(proje!BT57*100/proje!$I57,"")</f>
        <v/>
      </c>
      <c r="BJ562" s="39" t="str">
        <f>IFERROR(proje!BU57*100/proje!$I57,"")</f>
        <v/>
      </c>
      <c r="BK562" s="39" t="str">
        <f>IFERROR(proje!BV57*100/proje!$I57,"")</f>
        <v/>
      </c>
      <c r="BL562" s="39" t="str">
        <f>IFERROR(proje!BW57*100/proje!$I57,"")</f>
        <v/>
      </c>
      <c r="BM562" s="39" t="str">
        <f>IFERROR(proje!BX57*100/proje!$I57,"")</f>
        <v/>
      </c>
      <c r="BN562" s="39" t="str">
        <f>IFERROR(proje!BY57*100/proje!$I57,"")</f>
        <v/>
      </c>
      <c r="BO562" s="39" t="str">
        <f>IFERROR(proje!BZ57*100/proje!$I57,"")</f>
        <v/>
      </c>
      <c r="BP562" s="39" t="str">
        <f>IFERROR(proje!CA57*100/proje!$I57,"")</f>
        <v/>
      </c>
      <c r="BQ562" s="39" t="str">
        <f>IFERROR(proje!CB57*100/proje!$I57,"")</f>
        <v/>
      </c>
      <c r="BR562" s="39" t="str">
        <f>IFERROR(proje!CC57*100/proje!$I57,"")</f>
        <v/>
      </c>
      <c r="BS562" s="39" t="str">
        <f>IFERROR(proje!CD57*100/proje!$I57,"")</f>
        <v/>
      </c>
      <c r="BT562" s="39" t="str">
        <f>IFERROR(proje!CE57*100/proje!$I57,"")</f>
        <v/>
      </c>
      <c r="BU562" s="39" t="str">
        <f>IFERROR(proje!CF57*100/proje!$I57,"")</f>
        <v/>
      </c>
      <c r="BV562" s="39" t="str">
        <f>IFERROR(proje!CG57*100/proje!$I57,"")</f>
        <v/>
      </c>
      <c r="BW562" s="39" t="str">
        <f>IFERROR(proje!CH57*100/proje!$I57,"")</f>
        <v/>
      </c>
      <c r="BX562" s="39" t="str">
        <f>IFERROR(proje!CI57*100/proje!$I57,"")</f>
        <v/>
      </c>
      <c r="BY562" s="39" t="str">
        <f>IFERROR(proje!CJ57*100/proje!$I57,"")</f>
        <v/>
      </c>
      <c r="BZ562" s="39" t="str">
        <f>IFERROR(proje!CK57*100/proje!$I57,"")</f>
        <v/>
      </c>
      <c r="CA562" s="39" t="str">
        <f>IFERROR(proje!CL57*100/proje!$I57,"")</f>
        <v/>
      </c>
      <c r="CB562" s="39" t="str">
        <f>IFERROR(proje!CM57*100/proje!$I57,"")</f>
        <v/>
      </c>
      <c r="CC562" s="39" t="str">
        <f>IFERROR(proje!CN57*100/proje!$I57,"")</f>
        <v/>
      </c>
      <c r="CD562" s="39" t="str">
        <f>IFERROR(proje!CO57*100/proje!$I57,"")</f>
        <v/>
      </c>
      <c r="CE562" s="39" t="str">
        <f>IFERROR(proje!CP57*100/proje!$I57,"")</f>
        <v/>
      </c>
      <c r="CF562" s="39" t="str">
        <f>IFERROR(proje!CQ57*100/proje!$I57,"")</f>
        <v/>
      </c>
      <c r="CG562" s="39" t="str">
        <f>IFERROR(proje!CR57*100/proje!$I57,"")</f>
        <v/>
      </c>
      <c r="CH562" s="39" t="str">
        <f>IFERROR(proje!CS57*100/proje!$I57,"")</f>
        <v/>
      </c>
      <c r="CI562" s="39" t="str">
        <f>IFERROR(proje!CT57*100/proje!$I57,"")</f>
        <v/>
      </c>
      <c r="CJ562" s="39" t="str">
        <f>IFERROR(proje!CU57*100/proje!$I57,"")</f>
        <v/>
      </c>
      <c r="CK562" s="39" t="str">
        <f>IFERROR(proje!CV57*100/proje!$I57,"")</f>
        <v/>
      </c>
      <c r="CL562" s="39" t="str">
        <f>IFERROR(proje!CW57*100/proje!$I57,"")</f>
        <v/>
      </c>
      <c r="CM562" s="39" t="str">
        <f>IFERROR(proje!CX57*100/proje!$I57,"")</f>
        <v/>
      </c>
      <c r="CN562" s="39" t="str">
        <f>IFERROR(proje!CY57*100/proje!$I57,"")</f>
        <v/>
      </c>
      <c r="CO562" s="39" t="str">
        <f>IFERROR(proje!CZ57*100/proje!$I57,"")</f>
        <v/>
      </c>
      <c r="CP562" s="39" t="str">
        <f>IFERROR(proje!DA57*100/proje!$I57,"")</f>
        <v/>
      </c>
      <c r="CQ562" s="39" t="str">
        <f>IFERROR(proje!DB57*100/proje!$I57,"")</f>
        <v/>
      </c>
      <c r="CR562" s="39" t="str">
        <f>IFERROR(proje!DC57*100/proje!$I57,"")</f>
        <v/>
      </c>
      <c r="CS562" s="39" t="str">
        <f>IFERROR(proje!DD57*100/proje!$I57,"")</f>
        <v/>
      </c>
      <c r="CT562" s="39" t="str">
        <f>IFERROR(proje!DE57*100/proje!$I57,"")</f>
        <v/>
      </c>
      <c r="CU562" s="39" t="str">
        <f>IFERROR(proje!DF57*100/proje!$I57,"")</f>
        <v/>
      </c>
      <c r="CV562" s="39" t="str">
        <f>IFERROR(proje!DG57*100/proje!$I57,"")</f>
        <v/>
      </c>
      <c r="CW562" s="36" t="str">
        <f>IFERROR(SUM(A562:CV562)/proje!$DH$103,"")</f>
        <v/>
      </c>
      <c r="CX562" s="14" t="str">
        <f>IF(COUNTA(proje!A57),proje!A57,"")</f>
        <v/>
      </c>
      <c r="CY562" s="14" t="str">
        <f>IF(COUNTA(proje!B57),proje!B57,"")</f>
        <v/>
      </c>
      <c r="CZ562" s="14" t="str">
        <f>IF(COUNTA(proje!C57),proje!C57,"")</f>
        <v/>
      </c>
      <c r="DA562" s="14" t="str">
        <f>IF(COUNTA(proje!D57),proje!D57,"")</f>
        <v/>
      </c>
      <c r="DB562" s="14" t="str">
        <f>IF(COUNTA(proje!E57),proje!E57,"")</f>
        <v/>
      </c>
      <c r="DC562" s="14" t="str">
        <f>IF(COUNTA(proje!F57),proje!F57,"")</f>
        <v/>
      </c>
      <c r="DD562" s="14" t="str">
        <f>IF(COUNTA(proje!G57),proje!G57,"")</f>
        <v/>
      </c>
      <c r="DE562" s="14" t="str">
        <f>IF(COUNTA(proje!H57),proje!H57,"")</f>
        <v/>
      </c>
    </row>
    <row r="563" spans="1:109" x14ac:dyDescent="0.2">
      <c r="A563" s="39" t="str">
        <f>IFERROR(proje!L58*100/proje!$I58,"")</f>
        <v/>
      </c>
      <c r="B563" s="39" t="str">
        <f>IFERROR(proje!M58*100/proje!$I58,"")</f>
        <v/>
      </c>
      <c r="C563" s="39" t="str">
        <f>IFERROR(proje!N58*100/proje!$I58,"")</f>
        <v/>
      </c>
      <c r="D563" s="39" t="str">
        <f>IFERROR(proje!O58*100/proje!$I58,"")</f>
        <v/>
      </c>
      <c r="E563" s="39" t="str">
        <f>IFERROR(proje!P58*100/proje!$I58,"")</f>
        <v/>
      </c>
      <c r="F563" s="39" t="str">
        <f>IFERROR(proje!Q58*100/proje!$I58,"")</f>
        <v/>
      </c>
      <c r="G563" s="39" t="str">
        <f>IFERROR(proje!R58*100/proje!$I58,"")</f>
        <v/>
      </c>
      <c r="H563" s="39" t="str">
        <f>IFERROR(proje!S58*100/proje!$I58,"")</f>
        <v/>
      </c>
      <c r="I563" s="39" t="str">
        <f>IFERROR(proje!T58*100/proje!$I58,"")</f>
        <v/>
      </c>
      <c r="J563" s="39" t="str">
        <f>IFERROR(proje!U58*100/proje!$I58,"")</f>
        <v/>
      </c>
      <c r="K563" s="39" t="str">
        <f>IFERROR(proje!V58*100/proje!$I58,"")</f>
        <v/>
      </c>
      <c r="L563" s="39" t="str">
        <f>IFERROR(proje!W58*100/proje!$I58,"")</f>
        <v/>
      </c>
      <c r="M563" s="39" t="str">
        <f>IFERROR(proje!X58*100/proje!$I58,"")</f>
        <v/>
      </c>
      <c r="N563" s="39" t="str">
        <f>IFERROR(proje!Y58*100/proje!$I58,"")</f>
        <v/>
      </c>
      <c r="O563" s="39" t="str">
        <f>IFERROR(proje!Z58*100/proje!$I58,"")</f>
        <v/>
      </c>
      <c r="P563" s="39" t="str">
        <f>IFERROR(proje!AA58*100/proje!$I58,"")</f>
        <v/>
      </c>
      <c r="Q563" s="39" t="str">
        <f>IFERROR(proje!AB58*100/proje!$I58,"")</f>
        <v/>
      </c>
      <c r="R563" s="39" t="str">
        <f>IFERROR(proje!AC58*100/proje!$I58,"")</f>
        <v/>
      </c>
      <c r="S563" s="39" t="str">
        <f>IFERROR(proje!AD58*100/proje!$I58,"")</f>
        <v/>
      </c>
      <c r="T563" s="39" t="str">
        <f>IFERROR(proje!AE58*100/proje!$I58,"")</f>
        <v/>
      </c>
      <c r="U563" s="39" t="str">
        <f>IFERROR(proje!AF58*100/proje!$I58,"")</f>
        <v/>
      </c>
      <c r="V563" s="39" t="str">
        <f>IFERROR(proje!AG58*100/proje!$I58,"")</f>
        <v/>
      </c>
      <c r="W563" s="39" t="str">
        <f>IFERROR(proje!AH58*100/proje!$I58,"")</f>
        <v/>
      </c>
      <c r="X563" s="39" t="str">
        <f>IFERROR(proje!AI58*100/proje!$I58,"")</f>
        <v/>
      </c>
      <c r="Y563" s="39" t="str">
        <f>IFERROR(proje!AJ58*100/proje!$I58,"")</f>
        <v/>
      </c>
      <c r="Z563" s="39" t="str">
        <f>IFERROR(proje!AK58*100/proje!$I58,"")</f>
        <v/>
      </c>
      <c r="AA563" s="39" t="str">
        <f>IFERROR(proje!AL58*100/proje!$I58,"")</f>
        <v/>
      </c>
      <c r="AB563" s="39" t="str">
        <f>IFERROR(proje!AM58*100/proje!$I58,"")</f>
        <v/>
      </c>
      <c r="AC563" s="39" t="str">
        <f>IFERROR(proje!AN58*100/proje!$I58,"")</f>
        <v/>
      </c>
      <c r="AD563" s="39" t="str">
        <f>IFERROR(proje!AO58*100/proje!$I58,"")</f>
        <v/>
      </c>
      <c r="AE563" s="39" t="str">
        <f>IFERROR(proje!AP58*100/proje!$I58,"")</f>
        <v/>
      </c>
      <c r="AF563" s="39" t="str">
        <f>IFERROR(proje!AQ58*100/proje!$I58,"")</f>
        <v/>
      </c>
      <c r="AG563" s="39" t="str">
        <f>IFERROR(proje!AR58*100/proje!$I58,"")</f>
        <v/>
      </c>
      <c r="AH563" s="39" t="str">
        <f>IFERROR(proje!AS58*100/proje!$I58,"")</f>
        <v/>
      </c>
      <c r="AI563" s="39" t="str">
        <f>IFERROR(proje!AT58*100/proje!$I58,"")</f>
        <v/>
      </c>
      <c r="AJ563" s="39" t="str">
        <f>IFERROR(proje!AU58*100/proje!$I58,"")</f>
        <v/>
      </c>
      <c r="AK563" s="39" t="str">
        <f>IFERROR(proje!AV58*100/proje!$I58,"")</f>
        <v/>
      </c>
      <c r="AL563" s="39" t="str">
        <f>IFERROR(proje!AW58*100/proje!$I58,"")</f>
        <v/>
      </c>
      <c r="AM563" s="39" t="str">
        <f>IFERROR(proje!AX58*100/proje!$I58,"")</f>
        <v/>
      </c>
      <c r="AN563" s="39" t="str">
        <f>IFERROR(proje!AY58*100/proje!$I58,"")</f>
        <v/>
      </c>
      <c r="AO563" s="39" t="str">
        <f>IFERROR(proje!AZ58*100/proje!$I58,"")</f>
        <v/>
      </c>
      <c r="AP563" s="39" t="str">
        <f>IFERROR(proje!BA58*100/proje!$I58,"")</f>
        <v/>
      </c>
      <c r="AQ563" s="39" t="str">
        <f>IFERROR(proje!BB58*100/proje!$I58,"")</f>
        <v/>
      </c>
      <c r="AR563" s="39" t="str">
        <f>IFERROR(proje!BC58*100/proje!$I58,"")</f>
        <v/>
      </c>
      <c r="AS563" s="39" t="str">
        <f>IFERROR(proje!BD58*100/proje!$I58,"")</f>
        <v/>
      </c>
      <c r="AT563" s="39" t="str">
        <f>IFERROR(proje!BE58*100/proje!$I58,"")</f>
        <v/>
      </c>
      <c r="AU563" s="39" t="str">
        <f>IFERROR(proje!BF58*100/proje!$I58,"")</f>
        <v/>
      </c>
      <c r="AV563" s="39" t="str">
        <f>IFERROR(proje!BG58*100/proje!$I58,"")</f>
        <v/>
      </c>
      <c r="AW563" s="39" t="str">
        <f>IFERROR(proje!BH58*100/proje!$I58,"")</f>
        <v/>
      </c>
      <c r="AX563" s="39" t="str">
        <f>IFERROR(proje!BI58*100/proje!$I58,"")</f>
        <v/>
      </c>
      <c r="AY563" s="39" t="str">
        <f>IFERROR(proje!BJ58*100/proje!$I58,"")</f>
        <v/>
      </c>
      <c r="AZ563" s="39" t="str">
        <f>IFERROR(proje!BK58*100/proje!$I58,"")</f>
        <v/>
      </c>
      <c r="BA563" s="39" t="str">
        <f>IFERROR(proje!BL58*100/proje!$I58,"")</f>
        <v/>
      </c>
      <c r="BB563" s="39" t="str">
        <f>IFERROR(proje!BM58*100/proje!$I58,"")</f>
        <v/>
      </c>
      <c r="BC563" s="39" t="str">
        <f>IFERROR(proje!BN58*100/proje!$I58,"")</f>
        <v/>
      </c>
      <c r="BD563" s="39" t="str">
        <f>IFERROR(proje!BO58*100/proje!$I58,"")</f>
        <v/>
      </c>
      <c r="BE563" s="39" t="str">
        <f>IFERROR(proje!BP58*100/proje!$I58,"")</f>
        <v/>
      </c>
      <c r="BF563" s="39" t="str">
        <f>IFERROR(proje!BQ58*100/proje!$I58,"")</f>
        <v/>
      </c>
      <c r="BG563" s="39" t="str">
        <f>IFERROR(proje!BR58*100/proje!$I58,"")</f>
        <v/>
      </c>
      <c r="BH563" s="39" t="str">
        <f>IFERROR(proje!BS58*100/proje!$I58,"")</f>
        <v/>
      </c>
      <c r="BI563" s="39" t="str">
        <f>IFERROR(proje!BT58*100/proje!$I58,"")</f>
        <v/>
      </c>
      <c r="BJ563" s="39" t="str">
        <f>IFERROR(proje!BU58*100/proje!$I58,"")</f>
        <v/>
      </c>
      <c r="BK563" s="39" t="str">
        <f>IFERROR(proje!BV58*100/proje!$I58,"")</f>
        <v/>
      </c>
      <c r="BL563" s="39" t="str">
        <f>IFERROR(proje!BW58*100/proje!$I58,"")</f>
        <v/>
      </c>
      <c r="BM563" s="39" t="str">
        <f>IFERROR(proje!BX58*100/proje!$I58,"")</f>
        <v/>
      </c>
      <c r="BN563" s="39" t="str">
        <f>IFERROR(proje!BY58*100/proje!$I58,"")</f>
        <v/>
      </c>
      <c r="BO563" s="39" t="str">
        <f>IFERROR(proje!BZ58*100/proje!$I58,"")</f>
        <v/>
      </c>
      <c r="BP563" s="39" t="str">
        <f>IFERROR(proje!CA58*100/proje!$I58,"")</f>
        <v/>
      </c>
      <c r="BQ563" s="39" t="str">
        <f>IFERROR(proje!CB58*100/proje!$I58,"")</f>
        <v/>
      </c>
      <c r="BR563" s="39" t="str">
        <f>IFERROR(proje!CC58*100/proje!$I58,"")</f>
        <v/>
      </c>
      <c r="BS563" s="39" t="str">
        <f>IFERROR(proje!CD58*100/proje!$I58,"")</f>
        <v/>
      </c>
      <c r="BT563" s="39" t="str">
        <f>IFERROR(proje!CE58*100/proje!$I58,"")</f>
        <v/>
      </c>
      <c r="BU563" s="39" t="str">
        <f>IFERROR(proje!CF58*100/proje!$I58,"")</f>
        <v/>
      </c>
      <c r="BV563" s="39" t="str">
        <f>IFERROR(proje!CG58*100/proje!$I58,"")</f>
        <v/>
      </c>
      <c r="BW563" s="39" t="str">
        <f>IFERROR(proje!CH58*100/proje!$I58,"")</f>
        <v/>
      </c>
      <c r="BX563" s="39" t="str">
        <f>IFERROR(proje!CI58*100/proje!$I58,"")</f>
        <v/>
      </c>
      <c r="BY563" s="39" t="str">
        <f>IFERROR(proje!CJ58*100/proje!$I58,"")</f>
        <v/>
      </c>
      <c r="BZ563" s="39" t="str">
        <f>IFERROR(proje!CK58*100/proje!$I58,"")</f>
        <v/>
      </c>
      <c r="CA563" s="39" t="str">
        <f>IFERROR(proje!CL58*100/proje!$I58,"")</f>
        <v/>
      </c>
      <c r="CB563" s="39" t="str">
        <f>IFERROR(proje!CM58*100/proje!$I58,"")</f>
        <v/>
      </c>
      <c r="CC563" s="39" t="str">
        <f>IFERROR(proje!CN58*100/proje!$I58,"")</f>
        <v/>
      </c>
      <c r="CD563" s="39" t="str">
        <f>IFERROR(proje!CO58*100/proje!$I58,"")</f>
        <v/>
      </c>
      <c r="CE563" s="39" t="str">
        <f>IFERROR(proje!CP58*100/proje!$I58,"")</f>
        <v/>
      </c>
      <c r="CF563" s="39" t="str">
        <f>IFERROR(proje!CQ58*100/proje!$I58,"")</f>
        <v/>
      </c>
      <c r="CG563" s="39" t="str">
        <f>IFERROR(proje!CR58*100/proje!$I58,"")</f>
        <v/>
      </c>
      <c r="CH563" s="39" t="str">
        <f>IFERROR(proje!CS58*100/proje!$I58,"")</f>
        <v/>
      </c>
      <c r="CI563" s="39" t="str">
        <f>IFERROR(proje!CT58*100/proje!$I58,"")</f>
        <v/>
      </c>
      <c r="CJ563" s="39" t="str">
        <f>IFERROR(proje!CU58*100/proje!$I58,"")</f>
        <v/>
      </c>
      <c r="CK563" s="39" t="str">
        <f>IFERROR(proje!CV58*100/proje!$I58,"")</f>
        <v/>
      </c>
      <c r="CL563" s="39" t="str">
        <f>IFERROR(proje!CW58*100/proje!$I58,"")</f>
        <v/>
      </c>
      <c r="CM563" s="39" t="str">
        <f>IFERROR(proje!CX58*100/proje!$I58,"")</f>
        <v/>
      </c>
      <c r="CN563" s="39" t="str">
        <f>IFERROR(proje!CY58*100/proje!$I58,"")</f>
        <v/>
      </c>
      <c r="CO563" s="39" t="str">
        <f>IFERROR(proje!CZ58*100/proje!$I58,"")</f>
        <v/>
      </c>
      <c r="CP563" s="39" t="str">
        <f>IFERROR(proje!DA58*100/proje!$I58,"")</f>
        <v/>
      </c>
      <c r="CQ563" s="39" t="str">
        <f>IFERROR(proje!DB58*100/proje!$I58,"")</f>
        <v/>
      </c>
      <c r="CR563" s="39" t="str">
        <f>IFERROR(proje!DC58*100/proje!$I58,"")</f>
        <v/>
      </c>
      <c r="CS563" s="39" t="str">
        <f>IFERROR(proje!DD58*100/proje!$I58,"")</f>
        <v/>
      </c>
      <c r="CT563" s="39" t="str">
        <f>IFERROR(proje!DE58*100/proje!$I58,"")</f>
        <v/>
      </c>
      <c r="CU563" s="39" t="str">
        <f>IFERROR(proje!DF58*100/proje!$I58,"")</f>
        <v/>
      </c>
      <c r="CV563" s="39" t="str">
        <f>IFERROR(proje!DG58*100/proje!$I58,"")</f>
        <v/>
      </c>
      <c r="CW563" s="36" t="str">
        <f>IFERROR(SUM(A563:CV563)/proje!$DH$103,"")</f>
        <v/>
      </c>
      <c r="CX563" s="14" t="str">
        <f>IF(COUNTA(proje!A58),proje!A58,"")</f>
        <v/>
      </c>
      <c r="CY563" s="14" t="str">
        <f>IF(COUNTA(proje!B58),proje!B58,"")</f>
        <v/>
      </c>
      <c r="CZ563" s="14" t="str">
        <f>IF(COUNTA(proje!C58),proje!C58,"")</f>
        <v/>
      </c>
      <c r="DA563" s="14" t="str">
        <f>IF(COUNTA(proje!D58),proje!D58,"")</f>
        <v/>
      </c>
      <c r="DB563" s="14" t="str">
        <f>IF(COUNTA(proje!E58),proje!E58,"")</f>
        <v/>
      </c>
      <c r="DC563" s="14" t="str">
        <f>IF(COUNTA(proje!F58),proje!F58,"")</f>
        <v/>
      </c>
      <c r="DD563" s="14" t="str">
        <f>IF(COUNTA(proje!G58),proje!G58,"")</f>
        <v/>
      </c>
      <c r="DE563" s="14" t="str">
        <f>IF(COUNTA(proje!H58),proje!H58,"")</f>
        <v/>
      </c>
    </row>
    <row r="564" spans="1:109" x14ac:dyDescent="0.2">
      <c r="A564" s="39" t="str">
        <f>IFERROR(proje!L59*100/proje!$I59,"")</f>
        <v/>
      </c>
      <c r="B564" s="39" t="str">
        <f>IFERROR(proje!M59*100/proje!$I59,"")</f>
        <v/>
      </c>
      <c r="C564" s="39" t="str">
        <f>IFERROR(proje!N59*100/proje!$I59,"")</f>
        <v/>
      </c>
      <c r="D564" s="39" t="str">
        <f>IFERROR(proje!O59*100/proje!$I59,"")</f>
        <v/>
      </c>
      <c r="E564" s="39" t="str">
        <f>IFERROR(proje!P59*100/proje!$I59,"")</f>
        <v/>
      </c>
      <c r="F564" s="39" t="str">
        <f>IFERROR(proje!Q59*100/proje!$I59,"")</f>
        <v/>
      </c>
      <c r="G564" s="39" t="str">
        <f>IFERROR(proje!R59*100/proje!$I59,"")</f>
        <v/>
      </c>
      <c r="H564" s="39" t="str">
        <f>IFERROR(proje!S59*100/proje!$I59,"")</f>
        <v/>
      </c>
      <c r="I564" s="39" t="str">
        <f>IFERROR(proje!T59*100/proje!$I59,"")</f>
        <v/>
      </c>
      <c r="J564" s="39" t="str">
        <f>IFERROR(proje!U59*100/proje!$I59,"")</f>
        <v/>
      </c>
      <c r="K564" s="39" t="str">
        <f>IFERROR(proje!V59*100/proje!$I59,"")</f>
        <v/>
      </c>
      <c r="L564" s="39" t="str">
        <f>IFERROR(proje!W59*100/proje!$I59,"")</f>
        <v/>
      </c>
      <c r="M564" s="39" t="str">
        <f>IFERROR(proje!X59*100/proje!$I59,"")</f>
        <v/>
      </c>
      <c r="N564" s="39" t="str">
        <f>IFERROR(proje!Y59*100/proje!$I59,"")</f>
        <v/>
      </c>
      <c r="O564" s="39" t="str">
        <f>IFERROR(proje!Z59*100/proje!$I59,"")</f>
        <v/>
      </c>
      <c r="P564" s="39" t="str">
        <f>IFERROR(proje!AA59*100/proje!$I59,"")</f>
        <v/>
      </c>
      <c r="Q564" s="39" t="str">
        <f>IFERROR(proje!AB59*100/proje!$I59,"")</f>
        <v/>
      </c>
      <c r="R564" s="39" t="str">
        <f>IFERROR(proje!AC59*100/proje!$I59,"")</f>
        <v/>
      </c>
      <c r="S564" s="39" t="str">
        <f>IFERROR(proje!AD59*100/proje!$I59,"")</f>
        <v/>
      </c>
      <c r="T564" s="39" t="str">
        <f>IFERROR(proje!AE59*100/proje!$I59,"")</f>
        <v/>
      </c>
      <c r="U564" s="39" t="str">
        <f>IFERROR(proje!AF59*100/proje!$I59,"")</f>
        <v/>
      </c>
      <c r="V564" s="39" t="str">
        <f>IFERROR(proje!AG59*100/proje!$I59,"")</f>
        <v/>
      </c>
      <c r="W564" s="39" t="str">
        <f>IFERROR(proje!AH59*100/proje!$I59,"")</f>
        <v/>
      </c>
      <c r="X564" s="39" t="str">
        <f>IFERROR(proje!AI59*100/proje!$I59,"")</f>
        <v/>
      </c>
      <c r="Y564" s="39" t="str">
        <f>IFERROR(proje!AJ59*100/proje!$I59,"")</f>
        <v/>
      </c>
      <c r="Z564" s="39" t="str">
        <f>IFERROR(proje!AK59*100/proje!$I59,"")</f>
        <v/>
      </c>
      <c r="AA564" s="39" t="str">
        <f>IFERROR(proje!AL59*100/proje!$I59,"")</f>
        <v/>
      </c>
      <c r="AB564" s="39" t="str">
        <f>IFERROR(proje!AM59*100/proje!$I59,"")</f>
        <v/>
      </c>
      <c r="AC564" s="39" t="str">
        <f>IFERROR(proje!AN59*100/proje!$I59,"")</f>
        <v/>
      </c>
      <c r="AD564" s="39" t="str">
        <f>IFERROR(proje!AO59*100/proje!$I59,"")</f>
        <v/>
      </c>
      <c r="AE564" s="39" t="str">
        <f>IFERROR(proje!AP59*100/proje!$I59,"")</f>
        <v/>
      </c>
      <c r="AF564" s="39" t="str">
        <f>IFERROR(proje!AQ59*100/proje!$I59,"")</f>
        <v/>
      </c>
      <c r="AG564" s="39" t="str">
        <f>IFERROR(proje!AR59*100/proje!$I59,"")</f>
        <v/>
      </c>
      <c r="AH564" s="39" t="str">
        <f>IFERROR(proje!AS59*100/proje!$I59,"")</f>
        <v/>
      </c>
      <c r="AI564" s="39" t="str">
        <f>IFERROR(proje!AT59*100/proje!$I59,"")</f>
        <v/>
      </c>
      <c r="AJ564" s="39" t="str">
        <f>IFERROR(proje!AU59*100/proje!$I59,"")</f>
        <v/>
      </c>
      <c r="AK564" s="39" t="str">
        <f>IFERROR(proje!AV59*100/proje!$I59,"")</f>
        <v/>
      </c>
      <c r="AL564" s="39" t="str">
        <f>IFERROR(proje!AW59*100/proje!$I59,"")</f>
        <v/>
      </c>
      <c r="AM564" s="39" t="str">
        <f>IFERROR(proje!AX59*100/proje!$I59,"")</f>
        <v/>
      </c>
      <c r="AN564" s="39" t="str">
        <f>IFERROR(proje!AY59*100/proje!$I59,"")</f>
        <v/>
      </c>
      <c r="AO564" s="39" t="str">
        <f>IFERROR(proje!AZ59*100/proje!$I59,"")</f>
        <v/>
      </c>
      <c r="AP564" s="39" t="str">
        <f>IFERROR(proje!BA59*100/proje!$I59,"")</f>
        <v/>
      </c>
      <c r="AQ564" s="39" t="str">
        <f>IFERROR(proje!BB59*100/proje!$I59,"")</f>
        <v/>
      </c>
      <c r="AR564" s="39" t="str">
        <f>IFERROR(proje!BC59*100/proje!$I59,"")</f>
        <v/>
      </c>
      <c r="AS564" s="39" t="str">
        <f>IFERROR(proje!BD59*100/proje!$I59,"")</f>
        <v/>
      </c>
      <c r="AT564" s="39" t="str">
        <f>IFERROR(proje!BE59*100/proje!$I59,"")</f>
        <v/>
      </c>
      <c r="AU564" s="39" t="str">
        <f>IFERROR(proje!BF59*100/proje!$I59,"")</f>
        <v/>
      </c>
      <c r="AV564" s="39" t="str">
        <f>IFERROR(proje!BG59*100/proje!$I59,"")</f>
        <v/>
      </c>
      <c r="AW564" s="39" t="str">
        <f>IFERROR(proje!BH59*100/proje!$I59,"")</f>
        <v/>
      </c>
      <c r="AX564" s="39" t="str">
        <f>IFERROR(proje!BI59*100/proje!$I59,"")</f>
        <v/>
      </c>
      <c r="AY564" s="39" t="str">
        <f>IFERROR(proje!BJ59*100/proje!$I59,"")</f>
        <v/>
      </c>
      <c r="AZ564" s="39" t="str">
        <f>IFERROR(proje!BK59*100/proje!$I59,"")</f>
        <v/>
      </c>
      <c r="BA564" s="39" t="str">
        <f>IFERROR(proje!BL59*100/proje!$I59,"")</f>
        <v/>
      </c>
      <c r="BB564" s="39" t="str">
        <f>IFERROR(proje!BM59*100/proje!$I59,"")</f>
        <v/>
      </c>
      <c r="BC564" s="39" t="str">
        <f>IFERROR(proje!BN59*100/proje!$I59,"")</f>
        <v/>
      </c>
      <c r="BD564" s="39" t="str">
        <f>IFERROR(proje!BO59*100/proje!$I59,"")</f>
        <v/>
      </c>
      <c r="BE564" s="39" t="str">
        <f>IFERROR(proje!BP59*100/proje!$I59,"")</f>
        <v/>
      </c>
      <c r="BF564" s="39" t="str">
        <f>IFERROR(proje!BQ59*100/proje!$I59,"")</f>
        <v/>
      </c>
      <c r="BG564" s="39" t="str">
        <f>IFERROR(proje!BR59*100/proje!$I59,"")</f>
        <v/>
      </c>
      <c r="BH564" s="39" t="str">
        <f>IFERROR(proje!BS59*100/proje!$I59,"")</f>
        <v/>
      </c>
      <c r="BI564" s="39" t="str">
        <f>IFERROR(proje!BT59*100/proje!$I59,"")</f>
        <v/>
      </c>
      <c r="BJ564" s="39" t="str">
        <f>IFERROR(proje!BU59*100/proje!$I59,"")</f>
        <v/>
      </c>
      <c r="BK564" s="39" t="str">
        <f>IFERROR(proje!BV59*100/proje!$I59,"")</f>
        <v/>
      </c>
      <c r="BL564" s="39" t="str">
        <f>IFERROR(proje!BW59*100/proje!$I59,"")</f>
        <v/>
      </c>
      <c r="BM564" s="39" t="str">
        <f>IFERROR(proje!BX59*100/proje!$I59,"")</f>
        <v/>
      </c>
      <c r="BN564" s="39" t="str">
        <f>IFERROR(proje!BY59*100/proje!$I59,"")</f>
        <v/>
      </c>
      <c r="BO564" s="39" t="str">
        <f>IFERROR(proje!BZ59*100/proje!$I59,"")</f>
        <v/>
      </c>
      <c r="BP564" s="39" t="str">
        <f>IFERROR(proje!CA59*100/proje!$I59,"")</f>
        <v/>
      </c>
      <c r="BQ564" s="39" t="str">
        <f>IFERROR(proje!CB59*100/proje!$I59,"")</f>
        <v/>
      </c>
      <c r="BR564" s="39" t="str">
        <f>IFERROR(proje!CC59*100/proje!$I59,"")</f>
        <v/>
      </c>
      <c r="BS564" s="39" t="str">
        <f>IFERROR(proje!CD59*100/proje!$I59,"")</f>
        <v/>
      </c>
      <c r="BT564" s="39" t="str">
        <f>IFERROR(proje!CE59*100/proje!$I59,"")</f>
        <v/>
      </c>
      <c r="BU564" s="39" t="str">
        <f>IFERROR(proje!CF59*100/proje!$I59,"")</f>
        <v/>
      </c>
      <c r="BV564" s="39" t="str">
        <f>IFERROR(proje!CG59*100/proje!$I59,"")</f>
        <v/>
      </c>
      <c r="BW564" s="39" t="str">
        <f>IFERROR(proje!CH59*100/proje!$I59,"")</f>
        <v/>
      </c>
      <c r="BX564" s="39" t="str">
        <f>IFERROR(proje!CI59*100/proje!$I59,"")</f>
        <v/>
      </c>
      <c r="BY564" s="39" t="str">
        <f>IFERROR(proje!CJ59*100/proje!$I59,"")</f>
        <v/>
      </c>
      <c r="BZ564" s="39" t="str">
        <f>IFERROR(proje!CK59*100/proje!$I59,"")</f>
        <v/>
      </c>
      <c r="CA564" s="39" t="str">
        <f>IFERROR(proje!CL59*100/proje!$I59,"")</f>
        <v/>
      </c>
      <c r="CB564" s="39" t="str">
        <f>IFERROR(proje!CM59*100/proje!$I59,"")</f>
        <v/>
      </c>
      <c r="CC564" s="39" t="str">
        <f>IFERROR(proje!CN59*100/proje!$I59,"")</f>
        <v/>
      </c>
      <c r="CD564" s="39" t="str">
        <f>IFERROR(proje!CO59*100/proje!$I59,"")</f>
        <v/>
      </c>
      <c r="CE564" s="39" t="str">
        <f>IFERROR(proje!CP59*100/proje!$I59,"")</f>
        <v/>
      </c>
      <c r="CF564" s="39" t="str">
        <f>IFERROR(proje!CQ59*100/proje!$I59,"")</f>
        <v/>
      </c>
      <c r="CG564" s="39" t="str">
        <f>IFERROR(proje!CR59*100/proje!$I59,"")</f>
        <v/>
      </c>
      <c r="CH564" s="39" t="str">
        <f>IFERROR(proje!CS59*100/proje!$I59,"")</f>
        <v/>
      </c>
      <c r="CI564" s="39" t="str">
        <f>IFERROR(proje!CT59*100/proje!$I59,"")</f>
        <v/>
      </c>
      <c r="CJ564" s="39" t="str">
        <f>IFERROR(proje!CU59*100/proje!$I59,"")</f>
        <v/>
      </c>
      <c r="CK564" s="39" t="str">
        <f>IFERROR(proje!CV59*100/proje!$I59,"")</f>
        <v/>
      </c>
      <c r="CL564" s="39" t="str">
        <f>IFERROR(proje!CW59*100/proje!$I59,"")</f>
        <v/>
      </c>
      <c r="CM564" s="39" t="str">
        <f>IFERROR(proje!CX59*100/proje!$I59,"")</f>
        <v/>
      </c>
      <c r="CN564" s="39" t="str">
        <f>IFERROR(proje!CY59*100/proje!$I59,"")</f>
        <v/>
      </c>
      <c r="CO564" s="39" t="str">
        <f>IFERROR(proje!CZ59*100/proje!$I59,"")</f>
        <v/>
      </c>
      <c r="CP564" s="39" t="str">
        <f>IFERROR(proje!DA59*100/proje!$I59,"")</f>
        <v/>
      </c>
      <c r="CQ564" s="39" t="str">
        <f>IFERROR(proje!DB59*100/proje!$I59,"")</f>
        <v/>
      </c>
      <c r="CR564" s="39" t="str">
        <f>IFERROR(proje!DC59*100/proje!$I59,"")</f>
        <v/>
      </c>
      <c r="CS564" s="39" t="str">
        <f>IFERROR(proje!DD59*100/proje!$I59,"")</f>
        <v/>
      </c>
      <c r="CT564" s="39" t="str">
        <f>IFERROR(proje!DE59*100/proje!$I59,"")</f>
        <v/>
      </c>
      <c r="CU564" s="39" t="str">
        <f>IFERROR(proje!DF59*100/proje!$I59,"")</f>
        <v/>
      </c>
      <c r="CV564" s="39" t="str">
        <f>IFERROR(proje!DG59*100/proje!$I59,"")</f>
        <v/>
      </c>
      <c r="CW564" s="36" t="str">
        <f>IFERROR(SUM(A564:CV564)/proje!$DH$103,"")</f>
        <v/>
      </c>
      <c r="CX564" s="14" t="str">
        <f>IF(COUNTA(proje!A59),proje!A59,"")</f>
        <v/>
      </c>
      <c r="CY564" s="14" t="str">
        <f>IF(COUNTA(proje!B59),proje!B59,"")</f>
        <v/>
      </c>
      <c r="CZ564" s="14" t="str">
        <f>IF(COUNTA(proje!C59),proje!C59,"")</f>
        <v/>
      </c>
      <c r="DA564" s="14" t="str">
        <f>IF(COUNTA(proje!D59),proje!D59,"")</f>
        <v/>
      </c>
      <c r="DB564" s="14" t="str">
        <f>IF(COUNTA(proje!E59),proje!E59,"")</f>
        <v/>
      </c>
      <c r="DC564" s="14" t="str">
        <f>IF(COUNTA(proje!F59),proje!F59,"")</f>
        <v/>
      </c>
      <c r="DD564" s="14" t="str">
        <f>IF(COUNTA(proje!G59),proje!G59,"")</f>
        <v/>
      </c>
      <c r="DE564" s="14" t="str">
        <f>IF(COUNTA(proje!H59),proje!H59,"")</f>
        <v/>
      </c>
    </row>
    <row r="565" spans="1:109" x14ac:dyDescent="0.2">
      <c r="A565" s="39" t="str">
        <f>IFERROR(proje!L60*100/proje!$I60,"")</f>
        <v/>
      </c>
      <c r="B565" s="39" t="str">
        <f>IFERROR(proje!M60*100/proje!$I60,"")</f>
        <v/>
      </c>
      <c r="C565" s="39" t="str">
        <f>IFERROR(proje!N60*100/proje!$I60,"")</f>
        <v/>
      </c>
      <c r="D565" s="39" t="str">
        <f>IFERROR(proje!O60*100/proje!$I60,"")</f>
        <v/>
      </c>
      <c r="E565" s="39" t="str">
        <f>IFERROR(proje!P60*100/proje!$I60,"")</f>
        <v/>
      </c>
      <c r="F565" s="39" t="str">
        <f>IFERROR(proje!Q60*100/proje!$I60,"")</f>
        <v/>
      </c>
      <c r="G565" s="39" t="str">
        <f>IFERROR(proje!R60*100/proje!$I60,"")</f>
        <v/>
      </c>
      <c r="H565" s="39" t="str">
        <f>IFERROR(proje!S60*100/proje!$I60,"")</f>
        <v/>
      </c>
      <c r="I565" s="39" t="str">
        <f>IFERROR(proje!T60*100/proje!$I60,"")</f>
        <v/>
      </c>
      <c r="J565" s="39" t="str">
        <f>IFERROR(proje!U60*100/proje!$I60,"")</f>
        <v/>
      </c>
      <c r="K565" s="39" t="str">
        <f>IFERROR(proje!V60*100/proje!$I60,"")</f>
        <v/>
      </c>
      <c r="L565" s="39" t="str">
        <f>IFERROR(proje!W60*100/proje!$I60,"")</f>
        <v/>
      </c>
      <c r="M565" s="39" t="str">
        <f>IFERROR(proje!X60*100/proje!$I60,"")</f>
        <v/>
      </c>
      <c r="N565" s="39" t="str">
        <f>IFERROR(proje!Y60*100/proje!$I60,"")</f>
        <v/>
      </c>
      <c r="O565" s="39" t="str">
        <f>IFERROR(proje!Z60*100/proje!$I60,"")</f>
        <v/>
      </c>
      <c r="P565" s="39" t="str">
        <f>IFERROR(proje!AA60*100/proje!$I60,"")</f>
        <v/>
      </c>
      <c r="Q565" s="39" t="str">
        <f>IFERROR(proje!AB60*100/proje!$I60,"")</f>
        <v/>
      </c>
      <c r="R565" s="39" t="str">
        <f>IFERROR(proje!AC60*100/proje!$I60,"")</f>
        <v/>
      </c>
      <c r="S565" s="39" t="str">
        <f>IFERROR(proje!AD60*100/proje!$I60,"")</f>
        <v/>
      </c>
      <c r="T565" s="39" t="str">
        <f>IFERROR(proje!AE60*100/proje!$I60,"")</f>
        <v/>
      </c>
      <c r="U565" s="39" t="str">
        <f>IFERROR(proje!AF60*100/proje!$I60,"")</f>
        <v/>
      </c>
      <c r="V565" s="39" t="str">
        <f>IFERROR(proje!AG60*100/proje!$I60,"")</f>
        <v/>
      </c>
      <c r="W565" s="39" t="str">
        <f>IFERROR(proje!AH60*100/proje!$I60,"")</f>
        <v/>
      </c>
      <c r="X565" s="39" t="str">
        <f>IFERROR(proje!AI60*100/proje!$I60,"")</f>
        <v/>
      </c>
      <c r="Y565" s="39" t="str">
        <f>IFERROR(proje!AJ60*100/proje!$I60,"")</f>
        <v/>
      </c>
      <c r="Z565" s="39" t="str">
        <f>IFERROR(proje!AK60*100/proje!$I60,"")</f>
        <v/>
      </c>
      <c r="AA565" s="39" t="str">
        <f>IFERROR(proje!AL60*100/proje!$I60,"")</f>
        <v/>
      </c>
      <c r="AB565" s="39" t="str">
        <f>IFERROR(proje!AM60*100/proje!$I60,"")</f>
        <v/>
      </c>
      <c r="AC565" s="39" t="str">
        <f>IFERROR(proje!AN60*100/proje!$I60,"")</f>
        <v/>
      </c>
      <c r="AD565" s="39" t="str">
        <f>IFERROR(proje!AO60*100/proje!$I60,"")</f>
        <v/>
      </c>
      <c r="AE565" s="39" t="str">
        <f>IFERROR(proje!AP60*100/proje!$I60,"")</f>
        <v/>
      </c>
      <c r="AF565" s="39" t="str">
        <f>IFERROR(proje!AQ60*100/proje!$I60,"")</f>
        <v/>
      </c>
      <c r="AG565" s="39" t="str">
        <f>IFERROR(proje!AR60*100/proje!$I60,"")</f>
        <v/>
      </c>
      <c r="AH565" s="39" t="str">
        <f>IFERROR(proje!AS60*100/proje!$I60,"")</f>
        <v/>
      </c>
      <c r="AI565" s="39" t="str">
        <f>IFERROR(proje!AT60*100/proje!$I60,"")</f>
        <v/>
      </c>
      <c r="AJ565" s="39" t="str">
        <f>IFERROR(proje!AU60*100/proje!$I60,"")</f>
        <v/>
      </c>
      <c r="AK565" s="39" t="str">
        <f>IFERROR(proje!AV60*100/proje!$I60,"")</f>
        <v/>
      </c>
      <c r="AL565" s="39" t="str">
        <f>IFERROR(proje!AW60*100/proje!$I60,"")</f>
        <v/>
      </c>
      <c r="AM565" s="39" t="str">
        <f>IFERROR(proje!AX60*100/proje!$I60,"")</f>
        <v/>
      </c>
      <c r="AN565" s="39" t="str">
        <f>IFERROR(proje!AY60*100/proje!$I60,"")</f>
        <v/>
      </c>
      <c r="AO565" s="39" t="str">
        <f>IFERROR(proje!AZ60*100/proje!$I60,"")</f>
        <v/>
      </c>
      <c r="AP565" s="39" t="str">
        <f>IFERROR(proje!BA60*100/proje!$I60,"")</f>
        <v/>
      </c>
      <c r="AQ565" s="39" t="str">
        <f>IFERROR(proje!BB60*100/proje!$I60,"")</f>
        <v/>
      </c>
      <c r="AR565" s="39" t="str">
        <f>IFERROR(proje!BC60*100/proje!$I60,"")</f>
        <v/>
      </c>
      <c r="AS565" s="39" t="str">
        <f>IFERROR(proje!BD60*100/proje!$I60,"")</f>
        <v/>
      </c>
      <c r="AT565" s="39" t="str">
        <f>IFERROR(proje!BE60*100/proje!$I60,"")</f>
        <v/>
      </c>
      <c r="AU565" s="39" t="str">
        <f>IFERROR(proje!BF60*100/proje!$I60,"")</f>
        <v/>
      </c>
      <c r="AV565" s="39" t="str">
        <f>IFERROR(proje!BG60*100/proje!$I60,"")</f>
        <v/>
      </c>
      <c r="AW565" s="39" t="str">
        <f>IFERROR(proje!BH60*100/proje!$I60,"")</f>
        <v/>
      </c>
      <c r="AX565" s="39" t="str">
        <f>IFERROR(proje!BI60*100/proje!$I60,"")</f>
        <v/>
      </c>
      <c r="AY565" s="39" t="str">
        <f>IFERROR(proje!BJ60*100/proje!$I60,"")</f>
        <v/>
      </c>
      <c r="AZ565" s="39" t="str">
        <f>IFERROR(proje!BK60*100/proje!$I60,"")</f>
        <v/>
      </c>
      <c r="BA565" s="39" t="str">
        <f>IFERROR(proje!BL60*100/proje!$I60,"")</f>
        <v/>
      </c>
      <c r="BB565" s="39" t="str">
        <f>IFERROR(proje!BM60*100/proje!$I60,"")</f>
        <v/>
      </c>
      <c r="BC565" s="39" t="str">
        <f>IFERROR(proje!BN60*100/proje!$I60,"")</f>
        <v/>
      </c>
      <c r="BD565" s="39" t="str">
        <f>IFERROR(proje!BO60*100/proje!$I60,"")</f>
        <v/>
      </c>
      <c r="BE565" s="39" t="str">
        <f>IFERROR(proje!BP60*100/proje!$I60,"")</f>
        <v/>
      </c>
      <c r="BF565" s="39" t="str">
        <f>IFERROR(proje!BQ60*100/proje!$I60,"")</f>
        <v/>
      </c>
      <c r="BG565" s="39" t="str">
        <f>IFERROR(proje!BR60*100/proje!$I60,"")</f>
        <v/>
      </c>
      <c r="BH565" s="39" t="str">
        <f>IFERROR(proje!BS60*100/proje!$I60,"")</f>
        <v/>
      </c>
      <c r="BI565" s="39" t="str">
        <f>IFERROR(proje!BT60*100/proje!$I60,"")</f>
        <v/>
      </c>
      <c r="BJ565" s="39" t="str">
        <f>IFERROR(proje!BU60*100/proje!$I60,"")</f>
        <v/>
      </c>
      <c r="BK565" s="39" t="str">
        <f>IFERROR(proje!BV60*100/proje!$I60,"")</f>
        <v/>
      </c>
      <c r="BL565" s="39" t="str">
        <f>IFERROR(proje!BW60*100/proje!$I60,"")</f>
        <v/>
      </c>
      <c r="BM565" s="39" t="str">
        <f>IFERROR(proje!BX60*100/proje!$I60,"")</f>
        <v/>
      </c>
      <c r="BN565" s="39" t="str">
        <f>IFERROR(proje!BY60*100/proje!$I60,"")</f>
        <v/>
      </c>
      <c r="BO565" s="39" t="str">
        <f>IFERROR(proje!BZ60*100/proje!$I60,"")</f>
        <v/>
      </c>
      <c r="BP565" s="39" t="str">
        <f>IFERROR(proje!CA60*100/proje!$I60,"")</f>
        <v/>
      </c>
      <c r="BQ565" s="39" t="str">
        <f>IFERROR(proje!CB60*100/proje!$I60,"")</f>
        <v/>
      </c>
      <c r="BR565" s="39" t="str">
        <f>IFERROR(proje!CC60*100/proje!$I60,"")</f>
        <v/>
      </c>
      <c r="BS565" s="39" t="str">
        <f>IFERROR(proje!CD60*100/proje!$I60,"")</f>
        <v/>
      </c>
      <c r="BT565" s="39" t="str">
        <f>IFERROR(proje!CE60*100/proje!$I60,"")</f>
        <v/>
      </c>
      <c r="BU565" s="39" t="str">
        <f>IFERROR(proje!CF60*100/proje!$I60,"")</f>
        <v/>
      </c>
      <c r="BV565" s="39" t="str">
        <f>IFERROR(proje!CG60*100/proje!$I60,"")</f>
        <v/>
      </c>
      <c r="BW565" s="39" t="str">
        <f>IFERROR(proje!CH60*100/proje!$I60,"")</f>
        <v/>
      </c>
      <c r="BX565" s="39" t="str">
        <f>IFERROR(proje!CI60*100/proje!$I60,"")</f>
        <v/>
      </c>
      <c r="BY565" s="39" t="str">
        <f>IFERROR(proje!CJ60*100/proje!$I60,"")</f>
        <v/>
      </c>
      <c r="BZ565" s="39" t="str">
        <f>IFERROR(proje!CK60*100/proje!$I60,"")</f>
        <v/>
      </c>
      <c r="CA565" s="39" t="str">
        <f>IFERROR(proje!CL60*100/proje!$I60,"")</f>
        <v/>
      </c>
      <c r="CB565" s="39" t="str">
        <f>IFERROR(proje!CM60*100/proje!$I60,"")</f>
        <v/>
      </c>
      <c r="CC565" s="39" t="str">
        <f>IFERROR(proje!CN60*100/proje!$I60,"")</f>
        <v/>
      </c>
      <c r="CD565" s="39" t="str">
        <f>IFERROR(proje!CO60*100/proje!$I60,"")</f>
        <v/>
      </c>
      <c r="CE565" s="39" t="str">
        <f>IFERROR(proje!CP60*100/proje!$I60,"")</f>
        <v/>
      </c>
      <c r="CF565" s="39" t="str">
        <f>IFERROR(proje!CQ60*100/proje!$I60,"")</f>
        <v/>
      </c>
      <c r="CG565" s="39" t="str">
        <f>IFERROR(proje!CR60*100/proje!$I60,"")</f>
        <v/>
      </c>
      <c r="CH565" s="39" t="str">
        <f>IFERROR(proje!CS60*100/proje!$I60,"")</f>
        <v/>
      </c>
      <c r="CI565" s="39" t="str">
        <f>IFERROR(proje!CT60*100/proje!$I60,"")</f>
        <v/>
      </c>
      <c r="CJ565" s="39" t="str">
        <f>IFERROR(proje!CU60*100/proje!$I60,"")</f>
        <v/>
      </c>
      <c r="CK565" s="39" t="str">
        <f>IFERROR(proje!CV60*100/proje!$I60,"")</f>
        <v/>
      </c>
      <c r="CL565" s="39" t="str">
        <f>IFERROR(proje!CW60*100/proje!$I60,"")</f>
        <v/>
      </c>
      <c r="CM565" s="39" t="str">
        <f>IFERROR(proje!CX60*100/proje!$I60,"")</f>
        <v/>
      </c>
      <c r="CN565" s="39" t="str">
        <f>IFERROR(proje!CY60*100/proje!$I60,"")</f>
        <v/>
      </c>
      <c r="CO565" s="39" t="str">
        <f>IFERROR(proje!CZ60*100/proje!$I60,"")</f>
        <v/>
      </c>
      <c r="CP565" s="39" t="str">
        <f>IFERROR(proje!DA60*100/proje!$I60,"")</f>
        <v/>
      </c>
      <c r="CQ565" s="39" t="str">
        <f>IFERROR(proje!DB60*100/proje!$I60,"")</f>
        <v/>
      </c>
      <c r="CR565" s="39" t="str">
        <f>IFERROR(proje!DC60*100/proje!$I60,"")</f>
        <v/>
      </c>
      <c r="CS565" s="39" t="str">
        <f>IFERROR(proje!DD60*100/proje!$I60,"")</f>
        <v/>
      </c>
      <c r="CT565" s="39" t="str">
        <f>IFERROR(proje!DE60*100/proje!$I60,"")</f>
        <v/>
      </c>
      <c r="CU565" s="39" t="str">
        <f>IFERROR(proje!DF60*100/proje!$I60,"")</f>
        <v/>
      </c>
      <c r="CV565" s="39" t="str">
        <f>IFERROR(proje!DG60*100/proje!$I60,"")</f>
        <v/>
      </c>
      <c r="CW565" s="36" t="str">
        <f>IFERROR(SUM(A565:CV565)/proje!$DH$103,"")</f>
        <v/>
      </c>
      <c r="CX565" s="14" t="str">
        <f>IF(COUNTA(proje!A60),proje!A60,"")</f>
        <v/>
      </c>
      <c r="CY565" s="14" t="str">
        <f>IF(COUNTA(proje!B60),proje!B60,"")</f>
        <v/>
      </c>
      <c r="CZ565" s="14" t="str">
        <f>IF(COUNTA(proje!C60),proje!C60,"")</f>
        <v/>
      </c>
      <c r="DA565" s="14" t="str">
        <f>IF(COUNTA(proje!D60),proje!D60,"")</f>
        <v/>
      </c>
      <c r="DB565" s="14" t="str">
        <f>IF(COUNTA(proje!E60),proje!E60,"")</f>
        <v/>
      </c>
      <c r="DC565" s="14" t="str">
        <f>IF(COUNTA(proje!F60),proje!F60,"")</f>
        <v/>
      </c>
      <c r="DD565" s="14" t="str">
        <f>IF(COUNTA(proje!G60),proje!G60,"")</f>
        <v/>
      </c>
      <c r="DE565" s="14" t="str">
        <f>IF(COUNTA(proje!H60),proje!H60,"")</f>
        <v/>
      </c>
    </row>
    <row r="566" spans="1:109" x14ac:dyDescent="0.2">
      <c r="A566" s="39" t="str">
        <f>IFERROR(proje!L61*100/proje!$I61,"")</f>
        <v/>
      </c>
      <c r="B566" s="39" t="str">
        <f>IFERROR(proje!M61*100/proje!$I61,"")</f>
        <v/>
      </c>
      <c r="C566" s="39" t="str">
        <f>IFERROR(proje!N61*100/proje!$I61,"")</f>
        <v/>
      </c>
      <c r="D566" s="39" t="str">
        <f>IFERROR(proje!O61*100/proje!$I61,"")</f>
        <v/>
      </c>
      <c r="E566" s="39" t="str">
        <f>IFERROR(proje!P61*100/proje!$I61,"")</f>
        <v/>
      </c>
      <c r="F566" s="39" t="str">
        <f>IFERROR(proje!Q61*100/proje!$I61,"")</f>
        <v/>
      </c>
      <c r="G566" s="39" t="str">
        <f>IFERROR(proje!R61*100/proje!$I61,"")</f>
        <v/>
      </c>
      <c r="H566" s="39" t="str">
        <f>IFERROR(proje!S61*100/proje!$I61,"")</f>
        <v/>
      </c>
      <c r="I566" s="39" t="str">
        <f>IFERROR(proje!T61*100/proje!$I61,"")</f>
        <v/>
      </c>
      <c r="J566" s="39" t="str">
        <f>IFERROR(proje!U61*100/proje!$I61,"")</f>
        <v/>
      </c>
      <c r="K566" s="39" t="str">
        <f>IFERROR(proje!V61*100/proje!$I61,"")</f>
        <v/>
      </c>
      <c r="L566" s="39" t="str">
        <f>IFERROR(proje!W61*100/proje!$I61,"")</f>
        <v/>
      </c>
      <c r="M566" s="39" t="str">
        <f>IFERROR(proje!X61*100/proje!$I61,"")</f>
        <v/>
      </c>
      <c r="N566" s="39" t="str">
        <f>IFERROR(proje!Y61*100/proje!$I61,"")</f>
        <v/>
      </c>
      <c r="O566" s="39" t="str">
        <f>IFERROR(proje!Z61*100/proje!$I61,"")</f>
        <v/>
      </c>
      <c r="P566" s="39" t="str">
        <f>IFERROR(proje!AA61*100/proje!$I61,"")</f>
        <v/>
      </c>
      <c r="Q566" s="39" t="str">
        <f>IFERROR(proje!AB61*100/proje!$I61,"")</f>
        <v/>
      </c>
      <c r="R566" s="39" t="str">
        <f>IFERROR(proje!AC61*100/proje!$I61,"")</f>
        <v/>
      </c>
      <c r="S566" s="39" t="str">
        <f>IFERROR(proje!AD61*100/proje!$I61,"")</f>
        <v/>
      </c>
      <c r="T566" s="39" t="str">
        <f>IFERROR(proje!AE61*100/proje!$I61,"")</f>
        <v/>
      </c>
      <c r="U566" s="39" t="str">
        <f>IFERROR(proje!AF61*100/proje!$I61,"")</f>
        <v/>
      </c>
      <c r="V566" s="39" t="str">
        <f>IFERROR(proje!AG61*100/proje!$I61,"")</f>
        <v/>
      </c>
      <c r="W566" s="39" t="str">
        <f>IFERROR(proje!AH61*100/proje!$I61,"")</f>
        <v/>
      </c>
      <c r="X566" s="39" t="str">
        <f>IFERROR(proje!AI61*100/proje!$I61,"")</f>
        <v/>
      </c>
      <c r="Y566" s="39" t="str">
        <f>IFERROR(proje!AJ61*100/proje!$I61,"")</f>
        <v/>
      </c>
      <c r="Z566" s="39" t="str">
        <f>IFERROR(proje!AK61*100/proje!$I61,"")</f>
        <v/>
      </c>
      <c r="AA566" s="39" t="str">
        <f>IFERROR(proje!AL61*100/proje!$I61,"")</f>
        <v/>
      </c>
      <c r="AB566" s="39" t="str">
        <f>IFERROR(proje!AM61*100/proje!$I61,"")</f>
        <v/>
      </c>
      <c r="AC566" s="39" t="str">
        <f>IFERROR(proje!AN61*100/proje!$I61,"")</f>
        <v/>
      </c>
      <c r="AD566" s="39" t="str">
        <f>IFERROR(proje!AO61*100/proje!$I61,"")</f>
        <v/>
      </c>
      <c r="AE566" s="39" t="str">
        <f>IFERROR(proje!AP61*100/proje!$I61,"")</f>
        <v/>
      </c>
      <c r="AF566" s="39" t="str">
        <f>IFERROR(proje!AQ61*100/proje!$I61,"")</f>
        <v/>
      </c>
      <c r="AG566" s="39" t="str">
        <f>IFERROR(proje!AR61*100/proje!$I61,"")</f>
        <v/>
      </c>
      <c r="AH566" s="39" t="str">
        <f>IFERROR(proje!AS61*100/proje!$I61,"")</f>
        <v/>
      </c>
      <c r="AI566" s="39" t="str">
        <f>IFERROR(proje!AT61*100/proje!$I61,"")</f>
        <v/>
      </c>
      <c r="AJ566" s="39" t="str">
        <f>IFERROR(proje!AU61*100/proje!$I61,"")</f>
        <v/>
      </c>
      <c r="AK566" s="39" t="str">
        <f>IFERROR(proje!AV61*100/proje!$I61,"")</f>
        <v/>
      </c>
      <c r="AL566" s="39" t="str">
        <f>IFERROR(proje!AW61*100/proje!$I61,"")</f>
        <v/>
      </c>
      <c r="AM566" s="39" t="str">
        <f>IFERROR(proje!AX61*100/proje!$I61,"")</f>
        <v/>
      </c>
      <c r="AN566" s="39" t="str">
        <f>IFERROR(proje!AY61*100/proje!$I61,"")</f>
        <v/>
      </c>
      <c r="AO566" s="39" t="str">
        <f>IFERROR(proje!AZ61*100/proje!$I61,"")</f>
        <v/>
      </c>
      <c r="AP566" s="39" t="str">
        <f>IFERROR(proje!BA61*100/proje!$I61,"")</f>
        <v/>
      </c>
      <c r="AQ566" s="39" t="str">
        <f>IFERROR(proje!BB61*100/proje!$I61,"")</f>
        <v/>
      </c>
      <c r="AR566" s="39" t="str">
        <f>IFERROR(proje!BC61*100/proje!$I61,"")</f>
        <v/>
      </c>
      <c r="AS566" s="39" t="str">
        <f>IFERROR(proje!BD61*100/proje!$I61,"")</f>
        <v/>
      </c>
      <c r="AT566" s="39" t="str">
        <f>IFERROR(proje!BE61*100/proje!$I61,"")</f>
        <v/>
      </c>
      <c r="AU566" s="39" t="str">
        <f>IFERROR(proje!BF61*100/proje!$I61,"")</f>
        <v/>
      </c>
      <c r="AV566" s="39" t="str">
        <f>IFERROR(proje!BG61*100/proje!$I61,"")</f>
        <v/>
      </c>
      <c r="AW566" s="39" t="str">
        <f>IFERROR(proje!BH61*100/proje!$I61,"")</f>
        <v/>
      </c>
      <c r="AX566" s="39" t="str">
        <f>IFERROR(proje!BI61*100/proje!$I61,"")</f>
        <v/>
      </c>
      <c r="AY566" s="39" t="str">
        <f>IFERROR(proje!BJ61*100/proje!$I61,"")</f>
        <v/>
      </c>
      <c r="AZ566" s="39" t="str">
        <f>IFERROR(proje!BK61*100/proje!$I61,"")</f>
        <v/>
      </c>
      <c r="BA566" s="39" t="str">
        <f>IFERROR(proje!BL61*100/proje!$I61,"")</f>
        <v/>
      </c>
      <c r="BB566" s="39" t="str">
        <f>IFERROR(proje!BM61*100/proje!$I61,"")</f>
        <v/>
      </c>
      <c r="BC566" s="39" t="str">
        <f>IFERROR(proje!BN61*100/proje!$I61,"")</f>
        <v/>
      </c>
      <c r="BD566" s="39" t="str">
        <f>IFERROR(proje!BO61*100/proje!$I61,"")</f>
        <v/>
      </c>
      <c r="BE566" s="39" t="str">
        <f>IFERROR(proje!BP61*100/proje!$I61,"")</f>
        <v/>
      </c>
      <c r="BF566" s="39" t="str">
        <f>IFERROR(proje!BQ61*100/proje!$I61,"")</f>
        <v/>
      </c>
      <c r="BG566" s="39" t="str">
        <f>IFERROR(proje!BR61*100/proje!$I61,"")</f>
        <v/>
      </c>
      <c r="BH566" s="39" t="str">
        <f>IFERROR(proje!BS61*100/proje!$I61,"")</f>
        <v/>
      </c>
      <c r="BI566" s="39" t="str">
        <f>IFERROR(proje!BT61*100/proje!$I61,"")</f>
        <v/>
      </c>
      <c r="BJ566" s="39" t="str">
        <f>IFERROR(proje!BU61*100/proje!$I61,"")</f>
        <v/>
      </c>
      <c r="BK566" s="39" t="str">
        <f>IFERROR(proje!BV61*100/proje!$I61,"")</f>
        <v/>
      </c>
      <c r="BL566" s="39" t="str">
        <f>IFERROR(proje!BW61*100/proje!$I61,"")</f>
        <v/>
      </c>
      <c r="BM566" s="39" t="str">
        <f>IFERROR(proje!BX61*100/proje!$I61,"")</f>
        <v/>
      </c>
      <c r="BN566" s="39" t="str">
        <f>IFERROR(proje!BY61*100/proje!$I61,"")</f>
        <v/>
      </c>
      <c r="BO566" s="39" t="str">
        <f>IFERROR(proje!BZ61*100/proje!$I61,"")</f>
        <v/>
      </c>
      <c r="BP566" s="39" t="str">
        <f>IFERROR(proje!CA61*100/proje!$I61,"")</f>
        <v/>
      </c>
      <c r="BQ566" s="39" t="str">
        <f>IFERROR(proje!CB61*100/proje!$I61,"")</f>
        <v/>
      </c>
      <c r="BR566" s="39" t="str">
        <f>IFERROR(proje!CC61*100/proje!$I61,"")</f>
        <v/>
      </c>
      <c r="BS566" s="39" t="str">
        <f>IFERROR(proje!CD61*100/proje!$I61,"")</f>
        <v/>
      </c>
      <c r="BT566" s="39" t="str">
        <f>IFERROR(proje!CE61*100/proje!$I61,"")</f>
        <v/>
      </c>
      <c r="BU566" s="39" t="str">
        <f>IFERROR(proje!CF61*100/proje!$I61,"")</f>
        <v/>
      </c>
      <c r="BV566" s="39" t="str">
        <f>IFERROR(proje!CG61*100/proje!$I61,"")</f>
        <v/>
      </c>
      <c r="BW566" s="39" t="str">
        <f>IFERROR(proje!CH61*100/proje!$I61,"")</f>
        <v/>
      </c>
      <c r="BX566" s="39" t="str">
        <f>IFERROR(proje!CI61*100/proje!$I61,"")</f>
        <v/>
      </c>
      <c r="BY566" s="39" t="str">
        <f>IFERROR(proje!CJ61*100/proje!$I61,"")</f>
        <v/>
      </c>
      <c r="BZ566" s="39" t="str">
        <f>IFERROR(proje!CK61*100/proje!$I61,"")</f>
        <v/>
      </c>
      <c r="CA566" s="39" t="str">
        <f>IFERROR(proje!CL61*100/proje!$I61,"")</f>
        <v/>
      </c>
      <c r="CB566" s="39" t="str">
        <f>IFERROR(proje!CM61*100/proje!$I61,"")</f>
        <v/>
      </c>
      <c r="CC566" s="39" t="str">
        <f>IFERROR(proje!CN61*100/proje!$I61,"")</f>
        <v/>
      </c>
      <c r="CD566" s="39" t="str">
        <f>IFERROR(proje!CO61*100/proje!$I61,"")</f>
        <v/>
      </c>
      <c r="CE566" s="39" t="str">
        <f>IFERROR(proje!CP61*100/proje!$I61,"")</f>
        <v/>
      </c>
      <c r="CF566" s="39" t="str">
        <f>IFERROR(proje!CQ61*100/proje!$I61,"")</f>
        <v/>
      </c>
      <c r="CG566" s="39" t="str">
        <f>IFERROR(proje!CR61*100/proje!$I61,"")</f>
        <v/>
      </c>
      <c r="CH566" s="39" t="str">
        <f>IFERROR(proje!CS61*100/proje!$I61,"")</f>
        <v/>
      </c>
      <c r="CI566" s="39" t="str">
        <f>IFERROR(proje!CT61*100/proje!$I61,"")</f>
        <v/>
      </c>
      <c r="CJ566" s="39" t="str">
        <f>IFERROR(proje!CU61*100/proje!$I61,"")</f>
        <v/>
      </c>
      <c r="CK566" s="39" t="str">
        <f>IFERROR(proje!CV61*100/proje!$I61,"")</f>
        <v/>
      </c>
      <c r="CL566" s="39" t="str">
        <f>IFERROR(proje!CW61*100/proje!$I61,"")</f>
        <v/>
      </c>
      <c r="CM566" s="39" t="str">
        <f>IFERROR(proje!CX61*100/proje!$I61,"")</f>
        <v/>
      </c>
      <c r="CN566" s="39" t="str">
        <f>IFERROR(proje!CY61*100/proje!$I61,"")</f>
        <v/>
      </c>
      <c r="CO566" s="39" t="str">
        <f>IFERROR(proje!CZ61*100/proje!$I61,"")</f>
        <v/>
      </c>
      <c r="CP566" s="39" t="str">
        <f>IFERROR(proje!DA61*100/proje!$I61,"")</f>
        <v/>
      </c>
      <c r="CQ566" s="39" t="str">
        <f>IFERROR(proje!DB61*100/proje!$I61,"")</f>
        <v/>
      </c>
      <c r="CR566" s="39" t="str">
        <f>IFERROR(proje!DC61*100/proje!$I61,"")</f>
        <v/>
      </c>
      <c r="CS566" s="39" t="str">
        <f>IFERROR(proje!DD61*100/proje!$I61,"")</f>
        <v/>
      </c>
      <c r="CT566" s="39" t="str">
        <f>IFERROR(proje!DE61*100/proje!$I61,"")</f>
        <v/>
      </c>
      <c r="CU566" s="39" t="str">
        <f>IFERROR(proje!DF61*100/proje!$I61,"")</f>
        <v/>
      </c>
      <c r="CV566" s="39" t="str">
        <f>IFERROR(proje!DG61*100/proje!$I61,"")</f>
        <v/>
      </c>
      <c r="CW566" s="36" t="str">
        <f>IFERROR(SUM(A566:CV566)/proje!$DH$103,"")</f>
        <v/>
      </c>
      <c r="CX566" s="14" t="str">
        <f>IF(COUNTA(proje!A61),proje!A61,"")</f>
        <v/>
      </c>
      <c r="CY566" s="14" t="str">
        <f>IF(COUNTA(proje!B61),proje!B61,"")</f>
        <v/>
      </c>
      <c r="CZ566" s="14" t="str">
        <f>IF(COUNTA(proje!C61),proje!C61,"")</f>
        <v/>
      </c>
      <c r="DA566" s="14" t="str">
        <f>IF(COUNTA(proje!D61),proje!D61,"")</f>
        <v/>
      </c>
      <c r="DB566" s="14" t="str">
        <f>IF(COUNTA(proje!E61),proje!E61,"")</f>
        <v/>
      </c>
      <c r="DC566" s="14" t="str">
        <f>IF(COUNTA(proje!F61),proje!F61,"")</f>
        <v/>
      </c>
      <c r="DD566" s="14" t="str">
        <f>IF(COUNTA(proje!G61),proje!G61,"")</f>
        <v/>
      </c>
      <c r="DE566" s="14" t="str">
        <f>IF(COUNTA(proje!H61),proje!H61,"")</f>
        <v/>
      </c>
    </row>
    <row r="567" spans="1:109" x14ac:dyDescent="0.2">
      <c r="A567" s="39" t="str">
        <f>IFERROR(proje!L62*100/proje!$I62,"")</f>
        <v/>
      </c>
      <c r="B567" s="39" t="str">
        <f>IFERROR(proje!M62*100/proje!$I62,"")</f>
        <v/>
      </c>
      <c r="C567" s="39" t="str">
        <f>IFERROR(proje!N62*100/proje!$I62,"")</f>
        <v/>
      </c>
      <c r="D567" s="39" t="str">
        <f>IFERROR(proje!O62*100/proje!$I62,"")</f>
        <v/>
      </c>
      <c r="E567" s="39" t="str">
        <f>IFERROR(proje!P62*100/proje!$I62,"")</f>
        <v/>
      </c>
      <c r="F567" s="39" t="str">
        <f>IFERROR(proje!Q62*100/proje!$I62,"")</f>
        <v/>
      </c>
      <c r="G567" s="39" t="str">
        <f>IFERROR(proje!R62*100/proje!$I62,"")</f>
        <v/>
      </c>
      <c r="H567" s="39" t="str">
        <f>IFERROR(proje!S62*100/proje!$I62,"")</f>
        <v/>
      </c>
      <c r="I567" s="39" t="str">
        <f>IFERROR(proje!T62*100/proje!$I62,"")</f>
        <v/>
      </c>
      <c r="J567" s="39" t="str">
        <f>IFERROR(proje!U62*100/proje!$I62,"")</f>
        <v/>
      </c>
      <c r="K567" s="39" t="str">
        <f>IFERROR(proje!V62*100/proje!$I62,"")</f>
        <v/>
      </c>
      <c r="L567" s="39" t="str">
        <f>IFERROR(proje!W62*100/proje!$I62,"")</f>
        <v/>
      </c>
      <c r="M567" s="39" t="str">
        <f>IFERROR(proje!X62*100/proje!$I62,"")</f>
        <v/>
      </c>
      <c r="N567" s="39" t="str">
        <f>IFERROR(proje!Y62*100/proje!$I62,"")</f>
        <v/>
      </c>
      <c r="O567" s="39" t="str">
        <f>IFERROR(proje!Z62*100/proje!$I62,"")</f>
        <v/>
      </c>
      <c r="P567" s="39" t="str">
        <f>IFERROR(proje!AA62*100/proje!$I62,"")</f>
        <v/>
      </c>
      <c r="Q567" s="39" t="str">
        <f>IFERROR(proje!AB62*100/proje!$I62,"")</f>
        <v/>
      </c>
      <c r="R567" s="39" t="str">
        <f>IFERROR(proje!AC62*100/proje!$I62,"")</f>
        <v/>
      </c>
      <c r="S567" s="39" t="str">
        <f>IFERROR(proje!AD62*100/proje!$I62,"")</f>
        <v/>
      </c>
      <c r="T567" s="39" t="str">
        <f>IFERROR(proje!AE62*100/proje!$I62,"")</f>
        <v/>
      </c>
      <c r="U567" s="39" t="str">
        <f>IFERROR(proje!AF62*100/proje!$I62,"")</f>
        <v/>
      </c>
      <c r="V567" s="39" t="str">
        <f>IFERROR(proje!AG62*100/proje!$I62,"")</f>
        <v/>
      </c>
      <c r="W567" s="39" t="str">
        <f>IFERROR(proje!AH62*100/proje!$I62,"")</f>
        <v/>
      </c>
      <c r="X567" s="39" t="str">
        <f>IFERROR(proje!AI62*100/proje!$I62,"")</f>
        <v/>
      </c>
      <c r="Y567" s="39" t="str">
        <f>IFERROR(proje!AJ62*100/proje!$I62,"")</f>
        <v/>
      </c>
      <c r="Z567" s="39" t="str">
        <f>IFERROR(proje!AK62*100/proje!$I62,"")</f>
        <v/>
      </c>
      <c r="AA567" s="39" t="str">
        <f>IFERROR(proje!AL62*100/proje!$I62,"")</f>
        <v/>
      </c>
      <c r="AB567" s="39" t="str">
        <f>IFERROR(proje!AM62*100/proje!$I62,"")</f>
        <v/>
      </c>
      <c r="AC567" s="39" t="str">
        <f>IFERROR(proje!AN62*100/proje!$I62,"")</f>
        <v/>
      </c>
      <c r="AD567" s="39" t="str">
        <f>IFERROR(proje!AO62*100/proje!$I62,"")</f>
        <v/>
      </c>
      <c r="AE567" s="39" t="str">
        <f>IFERROR(proje!AP62*100/proje!$I62,"")</f>
        <v/>
      </c>
      <c r="AF567" s="39" t="str">
        <f>IFERROR(proje!AQ62*100/proje!$I62,"")</f>
        <v/>
      </c>
      <c r="AG567" s="39" t="str">
        <f>IFERROR(proje!AR62*100/proje!$I62,"")</f>
        <v/>
      </c>
      <c r="AH567" s="39" t="str">
        <f>IFERROR(proje!AS62*100/proje!$I62,"")</f>
        <v/>
      </c>
      <c r="AI567" s="39" t="str">
        <f>IFERROR(proje!AT62*100/proje!$I62,"")</f>
        <v/>
      </c>
      <c r="AJ567" s="39" t="str">
        <f>IFERROR(proje!AU62*100/proje!$I62,"")</f>
        <v/>
      </c>
      <c r="AK567" s="39" t="str">
        <f>IFERROR(proje!AV62*100/proje!$I62,"")</f>
        <v/>
      </c>
      <c r="AL567" s="39" t="str">
        <f>IFERROR(proje!AW62*100/proje!$I62,"")</f>
        <v/>
      </c>
      <c r="AM567" s="39" t="str">
        <f>IFERROR(proje!AX62*100/proje!$I62,"")</f>
        <v/>
      </c>
      <c r="AN567" s="39" t="str">
        <f>IFERROR(proje!AY62*100/proje!$I62,"")</f>
        <v/>
      </c>
      <c r="AO567" s="39" t="str">
        <f>IFERROR(proje!AZ62*100/proje!$I62,"")</f>
        <v/>
      </c>
      <c r="AP567" s="39" t="str">
        <f>IFERROR(proje!BA62*100/proje!$I62,"")</f>
        <v/>
      </c>
      <c r="AQ567" s="39" t="str">
        <f>IFERROR(proje!BB62*100/proje!$I62,"")</f>
        <v/>
      </c>
      <c r="AR567" s="39" t="str">
        <f>IFERROR(proje!BC62*100/proje!$I62,"")</f>
        <v/>
      </c>
      <c r="AS567" s="39" t="str">
        <f>IFERROR(proje!BD62*100/proje!$I62,"")</f>
        <v/>
      </c>
      <c r="AT567" s="39" t="str">
        <f>IFERROR(proje!BE62*100/proje!$I62,"")</f>
        <v/>
      </c>
      <c r="AU567" s="39" t="str">
        <f>IFERROR(proje!BF62*100/proje!$I62,"")</f>
        <v/>
      </c>
      <c r="AV567" s="39" t="str">
        <f>IFERROR(proje!BG62*100/proje!$I62,"")</f>
        <v/>
      </c>
      <c r="AW567" s="39" t="str">
        <f>IFERROR(proje!BH62*100/proje!$I62,"")</f>
        <v/>
      </c>
      <c r="AX567" s="39" t="str">
        <f>IFERROR(proje!BI62*100/proje!$I62,"")</f>
        <v/>
      </c>
      <c r="AY567" s="39" t="str">
        <f>IFERROR(proje!BJ62*100/proje!$I62,"")</f>
        <v/>
      </c>
      <c r="AZ567" s="39" t="str">
        <f>IFERROR(proje!BK62*100/proje!$I62,"")</f>
        <v/>
      </c>
      <c r="BA567" s="39" t="str">
        <f>IFERROR(proje!BL62*100/proje!$I62,"")</f>
        <v/>
      </c>
      <c r="BB567" s="39" t="str">
        <f>IFERROR(proje!BM62*100/proje!$I62,"")</f>
        <v/>
      </c>
      <c r="BC567" s="39" t="str">
        <f>IFERROR(proje!BN62*100/proje!$I62,"")</f>
        <v/>
      </c>
      <c r="BD567" s="39" t="str">
        <f>IFERROR(proje!BO62*100/proje!$I62,"")</f>
        <v/>
      </c>
      <c r="BE567" s="39" t="str">
        <f>IFERROR(proje!BP62*100/proje!$I62,"")</f>
        <v/>
      </c>
      <c r="BF567" s="39" t="str">
        <f>IFERROR(proje!BQ62*100/proje!$I62,"")</f>
        <v/>
      </c>
      <c r="BG567" s="39" t="str">
        <f>IFERROR(proje!BR62*100/proje!$I62,"")</f>
        <v/>
      </c>
      <c r="BH567" s="39" t="str">
        <f>IFERROR(proje!BS62*100/proje!$I62,"")</f>
        <v/>
      </c>
      <c r="BI567" s="39" t="str">
        <f>IFERROR(proje!BT62*100/proje!$I62,"")</f>
        <v/>
      </c>
      <c r="BJ567" s="39" t="str">
        <f>IFERROR(proje!BU62*100/proje!$I62,"")</f>
        <v/>
      </c>
      <c r="BK567" s="39" t="str">
        <f>IFERROR(proje!BV62*100/proje!$I62,"")</f>
        <v/>
      </c>
      <c r="BL567" s="39" t="str">
        <f>IFERROR(proje!BW62*100/proje!$I62,"")</f>
        <v/>
      </c>
      <c r="BM567" s="39" t="str">
        <f>IFERROR(proje!BX62*100/proje!$I62,"")</f>
        <v/>
      </c>
      <c r="BN567" s="39" t="str">
        <f>IFERROR(proje!BY62*100/proje!$I62,"")</f>
        <v/>
      </c>
      <c r="BO567" s="39" t="str">
        <f>IFERROR(proje!BZ62*100/proje!$I62,"")</f>
        <v/>
      </c>
      <c r="BP567" s="39" t="str">
        <f>IFERROR(proje!CA62*100/proje!$I62,"")</f>
        <v/>
      </c>
      <c r="BQ567" s="39" t="str">
        <f>IFERROR(proje!CB62*100/proje!$I62,"")</f>
        <v/>
      </c>
      <c r="BR567" s="39" t="str">
        <f>IFERROR(proje!CC62*100/proje!$I62,"")</f>
        <v/>
      </c>
      <c r="BS567" s="39" t="str">
        <f>IFERROR(proje!CD62*100/proje!$I62,"")</f>
        <v/>
      </c>
      <c r="BT567" s="39" t="str">
        <f>IFERROR(proje!CE62*100/proje!$I62,"")</f>
        <v/>
      </c>
      <c r="BU567" s="39" t="str">
        <f>IFERROR(proje!CF62*100/proje!$I62,"")</f>
        <v/>
      </c>
      <c r="BV567" s="39" t="str">
        <f>IFERROR(proje!CG62*100/proje!$I62,"")</f>
        <v/>
      </c>
      <c r="BW567" s="39" t="str">
        <f>IFERROR(proje!CH62*100/proje!$I62,"")</f>
        <v/>
      </c>
      <c r="BX567" s="39" t="str">
        <f>IFERROR(proje!CI62*100/proje!$I62,"")</f>
        <v/>
      </c>
      <c r="BY567" s="39" t="str">
        <f>IFERROR(proje!CJ62*100/proje!$I62,"")</f>
        <v/>
      </c>
      <c r="BZ567" s="39" t="str">
        <f>IFERROR(proje!CK62*100/proje!$I62,"")</f>
        <v/>
      </c>
      <c r="CA567" s="39" t="str">
        <f>IFERROR(proje!CL62*100/proje!$I62,"")</f>
        <v/>
      </c>
      <c r="CB567" s="39" t="str">
        <f>IFERROR(proje!CM62*100/proje!$I62,"")</f>
        <v/>
      </c>
      <c r="CC567" s="39" t="str">
        <f>IFERROR(proje!CN62*100/proje!$I62,"")</f>
        <v/>
      </c>
      <c r="CD567" s="39" t="str">
        <f>IFERROR(proje!CO62*100/proje!$I62,"")</f>
        <v/>
      </c>
      <c r="CE567" s="39" t="str">
        <f>IFERROR(proje!CP62*100/proje!$I62,"")</f>
        <v/>
      </c>
      <c r="CF567" s="39" t="str">
        <f>IFERROR(proje!CQ62*100/proje!$I62,"")</f>
        <v/>
      </c>
      <c r="CG567" s="39" t="str">
        <f>IFERROR(proje!CR62*100/proje!$I62,"")</f>
        <v/>
      </c>
      <c r="CH567" s="39" t="str">
        <f>IFERROR(proje!CS62*100/proje!$I62,"")</f>
        <v/>
      </c>
      <c r="CI567" s="39" t="str">
        <f>IFERROR(proje!CT62*100/proje!$I62,"")</f>
        <v/>
      </c>
      <c r="CJ567" s="39" t="str">
        <f>IFERROR(proje!CU62*100/proje!$I62,"")</f>
        <v/>
      </c>
      <c r="CK567" s="39" t="str">
        <f>IFERROR(proje!CV62*100/proje!$I62,"")</f>
        <v/>
      </c>
      <c r="CL567" s="39" t="str">
        <f>IFERROR(proje!CW62*100/proje!$I62,"")</f>
        <v/>
      </c>
      <c r="CM567" s="39" t="str">
        <f>IFERROR(proje!CX62*100/proje!$I62,"")</f>
        <v/>
      </c>
      <c r="CN567" s="39" t="str">
        <f>IFERROR(proje!CY62*100/proje!$I62,"")</f>
        <v/>
      </c>
      <c r="CO567" s="39" t="str">
        <f>IFERROR(proje!CZ62*100/proje!$I62,"")</f>
        <v/>
      </c>
      <c r="CP567" s="39" t="str">
        <f>IFERROR(proje!DA62*100/proje!$I62,"")</f>
        <v/>
      </c>
      <c r="CQ567" s="39" t="str">
        <f>IFERROR(proje!DB62*100/proje!$I62,"")</f>
        <v/>
      </c>
      <c r="CR567" s="39" t="str">
        <f>IFERROR(proje!DC62*100/proje!$I62,"")</f>
        <v/>
      </c>
      <c r="CS567" s="39" t="str">
        <f>IFERROR(proje!DD62*100/proje!$I62,"")</f>
        <v/>
      </c>
      <c r="CT567" s="39" t="str">
        <f>IFERROR(proje!DE62*100/proje!$I62,"")</f>
        <v/>
      </c>
      <c r="CU567" s="39" t="str">
        <f>IFERROR(proje!DF62*100/proje!$I62,"")</f>
        <v/>
      </c>
      <c r="CV567" s="39" t="str">
        <f>IFERROR(proje!DG62*100/proje!$I62,"")</f>
        <v/>
      </c>
      <c r="CW567" s="36" t="str">
        <f>IFERROR(SUM(A567:CV567)/proje!$DH$103,"")</f>
        <v/>
      </c>
      <c r="CX567" s="14" t="str">
        <f>IF(COUNTA(proje!A62),proje!A62,"")</f>
        <v/>
      </c>
      <c r="CY567" s="14" t="str">
        <f>IF(COUNTA(proje!B62),proje!B62,"")</f>
        <v/>
      </c>
      <c r="CZ567" s="14" t="str">
        <f>IF(COUNTA(proje!C62),proje!C62,"")</f>
        <v/>
      </c>
      <c r="DA567" s="14" t="str">
        <f>IF(COUNTA(proje!D62),proje!D62,"")</f>
        <v/>
      </c>
      <c r="DB567" s="14" t="str">
        <f>IF(COUNTA(proje!E62),proje!E62,"")</f>
        <v/>
      </c>
      <c r="DC567" s="14" t="str">
        <f>IF(COUNTA(proje!F62),proje!F62,"")</f>
        <v/>
      </c>
      <c r="DD567" s="14" t="str">
        <f>IF(COUNTA(proje!G62),proje!G62,"")</f>
        <v/>
      </c>
      <c r="DE567" s="14" t="str">
        <f>IF(COUNTA(proje!H62),proje!H62,"")</f>
        <v/>
      </c>
    </row>
    <row r="568" spans="1:109" x14ac:dyDescent="0.2">
      <c r="A568" s="39" t="str">
        <f>IFERROR(proje!L63*100/proje!$I63,"")</f>
        <v/>
      </c>
      <c r="B568" s="39" t="str">
        <f>IFERROR(proje!M63*100/proje!$I63,"")</f>
        <v/>
      </c>
      <c r="C568" s="39" t="str">
        <f>IFERROR(proje!N63*100/proje!$I63,"")</f>
        <v/>
      </c>
      <c r="D568" s="39" t="str">
        <f>IFERROR(proje!O63*100/proje!$I63,"")</f>
        <v/>
      </c>
      <c r="E568" s="39" t="str">
        <f>IFERROR(proje!P63*100/proje!$I63,"")</f>
        <v/>
      </c>
      <c r="F568" s="39" t="str">
        <f>IFERROR(proje!Q63*100/proje!$I63,"")</f>
        <v/>
      </c>
      <c r="G568" s="39" t="str">
        <f>IFERROR(proje!R63*100/proje!$I63,"")</f>
        <v/>
      </c>
      <c r="H568" s="39" t="str">
        <f>IFERROR(proje!S63*100/proje!$I63,"")</f>
        <v/>
      </c>
      <c r="I568" s="39" t="str">
        <f>IFERROR(proje!T63*100/proje!$I63,"")</f>
        <v/>
      </c>
      <c r="J568" s="39" t="str">
        <f>IFERROR(proje!U63*100/proje!$I63,"")</f>
        <v/>
      </c>
      <c r="K568" s="39" t="str">
        <f>IFERROR(proje!V63*100/proje!$I63,"")</f>
        <v/>
      </c>
      <c r="L568" s="39" t="str">
        <f>IFERROR(proje!W63*100/proje!$I63,"")</f>
        <v/>
      </c>
      <c r="M568" s="39" t="str">
        <f>IFERROR(proje!X63*100/proje!$I63,"")</f>
        <v/>
      </c>
      <c r="N568" s="39" t="str">
        <f>IFERROR(proje!Y63*100/proje!$I63,"")</f>
        <v/>
      </c>
      <c r="O568" s="39" t="str">
        <f>IFERROR(proje!Z63*100/proje!$I63,"")</f>
        <v/>
      </c>
      <c r="P568" s="39" t="str">
        <f>IFERROR(proje!AA63*100/proje!$I63,"")</f>
        <v/>
      </c>
      <c r="Q568" s="39" t="str">
        <f>IFERROR(proje!AB63*100/proje!$I63,"")</f>
        <v/>
      </c>
      <c r="R568" s="39" t="str">
        <f>IFERROR(proje!AC63*100/proje!$I63,"")</f>
        <v/>
      </c>
      <c r="S568" s="39" t="str">
        <f>IFERROR(proje!AD63*100/proje!$I63,"")</f>
        <v/>
      </c>
      <c r="T568" s="39" t="str">
        <f>IFERROR(proje!AE63*100/proje!$I63,"")</f>
        <v/>
      </c>
      <c r="U568" s="39" t="str">
        <f>IFERROR(proje!AF63*100/proje!$I63,"")</f>
        <v/>
      </c>
      <c r="V568" s="39" t="str">
        <f>IFERROR(proje!AG63*100/proje!$I63,"")</f>
        <v/>
      </c>
      <c r="W568" s="39" t="str">
        <f>IFERROR(proje!AH63*100/proje!$I63,"")</f>
        <v/>
      </c>
      <c r="X568" s="39" t="str">
        <f>IFERROR(proje!AI63*100/proje!$I63,"")</f>
        <v/>
      </c>
      <c r="Y568" s="39" t="str">
        <f>IFERROR(proje!AJ63*100/proje!$I63,"")</f>
        <v/>
      </c>
      <c r="Z568" s="39" t="str">
        <f>IFERROR(proje!AK63*100/proje!$I63,"")</f>
        <v/>
      </c>
      <c r="AA568" s="39" t="str">
        <f>IFERROR(proje!AL63*100/proje!$I63,"")</f>
        <v/>
      </c>
      <c r="AB568" s="39" t="str">
        <f>IFERROR(proje!AM63*100/proje!$I63,"")</f>
        <v/>
      </c>
      <c r="AC568" s="39" t="str">
        <f>IFERROR(proje!AN63*100/proje!$I63,"")</f>
        <v/>
      </c>
      <c r="AD568" s="39" t="str">
        <f>IFERROR(proje!AO63*100/proje!$I63,"")</f>
        <v/>
      </c>
      <c r="AE568" s="39" t="str">
        <f>IFERROR(proje!AP63*100/proje!$I63,"")</f>
        <v/>
      </c>
      <c r="AF568" s="39" t="str">
        <f>IFERROR(proje!AQ63*100/proje!$I63,"")</f>
        <v/>
      </c>
      <c r="AG568" s="39" t="str">
        <f>IFERROR(proje!AR63*100/proje!$I63,"")</f>
        <v/>
      </c>
      <c r="AH568" s="39" t="str">
        <f>IFERROR(proje!AS63*100/proje!$I63,"")</f>
        <v/>
      </c>
      <c r="AI568" s="39" t="str">
        <f>IFERROR(proje!AT63*100/proje!$I63,"")</f>
        <v/>
      </c>
      <c r="AJ568" s="39" t="str">
        <f>IFERROR(proje!AU63*100/proje!$I63,"")</f>
        <v/>
      </c>
      <c r="AK568" s="39" t="str">
        <f>IFERROR(proje!AV63*100/proje!$I63,"")</f>
        <v/>
      </c>
      <c r="AL568" s="39" t="str">
        <f>IFERROR(proje!AW63*100/proje!$I63,"")</f>
        <v/>
      </c>
      <c r="AM568" s="39" t="str">
        <f>IFERROR(proje!AX63*100/proje!$I63,"")</f>
        <v/>
      </c>
      <c r="AN568" s="39" t="str">
        <f>IFERROR(proje!AY63*100/proje!$I63,"")</f>
        <v/>
      </c>
      <c r="AO568" s="39" t="str">
        <f>IFERROR(proje!AZ63*100/proje!$I63,"")</f>
        <v/>
      </c>
      <c r="AP568" s="39" t="str">
        <f>IFERROR(proje!BA63*100/proje!$I63,"")</f>
        <v/>
      </c>
      <c r="AQ568" s="39" t="str">
        <f>IFERROR(proje!BB63*100/proje!$I63,"")</f>
        <v/>
      </c>
      <c r="AR568" s="39" t="str">
        <f>IFERROR(proje!BC63*100/proje!$I63,"")</f>
        <v/>
      </c>
      <c r="AS568" s="39" t="str">
        <f>IFERROR(proje!BD63*100/proje!$I63,"")</f>
        <v/>
      </c>
      <c r="AT568" s="39" t="str">
        <f>IFERROR(proje!BE63*100/proje!$I63,"")</f>
        <v/>
      </c>
      <c r="AU568" s="39" t="str">
        <f>IFERROR(proje!BF63*100/proje!$I63,"")</f>
        <v/>
      </c>
      <c r="AV568" s="39" t="str">
        <f>IFERROR(proje!BG63*100/proje!$I63,"")</f>
        <v/>
      </c>
      <c r="AW568" s="39" t="str">
        <f>IFERROR(proje!BH63*100/proje!$I63,"")</f>
        <v/>
      </c>
      <c r="AX568" s="39" t="str">
        <f>IFERROR(proje!BI63*100/proje!$I63,"")</f>
        <v/>
      </c>
      <c r="AY568" s="39" t="str">
        <f>IFERROR(proje!BJ63*100/proje!$I63,"")</f>
        <v/>
      </c>
      <c r="AZ568" s="39" t="str">
        <f>IFERROR(proje!BK63*100/proje!$I63,"")</f>
        <v/>
      </c>
      <c r="BA568" s="39" t="str">
        <f>IFERROR(proje!BL63*100/proje!$I63,"")</f>
        <v/>
      </c>
      <c r="BB568" s="39" t="str">
        <f>IFERROR(proje!BM63*100/proje!$I63,"")</f>
        <v/>
      </c>
      <c r="BC568" s="39" t="str">
        <f>IFERROR(proje!BN63*100/proje!$I63,"")</f>
        <v/>
      </c>
      <c r="BD568" s="39" t="str">
        <f>IFERROR(proje!BO63*100/proje!$I63,"")</f>
        <v/>
      </c>
      <c r="BE568" s="39" t="str">
        <f>IFERROR(proje!BP63*100/proje!$I63,"")</f>
        <v/>
      </c>
      <c r="BF568" s="39" t="str">
        <f>IFERROR(proje!BQ63*100/proje!$I63,"")</f>
        <v/>
      </c>
      <c r="BG568" s="39" t="str">
        <f>IFERROR(proje!BR63*100/proje!$I63,"")</f>
        <v/>
      </c>
      <c r="BH568" s="39" t="str">
        <f>IFERROR(proje!BS63*100/proje!$I63,"")</f>
        <v/>
      </c>
      <c r="BI568" s="39" t="str">
        <f>IFERROR(proje!BT63*100/proje!$I63,"")</f>
        <v/>
      </c>
      <c r="BJ568" s="39" t="str">
        <f>IFERROR(proje!BU63*100/proje!$I63,"")</f>
        <v/>
      </c>
      <c r="BK568" s="39" t="str">
        <f>IFERROR(proje!BV63*100/proje!$I63,"")</f>
        <v/>
      </c>
      <c r="BL568" s="39" t="str">
        <f>IFERROR(proje!BW63*100/proje!$I63,"")</f>
        <v/>
      </c>
      <c r="BM568" s="39" t="str">
        <f>IFERROR(proje!BX63*100/proje!$I63,"")</f>
        <v/>
      </c>
      <c r="BN568" s="39" t="str">
        <f>IFERROR(proje!BY63*100/proje!$I63,"")</f>
        <v/>
      </c>
      <c r="BO568" s="39" t="str">
        <f>IFERROR(proje!BZ63*100/proje!$I63,"")</f>
        <v/>
      </c>
      <c r="BP568" s="39" t="str">
        <f>IFERROR(proje!CA63*100/proje!$I63,"")</f>
        <v/>
      </c>
      <c r="BQ568" s="39" t="str">
        <f>IFERROR(proje!CB63*100/proje!$I63,"")</f>
        <v/>
      </c>
      <c r="BR568" s="39" t="str">
        <f>IFERROR(proje!CC63*100/proje!$I63,"")</f>
        <v/>
      </c>
      <c r="BS568" s="39" t="str">
        <f>IFERROR(proje!CD63*100/proje!$I63,"")</f>
        <v/>
      </c>
      <c r="BT568" s="39" t="str">
        <f>IFERROR(proje!CE63*100/proje!$I63,"")</f>
        <v/>
      </c>
      <c r="BU568" s="39" t="str">
        <f>IFERROR(proje!CF63*100/proje!$I63,"")</f>
        <v/>
      </c>
      <c r="BV568" s="39" t="str">
        <f>IFERROR(proje!CG63*100/proje!$I63,"")</f>
        <v/>
      </c>
      <c r="BW568" s="39" t="str">
        <f>IFERROR(proje!CH63*100/proje!$I63,"")</f>
        <v/>
      </c>
      <c r="BX568" s="39" t="str">
        <f>IFERROR(proje!CI63*100/proje!$I63,"")</f>
        <v/>
      </c>
      <c r="BY568" s="39" t="str">
        <f>IFERROR(proje!CJ63*100/proje!$I63,"")</f>
        <v/>
      </c>
      <c r="BZ568" s="39" t="str">
        <f>IFERROR(proje!CK63*100/proje!$I63,"")</f>
        <v/>
      </c>
      <c r="CA568" s="39" t="str">
        <f>IFERROR(proje!CL63*100/proje!$I63,"")</f>
        <v/>
      </c>
      <c r="CB568" s="39" t="str">
        <f>IFERROR(proje!CM63*100/proje!$I63,"")</f>
        <v/>
      </c>
      <c r="CC568" s="39" t="str">
        <f>IFERROR(proje!CN63*100/proje!$I63,"")</f>
        <v/>
      </c>
      <c r="CD568" s="39" t="str">
        <f>IFERROR(proje!CO63*100/proje!$I63,"")</f>
        <v/>
      </c>
      <c r="CE568" s="39" t="str">
        <f>IFERROR(proje!CP63*100/proje!$I63,"")</f>
        <v/>
      </c>
      <c r="CF568" s="39" t="str">
        <f>IFERROR(proje!CQ63*100/proje!$I63,"")</f>
        <v/>
      </c>
      <c r="CG568" s="39" t="str">
        <f>IFERROR(proje!CR63*100/proje!$I63,"")</f>
        <v/>
      </c>
      <c r="CH568" s="39" t="str">
        <f>IFERROR(proje!CS63*100/proje!$I63,"")</f>
        <v/>
      </c>
      <c r="CI568" s="39" t="str">
        <f>IFERROR(proje!CT63*100/proje!$I63,"")</f>
        <v/>
      </c>
      <c r="CJ568" s="39" t="str">
        <f>IFERROR(proje!CU63*100/proje!$I63,"")</f>
        <v/>
      </c>
      <c r="CK568" s="39" t="str">
        <f>IFERROR(proje!CV63*100/proje!$I63,"")</f>
        <v/>
      </c>
      <c r="CL568" s="39" t="str">
        <f>IFERROR(proje!CW63*100/proje!$I63,"")</f>
        <v/>
      </c>
      <c r="CM568" s="39" t="str">
        <f>IFERROR(proje!CX63*100/proje!$I63,"")</f>
        <v/>
      </c>
      <c r="CN568" s="39" t="str">
        <f>IFERROR(proje!CY63*100/proje!$I63,"")</f>
        <v/>
      </c>
      <c r="CO568" s="39" t="str">
        <f>IFERROR(proje!CZ63*100/proje!$I63,"")</f>
        <v/>
      </c>
      <c r="CP568" s="39" t="str">
        <f>IFERROR(proje!DA63*100/proje!$I63,"")</f>
        <v/>
      </c>
      <c r="CQ568" s="39" t="str">
        <f>IFERROR(proje!DB63*100/proje!$I63,"")</f>
        <v/>
      </c>
      <c r="CR568" s="39" t="str">
        <f>IFERROR(proje!DC63*100/proje!$I63,"")</f>
        <v/>
      </c>
      <c r="CS568" s="39" t="str">
        <f>IFERROR(proje!DD63*100/proje!$I63,"")</f>
        <v/>
      </c>
      <c r="CT568" s="39" t="str">
        <f>IFERROR(proje!DE63*100/proje!$I63,"")</f>
        <v/>
      </c>
      <c r="CU568" s="39" t="str">
        <f>IFERROR(proje!DF63*100/proje!$I63,"")</f>
        <v/>
      </c>
      <c r="CV568" s="39" t="str">
        <f>IFERROR(proje!DG63*100/proje!$I63,"")</f>
        <v/>
      </c>
      <c r="CW568" s="36" t="str">
        <f>IFERROR(SUM(A568:CV568)/proje!$DH$103,"")</f>
        <v/>
      </c>
      <c r="CX568" s="14" t="str">
        <f>IF(COUNTA(proje!A63),proje!A63,"")</f>
        <v/>
      </c>
      <c r="CY568" s="14" t="str">
        <f>IF(COUNTA(proje!B63),proje!B63,"")</f>
        <v/>
      </c>
      <c r="CZ568" s="14" t="str">
        <f>IF(COUNTA(proje!C63),proje!C63,"")</f>
        <v/>
      </c>
      <c r="DA568" s="14" t="str">
        <f>IF(COUNTA(proje!D63),proje!D63,"")</f>
        <v/>
      </c>
      <c r="DB568" s="14" t="str">
        <f>IF(COUNTA(proje!E63),proje!E63,"")</f>
        <v/>
      </c>
      <c r="DC568" s="14" t="str">
        <f>IF(COUNTA(proje!F63),proje!F63,"")</f>
        <v/>
      </c>
      <c r="DD568" s="14" t="str">
        <f>IF(COUNTA(proje!G63),proje!G63,"")</f>
        <v/>
      </c>
      <c r="DE568" s="14" t="str">
        <f>IF(COUNTA(proje!H63),proje!H63,"")</f>
        <v/>
      </c>
    </row>
    <row r="569" spans="1:109" x14ac:dyDescent="0.2">
      <c r="A569" s="39" t="str">
        <f>IFERROR(proje!L64*100/proje!$I64,"")</f>
        <v/>
      </c>
      <c r="B569" s="39" t="str">
        <f>IFERROR(proje!M64*100/proje!$I64,"")</f>
        <v/>
      </c>
      <c r="C569" s="39" t="str">
        <f>IFERROR(proje!N64*100/proje!$I64,"")</f>
        <v/>
      </c>
      <c r="D569" s="39" t="str">
        <f>IFERROR(proje!O64*100/proje!$I64,"")</f>
        <v/>
      </c>
      <c r="E569" s="39" t="str">
        <f>IFERROR(proje!P64*100/proje!$I64,"")</f>
        <v/>
      </c>
      <c r="F569" s="39" t="str">
        <f>IFERROR(proje!Q64*100/proje!$I64,"")</f>
        <v/>
      </c>
      <c r="G569" s="39" t="str">
        <f>IFERROR(proje!R64*100/proje!$I64,"")</f>
        <v/>
      </c>
      <c r="H569" s="39" t="str">
        <f>IFERROR(proje!S64*100/proje!$I64,"")</f>
        <v/>
      </c>
      <c r="I569" s="39" t="str">
        <f>IFERROR(proje!T64*100/proje!$I64,"")</f>
        <v/>
      </c>
      <c r="J569" s="39" t="str">
        <f>IFERROR(proje!U64*100/proje!$I64,"")</f>
        <v/>
      </c>
      <c r="K569" s="39" t="str">
        <f>IFERROR(proje!V64*100/proje!$I64,"")</f>
        <v/>
      </c>
      <c r="L569" s="39" t="str">
        <f>IFERROR(proje!W64*100/proje!$I64,"")</f>
        <v/>
      </c>
      <c r="M569" s="39" t="str">
        <f>IFERROR(proje!X64*100/proje!$I64,"")</f>
        <v/>
      </c>
      <c r="N569" s="39" t="str">
        <f>IFERROR(proje!Y64*100/proje!$I64,"")</f>
        <v/>
      </c>
      <c r="O569" s="39" t="str">
        <f>IFERROR(proje!Z64*100/proje!$I64,"")</f>
        <v/>
      </c>
      <c r="P569" s="39" t="str">
        <f>IFERROR(proje!AA64*100/proje!$I64,"")</f>
        <v/>
      </c>
      <c r="Q569" s="39" t="str">
        <f>IFERROR(proje!AB64*100/proje!$I64,"")</f>
        <v/>
      </c>
      <c r="R569" s="39" t="str">
        <f>IFERROR(proje!AC64*100/proje!$I64,"")</f>
        <v/>
      </c>
      <c r="S569" s="39" t="str">
        <f>IFERROR(proje!AD64*100/proje!$I64,"")</f>
        <v/>
      </c>
      <c r="T569" s="39" t="str">
        <f>IFERROR(proje!AE64*100/proje!$I64,"")</f>
        <v/>
      </c>
      <c r="U569" s="39" t="str">
        <f>IFERROR(proje!AF64*100/proje!$I64,"")</f>
        <v/>
      </c>
      <c r="V569" s="39" t="str">
        <f>IFERROR(proje!AG64*100/proje!$I64,"")</f>
        <v/>
      </c>
      <c r="W569" s="39" t="str">
        <f>IFERROR(proje!AH64*100/proje!$I64,"")</f>
        <v/>
      </c>
      <c r="X569" s="39" t="str">
        <f>IFERROR(proje!AI64*100/proje!$I64,"")</f>
        <v/>
      </c>
      <c r="Y569" s="39" t="str">
        <f>IFERROR(proje!AJ64*100/proje!$I64,"")</f>
        <v/>
      </c>
      <c r="Z569" s="39" t="str">
        <f>IFERROR(proje!AK64*100/proje!$I64,"")</f>
        <v/>
      </c>
      <c r="AA569" s="39" t="str">
        <f>IFERROR(proje!AL64*100/proje!$I64,"")</f>
        <v/>
      </c>
      <c r="AB569" s="39" t="str">
        <f>IFERROR(proje!AM64*100/proje!$I64,"")</f>
        <v/>
      </c>
      <c r="AC569" s="39" t="str">
        <f>IFERROR(proje!AN64*100/proje!$I64,"")</f>
        <v/>
      </c>
      <c r="AD569" s="39" t="str">
        <f>IFERROR(proje!AO64*100/proje!$I64,"")</f>
        <v/>
      </c>
      <c r="AE569" s="39" t="str">
        <f>IFERROR(proje!AP64*100/proje!$I64,"")</f>
        <v/>
      </c>
      <c r="AF569" s="39" t="str">
        <f>IFERROR(proje!AQ64*100/proje!$I64,"")</f>
        <v/>
      </c>
      <c r="AG569" s="39" t="str">
        <f>IFERROR(proje!AR64*100/proje!$I64,"")</f>
        <v/>
      </c>
      <c r="AH569" s="39" t="str">
        <f>IFERROR(proje!AS64*100/proje!$I64,"")</f>
        <v/>
      </c>
      <c r="AI569" s="39" t="str">
        <f>IFERROR(proje!AT64*100/proje!$I64,"")</f>
        <v/>
      </c>
      <c r="AJ569" s="39" t="str">
        <f>IFERROR(proje!AU64*100/proje!$I64,"")</f>
        <v/>
      </c>
      <c r="AK569" s="39" t="str">
        <f>IFERROR(proje!AV64*100/proje!$I64,"")</f>
        <v/>
      </c>
      <c r="AL569" s="39" t="str">
        <f>IFERROR(proje!AW64*100/proje!$I64,"")</f>
        <v/>
      </c>
      <c r="AM569" s="39" t="str">
        <f>IFERROR(proje!AX64*100/proje!$I64,"")</f>
        <v/>
      </c>
      <c r="AN569" s="39" t="str">
        <f>IFERROR(proje!AY64*100/proje!$I64,"")</f>
        <v/>
      </c>
      <c r="AO569" s="39" t="str">
        <f>IFERROR(proje!AZ64*100/proje!$I64,"")</f>
        <v/>
      </c>
      <c r="AP569" s="39" t="str">
        <f>IFERROR(proje!BA64*100/proje!$I64,"")</f>
        <v/>
      </c>
      <c r="AQ569" s="39" t="str">
        <f>IFERROR(proje!BB64*100/proje!$I64,"")</f>
        <v/>
      </c>
      <c r="AR569" s="39" t="str">
        <f>IFERROR(proje!BC64*100/proje!$I64,"")</f>
        <v/>
      </c>
      <c r="AS569" s="39" t="str">
        <f>IFERROR(proje!BD64*100/proje!$I64,"")</f>
        <v/>
      </c>
      <c r="AT569" s="39" t="str">
        <f>IFERROR(proje!BE64*100/proje!$I64,"")</f>
        <v/>
      </c>
      <c r="AU569" s="39" t="str">
        <f>IFERROR(proje!BF64*100/proje!$I64,"")</f>
        <v/>
      </c>
      <c r="AV569" s="39" t="str">
        <f>IFERROR(proje!BG64*100/proje!$I64,"")</f>
        <v/>
      </c>
      <c r="AW569" s="39" t="str">
        <f>IFERROR(proje!BH64*100/proje!$I64,"")</f>
        <v/>
      </c>
      <c r="AX569" s="39" t="str">
        <f>IFERROR(proje!BI64*100/proje!$I64,"")</f>
        <v/>
      </c>
      <c r="AY569" s="39" t="str">
        <f>IFERROR(proje!BJ64*100/proje!$I64,"")</f>
        <v/>
      </c>
      <c r="AZ569" s="39" t="str">
        <f>IFERROR(proje!BK64*100/proje!$I64,"")</f>
        <v/>
      </c>
      <c r="BA569" s="39" t="str">
        <f>IFERROR(proje!BL64*100/proje!$I64,"")</f>
        <v/>
      </c>
      <c r="BB569" s="39" t="str">
        <f>IFERROR(proje!BM64*100/proje!$I64,"")</f>
        <v/>
      </c>
      <c r="BC569" s="39" t="str">
        <f>IFERROR(proje!BN64*100/proje!$I64,"")</f>
        <v/>
      </c>
      <c r="BD569" s="39" t="str">
        <f>IFERROR(proje!BO64*100/proje!$I64,"")</f>
        <v/>
      </c>
      <c r="BE569" s="39" t="str">
        <f>IFERROR(proje!BP64*100/proje!$I64,"")</f>
        <v/>
      </c>
      <c r="BF569" s="39" t="str">
        <f>IFERROR(proje!BQ64*100/proje!$I64,"")</f>
        <v/>
      </c>
      <c r="BG569" s="39" t="str">
        <f>IFERROR(proje!BR64*100/proje!$I64,"")</f>
        <v/>
      </c>
      <c r="BH569" s="39" t="str">
        <f>IFERROR(proje!BS64*100/proje!$I64,"")</f>
        <v/>
      </c>
      <c r="BI569" s="39" t="str">
        <f>IFERROR(proje!BT64*100/proje!$I64,"")</f>
        <v/>
      </c>
      <c r="BJ569" s="39" t="str">
        <f>IFERROR(proje!BU64*100/proje!$I64,"")</f>
        <v/>
      </c>
      <c r="BK569" s="39" t="str">
        <f>IFERROR(proje!BV64*100/proje!$I64,"")</f>
        <v/>
      </c>
      <c r="BL569" s="39" t="str">
        <f>IFERROR(proje!BW64*100/proje!$I64,"")</f>
        <v/>
      </c>
      <c r="BM569" s="39" t="str">
        <f>IFERROR(proje!BX64*100/proje!$I64,"")</f>
        <v/>
      </c>
      <c r="BN569" s="39" t="str">
        <f>IFERROR(proje!BY64*100/proje!$I64,"")</f>
        <v/>
      </c>
      <c r="BO569" s="39" t="str">
        <f>IFERROR(proje!BZ64*100/proje!$I64,"")</f>
        <v/>
      </c>
      <c r="BP569" s="39" t="str">
        <f>IFERROR(proje!CA64*100/proje!$I64,"")</f>
        <v/>
      </c>
      <c r="BQ569" s="39" t="str">
        <f>IFERROR(proje!CB64*100/proje!$I64,"")</f>
        <v/>
      </c>
      <c r="BR569" s="39" t="str">
        <f>IFERROR(proje!CC64*100/proje!$I64,"")</f>
        <v/>
      </c>
      <c r="BS569" s="39" t="str">
        <f>IFERROR(proje!CD64*100/proje!$I64,"")</f>
        <v/>
      </c>
      <c r="BT569" s="39" t="str">
        <f>IFERROR(proje!CE64*100/proje!$I64,"")</f>
        <v/>
      </c>
      <c r="BU569" s="39" t="str">
        <f>IFERROR(proje!CF64*100/proje!$I64,"")</f>
        <v/>
      </c>
      <c r="BV569" s="39" t="str">
        <f>IFERROR(proje!CG64*100/proje!$I64,"")</f>
        <v/>
      </c>
      <c r="BW569" s="39" t="str">
        <f>IFERROR(proje!CH64*100/proje!$I64,"")</f>
        <v/>
      </c>
      <c r="BX569" s="39" t="str">
        <f>IFERROR(proje!CI64*100/proje!$I64,"")</f>
        <v/>
      </c>
      <c r="BY569" s="39" t="str">
        <f>IFERROR(proje!CJ64*100/proje!$I64,"")</f>
        <v/>
      </c>
      <c r="BZ569" s="39" t="str">
        <f>IFERROR(proje!CK64*100/proje!$I64,"")</f>
        <v/>
      </c>
      <c r="CA569" s="39" t="str">
        <f>IFERROR(proje!CL64*100/proje!$I64,"")</f>
        <v/>
      </c>
      <c r="CB569" s="39" t="str">
        <f>IFERROR(proje!CM64*100/proje!$I64,"")</f>
        <v/>
      </c>
      <c r="CC569" s="39" t="str">
        <f>IFERROR(proje!CN64*100/proje!$I64,"")</f>
        <v/>
      </c>
      <c r="CD569" s="39" t="str">
        <f>IFERROR(proje!CO64*100/proje!$I64,"")</f>
        <v/>
      </c>
      <c r="CE569" s="39" t="str">
        <f>IFERROR(proje!CP64*100/proje!$I64,"")</f>
        <v/>
      </c>
      <c r="CF569" s="39" t="str">
        <f>IFERROR(proje!CQ64*100/proje!$I64,"")</f>
        <v/>
      </c>
      <c r="CG569" s="39" t="str">
        <f>IFERROR(proje!CR64*100/proje!$I64,"")</f>
        <v/>
      </c>
      <c r="CH569" s="39" t="str">
        <f>IFERROR(proje!CS64*100/proje!$I64,"")</f>
        <v/>
      </c>
      <c r="CI569" s="39" t="str">
        <f>IFERROR(proje!CT64*100/proje!$I64,"")</f>
        <v/>
      </c>
      <c r="CJ569" s="39" t="str">
        <f>IFERROR(proje!CU64*100/proje!$I64,"")</f>
        <v/>
      </c>
      <c r="CK569" s="39" t="str">
        <f>IFERROR(proje!CV64*100/proje!$I64,"")</f>
        <v/>
      </c>
      <c r="CL569" s="39" t="str">
        <f>IFERROR(proje!CW64*100/proje!$I64,"")</f>
        <v/>
      </c>
      <c r="CM569" s="39" t="str">
        <f>IFERROR(proje!CX64*100/proje!$I64,"")</f>
        <v/>
      </c>
      <c r="CN569" s="39" t="str">
        <f>IFERROR(proje!CY64*100/proje!$I64,"")</f>
        <v/>
      </c>
      <c r="CO569" s="39" t="str">
        <f>IFERROR(proje!CZ64*100/proje!$I64,"")</f>
        <v/>
      </c>
      <c r="CP569" s="39" t="str">
        <f>IFERROR(proje!DA64*100/proje!$I64,"")</f>
        <v/>
      </c>
      <c r="CQ569" s="39" t="str">
        <f>IFERROR(proje!DB64*100/proje!$I64,"")</f>
        <v/>
      </c>
      <c r="CR569" s="39" t="str">
        <f>IFERROR(proje!DC64*100/proje!$I64,"")</f>
        <v/>
      </c>
      <c r="CS569" s="39" t="str">
        <f>IFERROR(proje!DD64*100/proje!$I64,"")</f>
        <v/>
      </c>
      <c r="CT569" s="39" t="str">
        <f>IFERROR(proje!DE64*100/proje!$I64,"")</f>
        <v/>
      </c>
      <c r="CU569" s="39" t="str">
        <f>IFERROR(proje!DF64*100/proje!$I64,"")</f>
        <v/>
      </c>
      <c r="CV569" s="39" t="str">
        <f>IFERROR(proje!DG64*100/proje!$I64,"")</f>
        <v/>
      </c>
      <c r="CW569" s="36" t="str">
        <f>IFERROR(SUM(A569:CV569)/proje!$DH$103,"")</f>
        <v/>
      </c>
      <c r="CX569" s="14" t="str">
        <f>IF(COUNTA(proje!A64),proje!A64,"")</f>
        <v/>
      </c>
      <c r="CY569" s="14" t="str">
        <f>IF(COUNTA(proje!B64),proje!B64,"")</f>
        <v/>
      </c>
      <c r="CZ569" s="14" t="str">
        <f>IF(COUNTA(proje!C64),proje!C64,"")</f>
        <v/>
      </c>
      <c r="DA569" s="14" t="str">
        <f>IF(COUNTA(proje!D64),proje!D64,"")</f>
        <v/>
      </c>
      <c r="DB569" s="14" t="str">
        <f>IF(COUNTA(proje!E64),proje!E64,"")</f>
        <v/>
      </c>
      <c r="DC569" s="14" t="str">
        <f>IF(COUNTA(proje!F64),proje!F64,"")</f>
        <v/>
      </c>
      <c r="DD569" s="14" t="str">
        <f>IF(COUNTA(proje!G64),proje!G64,"")</f>
        <v/>
      </c>
      <c r="DE569" s="14" t="str">
        <f>IF(COUNTA(proje!H64),proje!H64,"")</f>
        <v/>
      </c>
    </row>
    <row r="570" spans="1:109" x14ac:dyDescent="0.2">
      <c r="A570" s="39" t="str">
        <f>IFERROR(proje!L65*100/proje!$I65,"")</f>
        <v/>
      </c>
      <c r="B570" s="39" t="str">
        <f>IFERROR(proje!M65*100/proje!$I65,"")</f>
        <v/>
      </c>
      <c r="C570" s="39" t="str">
        <f>IFERROR(proje!N65*100/proje!$I65,"")</f>
        <v/>
      </c>
      <c r="D570" s="39" t="str">
        <f>IFERROR(proje!O65*100/proje!$I65,"")</f>
        <v/>
      </c>
      <c r="E570" s="39" t="str">
        <f>IFERROR(proje!P65*100/proje!$I65,"")</f>
        <v/>
      </c>
      <c r="F570" s="39" t="str">
        <f>IFERROR(proje!Q65*100/proje!$I65,"")</f>
        <v/>
      </c>
      <c r="G570" s="39" t="str">
        <f>IFERROR(proje!R65*100/proje!$I65,"")</f>
        <v/>
      </c>
      <c r="H570" s="39" t="str">
        <f>IFERROR(proje!S65*100/proje!$I65,"")</f>
        <v/>
      </c>
      <c r="I570" s="39" t="str">
        <f>IFERROR(proje!T65*100/proje!$I65,"")</f>
        <v/>
      </c>
      <c r="J570" s="39" t="str">
        <f>IFERROR(proje!U65*100/proje!$I65,"")</f>
        <v/>
      </c>
      <c r="K570" s="39" t="str">
        <f>IFERROR(proje!V65*100/proje!$I65,"")</f>
        <v/>
      </c>
      <c r="L570" s="39" t="str">
        <f>IFERROR(proje!W65*100/proje!$I65,"")</f>
        <v/>
      </c>
      <c r="M570" s="39" t="str">
        <f>IFERROR(proje!X65*100/proje!$I65,"")</f>
        <v/>
      </c>
      <c r="N570" s="39" t="str">
        <f>IFERROR(proje!Y65*100/proje!$I65,"")</f>
        <v/>
      </c>
      <c r="O570" s="39" t="str">
        <f>IFERROR(proje!Z65*100/proje!$I65,"")</f>
        <v/>
      </c>
      <c r="P570" s="39" t="str">
        <f>IFERROR(proje!AA65*100/proje!$I65,"")</f>
        <v/>
      </c>
      <c r="Q570" s="39" t="str">
        <f>IFERROR(proje!AB65*100/proje!$I65,"")</f>
        <v/>
      </c>
      <c r="R570" s="39" t="str">
        <f>IFERROR(proje!AC65*100/proje!$I65,"")</f>
        <v/>
      </c>
      <c r="S570" s="39" t="str">
        <f>IFERROR(proje!AD65*100/proje!$I65,"")</f>
        <v/>
      </c>
      <c r="T570" s="39" t="str">
        <f>IFERROR(proje!AE65*100/proje!$I65,"")</f>
        <v/>
      </c>
      <c r="U570" s="39" t="str">
        <f>IFERROR(proje!AF65*100/proje!$I65,"")</f>
        <v/>
      </c>
      <c r="V570" s="39" t="str">
        <f>IFERROR(proje!AG65*100/proje!$I65,"")</f>
        <v/>
      </c>
      <c r="W570" s="39" t="str">
        <f>IFERROR(proje!AH65*100/proje!$I65,"")</f>
        <v/>
      </c>
      <c r="X570" s="39" t="str">
        <f>IFERROR(proje!AI65*100/proje!$I65,"")</f>
        <v/>
      </c>
      <c r="Y570" s="39" t="str">
        <f>IFERROR(proje!AJ65*100/proje!$I65,"")</f>
        <v/>
      </c>
      <c r="Z570" s="39" t="str">
        <f>IFERROR(proje!AK65*100/proje!$I65,"")</f>
        <v/>
      </c>
      <c r="AA570" s="39" t="str">
        <f>IFERROR(proje!AL65*100/proje!$I65,"")</f>
        <v/>
      </c>
      <c r="AB570" s="39" t="str">
        <f>IFERROR(proje!AM65*100/proje!$I65,"")</f>
        <v/>
      </c>
      <c r="AC570" s="39" t="str">
        <f>IFERROR(proje!AN65*100/proje!$I65,"")</f>
        <v/>
      </c>
      <c r="AD570" s="39" t="str">
        <f>IFERROR(proje!AO65*100/proje!$I65,"")</f>
        <v/>
      </c>
      <c r="AE570" s="39" t="str">
        <f>IFERROR(proje!AP65*100/proje!$I65,"")</f>
        <v/>
      </c>
      <c r="AF570" s="39" t="str">
        <f>IFERROR(proje!AQ65*100/proje!$I65,"")</f>
        <v/>
      </c>
      <c r="AG570" s="39" t="str">
        <f>IFERROR(proje!AR65*100/proje!$I65,"")</f>
        <v/>
      </c>
      <c r="AH570" s="39" t="str">
        <f>IFERROR(proje!AS65*100/proje!$I65,"")</f>
        <v/>
      </c>
      <c r="AI570" s="39" t="str">
        <f>IFERROR(proje!AT65*100/proje!$I65,"")</f>
        <v/>
      </c>
      <c r="AJ570" s="39" t="str">
        <f>IFERROR(proje!AU65*100/proje!$I65,"")</f>
        <v/>
      </c>
      <c r="AK570" s="39" t="str">
        <f>IFERROR(proje!AV65*100/proje!$I65,"")</f>
        <v/>
      </c>
      <c r="AL570" s="39" t="str">
        <f>IFERROR(proje!AW65*100/proje!$I65,"")</f>
        <v/>
      </c>
      <c r="AM570" s="39" t="str">
        <f>IFERROR(proje!AX65*100/proje!$I65,"")</f>
        <v/>
      </c>
      <c r="AN570" s="39" t="str">
        <f>IFERROR(proje!AY65*100/proje!$I65,"")</f>
        <v/>
      </c>
      <c r="AO570" s="39" t="str">
        <f>IFERROR(proje!AZ65*100/proje!$I65,"")</f>
        <v/>
      </c>
      <c r="AP570" s="39" t="str">
        <f>IFERROR(proje!BA65*100/proje!$I65,"")</f>
        <v/>
      </c>
      <c r="AQ570" s="39" t="str">
        <f>IFERROR(proje!BB65*100/proje!$I65,"")</f>
        <v/>
      </c>
      <c r="AR570" s="39" t="str">
        <f>IFERROR(proje!BC65*100/proje!$I65,"")</f>
        <v/>
      </c>
      <c r="AS570" s="39" t="str">
        <f>IFERROR(proje!BD65*100/proje!$I65,"")</f>
        <v/>
      </c>
      <c r="AT570" s="39" t="str">
        <f>IFERROR(proje!BE65*100/proje!$I65,"")</f>
        <v/>
      </c>
      <c r="AU570" s="39" t="str">
        <f>IFERROR(proje!BF65*100/proje!$I65,"")</f>
        <v/>
      </c>
      <c r="AV570" s="39" t="str">
        <f>IFERROR(proje!BG65*100/proje!$I65,"")</f>
        <v/>
      </c>
      <c r="AW570" s="39" t="str">
        <f>IFERROR(proje!BH65*100/proje!$I65,"")</f>
        <v/>
      </c>
      <c r="AX570" s="39" t="str">
        <f>IFERROR(proje!BI65*100/proje!$I65,"")</f>
        <v/>
      </c>
      <c r="AY570" s="39" t="str">
        <f>IFERROR(proje!BJ65*100/proje!$I65,"")</f>
        <v/>
      </c>
      <c r="AZ570" s="39" t="str">
        <f>IFERROR(proje!BK65*100/proje!$I65,"")</f>
        <v/>
      </c>
      <c r="BA570" s="39" t="str">
        <f>IFERROR(proje!BL65*100/proje!$I65,"")</f>
        <v/>
      </c>
      <c r="BB570" s="39" t="str">
        <f>IFERROR(proje!BM65*100/proje!$I65,"")</f>
        <v/>
      </c>
      <c r="BC570" s="39" t="str">
        <f>IFERROR(proje!BN65*100/proje!$I65,"")</f>
        <v/>
      </c>
      <c r="BD570" s="39" t="str">
        <f>IFERROR(proje!BO65*100/proje!$I65,"")</f>
        <v/>
      </c>
      <c r="BE570" s="39" t="str">
        <f>IFERROR(proje!BP65*100/proje!$I65,"")</f>
        <v/>
      </c>
      <c r="BF570" s="39" t="str">
        <f>IFERROR(proje!BQ65*100/proje!$I65,"")</f>
        <v/>
      </c>
      <c r="BG570" s="39" t="str">
        <f>IFERROR(proje!BR65*100/proje!$I65,"")</f>
        <v/>
      </c>
      <c r="BH570" s="39" t="str">
        <f>IFERROR(proje!BS65*100/proje!$I65,"")</f>
        <v/>
      </c>
      <c r="BI570" s="39" t="str">
        <f>IFERROR(proje!BT65*100/proje!$I65,"")</f>
        <v/>
      </c>
      <c r="BJ570" s="39" t="str">
        <f>IFERROR(proje!BU65*100/proje!$I65,"")</f>
        <v/>
      </c>
      <c r="BK570" s="39" t="str">
        <f>IFERROR(proje!BV65*100/proje!$I65,"")</f>
        <v/>
      </c>
      <c r="BL570" s="39" t="str">
        <f>IFERROR(proje!BW65*100/proje!$I65,"")</f>
        <v/>
      </c>
      <c r="BM570" s="39" t="str">
        <f>IFERROR(proje!BX65*100/proje!$I65,"")</f>
        <v/>
      </c>
      <c r="BN570" s="39" t="str">
        <f>IFERROR(proje!BY65*100/proje!$I65,"")</f>
        <v/>
      </c>
      <c r="BO570" s="39" t="str">
        <f>IFERROR(proje!BZ65*100/proje!$I65,"")</f>
        <v/>
      </c>
      <c r="BP570" s="39" t="str">
        <f>IFERROR(proje!CA65*100/proje!$I65,"")</f>
        <v/>
      </c>
      <c r="BQ570" s="39" t="str">
        <f>IFERROR(proje!CB65*100/proje!$I65,"")</f>
        <v/>
      </c>
      <c r="BR570" s="39" t="str">
        <f>IFERROR(proje!CC65*100/proje!$I65,"")</f>
        <v/>
      </c>
      <c r="BS570" s="39" t="str">
        <f>IFERROR(proje!CD65*100/proje!$I65,"")</f>
        <v/>
      </c>
      <c r="BT570" s="39" t="str">
        <f>IFERROR(proje!CE65*100/proje!$I65,"")</f>
        <v/>
      </c>
      <c r="BU570" s="39" t="str">
        <f>IFERROR(proje!CF65*100/proje!$I65,"")</f>
        <v/>
      </c>
      <c r="BV570" s="39" t="str">
        <f>IFERROR(proje!CG65*100/proje!$I65,"")</f>
        <v/>
      </c>
      <c r="BW570" s="39" t="str">
        <f>IFERROR(proje!CH65*100/proje!$I65,"")</f>
        <v/>
      </c>
      <c r="BX570" s="39" t="str">
        <f>IFERROR(proje!CI65*100/proje!$I65,"")</f>
        <v/>
      </c>
      <c r="BY570" s="39" t="str">
        <f>IFERROR(proje!CJ65*100/proje!$I65,"")</f>
        <v/>
      </c>
      <c r="BZ570" s="39" t="str">
        <f>IFERROR(proje!CK65*100/proje!$I65,"")</f>
        <v/>
      </c>
      <c r="CA570" s="39" t="str">
        <f>IFERROR(proje!CL65*100/proje!$I65,"")</f>
        <v/>
      </c>
      <c r="CB570" s="39" t="str">
        <f>IFERROR(proje!CM65*100/proje!$I65,"")</f>
        <v/>
      </c>
      <c r="CC570" s="39" t="str">
        <f>IFERROR(proje!CN65*100/proje!$I65,"")</f>
        <v/>
      </c>
      <c r="CD570" s="39" t="str">
        <f>IFERROR(proje!CO65*100/proje!$I65,"")</f>
        <v/>
      </c>
      <c r="CE570" s="39" t="str">
        <f>IFERROR(proje!CP65*100/proje!$I65,"")</f>
        <v/>
      </c>
      <c r="CF570" s="39" t="str">
        <f>IFERROR(proje!CQ65*100/proje!$I65,"")</f>
        <v/>
      </c>
      <c r="CG570" s="39" t="str">
        <f>IFERROR(proje!CR65*100/proje!$I65,"")</f>
        <v/>
      </c>
      <c r="CH570" s="39" t="str">
        <f>IFERROR(proje!CS65*100/proje!$I65,"")</f>
        <v/>
      </c>
      <c r="CI570" s="39" t="str">
        <f>IFERROR(proje!CT65*100/proje!$I65,"")</f>
        <v/>
      </c>
      <c r="CJ570" s="39" t="str">
        <f>IFERROR(proje!CU65*100/proje!$I65,"")</f>
        <v/>
      </c>
      <c r="CK570" s="39" t="str">
        <f>IFERROR(proje!CV65*100/proje!$I65,"")</f>
        <v/>
      </c>
      <c r="CL570" s="39" t="str">
        <f>IFERROR(proje!CW65*100/proje!$I65,"")</f>
        <v/>
      </c>
      <c r="CM570" s="39" t="str">
        <f>IFERROR(proje!CX65*100/proje!$I65,"")</f>
        <v/>
      </c>
      <c r="CN570" s="39" t="str">
        <f>IFERROR(proje!CY65*100/proje!$I65,"")</f>
        <v/>
      </c>
      <c r="CO570" s="39" t="str">
        <f>IFERROR(proje!CZ65*100/proje!$I65,"")</f>
        <v/>
      </c>
      <c r="CP570" s="39" t="str">
        <f>IFERROR(proje!DA65*100/proje!$I65,"")</f>
        <v/>
      </c>
      <c r="CQ570" s="39" t="str">
        <f>IFERROR(proje!DB65*100/proje!$I65,"")</f>
        <v/>
      </c>
      <c r="CR570" s="39" t="str">
        <f>IFERROR(proje!DC65*100/proje!$I65,"")</f>
        <v/>
      </c>
      <c r="CS570" s="39" t="str">
        <f>IFERROR(proje!DD65*100/proje!$I65,"")</f>
        <v/>
      </c>
      <c r="CT570" s="39" t="str">
        <f>IFERROR(proje!DE65*100/proje!$I65,"")</f>
        <v/>
      </c>
      <c r="CU570" s="39" t="str">
        <f>IFERROR(proje!DF65*100/proje!$I65,"")</f>
        <v/>
      </c>
      <c r="CV570" s="39" t="str">
        <f>IFERROR(proje!DG65*100/proje!$I65,"")</f>
        <v/>
      </c>
      <c r="CW570" s="36" t="str">
        <f>IFERROR(SUM(A570:CV570)/proje!$DH$103,"")</f>
        <v/>
      </c>
      <c r="CX570" s="14" t="str">
        <f>IF(COUNTA(proje!A65),proje!A65,"")</f>
        <v/>
      </c>
      <c r="CY570" s="14" t="str">
        <f>IF(COUNTA(proje!B65),proje!B65,"")</f>
        <v/>
      </c>
      <c r="CZ570" s="14" t="str">
        <f>IF(COUNTA(proje!C65),proje!C65,"")</f>
        <v/>
      </c>
      <c r="DA570" s="14" t="str">
        <f>IF(COUNTA(proje!D65),proje!D65,"")</f>
        <v/>
      </c>
      <c r="DB570" s="14" t="str">
        <f>IF(COUNTA(proje!E65),proje!E65,"")</f>
        <v/>
      </c>
      <c r="DC570" s="14" t="str">
        <f>IF(COUNTA(proje!F65),proje!F65,"")</f>
        <v/>
      </c>
      <c r="DD570" s="14" t="str">
        <f>IF(COUNTA(proje!G65),proje!G65,"")</f>
        <v/>
      </c>
      <c r="DE570" s="14" t="str">
        <f>IF(COUNTA(proje!H65),proje!H65,"")</f>
        <v/>
      </c>
    </row>
    <row r="571" spans="1:109" x14ac:dyDescent="0.2">
      <c r="A571" s="39" t="str">
        <f>IFERROR(proje!L66*100/proje!$I66,"")</f>
        <v/>
      </c>
      <c r="B571" s="39" t="str">
        <f>IFERROR(proje!M66*100/proje!$I66,"")</f>
        <v/>
      </c>
      <c r="C571" s="39" t="str">
        <f>IFERROR(proje!N66*100/proje!$I66,"")</f>
        <v/>
      </c>
      <c r="D571" s="39" t="str">
        <f>IFERROR(proje!O66*100/proje!$I66,"")</f>
        <v/>
      </c>
      <c r="E571" s="39" t="str">
        <f>IFERROR(proje!P66*100/proje!$I66,"")</f>
        <v/>
      </c>
      <c r="F571" s="39" t="str">
        <f>IFERROR(proje!Q66*100/proje!$I66,"")</f>
        <v/>
      </c>
      <c r="G571" s="39" t="str">
        <f>IFERROR(proje!R66*100/proje!$I66,"")</f>
        <v/>
      </c>
      <c r="H571" s="39" t="str">
        <f>IFERROR(proje!S66*100/proje!$I66,"")</f>
        <v/>
      </c>
      <c r="I571" s="39" t="str">
        <f>IFERROR(proje!T66*100/proje!$I66,"")</f>
        <v/>
      </c>
      <c r="J571" s="39" t="str">
        <f>IFERROR(proje!U66*100/proje!$I66,"")</f>
        <v/>
      </c>
      <c r="K571" s="39" t="str">
        <f>IFERROR(proje!V66*100/proje!$I66,"")</f>
        <v/>
      </c>
      <c r="L571" s="39" t="str">
        <f>IFERROR(proje!W66*100/proje!$I66,"")</f>
        <v/>
      </c>
      <c r="M571" s="39" t="str">
        <f>IFERROR(proje!X66*100/proje!$I66,"")</f>
        <v/>
      </c>
      <c r="N571" s="39" t="str">
        <f>IFERROR(proje!Y66*100/proje!$I66,"")</f>
        <v/>
      </c>
      <c r="O571" s="39" t="str">
        <f>IFERROR(proje!Z66*100/proje!$I66,"")</f>
        <v/>
      </c>
      <c r="P571" s="39" t="str">
        <f>IFERROR(proje!AA66*100/proje!$I66,"")</f>
        <v/>
      </c>
      <c r="Q571" s="39" t="str">
        <f>IFERROR(proje!AB66*100/proje!$I66,"")</f>
        <v/>
      </c>
      <c r="R571" s="39" t="str">
        <f>IFERROR(proje!AC66*100/proje!$I66,"")</f>
        <v/>
      </c>
      <c r="S571" s="39" t="str">
        <f>IFERROR(proje!AD66*100/proje!$I66,"")</f>
        <v/>
      </c>
      <c r="T571" s="39" t="str">
        <f>IFERROR(proje!AE66*100/proje!$I66,"")</f>
        <v/>
      </c>
      <c r="U571" s="39" t="str">
        <f>IFERROR(proje!AF66*100/proje!$I66,"")</f>
        <v/>
      </c>
      <c r="V571" s="39" t="str">
        <f>IFERROR(proje!AG66*100/proje!$I66,"")</f>
        <v/>
      </c>
      <c r="W571" s="39" t="str">
        <f>IFERROR(proje!AH66*100/proje!$I66,"")</f>
        <v/>
      </c>
      <c r="X571" s="39" t="str">
        <f>IFERROR(proje!AI66*100/proje!$I66,"")</f>
        <v/>
      </c>
      <c r="Y571" s="39" t="str">
        <f>IFERROR(proje!AJ66*100/proje!$I66,"")</f>
        <v/>
      </c>
      <c r="Z571" s="39" t="str">
        <f>IFERROR(proje!AK66*100/proje!$I66,"")</f>
        <v/>
      </c>
      <c r="AA571" s="39" t="str">
        <f>IFERROR(proje!AL66*100/proje!$I66,"")</f>
        <v/>
      </c>
      <c r="AB571" s="39" t="str">
        <f>IFERROR(proje!AM66*100/proje!$I66,"")</f>
        <v/>
      </c>
      <c r="AC571" s="39" t="str">
        <f>IFERROR(proje!AN66*100/proje!$I66,"")</f>
        <v/>
      </c>
      <c r="AD571" s="39" t="str">
        <f>IFERROR(proje!AO66*100/proje!$I66,"")</f>
        <v/>
      </c>
      <c r="AE571" s="39" t="str">
        <f>IFERROR(proje!AP66*100/proje!$I66,"")</f>
        <v/>
      </c>
      <c r="AF571" s="39" t="str">
        <f>IFERROR(proje!AQ66*100/proje!$I66,"")</f>
        <v/>
      </c>
      <c r="AG571" s="39" t="str">
        <f>IFERROR(proje!AR66*100/proje!$I66,"")</f>
        <v/>
      </c>
      <c r="AH571" s="39" t="str">
        <f>IFERROR(proje!AS66*100/proje!$I66,"")</f>
        <v/>
      </c>
      <c r="AI571" s="39" t="str">
        <f>IFERROR(proje!AT66*100/proje!$I66,"")</f>
        <v/>
      </c>
      <c r="AJ571" s="39" t="str">
        <f>IFERROR(proje!AU66*100/proje!$I66,"")</f>
        <v/>
      </c>
      <c r="AK571" s="39" t="str">
        <f>IFERROR(proje!AV66*100/proje!$I66,"")</f>
        <v/>
      </c>
      <c r="AL571" s="39" t="str">
        <f>IFERROR(proje!AW66*100/proje!$I66,"")</f>
        <v/>
      </c>
      <c r="AM571" s="39" t="str">
        <f>IFERROR(proje!AX66*100/proje!$I66,"")</f>
        <v/>
      </c>
      <c r="AN571" s="39" t="str">
        <f>IFERROR(proje!AY66*100/proje!$I66,"")</f>
        <v/>
      </c>
      <c r="AO571" s="39" t="str">
        <f>IFERROR(proje!AZ66*100/proje!$I66,"")</f>
        <v/>
      </c>
      <c r="AP571" s="39" t="str">
        <f>IFERROR(proje!BA66*100/proje!$I66,"")</f>
        <v/>
      </c>
      <c r="AQ571" s="39" t="str">
        <f>IFERROR(proje!BB66*100/proje!$I66,"")</f>
        <v/>
      </c>
      <c r="AR571" s="39" t="str">
        <f>IFERROR(proje!BC66*100/proje!$I66,"")</f>
        <v/>
      </c>
      <c r="AS571" s="39" t="str">
        <f>IFERROR(proje!BD66*100/proje!$I66,"")</f>
        <v/>
      </c>
      <c r="AT571" s="39" t="str">
        <f>IFERROR(proje!BE66*100/proje!$I66,"")</f>
        <v/>
      </c>
      <c r="AU571" s="39" t="str">
        <f>IFERROR(proje!BF66*100/proje!$I66,"")</f>
        <v/>
      </c>
      <c r="AV571" s="39" t="str">
        <f>IFERROR(proje!BG66*100/proje!$I66,"")</f>
        <v/>
      </c>
      <c r="AW571" s="39" t="str">
        <f>IFERROR(proje!BH66*100/proje!$I66,"")</f>
        <v/>
      </c>
      <c r="AX571" s="39" t="str">
        <f>IFERROR(proje!BI66*100/proje!$I66,"")</f>
        <v/>
      </c>
      <c r="AY571" s="39" t="str">
        <f>IFERROR(proje!BJ66*100/proje!$I66,"")</f>
        <v/>
      </c>
      <c r="AZ571" s="39" t="str">
        <f>IFERROR(proje!BK66*100/proje!$I66,"")</f>
        <v/>
      </c>
      <c r="BA571" s="39" t="str">
        <f>IFERROR(proje!BL66*100/proje!$I66,"")</f>
        <v/>
      </c>
      <c r="BB571" s="39" t="str">
        <f>IFERROR(proje!BM66*100/proje!$I66,"")</f>
        <v/>
      </c>
      <c r="BC571" s="39" t="str">
        <f>IFERROR(proje!BN66*100/proje!$I66,"")</f>
        <v/>
      </c>
      <c r="BD571" s="39" t="str">
        <f>IFERROR(proje!BO66*100/proje!$I66,"")</f>
        <v/>
      </c>
      <c r="BE571" s="39" t="str">
        <f>IFERROR(proje!BP66*100/proje!$I66,"")</f>
        <v/>
      </c>
      <c r="BF571" s="39" t="str">
        <f>IFERROR(proje!BQ66*100/proje!$I66,"")</f>
        <v/>
      </c>
      <c r="BG571" s="39" t="str">
        <f>IFERROR(proje!BR66*100/proje!$I66,"")</f>
        <v/>
      </c>
      <c r="BH571" s="39" t="str">
        <f>IFERROR(proje!BS66*100/proje!$I66,"")</f>
        <v/>
      </c>
      <c r="BI571" s="39" t="str">
        <f>IFERROR(proje!BT66*100/proje!$I66,"")</f>
        <v/>
      </c>
      <c r="BJ571" s="39" t="str">
        <f>IFERROR(proje!BU66*100/proje!$I66,"")</f>
        <v/>
      </c>
      <c r="BK571" s="39" t="str">
        <f>IFERROR(proje!BV66*100/proje!$I66,"")</f>
        <v/>
      </c>
      <c r="BL571" s="39" t="str">
        <f>IFERROR(proje!BW66*100/proje!$I66,"")</f>
        <v/>
      </c>
      <c r="BM571" s="39" t="str">
        <f>IFERROR(proje!BX66*100/proje!$I66,"")</f>
        <v/>
      </c>
      <c r="BN571" s="39" t="str">
        <f>IFERROR(proje!BY66*100/proje!$I66,"")</f>
        <v/>
      </c>
      <c r="BO571" s="39" t="str">
        <f>IFERROR(proje!BZ66*100/proje!$I66,"")</f>
        <v/>
      </c>
      <c r="BP571" s="39" t="str">
        <f>IFERROR(proje!CA66*100/proje!$I66,"")</f>
        <v/>
      </c>
      <c r="BQ571" s="39" t="str">
        <f>IFERROR(proje!CB66*100/proje!$I66,"")</f>
        <v/>
      </c>
      <c r="BR571" s="39" t="str">
        <f>IFERROR(proje!CC66*100/proje!$I66,"")</f>
        <v/>
      </c>
      <c r="BS571" s="39" t="str">
        <f>IFERROR(proje!CD66*100/proje!$I66,"")</f>
        <v/>
      </c>
      <c r="BT571" s="39" t="str">
        <f>IFERROR(proje!CE66*100/proje!$I66,"")</f>
        <v/>
      </c>
      <c r="BU571" s="39" t="str">
        <f>IFERROR(proje!CF66*100/proje!$I66,"")</f>
        <v/>
      </c>
      <c r="BV571" s="39" t="str">
        <f>IFERROR(proje!CG66*100/proje!$I66,"")</f>
        <v/>
      </c>
      <c r="BW571" s="39" t="str">
        <f>IFERROR(proje!CH66*100/proje!$I66,"")</f>
        <v/>
      </c>
      <c r="BX571" s="39" t="str">
        <f>IFERROR(proje!CI66*100/proje!$I66,"")</f>
        <v/>
      </c>
      <c r="BY571" s="39" t="str">
        <f>IFERROR(proje!CJ66*100/proje!$I66,"")</f>
        <v/>
      </c>
      <c r="BZ571" s="39" t="str">
        <f>IFERROR(proje!CK66*100/proje!$I66,"")</f>
        <v/>
      </c>
      <c r="CA571" s="39" t="str">
        <f>IFERROR(proje!CL66*100/proje!$I66,"")</f>
        <v/>
      </c>
      <c r="CB571" s="39" t="str">
        <f>IFERROR(proje!CM66*100/proje!$I66,"")</f>
        <v/>
      </c>
      <c r="CC571" s="39" t="str">
        <f>IFERROR(proje!CN66*100/proje!$I66,"")</f>
        <v/>
      </c>
      <c r="CD571" s="39" t="str">
        <f>IFERROR(proje!CO66*100/proje!$I66,"")</f>
        <v/>
      </c>
      <c r="CE571" s="39" t="str">
        <f>IFERROR(proje!CP66*100/proje!$I66,"")</f>
        <v/>
      </c>
      <c r="CF571" s="39" t="str">
        <f>IFERROR(proje!CQ66*100/proje!$I66,"")</f>
        <v/>
      </c>
      <c r="CG571" s="39" t="str">
        <f>IFERROR(proje!CR66*100/proje!$I66,"")</f>
        <v/>
      </c>
      <c r="CH571" s="39" t="str">
        <f>IFERROR(proje!CS66*100/proje!$I66,"")</f>
        <v/>
      </c>
      <c r="CI571" s="39" t="str">
        <f>IFERROR(proje!CT66*100/proje!$I66,"")</f>
        <v/>
      </c>
      <c r="CJ571" s="39" t="str">
        <f>IFERROR(proje!CU66*100/proje!$I66,"")</f>
        <v/>
      </c>
      <c r="CK571" s="39" t="str">
        <f>IFERROR(proje!CV66*100/proje!$I66,"")</f>
        <v/>
      </c>
      <c r="CL571" s="39" t="str">
        <f>IFERROR(proje!CW66*100/proje!$I66,"")</f>
        <v/>
      </c>
      <c r="CM571" s="39" t="str">
        <f>IFERROR(proje!CX66*100/proje!$I66,"")</f>
        <v/>
      </c>
      <c r="CN571" s="39" t="str">
        <f>IFERROR(proje!CY66*100/proje!$I66,"")</f>
        <v/>
      </c>
      <c r="CO571" s="39" t="str">
        <f>IFERROR(proje!CZ66*100/proje!$I66,"")</f>
        <v/>
      </c>
      <c r="CP571" s="39" t="str">
        <f>IFERROR(proje!DA66*100/proje!$I66,"")</f>
        <v/>
      </c>
      <c r="CQ571" s="39" t="str">
        <f>IFERROR(proje!DB66*100/proje!$I66,"")</f>
        <v/>
      </c>
      <c r="CR571" s="39" t="str">
        <f>IFERROR(proje!DC66*100/proje!$I66,"")</f>
        <v/>
      </c>
      <c r="CS571" s="39" t="str">
        <f>IFERROR(proje!DD66*100/proje!$I66,"")</f>
        <v/>
      </c>
      <c r="CT571" s="39" t="str">
        <f>IFERROR(proje!DE66*100/proje!$I66,"")</f>
        <v/>
      </c>
      <c r="CU571" s="39" t="str">
        <f>IFERROR(proje!DF66*100/proje!$I66,"")</f>
        <v/>
      </c>
      <c r="CV571" s="39" t="str">
        <f>IFERROR(proje!DG66*100/proje!$I66,"")</f>
        <v/>
      </c>
      <c r="CW571" s="36" t="str">
        <f>IFERROR(SUM(A571:CV571)/proje!$DH$103,"")</f>
        <v/>
      </c>
      <c r="CX571" s="14" t="str">
        <f>IF(COUNTA(proje!A66),proje!A66,"")</f>
        <v/>
      </c>
      <c r="CY571" s="14" t="str">
        <f>IF(COUNTA(proje!B66),proje!B66,"")</f>
        <v/>
      </c>
      <c r="CZ571" s="14" t="str">
        <f>IF(COUNTA(proje!C66),proje!C66,"")</f>
        <v/>
      </c>
      <c r="DA571" s="14" t="str">
        <f>IF(COUNTA(proje!D66),proje!D66,"")</f>
        <v/>
      </c>
      <c r="DB571" s="14" t="str">
        <f>IF(COUNTA(proje!E66),proje!E66,"")</f>
        <v/>
      </c>
      <c r="DC571" s="14" t="str">
        <f>IF(COUNTA(proje!F66),proje!F66,"")</f>
        <v/>
      </c>
      <c r="DD571" s="14" t="str">
        <f>IF(COUNTA(proje!G66),proje!G66,"")</f>
        <v/>
      </c>
      <c r="DE571" s="14" t="str">
        <f>IF(COUNTA(proje!H66),proje!H66,"")</f>
        <v/>
      </c>
    </row>
    <row r="572" spans="1:109" x14ac:dyDescent="0.2">
      <c r="A572" s="39" t="str">
        <f>IFERROR(proje!L67*100/proje!$I67,"")</f>
        <v/>
      </c>
      <c r="B572" s="39" t="str">
        <f>IFERROR(proje!M67*100/proje!$I67,"")</f>
        <v/>
      </c>
      <c r="C572" s="39" t="str">
        <f>IFERROR(proje!N67*100/proje!$I67,"")</f>
        <v/>
      </c>
      <c r="D572" s="39" t="str">
        <f>IFERROR(proje!O67*100/proje!$I67,"")</f>
        <v/>
      </c>
      <c r="E572" s="39" t="str">
        <f>IFERROR(proje!P67*100/proje!$I67,"")</f>
        <v/>
      </c>
      <c r="F572" s="39" t="str">
        <f>IFERROR(proje!Q67*100/proje!$I67,"")</f>
        <v/>
      </c>
      <c r="G572" s="39" t="str">
        <f>IFERROR(proje!R67*100/proje!$I67,"")</f>
        <v/>
      </c>
      <c r="H572" s="39" t="str">
        <f>IFERROR(proje!S67*100/proje!$I67,"")</f>
        <v/>
      </c>
      <c r="I572" s="39" t="str">
        <f>IFERROR(proje!T67*100/proje!$I67,"")</f>
        <v/>
      </c>
      <c r="J572" s="39" t="str">
        <f>IFERROR(proje!U67*100/proje!$I67,"")</f>
        <v/>
      </c>
      <c r="K572" s="39" t="str">
        <f>IFERROR(proje!V67*100/proje!$I67,"")</f>
        <v/>
      </c>
      <c r="L572" s="39" t="str">
        <f>IFERROR(proje!W67*100/proje!$I67,"")</f>
        <v/>
      </c>
      <c r="M572" s="39" t="str">
        <f>IFERROR(proje!X67*100/proje!$I67,"")</f>
        <v/>
      </c>
      <c r="N572" s="39" t="str">
        <f>IFERROR(proje!Y67*100/proje!$I67,"")</f>
        <v/>
      </c>
      <c r="O572" s="39" t="str">
        <f>IFERROR(proje!Z67*100/proje!$I67,"")</f>
        <v/>
      </c>
      <c r="P572" s="39" t="str">
        <f>IFERROR(proje!AA67*100/proje!$I67,"")</f>
        <v/>
      </c>
      <c r="Q572" s="39" t="str">
        <f>IFERROR(proje!AB67*100/proje!$I67,"")</f>
        <v/>
      </c>
      <c r="R572" s="39" t="str">
        <f>IFERROR(proje!AC67*100/proje!$I67,"")</f>
        <v/>
      </c>
      <c r="S572" s="39" t="str">
        <f>IFERROR(proje!AD67*100/proje!$I67,"")</f>
        <v/>
      </c>
      <c r="T572" s="39" t="str">
        <f>IFERROR(proje!AE67*100/proje!$I67,"")</f>
        <v/>
      </c>
      <c r="U572" s="39" t="str">
        <f>IFERROR(proje!AF67*100/proje!$I67,"")</f>
        <v/>
      </c>
      <c r="V572" s="39" t="str">
        <f>IFERROR(proje!AG67*100/proje!$I67,"")</f>
        <v/>
      </c>
      <c r="W572" s="39" t="str">
        <f>IFERROR(proje!AH67*100/proje!$I67,"")</f>
        <v/>
      </c>
      <c r="X572" s="39" t="str">
        <f>IFERROR(proje!AI67*100/proje!$I67,"")</f>
        <v/>
      </c>
      <c r="Y572" s="39" t="str">
        <f>IFERROR(proje!AJ67*100/proje!$I67,"")</f>
        <v/>
      </c>
      <c r="Z572" s="39" t="str">
        <f>IFERROR(proje!AK67*100/proje!$I67,"")</f>
        <v/>
      </c>
      <c r="AA572" s="39" t="str">
        <f>IFERROR(proje!AL67*100/proje!$I67,"")</f>
        <v/>
      </c>
      <c r="AB572" s="39" t="str">
        <f>IFERROR(proje!AM67*100/proje!$I67,"")</f>
        <v/>
      </c>
      <c r="AC572" s="39" t="str">
        <f>IFERROR(proje!AN67*100/proje!$I67,"")</f>
        <v/>
      </c>
      <c r="AD572" s="39" t="str">
        <f>IFERROR(proje!AO67*100/proje!$I67,"")</f>
        <v/>
      </c>
      <c r="AE572" s="39" t="str">
        <f>IFERROR(proje!AP67*100/proje!$I67,"")</f>
        <v/>
      </c>
      <c r="AF572" s="39" t="str">
        <f>IFERROR(proje!AQ67*100/proje!$I67,"")</f>
        <v/>
      </c>
      <c r="AG572" s="39" t="str">
        <f>IFERROR(proje!AR67*100/proje!$I67,"")</f>
        <v/>
      </c>
      <c r="AH572" s="39" t="str">
        <f>IFERROR(proje!AS67*100/proje!$I67,"")</f>
        <v/>
      </c>
      <c r="AI572" s="39" t="str">
        <f>IFERROR(proje!AT67*100/proje!$I67,"")</f>
        <v/>
      </c>
      <c r="AJ572" s="39" t="str">
        <f>IFERROR(proje!AU67*100/proje!$I67,"")</f>
        <v/>
      </c>
      <c r="AK572" s="39" t="str">
        <f>IFERROR(proje!AV67*100/proje!$I67,"")</f>
        <v/>
      </c>
      <c r="AL572" s="39" t="str">
        <f>IFERROR(proje!AW67*100/proje!$I67,"")</f>
        <v/>
      </c>
      <c r="AM572" s="39" t="str">
        <f>IFERROR(proje!AX67*100/proje!$I67,"")</f>
        <v/>
      </c>
      <c r="AN572" s="39" t="str">
        <f>IFERROR(proje!AY67*100/proje!$I67,"")</f>
        <v/>
      </c>
      <c r="AO572" s="39" t="str">
        <f>IFERROR(proje!AZ67*100/proje!$I67,"")</f>
        <v/>
      </c>
      <c r="AP572" s="39" t="str">
        <f>IFERROR(proje!BA67*100/proje!$I67,"")</f>
        <v/>
      </c>
      <c r="AQ572" s="39" t="str">
        <f>IFERROR(proje!BB67*100/proje!$I67,"")</f>
        <v/>
      </c>
      <c r="AR572" s="39" t="str">
        <f>IFERROR(proje!BC67*100/proje!$I67,"")</f>
        <v/>
      </c>
      <c r="AS572" s="39" t="str">
        <f>IFERROR(proje!BD67*100/proje!$I67,"")</f>
        <v/>
      </c>
      <c r="AT572" s="39" t="str">
        <f>IFERROR(proje!BE67*100/proje!$I67,"")</f>
        <v/>
      </c>
      <c r="AU572" s="39" t="str">
        <f>IFERROR(proje!BF67*100/proje!$I67,"")</f>
        <v/>
      </c>
      <c r="AV572" s="39" t="str">
        <f>IFERROR(proje!BG67*100/proje!$I67,"")</f>
        <v/>
      </c>
      <c r="AW572" s="39" t="str">
        <f>IFERROR(proje!BH67*100/proje!$I67,"")</f>
        <v/>
      </c>
      <c r="AX572" s="39" t="str">
        <f>IFERROR(proje!BI67*100/proje!$I67,"")</f>
        <v/>
      </c>
      <c r="AY572" s="39" t="str">
        <f>IFERROR(proje!BJ67*100/proje!$I67,"")</f>
        <v/>
      </c>
      <c r="AZ572" s="39" t="str">
        <f>IFERROR(proje!BK67*100/proje!$I67,"")</f>
        <v/>
      </c>
      <c r="BA572" s="39" t="str">
        <f>IFERROR(proje!BL67*100/proje!$I67,"")</f>
        <v/>
      </c>
      <c r="BB572" s="39" t="str">
        <f>IFERROR(proje!BM67*100/proje!$I67,"")</f>
        <v/>
      </c>
      <c r="BC572" s="39" t="str">
        <f>IFERROR(proje!BN67*100/proje!$I67,"")</f>
        <v/>
      </c>
      <c r="BD572" s="39" t="str">
        <f>IFERROR(proje!BO67*100/proje!$I67,"")</f>
        <v/>
      </c>
      <c r="BE572" s="39" t="str">
        <f>IFERROR(proje!BP67*100/proje!$I67,"")</f>
        <v/>
      </c>
      <c r="BF572" s="39" t="str">
        <f>IFERROR(proje!BQ67*100/proje!$I67,"")</f>
        <v/>
      </c>
      <c r="BG572" s="39" t="str">
        <f>IFERROR(proje!BR67*100/proje!$I67,"")</f>
        <v/>
      </c>
      <c r="BH572" s="39" t="str">
        <f>IFERROR(proje!BS67*100/proje!$I67,"")</f>
        <v/>
      </c>
      <c r="BI572" s="39" t="str">
        <f>IFERROR(proje!BT67*100/proje!$I67,"")</f>
        <v/>
      </c>
      <c r="BJ572" s="39" t="str">
        <f>IFERROR(proje!BU67*100/proje!$I67,"")</f>
        <v/>
      </c>
      <c r="BK572" s="39" t="str">
        <f>IFERROR(proje!BV67*100/proje!$I67,"")</f>
        <v/>
      </c>
      <c r="BL572" s="39" t="str">
        <f>IFERROR(proje!BW67*100/proje!$I67,"")</f>
        <v/>
      </c>
      <c r="BM572" s="39" t="str">
        <f>IFERROR(proje!BX67*100/proje!$I67,"")</f>
        <v/>
      </c>
      <c r="BN572" s="39" t="str">
        <f>IFERROR(proje!BY67*100/proje!$I67,"")</f>
        <v/>
      </c>
      <c r="BO572" s="39" t="str">
        <f>IFERROR(proje!BZ67*100/proje!$I67,"")</f>
        <v/>
      </c>
      <c r="BP572" s="39" t="str">
        <f>IFERROR(proje!CA67*100/proje!$I67,"")</f>
        <v/>
      </c>
      <c r="BQ572" s="39" t="str">
        <f>IFERROR(proje!CB67*100/proje!$I67,"")</f>
        <v/>
      </c>
      <c r="BR572" s="39" t="str">
        <f>IFERROR(proje!CC67*100/proje!$I67,"")</f>
        <v/>
      </c>
      <c r="BS572" s="39" t="str">
        <f>IFERROR(proje!CD67*100/proje!$I67,"")</f>
        <v/>
      </c>
      <c r="BT572" s="39" t="str">
        <f>IFERROR(proje!CE67*100/proje!$I67,"")</f>
        <v/>
      </c>
      <c r="BU572" s="39" t="str">
        <f>IFERROR(proje!CF67*100/proje!$I67,"")</f>
        <v/>
      </c>
      <c r="BV572" s="39" t="str">
        <f>IFERROR(proje!CG67*100/proje!$I67,"")</f>
        <v/>
      </c>
      <c r="BW572" s="39" t="str">
        <f>IFERROR(proje!CH67*100/proje!$I67,"")</f>
        <v/>
      </c>
      <c r="BX572" s="39" t="str">
        <f>IFERROR(proje!CI67*100/proje!$I67,"")</f>
        <v/>
      </c>
      <c r="BY572" s="39" t="str">
        <f>IFERROR(proje!CJ67*100/proje!$I67,"")</f>
        <v/>
      </c>
      <c r="BZ572" s="39" t="str">
        <f>IFERROR(proje!CK67*100/proje!$I67,"")</f>
        <v/>
      </c>
      <c r="CA572" s="39" t="str">
        <f>IFERROR(proje!CL67*100/proje!$I67,"")</f>
        <v/>
      </c>
      <c r="CB572" s="39" t="str">
        <f>IFERROR(proje!CM67*100/proje!$I67,"")</f>
        <v/>
      </c>
      <c r="CC572" s="39" t="str">
        <f>IFERROR(proje!CN67*100/proje!$I67,"")</f>
        <v/>
      </c>
      <c r="CD572" s="39" t="str">
        <f>IFERROR(proje!CO67*100/proje!$I67,"")</f>
        <v/>
      </c>
      <c r="CE572" s="39" t="str">
        <f>IFERROR(proje!CP67*100/proje!$I67,"")</f>
        <v/>
      </c>
      <c r="CF572" s="39" t="str">
        <f>IFERROR(proje!CQ67*100/proje!$I67,"")</f>
        <v/>
      </c>
      <c r="CG572" s="39" t="str">
        <f>IFERROR(proje!CR67*100/proje!$I67,"")</f>
        <v/>
      </c>
      <c r="CH572" s="39" t="str">
        <f>IFERROR(proje!CS67*100/proje!$I67,"")</f>
        <v/>
      </c>
      <c r="CI572" s="39" t="str">
        <f>IFERROR(proje!CT67*100/proje!$I67,"")</f>
        <v/>
      </c>
      <c r="CJ572" s="39" t="str">
        <f>IFERROR(proje!CU67*100/proje!$I67,"")</f>
        <v/>
      </c>
      <c r="CK572" s="39" t="str">
        <f>IFERROR(proje!CV67*100/proje!$I67,"")</f>
        <v/>
      </c>
      <c r="CL572" s="39" t="str">
        <f>IFERROR(proje!CW67*100/proje!$I67,"")</f>
        <v/>
      </c>
      <c r="CM572" s="39" t="str">
        <f>IFERROR(proje!CX67*100/proje!$I67,"")</f>
        <v/>
      </c>
      <c r="CN572" s="39" t="str">
        <f>IFERROR(proje!CY67*100/proje!$I67,"")</f>
        <v/>
      </c>
      <c r="CO572" s="39" t="str">
        <f>IFERROR(proje!CZ67*100/proje!$I67,"")</f>
        <v/>
      </c>
      <c r="CP572" s="39" t="str">
        <f>IFERROR(proje!DA67*100/proje!$I67,"")</f>
        <v/>
      </c>
      <c r="CQ572" s="39" t="str">
        <f>IFERROR(proje!DB67*100/proje!$I67,"")</f>
        <v/>
      </c>
      <c r="CR572" s="39" t="str">
        <f>IFERROR(proje!DC67*100/proje!$I67,"")</f>
        <v/>
      </c>
      <c r="CS572" s="39" t="str">
        <f>IFERROR(proje!DD67*100/proje!$I67,"")</f>
        <v/>
      </c>
      <c r="CT572" s="39" t="str">
        <f>IFERROR(proje!DE67*100/proje!$I67,"")</f>
        <v/>
      </c>
      <c r="CU572" s="39" t="str">
        <f>IFERROR(proje!DF67*100/proje!$I67,"")</f>
        <v/>
      </c>
      <c r="CV572" s="39" t="str">
        <f>IFERROR(proje!DG67*100/proje!$I67,"")</f>
        <v/>
      </c>
      <c r="CW572" s="36" t="str">
        <f>IFERROR(SUM(A572:CV572)/proje!$DH$103,"")</f>
        <v/>
      </c>
      <c r="CX572" s="14" t="str">
        <f>IF(COUNTA(proje!A67),proje!A67,"")</f>
        <v/>
      </c>
      <c r="CY572" s="14" t="str">
        <f>IF(COUNTA(proje!B67),proje!B67,"")</f>
        <v/>
      </c>
      <c r="CZ572" s="14" t="str">
        <f>IF(COUNTA(proje!C67),proje!C67,"")</f>
        <v/>
      </c>
      <c r="DA572" s="14" t="str">
        <f>IF(COUNTA(proje!D67),proje!D67,"")</f>
        <v/>
      </c>
      <c r="DB572" s="14" t="str">
        <f>IF(COUNTA(proje!E67),proje!E67,"")</f>
        <v/>
      </c>
      <c r="DC572" s="14" t="str">
        <f>IF(COUNTA(proje!F67),proje!F67,"")</f>
        <v/>
      </c>
      <c r="DD572" s="14" t="str">
        <f>IF(COUNTA(proje!G67),proje!G67,"")</f>
        <v/>
      </c>
      <c r="DE572" s="14" t="str">
        <f>IF(COUNTA(proje!H67),proje!H67,"")</f>
        <v/>
      </c>
    </row>
    <row r="573" spans="1:109" x14ac:dyDescent="0.2">
      <c r="A573" s="39" t="str">
        <f>IFERROR(proje!L68*100/proje!$I68,"")</f>
        <v/>
      </c>
      <c r="B573" s="39" t="str">
        <f>IFERROR(proje!M68*100/proje!$I68,"")</f>
        <v/>
      </c>
      <c r="C573" s="39" t="str">
        <f>IFERROR(proje!N68*100/proje!$I68,"")</f>
        <v/>
      </c>
      <c r="D573" s="39" t="str">
        <f>IFERROR(proje!O68*100/proje!$I68,"")</f>
        <v/>
      </c>
      <c r="E573" s="39" t="str">
        <f>IFERROR(proje!P68*100/proje!$I68,"")</f>
        <v/>
      </c>
      <c r="F573" s="39" t="str">
        <f>IFERROR(proje!Q68*100/proje!$I68,"")</f>
        <v/>
      </c>
      <c r="G573" s="39" t="str">
        <f>IFERROR(proje!R68*100/proje!$I68,"")</f>
        <v/>
      </c>
      <c r="H573" s="39" t="str">
        <f>IFERROR(proje!S68*100/proje!$I68,"")</f>
        <v/>
      </c>
      <c r="I573" s="39" t="str">
        <f>IFERROR(proje!T68*100/proje!$I68,"")</f>
        <v/>
      </c>
      <c r="J573" s="39" t="str">
        <f>IFERROR(proje!U68*100/proje!$I68,"")</f>
        <v/>
      </c>
      <c r="K573" s="39" t="str">
        <f>IFERROR(proje!V68*100/proje!$I68,"")</f>
        <v/>
      </c>
      <c r="L573" s="39" t="str">
        <f>IFERROR(proje!W68*100/proje!$I68,"")</f>
        <v/>
      </c>
      <c r="M573" s="39" t="str">
        <f>IFERROR(proje!X68*100/proje!$I68,"")</f>
        <v/>
      </c>
      <c r="N573" s="39" t="str">
        <f>IFERROR(proje!Y68*100/proje!$I68,"")</f>
        <v/>
      </c>
      <c r="O573" s="39" t="str">
        <f>IFERROR(proje!Z68*100/proje!$I68,"")</f>
        <v/>
      </c>
      <c r="P573" s="39" t="str">
        <f>IFERROR(proje!AA68*100/proje!$I68,"")</f>
        <v/>
      </c>
      <c r="Q573" s="39" t="str">
        <f>IFERROR(proje!AB68*100/proje!$I68,"")</f>
        <v/>
      </c>
      <c r="R573" s="39" t="str">
        <f>IFERROR(proje!AC68*100/proje!$I68,"")</f>
        <v/>
      </c>
      <c r="S573" s="39" t="str">
        <f>IFERROR(proje!AD68*100/proje!$I68,"")</f>
        <v/>
      </c>
      <c r="T573" s="39" t="str">
        <f>IFERROR(proje!AE68*100/proje!$I68,"")</f>
        <v/>
      </c>
      <c r="U573" s="39" t="str">
        <f>IFERROR(proje!AF68*100/proje!$I68,"")</f>
        <v/>
      </c>
      <c r="V573" s="39" t="str">
        <f>IFERROR(proje!AG68*100/proje!$I68,"")</f>
        <v/>
      </c>
      <c r="W573" s="39" t="str">
        <f>IFERROR(proje!AH68*100/proje!$I68,"")</f>
        <v/>
      </c>
      <c r="X573" s="39" t="str">
        <f>IFERROR(proje!AI68*100/proje!$I68,"")</f>
        <v/>
      </c>
      <c r="Y573" s="39" t="str">
        <f>IFERROR(proje!AJ68*100/proje!$I68,"")</f>
        <v/>
      </c>
      <c r="Z573" s="39" t="str">
        <f>IFERROR(proje!AK68*100/proje!$I68,"")</f>
        <v/>
      </c>
      <c r="AA573" s="39" t="str">
        <f>IFERROR(proje!AL68*100/proje!$I68,"")</f>
        <v/>
      </c>
      <c r="AB573" s="39" t="str">
        <f>IFERROR(proje!AM68*100/proje!$I68,"")</f>
        <v/>
      </c>
      <c r="AC573" s="39" t="str">
        <f>IFERROR(proje!AN68*100/proje!$I68,"")</f>
        <v/>
      </c>
      <c r="AD573" s="39" t="str">
        <f>IFERROR(proje!AO68*100/proje!$I68,"")</f>
        <v/>
      </c>
      <c r="AE573" s="39" t="str">
        <f>IFERROR(proje!AP68*100/proje!$I68,"")</f>
        <v/>
      </c>
      <c r="AF573" s="39" t="str">
        <f>IFERROR(proje!AQ68*100/proje!$I68,"")</f>
        <v/>
      </c>
      <c r="AG573" s="39" t="str">
        <f>IFERROR(proje!AR68*100/proje!$I68,"")</f>
        <v/>
      </c>
      <c r="AH573" s="39" t="str">
        <f>IFERROR(proje!AS68*100/proje!$I68,"")</f>
        <v/>
      </c>
      <c r="AI573" s="39" t="str">
        <f>IFERROR(proje!AT68*100/proje!$I68,"")</f>
        <v/>
      </c>
      <c r="AJ573" s="39" t="str">
        <f>IFERROR(proje!AU68*100/proje!$I68,"")</f>
        <v/>
      </c>
      <c r="AK573" s="39" t="str">
        <f>IFERROR(proje!AV68*100/proje!$I68,"")</f>
        <v/>
      </c>
      <c r="AL573" s="39" t="str">
        <f>IFERROR(proje!AW68*100/proje!$I68,"")</f>
        <v/>
      </c>
      <c r="AM573" s="39" t="str">
        <f>IFERROR(proje!AX68*100/proje!$I68,"")</f>
        <v/>
      </c>
      <c r="AN573" s="39" t="str">
        <f>IFERROR(proje!AY68*100/proje!$I68,"")</f>
        <v/>
      </c>
      <c r="AO573" s="39" t="str">
        <f>IFERROR(proje!AZ68*100/proje!$I68,"")</f>
        <v/>
      </c>
      <c r="AP573" s="39" t="str">
        <f>IFERROR(proje!BA68*100/proje!$I68,"")</f>
        <v/>
      </c>
      <c r="AQ573" s="39" t="str">
        <f>IFERROR(proje!BB68*100/proje!$I68,"")</f>
        <v/>
      </c>
      <c r="AR573" s="39" t="str">
        <f>IFERROR(proje!BC68*100/proje!$I68,"")</f>
        <v/>
      </c>
      <c r="AS573" s="39" t="str">
        <f>IFERROR(proje!BD68*100/proje!$I68,"")</f>
        <v/>
      </c>
      <c r="AT573" s="39" t="str">
        <f>IFERROR(proje!BE68*100/proje!$I68,"")</f>
        <v/>
      </c>
      <c r="AU573" s="39" t="str">
        <f>IFERROR(proje!BF68*100/proje!$I68,"")</f>
        <v/>
      </c>
      <c r="AV573" s="39" t="str">
        <f>IFERROR(proje!BG68*100/proje!$I68,"")</f>
        <v/>
      </c>
      <c r="AW573" s="39" t="str">
        <f>IFERROR(proje!BH68*100/proje!$I68,"")</f>
        <v/>
      </c>
      <c r="AX573" s="39" t="str">
        <f>IFERROR(proje!BI68*100/proje!$I68,"")</f>
        <v/>
      </c>
      <c r="AY573" s="39" t="str">
        <f>IFERROR(proje!BJ68*100/proje!$I68,"")</f>
        <v/>
      </c>
      <c r="AZ573" s="39" t="str">
        <f>IFERROR(proje!BK68*100/proje!$I68,"")</f>
        <v/>
      </c>
      <c r="BA573" s="39" t="str">
        <f>IFERROR(proje!BL68*100/proje!$I68,"")</f>
        <v/>
      </c>
      <c r="BB573" s="39" t="str">
        <f>IFERROR(proje!BM68*100/proje!$I68,"")</f>
        <v/>
      </c>
      <c r="BC573" s="39" t="str">
        <f>IFERROR(proje!BN68*100/proje!$I68,"")</f>
        <v/>
      </c>
      <c r="BD573" s="39" t="str">
        <f>IFERROR(proje!BO68*100/proje!$I68,"")</f>
        <v/>
      </c>
      <c r="BE573" s="39" t="str">
        <f>IFERROR(proje!BP68*100/proje!$I68,"")</f>
        <v/>
      </c>
      <c r="BF573" s="39" t="str">
        <f>IFERROR(proje!BQ68*100/proje!$I68,"")</f>
        <v/>
      </c>
      <c r="BG573" s="39" t="str">
        <f>IFERROR(proje!BR68*100/proje!$I68,"")</f>
        <v/>
      </c>
      <c r="BH573" s="39" t="str">
        <f>IFERROR(proje!BS68*100/proje!$I68,"")</f>
        <v/>
      </c>
      <c r="BI573" s="39" t="str">
        <f>IFERROR(proje!BT68*100/proje!$I68,"")</f>
        <v/>
      </c>
      <c r="BJ573" s="39" t="str">
        <f>IFERROR(proje!BU68*100/proje!$I68,"")</f>
        <v/>
      </c>
      <c r="BK573" s="39" t="str">
        <f>IFERROR(proje!BV68*100/proje!$I68,"")</f>
        <v/>
      </c>
      <c r="BL573" s="39" t="str">
        <f>IFERROR(proje!BW68*100/proje!$I68,"")</f>
        <v/>
      </c>
      <c r="BM573" s="39" t="str">
        <f>IFERROR(proje!BX68*100/proje!$I68,"")</f>
        <v/>
      </c>
      <c r="BN573" s="39" t="str">
        <f>IFERROR(proje!BY68*100/proje!$I68,"")</f>
        <v/>
      </c>
      <c r="BO573" s="39" t="str">
        <f>IFERROR(proje!BZ68*100/proje!$I68,"")</f>
        <v/>
      </c>
      <c r="BP573" s="39" t="str">
        <f>IFERROR(proje!CA68*100/proje!$I68,"")</f>
        <v/>
      </c>
      <c r="BQ573" s="39" t="str">
        <f>IFERROR(proje!CB68*100/proje!$I68,"")</f>
        <v/>
      </c>
      <c r="BR573" s="39" t="str">
        <f>IFERROR(proje!CC68*100/proje!$I68,"")</f>
        <v/>
      </c>
      <c r="BS573" s="39" t="str">
        <f>IFERROR(proje!CD68*100/proje!$I68,"")</f>
        <v/>
      </c>
      <c r="BT573" s="39" t="str">
        <f>IFERROR(proje!CE68*100/proje!$I68,"")</f>
        <v/>
      </c>
      <c r="BU573" s="39" t="str">
        <f>IFERROR(proje!CF68*100/proje!$I68,"")</f>
        <v/>
      </c>
      <c r="BV573" s="39" t="str">
        <f>IFERROR(proje!CG68*100/proje!$I68,"")</f>
        <v/>
      </c>
      <c r="BW573" s="39" t="str">
        <f>IFERROR(proje!CH68*100/proje!$I68,"")</f>
        <v/>
      </c>
      <c r="BX573" s="39" t="str">
        <f>IFERROR(proje!CI68*100/proje!$I68,"")</f>
        <v/>
      </c>
      <c r="BY573" s="39" t="str">
        <f>IFERROR(proje!CJ68*100/proje!$I68,"")</f>
        <v/>
      </c>
      <c r="BZ573" s="39" t="str">
        <f>IFERROR(proje!CK68*100/proje!$I68,"")</f>
        <v/>
      </c>
      <c r="CA573" s="39" t="str">
        <f>IFERROR(proje!CL68*100/proje!$I68,"")</f>
        <v/>
      </c>
      <c r="CB573" s="39" t="str">
        <f>IFERROR(proje!CM68*100/proje!$I68,"")</f>
        <v/>
      </c>
      <c r="CC573" s="39" t="str">
        <f>IFERROR(proje!CN68*100/proje!$I68,"")</f>
        <v/>
      </c>
      <c r="CD573" s="39" t="str">
        <f>IFERROR(proje!CO68*100/proje!$I68,"")</f>
        <v/>
      </c>
      <c r="CE573" s="39" t="str">
        <f>IFERROR(proje!CP68*100/proje!$I68,"")</f>
        <v/>
      </c>
      <c r="CF573" s="39" t="str">
        <f>IFERROR(proje!CQ68*100/proje!$I68,"")</f>
        <v/>
      </c>
      <c r="CG573" s="39" t="str">
        <f>IFERROR(proje!CR68*100/proje!$I68,"")</f>
        <v/>
      </c>
      <c r="CH573" s="39" t="str">
        <f>IFERROR(proje!CS68*100/proje!$I68,"")</f>
        <v/>
      </c>
      <c r="CI573" s="39" t="str">
        <f>IFERROR(proje!CT68*100/proje!$I68,"")</f>
        <v/>
      </c>
      <c r="CJ573" s="39" t="str">
        <f>IFERROR(proje!CU68*100/proje!$I68,"")</f>
        <v/>
      </c>
      <c r="CK573" s="39" t="str">
        <f>IFERROR(proje!CV68*100/proje!$I68,"")</f>
        <v/>
      </c>
      <c r="CL573" s="39" t="str">
        <f>IFERROR(proje!CW68*100/proje!$I68,"")</f>
        <v/>
      </c>
      <c r="CM573" s="39" t="str">
        <f>IFERROR(proje!CX68*100/proje!$I68,"")</f>
        <v/>
      </c>
      <c r="CN573" s="39" t="str">
        <f>IFERROR(proje!CY68*100/proje!$I68,"")</f>
        <v/>
      </c>
      <c r="CO573" s="39" t="str">
        <f>IFERROR(proje!CZ68*100/proje!$I68,"")</f>
        <v/>
      </c>
      <c r="CP573" s="39" t="str">
        <f>IFERROR(proje!DA68*100/proje!$I68,"")</f>
        <v/>
      </c>
      <c r="CQ573" s="39" t="str">
        <f>IFERROR(proje!DB68*100/proje!$I68,"")</f>
        <v/>
      </c>
      <c r="CR573" s="39" t="str">
        <f>IFERROR(proje!DC68*100/proje!$I68,"")</f>
        <v/>
      </c>
      <c r="CS573" s="39" t="str">
        <f>IFERROR(proje!DD68*100/proje!$I68,"")</f>
        <v/>
      </c>
      <c r="CT573" s="39" t="str">
        <f>IFERROR(proje!DE68*100/proje!$I68,"")</f>
        <v/>
      </c>
      <c r="CU573" s="39" t="str">
        <f>IFERROR(proje!DF68*100/proje!$I68,"")</f>
        <v/>
      </c>
      <c r="CV573" s="39" t="str">
        <f>IFERROR(proje!DG68*100/proje!$I68,"")</f>
        <v/>
      </c>
      <c r="CW573" s="36" t="str">
        <f>IFERROR(SUM(A573:CV573)/proje!$DH$103,"")</f>
        <v/>
      </c>
      <c r="CX573" s="14" t="str">
        <f>IF(COUNTA(proje!A68),proje!A68,"")</f>
        <v/>
      </c>
      <c r="CY573" s="14" t="str">
        <f>IF(COUNTA(proje!B68),proje!B68,"")</f>
        <v/>
      </c>
      <c r="CZ573" s="14" t="str">
        <f>IF(COUNTA(proje!C68),proje!C68,"")</f>
        <v/>
      </c>
      <c r="DA573" s="14" t="str">
        <f>IF(COUNTA(proje!D68),proje!D68,"")</f>
        <v/>
      </c>
      <c r="DB573" s="14" t="str">
        <f>IF(COUNTA(proje!E68),proje!E68,"")</f>
        <v/>
      </c>
      <c r="DC573" s="14" t="str">
        <f>IF(COUNTA(proje!F68),proje!F68,"")</f>
        <v/>
      </c>
      <c r="DD573" s="14" t="str">
        <f>IF(COUNTA(proje!G68),proje!G68,"")</f>
        <v/>
      </c>
      <c r="DE573" s="14" t="str">
        <f>IF(COUNTA(proje!H68),proje!H68,"")</f>
        <v/>
      </c>
    </row>
    <row r="574" spans="1:109" x14ac:dyDescent="0.2">
      <c r="A574" s="39" t="str">
        <f>IFERROR(proje!L69*100/proje!$I69,"")</f>
        <v/>
      </c>
      <c r="B574" s="39" t="str">
        <f>IFERROR(proje!M69*100/proje!$I69,"")</f>
        <v/>
      </c>
      <c r="C574" s="39" t="str">
        <f>IFERROR(proje!N69*100/proje!$I69,"")</f>
        <v/>
      </c>
      <c r="D574" s="39" t="str">
        <f>IFERROR(proje!O69*100/proje!$I69,"")</f>
        <v/>
      </c>
      <c r="E574" s="39" t="str">
        <f>IFERROR(proje!P69*100/proje!$I69,"")</f>
        <v/>
      </c>
      <c r="F574" s="39" t="str">
        <f>IFERROR(proje!Q69*100/proje!$I69,"")</f>
        <v/>
      </c>
      <c r="G574" s="39" t="str">
        <f>IFERROR(proje!R69*100/proje!$I69,"")</f>
        <v/>
      </c>
      <c r="H574" s="39" t="str">
        <f>IFERROR(proje!S69*100/proje!$I69,"")</f>
        <v/>
      </c>
      <c r="I574" s="39" t="str">
        <f>IFERROR(proje!T69*100/proje!$I69,"")</f>
        <v/>
      </c>
      <c r="J574" s="39" t="str">
        <f>IFERROR(proje!U69*100/proje!$I69,"")</f>
        <v/>
      </c>
      <c r="K574" s="39" t="str">
        <f>IFERROR(proje!V69*100/proje!$I69,"")</f>
        <v/>
      </c>
      <c r="L574" s="39" t="str">
        <f>IFERROR(proje!W69*100/proje!$I69,"")</f>
        <v/>
      </c>
      <c r="M574" s="39" t="str">
        <f>IFERROR(proje!X69*100/proje!$I69,"")</f>
        <v/>
      </c>
      <c r="N574" s="39" t="str">
        <f>IFERROR(proje!Y69*100/proje!$I69,"")</f>
        <v/>
      </c>
      <c r="O574" s="39" t="str">
        <f>IFERROR(proje!Z69*100/proje!$I69,"")</f>
        <v/>
      </c>
      <c r="P574" s="39" t="str">
        <f>IFERROR(proje!AA69*100/proje!$I69,"")</f>
        <v/>
      </c>
      <c r="Q574" s="39" t="str">
        <f>IFERROR(proje!AB69*100/proje!$I69,"")</f>
        <v/>
      </c>
      <c r="R574" s="39" t="str">
        <f>IFERROR(proje!AC69*100/proje!$I69,"")</f>
        <v/>
      </c>
      <c r="S574" s="39" t="str">
        <f>IFERROR(proje!AD69*100/proje!$I69,"")</f>
        <v/>
      </c>
      <c r="T574" s="39" t="str">
        <f>IFERROR(proje!AE69*100/proje!$I69,"")</f>
        <v/>
      </c>
      <c r="U574" s="39" t="str">
        <f>IFERROR(proje!AF69*100/proje!$I69,"")</f>
        <v/>
      </c>
      <c r="V574" s="39" t="str">
        <f>IFERROR(proje!AG69*100/proje!$I69,"")</f>
        <v/>
      </c>
      <c r="W574" s="39" t="str">
        <f>IFERROR(proje!AH69*100/proje!$I69,"")</f>
        <v/>
      </c>
      <c r="X574" s="39" t="str">
        <f>IFERROR(proje!AI69*100/proje!$I69,"")</f>
        <v/>
      </c>
      <c r="Y574" s="39" t="str">
        <f>IFERROR(proje!AJ69*100/proje!$I69,"")</f>
        <v/>
      </c>
      <c r="Z574" s="39" t="str">
        <f>IFERROR(proje!AK69*100/proje!$I69,"")</f>
        <v/>
      </c>
      <c r="AA574" s="39" t="str">
        <f>IFERROR(proje!AL69*100/proje!$I69,"")</f>
        <v/>
      </c>
      <c r="AB574" s="39" t="str">
        <f>IFERROR(proje!AM69*100/proje!$I69,"")</f>
        <v/>
      </c>
      <c r="AC574" s="39" t="str">
        <f>IFERROR(proje!AN69*100/proje!$I69,"")</f>
        <v/>
      </c>
      <c r="AD574" s="39" t="str">
        <f>IFERROR(proje!AO69*100/proje!$I69,"")</f>
        <v/>
      </c>
      <c r="AE574" s="39" t="str">
        <f>IFERROR(proje!AP69*100/proje!$I69,"")</f>
        <v/>
      </c>
      <c r="AF574" s="39" t="str">
        <f>IFERROR(proje!AQ69*100/proje!$I69,"")</f>
        <v/>
      </c>
      <c r="AG574" s="39" t="str">
        <f>IFERROR(proje!AR69*100/proje!$I69,"")</f>
        <v/>
      </c>
      <c r="AH574" s="39" t="str">
        <f>IFERROR(proje!AS69*100/proje!$I69,"")</f>
        <v/>
      </c>
      <c r="AI574" s="39" t="str">
        <f>IFERROR(proje!AT69*100/proje!$I69,"")</f>
        <v/>
      </c>
      <c r="AJ574" s="39" t="str">
        <f>IFERROR(proje!AU69*100/proje!$I69,"")</f>
        <v/>
      </c>
      <c r="AK574" s="39" t="str">
        <f>IFERROR(proje!AV69*100/proje!$I69,"")</f>
        <v/>
      </c>
      <c r="AL574" s="39" t="str">
        <f>IFERROR(proje!AW69*100/proje!$I69,"")</f>
        <v/>
      </c>
      <c r="AM574" s="39" t="str">
        <f>IFERROR(proje!AX69*100/proje!$I69,"")</f>
        <v/>
      </c>
      <c r="AN574" s="39" t="str">
        <f>IFERROR(proje!AY69*100/proje!$I69,"")</f>
        <v/>
      </c>
      <c r="AO574" s="39" t="str">
        <f>IFERROR(proje!AZ69*100/proje!$I69,"")</f>
        <v/>
      </c>
      <c r="AP574" s="39" t="str">
        <f>IFERROR(proje!BA69*100/proje!$I69,"")</f>
        <v/>
      </c>
      <c r="AQ574" s="39" t="str">
        <f>IFERROR(proje!BB69*100/proje!$I69,"")</f>
        <v/>
      </c>
      <c r="AR574" s="39" t="str">
        <f>IFERROR(proje!BC69*100/proje!$I69,"")</f>
        <v/>
      </c>
      <c r="AS574" s="39" t="str">
        <f>IFERROR(proje!BD69*100/proje!$I69,"")</f>
        <v/>
      </c>
      <c r="AT574" s="39" t="str">
        <f>IFERROR(proje!BE69*100/proje!$I69,"")</f>
        <v/>
      </c>
      <c r="AU574" s="39" t="str">
        <f>IFERROR(proje!BF69*100/proje!$I69,"")</f>
        <v/>
      </c>
      <c r="AV574" s="39" t="str">
        <f>IFERROR(proje!BG69*100/proje!$I69,"")</f>
        <v/>
      </c>
      <c r="AW574" s="39" t="str">
        <f>IFERROR(proje!BH69*100/proje!$I69,"")</f>
        <v/>
      </c>
      <c r="AX574" s="39" t="str">
        <f>IFERROR(proje!BI69*100/proje!$I69,"")</f>
        <v/>
      </c>
      <c r="AY574" s="39" t="str">
        <f>IFERROR(proje!BJ69*100/proje!$I69,"")</f>
        <v/>
      </c>
      <c r="AZ574" s="39" t="str">
        <f>IFERROR(proje!BK69*100/proje!$I69,"")</f>
        <v/>
      </c>
      <c r="BA574" s="39" t="str">
        <f>IFERROR(proje!BL69*100/proje!$I69,"")</f>
        <v/>
      </c>
      <c r="BB574" s="39" t="str">
        <f>IFERROR(proje!BM69*100/proje!$I69,"")</f>
        <v/>
      </c>
      <c r="BC574" s="39" t="str">
        <f>IFERROR(proje!BN69*100/proje!$I69,"")</f>
        <v/>
      </c>
      <c r="BD574" s="39" t="str">
        <f>IFERROR(proje!BO69*100/proje!$I69,"")</f>
        <v/>
      </c>
      <c r="BE574" s="39" t="str">
        <f>IFERROR(proje!BP69*100/proje!$I69,"")</f>
        <v/>
      </c>
      <c r="BF574" s="39" t="str">
        <f>IFERROR(proje!BQ69*100/proje!$I69,"")</f>
        <v/>
      </c>
      <c r="BG574" s="39" t="str">
        <f>IFERROR(proje!BR69*100/proje!$I69,"")</f>
        <v/>
      </c>
      <c r="BH574" s="39" t="str">
        <f>IFERROR(proje!BS69*100/proje!$I69,"")</f>
        <v/>
      </c>
      <c r="BI574" s="39" t="str">
        <f>IFERROR(proje!BT69*100/proje!$I69,"")</f>
        <v/>
      </c>
      <c r="BJ574" s="39" t="str">
        <f>IFERROR(proje!BU69*100/proje!$I69,"")</f>
        <v/>
      </c>
      <c r="BK574" s="39" t="str">
        <f>IFERROR(proje!BV69*100/proje!$I69,"")</f>
        <v/>
      </c>
      <c r="BL574" s="39" t="str">
        <f>IFERROR(proje!BW69*100/proje!$I69,"")</f>
        <v/>
      </c>
      <c r="BM574" s="39" t="str">
        <f>IFERROR(proje!BX69*100/proje!$I69,"")</f>
        <v/>
      </c>
      <c r="BN574" s="39" t="str">
        <f>IFERROR(proje!BY69*100/proje!$I69,"")</f>
        <v/>
      </c>
      <c r="BO574" s="39" t="str">
        <f>IFERROR(proje!BZ69*100/proje!$I69,"")</f>
        <v/>
      </c>
      <c r="BP574" s="39" t="str">
        <f>IFERROR(proje!CA69*100/proje!$I69,"")</f>
        <v/>
      </c>
      <c r="BQ574" s="39" t="str">
        <f>IFERROR(proje!CB69*100/proje!$I69,"")</f>
        <v/>
      </c>
      <c r="BR574" s="39" t="str">
        <f>IFERROR(proje!CC69*100/proje!$I69,"")</f>
        <v/>
      </c>
      <c r="BS574" s="39" t="str">
        <f>IFERROR(proje!CD69*100/proje!$I69,"")</f>
        <v/>
      </c>
      <c r="BT574" s="39" t="str">
        <f>IFERROR(proje!CE69*100/proje!$I69,"")</f>
        <v/>
      </c>
      <c r="BU574" s="39" t="str">
        <f>IFERROR(proje!CF69*100/proje!$I69,"")</f>
        <v/>
      </c>
      <c r="BV574" s="39" t="str">
        <f>IFERROR(proje!CG69*100/proje!$I69,"")</f>
        <v/>
      </c>
      <c r="BW574" s="39" t="str">
        <f>IFERROR(proje!CH69*100/proje!$I69,"")</f>
        <v/>
      </c>
      <c r="BX574" s="39" t="str">
        <f>IFERROR(proje!CI69*100/proje!$I69,"")</f>
        <v/>
      </c>
      <c r="BY574" s="39" t="str">
        <f>IFERROR(proje!CJ69*100/proje!$I69,"")</f>
        <v/>
      </c>
      <c r="BZ574" s="39" t="str">
        <f>IFERROR(proje!CK69*100/proje!$I69,"")</f>
        <v/>
      </c>
      <c r="CA574" s="39" t="str">
        <f>IFERROR(proje!CL69*100/proje!$I69,"")</f>
        <v/>
      </c>
      <c r="CB574" s="39" t="str">
        <f>IFERROR(proje!CM69*100/proje!$I69,"")</f>
        <v/>
      </c>
      <c r="CC574" s="39" t="str">
        <f>IFERROR(proje!CN69*100/proje!$I69,"")</f>
        <v/>
      </c>
      <c r="CD574" s="39" t="str">
        <f>IFERROR(proje!CO69*100/proje!$I69,"")</f>
        <v/>
      </c>
      <c r="CE574" s="39" t="str">
        <f>IFERROR(proje!CP69*100/proje!$I69,"")</f>
        <v/>
      </c>
      <c r="CF574" s="39" t="str">
        <f>IFERROR(proje!CQ69*100/proje!$I69,"")</f>
        <v/>
      </c>
      <c r="CG574" s="39" t="str">
        <f>IFERROR(proje!CR69*100/proje!$I69,"")</f>
        <v/>
      </c>
      <c r="CH574" s="39" t="str">
        <f>IFERROR(proje!CS69*100/proje!$I69,"")</f>
        <v/>
      </c>
      <c r="CI574" s="39" t="str">
        <f>IFERROR(proje!CT69*100/proje!$I69,"")</f>
        <v/>
      </c>
      <c r="CJ574" s="39" t="str">
        <f>IFERROR(proje!CU69*100/proje!$I69,"")</f>
        <v/>
      </c>
      <c r="CK574" s="39" t="str">
        <f>IFERROR(proje!CV69*100/proje!$I69,"")</f>
        <v/>
      </c>
      <c r="CL574" s="39" t="str">
        <f>IFERROR(proje!CW69*100/proje!$I69,"")</f>
        <v/>
      </c>
      <c r="CM574" s="39" t="str">
        <f>IFERROR(proje!CX69*100/proje!$I69,"")</f>
        <v/>
      </c>
      <c r="CN574" s="39" t="str">
        <f>IFERROR(proje!CY69*100/proje!$I69,"")</f>
        <v/>
      </c>
      <c r="CO574" s="39" t="str">
        <f>IFERROR(proje!CZ69*100/proje!$I69,"")</f>
        <v/>
      </c>
      <c r="CP574" s="39" t="str">
        <f>IFERROR(proje!DA69*100/proje!$I69,"")</f>
        <v/>
      </c>
      <c r="CQ574" s="39" t="str">
        <f>IFERROR(proje!DB69*100/proje!$I69,"")</f>
        <v/>
      </c>
      <c r="CR574" s="39" t="str">
        <f>IFERROR(proje!DC69*100/proje!$I69,"")</f>
        <v/>
      </c>
      <c r="CS574" s="39" t="str">
        <f>IFERROR(proje!DD69*100/proje!$I69,"")</f>
        <v/>
      </c>
      <c r="CT574" s="39" t="str">
        <f>IFERROR(proje!DE69*100/proje!$I69,"")</f>
        <v/>
      </c>
      <c r="CU574" s="39" t="str">
        <f>IFERROR(proje!DF69*100/proje!$I69,"")</f>
        <v/>
      </c>
      <c r="CV574" s="39" t="str">
        <f>IFERROR(proje!DG69*100/proje!$I69,"")</f>
        <v/>
      </c>
      <c r="CW574" s="36" t="str">
        <f>IFERROR(SUM(A574:CV574)/proje!$DH$103,"")</f>
        <v/>
      </c>
      <c r="CX574" s="14" t="str">
        <f>IF(COUNTA(proje!A69),proje!A69,"")</f>
        <v/>
      </c>
      <c r="CY574" s="14" t="str">
        <f>IF(COUNTA(proje!B69),proje!B69,"")</f>
        <v/>
      </c>
      <c r="CZ574" s="14" t="str">
        <f>IF(COUNTA(proje!C69),proje!C69,"")</f>
        <v/>
      </c>
      <c r="DA574" s="14" t="str">
        <f>IF(COUNTA(proje!D69),proje!D69,"")</f>
        <v/>
      </c>
      <c r="DB574" s="14" t="str">
        <f>IF(COUNTA(proje!E69),proje!E69,"")</f>
        <v/>
      </c>
      <c r="DC574" s="14" t="str">
        <f>IF(COUNTA(proje!F69),proje!F69,"")</f>
        <v/>
      </c>
      <c r="DD574" s="14" t="str">
        <f>IF(COUNTA(proje!G69),proje!G69,"")</f>
        <v/>
      </c>
      <c r="DE574" s="14" t="str">
        <f>IF(COUNTA(proje!H69),proje!H69,"")</f>
        <v/>
      </c>
    </row>
    <row r="575" spans="1:109" x14ac:dyDescent="0.2">
      <c r="A575" s="39" t="str">
        <f>IFERROR(proje!L70*100/proje!$I70,"")</f>
        <v/>
      </c>
      <c r="B575" s="39" t="str">
        <f>IFERROR(proje!M70*100/proje!$I70,"")</f>
        <v/>
      </c>
      <c r="C575" s="39" t="str">
        <f>IFERROR(proje!N70*100/proje!$I70,"")</f>
        <v/>
      </c>
      <c r="D575" s="39" t="str">
        <f>IFERROR(proje!O70*100/proje!$I70,"")</f>
        <v/>
      </c>
      <c r="E575" s="39" t="str">
        <f>IFERROR(proje!P70*100/proje!$I70,"")</f>
        <v/>
      </c>
      <c r="F575" s="39" t="str">
        <f>IFERROR(proje!Q70*100/proje!$I70,"")</f>
        <v/>
      </c>
      <c r="G575" s="39" t="str">
        <f>IFERROR(proje!R70*100/proje!$I70,"")</f>
        <v/>
      </c>
      <c r="H575" s="39" t="str">
        <f>IFERROR(proje!S70*100/proje!$I70,"")</f>
        <v/>
      </c>
      <c r="I575" s="39" t="str">
        <f>IFERROR(proje!T70*100/proje!$I70,"")</f>
        <v/>
      </c>
      <c r="J575" s="39" t="str">
        <f>IFERROR(proje!U70*100/proje!$I70,"")</f>
        <v/>
      </c>
      <c r="K575" s="39" t="str">
        <f>IFERROR(proje!V70*100/proje!$I70,"")</f>
        <v/>
      </c>
      <c r="L575" s="39" t="str">
        <f>IFERROR(proje!W70*100/proje!$I70,"")</f>
        <v/>
      </c>
      <c r="M575" s="39" t="str">
        <f>IFERROR(proje!X70*100/proje!$I70,"")</f>
        <v/>
      </c>
      <c r="N575" s="39" t="str">
        <f>IFERROR(proje!Y70*100/proje!$I70,"")</f>
        <v/>
      </c>
      <c r="O575" s="39" t="str">
        <f>IFERROR(proje!Z70*100/proje!$I70,"")</f>
        <v/>
      </c>
      <c r="P575" s="39" t="str">
        <f>IFERROR(proje!AA70*100/proje!$I70,"")</f>
        <v/>
      </c>
      <c r="Q575" s="39" t="str">
        <f>IFERROR(proje!AB70*100/proje!$I70,"")</f>
        <v/>
      </c>
      <c r="R575" s="39" t="str">
        <f>IFERROR(proje!AC70*100/proje!$I70,"")</f>
        <v/>
      </c>
      <c r="S575" s="39" t="str">
        <f>IFERROR(proje!AD70*100/proje!$I70,"")</f>
        <v/>
      </c>
      <c r="T575" s="39" t="str">
        <f>IFERROR(proje!AE70*100/proje!$I70,"")</f>
        <v/>
      </c>
      <c r="U575" s="39" t="str">
        <f>IFERROR(proje!AF70*100/proje!$I70,"")</f>
        <v/>
      </c>
      <c r="V575" s="39" t="str">
        <f>IFERROR(proje!AG70*100/proje!$I70,"")</f>
        <v/>
      </c>
      <c r="W575" s="39" t="str">
        <f>IFERROR(proje!AH70*100/proje!$I70,"")</f>
        <v/>
      </c>
      <c r="X575" s="39" t="str">
        <f>IFERROR(proje!AI70*100/proje!$I70,"")</f>
        <v/>
      </c>
      <c r="Y575" s="39" t="str">
        <f>IFERROR(proje!AJ70*100/proje!$I70,"")</f>
        <v/>
      </c>
      <c r="Z575" s="39" t="str">
        <f>IFERROR(proje!AK70*100/proje!$I70,"")</f>
        <v/>
      </c>
      <c r="AA575" s="39" t="str">
        <f>IFERROR(proje!AL70*100/proje!$I70,"")</f>
        <v/>
      </c>
      <c r="AB575" s="39" t="str">
        <f>IFERROR(proje!AM70*100/proje!$I70,"")</f>
        <v/>
      </c>
      <c r="AC575" s="39" t="str">
        <f>IFERROR(proje!AN70*100/proje!$I70,"")</f>
        <v/>
      </c>
      <c r="AD575" s="39" t="str">
        <f>IFERROR(proje!AO70*100/proje!$I70,"")</f>
        <v/>
      </c>
      <c r="AE575" s="39" t="str">
        <f>IFERROR(proje!AP70*100/proje!$I70,"")</f>
        <v/>
      </c>
      <c r="AF575" s="39" t="str">
        <f>IFERROR(proje!AQ70*100/proje!$I70,"")</f>
        <v/>
      </c>
      <c r="AG575" s="39" t="str">
        <f>IFERROR(proje!AR70*100/proje!$I70,"")</f>
        <v/>
      </c>
      <c r="AH575" s="39" t="str">
        <f>IFERROR(proje!AS70*100/proje!$I70,"")</f>
        <v/>
      </c>
      <c r="AI575" s="39" t="str">
        <f>IFERROR(proje!AT70*100/proje!$I70,"")</f>
        <v/>
      </c>
      <c r="AJ575" s="39" t="str">
        <f>IFERROR(proje!AU70*100/proje!$I70,"")</f>
        <v/>
      </c>
      <c r="AK575" s="39" t="str">
        <f>IFERROR(proje!AV70*100/proje!$I70,"")</f>
        <v/>
      </c>
      <c r="AL575" s="39" t="str">
        <f>IFERROR(proje!AW70*100/proje!$I70,"")</f>
        <v/>
      </c>
      <c r="AM575" s="39" t="str">
        <f>IFERROR(proje!AX70*100/proje!$I70,"")</f>
        <v/>
      </c>
      <c r="AN575" s="39" t="str">
        <f>IFERROR(proje!AY70*100/proje!$I70,"")</f>
        <v/>
      </c>
      <c r="AO575" s="39" t="str">
        <f>IFERROR(proje!AZ70*100/proje!$I70,"")</f>
        <v/>
      </c>
      <c r="AP575" s="39" t="str">
        <f>IFERROR(proje!BA70*100/proje!$I70,"")</f>
        <v/>
      </c>
      <c r="AQ575" s="39" t="str">
        <f>IFERROR(proje!BB70*100/proje!$I70,"")</f>
        <v/>
      </c>
      <c r="AR575" s="39" t="str">
        <f>IFERROR(proje!BC70*100/proje!$I70,"")</f>
        <v/>
      </c>
      <c r="AS575" s="39" t="str">
        <f>IFERROR(proje!BD70*100/proje!$I70,"")</f>
        <v/>
      </c>
      <c r="AT575" s="39" t="str">
        <f>IFERROR(proje!BE70*100/proje!$I70,"")</f>
        <v/>
      </c>
      <c r="AU575" s="39" t="str">
        <f>IFERROR(proje!BF70*100/proje!$I70,"")</f>
        <v/>
      </c>
      <c r="AV575" s="39" t="str">
        <f>IFERROR(proje!BG70*100/proje!$I70,"")</f>
        <v/>
      </c>
      <c r="AW575" s="39" t="str">
        <f>IFERROR(proje!BH70*100/proje!$I70,"")</f>
        <v/>
      </c>
      <c r="AX575" s="39" t="str">
        <f>IFERROR(proje!BI70*100/proje!$I70,"")</f>
        <v/>
      </c>
      <c r="AY575" s="39" t="str">
        <f>IFERROR(proje!BJ70*100/proje!$I70,"")</f>
        <v/>
      </c>
      <c r="AZ575" s="39" t="str">
        <f>IFERROR(proje!BK70*100/proje!$I70,"")</f>
        <v/>
      </c>
      <c r="BA575" s="39" t="str">
        <f>IFERROR(proje!BL70*100/proje!$I70,"")</f>
        <v/>
      </c>
      <c r="BB575" s="39" t="str">
        <f>IFERROR(proje!BM70*100/proje!$I70,"")</f>
        <v/>
      </c>
      <c r="BC575" s="39" t="str">
        <f>IFERROR(proje!BN70*100/proje!$I70,"")</f>
        <v/>
      </c>
      <c r="BD575" s="39" t="str">
        <f>IFERROR(proje!BO70*100/proje!$I70,"")</f>
        <v/>
      </c>
      <c r="BE575" s="39" t="str">
        <f>IFERROR(proje!BP70*100/proje!$I70,"")</f>
        <v/>
      </c>
      <c r="BF575" s="39" t="str">
        <f>IFERROR(proje!BQ70*100/proje!$I70,"")</f>
        <v/>
      </c>
      <c r="BG575" s="39" t="str">
        <f>IFERROR(proje!BR70*100/proje!$I70,"")</f>
        <v/>
      </c>
      <c r="BH575" s="39" t="str">
        <f>IFERROR(proje!BS70*100/proje!$I70,"")</f>
        <v/>
      </c>
      <c r="BI575" s="39" t="str">
        <f>IFERROR(proje!BT70*100/proje!$I70,"")</f>
        <v/>
      </c>
      <c r="BJ575" s="39" t="str">
        <f>IFERROR(proje!BU70*100/proje!$I70,"")</f>
        <v/>
      </c>
      <c r="BK575" s="39" t="str">
        <f>IFERROR(proje!BV70*100/proje!$I70,"")</f>
        <v/>
      </c>
      <c r="BL575" s="39" t="str">
        <f>IFERROR(proje!BW70*100/proje!$I70,"")</f>
        <v/>
      </c>
      <c r="BM575" s="39" t="str">
        <f>IFERROR(proje!BX70*100/proje!$I70,"")</f>
        <v/>
      </c>
      <c r="BN575" s="39" t="str">
        <f>IFERROR(proje!BY70*100/proje!$I70,"")</f>
        <v/>
      </c>
      <c r="BO575" s="39" t="str">
        <f>IFERROR(proje!BZ70*100/proje!$I70,"")</f>
        <v/>
      </c>
      <c r="BP575" s="39" t="str">
        <f>IFERROR(proje!CA70*100/proje!$I70,"")</f>
        <v/>
      </c>
      <c r="BQ575" s="39" t="str">
        <f>IFERROR(proje!CB70*100/proje!$I70,"")</f>
        <v/>
      </c>
      <c r="BR575" s="39" t="str">
        <f>IFERROR(proje!CC70*100/proje!$I70,"")</f>
        <v/>
      </c>
      <c r="BS575" s="39" t="str">
        <f>IFERROR(proje!CD70*100/proje!$I70,"")</f>
        <v/>
      </c>
      <c r="BT575" s="39" t="str">
        <f>IFERROR(proje!CE70*100/proje!$I70,"")</f>
        <v/>
      </c>
      <c r="BU575" s="39" t="str">
        <f>IFERROR(proje!CF70*100/proje!$I70,"")</f>
        <v/>
      </c>
      <c r="BV575" s="39" t="str">
        <f>IFERROR(proje!CG70*100/proje!$I70,"")</f>
        <v/>
      </c>
      <c r="BW575" s="39" t="str">
        <f>IFERROR(proje!CH70*100/proje!$I70,"")</f>
        <v/>
      </c>
      <c r="BX575" s="39" t="str">
        <f>IFERROR(proje!CI70*100/proje!$I70,"")</f>
        <v/>
      </c>
      <c r="BY575" s="39" t="str">
        <f>IFERROR(proje!CJ70*100/proje!$I70,"")</f>
        <v/>
      </c>
      <c r="BZ575" s="39" t="str">
        <f>IFERROR(proje!CK70*100/proje!$I70,"")</f>
        <v/>
      </c>
      <c r="CA575" s="39" t="str">
        <f>IFERROR(proje!CL70*100/proje!$I70,"")</f>
        <v/>
      </c>
      <c r="CB575" s="39" t="str">
        <f>IFERROR(proje!CM70*100/proje!$I70,"")</f>
        <v/>
      </c>
      <c r="CC575" s="39" t="str">
        <f>IFERROR(proje!CN70*100/proje!$I70,"")</f>
        <v/>
      </c>
      <c r="CD575" s="39" t="str">
        <f>IFERROR(proje!CO70*100/proje!$I70,"")</f>
        <v/>
      </c>
      <c r="CE575" s="39" t="str">
        <f>IFERROR(proje!CP70*100/proje!$I70,"")</f>
        <v/>
      </c>
      <c r="CF575" s="39" t="str">
        <f>IFERROR(proje!CQ70*100/proje!$I70,"")</f>
        <v/>
      </c>
      <c r="CG575" s="39" t="str">
        <f>IFERROR(proje!CR70*100/proje!$I70,"")</f>
        <v/>
      </c>
      <c r="CH575" s="39" t="str">
        <f>IFERROR(proje!CS70*100/proje!$I70,"")</f>
        <v/>
      </c>
      <c r="CI575" s="39" t="str">
        <f>IFERROR(proje!CT70*100/proje!$I70,"")</f>
        <v/>
      </c>
      <c r="CJ575" s="39" t="str">
        <f>IFERROR(proje!CU70*100/proje!$I70,"")</f>
        <v/>
      </c>
      <c r="CK575" s="39" t="str">
        <f>IFERROR(proje!CV70*100/proje!$I70,"")</f>
        <v/>
      </c>
      <c r="CL575" s="39" t="str">
        <f>IFERROR(proje!CW70*100/proje!$I70,"")</f>
        <v/>
      </c>
      <c r="CM575" s="39" t="str">
        <f>IFERROR(proje!CX70*100/proje!$I70,"")</f>
        <v/>
      </c>
      <c r="CN575" s="39" t="str">
        <f>IFERROR(proje!CY70*100/proje!$I70,"")</f>
        <v/>
      </c>
      <c r="CO575" s="39" t="str">
        <f>IFERROR(proje!CZ70*100/proje!$I70,"")</f>
        <v/>
      </c>
      <c r="CP575" s="39" t="str">
        <f>IFERROR(proje!DA70*100/proje!$I70,"")</f>
        <v/>
      </c>
      <c r="CQ575" s="39" t="str">
        <f>IFERROR(proje!DB70*100/proje!$I70,"")</f>
        <v/>
      </c>
      <c r="CR575" s="39" t="str">
        <f>IFERROR(proje!DC70*100/proje!$I70,"")</f>
        <v/>
      </c>
      <c r="CS575" s="39" t="str">
        <f>IFERROR(proje!DD70*100/proje!$I70,"")</f>
        <v/>
      </c>
      <c r="CT575" s="39" t="str">
        <f>IFERROR(proje!DE70*100/proje!$I70,"")</f>
        <v/>
      </c>
      <c r="CU575" s="39" t="str">
        <f>IFERROR(proje!DF70*100/proje!$I70,"")</f>
        <v/>
      </c>
      <c r="CV575" s="39" t="str">
        <f>IFERROR(proje!DG70*100/proje!$I70,"")</f>
        <v/>
      </c>
      <c r="CW575" s="36" t="str">
        <f>IFERROR(SUM(A575:CV575)/proje!$DH$103,"")</f>
        <v/>
      </c>
      <c r="CX575" s="14" t="str">
        <f>IF(COUNTA(proje!A70),proje!A70,"")</f>
        <v/>
      </c>
      <c r="CY575" s="14" t="str">
        <f>IF(COUNTA(proje!B70),proje!B70,"")</f>
        <v/>
      </c>
      <c r="CZ575" s="14" t="str">
        <f>IF(COUNTA(proje!C70),proje!C70,"")</f>
        <v/>
      </c>
      <c r="DA575" s="14" t="str">
        <f>IF(COUNTA(proje!D70),proje!D70,"")</f>
        <v/>
      </c>
      <c r="DB575" s="14" t="str">
        <f>IF(COUNTA(proje!E70),proje!E70,"")</f>
        <v/>
      </c>
      <c r="DC575" s="14" t="str">
        <f>IF(COUNTA(proje!F70),proje!F70,"")</f>
        <v/>
      </c>
      <c r="DD575" s="14" t="str">
        <f>IF(COUNTA(proje!G70),proje!G70,"")</f>
        <v/>
      </c>
      <c r="DE575" s="14" t="str">
        <f>IF(COUNTA(proje!H70),proje!H70,"")</f>
        <v/>
      </c>
    </row>
    <row r="576" spans="1:109" x14ac:dyDescent="0.2">
      <c r="A576" s="39" t="str">
        <f>IFERROR(proje!L71*100/proje!$I71,"")</f>
        <v/>
      </c>
      <c r="B576" s="39" t="str">
        <f>IFERROR(proje!M71*100/proje!$I71,"")</f>
        <v/>
      </c>
      <c r="C576" s="39" t="str">
        <f>IFERROR(proje!N71*100/proje!$I71,"")</f>
        <v/>
      </c>
      <c r="D576" s="39" t="str">
        <f>IFERROR(proje!O71*100/proje!$I71,"")</f>
        <v/>
      </c>
      <c r="E576" s="39" t="str">
        <f>IFERROR(proje!P71*100/proje!$I71,"")</f>
        <v/>
      </c>
      <c r="F576" s="39" t="str">
        <f>IFERROR(proje!Q71*100/proje!$I71,"")</f>
        <v/>
      </c>
      <c r="G576" s="39" t="str">
        <f>IFERROR(proje!R71*100/proje!$I71,"")</f>
        <v/>
      </c>
      <c r="H576" s="39" t="str">
        <f>IFERROR(proje!S71*100/proje!$I71,"")</f>
        <v/>
      </c>
      <c r="I576" s="39" t="str">
        <f>IFERROR(proje!T71*100/proje!$I71,"")</f>
        <v/>
      </c>
      <c r="J576" s="39" t="str">
        <f>IFERROR(proje!U71*100/proje!$I71,"")</f>
        <v/>
      </c>
      <c r="K576" s="39" t="str">
        <f>IFERROR(proje!V71*100/proje!$I71,"")</f>
        <v/>
      </c>
      <c r="L576" s="39" t="str">
        <f>IFERROR(proje!W71*100/proje!$I71,"")</f>
        <v/>
      </c>
      <c r="M576" s="39" t="str">
        <f>IFERROR(proje!X71*100/proje!$I71,"")</f>
        <v/>
      </c>
      <c r="N576" s="39" t="str">
        <f>IFERROR(proje!Y71*100/proje!$I71,"")</f>
        <v/>
      </c>
      <c r="O576" s="39" t="str">
        <f>IFERROR(proje!Z71*100/proje!$I71,"")</f>
        <v/>
      </c>
      <c r="P576" s="39" t="str">
        <f>IFERROR(proje!AA71*100/proje!$I71,"")</f>
        <v/>
      </c>
      <c r="Q576" s="39" t="str">
        <f>IFERROR(proje!AB71*100/proje!$I71,"")</f>
        <v/>
      </c>
      <c r="R576" s="39" t="str">
        <f>IFERROR(proje!AC71*100/proje!$I71,"")</f>
        <v/>
      </c>
      <c r="S576" s="39" t="str">
        <f>IFERROR(proje!AD71*100/proje!$I71,"")</f>
        <v/>
      </c>
      <c r="T576" s="39" t="str">
        <f>IFERROR(proje!AE71*100/proje!$I71,"")</f>
        <v/>
      </c>
      <c r="U576" s="39" t="str">
        <f>IFERROR(proje!AF71*100/proje!$I71,"")</f>
        <v/>
      </c>
      <c r="V576" s="39" t="str">
        <f>IFERROR(proje!AG71*100/proje!$I71,"")</f>
        <v/>
      </c>
      <c r="W576" s="39" t="str">
        <f>IFERROR(proje!AH71*100/proje!$I71,"")</f>
        <v/>
      </c>
      <c r="X576" s="39" t="str">
        <f>IFERROR(proje!AI71*100/proje!$I71,"")</f>
        <v/>
      </c>
      <c r="Y576" s="39" t="str">
        <f>IFERROR(proje!AJ71*100/proje!$I71,"")</f>
        <v/>
      </c>
      <c r="Z576" s="39" t="str">
        <f>IFERROR(proje!AK71*100/proje!$I71,"")</f>
        <v/>
      </c>
      <c r="AA576" s="39" t="str">
        <f>IFERROR(proje!AL71*100/proje!$I71,"")</f>
        <v/>
      </c>
      <c r="AB576" s="39" t="str">
        <f>IFERROR(proje!AM71*100/proje!$I71,"")</f>
        <v/>
      </c>
      <c r="AC576" s="39" t="str">
        <f>IFERROR(proje!AN71*100/proje!$I71,"")</f>
        <v/>
      </c>
      <c r="AD576" s="39" t="str">
        <f>IFERROR(proje!AO71*100/proje!$I71,"")</f>
        <v/>
      </c>
      <c r="AE576" s="39" t="str">
        <f>IFERROR(proje!AP71*100/proje!$I71,"")</f>
        <v/>
      </c>
      <c r="AF576" s="39" t="str">
        <f>IFERROR(proje!AQ71*100/proje!$I71,"")</f>
        <v/>
      </c>
      <c r="AG576" s="39" t="str">
        <f>IFERROR(proje!AR71*100/proje!$I71,"")</f>
        <v/>
      </c>
      <c r="AH576" s="39" t="str">
        <f>IFERROR(proje!AS71*100/proje!$I71,"")</f>
        <v/>
      </c>
      <c r="AI576" s="39" t="str">
        <f>IFERROR(proje!AT71*100/proje!$I71,"")</f>
        <v/>
      </c>
      <c r="AJ576" s="39" t="str">
        <f>IFERROR(proje!AU71*100/proje!$I71,"")</f>
        <v/>
      </c>
      <c r="AK576" s="39" t="str">
        <f>IFERROR(proje!AV71*100/proje!$I71,"")</f>
        <v/>
      </c>
      <c r="AL576" s="39" t="str">
        <f>IFERROR(proje!AW71*100/proje!$I71,"")</f>
        <v/>
      </c>
      <c r="AM576" s="39" t="str">
        <f>IFERROR(proje!AX71*100/proje!$I71,"")</f>
        <v/>
      </c>
      <c r="AN576" s="39" t="str">
        <f>IFERROR(proje!AY71*100/proje!$I71,"")</f>
        <v/>
      </c>
      <c r="AO576" s="39" t="str">
        <f>IFERROR(proje!AZ71*100/proje!$I71,"")</f>
        <v/>
      </c>
      <c r="AP576" s="39" t="str">
        <f>IFERROR(proje!BA71*100/proje!$I71,"")</f>
        <v/>
      </c>
      <c r="AQ576" s="39" t="str">
        <f>IFERROR(proje!BB71*100/proje!$I71,"")</f>
        <v/>
      </c>
      <c r="AR576" s="39" t="str">
        <f>IFERROR(proje!BC71*100/proje!$I71,"")</f>
        <v/>
      </c>
      <c r="AS576" s="39" t="str">
        <f>IFERROR(proje!BD71*100/proje!$I71,"")</f>
        <v/>
      </c>
      <c r="AT576" s="39" t="str">
        <f>IFERROR(proje!BE71*100/proje!$I71,"")</f>
        <v/>
      </c>
      <c r="AU576" s="39" t="str">
        <f>IFERROR(proje!BF71*100/proje!$I71,"")</f>
        <v/>
      </c>
      <c r="AV576" s="39" t="str">
        <f>IFERROR(proje!BG71*100/proje!$I71,"")</f>
        <v/>
      </c>
      <c r="AW576" s="39" t="str">
        <f>IFERROR(proje!BH71*100/proje!$I71,"")</f>
        <v/>
      </c>
      <c r="AX576" s="39" t="str">
        <f>IFERROR(proje!BI71*100/proje!$I71,"")</f>
        <v/>
      </c>
      <c r="AY576" s="39" t="str">
        <f>IFERROR(proje!BJ71*100/proje!$I71,"")</f>
        <v/>
      </c>
      <c r="AZ576" s="39" t="str">
        <f>IFERROR(proje!BK71*100/proje!$I71,"")</f>
        <v/>
      </c>
      <c r="BA576" s="39" t="str">
        <f>IFERROR(proje!BL71*100/proje!$I71,"")</f>
        <v/>
      </c>
      <c r="BB576" s="39" t="str">
        <f>IFERROR(proje!BM71*100/proje!$I71,"")</f>
        <v/>
      </c>
      <c r="BC576" s="39" t="str">
        <f>IFERROR(proje!BN71*100/proje!$I71,"")</f>
        <v/>
      </c>
      <c r="BD576" s="39" t="str">
        <f>IFERROR(proje!BO71*100/proje!$I71,"")</f>
        <v/>
      </c>
      <c r="BE576" s="39" t="str">
        <f>IFERROR(proje!BP71*100/proje!$I71,"")</f>
        <v/>
      </c>
      <c r="BF576" s="39" t="str">
        <f>IFERROR(proje!BQ71*100/proje!$I71,"")</f>
        <v/>
      </c>
      <c r="BG576" s="39" t="str">
        <f>IFERROR(proje!BR71*100/proje!$I71,"")</f>
        <v/>
      </c>
      <c r="BH576" s="39" t="str">
        <f>IFERROR(proje!BS71*100/proje!$I71,"")</f>
        <v/>
      </c>
      <c r="BI576" s="39" t="str">
        <f>IFERROR(proje!BT71*100/proje!$I71,"")</f>
        <v/>
      </c>
      <c r="BJ576" s="39" t="str">
        <f>IFERROR(proje!BU71*100/proje!$I71,"")</f>
        <v/>
      </c>
      <c r="BK576" s="39" t="str">
        <f>IFERROR(proje!BV71*100/proje!$I71,"")</f>
        <v/>
      </c>
      <c r="BL576" s="39" t="str">
        <f>IFERROR(proje!BW71*100/proje!$I71,"")</f>
        <v/>
      </c>
      <c r="BM576" s="39" t="str">
        <f>IFERROR(proje!BX71*100/proje!$I71,"")</f>
        <v/>
      </c>
      <c r="BN576" s="39" t="str">
        <f>IFERROR(proje!BY71*100/proje!$I71,"")</f>
        <v/>
      </c>
      <c r="BO576" s="39" t="str">
        <f>IFERROR(proje!BZ71*100/proje!$I71,"")</f>
        <v/>
      </c>
      <c r="BP576" s="39" t="str">
        <f>IFERROR(proje!CA71*100/proje!$I71,"")</f>
        <v/>
      </c>
      <c r="BQ576" s="39" t="str">
        <f>IFERROR(proje!CB71*100/proje!$I71,"")</f>
        <v/>
      </c>
      <c r="BR576" s="39" t="str">
        <f>IFERROR(proje!CC71*100/proje!$I71,"")</f>
        <v/>
      </c>
      <c r="BS576" s="39" t="str">
        <f>IFERROR(proje!CD71*100/proje!$I71,"")</f>
        <v/>
      </c>
      <c r="BT576" s="39" t="str">
        <f>IFERROR(proje!CE71*100/proje!$I71,"")</f>
        <v/>
      </c>
      <c r="BU576" s="39" t="str">
        <f>IFERROR(proje!CF71*100/proje!$I71,"")</f>
        <v/>
      </c>
      <c r="BV576" s="39" t="str">
        <f>IFERROR(proje!CG71*100/proje!$I71,"")</f>
        <v/>
      </c>
      <c r="BW576" s="39" t="str">
        <f>IFERROR(proje!CH71*100/proje!$I71,"")</f>
        <v/>
      </c>
      <c r="BX576" s="39" t="str">
        <f>IFERROR(proje!CI71*100/proje!$I71,"")</f>
        <v/>
      </c>
      <c r="BY576" s="39" t="str">
        <f>IFERROR(proje!CJ71*100/proje!$I71,"")</f>
        <v/>
      </c>
      <c r="BZ576" s="39" t="str">
        <f>IFERROR(proje!CK71*100/proje!$I71,"")</f>
        <v/>
      </c>
      <c r="CA576" s="39" t="str">
        <f>IFERROR(proje!CL71*100/proje!$I71,"")</f>
        <v/>
      </c>
      <c r="CB576" s="39" t="str">
        <f>IFERROR(proje!CM71*100/proje!$I71,"")</f>
        <v/>
      </c>
      <c r="CC576" s="39" t="str">
        <f>IFERROR(proje!CN71*100/proje!$I71,"")</f>
        <v/>
      </c>
      <c r="CD576" s="39" t="str">
        <f>IFERROR(proje!CO71*100/proje!$I71,"")</f>
        <v/>
      </c>
      <c r="CE576" s="39" t="str">
        <f>IFERROR(proje!CP71*100/proje!$I71,"")</f>
        <v/>
      </c>
      <c r="CF576" s="39" t="str">
        <f>IFERROR(proje!CQ71*100/proje!$I71,"")</f>
        <v/>
      </c>
      <c r="CG576" s="39" t="str">
        <f>IFERROR(proje!CR71*100/proje!$I71,"")</f>
        <v/>
      </c>
      <c r="CH576" s="39" t="str">
        <f>IFERROR(proje!CS71*100/proje!$I71,"")</f>
        <v/>
      </c>
      <c r="CI576" s="39" t="str">
        <f>IFERROR(proje!CT71*100/proje!$I71,"")</f>
        <v/>
      </c>
      <c r="CJ576" s="39" t="str">
        <f>IFERROR(proje!CU71*100/proje!$I71,"")</f>
        <v/>
      </c>
      <c r="CK576" s="39" t="str">
        <f>IFERROR(proje!CV71*100/proje!$I71,"")</f>
        <v/>
      </c>
      <c r="CL576" s="39" t="str">
        <f>IFERROR(proje!CW71*100/proje!$I71,"")</f>
        <v/>
      </c>
      <c r="CM576" s="39" t="str">
        <f>IFERROR(proje!CX71*100/proje!$I71,"")</f>
        <v/>
      </c>
      <c r="CN576" s="39" t="str">
        <f>IFERROR(proje!CY71*100/proje!$I71,"")</f>
        <v/>
      </c>
      <c r="CO576" s="39" t="str">
        <f>IFERROR(proje!CZ71*100/proje!$I71,"")</f>
        <v/>
      </c>
      <c r="CP576" s="39" t="str">
        <f>IFERROR(proje!DA71*100/proje!$I71,"")</f>
        <v/>
      </c>
      <c r="CQ576" s="39" t="str">
        <f>IFERROR(proje!DB71*100/proje!$I71,"")</f>
        <v/>
      </c>
      <c r="CR576" s="39" t="str">
        <f>IFERROR(proje!DC71*100/proje!$I71,"")</f>
        <v/>
      </c>
      <c r="CS576" s="39" t="str">
        <f>IFERROR(proje!DD71*100/proje!$I71,"")</f>
        <v/>
      </c>
      <c r="CT576" s="39" t="str">
        <f>IFERROR(proje!DE71*100/proje!$I71,"")</f>
        <v/>
      </c>
      <c r="CU576" s="39" t="str">
        <f>IFERROR(proje!DF71*100/proje!$I71,"")</f>
        <v/>
      </c>
      <c r="CV576" s="39" t="str">
        <f>IFERROR(proje!DG71*100/proje!$I71,"")</f>
        <v/>
      </c>
      <c r="CW576" s="36" t="str">
        <f>IFERROR(SUM(A576:CV576)/proje!$DH$103,"")</f>
        <v/>
      </c>
      <c r="CX576" s="14" t="str">
        <f>IF(COUNTA(proje!A71),proje!A71,"")</f>
        <v/>
      </c>
      <c r="CY576" s="14" t="str">
        <f>IF(COUNTA(proje!B71),proje!B71,"")</f>
        <v/>
      </c>
      <c r="CZ576" s="14" t="str">
        <f>IF(COUNTA(proje!C71),proje!C71,"")</f>
        <v/>
      </c>
      <c r="DA576" s="14" t="str">
        <f>IF(COUNTA(proje!D71),proje!D71,"")</f>
        <v/>
      </c>
      <c r="DB576" s="14" t="str">
        <f>IF(COUNTA(proje!E71),proje!E71,"")</f>
        <v/>
      </c>
      <c r="DC576" s="14" t="str">
        <f>IF(COUNTA(proje!F71),proje!F71,"")</f>
        <v/>
      </c>
      <c r="DD576" s="14" t="str">
        <f>IF(COUNTA(proje!G71),proje!G71,"")</f>
        <v/>
      </c>
      <c r="DE576" s="14" t="str">
        <f>IF(COUNTA(proje!H71),proje!H71,"")</f>
        <v/>
      </c>
    </row>
    <row r="577" spans="1:109" x14ac:dyDescent="0.2">
      <c r="A577" s="39" t="str">
        <f>IFERROR(proje!L72*100/proje!$I72,"")</f>
        <v/>
      </c>
      <c r="B577" s="39" t="str">
        <f>IFERROR(proje!M72*100/proje!$I72,"")</f>
        <v/>
      </c>
      <c r="C577" s="39" t="str">
        <f>IFERROR(proje!N72*100/proje!$I72,"")</f>
        <v/>
      </c>
      <c r="D577" s="39" t="str">
        <f>IFERROR(proje!O72*100/proje!$I72,"")</f>
        <v/>
      </c>
      <c r="E577" s="39" t="str">
        <f>IFERROR(proje!P72*100/proje!$I72,"")</f>
        <v/>
      </c>
      <c r="F577" s="39" t="str">
        <f>IFERROR(proje!Q72*100/proje!$I72,"")</f>
        <v/>
      </c>
      <c r="G577" s="39" t="str">
        <f>IFERROR(proje!R72*100/proje!$I72,"")</f>
        <v/>
      </c>
      <c r="H577" s="39" t="str">
        <f>IFERROR(proje!S72*100/proje!$I72,"")</f>
        <v/>
      </c>
      <c r="I577" s="39" t="str">
        <f>IFERROR(proje!T72*100/proje!$I72,"")</f>
        <v/>
      </c>
      <c r="J577" s="39" t="str">
        <f>IFERROR(proje!U72*100/proje!$I72,"")</f>
        <v/>
      </c>
      <c r="K577" s="39" t="str">
        <f>IFERROR(proje!V72*100/proje!$I72,"")</f>
        <v/>
      </c>
      <c r="L577" s="39" t="str">
        <f>IFERROR(proje!W72*100/proje!$I72,"")</f>
        <v/>
      </c>
      <c r="M577" s="39" t="str">
        <f>IFERROR(proje!X72*100/proje!$I72,"")</f>
        <v/>
      </c>
      <c r="N577" s="39" t="str">
        <f>IFERROR(proje!Y72*100/proje!$I72,"")</f>
        <v/>
      </c>
      <c r="O577" s="39" t="str">
        <f>IFERROR(proje!Z72*100/proje!$I72,"")</f>
        <v/>
      </c>
      <c r="P577" s="39" t="str">
        <f>IFERROR(proje!AA72*100/proje!$I72,"")</f>
        <v/>
      </c>
      <c r="Q577" s="39" t="str">
        <f>IFERROR(proje!AB72*100/proje!$I72,"")</f>
        <v/>
      </c>
      <c r="R577" s="39" t="str">
        <f>IFERROR(proje!AC72*100/proje!$I72,"")</f>
        <v/>
      </c>
      <c r="S577" s="39" t="str">
        <f>IFERROR(proje!AD72*100/proje!$I72,"")</f>
        <v/>
      </c>
      <c r="T577" s="39" t="str">
        <f>IFERROR(proje!AE72*100/proje!$I72,"")</f>
        <v/>
      </c>
      <c r="U577" s="39" t="str">
        <f>IFERROR(proje!AF72*100/proje!$I72,"")</f>
        <v/>
      </c>
      <c r="V577" s="39" t="str">
        <f>IFERROR(proje!AG72*100/proje!$I72,"")</f>
        <v/>
      </c>
      <c r="W577" s="39" t="str">
        <f>IFERROR(proje!AH72*100/proje!$I72,"")</f>
        <v/>
      </c>
      <c r="X577" s="39" t="str">
        <f>IFERROR(proje!AI72*100/proje!$I72,"")</f>
        <v/>
      </c>
      <c r="Y577" s="39" t="str">
        <f>IFERROR(proje!AJ72*100/proje!$I72,"")</f>
        <v/>
      </c>
      <c r="Z577" s="39" t="str">
        <f>IFERROR(proje!AK72*100/proje!$I72,"")</f>
        <v/>
      </c>
      <c r="AA577" s="39" t="str">
        <f>IFERROR(proje!AL72*100/proje!$I72,"")</f>
        <v/>
      </c>
      <c r="AB577" s="39" t="str">
        <f>IFERROR(proje!AM72*100/proje!$I72,"")</f>
        <v/>
      </c>
      <c r="AC577" s="39" t="str">
        <f>IFERROR(proje!AN72*100/proje!$I72,"")</f>
        <v/>
      </c>
      <c r="AD577" s="39" t="str">
        <f>IFERROR(proje!AO72*100/proje!$I72,"")</f>
        <v/>
      </c>
      <c r="AE577" s="39" t="str">
        <f>IFERROR(proje!AP72*100/proje!$I72,"")</f>
        <v/>
      </c>
      <c r="AF577" s="39" t="str">
        <f>IFERROR(proje!AQ72*100/proje!$I72,"")</f>
        <v/>
      </c>
      <c r="AG577" s="39" t="str">
        <f>IFERROR(proje!AR72*100/proje!$I72,"")</f>
        <v/>
      </c>
      <c r="AH577" s="39" t="str">
        <f>IFERROR(proje!AS72*100/proje!$I72,"")</f>
        <v/>
      </c>
      <c r="AI577" s="39" t="str">
        <f>IFERROR(proje!AT72*100/proje!$I72,"")</f>
        <v/>
      </c>
      <c r="AJ577" s="39" t="str">
        <f>IFERROR(proje!AU72*100/proje!$I72,"")</f>
        <v/>
      </c>
      <c r="AK577" s="39" t="str">
        <f>IFERROR(proje!AV72*100/proje!$I72,"")</f>
        <v/>
      </c>
      <c r="AL577" s="39" t="str">
        <f>IFERROR(proje!AW72*100/proje!$I72,"")</f>
        <v/>
      </c>
      <c r="AM577" s="39" t="str">
        <f>IFERROR(proje!AX72*100/proje!$I72,"")</f>
        <v/>
      </c>
      <c r="AN577" s="39" t="str">
        <f>IFERROR(proje!AY72*100/proje!$I72,"")</f>
        <v/>
      </c>
      <c r="AO577" s="39" t="str">
        <f>IFERROR(proje!AZ72*100/proje!$I72,"")</f>
        <v/>
      </c>
      <c r="AP577" s="39" t="str">
        <f>IFERROR(proje!BA72*100/proje!$I72,"")</f>
        <v/>
      </c>
      <c r="AQ577" s="39" t="str">
        <f>IFERROR(proje!BB72*100/proje!$I72,"")</f>
        <v/>
      </c>
      <c r="AR577" s="39" t="str">
        <f>IFERROR(proje!BC72*100/proje!$I72,"")</f>
        <v/>
      </c>
      <c r="AS577" s="39" t="str">
        <f>IFERROR(proje!BD72*100/proje!$I72,"")</f>
        <v/>
      </c>
      <c r="AT577" s="39" t="str">
        <f>IFERROR(proje!BE72*100/proje!$I72,"")</f>
        <v/>
      </c>
      <c r="AU577" s="39" t="str">
        <f>IFERROR(proje!BF72*100/proje!$I72,"")</f>
        <v/>
      </c>
      <c r="AV577" s="39" t="str">
        <f>IFERROR(proje!BG72*100/proje!$I72,"")</f>
        <v/>
      </c>
      <c r="AW577" s="39" t="str">
        <f>IFERROR(proje!BH72*100/proje!$I72,"")</f>
        <v/>
      </c>
      <c r="AX577" s="39" t="str">
        <f>IFERROR(proje!BI72*100/proje!$I72,"")</f>
        <v/>
      </c>
      <c r="AY577" s="39" t="str">
        <f>IFERROR(proje!BJ72*100/proje!$I72,"")</f>
        <v/>
      </c>
      <c r="AZ577" s="39" t="str">
        <f>IFERROR(proje!BK72*100/proje!$I72,"")</f>
        <v/>
      </c>
      <c r="BA577" s="39" t="str">
        <f>IFERROR(proje!BL72*100/proje!$I72,"")</f>
        <v/>
      </c>
      <c r="BB577" s="39" t="str">
        <f>IFERROR(proje!BM72*100/proje!$I72,"")</f>
        <v/>
      </c>
      <c r="BC577" s="39" t="str">
        <f>IFERROR(proje!BN72*100/proje!$I72,"")</f>
        <v/>
      </c>
      <c r="BD577" s="39" t="str">
        <f>IFERROR(proje!BO72*100/proje!$I72,"")</f>
        <v/>
      </c>
      <c r="BE577" s="39" t="str">
        <f>IFERROR(proje!BP72*100/proje!$I72,"")</f>
        <v/>
      </c>
      <c r="BF577" s="39" t="str">
        <f>IFERROR(proje!BQ72*100/proje!$I72,"")</f>
        <v/>
      </c>
      <c r="BG577" s="39" t="str">
        <f>IFERROR(proje!BR72*100/proje!$I72,"")</f>
        <v/>
      </c>
      <c r="BH577" s="39" t="str">
        <f>IFERROR(proje!BS72*100/proje!$I72,"")</f>
        <v/>
      </c>
      <c r="BI577" s="39" t="str">
        <f>IFERROR(proje!BT72*100/proje!$I72,"")</f>
        <v/>
      </c>
      <c r="BJ577" s="39" t="str">
        <f>IFERROR(proje!BU72*100/proje!$I72,"")</f>
        <v/>
      </c>
      <c r="BK577" s="39" t="str">
        <f>IFERROR(proje!BV72*100/proje!$I72,"")</f>
        <v/>
      </c>
      <c r="BL577" s="39" t="str">
        <f>IFERROR(proje!BW72*100/proje!$I72,"")</f>
        <v/>
      </c>
      <c r="BM577" s="39" t="str">
        <f>IFERROR(proje!BX72*100/proje!$I72,"")</f>
        <v/>
      </c>
      <c r="BN577" s="39" t="str">
        <f>IFERROR(proje!BY72*100/proje!$I72,"")</f>
        <v/>
      </c>
      <c r="BO577" s="39" t="str">
        <f>IFERROR(proje!BZ72*100/proje!$I72,"")</f>
        <v/>
      </c>
      <c r="BP577" s="39" t="str">
        <f>IFERROR(proje!CA72*100/proje!$I72,"")</f>
        <v/>
      </c>
      <c r="BQ577" s="39" t="str">
        <f>IFERROR(proje!CB72*100/proje!$I72,"")</f>
        <v/>
      </c>
      <c r="BR577" s="39" t="str">
        <f>IFERROR(proje!CC72*100/proje!$I72,"")</f>
        <v/>
      </c>
      <c r="BS577" s="39" t="str">
        <f>IFERROR(proje!CD72*100/proje!$I72,"")</f>
        <v/>
      </c>
      <c r="BT577" s="39" t="str">
        <f>IFERROR(proje!CE72*100/proje!$I72,"")</f>
        <v/>
      </c>
      <c r="BU577" s="39" t="str">
        <f>IFERROR(proje!CF72*100/proje!$I72,"")</f>
        <v/>
      </c>
      <c r="BV577" s="39" t="str">
        <f>IFERROR(proje!CG72*100/proje!$I72,"")</f>
        <v/>
      </c>
      <c r="BW577" s="39" t="str">
        <f>IFERROR(proje!CH72*100/proje!$I72,"")</f>
        <v/>
      </c>
      <c r="BX577" s="39" t="str">
        <f>IFERROR(proje!CI72*100/proje!$I72,"")</f>
        <v/>
      </c>
      <c r="BY577" s="39" t="str">
        <f>IFERROR(proje!CJ72*100/proje!$I72,"")</f>
        <v/>
      </c>
      <c r="BZ577" s="39" t="str">
        <f>IFERROR(proje!CK72*100/proje!$I72,"")</f>
        <v/>
      </c>
      <c r="CA577" s="39" t="str">
        <f>IFERROR(proje!CL72*100/proje!$I72,"")</f>
        <v/>
      </c>
      <c r="CB577" s="39" t="str">
        <f>IFERROR(proje!CM72*100/proje!$I72,"")</f>
        <v/>
      </c>
      <c r="CC577" s="39" t="str">
        <f>IFERROR(proje!CN72*100/proje!$I72,"")</f>
        <v/>
      </c>
      <c r="CD577" s="39" t="str">
        <f>IFERROR(proje!CO72*100/proje!$I72,"")</f>
        <v/>
      </c>
      <c r="CE577" s="39" t="str">
        <f>IFERROR(proje!CP72*100/proje!$I72,"")</f>
        <v/>
      </c>
      <c r="CF577" s="39" t="str">
        <f>IFERROR(proje!CQ72*100/proje!$I72,"")</f>
        <v/>
      </c>
      <c r="CG577" s="39" t="str">
        <f>IFERROR(proje!CR72*100/proje!$I72,"")</f>
        <v/>
      </c>
      <c r="CH577" s="39" t="str">
        <f>IFERROR(proje!CS72*100/proje!$I72,"")</f>
        <v/>
      </c>
      <c r="CI577" s="39" t="str">
        <f>IFERROR(proje!CT72*100/proje!$I72,"")</f>
        <v/>
      </c>
      <c r="CJ577" s="39" t="str">
        <f>IFERROR(proje!CU72*100/proje!$I72,"")</f>
        <v/>
      </c>
      <c r="CK577" s="39" t="str">
        <f>IFERROR(proje!CV72*100/proje!$I72,"")</f>
        <v/>
      </c>
      <c r="CL577" s="39" t="str">
        <f>IFERROR(proje!CW72*100/proje!$I72,"")</f>
        <v/>
      </c>
      <c r="CM577" s="39" t="str">
        <f>IFERROR(proje!CX72*100/proje!$I72,"")</f>
        <v/>
      </c>
      <c r="CN577" s="39" t="str">
        <f>IFERROR(proje!CY72*100/proje!$I72,"")</f>
        <v/>
      </c>
      <c r="CO577" s="39" t="str">
        <f>IFERROR(proje!CZ72*100/proje!$I72,"")</f>
        <v/>
      </c>
      <c r="CP577" s="39" t="str">
        <f>IFERROR(proje!DA72*100/proje!$I72,"")</f>
        <v/>
      </c>
      <c r="CQ577" s="39" t="str">
        <f>IFERROR(proje!DB72*100/proje!$I72,"")</f>
        <v/>
      </c>
      <c r="CR577" s="39" t="str">
        <f>IFERROR(proje!DC72*100/proje!$I72,"")</f>
        <v/>
      </c>
      <c r="CS577" s="39" t="str">
        <f>IFERROR(proje!DD72*100/proje!$I72,"")</f>
        <v/>
      </c>
      <c r="CT577" s="39" t="str">
        <f>IFERROR(proje!DE72*100/proje!$I72,"")</f>
        <v/>
      </c>
      <c r="CU577" s="39" t="str">
        <f>IFERROR(proje!DF72*100/proje!$I72,"")</f>
        <v/>
      </c>
      <c r="CV577" s="39" t="str">
        <f>IFERROR(proje!DG72*100/proje!$I72,"")</f>
        <v/>
      </c>
      <c r="CW577" s="36" t="str">
        <f>IFERROR(SUM(A577:CV577)/proje!$DH$103,"")</f>
        <v/>
      </c>
      <c r="CX577" s="14" t="str">
        <f>IF(COUNTA(proje!A72),proje!A72,"")</f>
        <v/>
      </c>
      <c r="CY577" s="14" t="str">
        <f>IF(COUNTA(proje!B72),proje!B72,"")</f>
        <v/>
      </c>
      <c r="CZ577" s="14" t="str">
        <f>IF(COUNTA(proje!C72),proje!C72,"")</f>
        <v/>
      </c>
      <c r="DA577" s="14" t="str">
        <f>IF(COUNTA(proje!D72),proje!D72,"")</f>
        <v/>
      </c>
      <c r="DB577" s="14" t="str">
        <f>IF(COUNTA(proje!E72),proje!E72,"")</f>
        <v/>
      </c>
      <c r="DC577" s="14" t="str">
        <f>IF(COUNTA(proje!F72),proje!F72,"")</f>
        <v/>
      </c>
      <c r="DD577" s="14" t="str">
        <f>IF(COUNTA(proje!G72),proje!G72,"")</f>
        <v/>
      </c>
      <c r="DE577" s="14" t="str">
        <f>IF(COUNTA(proje!H72),proje!H72,"")</f>
        <v/>
      </c>
    </row>
    <row r="578" spans="1:109" x14ac:dyDescent="0.2">
      <c r="A578" s="39" t="str">
        <f>IFERROR(proje!L73*100/proje!$I73,"")</f>
        <v/>
      </c>
      <c r="B578" s="39" t="str">
        <f>IFERROR(proje!M73*100/proje!$I73,"")</f>
        <v/>
      </c>
      <c r="C578" s="39" t="str">
        <f>IFERROR(proje!N73*100/proje!$I73,"")</f>
        <v/>
      </c>
      <c r="D578" s="39" t="str">
        <f>IFERROR(proje!O73*100/proje!$I73,"")</f>
        <v/>
      </c>
      <c r="E578" s="39" t="str">
        <f>IFERROR(proje!P73*100/proje!$I73,"")</f>
        <v/>
      </c>
      <c r="F578" s="39" t="str">
        <f>IFERROR(proje!Q73*100/proje!$I73,"")</f>
        <v/>
      </c>
      <c r="G578" s="39" t="str">
        <f>IFERROR(proje!R73*100/proje!$I73,"")</f>
        <v/>
      </c>
      <c r="H578" s="39" t="str">
        <f>IFERROR(proje!S73*100/proje!$I73,"")</f>
        <v/>
      </c>
      <c r="I578" s="39" t="str">
        <f>IFERROR(proje!T73*100/proje!$I73,"")</f>
        <v/>
      </c>
      <c r="J578" s="39" t="str">
        <f>IFERROR(proje!U73*100/proje!$I73,"")</f>
        <v/>
      </c>
      <c r="K578" s="39" t="str">
        <f>IFERROR(proje!V73*100/proje!$I73,"")</f>
        <v/>
      </c>
      <c r="L578" s="39" t="str">
        <f>IFERROR(proje!W73*100/proje!$I73,"")</f>
        <v/>
      </c>
      <c r="M578" s="39" t="str">
        <f>IFERROR(proje!X73*100/proje!$I73,"")</f>
        <v/>
      </c>
      <c r="N578" s="39" t="str">
        <f>IFERROR(proje!Y73*100/proje!$I73,"")</f>
        <v/>
      </c>
      <c r="O578" s="39" t="str">
        <f>IFERROR(proje!Z73*100/proje!$I73,"")</f>
        <v/>
      </c>
      <c r="P578" s="39" t="str">
        <f>IFERROR(proje!AA73*100/proje!$I73,"")</f>
        <v/>
      </c>
      <c r="Q578" s="39" t="str">
        <f>IFERROR(proje!AB73*100/proje!$I73,"")</f>
        <v/>
      </c>
      <c r="R578" s="39" t="str">
        <f>IFERROR(proje!AC73*100/proje!$I73,"")</f>
        <v/>
      </c>
      <c r="S578" s="39" t="str">
        <f>IFERROR(proje!AD73*100/proje!$I73,"")</f>
        <v/>
      </c>
      <c r="T578" s="39" t="str">
        <f>IFERROR(proje!AE73*100/proje!$I73,"")</f>
        <v/>
      </c>
      <c r="U578" s="39" t="str">
        <f>IFERROR(proje!AF73*100/proje!$I73,"")</f>
        <v/>
      </c>
      <c r="V578" s="39" t="str">
        <f>IFERROR(proje!AG73*100/proje!$I73,"")</f>
        <v/>
      </c>
      <c r="W578" s="39" t="str">
        <f>IFERROR(proje!AH73*100/proje!$I73,"")</f>
        <v/>
      </c>
      <c r="X578" s="39" t="str">
        <f>IFERROR(proje!AI73*100/proje!$I73,"")</f>
        <v/>
      </c>
      <c r="Y578" s="39" t="str">
        <f>IFERROR(proje!AJ73*100/proje!$I73,"")</f>
        <v/>
      </c>
      <c r="Z578" s="39" t="str">
        <f>IFERROR(proje!AK73*100/proje!$I73,"")</f>
        <v/>
      </c>
      <c r="AA578" s="39" t="str">
        <f>IFERROR(proje!AL73*100/proje!$I73,"")</f>
        <v/>
      </c>
      <c r="AB578" s="39" t="str">
        <f>IFERROR(proje!AM73*100/proje!$I73,"")</f>
        <v/>
      </c>
      <c r="AC578" s="39" t="str">
        <f>IFERROR(proje!AN73*100/proje!$I73,"")</f>
        <v/>
      </c>
      <c r="AD578" s="39" t="str">
        <f>IFERROR(proje!AO73*100/proje!$I73,"")</f>
        <v/>
      </c>
      <c r="AE578" s="39" t="str">
        <f>IFERROR(proje!AP73*100/proje!$I73,"")</f>
        <v/>
      </c>
      <c r="AF578" s="39" t="str">
        <f>IFERROR(proje!AQ73*100/proje!$I73,"")</f>
        <v/>
      </c>
      <c r="AG578" s="39" t="str">
        <f>IFERROR(proje!AR73*100/proje!$I73,"")</f>
        <v/>
      </c>
      <c r="AH578" s="39" t="str">
        <f>IFERROR(proje!AS73*100/proje!$I73,"")</f>
        <v/>
      </c>
      <c r="AI578" s="39" t="str">
        <f>IFERROR(proje!AT73*100/proje!$I73,"")</f>
        <v/>
      </c>
      <c r="AJ578" s="39" t="str">
        <f>IFERROR(proje!AU73*100/proje!$I73,"")</f>
        <v/>
      </c>
      <c r="AK578" s="39" t="str">
        <f>IFERROR(proje!AV73*100/proje!$I73,"")</f>
        <v/>
      </c>
      <c r="AL578" s="39" t="str">
        <f>IFERROR(proje!AW73*100/proje!$I73,"")</f>
        <v/>
      </c>
      <c r="AM578" s="39" t="str">
        <f>IFERROR(proje!AX73*100/proje!$I73,"")</f>
        <v/>
      </c>
      <c r="AN578" s="39" t="str">
        <f>IFERROR(proje!AY73*100/proje!$I73,"")</f>
        <v/>
      </c>
      <c r="AO578" s="39" t="str">
        <f>IFERROR(proje!AZ73*100/proje!$I73,"")</f>
        <v/>
      </c>
      <c r="AP578" s="39" t="str">
        <f>IFERROR(proje!BA73*100/proje!$I73,"")</f>
        <v/>
      </c>
      <c r="AQ578" s="39" t="str">
        <f>IFERROR(proje!BB73*100/proje!$I73,"")</f>
        <v/>
      </c>
      <c r="AR578" s="39" t="str">
        <f>IFERROR(proje!BC73*100/proje!$I73,"")</f>
        <v/>
      </c>
      <c r="AS578" s="39" t="str">
        <f>IFERROR(proje!BD73*100/proje!$I73,"")</f>
        <v/>
      </c>
      <c r="AT578" s="39" t="str">
        <f>IFERROR(proje!BE73*100/proje!$I73,"")</f>
        <v/>
      </c>
      <c r="AU578" s="39" t="str">
        <f>IFERROR(proje!BF73*100/proje!$I73,"")</f>
        <v/>
      </c>
      <c r="AV578" s="39" t="str">
        <f>IFERROR(proje!BG73*100/proje!$I73,"")</f>
        <v/>
      </c>
      <c r="AW578" s="39" t="str">
        <f>IFERROR(proje!BH73*100/proje!$I73,"")</f>
        <v/>
      </c>
      <c r="AX578" s="39" t="str">
        <f>IFERROR(proje!BI73*100/proje!$I73,"")</f>
        <v/>
      </c>
      <c r="AY578" s="39" t="str">
        <f>IFERROR(proje!BJ73*100/proje!$I73,"")</f>
        <v/>
      </c>
      <c r="AZ578" s="39" t="str">
        <f>IFERROR(proje!BK73*100/proje!$I73,"")</f>
        <v/>
      </c>
      <c r="BA578" s="39" t="str">
        <f>IFERROR(proje!BL73*100/proje!$I73,"")</f>
        <v/>
      </c>
      <c r="BB578" s="39" t="str">
        <f>IFERROR(proje!BM73*100/proje!$I73,"")</f>
        <v/>
      </c>
      <c r="BC578" s="39" t="str">
        <f>IFERROR(proje!BN73*100/proje!$I73,"")</f>
        <v/>
      </c>
      <c r="BD578" s="39" t="str">
        <f>IFERROR(proje!BO73*100/proje!$I73,"")</f>
        <v/>
      </c>
      <c r="BE578" s="39" t="str">
        <f>IFERROR(proje!BP73*100/proje!$I73,"")</f>
        <v/>
      </c>
      <c r="BF578" s="39" t="str">
        <f>IFERROR(proje!BQ73*100/proje!$I73,"")</f>
        <v/>
      </c>
      <c r="BG578" s="39" t="str">
        <f>IFERROR(proje!BR73*100/proje!$I73,"")</f>
        <v/>
      </c>
      <c r="BH578" s="39" t="str">
        <f>IFERROR(proje!BS73*100/proje!$I73,"")</f>
        <v/>
      </c>
      <c r="BI578" s="39" t="str">
        <f>IFERROR(proje!BT73*100/proje!$I73,"")</f>
        <v/>
      </c>
      <c r="BJ578" s="39" t="str">
        <f>IFERROR(proje!BU73*100/proje!$I73,"")</f>
        <v/>
      </c>
      <c r="BK578" s="39" t="str">
        <f>IFERROR(proje!BV73*100/proje!$I73,"")</f>
        <v/>
      </c>
      <c r="BL578" s="39" t="str">
        <f>IFERROR(proje!BW73*100/proje!$I73,"")</f>
        <v/>
      </c>
      <c r="BM578" s="39" t="str">
        <f>IFERROR(proje!BX73*100/proje!$I73,"")</f>
        <v/>
      </c>
      <c r="BN578" s="39" t="str">
        <f>IFERROR(proje!BY73*100/proje!$I73,"")</f>
        <v/>
      </c>
      <c r="BO578" s="39" t="str">
        <f>IFERROR(proje!BZ73*100/proje!$I73,"")</f>
        <v/>
      </c>
      <c r="BP578" s="39" t="str">
        <f>IFERROR(proje!CA73*100/proje!$I73,"")</f>
        <v/>
      </c>
      <c r="BQ578" s="39" t="str">
        <f>IFERROR(proje!CB73*100/proje!$I73,"")</f>
        <v/>
      </c>
      <c r="BR578" s="39" t="str">
        <f>IFERROR(proje!CC73*100/proje!$I73,"")</f>
        <v/>
      </c>
      <c r="BS578" s="39" t="str">
        <f>IFERROR(proje!CD73*100/proje!$I73,"")</f>
        <v/>
      </c>
      <c r="BT578" s="39" t="str">
        <f>IFERROR(proje!CE73*100/proje!$I73,"")</f>
        <v/>
      </c>
      <c r="BU578" s="39" t="str">
        <f>IFERROR(proje!CF73*100/proje!$I73,"")</f>
        <v/>
      </c>
      <c r="BV578" s="39" t="str">
        <f>IFERROR(proje!CG73*100/proje!$I73,"")</f>
        <v/>
      </c>
      <c r="BW578" s="39" t="str">
        <f>IFERROR(proje!CH73*100/proje!$I73,"")</f>
        <v/>
      </c>
      <c r="BX578" s="39" t="str">
        <f>IFERROR(proje!CI73*100/proje!$I73,"")</f>
        <v/>
      </c>
      <c r="BY578" s="39" t="str">
        <f>IFERROR(proje!CJ73*100/proje!$I73,"")</f>
        <v/>
      </c>
      <c r="BZ578" s="39" t="str">
        <f>IFERROR(proje!CK73*100/proje!$I73,"")</f>
        <v/>
      </c>
      <c r="CA578" s="39" t="str">
        <f>IFERROR(proje!CL73*100/proje!$I73,"")</f>
        <v/>
      </c>
      <c r="CB578" s="39" t="str">
        <f>IFERROR(proje!CM73*100/proje!$I73,"")</f>
        <v/>
      </c>
      <c r="CC578" s="39" t="str">
        <f>IFERROR(proje!CN73*100/proje!$I73,"")</f>
        <v/>
      </c>
      <c r="CD578" s="39" t="str">
        <f>IFERROR(proje!CO73*100/proje!$I73,"")</f>
        <v/>
      </c>
      <c r="CE578" s="39" t="str">
        <f>IFERROR(proje!CP73*100/proje!$I73,"")</f>
        <v/>
      </c>
      <c r="CF578" s="39" t="str">
        <f>IFERROR(proje!CQ73*100/proje!$I73,"")</f>
        <v/>
      </c>
      <c r="CG578" s="39" t="str">
        <f>IFERROR(proje!CR73*100/proje!$I73,"")</f>
        <v/>
      </c>
      <c r="CH578" s="39" t="str">
        <f>IFERROR(proje!CS73*100/proje!$I73,"")</f>
        <v/>
      </c>
      <c r="CI578" s="39" t="str">
        <f>IFERROR(proje!CT73*100/proje!$I73,"")</f>
        <v/>
      </c>
      <c r="CJ578" s="39" t="str">
        <f>IFERROR(proje!CU73*100/proje!$I73,"")</f>
        <v/>
      </c>
      <c r="CK578" s="39" t="str">
        <f>IFERROR(proje!CV73*100/proje!$I73,"")</f>
        <v/>
      </c>
      <c r="CL578" s="39" t="str">
        <f>IFERROR(proje!CW73*100/proje!$I73,"")</f>
        <v/>
      </c>
      <c r="CM578" s="39" t="str">
        <f>IFERROR(proje!CX73*100/proje!$I73,"")</f>
        <v/>
      </c>
      <c r="CN578" s="39" t="str">
        <f>IFERROR(proje!CY73*100/proje!$I73,"")</f>
        <v/>
      </c>
      <c r="CO578" s="39" t="str">
        <f>IFERROR(proje!CZ73*100/proje!$I73,"")</f>
        <v/>
      </c>
      <c r="CP578" s="39" t="str">
        <f>IFERROR(proje!DA73*100/proje!$I73,"")</f>
        <v/>
      </c>
      <c r="CQ578" s="39" t="str">
        <f>IFERROR(proje!DB73*100/proje!$I73,"")</f>
        <v/>
      </c>
      <c r="CR578" s="39" t="str">
        <f>IFERROR(proje!DC73*100/proje!$I73,"")</f>
        <v/>
      </c>
      <c r="CS578" s="39" t="str">
        <f>IFERROR(proje!DD73*100/proje!$I73,"")</f>
        <v/>
      </c>
      <c r="CT578" s="39" t="str">
        <f>IFERROR(proje!DE73*100/proje!$I73,"")</f>
        <v/>
      </c>
      <c r="CU578" s="39" t="str">
        <f>IFERROR(proje!DF73*100/proje!$I73,"")</f>
        <v/>
      </c>
      <c r="CV578" s="39" t="str">
        <f>IFERROR(proje!DG73*100/proje!$I73,"")</f>
        <v/>
      </c>
      <c r="CW578" s="36" t="str">
        <f>IFERROR(SUM(A578:CV578)/proje!$DH$103,"")</f>
        <v/>
      </c>
      <c r="CX578" s="14" t="str">
        <f>IF(COUNTA(proje!A73),proje!A73,"")</f>
        <v/>
      </c>
      <c r="CY578" s="14" t="str">
        <f>IF(COUNTA(proje!B73),proje!B73,"")</f>
        <v/>
      </c>
      <c r="CZ578" s="14" t="str">
        <f>IF(COUNTA(proje!C73),proje!C73,"")</f>
        <v/>
      </c>
      <c r="DA578" s="14" t="str">
        <f>IF(COUNTA(proje!D73),proje!D73,"")</f>
        <v/>
      </c>
      <c r="DB578" s="14" t="str">
        <f>IF(COUNTA(proje!E73),proje!E73,"")</f>
        <v/>
      </c>
      <c r="DC578" s="14" t="str">
        <f>IF(COUNTA(proje!F73),proje!F73,"")</f>
        <v/>
      </c>
      <c r="DD578" s="14" t="str">
        <f>IF(COUNTA(proje!G73),proje!G73,"")</f>
        <v/>
      </c>
      <c r="DE578" s="14" t="str">
        <f>IF(COUNTA(proje!H73),proje!H73,"")</f>
        <v/>
      </c>
    </row>
    <row r="579" spans="1:109" x14ac:dyDescent="0.2">
      <c r="A579" s="39" t="str">
        <f>IFERROR(proje!L74*100/proje!$I74,"")</f>
        <v/>
      </c>
      <c r="B579" s="39" t="str">
        <f>IFERROR(proje!M74*100/proje!$I74,"")</f>
        <v/>
      </c>
      <c r="C579" s="39" t="str">
        <f>IFERROR(proje!N74*100/proje!$I74,"")</f>
        <v/>
      </c>
      <c r="D579" s="39" t="str">
        <f>IFERROR(proje!O74*100/proje!$I74,"")</f>
        <v/>
      </c>
      <c r="E579" s="39" t="str">
        <f>IFERROR(proje!P74*100/proje!$I74,"")</f>
        <v/>
      </c>
      <c r="F579" s="39" t="str">
        <f>IFERROR(proje!Q74*100/proje!$I74,"")</f>
        <v/>
      </c>
      <c r="G579" s="39" t="str">
        <f>IFERROR(proje!R74*100/proje!$I74,"")</f>
        <v/>
      </c>
      <c r="H579" s="39" t="str">
        <f>IFERROR(proje!S74*100/proje!$I74,"")</f>
        <v/>
      </c>
      <c r="I579" s="39" t="str">
        <f>IFERROR(proje!T74*100/proje!$I74,"")</f>
        <v/>
      </c>
      <c r="J579" s="39" t="str">
        <f>IFERROR(proje!U74*100/proje!$I74,"")</f>
        <v/>
      </c>
      <c r="K579" s="39" t="str">
        <f>IFERROR(proje!V74*100/proje!$I74,"")</f>
        <v/>
      </c>
      <c r="L579" s="39" t="str">
        <f>IFERROR(proje!W74*100/proje!$I74,"")</f>
        <v/>
      </c>
      <c r="M579" s="39" t="str">
        <f>IFERROR(proje!X74*100/proje!$I74,"")</f>
        <v/>
      </c>
      <c r="N579" s="39" t="str">
        <f>IFERROR(proje!Y74*100/proje!$I74,"")</f>
        <v/>
      </c>
      <c r="O579" s="39" t="str">
        <f>IFERROR(proje!Z74*100/proje!$I74,"")</f>
        <v/>
      </c>
      <c r="P579" s="39" t="str">
        <f>IFERROR(proje!AA74*100/proje!$I74,"")</f>
        <v/>
      </c>
      <c r="Q579" s="39" t="str">
        <f>IFERROR(proje!AB74*100/proje!$I74,"")</f>
        <v/>
      </c>
      <c r="R579" s="39" t="str">
        <f>IFERROR(proje!AC74*100/proje!$I74,"")</f>
        <v/>
      </c>
      <c r="S579" s="39" t="str">
        <f>IFERROR(proje!AD74*100/proje!$I74,"")</f>
        <v/>
      </c>
      <c r="T579" s="39" t="str">
        <f>IFERROR(proje!AE74*100/proje!$I74,"")</f>
        <v/>
      </c>
      <c r="U579" s="39" t="str">
        <f>IFERROR(proje!AF74*100/proje!$I74,"")</f>
        <v/>
      </c>
      <c r="V579" s="39" t="str">
        <f>IFERROR(proje!AG74*100/proje!$I74,"")</f>
        <v/>
      </c>
      <c r="W579" s="39" t="str">
        <f>IFERROR(proje!AH74*100/proje!$I74,"")</f>
        <v/>
      </c>
      <c r="X579" s="39" t="str">
        <f>IFERROR(proje!AI74*100/proje!$I74,"")</f>
        <v/>
      </c>
      <c r="Y579" s="39" t="str">
        <f>IFERROR(proje!AJ74*100/proje!$I74,"")</f>
        <v/>
      </c>
      <c r="Z579" s="39" t="str">
        <f>IFERROR(proje!AK74*100/proje!$I74,"")</f>
        <v/>
      </c>
      <c r="AA579" s="39" t="str">
        <f>IFERROR(proje!AL74*100/proje!$I74,"")</f>
        <v/>
      </c>
      <c r="AB579" s="39" t="str">
        <f>IFERROR(proje!AM74*100/proje!$I74,"")</f>
        <v/>
      </c>
      <c r="AC579" s="39" t="str">
        <f>IFERROR(proje!AN74*100/proje!$I74,"")</f>
        <v/>
      </c>
      <c r="AD579" s="39" t="str">
        <f>IFERROR(proje!AO74*100/proje!$I74,"")</f>
        <v/>
      </c>
      <c r="AE579" s="39" t="str">
        <f>IFERROR(proje!AP74*100/proje!$I74,"")</f>
        <v/>
      </c>
      <c r="AF579" s="39" t="str">
        <f>IFERROR(proje!AQ74*100/proje!$I74,"")</f>
        <v/>
      </c>
      <c r="AG579" s="39" t="str">
        <f>IFERROR(proje!AR74*100/proje!$I74,"")</f>
        <v/>
      </c>
      <c r="AH579" s="39" t="str">
        <f>IFERROR(proje!AS74*100/proje!$I74,"")</f>
        <v/>
      </c>
      <c r="AI579" s="39" t="str">
        <f>IFERROR(proje!AT74*100/proje!$I74,"")</f>
        <v/>
      </c>
      <c r="AJ579" s="39" t="str">
        <f>IFERROR(proje!AU74*100/proje!$I74,"")</f>
        <v/>
      </c>
      <c r="AK579" s="39" t="str">
        <f>IFERROR(proje!AV74*100/proje!$I74,"")</f>
        <v/>
      </c>
      <c r="AL579" s="39" t="str">
        <f>IFERROR(proje!AW74*100/proje!$I74,"")</f>
        <v/>
      </c>
      <c r="AM579" s="39" t="str">
        <f>IFERROR(proje!AX74*100/proje!$I74,"")</f>
        <v/>
      </c>
      <c r="AN579" s="39" t="str">
        <f>IFERROR(proje!AY74*100/proje!$I74,"")</f>
        <v/>
      </c>
      <c r="AO579" s="39" t="str">
        <f>IFERROR(proje!AZ74*100/proje!$I74,"")</f>
        <v/>
      </c>
      <c r="AP579" s="39" t="str">
        <f>IFERROR(proje!BA74*100/proje!$I74,"")</f>
        <v/>
      </c>
      <c r="AQ579" s="39" t="str">
        <f>IFERROR(proje!BB74*100/proje!$I74,"")</f>
        <v/>
      </c>
      <c r="AR579" s="39" t="str">
        <f>IFERROR(proje!BC74*100/proje!$I74,"")</f>
        <v/>
      </c>
      <c r="AS579" s="39" t="str">
        <f>IFERROR(proje!BD74*100/proje!$I74,"")</f>
        <v/>
      </c>
      <c r="AT579" s="39" t="str">
        <f>IFERROR(proje!BE74*100/proje!$I74,"")</f>
        <v/>
      </c>
      <c r="AU579" s="39" t="str">
        <f>IFERROR(proje!BF74*100/proje!$I74,"")</f>
        <v/>
      </c>
      <c r="AV579" s="39" t="str">
        <f>IFERROR(proje!BG74*100/proje!$I74,"")</f>
        <v/>
      </c>
      <c r="AW579" s="39" t="str">
        <f>IFERROR(proje!BH74*100/proje!$I74,"")</f>
        <v/>
      </c>
      <c r="AX579" s="39" t="str">
        <f>IFERROR(proje!BI74*100/proje!$I74,"")</f>
        <v/>
      </c>
      <c r="AY579" s="39" t="str">
        <f>IFERROR(proje!BJ74*100/proje!$I74,"")</f>
        <v/>
      </c>
      <c r="AZ579" s="39" t="str">
        <f>IFERROR(proje!BK74*100/proje!$I74,"")</f>
        <v/>
      </c>
      <c r="BA579" s="39" t="str">
        <f>IFERROR(proje!BL74*100/proje!$I74,"")</f>
        <v/>
      </c>
      <c r="BB579" s="39" t="str">
        <f>IFERROR(proje!BM74*100/proje!$I74,"")</f>
        <v/>
      </c>
      <c r="BC579" s="39" t="str">
        <f>IFERROR(proje!BN74*100/proje!$I74,"")</f>
        <v/>
      </c>
      <c r="BD579" s="39" t="str">
        <f>IFERROR(proje!BO74*100/proje!$I74,"")</f>
        <v/>
      </c>
      <c r="BE579" s="39" t="str">
        <f>IFERROR(proje!BP74*100/proje!$I74,"")</f>
        <v/>
      </c>
      <c r="BF579" s="39" t="str">
        <f>IFERROR(proje!BQ74*100/proje!$I74,"")</f>
        <v/>
      </c>
      <c r="BG579" s="39" t="str">
        <f>IFERROR(proje!BR74*100/proje!$I74,"")</f>
        <v/>
      </c>
      <c r="BH579" s="39" t="str">
        <f>IFERROR(proje!BS74*100/proje!$I74,"")</f>
        <v/>
      </c>
      <c r="BI579" s="39" t="str">
        <f>IFERROR(proje!BT74*100/proje!$I74,"")</f>
        <v/>
      </c>
      <c r="BJ579" s="39" t="str">
        <f>IFERROR(proje!BU74*100/proje!$I74,"")</f>
        <v/>
      </c>
      <c r="BK579" s="39" t="str">
        <f>IFERROR(proje!BV74*100/proje!$I74,"")</f>
        <v/>
      </c>
      <c r="BL579" s="39" t="str">
        <f>IFERROR(proje!BW74*100/proje!$I74,"")</f>
        <v/>
      </c>
      <c r="BM579" s="39" t="str">
        <f>IFERROR(proje!BX74*100/proje!$I74,"")</f>
        <v/>
      </c>
      <c r="BN579" s="39" t="str">
        <f>IFERROR(proje!BY74*100/proje!$I74,"")</f>
        <v/>
      </c>
      <c r="BO579" s="39" t="str">
        <f>IFERROR(proje!BZ74*100/proje!$I74,"")</f>
        <v/>
      </c>
      <c r="BP579" s="39" t="str">
        <f>IFERROR(proje!CA74*100/proje!$I74,"")</f>
        <v/>
      </c>
      <c r="BQ579" s="39" t="str">
        <f>IFERROR(proje!CB74*100/proje!$I74,"")</f>
        <v/>
      </c>
      <c r="BR579" s="39" t="str">
        <f>IFERROR(proje!CC74*100/proje!$I74,"")</f>
        <v/>
      </c>
      <c r="BS579" s="39" t="str">
        <f>IFERROR(proje!CD74*100/proje!$I74,"")</f>
        <v/>
      </c>
      <c r="BT579" s="39" t="str">
        <f>IFERROR(proje!CE74*100/proje!$I74,"")</f>
        <v/>
      </c>
      <c r="BU579" s="39" t="str">
        <f>IFERROR(proje!CF74*100/proje!$I74,"")</f>
        <v/>
      </c>
      <c r="BV579" s="39" t="str">
        <f>IFERROR(proje!CG74*100/proje!$I74,"")</f>
        <v/>
      </c>
      <c r="BW579" s="39" t="str">
        <f>IFERROR(proje!CH74*100/proje!$I74,"")</f>
        <v/>
      </c>
      <c r="BX579" s="39" t="str">
        <f>IFERROR(proje!CI74*100/proje!$I74,"")</f>
        <v/>
      </c>
      <c r="BY579" s="39" t="str">
        <f>IFERROR(proje!CJ74*100/proje!$I74,"")</f>
        <v/>
      </c>
      <c r="BZ579" s="39" t="str">
        <f>IFERROR(proje!CK74*100/proje!$I74,"")</f>
        <v/>
      </c>
      <c r="CA579" s="39" t="str">
        <f>IFERROR(proje!CL74*100/proje!$I74,"")</f>
        <v/>
      </c>
      <c r="CB579" s="39" t="str">
        <f>IFERROR(proje!CM74*100/proje!$I74,"")</f>
        <v/>
      </c>
      <c r="CC579" s="39" t="str">
        <f>IFERROR(proje!CN74*100/proje!$I74,"")</f>
        <v/>
      </c>
      <c r="CD579" s="39" t="str">
        <f>IFERROR(proje!CO74*100/proje!$I74,"")</f>
        <v/>
      </c>
      <c r="CE579" s="39" t="str">
        <f>IFERROR(proje!CP74*100/proje!$I74,"")</f>
        <v/>
      </c>
      <c r="CF579" s="39" t="str">
        <f>IFERROR(proje!CQ74*100/proje!$I74,"")</f>
        <v/>
      </c>
      <c r="CG579" s="39" t="str">
        <f>IFERROR(proje!CR74*100/proje!$I74,"")</f>
        <v/>
      </c>
      <c r="CH579" s="39" t="str">
        <f>IFERROR(proje!CS74*100/proje!$I74,"")</f>
        <v/>
      </c>
      <c r="CI579" s="39" t="str">
        <f>IFERROR(proje!CT74*100/proje!$I74,"")</f>
        <v/>
      </c>
      <c r="CJ579" s="39" t="str">
        <f>IFERROR(proje!CU74*100/proje!$I74,"")</f>
        <v/>
      </c>
      <c r="CK579" s="39" t="str">
        <f>IFERROR(proje!CV74*100/proje!$I74,"")</f>
        <v/>
      </c>
      <c r="CL579" s="39" t="str">
        <f>IFERROR(proje!CW74*100/proje!$I74,"")</f>
        <v/>
      </c>
      <c r="CM579" s="39" t="str">
        <f>IFERROR(proje!CX74*100/proje!$I74,"")</f>
        <v/>
      </c>
      <c r="CN579" s="39" t="str">
        <f>IFERROR(proje!CY74*100/proje!$I74,"")</f>
        <v/>
      </c>
      <c r="CO579" s="39" t="str">
        <f>IFERROR(proje!CZ74*100/proje!$I74,"")</f>
        <v/>
      </c>
      <c r="CP579" s="39" t="str">
        <f>IFERROR(proje!DA74*100/proje!$I74,"")</f>
        <v/>
      </c>
      <c r="CQ579" s="39" t="str">
        <f>IFERROR(proje!DB74*100/proje!$I74,"")</f>
        <v/>
      </c>
      <c r="CR579" s="39" t="str">
        <f>IFERROR(proje!DC74*100/proje!$I74,"")</f>
        <v/>
      </c>
      <c r="CS579" s="39" t="str">
        <f>IFERROR(proje!DD74*100/proje!$I74,"")</f>
        <v/>
      </c>
      <c r="CT579" s="39" t="str">
        <f>IFERROR(proje!DE74*100/proje!$I74,"")</f>
        <v/>
      </c>
      <c r="CU579" s="39" t="str">
        <f>IFERROR(proje!DF74*100/proje!$I74,"")</f>
        <v/>
      </c>
      <c r="CV579" s="39" t="str">
        <f>IFERROR(proje!DG74*100/proje!$I74,"")</f>
        <v/>
      </c>
      <c r="CW579" s="36" t="str">
        <f>IFERROR(SUM(A579:CV579)/proje!$DH$103,"")</f>
        <v/>
      </c>
      <c r="CX579" s="14" t="str">
        <f>IF(COUNTA(proje!A74),proje!A74,"")</f>
        <v/>
      </c>
      <c r="CY579" s="14" t="str">
        <f>IF(COUNTA(proje!B74),proje!B74,"")</f>
        <v/>
      </c>
      <c r="CZ579" s="14" t="str">
        <f>IF(COUNTA(proje!C74),proje!C74,"")</f>
        <v/>
      </c>
      <c r="DA579" s="14" t="str">
        <f>IF(COUNTA(proje!D74),proje!D74,"")</f>
        <v/>
      </c>
      <c r="DB579" s="14" t="str">
        <f>IF(COUNTA(proje!E74),proje!E74,"")</f>
        <v/>
      </c>
      <c r="DC579" s="14" t="str">
        <f>IF(COUNTA(proje!F74),proje!F74,"")</f>
        <v/>
      </c>
      <c r="DD579" s="14" t="str">
        <f>IF(COUNTA(proje!G74),proje!G74,"")</f>
        <v/>
      </c>
      <c r="DE579" s="14" t="str">
        <f>IF(COUNTA(proje!H74),proje!H74,"")</f>
        <v/>
      </c>
    </row>
    <row r="580" spans="1:109" x14ac:dyDescent="0.2">
      <c r="A580" s="39" t="str">
        <f>IFERROR(proje!L75*100/proje!$I75,"")</f>
        <v/>
      </c>
      <c r="B580" s="39" t="str">
        <f>IFERROR(proje!M75*100/proje!$I75,"")</f>
        <v/>
      </c>
      <c r="C580" s="39" t="str">
        <f>IFERROR(proje!N75*100/proje!$I75,"")</f>
        <v/>
      </c>
      <c r="D580" s="39" t="str">
        <f>IFERROR(proje!O75*100/proje!$I75,"")</f>
        <v/>
      </c>
      <c r="E580" s="39" t="str">
        <f>IFERROR(proje!P75*100/proje!$I75,"")</f>
        <v/>
      </c>
      <c r="F580" s="39" t="str">
        <f>IFERROR(proje!Q75*100/proje!$I75,"")</f>
        <v/>
      </c>
      <c r="G580" s="39" t="str">
        <f>IFERROR(proje!R75*100/proje!$I75,"")</f>
        <v/>
      </c>
      <c r="H580" s="39" t="str">
        <f>IFERROR(proje!S75*100/proje!$I75,"")</f>
        <v/>
      </c>
      <c r="I580" s="39" t="str">
        <f>IFERROR(proje!T75*100/proje!$I75,"")</f>
        <v/>
      </c>
      <c r="J580" s="39" t="str">
        <f>IFERROR(proje!U75*100/proje!$I75,"")</f>
        <v/>
      </c>
      <c r="K580" s="39" t="str">
        <f>IFERROR(proje!V75*100/proje!$I75,"")</f>
        <v/>
      </c>
      <c r="L580" s="39" t="str">
        <f>IFERROR(proje!W75*100/proje!$I75,"")</f>
        <v/>
      </c>
      <c r="M580" s="39" t="str">
        <f>IFERROR(proje!X75*100/proje!$I75,"")</f>
        <v/>
      </c>
      <c r="N580" s="39" t="str">
        <f>IFERROR(proje!Y75*100/proje!$I75,"")</f>
        <v/>
      </c>
      <c r="O580" s="39" t="str">
        <f>IFERROR(proje!Z75*100/proje!$I75,"")</f>
        <v/>
      </c>
      <c r="P580" s="39" t="str">
        <f>IFERROR(proje!AA75*100/proje!$I75,"")</f>
        <v/>
      </c>
      <c r="Q580" s="39" t="str">
        <f>IFERROR(proje!AB75*100/proje!$I75,"")</f>
        <v/>
      </c>
      <c r="R580" s="39" t="str">
        <f>IFERROR(proje!AC75*100/proje!$I75,"")</f>
        <v/>
      </c>
      <c r="S580" s="39" t="str">
        <f>IFERROR(proje!AD75*100/proje!$I75,"")</f>
        <v/>
      </c>
      <c r="T580" s="39" t="str">
        <f>IFERROR(proje!AE75*100/proje!$I75,"")</f>
        <v/>
      </c>
      <c r="U580" s="39" t="str">
        <f>IFERROR(proje!AF75*100/proje!$I75,"")</f>
        <v/>
      </c>
      <c r="V580" s="39" t="str">
        <f>IFERROR(proje!AG75*100/proje!$I75,"")</f>
        <v/>
      </c>
      <c r="W580" s="39" t="str">
        <f>IFERROR(proje!AH75*100/proje!$I75,"")</f>
        <v/>
      </c>
      <c r="X580" s="39" t="str">
        <f>IFERROR(proje!AI75*100/proje!$I75,"")</f>
        <v/>
      </c>
      <c r="Y580" s="39" t="str">
        <f>IFERROR(proje!AJ75*100/proje!$I75,"")</f>
        <v/>
      </c>
      <c r="Z580" s="39" t="str">
        <f>IFERROR(proje!AK75*100/proje!$I75,"")</f>
        <v/>
      </c>
      <c r="AA580" s="39" t="str">
        <f>IFERROR(proje!AL75*100/proje!$I75,"")</f>
        <v/>
      </c>
      <c r="AB580" s="39" t="str">
        <f>IFERROR(proje!AM75*100/proje!$I75,"")</f>
        <v/>
      </c>
      <c r="AC580" s="39" t="str">
        <f>IFERROR(proje!AN75*100/proje!$I75,"")</f>
        <v/>
      </c>
      <c r="AD580" s="39" t="str">
        <f>IFERROR(proje!AO75*100/proje!$I75,"")</f>
        <v/>
      </c>
      <c r="AE580" s="39" t="str">
        <f>IFERROR(proje!AP75*100/proje!$I75,"")</f>
        <v/>
      </c>
      <c r="AF580" s="39" t="str">
        <f>IFERROR(proje!AQ75*100/proje!$I75,"")</f>
        <v/>
      </c>
      <c r="AG580" s="39" t="str">
        <f>IFERROR(proje!AR75*100/proje!$I75,"")</f>
        <v/>
      </c>
      <c r="AH580" s="39" t="str">
        <f>IFERROR(proje!AS75*100/proje!$I75,"")</f>
        <v/>
      </c>
      <c r="AI580" s="39" t="str">
        <f>IFERROR(proje!AT75*100/proje!$I75,"")</f>
        <v/>
      </c>
      <c r="AJ580" s="39" t="str">
        <f>IFERROR(proje!AU75*100/proje!$I75,"")</f>
        <v/>
      </c>
      <c r="AK580" s="39" t="str">
        <f>IFERROR(proje!AV75*100/proje!$I75,"")</f>
        <v/>
      </c>
      <c r="AL580" s="39" t="str">
        <f>IFERROR(proje!AW75*100/proje!$I75,"")</f>
        <v/>
      </c>
      <c r="AM580" s="39" t="str">
        <f>IFERROR(proje!AX75*100/proje!$I75,"")</f>
        <v/>
      </c>
      <c r="AN580" s="39" t="str">
        <f>IFERROR(proje!AY75*100/proje!$I75,"")</f>
        <v/>
      </c>
      <c r="AO580" s="39" t="str">
        <f>IFERROR(proje!AZ75*100/proje!$I75,"")</f>
        <v/>
      </c>
      <c r="AP580" s="39" t="str">
        <f>IFERROR(proje!BA75*100/proje!$I75,"")</f>
        <v/>
      </c>
      <c r="AQ580" s="39" t="str">
        <f>IFERROR(proje!BB75*100/proje!$I75,"")</f>
        <v/>
      </c>
      <c r="AR580" s="39" t="str">
        <f>IFERROR(proje!BC75*100/proje!$I75,"")</f>
        <v/>
      </c>
      <c r="AS580" s="39" t="str">
        <f>IFERROR(proje!BD75*100/proje!$I75,"")</f>
        <v/>
      </c>
      <c r="AT580" s="39" t="str">
        <f>IFERROR(proje!BE75*100/proje!$I75,"")</f>
        <v/>
      </c>
      <c r="AU580" s="39" t="str">
        <f>IFERROR(proje!BF75*100/proje!$I75,"")</f>
        <v/>
      </c>
      <c r="AV580" s="39" t="str">
        <f>IFERROR(proje!BG75*100/proje!$I75,"")</f>
        <v/>
      </c>
      <c r="AW580" s="39" t="str">
        <f>IFERROR(proje!BH75*100/proje!$I75,"")</f>
        <v/>
      </c>
      <c r="AX580" s="39" t="str">
        <f>IFERROR(proje!BI75*100/proje!$I75,"")</f>
        <v/>
      </c>
      <c r="AY580" s="39" t="str">
        <f>IFERROR(proje!BJ75*100/proje!$I75,"")</f>
        <v/>
      </c>
      <c r="AZ580" s="39" t="str">
        <f>IFERROR(proje!BK75*100/proje!$I75,"")</f>
        <v/>
      </c>
      <c r="BA580" s="39" t="str">
        <f>IFERROR(proje!BL75*100/proje!$I75,"")</f>
        <v/>
      </c>
      <c r="BB580" s="39" t="str">
        <f>IFERROR(proje!BM75*100/proje!$I75,"")</f>
        <v/>
      </c>
      <c r="BC580" s="39" t="str">
        <f>IFERROR(proje!BN75*100/proje!$I75,"")</f>
        <v/>
      </c>
      <c r="BD580" s="39" t="str">
        <f>IFERROR(proje!BO75*100/proje!$I75,"")</f>
        <v/>
      </c>
      <c r="BE580" s="39" t="str">
        <f>IFERROR(proje!BP75*100/proje!$I75,"")</f>
        <v/>
      </c>
      <c r="BF580" s="39" t="str">
        <f>IFERROR(proje!BQ75*100/proje!$I75,"")</f>
        <v/>
      </c>
      <c r="BG580" s="39" t="str">
        <f>IFERROR(proje!BR75*100/proje!$I75,"")</f>
        <v/>
      </c>
      <c r="BH580" s="39" t="str">
        <f>IFERROR(proje!BS75*100/proje!$I75,"")</f>
        <v/>
      </c>
      <c r="BI580" s="39" t="str">
        <f>IFERROR(proje!BT75*100/proje!$I75,"")</f>
        <v/>
      </c>
      <c r="BJ580" s="39" t="str">
        <f>IFERROR(proje!BU75*100/proje!$I75,"")</f>
        <v/>
      </c>
      <c r="BK580" s="39" t="str">
        <f>IFERROR(proje!BV75*100/proje!$I75,"")</f>
        <v/>
      </c>
      <c r="BL580" s="39" t="str">
        <f>IFERROR(proje!BW75*100/proje!$I75,"")</f>
        <v/>
      </c>
      <c r="BM580" s="39" t="str">
        <f>IFERROR(proje!BX75*100/proje!$I75,"")</f>
        <v/>
      </c>
      <c r="BN580" s="39" t="str">
        <f>IFERROR(proje!BY75*100/proje!$I75,"")</f>
        <v/>
      </c>
      <c r="BO580" s="39" t="str">
        <f>IFERROR(proje!BZ75*100/proje!$I75,"")</f>
        <v/>
      </c>
      <c r="BP580" s="39" t="str">
        <f>IFERROR(proje!CA75*100/proje!$I75,"")</f>
        <v/>
      </c>
      <c r="BQ580" s="39" t="str">
        <f>IFERROR(proje!CB75*100/proje!$I75,"")</f>
        <v/>
      </c>
      <c r="BR580" s="39" t="str">
        <f>IFERROR(proje!CC75*100/proje!$I75,"")</f>
        <v/>
      </c>
      <c r="BS580" s="39" t="str">
        <f>IFERROR(proje!CD75*100/proje!$I75,"")</f>
        <v/>
      </c>
      <c r="BT580" s="39" t="str">
        <f>IFERROR(proje!CE75*100/proje!$I75,"")</f>
        <v/>
      </c>
      <c r="BU580" s="39" t="str">
        <f>IFERROR(proje!CF75*100/proje!$I75,"")</f>
        <v/>
      </c>
      <c r="BV580" s="39" t="str">
        <f>IFERROR(proje!CG75*100/proje!$I75,"")</f>
        <v/>
      </c>
      <c r="BW580" s="39" t="str">
        <f>IFERROR(proje!CH75*100/proje!$I75,"")</f>
        <v/>
      </c>
      <c r="BX580" s="39" t="str">
        <f>IFERROR(proje!CI75*100/proje!$I75,"")</f>
        <v/>
      </c>
      <c r="BY580" s="39" t="str">
        <f>IFERROR(proje!CJ75*100/proje!$I75,"")</f>
        <v/>
      </c>
      <c r="BZ580" s="39" t="str">
        <f>IFERROR(proje!CK75*100/proje!$I75,"")</f>
        <v/>
      </c>
      <c r="CA580" s="39" t="str">
        <f>IFERROR(proje!CL75*100/proje!$I75,"")</f>
        <v/>
      </c>
      <c r="CB580" s="39" t="str">
        <f>IFERROR(proje!CM75*100/proje!$I75,"")</f>
        <v/>
      </c>
      <c r="CC580" s="39" t="str">
        <f>IFERROR(proje!CN75*100/proje!$I75,"")</f>
        <v/>
      </c>
      <c r="CD580" s="39" t="str">
        <f>IFERROR(proje!CO75*100/proje!$I75,"")</f>
        <v/>
      </c>
      <c r="CE580" s="39" t="str">
        <f>IFERROR(proje!CP75*100/proje!$I75,"")</f>
        <v/>
      </c>
      <c r="CF580" s="39" t="str">
        <f>IFERROR(proje!CQ75*100/proje!$I75,"")</f>
        <v/>
      </c>
      <c r="CG580" s="39" t="str">
        <f>IFERROR(proje!CR75*100/proje!$I75,"")</f>
        <v/>
      </c>
      <c r="CH580" s="39" t="str">
        <f>IFERROR(proje!CS75*100/proje!$I75,"")</f>
        <v/>
      </c>
      <c r="CI580" s="39" t="str">
        <f>IFERROR(proje!CT75*100/proje!$I75,"")</f>
        <v/>
      </c>
      <c r="CJ580" s="39" t="str">
        <f>IFERROR(proje!CU75*100/proje!$I75,"")</f>
        <v/>
      </c>
      <c r="CK580" s="39" t="str">
        <f>IFERROR(proje!CV75*100/proje!$I75,"")</f>
        <v/>
      </c>
      <c r="CL580" s="39" t="str">
        <f>IFERROR(proje!CW75*100/proje!$I75,"")</f>
        <v/>
      </c>
      <c r="CM580" s="39" t="str">
        <f>IFERROR(proje!CX75*100/proje!$I75,"")</f>
        <v/>
      </c>
      <c r="CN580" s="39" t="str">
        <f>IFERROR(proje!CY75*100/proje!$I75,"")</f>
        <v/>
      </c>
      <c r="CO580" s="39" t="str">
        <f>IFERROR(proje!CZ75*100/proje!$I75,"")</f>
        <v/>
      </c>
      <c r="CP580" s="39" t="str">
        <f>IFERROR(proje!DA75*100/proje!$I75,"")</f>
        <v/>
      </c>
      <c r="CQ580" s="39" t="str">
        <f>IFERROR(proje!DB75*100/proje!$I75,"")</f>
        <v/>
      </c>
      <c r="CR580" s="39" t="str">
        <f>IFERROR(proje!DC75*100/proje!$I75,"")</f>
        <v/>
      </c>
      <c r="CS580" s="39" t="str">
        <f>IFERROR(proje!DD75*100/proje!$I75,"")</f>
        <v/>
      </c>
      <c r="CT580" s="39" t="str">
        <f>IFERROR(proje!DE75*100/proje!$I75,"")</f>
        <v/>
      </c>
      <c r="CU580" s="39" t="str">
        <f>IFERROR(proje!DF75*100/proje!$I75,"")</f>
        <v/>
      </c>
      <c r="CV580" s="39" t="str">
        <f>IFERROR(proje!DG75*100/proje!$I75,"")</f>
        <v/>
      </c>
      <c r="CW580" s="36" t="str">
        <f>IFERROR(SUM(A580:CV580)/proje!$DH$103,"")</f>
        <v/>
      </c>
      <c r="CX580" s="14" t="str">
        <f>IF(COUNTA(proje!A75),proje!A75,"")</f>
        <v/>
      </c>
      <c r="CY580" s="14" t="str">
        <f>IF(COUNTA(proje!B75),proje!B75,"")</f>
        <v/>
      </c>
      <c r="CZ580" s="14" t="str">
        <f>IF(COUNTA(proje!C75),proje!C75,"")</f>
        <v/>
      </c>
      <c r="DA580" s="14" t="str">
        <f>IF(COUNTA(proje!D75),proje!D75,"")</f>
        <v/>
      </c>
      <c r="DB580" s="14" t="str">
        <f>IF(COUNTA(proje!E75),proje!E75,"")</f>
        <v/>
      </c>
      <c r="DC580" s="14" t="str">
        <f>IF(COUNTA(proje!F75),proje!F75,"")</f>
        <v/>
      </c>
      <c r="DD580" s="14" t="str">
        <f>IF(COUNTA(proje!G75),proje!G75,"")</f>
        <v/>
      </c>
      <c r="DE580" s="14" t="str">
        <f>IF(COUNTA(proje!H75),proje!H75,"")</f>
        <v/>
      </c>
    </row>
    <row r="581" spans="1:109" x14ac:dyDescent="0.2">
      <c r="A581" s="39" t="str">
        <f>IFERROR(proje!L76*100/proje!$I76,"")</f>
        <v/>
      </c>
      <c r="B581" s="39" t="str">
        <f>IFERROR(proje!M76*100/proje!$I76,"")</f>
        <v/>
      </c>
      <c r="C581" s="39" t="str">
        <f>IFERROR(proje!N76*100/proje!$I76,"")</f>
        <v/>
      </c>
      <c r="D581" s="39" t="str">
        <f>IFERROR(proje!O76*100/proje!$I76,"")</f>
        <v/>
      </c>
      <c r="E581" s="39" t="str">
        <f>IFERROR(proje!P76*100/proje!$I76,"")</f>
        <v/>
      </c>
      <c r="F581" s="39" t="str">
        <f>IFERROR(proje!Q76*100/proje!$I76,"")</f>
        <v/>
      </c>
      <c r="G581" s="39" t="str">
        <f>IFERROR(proje!R76*100/proje!$I76,"")</f>
        <v/>
      </c>
      <c r="H581" s="39" t="str">
        <f>IFERROR(proje!S76*100/proje!$I76,"")</f>
        <v/>
      </c>
      <c r="I581" s="39" t="str">
        <f>IFERROR(proje!T76*100/proje!$I76,"")</f>
        <v/>
      </c>
      <c r="J581" s="39" t="str">
        <f>IFERROR(proje!U76*100/proje!$I76,"")</f>
        <v/>
      </c>
      <c r="K581" s="39" t="str">
        <f>IFERROR(proje!V76*100/proje!$I76,"")</f>
        <v/>
      </c>
      <c r="L581" s="39" t="str">
        <f>IFERROR(proje!W76*100/proje!$I76,"")</f>
        <v/>
      </c>
      <c r="M581" s="39" t="str">
        <f>IFERROR(proje!X76*100/proje!$I76,"")</f>
        <v/>
      </c>
      <c r="N581" s="39" t="str">
        <f>IFERROR(proje!Y76*100/proje!$I76,"")</f>
        <v/>
      </c>
      <c r="O581" s="39" t="str">
        <f>IFERROR(proje!Z76*100/proje!$I76,"")</f>
        <v/>
      </c>
      <c r="P581" s="39" t="str">
        <f>IFERROR(proje!AA76*100/proje!$I76,"")</f>
        <v/>
      </c>
      <c r="Q581" s="39" t="str">
        <f>IFERROR(proje!AB76*100/proje!$I76,"")</f>
        <v/>
      </c>
      <c r="R581" s="39" t="str">
        <f>IFERROR(proje!AC76*100/proje!$I76,"")</f>
        <v/>
      </c>
      <c r="S581" s="39" t="str">
        <f>IFERROR(proje!AD76*100/proje!$I76,"")</f>
        <v/>
      </c>
      <c r="T581" s="39" t="str">
        <f>IFERROR(proje!AE76*100/proje!$I76,"")</f>
        <v/>
      </c>
      <c r="U581" s="39" t="str">
        <f>IFERROR(proje!AF76*100/proje!$I76,"")</f>
        <v/>
      </c>
      <c r="V581" s="39" t="str">
        <f>IFERROR(proje!AG76*100/proje!$I76,"")</f>
        <v/>
      </c>
      <c r="W581" s="39" t="str">
        <f>IFERROR(proje!AH76*100/proje!$I76,"")</f>
        <v/>
      </c>
      <c r="X581" s="39" t="str">
        <f>IFERROR(proje!AI76*100/proje!$I76,"")</f>
        <v/>
      </c>
      <c r="Y581" s="39" t="str">
        <f>IFERROR(proje!AJ76*100/proje!$I76,"")</f>
        <v/>
      </c>
      <c r="Z581" s="39" t="str">
        <f>IFERROR(proje!AK76*100/proje!$I76,"")</f>
        <v/>
      </c>
      <c r="AA581" s="39" t="str">
        <f>IFERROR(proje!AL76*100/proje!$I76,"")</f>
        <v/>
      </c>
      <c r="AB581" s="39" t="str">
        <f>IFERROR(proje!AM76*100/proje!$I76,"")</f>
        <v/>
      </c>
      <c r="AC581" s="39" t="str">
        <f>IFERROR(proje!AN76*100/proje!$I76,"")</f>
        <v/>
      </c>
      <c r="AD581" s="39" t="str">
        <f>IFERROR(proje!AO76*100/proje!$I76,"")</f>
        <v/>
      </c>
      <c r="AE581" s="39" t="str">
        <f>IFERROR(proje!AP76*100/proje!$I76,"")</f>
        <v/>
      </c>
      <c r="AF581" s="39" t="str">
        <f>IFERROR(proje!AQ76*100/proje!$I76,"")</f>
        <v/>
      </c>
      <c r="AG581" s="39" t="str">
        <f>IFERROR(proje!AR76*100/proje!$I76,"")</f>
        <v/>
      </c>
      <c r="AH581" s="39" t="str">
        <f>IFERROR(proje!AS76*100/proje!$I76,"")</f>
        <v/>
      </c>
      <c r="AI581" s="39" t="str">
        <f>IFERROR(proje!AT76*100/proje!$I76,"")</f>
        <v/>
      </c>
      <c r="AJ581" s="39" t="str">
        <f>IFERROR(proje!AU76*100/proje!$I76,"")</f>
        <v/>
      </c>
      <c r="AK581" s="39" t="str">
        <f>IFERROR(proje!AV76*100/proje!$I76,"")</f>
        <v/>
      </c>
      <c r="AL581" s="39" t="str">
        <f>IFERROR(proje!AW76*100/proje!$I76,"")</f>
        <v/>
      </c>
      <c r="AM581" s="39" t="str">
        <f>IFERROR(proje!AX76*100/proje!$I76,"")</f>
        <v/>
      </c>
      <c r="AN581" s="39" t="str">
        <f>IFERROR(proje!AY76*100/proje!$I76,"")</f>
        <v/>
      </c>
      <c r="AO581" s="39" t="str">
        <f>IFERROR(proje!AZ76*100/proje!$I76,"")</f>
        <v/>
      </c>
      <c r="AP581" s="39" t="str">
        <f>IFERROR(proje!BA76*100/proje!$I76,"")</f>
        <v/>
      </c>
      <c r="AQ581" s="39" t="str">
        <f>IFERROR(proje!BB76*100/proje!$I76,"")</f>
        <v/>
      </c>
      <c r="AR581" s="39" t="str">
        <f>IFERROR(proje!BC76*100/proje!$I76,"")</f>
        <v/>
      </c>
      <c r="AS581" s="39" t="str">
        <f>IFERROR(proje!BD76*100/proje!$I76,"")</f>
        <v/>
      </c>
      <c r="AT581" s="39" t="str">
        <f>IFERROR(proje!BE76*100/proje!$I76,"")</f>
        <v/>
      </c>
      <c r="AU581" s="39" t="str">
        <f>IFERROR(proje!BF76*100/proje!$I76,"")</f>
        <v/>
      </c>
      <c r="AV581" s="39" t="str">
        <f>IFERROR(proje!BG76*100/proje!$I76,"")</f>
        <v/>
      </c>
      <c r="AW581" s="39" t="str">
        <f>IFERROR(proje!BH76*100/proje!$I76,"")</f>
        <v/>
      </c>
      <c r="AX581" s="39" t="str">
        <f>IFERROR(proje!BI76*100/proje!$I76,"")</f>
        <v/>
      </c>
      <c r="AY581" s="39" t="str">
        <f>IFERROR(proje!BJ76*100/proje!$I76,"")</f>
        <v/>
      </c>
      <c r="AZ581" s="39" t="str">
        <f>IFERROR(proje!BK76*100/proje!$I76,"")</f>
        <v/>
      </c>
      <c r="BA581" s="39" t="str">
        <f>IFERROR(proje!BL76*100/proje!$I76,"")</f>
        <v/>
      </c>
      <c r="BB581" s="39" t="str">
        <f>IFERROR(proje!BM76*100/proje!$I76,"")</f>
        <v/>
      </c>
      <c r="BC581" s="39" t="str">
        <f>IFERROR(proje!BN76*100/proje!$I76,"")</f>
        <v/>
      </c>
      <c r="BD581" s="39" t="str">
        <f>IFERROR(proje!BO76*100/proje!$I76,"")</f>
        <v/>
      </c>
      <c r="BE581" s="39" t="str">
        <f>IFERROR(proje!BP76*100/proje!$I76,"")</f>
        <v/>
      </c>
      <c r="BF581" s="39" t="str">
        <f>IFERROR(proje!BQ76*100/proje!$I76,"")</f>
        <v/>
      </c>
      <c r="BG581" s="39" t="str">
        <f>IFERROR(proje!BR76*100/proje!$I76,"")</f>
        <v/>
      </c>
      <c r="BH581" s="39" t="str">
        <f>IFERROR(proje!BS76*100/proje!$I76,"")</f>
        <v/>
      </c>
      <c r="BI581" s="39" t="str">
        <f>IFERROR(proje!BT76*100/proje!$I76,"")</f>
        <v/>
      </c>
      <c r="BJ581" s="39" t="str">
        <f>IFERROR(proje!BU76*100/proje!$I76,"")</f>
        <v/>
      </c>
      <c r="BK581" s="39" t="str">
        <f>IFERROR(proje!BV76*100/proje!$I76,"")</f>
        <v/>
      </c>
      <c r="BL581" s="39" t="str">
        <f>IFERROR(proje!BW76*100/proje!$I76,"")</f>
        <v/>
      </c>
      <c r="BM581" s="39" t="str">
        <f>IFERROR(proje!BX76*100/proje!$I76,"")</f>
        <v/>
      </c>
      <c r="BN581" s="39" t="str">
        <f>IFERROR(proje!BY76*100/proje!$I76,"")</f>
        <v/>
      </c>
      <c r="BO581" s="39" t="str">
        <f>IFERROR(proje!BZ76*100/proje!$I76,"")</f>
        <v/>
      </c>
      <c r="BP581" s="39" t="str">
        <f>IFERROR(proje!CA76*100/proje!$I76,"")</f>
        <v/>
      </c>
      <c r="BQ581" s="39" t="str">
        <f>IFERROR(proje!CB76*100/proje!$I76,"")</f>
        <v/>
      </c>
      <c r="BR581" s="39" t="str">
        <f>IFERROR(proje!CC76*100/proje!$I76,"")</f>
        <v/>
      </c>
      <c r="BS581" s="39" t="str">
        <f>IFERROR(proje!CD76*100/proje!$I76,"")</f>
        <v/>
      </c>
      <c r="BT581" s="39" t="str">
        <f>IFERROR(proje!CE76*100/proje!$I76,"")</f>
        <v/>
      </c>
      <c r="BU581" s="39" t="str">
        <f>IFERROR(proje!CF76*100/proje!$I76,"")</f>
        <v/>
      </c>
      <c r="BV581" s="39" t="str">
        <f>IFERROR(proje!CG76*100/proje!$I76,"")</f>
        <v/>
      </c>
      <c r="BW581" s="39" t="str">
        <f>IFERROR(proje!CH76*100/proje!$I76,"")</f>
        <v/>
      </c>
      <c r="BX581" s="39" t="str">
        <f>IFERROR(proje!CI76*100/proje!$I76,"")</f>
        <v/>
      </c>
      <c r="BY581" s="39" t="str">
        <f>IFERROR(proje!CJ76*100/proje!$I76,"")</f>
        <v/>
      </c>
      <c r="BZ581" s="39" t="str">
        <f>IFERROR(proje!CK76*100/proje!$I76,"")</f>
        <v/>
      </c>
      <c r="CA581" s="39" t="str">
        <f>IFERROR(proje!CL76*100/proje!$I76,"")</f>
        <v/>
      </c>
      <c r="CB581" s="39" t="str">
        <f>IFERROR(proje!CM76*100/proje!$I76,"")</f>
        <v/>
      </c>
      <c r="CC581" s="39" t="str">
        <f>IFERROR(proje!CN76*100/proje!$I76,"")</f>
        <v/>
      </c>
      <c r="CD581" s="39" t="str">
        <f>IFERROR(proje!CO76*100/proje!$I76,"")</f>
        <v/>
      </c>
      <c r="CE581" s="39" t="str">
        <f>IFERROR(proje!CP76*100/proje!$I76,"")</f>
        <v/>
      </c>
      <c r="CF581" s="39" t="str">
        <f>IFERROR(proje!CQ76*100/proje!$I76,"")</f>
        <v/>
      </c>
      <c r="CG581" s="39" t="str">
        <f>IFERROR(proje!CR76*100/proje!$I76,"")</f>
        <v/>
      </c>
      <c r="CH581" s="39" t="str">
        <f>IFERROR(proje!CS76*100/proje!$I76,"")</f>
        <v/>
      </c>
      <c r="CI581" s="39" t="str">
        <f>IFERROR(proje!CT76*100/proje!$I76,"")</f>
        <v/>
      </c>
      <c r="CJ581" s="39" t="str">
        <f>IFERROR(proje!CU76*100/proje!$I76,"")</f>
        <v/>
      </c>
      <c r="CK581" s="39" t="str">
        <f>IFERROR(proje!CV76*100/proje!$I76,"")</f>
        <v/>
      </c>
      <c r="CL581" s="39" t="str">
        <f>IFERROR(proje!CW76*100/proje!$I76,"")</f>
        <v/>
      </c>
      <c r="CM581" s="39" t="str">
        <f>IFERROR(proje!CX76*100/proje!$I76,"")</f>
        <v/>
      </c>
      <c r="CN581" s="39" t="str">
        <f>IFERROR(proje!CY76*100/proje!$I76,"")</f>
        <v/>
      </c>
      <c r="CO581" s="39" t="str">
        <f>IFERROR(proje!CZ76*100/proje!$I76,"")</f>
        <v/>
      </c>
      <c r="CP581" s="39" t="str">
        <f>IFERROR(proje!DA76*100/proje!$I76,"")</f>
        <v/>
      </c>
      <c r="CQ581" s="39" t="str">
        <f>IFERROR(proje!DB76*100/proje!$I76,"")</f>
        <v/>
      </c>
      <c r="CR581" s="39" t="str">
        <f>IFERROR(proje!DC76*100/proje!$I76,"")</f>
        <v/>
      </c>
      <c r="CS581" s="39" t="str">
        <f>IFERROR(proje!DD76*100/proje!$I76,"")</f>
        <v/>
      </c>
      <c r="CT581" s="39" t="str">
        <f>IFERROR(proje!DE76*100/proje!$I76,"")</f>
        <v/>
      </c>
      <c r="CU581" s="39" t="str">
        <f>IFERROR(proje!DF76*100/proje!$I76,"")</f>
        <v/>
      </c>
      <c r="CV581" s="39" t="str">
        <f>IFERROR(proje!DG76*100/proje!$I76,"")</f>
        <v/>
      </c>
      <c r="CW581" s="36" t="str">
        <f>IFERROR(SUM(A581:CV581)/proje!$DH$103,"")</f>
        <v/>
      </c>
      <c r="CX581" s="14" t="str">
        <f>IF(COUNTA(proje!A76),proje!A76,"")</f>
        <v/>
      </c>
      <c r="CY581" s="14" t="str">
        <f>IF(COUNTA(proje!B76),proje!B76,"")</f>
        <v/>
      </c>
      <c r="CZ581" s="14" t="str">
        <f>IF(COUNTA(proje!C76),proje!C76,"")</f>
        <v/>
      </c>
      <c r="DA581" s="14" t="str">
        <f>IF(COUNTA(proje!D76),proje!D76,"")</f>
        <v/>
      </c>
      <c r="DB581" s="14" t="str">
        <f>IF(COUNTA(proje!E76),proje!E76,"")</f>
        <v/>
      </c>
      <c r="DC581" s="14" t="str">
        <f>IF(COUNTA(proje!F76),proje!F76,"")</f>
        <v/>
      </c>
      <c r="DD581" s="14" t="str">
        <f>IF(COUNTA(proje!G76),proje!G76,"")</f>
        <v/>
      </c>
      <c r="DE581" s="14" t="str">
        <f>IF(COUNTA(proje!H76),proje!H76,"")</f>
        <v/>
      </c>
    </row>
    <row r="582" spans="1:109" x14ac:dyDescent="0.2">
      <c r="A582" s="39" t="str">
        <f>IFERROR(proje!L77*100/proje!$I77,"")</f>
        <v/>
      </c>
      <c r="B582" s="39" t="str">
        <f>IFERROR(proje!M77*100/proje!$I77,"")</f>
        <v/>
      </c>
      <c r="C582" s="39" t="str">
        <f>IFERROR(proje!N77*100/proje!$I77,"")</f>
        <v/>
      </c>
      <c r="D582" s="39" t="str">
        <f>IFERROR(proje!O77*100/proje!$I77,"")</f>
        <v/>
      </c>
      <c r="E582" s="39" t="str">
        <f>IFERROR(proje!P77*100/proje!$I77,"")</f>
        <v/>
      </c>
      <c r="F582" s="39" t="str">
        <f>IFERROR(proje!Q77*100/proje!$I77,"")</f>
        <v/>
      </c>
      <c r="G582" s="39" t="str">
        <f>IFERROR(proje!R77*100/proje!$I77,"")</f>
        <v/>
      </c>
      <c r="H582" s="39" t="str">
        <f>IFERROR(proje!S77*100/proje!$I77,"")</f>
        <v/>
      </c>
      <c r="I582" s="39" t="str">
        <f>IFERROR(proje!T77*100/proje!$I77,"")</f>
        <v/>
      </c>
      <c r="J582" s="39" t="str">
        <f>IFERROR(proje!U77*100/proje!$I77,"")</f>
        <v/>
      </c>
      <c r="K582" s="39" t="str">
        <f>IFERROR(proje!V77*100/proje!$I77,"")</f>
        <v/>
      </c>
      <c r="L582" s="39" t="str">
        <f>IFERROR(proje!W77*100/proje!$I77,"")</f>
        <v/>
      </c>
      <c r="M582" s="39" t="str">
        <f>IFERROR(proje!X77*100/proje!$I77,"")</f>
        <v/>
      </c>
      <c r="N582" s="39" t="str">
        <f>IFERROR(proje!Y77*100/proje!$I77,"")</f>
        <v/>
      </c>
      <c r="O582" s="39" t="str">
        <f>IFERROR(proje!Z77*100/proje!$I77,"")</f>
        <v/>
      </c>
      <c r="P582" s="39" t="str">
        <f>IFERROR(proje!AA77*100/proje!$I77,"")</f>
        <v/>
      </c>
      <c r="Q582" s="39" t="str">
        <f>IFERROR(proje!AB77*100/proje!$I77,"")</f>
        <v/>
      </c>
      <c r="R582" s="39" t="str">
        <f>IFERROR(proje!AC77*100/proje!$I77,"")</f>
        <v/>
      </c>
      <c r="S582" s="39" t="str">
        <f>IFERROR(proje!AD77*100/proje!$I77,"")</f>
        <v/>
      </c>
      <c r="T582" s="39" t="str">
        <f>IFERROR(proje!AE77*100/proje!$I77,"")</f>
        <v/>
      </c>
      <c r="U582" s="39" t="str">
        <f>IFERROR(proje!AF77*100/proje!$I77,"")</f>
        <v/>
      </c>
      <c r="V582" s="39" t="str">
        <f>IFERROR(proje!AG77*100/proje!$I77,"")</f>
        <v/>
      </c>
      <c r="W582" s="39" t="str">
        <f>IFERROR(proje!AH77*100/proje!$I77,"")</f>
        <v/>
      </c>
      <c r="X582" s="39" t="str">
        <f>IFERROR(proje!AI77*100/proje!$I77,"")</f>
        <v/>
      </c>
      <c r="Y582" s="39" t="str">
        <f>IFERROR(proje!AJ77*100/proje!$I77,"")</f>
        <v/>
      </c>
      <c r="Z582" s="39" t="str">
        <f>IFERROR(proje!AK77*100/proje!$I77,"")</f>
        <v/>
      </c>
      <c r="AA582" s="39" t="str">
        <f>IFERROR(proje!AL77*100/proje!$I77,"")</f>
        <v/>
      </c>
      <c r="AB582" s="39" t="str">
        <f>IFERROR(proje!AM77*100/proje!$I77,"")</f>
        <v/>
      </c>
      <c r="AC582" s="39" t="str">
        <f>IFERROR(proje!AN77*100/proje!$I77,"")</f>
        <v/>
      </c>
      <c r="AD582" s="39" t="str">
        <f>IFERROR(proje!AO77*100/proje!$I77,"")</f>
        <v/>
      </c>
      <c r="AE582" s="39" t="str">
        <f>IFERROR(proje!AP77*100/proje!$I77,"")</f>
        <v/>
      </c>
      <c r="AF582" s="39" t="str">
        <f>IFERROR(proje!AQ77*100/proje!$I77,"")</f>
        <v/>
      </c>
      <c r="AG582" s="39" t="str">
        <f>IFERROR(proje!AR77*100/proje!$I77,"")</f>
        <v/>
      </c>
      <c r="AH582" s="39" t="str">
        <f>IFERROR(proje!AS77*100/proje!$I77,"")</f>
        <v/>
      </c>
      <c r="AI582" s="39" t="str">
        <f>IFERROR(proje!AT77*100/proje!$I77,"")</f>
        <v/>
      </c>
      <c r="AJ582" s="39" t="str">
        <f>IFERROR(proje!AU77*100/proje!$I77,"")</f>
        <v/>
      </c>
      <c r="AK582" s="39" t="str">
        <f>IFERROR(proje!AV77*100/proje!$I77,"")</f>
        <v/>
      </c>
      <c r="AL582" s="39" t="str">
        <f>IFERROR(proje!AW77*100/proje!$I77,"")</f>
        <v/>
      </c>
      <c r="AM582" s="39" t="str">
        <f>IFERROR(proje!AX77*100/proje!$I77,"")</f>
        <v/>
      </c>
      <c r="AN582" s="39" t="str">
        <f>IFERROR(proje!AY77*100/proje!$I77,"")</f>
        <v/>
      </c>
      <c r="AO582" s="39" t="str">
        <f>IFERROR(proje!AZ77*100/proje!$I77,"")</f>
        <v/>
      </c>
      <c r="AP582" s="39" t="str">
        <f>IFERROR(proje!BA77*100/proje!$I77,"")</f>
        <v/>
      </c>
      <c r="AQ582" s="39" t="str">
        <f>IFERROR(proje!BB77*100/proje!$I77,"")</f>
        <v/>
      </c>
      <c r="AR582" s="39" t="str">
        <f>IFERROR(proje!BC77*100/proje!$I77,"")</f>
        <v/>
      </c>
      <c r="AS582" s="39" t="str">
        <f>IFERROR(proje!BD77*100/proje!$I77,"")</f>
        <v/>
      </c>
      <c r="AT582" s="39" t="str">
        <f>IFERROR(proje!BE77*100/proje!$I77,"")</f>
        <v/>
      </c>
      <c r="AU582" s="39" t="str">
        <f>IFERROR(proje!BF77*100/proje!$I77,"")</f>
        <v/>
      </c>
      <c r="AV582" s="39" t="str">
        <f>IFERROR(proje!BG77*100/proje!$I77,"")</f>
        <v/>
      </c>
      <c r="AW582" s="39" t="str">
        <f>IFERROR(proje!BH77*100/proje!$I77,"")</f>
        <v/>
      </c>
      <c r="AX582" s="39" t="str">
        <f>IFERROR(proje!BI77*100/proje!$I77,"")</f>
        <v/>
      </c>
      <c r="AY582" s="39" t="str">
        <f>IFERROR(proje!BJ77*100/proje!$I77,"")</f>
        <v/>
      </c>
      <c r="AZ582" s="39" t="str">
        <f>IFERROR(proje!BK77*100/proje!$I77,"")</f>
        <v/>
      </c>
      <c r="BA582" s="39" t="str">
        <f>IFERROR(proje!BL77*100/proje!$I77,"")</f>
        <v/>
      </c>
      <c r="BB582" s="39" t="str">
        <f>IFERROR(proje!BM77*100/proje!$I77,"")</f>
        <v/>
      </c>
      <c r="BC582" s="39" t="str">
        <f>IFERROR(proje!BN77*100/proje!$I77,"")</f>
        <v/>
      </c>
      <c r="BD582" s="39" t="str">
        <f>IFERROR(proje!BO77*100/proje!$I77,"")</f>
        <v/>
      </c>
      <c r="BE582" s="39" t="str">
        <f>IFERROR(proje!BP77*100/proje!$I77,"")</f>
        <v/>
      </c>
      <c r="BF582" s="39" t="str">
        <f>IFERROR(proje!BQ77*100/proje!$I77,"")</f>
        <v/>
      </c>
      <c r="BG582" s="39" t="str">
        <f>IFERROR(proje!BR77*100/proje!$I77,"")</f>
        <v/>
      </c>
      <c r="BH582" s="39" t="str">
        <f>IFERROR(proje!BS77*100/proje!$I77,"")</f>
        <v/>
      </c>
      <c r="BI582" s="39" t="str">
        <f>IFERROR(proje!BT77*100/proje!$I77,"")</f>
        <v/>
      </c>
      <c r="BJ582" s="39" t="str">
        <f>IFERROR(proje!BU77*100/proje!$I77,"")</f>
        <v/>
      </c>
      <c r="BK582" s="39" t="str">
        <f>IFERROR(proje!BV77*100/proje!$I77,"")</f>
        <v/>
      </c>
      <c r="BL582" s="39" t="str">
        <f>IFERROR(proje!BW77*100/proje!$I77,"")</f>
        <v/>
      </c>
      <c r="BM582" s="39" t="str">
        <f>IFERROR(proje!BX77*100/proje!$I77,"")</f>
        <v/>
      </c>
      <c r="BN582" s="39" t="str">
        <f>IFERROR(proje!BY77*100/proje!$I77,"")</f>
        <v/>
      </c>
      <c r="BO582" s="39" t="str">
        <f>IFERROR(proje!BZ77*100/proje!$I77,"")</f>
        <v/>
      </c>
      <c r="BP582" s="39" t="str">
        <f>IFERROR(proje!CA77*100/proje!$I77,"")</f>
        <v/>
      </c>
      <c r="BQ582" s="39" t="str">
        <f>IFERROR(proje!CB77*100/proje!$I77,"")</f>
        <v/>
      </c>
      <c r="BR582" s="39" t="str">
        <f>IFERROR(proje!CC77*100/proje!$I77,"")</f>
        <v/>
      </c>
      <c r="BS582" s="39" t="str">
        <f>IFERROR(proje!CD77*100/proje!$I77,"")</f>
        <v/>
      </c>
      <c r="BT582" s="39" t="str">
        <f>IFERROR(proje!CE77*100/proje!$I77,"")</f>
        <v/>
      </c>
      <c r="BU582" s="39" t="str">
        <f>IFERROR(proje!CF77*100/proje!$I77,"")</f>
        <v/>
      </c>
      <c r="BV582" s="39" t="str">
        <f>IFERROR(proje!CG77*100/proje!$I77,"")</f>
        <v/>
      </c>
      <c r="BW582" s="39" t="str">
        <f>IFERROR(proje!CH77*100/proje!$I77,"")</f>
        <v/>
      </c>
      <c r="BX582" s="39" t="str">
        <f>IFERROR(proje!CI77*100/proje!$I77,"")</f>
        <v/>
      </c>
      <c r="BY582" s="39" t="str">
        <f>IFERROR(proje!CJ77*100/proje!$I77,"")</f>
        <v/>
      </c>
      <c r="BZ582" s="39" t="str">
        <f>IFERROR(proje!CK77*100/proje!$I77,"")</f>
        <v/>
      </c>
      <c r="CA582" s="39" t="str">
        <f>IFERROR(proje!CL77*100/proje!$I77,"")</f>
        <v/>
      </c>
      <c r="CB582" s="39" t="str">
        <f>IFERROR(proje!CM77*100/proje!$I77,"")</f>
        <v/>
      </c>
      <c r="CC582" s="39" t="str">
        <f>IFERROR(proje!CN77*100/proje!$I77,"")</f>
        <v/>
      </c>
      <c r="CD582" s="39" t="str">
        <f>IFERROR(proje!CO77*100/proje!$I77,"")</f>
        <v/>
      </c>
      <c r="CE582" s="39" t="str">
        <f>IFERROR(proje!CP77*100/proje!$I77,"")</f>
        <v/>
      </c>
      <c r="CF582" s="39" t="str">
        <f>IFERROR(proje!CQ77*100/proje!$I77,"")</f>
        <v/>
      </c>
      <c r="CG582" s="39" t="str">
        <f>IFERROR(proje!CR77*100/proje!$I77,"")</f>
        <v/>
      </c>
      <c r="CH582" s="39" t="str">
        <f>IFERROR(proje!CS77*100/proje!$I77,"")</f>
        <v/>
      </c>
      <c r="CI582" s="39" t="str">
        <f>IFERROR(proje!CT77*100/proje!$I77,"")</f>
        <v/>
      </c>
      <c r="CJ582" s="39" t="str">
        <f>IFERROR(proje!CU77*100/proje!$I77,"")</f>
        <v/>
      </c>
      <c r="CK582" s="39" t="str">
        <f>IFERROR(proje!CV77*100/proje!$I77,"")</f>
        <v/>
      </c>
      <c r="CL582" s="39" t="str">
        <f>IFERROR(proje!CW77*100/proje!$I77,"")</f>
        <v/>
      </c>
      <c r="CM582" s="39" t="str">
        <f>IFERROR(proje!CX77*100/proje!$I77,"")</f>
        <v/>
      </c>
      <c r="CN582" s="39" t="str">
        <f>IFERROR(proje!CY77*100/proje!$I77,"")</f>
        <v/>
      </c>
      <c r="CO582" s="39" t="str">
        <f>IFERROR(proje!CZ77*100/proje!$I77,"")</f>
        <v/>
      </c>
      <c r="CP582" s="39" t="str">
        <f>IFERROR(proje!DA77*100/proje!$I77,"")</f>
        <v/>
      </c>
      <c r="CQ582" s="39" t="str">
        <f>IFERROR(proje!DB77*100/proje!$I77,"")</f>
        <v/>
      </c>
      <c r="CR582" s="39" t="str">
        <f>IFERROR(proje!DC77*100/proje!$I77,"")</f>
        <v/>
      </c>
      <c r="CS582" s="39" t="str">
        <f>IFERROR(proje!DD77*100/proje!$I77,"")</f>
        <v/>
      </c>
      <c r="CT582" s="39" t="str">
        <f>IFERROR(proje!DE77*100/proje!$I77,"")</f>
        <v/>
      </c>
      <c r="CU582" s="39" t="str">
        <f>IFERROR(proje!DF77*100/proje!$I77,"")</f>
        <v/>
      </c>
      <c r="CV582" s="39" t="str">
        <f>IFERROR(proje!DG77*100/proje!$I77,"")</f>
        <v/>
      </c>
      <c r="CW582" s="36" t="str">
        <f>IFERROR(SUM(A582:CV582)/proje!$DH$103,"")</f>
        <v/>
      </c>
      <c r="CX582" s="14" t="str">
        <f>IF(COUNTA(proje!A77),proje!A77,"")</f>
        <v/>
      </c>
      <c r="CY582" s="14" t="str">
        <f>IF(COUNTA(proje!B77),proje!B77,"")</f>
        <v/>
      </c>
      <c r="CZ582" s="14" t="str">
        <f>IF(COUNTA(proje!C77),proje!C77,"")</f>
        <v/>
      </c>
      <c r="DA582" s="14" t="str">
        <f>IF(COUNTA(proje!D77),proje!D77,"")</f>
        <v/>
      </c>
      <c r="DB582" s="14" t="str">
        <f>IF(COUNTA(proje!E77),proje!E77,"")</f>
        <v/>
      </c>
      <c r="DC582" s="14" t="str">
        <f>IF(COUNTA(proje!F77),proje!F77,"")</f>
        <v/>
      </c>
      <c r="DD582" s="14" t="str">
        <f>IF(COUNTA(proje!G77),proje!G77,"")</f>
        <v/>
      </c>
      <c r="DE582" s="14" t="str">
        <f>IF(COUNTA(proje!H77),proje!H77,"")</f>
        <v/>
      </c>
    </row>
    <row r="583" spans="1:109" x14ac:dyDescent="0.2">
      <c r="A583" s="39" t="str">
        <f>IFERROR(proje!L78*100/proje!$I78,"")</f>
        <v/>
      </c>
      <c r="B583" s="39" t="str">
        <f>IFERROR(proje!M78*100/proje!$I78,"")</f>
        <v/>
      </c>
      <c r="C583" s="39" t="str">
        <f>IFERROR(proje!N78*100/proje!$I78,"")</f>
        <v/>
      </c>
      <c r="D583" s="39" t="str">
        <f>IFERROR(proje!O78*100/proje!$I78,"")</f>
        <v/>
      </c>
      <c r="E583" s="39" t="str">
        <f>IFERROR(proje!P78*100/proje!$I78,"")</f>
        <v/>
      </c>
      <c r="F583" s="39" t="str">
        <f>IFERROR(proje!Q78*100/proje!$I78,"")</f>
        <v/>
      </c>
      <c r="G583" s="39" t="str">
        <f>IFERROR(proje!R78*100/proje!$I78,"")</f>
        <v/>
      </c>
      <c r="H583" s="39" t="str">
        <f>IFERROR(proje!S78*100/proje!$I78,"")</f>
        <v/>
      </c>
      <c r="I583" s="39" t="str">
        <f>IFERROR(proje!T78*100/proje!$I78,"")</f>
        <v/>
      </c>
      <c r="J583" s="39" t="str">
        <f>IFERROR(proje!U78*100/proje!$I78,"")</f>
        <v/>
      </c>
      <c r="K583" s="39" t="str">
        <f>IFERROR(proje!V78*100/proje!$I78,"")</f>
        <v/>
      </c>
      <c r="L583" s="39" t="str">
        <f>IFERROR(proje!W78*100/proje!$I78,"")</f>
        <v/>
      </c>
      <c r="M583" s="39" t="str">
        <f>IFERROR(proje!X78*100/proje!$I78,"")</f>
        <v/>
      </c>
      <c r="N583" s="39" t="str">
        <f>IFERROR(proje!Y78*100/proje!$I78,"")</f>
        <v/>
      </c>
      <c r="O583" s="39" t="str">
        <f>IFERROR(proje!Z78*100/proje!$I78,"")</f>
        <v/>
      </c>
      <c r="P583" s="39" t="str">
        <f>IFERROR(proje!AA78*100/proje!$I78,"")</f>
        <v/>
      </c>
      <c r="Q583" s="39" t="str">
        <f>IFERROR(proje!AB78*100/proje!$I78,"")</f>
        <v/>
      </c>
      <c r="R583" s="39" t="str">
        <f>IFERROR(proje!AC78*100/proje!$I78,"")</f>
        <v/>
      </c>
      <c r="S583" s="39" t="str">
        <f>IFERROR(proje!AD78*100/proje!$I78,"")</f>
        <v/>
      </c>
      <c r="T583" s="39" t="str">
        <f>IFERROR(proje!AE78*100/proje!$I78,"")</f>
        <v/>
      </c>
      <c r="U583" s="39" t="str">
        <f>IFERROR(proje!AF78*100/proje!$I78,"")</f>
        <v/>
      </c>
      <c r="V583" s="39" t="str">
        <f>IFERROR(proje!AG78*100/proje!$I78,"")</f>
        <v/>
      </c>
      <c r="W583" s="39" t="str">
        <f>IFERROR(proje!AH78*100/proje!$I78,"")</f>
        <v/>
      </c>
      <c r="X583" s="39" t="str">
        <f>IFERROR(proje!AI78*100/proje!$I78,"")</f>
        <v/>
      </c>
      <c r="Y583" s="39" t="str">
        <f>IFERROR(proje!AJ78*100/proje!$I78,"")</f>
        <v/>
      </c>
      <c r="Z583" s="39" t="str">
        <f>IFERROR(proje!AK78*100/proje!$I78,"")</f>
        <v/>
      </c>
      <c r="AA583" s="39" t="str">
        <f>IFERROR(proje!AL78*100/proje!$I78,"")</f>
        <v/>
      </c>
      <c r="AB583" s="39" t="str">
        <f>IFERROR(proje!AM78*100/proje!$I78,"")</f>
        <v/>
      </c>
      <c r="AC583" s="39" t="str">
        <f>IFERROR(proje!AN78*100/proje!$I78,"")</f>
        <v/>
      </c>
      <c r="AD583" s="39" t="str">
        <f>IFERROR(proje!AO78*100/proje!$I78,"")</f>
        <v/>
      </c>
      <c r="AE583" s="39" t="str">
        <f>IFERROR(proje!AP78*100/proje!$I78,"")</f>
        <v/>
      </c>
      <c r="AF583" s="39" t="str">
        <f>IFERROR(proje!AQ78*100/proje!$I78,"")</f>
        <v/>
      </c>
      <c r="AG583" s="39" t="str">
        <f>IFERROR(proje!AR78*100/proje!$I78,"")</f>
        <v/>
      </c>
      <c r="AH583" s="39" t="str">
        <f>IFERROR(proje!AS78*100/proje!$I78,"")</f>
        <v/>
      </c>
      <c r="AI583" s="39" t="str">
        <f>IFERROR(proje!AT78*100/proje!$I78,"")</f>
        <v/>
      </c>
      <c r="AJ583" s="39" t="str">
        <f>IFERROR(proje!AU78*100/proje!$I78,"")</f>
        <v/>
      </c>
      <c r="AK583" s="39" t="str">
        <f>IFERROR(proje!AV78*100/proje!$I78,"")</f>
        <v/>
      </c>
      <c r="AL583" s="39" t="str">
        <f>IFERROR(proje!AW78*100/proje!$I78,"")</f>
        <v/>
      </c>
      <c r="AM583" s="39" t="str">
        <f>IFERROR(proje!AX78*100/proje!$I78,"")</f>
        <v/>
      </c>
      <c r="AN583" s="39" t="str">
        <f>IFERROR(proje!AY78*100/proje!$I78,"")</f>
        <v/>
      </c>
      <c r="AO583" s="39" t="str">
        <f>IFERROR(proje!AZ78*100/proje!$I78,"")</f>
        <v/>
      </c>
      <c r="AP583" s="39" t="str">
        <f>IFERROR(proje!BA78*100/proje!$I78,"")</f>
        <v/>
      </c>
      <c r="AQ583" s="39" t="str">
        <f>IFERROR(proje!BB78*100/proje!$I78,"")</f>
        <v/>
      </c>
      <c r="AR583" s="39" t="str">
        <f>IFERROR(proje!BC78*100/proje!$I78,"")</f>
        <v/>
      </c>
      <c r="AS583" s="39" t="str">
        <f>IFERROR(proje!BD78*100/proje!$I78,"")</f>
        <v/>
      </c>
      <c r="AT583" s="39" t="str">
        <f>IFERROR(proje!BE78*100/proje!$I78,"")</f>
        <v/>
      </c>
      <c r="AU583" s="39" t="str">
        <f>IFERROR(proje!BF78*100/proje!$I78,"")</f>
        <v/>
      </c>
      <c r="AV583" s="39" t="str">
        <f>IFERROR(proje!BG78*100/proje!$I78,"")</f>
        <v/>
      </c>
      <c r="AW583" s="39" t="str">
        <f>IFERROR(proje!BH78*100/proje!$I78,"")</f>
        <v/>
      </c>
      <c r="AX583" s="39" t="str">
        <f>IFERROR(proje!BI78*100/proje!$I78,"")</f>
        <v/>
      </c>
      <c r="AY583" s="39" t="str">
        <f>IFERROR(proje!BJ78*100/proje!$I78,"")</f>
        <v/>
      </c>
      <c r="AZ583" s="39" t="str">
        <f>IFERROR(proje!BK78*100/proje!$I78,"")</f>
        <v/>
      </c>
      <c r="BA583" s="39" t="str">
        <f>IFERROR(proje!BL78*100/proje!$I78,"")</f>
        <v/>
      </c>
      <c r="BB583" s="39" t="str">
        <f>IFERROR(proje!BM78*100/proje!$I78,"")</f>
        <v/>
      </c>
      <c r="BC583" s="39" t="str">
        <f>IFERROR(proje!BN78*100/proje!$I78,"")</f>
        <v/>
      </c>
      <c r="BD583" s="39" t="str">
        <f>IFERROR(proje!BO78*100/proje!$I78,"")</f>
        <v/>
      </c>
      <c r="BE583" s="39" t="str">
        <f>IFERROR(proje!BP78*100/proje!$I78,"")</f>
        <v/>
      </c>
      <c r="BF583" s="39" t="str">
        <f>IFERROR(proje!BQ78*100/proje!$I78,"")</f>
        <v/>
      </c>
      <c r="BG583" s="39" t="str">
        <f>IFERROR(proje!BR78*100/proje!$I78,"")</f>
        <v/>
      </c>
      <c r="BH583" s="39" t="str">
        <f>IFERROR(proje!BS78*100/proje!$I78,"")</f>
        <v/>
      </c>
      <c r="BI583" s="39" t="str">
        <f>IFERROR(proje!BT78*100/proje!$I78,"")</f>
        <v/>
      </c>
      <c r="BJ583" s="39" t="str">
        <f>IFERROR(proje!BU78*100/proje!$I78,"")</f>
        <v/>
      </c>
      <c r="BK583" s="39" t="str">
        <f>IFERROR(proje!BV78*100/proje!$I78,"")</f>
        <v/>
      </c>
      <c r="BL583" s="39" t="str">
        <f>IFERROR(proje!BW78*100/proje!$I78,"")</f>
        <v/>
      </c>
      <c r="BM583" s="39" t="str">
        <f>IFERROR(proje!BX78*100/proje!$I78,"")</f>
        <v/>
      </c>
      <c r="BN583" s="39" t="str">
        <f>IFERROR(proje!BY78*100/proje!$I78,"")</f>
        <v/>
      </c>
      <c r="BO583" s="39" t="str">
        <f>IFERROR(proje!BZ78*100/proje!$I78,"")</f>
        <v/>
      </c>
      <c r="BP583" s="39" t="str">
        <f>IFERROR(proje!CA78*100/proje!$I78,"")</f>
        <v/>
      </c>
      <c r="BQ583" s="39" t="str">
        <f>IFERROR(proje!CB78*100/proje!$I78,"")</f>
        <v/>
      </c>
      <c r="BR583" s="39" t="str">
        <f>IFERROR(proje!CC78*100/proje!$I78,"")</f>
        <v/>
      </c>
      <c r="BS583" s="39" t="str">
        <f>IFERROR(proje!CD78*100/proje!$I78,"")</f>
        <v/>
      </c>
      <c r="BT583" s="39" t="str">
        <f>IFERROR(proje!CE78*100/proje!$I78,"")</f>
        <v/>
      </c>
      <c r="BU583" s="39" t="str">
        <f>IFERROR(proje!CF78*100/proje!$I78,"")</f>
        <v/>
      </c>
      <c r="BV583" s="39" t="str">
        <f>IFERROR(proje!CG78*100/proje!$I78,"")</f>
        <v/>
      </c>
      <c r="BW583" s="39" t="str">
        <f>IFERROR(proje!CH78*100/proje!$I78,"")</f>
        <v/>
      </c>
      <c r="BX583" s="39" t="str">
        <f>IFERROR(proje!CI78*100/proje!$I78,"")</f>
        <v/>
      </c>
      <c r="BY583" s="39" t="str">
        <f>IFERROR(proje!CJ78*100/proje!$I78,"")</f>
        <v/>
      </c>
      <c r="BZ583" s="39" t="str">
        <f>IFERROR(proje!CK78*100/proje!$I78,"")</f>
        <v/>
      </c>
      <c r="CA583" s="39" t="str">
        <f>IFERROR(proje!CL78*100/proje!$I78,"")</f>
        <v/>
      </c>
      <c r="CB583" s="39" t="str">
        <f>IFERROR(proje!CM78*100/proje!$I78,"")</f>
        <v/>
      </c>
      <c r="CC583" s="39" t="str">
        <f>IFERROR(proje!CN78*100/proje!$I78,"")</f>
        <v/>
      </c>
      <c r="CD583" s="39" t="str">
        <f>IFERROR(proje!CO78*100/proje!$I78,"")</f>
        <v/>
      </c>
      <c r="CE583" s="39" t="str">
        <f>IFERROR(proje!CP78*100/proje!$I78,"")</f>
        <v/>
      </c>
      <c r="CF583" s="39" t="str">
        <f>IFERROR(proje!CQ78*100/proje!$I78,"")</f>
        <v/>
      </c>
      <c r="CG583" s="39" t="str">
        <f>IFERROR(proje!CR78*100/proje!$I78,"")</f>
        <v/>
      </c>
      <c r="CH583" s="39" t="str">
        <f>IFERROR(proje!CS78*100/proje!$I78,"")</f>
        <v/>
      </c>
      <c r="CI583" s="39" t="str">
        <f>IFERROR(proje!CT78*100/proje!$I78,"")</f>
        <v/>
      </c>
      <c r="CJ583" s="39" t="str">
        <f>IFERROR(proje!CU78*100/proje!$I78,"")</f>
        <v/>
      </c>
      <c r="CK583" s="39" t="str">
        <f>IFERROR(proje!CV78*100/proje!$I78,"")</f>
        <v/>
      </c>
      <c r="CL583" s="39" t="str">
        <f>IFERROR(proje!CW78*100/proje!$I78,"")</f>
        <v/>
      </c>
      <c r="CM583" s="39" t="str">
        <f>IFERROR(proje!CX78*100/proje!$I78,"")</f>
        <v/>
      </c>
      <c r="CN583" s="39" t="str">
        <f>IFERROR(proje!CY78*100/proje!$I78,"")</f>
        <v/>
      </c>
      <c r="CO583" s="39" t="str">
        <f>IFERROR(proje!CZ78*100/proje!$I78,"")</f>
        <v/>
      </c>
      <c r="CP583" s="39" t="str">
        <f>IFERROR(proje!DA78*100/proje!$I78,"")</f>
        <v/>
      </c>
      <c r="CQ583" s="39" t="str">
        <f>IFERROR(proje!DB78*100/proje!$I78,"")</f>
        <v/>
      </c>
      <c r="CR583" s="39" t="str">
        <f>IFERROR(proje!DC78*100/proje!$I78,"")</f>
        <v/>
      </c>
      <c r="CS583" s="39" t="str">
        <f>IFERROR(proje!DD78*100/proje!$I78,"")</f>
        <v/>
      </c>
      <c r="CT583" s="39" t="str">
        <f>IFERROR(proje!DE78*100/proje!$I78,"")</f>
        <v/>
      </c>
      <c r="CU583" s="39" t="str">
        <f>IFERROR(proje!DF78*100/proje!$I78,"")</f>
        <v/>
      </c>
      <c r="CV583" s="39" t="str">
        <f>IFERROR(proje!DG78*100/proje!$I78,"")</f>
        <v/>
      </c>
      <c r="CW583" s="36" t="str">
        <f>IFERROR(SUM(A583:CV583)/proje!$DH$103,"")</f>
        <v/>
      </c>
      <c r="CX583" s="14" t="str">
        <f>IF(COUNTA(proje!A78),proje!A78,"")</f>
        <v/>
      </c>
      <c r="CY583" s="14" t="str">
        <f>IF(COUNTA(proje!B78),proje!B78,"")</f>
        <v/>
      </c>
      <c r="CZ583" s="14" t="str">
        <f>IF(COUNTA(proje!C78),proje!C78,"")</f>
        <v/>
      </c>
      <c r="DA583" s="14" t="str">
        <f>IF(COUNTA(proje!D78),proje!D78,"")</f>
        <v/>
      </c>
      <c r="DB583" s="14" t="str">
        <f>IF(COUNTA(proje!E78),proje!E78,"")</f>
        <v/>
      </c>
      <c r="DC583" s="14" t="str">
        <f>IF(COUNTA(proje!F78),proje!F78,"")</f>
        <v/>
      </c>
      <c r="DD583" s="14" t="str">
        <f>IF(COUNTA(proje!G78),proje!G78,"")</f>
        <v/>
      </c>
      <c r="DE583" s="14" t="str">
        <f>IF(COUNTA(proje!H78),proje!H78,"")</f>
        <v/>
      </c>
    </row>
    <row r="584" spans="1:109" x14ac:dyDescent="0.2">
      <c r="A584" s="39" t="str">
        <f>IFERROR(proje!L79*100/proje!$I79,"")</f>
        <v/>
      </c>
      <c r="B584" s="39" t="str">
        <f>IFERROR(proje!M79*100/proje!$I79,"")</f>
        <v/>
      </c>
      <c r="C584" s="39" t="str">
        <f>IFERROR(proje!N79*100/proje!$I79,"")</f>
        <v/>
      </c>
      <c r="D584" s="39" t="str">
        <f>IFERROR(proje!O79*100/proje!$I79,"")</f>
        <v/>
      </c>
      <c r="E584" s="39" t="str">
        <f>IFERROR(proje!P79*100/proje!$I79,"")</f>
        <v/>
      </c>
      <c r="F584" s="39" t="str">
        <f>IFERROR(proje!Q79*100/proje!$I79,"")</f>
        <v/>
      </c>
      <c r="G584" s="39" t="str">
        <f>IFERROR(proje!R79*100/proje!$I79,"")</f>
        <v/>
      </c>
      <c r="H584" s="39" t="str">
        <f>IFERROR(proje!S79*100/proje!$I79,"")</f>
        <v/>
      </c>
      <c r="I584" s="39" t="str">
        <f>IFERROR(proje!T79*100/proje!$I79,"")</f>
        <v/>
      </c>
      <c r="J584" s="39" t="str">
        <f>IFERROR(proje!U79*100/proje!$I79,"")</f>
        <v/>
      </c>
      <c r="K584" s="39" t="str">
        <f>IFERROR(proje!V79*100/proje!$I79,"")</f>
        <v/>
      </c>
      <c r="L584" s="39" t="str">
        <f>IFERROR(proje!W79*100/proje!$I79,"")</f>
        <v/>
      </c>
      <c r="M584" s="39" t="str">
        <f>IFERROR(proje!X79*100/proje!$I79,"")</f>
        <v/>
      </c>
      <c r="N584" s="39" t="str">
        <f>IFERROR(proje!Y79*100/proje!$I79,"")</f>
        <v/>
      </c>
      <c r="O584" s="39" t="str">
        <f>IFERROR(proje!Z79*100/proje!$I79,"")</f>
        <v/>
      </c>
      <c r="P584" s="39" t="str">
        <f>IFERROR(proje!AA79*100/proje!$I79,"")</f>
        <v/>
      </c>
      <c r="Q584" s="39" t="str">
        <f>IFERROR(proje!AB79*100/proje!$I79,"")</f>
        <v/>
      </c>
      <c r="R584" s="39" t="str">
        <f>IFERROR(proje!AC79*100/proje!$I79,"")</f>
        <v/>
      </c>
      <c r="S584" s="39" t="str">
        <f>IFERROR(proje!AD79*100/proje!$I79,"")</f>
        <v/>
      </c>
      <c r="T584" s="39" t="str">
        <f>IFERROR(proje!AE79*100/proje!$I79,"")</f>
        <v/>
      </c>
      <c r="U584" s="39" t="str">
        <f>IFERROR(proje!AF79*100/proje!$I79,"")</f>
        <v/>
      </c>
      <c r="V584" s="39" t="str">
        <f>IFERROR(proje!AG79*100/proje!$I79,"")</f>
        <v/>
      </c>
      <c r="W584" s="39" t="str">
        <f>IFERROR(proje!AH79*100/proje!$I79,"")</f>
        <v/>
      </c>
      <c r="X584" s="39" t="str">
        <f>IFERROR(proje!AI79*100/proje!$I79,"")</f>
        <v/>
      </c>
      <c r="Y584" s="39" t="str">
        <f>IFERROR(proje!AJ79*100/proje!$I79,"")</f>
        <v/>
      </c>
      <c r="Z584" s="39" t="str">
        <f>IFERROR(proje!AK79*100/proje!$I79,"")</f>
        <v/>
      </c>
      <c r="AA584" s="39" t="str">
        <f>IFERROR(proje!AL79*100/proje!$I79,"")</f>
        <v/>
      </c>
      <c r="AB584" s="39" t="str">
        <f>IFERROR(proje!AM79*100/proje!$I79,"")</f>
        <v/>
      </c>
      <c r="AC584" s="39" t="str">
        <f>IFERROR(proje!AN79*100/proje!$I79,"")</f>
        <v/>
      </c>
      <c r="AD584" s="39" t="str">
        <f>IFERROR(proje!AO79*100/proje!$I79,"")</f>
        <v/>
      </c>
      <c r="AE584" s="39" t="str">
        <f>IFERROR(proje!AP79*100/proje!$I79,"")</f>
        <v/>
      </c>
      <c r="AF584" s="39" t="str">
        <f>IFERROR(proje!AQ79*100/proje!$I79,"")</f>
        <v/>
      </c>
      <c r="AG584" s="39" t="str">
        <f>IFERROR(proje!AR79*100/proje!$I79,"")</f>
        <v/>
      </c>
      <c r="AH584" s="39" t="str">
        <f>IFERROR(proje!AS79*100/proje!$I79,"")</f>
        <v/>
      </c>
      <c r="AI584" s="39" t="str">
        <f>IFERROR(proje!AT79*100/proje!$I79,"")</f>
        <v/>
      </c>
      <c r="AJ584" s="39" t="str">
        <f>IFERROR(proje!AU79*100/proje!$I79,"")</f>
        <v/>
      </c>
      <c r="AK584" s="39" t="str">
        <f>IFERROR(proje!AV79*100/proje!$I79,"")</f>
        <v/>
      </c>
      <c r="AL584" s="39" t="str">
        <f>IFERROR(proje!AW79*100/proje!$I79,"")</f>
        <v/>
      </c>
      <c r="AM584" s="39" t="str">
        <f>IFERROR(proje!AX79*100/proje!$I79,"")</f>
        <v/>
      </c>
      <c r="AN584" s="39" t="str">
        <f>IFERROR(proje!AY79*100/proje!$I79,"")</f>
        <v/>
      </c>
      <c r="AO584" s="39" t="str">
        <f>IFERROR(proje!AZ79*100/proje!$I79,"")</f>
        <v/>
      </c>
      <c r="AP584" s="39" t="str">
        <f>IFERROR(proje!BA79*100/proje!$I79,"")</f>
        <v/>
      </c>
      <c r="AQ584" s="39" t="str">
        <f>IFERROR(proje!BB79*100/proje!$I79,"")</f>
        <v/>
      </c>
      <c r="AR584" s="39" t="str">
        <f>IFERROR(proje!BC79*100/proje!$I79,"")</f>
        <v/>
      </c>
      <c r="AS584" s="39" t="str">
        <f>IFERROR(proje!BD79*100/proje!$I79,"")</f>
        <v/>
      </c>
      <c r="AT584" s="39" t="str">
        <f>IFERROR(proje!BE79*100/proje!$I79,"")</f>
        <v/>
      </c>
      <c r="AU584" s="39" t="str">
        <f>IFERROR(proje!BF79*100/proje!$I79,"")</f>
        <v/>
      </c>
      <c r="AV584" s="39" t="str">
        <f>IFERROR(proje!BG79*100/proje!$I79,"")</f>
        <v/>
      </c>
      <c r="AW584" s="39" t="str">
        <f>IFERROR(proje!BH79*100/proje!$I79,"")</f>
        <v/>
      </c>
      <c r="AX584" s="39" t="str">
        <f>IFERROR(proje!BI79*100/proje!$I79,"")</f>
        <v/>
      </c>
      <c r="AY584" s="39" t="str">
        <f>IFERROR(proje!BJ79*100/proje!$I79,"")</f>
        <v/>
      </c>
      <c r="AZ584" s="39" t="str">
        <f>IFERROR(proje!BK79*100/proje!$I79,"")</f>
        <v/>
      </c>
      <c r="BA584" s="39" t="str">
        <f>IFERROR(proje!BL79*100/proje!$I79,"")</f>
        <v/>
      </c>
      <c r="BB584" s="39" t="str">
        <f>IFERROR(proje!BM79*100/proje!$I79,"")</f>
        <v/>
      </c>
      <c r="BC584" s="39" t="str">
        <f>IFERROR(proje!BN79*100/proje!$I79,"")</f>
        <v/>
      </c>
      <c r="BD584" s="39" t="str">
        <f>IFERROR(proje!BO79*100/proje!$I79,"")</f>
        <v/>
      </c>
      <c r="BE584" s="39" t="str">
        <f>IFERROR(proje!BP79*100/proje!$I79,"")</f>
        <v/>
      </c>
      <c r="BF584" s="39" t="str">
        <f>IFERROR(proje!BQ79*100/proje!$I79,"")</f>
        <v/>
      </c>
      <c r="BG584" s="39" t="str">
        <f>IFERROR(proje!BR79*100/proje!$I79,"")</f>
        <v/>
      </c>
      <c r="BH584" s="39" t="str">
        <f>IFERROR(proje!BS79*100/proje!$I79,"")</f>
        <v/>
      </c>
      <c r="BI584" s="39" t="str">
        <f>IFERROR(proje!BT79*100/proje!$I79,"")</f>
        <v/>
      </c>
      <c r="BJ584" s="39" t="str">
        <f>IFERROR(proje!BU79*100/proje!$I79,"")</f>
        <v/>
      </c>
      <c r="BK584" s="39" t="str">
        <f>IFERROR(proje!BV79*100/proje!$I79,"")</f>
        <v/>
      </c>
      <c r="BL584" s="39" t="str">
        <f>IFERROR(proje!BW79*100/proje!$I79,"")</f>
        <v/>
      </c>
      <c r="BM584" s="39" t="str">
        <f>IFERROR(proje!BX79*100/proje!$I79,"")</f>
        <v/>
      </c>
      <c r="BN584" s="39" t="str">
        <f>IFERROR(proje!BY79*100/proje!$I79,"")</f>
        <v/>
      </c>
      <c r="BO584" s="39" t="str">
        <f>IFERROR(proje!BZ79*100/proje!$I79,"")</f>
        <v/>
      </c>
      <c r="BP584" s="39" t="str">
        <f>IFERROR(proje!CA79*100/proje!$I79,"")</f>
        <v/>
      </c>
      <c r="BQ584" s="39" t="str">
        <f>IFERROR(proje!CB79*100/proje!$I79,"")</f>
        <v/>
      </c>
      <c r="BR584" s="39" t="str">
        <f>IFERROR(proje!CC79*100/proje!$I79,"")</f>
        <v/>
      </c>
      <c r="BS584" s="39" t="str">
        <f>IFERROR(proje!CD79*100/proje!$I79,"")</f>
        <v/>
      </c>
      <c r="BT584" s="39" t="str">
        <f>IFERROR(proje!CE79*100/proje!$I79,"")</f>
        <v/>
      </c>
      <c r="BU584" s="39" t="str">
        <f>IFERROR(proje!CF79*100/proje!$I79,"")</f>
        <v/>
      </c>
      <c r="BV584" s="39" t="str">
        <f>IFERROR(proje!CG79*100/proje!$I79,"")</f>
        <v/>
      </c>
      <c r="BW584" s="39" t="str">
        <f>IFERROR(proje!CH79*100/proje!$I79,"")</f>
        <v/>
      </c>
      <c r="BX584" s="39" t="str">
        <f>IFERROR(proje!CI79*100/proje!$I79,"")</f>
        <v/>
      </c>
      <c r="BY584" s="39" t="str">
        <f>IFERROR(proje!CJ79*100/proje!$I79,"")</f>
        <v/>
      </c>
      <c r="BZ584" s="39" t="str">
        <f>IFERROR(proje!CK79*100/proje!$I79,"")</f>
        <v/>
      </c>
      <c r="CA584" s="39" t="str">
        <f>IFERROR(proje!CL79*100/proje!$I79,"")</f>
        <v/>
      </c>
      <c r="CB584" s="39" t="str">
        <f>IFERROR(proje!CM79*100/proje!$I79,"")</f>
        <v/>
      </c>
      <c r="CC584" s="39" t="str">
        <f>IFERROR(proje!CN79*100/proje!$I79,"")</f>
        <v/>
      </c>
      <c r="CD584" s="39" t="str">
        <f>IFERROR(proje!CO79*100/proje!$I79,"")</f>
        <v/>
      </c>
      <c r="CE584" s="39" t="str">
        <f>IFERROR(proje!CP79*100/proje!$I79,"")</f>
        <v/>
      </c>
      <c r="CF584" s="39" t="str">
        <f>IFERROR(proje!CQ79*100/proje!$I79,"")</f>
        <v/>
      </c>
      <c r="CG584" s="39" t="str">
        <f>IFERROR(proje!CR79*100/proje!$I79,"")</f>
        <v/>
      </c>
      <c r="CH584" s="39" t="str">
        <f>IFERROR(proje!CS79*100/proje!$I79,"")</f>
        <v/>
      </c>
      <c r="CI584" s="39" t="str">
        <f>IFERROR(proje!CT79*100/proje!$I79,"")</f>
        <v/>
      </c>
      <c r="CJ584" s="39" t="str">
        <f>IFERROR(proje!CU79*100/proje!$I79,"")</f>
        <v/>
      </c>
      <c r="CK584" s="39" t="str">
        <f>IFERROR(proje!CV79*100/proje!$I79,"")</f>
        <v/>
      </c>
      <c r="CL584" s="39" t="str">
        <f>IFERROR(proje!CW79*100/proje!$I79,"")</f>
        <v/>
      </c>
      <c r="CM584" s="39" t="str">
        <f>IFERROR(proje!CX79*100/proje!$I79,"")</f>
        <v/>
      </c>
      <c r="CN584" s="39" t="str">
        <f>IFERROR(proje!CY79*100/proje!$I79,"")</f>
        <v/>
      </c>
      <c r="CO584" s="39" t="str">
        <f>IFERROR(proje!CZ79*100/proje!$I79,"")</f>
        <v/>
      </c>
      <c r="CP584" s="39" t="str">
        <f>IFERROR(proje!DA79*100/proje!$I79,"")</f>
        <v/>
      </c>
      <c r="CQ584" s="39" t="str">
        <f>IFERROR(proje!DB79*100/proje!$I79,"")</f>
        <v/>
      </c>
      <c r="CR584" s="39" t="str">
        <f>IFERROR(proje!DC79*100/proje!$I79,"")</f>
        <v/>
      </c>
      <c r="CS584" s="39" t="str">
        <f>IFERROR(proje!DD79*100/proje!$I79,"")</f>
        <v/>
      </c>
      <c r="CT584" s="39" t="str">
        <f>IFERROR(proje!DE79*100/proje!$I79,"")</f>
        <v/>
      </c>
      <c r="CU584" s="39" t="str">
        <f>IFERROR(proje!DF79*100/proje!$I79,"")</f>
        <v/>
      </c>
      <c r="CV584" s="39" t="str">
        <f>IFERROR(proje!DG79*100/proje!$I79,"")</f>
        <v/>
      </c>
      <c r="CW584" s="36" t="str">
        <f>IFERROR(SUM(A584:CV584)/proje!$DH$103,"")</f>
        <v/>
      </c>
      <c r="CX584" s="14" t="str">
        <f>IF(COUNTA(proje!A79),proje!A79,"")</f>
        <v/>
      </c>
      <c r="CY584" s="14" t="str">
        <f>IF(COUNTA(proje!B79),proje!B79,"")</f>
        <v/>
      </c>
      <c r="CZ584" s="14" t="str">
        <f>IF(COUNTA(proje!C79),proje!C79,"")</f>
        <v/>
      </c>
      <c r="DA584" s="14" t="str">
        <f>IF(COUNTA(proje!D79),proje!D79,"")</f>
        <v/>
      </c>
      <c r="DB584" s="14" t="str">
        <f>IF(COUNTA(proje!E79),proje!E79,"")</f>
        <v/>
      </c>
      <c r="DC584" s="14" t="str">
        <f>IF(COUNTA(proje!F79),proje!F79,"")</f>
        <v/>
      </c>
      <c r="DD584" s="14" t="str">
        <f>IF(COUNTA(proje!G79),proje!G79,"")</f>
        <v/>
      </c>
      <c r="DE584" s="14" t="str">
        <f>IF(COUNTA(proje!H79),proje!H79,"")</f>
        <v/>
      </c>
    </row>
    <row r="585" spans="1:109" x14ac:dyDescent="0.2">
      <c r="A585" s="39" t="str">
        <f>IFERROR(proje!L80*100/proje!$I80,"")</f>
        <v/>
      </c>
      <c r="B585" s="39" t="str">
        <f>IFERROR(proje!M80*100/proje!$I80,"")</f>
        <v/>
      </c>
      <c r="C585" s="39" t="str">
        <f>IFERROR(proje!N80*100/proje!$I80,"")</f>
        <v/>
      </c>
      <c r="D585" s="39" t="str">
        <f>IFERROR(proje!O80*100/proje!$I80,"")</f>
        <v/>
      </c>
      <c r="E585" s="39" t="str">
        <f>IFERROR(proje!P80*100/proje!$I80,"")</f>
        <v/>
      </c>
      <c r="F585" s="39" t="str">
        <f>IFERROR(proje!Q80*100/proje!$I80,"")</f>
        <v/>
      </c>
      <c r="G585" s="39" t="str">
        <f>IFERROR(proje!R80*100/proje!$I80,"")</f>
        <v/>
      </c>
      <c r="H585" s="39" t="str">
        <f>IFERROR(proje!S80*100/proje!$I80,"")</f>
        <v/>
      </c>
      <c r="I585" s="39" t="str">
        <f>IFERROR(proje!T80*100/proje!$I80,"")</f>
        <v/>
      </c>
      <c r="J585" s="39" t="str">
        <f>IFERROR(proje!U80*100/proje!$I80,"")</f>
        <v/>
      </c>
      <c r="K585" s="39" t="str">
        <f>IFERROR(proje!V80*100/proje!$I80,"")</f>
        <v/>
      </c>
      <c r="L585" s="39" t="str">
        <f>IFERROR(proje!W80*100/proje!$I80,"")</f>
        <v/>
      </c>
      <c r="M585" s="39" t="str">
        <f>IFERROR(proje!X80*100/proje!$I80,"")</f>
        <v/>
      </c>
      <c r="N585" s="39" t="str">
        <f>IFERROR(proje!Y80*100/proje!$I80,"")</f>
        <v/>
      </c>
      <c r="O585" s="39" t="str">
        <f>IFERROR(proje!Z80*100/proje!$I80,"")</f>
        <v/>
      </c>
      <c r="P585" s="39" t="str">
        <f>IFERROR(proje!AA80*100/proje!$I80,"")</f>
        <v/>
      </c>
      <c r="Q585" s="39" t="str">
        <f>IFERROR(proje!AB80*100/proje!$I80,"")</f>
        <v/>
      </c>
      <c r="R585" s="39" t="str">
        <f>IFERROR(proje!AC80*100/proje!$I80,"")</f>
        <v/>
      </c>
      <c r="S585" s="39" t="str">
        <f>IFERROR(proje!AD80*100/proje!$I80,"")</f>
        <v/>
      </c>
      <c r="T585" s="39" t="str">
        <f>IFERROR(proje!AE80*100/proje!$I80,"")</f>
        <v/>
      </c>
      <c r="U585" s="39" t="str">
        <f>IFERROR(proje!AF80*100/proje!$I80,"")</f>
        <v/>
      </c>
      <c r="V585" s="39" t="str">
        <f>IFERROR(proje!AG80*100/proje!$I80,"")</f>
        <v/>
      </c>
      <c r="W585" s="39" t="str">
        <f>IFERROR(proje!AH80*100/proje!$I80,"")</f>
        <v/>
      </c>
      <c r="X585" s="39" t="str">
        <f>IFERROR(proje!AI80*100/proje!$I80,"")</f>
        <v/>
      </c>
      <c r="Y585" s="39" t="str">
        <f>IFERROR(proje!AJ80*100/proje!$I80,"")</f>
        <v/>
      </c>
      <c r="Z585" s="39" t="str">
        <f>IFERROR(proje!AK80*100/proje!$I80,"")</f>
        <v/>
      </c>
      <c r="AA585" s="39" t="str">
        <f>IFERROR(proje!AL80*100/proje!$I80,"")</f>
        <v/>
      </c>
      <c r="AB585" s="39" t="str">
        <f>IFERROR(proje!AM80*100/proje!$I80,"")</f>
        <v/>
      </c>
      <c r="AC585" s="39" t="str">
        <f>IFERROR(proje!AN80*100/proje!$I80,"")</f>
        <v/>
      </c>
      <c r="AD585" s="39" t="str">
        <f>IFERROR(proje!AO80*100/proje!$I80,"")</f>
        <v/>
      </c>
      <c r="AE585" s="39" t="str">
        <f>IFERROR(proje!AP80*100/proje!$I80,"")</f>
        <v/>
      </c>
      <c r="AF585" s="39" t="str">
        <f>IFERROR(proje!AQ80*100/proje!$I80,"")</f>
        <v/>
      </c>
      <c r="AG585" s="39" t="str">
        <f>IFERROR(proje!AR80*100/proje!$I80,"")</f>
        <v/>
      </c>
      <c r="AH585" s="39" t="str">
        <f>IFERROR(proje!AS80*100/proje!$I80,"")</f>
        <v/>
      </c>
      <c r="AI585" s="39" t="str">
        <f>IFERROR(proje!AT80*100/proje!$I80,"")</f>
        <v/>
      </c>
      <c r="AJ585" s="39" t="str">
        <f>IFERROR(proje!AU80*100/proje!$I80,"")</f>
        <v/>
      </c>
      <c r="AK585" s="39" t="str">
        <f>IFERROR(proje!AV80*100/proje!$I80,"")</f>
        <v/>
      </c>
      <c r="AL585" s="39" t="str">
        <f>IFERROR(proje!AW80*100/proje!$I80,"")</f>
        <v/>
      </c>
      <c r="AM585" s="39" t="str">
        <f>IFERROR(proje!AX80*100/proje!$I80,"")</f>
        <v/>
      </c>
      <c r="AN585" s="39" t="str">
        <f>IFERROR(proje!AY80*100/proje!$I80,"")</f>
        <v/>
      </c>
      <c r="AO585" s="39" t="str">
        <f>IFERROR(proje!AZ80*100/proje!$I80,"")</f>
        <v/>
      </c>
      <c r="AP585" s="39" t="str">
        <f>IFERROR(proje!BA80*100/proje!$I80,"")</f>
        <v/>
      </c>
      <c r="AQ585" s="39" t="str">
        <f>IFERROR(proje!BB80*100/proje!$I80,"")</f>
        <v/>
      </c>
      <c r="AR585" s="39" t="str">
        <f>IFERROR(proje!BC80*100/proje!$I80,"")</f>
        <v/>
      </c>
      <c r="AS585" s="39" t="str">
        <f>IFERROR(proje!BD80*100/proje!$I80,"")</f>
        <v/>
      </c>
      <c r="AT585" s="39" t="str">
        <f>IFERROR(proje!BE80*100/proje!$I80,"")</f>
        <v/>
      </c>
      <c r="AU585" s="39" t="str">
        <f>IFERROR(proje!BF80*100/proje!$I80,"")</f>
        <v/>
      </c>
      <c r="AV585" s="39" t="str">
        <f>IFERROR(proje!BG80*100/proje!$I80,"")</f>
        <v/>
      </c>
      <c r="AW585" s="39" t="str">
        <f>IFERROR(proje!BH80*100/proje!$I80,"")</f>
        <v/>
      </c>
      <c r="AX585" s="39" t="str">
        <f>IFERROR(proje!BI80*100/proje!$I80,"")</f>
        <v/>
      </c>
      <c r="AY585" s="39" t="str">
        <f>IFERROR(proje!BJ80*100/proje!$I80,"")</f>
        <v/>
      </c>
      <c r="AZ585" s="39" t="str">
        <f>IFERROR(proje!BK80*100/proje!$I80,"")</f>
        <v/>
      </c>
      <c r="BA585" s="39" t="str">
        <f>IFERROR(proje!BL80*100/proje!$I80,"")</f>
        <v/>
      </c>
      <c r="BB585" s="39" t="str">
        <f>IFERROR(proje!BM80*100/proje!$I80,"")</f>
        <v/>
      </c>
      <c r="BC585" s="39" t="str">
        <f>IFERROR(proje!BN80*100/proje!$I80,"")</f>
        <v/>
      </c>
      <c r="BD585" s="39" t="str">
        <f>IFERROR(proje!BO80*100/proje!$I80,"")</f>
        <v/>
      </c>
      <c r="BE585" s="39" t="str">
        <f>IFERROR(proje!BP80*100/proje!$I80,"")</f>
        <v/>
      </c>
      <c r="BF585" s="39" t="str">
        <f>IFERROR(proje!BQ80*100/proje!$I80,"")</f>
        <v/>
      </c>
      <c r="BG585" s="39" t="str">
        <f>IFERROR(proje!BR80*100/proje!$I80,"")</f>
        <v/>
      </c>
      <c r="BH585" s="39" t="str">
        <f>IFERROR(proje!BS80*100/proje!$I80,"")</f>
        <v/>
      </c>
      <c r="BI585" s="39" t="str">
        <f>IFERROR(proje!BT80*100/proje!$I80,"")</f>
        <v/>
      </c>
      <c r="BJ585" s="39" t="str">
        <f>IFERROR(proje!BU80*100/proje!$I80,"")</f>
        <v/>
      </c>
      <c r="BK585" s="39" t="str">
        <f>IFERROR(proje!BV80*100/proje!$I80,"")</f>
        <v/>
      </c>
      <c r="BL585" s="39" t="str">
        <f>IFERROR(proje!BW80*100/proje!$I80,"")</f>
        <v/>
      </c>
      <c r="BM585" s="39" t="str">
        <f>IFERROR(proje!BX80*100/proje!$I80,"")</f>
        <v/>
      </c>
      <c r="BN585" s="39" t="str">
        <f>IFERROR(proje!BY80*100/proje!$I80,"")</f>
        <v/>
      </c>
      <c r="BO585" s="39" t="str">
        <f>IFERROR(proje!BZ80*100/proje!$I80,"")</f>
        <v/>
      </c>
      <c r="BP585" s="39" t="str">
        <f>IFERROR(proje!CA80*100/proje!$I80,"")</f>
        <v/>
      </c>
      <c r="BQ585" s="39" t="str">
        <f>IFERROR(proje!CB80*100/proje!$I80,"")</f>
        <v/>
      </c>
      <c r="BR585" s="39" t="str">
        <f>IFERROR(proje!CC80*100/proje!$I80,"")</f>
        <v/>
      </c>
      <c r="BS585" s="39" t="str">
        <f>IFERROR(proje!CD80*100/proje!$I80,"")</f>
        <v/>
      </c>
      <c r="BT585" s="39" t="str">
        <f>IFERROR(proje!CE80*100/proje!$I80,"")</f>
        <v/>
      </c>
      <c r="BU585" s="39" t="str">
        <f>IFERROR(proje!CF80*100/proje!$I80,"")</f>
        <v/>
      </c>
      <c r="BV585" s="39" t="str">
        <f>IFERROR(proje!CG80*100/proje!$I80,"")</f>
        <v/>
      </c>
      <c r="BW585" s="39" t="str">
        <f>IFERROR(proje!CH80*100/proje!$I80,"")</f>
        <v/>
      </c>
      <c r="BX585" s="39" t="str">
        <f>IFERROR(proje!CI80*100/proje!$I80,"")</f>
        <v/>
      </c>
      <c r="BY585" s="39" t="str">
        <f>IFERROR(proje!CJ80*100/proje!$I80,"")</f>
        <v/>
      </c>
      <c r="BZ585" s="39" t="str">
        <f>IFERROR(proje!CK80*100/proje!$I80,"")</f>
        <v/>
      </c>
      <c r="CA585" s="39" t="str">
        <f>IFERROR(proje!CL80*100/proje!$I80,"")</f>
        <v/>
      </c>
      <c r="CB585" s="39" t="str">
        <f>IFERROR(proje!CM80*100/proje!$I80,"")</f>
        <v/>
      </c>
      <c r="CC585" s="39" t="str">
        <f>IFERROR(proje!CN80*100/proje!$I80,"")</f>
        <v/>
      </c>
      <c r="CD585" s="39" t="str">
        <f>IFERROR(proje!CO80*100/proje!$I80,"")</f>
        <v/>
      </c>
      <c r="CE585" s="39" t="str">
        <f>IFERROR(proje!CP80*100/proje!$I80,"")</f>
        <v/>
      </c>
      <c r="CF585" s="39" t="str">
        <f>IFERROR(proje!CQ80*100/proje!$I80,"")</f>
        <v/>
      </c>
      <c r="CG585" s="39" t="str">
        <f>IFERROR(proje!CR80*100/proje!$I80,"")</f>
        <v/>
      </c>
      <c r="CH585" s="39" t="str">
        <f>IFERROR(proje!CS80*100/proje!$I80,"")</f>
        <v/>
      </c>
      <c r="CI585" s="39" t="str">
        <f>IFERROR(proje!CT80*100/proje!$I80,"")</f>
        <v/>
      </c>
      <c r="CJ585" s="39" t="str">
        <f>IFERROR(proje!CU80*100/proje!$I80,"")</f>
        <v/>
      </c>
      <c r="CK585" s="39" t="str">
        <f>IFERROR(proje!CV80*100/proje!$I80,"")</f>
        <v/>
      </c>
      <c r="CL585" s="39" t="str">
        <f>IFERROR(proje!CW80*100/proje!$I80,"")</f>
        <v/>
      </c>
      <c r="CM585" s="39" t="str">
        <f>IFERROR(proje!CX80*100/proje!$I80,"")</f>
        <v/>
      </c>
      <c r="CN585" s="39" t="str">
        <f>IFERROR(proje!CY80*100/proje!$I80,"")</f>
        <v/>
      </c>
      <c r="CO585" s="39" t="str">
        <f>IFERROR(proje!CZ80*100/proje!$I80,"")</f>
        <v/>
      </c>
      <c r="CP585" s="39" t="str">
        <f>IFERROR(proje!DA80*100/proje!$I80,"")</f>
        <v/>
      </c>
      <c r="CQ585" s="39" t="str">
        <f>IFERROR(proje!DB80*100/proje!$I80,"")</f>
        <v/>
      </c>
      <c r="CR585" s="39" t="str">
        <f>IFERROR(proje!DC80*100/proje!$I80,"")</f>
        <v/>
      </c>
      <c r="CS585" s="39" t="str">
        <f>IFERROR(proje!DD80*100/proje!$I80,"")</f>
        <v/>
      </c>
      <c r="CT585" s="39" t="str">
        <f>IFERROR(proje!DE80*100/proje!$I80,"")</f>
        <v/>
      </c>
      <c r="CU585" s="39" t="str">
        <f>IFERROR(proje!DF80*100/proje!$I80,"")</f>
        <v/>
      </c>
      <c r="CV585" s="39" t="str">
        <f>IFERROR(proje!DG80*100/proje!$I80,"")</f>
        <v/>
      </c>
      <c r="CW585" s="36" t="str">
        <f>IFERROR(SUM(A585:CV585)/proje!$DH$103,"")</f>
        <v/>
      </c>
      <c r="CX585" s="14" t="str">
        <f>IF(COUNTA(proje!A80),proje!A80,"")</f>
        <v/>
      </c>
      <c r="CY585" s="14" t="str">
        <f>IF(COUNTA(proje!B80),proje!B80,"")</f>
        <v/>
      </c>
      <c r="CZ585" s="14" t="str">
        <f>IF(COUNTA(proje!C80),proje!C80,"")</f>
        <v/>
      </c>
      <c r="DA585" s="14" t="str">
        <f>IF(COUNTA(proje!D80),proje!D80,"")</f>
        <v/>
      </c>
      <c r="DB585" s="14" t="str">
        <f>IF(COUNTA(proje!E80),proje!E80,"")</f>
        <v/>
      </c>
      <c r="DC585" s="14" t="str">
        <f>IF(COUNTA(proje!F80),proje!F80,"")</f>
        <v/>
      </c>
      <c r="DD585" s="14" t="str">
        <f>IF(COUNTA(proje!G80),proje!G80,"")</f>
        <v/>
      </c>
      <c r="DE585" s="14" t="str">
        <f>IF(COUNTA(proje!H80),proje!H80,"")</f>
        <v/>
      </c>
    </row>
    <row r="586" spans="1:109" x14ac:dyDescent="0.2">
      <c r="A586" s="39" t="str">
        <f>IFERROR(proje!L81*100/proje!$I81,"")</f>
        <v/>
      </c>
      <c r="B586" s="39" t="str">
        <f>IFERROR(proje!M81*100/proje!$I81,"")</f>
        <v/>
      </c>
      <c r="C586" s="39" t="str">
        <f>IFERROR(proje!N81*100/proje!$I81,"")</f>
        <v/>
      </c>
      <c r="D586" s="39" t="str">
        <f>IFERROR(proje!O81*100/proje!$I81,"")</f>
        <v/>
      </c>
      <c r="E586" s="39" t="str">
        <f>IFERROR(proje!P81*100/proje!$I81,"")</f>
        <v/>
      </c>
      <c r="F586" s="39" t="str">
        <f>IFERROR(proje!Q81*100/proje!$I81,"")</f>
        <v/>
      </c>
      <c r="G586" s="39" t="str">
        <f>IFERROR(proje!R81*100/proje!$I81,"")</f>
        <v/>
      </c>
      <c r="H586" s="39" t="str">
        <f>IFERROR(proje!S81*100/proje!$I81,"")</f>
        <v/>
      </c>
      <c r="I586" s="39" t="str">
        <f>IFERROR(proje!T81*100/proje!$I81,"")</f>
        <v/>
      </c>
      <c r="J586" s="39" t="str">
        <f>IFERROR(proje!U81*100/proje!$I81,"")</f>
        <v/>
      </c>
      <c r="K586" s="39" t="str">
        <f>IFERROR(proje!V81*100/proje!$I81,"")</f>
        <v/>
      </c>
      <c r="L586" s="39" t="str">
        <f>IFERROR(proje!W81*100/proje!$I81,"")</f>
        <v/>
      </c>
      <c r="M586" s="39" t="str">
        <f>IFERROR(proje!X81*100/proje!$I81,"")</f>
        <v/>
      </c>
      <c r="N586" s="39" t="str">
        <f>IFERROR(proje!Y81*100/proje!$I81,"")</f>
        <v/>
      </c>
      <c r="O586" s="39" t="str">
        <f>IFERROR(proje!Z81*100/proje!$I81,"")</f>
        <v/>
      </c>
      <c r="P586" s="39" t="str">
        <f>IFERROR(proje!AA81*100/proje!$I81,"")</f>
        <v/>
      </c>
      <c r="Q586" s="39" t="str">
        <f>IFERROR(proje!AB81*100/proje!$I81,"")</f>
        <v/>
      </c>
      <c r="R586" s="39" t="str">
        <f>IFERROR(proje!AC81*100/proje!$I81,"")</f>
        <v/>
      </c>
      <c r="S586" s="39" t="str">
        <f>IFERROR(proje!AD81*100/proje!$I81,"")</f>
        <v/>
      </c>
      <c r="T586" s="39" t="str">
        <f>IFERROR(proje!AE81*100/proje!$I81,"")</f>
        <v/>
      </c>
      <c r="U586" s="39" t="str">
        <f>IFERROR(proje!AF81*100/proje!$I81,"")</f>
        <v/>
      </c>
      <c r="V586" s="39" t="str">
        <f>IFERROR(proje!AG81*100/proje!$I81,"")</f>
        <v/>
      </c>
      <c r="W586" s="39" t="str">
        <f>IFERROR(proje!AH81*100/proje!$I81,"")</f>
        <v/>
      </c>
      <c r="X586" s="39" t="str">
        <f>IFERROR(proje!AI81*100/proje!$I81,"")</f>
        <v/>
      </c>
      <c r="Y586" s="39" t="str">
        <f>IFERROR(proje!AJ81*100/proje!$I81,"")</f>
        <v/>
      </c>
      <c r="Z586" s="39" t="str">
        <f>IFERROR(proje!AK81*100/proje!$I81,"")</f>
        <v/>
      </c>
      <c r="AA586" s="39" t="str">
        <f>IFERROR(proje!AL81*100/proje!$I81,"")</f>
        <v/>
      </c>
      <c r="AB586" s="39" t="str">
        <f>IFERROR(proje!AM81*100/proje!$I81,"")</f>
        <v/>
      </c>
      <c r="AC586" s="39" t="str">
        <f>IFERROR(proje!AN81*100/proje!$I81,"")</f>
        <v/>
      </c>
      <c r="AD586" s="39" t="str">
        <f>IFERROR(proje!AO81*100/proje!$I81,"")</f>
        <v/>
      </c>
      <c r="AE586" s="39" t="str">
        <f>IFERROR(proje!AP81*100/proje!$I81,"")</f>
        <v/>
      </c>
      <c r="AF586" s="39" t="str">
        <f>IFERROR(proje!AQ81*100/proje!$I81,"")</f>
        <v/>
      </c>
      <c r="AG586" s="39" t="str">
        <f>IFERROR(proje!AR81*100/proje!$I81,"")</f>
        <v/>
      </c>
      <c r="AH586" s="39" t="str">
        <f>IFERROR(proje!AS81*100/proje!$I81,"")</f>
        <v/>
      </c>
      <c r="AI586" s="39" t="str">
        <f>IFERROR(proje!AT81*100/proje!$I81,"")</f>
        <v/>
      </c>
      <c r="AJ586" s="39" t="str">
        <f>IFERROR(proje!AU81*100/proje!$I81,"")</f>
        <v/>
      </c>
      <c r="AK586" s="39" t="str">
        <f>IFERROR(proje!AV81*100/proje!$I81,"")</f>
        <v/>
      </c>
      <c r="AL586" s="39" t="str">
        <f>IFERROR(proje!AW81*100/proje!$I81,"")</f>
        <v/>
      </c>
      <c r="AM586" s="39" t="str">
        <f>IFERROR(proje!AX81*100/proje!$I81,"")</f>
        <v/>
      </c>
      <c r="AN586" s="39" t="str">
        <f>IFERROR(proje!AY81*100/proje!$I81,"")</f>
        <v/>
      </c>
      <c r="AO586" s="39" t="str">
        <f>IFERROR(proje!AZ81*100/proje!$I81,"")</f>
        <v/>
      </c>
      <c r="AP586" s="39" t="str">
        <f>IFERROR(proje!BA81*100/proje!$I81,"")</f>
        <v/>
      </c>
      <c r="AQ586" s="39" t="str">
        <f>IFERROR(proje!BB81*100/proje!$I81,"")</f>
        <v/>
      </c>
      <c r="AR586" s="39" t="str">
        <f>IFERROR(proje!BC81*100/proje!$I81,"")</f>
        <v/>
      </c>
      <c r="AS586" s="39" t="str">
        <f>IFERROR(proje!BD81*100/proje!$I81,"")</f>
        <v/>
      </c>
      <c r="AT586" s="39" t="str">
        <f>IFERROR(proje!BE81*100/proje!$I81,"")</f>
        <v/>
      </c>
      <c r="AU586" s="39" t="str">
        <f>IFERROR(proje!BF81*100/proje!$I81,"")</f>
        <v/>
      </c>
      <c r="AV586" s="39" t="str">
        <f>IFERROR(proje!BG81*100/proje!$I81,"")</f>
        <v/>
      </c>
      <c r="AW586" s="39" t="str">
        <f>IFERROR(proje!BH81*100/proje!$I81,"")</f>
        <v/>
      </c>
      <c r="AX586" s="39" t="str">
        <f>IFERROR(proje!BI81*100/proje!$I81,"")</f>
        <v/>
      </c>
      <c r="AY586" s="39" t="str">
        <f>IFERROR(proje!BJ81*100/proje!$I81,"")</f>
        <v/>
      </c>
      <c r="AZ586" s="39" t="str">
        <f>IFERROR(proje!BK81*100/proje!$I81,"")</f>
        <v/>
      </c>
      <c r="BA586" s="39" t="str">
        <f>IFERROR(proje!BL81*100/proje!$I81,"")</f>
        <v/>
      </c>
      <c r="BB586" s="39" t="str">
        <f>IFERROR(proje!BM81*100/proje!$I81,"")</f>
        <v/>
      </c>
      <c r="BC586" s="39" t="str">
        <f>IFERROR(proje!BN81*100/proje!$I81,"")</f>
        <v/>
      </c>
      <c r="BD586" s="39" t="str">
        <f>IFERROR(proje!BO81*100/proje!$I81,"")</f>
        <v/>
      </c>
      <c r="BE586" s="39" t="str">
        <f>IFERROR(proje!BP81*100/proje!$I81,"")</f>
        <v/>
      </c>
      <c r="BF586" s="39" t="str">
        <f>IFERROR(proje!BQ81*100/proje!$I81,"")</f>
        <v/>
      </c>
      <c r="BG586" s="39" t="str">
        <f>IFERROR(proje!BR81*100/proje!$I81,"")</f>
        <v/>
      </c>
      <c r="BH586" s="39" t="str">
        <f>IFERROR(proje!BS81*100/proje!$I81,"")</f>
        <v/>
      </c>
      <c r="BI586" s="39" t="str">
        <f>IFERROR(proje!BT81*100/proje!$I81,"")</f>
        <v/>
      </c>
      <c r="BJ586" s="39" t="str">
        <f>IFERROR(proje!BU81*100/proje!$I81,"")</f>
        <v/>
      </c>
      <c r="BK586" s="39" t="str">
        <f>IFERROR(proje!BV81*100/proje!$I81,"")</f>
        <v/>
      </c>
      <c r="BL586" s="39" t="str">
        <f>IFERROR(proje!BW81*100/proje!$I81,"")</f>
        <v/>
      </c>
      <c r="BM586" s="39" t="str">
        <f>IFERROR(proje!BX81*100/proje!$I81,"")</f>
        <v/>
      </c>
      <c r="BN586" s="39" t="str">
        <f>IFERROR(proje!BY81*100/proje!$I81,"")</f>
        <v/>
      </c>
      <c r="BO586" s="39" t="str">
        <f>IFERROR(proje!BZ81*100/proje!$I81,"")</f>
        <v/>
      </c>
      <c r="BP586" s="39" t="str">
        <f>IFERROR(proje!CA81*100/proje!$I81,"")</f>
        <v/>
      </c>
      <c r="BQ586" s="39" t="str">
        <f>IFERROR(proje!CB81*100/proje!$I81,"")</f>
        <v/>
      </c>
      <c r="BR586" s="39" t="str">
        <f>IFERROR(proje!CC81*100/proje!$I81,"")</f>
        <v/>
      </c>
      <c r="BS586" s="39" t="str">
        <f>IFERROR(proje!CD81*100/proje!$I81,"")</f>
        <v/>
      </c>
      <c r="BT586" s="39" t="str">
        <f>IFERROR(proje!CE81*100/proje!$I81,"")</f>
        <v/>
      </c>
      <c r="BU586" s="39" t="str">
        <f>IFERROR(proje!CF81*100/proje!$I81,"")</f>
        <v/>
      </c>
      <c r="BV586" s="39" t="str">
        <f>IFERROR(proje!CG81*100/proje!$I81,"")</f>
        <v/>
      </c>
      <c r="BW586" s="39" t="str">
        <f>IFERROR(proje!CH81*100/proje!$I81,"")</f>
        <v/>
      </c>
      <c r="BX586" s="39" t="str">
        <f>IFERROR(proje!CI81*100/proje!$I81,"")</f>
        <v/>
      </c>
      <c r="BY586" s="39" t="str">
        <f>IFERROR(proje!CJ81*100/proje!$I81,"")</f>
        <v/>
      </c>
      <c r="BZ586" s="39" t="str">
        <f>IFERROR(proje!CK81*100/proje!$I81,"")</f>
        <v/>
      </c>
      <c r="CA586" s="39" t="str">
        <f>IFERROR(proje!CL81*100/proje!$I81,"")</f>
        <v/>
      </c>
      <c r="CB586" s="39" t="str">
        <f>IFERROR(proje!CM81*100/proje!$I81,"")</f>
        <v/>
      </c>
      <c r="CC586" s="39" t="str">
        <f>IFERROR(proje!CN81*100/proje!$I81,"")</f>
        <v/>
      </c>
      <c r="CD586" s="39" t="str">
        <f>IFERROR(proje!CO81*100/proje!$I81,"")</f>
        <v/>
      </c>
      <c r="CE586" s="39" t="str">
        <f>IFERROR(proje!CP81*100/proje!$I81,"")</f>
        <v/>
      </c>
      <c r="CF586" s="39" t="str">
        <f>IFERROR(proje!CQ81*100/proje!$I81,"")</f>
        <v/>
      </c>
      <c r="CG586" s="39" t="str">
        <f>IFERROR(proje!CR81*100/proje!$I81,"")</f>
        <v/>
      </c>
      <c r="CH586" s="39" t="str">
        <f>IFERROR(proje!CS81*100/proje!$I81,"")</f>
        <v/>
      </c>
      <c r="CI586" s="39" t="str">
        <f>IFERROR(proje!CT81*100/proje!$I81,"")</f>
        <v/>
      </c>
      <c r="CJ586" s="39" t="str">
        <f>IFERROR(proje!CU81*100/proje!$I81,"")</f>
        <v/>
      </c>
      <c r="CK586" s="39" t="str">
        <f>IFERROR(proje!CV81*100/proje!$I81,"")</f>
        <v/>
      </c>
      <c r="CL586" s="39" t="str">
        <f>IFERROR(proje!CW81*100/proje!$I81,"")</f>
        <v/>
      </c>
      <c r="CM586" s="39" t="str">
        <f>IFERROR(proje!CX81*100/proje!$I81,"")</f>
        <v/>
      </c>
      <c r="CN586" s="39" t="str">
        <f>IFERROR(proje!CY81*100/proje!$I81,"")</f>
        <v/>
      </c>
      <c r="CO586" s="39" t="str">
        <f>IFERROR(proje!CZ81*100/proje!$I81,"")</f>
        <v/>
      </c>
      <c r="CP586" s="39" t="str">
        <f>IFERROR(proje!DA81*100/proje!$I81,"")</f>
        <v/>
      </c>
      <c r="CQ586" s="39" t="str">
        <f>IFERROR(proje!DB81*100/proje!$I81,"")</f>
        <v/>
      </c>
      <c r="CR586" s="39" t="str">
        <f>IFERROR(proje!DC81*100/proje!$I81,"")</f>
        <v/>
      </c>
      <c r="CS586" s="39" t="str">
        <f>IFERROR(proje!DD81*100/proje!$I81,"")</f>
        <v/>
      </c>
      <c r="CT586" s="39" t="str">
        <f>IFERROR(proje!DE81*100/proje!$I81,"")</f>
        <v/>
      </c>
      <c r="CU586" s="39" t="str">
        <f>IFERROR(proje!DF81*100/proje!$I81,"")</f>
        <v/>
      </c>
      <c r="CV586" s="39" t="str">
        <f>IFERROR(proje!DG81*100/proje!$I81,"")</f>
        <v/>
      </c>
      <c r="CW586" s="36" t="str">
        <f>IFERROR(SUM(A586:CV586)/proje!$DH$103,"")</f>
        <v/>
      </c>
      <c r="CX586" s="14" t="str">
        <f>IF(COUNTA(proje!A81),proje!A81,"")</f>
        <v/>
      </c>
      <c r="CY586" s="14" t="str">
        <f>IF(COUNTA(proje!B81),proje!B81,"")</f>
        <v/>
      </c>
      <c r="CZ586" s="14" t="str">
        <f>IF(COUNTA(proje!C81),proje!C81,"")</f>
        <v/>
      </c>
      <c r="DA586" s="14" t="str">
        <f>IF(COUNTA(proje!D81),proje!D81,"")</f>
        <v/>
      </c>
      <c r="DB586" s="14" t="str">
        <f>IF(COUNTA(proje!E81),proje!E81,"")</f>
        <v/>
      </c>
      <c r="DC586" s="14" t="str">
        <f>IF(COUNTA(proje!F81),proje!F81,"")</f>
        <v/>
      </c>
      <c r="DD586" s="14" t="str">
        <f>IF(COUNTA(proje!G81),proje!G81,"")</f>
        <v/>
      </c>
      <c r="DE586" s="14" t="str">
        <f>IF(COUNTA(proje!H81),proje!H81,"")</f>
        <v/>
      </c>
    </row>
    <row r="587" spans="1:109" x14ac:dyDescent="0.2">
      <c r="A587" s="39" t="str">
        <f>IFERROR(proje!L82*100/proje!$I82,"")</f>
        <v/>
      </c>
      <c r="B587" s="39" t="str">
        <f>IFERROR(proje!M82*100/proje!$I82,"")</f>
        <v/>
      </c>
      <c r="C587" s="39" t="str">
        <f>IFERROR(proje!N82*100/proje!$I82,"")</f>
        <v/>
      </c>
      <c r="D587" s="39" t="str">
        <f>IFERROR(proje!O82*100/proje!$I82,"")</f>
        <v/>
      </c>
      <c r="E587" s="39" t="str">
        <f>IFERROR(proje!P82*100/proje!$I82,"")</f>
        <v/>
      </c>
      <c r="F587" s="39" t="str">
        <f>IFERROR(proje!Q82*100/proje!$I82,"")</f>
        <v/>
      </c>
      <c r="G587" s="39" t="str">
        <f>IFERROR(proje!R82*100/proje!$I82,"")</f>
        <v/>
      </c>
      <c r="H587" s="39" t="str">
        <f>IFERROR(proje!S82*100/proje!$I82,"")</f>
        <v/>
      </c>
      <c r="I587" s="39" t="str">
        <f>IFERROR(proje!T82*100/proje!$I82,"")</f>
        <v/>
      </c>
      <c r="J587" s="39" t="str">
        <f>IFERROR(proje!U82*100/proje!$I82,"")</f>
        <v/>
      </c>
      <c r="K587" s="39" t="str">
        <f>IFERROR(proje!V82*100/proje!$I82,"")</f>
        <v/>
      </c>
      <c r="L587" s="39" t="str">
        <f>IFERROR(proje!W82*100/proje!$I82,"")</f>
        <v/>
      </c>
      <c r="M587" s="39" t="str">
        <f>IFERROR(proje!X82*100/proje!$I82,"")</f>
        <v/>
      </c>
      <c r="N587" s="39" t="str">
        <f>IFERROR(proje!Y82*100/proje!$I82,"")</f>
        <v/>
      </c>
      <c r="O587" s="39" t="str">
        <f>IFERROR(proje!Z82*100/proje!$I82,"")</f>
        <v/>
      </c>
      <c r="P587" s="39" t="str">
        <f>IFERROR(proje!AA82*100/proje!$I82,"")</f>
        <v/>
      </c>
      <c r="Q587" s="39" t="str">
        <f>IFERROR(proje!AB82*100/proje!$I82,"")</f>
        <v/>
      </c>
      <c r="R587" s="39" t="str">
        <f>IFERROR(proje!AC82*100/proje!$I82,"")</f>
        <v/>
      </c>
      <c r="S587" s="39" t="str">
        <f>IFERROR(proje!AD82*100/proje!$I82,"")</f>
        <v/>
      </c>
      <c r="T587" s="39" t="str">
        <f>IFERROR(proje!AE82*100/proje!$I82,"")</f>
        <v/>
      </c>
      <c r="U587" s="39" t="str">
        <f>IFERROR(proje!AF82*100/proje!$I82,"")</f>
        <v/>
      </c>
      <c r="V587" s="39" t="str">
        <f>IFERROR(proje!AG82*100/proje!$I82,"")</f>
        <v/>
      </c>
      <c r="W587" s="39" t="str">
        <f>IFERROR(proje!AH82*100/proje!$I82,"")</f>
        <v/>
      </c>
      <c r="X587" s="39" t="str">
        <f>IFERROR(proje!AI82*100/proje!$I82,"")</f>
        <v/>
      </c>
      <c r="Y587" s="39" t="str">
        <f>IFERROR(proje!AJ82*100/proje!$I82,"")</f>
        <v/>
      </c>
      <c r="Z587" s="39" t="str">
        <f>IFERROR(proje!AK82*100/proje!$I82,"")</f>
        <v/>
      </c>
      <c r="AA587" s="39" t="str">
        <f>IFERROR(proje!AL82*100/proje!$I82,"")</f>
        <v/>
      </c>
      <c r="AB587" s="39" t="str">
        <f>IFERROR(proje!AM82*100/proje!$I82,"")</f>
        <v/>
      </c>
      <c r="AC587" s="39" t="str">
        <f>IFERROR(proje!AN82*100/proje!$I82,"")</f>
        <v/>
      </c>
      <c r="AD587" s="39" t="str">
        <f>IFERROR(proje!AO82*100/proje!$I82,"")</f>
        <v/>
      </c>
      <c r="AE587" s="39" t="str">
        <f>IFERROR(proje!AP82*100/proje!$I82,"")</f>
        <v/>
      </c>
      <c r="AF587" s="39" t="str">
        <f>IFERROR(proje!AQ82*100/proje!$I82,"")</f>
        <v/>
      </c>
      <c r="AG587" s="39" t="str">
        <f>IFERROR(proje!AR82*100/proje!$I82,"")</f>
        <v/>
      </c>
      <c r="AH587" s="39" t="str">
        <f>IFERROR(proje!AS82*100/proje!$I82,"")</f>
        <v/>
      </c>
      <c r="AI587" s="39" t="str">
        <f>IFERROR(proje!AT82*100/proje!$I82,"")</f>
        <v/>
      </c>
      <c r="AJ587" s="39" t="str">
        <f>IFERROR(proje!AU82*100/proje!$I82,"")</f>
        <v/>
      </c>
      <c r="AK587" s="39" t="str">
        <f>IFERROR(proje!AV82*100/proje!$I82,"")</f>
        <v/>
      </c>
      <c r="AL587" s="39" t="str">
        <f>IFERROR(proje!AW82*100/proje!$I82,"")</f>
        <v/>
      </c>
      <c r="AM587" s="39" t="str">
        <f>IFERROR(proje!AX82*100/proje!$I82,"")</f>
        <v/>
      </c>
      <c r="AN587" s="39" t="str">
        <f>IFERROR(proje!AY82*100/proje!$I82,"")</f>
        <v/>
      </c>
      <c r="AO587" s="39" t="str">
        <f>IFERROR(proje!AZ82*100/proje!$I82,"")</f>
        <v/>
      </c>
      <c r="AP587" s="39" t="str">
        <f>IFERROR(proje!BA82*100/proje!$I82,"")</f>
        <v/>
      </c>
      <c r="AQ587" s="39" t="str">
        <f>IFERROR(proje!BB82*100/proje!$I82,"")</f>
        <v/>
      </c>
      <c r="AR587" s="39" t="str">
        <f>IFERROR(proje!BC82*100/proje!$I82,"")</f>
        <v/>
      </c>
      <c r="AS587" s="39" t="str">
        <f>IFERROR(proje!BD82*100/proje!$I82,"")</f>
        <v/>
      </c>
      <c r="AT587" s="39" t="str">
        <f>IFERROR(proje!BE82*100/proje!$I82,"")</f>
        <v/>
      </c>
      <c r="AU587" s="39" t="str">
        <f>IFERROR(proje!BF82*100/proje!$I82,"")</f>
        <v/>
      </c>
      <c r="AV587" s="39" t="str">
        <f>IFERROR(proje!BG82*100/proje!$I82,"")</f>
        <v/>
      </c>
      <c r="AW587" s="39" t="str">
        <f>IFERROR(proje!BH82*100/proje!$I82,"")</f>
        <v/>
      </c>
      <c r="AX587" s="39" t="str">
        <f>IFERROR(proje!BI82*100/proje!$I82,"")</f>
        <v/>
      </c>
      <c r="AY587" s="39" t="str">
        <f>IFERROR(proje!BJ82*100/proje!$I82,"")</f>
        <v/>
      </c>
      <c r="AZ587" s="39" t="str">
        <f>IFERROR(proje!BK82*100/proje!$I82,"")</f>
        <v/>
      </c>
      <c r="BA587" s="39" t="str">
        <f>IFERROR(proje!BL82*100/proje!$I82,"")</f>
        <v/>
      </c>
      <c r="BB587" s="39" t="str">
        <f>IFERROR(proje!BM82*100/proje!$I82,"")</f>
        <v/>
      </c>
      <c r="BC587" s="39" t="str">
        <f>IFERROR(proje!BN82*100/proje!$I82,"")</f>
        <v/>
      </c>
      <c r="BD587" s="39" t="str">
        <f>IFERROR(proje!BO82*100/proje!$I82,"")</f>
        <v/>
      </c>
      <c r="BE587" s="39" t="str">
        <f>IFERROR(proje!BP82*100/proje!$I82,"")</f>
        <v/>
      </c>
      <c r="BF587" s="39" t="str">
        <f>IFERROR(proje!BQ82*100/proje!$I82,"")</f>
        <v/>
      </c>
      <c r="BG587" s="39" t="str">
        <f>IFERROR(proje!BR82*100/proje!$I82,"")</f>
        <v/>
      </c>
      <c r="BH587" s="39" t="str">
        <f>IFERROR(proje!BS82*100/proje!$I82,"")</f>
        <v/>
      </c>
      <c r="BI587" s="39" t="str">
        <f>IFERROR(proje!BT82*100/proje!$I82,"")</f>
        <v/>
      </c>
      <c r="BJ587" s="39" t="str">
        <f>IFERROR(proje!BU82*100/proje!$I82,"")</f>
        <v/>
      </c>
      <c r="BK587" s="39" t="str">
        <f>IFERROR(proje!BV82*100/proje!$I82,"")</f>
        <v/>
      </c>
      <c r="BL587" s="39" t="str">
        <f>IFERROR(proje!BW82*100/proje!$I82,"")</f>
        <v/>
      </c>
      <c r="BM587" s="39" t="str">
        <f>IFERROR(proje!BX82*100/proje!$I82,"")</f>
        <v/>
      </c>
      <c r="BN587" s="39" t="str">
        <f>IFERROR(proje!BY82*100/proje!$I82,"")</f>
        <v/>
      </c>
      <c r="BO587" s="39" t="str">
        <f>IFERROR(proje!BZ82*100/proje!$I82,"")</f>
        <v/>
      </c>
      <c r="BP587" s="39" t="str">
        <f>IFERROR(proje!CA82*100/proje!$I82,"")</f>
        <v/>
      </c>
      <c r="BQ587" s="39" t="str">
        <f>IFERROR(proje!CB82*100/proje!$I82,"")</f>
        <v/>
      </c>
      <c r="BR587" s="39" t="str">
        <f>IFERROR(proje!CC82*100/proje!$I82,"")</f>
        <v/>
      </c>
      <c r="BS587" s="39" t="str">
        <f>IFERROR(proje!CD82*100/proje!$I82,"")</f>
        <v/>
      </c>
      <c r="BT587" s="39" t="str">
        <f>IFERROR(proje!CE82*100/proje!$I82,"")</f>
        <v/>
      </c>
      <c r="BU587" s="39" t="str">
        <f>IFERROR(proje!CF82*100/proje!$I82,"")</f>
        <v/>
      </c>
      <c r="BV587" s="39" t="str">
        <f>IFERROR(proje!CG82*100/proje!$I82,"")</f>
        <v/>
      </c>
      <c r="BW587" s="39" t="str">
        <f>IFERROR(proje!CH82*100/proje!$I82,"")</f>
        <v/>
      </c>
      <c r="BX587" s="39" t="str">
        <f>IFERROR(proje!CI82*100/proje!$I82,"")</f>
        <v/>
      </c>
      <c r="BY587" s="39" t="str">
        <f>IFERROR(proje!CJ82*100/proje!$I82,"")</f>
        <v/>
      </c>
      <c r="BZ587" s="39" t="str">
        <f>IFERROR(proje!CK82*100/proje!$I82,"")</f>
        <v/>
      </c>
      <c r="CA587" s="39" t="str">
        <f>IFERROR(proje!CL82*100/proje!$I82,"")</f>
        <v/>
      </c>
      <c r="CB587" s="39" t="str">
        <f>IFERROR(proje!CM82*100/proje!$I82,"")</f>
        <v/>
      </c>
      <c r="CC587" s="39" t="str">
        <f>IFERROR(proje!CN82*100/proje!$I82,"")</f>
        <v/>
      </c>
      <c r="CD587" s="39" t="str">
        <f>IFERROR(proje!CO82*100/proje!$I82,"")</f>
        <v/>
      </c>
      <c r="CE587" s="39" t="str">
        <f>IFERROR(proje!CP82*100/proje!$I82,"")</f>
        <v/>
      </c>
      <c r="CF587" s="39" t="str">
        <f>IFERROR(proje!CQ82*100/proje!$I82,"")</f>
        <v/>
      </c>
      <c r="CG587" s="39" t="str">
        <f>IFERROR(proje!CR82*100/proje!$I82,"")</f>
        <v/>
      </c>
      <c r="CH587" s="39" t="str">
        <f>IFERROR(proje!CS82*100/proje!$I82,"")</f>
        <v/>
      </c>
      <c r="CI587" s="39" t="str">
        <f>IFERROR(proje!CT82*100/proje!$I82,"")</f>
        <v/>
      </c>
      <c r="CJ587" s="39" t="str">
        <f>IFERROR(proje!CU82*100/proje!$I82,"")</f>
        <v/>
      </c>
      <c r="CK587" s="39" t="str">
        <f>IFERROR(proje!CV82*100/proje!$I82,"")</f>
        <v/>
      </c>
      <c r="CL587" s="39" t="str">
        <f>IFERROR(proje!CW82*100/proje!$I82,"")</f>
        <v/>
      </c>
      <c r="CM587" s="39" t="str">
        <f>IFERROR(proje!CX82*100/proje!$I82,"")</f>
        <v/>
      </c>
      <c r="CN587" s="39" t="str">
        <f>IFERROR(proje!CY82*100/proje!$I82,"")</f>
        <v/>
      </c>
      <c r="CO587" s="39" t="str">
        <f>IFERROR(proje!CZ82*100/proje!$I82,"")</f>
        <v/>
      </c>
      <c r="CP587" s="39" t="str">
        <f>IFERROR(proje!DA82*100/proje!$I82,"")</f>
        <v/>
      </c>
      <c r="CQ587" s="39" t="str">
        <f>IFERROR(proje!DB82*100/proje!$I82,"")</f>
        <v/>
      </c>
      <c r="CR587" s="39" t="str">
        <f>IFERROR(proje!DC82*100/proje!$I82,"")</f>
        <v/>
      </c>
      <c r="CS587" s="39" t="str">
        <f>IFERROR(proje!DD82*100/proje!$I82,"")</f>
        <v/>
      </c>
      <c r="CT587" s="39" t="str">
        <f>IFERROR(proje!DE82*100/proje!$I82,"")</f>
        <v/>
      </c>
      <c r="CU587" s="39" t="str">
        <f>IFERROR(proje!DF82*100/proje!$I82,"")</f>
        <v/>
      </c>
      <c r="CV587" s="39" t="str">
        <f>IFERROR(proje!DG82*100/proje!$I82,"")</f>
        <v/>
      </c>
      <c r="CW587" s="36" t="str">
        <f>IFERROR(SUM(A587:CV587)/proje!$DH$103,"")</f>
        <v/>
      </c>
      <c r="CX587" s="14" t="str">
        <f>IF(COUNTA(proje!A82),proje!A82,"")</f>
        <v/>
      </c>
      <c r="CY587" s="14" t="str">
        <f>IF(COUNTA(proje!B82),proje!B82,"")</f>
        <v/>
      </c>
      <c r="CZ587" s="14" t="str">
        <f>IF(COUNTA(proje!C82),proje!C82,"")</f>
        <v/>
      </c>
      <c r="DA587" s="14" t="str">
        <f>IF(COUNTA(proje!D82),proje!D82,"")</f>
        <v/>
      </c>
      <c r="DB587" s="14" t="str">
        <f>IF(COUNTA(proje!E82),proje!E82,"")</f>
        <v/>
      </c>
      <c r="DC587" s="14" t="str">
        <f>IF(COUNTA(proje!F82),proje!F82,"")</f>
        <v/>
      </c>
      <c r="DD587" s="14" t="str">
        <f>IF(COUNTA(proje!G82),proje!G82,"")</f>
        <v/>
      </c>
      <c r="DE587" s="14" t="str">
        <f>IF(COUNTA(proje!H82),proje!H82,"")</f>
        <v/>
      </c>
    </row>
    <row r="588" spans="1:109" x14ac:dyDescent="0.2">
      <c r="A588" s="39" t="str">
        <f>IFERROR(proje!L83*100/proje!$I83,"")</f>
        <v/>
      </c>
      <c r="B588" s="39" t="str">
        <f>IFERROR(proje!M83*100/proje!$I83,"")</f>
        <v/>
      </c>
      <c r="C588" s="39" t="str">
        <f>IFERROR(proje!N83*100/proje!$I83,"")</f>
        <v/>
      </c>
      <c r="D588" s="39" t="str">
        <f>IFERROR(proje!O83*100/proje!$I83,"")</f>
        <v/>
      </c>
      <c r="E588" s="39" t="str">
        <f>IFERROR(proje!P83*100/proje!$I83,"")</f>
        <v/>
      </c>
      <c r="F588" s="39" t="str">
        <f>IFERROR(proje!Q83*100/proje!$I83,"")</f>
        <v/>
      </c>
      <c r="G588" s="39" t="str">
        <f>IFERROR(proje!R83*100/proje!$I83,"")</f>
        <v/>
      </c>
      <c r="H588" s="39" t="str">
        <f>IFERROR(proje!S83*100/proje!$I83,"")</f>
        <v/>
      </c>
      <c r="I588" s="39" t="str">
        <f>IFERROR(proje!T83*100/proje!$I83,"")</f>
        <v/>
      </c>
      <c r="J588" s="39" t="str">
        <f>IFERROR(proje!U83*100/proje!$I83,"")</f>
        <v/>
      </c>
      <c r="K588" s="39" t="str">
        <f>IFERROR(proje!V83*100/proje!$I83,"")</f>
        <v/>
      </c>
      <c r="L588" s="39" t="str">
        <f>IFERROR(proje!W83*100/proje!$I83,"")</f>
        <v/>
      </c>
      <c r="M588" s="39" t="str">
        <f>IFERROR(proje!X83*100/proje!$I83,"")</f>
        <v/>
      </c>
      <c r="N588" s="39" t="str">
        <f>IFERROR(proje!Y83*100/proje!$I83,"")</f>
        <v/>
      </c>
      <c r="O588" s="39" t="str">
        <f>IFERROR(proje!Z83*100/proje!$I83,"")</f>
        <v/>
      </c>
      <c r="P588" s="39" t="str">
        <f>IFERROR(proje!AA83*100/proje!$I83,"")</f>
        <v/>
      </c>
      <c r="Q588" s="39" t="str">
        <f>IFERROR(proje!AB83*100/proje!$I83,"")</f>
        <v/>
      </c>
      <c r="R588" s="39" t="str">
        <f>IFERROR(proje!AC83*100/proje!$I83,"")</f>
        <v/>
      </c>
      <c r="S588" s="39" t="str">
        <f>IFERROR(proje!AD83*100/proje!$I83,"")</f>
        <v/>
      </c>
      <c r="T588" s="39" t="str">
        <f>IFERROR(proje!AE83*100/proje!$I83,"")</f>
        <v/>
      </c>
      <c r="U588" s="39" t="str">
        <f>IFERROR(proje!AF83*100/proje!$I83,"")</f>
        <v/>
      </c>
      <c r="V588" s="39" t="str">
        <f>IFERROR(proje!AG83*100/proje!$I83,"")</f>
        <v/>
      </c>
      <c r="W588" s="39" t="str">
        <f>IFERROR(proje!AH83*100/proje!$I83,"")</f>
        <v/>
      </c>
      <c r="X588" s="39" t="str">
        <f>IFERROR(proje!AI83*100/proje!$I83,"")</f>
        <v/>
      </c>
      <c r="Y588" s="39" t="str">
        <f>IFERROR(proje!AJ83*100/proje!$I83,"")</f>
        <v/>
      </c>
      <c r="Z588" s="39" t="str">
        <f>IFERROR(proje!AK83*100/proje!$I83,"")</f>
        <v/>
      </c>
      <c r="AA588" s="39" t="str">
        <f>IFERROR(proje!AL83*100/proje!$I83,"")</f>
        <v/>
      </c>
      <c r="AB588" s="39" t="str">
        <f>IFERROR(proje!AM83*100/proje!$I83,"")</f>
        <v/>
      </c>
      <c r="AC588" s="39" t="str">
        <f>IFERROR(proje!AN83*100/proje!$I83,"")</f>
        <v/>
      </c>
      <c r="AD588" s="39" t="str">
        <f>IFERROR(proje!AO83*100/proje!$I83,"")</f>
        <v/>
      </c>
      <c r="AE588" s="39" t="str">
        <f>IFERROR(proje!AP83*100/proje!$I83,"")</f>
        <v/>
      </c>
      <c r="AF588" s="39" t="str">
        <f>IFERROR(proje!AQ83*100/proje!$I83,"")</f>
        <v/>
      </c>
      <c r="AG588" s="39" t="str">
        <f>IFERROR(proje!AR83*100/proje!$I83,"")</f>
        <v/>
      </c>
      <c r="AH588" s="39" t="str">
        <f>IFERROR(proje!AS83*100/proje!$I83,"")</f>
        <v/>
      </c>
      <c r="AI588" s="39" t="str">
        <f>IFERROR(proje!AT83*100/proje!$I83,"")</f>
        <v/>
      </c>
      <c r="AJ588" s="39" t="str">
        <f>IFERROR(proje!AU83*100/proje!$I83,"")</f>
        <v/>
      </c>
      <c r="AK588" s="39" t="str">
        <f>IFERROR(proje!AV83*100/proje!$I83,"")</f>
        <v/>
      </c>
      <c r="AL588" s="39" t="str">
        <f>IFERROR(proje!AW83*100/proje!$I83,"")</f>
        <v/>
      </c>
      <c r="AM588" s="39" t="str">
        <f>IFERROR(proje!AX83*100/proje!$I83,"")</f>
        <v/>
      </c>
      <c r="AN588" s="39" t="str">
        <f>IFERROR(proje!AY83*100/proje!$I83,"")</f>
        <v/>
      </c>
      <c r="AO588" s="39" t="str">
        <f>IFERROR(proje!AZ83*100/proje!$I83,"")</f>
        <v/>
      </c>
      <c r="AP588" s="39" t="str">
        <f>IFERROR(proje!BA83*100/proje!$I83,"")</f>
        <v/>
      </c>
      <c r="AQ588" s="39" t="str">
        <f>IFERROR(proje!BB83*100/proje!$I83,"")</f>
        <v/>
      </c>
      <c r="AR588" s="39" t="str">
        <f>IFERROR(proje!BC83*100/proje!$I83,"")</f>
        <v/>
      </c>
      <c r="AS588" s="39" t="str">
        <f>IFERROR(proje!BD83*100/proje!$I83,"")</f>
        <v/>
      </c>
      <c r="AT588" s="39" t="str">
        <f>IFERROR(proje!BE83*100/proje!$I83,"")</f>
        <v/>
      </c>
      <c r="AU588" s="39" t="str">
        <f>IFERROR(proje!BF83*100/proje!$I83,"")</f>
        <v/>
      </c>
      <c r="AV588" s="39" t="str">
        <f>IFERROR(proje!BG83*100/proje!$I83,"")</f>
        <v/>
      </c>
      <c r="AW588" s="39" t="str">
        <f>IFERROR(proje!BH83*100/proje!$I83,"")</f>
        <v/>
      </c>
      <c r="AX588" s="39" t="str">
        <f>IFERROR(proje!BI83*100/proje!$I83,"")</f>
        <v/>
      </c>
      <c r="AY588" s="39" t="str">
        <f>IFERROR(proje!BJ83*100/proje!$I83,"")</f>
        <v/>
      </c>
      <c r="AZ588" s="39" t="str">
        <f>IFERROR(proje!BK83*100/proje!$I83,"")</f>
        <v/>
      </c>
      <c r="BA588" s="39" t="str">
        <f>IFERROR(proje!BL83*100/proje!$I83,"")</f>
        <v/>
      </c>
      <c r="BB588" s="39" t="str">
        <f>IFERROR(proje!BM83*100/proje!$I83,"")</f>
        <v/>
      </c>
      <c r="BC588" s="39" t="str">
        <f>IFERROR(proje!BN83*100/proje!$I83,"")</f>
        <v/>
      </c>
      <c r="BD588" s="39" t="str">
        <f>IFERROR(proje!BO83*100/proje!$I83,"")</f>
        <v/>
      </c>
      <c r="BE588" s="39" t="str">
        <f>IFERROR(proje!BP83*100/proje!$I83,"")</f>
        <v/>
      </c>
      <c r="BF588" s="39" t="str">
        <f>IFERROR(proje!BQ83*100/proje!$I83,"")</f>
        <v/>
      </c>
      <c r="BG588" s="39" t="str">
        <f>IFERROR(proje!BR83*100/proje!$I83,"")</f>
        <v/>
      </c>
      <c r="BH588" s="39" t="str">
        <f>IFERROR(proje!BS83*100/proje!$I83,"")</f>
        <v/>
      </c>
      <c r="BI588" s="39" t="str">
        <f>IFERROR(proje!BT83*100/proje!$I83,"")</f>
        <v/>
      </c>
      <c r="BJ588" s="39" t="str">
        <f>IFERROR(proje!BU83*100/proje!$I83,"")</f>
        <v/>
      </c>
      <c r="BK588" s="39" t="str">
        <f>IFERROR(proje!BV83*100/proje!$I83,"")</f>
        <v/>
      </c>
      <c r="BL588" s="39" t="str">
        <f>IFERROR(proje!BW83*100/proje!$I83,"")</f>
        <v/>
      </c>
      <c r="BM588" s="39" t="str">
        <f>IFERROR(proje!BX83*100/proje!$I83,"")</f>
        <v/>
      </c>
      <c r="BN588" s="39" t="str">
        <f>IFERROR(proje!BY83*100/proje!$I83,"")</f>
        <v/>
      </c>
      <c r="BO588" s="39" t="str">
        <f>IFERROR(proje!BZ83*100/proje!$I83,"")</f>
        <v/>
      </c>
      <c r="BP588" s="39" t="str">
        <f>IFERROR(proje!CA83*100/proje!$I83,"")</f>
        <v/>
      </c>
      <c r="BQ588" s="39" t="str">
        <f>IFERROR(proje!CB83*100/proje!$I83,"")</f>
        <v/>
      </c>
      <c r="BR588" s="39" t="str">
        <f>IFERROR(proje!CC83*100/proje!$I83,"")</f>
        <v/>
      </c>
      <c r="BS588" s="39" t="str">
        <f>IFERROR(proje!CD83*100/proje!$I83,"")</f>
        <v/>
      </c>
      <c r="BT588" s="39" t="str">
        <f>IFERROR(proje!CE83*100/proje!$I83,"")</f>
        <v/>
      </c>
      <c r="BU588" s="39" t="str">
        <f>IFERROR(proje!CF83*100/proje!$I83,"")</f>
        <v/>
      </c>
      <c r="BV588" s="39" t="str">
        <f>IFERROR(proje!CG83*100/proje!$I83,"")</f>
        <v/>
      </c>
      <c r="BW588" s="39" t="str">
        <f>IFERROR(proje!CH83*100/proje!$I83,"")</f>
        <v/>
      </c>
      <c r="BX588" s="39" t="str">
        <f>IFERROR(proje!CI83*100/proje!$I83,"")</f>
        <v/>
      </c>
      <c r="BY588" s="39" t="str">
        <f>IFERROR(proje!CJ83*100/proje!$I83,"")</f>
        <v/>
      </c>
      <c r="BZ588" s="39" t="str">
        <f>IFERROR(proje!CK83*100/proje!$I83,"")</f>
        <v/>
      </c>
      <c r="CA588" s="39" t="str">
        <f>IFERROR(proje!CL83*100/proje!$I83,"")</f>
        <v/>
      </c>
      <c r="CB588" s="39" t="str">
        <f>IFERROR(proje!CM83*100/proje!$I83,"")</f>
        <v/>
      </c>
      <c r="CC588" s="39" t="str">
        <f>IFERROR(proje!CN83*100/proje!$I83,"")</f>
        <v/>
      </c>
      <c r="CD588" s="39" t="str">
        <f>IFERROR(proje!CO83*100/proje!$I83,"")</f>
        <v/>
      </c>
      <c r="CE588" s="39" t="str">
        <f>IFERROR(proje!CP83*100/proje!$I83,"")</f>
        <v/>
      </c>
      <c r="CF588" s="39" t="str">
        <f>IFERROR(proje!CQ83*100/proje!$I83,"")</f>
        <v/>
      </c>
      <c r="CG588" s="39" t="str">
        <f>IFERROR(proje!CR83*100/proje!$I83,"")</f>
        <v/>
      </c>
      <c r="CH588" s="39" t="str">
        <f>IFERROR(proje!CS83*100/proje!$I83,"")</f>
        <v/>
      </c>
      <c r="CI588" s="39" t="str">
        <f>IFERROR(proje!CT83*100/proje!$I83,"")</f>
        <v/>
      </c>
      <c r="CJ588" s="39" t="str">
        <f>IFERROR(proje!CU83*100/proje!$I83,"")</f>
        <v/>
      </c>
      <c r="CK588" s="39" t="str">
        <f>IFERROR(proje!CV83*100/proje!$I83,"")</f>
        <v/>
      </c>
      <c r="CL588" s="39" t="str">
        <f>IFERROR(proje!CW83*100/proje!$I83,"")</f>
        <v/>
      </c>
      <c r="CM588" s="39" t="str">
        <f>IFERROR(proje!CX83*100/proje!$I83,"")</f>
        <v/>
      </c>
      <c r="CN588" s="39" t="str">
        <f>IFERROR(proje!CY83*100/proje!$I83,"")</f>
        <v/>
      </c>
      <c r="CO588" s="39" t="str">
        <f>IFERROR(proje!CZ83*100/proje!$I83,"")</f>
        <v/>
      </c>
      <c r="CP588" s="39" t="str">
        <f>IFERROR(proje!DA83*100/proje!$I83,"")</f>
        <v/>
      </c>
      <c r="CQ588" s="39" t="str">
        <f>IFERROR(proje!DB83*100/proje!$I83,"")</f>
        <v/>
      </c>
      <c r="CR588" s="39" t="str">
        <f>IFERROR(proje!DC83*100/proje!$I83,"")</f>
        <v/>
      </c>
      <c r="CS588" s="39" t="str">
        <f>IFERROR(proje!DD83*100/proje!$I83,"")</f>
        <v/>
      </c>
      <c r="CT588" s="39" t="str">
        <f>IFERROR(proje!DE83*100/proje!$I83,"")</f>
        <v/>
      </c>
      <c r="CU588" s="39" t="str">
        <f>IFERROR(proje!DF83*100/proje!$I83,"")</f>
        <v/>
      </c>
      <c r="CV588" s="39" t="str">
        <f>IFERROR(proje!DG83*100/proje!$I83,"")</f>
        <v/>
      </c>
      <c r="CW588" s="36" t="str">
        <f>IFERROR(SUM(A588:CV588)/proje!$DH$103,"")</f>
        <v/>
      </c>
      <c r="CX588" s="14" t="str">
        <f>IF(COUNTA(proje!A83),proje!A83,"")</f>
        <v/>
      </c>
      <c r="CY588" s="14" t="str">
        <f>IF(COUNTA(proje!B83),proje!B83,"")</f>
        <v/>
      </c>
      <c r="CZ588" s="14" t="str">
        <f>IF(COUNTA(proje!C83),proje!C83,"")</f>
        <v/>
      </c>
      <c r="DA588" s="14" t="str">
        <f>IF(COUNTA(proje!D83),proje!D83,"")</f>
        <v/>
      </c>
      <c r="DB588" s="14" t="str">
        <f>IF(COUNTA(proje!E83),proje!E83,"")</f>
        <v/>
      </c>
      <c r="DC588" s="14" t="str">
        <f>IF(COUNTA(proje!F83),proje!F83,"")</f>
        <v/>
      </c>
      <c r="DD588" s="14" t="str">
        <f>IF(COUNTA(proje!G83),proje!G83,"")</f>
        <v/>
      </c>
      <c r="DE588" s="14" t="str">
        <f>IF(COUNTA(proje!H83),proje!H83,"")</f>
        <v/>
      </c>
    </row>
    <row r="589" spans="1:109" x14ac:dyDescent="0.2">
      <c r="A589" s="39" t="str">
        <f>IFERROR(proje!L84*100/proje!$I84,"")</f>
        <v/>
      </c>
      <c r="B589" s="39" t="str">
        <f>IFERROR(proje!M84*100/proje!$I84,"")</f>
        <v/>
      </c>
      <c r="C589" s="39" t="str">
        <f>IFERROR(proje!N84*100/proje!$I84,"")</f>
        <v/>
      </c>
      <c r="D589" s="39" t="str">
        <f>IFERROR(proje!O84*100/proje!$I84,"")</f>
        <v/>
      </c>
      <c r="E589" s="39" t="str">
        <f>IFERROR(proje!P84*100/proje!$I84,"")</f>
        <v/>
      </c>
      <c r="F589" s="39" t="str">
        <f>IFERROR(proje!Q84*100/proje!$I84,"")</f>
        <v/>
      </c>
      <c r="G589" s="39" t="str">
        <f>IFERROR(proje!R84*100/proje!$I84,"")</f>
        <v/>
      </c>
      <c r="H589" s="39" t="str">
        <f>IFERROR(proje!S84*100/proje!$I84,"")</f>
        <v/>
      </c>
      <c r="I589" s="39" t="str">
        <f>IFERROR(proje!T84*100/proje!$I84,"")</f>
        <v/>
      </c>
      <c r="J589" s="39" t="str">
        <f>IFERROR(proje!U84*100/proje!$I84,"")</f>
        <v/>
      </c>
      <c r="K589" s="39" t="str">
        <f>IFERROR(proje!V84*100/proje!$I84,"")</f>
        <v/>
      </c>
      <c r="L589" s="39" t="str">
        <f>IFERROR(proje!W84*100/proje!$I84,"")</f>
        <v/>
      </c>
      <c r="M589" s="39" t="str">
        <f>IFERROR(proje!X84*100/proje!$I84,"")</f>
        <v/>
      </c>
      <c r="N589" s="39" t="str">
        <f>IFERROR(proje!Y84*100/proje!$I84,"")</f>
        <v/>
      </c>
      <c r="O589" s="39" t="str">
        <f>IFERROR(proje!Z84*100/proje!$I84,"")</f>
        <v/>
      </c>
      <c r="P589" s="39" t="str">
        <f>IFERROR(proje!AA84*100/proje!$I84,"")</f>
        <v/>
      </c>
      <c r="Q589" s="39" t="str">
        <f>IFERROR(proje!AB84*100/proje!$I84,"")</f>
        <v/>
      </c>
      <c r="R589" s="39" t="str">
        <f>IFERROR(proje!AC84*100/proje!$I84,"")</f>
        <v/>
      </c>
      <c r="S589" s="39" t="str">
        <f>IFERROR(proje!AD84*100/proje!$I84,"")</f>
        <v/>
      </c>
      <c r="T589" s="39" t="str">
        <f>IFERROR(proje!AE84*100/proje!$I84,"")</f>
        <v/>
      </c>
      <c r="U589" s="39" t="str">
        <f>IFERROR(proje!AF84*100/proje!$I84,"")</f>
        <v/>
      </c>
      <c r="V589" s="39" t="str">
        <f>IFERROR(proje!AG84*100/proje!$I84,"")</f>
        <v/>
      </c>
      <c r="W589" s="39" t="str">
        <f>IFERROR(proje!AH84*100/proje!$I84,"")</f>
        <v/>
      </c>
      <c r="X589" s="39" t="str">
        <f>IFERROR(proje!AI84*100/proje!$I84,"")</f>
        <v/>
      </c>
      <c r="Y589" s="39" t="str">
        <f>IFERROR(proje!AJ84*100/proje!$I84,"")</f>
        <v/>
      </c>
      <c r="Z589" s="39" t="str">
        <f>IFERROR(proje!AK84*100/proje!$I84,"")</f>
        <v/>
      </c>
      <c r="AA589" s="39" t="str">
        <f>IFERROR(proje!AL84*100/proje!$I84,"")</f>
        <v/>
      </c>
      <c r="AB589" s="39" t="str">
        <f>IFERROR(proje!AM84*100/proje!$I84,"")</f>
        <v/>
      </c>
      <c r="AC589" s="39" t="str">
        <f>IFERROR(proje!AN84*100/proje!$I84,"")</f>
        <v/>
      </c>
      <c r="AD589" s="39" t="str">
        <f>IFERROR(proje!AO84*100/proje!$I84,"")</f>
        <v/>
      </c>
      <c r="AE589" s="39" t="str">
        <f>IFERROR(proje!AP84*100/proje!$I84,"")</f>
        <v/>
      </c>
      <c r="AF589" s="39" t="str">
        <f>IFERROR(proje!AQ84*100/proje!$I84,"")</f>
        <v/>
      </c>
      <c r="AG589" s="39" t="str">
        <f>IFERROR(proje!AR84*100/proje!$I84,"")</f>
        <v/>
      </c>
      <c r="AH589" s="39" t="str">
        <f>IFERROR(proje!AS84*100/proje!$I84,"")</f>
        <v/>
      </c>
      <c r="AI589" s="39" t="str">
        <f>IFERROR(proje!AT84*100/proje!$I84,"")</f>
        <v/>
      </c>
      <c r="AJ589" s="39" t="str">
        <f>IFERROR(proje!AU84*100/proje!$I84,"")</f>
        <v/>
      </c>
      <c r="AK589" s="39" t="str">
        <f>IFERROR(proje!AV84*100/proje!$I84,"")</f>
        <v/>
      </c>
      <c r="AL589" s="39" t="str">
        <f>IFERROR(proje!AW84*100/proje!$I84,"")</f>
        <v/>
      </c>
      <c r="AM589" s="39" t="str">
        <f>IFERROR(proje!AX84*100/proje!$I84,"")</f>
        <v/>
      </c>
      <c r="AN589" s="39" t="str">
        <f>IFERROR(proje!AY84*100/proje!$I84,"")</f>
        <v/>
      </c>
      <c r="AO589" s="39" t="str">
        <f>IFERROR(proje!AZ84*100/proje!$I84,"")</f>
        <v/>
      </c>
      <c r="AP589" s="39" t="str">
        <f>IFERROR(proje!BA84*100/proje!$I84,"")</f>
        <v/>
      </c>
      <c r="AQ589" s="39" t="str">
        <f>IFERROR(proje!BB84*100/proje!$I84,"")</f>
        <v/>
      </c>
      <c r="AR589" s="39" t="str">
        <f>IFERROR(proje!BC84*100/proje!$I84,"")</f>
        <v/>
      </c>
      <c r="AS589" s="39" t="str">
        <f>IFERROR(proje!BD84*100/proje!$I84,"")</f>
        <v/>
      </c>
      <c r="AT589" s="39" t="str">
        <f>IFERROR(proje!BE84*100/proje!$I84,"")</f>
        <v/>
      </c>
      <c r="AU589" s="39" t="str">
        <f>IFERROR(proje!BF84*100/proje!$I84,"")</f>
        <v/>
      </c>
      <c r="AV589" s="39" t="str">
        <f>IFERROR(proje!BG84*100/proje!$I84,"")</f>
        <v/>
      </c>
      <c r="AW589" s="39" t="str">
        <f>IFERROR(proje!BH84*100/proje!$I84,"")</f>
        <v/>
      </c>
      <c r="AX589" s="39" t="str">
        <f>IFERROR(proje!BI84*100/proje!$I84,"")</f>
        <v/>
      </c>
      <c r="AY589" s="39" t="str">
        <f>IFERROR(proje!BJ84*100/proje!$I84,"")</f>
        <v/>
      </c>
      <c r="AZ589" s="39" t="str">
        <f>IFERROR(proje!BK84*100/proje!$I84,"")</f>
        <v/>
      </c>
      <c r="BA589" s="39" t="str">
        <f>IFERROR(proje!BL84*100/proje!$I84,"")</f>
        <v/>
      </c>
      <c r="BB589" s="39" t="str">
        <f>IFERROR(proje!BM84*100/proje!$I84,"")</f>
        <v/>
      </c>
      <c r="BC589" s="39" t="str">
        <f>IFERROR(proje!BN84*100/proje!$I84,"")</f>
        <v/>
      </c>
      <c r="BD589" s="39" t="str">
        <f>IFERROR(proje!BO84*100/proje!$I84,"")</f>
        <v/>
      </c>
      <c r="BE589" s="39" t="str">
        <f>IFERROR(proje!BP84*100/proje!$I84,"")</f>
        <v/>
      </c>
      <c r="BF589" s="39" t="str">
        <f>IFERROR(proje!BQ84*100/proje!$I84,"")</f>
        <v/>
      </c>
      <c r="BG589" s="39" t="str">
        <f>IFERROR(proje!BR84*100/proje!$I84,"")</f>
        <v/>
      </c>
      <c r="BH589" s="39" t="str">
        <f>IFERROR(proje!BS84*100/proje!$I84,"")</f>
        <v/>
      </c>
      <c r="BI589" s="39" t="str">
        <f>IFERROR(proje!BT84*100/proje!$I84,"")</f>
        <v/>
      </c>
      <c r="BJ589" s="39" t="str">
        <f>IFERROR(proje!BU84*100/proje!$I84,"")</f>
        <v/>
      </c>
      <c r="BK589" s="39" t="str">
        <f>IFERROR(proje!BV84*100/proje!$I84,"")</f>
        <v/>
      </c>
      <c r="BL589" s="39" t="str">
        <f>IFERROR(proje!BW84*100/proje!$I84,"")</f>
        <v/>
      </c>
      <c r="BM589" s="39" t="str">
        <f>IFERROR(proje!BX84*100/proje!$I84,"")</f>
        <v/>
      </c>
      <c r="BN589" s="39" t="str">
        <f>IFERROR(proje!BY84*100/proje!$I84,"")</f>
        <v/>
      </c>
      <c r="BO589" s="39" t="str">
        <f>IFERROR(proje!BZ84*100/proje!$I84,"")</f>
        <v/>
      </c>
      <c r="BP589" s="39" t="str">
        <f>IFERROR(proje!CA84*100/proje!$I84,"")</f>
        <v/>
      </c>
      <c r="BQ589" s="39" t="str">
        <f>IFERROR(proje!CB84*100/proje!$I84,"")</f>
        <v/>
      </c>
      <c r="BR589" s="39" t="str">
        <f>IFERROR(proje!CC84*100/proje!$I84,"")</f>
        <v/>
      </c>
      <c r="BS589" s="39" t="str">
        <f>IFERROR(proje!CD84*100/proje!$I84,"")</f>
        <v/>
      </c>
      <c r="BT589" s="39" t="str">
        <f>IFERROR(proje!CE84*100/proje!$I84,"")</f>
        <v/>
      </c>
      <c r="BU589" s="39" t="str">
        <f>IFERROR(proje!CF84*100/proje!$I84,"")</f>
        <v/>
      </c>
      <c r="BV589" s="39" t="str">
        <f>IFERROR(proje!CG84*100/proje!$I84,"")</f>
        <v/>
      </c>
      <c r="BW589" s="39" t="str">
        <f>IFERROR(proje!CH84*100/proje!$I84,"")</f>
        <v/>
      </c>
      <c r="BX589" s="39" t="str">
        <f>IFERROR(proje!CI84*100/proje!$I84,"")</f>
        <v/>
      </c>
      <c r="BY589" s="39" t="str">
        <f>IFERROR(proje!CJ84*100/proje!$I84,"")</f>
        <v/>
      </c>
      <c r="BZ589" s="39" t="str">
        <f>IFERROR(proje!CK84*100/proje!$I84,"")</f>
        <v/>
      </c>
      <c r="CA589" s="39" t="str">
        <f>IFERROR(proje!CL84*100/proje!$I84,"")</f>
        <v/>
      </c>
      <c r="CB589" s="39" t="str">
        <f>IFERROR(proje!CM84*100/proje!$I84,"")</f>
        <v/>
      </c>
      <c r="CC589" s="39" t="str">
        <f>IFERROR(proje!CN84*100/proje!$I84,"")</f>
        <v/>
      </c>
      <c r="CD589" s="39" t="str">
        <f>IFERROR(proje!CO84*100/proje!$I84,"")</f>
        <v/>
      </c>
      <c r="CE589" s="39" t="str">
        <f>IFERROR(proje!CP84*100/proje!$I84,"")</f>
        <v/>
      </c>
      <c r="CF589" s="39" t="str">
        <f>IFERROR(proje!CQ84*100/proje!$I84,"")</f>
        <v/>
      </c>
      <c r="CG589" s="39" t="str">
        <f>IFERROR(proje!CR84*100/proje!$I84,"")</f>
        <v/>
      </c>
      <c r="CH589" s="39" t="str">
        <f>IFERROR(proje!CS84*100/proje!$I84,"")</f>
        <v/>
      </c>
      <c r="CI589" s="39" t="str">
        <f>IFERROR(proje!CT84*100/proje!$I84,"")</f>
        <v/>
      </c>
      <c r="CJ589" s="39" t="str">
        <f>IFERROR(proje!CU84*100/proje!$I84,"")</f>
        <v/>
      </c>
      <c r="CK589" s="39" t="str">
        <f>IFERROR(proje!CV84*100/proje!$I84,"")</f>
        <v/>
      </c>
      <c r="CL589" s="39" t="str">
        <f>IFERROR(proje!CW84*100/proje!$I84,"")</f>
        <v/>
      </c>
      <c r="CM589" s="39" t="str">
        <f>IFERROR(proje!CX84*100/proje!$I84,"")</f>
        <v/>
      </c>
      <c r="CN589" s="39" t="str">
        <f>IFERROR(proje!CY84*100/proje!$I84,"")</f>
        <v/>
      </c>
      <c r="CO589" s="39" t="str">
        <f>IFERROR(proje!CZ84*100/proje!$I84,"")</f>
        <v/>
      </c>
      <c r="CP589" s="39" t="str">
        <f>IFERROR(proje!DA84*100/proje!$I84,"")</f>
        <v/>
      </c>
      <c r="CQ589" s="39" t="str">
        <f>IFERROR(proje!DB84*100/proje!$I84,"")</f>
        <v/>
      </c>
      <c r="CR589" s="39" t="str">
        <f>IFERROR(proje!DC84*100/proje!$I84,"")</f>
        <v/>
      </c>
      <c r="CS589" s="39" t="str">
        <f>IFERROR(proje!DD84*100/proje!$I84,"")</f>
        <v/>
      </c>
      <c r="CT589" s="39" t="str">
        <f>IFERROR(proje!DE84*100/proje!$I84,"")</f>
        <v/>
      </c>
      <c r="CU589" s="39" t="str">
        <f>IFERROR(proje!DF84*100/proje!$I84,"")</f>
        <v/>
      </c>
      <c r="CV589" s="39" t="str">
        <f>IFERROR(proje!DG84*100/proje!$I84,"")</f>
        <v/>
      </c>
      <c r="CW589" s="36" t="str">
        <f>IFERROR(SUM(A589:CV589)/proje!$DH$103,"")</f>
        <v/>
      </c>
      <c r="CX589" s="14" t="str">
        <f>IF(COUNTA(proje!A84),proje!A84,"")</f>
        <v/>
      </c>
      <c r="CY589" s="14" t="str">
        <f>IF(COUNTA(proje!B84),proje!B84,"")</f>
        <v/>
      </c>
      <c r="CZ589" s="14" t="str">
        <f>IF(COUNTA(proje!C84),proje!C84,"")</f>
        <v/>
      </c>
      <c r="DA589" s="14" t="str">
        <f>IF(COUNTA(proje!D84),proje!D84,"")</f>
        <v/>
      </c>
      <c r="DB589" s="14" t="str">
        <f>IF(COUNTA(proje!E84),proje!E84,"")</f>
        <v/>
      </c>
      <c r="DC589" s="14" t="str">
        <f>IF(COUNTA(proje!F84),proje!F84,"")</f>
        <v/>
      </c>
      <c r="DD589" s="14" t="str">
        <f>IF(COUNTA(proje!G84),proje!G84,"")</f>
        <v/>
      </c>
      <c r="DE589" s="14" t="str">
        <f>IF(COUNTA(proje!H84),proje!H84,"")</f>
        <v/>
      </c>
    </row>
    <row r="590" spans="1:109" x14ac:dyDescent="0.2">
      <c r="A590" s="39" t="str">
        <f>IFERROR(proje!L85*100/proje!$I85,"")</f>
        <v/>
      </c>
      <c r="B590" s="39" t="str">
        <f>IFERROR(proje!M85*100/proje!$I85,"")</f>
        <v/>
      </c>
      <c r="C590" s="39" t="str">
        <f>IFERROR(proje!N85*100/proje!$I85,"")</f>
        <v/>
      </c>
      <c r="D590" s="39" t="str">
        <f>IFERROR(proje!O85*100/proje!$I85,"")</f>
        <v/>
      </c>
      <c r="E590" s="39" t="str">
        <f>IFERROR(proje!P85*100/proje!$I85,"")</f>
        <v/>
      </c>
      <c r="F590" s="39" t="str">
        <f>IFERROR(proje!Q85*100/proje!$I85,"")</f>
        <v/>
      </c>
      <c r="G590" s="39" t="str">
        <f>IFERROR(proje!R85*100/proje!$I85,"")</f>
        <v/>
      </c>
      <c r="H590" s="39" t="str">
        <f>IFERROR(proje!S85*100/proje!$I85,"")</f>
        <v/>
      </c>
      <c r="I590" s="39" t="str">
        <f>IFERROR(proje!T85*100/proje!$I85,"")</f>
        <v/>
      </c>
      <c r="J590" s="39" t="str">
        <f>IFERROR(proje!U85*100/proje!$I85,"")</f>
        <v/>
      </c>
      <c r="K590" s="39" t="str">
        <f>IFERROR(proje!V85*100/proje!$I85,"")</f>
        <v/>
      </c>
      <c r="L590" s="39" t="str">
        <f>IFERROR(proje!W85*100/proje!$I85,"")</f>
        <v/>
      </c>
      <c r="M590" s="39" t="str">
        <f>IFERROR(proje!X85*100/proje!$I85,"")</f>
        <v/>
      </c>
      <c r="N590" s="39" t="str">
        <f>IFERROR(proje!Y85*100/proje!$I85,"")</f>
        <v/>
      </c>
      <c r="O590" s="39" t="str">
        <f>IFERROR(proje!Z85*100/proje!$I85,"")</f>
        <v/>
      </c>
      <c r="P590" s="39" t="str">
        <f>IFERROR(proje!AA85*100/proje!$I85,"")</f>
        <v/>
      </c>
      <c r="Q590" s="39" t="str">
        <f>IFERROR(proje!AB85*100/proje!$I85,"")</f>
        <v/>
      </c>
      <c r="R590" s="39" t="str">
        <f>IFERROR(proje!AC85*100/proje!$I85,"")</f>
        <v/>
      </c>
      <c r="S590" s="39" t="str">
        <f>IFERROR(proje!AD85*100/proje!$I85,"")</f>
        <v/>
      </c>
      <c r="T590" s="39" t="str">
        <f>IFERROR(proje!AE85*100/proje!$I85,"")</f>
        <v/>
      </c>
      <c r="U590" s="39" t="str">
        <f>IFERROR(proje!AF85*100/proje!$I85,"")</f>
        <v/>
      </c>
      <c r="V590" s="39" t="str">
        <f>IFERROR(proje!AG85*100/proje!$I85,"")</f>
        <v/>
      </c>
      <c r="W590" s="39" t="str">
        <f>IFERROR(proje!AH85*100/proje!$I85,"")</f>
        <v/>
      </c>
      <c r="X590" s="39" t="str">
        <f>IFERROR(proje!AI85*100/proje!$I85,"")</f>
        <v/>
      </c>
      <c r="Y590" s="39" t="str">
        <f>IFERROR(proje!AJ85*100/proje!$I85,"")</f>
        <v/>
      </c>
      <c r="Z590" s="39" t="str">
        <f>IFERROR(proje!AK85*100/proje!$I85,"")</f>
        <v/>
      </c>
      <c r="AA590" s="39" t="str">
        <f>IFERROR(proje!AL85*100/proje!$I85,"")</f>
        <v/>
      </c>
      <c r="AB590" s="39" t="str">
        <f>IFERROR(proje!AM85*100/proje!$I85,"")</f>
        <v/>
      </c>
      <c r="AC590" s="39" t="str">
        <f>IFERROR(proje!AN85*100/proje!$I85,"")</f>
        <v/>
      </c>
      <c r="AD590" s="39" t="str">
        <f>IFERROR(proje!AO85*100/proje!$I85,"")</f>
        <v/>
      </c>
      <c r="AE590" s="39" t="str">
        <f>IFERROR(proje!AP85*100/proje!$I85,"")</f>
        <v/>
      </c>
      <c r="AF590" s="39" t="str">
        <f>IFERROR(proje!AQ85*100/proje!$I85,"")</f>
        <v/>
      </c>
      <c r="AG590" s="39" t="str">
        <f>IFERROR(proje!AR85*100/proje!$I85,"")</f>
        <v/>
      </c>
      <c r="AH590" s="39" t="str">
        <f>IFERROR(proje!AS85*100/proje!$I85,"")</f>
        <v/>
      </c>
      <c r="AI590" s="39" t="str">
        <f>IFERROR(proje!AT85*100/proje!$I85,"")</f>
        <v/>
      </c>
      <c r="AJ590" s="39" t="str">
        <f>IFERROR(proje!AU85*100/proje!$I85,"")</f>
        <v/>
      </c>
      <c r="AK590" s="39" t="str">
        <f>IFERROR(proje!AV85*100/proje!$I85,"")</f>
        <v/>
      </c>
      <c r="AL590" s="39" t="str">
        <f>IFERROR(proje!AW85*100/proje!$I85,"")</f>
        <v/>
      </c>
      <c r="AM590" s="39" t="str">
        <f>IFERROR(proje!AX85*100/proje!$I85,"")</f>
        <v/>
      </c>
      <c r="AN590" s="39" t="str">
        <f>IFERROR(proje!AY85*100/proje!$I85,"")</f>
        <v/>
      </c>
      <c r="AO590" s="39" t="str">
        <f>IFERROR(proje!AZ85*100/proje!$I85,"")</f>
        <v/>
      </c>
      <c r="AP590" s="39" t="str">
        <f>IFERROR(proje!BA85*100/proje!$I85,"")</f>
        <v/>
      </c>
      <c r="AQ590" s="39" t="str">
        <f>IFERROR(proje!BB85*100/proje!$I85,"")</f>
        <v/>
      </c>
      <c r="AR590" s="39" t="str">
        <f>IFERROR(proje!BC85*100/proje!$I85,"")</f>
        <v/>
      </c>
      <c r="AS590" s="39" t="str">
        <f>IFERROR(proje!BD85*100/proje!$I85,"")</f>
        <v/>
      </c>
      <c r="AT590" s="39" t="str">
        <f>IFERROR(proje!BE85*100/proje!$I85,"")</f>
        <v/>
      </c>
      <c r="AU590" s="39" t="str">
        <f>IFERROR(proje!BF85*100/proje!$I85,"")</f>
        <v/>
      </c>
      <c r="AV590" s="39" t="str">
        <f>IFERROR(proje!BG85*100/proje!$I85,"")</f>
        <v/>
      </c>
      <c r="AW590" s="39" t="str">
        <f>IFERROR(proje!BH85*100/proje!$I85,"")</f>
        <v/>
      </c>
      <c r="AX590" s="39" t="str">
        <f>IFERROR(proje!BI85*100/proje!$I85,"")</f>
        <v/>
      </c>
      <c r="AY590" s="39" t="str">
        <f>IFERROR(proje!BJ85*100/proje!$I85,"")</f>
        <v/>
      </c>
      <c r="AZ590" s="39" t="str">
        <f>IFERROR(proje!BK85*100/proje!$I85,"")</f>
        <v/>
      </c>
      <c r="BA590" s="39" t="str">
        <f>IFERROR(proje!BL85*100/proje!$I85,"")</f>
        <v/>
      </c>
      <c r="BB590" s="39" t="str">
        <f>IFERROR(proje!BM85*100/proje!$I85,"")</f>
        <v/>
      </c>
      <c r="BC590" s="39" t="str">
        <f>IFERROR(proje!BN85*100/proje!$I85,"")</f>
        <v/>
      </c>
      <c r="BD590" s="39" t="str">
        <f>IFERROR(proje!BO85*100/proje!$I85,"")</f>
        <v/>
      </c>
      <c r="BE590" s="39" t="str">
        <f>IFERROR(proje!BP85*100/proje!$I85,"")</f>
        <v/>
      </c>
      <c r="BF590" s="39" t="str">
        <f>IFERROR(proje!BQ85*100/proje!$I85,"")</f>
        <v/>
      </c>
      <c r="BG590" s="39" t="str">
        <f>IFERROR(proje!BR85*100/proje!$I85,"")</f>
        <v/>
      </c>
      <c r="BH590" s="39" t="str">
        <f>IFERROR(proje!BS85*100/proje!$I85,"")</f>
        <v/>
      </c>
      <c r="BI590" s="39" t="str">
        <f>IFERROR(proje!BT85*100/proje!$I85,"")</f>
        <v/>
      </c>
      <c r="BJ590" s="39" t="str">
        <f>IFERROR(proje!BU85*100/proje!$I85,"")</f>
        <v/>
      </c>
      <c r="BK590" s="39" t="str">
        <f>IFERROR(proje!BV85*100/proje!$I85,"")</f>
        <v/>
      </c>
      <c r="BL590" s="39" t="str">
        <f>IFERROR(proje!BW85*100/proje!$I85,"")</f>
        <v/>
      </c>
      <c r="BM590" s="39" t="str">
        <f>IFERROR(proje!BX85*100/proje!$I85,"")</f>
        <v/>
      </c>
      <c r="BN590" s="39" t="str">
        <f>IFERROR(proje!BY85*100/proje!$I85,"")</f>
        <v/>
      </c>
      <c r="BO590" s="39" t="str">
        <f>IFERROR(proje!BZ85*100/proje!$I85,"")</f>
        <v/>
      </c>
      <c r="BP590" s="39" t="str">
        <f>IFERROR(proje!CA85*100/proje!$I85,"")</f>
        <v/>
      </c>
      <c r="BQ590" s="39" t="str">
        <f>IFERROR(proje!CB85*100/proje!$I85,"")</f>
        <v/>
      </c>
      <c r="BR590" s="39" t="str">
        <f>IFERROR(proje!CC85*100/proje!$I85,"")</f>
        <v/>
      </c>
      <c r="BS590" s="39" t="str">
        <f>IFERROR(proje!CD85*100/proje!$I85,"")</f>
        <v/>
      </c>
      <c r="BT590" s="39" t="str">
        <f>IFERROR(proje!CE85*100/proje!$I85,"")</f>
        <v/>
      </c>
      <c r="BU590" s="39" t="str">
        <f>IFERROR(proje!CF85*100/proje!$I85,"")</f>
        <v/>
      </c>
      <c r="BV590" s="39" t="str">
        <f>IFERROR(proje!CG85*100/proje!$I85,"")</f>
        <v/>
      </c>
      <c r="BW590" s="39" t="str">
        <f>IFERROR(proje!CH85*100/proje!$I85,"")</f>
        <v/>
      </c>
      <c r="BX590" s="39" t="str">
        <f>IFERROR(proje!CI85*100/proje!$I85,"")</f>
        <v/>
      </c>
      <c r="BY590" s="39" t="str">
        <f>IFERROR(proje!CJ85*100/proje!$I85,"")</f>
        <v/>
      </c>
      <c r="BZ590" s="39" t="str">
        <f>IFERROR(proje!CK85*100/proje!$I85,"")</f>
        <v/>
      </c>
      <c r="CA590" s="39" t="str">
        <f>IFERROR(proje!CL85*100/proje!$I85,"")</f>
        <v/>
      </c>
      <c r="CB590" s="39" t="str">
        <f>IFERROR(proje!CM85*100/proje!$I85,"")</f>
        <v/>
      </c>
      <c r="CC590" s="39" t="str">
        <f>IFERROR(proje!CN85*100/proje!$I85,"")</f>
        <v/>
      </c>
      <c r="CD590" s="39" t="str">
        <f>IFERROR(proje!CO85*100/proje!$I85,"")</f>
        <v/>
      </c>
      <c r="CE590" s="39" t="str">
        <f>IFERROR(proje!CP85*100/proje!$I85,"")</f>
        <v/>
      </c>
      <c r="CF590" s="39" t="str">
        <f>IFERROR(proje!CQ85*100/proje!$I85,"")</f>
        <v/>
      </c>
      <c r="CG590" s="39" t="str">
        <f>IFERROR(proje!CR85*100/proje!$I85,"")</f>
        <v/>
      </c>
      <c r="CH590" s="39" t="str">
        <f>IFERROR(proje!CS85*100/proje!$I85,"")</f>
        <v/>
      </c>
      <c r="CI590" s="39" t="str">
        <f>IFERROR(proje!CT85*100/proje!$I85,"")</f>
        <v/>
      </c>
      <c r="CJ590" s="39" t="str">
        <f>IFERROR(proje!CU85*100/proje!$I85,"")</f>
        <v/>
      </c>
      <c r="CK590" s="39" t="str">
        <f>IFERROR(proje!CV85*100/proje!$I85,"")</f>
        <v/>
      </c>
      <c r="CL590" s="39" t="str">
        <f>IFERROR(proje!CW85*100/proje!$I85,"")</f>
        <v/>
      </c>
      <c r="CM590" s="39" t="str">
        <f>IFERROR(proje!CX85*100/proje!$I85,"")</f>
        <v/>
      </c>
      <c r="CN590" s="39" t="str">
        <f>IFERROR(proje!CY85*100/proje!$I85,"")</f>
        <v/>
      </c>
      <c r="CO590" s="39" t="str">
        <f>IFERROR(proje!CZ85*100/proje!$I85,"")</f>
        <v/>
      </c>
      <c r="CP590" s="39" t="str">
        <f>IFERROR(proje!DA85*100/proje!$I85,"")</f>
        <v/>
      </c>
      <c r="CQ590" s="39" t="str">
        <f>IFERROR(proje!DB85*100/proje!$I85,"")</f>
        <v/>
      </c>
      <c r="CR590" s="39" t="str">
        <f>IFERROR(proje!DC85*100/proje!$I85,"")</f>
        <v/>
      </c>
      <c r="CS590" s="39" t="str">
        <f>IFERROR(proje!DD85*100/proje!$I85,"")</f>
        <v/>
      </c>
      <c r="CT590" s="39" t="str">
        <f>IFERROR(proje!DE85*100/proje!$I85,"")</f>
        <v/>
      </c>
      <c r="CU590" s="39" t="str">
        <f>IFERROR(proje!DF85*100/proje!$I85,"")</f>
        <v/>
      </c>
      <c r="CV590" s="39" t="str">
        <f>IFERROR(proje!DG85*100/proje!$I85,"")</f>
        <v/>
      </c>
      <c r="CW590" s="36" t="str">
        <f>IFERROR(SUM(A590:CV590)/proje!$DH$103,"")</f>
        <v/>
      </c>
      <c r="CX590" s="14" t="str">
        <f>IF(COUNTA(proje!A85),proje!A85,"")</f>
        <v/>
      </c>
      <c r="CY590" s="14" t="str">
        <f>IF(COUNTA(proje!B85),proje!B85,"")</f>
        <v/>
      </c>
      <c r="CZ590" s="14" t="str">
        <f>IF(COUNTA(proje!C85),proje!C85,"")</f>
        <v/>
      </c>
      <c r="DA590" s="14" t="str">
        <f>IF(COUNTA(proje!D85),proje!D85,"")</f>
        <v/>
      </c>
      <c r="DB590" s="14" t="str">
        <f>IF(COUNTA(proje!E85),proje!E85,"")</f>
        <v/>
      </c>
      <c r="DC590" s="14" t="str">
        <f>IF(COUNTA(proje!F85),proje!F85,"")</f>
        <v/>
      </c>
      <c r="DD590" s="14" t="str">
        <f>IF(COUNTA(proje!G85),proje!G85,"")</f>
        <v/>
      </c>
      <c r="DE590" s="14" t="str">
        <f>IF(COUNTA(proje!H85),proje!H85,"")</f>
        <v/>
      </c>
    </row>
    <row r="591" spans="1:109" x14ac:dyDescent="0.2">
      <c r="A591" s="39" t="str">
        <f>IFERROR(proje!L86*100/proje!$I86,"")</f>
        <v/>
      </c>
      <c r="B591" s="39" t="str">
        <f>IFERROR(proje!M86*100/proje!$I86,"")</f>
        <v/>
      </c>
      <c r="C591" s="39" t="str">
        <f>IFERROR(proje!N86*100/proje!$I86,"")</f>
        <v/>
      </c>
      <c r="D591" s="39" t="str">
        <f>IFERROR(proje!O86*100/proje!$I86,"")</f>
        <v/>
      </c>
      <c r="E591" s="39" t="str">
        <f>IFERROR(proje!P86*100/proje!$I86,"")</f>
        <v/>
      </c>
      <c r="F591" s="39" t="str">
        <f>IFERROR(proje!Q86*100/proje!$I86,"")</f>
        <v/>
      </c>
      <c r="G591" s="39" t="str">
        <f>IFERROR(proje!R86*100/proje!$I86,"")</f>
        <v/>
      </c>
      <c r="H591" s="39" t="str">
        <f>IFERROR(proje!S86*100/proje!$I86,"")</f>
        <v/>
      </c>
      <c r="I591" s="39" t="str">
        <f>IFERROR(proje!T86*100/proje!$I86,"")</f>
        <v/>
      </c>
      <c r="J591" s="39" t="str">
        <f>IFERROR(proje!U86*100/proje!$I86,"")</f>
        <v/>
      </c>
      <c r="K591" s="39" t="str">
        <f>IFERROR(proje!V86*100/proje!$I86,"")</f>
        <v/>
      </c>
      <c r="L591" s="39" t="str">
        <f>IFERROR(proje!W86*100/proje!$I86,"")</f>
        <v/>
      </c>
      <c r="M591" s="39" t="str">
        <f>IFERROR(proje!X86*100/proje!$I86,"")</f>
        <v/>
      </c>
      <c r="N591" s="39" t="str">
        <f>IFERROR(proje!Y86*100/proje!$I86,"")</f>
        <v/>
      </c>
      <c r="O591" s="39" t="str">
        <f>IFERROR(proje!Z86*100/proje!$I86,"")</f>
        <v/>
      </c>
      <c r="P591" s="39" t="str">
        <f>IFERROR(proje!AA86*100/proje!$I86,"")</f>
        <v/>
      </c>
      <c r="Q591" s="39" t="str">
        <f>IFERROR(proje!AB86*100/proje!$I86,"")</f>
        <v/>
      </c>
      <c r="R591" s="39" t="str">
        <f>IFERROR(proje!AC86*100/proje!$I86,"")</f>
        <v/>
      </c>
      <c r="S591" s="39" t="str">
        <f>IFERROR(proje!AD86*100/proje!$I86,"")</f>
        <v/>
      </c>
      <c r="T591" s="39" t="str">
        <f>IFERROR(proje!AE86*100/proje!$I86,"")</f>
        <v/>
      </c>
      <c r="U591" s="39" t="str">
        <f>IFERROR(proje!AF86*100/proje!$I86,"")</f>
        <v/>
      </c>
      <c r="V591" s="39" t="str">
        <f>IFERROR(proje!AG86*100/proje!$I86,"")</f>
        <v/>
      </c>
      <c r="W591" s="39" t="str">
        <f>IFERROR(proje!AH86*100/proje!$I86,"")</f>
        <v/>
      </c>
      <c r="X591" s="39" t="str">
        <f>IFERROR(proje!AI86*100/proje!$I86,"")</f>
        <v/>
      </c>
      <c r="Y591" s="39" t="str">
        <f>IFERROR(proje!AJ86*100/proje!$I86,"")</f>
        <v/>
      </c>
      <c r="Z591" s="39" t="str">
        <f>IFERROR(proje!AK86*100/proje!$I86,"")</f>
        <v/>
      </c>
      <c r="AA591" s="39" t="str">
        <f>IFERROR(proje!AL86*100/proje!$I86,"")</f>
        <v/>
      </c>
      <c r="AB591" s="39" t="str">
        <f>IFERROR(proje!AM86*100/proje!$I86,"")</f>
        <v/>
      </c>
      <c r="AC591" s="39" t="str">
        <f>IFERROR(proje!AN86*100/proje!$I86,"")</f>
        <v/>
      </c>
      <c r="AD591" s="39" t="str">
        <f>IFERROR(proje!AO86*100/proje!$I86,"")</f>
        <v/>
      </c>
      <c r="AE591" s="39" t="str">
        <f>IFERROR(proje!AP86*100/proje!$I86,"")</f>
        <v/>
      </c>
      <c r="AF591" s="39" t="str">
        <f>IFERROR(proje!AQ86*100/proje!$I86,"")</f>
        <v/>
      </c>
      <c r="AG591" s="39" t="str">
        <f>IFERROR(proje!AR86*100/proje!$I86,"")</f>
        <v/>
      </c>
      <c r="AH591" s="39" t="str">
        <f>IFERROR(proje!AS86*100/proje!$I86,"")</f>
        <v/>
      </c>
      <c r="AI591" s="39" t="str">
        <f>IFERROR(proje!AT86*100/proje!$I86,"")</f>
        <v/>
      </c>
      <c r="AJ591" s="39" t="str">
        <f>IFERROR(proje!AU86*100/proje!$I86,"")</f>
        <v/>
      </c>
      <c r="AK591" s="39" t="str">
        <f>IFERROR(proje!AV86*100/proje!$I86,"")</f>
        <v/>
      </c>
      <c r="AL591" s="39" t="str">
        <f>IFERROR(proje!AW86*100/proje!$I86,"")</f>
        <v/>
      </c>
      <c r="AM591" s="39" t="str">
        <f>IFERROR(proje!AX86*100/proje!$I86,"")</f>
        <v/>
      </c>
      <c r="AN591" s="39" t="str">
        <f>IFERROR(proje!AY86*100/proje!$I86,"")</f>
        <v/>
      </c>
      <c r="AO591" s="39" t="str">
        <f>IFERROR(proje!AZ86*100/proje!$I86,"")</f>
        <v/>
      </c>
      <c r="AP591" s="39" t="str">
        <f>IFERROR(proje!BA86*100/proje!$I86,"")</f>
        <v/>
      </c>
      <c r="AQ591" s="39" t="str">
        <f>IFERROR(proje!BB86*100/proje!$I86,"")</f>
        <v/>
      </c>
      <c r="AR591" s="39" t="str">
        <f>IFERROR(proje!BC86*100/proje!$I86,"")</f>
        <v/>
      </c>
      <c r="AS591" s="39" t="str">
        <f>IFERROR(proje!BD86*100/proje!$I86,"")</f>
        <v/>
      </c>
      <c r="AT591" s="39" t="str">
        <f>IFERROR(proje!BE86*100/proje!$I86,"")</f>
        <v/>
      </c>
      <c r="AU591" s="39" t="str">
        <f>IFERROR(proje!BF86*100/proje!$I86,"")</f>
        <v/>
      </c>
      <c r="AV591" s="39" t="str">
        <f>IFERROR(proje!BG86*100/proje!$I86,"")</f>
        <v/>
      </c>
      <c r="AW591" s="39" t="str">
        <f>IFERROR(proje!BH86*100/proje!$I86,"")</f>
        <v/>
      </c>
      <c r="AX591" s="39" t="str">
        <f>IFERROR(proje!BI86*100/proje!$I86,"")</f>
        <v/>
      </c>
      <c r="AY591" s="39" t="str">
        <f>IFERROR(proje!BJ86*100/proje!$I86,"")</f>
        <v/>
      </c>
      <c r="AZ591" s="39" t="str">
        <f>IFERROR(proje!BK86*100/proje!$I86,"")</f>
        <v/>
      </c>
      <c r="BA591" s="39" t="str">
        <f>IFERROR(proje!BL86*100/proje!$I86,"")</f>
        <v/>
      </c>
      <c r="BB591" s="39" t="str">
        <f>IFERROR(proje!BM86*100/proje!$I86,"")</f>
        <v/>
      </c>
      <c r="BC591" s="39" t="str">
        <f>IFERROR(proje!BN86*100/proje!$I86,"")</f>
        <v/>
      </c>
      <c r="BD591" s="39" t="str">
        <f>IFERROR(proje!BO86*100/proje!$I86,"")</f>
        <v/>
      </c>
      <c r="BE591" s="39" t="str">
        <f>IFERROR(proje!BP86*100/proje!$I86,"")</f>
        <v/>
      </c>
      <c r="BF591" s="39" t="str">
        <f>IFERROR(proje!BQ86*100/proje!$I86,"")</f>
        <v/>
      </c>
      <c r="BG591" s="39" t="str">
        <f>IFERROR(proje!BR86*100/proje!$I86,"")</f>
        <v/>
      </c>
      <c r="BH591" s="39" t="str">
        <f>IFERROR(proje!BS86*100/proje!$I86,"")</f>
        <v/>
      </c>
      <c r="BI591" s="39" t="str">
        <f>IFERROR(proje!BT86*100/proje!$I86,"")</f>
        <v/>
      </c>
      <c r="BJ591" s="39" t="str">
        <f>IFERROR(proje!BU86*100/proje!$I86,"")</f>
        <v/>
      </c>
      <c r="BK591" s="39" t="str">
        <f>IFERROR(proje!BV86*100/proje!$I86,"")</f>
        <v/>
      </c>
      <c r="BL591" s="39" t="str">
        <f>IFERROR(proje!BW86*100/proje!$I86,"")</f>
        <v/>
      </c>
      <c r="BM591" s="39" t="str">
        <f>IFERROR(proje!BX86*100/proje!$I86,"")</f>
        <v/>
      </c>
      <c r="BN591" s="39" t="str">
        <f>IFERROR(proje!BY86*100/proje!$I86,"")</f>
        <v/>
      </c>
      <c r="BO591" s="39" t="str">
        <f>IFERROR(proje!BZ86*100/proje!$I86,"")</f>
        <v/>
      </c>
      <c r="BP591" s="39" t="str">
        <f>IFERROR(proje!CA86*100/proje!$I86,"")</f>
        <v/>
      </c>
      <c r="BQ591" s="39" t="str">
        <f>IFERROR(proje!CB86*100/proje!$I86,"")</f>
        <v/>
      </c>
      <c r="BR591" s="39" t="str">
        <f>IFERROR(proje!CC86*100/proje!$I86,"")</f>
        <v/>
      </c>
      <c r="BS591" s="39" t="str">
        <f>IFERROR(proje!CD86*100/proje!$I86,"")</f>
        <v/>
      </c>
      <c r="BT591" s="39" t="str">
        <f>IFERROR(proje!CE86*100/proje!$I86,"")</f>
        <v/>
      </c>
      <c r="BU591" s="39" t="str">
        <f>IFERROR(proje!CF86*100/proje!$I86,"")</f>
        <v/>
      </c>
      <c r="BV591" s="39" t="str">
        <f>IFERROR(proje!CG86*100/proje!$I86,"")</f>
        <v/>
      </c>
      <c r="BW591" s="39" t="str">
        <f>IFERROR(proje!CH86*100/proje!$I86,"")</f>
        <v/>
      </c>
      <c r="BX591" s="39" t="str">
        <f>IFERROR(proje!CI86*100/proje!$I86,"")</f>
        <v/>
      </c>
      <c r="BY591" s="39" t="str">
        <f>IFERROR(proje!CJ86*100/proje!$I86,"")</f>
        <v/>
      </c>
      <c r="BZ591" s="39" t="str">
        <f>IFERROR(proje!CK86*100/proje!$I86,"")</f>
        <v/>
      </c>
      <c r="CA591" s="39" t="str">
        <f>IFERROR(proje!CL86*100/proje!$I86,"")</f>
        <v/>
      </c>
      <c r="CB591" s="39" t="str">
        <f>IFERROR(proje!CM86*100/proje!$I86,"")</f>
        <v/>
      </c>
      <c r="CC591" s="39" t="str">
        <f>IFERROR(proje!CN86*100/proje!$I86,"")</f>
        <v/>
      </c>
      <c r="CD591" s="39" t="str">
        <f>IFERROR(proje!CO86*100/proje!$I86,"")</f>
        <v/>
      </c>
      <c r="CE591" s="39" t="str">
        <f>IFERROR(proje!CP86*100/proje!$I86,"")</f>
        <v/>
      </c>
      <c r="CF591" s="39" t="str">
        <f>IFERROR(proje!CQ86*100/proje!$I86,"")</f>
        <v/>
      </c>
      <c r="CG591" s="39" t="str">
        <f>IFERROR(proje!CR86*100/proje!$I86,"")</f>
        <v/>
      </c>
      <c r="CH591" s="39" t="str">
        <f>IFERROR(proje!CS86*100/proje!$I86,"")</f>
        <v/>
      </c>
      <c r="CI591" s="39" t="str">
        <f>IFERROR(proje!CT86*100/proje!$I86,"")</f>
        <v/>
      </c>
      <c r="CJ591" s="39" t="str">
        <f>IFERROR(proje!CU86*100/proje!$I86,"")</f>
        <v/>
      </c>
      <c r="CK591" s="39" t="str">
        <f>IFERROR(proje!CV86*100/proje!$I86,"")</f>
        <v/>
      </c>
      <c r="CL591" s="39" t="str">
        <f>IFERROR(proje!CW86*100/proje!$I86,"")</f>
        <v/>
      </c>
      <c r="CM591" s="39" t="str">
        <f>IFERROR(proje!CX86*100/proje!$I86,"")</f>
        <v/>
      </c>
      <c r="CN591" s="39" t="str">
        <f>IFERROR(proje!CY86*100/proje!$I86,"")</f>
        <v/>
      </c>
      <c r="CO591" s="39" t="str">
        <f>IFERROR(proje!CZ86*100/proje!$I86,"")</f>
        <v/>
      </c>
      <c r="CP591" s="39" t="str">
        <f>IFERROR(proje!DA86*100/proje!$I86,"")</f>
        <v/>
      </c>
      <c r="CQ591" s="39" t="str">
        <f>IFERROR(proje!DB86*100/proje!$I86,"")</f>
        <v/>
      </c>
      <c r="CR591" s="39" t="str">
        <f>IFERROR(proje!DC86*100/proje!$I86,"")</f>
        <v/>
      </c>
      <c r="CS591" s="39" t="str">
        <f>IFERROR(proje!DD86*100/proje!$I86,"")</f>
        <v/>
      </c>
      <c r="CT591" s="39" t="str">
        <f>IFERROR(proje!DE86*100/proje!$I86,"")</f>
        <v/>
      </c>
      <c r="CU591" s="39" t="str">
        <f>IFERROR(proje!DF86*100/proje!$I86,"")</f>
        <v/>
      </c>
      <c r="CV591" s="39" t="str">
        <f>IFERROR(proje!DG86*100/proje!$I86,"")</f>
        <v/>
      </c>
      <c r="CW591" s="36" t="str">
        <f>IFERROR(SUM(A591:CV591)/proje!$DH$103,"")</f>
        <v/>
      </c>
      <c r="CX591" s="14" t="str">
        <f>IF(COUNTA(proje!A86),proje!A86,"")</f>
        <v/>
      </c>
      <c r="CY591" s="14" t="str">
        <f>IF(COUNTA(proje!B86),proje!B86,"")</f>
        <v/>
      </c>
      <c r="CZ591" s="14" t="str">
        <f>IF(COUNTA(proje!C86),proje!C86,"")</f>
        <v/>
      </c>
      <c r="DA591" s="14" t="str">
        <f>IF(COUNTA(proje!D86),proje!D86,"")</f>
        <v/>
      </c>
      <c r="DB591" s="14" t="str">
        <f>IF(COUNTA(proje!E86),proje!E86,"")</f>
        <v/>
      </c>
      <c r="DC591" s="14" t="str">
        <f>IF(COUNTA(proje!F86),proje!F86,"")</f>
        <v/>
      </c>
      <c r="DD591" s="14" t="str">
        <f>IF(COUNTA(proje!G86),proje!G86,"")</f>
        <v/>
      </c>
      <c r="DE591" s="14" t="str">
        <f>IF(COUNTA(proje!H86),proje!H86,"")</f>
        <v/>
      </c>
    </row>
    <row r="592" spans="1:109" x14ac:dyDescent="0.2">
      <c r="A592" s="39" t="str">
        <f>IFERROR(proje!L87*100/proje!$I87,"")</f>
        <v/>
      </c>
      <c r="B592" s="39" t="str">
        <f>IFERROR(proje!M87*100/proje!$I87,"")</f>
        <v/>
      </c>
      <c r="C592" s="39" t="str">
        <f>IFERROR(proje!N87*100/proje!$I87,"")</f>
        <v/>
      </c>
      <c r="D592" s="39" t="str">
        <f>IFERROR(proje!O87*100/proje!$I87,"")</f>
        <v/>
      </c>
      <c r="E592" s="39" t="str">
        <f>IFERROR(proje!P87*100/proje!$I87,"")</f>
        <v/>
      </c>
      <c r="F592" s="39" t="str">
        <f>IFERROR(proje!Q87*100/proje!$I87,"")</f>
        <v/>
      </c>
      <c r="G592" s="39" t="str">
        <f>IFERROR(proje!R87*100/proje!$I87,"")</f>
        <v/>
      </c>
      <c r="H592" s="39" t="str">
        <f>IFERROR(proje!S87*100/proje!$I87,"")</f>
        <v/>
      </c>
      <c r="I592" s="39" t="str">
        <f>IFERROR(proje!T87*100/proje!$I87,"")</f>
        <v/>
      </c>
      <c r="J592" s="39" t="str">
        <f>IFERROR(proje!U87*100/proje!$I87,"")</f>
        <v/>
      </c>
      <c r="K592" s="39" t="str">
        <f>IFERROR(proje!V87*100/proje!$I87,"")</f>
        <v/>
      </c>
      <c r="L592" s="39" t="str">
        <f>IFERROR(proje!W87*100/proje!$I87,"")</f>
        <v/>
      </c>
      <c r="M592" s="39" t="str">
        <f>IFERROR(proje!X87*100/proje!$I87,"")</f>
        <v/>
      </c>
      <c r="N592" s="39" t="str">
        <f>IFERROR(proje!Y87*100/proje!$I87,"")</f>
        <v/>
      </c>
      <c r="O592" s="39" t="str">
        <f>IFERROR(proje!Z87*100/proje!$I87,"")</f>
        <v/>
      </c>
      <c r="P592" s="39" t="str">
        <f>IFERROR(proje!AA87*100/proje!$I87,"")</f>
        <v/>
      </c>
      <c r="Q592" s="39" t="str">
        <f>IFERROR(proje!AB87*100/proje!$I87,"")</f>
        <v/>
      </c>
      <c r="R592" s="39" t="str">
        <f>IFERROR(proje!AC87*100/proje!$I87,"")</f>
        <v/>
      </c>
      <c r="S592" s="39" t="str">
        <f>IFERROR(proje!AD87*100/proje!$I87,"")</f>
        <v/>
      </c>
      <c r="T592" s="39" t="str">
        <f>IFERROR(proje!AE87*100/proje!$I87,"")</f>
        <v/>
      </c>
      <c r="U592" s="39" t="str">
        <f>IFERROR(proje!AF87*100/proje!$I87,"")</f>
        <v/>
      </c>
      <c r="V592" s="39" t="str">
        <f>IFERROR(proje!AG87*100/proje!$I87,"")</f>
        <v/>
      </c>
      <c r="W592" s="39" t="str">
        <f>IFERROR(proje!AH87*100/proje!$I87,"")</f>
        <v/>
      </c>
      <c r="X592" s="39" t="str">
        <f>IFERROR(proje!AI87*100/proje!$I87,"")</f>
        <v/>
      </c>
      <c r="Y592" s="39" t="str">
        <f>IFERROR(proje!AJ87*100/proje!$I87,"")</f>
        <v/>
      </c>
      <c r="Z592" s="39" t="str">
        <f>IFERROR(proje!AK87*100/proje!$I87,"")</f>
        <v/>
      </c>
      <c r="AA592" s="39" t="str">
        <f>IFERROR(proje!AL87*100/proje!$I87,"")</f>
        <v/>
      </c>
      <c r="AB592" s="39" t="str">
        <f>IFERROR(proje!AM87*100/proje!$I87,"")</f>
        <v/>
      </c>
      <c r="AC592" s="39" t="str">
        <f>IFERROR(proje!AN87*100/proje!$I87,"")</f>
        <v/>
      </c>
      <c r="AD592" s="39" t="str">
        <f>IFERROR(proje!AO87*100/proje!$I87,"")</f>
        <v/>
      </c>
      <c r="AE592" s="39" t="str">
        <f>IFERROR(proje!AP87*100/proje!$I87,"")</f>
        <v/>
      </c>
      <c r="AF592" s="39" t="str">
        <f>IFERROR(proje!AQ87*100/proje!$I87,"")</f>
        <v/>
      </c>
      <c r="AG592" s="39" t="str">
        <f>IFERROR(proje!AR87*100/proje!$I87,"")</f>
        <v/>
      </c>
      <c r="AH592" s="39" t="str">
        <f>IFERROR(proje!AS87*100/proje!$I87,"")</f>
        <v/>
      </c>
      <c r="AI592" s="39" t="str">
        <f>IFERROR(proje!AT87*100/proje!$I87,"")</f>
        <v/>
      </c>
      <c r="AJ592" s="39" t="str">
        <f>IFERROR(proje!AU87*100/proje!$I87,"")</f>
        <v/>
      </c>
      <c r="AK592" s="39" t="str">
        <f>IFERROR(proje!AV87*100/proje!$I87,"")</f>
        <v/>
      </c>
      <c r="AL592" s="39" t="str">
        <f>IFERROR(proje!AW87*100/proje!$I87,"")</f>
        <v/>
      </c>
      <c r="AM592" s="39" t="str">
        <f>IFERROR(proje!AX87*100/proje!$I87,"")</f>
        <v/>
      </c>
      <c r="AN592" s="39" t="str">
        <f>IFERROR(proje!AY87*100/proje!$I87,"")</f>
        <v/>
      </c>
      <c r="AO592" s="39" t="str">
        <f>IFERROR(proje!AZ87*100/proje!$I87,"")</f>
        <v/>
      </c>
      <c r="AP592" s="39" t="str">
        <f>IFERROR(proje!BA87*100/proje!$I87,"")</f>
        <v/>
      </c>
      <c r="AQ592" s="39" t="str">
        <f>IFERROR(proje!BB87*100/proje!$I87,"")</f>
        <v/>
      </c>
      <c r="AR592" s="39" t="str">
        <f>IFERROR(proje!BC87*100/proje!$I87,"")</f>
        <v/>
      </c>
      <c r="AS592" s="39" t="str">
        <f>IFERROR(proje!BD87*100/proje!$I87,"")</f>
        <v/>
      </c>
      <c r="AT592" s="39" t="str">
        <f>IFERROR(proje!BE87*100/proje!$I87,"")</f>
        <v/>
      </c>
      <c r="AU592" s="39" t="str">
        <f>IFERROR(proje!BF87*100/proje!$I87,"")</f>
        <v/>
      </c>
      <c r="AV592" s="39" t="str">
        <f>IFERROR(proje!BG87*100/proje!$I87,"")</f>
        <v/>
      </c>
      <c r="AW592" s="39" t="str">
        <f>IFERROR(proje!BH87*100/proje!$I87,"")</f>
        <v/>
      </c>
      <c r="AX592" s="39" t="str">
        <f>IFERROR(proje!BI87*100/proje!$I87,"")</f>
        <v/>
      </c>
      <c r="AY592" s="39" t="str">
        <f>IFERROR(proje!BJ87*100/proje!$I87,"")</f>
        <v/>
      </c>
      <c r="AZ592" s="39" t="str">
        <f>IFERROR(proje!BK87*100/proje!$I87,"")</f>
        <v/>
      </c>
      <c r="BA592" s="39" t="str">
        <f>IFERROR(proje!BL87*100/proje!$I87,"")</f>
        <v/>
      </c>
      <c r="BB592" s="39" t="str">
        <f>IFERROR(proje!BM87*100/proje!$I87,"")</f>
        <v/>
      </c>
      <c r="BC592" s="39" t="str">
        <f>IFERROR(proje!BN87*100/proje!$I87,"")</f>
        <v/>
      </c>
      <c r="BD592" s="39" t="str">
        <f>IFERROR(proje!BO87*100/proje!$I87,"")</f>
        <v/>
      </c>
      <c r="BE592" s="39" t="str">
        <f>IFERROR(proje!BP87*100/proje!$I87,"")</f>
        <v/>
      </c>
      <c r="BF592" s="39" t="str">
        <f>IFERROR(proje!BQ87*100/proje!$I87,"")</f>
        <v/>
      </c>
      <c r="BG592" s="39" t="str">
        <f>IFERROR(proje!BR87*100/proje!$I87,"")</f>
        <v/>
      </c>
      <c r="BH592" s="39" t="str">
        <f>IFERROR(proje!BS87*100/proje!$I87,"")</f>
        <v/>
      </c>
      <c r="BI592" s="39" t="str">
        <f>IFERROR(proje!BT87*100/proje!$I87,"")</f>
        <v/>
      </c>
      <c r="BJ592" s="39" t="str">
        <f>IFERROR(proje!BU87*100/proje!$I87,"")</f>
        <v/>
      </c>
      <c r="BK592" s="39" t="str">
        <f>IFERROR(proje!BV87*100/proje!$I87,"")</f>
        <v/>
      </c>
      <c r="BL592" s="39" t="str">
        <f>IFERROR(proje!BW87*100/proje!$I87,"")</f>
        <v/>
      </c>
      <c r="BM592" s="39" t="str">
        <f>IFERROR(proje!BX87*100/proje!$I87,"")</f>
        <v/>
      </c>
      <c r="BN592" s="39" t="str">
        <f>IFERROR(proje!BY87*100/proje!$I87,"")</f>
        <v/>
      </c>
      <c r="BO592" s="39" t="str">
        <f>IFERROR(proje!BZ87*100/proje!$I87,"")</f>
        <v/>
      </c>
      <c r="BP592" s="39" t="str">
        <f>IFERROR(proje!CA87*100/proje!$I87,"")</f>
        <v/>
      </c>
      <c r="BQ592" s="39" t="str">
        <f>IFERROR(proje!CB87*100/proje!$I87,"")</f>
        <v/>
      </c>
      <c r="BR592" s="39" t="str">
        <f>IFERROR(proje!CC87*100/proje!$I87,"")</f>
        <v/>
      </c>
      <c r="BS592" s="39" t="str">
        <f>IFERROR(proje!CD87*100/proje!$I87,"")</f>
        <v/>
      </c>
      <c r="BT592" s="39" t="str">
        <f>IFERROR(proje!CE87*100/proje!$I87,"")</f>
        <v/>
      </c>
      <c r="BU592" s="39" t="str">
        <f>IFERROR(proje!CF87*100/proje!$I87,"")</f>
        <v/>
      </c>
      <c r="BV592" s="39" t="str">
        <f>IFERROR(proje!CG87*100/proje!$I87,"")</f>
        <v/>
      </c>
      <c r="BW592" s="39" t="str">
        <f>IFERROR(proje!CH87*100/proje!$I87,"")</f>
        <v/>
      </c>
      <c r="BX592" s="39" t="str">
        <f>IFERROR(proje!CI87*100/proje!$I87,"")</f>
        <v/>
      </c>
      <c r="BY592" s="39" t="str">
        <f>IFERROR(proje!CJ87*100/proje!$I87,"")</f>
        <v/>
      </c>
      <c r="BZ592" s="39" t="str">
        <f>IFERROR(proje!CK87*100/proje!$I87,"")</f>
        <v/>
      </c>
      <c r="CA592" s="39" t="str">
        <f>IFERROR(proje!CL87*100/proje!$I87,"")</f>
        <v/>
      </c>
      <c r="CB592" s="39" t="str">
        <f>IFERROR(proje!CM87*100/proje!$I87,"")</f>
        <v/>
      </c>
      <c r="CC592" s="39" t="str">
        <f>IFERROR(proje!CN87*100/proje!$I87,"")</f>
        <v/>
      </c>
      <c r="CD592" s="39" t="str">
        <f>IFERROR(proje!CO87*100/proje!$I87,"")</f>
        <v/>
      </c>
      <c r="CE592" s="39" t="str">
        <f>IFERROR(proje!CP87*100/proje!$I87,"")</f>
        <v/>
      </c>
      <c r="CF592" s="39" t="str">
        <f>IFERROR(proje!CQ87*100/proje!$I87,"")</f>
        <v/>
      </c>
      <c r="CG592" s="39" t="str">
        <f>IFERROR(proje!CR87*100/proje!$I87,"")</f>
        <v/>
      </c>
      <c r="CH592" s="39" t="str">
        <f>IFERROR(proje!CS87*100/proje!$I87,"")</f>
        <v/>
      </c>
      <c r="CI592" s="39" t="str">
        <f>IFERROR(proje!CT87*100/proje!$I87,"")</f>
        <v/>
      </c>
      <c r="CJ592" s="39" t="str">
        <f>IFERROR(proje!CU87*100/proje!$I87,"")</f>
        <v/>
      </c>
      <c r="CK592" s="39" t="str">
        <f>IFERROR(proje!CV87*100/proje!$I87,"")</f>
        <v/>
      </c>
      <c r="CL592" s="39" t="str">
        <f>IFERROR(proje!CW87*100/proje!$I87,"")</f>
        <v/>
      </c>
      <c r="CM592" s="39" t="str">
        <f>IFERROR(proje!CX87*100/proje!$I87,"")</f>
        <v/>
      </c>
      <c r="CN592" s="39" t="str">
        <f>IFERROR(proje!CY87*100/proje!$I87,"")</f>
        <v/>
      </c>
      <c r="CO592" s="39" t="str">
        <f>IFERROR(proje!CZ87*100/proje!$I87,"")</f>
        <v/>
      </c>
      <c r="CP592" s="39" t="str">
        <f>IFERROR(proje!DA87*100/proje!$I87,"")</f>
        <v/>
      </c>
      <c r="CQ592" s="39" t="str">
        <f>IFERROR(proje!DB87*100/proje!$I87,"")</f>
        <v/>
      </c>
      <c r="CR592" s="39" t="str">
        <f>IFERROR(proje!DC87*100/proje!$I87,"")</f>
        <v/>
      </c>
      <c r="CS592" s="39" t="str">
        <f>IFERROR(proje!DD87*100/proje!$I87,"")</f>
        <v/>
      </c>
      <c r="CT592" s="39" t="str">
        <f>IFERROR(proje!DE87*100/proje!$I87,"")</f>
        <v/>
      </c>
      <c r="CU592" s="39" t="str">
        <f>IFERROR(proje!DF87*100/proje!$I87,"")</f>
        <v/>
      </c>
      <c r="CV592" s="39" t="str">
        <f>IFERROR(proje!DG87*100/proje!$I87,"")</f>
        <v/>
      </c>
      <c r="CW592" s="36" t="str">
        <f>IFERROR(SUM(A592:CV592)/proje!$DH$103,"")</f>
        <v/>
      </c>
      <c r="CX592" s="14" t="str">
        <f>IF(COUNTA(proje!A87),proje!A87,"")</f>
        <v/>
      </c>
      <c r="CY592" s="14" t="str">
        <f>IF(COUNTA(proje!B87),proje!B87,"")</f>
        <v/>
      </c>
      <c r="CZ592" s="14" t="str">
        <f>IF(COUNTA(proje!C87),proje!C87,"")</f>
        <v/>
      </c>
      <c r="DA592" s="14" t="str">
        <f>IF(COUNTA(proje!D87),proje!D87,"")</f>
        <v/>
      </c>
      <c r="DB592" s="14" t="str">
        <f>IF(COUNTA(proje!E87),proje!E87,"")</f>
        <v/>
      </c>
      <c r="DC592" s="14" t="str">
        <f>IF(COUNTA(proje!F87),proje!F87,"")</f>
        <v/>
      </c>
      <c r="DD592" s="14" t="str">
        <f>IF(COUNTA(proje!G87),proje!G87,"")</f>
        <v/>
      </c>
      <c r="DE592" s="14" t="str">
        <f>IF(COUNTA(proje!H87),proje!H87,"")</f>
        <v/>
      </c>
    </row>
    <row r="593" spans="1:109" x14ac:dyDescent="0.2">
      <c r="A593" s="39" t="str">
        <f>IFERROR(proje!L88*100/proje!$I88,"")</f>
        <v/>
      </c>
      <c r="B593" s="39" t="str">
        <f>IFERROR(proje!M88*100/proje!$I88,"")</f>
        <v/>
      </c>
      <c r="C593" s="39" t="str">
        <f>IFERROR(proje!N88*100/proje!$I88,"")</f>
        <v/>
      </c>
      <c r="D593" s="39" t="str">
        <f>IFERROR(proje!O88*100/proje!$I88,"")</f>
        <v/>
      </c>
      <c r="E593" s="39" t="str">
        <f>IFERROR(proje!P88*100/proje!$I88,"")</f>
        <v/>
      </c>
      <c r="F593" s="39" t="str">
        <f>IFERROR(proje!Q88*100/proje!$I88,"")</f>
        <v/>
      </c>
      <c r="G593" s="39" t="str">
        <f>IFERROR(proje!R88*100/proje!$I88,"")</f>
        <v/>
      </c>
      <c r="H593" s="39" t="str">
        <f>IFERROR(proje!S88*100/proje!$I88,"")</f>
        <v/>
      </c>
      <c r="I593" s="39" t="str">
        <f>IFERROR(proje!T88*100/proje!$I88,"")</f>
        <v/>
      </c>
      <c r="J593" s="39" t="str">
        <f>IFERROR(proje!U88*100/proje!$I88,"")</f>
        <v/>
      </c>
      <c r="K593" s="39" t="str">
        <f>IFERROR(proje!V88*100/proje!$I88,"")</f>
        <v/>
      </c>
      <c r="L593" s="39" t="str">
        <f>IFERROR(proje!W88*100/proje!$I88,"")</f>
        <v/>
      </c>
      <c r="M593" s="39" t="str">
        <f>IFERROR(proje!X88*100/proje!$I88,"")</f>
        <v/>
      </c>
      <c r="N593" s="39" t="str">
        <f>IFERROR(proje!Y88*100/proje!$I88,"")</f>
        <v/>
      </c>
      <c r="O593" s="39" t="str">
        <f>IFERROR(proje!Z88*100/proje!$I88,"")</f>
        <v/>
      </c>
      <c r="P593" s="39" t="str">
        <f>IFERROR(proje!AA88*100/proje!$I88,"")</f>
        <v/>
      </c>
      <c r="Q593" s="39" t="str">
        <f>IFERROR(proje!AB88*100/proje!$I88,"")</f>
        <v/>
      </c>
      <c r="R593" s="39" t="str">
        <f>IFERROR(proje!AC88*100/proje!$I88,"")</f>
        <v/>
      </c>
      <c r="S593" s="39" t="str">
        <f>IFERROR(proje!AD88*100/proje!$I88,"")</f>
        <v/>
      </c>
      <c r="T593" s="39" t="str">
        <f>IFERROR(proje!AE88*100/proje!$I88,"")</f>
        <v/>
      </c>
      <c r="U593" s="39" t="str">
        <f>IFERROR(proje!AF88*100/proje!$I88,"")</f>
        <v/>
      </c>
      <c r="V593" s="39" t="str">
        <f>IFERROR(proje!AG88*100/proje!$I88,"")</f>
        <v/>
      </c>
      <c r="W593" s="39" t="str">
        <f>IFERROR(proje!AH88*100/proje!$I88,"")</f>
        <v/>
      </c>
      <c r="X593" s="39" t="str">
        <f>IFERROR(proje!AI88*100/proje!$I88,"")</f>
        <v/>
      </c>
      <c r="Y593" s="39" t="str">
        <f>IFERROR(proje!AJ88*100/proje!$I88,"")</f>
        <v/>
      </c>
      <c r="Z593" s="39" t="str">
        <f>IFERROR(proje!AK88*100/proje!$I88,"")</f>
        <v/>
      </c>
      <c r="AA593" s="39" t="str">
        <f>IFERROR(proje!AL88*100/proje!$I88,"")</f>
        <v/>
      </c>
      <c r="AB593" s="39" t="str">
        <f>IFERROR(proje!AM88*100/proje!$I88,"")</f>
        <v/>
      </c>
      <c r="AC593" s="39" t="str">
        <f>IFERROR(proje!AN88*100/proje!$I88,"")</f>
        <v/>
      </c>
      <c r="AD593" s="39" t="str">
        <f>IFERROR(proje!AO88*100/proje!$I88,"")</f>
        <v/>
      </c>
      <c r="AE593" s="39" t="str">
        <f>IFERROR(proje!AP88*100/proje!$I88,"")</f>
        <v/>
      </c>
      <c r="AF593" s="39" t="str">
        <f>IFERROR(proje!AQ88*100/proje!$I88,"")</f>
        <v/>
      </c>
      <c r="AG593" s="39" t="str">
        <f>IFERROR(proje!AR88*100/proje!$I88,"")</f>
        <v/>
      </c>
      <c r="AH593" s="39" t="str">
        <f>IFERROR(proje!AS88*100/proje!$I88,"")</f>
        <v/>
      </c>
      <c r="AI593" s="39" t="str">
        <f>IFERROR(proje!AT88*100/proje!$I88,"")</f>
        <v/>
      </c>
      <c r="AJ593" s="39" t="str">
        <f>IFERROR(proje!AU88*100/proje!$I88,"")</f>
        <v/>
      </c>
      <c r="AK593" s="39" t="str">
        <f>IFERROR(proje!AV88*100/proje!$I88,"")</f>
        <v/>
      </c>
      <c r="AL593" s="39" t="str">
        <f>IFERROR(proje!AW88*100/proje!$I88,"")</f>
        <v/>
      </c>
      <c r="AM593" s="39" t="str">
        <f>IFERROR(proje!AX88*100/proje!$I88,"")</f>
        <v/>
      </c>
      <c r="AN593" s="39" t="str">
        <f>IFERROR(proje!AY88*100/proje!$I88,"")</f>
        <v/>
      </c>
      <c r="AO593" s="39" t="str">
        <f>IFERROR(proje!AZ88*100/proje!$I88,"")</f>
        <v/>
      </c>
      <c r="AP593" s="39" t="str">
        <f>IFERROR(proje!BA88*100/proje!$I88,"")</f>
        <v/>
      </c>
      <c r="AQ593" s="39" t="str">
        <f>IFERROR(proje!BB88*100/proje!$I88,"")</f>
        <v/>
      </c>
      <c r="AR593" s="39" t="str">
        <f>IFERROR(proje!BC88*100/proje!$I88,"")</f>
        <v/>
      </c>
      <c r="AS593" s="39" t="str">
        <f>IFERROR(proje!BD88*100/proje!$I88,"")</f>
        <v/>
      </c>
      <c r="AT593" s="39" t="str">
        <f>IFERROR(proje!BE88*100/proje!$I88,"")</f>
        <v/>
      </c>
      <c r="AU593" s="39" t="str">
        <f>IFERROR(proje!BF88*100/proje!$I88,"")</f>
        <v/>
      </c>
      <c r="AV593" s="39" t="str">
        <f>IFERROR(proje!BG88*100/proje!$I88,"")</f>
        <v/>
      </c>
      <c r="AW593" s="39" t="str">
        <f>IFERROR(proje!BH88*100/proje!$I88,"")</f>
        <v/>
      </c>
      <c r="AX593" s="39" t="str">
        <f>IFERROR(proje!BI88*100/proje!$I88,"")</f>
        <v/>
      </c>
      <c r="AY593" s="39" t="str">
        <f>IFERROR(proje!BJ88*100/proje!$I88,"")</f>
        <v/>
      </c>
      <c r="AZ593" s="39" t="str">
        <f>IFERROR(proje!BK88*100/proje!$I88,"")</f>
        <v/>
      </c>
      <c r="BA593" s="39" t="str">
        <f>IFERROR(proje!BL88*100/proje!$I88,"")</f>
        <v/>
      </c>
      <c r="BB593" s="39" t="str">
        <f>IFERROR(proje!BM88*100/proje!$I88,"")</f>
        <v/>
      </c>
      <c r="BC593" s="39" t="str">
        <f>IFERROR(proje!BN88*100/proje!$I88,"")</f>
        <v/>
      </c>
      <c r="BD593" s="39" t="str">
        <f>IFERROR(proje!BO88*100/proje!$I88,"")</f>
        <v/>
      </c>
      <c r="BE593" s="39" t="str">
        <f>IFERROR(proje!BP88*100/proje!$I88,"")</f>
        <v/>
      </c>
      <c r="BF593" s="39" t="str">
        <f>IFERROR(proje!BQ88*100/proje!$I88,"")</f>
        <v/>
      </c>
      <c r="BG593" s="39" t="str">
        <f>IFERROR(proje!BR88*100/proje!$I88,"")</f>
        <v/>
      </c>
      <c r="BH593" s="39" t="str">
        <f>IFERROR(proje!BS88*100/proje!$I88,"")</f>
        <v/>
      </c>
      <c r="BI593" s="39" t="str">
        <f>IFERROR(proje!BT88*100/proje!$I88,"")</f>
        <v/>
      </c>
      <c r="BJ593" s="39" t="str">
        <f>IFERROR(proje!BU88*100/proje!$I88,"")</f>
        <v/>
      </c>
      <c r="BK593" s="39" t="str">
        <f>IFERROR(proje!BV88*100/proje!$I88,"")</f>
        <v/>
      </c>
      <c r="BL593" s="39" t="str">
        <f>IFERROR(proje!BW88*100/proje!$I88,"")</f>
        <v/>
      </c>
      <c r="BM593" s="39" t="str">
        <f>IFERROR(proje!BX88*100/proje!$I88,"")</f>
        <v/>
      </c>
      <c r="BN593" s="39" t="str">
        <f>IFERROR(proje!BY88*100/proje!$I88,"")</f>
        <v/>
      </c>
      <c r="BO593" s="39" t="str">
        <f>IFERROR(proje!BZ88*100/proje!$I88,"")</f>
        <v/>
      </c>
      <c r="BP593" s="39" t="str">
        <f>IFERROR(proje!CA88*100/proje!$I88,"")</f>
        <v/>
      </c>
      <c r="BQ593" s="39" t="str">
        <f>IFERROR(proje!CB88*100/proje!$I88,"")</f>
        <v/>
      </c>
      <c r="BR593" s="39" t="str">
        <f>IFERROR(proje!CC88*100/proje!$I88,"")</f>
        <v/>
      </c>
      <c r="BS593" s="39" t="str">
        <f>IFERROR(proje!CD88*100/proje!$I88,"")</f>
        <v/>
      </c>
      <c r="BT593" s="39" t="str">
        <f>IFERROR(proje!CE88*100/proje!$I88,"")</f>
        <v/>
      </c>
      <c r="BU593" s="39" t="str">
        <f>IFERROR(proje!CF88*100/proje!$I88,"")</f>
        <v/>
      </c>
      <c r="BV593" s="39" t="str">
        <f>IFERROR(proje!CG88*100/proje!$I88,"")</f>
        <v/>
      </c>
      <c r="BW593" s="39" t="str">
        <f>IFERROR(proje!CH88*100/proje!$I88,"")</f>
        <v/>
      </c>
      <c r="BX593" s="39" t="str">
        <f>IFERROR(proje!CI88*100/proje!$I88,"")</f>
        <v/>
      </c>
      <c r="BY593" s="39" t="str">
        <f>IFERROR(proje!CJ88*100/proje!$I88,"")</f>
        <v/>
      </c>
      <c r="BZ593" s="39" t="str">
        <f>IFERROR(proje!CK88*100/proje!$I88,"")</f>
        <v/>
      </c>
      <c r="CA593" s="39" t="str">
        <f>IFERROR(proje!CL88*100/proje!$I88,"")</f>
        <v/>
      </c>
      <c r="CB593" s="39" t="str">
        <f>IFERROR(proje!CM88*100/proje!$I88,"")</f>
        <v/>
      </c>
      <c r="CC593" s="39" t="str">
        <f>IFERROR(proje!CN88*100/proje!$I88,"")</f>
        <v/>
      </c>
      <c r="CD593" s="39" t="str">
        <f>IFERROR(proje!CO88*100/proje!$I88,"")</f>
        <v/>
      </c>
      <c r="CE593" s="39" t="str">
        <f>IFERROR(proje!CP88*100/proje!$I88,"")</f>
        <v/>
      </c>
      <c r="CF593" s="39" t="str">
        <f>IFERROR(proje!CQ88*100/proje!$I88,"")</f>
        <v/>
      </c>
      <c r="CG593" s="39" t="str">
        <f>IFERROR(proje!CR88*100/proje!$I88,"")</f>
        <v/>
      </c>
      <c r="CH593" s="39" t="str">
        <f>IFERROR(proje!CS88*100/proje!$I88,"")</f>
        <v/>
      </c>
      <c r="CI593" s="39" t="str">
        <f>IFERROR(proje!CT88*100/proje!$I88,"")</f>
        <v/>
      </c>
      <c r="CJ593" s="39" t="str">
        <f>IFERROR(proje!CU88*100/proje!$I88,"")</f>
        <v/>
      </c>
      <c r="CK593" s="39" t="str">
        <f>IFERROR(proje!CV88*100/proje!$I88,"")</f>
        <v/>
      </c>
      <c r="CL593" s="39" t="str">
        <f>IFERROR(proje!CW88*100/proje!$I88,"")</f>
        <v/>
      </c>
      <c r="CM593" s="39" t="str">
        <f>IFERROR(proje!CX88*100/proje!$I88,"")</f>
        <v/>
      </c>
      <c r="CN593" s="39" t="str">
        <f>IFERROR(proje!CY88*100/proje!$I88,"")</f>
        <v/>
      </c>
      <c r="CO593" s="39" t="str">
        <f>IFERROR(proje!CZ88*100/proje!$I88,"")</f>
        <v/>
      </c>
      <c r="CP593" s="39" t="str">
        <f>IFERROR(proje!DA88*100/proje!$I88,"")</f>
        <v/>
      </c>
      <c r="CQ593" s="39" t="str">
        <f>IFERROR(proje!DB88*100/proje!$I88,"")</f>
        <v/>
      </c>
      <c r="CR593" s="39" t="str">
        <f>IFERROR(proje!DC88*100/proje!$I88,"")</f>
        <v/>
      </c>
      <c r="CS593" s="39" t="str">
        <f>IFERROR(proje!DD88*100/proje!$I88,"")</f>
        <v/>
      </c>
      <c r="CT593" s="39" t="str">
        <f>IFERROR(proje!DE88*100/proje!$I88,"")</f>
        <v/>
      </c>
      <c r="CU593" s="39" t="str">
        <f>IFERROR(proje!DF88*100/proje!$I88,"")</f>
        <v/>
      </c>
      <c r="CV593" s="39" t="str">
        <f>IFERROR(proje!DG88*100/proje!$I88,"")</f>
        <v/>
      </c>
      <c r="CW593" s="36" t="str">
        <f>IFERROR(SUM(A593:CV593)/proje!$DH$103,"")</f>
        <v/>
      </c>
      <c r="CX593" s="14" t="str">
        <f>IF(COUNTA(proje!A88),proje!A88,"")</f>
        <v/>
      </c>
      <c r="CY593" s="14" t="str">
        <f>IF(COUNTA(proje!B88),proje!B88,"")</f>
        <v/>
      </c>
      <c r="CZ593" s="14" t="str">
        <f>IF(COUNTA(proje!C88),proje!C88,"")</f>
        <v/>
      </c>
      <c r="DA593" s="14" t="str">
        <f>IF(COUNTA(proje!D88),proje!D88,"")</f>
        <v/>
      </c>
      <c r="DB593" s="14" t="str">
        <f>IF(COUNTA(proje!E88),proje!E88,"")</f>
        <v/>
      </c>
      <c r="DC593" s="14" t="str">
        <f>IF(COUNTA(proje!F88),proje!F88,"")</f>
        <v/>
      </c>
      <c r="DD593" s="14" t="str">
        <f>IF(COUNTA(proje!G88),proje!G88,"")</f>
        <v/>
      </c>
      <c r="DE593" s="14" t="str">
        <f>IF(COUNTA(proje!H88),proje!H88,"")</f>
        <v/>
      </c>
    </row>
    <row r="594" spans="1:109" x14ac:dyDescent="0.2">
      <c r="A594" s="39" t="str">
        <f>IFERROR(proje!L89*100/proje!$I89,"")</f>
        <v/>
      </c>
      <c r="B594" s="39" t="str">
        <f>IFERROR(proje!M89*100/proje!$I89,"")</f>
        <v/>
      </c>
      <c r="C594" s="39" t="str">
        <f>IFERROR(proje!N89*100/proje!$I89,"")</f>
        <v/>
      </c>
      <c r="D594" s="39" t="str">
        <f>IFERROR(proje!O89*100/proje!$I89,"")</f>
        <v/>
      </c>
      <c r="E594" s="39" t="str">
        <f>IFERROR(proje!P89*100/proje!$I89,"")</f>
        <v/>
      </c>
      <c r="F594" s="39" t="str">
        <f>IFERROR(proje!Q89*100/proje!$I89,"")</f>
        <v/>
      </c>
      <c r="G594" s="39" t="str">
        <f>IFERROR(proje!R89*100/proje!$I89,"")</f>
        <v/>
      </c>
      <c r="H594" s="39" t="str">
        <f>IFERROR(proje!S89*100/proje!$I89,"")</f>
        <v/>
      </c>
      <c r="I594" s="39" t="str">
        <f>IFERROR(proje!T89*100/proje!$I89,"")</f>
        <v/>
      </c>
      <c r="J594" s="39" t="str">
        <f>IFERROR(proje!U89*100/proje!$I89,"")</f>
        <v/>
      </c>
      <c r="K594" s="39" t="str">
        <f>IFERROR(proje!V89*100/proje!$I89,"")</f>
        <v/>
      </c>
      <c r="L594" s="39" t="str">
        <f>IFERROR(proje!W89*100/proje!$I89,"")</f>
        <v/>
      </c>
      <c r="M594" s="39" t="str">
        <f>IFERROR(proje!X89*100/proje!$I89,"")</f>
        <v/>
      </c>
      <c r="N594" s="39" t="str">
        <f>IFERROR(proje!Y89*100/proje!$I89,"")</f>
        <v/>
      </c>
      <c r="O594" s="39" t="str">
        <f>IFERROR(proje!Z89*100/proje!$I89,"")</f>
        <v/>
      </c>
      <c r="P594" s="39" t="str">
        <f>IFERROR(proje!AA89*100/proje!$I89,"")</f>
        <v/>
      </c>
      <c r="Q594" s="39" t="str">
        <f>IFERROR(proje!AB89*100/proje!$I89,"")</f>
        <v/>
      </c>
      <c r="R594" s="39" t="str">
        <f>IFERROR(proje!AC89*100/proje!$I89,"")</f>
        <v/>
      </c>
      <c r="S594" s="39" t="str">
        <f>IFERROR(proje!AD89*100/proje!$I89,"")</f>
        <v/>
      </c>
      <c r="T594" s="39" t="str">
        <f>IFERROR(proje!AE89*100/proje!$I89,"")</f>
        <v/>
      </c>
      <c r="U594" s="39" t="str">
        <f>IFERROR(proje!AF89*100/proje!$I89,"")</f>
        <v/>
      </c>
      <c r="V594" s="39" t="str">
        <f>IFERROR(proje!AG89*100/proje!$I89,"")</f>
        <v/>
      </c>
      <c r="W594" s="39" t="str">
        <f>IFERROR(proje!AH89*100/proje!$I89,"")</f>
        <v/>
      </c>
      <c r="X594" s="39" t="str">
        <f>IFERROR(proje!AI89*100/proje!$I89,"")</f>
        <v/>
      </c>
      <c r="Y594" s="39" t="str">
        <f>IFERROR(proje!AJ89*100/proje!$I89,"")</f>
        <v/>
      </c>
      <c r="Z594" s="39" t="str">
        <f>IFERROR(proje!AK89*100/proje!$I89,"")</f>
        <v/>
      </c>
      <c r="AA594" s="39" t="str">
        <f>IFERROR(proje!AL89*100/proje!$I89,"")</f>
        <v/>
      </c>
      <c r="AB594" s="39" t="str">
        <f>IFERROR(proje!AM89*100/proje!$I89,"")</f>
        <v/>
      </c>
      <c r="AC594" s="39" t="str">
        <f>IFERROR(proje!AN89*100/proje!$I89,"")</f>
        <v/>
      </c>
      <c r="AD594" s="39" t="str">
        <f>IFERROR(proje!AO89*100/proje!$I89,"")</f>
        <v/>
      </c>
      <c r="AE594" s="39" t="str">
        <f>IFERROR(proje!AP89*100/proje!$I89,"")</f>
        <v/>
      </c>
      <c r="AF594" s="39" t="str">
        <f>IFERROR(proje!AQ89*100/proje!$I89,"")</f>
        <v/>
      </c>
      <c r="AG594" s="39" t="str">
        <f>IFERROR(proje!AR89*100/proje!$I89,"")</f>
        <v/>
      </c>
      <c r="AH594" s="39" t="str">
        <f>IFERROR(proje!AS89*100/proje!$I89,"")</f>
        <v/>
      </c>
      <c r="AI594" s="39" t="str">
        <f>IFERROR(proje!AT89*100/proje!$I89,"")</f>
        <v/>
      </c>
      <c r="AJ594" s="39" t="str">
        <f>IFERROR(proje!AU89*100/proje!$I89,"")</f>
        <v/>
      </c>
      <c r="AK594" s="39" t="str">
        <f>IFERROR(proje!AV89*100/proje!$I89,"")</f>
        <v/>
      </c>
      <c r="AL594" s="39" t="str">
        <f>IFERROR(proje!AW89*100/proje!$I89,"")</f>
        <v/>
      </c>
      <c r="AM594" s="39" t="str">
        <f>IFERROR(proje!AX89*100/proje!$I89,"")</f>
        <v/>
      </c>
      <c r="AN594" s="39" t="str">
        <f>IFERROR(proje!AY89*100/proje!$I89,"")</f>
        <v/>
      </c>
      <c r="AO594" s="39" t="str">
        <f>IFERROR(proje!AZ89*100/proje!$I89,"")</f>
        <v/>
      </c>
      <c r="AP594" s="39" t="str">
        <f>IFERROR(proje!BA89*100/proje!$I89,"")</f>
        <v/>
      </c>
      <c r="AQ594" s="39" t="str">
        <f>IFERROR(proje!BB89*100/proje!$I89,"")</f>
        <v/>
      </c>
      <c r="AR594" s="39" t="str">
        <f>IFERROR(proje!BC89*100/proje!$I89,"")</f>
        <v/>
      </c>
      <c r="AS594" s="39" t="str">
        <f>IFERROR(proje!BD89*100/proje!$I89,"")</f>
        <v/>
      </c>
      <c r="AT594" s="39" t="str">
        <f>IFERROR(proje!BE89*100/proje!$I89,"")</f>
        <v/>
      </c>
      <c r="AU594" s="39" t="str">
        <f>IFERROR(proje!BF89*100/proje!$I89,"")</f>
        <v/>
      </c>
      <c r="AV594" s="39" t="str">
        <f>IFERROR(proje!BG89*100/proje!$I89,"")</f>
        <v/>
      </c>
      <c r="AW594" s="39" t="str">
        <f>IFERROR(proje!BH89*100/proje!$I89,"")</f>
        <v/>
      </c>
      <c r="AX594" s="39" t="str">
        <f>IFERROR(proje!BI89*100/proje!$I89,"")</f>
        <v/>
      </c>
      <c r="AY594" s="39" t="str">
        <f>IFERROR(proje!BJ89*100/proje!$I89,"")</f>
        <v/>
      </c>
      <c r="AZ594" s="39" t="str">
        <f>IFERROR(proje!BK89*100/proje!$I89,"")</f>
        <v/>
      </c>
      <c r="BA594" s="39" t="str">
        <f>IFERROR(proje!BL89*100/proje!$I89,"")</f>
        <v/>
      </c>
      <c r="BB594" s="39" t="str">
        <f>IFERROR(proje!BM89*100/proje!$I89,"")</f>
        <v/>
      </c>
      <c r="BC594" s="39" t="str">
        <f>IFERROR(proje!BN89*100/proje!$I89,"")</f>
        <v/>
      </c>
      <c r="BD594" s="39" t="str">
        <f>IFERROR(proje!BO89*100/proje!$I89,"")</f>
        <v/>
      </c>
      <c r="BE594" s="39" t="str">
        <f>IFERROR(proje!BP89*100/proje!$I89,"")</f>
        <v/>
      </c>
      <c r="BF594" s="39" t="str">
        <f>IFERROR(proje!BQ89*100/proje!$I89,"")</f>
        <v/>
      </c>
      <c r="BG594" s="39" t="str">
        <f>IFERROR(proje!BR89*100/proje!$I89,"")</f>
        <v/>
      </c>
      <c r="BH594" s="39" t="str">
        <f>IFERROR(proje!BS89*100/proje!$I89,"")</f>
        <v/>
      </c>
      <c r="BI594" s="39" t="str">
        <f>IFERROR(proje!BT89*100/proje!$I89,"")</f>
        <v/>
      </c>
      <c r="BJ594" s="39" t="str">
        <f>IFERROR(proje!BU89*100/proje!$I89,"")</f>
        <v/>
      </c>
      <c r="BK594" s="39" t="str">
        <f>IFERROR(proje!BV89*100/proje!$I89,"")</f>
        <v/>
      </c>
      <c r="BL594" s="39" t="str">
        <f>IFERROR(proje!BW89*100/proje!$I89,"")</f>
        <v/>
      </c>
      <c r="BM594" s="39" t="str">
        <f>IFERROR(proje!BX89*100/proje!$I89,"")</f>
        <v/>
      </c>
      <c r="BN594" s="39" t="str">
        <f>IFERROR(proje!BY89*100/proje!$I89,"")</f>
        <v/>
      </c>
      <c r="BO594" s="39" t="str">
        <f>IFERROR(proje!BZ89*100/proje!$I89,"")</f>
        <v/>
      </c>
      <c r="BP594" s="39" t="str">
        <f>IFERROR(proje!CA89*100/proje!$I89,"")</f>
        <v/>
      </c>
      <c r="BQ594" s="39" t="str">
        <f>IFERROR(proje!CB89*100/proje!$I89,"")</f>
        <v/>
      </c>
      <c r="BR594" s="39" t="str">
        <f>IFERROR(proje!CC89*100/proje!$I89,"")</f>
        <v/>
      </c>
      <c r="BS594" s="39" t="str">
        <f>IFERROR(proje!CD89*100/proje!$I89,"")</f>
        <v/>
      </c>
      <c r="BT594" s="39" t="str">
        <f>IFERROR(proje!CE89*100/proje!$I89,"")</f>
        <v/>
      </c>
      <c r="BU594" s="39" t="str">
        <f>IFERROR(proje!CF89*100/proje!$I89,"")</f>
        <v/>
      </c>
      <c r="BV594" s="39" t="str">
        <f>IFERROR(proje!CG89*100/proje!$I89,"")</f>
        <v/>
      </c>
      <c r="BW594" s="39" t="str">
        <f>IFERROR(proje!CH89*100/proje!$I89,"")</f>
        <v/>
      </c>
      <c r="BX594" s="39" t="str">
        <f>IFERROR(proje!CI89*100/proje!$I89,"")</f>
        <v/>
      </c>
      <c r="BY594" s="39" t="str">
        <f>IFERROR(proje!CJ89*100/proje!$I89,"")</f>
        <v/>
      </c>
      <c r="BZ594" s="39" t="str">
        <f>IFERROR(proje!CK89*100/proje!$I89,"")</f>
        <v/>
      </c>
      <c r="CA594" s="39" t="str">
        <f>IFERROR(proje!CL89*100/proje!$I89,"")</f>
        <v/>
      </c>
      <c r="CB594" s="39" t="str">
        <f>IFERROR(proje!CM89*100/proje!$I89,"")</f>
        <v/>
      </c>
      <c r="CC594" s="39" t="str">
        <f>IFERROR(proje!CN89*100/proje!$I89,"")</f>
        <v/>
      </c>
      <c r="CD594" s="39" t="str">
        <f>IFERROR(proje!CO89*100/proje!$I89,"")</f>
        <v/>
      </c>
      <c r="CE594" s="39" t="str">
        <f>IFERROR(proje!CP89*100/proje!$I89,"")</f>
        <v/>
      </c>
      <c r="CF594" s="39" t="str">
        <f>IFERROR(proje!CQ89*100/proje!$I89,"")</f>
        <v/>
      </c>
      <c r="CG594" s="39" t="str">
        <f>IFERROR(proje!CR89*100/proje!$I89,"")</f>
        <v/>
      </c>
      <c r="CH594" s="39" t="str">
        <f>IFERROR(proje!CS89*100/proje!$I89,"")</f>
        <v/>
      </c>
      <c r="CI594" s="39" t="str">
        <f>IFERROR(proje!CT89*100/proje!$I89,"")</f>
        <v/>
      </c>
      <c r="CJ594" s="39" t="str">
        <f>IFERROR(proje!CU89*100/proje!$I89,"")</f>
        <v/>
      </c>
      <c r="CK594" s="39" t="str">
        <f>IFERROR(proje!CV89*100/proje!$I89,"")</f>
        <v/>
      </c>
      <c r="CL594" s="39" t="str">
        <f>IFERROR(proje!CW89*100/proje!$I89,"")</f>
        <v/>
      </c>
      <c r="CM594" s="39" t="str">
        <f>IFERROR(proje!CX89*100/proje!$I89,"")</f>
        <v/>
      </c>
      <c r="CN594" s="39" t="str">
        <f>IFERROR(proje!CY89*100/proje!$I89,"")</f>
        <v/>
      </c>
      <c r="CO594" s="39" t="str">
        <f>IFERROR(proje!CZ89*100/proje!$I89,"")</f>
        <v/>
      </c>
      <c r="CP594" s="39" t="str">
        <f>IFERROR(proje!DA89*100/proje!$I89,"")</f>
        <v/>
      </c>
      <c r="CQ594" s="39" t="str">
        <f>IFERROR(proje!DB89*100/proje!$I89,"")</f>
        <v/>
      </c>
      <c r="CR594" s="39" t="str">
        <f>IFERROR(proje!DC89*100/proje!$I89,"")</f>
        <v/>
      </c>
      <c r="CS594" s="39" t="str">
        <f>IFERROR(proje!DD89*100/proje!$I89,"")</f>
        <v/>
      </c>
      <c r="CT594" s="39" t="str">
        <f>IFERROR(proje!DE89*100/proje!$I89,"")</f>
        <v/>
      </c>
      <c r="CU594" s="39" t="str">
        <f>IFERROR(proje!DF89*100/proje!$I89,"")</f>
        <v/>
      </c>
      <c r="CV594" s="39" t="str">
        <f>IFERROR(proje!DG89*100/proje!$I89,"")</f>
        <v/>
      </c>
      <c r="CW594" s="36" t="str">
        <f>IFERROR(SUM(A594:CV594)/proje!$DH$103,"")</f>
        <v/>
      </c>
      <c r="CX594" s="14" t="str">
        <f>IF(COUNTA(proje!A89),proje!A89,"")</f>
        <v/>
      </c>
      <c r="CY594" s="14" t="str">
        <f>IF(COUNTA(proje!B89),proje!B89,"")</f>
        <v/>
      </c>
      <c r="CZ594" s="14" t="str">
        <f>IF(COUNTA(proje!C89),proje!C89,"")</f>
        <v/>
      </c>
      <c r="DA594" s="14" t="str">
        <f>IF(COUNTA(proje!D89),proje!D89,"")</f>
        <v/>
      </c>
      <c r="DB594" s="14" t="str">
        <f>IF(COUNTA(proje!E89),proje!E89,"")</f>
        <v/>
      </c>
      <c r="DC594" s="14" t="str">
        <f>IF(COUNTA(proje!F89),proje!F89,"")</f>
        <v/>
      </c>
      <c r="DD594" s="14" t="str">
        <f>IF(COUNTA(proje!G89),proje!G89,"")</f>
        <v/>
      </c>
      <c r="DE594" s="14" t="str">
        <f>IF(COUNTA(proje!H89),proje!H89,"")</f>
        <v/>
      </c>
    </row>
    <row r="595" spans="1:109" x14ac:dyDescent="0.2">
      <c r="A595" s="39" t="str">
        <f>IFERROR(proje!L90*100/proje!$I90,"")</f>
        <v/>
      </c>
      <c r="B595" s="39" t="str">
        <f>IFERROR(proje!M90*100/proje!$I90,"")</f>
        <v/>
      </c>
      <c r="C595" s="39" t="str">
        <f>IFERROR(proje!N90*100/proje!$I90,"")</f>
        <v/>
      </c>
      <c r="D595" s="39" t="str">
        <f>IFERROR(proje!O90*100/proje!$I90,"")</f>
        <v/>
      </c>
      <c r="E595" s="39" t="str">
        <f>IFERROR(proje!P90*100/proje!$I90,"")</f>
        <v/>
      </c>
      <c r="F595" s="39" t="str">
        <f>IFERROR(proje!Q90*100/proje!$I90,"")</f>
        <v/>
      </c>
      <c r="G595" s="39" t="str">
        <f>IFERROR(proje!R90*100/proje!$I90,"")</f>
        <v/>
      </c>
      <c r="H595" s="39" t="str">
        <f>IFERROR(proje!S90*100/proje!$I90,"")</f>
        <v/>
      </c>
      <c r="I595" s="39" t="str">
        <f>IFERROR(proje!T90*100/proje!$I90,"")</f>
        <v/>
      </c>
      <c r="J595" s="39" t="str">
        <f>IFERROR(proje!U90*100/proje!$I90,"")</f>
        <v/>
      </c>
      <c r="K595" s="39" t="str">
        <f>IFERROR(proje!V90*100/proje!$I90,"")</f>
        <v/>
      </c>
      <c r="L595" s="39" t="str">
        <f>IFERROR(proje!W90*100/proje!$I90,"")</f>
        <v/>
      </c>
      <c r="M595" s="39" t="str">
        <f>IFERROR(proje!X90*100/proje!$I90,"")</f>
        <v/>
      </c>
      <c r="N595" s="39" t="str">
        <f>IFERROR(proje!Y90*100/proje!$I90,"")</f>
        <v/>
      </c>
      <c r="O595" s="39" t="str">
        <f>IFERROR(proje!Z90*100/proje!$I90,"")</f>
        <v/>
      </c>
      <c r="P595" s="39" t="str">
        <f>IFERROR(proje!AA90*100/proje!$I90,"")</f>
        <v/>
      </c>
      <c r="Q595" s="39" t="str">
        <f>IFERROR(proje!AB90*100/proje!$I90,"")</f>
        <v/>
      </c>
      <c r="R595" s="39" t="str">
        <f>IFERROR(proje!AC90*100/proje!$I90,"")</f>
        <v/>
      </c>
      <c r="S595" s="39" t="str">
        <f>IFERROR(proje!AD90*100/proje!$I90,"")</f>
        <v/>
      </c>
      <c r="T595" s="39" t="str">
        <f>IFERROR(proje!AE90*100/proje!$I90,"")</f>
        <v/>
      </c>
      <c r="U595" s="39" t="str">
        <f>IFERROR(proje!AF90*100/proje!$I90,"")</f>
        <v/>
      </c>
      <c r="V595" s="39" t="str">
        <f>IFERROR(proje!AG90*100/proje!$I90,"")</f>
        <v/>
      </c>
      <c r="W595" s="39" t="str">
        <f>IFERROR(proje!AH90*100/proje!$I90,"")</f>
        <v/>
      </c>
      <c r="X595" s="39" t="str">
        <f>IFERROR(proje!AI90*100/proje!$I90,"")</f>
        <v/>
      </c>
      <c r="Y595" s="39" t="str">
        <f>IFERROR(proje!AJ90*100/proje!$I90,"")</f>
        <v/>
      </c>
      <c r="Z595" s="39" t="str">
        <f>IFERROR(proje!AK90*100/proje!$I90,"")</f>
        <v/>
      </c>
      <c r="AA595" s="39" t="str">
        <f>IFERROR(proje!AL90*100/proje!$I90,"")</f>
        <v/>
      </c>
      <c r="AB595" s="39" t="str">
        <f>IFERROR(proje!AM90*100/proje!$I90,"")</f>
        <v/>
      </c>
      <c r="AC595" s="39" t="str">
        <f>IFERROR(proje!AN90*100/proje!$I90,"")</f>
        <v/>
      </c>
      <c r="AD595" s="39" t="str">
        <f>IFERROR(proje!AO90*100/proje!$I90,"")</f>
        <v/>
      </c>
      <c r="AE595" s="39" t="str">
        <f>IFERROR(proje!AP90*100/proje!$I90,"")</f>
        <v/>
      </c>
      <c r="AF595" s="39" t="str">
        <f>IFERROR(proje!AQ90*100/proje!$I90,"")</f>
        <v/>
      </c>
      <c r="AG595" s="39" t="str">
        <f>IFERROR(proje!AR90*100/proje!$I90,"")</f>
        <v/>
      </c>
      <c r="AH595" s="39" t="str">
        <f>IFERROR(proje!AS90*100/proje!$I90,"")</f>
        <v/>
      </c>
      <c r="AI595" s="39" t="str">
        <f>IFERROR(proje!AT90*100/proje!$I90,"")</f>
        <v/>
      </c>
      <c r="AJ595" s="39" t="str">
        <f>IFERROR(proje!AU90*100/proje!$I90,"")</f>
        <v/>
      </c>
      <c r="AK595" s="39" t="str">
        <f>IFERROR(proje!AV90*100/proje!$I90,"")</f>
        <v/>
      </c>
      <c r="AL595" s="39" t="str">
        <f>IFERROR(proje!AW90*100/proje!$I90,"")</f>
        <v/>
      </c>
      <c r="AM595" s="39" t="str">
        <f>IFERROR(proje!AX90*100/proje!$I90,"")</f>
        <v/>
      </c>
      <c r="AN595" s="39" t="str">
        <f>IFERROR(proje!AY90*100/proje!$I90,"")</f>
        <v/>
      </c>
      <c r="AO595" s="39" t="str">
        <f>IFERROR(proje!AZ90*100/proje!$I90,"")</f>
        <v/>
      </c>
      <c r="AP595" s="39" t="str">
        <f>IFERROR(proje!BA90*100/proje!$I90,"")</f>
        <v/>
      </c>
      <c r="AQ595" s="39" t="str">
        <f>IFERROR(proje!BB90*100/proje!$I90,"")</f>
        <v/>
      </c>
      <c r="AR595" s="39" t="str">
        <f>IFERROR(proje!BC90*100/proje!$I90,"")</f>
        <v/>
      </c>
      <c r="AS595" s="39" t="str">
        <f>IFERROR(proje!BD90*100/proje!$I90,"")</f>
        <v/>
      </c>
      <c r="AT595" s="39" t="str">
        <f>IFERROR(proje!BE90*100/proje!$I90,"")</f>
        <v/>
      </c>
      <c r="AU595" s="39" t="str">
        <f>IFERROR(proje!BF90*100/proje!$I90,"")</f>
        <v/>
      </c>
      <c r="AV595" s="39" t="str">
        <f>IFERROR(proje!BG90*100/proje!$I90,"")</f>
        <v/>
      </c>
      <c r="AW595" s="39" t="str">
        <f>IFERROR(proje!BH90*100/proje!$I90,"")</f>
        <v/>
      </c>
      <c r="AX595" s="39" t="str">
        <f>IFERROR(proje!BI90*100/proje!$I90,"")</f>
        <v/>
      </c>
      <c r="AY595" s="39" t="str">
        <f>IFERROR(proje!BJ90*100/proje!$I90,"")</f>
        <v/>
      </c>
      <c r="AZ595" s="39" t="str">
        <f>IFERROR(proje!BK90*100/proje!$I90,"")</f>
        <v/>
      </c>
      <c r="BA595" s="39" t="str">
        <f>IFERROR(proje!BL90*100/proje!$I90,"")</f>
        <v/>
      </c>
      <c r="BB595" s="39" t="str">
        <f>IFERROR(proje!BM90*100/proje!$I90,"")</f>
        <v/>
      </c>
      <c r="BC595" s="39" t="str">
        <f>IFERROR(proje!BN90*100/proje!$I90,"")</f>
        <v/>
      </c>
      <c r="BD595" s="39" t="str">
        <f>IFERROR(proje!BO90*100/proje!$I90,"")</f>
        <v/>
      </c>
      <c r="BE595" s="39" t="str">
        <f>IFERROR(proje!BP90*100/proje!$I90,"")</f>
        <v/>
      </c>
      <c r="BF595" s="39" t="str">
        <f>IFERROR(proje!BQ90*100/proje!$I90,"")</f>
        <v/>
      </c>
      <c r="BG595" s="39" t="str">
        <f>IFERROR(proje!BR90*100/proje!$I90,"")</f>
        <v/>
      </c>
      <c r="BH595" s="39" t="str">
        <f>IFERROR(proje!BS90*100/proje!$I90,"")</f>
        <v/>
      </c>
      <c r="BI595" s="39" t="str">
        <f>IFERROR(proje!BT90*100/proje!$I90,"")</f>
        <v/>
      </c>
      <c r="BJ595" s="39" t="str">
        <f>IFERROR(proje!BU90*100/proje!$I90,"")</f>
        <v/>
      </c>
      <c r="BK595" s="39" t="str">
        <f>IFERROR(proje!BV90*100/proje!$I90,"")</f>
        <v/>
      </c>
      <c r="BL595" s="39" t="str">
        <f>IFERROR(proje!BW90*100/proje!$I90,"")</f>
        <v/>
      </c>
      <c r="BM595" s="39" t="str">
        <f>IFERROR(proje!BX90*100/proje!$I90,"")</f>
        <v/>
      </c>
      <c r="BN595" s="39" t="str">
        <f>IFERROR(proje!BY90*100/proje!$I90,"")</f>
        <v/>
      </c>
      <c r="BO595" s="39" t="str">
        <f>IFERROR(proje!BZ90*100/proje!$I90,"")</f>
        <v/>
      </c>
      <c r="BP595" s="39" t="str">
        <f>IFERROR(proje!CA90*100/proje!$I90,"")</f>
        <v/>
      </c>
      <c r="BQ595" s="39" t="str">
        <f>IFERROR(proje!CB90*100/proje!$I90,"")</f>
        <v/>
      </c>
      <c r="BR595" s="39" t="str">
        <f>IFERROR(proje!CC90*100/proje!$I90,"")</f>
        <v/>
      </c>
      <c r="BS595" s="39" t="str">
        <f>IFERROR(proje!CD90*100/proje!$I90,"")</f>
        <v/>
      </c>
      <c r="BT595" s="39" t="str">
        <f>IFERROR(proje!CE90*100/proje!$I90,"")</f>
        <v/>
      </c>
      <c r="BU595" s="39" t="str">
        <f>IFERROR(proje!CF90*100/proje!$I90,"")</f>
        <v/>
      </c>
      <c r="BV595" s="39" t="str">
        <f>IFERROR(proje!CG90*100/proje!$I90,"")</f>
        <v/>
      </c>
      <c r="BW595" s="39" t="str">
        <f>IFERROR(proje!CH90*100/proje!$I90,"")</f>
        <v/>
      </c>
      <c r="BX595" s="39" t="str">
        <f>IFERROR(proje!CI90*100/proje!$I90,"")</f>
        <v/>
      </c>
      <c r="BY595" s="39" t="str">
        <f>IFERROR(proje!CJ90*100/proje!$I90,"")</f>
        <v/>
      </c>
      <c r="BZ595" s="39" t="str">
        <f>IFERROR(proje!CK90*100/proje!$I90,"")</f>
        <v/>
      </c>
      <c r="CA595" s="39" t="str">
        <f>IFERROR(proje!CL90*100/proje!$I90,"")</f>
        <v/>
      </c>
      <c r="CB595" s="39" t="str">
        <f>IFERROR(proje!CM90*100/proje!$I90,"")</f>
        <v/>
      </c>
      <c r="CC595" s="39" t="str">
        <f>IFERROR(proje!CN90*100/proje!$I90,"")</f>
        <v/>
      </c>
      <c r="CD595" s="39" t="str">
        <f>IFERROR(proje!CO90*100/proje!$I90,"")</f>
        <v/>
      </c>
      <c r="CE595" s="39" t="str">
        <f>IFERROR(proje!CP90*100/proje!$I90,"")</f>
        <v/>
      </c>
      <c r="CF595" s="39" t="str">
        <f>IFERROR(proje!CQ90*100/proje!$I90,"")</f>
        <v/>
      </c>
      <c r="CG595" s="39" t="str">
        <f>IFERROR(proje!CR90*100/proje!$I90,"")</f>
        <v/>
      </c>
      <c r="CH595" s="39" t="str">
        <f>IFERROR(proje!CS90*100/proje!$I90,"")</f>
        <v/>
      </c>
      <c r="CI595" s="39" t="str">
        <f>IFERROR(proje!CT90*100/proje!$I90,"")</f>
        <v/>
      </c>
      <c r="CJ595" s="39" t="str">
        <f>IFERROR(proje!CU90*100/proje!$I90,"")</f>
        <v/>
      </c>
      <c r="CK595" s="39" t="str">
        <f>IFERROR(proje!CV90*100/proje!$I90,"")</f>
        <v/>
      </c>
      <c r="CL595" s="39" t="str">
        <f>IFERROR(proje!CW90*100/proje!$I90,"")</f>
        <v/>
      </c>
      <c r="CM595" s="39" t="str">
        <f>IFERROR(proje!CX90*100/proje!$I90,"")</f>
        <v/>
      </c>
      <c r="CN595" s="39" t="str">
        <f>IFERROR(proje!CY90*100/proje!$I90,"")</f>
        <v/>
      </c>
      <c r="CO595" s="39" t="str">
        <f>IFERROR(proje!CZ90*100/proje!$I90,"")</f>
        <v/>
      </c>
      <c r="CP595" s="39" t="str">
        <f>IFERROR(proje!DA90*100/proje!$I90,"")</f>
        <v/>
      </c>
      <c r="CQ595" s="39" t="str">
        <f>IFERROR(proje!DB90*100/proje!$I90,"")</f>
        <v/>
      </c>
      <c r="CR595" s="39" t="str">
        <f>IFERROR(proje!DC90*100/proje!$I90,"")</f>
        <v/>
      </c>
      <c r="CS595" s="39" t="str">
        <f>IFERROR(proje!DD90*100/proje!$I90,"")</f>
        <v/>
      </c>
      <c r="CT595" s="39" t="str">
        <f>IFERROR(proje!DE90*100/proje!$I90,"")</f>
        <v/>
      </c>
      <c r="CU595" s="39" t="str">
        <f>IFERROR(proje!DF90*100/proje!$I90,"")</f>
        <v/>
      </c>
      <c r="CV595" s="39" t="str">
        <f>IFERROR(proje!DG90*100/proje!$I90,"")</f>
        <v/>
      </c>
      <c r="CW595" s="36" t="str">
        <f>IFERROR(SUM(A595:CV595)/proje!$DH$103,"")</f>
        <v/>
      </c>
      <c r="CX595" s="14" t="str">
        <f>IF(COUNTA(proje!A90),proje!A90,"")</f>
        <v/>
      </c>
      <c r="CY595" s="14" t="str">
        <f>IF(COUNTA(proje!B90),proje!B90,"")</f>
        <v/>
      </c>
      <c r="CZ595" s="14" t="str">
        <f>IF(COUNTA(proje!C90),proje!C90,"")</f>
        <v/>
      </c>
      <c r="DA595" s="14" t="str">
        <f>IF(COUNTA(proje!D90),proje!D90,"")</f>
        <v/>
      </c>
      <c r="DB595" s="14" t="str">
        <f>IF(COUNTA(proje!E90),proje!E90,"")</f>
        <v/>
      </c>
      <c r="DC595" s="14" t="str">
        <f>IF(COUNTA(proje!F90),proje!F90,"")</f>
        <v/>
      </c>
      <c r="DD595" s="14" t="str">
        <f>IF(COUNTA(proje!G90),proje!G90,"")</f>
        <v/>
      </c>
      <c r="DE595" s="14" t="str">
        <f>IF(COUNTA(proje!H90),proje!H90,"")</f>
        <v/>
      </c>
    </row>
    <row r="596" spans="1:109" x14ac:dyDescent="0.2">
      <c r="A596" s="39" t="str">
        <f>IFERROR(proje!L91*100/proje!$I91,"")</f>
        <v/>
      </c>
      <c r="B596" s="39" t="str">
        <f>IFERROR(proje!M91*100/proje!$I91,"")</f>
        <v/>
      </c>
      <c r="C596" s="39" t="str">
        <f>IFERROR(proje!N91*100/proje!$I91,"")</f>
        <v/>
      </c>
      <c r="D596" s="39" t="str">
        <f>IFERROR(proje!O91*100/proje!$I91,"")</f>
        <v/>
      </c>
      <c r="E596" s="39" t="str">
        <f>IFERROR(proje!P91*100/proje!$I91,"")</f>
        <v/>
      </c>
      <c r="F596" s="39" t="str">
        <f>IFERROR(proje!Q91*100/proje!$I91,"")</f>
        <v/>
      </c>
      <c r="G596" s="39" t="str">
        <f>IFERROR(proje!R91*100/proje!$I91,"")</f>
        <v/>
      </c>
      <c r="H596" s="39" t="str">
        <f>IFERROR(proje!S91*100/proje!$I91,"")</f>
        <v/>
      </c>
      <c r="I596" s="39" t="str">
        <f>IFERROR(proje!T91*100/proje!$I91,"")</f>
        <v/>
      </c>
      <c r="J596" s="39" t="str">
        <f>IFERROR(proje!U91*100/proje!$I91,"")</f>
        <v/>
      </c>
      <c r="K596" s="39" t="str">
        <f>IFERROR(proje!V91*100/proje!$I91,"")</f>
        <v/>
      </c>
      <c r="L596" s="39" t="str">
        <f>IFERROR(proje!W91*100/proje!$I91,"")</f>
        <v/>
      </c>
      <c r="M596" s="39" t="str">
        <f>IFERROR(proje!X91*100/proje!$I91,"")</f>
        <v/>
      </c>
      <c r="N596" s="39" t="str">
        <f>IFERROR(proje!Y91*100/proje!$I91,"")</f>
        <v/>
      </c>
      <c r="O596" s="39" t="str">
        <f>IFERROR(proje!Z91*100/proje!$I91,"")</f>
        <v/>
      </c>
      <c r="P596" s="39" t="str">
        <f>IFERROR(proje!AA91*100/proje!$I91,"")</f>
        <v/>
      </c>
      <c r="Q596" s="39" t="str">
        <f>IFERROR(proje!AB91*100/proje!$I91,"")</f>
        <v/>
      </c>
      <c r="R596" s="39" t="str">
        <f>IFERROR(proje!AC91*100/proje!$I91,"")</f>
        <v/>
      </c>
      <c r="S596" s="39" t="str">
        <f>IFERROR(proje!AD91*100/proje!$I91,"")</f>
        <v/>
      </c>
      <c r="T596" s="39" t="str">
        <f>IFERROR(proje!AE91*100/proje!$I91,"")</f>
        <v/>
      </c>
      <c r="U596" s="39" t="str">
        <f>IFERROR(proje!AF91*100/proje!$I91,"")</f>
        <v/>
      </c>
      <c r="V596" s="39" t="str">
        <f>IFERROR(proje!AG91*100/proje!$I91,"")</f>
        <v/>
      </c>
      <c r="W596" s="39" t="str">
        <f>IFERROR(proje!AH91*100/proje!$I91,"")</f>
        <v/>
      </c>
      <c r="X596" s="39" t="str">
        <f>IFERROR(proje!AI91*100/proje!$I91,"")</f>
        <v/>
      </c>
      <c r="Y596" s="39" t="str">
        <f>IFERROR(proje!AJ91*100/proje!$I91,"")</f>
        <v/>
      </c>
      <c r="Z596" s="39" t="str">
        <f>IFERROR(proje!AK91*100/proje!$I91,"")</f>
        <v/>
      </c>
      <c r="AA596" s="39" t="str">
        <f>IFERROR(proje!AL91*100/proje!$I91,"")</f>
        <v/>
      </c>
      <c r="AB596" s="39" t="str">
        <f>IFERROR(proje!AM91*100/proje!$I91,"")</f>
        <v/>
      </c>
      <c r="AC596" s="39" t="str">
        <f>IFERROR(proje!AN91*100/proje!$I91,"")</f>
        <v/>
      </c>
      <c r="AD596" s="39" t="str">
        <f>IFERROR(proje!AO91*100/proje!$I91,"")</f>
        <v/>
      </c>
      <c r="AE596" s="39" t="str">
        <f>IFERROR(proje!AP91*100/proje!$I91,"")</f>
        <v/>
      </c>
      <c r="AF596" s="39" t="str">
        <f>IFERROR(proje!AQ91*100/proje!$I91,"")</f>
        <v/>
      </c>
      <c r="AG596" s="39" t="str">
        <f>IFERROR(proje!AR91*100/proje!$I91,"")</f>
        <v/>
      </c>
      <c r="AH596" s="39" t="str">
        <f>IFERROR(proje!AS91*100/proje!$I91,"")</f>
        <v/>
      </c>
      <c r="AI596" s="39" t="str">
        <f>IFERROR(proje!AT91*100/proje!$I91,"")</f>
        <v/>
      </c>
      <c r="AJ596" s="39" t="str">
        <f>IFERROR(proje!AU91*100/proje!$I91,"")</f>
        <v/>
      </c>
      <c r="AK596" s="39" t="str">
        <f>IFERROR(proje!AV91*100/proje!$I91,"")</f>
        <v/>
      </c>
      <c r="AL596" s="39" t="str">
        <f>IFERROR(proje!AW91*100/proje!$I91,"")</f>
        <v/>
      </c>
      <c r="AM596" s="39" t="str">
        <f>IFERROR(proje!AX91*100/proje!$I91,"")</f>
        <v/>
      </c>
      <c r="AN596" s="39" t="str">
        <f>IFERROR(proje!AY91*100/proje!$I91,"")</f>
        <v/>
      </c>
      <c r="AO596" s="39" t="str">
        <f>IFERROR(proje!AZ91*100/proje!$I91,"")</f>
        <v/>
      </c>
      <c r="AP596" s="39" t="str">
        <f>IFERROR(proje!BA91*100/proje!$I91,"")</f>
        <v/>
      </c>
      <c r="AQ596" s="39" t="str">
        <f>IFERROR(proje!BB91*100/proje!$I91,"")</f>
        <v/>
      </c>
      <c r="AR596" s="39" t="str">
        <f>IFERROR(proje!BC91*100/proje!$I91,"")</f>
        <v/>
      </c>
      <c r="AS596" s="39" t="str">
        <f>IFERROR(proje!BD91*100/proje!$I91,"")</f>
        <v/>
      </c>
      <c r="AT596" s="39" t="str">
        <f>IFERROR(proje!BE91*100/proje!$I91,"")</f>
        <v/>
      </c>
      <c r="AU596" s="39" t="str">
        <f>IFERROR(proje!BF91*100/proje!$I91,"")</f>
        <v/>
      </c>
      <c r="AV596" s="39" t="str">
        <f>IFERROR(proje!BG91*100/proje!$I91,"")</f>
        <v/>
      </c>
      <c r="AW596" s="39" t="str">
        <f>IFERROR(proje!BH91*100/proje!$I91,"")</f>
        <v/>
      </c>
      <c r="AX596" s="39" t="str">
        <f>IFERROR(proje!BI91*100/proje!$I91,"")</f>
        <v/>
      </c>
      <c r="AY596" s="39" t="str">
        <f>IFERROR(proje!BJ91*100/proje!$I91,"")</f>
        <v/>
      </c>
      <c r="AZ596" s="39" t="str">
        <f>IFERROR(proje!BK91*100/proje!$I91,"")</f>
        <v/>
      </c>
      <c r="BA596" s="39" t="str">
        <f>IFERROR(proje!BL91*100/proje!$I91,"")</f>
        <v/>
      </c>
      <c r="BB596" s="39" t="str">
        <f>IFERROR(proje!BM91*100/proje!$I91,"")</f>
        <v/>
      </c>
      <c r="BC596" s="39" t="str">
        <f>IFERROR(proje!BN91*100/proje!$I91,"")</f>
        <v/>
      </c>
      <c r="BD596" s="39" t="str">
        <f>IFERROR(proje!BO91*100/proje!$I91,"")</f>
        <v/>
      </c>
      <c r="BE596" s="39" t="str">
        <f>IFERROR(proje!BP91*100/proje!$I91,"")</f>
        <v/>
      </c>
      <c r="BF596" s="39" t="str">
        <f>IFERROR(proje!BQ91*100/proje!$I91,"")</f>
        <v/>
      </c>
      <c r="BG596" s="39" t="str">
        <f>IFERROR(proje!BR91*100/proje!$I91,"")</f>
        <v/>
      </c>
      <c r="BH596" s="39" t="str">
        <f>IFERROR(proje!BS91*100/proje!$I91,"")</f>
        <v/>
      </c>
      <c r="BI596" s="39" t="str">
        <f>IFERROR(proje!BT91*100/proje!$I91,"")</f>
        <v/>
      </c>
      <c r="BJ596" s="39" t="str">
        <f>IFERROR(proje!BU91*100/proje!$I91,"")</f>
        <v/>
      </c>
      <c r="BK596" s="39" t="str">
        <f>IFERROR(proje!BV91*100/proje!$I91,"")</f>
        <v/>
      </c>
      <c r="BL596" s="39" t="str">
        <f>IFERROR(proje!BW91*100/proje!$I91,"")</f>
        <v/>
      </c>
      <c r="BM596" s="39" t="str">
        <f>IFERROR(proje!BX91*100/proje!$I91,"")</f>
        <v/>
      </c>
      <c r="BN596" s="39" t="str">
        <f>IFERROR(proje!BY91*100/proje!$I91,"")</f>
        <v/>
      </c>
      <c r="BO596" s="39" t="str">
        <f>IFERROR(proje!BZ91*100/proje!$I91,"")</f>
        <v/>
      </c>
      <c r="BP596" s="39" t="str">
        <f>IFERROR(proje!CA91*100/proje!$I91,"")</f>
        <v/>
      </c>
      <c r="BQ596" s="39" t="str">
        <f>IFERROR(proje!CB91*100/proje!$I91,"")</f>
        <v/>
      </c>
      <c r="BR596" s="39" t="str">
        <f>IFERROR(proje!CC91*100/proje!$I91,"")</f>
        <v/>
      </c>
      <c r="BS596" s="39" t="str">
        <f>IFERROR(proje!CD91*100/proje!$I91,"")</f>
        <v/>
      </c>
      <c r="BT596" s="39" t="str">
        <f>IFERROR(proje!CE91*100/proje!$I91,"")</f>
        <v/>
      </c>
      <c r="BU596" s="39" t="str">
        <f>IFERROR(proje!CF91*100/proje!$I91,"")</f>
        <v/>
      </c>
      <c r="BV596" s="39" t="str">
        <f>IFERROR(proje!CG91*100/proje!$I91,"")</f>
        <v/>
      </c>
      <c r="BW596" s="39" t="str">
        <f>IFERROR(proje!CH91*100/proje!$I91,"")</f>
        <v/>
      </c>
      <c r="BX596" s="39" t="str">
        <f>IFERROR(proje!CI91*100/proje!$I91,"")</f>
        <v/>
      </c>
      <c r="BY596" s="39" t="str">
        <f>IFERROR(proje!CJ91*100/proje!$I91,"")</f>
        <v/>
      </c>
      <c r="BZ596" s="39" t="str">
        <f>IFERROR(proje!CK91*100/proje!$I91,"")</f>
        <v/>
      </c>
      <c r="CA596" s="39" t="str">
        <f>IFERROR(proje!CL91*100/proje!$I91,"")</f>
        <v/>
      </c>
      <c r="CB596" s="39" t="str">
        <f>IFERROR(proje!CM91*100/proje!$I91,"")</f>
        <v/>
      </c>
      <c r="CC596" s="39" t="str">
        <f>IFERROR(proje!CN91*100/proje!$I91,"")</f>
        <v/>
      </c>
      <c r="CD596" s="39" t="str">
        <f>IFERROR(proje!CO91*100/proje!$I91,"")</f>
        <v/>
      </c>
      <c r="CE596" s="39" t="str">
        <f>IFERROR(proje!CP91*100/proje!$I91,"")</f>
        <v/>
      </c>
      <c r="CF596" s="39" t="str">
        <f>IFERROR(proje!CQ91*100/proje!$I91,"")</f>
        <v/>
      </c>
      <c r="CG596" s="39" t="str">
        <f>IFERROR(proje!CR91*100/proje!$I91,"")</f>
        <v/>
      </c>
      <c r="CH596" s="39" t="str">
        <f>IFERROR(proje!CS91*100/proje!$I91,"")</f>
        <v/>
      </c>
      <c r="CI596" s="39" t="str">
        <f>IFERROR(proje!CT91*100/proje!$I91,"")</f>
        <v/>
      </c>
      <c r="CJ596" s="39" t="str">
        <f>IFERROR(proje!CU91*100/proje!$I91,"")</f>
        <v/>
      </c>
      <c r="CK596" s="39" t="str">
        <f>IFERROR(proje!CV91*100/proje!$I91,"")</f>
        <v/>
      </c>
      <c r="CL596" s="39" t="str">
        <f>IFERROR(proje!CW91*100/proje!$I91,"")</f>
        <v/>
      </c>
      <c r="CM596" s="39" t="str">
        <f>IFERROR(proje!CX91*100/proje!$I91,"")</f>
        <v/>
      </c>
      <c r="CN596" s="39" t="str">
        <f>IFERROR(proje!CY91*100/proje!$I91,"")</f>
        <v/>
      </c>
      <c r="CO596" s="39" t="str">
        <f>IFERROR(proje!CZ91*100/proje!$I91,"")</f>
        <v/>
      </c>
      <c r="CP596" s="39" t="str">
        <f>IFERROR(proje!DA91*100/proje!$I91,"")</f>
        <v/>
      </c>
      <c r="CQ596" s="39" t="str">
        <f>IFERROR(proje!DB91*100/proje!$I91,"")</f>
        <v/>
      </c>
      <c r="CR596" s="39" t="str">
        <f>IFERROR(proje!DC91*100/proje!$I91,"")</f>
        <v/>
      </c>
      <c r="CS596" s="39" t="str">
        <f>IFERROR(proje!DD91*100/proje!$I91,"")</f>
        <v/>
      </c>
      <c r="CT596" s="39" t="str">
        <f>IFERROR(proje!DE91*100/proje!$I91,"")</f>
        <v/>
      </c>
      <c r="CU596" s="39" t="str">
        <f>IFERROR(proje!DF91*100/proje!$I91,"")</f>
        <v/>
      </c>
      <c r="CV596" s="39" t="str">
        <f>IFERROR(proje!DG91*100/proje!$I91,"")</f>
        <v/>
      </c>
      <c r="CW596" s="36" t="str">
        <f>IFERROR(SUM(A596:CV596)/proje!$DH$103,"")</f>
        <v/>
      </c>
      <c r="CX596" s="14" t="str">
        <f>IF(COUNTA(proje!A91),proje!A91,"")</f>
        <v/>
      </c>
      <c r="CY596" s="14" t="str">
        <f>IF(COUNTA(proje!B91),proje!B91,"")</f>
        <v/>
      </c>
      <c r="CZ596" s="14" t="str">
        <f>IF(COUNTA(proje!C91),proje!C91,"")</f>
        <v/>
      </c>
      <c r="DA596" s="14" t="str">
        <f>IF(COUNTA(proje!D91),proje!D91,"")</f>
        <v/>
      </c>
      <c r="DB596" s="14" t="str">
        <f>IF(COUNTA(proje!E91),proje!E91,"")</f>
        <v/>
      </c>
      <c r="DC596" s="14" t="str">
        <f>IF(COUNTA(proje!F91),proje!F91,"")</f>
        <v/>
      </c>
      <c r="DD596" s="14" t="str">
        <f>IF(COUNTA(proje!G91),proje!G91,"")</f>
        <v/>
      </c>
      <c r="DE596" s="14" t="str">
        <f>IF(COUNTA(proje!H91),proje!H91,"")</f>
        <v/>
      </c>
    </row>
    <row r="597" spans="1:109" x14ac:dyDescent="0.2">
      <c r="A597" s="39" t="str">
        <f>IFERROR(proje!L92*100/proje!$I92,"")</f>
        <v/>
      </c>
      <c r="B597" s="39" t="str">
        <f>IFERROR(proje!M92*100/proje!$I92,"")</f>
        <v/>
      </c>
      <c r="C597" s="39" t="str">
        <f>IFERROR(proje!N92*100/proje!$I92,"")</f>
        <v/>
      </c>
      <c r="D597" s="39" t="str">
        <f>IFERROR(proje!O92*100/proje!$I92,"")</f>
        <v/>
      </c>
      <c r="E597" s="39" t="str">
        <f>IFERROR(proje!P92*100/proje!$I92,"")</f>
        <v/>
      </c>
      <c r="F597" s="39" t="str">
        <f>IFERROR(proje!Q92*100/proje!$I92,"")</f>
        <v/>
      </c>
      <c r="G597" s="39" t="str">
        <f>IFERROR(proje!R92*100/proje!$I92,"")</f>
        <v/>
      </c>
      <c r="H597" s="39" t="str">
        <f>IFERROR(proje!S92*100/proje!$I92,"")</f>
        <v/>
      </c>
      <c r="I597" s="39" t="str">
        <f>IFERROR(proje!T92*100/proje!$I92,"")</f>
        <v/>
      </c>
      <c r="J597" s="39" t="str">
        <f>IFERROR(proje!U92*100/proje!$I92,"")</f>
        <v/>
      </c>
      <c r="K597" s="39" t="str">
        <f>IFERROR(proje!V92*100/proje!$I92,"")</f>
        <v/>
      </c>
      <c r="L597" s="39" t="str">
        <f>IFERROR(proje!W92*100/proje!$I92,"")</f>
        <v/>
      </c>
      <c r="M597" s="39" t="str">
        <f>IFERROR(proje!X92*100/proje!$I92,"")</f>
        <v/>
      </c>
      <c r="N597" s="39" t="str">
        <f>IFERROR(proje!Y92*100/proje!$I92,"")</f>
        <v/>
      </c>
      <c r="O597" s="39" t="str">
        <f>IFERROR(proje!Z92*100/proje!$I92,"")</f>
        <v/>
      </c>
      <c r="P597" s="39" t="str">
        <f>IFERROR(proje!AA92*100/proje!$I92,"")</f>
        <v/>
      </c>
      <c r="Q597" s="39" t="str">
        <f>IFERROR(proje!AB92*100/proje!$I92,"")</f>
        <v/>
      </c>
      <c r="R597" s="39" t="str">
        <f>IFERROR(proje!AC92*100/proje!$I92,"")</f>
        <v/>
      </c>
      <c r="S597" s="39" t="str">
        <f>IFERROR(proje!AD92*100/proje!$I92,"")</f>
        <v/>
      </c>
      <c r="T597" s="39" t="str">
        <f>IFERROR(proje!AE92*100/proje!$I92,"")</f>
        <v/>
      </c>
      <c r="U597" s="39" t="str">
        <f>IFERROR(proje!AF92*100/proje!$I92,"")</f>
        <v/>
      </c>
      <c r="V597" s="39" t="str">
        <f>IFERROR(proje!AG92*100/proje!$I92,"")</f>
        <v/>
      </c>
      <c r="W597" s="39" t="str">
        <f>IFERROR(proje!AH92*100/proje!$I92,"")</f>
        <v/>
      </c>
      <c r="X597" s="39" t="str">
        <f>IFERROR(proje!AI92*100/proje!$I92,"")</f>
        <v/>
      </c>
      <c r="Y597" s="39" t="str">
        <f>IFERROR(proje!AJ92*100/proje!$I92,"")</f>
        <v/>
      </c>
      <c r="Z597" s="39" t="str">
        <f>IFERROR(proje!AK92*100/proje!$I92,"")</f>
        <v/>
      </c>
      <c r="AA597" s="39" t="str">
        <f>IFERROR(proje!AL92*100/proje!$I92,"")</f>
        <v/>
      </c>
      <c r="AB597" s="39" t="str">
        <f>IFERROR(proje!AM92*100/proje!$I92,"")</f>
        <v/>
      </c>
      <c r="AC597" s="39" t="str">
        <f>IFERROR(proje!AN92*100/proje!$I92,"")</f>
        <v/>
      </c>
      <c r="AD597" s="39" t="str">
        <f>IFERROR(proje!AO92*100/proje!$I92,"")</f>
        <v/>
      </c>
      <c r="AE597" s="39" t="str">
        <f>IFERROR(proje!AP92*100/proje!$I92,"")</f>
        <v/>
      </c>
      <c r="AF597" s="39" t="str">
        <f>IFERROR(proje!AQ92*100/proje!$I92,"")</f>
        <v/>
      </c>
      <c r="AG597" s="39" t="str">
        <f>IFERROR(proje!AR92*100/proje!$I92,"")</f>
        <v/>
      </c>
      <c r="AH597" s="39" t="str">
        <f>IFERROR(proje!AS92*100/proje!$I92,"")</f>
        <v/>
      </c>
      <c r="AI597" s="39" t="str">
        <f>IFERROR(proje!AT92*100/proje!$I92,"")</f>
        <v/>
      </c>
      <c r="AJ597" s="39" t="str">
        <f>IFERROR(proje!AU92*100/proje!$I92,"")</f>
        <v/>
      </c>
      <c r="AK597" s="39" t="str">
        <f>IFERROR(proje!AV92*100/proje!$I92,"")</f>
        <v/>
      </c>
      <c r="AL597" s="39" t="str">
        <f>IFERROR(proje!AW92*100/proje!$I92,"")</f>
        <v/>
      </c>
      <c r="AM597" s="39" t="str">
        <f>IFERROR(proje!AX92*100/proje!$I92,"")</f>
        <v/>
      </c>
      <c r="AN597" s="39" t="str">
        <f>IFERROR(proje!AY92*100/proje!$I92,"")</f>
        <v/>
      </c>
      <c r="AO597" s="39" t="str">
        <f>IFERROR(proje!AZ92*100/proje!$I92,"")</f>
        <v/>
      </c>
      <c r="AP597" s="39" t="str">
        <f>IFERROR(proje!BA92*100/proje!$I92,"")</f>
        <v/>
      </c>
      <c r="AQ597" s="39" t="str">
        <f>IFERROR(proje!BB92*100/proje!$I92,"")</f>
        <v/>
      </c>
      <c r="AR597" s="39" t="str">
        <f>IFERROR(proje!BC92*100/proje!$I92,"")</f>
        <v/>
      </c>
      <c r="AS597" s="39" t="str">
        <f>IFERROR(proje!BD92*100/proje!$I92,"")</f>
        <v/>
      </c>
      <c r="AT597" s="39" t="str">
        <f>IFERROR(proje!BE92*100/proje!$I92,"")</f>
        <v/>
      </c>
      <c r="AU597" s="39" t="str">
        <f>IFERROR(proje!BF92*100/proje!$I92,"")</f>
        <v/>
      </c>
      <c r="AV597" s="39" t="str">
        <f>IFERROR(proje!BG92*100/proje!$I92,"")</f>
        <v/>
      </c>
      <c r="AW597" s="39" t="str">
        <f>IFERROR(proje!BH92*100/proje!$I92,"")</f>
        <v/>
      </c>
      <c r="AX597" s="39" t="str">
        <f>IFERROR(proje!BI92*100/proje!$I92,"")</f>
        <v/>
      </c>
      <c r="AY597" s="39" t="str">
        <f>IFERROR(proje!BJ92*100/proje!$I92,"")</f>
        <v/>
      </c>
      <c r="AZ597" s="39" t="str">
        <f>IFERROR(proje!BK92*100/proje!$I92,"")</f>
        <v/>
      </c>
      <c r="BA597" s="39" t="str">
        <f>IFERROR(proje!BL92*100/proje!$I92,"")</f>
        <v/>
      </c>
      <c r="BB597" s="39" t="str">
        <f>IFERROR(proje!BM92*100/proje!$I92,"")</f>
        <v/>
      </c>
      <c r="BC597" s="39" t="str">
        <f>IFERROR(proje!BN92*100/proje!$I92,"")</f>
        <v/>
      </c>
      <c r="BD597" s="39" t="str">
        <f>IFERROR(proje!BO92*100/proje!$I92,"")</f>
        <v/>
      </c>
      <c r="BE597" s="39" t="str">
        <f>IFERROR(proje!BP92*100/proje!$I92,"")</f>
        <v/>
      </c>
      <c r="BF597" s="39" t="str">
        <f>IFERROR(proje!BQ92*100/proje!$I92,"")</f>
        <v/>
      </c>
      <c r="BG597" s="39" t="str">
        <f>IFERROR(proje!BR92*100/proje!$I92,"")</f>
        <v/>
      </c>
      <c r="BH597" s="39" t="str">
        <f>IFERROR(proje!BS92*100/proje!$I92,"")</f>
        <v/>
      </c>
      <c r="BI597" s="39" t="str">
        <f>IFERROR(proje!BT92*100/proje!$I92,"")</f>
        <v/>
      </c>
      <c r="BJ597" s="39" t="str">
        <f>IFERROR(proje!BU92*100/proje!$I92,"")</f>
        <v/>
      </c>
      <c r="BK597" s="39" t="str">
        <f>IFERROR(proje!BV92*100/proje!$I92,"")</f>
        <v/>
      </c>
      <c r="BL597" s="39" t="str">
        <f>IFERROR(proje!BW92*100/proje!$I92,"")</f>
        <v/>
      </c>
      <c r="BM597" s="39" t="str">
        <f>IFERROR(proje!BX92*100/proje!$I92,"")</f>
        <v/>
      </c>
      <c r="BN597" s="39" t="str">
        <f>IFERROR(proje!BY92*100/proje!$I92,"")</f>
        <v/>
      </c>
      <c r="BO597" s="39" t="str">
        <f>IFERROR(proje!BZ92*100/proje!$I92,"")</f>
        <v/>
      </c>
      <c r="BP597" s="39" t="str">
        <f>IFERROR(proje!CA92*100/proje!$I92,"")</f>
        <v/>
      </c>
      <c r="BQ597" s="39" t="str">
        <f>IFERROR(proje!CB92*100/proje!$I92,"")</f>
        <v/>
      </c>
      <c r="BR597" s="39" t="str">
        <f>IFERROR(proje!CC92*100/proje!$I92,"")</f>
        <v/>
      </c>
      <c r="BS597" s="39" t="str">
        <f>IFERROR(proje!CD92*100/proje!$I92,"")</f>
        <v/>
      </c>
      <c r="BT597" s="39" t="str">
        <f>IFERROR(proje!CE92*100/proje!$I92,"")</f>
        <v/>
      </c>
      <c r="BU597" s="39" t="str">
        <f>IFERROR(proje!CF92*100/proje!$I92,"")</f>
        <v/>
      </c>
      <c r="BV597" s="39" t="str">
        <f>IFERROR(proje!CG92*100/proje!$I92,"")</f>
        <v/>
      </c>
      <c r="BW597" s="39" t="str">
        <f>IFERROR(proje!CH92*100/proje!$I92,"")</f>
        <v/>
      </c>
      <c r="BX597" s="39" t="str">
        <f>IFERROR(proje!CI92*100/proje!$I92,"")</f>
        <v/>
      </c>
      <c r="BY597" s="39" t="str">
        <f>IFERROR(proje!CJ92*100/proje!$I92,"")</f>
        <v/>
      </c>
      <c r="BZ597" s="39" t="str">
        <f>IFERROR(proje!CK92*100/proje!$I92,"")</f>
        <v/>
      </c>
      <c r="CA597" s="39" t="str">
        <f>IFERROR(proje!CL92*100/proje!$I92,"")</f>
        <v/>
      </c>
      <c r="CB597" s="39" t="str">
        <f>IFERROR(proje!CM92*100/proje!$I92,"")</f>
        <v/>
      </c>
      <c r="CC597" s="39" t="str">
        <f>IFERROR(proje!CN92*100/proje!$I92,"")</f>
        <v/>
      </c>
      <c r="CD597" s="39" t="str">
        <f>IFERROR(proje!CO92*100/proje!$I92,"")</f>
        <v/>
      </c>
      <c r="CE597" s="39" t="str">
        <f>IFERROR(proje!CP92*100/proje!$I92,"")</f>
        <v/>
      </c>
      <c r="CF597" s="39" t="str">
        <f>IFERROR(proje!CQ92*100/proje!$I92,"")</f>
        <v/>
      </c>
      <c r="CG597" s="39" t="str">
        <f>IFERROR(proje!CR92*100/proje!$I92,"")</f>
        <v/>
      </c>
      <c r="CH597" s="39" t="str">
        <f>IFERROR(proje!CS92*100/proje!$I92,"")</f>
        <v/>
      </c>
      <c r="CI597" s="39" t="str">
        <f>IFERROR(proje!CT92*100/proje!$I92,"")</f>
        <v/>
      </c>
      <c r="CJ597" s="39" t="str">
        <f>IFERROR(proje!CU92*100/proje!$I92,"")</f>
        <v/>
      </c>
      <c r="CK597" s="39" t="str">
        <f>IFERROR(proje!CV92*100/proje!$I92,"")</f>
        <v/>
      </c>
      <c r="CL597" s="39" t="str">
        <f>IFERROR(proje!CW92*100/proje!$I92,"")</f>
        <v/>
      </c>
      <c r="CM597" s="39" t="str">
        <f>IFERROR(proje!CX92*100/proje!$I92,"")</f>
        <v/>
      </c>
      <c r="CN597" s="39" t="str">
        <f>IFERROR(proje!CY92*100/proje!$I92,"")</f>
        <v/>
      </c>
      <c r="CO597" s="39" t="str">
        <f>IFERROR(proje!CZ92*100/proje!$I92,"")</f>
        <v/>
      </c>
      <c r="CP597" s="39" t="str">
        <f>IFERROR(proje!DA92*100/proje!$I92,"")</f>
        <v/>
      </c>
      <c r="CQ597" s="39" t="str">
        <f>IFERROR(proje!DB92*100/proje!$I92,"")</f>
        <v/>
      </c>
      <c r="CR597" s="39" t="str">
        <f>IFERROR(proje!DC92*100/proje!$I92,"")</f>
        <v/>
      </c>
      <c r="CS597" s="39" t="str">
        <f>IFERROR(proje!DD92*100/proje!$I92,"")</f>
        <v/>
      </c>
      <c r="CT597" s="39" t="str">
        <f>IFERROR(proje!DE92*100/proje!$I92,"")</f>
        <v/>
      </c>
      <c r="CU597" s="39" t="str">
        <f>IFERROR(proje!DF92*100/proje!$I92,"")</f>
        <v/>
      </c>
      <c r="CV597" s="39" t="str">
        <f>IFERROR(proje!DG92*100/proje!$I92,"")</f>
        <v/>
      </c>
      <c r="CW597" s="36" t="str">
        <f>IFERROR(SUM(A597:CV597)/proje!$DH$103,"")</f>
        <v/>
      </c>
      <c r="CX597" s="14" t="str">
        <f>IF(COUNTA(proje!A92),proje!A92,"")</f>
        <v/>
      </c>
      <c r="CY597" s="14" t="str">
        <f>IF(COUNTA(proje!B92),proje!B92,"")</f>
        <v/>
      </c>
      <c r="CZ597" s="14" t="str">
        <f>IF(COUNTA(proje!C92),proje!C92,"")</f>
        <v/>
      </c>
      <c r="DA597" s="14" t="str">
        <f>IF(COUNTA(proje!D92),proje!D92,"")</f>
        <v/>
      </c>
      <c r="DB597" s="14" t="str">
        <f>IF(COUNTA(proje!E92),proje!E92,"")</f>
        <v/>
      </c>
      <c r="DC597" s="14" t="str">
        <f>IF(COUNTA(proje!F92),proje!F92,"")</f>
        <v/>
      </c>
      <c r="DD597" s="14" t="str">
        <f>IF(COUNTA(proje!G92),proje!G92,"")</f>
        <v/>
      </c>
      <c r="DE597" s="14" t="str">
        <f>IF(COUNTA(proje!H92),proje!H92,"")</f>
        <v/>
      </c>
    </row>
    <row r="598" spans="1:109" x14ac:dyDescent="0.2">
      <c r="A598" s="39" t="str">
        <f>IFERROR(proje!L93*100/proje!$I93,"")</f>
        <v/>
      </c>
      <c r="B598" s="39" t="str">
        <f>IFERROR(proje!M93*100/proje!$I93,"")</f>
        <v/>
      </c>
      <c r="C598" s="39" t="str">
        <f>IFERROR(proje!N93*100/proje!$I93,"")</f>
        <v/>
      </c>
      <c r="D598" s="39" t="str">
        <f>IFERROR(proje!O93*100/proje!$I93,"")</f>
        <v/>
      </c>
      <c r="E598" s="39" t="str">
        <f>IFERROR(proje!P93*100/proje!$I93,"")</f>
        <v/>
      </c>
      <c r="F598" s="39" t="str">
        <f>IFERROR(proje!Q93*100/proje!$I93,"")</f>
        <v/>
      </c>
      <c r="G598" s="39" t="str">
        <f>IFERROR(proje!R93*100/proje!$I93,"")</f>
        <v/>
      </c>
      <c r="H598" s="39" t="str">
        <f>IFERROR(proje!S93*100/proje!$I93,"")</f>
        <v/>
      </c>
      <c r="I598" s="39" t="str">
        <f>IFERROR(proje!T93*100/proje!$I93,"")</f>
        <v/>
      </c>
      <c r="J598" s="39" t="str">
        <f>IFERROR(proje!U93*100/proje!$I93,"")</f>
        <v/>
      </c>
      <c r="K598" s="39" t="str">
        <f>IFERROR(proje!V93*100/proje!$I93,"")</f>
        <v/>
      </c>
      <c r="L598" s="39" t="str">
        <f>IFERROR(proje!W93*100/proje!$I93,"")</f>
        <v/>
      </c>
      <c r="M598" s="39" t="str">
        <f>IFERROR(proje!X93*100/proje!$I93,"")</f>
        <v/>
      </c>
      <c r="N598" s="39" t="str">
        <f>IFERROR(proje!Y93*100/proje!$I93,"")</f>
        <v/>
      </c>
      <c r="O598" s="39" t="str">
        <f>IFERROR(proje!Z93*100/proje!$I93,"")</f>
        <v/>
      </c>
      <c r="P598" s="39" t="str">
        <f>IFERROR(proje!AA93*100/proje!$I93,"")</f>
        <v/>
      </c>
      <c r="Q598" s="39" t="str">
        <f>IFERROR(proje!AB93*100/proje!$I93,"")</f>
        <v/>
      </c>
      <c r="R598" s="39" t="str">
        <f>IFERROR(proje!AC93*100/proje!$I93,"")</f>
        <v/>
      </c>
      <c r="S598" s="39" t="str">
        <f>IFERROR(proje!AD93*100/proje!$I93,"")</f>
        <v/>
      </c>
      <c r="T598" s="39" t="str">
        <f>IFERROR(proje!AE93*100/proje!$I93,"")</f>
        <v/>
      </c>
      <c r="U598" s="39" t="str">
        <f>IFERROR(proje!AF93*100/proje!$I93,"")</f>
        <v/>
      </c>
      <c r="V598" s="39" t="str">
        <f>IFERROR(proje!AG93*100/proje!$I93,"")</f>
        <v/>
      </c>
      <c r="W598" s="39" t="str">
        <f>IFERROR(proje!AH93*100/proje!$I93,"")</f>
        <v/>
      </c>
      <c r="X598" s="39" t="str">
        <f>IFERROR(proje!AI93*100/proje!$I93,"")</f>
        <v/>
      </c>
      <c r="Y598" s="39" t="str">
        <f>IFERROR(proje!AJ93*100/proje!$I93,"")</f>
        <v/>
      </c>
      <c r="Z598" s="39" t="str">
        <f>IFERROR(proje!AK93*100/proje!$I93,"")</f>
        <v/>
      </c>
      <c r="AA598" s="39" t="str">
        <f>IFERROR(proje!AL93*100/proje!$I93,"")</f>
        <v/>
      </c>
      <c r="AB598" s="39" t="str">
        <f>IFERROR(proje!AM93*100/proje!$I93,"")</f>
        <v/>
      </c>
      <c r="AC598" s="39" t="str">
        <f>IFERROR(proje!AN93*100/proje!$I93,"")</f>
        <v/>
      </c>
      <c r="AD598" s="39" t="str">
        <f>IFERROR(proje!AO93*100/proje!$I93,"")</f>
        <v/>
      </c>
      <c r="AE598" s="39" t="str">
        <f>IFERROR(proje!AP93*100/proje!$I93,"")</f>
        <v/>
      </c>
      <c r="AF598" s="39" t="str">
        <f>IFERROR(proje!AQ93*100/proje!$I93,"")</f>
        <v/>
      </c>
      <c r="AG598" s="39" t="str">
        <f>IFERROR(proje!AR93*100/proje!$I93,"")</f>
        <v/>
      </c>
      <c r="AH598" s="39" t="str">
        <f>IFERROR(proje!AS93*100/proje!$I93,"")</f>
        <v/>
      </c>
      <c r="AI598" s="39" t="str">
        <f>IFERROR(proje!AT93*100/proje!$I93,"")</f>
        <v/>
      </c>
      <c r="AJ598" s="39" t="str">
        <f>IFERROR(proje!AU93*100/proje!$I93,"")</f>
        <v/>
      </c>
      <c r="AK598" s="39" t="str">
        <f>IFERROR(proje!AV93*100/proje!$I93,"")</f>
        <v/>
      </c>
      <c r="AL598" s="39" t="str">
        <f>IFERROR(proje!AW93*100/proje!$I93,"")</f>
        <v/>
      </c>
      <c r="AM598" s="39" t="str">
        <f>IFERROR(proje!AX93*100/proje!$I93,"")</f>
        <v/>
      </c>
      <c r="AN598" s="39" t="str">
        <f>IFERROR(proje!AY93*100/proje!$I93,"")</f>
        <v/>
      </c>
      <c r="AO598" s="39" t="str">
        <f>IFERROR(proje!AZ93*100/proje!$I93,"")</f>
        <v/>
      </c>
      <c r="AP598" s="39" t="str">
        <f>IFERROR(proje!BA93*100/proje!$I93,"")</f>
        <v/>
      </c>
      <c r="AQ598" s="39" t="str">
        <f>IFERROR(proje!BB93*100/proje!$I93,"")</f>
        <v/>
      </c>
      <c r="AR598" s="39" t="str">
        <f>IFERROR(proje!BC93*100/proje!$I93,"")</f>
        <v/>
      </c>
      <c r="AS598" s="39" t="str">
        <f>IFERROR(proje!BD93*100/proje!$I93,"")</f>
        <v/>
      </c>
      <c r="AT598" s="39" t="str">
        <f>IFERROR(proje!BE93*100/proje!$I93,"")</f>
        <v/>
      </c>
      <c r="AU598" s="39" t="str">
        <f>IFERROR(proje!BF93*100/proje!$I93,"")</f>
        <v/>
      </c>
      <c r="AV598" s="39" t="str">
        <f>IFERROR(proje!BG93*100/proje!$I93,"")</f>
        <v/>
      </c>
      <c r="AW598" s="39" t="str">
        <f>IFERROR(proje!BH93*100/proje!$I93,"")</f>
        <v/>
      </c>
      <c r="AX598" s="39" t="str">
        <f>IFERROR(proje!BI93*100/proje!$I93,"")</f>
        <v/>
      </c>
      <c r="AY598" s="39" t="str">
        <f>IFERROR(proje!BJ93*100/proje!$I93,"")</f>
        <v/>
      </c>
      <c r="AZ598" s="39" t="str">
        <f>IFERROR(proje!BK93*100/proje!$I93,"")</f>
        <v/>
      </c>
      <c r="BA598" s="39" t="str">
        <f>IFERROR(proje!BL93*100/proje!$I93,"")</f>
        <v/>
      </c>
      <c r="BB598" s="39" t="str">
        <f>IFERROR(proje!BM93*100/proje!$I93,"")</f>
        <v/>
      </c>
      <c r="BC598" s="39" t="str">
        <f>IFERROR(proje!BN93*100/proje!$I93,"")</f>
        <v/>
      </c>
      <c r="BD598" s="39" t="str">
        <f>IFERROR(proje!BO93*100/proje!$I93,"")</f>
        <v/>
      </c>
      <c r="BE598" s="39" t="str">
        <f>IFERROR(proje!BP93*100/proje!$I93,"")</f>
        <v/>
      </c>
      <c r="BF598" s="39" t="str">
        <f>IFERROR(proje!BQ93*100/proje!$I93,"")</f>
        <v/>
      </c>
      <c r="BG598" s="39" t="str">
        <f>IFERROR(proje!BR93*100/proje!$I93,"")</f>
        <v/>
      </c>
      <c r="BH598" s="39" t="str">
        <f>IFERROR(proje!BS93*100/proje!$I93,"")</f>
        <v/>
      </c>
      <c r="BI598" s="39" t="str">
        <f>IFERROR(proje!BT93*100/proje!$I93,"")</f>
        <v/>
      </c>
      <c r="BJ598" s="39" t="str">
        <f>IFERROR(proje!BU93*100/proje!$I93,"")</f>
        <v/>
      </c>
      <c r="BK598" s="39" t="str">
        <f>IFERROR(proje!BV93*100/proje!$I93,"")</f>
        <v/>
      </c>
      <c r="BL598" s="39" t="str">
        <f>IFERROR(proje!BW93*100/proje!$I93,"")</f>
        <v/>
      </c>
      <c r="BM598" s="39" t="str">
        <f>IFERROR(proje!BX93*100/proje!$I93,"")</f>
        <v/>
      </c>
      <c r="BN598" s="39" t="str">
        <f>IFERROR(proje!BY93*100/proje!$I93,"")</f>
        <v/>
      </c>
      <c r="BO598" s="39" t="str">
        <f>IFERROR(proje!BZ93*100/proje!$I93,"")</f>
        <v/>
      </c>
      <c r="BP598" s="39" t="str">
        <f>IFERROR(proje!CA93*100/proje!$I93,"")</f>
        <v/>
      </c>
      <c r="BQ598" s="39" t="str">
        <f>IFERROR(proje!CB93*100/proje!$I93,"")</f>
        <v/>
      </c>
      <c r="BR598" s="39" t="str">
        <f>IFERROR(proje!CC93*100/proje!$I93,"")</f>
        <v/>
      </c>
      <c r="BS598" s="39" t="str">
        <f>IFERROR(proje!CD93*100/proje!$I93,"")</f>
        <v/>
      </c>
      <c r="BT598" s="39" t="str">
        <f>IFERROR(proje!CE93*100/proje!$I93,"")</f>
        <v/>
      </c>
      <c r="BU598" s="39" t="str">
        <f>IFERROR(proje!CF93*100/proje!$I93,"")</f>
        <v/>
      </c>
      <c r="BV598" s="39" t="str">
        <f>IFERROR(proje!CG93*100/proje!$I93,"")</f>
        <v/>
      </c>
      <c r="BW598" s="39" t="str">
        <f>IFERROR(proje!CH93*100/proje!$I93,"")</f>
        <v/>
      </c>
      <c r="BX598" s="39" t="str">
        <f>IFERROR(proje!CI93*100/proje!$I93,"")</f>
        <v/>
      </c>
      <c r="BY598" s="39" t="str">
        <f>IFERROR(proje!CJ93*100/proje!$I93,"")</f>
        <v/>
      </c>
      <c r="BZ598" s="39" t="str">
        <f>IFERROR(proje!CK93*100/proje!$I93,"")</f>
        <v/>
      </c>
      <c r="CA598" s="39" t="str">
        <f>IFERROR(proje!CL93*100/proje!$I93,"")</f>
        <v/>
      </c>
      <c r="CB598" s="39" t="str">
        <f>IFERROR(proje!CM93*100/proje!$I93,"")</f>
        <v/>
      </c>
      <c r="CC598" s="39" t="str">
        <f>IFERROR(proje!CN93*100/proje!$I93,"")</f>
        <v/>
      </c>
      <c r="CD598" s="39" t="str">
        <f>IFERROR(proje!CO93*100/proje!$I93,"")</f>
        <v/>
      </c>
      <c r="CE598" s="39" t="str">
        <f>IFERROR(proje!CP93*100/proje!$I93,"")</f>
        <v/>
      </c>
      <c r="CF598" s="39" t="str">
        <f>IFERROR(proje!CQ93*100/proje!$I93,"")</f>
        <v/>
      </c>
      <c r="CG598" s="39" t="str">
        <f>IFERROR(proje!CR93*100/proje!$I93,"")</f>
        <v/>
      </c>
      <c r="CH598" s="39" t="str">
        <f>IFERROR(proje!CS93*100/proje!$I93,"")</f>
        <v/>
      </c>
      <c r="CI598" s="39" t="str">
        <f>IFERROR(proje!CT93*100/proje!$I93,"")</f>
        <v/>
      </c>
      <c r="CJ598" s="39" t="str">
        <f>IFERROR(proje!CU93*100/proje!$I93,"")</f>
        <v/>
      </c>
      <c r="CK598" s="39" t="str">
        <f>IFERROR(proje!CV93*100/proje!$I93,"")</f>
        <v/>
      </c>
      <c r="CL598" s="39" t="str">
        <f>IFERROR(proje!CW93*100/proje!$I93,"")</f>
        <v/>
      </c>
      <c r="CM598" s="39" t="str">
        <f>IFERROR(proje!CX93*100/proje!$I93,"")</f>
        <v/>
      </c>
      <c r="CN598" s="39" t="str">
        <f>IFERROR(proje!CY93*100/proje!$I93,"")</f>
        <v/>
      </c>
      <c r="CO598" s="39" t="str">
        <f>IFERROR(proje!CZ93*100/proje!$I93,"")</f>
        <v/>
      </c>
      <c r="CP598" s="39" t="str">
        <f>IFERROR(proje!DA93*100/proje!$I93,"")</f>
        <v/>
      </c>
      <c r="CQ598" s="39" t="str">
        <f>IFERROR(proje!DB93*100/proje!$I93,"")</f>
        <v/>
      </c>
      <c r="CR598" s="39" t="str">
        <f>IFERROR(proje!DC93*100/proje!$I93,"")</f>
        <v/>
      </c>
      <c r="CS598" s="39" t="str">
        <f>IFERROR(proje!DD93*100/proje!$I93,"")</f>
        <v/>
      </c>
      <c r="CT598" s="39" t="str">
        <f>IFERROR(proje!DE93*100/proje!$I93,"")</f>
        <v/>
      </c>
      <c r="CU598" s="39" t="str">
        <f>IFERROR(proje!DF93*100/proje!$I93,"")</f>
        <v/>
      </c>
      <c r="CV598" s="39" t="str">
        <f>IFERROR(proje!DG93*100/proje!$I93,"")</f>
        <v/>
      </c>
      <c r="CW598" s="36" t="str">
        <f>IFERROR(SUM(A598:CV598)/proje!$DH$103,"")</f>
        <v/>
      </c>
      <c r="CX598" s="14" t="str">
        <f>IF(COUNTA(proje!A93),proje!A93,"")</f>
        <v/>
      </c>
      <c r="CY598" s="14" t="str">
        <f>IF(COUNTA(proje!B93),proje!B93,"")</f>
        <v/>
      </c>
      <c r="CZ598" s="14" t="str">
        <f>IF(COUNTA(proje!C93),proje!C93,"")</f>
        <v/>
      </c>
      <c r="DA598" s="14" t="str">
        <f>IF(COUNTA(proje!D93),proje!D93,"")</f>
        <v/>
      </c>
      <c r="DB598" s="14" t="str">
        <f>IF(COUNTA(proje!E93),proje!E93,"")</f>
        <v/>
      </c>
      <c r="DC598" s="14" t="str">
        <f>IF(COUNTA(proje!F93),proje!F93,"")</f>
        <v/>
      </c>
      <c r="DD598" s="14" t="str">
        <f>IF(COUNTA(proje!G93),proje!G93,"")</f>
        <v/>
      </c>
      <c r="DE598" s="14" t="str">
        <f>IF(COUNTA(proje!H93),proje!H93,"")</f>
        <v/>
      </c>
    </row>
    <row r="599" spans="1:109" x14ac:dyDescent="0.2">
      <c r="A599" s="39" t="str">
        <f>IFERROR(proje!L94*100/proje!$I94,"")</f>
        <v/>
      </c>
      <c r="B599" s="39" t="str">
        <f>IFERROR(proje!M94*100/proje!$I94,"")</f>
        <v/>
      </c>
      <c r="C599" s="39" t="str">
        <f>IFERROR(proje!N94*100/proje!$I94,"")</f>
        <v/>
      </c>
      <c r="D599" s="39" t="str">
        <f>IFERROR(proje!O94*100/proje!$I94,"")</f>
        <v/>
      </c>
      <c r="E599" s="39" t="str">
        <f>IFERROR(proje!P94*100/proje!$I94,"")</f>
        <v/>
      </c>
      <c r="F599" s="39" t="str">
        <f>IFERROR(proje!Q94*100/proje!$I94,"")</f>
        <v/>
      </c>
      <c r="G599" s="39" t="str">
        <f>IFERROR(proje!R94*100/proje!$I94,"")</f>
        <v/>
      </c>
      <c r="H599" s="39" t="str">
        <f>IFERROR(proje!S94*100/proje!$I94,"")</f>
        <v/>
      </c>
      <c r="I599" s="39" t="str">
        <f>IFERROR(proje!T94*100/proje!$I94,"")</f>
        <v/>
      </c>
      <c r="J599" s="39" t="str">
        <f>IFERROR(proje!U94*100/proje!$I94,"")</f>
        <v/>
      </c>
      <c r="K599" s="39" t="str">
        <f>IFERROR(proje!V94*100/proje!$I94,"")</f>
        <v/>
      </c>
      <c r="L599" s="39" t="str">
        <f>IFERROR(proje!W94*100/proje!$I94,"")</f>
        <v/>
      </c>
      <c r="M599" s="39" t="str">
        <f>IFERROR(proje!X94*100/proje!$I94,"")</f>
        <v/>
      </c>
      <c r="N599" s="39" t="str">
        <f>IFERROR(proje!Y94*100/proje!$I94,"")</f>
        <v/>
      </c>
      <c r="O599" s="39" t="str">
        <f>IFERROR(proje!Z94*100/proje!$I94,"")</f>
        <v/>
      </c>
      <c r="P599" s="39" t="str">
        <f>IFERROR(proje!AA94*100/proje!$I94,"")</f>
        <v/>
      </c>
      <c r="Q599" s="39" t="str">
        <f>IFERROR(proje!AB94*100/proje!$I94,"")</f>
        <v/>
      </c>
      <c r="R599" s="39" t="str">
        <f>IFERROR(proje!AC94*100/proje!$I94,"")</f>
        <v/>
      </c>
      <c r="S599" s="39" t="str">
        <f>IFERROR(proje!AD94*100/proje!$I94,"")</f>
        <v/>
      </c>
      <c r="T599" s="39" t="str">
        <f>IFERROR(proje!AE94*100/proje!$I94,"")</f>
        <v/>
      </c>
      <c r="U599" s="39" t="str">
        <f>IFERROR(proje!AF94*100/proje!$I94,"")</f>
        <v/>
      </c>
      <c r="V599" s="39" t="str">
        <f>IFERROR(proje!AG94*100/proje!$I94,"")</f>
        <v/>
      </c>
      <c r="W599" s="39" t="str">
        <f>IFERROR(proje!AH94*100/proje!$I94,"")</f>
        <v/>
      </c>
      <c r="X599" s="39" t="str">
        <f>IFERROR(proje!AI94*100/proje!$I94,"")</f>
        <v/>
      </c>
      <c r="Y599" s="39" t="str">
        <f>IFERROR(proje!AJ94*100/proje!$I94,"")</f>
        <v/>
      </c>
      <c r="Z599" s="39" t="str">
        <f>IFERROR(proje!AK94*100/proje!$I94,"")</f>
        <v/>
      </c>
      <c r="AA599" s="39" t="str">
        <f>IFERROR(proje!AL94*100/proje!$I94,"")</f>
        <v/>
      </c>
      <c r="AB599" s="39" t="str">
        <f>IFERROR(proje!AM94*100/proje!$I94,"")</f>
        <v/>
      </c>
      <c r="AC599" s="39" t="str">
        <f>IFERROR(proje!AN94*100/proje!$I94,"")</f>
        <v/>
      </c>
      <c r="AD599" s="39" t="str">
        <f>IFERROR(proje!AO94*100/proje!$I94,"")</f>
        <v/>
      </c>
      <c r="AE599" s="39" t="str">
        <f>IFERROR(proje!AP94*100/proje!$I94,"")</f>
        <v/>
      </c>
      <c r="AF599" s="39" t="str">
        <f>IFERROR(proje!AQ94*100/proje!$I94,"")</f>
        <v/>
      </c>
      <c r="AG599" s="39" t="str">
        <f>IFERROR(proje!AR94*100/proje!$I94,"")</f>
        <v/>
      </c>
      <c r="AH599" s="39" t="str">
        <f>IFERROR(proje!AS94*100/proje!$I94,"")</f>
        <v/>
      </c>
      <c r="AI599" s="39" t="str">
        <f>IFERROR(proje!AT94*100/proje!$I94,"")</f>
        <v/>
      </c>
      <c r="AJ599" s="39" t="str">
        <f>IFERROR(proje!AU94*100/proje!$I94,"")</f>
        <v/>
      </c>
      <c r="AK599" s="39" t="str">
        <f>IFERROR(proje!AV94*100/proje!$I94,"")</f>
        <v/>
      </c>
      <c r="AL599" s="39" t="str">
        <f>IFERROR(proje!AW94*100/proje!$I94,"")</f>
        <v/>
      </c>
      <c r="AM599" s="39" t="str">
        <f>IFERROR(proje!AX94*100/proje!$I94,"")</f>
        <v/>
      </c>
      <c r="AN599" s="39" t="str">
        <f>IFERROR(proje!AY94*100/proje!$I94,"")</f>
        <v/>
      </c>
      <c r="AO599" s="39" t="str">
        <f>IFERROR(proje!AZ94*100/proje!$I94,"")</f>
        <v/>
      </c>
      <c r="AP599" s="39" t="str">
        <f>IFERROR(proje!BA94*100/proje!$I94,"")</f>
        <v/>
      </c>
      <c r="AQ599" s="39" t="str">
        <f>IFERROR(proje!BB94*100/proje!$I94,"")</f>
        <v/>
      </c>
      <c r="AR599" s="39" t="str">
        <f>IFERROR(proje!BC94*100/proje!$I94,"")</f>
        <v/>
      </c>
      <c r="AS599" s="39" t="str">
        <f>IFERROR(proje!BD94*100/proje!$I94,"")</f>
        <v/>
      </c>
      <c r="AT599" s="39" t="str">
        <f>IFERROR(proje!BE94*100/proje!$I94,"")</f>
        <v/>
      </c>
      <c r="AU599" s="39" t="str">
        <f>IFERROR(proje!BF94*100/proje!$I94,"")</f>
        <v/>
      </c>
      <c r="AV599" s="39" t="str">
        <f>IFERROR(proje!BG94*100/proje!$I94,"")</f>
        <v/>
      </c>
      <c r="AW599" s="39" t="str">
        <f>IFERROR(proje!BH94*100/proje!$I94,"")</f>
        <v/>
      </c>
      <c r="AX599" s="39" t="str">
        <f>IFERROR(proje!BI94*100/proje!$I94,"")</f>
        <v/>
      </c>
      <c r="AY599" s="39" t="str">
        <f>IFERROR(proje!BJ94*100/proje!$I94,"")</f>
        <v/>
      </c>
      <c r="AZ599" s="39" t="str">
        <f>IFERROR(proje!BK94*100/proje!$I94,"")</f>
        <v/>
      </c>
      <c r="BA599" s="39" t="str">
        <f>IFERROR(proje!BL94*100/proje!$I94,"")</f>
        <v/>
      </c>
      <c r="BB599" s="39" t="str">
        <f>IFERROR(proje!BM94*100/proje!$I94,"")</f>
        <v/>
      </c>
      <c r="BC599" s="39" t="str">
        <f>IFERROR(proje!BN94*100/proje!$I94,"")</f>
        <v/>
      </c>
      <c r="BD599" s="39" t="str">
        <f>IFERROR(proje!BO94*100/proje!$I94,"")</f>
        <v/>
      </c>
      <c r="BE599" s="39" t="str">
        <f>IFERROR(proje!BP94*100/proje!$I94,"")</f>
        <v/>
      </c>
      <c r="BF599" s="39" t="str">
        <f>IFERROR(proje!BQ94*100/proje!$I94,"")</f>
        <v/>
      </c>
      <c r="BG599" s="39" t="str">
        <f>IFERROR(proje!BR94*100/proje!$I94,"")</f>
        <v/>
      </c>
      <c r="BH599" s="39" t="str">
        <f>IFERROR(proje!BS94*100/proje!$I94,"")</f>
        <v/>
      </c>
      <c r="BI599" s="39" t="str">
        <f>IFERROR(proje!BT94*100/proje!$I94,"")</f>
        <v/>
      </c>
      <c r="BJ599" s="39" t="str">
        <f>IFERROR(proje!BU94*100/proje!$I94,"")</f>
        <v/>
      </c>
      <c r="BK599" s="39" t="str">
        <f>IFERROR(proje!BV94*100/proje!$I94,"")</f>
        <v/>
      </c>
      <c r="BL599" s="39" t="str">
        <f>IFERROR(proje!BW94*100/proje!$I94,"")</f>
        <v/>
      </c>
      <c r="BM599" s="39" t="str">
        <f>IFERROR(proje!BX94*100/proje!$I94,"")</f>
        <v/>
      </c>
      <c r="BN599" s="39" t="str">
        <f>IFERROR(proje!BY94*100/proje!$I94,"")</f>
        <v/>
      </c>
      <c r="BO599" s="39" t="str">
        <f>IFERROR(proje!BZ94*100/proje!$I94,"")</f>
        <v/>
      </c>
      <c r="BP599" s="39" t="str">
        <f>IFERROR(proje!CA94*100/proje!$I94,"")</f>
        <v/>
      </c>
      <c r="BQ599" s="39" t="str">
        <f>IFERROR(proje!CB94*100/proje!$I94,"")</f>
        <v/>
      </c>
      <c r="BR599" s="39" t="str">
        <f>IFERROR(proje!CC94*100/proje!$I94,"")</f>
        <v/>
      </c>
      <c r="BS599" s="39" t="str">
        <f>IFERROR(proje!CD94*100/proje!$I94,"")</f>
        <v/>
      </c>
      <c r="BT599" s="39" t="str">
        <f>IFERROR(proje!CE94*100/proje!$I94,"")</f>
        <v/>
      </c>
      <c r="BU599" s="39" t="str">
        <f>IFERROR(proje!CF94*100/proje!$I94,"")</f>
        <v/>
      </c>
      <c r="BV599" s="39" t="str">
        <f>IFERROR(proje!CG94*100/proje!$I94,"")</f>
        <v/>
      </c>
      <c r="BW599" s="39" t="str">
        <f>IFERROR(proje!CH94*100/proje!$I94,"")</f>
        <v/>
      </c>
      <c r="BX599" s="39" t="str">
        <f>IFERROR(proje!CI94*100/proje!$I94,"")</f>
        <v/>
      </c>
      <c r="BY599" s="39" t="str">
        <f>IFERROR(proje!CJ94*100/proje!$I94,"")</f>
        <v/>
      </c>
      <c r="BZ599" s="39" t="str">
        <f>IFERROR(proje!CK94*100/proje!$I94,"")</f>
        <v/>
      </c>
      <c r="CA599" s="39" t="str">
        <f>IFERROR(proje!CL94*100/proje!$I94,"")</f>
        <v/>
      </c>
      <c r="CB599" s="39" t="str">
        <f>IFERROR(proje!CM94*100/proje!$I94,"")</f>
        <v/>
      </c>
      <c r="CC599" s="39" t="str">
        <f>IFERROR(proje!CN94*100/proje!$I94,"")</f>
        <v/>
      </c>
      <c r="CD599" s="39" t="str">
        <f>IFERROR(proje!CO94*100/proje!$I94,"")</f>
        <v/>
      </c>
      <c r="CE599" s="39" t="str">
        <f>IFERROR(proje!CP94*100/proje!$I94,"")</f>
        <v/>
      </c>
      <c r="CF599" s="39" t="str">
        <f>IFERROR(proje!CQ94*100/proje!$I94,"")</f>
        <v/>
      </c>
      <c r="CG599" s="39" t="str">
        <f>IFERROR(proje!CR94*100/proje!$I94,"")</f>
        <v/>
      </c>
      <c r="CH599" s="39" t="str">
        <f>IFERROR(proje!CS94*100/proje!$I94,"")</f>
        <v/>
      </c>
      <c r="CI599" s="39" t="str">
        <f>IFERROR(proje!CT94*100/proje!$I94,"")</f>
        <v/>
      </c>
      <c r="CJ599" s="39" t="str">
        <f>IFERROR(proje!CU94*100/proje!$I94,"")</f>
        <v/>
      </c>
      <c r="CK599" s="39" t="str">
        <f>IFERROR(proje!CV94*100/proje!$I94,"")</f>
        <v/>
      </c>
      <c r="CL599" s="39" t="str">
        <f>IFERROR(proje!CW94*100/proje!$I94,"")</f>
        <v/>
      </c>
      <c r="CM599" s="39" t="str">
        <f>IFERROR(proje!CX94*100/proje!$I94,"")</f>
        <v/>
      </c>
      <c r="CN599" s="39" t="str">
        <f>IFERROR(proje!CY94*100/proje!$I94,"")</f>
        <v/>
      </c>
      <c r="CO599" s="39" t="str">
        <f>IFERROR(proje!CZ94*100/proje!$I94,"")</f>
        <v/>
      </c>
      <c r="CP599" s="39" t="str">
        <f>IFERROR(proje!DA94*100/proje!$I94,"")</f>
        <v/>
      </c>
      <c r="CQ599" s="39" t="str">
        <f>IFERROR(proje!DB94*100/proje!$I94,"")</f>
        <v/>
      </c>
      <c r="CR599" s="39" t="str">
        <f>IFERROR(proje!DC94*100/proje!$I94,"")</f>
        <v/>
      </c>
      <c r="CS599" s="39" t="str">
        <f>IFERROR(proje!DD94*100/proje!$I94,"")</f>
        <v/>
      </c>
      <c r="CT599" s="39" t="str">
        <f>IFERROR(proje!DE94*100/proje!$I94,"")</f>
        <v/>
      </c>
      <c r="CU599" s="39" t="str">
        <f>IFERROR(proje!DF94*100/proje!$I94,"")</f>
        <v/>
      </c>
      <c r="CV599" s="39" t="str">
        <f>IFERROR(proje!DG94*100/proje!$I94,"")</f>
        <v/>
      </c>
      <c r="CW599" s="36" t="str">
        <f>IFERROR(SUM(A599:CV599)/proje!$DH$103,"")</f>
        <v/>
      </c>
      <c r="CX599" s="14" t="str">
        <f>IF(COUNTA(proje!A94),proje!A94,"")</f>
        <v/>
      </c>
      <c r="CY599" s="14" t="str">
        <f>IF(COUNTA(proje!B94),proje!B94,"")</f>
        <v/>
      </c>
      <c r="CZ599" s="14" t="str">
        <f>IF(COUNTA(proje!C94),proje!C94,"")</f>
        <v/>
      </c>
      <c r="DA599" s="14" t="str">
        <f>IF(COUNTA(proje!D94),proje!D94,"")</f>
        <v/>
      </c>
      <c r="DB599" s="14" t="str">
        <f>IF(COUNTA(proje!E94),proje!E94,"")</f>
        <v/>
      </c>
      <c r="DC599" s="14" t="str">
        <f>IF(COUNTA(proje!F94),proje!F94,"")</f>
        <v/>
      </c>
      <c r="DD599" s="14" t="str">
        <f>IF(COUNTA(proje!G94),proje!G94,"")</f>
        <v/>
      </c>
      <c r="DE599" s="14" t="str">
        <f>IF(COUNTA(proje!H94),proje!H94,"")</f>
        <v/>
      </c>
    </row>
    <row r="600" spans="1:109" x14ac:dyDescent="0.2">
      <c r="A600" s="39" t="str">
        <f>IFERROR(proje!L95*100/proje!$I95,"")</f>
        <v/>
      </c>
      <c r="B600" s="39" t="str">
        <f>IFERROR(proje!M95*100/proje!$I95,"")</f>
        <v/>
      </c>
      <c r="C600" s="39" t="str">
        <f>IFERROR(proje!N95*100/proje!$I95,"")</f>
        <v/>
      </c>
      <c r="D600" s="39" t="str">
        <f>IFERROR(proje!O95*100/proje!$I95,"")</f>
        <v/>
      </c>
      <c r="E600" s="39" t="str">
        <f>IFERROR(proje!P95*100/proje!$I95,"")</f>
        <v/>
      </c>
      <c r="F600" s="39" t="str">
        <f>IFERROR(proje!Q95*100/proje!$I95,"")</f>
        <v/>
      </c>
      <c r="G600" s="39" t="str">
        <f>IFERROR(proje!R95*100/proje!$I95,"")</f>
        <v/>
      </c>
      <c r="H600" s="39" t="str">
        <f>IFERROR(proje!S95*100/proje!$I95,"")</f>
        <v/>
      </c>
      <c r="I600" s="39" t="str">
        <f>IFERROR(proje!T95*100/proje!$I95,"")</f>
        <v/>
      </c>
      <c r="J600" s="39" t="str">
        <f>IFERROR(proje!U95*100/proje!$I95,"")</f>
        <v/>
      </c>
      <c r="K600" s="39" t="str">
        <f>IFERROR(proje!V95*100/proje!$I95,"")</f>
        <v/>
      </c>
      <c r="L600" s="39" t="str">
        <f>IFERROR(proje!W95*100/proje!$I95,"")</f>
        <v/>
      </c>
      <c r="M600" s="39" t="str">
        <f>IFERROR(proje!X95*100/proje!$I95,"")</f>
        <v/>
      </c>
      <c r="N600" s="39" t="str">
        <f>IFERROR(proje!Y95*100/proje!$I95,"")</f>
        <v/>
      </c>
      <c r="O600" s="39" t="str">
        <f>IFERROR(proje!Z95*100/proje!$I95,"")</f>
        <v/>
      </c>
      <c r="P600" s="39" t="str">
        <f>IFERROR(proje!AA95*100/proje!$I95,"")</f>
        <v/>
      </c>
      <c r="Q600" s="39" t="str">
        <f>IFERROR(proje!AB95*100/proje!$I95,"")</f>
        <v/>
      </c>
      <c r="R600" s="39" t="str">
        <f>IFERROR(proje!AC95*100/proje!$I95,"")</f>
        <v/>
      </c>
      <c r="S600" s="39" t="str">
        <f>IFERROR(proje!AD95*100/proje!$I95,"")</f>
        <v/>
      </c>
      <c r="T600" s="39" t="str">
        <f>IFERROR(proje!AE95*100/proje!$I95,"")</f>
        <v/>
      </c>
      <c r="U600" s="39" t="str">
        <f>IFERROR(proje!AF95*100/proje!$I95,"")</f>
        <v/>
      </c>
      <c r="V600" s="39" t="str">
        <f>IFERROR(proje!AG95*100/proje!$I95,"")</f>
        <v/>
      </c>
      <c r="W600" s="39" t="str">
        <f>IFERROR(proje!AH95*100/proje!$I95,"")</f>
        <v/>
      </c>
      <c r="X600" s="39" t="str">
        <f>IFERROR(proje!AI95*100/proje!$I95,"")</f>
        <v/>
      </c>
      <c r="Y600" s="39" t="str">
        <f>IFERROR(proje!AJ95*100/proje!$I95,"")</f>
        <v/>
      </c>
      <c r="Z600" s="39" t="str">
        <f>IFERROR(proje!AK95*100/proje!$I95,"")</f>
        <v/>
      </c>
      <c r="AA600" s="39" t="str">
        <f>IFERROR(proje!AL95*100/proje!$I95,"")</f>
        <v/>
      </c>
      <c r="AB600" s="39" t="str">
        <f>IFERROR(proje!AM95*100/proje!$I95,"")</f>
        <v/>
      </c>
      <c r="AC600" s="39" t="str">
        <f>IFERROR(proje!AN95*100/proje!$I95,"")</f>
        <v/>
      </c>
      <c r="AD600" s="39" t="str">
        <f>IFERROR(proje!AO95*100/proje!$I95,"")</f>
        <v/>
      </c>
      <c r="AE600" s="39" t="str">
        <f>IFERROR(proje!AP95*100/proje!$I95,"")</f>
        <v/>
      </c>
      <c r="AF600" s="39" t="str">
        <f>IFERROR(proje!AQ95*100/proje!$I95,"")</f>
        <v/>
      </c>
      <c r="AG600" s="39" t="str">
        <f>IFERROR(proje!AR95*100/proje!$I95,"")</f>
        <v/>
      </c>
      <c r="AH600" s="39" t="str">
        <f>IFERROR(proje!AS95*100/proje!$I95,"")</f>
        <v/>
      </c>
      <c r="AI600" s="39" t="str">
        <f>IFERROR(proje!AT95*100/proje!$I95,"")</f>
        <v/>
      </c>
      <c r="AJ600" s="39" t="str">
        <f>IFERROR(proje!AU95*100/proje!$I95,"")</f>
        <v/>
      </c>
      <c r="AK600" s="39" t="str">
        <f>IFERROR(proje!AV95*100/proje!$I95,"")</f>
        <v/>
      </c>
      <c r="AL600" s="39" t="str">
        <f>IFERROR(proje!AW95*100/proje!$I95,"")</f>
        <v/>
      </c>
      <c r="AM600" s="39" t="str">
        <f>IFERROR(proje!AX95*100/proje!$I95,"")</f>
        <v/>
      </c>
      <c r="AN600" s="39" t="str">
        <f>IFERROR(proje!AY95*100/proje!$I95,"")</f>
        <v/>
      </c>
      <c r="AO600" s="39" t="str">
        <f>IFERROR(proje!AZ95*100/proje!$I95,"")</f>
        <v/>
      </c>
      <c r="AP600" s="39" t="str">
        <f>IFERROR(proje!BA95*100/proje!$I95,"")</f>
        <v/>
      </c>
      <c r="AQ600" s="39" t="str">
        <f>IFERROR(proje!BB95*100/proje!$I95,"")</f>
        <v/>
      </c>
      <c r="AR600" s="39" t="str">
        <f>IFERROR(proje!BC95*100/proje!$I95,"")</f>
        <v/>
      </c>
      <c r="AS600" s="39" t="str">
        <f>IFERROR(proje!BD95*100/proje!$I95,"")</f>
        <v/>
      </c>
      <c r="AT600" s="39" t="str">
        <f>IFERROR(proje!BE95*100/proje!$I95,"")</f>
        <v/>
      </c>
      <c r="AU600" s="39" t="str">
        <f>IFERROR(proje!BF95*100/proje!$I95,"")</f>
        <v/>
      </c>
      <c r="AV600" s="39" t="str">
        <f>IFERROR(proje!BG95*100/proje!$I95,"")</f>
        <v/>
      </c>
      <c r="AW600" s="39" t="str">
        <f>IFERROR(proje!BH95*100/proje!$I95,"")</f>
        <v/>
      </c>
      <c r="AX600" s="39" t="str">
        <f>IFERROR(proje!BI95*100/proje!$I95,"")</f>
        <v/>
      </c>
      <c r="AY600" s="39" t="str">
        <f>IFERROR(proje!BJ95*100/proje!$I95,"")</f>
        <v/>
      </c>
      <c r="AZ600" s="39" t="str">
        <f>IFERROR(proje!BK95*100/proje!$I95,"")</f>
        <v/>
      </c>
      <c r="BA600" s="39" t="str">
        <f>IFERROR(proje!BL95*100/proje!$I95,"")</f>
        <v/>
      </c>
      <c r="BB600" s="39" t="str">
        <f>IFERROR(proje!BM95*100/proje!$I95,"")</f>
        <v/>
      </c>
      <c r="BC600" s="39" t="str">
        <f>IFERROR(proje!BN95*100/proje!$I95,"")</f>
        <v/>
      </c>
      <c r="BD600" s="39" t="str">
        <f>IFERROR(proje!BO95*100/proje!$I95,"")</f>
        <v/>
      </c>
      <c r="BE600" s="39" t="str">
        <f>IFERROR(proje!BP95*100/proje!$I95,"")</f>
        <v/>
      </c>
      <c r="BF600" s="39" t="str">
        <f>IFERROR(proje!BQ95*100/proje!$I95,"")</f>
        <v/>
      </c>
      <c r="BG600" s="39" t="str">
        <f>IFERROR(proje!BR95*100/proje!$I95,"")</f>
        <v/>
      </c>
      <c r="BH600" s="39" t="str">
        <f>IFERROR(proje!BS95*100/proje!$I95,"")</f>
        <v/>
      </c>
      <c r="BI600" s="39" t="str">
        <f>IFERROR(proje!BT95*100/proje!$I95,"")</f>
        <v/>
      </c>
      <c r="BJ600" s="39" t="str">
        <f>IFERROR(proje!BU95*100/proje!$I95,"")</f>
        <v/>
      </c>
      <c r="BK600" s="39" t="str">
        <f>IFERROR(proje!BV95*100/proje!$I95,"")</f>
        <v/>
      </c>
      <c r="BL600" s="39" t="str">
        <f>IFERROR(proje!BW95*100/proje!$I95,"")</f>
        <v/>
      </c>
      <c r="BM600" s="39" t="str">
        <f>IFERROR(proje!BX95*100/proje!$I95,"")</f>
        <v/>
      </c>
      <c r="BN600" s="39" t="str">
        <f>IFERROR(proje!BY95*100/proje!$I95,"")</f>
        <v/>
      </c>
      <c r="BO600" s="39" t="str">
        <f>IFERROR(proje!BZ95*100/proje!$I95,"")</f>
        <v/>
      </c>
      <c r="BP600" s="39" t="str">
        <f>IFERROR(proje!CA95*100/proje!$I95,"")</f>
        <v/>
      </c>
      <c r="BQ600" s="39" t="str">
        <f>IFERROR(proje!CB95*100/proje!$I95,"")</f>
        <v/>
      </c>
      <c r="BR600" s="39" t="str">
        <f>IFERROR(proje!CC95*100/proje!$I95,"")</f>
        <v/>
      </c>
      <c r="BS600" s="39" t="str">
        <f>IFERROR(proje!CD95*100/proje!$I95,"")</f>
        <v/>
      </c>
      <c r="BT600" s="39" t="str">
        <f>IFERROR(proje!CE95*100/proje!$I95,"")</f>
        <v/>
      </c>
      <c r="BU600" s="39" t="str">
        <f>IFERROR(proje!CF95*100/proje!$I95,"")</f>
        <v/>
      </c>
      <c r="BV600" s="39" t="str">
        <f>IFERROR(proje!CG95*100/proje!$I95,"")</f>
        <v/>
      </c>
      <c r="BW600" s="39" t="str">
        <f>IFERROR(proje!CH95*100/proje!$I95,"")</f>
        <v/>
      </c>
      <c r="BX600" s="39" t="str">
        <f>IFERROR(proje!CI95*100/proje!$I95,"")</f>
        <v/>
      </c>
      <c r="BY600" s="39" t="str">
        <f>IFERROR(proje!CJ95*100/proje!$I95,"")</f>
        <v/>
      </c>
      <c r="BZ600" s="39" t="str">
        <f>IFERROR(proje!CK95*100/proje!$I95,"")</f>
        <v/>
      </c>
      <c r="CA600" s="39" t="str">
        <f>IFERROR(proje!CL95*100/proje!$I95,"")</f>
        <v/>
      </c>
      <c r="CB600" s="39" t="str">
        <f>IFERROR(proje!CM95*100/proje!$I95,"")</f>
        <v/>
      </c>
      <c r="CC600" s="39" t="str">
        <f>IFERROR(proje!CN95*100/proje!$I95,"")</f>
        <v/>
      </c>
      <c r="CD600" s="39" t="str">
        <f>IFERROR(proje!CO95*100/proje!$I95,"")</f>
        <v/>
      </c>
      <c r="CE600" s="39" t="str">
        <f>IFERROR(proje!CP95*100/proje!$I95,"")</f>
        <v/>
      </c>
      <c r="CF600" s="39" t="str">
        <f>IFERROR(proje!CQ95*100/proje!$I95,"")</f>
        <v/>
      </c>
      <c r="CG600" s="39" t="str">
        <f>IFERROR(proje!CR95*100/proje!$I95,"")</f>
        <v/>
      </c>
      <c r="CH600" s="39" t="str">
        <f>IFERROR(proje!CS95*100/proje!$I95,"")</f>
        <v/>
      </c>
      <c r="CI600" s="39" t="str">
        <f>IFERROR(proje!CT95*100/proje!$I95,"")</f>
        <v/>
      </c>
      <c r="CJ600" s="39" t="str">
        <f>IFERROR(proje!CU95*100/proje!$I95,"")</f>
        <v/>
      </c>
      <c r="CK600" s="39" t="str">
        <f>IFERROR(proje!CV95*100/proje!$I95,"")</f>
        <v/>
      </c>
      <c r="CL600" s="39" t="str">
        <f>IFERROR(proje!CW95*100/proje!$I95,"")</f>
        <v/>
      </c>
      <c r="CM600" s="39" t="str">
        <f>IFERROR(proje!CX95*100/proje!$I95,"")</f>
        <v/>
      </c>
      <c r="CN600" s="39" t="str">
        <f>IFERROR(proje!CY95*100/proje!$I95,"")</f>
        <v/>
      </c>
      <c r="CO600" s="39" t="str">
        <f>IFERROR(proje!CZ95*100/proje!$I95,"")</f>
        <v/>
      </c>
      <c r="CP600" s="39" t="str">
        <f>IFERROR(proje!DA95*100/proje!$I95,"")</f>
        <v/>
      </c>
      <c r="CQ600" s="39" t="str">
        <f>IFERROR(proje!DB95*100/proje!$I95,"")</f>
        <v/>
      </c>
      <c r="CR600" s="39" t="str">
        <f>IFERROR(proje!DC95*100/proje!$I95,"")</f>
        <v/>
      </c>
      <c r="CS600" s="39" t="str">
        <f>IFERROR(proje!DD95*100/proje!$I95,"")</f>
        <v/>
      </c>
      <c r="CT600" s="39" t="str">
        <f>IFERROR(proje!DE95*100/proje!$I95,"")</f>
        <v/>
      </c>
      <c r="CU600" s="39" t="str">
        <f>IFERROR(proje!DF95*100/proje!$I95,"")</f>
        <v/>
      </c>
      <c r="CV600" s="39" t="str">
        <f>IFERROR(proje!DG95*100/proje!$I95,"")</f>
        <v/>
      </c>
      <c r="CW600" s="36" t="str">
        <f>IFERROR(SUM(A600:CV600)/proje!$DH$103,"")</f>
        <v/>
      </c>
      <c r="CX600" s="14" t="str">
        <f>IF(COUNTA(proje!A95),proje!A95,"")</f>
        <v/>
      </c>
      <c r="CY600" s="14" t="str">
        <f>IF(COUNTA(proje!B95),proje!B95,"")</f>
        <v/>
      </c>
      <c r="CZ600" s="14" t="str">
        <f>IF(COUNTA(proje!C95),proje!C95,"")</f>
        <v/>
      </c>
      <c r="DA600" s="14" t="str">
        <f>IF(COUNTA(proje!D95),proje!D95,"")</f>
        <v/>
      </c>
      <c r="DB600" s="14" t="str">
        <f>IF(COUNTA(proje!E95),proje!E95,"")</f>
        <v/>
      </c>
      <c r="DC600" s="14" t="str">
        <f>IF(COUNTA(proje!F95),proje!F95,"")</f>
        <v/>
      </c>
      <c r="DD600" s="14" t="str">
        <f>IF(COUNTA(proje!G95),proje!G95,"")</f>
        <v/>
      </c>
      <c r="DE600" s="14" t="str">
        <f>IF(COUNTA(proje!H95),proje!H95,"")</f>
        <v/>
      </c>
    </row>
    <row r="601" spans="1:109" x14ac:dyDescent="0.2">
      <c r="A601" s="39" t="str">
        <f>IFERROR(proje!L96*100/proje!$I96,"")</f>
        <v/>
      </c>
      <c r="B601" s="39" t="str">
        <f>IFERROR(proje!M96*100/proje!$I96,"")</f>
        <v/>
      </c>
      <c r="C601" s="39" t="str">
        <f>IFERROR(proje!N96*100/proje!$I96,"")</f>
        <v/>
      </c>
      <c r="D601" s="39" t="str">
        <f>IFERROR(proje!O96*100/proje!$I96,"")</f>
        <v/>
      </c>
      <c r="E601" s="39" t="str">
        <f>IFERROR(proje!P96*100/proje!$I96,"")</f>
        <v/>
      </c>
      <c r="F601" s="39" t="str">
        <f>IFERROR(proje!Q96*100/proje!$I96,"")</f>
        <v/>
      </c>
      <c r="G601" s="39" t="str">
        <f>IFERROR(proje!R96*100/proje!$I96,"")</f>
        <v/>
      </c>
      <c r="H601" s="39" t="str">
        <f>IFERROR(proje!S96*100/proje!$I96,"")</f>
        <v/>
      </c>
      <c r="I601" s="39" t="str">
        <f>IFERROR(proje!T96*100/proje!$I96,"")</f>
        <v/>
      </c>
      <c r="J601" s="39" t="str">
        <f>IFERROR(proje!U96*100/proje!$I96,"")</f>
        <v/>
      </c>
      <c r="K601" s="39" t="str">
        <f>IFERROR(proje!V96*100/proje!$I96,"")</f>
        <v/>
      </c>
      <c r="L601" s="39" t="str">
        <f>IFERROR(proje!W96*100/proje!$I96,"")</f>
        <v/>
      </c>
      <c r="M601" s="39" t="str">
        <f>IFERROR(proje!X96*100/proje!$I96,"")</f>
        <v/>
      </c>
      <c r="N601" s="39" t="str">
        <f>IFERROR(proje!Y96*100/proje!$I96,"")</f>
        <v/>
      </c>
      <c r="O601" s="39" t="str">
        <f>IFERROR(proje!Z96*100/proje!$I96,"")</f>
        <v/>
      </c>
      <c r="P601" s="39" t="str">
        <f>IFERROR(proje!AA96*100/proje!$I96,"")</f>
        <v/>
      </c>
      <c r="Q601" s="39" t="str">
        <f>IFERROR(proje!AB96*100/proje!$I96,"")</f>
        <v/>
      </c>
      <c r="R601" s="39" t="str">
        <f>IFERROR(proje!AC96*100/proje!$I96,"")</f>
        <v/>
      </c>
      <c r="S601" s="39" t="str">
        <f>IFERROR(proje!AD96*100/proje!$I96,"")</f>
        <v/>
      </c>
      <c r="T601" s="39" t="str">
        <f>IFERROR(proje!AE96*100/proje!$I96,"")</f>
        <v/>
      </c>
      <c r="U601" s="39" t="str">
        <f>IFERROR(proje!AF96*100/proje!$I96,"")</f>
        <v/>
      </c>
      <c r="V601" s="39" t="str">
        <f>IFERROR(proje!AG96*100/proje!$I96,"")</f>
        <v/>
      </c>
      <c r="W601" s="39" t="str">
        <f>IFERROR(proje!AH96*100/proje!$I96,"")</f>
        <v/>
      </c>
      <c r="X601" s="39" t="str">
        <f>IFERROR(proje!AI96*100/proje!$I96,"")</f>
        <v/>
      </c>
      <c r="Y601" s="39" t="str">
        <f>IFERROR(proje!AJ96*100/proje!$I96,"")</f>
        <v/>
      </c>
      <c r="Z601" s="39" t="str">
        <f>IFERROR(proje!AK96*100/proje!$I96,"")</f>
        <v/>
      </c>
      <c r="AA601" s="39" t="str">
        <f>IFERROR(proje!AL96*100/proje!$I96,"")</f>
        <v/>
      </c>
      <c r="AB601" s="39" t="str">
        <f>IFERROR(proje!AM96*100/proje!$I96,"")</f>
        <v/>
      </c>
      <c r="AC601" s="39" t="str">
        <f>IFERROR(proje!AN96*100/proje!$I96,"")</f>
        <v/>
      </c>
      <c r="AD601" s="39" t="str">
        <f>IFERROR(proje!AO96*100/proje!$I96,"")</f>
        <v/>
      </c>
      <c r="AE601" s="39" t="str">
        <f>IFERROR(proje!AP96*100/proje!$I96,"")</f>
        <v/>
      </c>
      <c r="AF601" s="39" t="str">
        <f>IFERROR(proje!AQ96*100/proje!$I96,"")</f>
        <v/>
      </c>
      <c r="AG601" s="39" t="str">
        <f>IFERROR(proje!AR96*100/proje!$I96,"")</f>
        <v/>
      </c>
      <c r="AH601" s="39" t="str">
        <f>IFERROR(proje!AS96*100/proje!$I96,"")</f>
        <v/>
      </c>
      <c r="AI601" s="39" t="str">
        <f>IFERROR(proje!AT96*100/proje!$I96,"")</f>
        <v/>
      </c>
      <c r="AJ601" s="39" t="str">
        <f>IFERROR(proje!AU96*100/proje!$I96,"")</f>
        <v/>
      </c>
      <c r="AK601" s="39" t="str">
        <f>IFERROR(proje!AV96*100/proje!$I96,"")</f>
        <v/>
      </c>
      <c r="AL601" s="39" t="str">
        <f>IFERROR(proje!AW96*100/proje!$I96,"")</f>
        <v/>
      </c>
      <c r="AM601" s="39" t="str">
        <f>IFERROR(proje!AX96*100/proje!$I96,"")</f>
        <v/>
      </c>
      <c r="AN601" s="39" t="str">
        <f>IFERROR(proje!AY96*100/proje!$I96,"")</f>
        <v/>
      </c>
      <c r="AO601" s="39" t="str">
        <f>IFERROR(proje!AZ96*100/proje!$I96,"")</f>
        <v/>
      </c>
      <c r="AP601" s="39" t="str">
        <f>IFERROR(proje!BA96*100/proje!$I96,"")</f>
        <v/>
      </c>
      <c r="AQ601" s="39" t="str">
        <f>IFERROR(proje!BB96*100/proje!$I96,"")</f>
        <v/>
      </c>
      <c r="AR601" s="39" t="str">
        <f>IFERROR(proje!BC96*100/proje!$I96,"")</f>
        <v/>
      </c>
      <c r="AS601" s="39" t="str">
        <f>IFERROR(proje!BD96*100/proje!$I96,"")</f>
        <v/>
      </c>
      <c r="AT601" s="39" t="str">
        <f>IFERROR(proje!BE96*100/proje!$I96,"")</f>
        <v/>
      </c>
      <c r="AU601" s="39" t="str">
        <f>IFERROR(proje!BF96*100/proje!$I96,"")</f>
        <v/>
      </c>
      <c r="AV601" s="39" t="str">
        <f>IFERROR(proje!BG96*100/proje!$I96,"")</f>
        <v/>
      </c>
      <c r="AW601" s="39" t="str">
        <f>IFERROR(proje!BH96*100/proje!$I96,"")</f>
        <v/>
      </c>
      <c r="AX601" s="39" t="str">
        <f>IFERROR(proje!BI96*100/proje!$I96,"")</f>
        <v/>
      </c>
      <c r="AY601" s="39" t="str">
        <f>IFERROR(proje!BJ96*100/proje!$I96,"")</f>
        <v/>
      </c>
      <c r="AZ601" s="39" t="str">
        <f>IFERROR(proje!BK96*100/proje!$I96,"")</f>
        <v/>
      </c>
      <c r="BA601" s="39" t="str">
        <f>IFERROR(proje!BL96*100/proje!$I96,"")</f>
        <v/>
      </c>
      <c r="BB601" s="39" t="str">
        <f>IFERROR(proje!BM96*100/proje!$I96,"")</f>
        <v/>
      </c>
      <c r="BC601" s="39" t="str">
        <f>IFERROR(proje!BN96*100/proje!$I96,"")</f>
        <v/>
      </c>
      <c r="BD601" s="39" t="str">
        <f>IFERROR(proje!BO96*100/proje!$I96,"")</f>
        <v/>
      </c>
      <c r="BE601" s="39" t="str">
        <f>IFERROR(proje!BP96*100/proje!$I96,"")</f>
        <v/>
      </c>
      <c r="BF601" s="39" t="str">
        <f>IFERROR(proje!BQ96*100/proje!$I96,"")</f>
        <v/>
      </c>
      <c r="BG601" s="39" t="str">
        <f>IFERROR(proje!BR96*100/proje!$I96,"")</f>
        <v/>
      </c>
      <c r="BH601" s="39" t="str">
        <f>IFERROR(proje!BS96*100/proje!$I96,"")</f>
        <v/>
      </c>
      <c r="BI601" s="39" t="str">
        <f>IFERROR(proje!BT96*100/proje!$I96,"")</f>
        <v/>
      </c>
      <c r="BJ601" s="39" t="str">
        <f>IFERROR(proje!BU96*100/proje!$I96,"")</f>
        <v/>
      </c>
      <c r="BK601" s="39" t="str">
        <f>IFERROR(proje!BV96*100/proje!$I96,"")</f>
        <v/>
      </c>
      <c r="BL601" s="39" t="str">
        <f>IFERROR(proje!BW96*100/proje!$I96,"")</f>
        <v/>
      </c>
      <c r="BM601" s="39" t="str">
        <f>IFERROR(proje!BX96*100/proje!$I96,"")</f>
        <v/>
      </c>
      <c r="BN601" s="39" t="str">
        <f>IFERROR(proje!BY96*100/proje!$I96,"")</f>
        <v/>
      </c>
      <c r="BO601" s="39" t="str">
        <f>IFERROR(proje!BZ96*100/proje!$I96,"")</f>
        <v/>
      </c>
      <c r="BP601" s="39" t="str">
        <f>IFERROR(proje!CA96*100/proje!$I96,"")</f>
        <v/>
      </c>
      <c r="BQ601" s="39" t="str">
        <f>IFERROR(proje!CB96*100/proje!$I96,"")</f>
        <v/>
      </c>
      <c r="BR601" s="39" t="str">
        <f>IFERROR(proje!CC96*100/proje!$I96,"")</f>
        <v/>
      </c>
      <c r="BS601" s="39" t="str">
        <f>IFERROR(proje!CD96*100/proje!$I96,"")</f>
        <v/>
      </c>
      <c r="BT601" s="39" t="str">
        <f>IFERROR(proje!CE96*100/proje!$I96,"")</f>
        <v/>
      </c>
      <c r="BU601" s="39" t="str">
        <f>IFERROR(proje!CF96*100/proje!$I96,"")</f>
        <v/>
      </c>
      <c r="BV601" s="39" t="str">
        <f>IFERROR(proje!CG96*100/proje!$I96,"")</f>
        <v/>
      </c>
      <c r="BW601" s="39" t="str">
        <f>IFERROR(proje!CH96*100/proje!$I96,"")</f>
        <v/>
      </c>
      <c r="BX601" s="39" t="str">
        <f>IFERROR(proje!CI96*100/proje!$I96,"")</f>
        <v/>
      </c>
      <c r="BY601" s="39" t="str">
        <f>IFERROR(proje!CJ96*100/proje!$I96,"")</f>
        <v/>
      </c>
      <c r="BZ601" s="39" t="str">
        <f>IFERROR(proje!CK96*100/proje!$I96,"")</f>
        <v/>
      </c>
      <c r="CA601" s="39" t="str">
        <f>IFERROR(proje!CL96*100/proje!$I96,"")</f>
        <v/>
      </c>
      <c r="CB601" s="39" t="str">
        <f>IFERROR(proje!CM96*100/proje!$I96,"")</f>
        <v/>
      </c>
      <c r="CC601" s="39" t="str">
        <f>IFERROR(proje!CN96*100/proje!$I96,"")</f>
        <v/>
      </c>
      <c r="CD601" s="39" t="str">
        <f>IFERROR(proje!CO96*100/proje!$I96,"")</f>
        <v/>
      </c>
      <c r="CE601" s="39" t="str">
        <f>IFERROR(proje!CP96*100/proje!$I96,"")</f>
        <v/>
      </c>
      <c r="CF601" s="39" t="str">
        <f>IFERROR(proje!CQ96*100/proje!$I96,"")</f>
        <v/>
      </c>
      <c r="CG601" s="39" t="str">
        <f>IFERROR(proje!CR96*100/proje!$I96,"")</f>
        <v/>
      </c>
      <c r="CH601" s="39" t="str">
        <f>IFERROR(proje!CS96*100/proje!$I96,"")</f>
        <v/>
      </c>
      <c r="CI601" s="39" t="str">
        <f>IFERROR(proje!CT96*100/proje!$I96,"")</f>
        <v/>
      </c>
      <c r="CJ601" s="39" t="str">
        <f>IFERROR(proje!CU96*100/proje!$I96,"")</f>
        <v/>
      </c>
      <c r="CK601" s="39" t="str">
        <f>IFERROR(proje!CV96*100/proje!$I96,"")</f>
        <v/>
      </c>
      <c r="CL601" s="39" t="str">
        <f>IFERROR(proje!CW96*100/proje!$I96,"")</f>
        <v/>
      </c>
      <c r="CM601" s="39" t="str">
        <f>IFERROR(proje!CX96*100/proje!$I96,"")</f>
        <v/>
      </c>
      <c r="CN601" s="39" t="str">
        <f>IFERROR(proje!CY96*100/proje!$I96,"")</f>
        <v/>
      </c>
      <c r="CO601" s="39" t="str">
        <f>IFERROR(proje!CZ96*100/proje!$I96,"")</f>
        <v/>
      </c>
      <c r="CP601" s="39" t="str">
        <f>IFERROR(proje!DA96*100/proje!$I96,"")</f>
        <v/>
      </c>
      <c r="CQ601" s="39" t="str">
        <f>IFERROR(proje!DB96*100/proje!$I96,"")</f>
        <v/>
      </c>
      <c r="CR601" s="39" t="str">
        <f>IFERROR(proje!DC96*100/proje!$I96,"")</f>
        <v/>
      </c>
      <c r="CS601" s="39" t="str">
        <f>IFERROR(proje!DD96*100/proje!$I96,"")</f>
        <v/>
      </c>
      <c r="CT601" s="39" t="str">
        <f>IFERROR(proje!DE96*100/proje!$I96,"")</f>
        <v/>
      </c>
      <c r="CU601" s="39" t="str">
        <f>IFERROR(proje!DF96*100/proje!$I96,"")</f>
        <v/>
      </c>
      <c r="CV601" s="39" t="str">
        <f>IFERROR(proje!DG96*100/proje!$I96,"")</f>
        <v/>
      </c>
      <c r="CW601" s="36" t="str">
        <f>IFERROR(SUM(A601:CV601)/proje!$DH$103,"")</f>
        <v/>
      </c>
      <c r="CX601" s="14" t="str">
        <f>IF(COUNTA(proje!A96),proje!A96,"")</f>
        <v/>
      </c>
      <c r="CY601" s="14" t="str">
        <f>IF(COUNTA(proje!B96),proje!B96,"")</f>
        <v/>
      </c>
      <c r="CZ601" s="14" t="str">
        <f>IF(COUNTA(proje!C96),proje!C96,"")</f>
        <v/>
      </c>
      <c r="DA601" s="14" t="str">
        <f>IF(COUNTA(proje!D96),proje!D96,"")</f>
        <v/>
      </c>
      <c r="DB601" s="14" t="str">
        <f>IF(COUNTA(proje!E96),proje!E96,"")</f>
        <v/>
      </c>
      <c r="DC601" s="14" t="str">
        <f>IF(COUNTA(proje!F96),proje!F96,"")</f>
        <v/>
      </c>
      <c r="DD601" s="14" t="str">
        <f>IF(COUNTA(proje!G96),proje!G96,"")</f>
        <v/>
      </c>
      <c r="DE601" s="14" t="str">
        <f>IF(COUNTA(proje!H96),proje!H96,"")</f>
        <v/>
      </c>
    </row>
    <row r="602" spans="1:109" x14ac:dyDescent="0.2">
      <c r="A602" s="39" t="str">
        <f>IFERROR(proje!L97*100/proje!$I97,"")</f>
        <v/>
      </c>
      <c r="B602" s="39" t="str">
        <f>IFERROR(proje!M97*100/proje!$I97,"")</f>
        <v/>
      </c>
      <c r="C602" s="39" t="str">
        <f>IFERROR(proje!N97*100/proje!$I97,"")</f>
        <v/>
      </c>
      <c r="D602" s="39" t="str">
        <f>IFERROR(proje!O97*100/proje!$I97,"")</f>
        <v/>
      </c>
      <c r="E602" s="39" t="str">
        <f>IFERROR(proje!P97*100/proje!$I97,"")</f>
        <v/>
      </c>
      <c r="F602" s="39" t="str">
        <f>IFERROR(proje!Q97*100/proje!$I97,"")</f>
        <v/>
      </c>
      <c r="G602" s="39" t="str">
        <f>IFERROR(proje!R97*100/proje!$I97,"")</f>
        <v/>
      </c>
      <c r="H602" s="39" t="str">
        <f>IFERROR(proje!S97*100/proje!$I97,"")</f>
        <v/>
      </c>
      <c r="I602" s="39" t="str">
        <f>IFERROR(proje!T97*100/proje!$I97,"")</f>
        <v/>
      </c>
      <c r="J602" s="39" t="str">
        <f>IFERROR(proje!U97*100/proje!$I97,"")</f>
        <v/>
      </c>
      <c r="K602" s="39" t="str">
        <f>IFERROR(proje!V97*100/proje!$I97,"")</f>
        <v/>
      </c>
      <c r="L602" s="39" t="str">
        <f>IFERROR(proje!W97*100/proje!$I97,"")</f>
        <v/>
      </c>
      <c r="M602" s="39" t="str">
        <f>IFERROR(proje!X97*100/proje!$I97,"")</f>
        <v/>
      </c>
      <c r="N602" s="39" t="str">
        <f>IFERROR(proje!Y97*100/proje!$I97,"")</f>
        <v/>
      </c>
      <c r="O602" s="39" t="str">
        <f>IFERROR(proje!Z97*100/proje!$I97,"")</f>
        <v/>
      </c>
      <c r="P602" s="39" t="str">
        <f>IFERROR(proje!AA97*100/proje!$I97,"")</f>
        <v/>
      </c>
      <c r="Q602" s="39" t="str">
        <f>IFERROR(proje!AB97*100/proje!$I97,"")</f>
        <v/>
      </c>
      <c r="R602" s="39" t="str">
        <f>IFERROR(proje!AC97*100/proje!$I97,"")</f>
        <v/>
      </c>
      <c r="S602" s="39" t="str">
        <f>IFERROR(proje!AD97*100/proje!$I97,"")</f>
        <v/>
      </c>
      <c r="T602" s="39" t="str">
        <f>IFERROR(proje!AE97*100/proje!$I97,"")</f>
        <v/>
      </c>
      <c r="U602" s="39" t="str">
        <f>IFERROR(proje!AF97*100/proje!$I97,"")</f>
        <v/>
      </c>
      <c r="V602" s="39" t="str">
        <f>IFERROR(proje!AG97*100/proje!$I97,"")</f>
        <v/>
      </c>
      <c r="W602" s="39" t="str">
        <f>IFERROR(proje!AH97*100/proje!$I97,"")</f>
        <v/>
      </c>
      <c r="X602" s="39" t="str">
        <f>IFERROR(proje!AI97*100/proje!$I97,"")</f>
        <v/>
      </c>
      <c r="Y602" s="39" t="str">
        <f>IFERROR(proje!AJ97*100/proje!$I97,"")</f>
        <v/>
      </c>
      <c r="Z602" s="39" t="str">
        <f>IFERROR(proje!AK97*100/proje!$I97,"")</f>
        <v/>
      </c>
      <c r="AA602" s="39" t="str">
        <f>IFERROR(proje!AL97*100/proje!$I97,"")</f>
        <v/>
      </c>
      <c r="AB602" s="39" t="str">
        <f>IFERROR(proje!AM97*100/proje!$I97,"")</f>
        <v/>
      </c>
      <c r="AC602" s="39" t="str">
        <f>IFERROR(proje!AN97*100/proje!$I97,"")</f>
        <v/>
      </c>
      <c r="AD602" s="39" t="str">
        <f>IFERROR(proje!AO97*100/proje!$I97,"")</f>
        <v/>
      </c>
      <c r="AE602" s="39" t="str">
        <f>IFERROR(proje!AP97*100/proje!$I97,"")</f>
        <v/>
      </c>
      <c r="AF602" s="39" t="str">
        <f>IFERROR(proje!AQ97*100/proje!$I97,"")</f>
        <v/>
      </c>
      <c r="AG602" s="39" t="str">
        <f>IFERROR(proje!AR97*100/proje!$I97,"")</f>
        <v/>
      </c>
      <c r="AH602" s="39" t="str">
        <f>IFERROR(proje!AS97*100/proje!$I97,"")</f>
        <v/>
      </c>
      <c r="AI602" s="39" t="str">
        <f>IFERROR(proje!AT97*100/proje!$I97,"")</f>
        <v/>
      </c>
      <c r="AJ602" s="39" t="str">
        <f>IFERROR(proje!AU97*100/proje!$I97,"")</f>
        <v/>
      </c>
      <c r="AK602" s="39" t="str">
        <f>IFERROR(proje!AV97*100/proje!$I97,"")</f>
        <v/>
      </c>
      <c r="AL602" s="39" t="str">
        <f>IFERROR(proje!AW97*100/proje!$I97,"")</f>
        <v/>
      </c>
      <c r="AM602" s="39" t="str">
        <f>IFERROR(proje!AX97*100/proje!$I97,"")</f>
        <v/>
      </c>
      <c r="AN602" s="39" t="str">
        <f>IFERROR(proje!AY97*100/proje!$I97,"")</f>
        <v/>
      </c>
      <c r="AO602" s="39" t="str">
        <f>IFERROR(proje!AZ97*100/proje!$I97,"")</f>
        <v/>
      </c>
      <c r="AP602" s="39" t="str">
        <f>IFERROR(proje!BA97*100/proje!$I97,"")</f>
        <v/>
      </c>
      <c r="AQ602" s="39" t="str">
        <f>IFERROR(proje!BB97*100/proje!$I97,"")</f>
        <v/>
      </c>
      <c r="AR602" s="39" t="str">
        <f>IFERROR(proje!BC97*100/proje!$I97,"")</f>
        <v/>
      </c>
      <c r="AS602" s="39" t="str">
        <f>IFERROR(proje!BD97*100/proje!$I97,"")</f>
        <v/>
      </c>
      <c r="AT602" s="39" t="str">
        <f>IFERROR(proje!BE97*100/proje!$I97,"")</f>
        <v/>
      </c>
      <c r="AU602" s="39" t="str">
        <f>IFERROR(proje!BF97*100/proje!$I97,"")</f>
        <v/>
      </c>
      <c r="AV602" s="39" t="str">
        <f>IFERROR(proje!BG97*100/proje!$I97,"")</f>
        <v/>
      </c>
      <c r="AW602" s="39" t="str">
        <f>IFERROR(proje!BH97*100/proje!$I97,"")</f>
        <v/>
      </c>
      <c r="AX602" s="39" t="str">
        <f>IFERROR(proje!BI97*100/proje!$I97,"")</f>
        <v/>
      </c>
      <c r="AY602" s="39" t="str">
        <f>IFERROR(proje!BJ97*100/proje!$I97,"")</f>
        <v/>
      </c>
      <c r="AZ602" s="39" t="str">
        <f>IFERROR(proje!BK97*100/proje!$I97,"")</f>
        <v/>
      </c>
      <c r="BA602" s="39" t="str">
        <f>IFERROR(proje!BL97*100/proje!$I97,"")</f>
        <v/>
      </c>
      <c r="BB602" s="39" t="str">
        <f>IFERROR(proje!BM97*100/proje!$I97,"")</f>
        <v/>
      </c>
      <c r="BC602" s="39" t="str">
        <f>IFERROR(proje!BN97*100/proje!$I97,"")</f>
        <v/>
      </c>
      <c r="BD602" s="39" t="str">
        <f>IFERROR(proje!BO97*100/proje!$I97,"")</f>
        <v/>
      </c>
      <c r="BE602" s="39" t="str">
        <f>IFERROR(proje!BP97*100/proje!$I97,"")</f>
        <v/>
      </c>
      <c r="BF602" s="39" t="str">
        <f>IFERROR(proje!BQ97*100/proje!$I97,"")</f>
        <v/>
      </c>
      <c r="BG602" s="39" t="str">
        <f>IFERROR(proje!BR97*100/proje!$I97,"")</f>
        <v/>
      </c>
      <c r="BH602" s="39" t="str">
        <f>IFERROR(proje!BS97*100/proje!$I97,"")</f>
        <v/>
      </c>
      <c r="BI602" s="39" t="str">
        <f>IFERROR(proje!BT97*100/proje!$I97,"")</f>
        <v/>
      </c>
      <c r="BJ602" s="39" t="str">
        <f>IFERROR(proje!BU97*100/proje!$I97,"")</f>
        <v/>
      </c>
      <c r="BK602" s="39" t="str">
        <f>IFERROR(proje!BV97*100/proje!$I97,"")</f>
        <v/>
      </c>
      <c r="BL602" s="39" t="str">
        <f>IFERROR(proje!BW97*100/proje!$I97,"")</f>
        <v/>
      </c>
      <c r="BM602" s="39" t="str">
        <f>IFERROR(proje!BX97*100/proje!$I97,"")</f>
        <v/>
      </c>
      <c r="BN602" s="39" t="str">
        <f>IFERROR(proje!BY97*100/proje!$I97,"")</f>
        <v/>
      </c>
      <c r="BO602" s="39" t="str">
        <f>IFERROR(proje!BZ97*100/proje!$I97,"")</f>
        <v/>
      </c>
      <c r="BP602" s="39" t="str">
        <f>IFERROR(proje!CA97*100/proje!$I97,"")</f>
        <v/>
      </c>
      <c r="BQ602" s="39" t="str">
        <f>IFERROR(proje!CB97*100/proje!$I97,"")</f>
        <v/>
      </c>
      <c r="BR602" s="39" t="str">
        <f>IFERROR(proje!CC97*100/proje!$I97,"")</f>
        <v/>
      </c>
      <c r="BS602" s="39" t="str">
        <f>IFERROR(proje!CD97*100/proje!$I97,"")</f>
        <v/>
      </c>
      <c r="BT602" s="39" t="str">
        <f>IFERROR(proje!CE97*100/proje!$I97,"")</f>
        <v/>
      </c>
      <c r="BU602" s="39" t="str">
        <f>IFERROR(proje!CF97*100/proje!$I97,"")</f>
        <v/>
      </c>
      <c r="BV602" s="39" t="str">
        <f>IFERROR(proje!CG97*100/proje!$I97,"")</f>
        <v/>
      </c>
      <c r="BW602" s="39" t="str">
        <f>IFERROR(proje!CH97*100/proje!$I97,"")</f>
        <v/>
      </c>
      <c r="BX602" s="39" t="str">
        <f>IFERROR(proje!CI97*100/proje!$I97,"")</f>
        <v/>
      </c>
      <c r="BY602" s="39" t="str">
        <f>IFERROR(proje!CJ97*100/proje!$I97,"")</f>
        <v/>
      </c>
      <c r="BZ602" s="39" t="str">
        <f>IFERROR(proje!CK97*100/proje!$I97,"")</f>
        <v/>
      </c>
      <c r="CA602" s="39" t="str">
        <f>IFERROR(proje!CL97*100/proje!$I97,"")</f>
        <v/>
      </c>
      <c r="CB602" s="39" t="str">
        <f>IFERROR(proje!CM97*100/proje!$I97,"")</f>
        <v/>
      </c>
      <c r="CC602" s="39" t="str">
        <f>IFERROR(proje!CN97*100/proje!$I97,"")</f>
        <v/>
      </c>
      <c r="CD602" s="39" t="str">
        <f>IFERROR(proje!CO97*100/proje!$I97,"")</f>
        <v/>
      </c>
      <c r="CE602" s="39" t="str">
        <f>IFERROR(proje!CP97*100/proje!$I97,"")</f>
        <v/>
      </c>
      <c r="CF602" s="39" t="str">
        <f>IFERROR(proje!CQ97*100/proje!$I97,"")</f>
        <v/>
      </c>
      <c r="CG602" s="39" t="str">
        <f>IFERROR(proje!CR97*100/proje!$I97,"")</f>
        <v/>
      </c>
      <c r="CH602" s="39" t="str">
        <f>IFERROR(proje!CS97*100/proje!$I97,"")</f>
        <v/>
      </c>
      <c r="CI602" s="39" t="str">
        <f>IFERROR(proje!CT97*100/proje!$I97,"")</f>
        <v/>
      </c>
      <c r="CJ602" s="39" t="str">
        <f>IFERROR(proje!CU97*100/proje!$I97,"")</f>
        <v/>
      </c>
      <c r="CK602" s="39" t="str">
        <f>IFERROR(proje!CV97*100/proje!$I97,"")</f>
        <v/>
      </c>
      <c r="CL602" s="39" t="str">
        <f>IFERROR(proje!CW97*100/proje!$I97,"")</f>
        <v/>
      </c>
      <c r="CM602" s="39" t="str">
        <f>IFERROR(proje!CX97*100/proje!$I97,"")</f>
        <v/>
      </c>
      <c r="CN602" s="39" t="str">
        <f>IFERROR(proje!CY97*100/proje!$I97,"")</f>
        <v/>
      </c>
      <c r="CO602" s="39" t="str">
        <f>IFERROR(proje!CZ97*100/proje!$I97,"")</f>
        <v/>
      </c>
      <c r="CP602" s="39" t="str">
        <f>IFERROR(proje!DA97*100/proje!$I97,"")</f>
        <v/>
      </c>
      <c r="CQ602" s="39" t="str">
        <f>IFERROR(proje!DB97*100/proje!$I97,"")</f>
        <v/>
      </c>
      <c r="CR602" s="39" t="str">
        <f>IFERROR(proje!DC97*100/proje!$I97,"")</f>
        <v/>
      </c>
      <c r="CS602" s="39" t="str">
        <f>IFERROR(proje!DD97*100/proje!$I97,"")</f>
        <v/>
      </c>
      <c r="CT602" s="39" t="str">
        <f>IFERROR(proje!DE97*100/proje!$I97,"")</f>
        <v/>
      </c>
      <c r="CU602" s="39" t="str">
        <f>IFERROR(proje!DF97*100/proje!$I97,"")</f>
        <v/>
      </c>
      <c r="CV602" s="39" t="str">
        <f>IFERROR(proje!DG97*100/proje!$I97,"")</f>
        <v/>
      </c>
      <c r="CW602" s="36" t="str">
        <f>IFERROR(SUM(A602:CV602)/proje!$DH$103,"")</f>
        <v/>
      </c>
      <c r="CX602" s="14" t="str">
        <f>IF(COUNTA(proje!A97),proje!A97,"")</f>
        <v/>
      </c>
      <c r="CY602" s="14" t="str">
        <f>IF(COUNTA(proje!B97),proje!B97,"")</f>
        <v/>
      </c>
      <c r="CZ602" s="14" t="str">
        <f>IF(COUNTA(proje!C97),proje!C97,"")</f>
        <v/>
      </c>
      <c r="DA602" s="14" t="str">
        <f>IF(COUNTA(proje!D97),proje!D97,"")</f>
        <v/>
      </c>
      <c r="DB602" s="14" t="str">
        <f>IF(COUNTA(proje!E97),proje!E97,"")</f>
        <v/>
      </c>
      <c r="DC602" s="14" t="str">
        <f>IF(COUNTA(proje!F97),proje!F97,"")</f>
        <v/>
      </c>
      <c r="DD602" s="14" t="str">
        <f>IF(COUNTA(proje!G97),proje!G97,"")</f>
        <v/>
      </c>
      <c r="DE602" s="14" t="str">
        <f>IF(COUNTA(proje!H97),proje!H97,"")</f>
        <v/>
      </c>
    </row>
    <row r="603" spans="1:109" x14ac:dyDescent="0.2">
      <c r="A603" s="39" t="str">
        <f>IFERROR(proje!L98*100/proje!$I98,"")</f>
        <v/>
      </c>
      <c r="B603" s="39" t="str">
        <f>IFERROR(proje!M98*100/proje!$I98,"")</f>
        <v/>
      </c>
      <c r="C603" s="39" t="str">
        <f>IFERROR(proje!N98*100/proje!$I98,"")</f>
        <v/>
      </c>
      <c r="D603" s="39" t="str">
        <f>IFERROR(proje!O98*100/proje!$I98,"")</f>
        <v/>
      </c>
      <c r="E603" s="39" t="str">
        <f>IFERROR(proje!P98*100/proje!$I98,"")</f>
        <v/>
      </c>
      <c r="F603" s="39" t="str">
        <f>IFERROR(proje!Q98*100/proje!$I98,"")</f>
        <v/>
      </c>
      <c r="G603" s="39" t="str">
        <f>IFERROR(proje!R98*100/proje!$I98,"")</f>
        <v/>
      </c>
      <c r="H603" s="39" t="str">
        <f>IFERROR(proje!S98*100/proje!$I98,"")</f>
        <v/>
      </c>
      <c r="I603" s="39" t="str">
        <f>IFERROR(proje!T98*100/proje!$I98,"")</f>
        <v/>
      </c>
      <c r="J603" s="39" t="str">
        <f>IFERROR(proje!U98*100/proje!$I98,"")</f>
        <v/>
      </c>
      <c r="K603" s="39" t="str">
        <f>IFERROR(proje!V98*100/proje!$I98,"")</f>
        <v/>
      </c>
      <c r="L603" s="39" t="str">
        <f>IFERROR(proje!W98*100/proje!$I98,"")</f>
        <v/>
      </c>
      <c r="M603" s="39" t="str">
        <f>IFERROR(proje!X98*100/proje!$I98,"")</f>
        <v/>
      </c>
      <c r="N603" s="39" t="str">
        <f>IFERROR(proje!Y98*100/proje!$I98,"")</f>
        <v/>
      </c>
      <c r="O603" s="39" t="str">
        <f>IFERROR(proje!Z98*100/proje!$I98,"")</f>
        <v/>
      </c>
      <c r="P603" s="39" t="str">
        <f>IFERROR(proje!AA98*100/proje!$I98,"")</f>
        <v/>
      </c>
      <c r="Q603" s="39" t="str">
        <f>IFERROR(proje!AB98*100/proje!$I98,"")</f>
        <v/>
      </c>
      <c r="R603" s="39" t="str">
        <f>IFERROR(proje!AC98*100/proje!$I98,"")</f>
        <v/>
      </c>
      <c r="S603" s="39" t="str">
        <f>IFERROR(proje!AD98*100/proje!$I98,"")</f>
        <v/>
      </c>
      <c r="T603" s="39" t="str">
        <f>IFERROR(proje!AE98*100/proje!$I98,"")</f>
        <v/>
      </c>
      <c r="U603" s="39" t="str">
        <f>IFERROR(proje!AF98*100/proje!$I98,"")</f>
        <v/>
      </c>
      <c r="V603" s="39" t="str">
        <f>IFERROR(proje!AG98*100/proje!$I98,"")</f>
        <v/>
      </c>
      <c r="W603" s="39" t="str">
        <f>IFERROR(proje!AH98*100/proje!$I98,"")</f>
        <v/>
      </c>
      <c r="X603" s="39" t="str">
        <f>IFERROR(proje!AI98*100/proje!$I98,"")</f>
        <v/>
      </c>
      <c r="Y603" s="39" t="str">
        <f>IFERROR(proje!AJ98*100/proje!$I98,"")</f>
        <v/>
      </c>
      <c r="Z603" s="39" t="str">
        <f>IFERROR(proje!AK98*100/proje!$I98,"")</f>
        <v/>
      </c>
      <c r="AA603" s="39" t="str">
        <f>IFERROR(proje!AL98*100/proje!$I98,"")</f>
        <v/>
      </c>
      <c r="AB603" s="39" t="str">
        <f>IFERROR(proje!AM98*100/proje!$I98,"")</f>
        <v/>
      </c>
      <c r="AC603" s="39" t="str">
        <f>IFERROR(proje!AN98*100/proje!$I98,"")</f>
        <v/>
      </c>
      <c r="AD603" s="39" t="str">
        <f>IFERROR(proje!AO98*100/proje!$I98,"")</f>
        <v/>
      </c>
      <c r="AE603" s="39" t="str">
        <f>IFERROR(proje!AP98*100/proje!$I98,"")</f>
        <v/>
      </c>
      <c r="AF603" s="39" t="str">
        <f>IFERROR(proje!AQ98*100/proje!$I98,"")</f>
        <v/>
      </c>
      <c r="AG603" s="39" t="str">
        <f>IFERROR(proje!AR98*100/proje!$I98,"")</f>
        <v/>
      </c>
      <c r="AH603" s="39" t="str">
        <f>IFERROR(proje!AS98*100/proje!$I98,"")</f>
        <v/>
      </c>
      <c r="AI603" s="39" t="str">
        <f>IFERROR(proje!AT98*100/proje!$I98,"")</f>
        <v/>
      </c>
      <c r="AJ603" s="39" t="str">
        <f>IFERROR(proje!AU98*100/proje!$I98,"")</f>
        <v/>
      </c>
      <c r="AK603" s="39" t="str">
        <f>IFERROR(proje!AV98*100/proje!$I98,"")</f>
        <v/>
      </c>
      <c r="AL603" s="39" t="str">
        <f>IFERROR(proje!AW98*100/proje!$I98,"")</f>
        <v/>
      </c>
      <c r="AM603" s="39" t="str">
        <f>IFERROR(proje!AX98*100/proje!$I98,"")</f>
        <v/>
      </c>
      <c r="AN603" s="39" t="str">
        <f>IFERROR(proje!AY98*100/proje!$I98,"")</f>
        <v/>
      </c>
      <c r="AO603" s="39" t="str">
        <f>IFERROR(proje!AZ98*100/proje!$I98,"")</f>
        <v/>
      </c>
      <c r="AP603" s="39" t="str">
        <f>IFERROR(proje!BA98*100/proje!$I98,"")</f>
        <v/>
      </c>
      <c r="AQ603" s="39" t="str">
        <f>IFERROR(proje!BB98*100/proje!$I98,"")</f>
        <v/>
      </c>
      <c r="AR603" s="39" t="str">
        <f>IFERROR(proje!BC98*100/proje!$I98,"")</f>
        <v/>
      </c>
      <c r="AS603" s="39" t="str">
        <f>IFERROR(proje!BD98*100/proje!$I98,"")</f>
        <v/>
      </c>
      <c r="AT603" s="39" t="str">
        <f>IFERROR(proje!BE98*100/proje!$I98,"")</f>
        <v/>
      </c>
      <c r="AU603" s="39" t="str">
        <f>IFERROR(proje!BF98*100/proje!$I98,"")</f>
        <v/>
      </c>
      <c r="AV603" s="39" t="str">
        <f>IFERROR(proje!BG98*100/proje!$I98,"")</f>
        <v/>
      </c>
      <c r="AW603" s="39" t="str">
        <f>IFERROR(proje!BH98*100/proje!$I98,"")</f>
        <v/>
      </c>
      <c r="AX603" s="39" t="str">
        <f>IFERROR(proje!BI98*100/proje!$I98,"")</f>
        <v/>
      </c>
      <c r="AY603" s="39" t="str">
        <f>IFERROR(proje!BJ98*100/proje!$I98,"")</f>
        <v/>
      </c>
      <c r="AZ603" s="39" t="str">
        <f>IFERROR(proje!BK98*100/proje!$I98,"")</f>
        <v/>
      </c>
      <c r="BA603" s="39" t="str">
        <f>IFERROR(proje!BL98*100/proje!$I98,"")</f>
        <v/>
      </c>
      <c r="BB603" s="39" t="str">
        <f>IFERROR(proje!BM98*100/proje!$I98,"")</f>
        <v/>
      </c>
      <c r="BC603" s="39" t="str">
        <f>IFERROR(proje!BN98*100/proje!$I98,"")</f>
        <v/>
      </c>
      <c r="BD603" s="39" t="str">
        <f>IFERROR(proje!BO98*100/proje!$I98,"")</f>
        <v/>
      </c>
      <c r="BE603" s="39" t="str">
        <f>IFERROR(proje!BP98*100/proje!$I98,"")</f>
        <v/>
      </c>
      <c r="BF603" s="39" t="str">
        <f>IFERROR(proje!BQ98*100/proje!$I98,"")</f>
        <v/>
      </c>
      <c r="BG603" s="39" t="str">
        <f>IFERROR(proje!BR98*100/proje!$I98,"")</f>
        <v/>
      </c>
      <c r="BH603" s="39" t="str">
        <f>IFERROR(proje!BS98*100/proje!$I98,"")</f>
        <v/>
      </c>
      <c r="BI603" s="39" t="str">
        <f>IFERROR(proje!BT98*100/proje!$I98,"")</f>
        <v/>
      </c>
      <c r="BJ603" s="39" t="str">
        <f>IFERROR(proje!BU98*100/proje!$I98,"")</f>
        <v/>
      </c>
      <c r="BK603" s="39" t="str">
        <f>IFERROR(proje!BV98*100/proje!$I98,"")</f>
        <v/>
      </c>
      <c r="BL603" s="39" t="str">
        <f>IFERROR(proje!BW98*100/proje!$I98,"")</f>
        <v/>
      </c>
      <c r="BM603" s="39" t="str">
        <f>IFERROR(proje!BX98*100/proje!$I98,"")</f>
        <v/>
      </c>
      <c r="BN603" s="39" t="str">
        <f>IFERROR(proje!BY98*100/proje!$I98,"")</f>
        <v/>
      </c>
      <c r="BO603" s="39" t="str">
        <f>IFERROR(proje!BZ98*100/proje!$I98,"")</f>
        <v/>
      </c>
      <c r="BP603" s="39" t="str">
        <f>IFERROR(proje!CA98*100/proje!$I98,"")</f>
        <v/>
      </c>
      <c r="BQ603" s="39" t="str">
        <f>IFERROR(proje!CB98*100/proje!$I98,"")</f>
        <v/>
      </c>
      <c r="BR603" s="39" t="str">
        <f>IFERROR(proje!CC98*100/proje!$I98,"")</f>
        <v/>
      </c>
      <c r="BS603" s="39" t="str">
        <f>IFERROR(proje!CD98*100/proje!$I98,"")</f>
        <v/>
      </c>
      <c r="BT603" s="39" t="str">
        <f>IFERROR(proje!CE98*100/proje!$I98,"")</f>
        <v/>
      </c>
      <c r="BU603" s="39" t="str">
        <f>IFERROR(proje!CF98*100/proje!$I98,"")</f>
        <v/>
      </c>
      <c r="BV603" s="39" t="str">
        <f>IFERROR(proje!CG98*100/proje!$I98,"")</f>
        <v/>
      </c>
      <c r="BW603" s="39" t="str">
        <f>IFERROR(proje!CH98*100/proje!$I98,"")</f>
        <v/>
      </c>
      <c r="BX603" s="39" t="str">
        <f>IFERROR(proje!CI98*100/proje!$I98,"")</f>
        <v/>
      </c>
      <c r="BY603" s="39" t="str">
        <f>IFERROR(proje!CJ98*100/proje!$I98,"")</f>
        <v/>
      </c>
      <c r="BZ603" s="39" t="str">
        <f>IFERROR(proje!CK98*100/proje!$I98,"")</f>
        <v/>
      </c>
      <c r="CA603" s="39" t="str">
        <f>IFERROR(proje!CL98*100/proje!$I98,"")</f>
        <v/>
      </c>
      <c r="CB603" s="39" t="str">
        <f>IFERROR(proje!CM98*100/proje!$I98,"")</f>
        <v/>
      </c>
      <c r="CC603" s="39" t="str">
        <f>IFERROR(proje!CN98*100/proje!$I98,"")</f>
        <v/>
      </c>
      <c r="CD603" s="39" t="str">
        <f>IFERROR(proje!CO98*100/proje!$I98,"")</f>
        <v/>
      </c>
      <c r="CE603" s="39" t="str">
        <f>IFERROR(proje!CP98*100/proje!$I98,"")</f>
        <v/>
      </c>
      <c r="CF603" s="39" t="str">
        <f>IFERROR(proje!CQ98*100/proje!$I98,"")</f>
        <v/>
      </c>
      <c r="CG603" s="39" t="str">
        <f>IFERROR(proje!CR98*100/proje!$I98,"")</f>
        <v/>
      </c>
      <c r="CH603" s="39" t="str">
        <f>IFERROR(proje!CS98*100/proje!$I98,"")</f>
        <v/>
      </c>
      <c r="CI603" s="39" t="str">
        <f>IFERROR(proje!CT98*100/proje!$I98,"")</f>
        <v/>
      </c>
      <c r="CJ603" s="39" t="str">
        <f>IFERROR(proje!CU98*100/proje!$I98,"")</f>
        <v/>
      </c>
      <c r="CK603" s="39" t="str">
        <f>IFERROR(proje!CV98*100/proje!$I98,"")</f>
        <v/>
      </c>
      <c r="CL603" s="39" t="str">
        <f>IFERROR(proje!CW98*100/proje!$I98,"")</f>
        <v/>
      </c>
      <c r="CM603" s="39" t="str">
        <f>IFERROR(proje!CX98*100/proje!$I98,"")</f>
        <v/>
      </c>
      <c r="CN603" s="39" t="str">
        <f>IFERROR(proje!CY98*100/proje!$I98,"")</f>
        <v/>
      </c>
      <c r="CO603" s="39" t="str">
        <f>IFERROR(proje!CZ98*100/proje!$I98,"")</f>
        <v/>
      </c>
      <c r="CP603" s="39" t="str">
        <f>IFERROR(proje!DA98*100/proje!$I98,"")</f>
        <v/>
      </c>
      <c r="CQ603" s="39" t="str">
        <f>IFERROR(proje!DB98*100/proje!$I98,"")</f>
        <v/>
      </c>
      <c r="CR603" s="39" t="str">
        <f>IFERROR(proje!DC98*100/proje!$I98,"")</f>
        <v/>
      </c>
      <c r="CS603" s="39" t="str">
        <f>IFERROR(proje!DD98*100/proje!$I98,"")</f>
        <v/>
      </c>
      <c r="CT603" s="39" t="str">
        <f>IFERROR(proje!DE98*100/proje!$I98,"")</f>
        <v/>
      </c>
      <c r="CU603" s="39" t="str">
        <f>IFERROR(proje!DF98*100/proje!$I98,"")</f>
        <v/>
      </c>
      <c r="CV603" s="39" t="str">
        <f>IFERROR(proje!DG98*100/proje!$I98,"")</f>
        <v/>
      </c>
      <c r="CW603" s="36" t="str">
        <f>IFERROR(SUM(A603:CV603)/proje!$DH$103,"")</f>
        <v/>
      </c>
      <c r="CX603" s="14" t="str">
        <f>IF(COUNTA(proje!A98),proje!A98,"")</f>
        <v/>
      </c>
      <c r="CY603" s="14" t="str">
        <f>IF(COUNTA(proje!B98),proje!B98,"")</f>
        <v/>
      </c>
      <c r="CZ603" s="14" t="str">
        <f>IF(COUNTA(proje!C98),proje!C98,"")</f>
        <v/>
      </c>
      <c r="DA603" s="14" t="str">
        <f>IF(COUNTA(proje!D98),proje!D98,"")</f>
        <v/>
      </c>
      <c r="DB603" s="14" t="str">
        <f>IF(COUNTA(proje!E98),proje!E98,"")</f>
        <v/>
      </c>
      <c r="DC603" s="14" t="str">
        <f>IF(COUNTA(proje!F98),proje!F98,"")</f>
        <v/>
      </c>
      <c r="DD603" s="14" t="str">
        <f>IF(COUNTA(proje!G98),proje!G98,"")</f>
        <v/>
      </c>
      <c r="DE603" s="14" t="str">
        <f>IF(COUNTA(proje!H98),proje!H98,"")</f>
        <v/>
      </c>
    </row>
    <row r="604" spans="1:109" x14ac:dyDescent="0.2">
      <c r="A604" s="39" t="str">
        <f>IFERROR(proje!L99*100/proje!$I99,"")</f>
        <v/>
      </c>
      <c r="B604" s="39" t="str">
        <f>IFERROR(proje!M99*100/proje!$I99,"")</f>
        <v/>
      </c>
      <c r="C604" s="39" t="str">
        <f>IFERROR(proje!N99*100/proje!$I99,"")</f>
        <v/>
      </c>
      <c r="D604" s="39" t="str">
        <f>IFERROR(proje!O99*100/proje!$I99,"")</f>
        <v/>
      </c>
      <c r="E604" s="39" t="str">
        <f>IFERROR(proje!P99*100/proje!$I99,"")</f>
        <v/>
      </c>
      <c r="F604" s="39" t="str">
        <f>IFERROR(proje!Q99*100/proje!$I99,"")</f>
        <v/>
      </c>
      <c r="G604" s="39" t="str">
        <f>IFERROR(proje!R99*100/proje!$I99,"")</f>
        <v/>
      </c>
      <c r="H604" s="39" t="str">
        <f>IFERROR(proje!S99*100/proje!$I99,"")</f>
        <v/>
      </c>
      <c r="I604" s="39" t="str">
        <f>IFERROR(proje!T99*100/proje!$I99,"")</f>
        <v/>
      </c>
      <c r="J604" s="39" t="str">
        <f>IFERROR(proje!U99*100/proje!$I99,"")</f>
        <v/>
      </c>
      <c r="K604" s="39" t="str">
        <f>IFERROR(proje!V99*100/proje!$I99,"")</f>
        <v/>
      </c>
      <c r="L604" s="39" t="str">
        <f>IFERROR(proje!W99*100/proje!$I99,"")</f>
        <v/>
      </c>
      <c r="M604" s="39" t="str">
        <f>IFERROR(proje!X99*100/proje!$I99,"")</f>
        <v/>
      </c>
      <c r="N604" s="39" t="str">
        <f>IFERROR(proje!Y99*100/proje!$I99,"")</f>
        <v/>
      </c>
      <c r="O604" s="39" t="str">
        <f>IFERROR(proje!Z99*100/proje!$I99,"")</f>
        <v/>
      </c>
      <c r="P604" s="39" t="str">
        <f>IFERROR(proje!AA99*100/proje!$I99,"")</f>
        <v/>
      </c>
      <c r="Q604" s="39" t="str">
        <f>IFERROR(proje!AB99*100/proje!$I99,"")</f>
        <v/>
      </c>
      <c r="R604" s="39" t="str">
        <f>IFERROR(proje!AC99*100/proje!$I99,"")</f>
        <v/>
      </c>
      <c r="S604" s="39" t="str">
        <f>IFERROR(proje!AD99*100/proje!$I99,"")</f>
        <v/>
      </c>
      <c r="T604" s="39" t="str">
        <f>IFERROR(proje!AE99*100/proje!$I99,"")</f>
        <v/>
      </c>
      <c r="U604" s="39" t="str">
        <f>IFERROR(proje!AF99*100/proje!$I99,"")</f>
        <v/>
      </c>
      <c r="V604" s="39" t="str">
        <f>IFERROR(proje!AG99*100/proje!$I99,"")</f>
        <v/>
      </c>
      <c r="W604" s="39" t="str">
        <f>IFERROR(proje!AH99*100/proje!$I99,"")</f>
        <v/>
      </c>
      <c r="X604" s="39" t="str">
        <f>IFERROR(proje!AI99*100/proje!$I99,"")</f>
        <v/>
      </c>
      <c r="Y604" s="39" t="str">
        <f>IFERROR(proje!AJ99*100/proje!$I99,"")</f>
        <v/>
      </c>
      <c r="Z604" s="39" t="str">
        <f>IFERROR(proje!AK99*100/proje!$I99,"")</f>
        <v/>
      </c>
      <c r="AA604" s="39" t="str">
        <f>IFERROR(proje!AL99*100/proje!$I99,"")</f>
        <v/>
      </c>
      <c r="AB604" s="39" t="str">
        <f>IFERROR(proje!AM99*100/proje!$I99,"")</f>
        <v/>
      </c>
      <c r="AC604" s="39" t="str">
        <f>IFERROR(proje!AN99*100/proje!$I99,"")</f>
        <v/>
      </c>
      <c r="AD604" s="39" t="str">
        <f>IFERROR(proje!AO99*100/proje!$I99,"")</f>
        <v/>
      </c>
      <c r="AE604" s="39" t="str">
        <f>IFERROR(proje!AP99*100/proje!$I99,"")</f>
        <v/>
      </c>
      <c r="AF604" s="39" t="str">
        <f>IFERROR(proje!AQ99*100/proje!$I99,"")</f>
        <v/>
      </c>
      <c r="AG604" s="39" t="str">
        <f>IFERROR(proje!AR99*100/proje!$I99,"")</f>
        <v/>
      </c>
      <c r="AH604" s="39" t="str">
        <f>IFERROR(proje!AS99*100/proje!$I99,"")</f>
        <v/>
      </c>
      <c r="AI604" s="39" t="str">
        <f>IFERROR(proje!AT99*100/proje!$I99,"")</f>
        <v/>
      </c>
      <c r="AJ604" s="39" t="str">
        <f>IFERROR(proje!AU99*100/proje!$I99,"")</f>
        <v/>
      </c>
      <c r="AK604" s="39" t="str">
        <f>IFERROR(proje!AV99*100/proje!$I99,"")</f>
        <v/>
      </c>
      <c r="AL604" s="39" t="str">
        <f>IFERROR(proje!AW99*100/proje!$I99,"")</f>
        <v/>
      </c>
      <c r="AM604" s="39" t="str">
        <f>IFERROR(proje!AX99*100/proje!$I99,"")</f>
        <v/>
      </c>
      <c r="AN604" s="39" t="str">
        <f>IFERROR(proje!AY99*100/proje!$I99,"")</f>
        <v/>
      </c>
      <c r="AO604" s="39" t="str">
        <f>IFERROR(proje!AZ99*100/proje!$I99,"")</f>
        <v/>
      </c>
      <c r="AP604" s="39" t="str">
        <f>IFERROR(proje!BA99*100/proje!$I99,"")</f>
        <v/>
      </c>
      <c r="AQ604" s="39" t="str">
        <f>IFERROR(proje!BB99*100/proje!$I99,"")</f>
        <v/>
      </c>
      <c r="AR604" s="39" t="str">
        <f>IFERROR(proje!BC99*100/proje!$I99,"")</f>
        <v/>
      </c>
      <c r="AS604" s="39" t="str">
        <f>IFERROR(proje!BD99*100/proje!$I99,"")</f>
        <v/>
      </c>
      <c r="AT604" s="39" t="str">
        <f>IFERROR(proje!BE99*100/proje!$I99,"")</f>
        <v/>
      </c>
      <c r="AU604" s="39" t="str">
        <f>IFERROR(proje!BF99*100/proje!$I99,"")</f>
        <v/>
      </c>
      <c r="AV604" s="39" t="str">
        <f>IFERROR(proje!BG99*100/proje!$I99,"")</f>
        <v/>
      </c>
      <c r="AW604" s="39" t="str">
        <f>IFERROR(proje!BH99*100/proje!$I99,"")</f>
        <v/>
      </c>
      <c r="AX604" s="39" t="str">
        <f>IFERROR(proje!BI99*100/proje!$I99,"")</f>
        <v/>
      </c>
      <c r="AY604" s="39" t="str">
        <f>IFERROR(proje!BJ99*100/proje!$I99,"")</f>
        <v/>
      </c>
      <c r="AZ604" s="39" t="str">
        <f>IFERROR(proje!BK99*100/proje!$I99,"")</f>
        <v/>
      </c>
      <c r="BA604" s="39" t="str">
        <f>IFERROR(proje!BL99*100/proje!$I99,"")</f>
        <v/>
      </c>
      <c r="BB604" s="39" t="str">
        <f>IFERROR(proje!BM99*100/proje!$I99,"")</f>
        <v/>
      </c>
      <c r="BC604" s="39" t="str">
        <f>IFERROR(proje!BN99*100/proje!$I99,"")</f>
        <v/>
      </c>
      <c r="BD604" s="39" t="str">
        <f>IFERROR(proje!BO99*100/proje!$I99,"")</f>
        <v/>
      </c>
      <c r="BE604" s="39" t="str">
        <f>IFERROR(proje!BP99*100/proje!$I99,"")</f>
        <v/>
      </c>
      <c r="BF604" s="39" t="str">
        <f>IFERROR(proje!BQ99*100/proje!$I99,"")</f>
        <v/>
      </c>
      <c r="BG604" s="39" t="str">
        <f>IFERROR(proje!BR99*100/proje!$I99,"")</f>
        <v/>
      </c>
      <c r="BH604" s="39" t="str">
        <f>IFERROR(proje!BS99*100/proje!$I99,"")</f>
        <v/>
      </c>
      <c r="BI604" s="39" t="str">
        <f>IFERROR(proje!BT99*100/proje!$I99,"")</f>
        <v/>
      </c>
      <c r="BJ604" s="39" t="str">
        <f>IFERROR(proje!BU99*100/proje!$I99,"")</f>
        <v/>
      </c>
      <c r="BK604" s="39" t="str">
        <f>IFERROR(proje!BV99*100/proje!$I99,"")</f>
        <v/>
      </c>
      <c r="BL604" s="39" t="str">
        <f>IFERROR(proje!BW99*100/proje!$I99,"")</f>
        <v/>
      </c>
      <c r="BM604" s="39" t="str">
        <f>IFERROR(proje!BX99*100/proje!$I99,"")</f>
        <v/>
      </c>
      <c r="BN604" s="39" t="str">
        <f>IFERROR(proje!BY99*100/proje!$I99,"")</f>
        <v/>
      </c>
      <c r="BO604" s="39" t="str">
        <f>IFERROR(proje!BZ99*100/proje!$I99,"")</f>
        <v/>
      </c>
      <c r="BP604" s="39" t="str">
        <f>IFERROR(proje!CA99*100/proje!$I99,"")</f>
        <v/>
      </c>
      <c r="BQ604" s="39" t="str">
        <f>IFERROR(proje!CB99*100/proje!$I99,"")</f>
        <v/>
      </c>
      <c r="BR604" s="39" t="str">
        <f>IFERROR(proje!CC99*100/proje!$I99,"")</f>
        <v/>
      </c>
      <c r="BS604" s="39" t="str">
        <f>IFERROR(proje!CD99*100/proje!$I99,"")</f>
        <v/>
      </c>
      <c r="BT604" s="39" t="str">
        <f>IFERROR(proje!CE99*100/proje!$I99,"")</f>
        <v/>
      </c>
      <c r="BU604" s="39" t="str">
        <f>IFERROR(proje!CF99*100/proje!$I99,"")</f>
        <v/>
      </c>
      <c r="BV604" s="39" t="str">
        <f>IFERROR(proje!CG99*100/proje!$I99,"")</f>
        <v/>
      </c>
      <c r="BW604" s="39" t="str">
        <f>IFERROR(proje!CH99*100/proje!$I99,"")</f>
        <v/>
      </c>
      <c r="BX604" s="39" t="str">
        <f>IFERROR(proje!CI99*100/proje!$I99,"")</f>
        <v/>
      </c>
      <c r="BY604" s="39" t="str">
        <f>IFERROR(proje!CJ99*100/proje!$I99,"")</f>
        <v/>
      </c>
      <c r="BZ604" s="39" t="str">
        <f>IFERROR(proje!CK99*100/proje!$I99,"")</f>
        <v/>
      </c>
      <c r="CA604" s="39" t="str">
        <f>IFERROR(proje!CL99*100/proje!$I99,"")</f>
        <v/>
      </c>
      <c r="CB604" s="39" t="str">
        <f>IFERROR(proje!CM99*100/proje!$I99,"")</f>
        <v/>
      </c>
      <c r="CC604" s="39" t="str">
        <f>IFERROR(proje!CN99*100/proje!$I99,"")</f>
        <v/>
      </c>
      <c r="CD604" s="39" t="str">
        <f>IFERROR(proje!CO99*100/proje!$I99,"")</f>
        <v/>
      </c>
      <c r="CE604" s="39" t="str">
        <f>IFERROR(proje!CP99*100/proje!$I99,"")</f>
        <v/>
      </c>
      <c r="CF604" s="39" t="str">
        <f>IFERROR(proje!CQ99*100/proje!$I99,"")</f>
        <v/>
      </c>
      <c r="CG604" s="39" t="str">
        <f>IFERROR(proje!CR99*100/proje!$I99,"")</f>
        <v/>
      </c>
      <c r="CH604" s="39" t="str">
        <f>IFERROR(proje!CS99*100/proje!$I99,"")</f>
        <v/>
      </c>
      <c r="CI604" s="39" t="str">
        <f>IFERROR(proje!CT99*100/proje!$I99,"")</f>
        <v/>
      </c>
      <c r="CJ604" s="39" t="str">
        <f>IFERROR(proje!CU99*100/proje!$I99,"")</f>
        <v/>
      </c>
      <c r="CK604" s="39" t="str">
        <f>IFERROR(proje!CV99*100/proje!$I99,"")</f>
        <v/>
      </c>
      <c r="CL604" s="39" t="str">
        <f>IFERROR(proje!CW99*100/proje!$I99,"")</f>
        <v/>
      </c>
      <c r="CM604" s="39" t="str">
        <f>IFERROR(proje!CX99*100/proje!$I99,"")</f>
        <v/>
      </c>
      <c r="CN604" s="39" t="str">
        <f>IFERROR(proje!CY99*100/proje!$I99,"")</f>
        <v/>
      </c>
      <c r="CO604" s="39" t="str">
        <f>IFERROR(proje!CZ99*100/proje!$I99,"")</f>
        <v/>
      </c>
      <c r="CP604" s="39" t="str">
        <f>IFERROR(proje!DA99*100/proje!$I99,"")</f>
        <v/>
      </c>
      <c r="CQ604" s="39" t="str">
        <f>IFERROR(proje!DB99*100/proje!$I99,"")</f>
        <v/>
      </c>
      <c r="CR604" s="39" t="str">
        <f>IFERROR(proje!DC99*100/proje!$I99,"")</f>
        <v/>
      </c>
      <c r="CS604" s="39" t="str">
        <f>IFERROR(proje!DD99*100/proje!$I99,"")</f>
        <v/>
      </c>
      <c r="CT604" s="39" t="str">
        <f>IFERROR(proje!DE99*100/proje!$I99,"")</f>
        <v/>
      </c>
      <c r="CU604" s="39" t="str">
        <f>IFERROR(proje!DF99*100/proje!$I99,"")</f>
        <v/>
      </c>
      <c r="CV604" s="39" t="str">
        <f>IFERROR(proje!DG99*100/proje!$I99,"")</f>
        <v/>
      </c>
      <c r="CW604" s="36" t="str">
        <f>IFERROR(SUM(A604:CV604)/proje!$DH$103,"")</f>
        <v/>
      </c>
      <c r="CX604" s="14" t="str">
        <f>IF(COUNTA(proje!A99),proje!A99,"")</f>
        <v/>
      </c>
      <c r="CY604" s="14" t="str">
        <f>IF(COUNTA(proje!B99),proje!B99,"")</f>
        <v/>
      </c>
      <c r="CZ604" s="14" t="str">
        <f>IF(COUNTA(proje!C99),proje!C99,"")</f>
        <v/>
      </c>
      <c r="DA604" s="14" t="str">
        <f>IF(COUNTA(proje!D99),proje!D99,"")</f>
        <v/>
      </c>
      <c r="DB604" s="14" t="str">
        <f>IF(COUNTA(proje!E99),proje!E99,"")</f>
        <v/>
      </c>
      <c r="DC604" s="14" t="str">
        <f>IF(COUNTA(proje!F99),proje!F99,"")</f>
        <v/>
      </c>
      <c r="DD604" s="14" t="str">
        <f>IF(COUNTA(proje!G99),proje!G99,"")</f>
        <v/>
      </c>
      <c r="DE604" s="14" t="str">
        <f>IF(COUNTA(proje!H99),proje!H99,"")</f>
        <v/>
      </c>
    </row>
    <row r="605" spans="1:109" x14ac:dyDescent="0.2">
      <c r="A605" s="39" t="str">
        <f>IFERROR(proje!L100*100/proje!$I100,"")</f>
        <v/>
      </c>
      <c r="B605" s="39" t="str">
        <f>IFERROR(proje!M100*100/proje!$I100,"")</f>
        <v/>
      </c>
      <c r="C605" s="39" t="str">
        <f>IFERROR(proje!N100*100/proje!$I100,"")</f>
        <v/>
      </c>
      <c r="D605" s="39" t="str">
        <f>IFERROR(proje!O100*100/proje!$I100,"")</f>
        <v/>
      </c>
      <c r="E605" s="39" t="str">
        <f>IFERROR(proje!P100*100/proje!$I100,"")</f>
        <v/>
      </c>
      <c r="F605" s="39" t="str">
        <f>IFERROR(proje!Q100*100/proje!$I100,"")</f>
        <v/>
      </c>
      <c r="G605" s="39" t="str">
        <f>IFERROR(proje!R100*100/proje!$I100,"")</f>
        <v/>
      </c>
      <c r="H605" s="39" t="str">
        <f>IFERROR(proje!S100*100/proje!$I100,"")</f>
        <v/>
      </c>
      <c r="I605" s="39" t="str">
        <f>IFERROR(proje!T100*100/proje!$I100,"")</f>
        <v/>
      </c>
      <c r="J605" s="39" t="str">
        <f>IFERROR(proje!U100*100/proje!$I100,"")</f>
        <v/>
      </c>
      <c r="K605" s="39" t="str">
        <f>IFERROR(proje!V100*100/proje!$I100,"")</f>
        <v/>
      </c>
      <c r="L605" s="39" t="str">
        <f>IFERROR(proje!W100*100/proje!$I100,"")</f>
        <v/>
      </c>
      <c r="M605" s="39" t="str">
        <f>IFERROR(proje!X100*100/proje!$I100,"")</f>
        <v/>
      </c>
      <c r="N605" s="39" t="str">
        <f>IFERROR(proje!Y100*100/proje!$I100,"")</f>
        <v/>
      </c>
      <c r="O605" s="39" t="str">
        <f>IFERROR(proje!Z100*100/proje!$I100,"")</f>
        <v/>
      </c>
      <c r="P605" s="39" t="str">
        <f>IFERROR(proje!AA100*100/proje!$I100,"")</f>
        <v/>
      </c>
      <c r="Q605" s="39" t="str">
        <f>IFERROR(proje!AB100*100/proje!$I100,"")</f>
        <v/>
      </c>
      <c r="R605" s="39" t="str">
        <f>IFERROR(proje!AC100*100/proje!$I100,"")</f>
        <v/>
      </c>
      <c r="S605" s="39" t="str">
        <f>IFERROR(proje!AD100*100/proje!$I100,"")</f>
        <v/>
      </c>
      <c r="T605" s="39" t="str">
        <f>IFERROR(proje!AE100*100/proje!$I100,"")</f>
        <v/>
      </c>
      <c r="U605" s="39" t="str">
        <f>IFERROR(proje!AF100*100/proje!$I100,"")</f>
        <v/>
      </c>
      <c r="V605" s="39" t="str">
        <f>IFERROR(proje!AG100*100/proje!$I100,"")</f>
        <v/>
      </c>
      <c r="W605" s="39" t="str">
        <f>IFERROR(proje!AH100*100/proje!$I100,"")</f>
        <v/>
      </c>
      <c r="X605" s="39" t="str">
        <f>IFERROR(proje!AI100*100/proje!$I100,"")</f>
        <v/>
      </c>
      <c r="Y605" s="39" t="str">
        <f>IFERROR(proje!AJ100*100/proje!$I100,"")</f>
        <v/>
      </c>
      <c r="Z605" s="39" t="str">
        <f>IFERROR(proje!AK100*100/proje!$I100,"")</f>
        <v/>
      </c>
      <c r="AA605" s="39" t="str">
        <f>IFERROR(proje!AL100*100/proje!$I100,"")</f>
        <v/>
      </c>
      <c r="AB605" s="39" t="str">
        <f>IFERROR(proje!AM100*100/proje!$I100,"")</f>
        <v/>
      </c>
      <c r="AC605" s="39" t="str">
        <f>IFERROR(proje!AN100*100/proje!$I100,"")</f>
        <v/>
      </c>
      <c r="AD605" s="39" t="str">
        <f>IFERROR(proje!AO100*100/proje!$I100,"")</f>
        <v/>
      </c>
      <c r="AE605" s="39" t="str">
        <f>IFERROR(proje!AP100*100/proje!$I100,"")</f>
        <v/>
      </c>
      <c r="AF605" s="39" t="str">
        <f>IFERROR(proje!AQ100*100/proje!$I100,"")</f>
        <v/>
      </c>
      <c r="AG605" s="39" t="str">
        <f>IFERROR(proje!AR100*100/proje!$I100,"")</f>
        <v/>
      </c>
      <c r="AH605" s="39" t="str">
        <f>IFERROR(proje!AS100*100/proje!$I100,"")</f>
        <v/>
      </c>
      <c r="AI605" s="39" t="str">
        <f>IFERROR(proje!AT100*100/proje!$I100,"")</f>
        <v/>
      </c>
      <c r="AJ605" s="39" t="str">
        <f>IFERROR(proje!AU100*100/proje!$I100,"")</f>
        <v/>
      </c>
      <c r="AK605" s="39" t="str">
        <f>IFERROR(proje!AV100*100/proje!$I100,"")</f>
        <v/>
      </c>
      <c r="AL605" s="39" t="str">
        <f>IFERROR(proje!AW100*100/proje!$I100,"")</f>
        <v/>
      </c>
      <c r="AM605" s="39" t="str">
        <f>IFERROR(proje!AX100*100/proje!$I100,"")</f>
        <v/>
      </c>
      <c r="AN605" s="39" t="str">
        <f>IFERROR(proje!AY100*100/proje!$I100,"")</f>
        <v/>
      </c>
      <c r="AO605" s="39" t="str">
        <f>IFERROR(proje!AZ100*100/proje!$I100,"")</f>
        <v/>
      </c>
      <c r="AP605" s="39" t="str">
        <f>IFERROR(proje!BA100*100/proje!$I100,"")</f>
        <v/>
      </c>
      <c r="AQ605" s="39" t="str">
        <f>IFERROR(proje!BB100*100/proje!$I100,"")</f>
        <v/>
      </c>
      <c r="AR605" s="39" t="str">
        <f>IFERROR(proje!BC100*100/proje!$I100,"")</f>
        <v/>
      </c>
      <c r="AS605" s="39" t="str">
        <f>IFERROR(proje!BD100*100/proje!$I100,"")</f>
        <v/>
      </c>
      <c r="AT605" s="39" t="str">
        <f>IFERROR(proje!BE100*100/proje!$I100,"")</f>
        <v/>
      </c>
      <c r="AU605" s="39" t="str">
        <f>IFERROR(proje!BF100*100/proje!$I100,"")</f>
        <v/>
      </c>
      <c r="AV605" s="39" t="str">
        <f>IFERROR(proje!BG100*100/proje!$I100,"")</f>
        <v/>
      </c>
      <c r="AW605" s="39" t="str">
        <f>IFERROR(proje!BH100*100/proje!$I100,"")</f>
        <v/>
      </c>
      <c r="AX605" s="39" t="str">
        <f>IFERROR(proje!BI100*100/proje!$I100,"")</f>
        <v/>
      </c>
      <c r="AY605" s="39" t="str">
        <f>IFERROR(proje!BJ100*100/proje!$I100,"")</f>
        <v/>
      </c>
      <c r="AZ605" s="39" t="str">
        <f>IFERROR(proje!BK100*100/proje!$I100,"")</f>
        <v/>
      </c>
      <c r="BA605" s="39" t="str">
        <f>IFERROR(proje!BL100*100/proje!$I100,"")</f>
        <v/>
      </c>
      <c r="BB605" s="39" t="str">
        <f>IFERROR(proje!BM100*100/proje!$I100,"")</f>
        <v/>
      </c>
      <c r="BC605" s="39" t="str">
        <f>IFERROR(proje!BN100*100/proje!$I100,"")</f>
        <v/>
      </c>
      <c r="BD605" s="39" t="str">
        <f>IFERROR(proje!BO100*100/proje!$I100,"")</f>
        <v/>
      </c>
      <c r="BE605" s="39" t="str">
        <f>IFERROR(proje!BP100*100/proje!$I100,"")</f>
        <v/>
      </c>
      <c r="BF605" s="39" t="str">
        <f>IFERROR(proje!BQ100*100/proje!$I100,"")</f>
        <v/>
      </c>
      <c r="BG605" s="39" t="str">
        <f>IFERROR(proje!BR100*100/proje!$I100,"")</f>
        <v/>
      </c>
      <c r="BH605" s="39" t="str">
        <f>IFERROR(proje!BS100*100/proje!$I100,"")</f>
        <v/>
      </c>
      <c r="BI605" s="39" t="str">
        <f>IFERROR(proje!BT100*100/proje!$I100,"")</f>
        <v/>
      </c>
      <c r="BJ605" s="39" t="str">
        <f>IFERROR(proje!BU100*100/proje!$I100,"")</f>
        <v/>
      </c>
      <c r="BK605" s="39" t="str">
        <f>IFERROR(proje!BV100*100/proje!$I100,"")</f>
        <v/>
      </c>
      <c r="BL605" s="39" t="str">
        <f>IFERROR(proje!BW100*100/proje!$I100,"")</f>
        <v/>
      </c>
      <c r="BM605" s="39" t="str">
        <f>IFERROR(proje!BX100*100/proje!$I100,"")</f>
        <v/>
      </c>
      <c r="BN605" s="39" t="str">
        <f>IFERROR(proje!BY100*100/proje!$I100,"")</f>
        <v/>
      </c>
      <c r="BO605" s="39" t="str">
        <f>IFERROR(proje!BZ100*100/proje!$I100,"")</f>
        <v/>
      </c>
      <c r="BP605" s="39" t="str">
        <f>IFERROR(proje!CA100*100/proje!$I100,"")</f>
        <v/>
      </c>
      <c r="BQ605" s="39" t="str">
        <f>IFERROR(proje!CB100*100/proje!$I100,"")</f>
        <v/>
      </c>
      <c r="BR605" s="39" t="str">
        <f>IFERROR(proje!CC100*100/proje!$I100,"")</f>
        <v/>
      </c>
      <c r="BS605" s="39" t="str">
        <f>IFERROR(proje!CD100*100/proje!$I100,"")</f>
        <v/>
      </c>
      <c r="BT605" s="39" t="str">
        <f>IFERROR(proje!CE100*100/proje!$I100,"")</f>
        <v/>
      </c>
      <c r="BU605" s="39" t="str">
        <f>IFERROR(proje!CF100*100/proje!$I100,"")</f>
        <v/>
      </c>
      <c r="BV605" s="39" t="str">
        <f>IFERROR(proje!CG100*100/proje!$I100,"")</f>
        <v/>
      </c>
      <c r="BW605" s="39" t="str">
        <f>IFERROR(proje!CH100*100/proje!$I100,"")</f>
        <v/>
      </c>
      <c r="BX605" s="39" t="str">
        <f>IFERROR(proje!CI100*100/proje!$I100,"")</f>
        <v/>
      </c>
      <c r="BY605" s="39" t="str">
        <f>IFERROR(proje!CJ100*100/proje!$I100,"")</f>
        <v/>
      </c>
      <c r="BZ605" s="39" t="str">
        <f>IFERROR(proje!CK100*100/proje!$I100,"")</f>
        <v/>
      </c>
      <c r="CA605" s="39" t="str">
        <f>IFERROR(proje!CL100*100/proje!$I100,"")</f>
        <v/>
      </c>
      <c r="CB605" s="39" t="str">
        <f>IFERROR(proje!CM100*100/proje!$I100,"")</f>
        <v/>
      </c>
      <c r="CC605" s="39" t="str">
        <f>IFERROR(proje!CN100*100/proje!$I100,"")</f>
        <v/>
      </c>
      <c r="CD605" s="39" t="str">
        <f>IFERROR(proje!CO100*100/proje!$I100,"")</f>
        <v/>
      </c>
      <c r="CE605" s="39" t="str">
        <f>IFERROR(proje!CP100*100/proje!$I100,"")</f>
        <v/>
      </c>
      <c r="CF605" s="39" t="str">
        <f>IFERROR(proje!CQ100*100/proje!$I100,"")</f>
        <v/>
      </c>
      <c r="CG605" s="39" t="str">
        <f>IFERROR(proje!CR100*100/proje!$I100,"")</f>
        <v/>
      </c>
      <c r="CH605" s="39" t="str">
        <f>IFERROR(proje!CS100*100/proje!$I100,"")</f>
        <v/>
      </c>
      <c r="CI605" s="39" t="str">
        <f>IFERROR(proje!CT100*100/proje!$I100,"")</f>
        <v/>
      </c>
      <c r="CJ605" s="39" t="str">
        <f>IFERROR(proje!CU100*100/proje!$I100,"")</f>
        <v/>
      </c>
      <c r="CK605" s="39" t="str">
        <f>IFERROR(proje!CV100*100/proje!$I100,"")</f>
        <v/>
      </c>
      <c r="CL605" s="39" t="str">
        <f>IFERROR(proje!CW100*100/proje!$I100,"")</f>
        <v/>
      </c>
      <c r="CM605" s="39" t="str">
        <f>IFERROR(proje!CX100*100/proje!$I100,"")</f>
        <v/>
      </c>
      <c r="CN605" s="39" t="str">
        <f>IFERROR(proje!CY100*100/proje!$I100,"")</f>
        <v/>
      </c>
      <c r="CO605" s="39" t="str">
        <f>IFERROR(proje!CZ100*100/proje!$I100,"")</f>
        <v/>
      </c>
      <c r="CP605" s="39" t="str">
        <f>IFERROR(proje!DA100*100/proje!$I100,"")</f>
        <v/>
      </c>
      <c r="CQ605" s="39" t="str">
        <f>IFERROR(proje!DB100*100/proje!$I100,"")</f>
        <v/>
      </c>
      <c r="CR605" s="39" t="str">
        <f>IFERROR(proje!DC100*100/proje!$I100,"")</f>
        <v/>
      </c>
      <c r="CS605" s="39" t="str">
        <f>IFERROR(proje!DD100*100/proje!$I100,"")</f>
        <v/>
      </c>
      <c r="CT605" s="39" t="str">
        <f>IFERROR(proje!DE100*100/proje!$I100,"")</f>
        <v/>
      </c>
      <c r="CU605" s="39" t="str">
        <f>IFERROR(proje!DF100*100/proje!$I100,"")</f>
        <v/>
      </c>
      <c r="CV605" s="39" t="str">
        <f>IFERROR(proje!DG100*100/proje!$I100,"")</f>
        <v/>
      </c>
      <c r="CW605" s="36" t="str">
        <f>IFERROR(SUM(A605:CV605)/proje!$DH$103,"")</f>
        <v/>
      </c>
      <c r="CX605" s="14" t="str">
        <f>IF(COUNTA(proje!A100),proje!A100,"")</f>
        <v/>
      </c>
      <c r="CY605" s="14" t="str">
        <f>IF(COUNTA(proje!B100),proje!B100,"")</f>
        <v/>
      </c>
      <c r="CZ605" s="14" t="str">
        <f>IF(COUNTA(proje!C100),proje!C100,"")</f>
        <v/>
      </c>
      <c r="DA605" s="14" t="str">
        <f>IF(COUNTA(proje!D100),proje!D100,"")</f>
        <v/>
      </c>
      <c r="DB605" s="14" t="str">
        <f>IF(COUNTA(proje!E100),proje!E100,"")</f>
        <v/>
      </c>
      <c r="DC605" s="14" t="str">
        <f>IF(COUNTA(proje!F100),proje!F100,"")</f>
        <v/>
      </c>
      <c r="DD605" s="14" t="str">
        <f>IF(COUNTA(proje!G100),proje!G100,"")</f>
        <v/>
      </c>
      <c r="DE605" s="14" t="str">
        <f>IF(COUNTA(proje!H100),proje!H100,"")</f>
        <v/>
      </c>
    </row>
    <row r="606" spans="1:109" x14ac:dyDescent="0.2">
      <c r="A606" s="39" t="str">
        <f>IFERROR(proje!L101*100/proje!$I101,"")</f>
        <v/>
      </c>
      <c r="B606" s="39" t="str">
        <f>IFERROR(proje!M101*100/proje!$I101,"")</f>
        <v/>
      </c>
      <c r="C606" s="39" t="str">
        <f>IFERROR(proje!N101*100/proje!$I101,"")</f>
        <v/>
      </c>
      <c r="D606" s="39" t="str">
        <f>IFERROR(proje!O101*100/proje!$I101,"")</f>
        <v/>
      </c>
      <c r="E606" s="39" t="str">
        <f>IFERROR(proje!P101*100/proje!$I101,"")</f>
        <v/>
      </c>
      <c r="F606" s="39" t="str">
        <f>IFERROR(proje!Q101*100/proje!$I101,"")</f>
        <v/>
      </c>
      <c r="G606" s="39" t="str">
        <f>IFERROR(proje!R101*100/proje!$I101,"")</f>
        <v/>
      </c>
      <c r="H606" s="39" t="str">
        <f>IFERROR(proje!S101*100/proje!$I101,"")</f>
        <v/>
      </c>
      <c r="I606" s="39" t="str">
        <f>IFERROR(proje!T101*100/proje!$I101,"")</f>
        <v/>
      </c>
      <c r="J606" s="39" t="str">
        <f>IFERROR(proje!U101*100/proje!$I101,"")</f>
        <v/>
      </c>
      <c r="K606" s="39" t="str">
        <f>IFERROR(proje!V101*100/proje!$I101,"")</f>
        <v/>
      </c>
      <c r="L606" s="39" t="str">
        <f>IFERROR(proje!W101*100/proje!$I101,"")</f>
        <v/>
      </c>
      <c r="M606" s="39" t="str">
        <f>IFERROR(proje!X101*100/proje!$I101,"")</f>
        <v/>
      </c>
      <c r="N606" s="39" t="str">
        <f>IFERROR(proje!Y101*100/proje!$I101,"")</f>
        <v/>
      </c>
      <c r="O606" s="39" t="str">
        <f>IFERROR(proje!Z101*100/proje!$I101,"")</f>
        <v/>
      </c>
      <c r="P606" s="39" t="str">
        <f>IFERROR(proje!AA101*100/proje!$I101,"")</f>
        <v/>
      </c>
      <c r="Q606" s="39" t="str">
        <f>IFERROR(proje!AB101*100/proje!$I101,"")</f>
        <v/>
      </c>
      <c r="R606" s="39" t="str">
        <f>IFERROR(proje!AC101*100/proje!$I101,"")</f>
        <v/>
      </c>
      <c r="S606" s="39" t="str">
        <f>IFERROR(proje!AD101*100/proje!$I101,"")</f>
        <v/>
      </c>
      <c r="T606" s="39" t="str">
        <f>IFERROR(proje!AE101*100/proje!$I101,"")</f>
        <v/>
      </c>
      <c r="U606" s="39" t="str">
        <f>IFERROR(proje!AF101*100/proje!$I101,"")</f>
        <v/>
      </c>
      <c r="V606" s="39" t="str">
        <f>IFERROR(proje!AG101*100/proje!$I101,"")</f>
        <v/>
      </c>
      <c r="W606" s="39" t="str">
        <f>IFERROR(proje!AH101*100/proje!$I101,"")</f>
        <v/>
      </c>
      <c r="X606" s="39" t="str">
        <f>IFERROR(proje!AI101*100/proje!$I101,"")</f>
        <v/>
      </c>
      <c r="Y606" s="39" t="str">
        <f>IFERROR(proje!AJ101*100/proje!$I101,"")</f>
        <v/>
      </c>
      <c r="Z606" s="39" t="str">
        <f>IFERROR(proje!AK101*100/proje!$I101,"")</f>
        <v/>
      </c>
      <c r="AA606" s="39" t="str">
        <f>IFERROR(proje!AL101*100/proje!$I101,"")</f>
        <v/>
      </c>
      <c r="AB606" s="39" t="str">
        <f>IFERROR(proje!AM101*100/proje!$I101,"")</f>
        <v/>
      </c>
      <c r="AC606" s="39" t="str">
        <f>IFERROR(proje!AN101*100/proje!$I101,"")</f>
        <v/>
      </c>
      <c r="AD606" s="39" t="str">
        <f>IFERROR(proje!AO101*100/proje!$I101,"")</f>
        <v/>
      </c>
      <c r="AE606" s="39" t="str">
        <f>IFERROR(proje!AP101*100/proje!$I101,"")</f>
        <v/>
      </c>
      <c r="AF606" s="39" t="str">
        <f>IFERROR(proje!AQ101*100/proje!$I101,"")</f>
        <v/>
      </c>
      <c r="AG606" s="39" t="str">
        <f>IFERROR(proje!AR101*100/proje!$I101,"")</f>
        <v/>
      </c>
      <c r="AH606" s="39" t="str">
        <f>IFERROR(proje!AS101*100/proje!$I101,"")</f>
        <v/>
      </c>
      <c r="AI606" s="39" t="str">
        <f>IFERROR(proje!AT101*100/proje!$I101,"")</f>
        <v/>
      </c>
      <c r="AJ606" s="39" t="str">
        <f>IFERROR(proje!AU101*100/proje!$I101,"")</f>
        <v/>
      </c>
      <c r="AK606" s="39" t="str">
        <f>IFERROR(proje!AV101*100/proje!$I101,"")</f>
        <v/>
      </c>
      <c r="AL606" s="39" t="str">
        <f>IFERROR(proje!AW101*100/proje!$I101,"")</f>
        <v/>
      </c>
      <c r="AM606" s="39" t="str">
        <f>IFERROR(proje!AX101*100/proje!$I101,"")</f>
        <v/>
      </c>
      <c r="AN606" s="39" t="str">
        <f>IFERROR(proje!AY101*100/proje!$I101,"")</f>
        <v/>
      </c>
      <c r="AO606" s="39" t="str">
        <f>IFERROR(proje!AZ101*100/proje!$I101,"")</f>
        <v/>
      </c>
      <c r="AP606" s="39" t="str">
        <f>IFERROR(proje!BA101*100/proje!$I101,"")</f>
        <v/>
      </c>
      <c r="AQ606" s="39" t="str">
        <f>IFERROR(proje!BB101*100/proje!$I101,"")</f>
        <v/>
      </c>
      <c r="AR606" s="39" t="str">
        <f>IFERROR(proje!BC101*100/proje!$I101,"")</f>
        <v/>
      </c>
      <c r="AS606" s="39" t="str">
        <f>IFERROR(proje!BD101*100/proje!$I101,"")</f>
        <v/>
      </c>
      <c r="AT606" s="39" t="str">
        <f>IFERROR(proje!BE101*100/proje!$I101,"")</f>
        <v/>
      </c>
      <c r="AU606" s="39" t="str">
        <f>IFERROR(proje!BF101*100/proje!$I101,"")</f>
        <v/>
      </c>
      <c r="AV606" s="39" t="str">
        <f>IFERROR(proje!BG101*100/proje!$I101,"")</f>
        <v/>
      </c>
      <c r="AW606" s="39" t="str">
        <f>IFERROR(proje!BH101*100/proje!$I101,"")</f>
        <v/>
      </c>
      <c r="AX606" s="39" t="str">
        <f>IFERROR(proje!BI101*100/proje!$I101,"")</f>
        <v/>
      </c>
      <c r="AY606" s="39" t="str">
        <f>IFERROR(proje!BJ101*100/proje!$I101,"")</f>
        <v/>
      </c>
      <c r="AZ606" s="39" t="str">
        <f>IFERROR(proje!BK101*100/proje!$I101,"")</f>
        <v/>
      </c>
      <c r="BA606" s="39" t="str">
        <f>IFERROR(proje!BL101*100/proje!$I101,"")</f>
        <v/>
      </c>
      <c r="BB606" s="39" t="str">
        <f>IFERROR(proje!BM101*100/proje!$I101,"")</f>
        <v/>
      </c>
      <c r="BC606" s="39" t="str">
        <f>IFERROR(proje!BN101*100/proje!$I101,"")</f>
        <v/>
      </c>
      <c r="BD606" s="39" t="str">
        <f>IFERROR(proje!BO101*100/proje!$I101,"")</f>
        <v/>
      </c>
      <c r="BE606" s="39" t="str">
        <f>IFERROR(proje!BP101*100/proje!$I101,"")</f>
        <v/>
      </c>
      <c r="BF606" s="39" t="str">
        <f>IFERROR(proje!BQ101*100/proje!$I101,"")</f>
        <v/>
      </c>
      <c r="BG606" s="39" t="str">
        <f>IFERROR(proje!BR101*100/proje!$I101,"")</f>
        <v/>
      </c>
      <c r="BH606" s="39" t="str">
        <f>IFERROR(proje!BS101*100/proje!$I101,"")</f>
        <v/>
      </c>
      <c r="BI606" s="39" t="str">
        <f>IFERROR(proje!BT101*100/proje!$I101,"")</f>
        <v/>
      </c>
      <c r="BJ606" s="39" t="str">
        <f>IFERROR(proje!BU101*100/proje!$I101,"")</f>
        <v/>
      </c>
      <c r="BK606" s="39" t="str">
        <f>IFERROR(proje!BV101*100/proje!$I101,"")</f>
        <v/>
      </c>
      <c r="BL606" s="39" t="str">
        <f>IFERROR(proje!BW101*100/proje!$I101,"")</f>
        <v/>
      </c>
      <c r="BM606" s="39" t="str">
        <f>IFERROR(proje!BX101*100/proje!$I101,"")</f>
        <v/>
      </c>
      <c r="BN606" s="39" t="str">
        <f>IFERROR(proje!BY101*100/proje!$I101,"")</f>
        <v/>
      </c>
      <c r="BO606" s="39" t="str">
        <f>IFERROR(proje!BZ101*100/proje!$I101,"")</f>
        <v/>
      </c>
      <c r="BP606" s="39" t="str">
        <f>IFERROR(proje!CA101*100/proje!$I101,"")</f>
        <v/>
      </c>
      <c r="BQ606" s="39" t="str">
        <f>IFERROR(proje!CB101*100/proje!$I101,"")</f>
        <v/>
      </c>
      <c r="BR606" s="39" t="str">
        <f>IFERROR(proje!CC101*100/proje!$I101,"")</f>
        <v/>
      </c>
      <c r="BS606" s="39" t="str">
        <f>IFERROR(proje!CD101*100/proje!$I101,"")</f>
        <v/>
      </c>
      <c r="BT606" s="39" t="str">
        <f>IFERROR(proje!CE101*100/proje!$I101,"")</f>
        <v/>
      </c>
      <c r="BU606" s="39" t="str">
        <f>IFERROR(proje!CF101*100/proje!$I101,"")</f>
        <v/>
      </c>
      <c r="BV606" s="39" t="str">
        <f>IFERROR(proje!CG101*100/proje!$I101,"")</f>
        <v/>
      </c>
      <c r="BW606" s="39" t="str">
        <f>IFERROR(proje!CH101*100/proje!$I101,"")</f>
        <v/>
      </c>
      <c r="BX606" s="39" t="str">
        <f>IFERROR(proje!CI101*100/proje!$I101,"")</f>
        <v/>
      </c>
      <c r="BY606" s="39" t="str">
        <f>IFERROR(proje!CJ101*100/proje!$I101,"")</f>
        <v/>
      </c>
      <c r="BZ606" s="39" t="str">
        <f>IFERROR(proje!CK101*100/proje!$I101,"")</f>
        <v/>
      </c>
      <c r="CA606" s="39" t="str">
        <f>IFERROR(proje!CL101*100/proje!$I101,"")</f>
        <v/>
      </c>
      <c r="CB606" s="39" t="str">
        <f>IFERROR(proje!CM101*100/proje!$I101,"")</f>
        <v/>
      </c>
      <c r="CC606" s="39" t="str">
        <f>IFERROR(proje!CN101*100/proje!$I101,"")</f>
        <v/>
      </c>
      <c r="CD606" s="39" t="str">
        <f>IFERROR(proje!CO101*100/proje!$I101,"")</f>
        <v/>
      </c>
      <c r="CE606" s="39" t="str">
        <f>IFERROR(proje!CP101*100/proje!$I101,"")</f>
        <v/>
      </c>
      <c r="CF606" s="39" t="str">
        <f>IFERROR(proje!CQ101*100/proje!$I101,"")</f>
        <v/>
      </c>
      <c r="CG606" s="39" t="str">
        <f>IFERROR(proje!CR101*100/proje!$I101,"")</f>
        <v/>
      </c>
      <c r="CH606" s="39" t="str">
        <f>IFERROR(proje!CS101*100/proje!$I101,"")</f>
        <v/>
      </c>
      <c r="CI606" s="39" t="str">
        <f>IFERROR(proje!CT101*100/proje!$I101,"")</f>
        <v/>
      </c>
      <c r="CJ606" s="39" t="str">
        <f>IFERROR(proje!CU101*100/proje!$I101,"")</f>
        <v/>
      </c>
      <c r="CK606" s="39" t="str">
        <f>IFERROR(proje!CV101*100/proje!$I101,"")</f>
        <v/>
      </c>
      <c r="CL606" s="39" t="str">
        <f>IFERROR(proje!CW101*100/proje!$I101,"")</f>
        <v/>
      </c>
      <c r="CM606" s="39" t="str">
        <f>IFERROR(proje!CX101*100/proje!$I101,"")</f>
        <v/>
      </c>
      <c r="CN606" s="39" t="str">
        <f>IFERROR(proje!CY101*100/proje!$I101,"")</f>
        <v/>
      </c>
      <c r="CO606" s="39" t="str">
        <f>IFERROR(proje!CZ101*100/proje!$I101,"")</f>
        <v/>
      </c>
      <c r="CP606" s="39" t="str">
        <f>IFERROR(proje!DA101*100/proje!$I101,"")</f>
        <v/>
      </c>
      <c r="CQ606" s="39" t="str">
        <f>IFERROR(proje!DB101*100/proje!$I101,"")</f>
        <v/>
      </c>
      <c r="CR606" s="39" t="str">
        <f>IFERROR(proje!DC101*100/proje!$I101,"")</f>
        <v/>
      </c>
      <c r="CS606" s="39" t="str">
        <f>IFERROR(proje!DD101*100/proje!$I101,"")</f>
        <v/>
      </c>
      <c r="CT606" s="39" t="str">
        <f>IFERROR(proje!DE101*100/proje!$I101,"")</f>
        <v/>
      </c>
      <c r="CU606" s="39" t="str">
        <f>IFERROR(proje!DF101*100/proje!$I101,"")</f>
        <v/>
      </c>
      <c r="CV606" s="39" t="str">
        <f>IFERROR(proje!DG101*100/proje!$I101,"")</f>
        <v/>
      </c>
      <c r="CW606" s="36" t="str">
        <f>IFERROR(SUM(A606:CV606)/proje!$DH$103,"")</f>
        <v/>
      </c>
      <c r="CX606" s="14" t="str">
        <f>IF(COUNTA(proje!A101),proje!A101,"")</f>
        <v/>
      </c>
      <c r="CY606" s="14" t="str">
        <f>IF(COUNTA(proje!B101),proje!B101,"")</f>
        <v/>
      </c>
      <c r="CZ606" s="14" t="str">
        <f>IF(COUNTA(proje!C101),proje!C101,"")</f>
        <v/>
      </c>
      <c r="DA606" s="14" t="str">
        <f>IF(COUNTA(proje!D101),proje!D101,"")</f>
        <v/>
      </c>
      <c r="DB606" s="14" t="str">
        <f>IF(COUNTA(proje!E101),proje!E101,"")</f>
        <v/>
      </c>
      <c r="DC606" s="14" t="str">
        <f>IF(COUNTA(proje!F101),proje!F101,"")</f>
        <v/>
      </c>
      <c r="DD606" s="14" t="str">
        <f>IF(COUNTA(proje!G101),proje!G101,"")</f>
        <v/>
      </c>
      <c r="DE606" s="14" t="str">
        <f>IF(COUNTA(proje!H101),proje!H101,"")</f>
        <v/>
      </c>
    </row>
  </sheetData>
  <conditionalFormatting sqref="A1:CV1">
    <cfRule type="cellIs" dxfId="4" priority="1" operator="equal">
      <formula>"Öğrenci"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ayfa2"/>
  <dimension ref="A1"/>
  <sheetViews>
    <sheetView showRowColHeaders="0" zoomScale="85" zoomScaleNormal="85" workbookViewId="0">
      <selection activeCell="I22" sqref="I22"/>
    </sheetView>
  </sheetViews>
  <sheetFormatPr defaultRowHeight="15" x14ac:dyDescent="0.25"/>
  <cols>
    <col min="1" max="1" width="9.140625" style="63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PDF_Yaz">
                <anchor>
                  <from>
                    <xdr:col>6</xdr:col>
                    <xdr:colOff>381000</xdr:colOff>
                    <xdr:row>0</xdr:row>
                    <xdr:rowOff>123825</xdr:rowOff>
                  </from>
                  <to>
                    <xdr:col>8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5"/>
  <dimension ref="A2:K21"/>
  <sheetViews>
    <sheetView showRowColHeaders="0" workbookViewId="0"/>
  </sheetViews>
  <sheetFormatPr defaultRowHeight="15" x14ac:dyDescent="0.25"/>
  <cols>
    <col min="1" max="1" width="9.140625" style="89"/>
    <col min="2" max="2" width="9.140625" style="45"/>
    <col min="3" max="4" width="2.7109375" style="45" customWidth="1"/>
    <col min="5" max="16384" width="9.140625" style="45"/>
  </cols>
  <sheetData>
    <row r="2" spans="3:11" x14ac:dyDescent="0.25">
      <c r="C2" s="90"/>
      <c r="E2" s="45" t="s">
        <v>544</v>
      </c>
    </row>
    <row r="3" spans="3:11" x14ac:dyDescent="0.25">
      <c r="C3" s="90"/>
      <c r="E3" s="45" t="s">
        <v>545</v>
      </c>
    </row>
    <row r="4" spans="3:11" x14ac:dyDescent="0.25">
      <c r="C4" s="90"/>
      <c r="E4" s="45" t="s">
        <v>546</v>
      </c>
    </row>
    <row r="5" spans="3:11" x14ac:dyDescent="0.25">
      <c r="C5" s="90"/>
      <c r="E5" s="45" t="s">
        <v>547</v>
      </c>
    </row>
    <row r="6" spans="3:11" x14ac:dyDescent="0.25">
      <c r="C6" s="90"/>
      <c r="E6" s="45" t="s">
        <v>548</v>
      </c>
      <c r="G6" s="91" t="s">
        <v>551</v>
      </c>
      <c r="H6" s="92"/>
      <c r="I6" s="92"/>
      <c r="J6" s="92"/>
      <c r="K6" s="92"/>
    </row>
    <row r="7" spans="3:11" x14ac:dyDescent="0.25">
      <c r="C7" s="90"/>
      <c r="E7" s="45" t="s">
        <v>549</v>
      </c>
      <c r="G7" s="92"/>
      <c r="H7" s="92"/>
      <c r="I7" s="92"/>
      <c r="J7" s="92"/>
      <c r="K7" s="92"/>
    </row>
    <row r="8" spans="3:11" x14ac:dyDescent="0.25">
      <c r="G8" s="92"/>
      <c r="H8" s="92"/>
      <c r="I8" s="92"/>
      <c r="J8" s="92"/>
      <c r="K8" s="92"/>
    </row>
    <row r="9" spans="3:11" x14ac:dyDescent="0.25">
      <c r="G9" s="92"/>
      <c r="H9" s="92"/>
      <c r="I9" s="92"/>
      <c r="J9" s="92"/>
      <c r="K9" s="92"/>
    </row>
    <row r="12" spans="3:11" x14ac:dyDescent="0.25">
      <c r="G12" s="91" t="s">
        <v>550</v>
      </c>
      <c r="H12" s="91"/>
      <c r="I12" s="91"/>
      <c r="J12" s="91"/>
      <c r="K12" s="91"/>
    </row>
    <row r="13" spans="3:11" x14ac:dyDescent="0.25">
      <c r="G13" s="91"/>
      <c r="H13" s="91"/>
      <c r="I13" s="91"/>
      <c r="J13" s="91"/>
      <c r="K13" s="91"/>
    </row>
    <row r="14" spans="3:11" x14ac:dyDescent="0.25">
      <c r="G14" s="91"/>
      <c r="H14" s="91"/>
      <c r="I14" s="91"/>
      <c r="J14" s="91"/>
      <c r="K14" s="91"/>
    </row>
    <row r="15" spans="3:11" x14ac:dyDescent="0.25">
      <c r="G15" s="91"/>
      <c r="H15" s="91"/>
      <c r="I15" s="91"/>
      <c r="J15" s="91"/>
      <c r="K15" s="91"/>
    </row>
    <row r="18" spans="7:11" x14ac:dyDescent="0.25">
      <c r="G18" s="91" t="s">
        <v>552</v>
      </c>
      <c r="H18" s="91"/>
      <c r="I18" s="91"/>
      <c r="J18" s="91"/>
      <c r="K18" s="91"/>
    </row>
    <row r="19" spans="7:11" x14ac:dyDescent="0.25">
      <c r="G19" s="91"/>
      <c r="H19" s="91"/>
      <c r="I19" s="91"/>
      <c r="J19" s="91"/>
      <c r="K19" s="91"/>
    </row>
    <row r="20" spans="7:11" x14ac:dyDescent="0.25">
      <c r="G20" s="91"/>
      <c r="H20" s="91"/>
      <c r="I20" s="91"/>
      <c r="J20" s="91"/>
      <c r="K20" s="91"/>
    </row>
    <row r="21" spans="7:11" x14ac:dyDescent="0.25">
      <c r="G21" s="91"/>
      <c r="H21" s="91"/>
      <c r="I21" s="91"/>
      <c r="J21" s="91"/>
      <c r="K21" s="91"/>
    </row>
  </sheetData>
  <sheetProtection algorithmName="SHA-512" hashValue="mcNWt4OtDnW7xX19MVnfYwh1oj5e8Rz/WHbcK3VdsLlA5inVydq+EfDok4vckixlM5rfGeke36DUWkKbIA9O4g==" saltValue="/fOKQjpKb1FeCQBY70/U7Q==" spinCount="100000" sheet="1" objects="1" scenarios="1"/>
  <mergeCells count="3">
    <mergeCell ref="G6:K9"/>
    <mergeCell ref="G12:K15"/>
    <mergeCell ref="G18:K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otAktar">
                <anchor moveWithCells="1" sizeWithCells="1">
                  <from>
                    <xdr:col>7</xdr:col>
                    <xdr:colOff>47625</xdr:colOff>
                    <xdr:row>1</xdr:row>
                    <xdr:rowOff>66675</xdr:rowOff>
                  </from>
                  <to>
                    <xdr:col>9</xdr:col>
                    <xdr:colOff>266700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1"/>
  <dimension ref="A1:O57"/>
  <sheetViews>
    <sheetView showRowColHeaders="0" workbookViewId="0">
      <selection activeCell="L3" sqref="L3"/>
    </sheetView>
  </sheetViews>
  <sheetFormatPr defaultRowHeight="15" x14ac:dyDescent="0.25"/>
  <cols>
    <col min="1" max="1" width="10.7109375" customWidth="1"/>
    <col min="2" max="2" width="15.140625" style="1" customWidth="1"/>
    <col min="3" max="3" width="13.42578125" style="1" bestFit="1" customWidth="1"/>
    <col min="4" max="4" width="40.140625" bestFit="1" customWidth="1"/>
    <col min="12" max="12" width="9.140625" customWidth="1"/>
  </cols>
  <sheetData>
    <row r="1" spans="1:15" x14ac:dyDescent="0.25">
      <c r="A1" t="s">
        <v>0</v>
      </c>
      <c r="B1" s="1" t="s">
        <v>1</v>
      </c>
      <c r="C1" s="1" t="s">
        <v>2</v>
      </c>
      <c r="D1" t="s">
        <v>3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223</v>
      </c>
      <c r="N1" t="s">
        <v>224</v>
      </c>
      <c r="O1" t="s">
        <v>225</v>
      </c>
    </row>
    <row r="2" spans="1:15" x14ac:dyDescent="0.25">
      <c r="A2" s="4" t="s">
        <v>4</v>
      </c>
      <c r="B2" s="5" t="s">
        <v>4</v>
      </c>
      <c r="C2" s="5" t="s">
        <v>4</v>
      </c>
      <c r="D2" s="4" t="s">
        <v>4</v>
      </c>
      <c r="E2" s="18" t="s">
        <v>113</v>
      </c>
      <c r="F2" s="18" t="s">
        <v>114</v>
      </c>
      <c r="G2" s="18" t="s">
        <v>115</v>
      </c>
      <c r="H2" s="18" t="s">
        <v>116</v>
      </c>
      <c r="I2" s="18" t="s">
        <v>117</v>
      </c>
      <c r="J2" s="18" t="s">
        <v>118</v>
      </c>
      <c r="K2" s="18" t="s">
        <v>119</v>
      </c>
      <c r="L2" s="18" t="s">
        <v>120</v>
      </c>
    </row>
    <row r="3" spans="1:15" x14ac:dyDescent="0.25">
      <c r="A3" s="2" t="s">
        <v>5</v>
      </c>
      <c r="B3" s="3">
        <v>1</v>
      </c>
      <c r="C3" s="3" t="s">
        <v>6</v>
      </c>
      <c r="D3" s="2" t="s">
        <v>7</v>
      </c>
      <c r="E3" s="19" t="s">
        <v>138</v>
      </c>
      <c r="F3" s="19" t="s">
        <v>139</v>
      </c>
      <c r="G3" s="19" t="s">
        <v>140</v>
      </c>
      <c r="H3" s="19" t="s">
        <v>141</v>
      </c>
      <c r="I3" s="19" t="s">
        <v>142</v>
      </c>
      <c r="J3" s="19"/>
      <c r="K3" s="19"/>
      <c r="L3" s="19"/>
      <c r="M3" s="20"/>
      <c r="N3" s="20"/>
      <c r="O3" s="20"/>
    </row>
    <row r="4" spans="1:15" x14ac:dyDescent="0.25">
      <c r="A4" s="2" t="s">
        <v>5</v>
      </c>
      <c r="B4" s="3">
        <v>2</v>
      </c>
      <c r="C4" s="3" t="s">
        <v>8</v>
      </c>
      <c r="D4" s="2" t="s">
        <v>9</v>
      </c>
      <c r="E4" s="19" t="s">
        <v>143</v>
      </c>
      <c r="F4" s="19" t="s">
        <v>144</v>
      </c>
      <c r="G4" s="19" t="s">
        <v>145</v>
      </c>
      <c r="H4" s="19" t="s">
        <v>146</v>
      </c>
      <c r="I4" s="19" t="s">
        <v>147</v>
      </c>
      <c r="J4" s="19"/>
      <c r="K4" s="19"/>
      <c r="L4" s="19"/>
      <c r="M4" s="20"/>
      <c r="N4" s="20"/>
      <c r="O4" s="20"/>
    </row>
    <row r="5" spans="1:15" x14ac:dyDescent="0.25">
      <c r="A5" s="2" t="s">
        <v>5</v>
      </c>
      <c r="B5" s="3">
        <v>3</v>
      </c>
      <c r="C5" s="3" t="s">
        <v>10</v>
      </c>
      <c r="D5" s="2" t="s">
        <v>11</v>
      </c>
      <c r="E5" s="19" t="s">
        <v>148</v>
      </c>
      <c r="F5" s="19" t="s">
        <v>149</v>
      </c>
      <c r="G5" s="19" t="s">
        <v>150</v>
      </c>
      <c r="H5" s="19" t="s">
        <v>151</v>
      </c>
      <c r="I5" s="19" t="s">
        <v>152</v>
      </c>
      <c r="J5" s="19" t="s">
        <v>153</v>
      </c>
      <c r="K5" s="19" t="s">
        <v>154</v>
      </c>
      <c r="L5" s="19" t="s">
        <v>155</v>
      </c>
      <c r="M5" s="20"/>
      <c r="N5" s="20"/>
      <c r="O5" s="20"/>
    </row>
    <row r="6" spans="1:15" x14ac:dyDescent="0.25">
      <c r="A6" s="2" t="s">
        <v>5</v>
      </c>
      <c r="B6" s="3">
        <v>4</v>
      </c>
      <c r="C6" s="3" t="s">
        <v>12</v>
      </c>
      <c r="D6" s="2" t="s">
        <v>13</v>
      </c>
      <c r="E6" s="19" t="s">
        <v>156</v>
      </c>
      <c r="F6" s="19" t="s">
        <v>157</v>
      </c>
      <c r="G6" s="19" t="s">
        <v>158</v>
      </c>
      <c r="H6" s="19" t="s">
        <v>159</v>
      </c>
      <c r="I6" s="19" t="s">
        <v>160</v>
      </c>
      <c r="J6" s="19"/>
      <c r="K6" s="19"/>
      <c r="L6" s="19"/>
      <c r="M6" s="20"/>
      <c r="N6" s="20"/>
      <c r="O6" s="20"/>
    </row>
    <row r="7" spans="1:15" x14ac:dyDescent="0.25">
      <c r="A7" s="2" t="s">
        <v>5</v>
      </c>
      <c r="B7" s="3">
        <v>5</v>
      </c>
      <c r="C7" s="3" t="s">
        <v>14</v>
      </c>
      <c r="D7" s="2" t="s">
        <v>15</v>
      </c>
      <c r="E7" s="19" t="s">
        <v>161</v>
      </c>
      <c r="F7" s="19" t="s">
        <v>162</v>
      </c>
      <c r="G7" s="19" t="s">
        <v>163</v>
      </c>
      <c r="H7" s="19" t="s">
        <v>164</v>
      </c>
      <c r="I7" s="19" t="s">
        <v>165</v>
      </c>
      <c r="J7" s="19"/>
      <c r="K7" s="19"/>
      <c r="L7" s="19"/>
      <c r="M7" s="20"/>
      <c r="N7" s="20"/>
      <c r="O7" s="20"/>
    </row>
    <row r="8" spans="1:15" x14ac:dyDescent="0.25">
      <c r="A8" s="2" t="s">
        <v>5</v>
      </c>
      <c r="B8" s="3">
        <v>6</v>
      </c>
      <c r="C8" s="3" t="s">
        <v>16</v>
      </c>
      <c r="D8" s="2" t="s">
        <v>17</v>
      </c>
      <c r="E8" s="19" t="s">
        <v>166</v>
      </c>
      <c r="F8" s="19" t="s">
        <v>167</v>
      </c>
      <c r="G8" s="19" t="s">
        <v>168</v>
      </c>
      <c r="H8" s="19" t="s">
        <v>169</v>
      </c>
      <c r="I8" s="19" t="s">
        <v>170</v>
      </c>
      <c r="J8" s="19" t="s">
        <v>171</v>
      </c>
      <c r="K8" s="19" t="s">
        <v>172</v>
      </c>
      <c r="L8" s="19"/>
      <c r="M8" s="20"/>
      <c r="N8" s="20"/>
      <c r="O8" s="20"/>
    </row>
    <row r="9" spans="1:15" x14ac:dyDescent="0.25">
      <c r="A9" s="2" t="s">
        <v>5</v>
      </c>
      <c r="B9" s="3">
        <v>7</v>
      </c>
      <c r="C9" s="3" t="s">
        <v>18</v>
      </c>
      <c r="D9" s="2" t="s">
        <v>19</v>
      </c>
      <c r="E9" s="19" t="s">
        <v>173</v>
      </c>
      <c r="F9" s="19" t="s">
        <v>174</v>
      </c>
      <c r="G9" s="19" t="s">
        <v>175</v>
      </c>
      <c r="H9" s="19" t="s">
        <v>176</v>
      </c>
      <c r="I9" s="19" t="s">
        <v>177</v>
      </c>
      <c r="J9" s="19"/>
      <c r="K9" s="19"/>
      <c r="L9" s="19"/>
      <c r="M9" s="20"/>
      <c r="N9" s="20"/>
      <c r="O9" s="20"/>
    </row>
    <row r="10" spans="1:15" x14ac:dyDescent="0.25">
      <c r="A10" s="2" t="s">
        <v>5</v>
      </c>
      <c r="B10" s="3">
        <v>8</v>
      </c>
      <c r="C10" s="3" t="s">
        <v>20</v>
      </c>
      <c r="D10" s="2" t="s">
        <v>21</v>
      </c>
      <c r="E10" s="19" t="s">
        <v>178</v>
      </c>
      <c r="F10" s="19" t="s">
        <v>179</v>
      </c>
      <c r="G10" s="19" t="s">
        <v>180</v>
      </c>
      <c r="H10" s="19" t="s">
        <v>181</v>
      </c>
      <c r="I10" s="19" t="s">
        <v>182</v>
      </c>
      <c r="J10" s="19"/>
      <c r="K10" s="19"/>
      <c r="L10" s="19"/>
      <c r="M10" s="20"/>
      <c r="N10" s="20"/>
      <c r="O10" s="20"/>
    </row>
    <row r="11" spans="1:15" x14ac:dyDescent="0.25">
      <c r="A11" s="4" t="s">
        <v>22</v>
      </c>
      <c r="B11" s="5" t="s">
        <v>22</v>
      </c>
      <c r="C11" s="5" t="s">
        <v>22</v>
      </c>
      <c r="D11" s="4" t="s">
        <v>22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</row>
    <row r="12" spans="1:15" x14ac:dyDescent="0.25">
      <c r="A12" s="2" t="s">
        <v>23</v>
      </c>
      <c r="B12" s="3">
        <v>1</v>
      </c>
      <c r="C12" s="3" t="s">
        <v>24</v>
      </c>
      <c r="D12" s="2" t="s">
        <v>25</v>
      </c>
      <c r="E12" s="20" t="s">
        <v>183</v>
      </c>
      <c r="F12" s="20" t="s">
        <v>184</v>
      </c>
      <c r="G12" s="20" t="s">
        <v>185</v>
      </c>
      <c r="H12" s="20" t="s">
        <v>186</v>
      </c>
      <c r="I12" s="20" t="s">
        <v>187</v>
      </c>
      <c r="J12" s="20"/>
      <c r="K12" s="20"/>
      <c r="L12" s="20"/>
      <c r="M12" s="20"/>
      <c r="N12" s="20"/>
      <c r="O12" s="20"/>
    </row>
    <row r="13" spans="1:15" x14ac:dyDescent="0.25">
      <c r="A13" s="2" t="s">
        <v>23</v>
      </c>
      <c r="B13" s="3">
        <v>2</v>
      </c>
      <c r="C13" s="3" t="s">
        <v>26</v>
      </c>
      <c r="D13" s="2" t="s">
        <v>27</v>
      </c>
      <c r="E13" s="20" t="s">
        <v>188</v>
      </c>
      <c r="F13" s="20" t="s">
        <v>189</v>
      </c>
      <c r="G13" s="20" t="s">
        <v>190</v>
      </c>
      <c r="H13" s="20" t="s">
        <v>191</v>
      </c>
      <c r="I13" s="20" t="s">
        <v>192</v>
      </c>
      <c r="J13" s="20" t="s">
        <v>193</v>
      </c>
      <c r="K13" s="20"/>
      <c r="L13" s="20"/>
      <c r="M13" s="20"/>
      <c r="N13" s="20"/>
      <c r="O13" s="20"/>
    </row>
    <row r="14" spans="1:15" x14ac:dyDescent="0.25">
      <c r="A14" s="2" t="s">
        <v>23</v>
      </c>
      <c r="B14" s="3">
        <v>3</v>
      </c>
      <c r="C14" s="3" t="s">
        <v>28</v>
      </c>
      <c r="D14" s="2" t="s">
        <v>29</v>
      </c>
      <c r="E14" s="20" t="s">
        <v>194</v>
      </c>
      <c r="F14" s="20" t="s">
        <v>195</v>
      </c>
      <c r="G14" s="20" t="s">
        <v>196</v>
      </c>
      <c r="H14" s="20" t="s">
        <v>197</v>
      </c>
      <c r="I14" s="20" t="s">
        <v>198</v>
      </c>
      <c r="J14" s="20" t="s">
        <v>199</v>
      </c>
      <c r="K14" s="20"/>
      <c r="L14" s="20"/>
      <c r="M14" s="20"/>
      <c r="N14" s="20"/>
      <c r="O14" s="20"/>
    </row>
    <row r="15" spans="1:15" x14ac:dyDescent="0.25">
      <c r="A15" s="2" t="s">
        <v>23</v>
      </c>
      <c r="B15" s="3">
        <v>4</v>
      </c>
      <c r="C15" s="3" t="s">
        <v>30</v>
      </c>
      <c r="D15" s="2" t="s">
        <v>31</v>
      </c>
      <c r="E15" s="20" t="s">
        <v>200</v>
      </c>
      <c r="F15" s="20" t="s">
        <v>201</v>
      </c>
      <c r="G15" s="20" t="s">
        <v>202</v>
      </c>
      <c r="H15" s="20" t="s">
        <v>203</v>
      </c>
      <c r="I15" s="20" t="s">
        <v>204</v>
      </c>
      <c r="J15" s="20" t="s">
        <v>205</v>
      </c>
      <c r="K15" s="20"/>
      <c r="L15" s="20"/>
      <c r="M15" s="20"/>
      <c r="N15" s="20"/>
      <c r="O15" s="20"/>
    </row>
    <row r="16" spans="1:15" x14ac:dyDescent="0.25">
      <c r="A16" s="2" t="s">
        <v>23</v>
      </c>
      <c r="B16" s="3">
        <v>5</v>
      </c>
      <c r="C16" s="3" t="s">
        <v>32</v>
      </c>
      <c r="D16" s="2" t="s">
        <v>33</v>
      </c>
      <c r="E16" s="20" t="s">
        <v>206</v>
      </c>
      <c r="F16" s="20" t="s">
        <v>207</v>
      </c>
      <c r="G16" s="20" t="s">
        <v>208</v>
      </c>
      <c r="H16" s="20" t="s">
        <v>209</v>
      </c>
      <c r="I16" s="20" t="s">
        <v>210</v>
      </c>
      <c r="J16" s="20" t="s">
        <v>211</v>
      </c>
      <c r="K16" s="20"/>
      <c r="L16" s="20"/>
      <c r="M16" s="20"/>
      <c r="N16" s="20"/>
      <c r="O16" s="20"/>
    </row>
    <row r="17" spans="1:15" x14ac:dyDescent="0.25">
      <c r="A17" s="2" t="s">
        <v>23</v>
      </c>
      <c r="B17" s="3">
        <v>6</v>
      </c>
      <c r="C17" s="3" t="s">
        <v>34</v>
      </c>
      <c r="D17" s="2" t="s">
        <v>35</v>
      </c>
      <c r="E17" s="20" t="s">
        <v>212</v>
      </c>
      <c r="F17" s="20" t="s">
        <v>213</v>
      </c>
      <c r="G17" s="20" t="s">
        <v>214</v>
      </c>
      <c r="H17" s="20" t="s">
        <v>215</v>
      </c>
      <c r="I17" s="20" t="s">
        <v>216</v>
      </c>
      <c r="J17" s="20" t="s">
        <v>217</v>
      </c>
      <c r="K17" s="20" t="s">
        <v>218</v>
      </c>
      <c r="L17" s="20" t="s">
        <v>219</v>
      </c>
      <c r="M17" s="20" t="s">
        <v>220</v>
      </c>
      <c r="N17" s="20" t="s">
        <v>221</v>
      </c>
      <c r="O17" s="20" t="s">
        <v>222</v>
      </c>
    </row>
    <row r="18" spans="1:15" x14ac:dyDescent="0.25">
      <c r="A18" s="2" t="s">
        <v>23</v>
      </c>
      <c r="B18" s="3">
        <v>7</v>
      </c>
      <c r="C18" s="3" t="s">
        <v>36</v>
      </c>
      <c r="D18" s="2" t="s">
        <v>37</v>
      </c>
      <c r="E18" s="20" t="s">
        <v>226</v>
      </c>
      <c r="F18" s="20" t="s">
        <v>227</v>
      </c>
      <c r="G18" s="20" t="s">
        <v>228</v>
      </c>
      <c r="H18" s="20" t="s">
        <v>229</v>
      </c>
      <c r="I18" s="20" t="s">
        <v>230</v>
      </c>
      <c r="J18" s="20"/>
      <c r="K18" s="20"/>
      <c r="L18" s="20"/>
      <c r="M18" s="20"/>
      <c r="N18" s="20"/>
      <c r="O18" s="20"/>
    </row>
    <row r="19" spans="1:15" x14ac:dyDescent="0.25">
      <c r="A19" s="2" t="s">
        <v>23</v>
      </c>
      <c r="B19" s="3">
        <v>8</v>
      </c>
      <c r="C19" s="3" t="s">
        <v>38</v>
      </c>
      <c r="D19" s="2" t="s">
        <v>39</v>
      </c>
      <c r="E19" s="20" t="s">
        <v>231</v>
      </c>
      <c r="F19" s="20" t="s">
        <v>232</v>
      </c>
      <c r="G19" s="20" t="s">
        <v>233</v>
      </c>
      <c r="H19" s="20" t="s">
        <v>234</v>
      </c>
      <c r="I19" s="20" t="s">
        <v>235</v>
      </c>
      <c r="J19" s="20"/>
      <c r="K19" s="20"/>
      <c r="L19" s="20"/>
      <c r="M19" s="20"/>
      <c r="N19" s="20"/>
      <c r="O19" s="20"/>
    </row>
    <row r="20" spans="1:15" x14ac:dyDescent="0.25">
      <c r="A20" s="4" t="s">
        <v>40</v>
      </c>
      <c r="B20" s="5" t="s">
        <v>40</v>
      </c>
      <c r="C20" s="5" t="s">
        <v>40</v>
      </c>
      <c r="D20" s="4" t="s">
        <v>40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1:15" x14ac:dyDescent="0.25">
      <c r="A21" s="2" t="s">
        <v>5</v>
      </c>
      <c r="B21" s="3">
        <v>1</v>
      </c>
      <c r="C21" s="3" t="s">
        <v>41</v>
      </c>
      <c r="D21" s="2" t="s">
        <v>42</v>
      </c>
      <c r="E21" s="20" t="s">
        <v>236</v>
      </c>
      <c r="F21" s="20" t="s">
        <v>237</v>
      </c>
      <c r="G21" s="20" t="s">
        <v>238</v>
      </c>
      <c r="H21" s="20" t="s">
        <v>239</v>
      </c>
      <c r="I21" s="20" t="s">
        <v>240</v>
      </c>
      <c r="J21" s="20"/>
      <c r="K21" s="20"/>
      <c r="L21" s="20"/>
      <c r="M21" s="20"/>
      <c r="N21" s="20"/>
      <c r="O21" s="20"/>
    </row>
    <row r="22" spans="1:15" x14ac:dyDescent="0.25">
      <c r="A22" s="2" t="s">
        <v>5</v>
      </c>
      <c r="B22" s="3">
        <v>2</v>
      </c>
      <c r="C22" s="3" t="s">
        <v>43</v>
      </c>
      <c r="D22" s="2" t="s">
        <v>44</v>
      </c>
      <c r="E22" s="20" t="s">
        <v>241</v>
      </c>
      <c r="F22" s="20" t="s">
        <v>242</v>
      </c>
      <c r="G22" s="20" t="s">
        <v>243</v>
      </c>
      <c r="H22" s="20" t="s">
        <v>244</v>
      </c>
      <c r="I22" s="20" t="s">
        <v>245</v>
      </c>
      <c r="J22" s="20" t="s">
        <v>246</v>
      </c>
      <c r="K22" s="20" t="s">
        <v>247</v>
      </c>
      <c r="L22" s="20" t="s">
        <v>248</v>
      </c>
      <c r="M22" s="20"/>
      <c r="N22" s="20"/>
      <c r="O22" s="20"/>
    </row>
    <row r="23" spans="1:15" x14ac:dyDescent="0.25">
      <c r="A23" s="2" t="s">
        <v>5</v>
      </c>
      <c r="B23" s="3">
        <v>3</v>
      </c>
      <c r="C23" s="3" t="s">
        <v>45</v>
      </c>
      <c r="D23" s="2" t="s">
        <v>46</v>
      </c>
      <c r="E23" s="20" t="s">
        <v>249</v>
      </c>
      <c r="F23" s="20" t="s">
        <v>250</v>
      </c>
      <c r="G23" s="20" t="s">
        <v>251</v>
      </c>
      <c r="H23" s="20" t="s">
        <v>252</v>
      </c>
      <c r="I23" s="20" t="s">
        <v>253</v>
      </c>
      <c r="J23" s="20" t="s">
        <v>254</v>
      </c>
      <c r="K23" s="20"/>
      <c r="L23" s="20"/>
      <c r="M23" s="20"/>
      <c r="N23" s="20"/>
      <c r="O23" s="20"/>
    </row>
    <row r="24" spans="1:15" x14ac:dyDescent="0.25">
      <c r="A24" s="2" t="s">
        <v>5</v>
      </c>
      <c r="B24" s="3">
        <v>4</v>
      </c>
      <c r="C24" s="3" t="s">
        <v>47</v>
      </c>
      <c r="D24" s="2" t="s">
        <v>48</v>
      </c>
      <c r="E24" s="20" t="s">
        <v>255</v>
      </c>
      <c r="F24" s="20" t="s">
        <v>256</v>
      </c>
      <c r="G24" s="20" t="s">
        <v>257</v>
      </c>
      <c r="H24" s="20" t="s">
        <v>258</v>
      </c>
      <c r="I24" s="20" t="s">
        <v>259</v>
      </c>
      <c r="J24" s="20"/>
      <c r="K24" s="20"/>
      <c r="L24" s="20"/>
      <c r="M24" s="20"/>
      <c r="N24" s="20"/>
      <c r="O24" s="20"/>
    </row>
    <row r="25" spans="1:15" x14ac:dyDescent="0.25">
      <c r="A25" s="2" t="s">
        <v>5</v>
      </c>
      <c r="B25" s="3">
        <v>5</v>
      </c>
      <c r="C25" s="3" t="s">
        <v>49</v>
      </c>
      <c r="D25" s="2" t="s">
        <v>50</v>
      </c>
      <c r="E25" s="20" t="s">
        <v>260</v>
      </c>
      <c r="F25" s="20" t="s">
        <v>261</v>
      </c>
      <c r="G25" s="20" t="s">
        <v>262</v>
      </c>
      <c r="H25" s="20" t="s">
        <v>263</v>
      </c>
      <c r="I25" s="20" t="s">
        <v>264</v>
      </c>
      <c r="J25" s="20" t="s">
        <v>265</v>
      </c>
      <c r="K25" s="20" t="s">
        <v>266</v>
      </c>
      <c r="L25" s="20" t="s">
        <v>267</v>
      </c>
      <c r="M25" s="20"/>
      <c r="N25" s="20"/>
      <c r="O25" s="20"/>
    </row>
    <row r="26" spans="1:15" x14ac:dyDescent="0.25">
      <c r="A26" s="2" t="s">
        <v>5</v>
      </c>
      <c r="B26" s="3">
        <v>6</v>
      </c>
      <c r="C26" s="3" t="s">
        <v>51</v>
      </c>
      <c r="D26" s="2" t="s">
        <v>52</v>
      </c>
      <c r="E26" s="20" t="s">
        <v>268</v>
      </c>
      <c r="F26" s="20" t="s">
        <v>269</v>
      </c>
      <c r="G26" s="20" t="s">
        <v>270</v>
      </c>
      <c r="H26" s="20" t="s">
        <v>271</v>
      </c>
      <c r="I26" s="20" t="s">
        <v>272</v>
      </c>
      <c r="J26" s="20"/>
      <c r="K26" s="20"/>
      <c r="L26" s="20"/>
      <c r="M26" s="20"/>
      <c r="N26" s="20"/>
      <c r="O26" s="20"/>
    </row>
    <row r="27" spans="1:15" x14ac:dyDescent="0.25">
      <c r="A27" s="2" t="s">
        <v>5</v>
      </c>
      <c r="B27" s="3">
        <v>7</v>
      </c>
      <c r="C27" s="3" t="s">
        <v>53</v>
      </c>
      <c r="D27" s="2" t="s">
        <v>54</v>
      </c>
      <c r="E27" s="20" t="s">
        <v>273</v>
      </c>
      <c r="F27" s="20" t="s">
        <v>274</v>
      </c>
      <c r="G27" s="20" t="s">
        <v>275</v>
      </c>
      <c r="H27" s="20" t="s">
        <v>276</v>
      </c>
      <c r="I27" s="20" t="s">
        <v>277</v>
      </c>
      <c r="J27" s="20" t="s">
        <v>278</v>
      </c>
      <c r="K27" s="20" t="s">
        <v>279</v>
      </c>
      <c r="L27" s="20" t="s">
        <v>280</v>
      </c>
      <c r="M27" s="20"/>
      <c r="N27" s="20"/>
      <c r="O27" s="20"/>
    </row>
    <row r="28" spans="1:15" x14ac:dyDescent="0.25">
      <c r="A28" s="4" t="s">
        <v>55</v>
      </c>
      <c r="B28" s="5" t="s">
        <v>55</v>
      </c>
      <c r="C28" s="5" t="s">
        <v>55</v>
      </c>
      <c r="D28" s="4" t="s">
        <v>55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</row>
    <row r="29" spans="1:15" x14ac:dyDescent="0.25">
      <c r="A29" s="2" t="s">
        <v>23</v>
      </c>
      <c r="B29" s="3">
        <v>1</v>
      </c>
      <c r="C29" s="3" t="s">
        <v>56</v>
      </c>
      <c r="D29" s="2" t="s">
        <v>57</v>
      </c>
      <c r="E29" s="20" t="s">
        <v>281</v>
      </c>
      <c r="F29" s="20" t="s">
        <v>282</v>
      </c>
      <c r="G29" s="20" t="s">
        <v>283</v>
      </c>
      <c r="H29" s="20" t="s">
        <v>284</v>
      </c>
      <c r="I29" s="20" t="s">
        <v>285</v>
      </c>
      <c r="J29" s="20"/>
      <c r="K29" s="20"/>
      <c r="L29" s="20"/>
      <c r="M29" s="20"/>
      <c r="N29" s="20"/>
      <c r="O29" s="20"/>
    </row>
    <row r="30" spans="1:15" x14ac:dyDescent="0.25">
      <c r="A30" s="2" t="s">
        <v>23</v>
      </c>
      <c r="B30" s="3">
        <v>2</v>
      </c>
      <c r="C30" s="3" t="s">
        <v>58</v>
      </c>
      <c r="D30" s="2" t="s">
        <v>59</v>
      </c>
      <c r="E30" s="20" t="s">
        <v>286</v>
      </c>
      <c r="F30" s="20" t="s">
        <v>287</v>
      </c>
      <c r="G30" s="20" t="s">
        <v>288</v>
      </c>
      <c r="H30" s="20" t="s">
        <v>289</v>
      </c>
      <c r="I30" s="20" t="s">
        <v>290</v>
      </c>
      <c r="J30" s="20" t="s">
        <v>291</v>
      </c>
      <c r="K30" s="20" t="s">
        <v>292</v>
      </c>
      <c r="L30" s="20"/>
      <c r="M30" s="20"/>
      <c r="N30" s="20"/>
      <c r="O30" s="20"/>
    </row>
    <row r="31" spans="1:15" x14ac:dyDescent="0.25">
      <c r="A31" s="2" t="s">
        <v>23</v>
      </c>
      <c r="B31" s="3">
        <v>3</v>
      </c>
      <c r="C31" s="3" t="s">
        <v>60</v>
      </c>
      <c r="D31" s="2" t="s">
        <v>61</v>
      </c>
      <c r="E31" s="20" t="s">
        <v>293</v>
      </c>
      <c r="F31" s="20" t="s">
        <v>294</v>
      </c>
      <c r="G31" s="20" t="s">
        <v>295</v>
      </c>
      <c r="H31" s="20" t="s">
        <v>296</v>
      </c>
      <c r="I31" s="20" t="s">
        <v>297</v>
      </c>
      <c r="J31" s="20"/>
      <c r="K31" s="20"/>
      <c r="L31" s="20"/>
      <c r="M31" s="20"/>
      <c r="N31" s="20"/>
      <c r="O31" s="20"/>
    </row>
    <row r="32" spans="1:15" x14ac:dyDescent="0.25">
      <c r="A32" s="2" t="s">
        <v>23</v>
      </c>
      <c r="B32" s="3">
        <v>4</v>
      </c>
      <c r="C32" s="3" t="s">
        <v>62</v>
      </c>
      <c r="D32" s="2" t="s">
        <v>63</v>
      </c>
      <c r="E32" s="20" t="s">
        <v>298</v>
      </c>
      <c r="F32" s="20" t="s">
        <v>299</v>
      </c>
      <c r="G32" s="20" t="s">
        <v>300</v>
      </c>
      <c r="H32" s="20" t="s">
        <v>301</v>
      </c>
      <c r="I32" s="20" t="s">
        <v>302</v>
      </c>
      <c r="J32" s="20" t="s">
        <v>303</v>
      </c>
      <c r="K32" s="20" t="s">
        <v>304</v>
      </c>
      <c r="L32" s="20"/>
      <c r="M32" s="20"/>
      <c r="N32" s="20"/>
      <c r="O32" s="20"/>
    </row>
    <row r="33" spans="1:15" x14ac:dyDescent="0.25">
      <c r="A33" s="2" t="s">
        <v>23</v>
      </c>
      <c r="B33" s="3">
        <v>5</v>
      </c>
      <c r="C33" s="3" t="s">
        <v>64</v>
      </c>
      <c r="D33" s="2" t="s">
        <v>65</v>
      </c>
      <c r="E33" s="20" t="s">
        <v>305</v>
      </c>
      <c r="F33" s="20" t="s">
        <v>306</v>
      </c>
      <c r="G33" s="20" t="s">
        <v>307</v>
      </c>
      <c r="H33" s="20" t="s">
        <v>308</v>
      </c>
      <c r="I33" s="20" t="s">
        <v>309</v>
      </c>
      <c r="J33" s="20"/>
      <c r="K33" s="20"/>
      <c r="L33" s="20"/>
      <c r="M33" s="20"/>
      <c r="N33" s="20"/>
      <c r="O33" s="20"/>
    </row>
    <row r="34" spans="1:15" x14ac:dyDescent="0.25">
      <c r="A34" s="2" t="s">
        <v>23</v>
      </c>
      <c r="B34" s="3">
        <v>6</v>
      </c>
      <c r="C34" s="3" t="s">
        <v>66</v>
      </c>
      <c r="D34" s="2" t="s">
        <v>67</v>
      </c>
      <c r="E34" s="20" t="s">
        <v>310</v>
      </c>
      <c r="F34" s="20" t="s">
        <v>311</v>
      </c>
      <c r="G34" s="20" t="s">
        <v>312</v>
      </c>
      <c r="H34" s="20" t="s">
        <v>313</v>
      </c>
      <c r="I34" s="20" t="s">
        <v>314</v>
      </c>
      <c r="J34" s="20" t="s">
        <v>315</v>
      </c>
      <c r="K34" s="20"/>
      <c r="L34" s="20"/>
      <c r="M34" s="20"/>
      <c r="N34" s="20"/>
      <c r="O34" s="20"/>
    </row>
    <row r="35" spans="1:15" x14ac:dyDescent="0.25">
      <c r="A35" s="4" t="s">
        <v>68</v>
      </c>
      <c r="B35" s="5" t="s">
        <v>68</v>
      </c>
      <c r="C35" s="5" t="s">
        <v>68</v>
      </c>
      <c r="D35" s="4" t="s">
        <v>68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</row>
    <row r="36" spans="1:15" x14ac:dyDescent="0.25">
      <c r="A36" s="2" t="s">
        <v>5</v>
      </c>
      <c r="B36" s="3">
        <v>1</v>
      </c>
      <c r="C36" s="3" t="s">
        <v>69</v>
      </c>
      <c r="D36" s="2" t="s">
        <v>70</v>
      </c>
      <c r="E36" s="20" t="s">
        <v>316</v>
      </c>
      <c r="F36" s="20" t="s">
        <v>317</v>
      </c>
      <c r="G36" s="20" t="s">
        <v>318</v>
      </c>
      <c r="H36" s="20" t="s">
        <v>319</v>
      </c>
      <c r="I36" s="20" t="s">
        <v>320</v>
      </c>
      <c r="J36" s="20"/>
      <c r="K36" s="20"/>
      <c r="L36" s="20"/>
      <c r="M36" s="20"/>
      <c r="N36" s="20"/>
      <c r="O36" s="20"/>
    </row>
    <row r="37" spans="1:15" x14ac:dyDescent="0.25">
      <c r="A37" s="2" t="s">
        <v>5</v>
      </c>
      <c r="B37" s="3">
        <v>2</v>
      </c>
      <c r="C37" s="3" t="s">
        <v>71</v>
      </c>
      <c r="D37" s="2" t="s">
        <v>72</v>
      </c>
      <c r="E37" s="20" t="s">
        <v>321</v>
      </c>
      <c r="F37" s="20" t="s">
        <v>322</v>
      </c>
      <c r="G37" s="20" t="s">
        <v>323</v>
      </c>
      <c r="H37" s="20" t="s">
        <v>324</v>
      </c>
      <c r="I37" s="20" t="s">
        <v>325</v>
      </c>
      <c r="J37" s="20" t="s">
        <v>326</v>
      </c>
      <c r="K37" s="20" t="s">
        <v>327</v>
      </c>
      <c r="L37" s="20" t="s">
        <v>328</v>
      </c>
      <c r="M37" s="20"/>
      <c r="N37" s="20"/>
      <c r="O37" s="20"/>
    </row>
    <row r="38" spans="1:15" x14ac:dyDescent="0.25">
      <c r="A38" s="2" t="s">
        <v>5</v>
      </c>
      <c r="B38" s="3">
        <v>3</v>
      </c>
      <c r="C38" s="3" t="s">
        <v>73</v>
      </c>
      <c r="D38" s="2" t="s">
        <v>74</v>
      </c>
      <c r="E38" s="20" t="s">
        <v>329</v>
      </c>
      <c r="F38" s="20" t="s">
        <v>330</v>
      </c>
      <c r="G38" s="20" t="s">
        <v>331</v>
      </c>
      <c r="H38" s="20" t="s">
        <v>332</v>
      </c>
      <c r="I38" s="20" t="s">
        <v>333</v>
      </c>
      <c r="J38" s="20"/>
      <c r="K38" s="20"/>
      <c r="L38" s="20"/>
      <c r="M38" s="20"/>
      <c r="N38" s="20"/>
      <c r="O38" s="20"/>
    </row>
    <row r="39" spans="1:15" x14ac:dyDescent="0.25">
      <c r="A39" s="2" t="s">
        <v>5</v>
      </c>
      <c r="B39" s="3">
        <v>4</v>
      </c>
      <c r="C39" s="3" t="s">
        <v>75</v>
      </c>
      <c r="D39" s="2" t="s">
        <v>76</v>
      </c>
      <c r="E39" s="20" t="s">
        <v>334</v>
      </c>
      <c r="F39" s="20" t="s">
        <v>335</v>
      </c>
      <c r="G39" s="20" t="s">
        <v>336</v>
      </c>
      <c r="H39" s="20" t="s">
        <v>337</v>
      </c>
      <c r="I39" s="20" t="s">
        <v>338</v>
      </c>
      <c r="J39" s="20" t="s">
        <v>339</v>
      </c>
      <c r="K39" s="20" t="s">
        <v>340</v>
      </c>
      <c r="L39" s="20" t="s">
        <v>341</v>
      </c>
      <c r="M39" s="20"/>
      <c r="N39" s="20"/>
      <c r="O39" s="20"/>
    </row>
    <row r="40" spans="1:15" x14ac:dyDescent="0.25">
      <c r="A40" s="2" t="s">
        <v>5</v>
      </c>
      <c r="B40" s="3">
        <v>5</v>
      </c>
      <c r="C40" s="3" t="s">
        <v>77</v>
      </c>
      <c r="D40" s="2" t="s">
        <v>78</v>
      </c>
      <c r="E40" s="20" t="s">
        <v>342</v>
      </c>
      <c r="F40" s="20" t="s">
        <v>343</v>
      </c>
      <c r="G40" s="20" t="s">
        <v>344</v>
      </c>
      <c r="H40" s="20" t="s">
        <v>345</v>
      </c>
      <c r="I40" s="20" t="s">
        <v>346</v>
      </c>
      <c r="J40" s="20" t="s">
        <v>347</v>
      </c>
      <c r="K40" s="20" t="s">
        <v>348</v>
      </c>
      <c r="L40" s="20" t="s">
        <v>349</v>
      </c>
      <c r="M40" s="20"/>
      <c r="N40" s="20"/>
      <c r="O40" s="20"/>
    </row>
    <row r="41" spans="1:15" x14ac:dyDescent="0.25">
      <c r="A41" s="2" t="s">
        <v>5</v>
      </c>
      <c r="B41" s="3">
        <v>6</v>
      </c>
      <c r="C41" s="3" t="s">
        <v>79</v>
      </c>
      <c r="D41" s="2" t="s">
        <v>80</v>
      </c>
      <c r="E41" s="20" t="s">
        <v>350</v>
      </c>
      <c r="F41" s="20" t="s">
        <v>351</v>
      </c>
      <c r="G41" s="20" t="s">
        <v>352</v>
      </c>
      <c r="H41" s="20" t="s">
        <v>353</v>
      </c>
      <c r="I41" s="20" t="s">
        <v>354</v>
      </c>
      <c r="J41" s="20" t="s">
        <v>355</v>
      </c>
      <c r="K41" s="20" t="s">
        <v>356</v>
      </c>
      <c r="L41" s="20"/>
      <c r="M41" s="20"/>
      <c r="N41" s="20"/>
      <c r="O41" s="20"/>
    </row>
    <row r="42" spans="1:15" x14ac:dyDescent="0.25">
      <c r="A42" s="2" t="s">
        <v>5</v>
      </c>
      <c r="B42" s="3">
        <v>7</v>
      </c>
      <c r="C42" s="3" t="s">
        <v>81</v>
      </c>
      <c r="D42" s="2" t="s">
        <v>82</v>
      </c>
      <c r="E42" s="20" t="s">
        <v>357</v>
      </c>
      <c r="F42" s="20" t="s">
        <v>358</v>
      </c>
      <c r="G42" s="20" t="s">
        <v>359</v>
      </c>
      <c r="H42" s="20" t="s">
        <v>360</v>
      </c>
      <c r="I42" s="20" t="s">
        <v>361</v>
      </c>
      <c r="J42" s="20" t="s">
        <v>362</v>
      </c>
      <c r="K42" s="20" t="s">
        <v>363</v>
      </c>
      <c r="L42" s="20"/>
      <c r="M42" s="20"/>
      <c r="N42" s="20"/>
      <c r="O42" s="20"/>
    </row>
    <row r="43" spans="1:15" x14ac:dyDescent="0.25">
      <c r="A43" s="4" t="s">
        <v>83</v>
      </c>
      <c r="B43" s="5" t="s">
        <v>83</v>
      </c>
      <c r="C43" s="5" t="s">
        <v>83</v>
      </c>
      <c r="D43" s="4" t="s">
        <v>83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</row>
    <row r="44" spans="1:15" x14ac:dyDescent="0.25">
      <c r="A44" s="2" t="s">
        <v>23</v>
      </c>
      <c r="B44" s="3">
        <v>1</v>
      </c>
      <c r="C44" s="3" t="s">
        <v>84</v>
      </c>
      <c r="D44" s="2" t="s">
        <v>85</v>
      </c>
      <c r="E44" s="20" t="s">
        <v>364</v>
      </c>
      <c r="F44" s="20" t="s">
        <v>365</v>
      </c>
      <c r="G44" s="20" t="s">
        <v>366</v>
      </c>
      <c r="H44" s="20" t="s">
        <v>367</v>
      </c>
      <c r="I44" s="20" t="s">
        <v>368</v>
      </c>
      <c r="J44" s="20" t="s">
        <v>369</v>
      </c>
      <c r="K44" s="20" t="s">
        <v>370</v>
      </c>
      <c r="L44" s="20" t="s">
        <v>371</v>
      </c>
      <c r="M44" s="20"/>
      <c r="N44" s="20"/>
      <c r="O44" s="20"/>
    </row>
    <row r="45" spans="1:15" x14ac:dyDescent="0.25">
      <c r="A45" s="2" t="s">
        <v>23</v>
      </c>
      <c r="B45" s="3">
        <v>2</v>
      </c>
      <c r="C45" s="3" t="s">
        <v>86</v>
      </c>
      <c r="D45" s="2" t="s">
        <v>87</v>
      </c>
      <c r="E45" s="20" t="s">
        <v>372</v>
      </c>
      <c r="F45" s="20" t="s">
        <v>373</v>
      </c>
      <c r="G45" s="20" t="s">
        <v>374</v>
      </c>
      <c r="H45" s="20" t="s">
        <v>375</v>
      </c>
      <c r="I45" s="20" t="s">
        <v>376</v>
      </c>
      <c r="J45" s="20"/>
      <c r="K45" s="20"/>
      <c r="L45" s="20"/>
      <c r="M45" s="20"/>
      <c r="N45" s="20"/>
      <c r="O45" s="20"/>
    </row>
    <row r="46" spans="1:15" x14ac:dyDescent="0.25">
      <c r="A46" s="2" t="s">
        <v>23</v>
      </c>
      <c r="B46" s="3">
        <v>3</v>
      </c>
      <c r="C46" s="3" t="s">
        <v>88</v>
      </c>
      <c r="D46" s="2" t="s">
        <v>89</v>
      </c>
      <c r="E46" s="20" t="s">
        <v>377</v>
      </c>
      <c r="F46" s="20" t="s">
        <v>378</v>
      </c>
      <c r="G46" s="20" t="s">
        <v>379</v>
      </c>
      <c r="H46" s="20" t="s">
        <v>380</v>
      </c>
      <c r="I46" s="20" t="s">
        <v>381</v>
      </c>
      <c r="J46" s="20" t="s">
        <v>382</v>
      </c>
      <c r="K46" s="20"/>
      <c r="L46" s="20"/>
      <c r="M46" s="20"/>
      <c r="N46" s="20"/>
      <c r="O46" s="20"/>
    </row>
    <row r="47" spans="1:15" x14ac:dyDescent="0.25">
      <c r="A47" s="2" t="s">
        <v>23</v>
      </c>
      <c r="B47" s="3">
        <v>4</v>
      </c>
      <c r="C47" s="3" t="s">
        <v>90</v>
      </c>
      <c r="D47" s="2" t="s">
        <v>91</v>
      </c>
      <c r="E47" s="20" t="s">
        <v>383</v>
      </c>
      <c r="F47" s="20" t="s">
        <v>384</v>
      </c>
      <c r="G47" s="20" t="s">
        <v>385</v>
      </c>
      <c r="H47" s="20" t="s">
        <v>386</v>
      </c>
      <c r="I47" s="20" t="s">
        <v>387</v>
      </c>
      <c r="J47" s="20" t="s">
        <v>388</v>
      </c>
      <c r="K47" s="20"/>
      <c r="L47" s="20"/>
      <c r="M47" s="20"/>
      <c r="N47" s="20"/>
      <c r="O47" s="20"/>
    </row>
    <row r="48" spans="1:15" x14ac:dyDescent="0.25">
      <c r="A48" s="2" t="s">
        <v>23</v>
      </c>
      <c r="B48" s="3">
        <v>5</v>
      </c>
      <c r="C48" s="3" t="s">
        <v>92</v>
      </c>
      <c r="D48" s="2" t="s">
        <v>93</v>
      </c>
      <c r="E48" s="20" t="s">
        <v>389</v>
      </c>
      <c r="F48" s="20" t="s">
        <v>390</v>
      </c>
      <c r="G48" s="20" t="s">
        <v>391</v>
      </c>
      <c r="H48" s="20" t="s">
        <v>392</v>
      </c>
      <c r="I48" s="20" t="s">
        <v>393</v>
      </c>
      <c r="J48" s="20" t="s">
        <v>394</v>
      </c>
      <c r="K48" s="20" t="s">
        <v>395</v>
      </c>
      <c r="L48" s="20" t="s">
        <v>396</v>
      </c>
      <c r="M48" s="20"/>
      <c r="N48" s="20"/>
      <c r="O48" s="20"/>
    </row>
    <row r="49" spans="1:15" x14ac:dyDescent="0.25">
      <c r="A49" s="4" t="s">
        <v>94</v>
      </c>
      <c r="B49" s="5" t="s">
        <v>94</v>
      </c>
      <c r="C49" s="5" t="s">
        <v>94</v>
      </c>
      <c r="D49" s="4" t="s">
        <v>94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</row>
    <row r="50" spans="1:15" x14ac:dyDescent="0.25">
      <c r="A50" s="2" t="s">
        <v>5</v>
      </c>
      <c r="B50" s="3">
        <v>1</v>
      </c>
      <c r="C50" s="3" t="s">
        <v>95</v>
      </c>
      <c r="D50" s="2" t="s">
        <v>96</v>
      </c>
      <c r="E50" s="20" t="s">
        <v>397</v>
      </c>
      <c r="F50" s="20" t="s">
        <v>398</v>
      </c>
      <c r="G50" s="20" t="s">
        <v>399</v>
      </c>
      <c r="H50" s="20" t="s">
        <v>400</v>
      </c>
      <c r="I50" s="20" t="s">
        <v>401</v>
      </c>
      <c r="J50" s="20" t="s">
        <v>402</v>
      </c>
      <c r="K50" s="20"/>
      <c r="L50" s="20"/>
      <c r="M50" s="20"/>
      <c r="N50" s="20"/>
      <c r="O50" s="20"/>
    </row>
    <row r="51" spans="1:15" x14ac:dyDescent="0.25">
      <c r="A51" s="2" t="s">
        <v>5</v>
      </c>
      <c r="B51" s="3">
        <v>2</v>
      </c>
      <c r="C51" s="3" t="s">
        <v>97</v>
      </c>
      <c r="D51" s="2" t="s">
        <v>98</v>
      </c>
      <c r="E51" s="20" t="s">
        <v>403</v>
      </c>
      <c r="F51" s="20" t="s">
        <v>404</v>
      </c>
      <c r="G51" s="20" t="s">
        <v>405</v>
      </c>
      <c r="H51" s="20" t="s">
        <v>406</v>
      </c>
      <c r="I51" s="20" t="s">
        <v>407</v>
      </c>
      <c r="J51" s="20" t="s">
        <v>408</v>
      </c>
      <c r="K51" s="20"/>
      <c r="L51" s="20"/>
      <c r="M51" s="20"/>
      <c r="N51" s="20"/>
      <c r="O51" s="20"/>
    </row>
    <row r="52" spans="1:15" x14ac:dyDescent="0.25">
      <c r="A52" s="2" t="s">
        <v>5</v>
      </c>
      <c r="B52" s="3">
        <v>3</v>
      </c>
      <c r="C52" s="3" t="s">
        <v>99</v>
      </c>
      <c r="D52" s="2" t="s">
        <v>100</v>
      </c>
      <c r="E52" s="20" t="s">
        <v>409</v>
      </c>
      <c r="F52" s="20" t="s">
        <v>410</v>
      </c>
      <c r="G52" s="20" t="s">
        <v>411</v>
      </c>
      <c r="H52" s="20" t="s">
        <v>412</v>
      </c>
      <c r="I52" s="20" t="s">
        <v>413</v>
      </c>
      <c r="J52" s="20"/>
      <c r="K52" s="20"/>
      <c r="L52" s="20"/>
      <c r="M52" s="20"/>
      <c r="N52" s="20"/>
      <c r="O52" s="20"/>
    </row>
    <row r="53" spans="1:15" x14ac:dyDescent="0.25">
      <c r="A53" s="2" t="s">
        <v>5</v>
      </c>
      <c r="B53" s="3">
        <v>4</v>
      </c>
      <c r="C53" s="3" t="s">
        <v>101</v>
      </c>
      <c r="D53" s="2" t="s">
        <v>102</v>
      </c>
      <c r="E53" s="20" t="s">
        <v>414</v>
      </c>
      <c r="F53" s="20" t="s">
        <v>415</v>
      </c>
      <c r="G53" s="20" t="s">
        <v>416</v>
      </c>
      <c r="H53" s="20" t="s">
        <v>417</v>
      </c>
      <c r="I53" s="20" t="s">
        <v>418</v>
      </c>
      <c r="J53" s="20" t="s">
        <v>419</v>
      </c>
      <c r="K53" s="20" t="s">
        <v>420</v>
      </c>
      <c r="L53" s="20" t="s">
        <v>421</v>
      </c>
      <c r="M53" s="20"/>
      <c r="N53" s="20"/>
      <c r="O53" s="20"/>
    </row>
    <row r="54" spans="1:15" x14ac:dyDescent="0.25">
      <c r="A54" s="4" t="s">
        <v>103</v>
      </c>
      <c r="B54" s="5" t="s">
        <v>103</v>
      </c>
      <c r="C54" s="5" t="s">
        <v>103</v>
      </c>
      <c r="D54" s="4" t="s">
        <v>103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</row>
    <row r="55" spans="1:15" x14ac:dyDescent="0.25">
      <c r="A55" s="2" t="s">
        <v>23</v>
      </c>
      <c r="B55" s="3">
        <v>1</v>
      </c>
      <c r="C55" s="3" t="s">
        <v>104</v>
      </c>
      <c r="D55" s="2" t="s">
        <v>105</v>
      </c>
      <c r="E55" s="20" t="s">
        <v>422</v>
      </c>
      <c r="F55" s="20" t="s">
        <v>423</v>
      </c>
      <c r="G55" s="20" t="s">
        <v>424</v>
      </c>
      <c r="H55" s="20" t="s">
        <v>425</v>
      </c>
      <c r="I55" s="20" t="s">
        <v>426</v>
      </c>
      <c r="J55" s="20"/>
      <c r="K55" s="20"/>
      <c r="L55" s="20"/>
      <c r="M55" s="20"/>
      <c r="N55" s="20"/>
      <c r="O55" s="20"/>
    </row>
    <row r="56" spans="1:15" x14ac:dyDescent="0.25">
      <c r="A56" s="2" t="s">
        <v>23</v>
      </c>
      <c r="B56" s="3">
        <v>2</v>
      </c>
      <c r="C56" s="3" t="s">
        <v>106</v>
      </c>
      <c r="D56" s="2" t="s">
        <v>107</v>
      </c>
      <c r="E56" s="20" t="s">
        <v>427</v>
      </c>
      <c r="F56" s="20" t="s">
        <v>428</v>
      </c>
      <c r="G56" s="20" t="s">
        <v>429</v>
      </c>
      <c r="H56" s="20" t="s">
        <v>430</v>
      </c>
      <c r="I56" s="20" t="s">
        <v>431</v>
      </c>
      <c r="J56" s="20" t="s">
        <v>432</v>
      </c>
      <c r="K56" s="20" t="s">
        <v>433</v>
      </c>
      <c r="L56" s="20" t="s">
        <v>434</v>
      </c>
      <c r="M56" s="20"/>
      <c r="N56" s="20"/>
      <c r="O56" s="20"/>
    </row>
    <row r="57" spans="1:15" x14ac:dyDescent="0.25">
      <c r="A57" s="2" t="s">
        <v>23</v>
      </c>
      <c r="B57" s="3">
        <v>3</v>
      </c>
      <c r="C57" s="3" t="s">
        <v>108</v>
      </c>
      <c r="D57" s="2" t="s">
        <v>109</v>
      </c>
      <c r="E57" s="20" t="s">
        <v>435</v>
      </c>
      <c r="F57" s="20" t="s">
        <v>436</v>
      </c>
      <c r="G57" s="20" t="s">
        <v>437</v>
      </c>
      <c r="H57" s="20" t="s">
        <v>438</v>
      </c>
      <c r="I57" s="20" t="s">
        <v>439</v>
      </c>
      <c r="J57" s="20"/>
      <c r="K57" s="20"/>
      <c r="L57" s="20"/>
      <c r="M57" s="20"/>
      <c r="N57" s="20"/>
      <c r="O57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918A7F-1E5F-48D5-A5A3-823A51A9C5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11</vt:i4>
      </vt:variant>
    </vt:vector>
  </HeadingPairs>
  <TitlesOfParts>
    <vt:vector size="11" baseType="lpstr">
      <vt:lpstr>Anasayfa</vt:lpstr>
      <vt:lpstr>1.vize</vt:lpstr>
      <vt:lpstr>2.vize</vt:lpstr>
      <vt:lpstr>ödev</vt:lpstr>
      <vt:lpstr>proje</vt:lpstr>
      <vt:lpstr>final</vt:lpstr>
      <vt:lpstr>bütünleme</vt:lpstr>
      <vt:lpstr>Hesap</vt:lpstr>
      <vt:lpstr>RAPOR</vt:lpstr>
      <vt:lpstr>TEST_istatistik</vt:lpstr>
      <vt:lpstr>ÖÇ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Toygar Akar</dc:creator>
  <cp:lastModifiedBy>Toygar Akar</cp:lastModifiedBy>
  <cp:lastPrinted>2023-12-14T10:42:07Z</cp:lastPrinted>
  <dcterms:created xsi:type="dcterms:W3CDTF">2023-11-07T12:55:09Z</dcterms:created>
  <dcterms:modified xsi:type="dcterms:W3CDTF">2023-12-14T10:49:51Z</dcterms:modified>
</cp:coreProperties>
</file>